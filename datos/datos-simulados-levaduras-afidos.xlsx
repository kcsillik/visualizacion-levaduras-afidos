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211e1e606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0984a29d94f45a3"/>
    <x:sheet xmlns:r="http://schemas.openxmlformats.org/officeDocument/2006/relationships" name="E1_plantas" sheetId="2" r:id="Rfd22a48baed2461f"/>
    <x:sheet xmlns:r="http://schemas.openxmlformats.org/officeDocument/2006/relationships" name="E1_recuentos" sheetId="3" r:id="R4042d62ab2264444"/>
    <x:sheet xmlns:r="http://schemas.openxmlformats.org/officeDocument/2006/relationships" name="E1_ancho" sheetId="4" r:id="Rad038705411e4a36"/>
    <x:sheet xmlns:r="http://schemas.openxmlformats.org/officeDocument/2006/relationships" name="E1_resumen" sheetId="5" r:id="R521544c3fb484e9b"/>
    <x:sheet xmlns:r="http://schemas.openxmlformats.org/officeDocument/2006/relationships" name="E1_seleccion" sheetId="6" r:id="Rdf9a89ef735e4669"/>
    <x:sheet xmlns:r="http://schemas.openxmlformats.org/officeDocument/2006/relationships" name="E2_plantas" sheetId="7" r:id="R5cfd488c8dd34963"/>
    <x:sheet xmlns:r="http://schemas.openxmlformats.org/officeDocument/2006/relationships" name="E2_diario" sheetId="8" r:id="Rd46d450aeb3c44c0"/>
    <x:sheet xmlns:r="http://schemas.openxmlformats.org/officeDocument/2006/relationships" name="E2_individuos" sheetId="9" r:id="Rc791d89ef20a47eb"/>
    <x:sheet xmlns:r="http://schemas.openxmlformats.org/officeDocument/2006/relationships" name="E2_tabla_vida" sheetId="10" r:id="Reab249e62f0c4be6"/>
    <x:sheet xmlns:r="http://schemas.openxmlformats.org/officeDocument/2006/relationships" name="E2_parametros" sheetId="11" r:id="R6b2d3df2fabb4b0f"/>
    <x:sheet xmlns:r="http://schemas.openxmlformats.org/officeDocument/2006/relationships" name="Calculo_rm" sheetId="12" r:id="R3053040b9de94b42"/>
    <x:sheet xmlns:r="http://schemas.openxmlformats.org/officeDocument/2006/relationships" name="Diccionario" sheetId="13" r:id="Rbae6b9090fa54e8e"/>
    <x:sheet xmlns:r="http://schemas.openxmlformats.org/officeDocument/2006/relationships" name="Supuestos" sheetId="14" r:id="R00cdd15f25354c7b"/>
    <x:sheet xmlns:r="http://schemas.openxmlformats.org/officeDocument/2006/relationships" name="Guia_R" sheetId="15" r:id="Rea72e0f5e0fe4b1e"/>
    <x:sheet xmlns:r="http://schemas.openxmlformats.org/officeDocument/2006/relationships" name="Referencias" sheetId="16" r:id="R284a3452107c4a05"/>
    <x:sheet xmlns:r="http://schemas.openxmlformats.org/officeDocument/2006/relationships" name="Control_calidad" sheetId="17" r:id="Rb0cd9fdd5ae1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"/>
    <x:numFmt numFmtId="202" formatCode="0.0%;-0.0%;0.0%"/>
    <x:numFmt numFmtId="203" formatCode="0.0000"/>
    <x:numFmt numFmtId="204" formatCode="0.0000000000"/>
    <x:numFmt numFmtId="205" formatCode="0.000E+00"/>
    <x:numFmt numFmtId="206" formatCode="0.0%"/>
  </x:numFmts>
  <x:fonts count="10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  <x:font>
      <x:sz val="11"/>
      <x:name val="Consolas"/>
    </x:font>
    <x:font>
      <x:sz val="10"/>
      <x:name val="Consolas"/>
    </x:font>
    <x:font>
      <x:b/>
      <x:sz val="23"/>
      <x:color rgb="FFFFFFFF"/>
      <x:name val="Calibri"/>
    </x:font>
    <x:font>
      <x:sz val="12"/>
      <x:color rgb="FF233746"/>
      <x:name val="Calibri"/>
    </x:font>
    <x:font>
      <x:b/>
      <x:sz val="11"/>
      <x:color rgb="FF167D8D"/>
      <x:name val="Calibri"/>
    </x:font>
    <x:font>
      <x:b/>
      <x:sz val="27"/>
      <x:color rgb="FF17354A"/>
      <x:name val="Calibri"/>
    </x:font>
    <x:font>
      <x:sz val="11"/>
      <x:color rgb="FF233746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EAF4F5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205" fontId="1" fillId="0" borderId="0" xfId="0" applyNumberFormat="1" applyFont="1" applyFill="1" applyBorder="1"/>
    <x:xf numFmtId="205" fontId="1" fillId="0" borderId="1" xfId="0" applyNumberFormat="1" applyFont="1" applyFill="1" applyBorder="1"/>
    <x:xf numFmtId="206" fontId="1" fillId="0" borderId="0" xfId="0" applyNumberFormat="1" applyFont="1" applyFill="1" applyBorder="1"/>
    <x:xf numFmtId="206" fontId="1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wrapText="1"/>
    </x:xf>
    <x:xf numFmtId="205" fontId="1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0"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  <x:dxf>
      <x:fill>
        <x:patternFill>
          <x:bgColor rgb="FFE4E8EC"/>
        </x:patternFill>
      </x:fill>
    </x:dxf>
    <x:dxf>
      <x:fill>
        <x:patternFill>
          <x:bgColor rgb="FFDCEAF8"/>
        </x:patternFill>
      </x:fill>
    </x:dxf>
    <x:dxf>
      <x:fill>
        <x:patternFill>
          <x:bgColor rgb="FFE7E0F4"/>
        </x:patternFill>
      </x:fill>
    </x:dxf>
    <x:dxf>
      <x:fill>
        <x:patternFill>
          <x:bgColor rgb="FFF4E1EB"/>
        </x:patternFill>
      </x:fill>
    </x:dxf>
    <x:dxf>
      <x:fill>
        <x:patternFill>
          <x:bgColor rgb="FFF8E4D2"/>
        </x:patternFill>
      </x:fill>
    </x:dxf>
    <x:dxf>
      <x:fill>
        <x:patternFill>
          <x:bgColor rgb="FFF6EFCB"/>
        </x:patternFill>
      </x:fill>
    </x:dxf>
    <x:dxf>
      <x:fill>
        <x:patternFill>
          <x:bgColor rgb="FFDCECDD"/>
        </x:patternFill>
      </x:fill>
    </x:dxf>
    <x:dxf>
      <x:fill>
        <x:patternFill>
          <x:bgColor rgb="FFD5EEEB"/>
        </x:patternFill>
      </x:fill>
    </x:dxf>
    <x:dxf>
      <x:fill>
        <x:patternFill>
          <x:bgColor rgb="FFE8E3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cb08ae1c94e80" /><Relationship Type="http://schemas.openxmlformats.org/officeDocument/2006/relationships/theme" Target="/xl/theme/theme1.xml" Id="R4f05df3c72b0454e" /><Relationship Type="http://schemas.microsoft.com/office/2022/11/relationships/FeaturePropertyBag" Target="/xl/featurePropertyBag/featurePropertyBag.xml" Id="R3610ce556a984909" /><Relationship Type="http://schemas.openxmlformats.org/officeDocument/2006/relationships/sharedStrings" Target="/xl/sharedStrings.xml" Id="Rbbf51b1ef4a44e3a" /><Relationship Type="http://schemas.openxmlformats.org/officeDocument/2006/relationships/worksheet" Target="/xl/worksheets/sheet1.xml" Id="R50984a29d94f45a3" /><Relationship Type="http://schemas.openxmlformats.org/officeDocument/2006/relationships/worksheet" Target="/xl/worksheets/sheet2.xml" Id="Rfd22a48baed2461f" /><Relationship Type="http://schemas.openxmlformats.org/officeDocument/2006/relationships/worksheet" Target="/xl/worksheets/sheet3.xml" Id="R4042d62ab2264444" /><Relationship Type="http://schemas.openxmlformats.org/officeDocument/2006/relationships/worksheet" Target="/xl/worksheets/sheet4.xml" Id="Rad038705411e4a36" /><Relationship Type="http://schemas.openxmlformats.org/officeDocument/2006/relationships/worksheet" Target="/xl/worksheets/sheet5.xml" Id="R521544c3fb484e9b" /><Relationship Type="http://schemas.openxmlformats.org/officeDocument/2006/relationships/worksheet" Target="/xl/worksheets/sheet6.xml" Id="Rdf9a89ef735e4669" /><Relationship Type="http://schemas.openxmlformats.org/officeDocument/2006/relationships/worksheet" Target="/xl/worksheets/sheet7.xml" Id="R5cfd488c8dd34963" /><Relationship Type="http://schemas.openxmlformats.org/officeDocument/2006/relationships/worksheet" Target="/xl/worksheets/sheet8.xml" Id="Rd46d450aeb3c44c0" /><Relationship Type="http://schemas.openxmlformats.org/officeDocument/2006/relationships/worksheet" Target="/xl/worksheets/sheet9.xml" Id="Rc791d89ef20a47eb" /><Relationship Type="http://schemas.openxmlformats.org/officeDocument/2006/relationships/worksheet" Target="/xl/worksheets/sheet10.xml" Id="Reab249e62f0c4be6" /><Relationship Type="http://schemas.openxmlformats.org/officeDocument/2006/relationships/worksheet" Target="/xl/worksheets/sheet11.xml" Id="R6b2d3df2fabb4b0f" /><Relationship Type="http://schemas.openxmlformats.org/officeDocument/2006/relationships/worksheet" Target="/xl/worksheets/sheet12.xml" Id="R3053040b9de94b42" /><Relationship Type="http://schemas.openxmlformats.org/officeDocument/2006/relationships/worksheet" Target="/xl/worksheets/sheet13.xml" Id="Rbae6b9090fa54e8e" /><Relationship Type="http://schemas.openxmlformats.org/officeDocument/2006/relationships/worksheet" Target="/xl/worksheets/sheet14.xml" Id="R00cdd15f25354c7b" /><Relationship Type="http://schemas.openxmlformats.org/officeDocument/2006/relationships/worksheet" Target="/xl/worksheets/sheet15.xml" Id="Rea72e0f5e0fe4b1e" /><Relationship Type="http://schemas.openxmlformats.org/officeDocument/2006/relationships/worksheet" Target="/xl/worksheets/sheet16.xml" Id="R284a3452107c4a05" /><Relationship Type="http://schemas.openxmlformats.org/officeDocument/2006/relationships/worksheet" Target="/xl/worksheets/sheet17.xml" Id="Rb0cd9fdd5ae142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3e0a2a154e44e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Reducción conjunta</c:v>
          </c:tx>
          <c:cat>
            <c:strRef>
              <c:f>'E1_seleccion'!$A$3:$A$10</c:f>
              <c:strCache>
                <c:ptCount val="0"/>
              </c:strCache>
            </c:strRef>
          </c:cat>
          <c:val>
            <c:numRef>
              <c:f>'E1_seleccion'!$E$3:$E$10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e0a2a154e44e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bl_E1_plantas" displayName="tbl_E1_plantas" ref="A1:P181" headerRowCount="1" totalsRowCount="0" totalsRowShown="0">
  <x:tableColumns count="16">
    <x:tableColumn id="1" name="id_planta"/>
    <x:tableColumn id="2" name="bloque_temporal"/>
    <x:tableColumn id="3" name="codigo_especie"/>
    <x:tableColumn id="4" name="especie"/>
    <x:tableColumn id="5" name="tratamiento"/>
    <x:tableColumn id="6" name="es_control"/>
    <x:tableColumn id="7" name="repeticion"/>
    <x:tableColumn id="8" name="rep_en_bloque"/>
    <x:tableColumn id="9" name="posicion_en_bloque"/>
    <x:tableColumn id="10" name="fecha_inoculacion"/>
    <x:tableColumn id="11" name="fecha_establece_N1"/>
    <x:tableColumn id="12" name="fecha_aplicacion_d14"/>
    <x:tableColumn id="13" name="hembras_iniciales"/>
    <x:tableColumn id="14" name="ninfas_iniciales"/>
    <x:tableColumn id="15" name="desfase_N1_dias"/>
    <x:tableColumn id="16" name="origen_d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bl_E1_recuentos" displayName="tbl_E1_recuentos" ref="A1:M541" headerRowCount="1" totalsRowCount="0" totalsRowShown="0">
  <x:tableColumns count="13">
    <x:tableColumn id="1" name="id_planta"/>
    <x:tableColumn id="2" name="bloque_temporal"/>
    <x:tableColumn id="3" name="codigo_especie"/>
    <x:tableColumn id="4" name="especie"/>
    <x:tableColumn id="5" name="tratamiento"/>
    <x:tableColumn id="6" name="repeticion"/>
    <x:tableColumn id="7" name="dias_post_inoculacion"/>
    <x:tableColumn id="8" name="edad_desde_N1_dias"/>
    <x:tableColumn id="9" name="fecha_recuento"/>
    <x:tableColumn id="10" name="total_afidos"/>
    <x:tableColumn id="11" name="reinoculada_al_recuento"/>
    <x:tableColumn id="12" name="momento_recuento"/>
    <x:tableColumn id="13" name="origen_da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tbl_E1_ancho" displayName="tbl_E1_ancho" ref="A1:J181" headerRowCount="1" totalsRowCount="0" totalsRowShown="0">
  <x:tableColumns count="10">
    <x:tableColumn id="1" name="id_planta"/>
    <x:tableColumn id="2" name="bloque_temporal"/>
    <x:tableColumn id="3" name="codigo_especie"/>
    <x:tableColumn id="4" name="especie"/>
    <x:tableColumn id="5" name="tratamiento"/>
    <x:tableColumn id="6" name="repeticion"/>
    <x:tableColumn id="7" name="total_d14"/>
    <x:tableColumn id="8" name="total_d21"/>
    <x:tableColumn id="9" name="total_d28"/>
    <x:tableColumn id="10" name="origen_da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bl_E1_resumen" displayName="tbl_E1_resumen" ref="A1:N55" headerRowCount="1" totalsRowCount="0" totalsRowShown="0">
  <x:tableColumns count="14">
    <x:tableColumn id="1" name="codigo_especie"/>
    <x:tableColumn id="2" name="especie"/>
    <x:tableColumn id="3" name="tratamiento"/>
    <x:tableColumn id="4" name="dias_post_inoculacion"/>
    <x:tableColumn id="5" name="n_plantas"/>
    <x:tableColumn id="6" name="media_total"/>
    <x:tableColumn id="7" name="desviacion_estandar"/>
    <x:tableColumn id="8" name="error_estandar"/>
    <x:tableColumn id="9" name="mediana"/>
    <x:tableColumn id="10" name="minimo"/>
    <x:tableColumn id="11" name="maximo"/>
    <x:tableColumn id="12" name="media_control"/>
    <x:tableColumn id="13" name="reduccion_relativa"/>
    <x:tableColumn id="14" name="origen_da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tbl_E1_seleccion" displayName="tbl_E1_seleccion" ref="A1:H10" headerRowCount="1" totalsRowCount="0" totalsRowShown="0">
  <x:tableColumns count="8">
    <x:tableColumn id="1" name="tratamiento"/>
    <x:tableColumn id="2" name="tipo"/>
    <x:tableColumn id="3" name="reduccion_media_MP"/>
    <x:tableColumn id="4" name="reduccion_media_BB"/>
    <x:tableColumn id="5" name="reduccion_conjunta"/>
    <x:tableColumn id="6" name="puesto_entre_cepas"/>
    <x:tableColumn id="7" name="seleccionada_E2"/>
    <x:tableColumn id="8" name="origen_da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tbl_E2_plantas" displayName="tbl_E2_plantas" ref="A1:M61" headerRowCount="1" totalsRowCount="0" totalsRowShown="0">
  <x:tableColumns count="13">
    <x:tableColumn id="1" name="id_individuo"/>
    <x:tableColumn id="2" name="bloque_temporal"/>
    <x:tableColumn id="3" name="codigo_especie"/>
    <x:tableColumn id="4" name="especie"/>
    <x:tableColumn id="5" name="tratamiento"/>
    <x:tableColumn id="6" name="es_control"/>
    <x:tableColumn id="7" name="repeticion"/>
    <x:tableColumn id="8" name="rep_en_bloque"/>
    <x:tableColumn id="9" name="posicion_en_bloque"/>
    <x:tableColumn id="10" name="fecha_inicio_N1"/>
    <x:tableColumn id="11" name="ninfas_iniciales"/>
    <x:tableColumn id="12" name="sexo"/>
    <x:tableColumn id="13" name="origen_dat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tbl_E2_diario" displayName="tbl_E2_diario" ref="A1:Q2521" headerRowCount="1" totalsRowCount="0" totalsRowShown="0">
  <x:tableColumns count="17">
    <x:tableColumn id="1" name="id_individuo"/>
    <x:tableColumn id="2" name="bloque_temporal"/>
    <x:tableColumn id="3" name="codigo_especie"/>
    <x:tableColumn id="4" name="especie"/>
    <x:tableColumn id="5" name="tratamiento"/>
    <x:tableColumn id="6" name="repeticion"/>
    <x:tableColumn id="7" name="edad_dias"/>
    <x:tableColumn id="8" name="fin_intervalo_dias"/>
    <x:tableColumn id="9" name="fecha_inicio_intervalo"/>
    <x:tableColumn id="10" name="estadio"/>
    <x:tableColumn id="11" name="vivo_inicio"/>
    <x:tableColumn id="12" name="ninfas_producidas"/>
    <x:tableColumn id="13" name="fecundidad_acumulada"/>
    <x:tableColumn id="14" name="evento_muerte"/>
    <x:tableColumn id="15" name="tipo_fila"/>
    <x:tableColumn id="16" name="censurado"/>
    <x:tableColumn id="17" name="origen_da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tbl_E2_individuos" displayName="tbl_E2_individuos" ref="A1:X61" headerRowCount="1" totalsRowCount="0" totalsRowShown="0">
  <x:tableColumns count="24">
    <x:tableColumn id="1" name="id_individuo"/>
    <x:tableColumn id="2" name="bloque_temporal"/>
    <x:tableColumn id="3" name="codigo_especie"/>
    <x:tableColumn id="4" name="especie"/>
    <x:tableColumn id="5" name="tratamiento"/>
    <x:tableColumn id="6" name="repeticion"/>
    <x:tableColumn id="7" name="sobrevivio_a_adulta"/>
    <x:tableColumn id="8" name="dias_N1_observados"/>
    <x:tableColumn id="9" name="dias_N2_observados"/>
    <x:tableColumn id="10" name="dias_N3_observados"/>
    <x:tableColumn id="11" name="dias_N4_observados"/>
    <x:tableColumn id="12" name="desarrollo_ninfal_dias"/>
    <x:tableColumn id="13" name="longevidad_adulta_dias"/>
    <x:tableColumn id="14" name="longevidad_total_dias"/>
    <x:tableColumn id="15" name="primera_reproduccion_x"/>
    <x:tableColumn id="16" name="ultima_reproduccion_x"/>
    <x:tableColumn id="17" name="prerreproductivo_total_dias"/>
    <x:tableColumn id="18" name="prerreproductivo_adulto_dias"/>
    <x:tableColumn id="19" name="periodo_reproductivo_dias"/>
    <x:tableColumn id="20" name="dias_con_reproduccion"/>
    <x:tableColumn id="21" name="posreproductivo_dias"/>
    <x:tableColumn id="22" name="fecundidad_total"/>
    <x:tableColumn id="23" name="censurado"/>
    <x:tableColumn id="24" name="origen_da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tbl_E2_tabla_vida" displayName="tbl_E2_tabla_vida" ref="A1:Z253" headerRowCount="1" totalsRowCount="0" totalsRowShown="0">
  <x:tableColumns count="26">
    <x:tableColumn id="1" name="cohorte"/>
    <x:tableColumn id="2" name="codigo_especie"/>
    <x:tableColumn id="3" name="especie"/>
    <x:tableColumn id="4" name="tratamiento"/>
    <x:tableColumn id="5" name="edad_dias"/>
    <x:tableColumn id="6" name="n_inicial"/>
    <x:tableColumn id="7" name="n_vivos"/>
    <x:tableColumn id="8" name="n_N1"/>
    <x:tableColumn id="9" name="n_N2"/>
    <x:tableColumn id="10" name="n_N3"/>
    <x:tableColumn id="11" name="n_N4"/>
    <x:tableColumn id="12" name="n_adultas"/>
    <x:tableColumn id="13" name="crias_totales"/>
    <x:tableColumn id="14" name="lx"/>
    <x:tableColumn id="15" name="mx"/>
    <x:tableColumn id="16" name="lxmx"/>
    <x:tableColumn id="17" name="sx_N1"/>
    <x:tableColumn id="18" name="sx_N2"/>
    <x:tableColumn id="19" name="sx_N3"/>
    <x:tableColumn id="20" name="sx_N4"/>
    <x:tableColumn id="21" name="sx_adulta"/>
    <x:tableColumn id="22" name="fx_adulta"/>
    <x:tableColumn id="23" name="Rx_acumulado"/>
    <x:tableColumn id="24" name="tiempo_euler_dias"/>
    <x:tableColumn id="25" name="n_muertos_acumulados"/>
    <x:tableColumn id="26" name="origen_da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tbl_E2_parametros" displayName="tbl_E2_parametros" ref="A1:N7" headerRowCount="1" totalsRowCount="0" totalsRowShown="0">
  <x:tableColumns count="14">
    <x:tableColumn id="1" name="cohorte"/>
    <x:tableColumn id="2" name="codigo_especie"/>
    <x:tableColumn id="3" name="especie"/>
    <x:tableColumn id="4" name="tratamiento"/>
    <x:tableColumn id="5" name="n_inicial"/>
    <x:tableColumn id="6" name="R0"/>
    <x:tableColumn id="7" name="rm_dia"/>
    <x:tableColumn id="8" name="lambda_diaria"/>
    <x:tableColumn id="9" name="T_dias"/>
    <x:tableColumn id="10" name="supervivencia_adulta"/>
    <x:tableColumn id="11" name="fecundidad_media_inicial"/>
    <x:tableColumn id="12" name="residuo_euler"/>
    <x:tableColumn id="13" name="control_euler"/>
    <x:tableColumn id="14" name="origen_da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alculo_rm" displayName="tbl_Calculo_rm" ref="A1:H277" headerRowCount="1" totalsRowCount="0" totalsRowShown="0">
  <x:tableColumns count="8">
    <x:tableColumn id="1" name="cohorte"/>
    <x:tableColumn id="2" name="iteracion"/>
    <x:tableColumn id="3" name="r_inferior"/>
    <x:tableColumn id="4" name="r_superior"/>
    <x:tableColumn id="5" name="rm_aprox"/>
    <x:tableColumn id="6" name="residuo_medio"/>
    <x:tableColumn id="7" name="residuo_inferior"/>
    <x:tableColumn id="8" name="residuo_superi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5" name="tbl_Diccionario" displayName="tbl_Diccionario" ref="A1:F156" headerRowCount="1" totalsRowCount="0" totalsRowShown="0">
  <x:tableColumns count="6">
    <x:tableColumn id="1" name="hoja"/>
    <x:tableColumn id="2" name="variable"/>
    <x:tableColumn id="3" name="tipo_R_sugerido"/>
    <x:tableColumn id="4" name="unidad"/>
    <x:tableColumn id="5" name="definicion"/>
    <x:tableColumn id="6" name="significado_vaci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" name="tbl_Supuestos" displayName="tbl_Supuestos" ref="A1:E97" headerRowCount="1" totalsRowCount="0" totalsRowShown="0">
  <x:tableColumns count="5">
    <x:tableColumn id="1" name="id"/>
    <x:tableColumn id="2" name="parametro"/>
    <x:tableColumn id="3" name="valor"/>
    <x:tableColumn id="4" name="origen"/>
    <x:tableColumn id="5" name="detal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6" name="tbl_Guia_R" displayName="tbl_Guia_R" ref="A1:B214" headerRowCount="1" totalsRowCount="0" totalsRowShown="0">
  <x:tableColumns count="2">
    <x:tableColumn id="1" name="linea"/>
    <x:tableColumn id="2" name="codigo_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bl_Referencias" displayName="tbl_Referencias" ref="A1:E9" headerRowCount="1" totalsRowCount="0" totalsRowShown="0">
  <x:tableColumns count="5">
    <x:tableColumn id="1" name="id"/>
    <x:tableColumn id="2" name="autor_o_fuente"/>
    <x:tableColumn id="3" name="referencia"/>
    <x:tableColumn id="4" name="url"/>
    <x:tableColumn id="5" name="us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tbl_Control_calidad" displayName="tbl_Control_calidad" ref="A1:E21" headerRowCount="1" totalsRowCount="0" totalsRowShown="0">
  <x:tableColumns count="5">
    <x:tableColumn id="1" name="comprobacion"/>
    <x:tableColumn id="2" name="obtenido"/>
    <x:tableColumn id="3" name="esperado_o_tolerancia"/>
    <x:tableColumn id="4" name="estado"/>
    <x:tableColumn id="5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a88142714d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18382066fb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c8df3cd5bf4f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4b86efeb7543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320a79d6a104964" /><Relationship Type="http://schemas.openxmlformats.org/officeDocument/2006/relationships/table" Target="/xl/tables/table5.xml" Id="R94e3bf42e73c46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44476aa9cd4e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7c706a1fba41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94a4c66cb542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c996addfcef47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1e14dbdf064c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033a9b06824a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e881d1664e041c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f1f8aeaa8574cd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bc4f443084d42f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30dbd85f1254e8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f31256750bd4ad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3" customHeight="1">
      <x:c r="A1" s="43" t="str">
        <x:v>LEVADURAS × ÁFIDOS | DATOS SIMULADOS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23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</x:row>
    <x:row r="3" ht="23" customHeight="1">
      <x:c r="A3" s="49" t="str">
        <x:v>Visualización de datos · Práctica en RStudio · Archivo 100% ficticio. No contiene observaciones del experimento ni demuestra eficacia de las cepas.</x:v>
      </x:c>
      <x:c r="B3" s="49"/>
      <x:c r="C3" s="49"/>
      <x:c r="D3" s="49"/>
      <x:c r="E3" s="49"/>
      <x:c r="F3" s="49"/>
      <x:c r="G3" s="49"/>
      <x:c r="H3" s="49"/>
      <x:c r="I3" s="49"/>
      <x:c r="J3" s="49"/>
    </x:row>
    <x:row r="4" ht="23" customHeight="1">
      <x:c r="A4" s="49"/>
      <x:c r="B4" s="49"/>
      <x:c r="C4" s="49"/>
      <x:c r="D4" s="49"/>
      <x:c r="E4" s="49"/>
      <x:c r="F4" s="49"/>
      <x:c r="G4" s="49"/>
      <x:c r="H4" s="49"/>
      <x:c r="I4" s="49"/>
      <x:c r="J4" s="49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54" t="str">
        <x:v>PLANTAS / ENSAYO 1</x:v>
      </x:c>
      <x:c r="B6" s="54"/>
      <x:c r="C6" s="54"/>
      <x:c r="D6" s="54" t="str">
        <x:v>RECUENTOS / ENSAYO 1</x:v>
      </x:c>
      <x:c r="E6" s="54"/>
      <x:c r="F6" s="54"/>
      <x:c r="G6" s="54" t="str">
        <x:v>PLANTAS / ENSAYO 2</x:v>
      </x:c>
      <x:c r="H6" s="54"/>
      <x:c r="I6" s="54"/>
      <x:c r="J6" s="54"/>
    </x:row>
    <x:row r="7" ht="23" customHeight="1">
      <x:c r="A7" s="56" t="n">
        <x:f>COUNTA(E1_plantas!A2:A181)</x:f>
        <x:v>180</x:v>
      </x:c>
      <x:c r="B7" s="56"/>
      <x:c r="C7" s="56"/>
      <x:c r="D7" s="56" t="n">
        <x:f>COUNT(E1_recuentos!J2:J541)</x:f>
        <x:v>540</x:v>
      </x:c>
      <x:c r="E7" s="56"/>
      <x:c r="F7" s="56"/>
      <x:c r="G7" s="56" t="n">
        <x:f>COUNTA(E2_plantas!A2:A61)</x:f>
        <x:v>60</x:v>
      </x:c>
      <x:c r="H7" s="56"/>
      <x:c r="I7" s="56"/>
      <x:c r="J7" s="56"/>
    </x:row>
    <x:row r="8" ht="23" customHeight="1">
      <x:c r="A8" s="56"/>
      <x:c r="B8" s="56"/>
      <x:c r="C8" s="56"/>
      <x:c r="D8" s="56"/>
      <x:c r="E8" s="56"/>
      <x:c r="F8" s="56"/>
      <x:c r="G8" s="56"/>
      <x:c r="H8" s="56"/>
      <x:c r="I8" s="56"/>
      <x:c r="J8" s="56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3" customHeight="1">
      <x:c r="A10" s="60" t="str">
        <x:v>DISEÑO RESUELTO: 8 cepas + L0 = 9 tratamientos. 9 × 10 × 2 = 180 plantas. Cinco bloques, con dos repeticiones de cada combinación en cada bloque.</x:v>
      </x:c>
      <x:c r="B10" s="60"/>
      <x:c r="C10" s="60"/>
      <x:c r="D10" s="60"/>
      <x:c r="E10" s="60"/>
      <x:c r="F10" s="60"/>
      <x:c r="G10" s="60"/>
      <x:c r="H10" s="60"/>
      <x:c r="I10" s="60"/>
      <x:c r="J10" s="60"/>
    </x:row>
    <x:row r="11" ht="23" customHeight="1">
      <x:c r="A11" s="60"/>
      <x:c r="B11" s="60"/>
      <x:c r="C11" s="60"/>
      <x:c r="D11" s="60"/>
      <x:c r="E11" s="60"/>
      <x:c r="F11" s="60"/>
      <x:c r="G11" s="60"/>
      <x:c r="H11" s="60"/>
      <x:c r="I11" s="60"/>
      <x:c r="J11" s="60"/>
    </x:row>
    <x:row r="12" ht="23" customHeight="1">
      <x:c r="A12" s="60" t="str">
        <x:v>E1: tres recuentos por planta (14, 21 y 28 dpi). Son 540 filas, NO 540 unidades independientes. No se añadió una medición al día 30.</x:v>
      </x:c>
      <x:c r="B12" s="60"/>
      <x:c r="C12" s="60"/>
      <x:c r="D12" s="60"/>
      <x:c r="E12" s="60"/>
      <x:c r="F12" s="60"/>
      <x:c r="G12" s="60"/>
      <x:c r="H12" s="60"/>
      <x:c r="I12" s="60"/>
      <x:c r="J12" s="60"/>
    </x:row>
    <x:row r="13" ht="23" customHeight="1">
      <x:c r="A13" s="60"/>
      <x:c r="B13" s="60"/>
      <x:c r="C13" s="60"/>
      <x:c r="D13" s="60"/>
      <x:c r="E13" s="60"/>
      <x:c r="F13" s="60"/>
      <x:c r="G13" s="60"/>
      <x:c r="H13" s="60"/>
      <x:c r="I13" s="60"/>
      <x:c r="J13" s="60"/>
    </x:row>
    <x:row r="14" ht="23" customHeight="1">
      <x:c r="A14" s="60" t="str">
        <x:v>E2: 60 historias individuales, edades 0–41 días (2.520 filas). Se incluyen registros de muerte y ceros estructurales posteriores identificados por tipo_fila.</x:v>
      </x:c>
      <x:c r="B14" s="60"/>
      <x:c r="C14" s="60"/>
      <x:c r="D14" s="60"/>
      <x:c r="E14" s="60"/>
      <x:c r="F14" s="60"/>
      <x:c r="G14" s="60"/>
      <x:c r="H14" s="60"/>
      <x:c r="I14" s="60"/>
      <x:c r="J14" s="60"/>
    </x:row>
    <x:row r="15" ht="23" customHeight="1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</x:row>
    <x:row r="16" ht="23" customHeight="1">
      <x:c r="A16" s="60" t="str">
        <x:v>SELECCIÓN DIDÁCTICA: L8 y L7. Criterio: media de reducciones relativas de las dos especies y las tres fechas. Las diferencias fueron generadas para practicar y no son conclusiones biológicas.</x:v>
      </x:c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 ht="23" customHeight="1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60" t="str">
        <x:v>PARA EMPEZAR EN R: importa E1_recuentos, E2_diario y E2_individuos. Las hojas de datos empiezan en la fila 1, tienen nombres sin tildes y no mezclan subtotales con observaciones.</x:v>
      </x:c>
      <x:c r="B19" s="60"/>
      <x:c r="C19" s="60"/>
      <x:c r="D19" s="60"/>
      <x:c r="E19" s="60"/>
      <x:c r="F19" s="60"/>
      <x:c r="G19" s="60"/>
      <x:c r="H19" s="60"/>
      <x:c r="I19" s="60"/>
      <x:c r="J19" s="60"/>
    </x:row>
    <x:row r="20" ht="23" customHeight="1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</x:row>
    <x:row r="21" ht="23" customHeight="1">
      <x:c r="A21" s="60" t="str">
        <x:v>TABLAS DE VIDA: los estadios N1–N4 y adulta están conservados. R0, rm, lambda y T se calculan por cohorte, no por planta. No se calcularon bootstrap, p-valores ni letras de significación.</x:v>
      </x:c>
      <x:c r="B21" s="60"/>
      <x:c r="C21" s="60"/>
      <x:c r="D21" s="60"/>
      <x:c r="E21" s="60"/>
      <x:c r="F21" s="60"/>
      <x:c r="G21" s="60"/>
      <x:c r="H21" s="60"/>
      <x:c r="I21" s="60"/>
      <x:c r="J21" s="60"/>
    </x:row>
    <x:row r="22" ht="23" customHeight="1">
      <x:c r="A22" s="60"/>
      <x:c r="B22" s="60"/>
      <x:c r="C22" s="60"/>
      <x:c r="D22" s="60"/>
      <x:c r="E22" s="60"/>
      <x:c r="F22" s="60"/>
      <x:c r="G22" s="60"/>
      <x:c r="H22" s="60"/>
      <x:c r="I22" s="60"/>
      <x:c r="J22" s="60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60" t="str">
        <x:v>CEROS Y VACÍOS: 0 significa ausencia real dentro de la simulación. Los vacíos en desarrollo/reproducción significan que la hembra no alcanzó ese evento; al importar son NA.</x:v>
      </x:c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 ht="23" customHeight="1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60" t="str">
        <x:v>FECHAS Y SUPUESTOS: todas las fechas son ficticias. E1 asume inoculación e infestación con madres en día 0 y N1 en día 1. En E2 se suponen cinco bloques y retiro diario de crías.</x:v>
      </x:c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 ht="23" customHeight="1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60" t="str">
        <x:v>TRAZABILIDAD: revisar Diccionario, Supuestos, Referencias y Control_calidad. Las fórmulas usan los rangos originales; ampliar rangos si se agregan individuos. E2 no se regenera al editar el ranking E1.</x:v>
      </x:c>
      <x:c r="B30" s="60"/>
      <x:c r="C30" s="60"/>
      <x:c r="D30" s="60"/>
      <x:c r="E30" s="60"/>
      <x:c r="F30" s="60"/>
      <x:c r="G30" s="60"/>
      <x:c r="H30" s="60"/>
      <x:c r="I30" s="60"/>
      <x:c r="J30" s="60"/>
    </x:row>
    <x:row r="31" ht="23" customHeight="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5" t="str">
        <x:v>RUTA DE TRABAJO</x:v>
      </x:c>
      <x:c r="B33" s="5"/>
      <x:c r="C33" s="5"/>
      <x:c r="D33" s="5"/>
      <x:c r="E33" s="5"/>
      <x:c r="F33" s="5"/>
      <x:c r="G33" s="5"/>
      <x:c r="H33" s="5"/>
      <x:c r="I33" s="5"/>
      <x:c r="J33" s="5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 t="str">
        <x:v>01  E1_plantas / E1_recuentos / E1_ancho → diseño y datos del primer ensayo.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 t="str">
        <x:v>02  E1_resumen / E1_seleccion → medias, dispersión y selección de dos cepas.</x:v>
      </x:c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 t="str">
        <x:v>03  E2_plantas / E2_diario / E2_individuos → desarrollo, supervivencia y fecundidad.</x:v>
      </x:c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 t="str">
        <x:v>04  E2_tabla_vida / E2_parametros / Calculo_rm → cálculos demográficos verificables.</x:v>
      </x:c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 t="str">
        <x:v>05  Guia_R → código para importar, resumir, graficar y recalcular parámetros.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</x:sheetData>
  <x:mergeCells>
    <x:mergeCell ref="A1:J2"/>
    <x:mergeCell ref="A3:J4"/>
    <x:mergeCell ref="A6:C6"/>
    <x:mergeCell ref="A7:C8"/>
    <x:mergeCell ref="D6:F6"/>
    <x:mergeCell ref="D7:F8"/>
    <x:mergeCell ref="G6:J6"/>
    <x:mergeCell ref="G7:J8"/>
    <x:mergeCell ref="A10:J11"/>
    <x:mergeCell ref="A12:J13"/>
    <x:mergeCell ref="A14:J15"/>
    <x:mergeCell ref="A16:J17"/>
    <x:mergeCell ref="A19:J20"/>
    <x:mergeCell ref="A21:J22"/>
    <x:mergeCell ref="A24:J25"/>
    <x:mergeCell ref="A27:J28"/>
    <x:mergeCell ref="A30:J31"/>
    <x:mergeCell ref="A33:J33"/>
    <x:mergeCell ref="A35:J35"/>
    <x:mergeCell ref="A36:J36"/>
    <x:mergeCell ref="A37:J37"/>
    <x:mergeCell ref="A38:J38"/>
    <x:mergeCell ref="A39:J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21" hidden="0" customWidth="1"/>
    <x:col min="12" max="12" width="23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</x:cols>
  <x:sheetData>
    <x:row r="1" ht="43" customHeight="1">
      <x:c r="A1" s="7" t="str">
        <x:v>id_planta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es_control</x:v>
      </x:c>
      <x:c r="G1" s="7" t="str">
        <x:v>repeticion</x:v>
      </x:c>
      <x:c r="H1" s="7" t="str">
        <x:v>rep_en_bloque</x:v>
      </x:c>
      <x:c r="I1" s="7" t="str">
        <x:v>posicion_en_bloque</x:v>
      </x:c>
      <x:c r="J1" s="7" t="str">
        <x:v>fecha_inoculacion</x:v>
      </x:c>
      <x:c r="K1" s="7" t="str">
        <x:v>fecha_establece_N1</x:v>
      </x:c>
      <x:c r="L1" s="7" t="str">
        <x:v>fecha_aplicacion_d14</x:v>
      </x:c>
      <x:c r="M1" s="7" t="str">
        <x:v>hembras_iniciales</x:v>
      </x:c>
      <x:c r="N1" s="7" t="str">
        <x:v>ninfas_iniciales</x:v>
      </x:c>
      <x:c r="O1" s="7" t="str">
        <x:v>desfase_N1_dias</x:v>
      </x:c>
      <x:c r="P1" s="7" t="str">
        <x:v>origen_dato</x:v>
      </x:c>
    </x:row>
    <x:row r="2" ht="19" customHeight="1">
      <x:c r="A2" s="2" t="str">
        <x:v>SIM-E1-MP-L0-R01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v>1</x:v>
      </x:c>
      <x:c r="H2" s="2" t="n">
        <x:v>1</x:v>
      </x:c>
      <x:c r="I2" s="2" t="n">
        <x:v>22</x:v>
      </x:c>
      <x:c r="J2" s="14" t="n">
        <x:v>46083</x:v>
      </x:c>
      <x:c r="K2" s="14" t="n">
        <x:f>J2+O2</x:f>
        <x:v>46084</x:v>
      </x:c>
      <x:c r="L2" s="14" t="n">
        <x:f>J2+Supuestos!$C$8</x:f>
        <x:v>46097</x:v>
      </x:c>
      <x:c r="M2" s="2" t="n">
        <x:v>2</x:v>
      </x:c>
      <x:c r="N2" s="2" t="n">
        <x:v>1</x:v>
      </x:c>
      <x:c r="O2" s="2" t="n">
        <x:v>1</x:v>
      </x:c>
      <x:c r="P2" s="2" t="str">
        <x:v>simulado_didactico</x:v>
      </x:c>
    </x:row>
    <x:row r="3" ht="19" customHeight="1">
      <x:c r="A3" s="2" t="str">
        <x:v>SIM-E1-MP-L0-R02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1</x:v>
      </x:c>
      <x:c r="G3" s="2" t="n">
        <x:v>2</x:v>
      </x:c>
      <x:c r="H3" s="2" t="n">
        <x:v>2</x:v>
      </x:c>
      <x:c r="I3" s="2" t="n">
        <x:v>35</x:v>
      </x:c>
      <x:c r="J3" s="14" t="n">
        <x:v>46083</x:v>
      </x:c>
      <x:c r="K3" s="14" t="n">
        <x:f>J3+O3</x:f>
        <x:v>46084</x:v>
      </x:c>
      <x:c r="L3" s="14" t="n">
        <x:f>J3+Supuestos!$C$8</x:f>
        <x:v>46097</x:v>
      </x:c>
      <x:c r="M3" s="2" t="n">
        <x:v>2</x:v>
      </x:c>
      <x:c r="N3" s="2" t="n">
        <x:v>1</x:v>
      </x:c>
      <x:c r="O3" s="2" t="n">
        <x:v>1</x:v>
      </x:c>
      <x:c r="P3" s="2" t="str">
        <x:v>simulado_didactico</x:v>
      </x:c>
    </x:row>
    <x:row r="4" ht="19" customHeight="1">
      <x:c r="A4" s="2" t="str">
        <x:v>SIM-E1-MP-L1-R01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L1</x:v>
      </x:c>
      <x:c r="F4" s="2" t="n">
        <x:v>0</x:v>
      </x:c>
      <x:c r="G4" s="2" t="n">
        <x:v>1</x:v>
      </x:c>
      <x:c r="H4" s="2" t="n">
        <x:v>1</x:v>
      </x:c>
      <x:c r="I4" s="2" t="n">
        <x:v>30</x:v>
      </x:c>
      <x:c r="J4" s="14" t="n">
        <x:v>46083</x:v>
      </x:c>
      <x:c r="K4" s="14" t="n">
        <x:f>J4+O4</x:f>
        <x:v>46084</x:v>
      </x:c>
      <x:c r="L4" s="14" t="n">
        <x:f>J4+Supuestos!$C$8</x:f>
        <x:v>46097</x:v>
      </x:c>
      <x:c r="M4" s="2" t="n">
        <x:v>2</x:v>
      </x:c>
      <x:c r="N4" s="2" t="n">
        <x:v>1</x:v>
      </x:c>
      <x:c r="O4" s="2" t="n">
        <x:v>1</x:v>
      </x:c>
      <x:c r="P4" s="2" t="str">
        <x:v>simulado_didactico</x:v>
      </x:c>
    </x:row>
    <x:row r="5" ht="19" customHeight="1">
      <x:c r="A5" s="2" t="str">
        <x:v>SIM-E1-MP-L1-R02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L1</x:v>
      </x:c>
      <x:c r="F5" s="2" t="n">
        <x:v>0</x:v>
      </x:c>
      <x:c r="G5" s="2" t="n">
        <x:v>2</x:v>
      </x:c>
      <x:c r="H5" s="2" t="n">
        <x:v>2</x:v>
      </x:c>
      <x:c r="I5" s="2" t="n">
        <x:v>17</x:v>
      </x:c>
      <x:c r="J5" s="14" t="n">
        <x:v>46083</x:v>
      </x:c>
      <x:c r="K5" s="14" t="n">
        <x:f>J5+O5</x:f>
        <x:v>46084</x:v>
      </x:c>
      <x:c r="L5" s="14" t="n">
        <x:f>J5+Supuestos!$C$8</x:f>
        <x:v>46097</x:v>
      </x:c>
      <x:c r="M5" s="2" t="n">
        <x:v>2</x:v>
      </x:c>
      <x:c r="N5" s="2" t="n">
        <x:v>1</x:v>
      </x:c>
      <x:c r="O5" s="2" t="n">
        <x:v>1</x:v>
      </x:c>
      <x:c r="P5" s="2" t="str">
        <x:v>simulado_didactico</x:v>
      </x:c>
    </x:row>
    <x:row r="6" ht="19" customHeight="1">
      <x:c r="A6" s="2" t="str">
        <x:v>SIM-E1-MP-L2-R01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L2</x:v>
      </x:c>
      <x:c r="F6" s="2" t="n">
        <x:v>0</x:v>
      </x:c>
      <x:c r="G6" s="2" t="n">
        <x:v>1</x:v>
      </x:c>
      <x:c r="H6" s="2" t="n">
        <x:v>1</x:v>
      </x:c>
      <x:c r="I6" s="2" t="n">
        <x:v>20</x:v>
      </x:c>
      <x:c r="J6" s="14" t="n">
        <x:v>46083</x:v>
      </x:c>
      <x:c r="K6" s="14" t="n">
        <x:f>J6+O6</x:f>
        <x:v>46084</x:v>
      </x:c>
      <x:c r="L6" s="14" t="n">
        <x:f>J6+Supuestos!$C$8</x:f>
        <x:v>46097</x:v>
      </x:c>
      <x:c r="M6" s="2" t="n">
        <x:v>2</x:v>
      </x:c>
      <x:c r="N6" s="2" t="n">
        <x:v>1</x:v>
      </x:c>
      <x:c r="O6" s="2" t="n">
        <x:v>1</x:v>
      </x:c>
      <x:c r="P6" s="2" t="str">
        <x:v>simulado_didactico</x:v>
      </x:c>
    </x:row>
    <x:row r="7" ht="19" customHeight="1">
      <x:c r="A7" s="2" t="str">
        <x:v>SIM-E1-MP-L2-R02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L2</x:v>
      </x:c>
      <x:c r="F7" s="2" t="n">
        <x:v>0</x:v>
      </x:c>
      <x:c r="G7" s="2" t="n">
        <x:v>2</x:v>
      </x:c>
      <x:c r="H7" s="2" t="n">
        <x:v>2</x:v>
      </x:c>
      <x:c r="I7" s="2" t="n">
        <x:v>34</x:v>
      </x:c>
      <x:c r="J7" s="14" t="n">
        <x:v>46083</x:v>
      </x:c>
      <x:c r="K7" s="14" t="n">
        <x:f>J7+O7</x:f>
        <x:v>46084</x:v>
      </x:c>
      <x:c r="L7" s="14" t="n">
        <x:f>J7+Supuestos!$C$8</x:f>
        <x:v>46097</x:v>
      </x:c>
      <x:c r="M7" s="2" t="n">
        <x:v>2</x:v>
      </x:c>
      <x:c r="N7" s="2" t="n">
        <x:v>1</x:v>
      </x:c>
      <x:c r="O7" s="2" t="n">
        <x:v>1</x:v>
      </x:c>
      <x:c r="P7" s="2" t="str">
        <x:v>simulado_didactico</x:v>
      </x:c>
    </x:row>
    <x:row r="8" ht="19" customHeight="1">
      <x:c r="A8" s="2" t="str">
        <x:v>SIM-E1-MP-L3-R01</x:v>
      </x:c>
      <x:c r="B8" s="2" t="n">
        <x:v>1</x:v>
      </x:c>
      <x:c r="C8" s="2" t="str">
        <x:v>MP</x:v>
      </x:c>
      <x:c r="D8" s="2" t="str">
        <x:v>Myzus persicae</x:v>
      </x:c>
      <x:c r="E8" s="2" t="str">
        <x:v>L3</x:v>
      </x:c>
      <x:c r="F8" s="2" t="n">
        <x:v>0</x:v>
      </x:c>
      <x:c r="G8" s="2" t="n">
        <x:v>1</x:v>
      </x:c>
      <x:c r="H8" s="2" t="n">
        <x:v>1</x:v>
      </x:c>
      <x:c r="I8" s="2" t="n">
        <x:v>33</x:v>
      </x:c>
      <x:c r="J8" s="14" t="n">
        <x:v>46083</x:v>
      </x:c>
      <x:c r="K8" s="14" t="n">
        <x:f>J8+O8</x:f>
        <x:v>46084</x:v>
      </x:c>
      <x:c r="L8" s="14" t="n">
        <x:f>J8+Supuestos!$C$8</x:f>
        <x:v>46097</x:v>
      </x:c>
      <x:c r="M8" s="2" t="n">
        <x:v>2</x:v>
      </x:c>
      <x:c r="N8" s="2" t="n">
        <x:v>1</x:v>
      </x:c>
      <x:c r="O8" s="2" t="n">
        <x:v>1</x:v>
      </x:c>
      <x:c r="P8" s="2" t="str">
        <x:v>simulado_didactico</x:v>
      </x:c>
    </x:row>
    <x:row r="9" ht="19" customHeight="1">
      <x:c r="A9" s="2" t="str">
        <x:v>SIM-E1-MP-L3-R02</x:v>
      </x:c>
      <x:c r="B9" s="2" t="n">
        <x:v>1</x:v>
      </x:c>
      <x:c r="C9" s="2" t="str">
        <x:v>MP</x:v>
      </x:c>
      <x:c r="D9" s="2" t="str">
        <x:v>Myzus persicae</x:v>
      </x:c>
      <x:c r="E9" s="2" t="str">
        <x:v>L3</x:v>
      </x:c>
      <x:c r="F9" s="2" t="n">
        <x:v>0</x:v>
      </x:c>
      <x:c r="G9" s="2" t="n">
        <x:v>2</x:v>
      </x:c>
      <x:c r="H9" s="2" t="n">
        <x:v>2</x:v>
      </x:c>
      <x:c r="I9" s="2" t="n">
        <x:v>16</x:v>
      </x:c>
      <x:c r="J9" s="14" t="n">
        <x:v>46083</x:v>
      </x:c>
      <x:c r="K9" s="14" t="n">
        <x:f>J9+O9</x:f>
        <x:v>46084</x:v>
      </x:c>
      <x:c r="L9" s="14" t="n">
        <x:f>J9+Supuestos!$C$8</x:f>
        <x:v>46097</x:v>
      </x:c>
      <x:c r="M9" s="2" t="n">
        <x:v>2</x:v>
      </x:c>
      <x:c r="N9" s="2" t="n">
        <x:v>1</x:v>
      </x:c>
      <x:c r="O9" s="2" t="n">
        <x:v>1</x:v>
      </x:c>
      <x:c r="P9" s="2" t="str">
        <x:v>simulado_didactico</x:v>
      </x:c>
    </x:row>
    <x:row r="10" ht="19" customHeight="1">
      <x:c r="A10" s="2" t="str">
        <x:v>SIM-E1-MP-L5-R01</x:v>
      </x:c>
      <x:c r="B10" s="2" t="n">
        <x:v>1</x:v>
      </x:c>
      <x:c r="C10" s="2" t="str">
        <x:v>MP</x:v>
      </x:c>
      <x:c r="D10" s="2" t="str">
        <x:v>Myzus persicae</x:v>
      </x:c>
      <x:c r="E10" s="2" t="str">
        <x:v>L5</x:v>
      </x:c>
      <x:c r="F10" s="2" t="n">
        <x:v>0</x:v>
      </x:c>
      <x:c r="G10" s="2" t="n">
        <x:v>1</x:v>
      </x:c>
      <x:c r="H10" s="2" t="n">
        <x:v>1</x:v>
      </x:c>
      <x:c r="I10" s="2" t="n">
        <x:v>36</x:v>
      </x:c>
      <x:c r="J10" s="14" t="n">
        <x:v>46083</x:v>
      </x:c>
      <x:c r="K10" s="14" t="n">
        <x:f>J10+O10</x:f>
        <x:v>46084</x:v>
      </x:c>
      <x:c r="L10" s="14" t="n">
        <x:f>J10+Supuestos!$C$8</x:f>
        <x:v>46097</x:v>
      </x:c>
      <x:c r="M10" s="2" t="n">
        <x:v>2</x:v>
      </x:c>
      <x:c r="N10" s="2" t="n">
        <x:v>1</x:v>
      </x:c>
      <x:c r="O10" s="2" t="n">
        <x:v>1</x:v>
      </x:c>
      <x:c r="P10" s="2" t="str">
        <x:v>simulado_didactico</x:v>
      </x:c>
    </x:row>
    <x:row r="11" ht="19" customHeight="1">
      <x:c r="A11" s="2" t="str">
        <x:v>SIM-E1-MP-L5-R02</x:v>
      </x:c>
      <x:c r="B11" s="2" t="n">
        <x:v>1</x:v>
      </x:c>
      <x:c r="C11" s="2" t="str">
        <x:v>MP</x:v>
      </x:c>
      <x:c r="D11" s="2" t="str">
        <x:v>Myzus persicae</x:v>
      </x:c>
      <x:c r="E11" s="2" t="str">
        <x:v>L5</x:v>
      </x:c>
      <x:c r="F11" s="2" t="n">
        <x:v>0</x:v>
      </x:c>
      <x:c r="G11" s="2" t="n">
        <x:v>2</x:v>
      </x:c>
      <x:c r="H11" s="2" t="n">
        <x:v>2</x:v>
      </x:c>
      <x:c r="I11" s="2" t="n">
        <x:v>14</x:v>
      </x:c>
      <x:c r="J11" s="14" t="n">
        <x:v>46083</x:v>
      </x:c>
      <x:c r="K11" s="14" t="n">
        <x:f>J11+O11</x:f>
        <x:v>46084</x:v>
      </x:c>
      <x:c r="L11" s="14" t="n">
        <x:f>J11+Supuestos!$C$8</x:f>
        <x:v>46097</x:v>
      </x:c>
      <x:c r="M11" s="2" t="n">
        <x:v>2</x:v>
      </x:c>
      <x:c r="N11" s="2" t="n">
        <x:v>1</x:v>
      </x:c>
      <x:c r="O11" s="2" t="n">
        <x:v>1</x:v>
      </x:c>
      <x:c r="P11" s="2" t="str">
        <x:v>simulado_didactico</x:v>
      </x:c>
    </x:row>
    <x:row r="12" ht="19" customHeight="1">
      <x:c r="A12" s="2" t="str">
        <x:v>SIM-E1-MP-L6-R01</x:v>
      </x:c>
      <x:c r="B12" s="2" t="n">
        <x:v>1</x:v>
      </x:c>
      <x:c r="C12" s="2" t="str">
        <x:v>MP</x:v>
      </x:c>
      <x:c r="D12" s="2" t="str">
        <x:v>Myzus persicae</x:v>
      </x:c>
      <x:c r="E12" s="2" t="str">
        <x:v>L6</x:v>
      </x:c>
      <x:c r="F12" s="2" t="n">
        <x:v>0</x:v>
      </x:c>
      <x:c r="G12" s="2" t="n">
        <x:v>1</x:v>
      </x:c>
      <x:c r="H12" s="2" t="n">
        <x:v>1</x:v>
      </x:c>
      <x:c r="I12" s="2" t="n">
        <x:v>21</x:v>
      </x:c>
      <x:c r="J12" s="14" t="n">
        <x:v>46083</x:v>
      </x:c>
      <x:c r="K12" s="14" t="n">
        <x:f>J12+O12</x:f>
        <x:v>46084</x:v>
      </x:c>
      <x:c r="L12" s="14" t="n">
        <x:f>J12+Supuestos!$C$8</x:f>
        <x:v>46097</x:v>
      </x:c>
      <x:c r="M12" s="2" t="n">
        <x:v>2</x:v>
      </x:c>
      <x:c r="N12" s="2" t="n">
        <x:v>1</x:v>
      </x:c>
      <x:c r="O12" s="2" t="n">
        <x:v>1</x:v>
      </x:c>
      <x:c r="P12" s="2" t="str">
        <x:v>simulado_didactico</x:v>
      </x:c>
    </x:row>
    <x:row r="13" ht="19" customHeight="1">
      <x:c r="A13" s="2" t="str">
        <x:v>SIM-E1-MP-L6-R02</x:v>
      </x:c>
      <x:c r="B13" s="2" t="n">
        <x:v>1</x:v>
      </x:c>
      <x:c r="C13" s="2" t="str">
        <x:v>MP</x:v>
      </x:c>
      <x:c r="D13" s="2" t="str">
        <x:v>Myzus persicae</x:v>
      </x:c>
      <x:c r="E13" s="2" t="str">
        <x:v>L6</x:v>
      </x:c>
      <x:c r="F13" s="2" t="n">
        <x:v>0</x:v>
      </x:c>
      <x:c r="G13" s="2" t="n">
        <x:v>2</x:v>
      </x:c>
      <x:c r="H13" s="2" t="n">
        <x:v>2</x:v>
      </x:c>
      <x:c r="I13" s="2" t="n">
        <x:v>5</x:v>
      </x:c>
      <x:c r="J13" s="14" t="n">
        <x:v>46083</x:v>
      </x:c>
      <x:c r="K13" s="14" t="n">
        <x:f>J13+O13</x:f>
        <x:v>46084</x:v>
      </x:c>
      <x:c r="L13" s="14" t="n">
        <x:f>J13+Supuestos!$C$8</x:f>
        <x:v>46097</x:v>
      </x:c>
      <x:c r="M13" s="2" t="n">
        <x:v>2</x:v>
      </x:c>
      <x:c r="N13" s="2" t="n">
        <x:v>1</x:v>
      </x:c>
      <x:c r="O13" s="2" t="n">
        <x:v>1</x:v>
      </x:c>
      <x:c r="P13" s="2" t="str">
        <x:v>simulado_didactico</x:v>
      </x:c>
    </x:row>
    <x:row r="14" ht="19" customHeight="1">
      <x:c r="A14" s="2" t="str">
        <x:v>SIM-E1-MP-L7-R01</x:v>
      </x:c>
      <x:c r="B14" s="2" t="n">
        <x:v>1</x:v>
      </x:c>
      <x:c r="C14" s="2" t="str">
        <x:v>MP</x:v>
      </x:c>
      <x:c r="D14" s="2" t="str">
        <x:v>Myzus persicae</x:v>
      </x:c>
      <x:c r="E14" s="2" t="str">
        <x:v>L7</x:v>
      </x:c>
      <x:c r="F14" s="2" t="n">
        <x:v>0</x:v>
      </x:c>
      <x:c r="G14" s="2" t="n">
        <x:v>1</x:v>
      </x:c>
      <x:c r="H14" s="2" t="n">
        <x:v>1</x:v>
      </x:c>
      <x:c r="I14" s="2" t="n">
        <x:v>13</x:v>
      </x:c>
      <x:c r="J14" s="14" t="n">
        <x:v>46083</x:v>
      </x:c>
      <x:c r="K14" s="14" t="n">
        <x:f>J14+O14</x:f>
        <x:v>46084</x:v>
      </x:c>
      <x:c r="L14" s="14" t="n">
        <x:f>J14+Supuestos!$C$8</x:f>
        <x:v>46097</x:v>
      </x:c>
      <x:c r="M14" s="2" t="n">
        <x:v>2</x:v>
      </x:c>
      <x:c r="N14" s="2" t="n">
        <x:v>1</x:v>
      </x:c>
      <x:c r="O14" s="2" t="n">
        <x:v>1</x:v>
      </x:c>
      <x:c r="P14" s="2" t="str">
        <x:v>simulado_didactico</x:v>
      </x:c>
    </x:row>
    <x:row r="15" ht="19" customHeight="1">
      <x:c r="A15" s="2" t="str">
        <x:v>SIM-E1-MP-L7-R02</x:v>
      </x:c>
      <x:c r="B15" s="2" t="n">
        <x:v>1</x:v>
      </x:c>
      <x:c r="C15" s="2" t="str">
        <x:v>MP</x:v>
      </x:c>
      <x:c r="D15" s="2" t="str">
        <x:v>Myzus persicae</x:v>
      </x:c>
      <x:c r="E15" s="2" t="str">
        <x:v>L7</x:v>
      </x:c>
      <x:c r="F15" s="2" t="n">
        <x:v>0</x:v>
      </x:c>
      <x:c r="G15" s="2" t="n">
        <x:v>2</x:v>
      </x:c>
      <x:c r="H15" s="2" t="n">
        <x:v>2</x:v>
      </x:c>
      <x:c r="I15" s="2" t="n">
        <x:v>31</x:v>
      </x:c>
      <x:c r="J15" s="14" t="n">
        <x:v>46083</x:v>
      </x:c>
      <x:c r="K15" s="14" t="n">
        <x:f>J15+O15</x:f>
        <x:v>46084</x:v>
      </x:c>
      <x:c r="L15" s="14" t="n">
        <x:f>J15+Supuestos!$C$8</x:f>
        <x:v>46097</x:v>
      </x:c>
      <x:c r="M15" s="2" t="n">
        <x:v>2</x:v>
      </x:c>
      <x:c r="N15" s="2" t="n">
        <x:v>1</x:v>
      </x:c>
      <x:c r="O15" s="2" t="n">
        <x:v>1</x:v>
      </x:c>
      <x:c r="P15" s="2" t="str">
        <x:v>simulado_didactico</x:v>
      </x:c>
    </x:row>
    <x:row r="16" ht="19" customHeight="1">
      <x:c r="A16" s="2" t="str">
        <x:v>SIM-E1-MP-L8-R01</x:v>
      </x:c>
      <x:c r="B16" s="2" t="n">
        <x:v>1</x:v>
      </x:c>
      <x:c r="C16" s="2" t="str">
        <x:v>MP</x:v>
      </x:c>
      <x:c r="D16" s="2" t="str">
        <x:v>Myzus persicae</x:v>
      </x:c>
      <x:c r="E16" s="2" t="str">
        <x:v>L8</x:v>
      </x:c>
      <x:c r="F16" s="2" t="n">
        <x:v>0</x:v>
      </x:c>
      <x:c r="G16" s="2" t="n">
        <x:v>1</x:v>
      </x:c>
      <x:c r="H16" s="2" t="n">
        <x:v>1</x:v>
      </x:c>
      <x:c r="I16" s="2" t="n">
        <x:v>8</x:v>
      </x:c>
      <x:c r="J16" s="14" t="n">
        <x:v>46083</x:v>
      </x:c>
      <x:c r="K16" s="14" t="n">
        <x:f>J16+O16</x:f>
        <x:v>46084</x:v>
      </x:c>
      <x:c r="L16" s="14" t="n">
        <x:f>J16+Supuestos!$C$8</x:f>
        <x:v>46097</x:v>
      </x:c>
      <x:c r="M16" s="2" t="n">
        <x:v>2</x:v>
      </x:c>
      <x:c r="N16" s="2" t="n">
        <x:v>1</x:v>
      </x:c>
      <x:c r="O16" s="2" t="n">
        <x:v>1</x:v>
      </x:c>
      <x:c r="P16" s="2" t="str">
        <x:v>simulado_didactico</x:v>
      </x:c>
    </x:row>
    <x:row r="17" ht="19" customHeight="1">
      <x:c r="A17" s="2" t="str">
        <x:v>SIM-E1-MP-L8-R02</x:v>
      </x:c>
      <x:c r="B17" s="2" t="n">
        <x:v>1</x:v>
      </x:c>
      <x:c r="C17" s="2" t="str">
        <x:v>MP</x:v>
      </x:c>
      <x:c r="D17" s="2" t="str">
        <x:v>Myzus persicae</x:v>
      </x:c>
      <x:c r="E17" s="2" t="str">
        <x:v>L8</x:v>
      </x:c>
      <x:c r="F17" s="2" t="n">
        <x:v>0</x:v>
      </x:c>
      <x:c r="G17" s="2" t="n">
        <x:v>2</x:v>
      </x:c>
      <x:c r="H17" s="2" t="n">
        <x:v>2</x:v>
      </x:c>
      <x:c r="I17" s="2" t="n">
        <x:v>25</x:v>
      </x:c>
      <x:c r="J17" s="14" t="n">
        <x:v>46083</x:v>
      </x:c>
      <x:c r="K17" s="14" t="n">
        <x:f>J17+O17</x:f>
        <x:v>46084</x:v>
      </x:c>
      <x:c r="L17" s="14" t="n">
        <x:f>J17+Supuestos!$C$8</x:f>
        <x:v>46097</x:v>
      </x:c>
      <x:c r="M17" s="2" t="n">
        <x:v>2</x:v>
      </x:c>
      <x:c r="N17" s="2" t="n">
        <x:v>1</x:v>
      </x:c>
      <x:c r="O17" s="2" t="n">
        <x:v>1</x:v>
      </x:c>
      <x:c r="P17" s="2" t="str">
        <x:v>simulado_didactico</x:v>
      </x:c>
    </x:row>
    <x:row r="18" ht="19" customHeight="1">
      <x:c r="A18" s="2" t="str">
        <x:v>SIM-E1-MP-L9-R01</x:v>
      </x:c>
      <x:c r="B18" s="2" t="n">
        <x:v>1</x:v>
      </x:c>
      <x:c r="C18" s="2" t="str">
        <x:v>MP</x:v>
      </x:c>
      <x:c r="D18" s="2" t="str">
        <x:v>Myzus persicae</x:v>
      </x:c>
      <x:c r="E18" s="2" t="str">
        <x:v>L9</x:v>
      </x:c>
      <x:c r="F18" s="2" t="n">
        <x:v>0</x:v>
      </x:c>
      <x:c r="G18" s="2" t="n">
        <x:v>1</x:v>
      </x:c>
      <x:c r="H18" s="2" t="n">
        <x:v>1</x:v>
      </x:c>
      <x:c r="I18" s="2" t="n">
        <x:v>18</x:v>
      </x:c>
      <x:c r="J18" s="14" t="n">
        <x:v>46083</x:v>
      </x:c>
      <x:c r="K18" s="14" t="n">
        <x:f>J18+O18</x:f>
        <x:v>46084</x:v>
      </x:c>
      <x:c r="L18" s="14" t="n">
        <x:f>J18+Supuestos!$C$8</x:f>
        <x:v>46097</x:v>
      </x:c>
      <x:c r="M18" s="2" t="n">
        <x:v>2</x:v>
      </x:c>
      <x:c r="N18" s="2" t="n">
        <x:v>1</x:v>
      </x:c>
      <x:c r="O18" s="2" t="n">
        <x:v>1</x:v>
      </x:c>
      <x:c r="P18" s="2" t="str">
        <x:v>simulado_didactico</x:v>
      </x:c>
    </x:row>
    <x:row r="19" ht="19" customHeight="1">
      <x:c r="A19" s="2" t="str">
        <x:v>SIM-E1-MP-L9-R02</x:v>
      </x:c>
      <x:c r="B19" s="2" t="n">
        <x:v>1</x:v>
      </x:c>
      <x:c r="C19" s="2" t="str">
        <x:v>MP</x:v>
      </x:c>
      <x:c r="D19" s="2" t="str">
        <x:v>Myzus persicae</x:v>
      </x:c>
      <x:c r="E19" s="2" t="str">
        <x:v>L9</x:v>
      </x:c>
      <x:c r="F19" s="2" t="n">
        <x:v>0</x:v>
      </x:c>
      <x:c r="G19" s="2" t="n">
        <x:v>2</x:v>
      </x:c>
      <x:c r="H19" s="2" t="n">
        <x:v>2</x:v>
      </x:c>
      <x:c r="I19" s="2" t="n">
        <x:v>32</x:v>
      </x:c>
      <x:c r="J19" s="14" t="n">
        <x:v>46083</x:v>
      </x:c>
      <x:c r="K19" s="14" t="n">
        <x:f>J19+O19</x:f>
        <x:v>46084</x:v>
      </x:c>
      <x:c r="L19" s="14" t="n">
        <x:f>J19+Supuestos!$C$8</x:f>
        <x:v>46097</x:v>
      </x:c>
      <x:c r="M19" s="2" t="n">
        <x:v>2</x:v>
      </x:c>
      <x:c r="N19" s="2" t="n">
        <x:v>1</x:v>
      </x:c>
      <x:c r="O19" s="2" t="n">
        <x:v>1</x:v>
      </x:c>
      <x:c r="P19" s="2" t="str">
        <x:v>simulado_didactico</x:v>
      </x:c>
    </x:row>
    <x:row r="20" ht="19" customHeight="1">
      <x:c r="A20" s="2" t="str">
        <x:v>SIM-E1-BB-L0-R01</x:v>
      </x:c>
      <x:c r="B20" s="2" t="n">
        <x:v>1</x:v>
      </x:c>
      <x:c r="C20" s="2" t="str">
        <x:v>BB</x:v>
      </x:c>
      <x:c r="D20" s="2" t="str">
        <x:v>Brevicoryne brassicae</x:v>
      </x:c>
      <x:c r="E20" s="2" t="str">
        <x:v>L0</x:v>
      </x:c>
      <x:c r="F20" s="2" t="n">
        <x:v>1</x:v>
      </x:c>
      <x:c r="G20" s="2" t="n">
        <x:v>1</x:v>
      </x:c>
      <x:c r="H20" s="2" t="n">
        <x:v>1</x:v>
      </x:c>
      <x:c r="I20" s="2" t="n">
        <x:v>6</x:v>
      </x:c>
      <x:c r="J20" s="14" t="n">
        <x:v>46083</x:v>
      </x:c>
      <x:c r="K20" s="14" t="n">
        <x:f>J20+O20</x:f>
        <x:v>46084</x:v>
      </x:c>
      <x:c r="L20" s="14" t="n">
        <x:f>J20+Supuestos!$C$8</x:f>
        <x:v>46097</x:v>
      </x:c>
      <x:c r="M20" s="2" t="n">
        <x:v>2</x:v>
      </x:c>
      <x:c r="N20" s="2" t="n">
        <x:v>1</x:v>
      </x:c>
      <x:c r="O20" s="2" t="n">
        <x:v>1</x:v>
      </x:c>
      <x:c r="P20" s="2" t="str">
        <x:v>simulado_didactico</x:v>
      </x:c>
    </x:row>
    <x:row r="21" ht="19" customHeight="1">
      <x:c r="A21" s="2" t="str">
        <x:v>SIM-E1-BB-L0-R02</x:v>
      </x:c>
      <x:c r="B21" s="2" t="n">
        <x:v>1</x:v>
      </x:c>
      <x:c r="C21" s="2" t="str">
        <x:v>BB</x:v>
      </x:c>
      <x:c r="D21" s="2" t="str">
        <x:v>Brevicoryne brassicae</x:v>
      </x:c>
      <x:c r="E21" s="2" t="str">
        <x:v>L0</x:v>
      </x:c>
      <x:c r="F21" s="2" t="n">
        <x:v>1</x:v>
      </x:c>
      <x:c r="G21" s="2" t="n">
        <x:v>2</x:v>
      </x:c>
      <x:c r="H21" s="2" t="n">
        <x:v>2</x:v>
      </x:c>
      <x:c r="I21" s="2" t="n">
        <x:v>12</x:v>
      </x:c>
      <x:c r="J21" s="14" t="n">
        <x:v>46083</x:v>
      </x:c>
      <x:c r="K21" s="14" t="n">
        <x:f>J21+O21</x:f>
        <x:v>46084</x:v>
      </x:c>
      <x:c r="L21" s="14" t="n">
        <x:f>J21+Supuestos!$C$8</x:f>
        <x:v>46097</x:v>
      </x:c>
      <x:c r="M21" s="2" t="n">
        <x:v>2</x:v>
      </x:c>
      <x:c r="N21" s="2" t="n">
        <x:v>1</x:v>
      </x:c>
      <x:c r="O21" s="2" t="n">
        <x:v>1</x:v>
      </x:c>
      <x:c r="P21" s="2" t="str">
        <x:v>simulado_didactico</x:v>
      </x:c>
    </x:row>
    <x:row r="22" ht="19" customHeight="1">
      <x:c r="A22" s="2" t="str">
        <x:v>SIM-E1-BB-L1-R01</x:v>
      </x:c>
      <x:c r="B22" s="2" t="n">
        <x:v>1</x:v>
      </x:c>
      <x:c r="C22" s="2" t="str">
        <x:v>BB</x:v>
      </x:c>
      <x:c r="D22" s="2" t="str">
        <x:v>Brevicoryne brassicae</x:v>
      </x:c>
      <x:c r="E22" s="2" t="str">
        <x:v>L1</x:v>
      </x:c>
      <x:c r="F22" s="2" t="n">
        <x:v>0</x:v>
      </x:c>
      <x:c r="G22" s="2" t="n">
        <x:v>1</x:v>
      </x:c>
      <x:c r="H22" s="2" t="n">
        <x:v>1</x:v>
      </x:c>
      <x:c r="I22" s="2" t="n">
        <x:v>23</x:v>
      </x:c>
      <x:c r="J22" s="14" t="n">
        <x:v>46083</x:v>
      </x:c>
      <x:c r="K22" s="14" t="n">
        <x:f>J22+O22</x:f>
        <x:v>46084</x:v>
      </x:c>
      <x:c r="L22" s="14" t="n">
        <x:f>J22+Supuestos!$C$8</x:f>
        <x:v>46097</x:v>
      </x:c>
      <x:c r="M22" s="2" t="n">
        <x:v>2</x:v>
      </x:c>
      <x:c r="N22" s="2" t="n">
        <x:v>1</x:v>
      </x:c>
      <x:c r="O22" s="2" t="n">
        <x:v>1</x:v>
      </x:c>
      <x:c r="P22" s="2" t="str">
        <x:v>simulado_didactico</x:v>
      </x:c>
    </x:row>
    <x:row r="23" ht="19" customHeight="1">
      <x:c r="A23" s="2" t="str">
        <x:v>SIM-E1-BB-L1-R02</x:v>
      </x:c>
      <x:c r="B23" s="2" t="n">
        <x:v>1</x:v>
      </x:c>
      <x:c r="C23" s="2" t="str">
        <x:v>BB</x:v>
      </x:c>
      <x:c r="D23" s="2" t="str">
        <x:v>Brevicoryne brassicae</x:v>
      </x:c>
      <x:c r="E23" s="2" t="str">
        <x:v>L1</x:v>
      </x:c>
      <x:c r="F23" s="2" t="n">
        <x:v>0</x:v>
      </x:c>
      <x:c r="G23" s="2" t="n">
        <x:v>2</x:v>
      </x:c>
      <x:c r="H23" s="2" t="n">
        <x:v>2</x:v>
      </x:c>
      <x:c r="I23" s="2" t="n">
        <x:v>19</x:v>
      </x:c>
      <x:c r="J23" s="14" t="n">
        <x:v>46083</x:v>
      </x:c>
      <x:c r="K23" s="14" t="n">
        <x:f>J23+O23</x:f>
        <x:v>46084</x:v>
      </x:c>
      <x:c r="L23" s="14" t="n">
        <x:f>J23+Supuestos!$C$8</x:f>
        <x:v>46097</x:v>
      </x:c>
      <x:c r="M23" s="2" t="n">
        <x:v>2</x:v>
      </x:c>
      <x:c r="N23" s="2" t="n">
        <x:v>1</x:v>
      </x:c>
      <x:c r="O23" s="2" t="n">
        <x:v>1</x:v>
      </x:c>
      <x:c r="P23" s="2" t="str">
        <x:v>simulado_didactico</x:v>
      </x:c>
    </x:row>
    <x:row r="24" ht="19" customHeight="1">
      <x:c r="A24" s="2" t="str">
        <x:v>SIM-E1-BB-L2-R01</x:v>
      </x:c>
      <x:c r="B24" s="2" t="n">
        <x:v>1</x:v>
      </x:c>
      <x:c r="C24" s="2" t="str">
        <x:v>BB</x:v>
      </x:c>
      <x:c r="D24" s="2" t="str">
        <x:v>Brevicoryne brassicae</x:v>
      </x:c>
      <x:c r="E24" s="2" t="str">
        <x:v>L2</x:v>
      </x:c>
      <x:c r="F24" s="2" t="n">
        <x:v>0</x:v>
      </x:c>
      <x:c r="G24" s="2" t="n">
        <x:v>1</x:v>
      </x:c>
      <x:c r="H24" s="2" t="n">
        <x:v>1</x:v>
      </x:c>
      <x:c r="I24" s="2" t="n">
        <x:v>10</x:v>
      </x:c>
      <x:c r="J24" s="14" t="n">
        <x:v>46083</x:v>
      </x:c>
      <x:c r="K24" s="14" t="n">
        <x:f>J24+O24</x:f>
        <x:v>46084</x:v>
      </x:c>
      <x:c r="L24" s="14" t="n">
        <x:f>J24+Supuestos!$C$8</x:f>
        <x:v>46097</x:v>
      </x:c>
      <x:c r="M24" s="2" t="n">
        <x:v>2</x:v>
      </x:c>
      <x:c r="N24" s="2" t="n">
        <x:v>1</x:v>
      </x:c>
      <x:c r="O24" s="2" t="n">
        <x:v>1</x:v>
      </x:c>
      <x:c r="P24" s="2" t="str">
        <x:v>simulado_didactico</x:v>
      </x:c>
    </x:row>
    <x:row r="25" ht="19" customHeight="1">
      <x:c r="A25" s="2" t="str">
        <x:v>SIM-E1-BB-L2-R02</x:v>
      </x:c>
      <x:c r="B25" s="2" t="n">
        <x:v>1</x:v>
      </x:c>
      <x:c r="C25" s="2" t="str">
        <x:v>BB</x:v>
      </x:c>
      <x:c r="D25" s="2" t="str">
        <x:v>Brevicoryne brassicae</x:v>
      </x:c>
      <x:c r="E25" s="2" t="str">
        <x:v>L2</x:v>
      </x:c>
      <x:c r="F25" s="2" t="n">
        <x:v>0</x:v>
      </x:c>
      <x:c r="G25" s="2" t="n">
        <x:v>2</x:v>
      </x:c>
      <x:c r="H25" s="2" t="n">
        <x:v>2</x:v>
      </x:c>
      <x:c r="I25" s="2" t="n">
        <x:v>3</x:v>
      </x:c>
      <x:c r="J25" s="14" t="n">
        <x:v>46083</x:v>
      </x:c>
      <x:c r="K25" s="14" t="n">
        <x:f>J25+O25</x:f>
        <x:v>46084</x:v>
      </x:c>
      <x:c r="L25" s="14" t="n">
        <x:f>J25+Supuestos!$C$8</x:f>
        <x:v>46097</x:v>
      </x:c>
      <x:c r="M25" s="2" t="n">
        <x:v>2</x:v>
      </x:c>
      <x:c r="N25" s="2" t="n">
        <x:v>1</x:v>
      </x:c>
      <x:c r="O25" s="2" t="n">
        <x:v>1</x:v>
      </x:c>
      <x:c r="P25" s="2" t="str">
        <x:v>simulado_didactico</x:v>
      </x:c>
    </x:row>
    <x:row r="26" ht="19" customHeight="1">
      <x:c r="A26" s="2" t="str">
        <x:v>SIM-E1-BB-L3-R01</x:v>
      </x:c>
      <x:c r="B26" s="2" t="n">
        <x:v>1</x:v>
      </x:c>
      <x:c r="C26" s="2" t="str">
        <x:v>BB</x:v>
      </x:c>
      <x:c r="D26" s="2" t="str">
        <x:v>Brevicoryne brassicae</x:v>
      </x:c>
      <x:c r="E26" s="2" t="str">
        <x:v>L3</x:v>
      </x:c>
      <x:c r="F26" s="2" t="n">
        <x:v>0</x:v>
      </x:c>
      <x:c r="G26" s="2" t="n">
        <x:v>1</x:v>
      </x:c>
      <x:c r="H26" s="2" t="n">
        <x:v>1</x:v>
      </x:c>
      <x:c r="I26" s="2" t="n">
        <x:v>15</x:v>
      </x:c>
      <x:c r="J26" s="14" t="n">
        <x:v>46083</x:v>
      </x:c>
      <x:c r="K26" s="14" t="n">
        <x:f>J26+O26</x:f>
        <x:v>46084</x:v>
      </x:c>
      <x:c r="L26" s="14" t="n">
        <x:f>J26+Supuestos!$C$8</x:f>
        <x:v>46097</x:v>
      </x:c>
      <x:c r="M26" s="2" t="n">
        <x:v>2</x:v>
      </x:c>
      <x:c r="N26" s="2" t="n">
        <x:v>1</x:v>
      </x:c>
      <x:c r="O26" s="2" t="n">
        <x:v>1</x:v>
      </x:c>
      <x:c r="P26" s="2" t="str">
        <x:v>simulado_didactico</x:v>
      </x:c>
    </x:row>
    <x:row r="27" ht="19" customHeight="1">
      <x:c r="A27" s="2" t="str">
        <x:v>SIM-E1-BB-L3-R02</x:v>
      </x:c>
      <x:c r="B27" s="2" t="n">
        <x:v>1</x:v>
      </x:c>
      <x:c r="C27" s="2" t="str">
        <x:v>BB</x:v>
      </x:c>
      <x:c r="D27" s="2" t="str">
        <x:v>Brevicoryne brassicae</x:v>
      </x:c>
      <x:c r="E27" s="2" t="str">
        <x:v>L3</x:v>
      </x:c>
      <x:c r="F27" s="2" t="n">
        <x:v>0</x:v>
      </x:c>
      <x:c r="G27" s="2" t="n">
        <x:v>2</x:v>
      </x:c>
      <x:c r="H27" s="2" t="n">
        <x:v>2</x:v>
      </x:c>
      <x:c r="I27" s="2" t="n">
        <x:v>27</x:v>
      </x:c>
      <x:c r="J27" s="14" t="n">
        <x:v>46083</x:v>
      </x:c>
      <x:c r="K27" s="14" t="n">
        <x:f>J27+O27</x:f>
        <x:v>46084</x:v>
      </x:c>
      <x:c r="L27" s="14" t="n">
        <x:f>J27+Supuestos!$C$8</x:f>
        <x:v>46097</x:v>
      </x:c>
      <x:c r="M27" s="2" t="n">
        <x:v>2</x:v>
      </x:c>
      <x:c r="N27" s="2" t="n">
        <x:v>1</x:v>
      </x:c>
      <x:c r="O27" s="2" t="n">
        <x:v>1</x:v>
      </x:c>
      <x:c r="P27" s="2" t="str">
        <x:v>simulado_didactico</x:v>
      </x:c>
    </x:row>
    <x:row r="28" ht="19" customHeight="1">
      <x:c r="A28" s="2" t="str">
        <x:v>SIM-E1-BB-L5-R01</x:v>
      </x:c>
      <x:c r="B28" s="2" t="n">
        <x:v>1</x:v>
      </x:c>
      <x:c r="C28" s="2" t="str">
        <x:v>BB</x:v>
      </x:c>
      <x:c r="D28" s="2" t="str">
        <x:v>Brevicoryne brassicae</x:v>
      </x:c>
      <x:c r="E28" s="2" t="str">
        <x:v>L5</x:v>
      </x:c>
      <x:c r="F28" s="2" t="n">
        <x:v>0</x:v>
      </x:c>
      <x:c r="G28" s="2" t="n">
        <x:v>1</x:v>
      </x:c>
      <x:c r="H28" s="2" t="n">
        <x:v>1</x:v>
      </x:c>
      <x:c r="I28" s="2" t="n">
        <x:v>9</x:v>
      </x:c>
      <x:c r="J28" s="14" t="n">
        <x:v>46083</x:v>
      </x:c>
      <x:c r="K28" s="14" t="n">
        <x:f>J28+O28</x:f>
        <x:v>46084</x:v>
      </x:c>
      <x:c r="L28" s="14" t="n">
        <x:f>J28+Supuestos!$C$8</x:f>
        <x:v>46097</x:v>
      </x:c>
      <x:c r="M28" s="2" t="n">
        <x:v>2</x:v>
      </x:c>
      <x:c r="N28" s="2" t="n">
        <x:v>1</x:v>
      </x:c>
      <x:c r="O28" s="2" t="n">
        <x:v>1</x:v>
      </x:c>
      <x:c r="P28" s="2" t="str">
        <x:v>simulado_didactico</x:v>
      </x:c>
    </x:row>
    <x:row r="29" ht="19" customHeight="1">
      <x:c r="A29" s="2" t="str">
        <x:v>SIM-E1-BB-L5-R02</x:v>
      </x:c>
      <x:c r="B29" s="2" t="n">
        <x:v>1</x:v>
      </x:c>
      <x:c r="C29" s="2" t="str">
        <x:v>BB</x:v>
      </x:c>
      <x:c r="D29" s="2" t="str">
        <x:v>Brevicoryne brassicae</x:v>
      </x:c>
      <x:c r="E29" s="2" t="str">
        <x:v>L5</x:v>
      </x:c>
      <x:c r="F29" s="2" t="n">
        <x:v>0</x:v>
      </x:c>
      <x:c r="G29" s="2" t="n">
        <x:v>2</x:v>
      </x:c>
      <x:c r="H29" s="2" t="n">
        <x:v>2</x:v>
      </x:c>
      <x:c r="I29" s="2" t="n">
        <x:v>2</x:v>
      </x:c>
      <x:c r="J29" s="14" t="n">
        <x:v>46083</x:v>
      </x:c>
      <x:c r="K29" s="14" t="n">
        <x:f>J29+O29</x:f>
        <x:v>46084</x:v>
      </x:c>
      <x:c r="L29" s="14" t="n">
        <x:f>J29+Supuestos!$C$8</x:f>
        <x:v>46097</x:v>
      </x:c>
      <x:c r="M29" s="2" t="n">
        <x:v>2</x:v>
      </x:c>
      <x:c r="N29" s="2" t="n">
        <x:v>1</x:v>
      </x:c>
      <x:c r="O29" s="2" t="n">
        <x:v>1</x:v>
      </x:c>
      <x:c r="P29" s="2" t="str">
        <x:v>simulado_didactico</x:v>
      </x:c>
    </x:row>
    <x:row r="30" ht="19" customHeight="1">
      <x:c r="A30" s="2" t="str">
        <x:v>SIM-E1-BB-L6-R01</x:v>
      </x:c>
      <x:c r="B30" s="2" t="n">
        <x:v>1</x:v>
      </x:c>
      <x:c r="C30" s="2" t="str">
        <x:v>BB</x:v>
      </x:c>
      <x:c r="D30" s="2" t="str">
        <x:v>Brevicoryne brassicae</x:v>
      </x:c>
      <x:c r="E30" s="2" t="str">
        <x:v>L6</x:v>
      </x:c>
      <x:c r="F30" s="2" t="n">
        <x:v>0</x:v>
      </x:c>
      <x:c r="G30" s="2" t="n">
        <x:v>1</x:v>
      </x:c>
      <x:c r="H30" s="2" t="n">
        <x:v>1</x:v>
      </x:c>
      <x:c r="I30" s="2" t="n">
        <x:v>11</x:v>
      </x:c>
      <x:c r="J30" s="14" t="n">
        <x:v>46083</x:v>
      </x:c>
      <x:c r="K30" s="14" t="n">
        <x:f>J30+O30</x:f>
        <x:v>46084</x:v>
      </x:c>
      <x:c r="L30" s="14" t="n">
        <x:f>J30+Supuestos!$C$8</x:f>
        <x:v>46097</x:v>
      </x:c>
      <x:c r="M30" s="2" t="n">
        <x:v>2</x:v>
      </x:c>
      <x:c r="N30" s="2" t="n">
        <x:v>1</x:v>
      </x:c>
      <x:c r="O30" s="2" t="n">
        <x:v>1</x:v>
      </x:c>
      <x:c r="P30" s="2" t="str">
        <x:v>simulado_didactico</x:v>
      </x:c>
    </x:row>
    <x:row r="31" ht="19" customHeight="1">
      <x:c r="A31" s="2" t="str">
        <x:v>SIM-E1-BB-L6-R02</x:v>
      </x:c>
      <x:c r="B31" s="2" t="n">
        <x:v>1</x:v>
      </x:c>
      <x:c r="C31" s="2" t="str">
        <x:v>BB</x:v>
      </x:c>
      <x:c r="D31" s="2" t="str">
        <x:v>Brevicoryne brassicae</x:v>
      </x:c>
      <x:c r="E31" s="2" t="str">
        <x:v>L6</x:v>
      </x:c>
      <x:c r="F31" s="2" t="n">
        <x:v>0</x:v>
      </x:c>
      <x:c r="G31" s="2" t="n">
        <x:v>2</x:v>
      </x:c>
      <x:c r="H31" s="2" t="n">
        <x:v>2</x:v>
      </x:c>
      <x:c r="I31" s="2" t="n">
        <x:v>26</x:v>
      </x:c>
      <x:c r="J31" s="14" t="n">
        <x:v>46083</x:v>
      </x:c>
      <x:c r="K31" s="14" t="n">
        <x:f>J31+O31</x:f>
        <x:v>46084</x:v>
      </x:c>
      <x:c r="L31" s="14" t="n">
        <x:f>J31+Supuestos!$C$8</x:f>
        <x:v>46097</x:v>
      </x:c>
      <x:c r="M31" s="2" t="n">
        <x:v>2</x:v>
      </x:c>
      <x:c r="N31" s="2" t="n">
        <x:v>1</x:v>
      </x:c>
      <x:c r="O31" s="2" t="n">
        <x:v>1</x:v>
      </x:c>
      <x:c r="P31" s="2" t="str">
        <x:v>simulado_didactico</x:v>
      </x:c>
    </x:row>
    <x:row r="32" ht="19" customHeight="1">
      <x:c r="A32" s="2" t="str">
        <x:v>SIM-E1-BB-L7-R01</x:v>
      </x:c>
      <x:c r="B32" s="2" t="n">
        <x:v>1</x:v>
      </x:c>
      <x:c r="C32" s="2" t="str">
        <x:v>BB</x:v>
      </x:c>
      <x:c r="D32" s="2" t="str">
        <x:v>Brevicoryne brassicae</x:v>
      </x:c>
      <x:c r="E32" s="2" t="str">
        <x:v>L7</x:v>
      </x:c>
      <x:c r="F32" s="2" t="n">
        <x:v>0</x:v>
      </x:c>
      <x:c r="G32" s="2" t="n">
        <x:v>1</x:v>
      </x:c>
      <x:c r="H32" s="2" t="n">
        <x:v>1</x:v>
      </x:c>
      <x:c r="I32" s="2" t="n">
        <x:v>1</x:v>
      </x:c>
      <x:c r="J32" s="14" t="n">
        <x:v>46083</x:v>
      </x:c>
      <x:c r="K32" s="14" t="n">
        <x:f>J32+O32</x:f>
        <x:v>46084</x:v>
      </x:c>
      <x:c r="L32" s="14" t="n">
        <x:f>J32+Supuestos!$C$8</x:f>
        <x:v>46097</x:v>
      </x:c>
      <x:c r="M32" s="2" t="n">
        <x:v>2</x:v>
      </x:c>
      <x:c r="N32" s="2" t="n">
        <x:v>1</x:v>
      </x:c>
      <x:c r="O32" s="2" t="n">
        <x:v>1</x:v>
      </x:c>
      <x:c r="P32" s="2" t="str">
        <x:v>simulado_didactico</x:v>
      </x:c>
    </x:row>
    <x:row r="33" ht="19" customHeight="1">
      <x:c r="A33" s="2" t="str">
        <x:v>SIM-E1-BB-L7-R02</x:v>
      </x:c>
      <x:c r="B33" s="2" t="n">
        <x:v>1</x:v>
      </x:c>
      <x:c r="C33" s="2" t="str">
        <x:v>BB</x:v>
      </x:c>
      <x:c r="D33" s="2" t="str">
        <x:v>Brevicoryne brassicae</x:v>
      </x:c>
      <x:c r="E33" s="2" t="str">
        <x:v>L7</x:v>
      </x:c>
      <x:c r="F33" s="2" t="n">
        <x:v>0</x:v>
      </x:c>
      <x:c r="G33" s="2" t="n">
        <x:v>2</x:v>
      </x:c>
      <x:c r="H33" s="2" t="n">
        <x:v>2</x:v>
      </x:c>
      <x:c r="I33" s="2" t="n">
        <x:v>28</x:v>
      </x:c>
      <x:c r="J33" s="14" t="n">
        <x:v>46083</x:v>
      </x:c>
      <x:c r="K33" s="14" t="n">
        <x:f>J33+O33</x:f>
        <x:v>46084</x:v>
      </x:c>
      <x:c r="L33" s="14" t="n">
        <x:f>J33+Supuestos!$C$8</x:f>
        <x:v>46097</x:v>
      </x:c>
      <x:c r="M33" s="2" t="n">
        <x:v>2</x:v>
      </x:c>
      <x:c r="N33" s="2" t="n">
        <x:v>1</x:v>
      </x:c>
      <x:c r="O33" s="2" t="n">
        <x:v>1</x:v>
      </x:c>
      <x:c r="P33" s="2" t="str">
        <x:v>simulado_didactico</x:v>
      </x:c>
    </x:row>
    <x:row r="34" ht="19" customHeight="1">
      <x:c r="A34" s="2" t="str">
        <x:v>SIM-E1-BB-L8-R01</x:v>
      </x:c>
      <x:c r="B34" s="2" t="n">
        <x:v>1</x:v>
      </x:c>
      <x:c r="C34" s="2" t="str">
        <x:v>BB</x:v>
      </x:c>
      <x:c r="D34" s="2" t="str">
        <x:v>Brevicoryne brassicae</x:v>
      </x:c>
      <x:c r="E34" s="2" t="str">
        <x:v>L8</x:v>
      </x:c>
      <x:c r="F34" s="2" t="n">
        <x:v>0</x:v>
      </x:c>
      <x:c r="G34" s="2" t="n">
        <x:v>1</x:v>
      </x:c>
      <x:c r="H34" s="2" t="n">
        <x:v>1</x:v>
      </x:c>
      <x:c r="I34" s="2" t="n">
        <x:v>29</x:v>
      </x:c>
      <x:c r="J34" s="14" t="n">
        <x:v>46083</x:v>
      </x:c>
      <x:c r="K34" s="14" t="n">
        <x:f>J34+O34</x:f>
        <x:v>46084</x:v>
      </x:c>
      <x:c r="L34" s="14" t="n">
        <x:f>J34+Supuestos!$C$8</x:f>
        <x:v>46097</x:v>
      </x:c>
      <x:c r="M34" s="2" t="n">
        <x:v>2</x:v>
      </x:c>
      <x:c r="N34" s="2" t="n">
        <x:v>1</x:v>
      </x:c>
      <x:c r="O34" s="2" t="n">
        <x:v>1</x:v>
      </x:c>
      <x:c r="P34" s="2" t="str">
        <x:v>simulado_didactico</x:v>
      </x:c>
    </x:row>
    <x:row r="35" ht="19" customHeight="1">
      <x:c r="A35" s="2" t="str">
        <x:v>SIM-E1-BB-L8-R02</x:v>
      </x:c>
      <x:c r="B35" s="2" t="n">
        <x:v>1</x:v>
      </x:c>
      <x:c r="C35" s="2" t="str">
        <x:v>BB</x:v>
      </x:c>
      <x:c r="D35" s="2" t="str">
        <x:v>Brevicoryne brassicae</x:v>
      </x:c>
      <x:c r="E35" s="2" t="str">
        <x:v>L8</x:v>
      </x:c>
      <x:c r="F35" s="2" t="n">
        <x:v>0</x:v>
      </x:c>
      <x:c r="G35" s="2" t="n">
        <x:v>2</x:v>
      </x:c>
      <x:c r="H35" s="2" t="n">
        <x:v>2</x:v>
      </x:c>
      <x:c r="I35" s="2" t="n">
        <x:v>24</x:v>
      </x:c>
      <x:c r="J35" s="14" t="n">
        <x:v>46083</x:v>
      </x:c>
      <x:c r="K35" s="14" t="n">
        <x:f>J35+O35</x:f>
        <x:v>46084</x:v>
      </x:c>
      <x:c r="L35" s="14" t="n">
        <x:f>J35+Supuestos!$C$8</x:f>
        <x:v>46097</x:v>
      </x:c>
      <x:c r="M35" s="2" t="n">
        <x:v>2</x:v>
      </x:c>
      <x:c r="N35" s="2" t="n">
        <x:v>1</x:v>
      </x:c>
      <x:c r="O35" s="2" t="n">
        <x:v>1</x:v>
      </x:c>
      <x:c r="P35" s="2" t="str">
        <x:v>simulado_didactico</x:v>
      </x:c>
    </x:row>
    <x:row r="36" ht="19" customHeight="1">
      <x:c r="A36" s="2" t="str">
        <x:v>SIM-E1-BB-L9-R01</x:v>
      </x:c>
      <x:c r="B36" s="2" t="n">
        <x:v>1</x:v>
      </x:c>
      <x:c r="C36" s="2" t="str">
        <x:v>BB</x:v>
      </x:c>
      <x:c r="D36" s="2" t="str">
        <x:v>Brevicoryne brassicae</x:v>
      </x:c>
      <x:c r="E36" s="2" t="str">
        <x:v>L9</x:v>
      </x:c>
      <x:c r="F36" s="2" t="n">
        <x:v>0</x:v>
      </x:c>
      <x:c r="G36" s="2" t="n">
        <x:v>1</x:v>
      </x:c>
      <x:c r="H36" s="2" t="n">
        <x:v>1</x:v>
      </x:c>
      <x:c r="I36" s="2" t="n">
        <x:v>4</x:v>
      </x:c>
      <x:c r="J36" s="14" t="n">
        <x:v>46083</x:v>
      </x:c>
      <x:c r="K36" s="14" t="n">
        <x:f>J36+O36</x:f>
        <x:v>46084</x:v>
      </x:c>
      <x:c r="L36" s="14" t="n">
        <x:f>J36+Supuestos!$C$8</x:f>
        <x:v>46097</x:v>
      </x:c>
      <x:c r="M36" s="2" t="n">
        <x:v>2</x:v>
      </x:c>
      <x:c r="N36" s="2" t="n">
        <x:v>1</x:v>
      </x:c>
      <x:c r="O36" s="2" t="n">
        <x:v>1</x:v>
      </x:c>
      <x:c r="P36" s="2" t="str">
        <x:v>simulado_didactico</x:v>
      </x:c>
    </x:row>
    <x:row r="37" ht="19" customHeight="1">
      <x:c r="A37" s="2" t="str">
        <x:v>SIM-E1-BB-L9-R02</x:v>
      </x:c>
      <x:c r="B37" s="2" t="n">
        <x:v>1</x:v>
      </x:c>
      <x:c r="C37" s="2" t="str">
        <x:v>BB</x:v>
      </x:c>
      <x:c r="D37" s="2" t="str">
        <x:v>Brevicoryne brassicae</x:v>
      </x:c>
      <x:c r="E37" s="2" t="str">
        <x:v>L9</x:v>
      </x:c>
      <x:c r="F37" s="2" t="n">
        <x:v>0</x:v>
      </x:c>
      <x:c r="G37" s="2" t="n">
        <x:v>2</x:v>
      </x:c>
      <x:c r="H37" s="2" t="n">
        <x:v>2</x:v>
      </x:c>
      <x:c r="I37" s="2" t="n">
        <x:v>7</x:v>
      </x:c>
      <x:c r="J37" s="14" t="n">
        <x:v>46083</x:v>
      </x:c>
      <x:c r="K37" s="14" t="n">
        <x:f>J37+O37</x:f>
        <x:v>46084</x:v>
      </x:c>
      <x:c r="L37" s="14" t="n">
        <x:f>J37+Supuestos!$C$8</x:f>
        <x:v>46097</x:v>
      </x:c>
      <x:c r="M37" s="2" t="n">
        <x:v>2</x:v>
      </x:c>
      <x:c r="N37" s="2" t="n">
        <x:v>1</x:v>
      </x:c>
      <x:c r="O37" s="2" t="n">
        <x:v>1</x:v>
      </x:c>
      <x:c r="P37" s="2" t="str">
        <x:v>simulado_didactico</x:v>
      </x:c>
    </x:row>
    <x:row r="38" ht="19" customHeight="1">
      <x:c r="A38" s="2" t="str">
        <x:v>SIM-E1-MP-L0-R03</x:v>
      </x:c>
      <x:c r="B38" s="2" t="n">
        <x:v>2</x:v>
      </x:c>
      <x:c r="C38" s="2" t="str">
        <x:v>MP</x:v>
      </x:c>
      <x:c r="D38" s="2" t="str">
        <x:v>Myzus persicae</x:v>
      </x:c>
      <x:c r="E38" s="2" t="str">
        <x:v>L0</x:v>
      </x:c>
      <x:c r="F38" s="2" t="n">
        <x:v>1</x:v>
      </x:c>
      <x:c r="G38" s="2" t="n">
        <x:v>3</x:v>
      </x:c>
      <x:c r="H38" s="2" t="n">
        <x:v>1</x:v>
      </x:c>
      <x:c r="I38" s="2" t="n">
        <x:v>9</x:v>
      </x:c>
      <x:c r="J38" s="14" t="n">
        <x:v>46090</x:v>
      </x:c>
      <x:c r="K38" s="14" t="n">
        <x:f>J38+O38</x:f>
        <x:v>46091</x:v>
      </x:c>
      <x:c r="L38" s="14" t="n">
        <x:f>J38+Supuestos!$C$8</x:f>
        <x:v>46104</x:v>
      </x:c>
      <x:c r="M38" s="2" t="n">
        <x:v>2</x:v>
      </x:c>
      <x:c r="N38" s="2" t="n">
        <x:v>1</x:v>
      </x:c>
      <x:c r="O38" s="2" t="n">
        <x:v>1</x:v>
      </x:c>
      <x:c r="P38" s="2" t="str">
        <x:v>simulado_didactico</x:v>
      </x:c>
    </x:row>
    <x:row r="39" ht="19" customHeight="1">
      <x:c r="A39" s="2" t="str">
        <x:v>SIM-E1-MP-L0-R04</x:v>
      </x:c>
      <x:c r="B39" s="2" t="n">
        <x:v>2</x:v>
      </x:c>
      <x:c r="C39" s="2" t="str">
        <x:v>MP</x:v>
      </x:c>
      <x:c r="D39" s="2" t="str">
        <x:v>Myzus persicae</x:v>
      </x:c>
      <x:c r="E39" s="2" t="str">
        <x:v>L0</x:v>
      </x:c>
      <x:c r="F39" s="2" t="n">
        <x:v>1</x:v>
      </x:c>
      <x:c r="G39" s="2" t="n">
        <x:v>4</x:v>
      </x:c>
      <x:c r="H39" s="2" t="n">
        <x:v>2</x:v>
      </x:c>
      <x:c r="I39" s="2" t="n">
        <x:v>24</x:v>
      </x:c>
      <x:c r="J39" s="14" t="n">
        <x:v>46090</x:v>
      </x:c>
      <x:c r="K39" s="14" t="n">
        <x:f>J39+O39</x:f>
        <x:v>46091</x:v>
      </x:c>
      <x:c r="L39" s="14" t="n">
        <x:f>J39+Supuestos!$C$8</x:f>
        <x:v>46104</x:v>
      </x:c>
      <x:c r="M39" s="2" t="n">
        <x:v>2</x:v>
      </x:c>
      <x:c r="N39" s="2" t="n">
        <x:v>1</x:v>
      </x:c>
      <x:c r="O39" s="2" t="n">
        <x:v>1</x:v>
      </x:c>
      <x:c r="P39" s="2" t="str">
        <x:v>simulado_didactico</x:v>
      </x:c>
    </x:row>
    <x:row r="40" ht="19" customHeight="1">
      <x:c r="A40" s="2" t="str">
        <x:v>SIM-E1-MP-L1-R03</x:v>
      </x:c>
      <x:c r="B40" s="2" t="n">
        <x:v>2</x:v>
      </x:c>
      <x:c r="C40" s="2" t="str">
        <x:v>MP</x:v>
      </x:c>
      <x:c r="D40" s="2" t="str">
        <x:v>Myzus persicae</x:v>
      </x:c>
      <x:c r="E40" s="2" t="str">
        <x:v>L1</x:v>
      </x:c>
      <x:c r="F40" s="2" t="n">
        <x:v>0</x:v>
      </x:c>
      <x:c r="G40" s="2" t="n">
        <x:v>3</x:v>
      </x:c>
      <x:c r="H40" s="2" t="n">
        <x:v>1</x:v>
      </x:c>
      <x:c r="I40" s="2" t="n">
        <x:v>2</x:v>
      </x:c>
      <x:c r="J40" s="14" t="n">
        <x:v>46090</x:v>
      </x:c>
      <x:c r="K40" s="14" t="n">
        <x:f>J40+O40</x:f>
        <x:v>46091</x:v>
      </x:c>
      <x:c r="L40" s="14" t="n">
        <x:f>J40+Supuestos!$C$8</x:f>
        <x:v>46104</x:v>
      </x:c>
      <x:c r="M40" s="2" t="n">
        <x:v>2</x:v>
      </x:c>
      <x:c r="N40" s="2" t="n">
        <x:v>1</x:v>
      </x:c>
      <x:c r="O40" s="2" t="n">
        <x:v>1</x:v>
      </x:c>
      <x:c r="P40" s="2" t="str">
        <x:v>simulado_didactico</x:v>
      </x:c>
    </x:row>
    <x:row r="41" ht="19" customHeight="1">
      <x:c r="A41" s="2" t="str">
        <x:v>SIM-E1-MP-L1-R04</x:v>
      </x:c>
      <x:c r="B41" s="2" t="n">
        <x:v>2</x:v>
      </x:c>
      <x:c r="C41" s="2" t="str">
        <x:v>MP</x:v>
      </x:c>
      <x:c r="D41" s="2" t="str">
        <x:v>Myzus persicae</x:v>
      </x:c>
      <x:c r="E41" s="2" t="str">
        <x:v>L1</x:v>
      </x:c>
      <x:c r="F41" s="2" t="n">
        <x:v>0</x:v>
      </x:c>
      <x:c r="G41" s="2" t="n">
        <x:v>4</x:v>
      </x:c>
      <x:c r="H41" s="2" t="n">
        <x:v>2</x:v>
      </x:c>
      <x:c r="I41" s="2" t="n">
        <x:v>12</x:v>
      </x:c>
      <x:c r="J41" s="14" t="n">
        <x:v>46090</x:v>
      </x:c>
      <x:c r="K41" s="14" t="n">
        <x:f>J41+O41</x:f>
        <x:v>46091</x:v>
      </x:c>
      <x:c r="L41" s="14" t="n">
        <x:f>J41+Supuestos!$C$8</x:f>
        <x:v>46104</x:v>
      </x:c>
      <x:c r="M41" s="2" t="n">
        <x:v>2</x:v>
      </x:c>
      <x:c r="N41" s="2" t="n">
        <x:v>1</x:v>
      </x:c>
      <x:c r="O41" s="2" t="n">
        <x:v>1</x:v>
      </x:c>
      <x:c r="P41" s="2" t="str">
        <x:v>simulado_didactico</x:v>
      </x:c>
    </x:row>
    <x:row r="42" ht="19" customHeight="1">
      <x:c r="A42" s="2" t="str">
        <x:v>SIM-E1-MP-L2-R03</x:v>
      </x:c>
      <x:c r="B42" s="2" t="n">
        <x:v>2</x:v>
      </x:c>
      <x:c r="C42" s="2" t="str">
        <x:v>MP</x:v>
      </x:c>
      <x:c r="D42" s="2" t="str">
        <x:v>Myzus persicae</x:v>
      </x:c>
      <x:c r="E42" s="2" t="str">
        <x:v>L2</x:v>
      </x:c>
      <x:c r="F42" s="2" t="n">
        <x:v>0</x:v>
      </x:c>
      <x:c r="G42" s="2" t="n">
        <x:v>3</x:v>
      </x:c>
      <x:c r="H42" s="2" t="n">
        <x:v>1</x:v>
      </x:c>
      <x:c r="I42" s="2" t="n">
        <x:v>4</x:v>
      </x:c>
      <x:c r="J42" s="14" t="n">
        <x:v>46090</x:v>
      </x:c>
      <x:c r="K42" s="14" t="n">
        <x:f>J42+O42</x:f>
        <x:v>46091</x:v>
      </x:c>
      <x:c r="L42" s="14" t="n">
        <x:f>J42+Supuestos!$C$8</x:f>
        <x:v>46104</x:v>
      </x:c>
      <x:c r="M42" s="2" t="n">
        <x:v>2</x:v>
      </x:c>
      <x:c r="N42" s="2" t="n">
        <x:v>1</x:v>
      </x:c>
      <x:c r="O42" s="2" t="n">
        <x:v>1</x:v>
      </x:c>
      <x:c r="P42" s="2" t="str">
        <x:v>simulado_didactico</x:v>
      </x:c>
    </x:row>
    <x:row r="43" ht="19" customHeight="1">
      <x:c r="A43" s="2" t="str">
        <x:v>SIM-E1-MP-L2-R04</x:v>
      </x:c>
      <x:c r="B43" s="2" t="n">
        <x:v>2</x:v>
      </x:c>
      <x:c r="C43" s="2" t="str">
        <x:v>MP</x:v>
      </x:c>
      <x:c r="D43" s="2" t="str">
        <x:v>Myzus persicae</x:v>
      </x:c>
      <x:c r="E43" s="2" t="str">
        <x:v>L2</x:v>
      </x:c>
      <x:c r="F43" s="2" t="n">
        <x:v>0</x:v>
      </x:c>
      <x:c r="G43" s="2" t="n">
        <x:v>4</x:v>
      </x:c>
      <x:c r="H43" s="2" t="n">
        <x:v>2</x:v>
      </x:c>
      <x:c r="I43" s="2" t="n">
        <x:v>15</x:v>
      </x:c>
      <x:c r="J43" s="14" t="n">
        <x:v>46090</x:v>
      </x:c>
      <x:c r="K43" s="14" t="n">
        <x:f>J43+O43</x:f>
        <x:v>46091</x:v>
      </x:c>
      <x:c r="L43" s="14" t="n">
        <x:f>J43+Supuestos!$C$8</x:f>
        <x:v>46104</x:v>
      </x:c>
      <x:c r="M43" s="2" t="n">
        <x:v>2</x:v>
      </x:c>
      <x:c r="N43" s="2" t="n">
        <x:v>1</x:v>
      </x:c>
      <x:c r="O43" s="2" t="n">
        <x:v>1</x:v>
      </x:c>
      <x:c r="P43" s="2" t="str">
        <x:v>simulado_didactico</x:v>
      </x:c>
    </x:row>
    <x:row r="44" ht="19" customHeight="1">
      <x:c r="A44" s="2" t="str">
        <x:v>SIM-E1-MP-L3-R03</x:v>
      </x:c>
      <x:c r="B44" s="2" t="n">
        <x:v>2</x:v>
      </x:c>
      <x:c r="C44" s="2" t="str">
        <x:v>MP</x:v>
      </x:c>
      <x:c r="D44" s="2" t="str">
        <x:v>Myzus persicae</x:v>
      </x:c>
      <x:c r="E44" s="2" t="str">
        <x:v>L3</x:v>
      </x:c>
      <x:c r="F44" s="2" t="n">
        <x:v>0</x:v>
      </x:c>
      <x:c r="G44" s="2" t="n">
        <x:v>3</x:v>
      </x:c>
      <x:c r="H44" s="2" t="n">
        <x:v>1</x:v>
      </x:c>
      <x:c r="I44" s="2" t="n">
        <x:v>29</x:v>
      </x:c>
      <x:c r="J44" s="14" t="n">
        <x:v>46090</x:v>
      </x:c>
      <x:c r="K44" s="14" t="n">
        <x:f>J44+O44</x:f>
        <x:v>46091</x:v>
      </x:c>
      <x:c r="L44" s="14" t="n">
        <x:f>J44+Supuestos!$C$8</x:f>
        <x:v>46104</x:v>
      </x:c>
      <x:c r="M44" s="2" t="n">
        <x:v>2</x:v>
      </x:c>
      <x:c r="N44" s="2" t="n">
        <x:v>1</x:v>
      </x:c>
      <x:c r="O44" s="2" t="n">
        <x:v>1</x:v>
      </x:c>
      <x:c r="P44" s="2" t="str">
        <x:v>simulado_didactico</x:v>
      </x:c>
    </x:row>
    <x:row r="45" ht="19" customHeight="1">
      <x:c r="A45" s="2" t="str">
        <x:v>SIM-E1-MP-L3-R04</x:v>
      </x:c>
      <x:c r="B45" s="2" t="n">
        <x:v>2</x:v>
      </x:c>
      <x:c r="C45" s="2" t="str">
        <x:v>MP</x:v>
      </x:c>
      <x:c r="D45" s="2" t="str">
        <x:v>Myzus persicae</x:v>
      </x:c>
      <x:c r="E45" s="2" t="str">
        <x:v>L3</x:v>
      </x:c>
      <x:c r="F45" s="2" t="n">
        <x:v>0</x:v>
      </x:c>
      <x:c r="G45" s="2" t="n">
        <x:v>4</x:v>
      </x:c>
      <x:c r="H45" s="2" t="n">
        <x:v>2</x:v>
      </x:c>
      <x:c r="I45" s="2" t="n">
        <x:v>25</x:v>
      </x:c>
      <x:c r="J45" s="14" t="n">
        <x:v>46090</x:v>
      </x:c>
      <x:c r="K45" s="14" t="n">
        <x:f>J45+O45</x:f>
        <x:v>46091</x:v>
      </x:c>
      <x:c r="L45" s="14" t="n">
        <x:f>J45+Supuestos!$C$8</x:f>
        <x:v>46104</x:v>
      </x:c>
      <x:c r="M45" s="2" t="n">
        <x:v>2</x:v>
      </x:c>
      <x:c r="N45" s="2" t="n">
        <x:v>1</x:v>
      </x:c>
      <x:c r="O45" s="2" t="n">
        <x:v>1</x:v>
      </x:c>
      <x:c r="P45" s="2" t="str">
        <x:v>simulado_didactico</x:v>
      </x:c>
    </x:row>
    <x:row r="46" ht="19" customHeight="1">
      <x:c r="A46" s="2" t="str">
        <x:v>SIM-E1-MP-L5-R03</x:v>
      </x:c>
      <x:c r="B46" s="2" t="n">
        <x:v>2</x:v>
      </x:c>
      <x:c r="C46" s="2" t="str">
        <x:v>MP</x:v>
      </x:c>
      <x:c r="D46" s="2" t="str">
        <x:v>Myzus persicae</x:v>
      </x:c>
      <x:c r="E46" s="2" t="str">
        <x:v>L5</x:v>
      </x:c>
      <x:c r="F46" s="2" t="n">
        <x:v>0</x:v>
      </x:c>
      <x:c r="G46" s="2" t="n">
        <x:v>3</x:v>
      </x:c>
      <x:c r="H46" s="2" t="n">
        <x:v>1</x:v>
      </x:c>
      <x:c r="I46" s="2" t="n">
        <x:v>23</x:v>
      </x:c>
      <x:c r="J46" s="14" t="n">
        <x:v>46090</x:v>
      </x:c>
      <x:c r="K46" s="14" t="n">
        <x:f>J46+O46</x:f>
        <x:v>46091</x:v>
      </x:c>
      <x:c r="L46" s="14" t="n">
        <x:f>J46+Supuestos!$C$8</x:f>
        <x:v>46104</x:v>
      </x:c>
      <x:c r="M46" s="2" t="n">
        <x:v>2</x:v>
      </x:c>
      <x:c r="N46" s="2" t="n">
        <x:v>1</x:v>
      </x:c>
      <x:c r="O46" s="2" t="n">
        <x:v>1</x:v>
      </x:c>
      <x:c r="P46" s="2" t="str">
        <x:v>simulado_didactico</x:v>
      </x:c>
    </x:row>
    <x:row r="47" ht="19" customHeight="1">
      <x:c r="A47" s="2" t="str">
        <x:v>SIM-E1-MP-L5-R04</x:v>
      </x:c>
      <x:c r="B47" s="2" t="n">
        <x:v>2</x:v>
      </x:c>
      <x:c r="C47" s="2" t="str">
        <x:v>MP</x:v>
      </x:c>
      <x:c r="D47" s="2" t="str">
        <x:v>Myzus persicae</x:v>
      </x:c>
      <x:c r="E47" s="2" t="str">
        <x:v>L5</x:v>
      </x:c>
      <x:c r="F47" s="2" t="n">
        <x:v>0</x:v>
      </x:c>
      <x:c r="G47" s="2" t="n">
        <x:v>4</x:v>
      </x:c>
      <x:c r="H47" s="2" t="n">
        <x:v>2</x:v>
      </x:c>
      <x:c r="I47" s="2" t="n">
        <x:v>26</x:v>
      </x:c>
      <x:c r="J47" s="14" t="n">
        <x:v>46090</x:v>
      </x:c>
      <x:c r="K47" s="14" t="n">
        <x:f>J47+O47</x:f>
        <x:v>46091</x:v>
      </x:c>
      <x:c r="L47" s="14" t="n">
        <x:f>J47+Supuestos!$C$8</x:f>
        <x:v>46104</x:v>
      </x:c>
      <x:c r="M47" s="2" t="n">
        <x:v>2</x:v>
      </x:c>
      <x:c r="N47" s="2" t="n">
        <x:v>1</x:v>
      </x:c>
      <x:c r="O47" s="2" t="n">
        <x:v>1</x:v>
      </x:c>
      <x:c r="P47" s="2" t="str">
        <x:v>simulado_didactico</x:v>
      </x:c>
    </x:row>
    <x:row r="48" ht="19" customHeight="1">
      <x:c r="A48" s="2" t="str">
        <x:v>SIM-E1-MP-L6-R03</x:v>
      </x:c>
      <x:c r="B48" s="2" t="n">
        <x:v>2</x:v>
      </x:c>
      <x:c r="C48" s="2" t="str">
        <x:v>MP</x:v>
      </x:c>
      <x:c r="D48" s="2" t="str">
        <x:v>Myzus persicae</x:v>
      </x:c>
      <x:c r="E48" s="2" t="str">
        <x:v>L6</x:v>
      </x:c>
      <x:c r="F48" s="2" t="n">
        <x:v>0</x:v>
      </x:c>
      <x:c r="G48" s="2" t="n">
        <x:v>3</x:v>
      </x:c>
      <x:c r="H48" s="2" t="n">
        <x:v>1</x:v>
      </x:c>
      <x:c r="I48" s="2" t="n">
        <x:v>6</x:v>
      </x:c>
      <x:c r="J48" s="14" t="n">
        <x:v>46090</x:v>
      </x:c>
      <x:c r="K48" s="14" t="n">
        <x:f>J48+O48</x:f>
        <x:v>46091</x:v>
      </x:c>
      <x:c r="L48" s="14" t="n">
        <x:f>J48+Supuestos!$C$8</x:f>
        <x:v>46104</x:v>
      </x:c>
      <x:c r="M48" s="2" t="n">
        <x:v>2</x:v>
      </x:c>
      <x:c r="N48" s="2" t="n">
        <x:v>1</x:v>
      </x:c>
      <x:c r="O48" s="2" t="n">
        <x:v>1</x:v>
      </x:c>
      <x:c r="P48" s="2" t="str">
        <x:v>simulado_didactico</x:v>
      </x:c>
    </x:row>
    <x:row r="49" ht="19" customHeight="1">
      <x:c r="A49" s="2" t="str">
        <x:v>SIM-E1-MP-L6-R04</x:v>
      </x:c>
      <x:c r="B49" s="2" t="n">
        <x:v>2</x:v>
      </x:c>
      <x:c r="C49" s="2" t="str">
        <x:v>MP</x:v>
      </x:c>
      <x:c r="D49" s="2" t="str">
        <x:v>Myzus persicae</x:v>
      </x:c>
      <x:c r="E49" s="2" t="str">
        <x:v>L6</x:v>
      </x:c>
      <x:c r="F49" s="2" t="n">
        <x:v>0</x:v>
      </x:c>
      <x:c r="G49" s="2" t="n">
        <x:v>4</x:v>
      </x:c>
      <x:c r="H49" s="2" t="n">
        <x:v>2</x:v>
      </x:c>
      <x:c r="I49" s="2" t="n">
        <x:v>33</x:v>
      </x:c>
      <x:c r="J49" s="14" t="n">
        <x:v>46090</x:v>
      </x:c>
      <x:c r="K49" s="14" t="n">
        <x:f>J49+O49</x:f>
        <x:v>46091</x:v>
      </x:c>
      <x:c r="L49" s="14" t="n">
        <x:f>J49+Supuestos!$C$8</x:f>
        <x:v>46104</x:v>
      </x:c>
      <x:c r="M49" s="2" t="n">
        <x:v>2</x:v>
      </x:c>
      <x:c r="N49" s="2" t="n">
        <x:v>1</x:v>
      </x:c>
      <x:c r="O49" s="2" t="n">
        <x:v>1</x:v>
      </x:c>
      <x:c r="P49" s="2" t="str">
        <x:v>simulado_didactico</x:v>
      </x:c>
    </x:row>
    <x:row r="50" ht="19" customHeight="1">
      <x:c r="A50" s="2" t="str">
        <x:v>SIM-E1-MP-L7-R03</x:v>
      </x:c>
      <x:c r="B50" s="2" t="n">
        <x:v>2</x:v>
      </x:c>
      <x:c r="C50" s="2" t="str">
        <x:v>MP</x:v>
      </x:c>
      <x:c r="D50" s="2" t="str">
        <x:v>Myzus persicae</x:v>
      </x:c>
      <x:c r="E50" s="2" t="str">
        <x:v>L7</x:v>
      </x:c>
      <x:c r="F50" s="2" t="n">
        <x:v>0</x:v>
      </x:c>
      <x:c r="G50" s="2" t="n">
        <x:v>3</x:v>
      </x:c>
      <x:c r="H50" s="2" t="n">
        <x:v>1</x:v>
      </x:c>
      <x:c r="I50" s="2" t="n">
        <x:v>22</x:v>
      </x:c>
      <x:c r="J50" s="14" t="n">
        <x:v>46090</x:v>
      </x:c>
      <x:c r="K50" s="14" t="n">
        <x:f>J50+O50</x:f>
        <x:v>46091</x:v>
      </x:c>
      <x:c r="L50" s="14" t="n">
        <x:f>J50+Supuestos!$C$8</x:f>
        <x:v>46104</x:v>
      </x:c>
      <x:c r="M50" s="2" t="n">
        <x:v>2</x:v>
      </x:c>
      <x:c r="N50" s="2" t="n">
        <x:v>1</x:v>
      </x:c>
      <x:c r="O50" s="2" t="n">
        <x:v>1</x:v>
      </x:c>
      <x:c r="P50" s="2" t="str">
        <x:v>simulado_didactico</x:v>
      </x:c>
    </x:row>
    <x:row r="51" ht="19" customHeight="1">
      <x:c r="A51" s="2" t="str">
        <x:v>SIM-E1-MP-L7-R04</x:v>
      </x:c>
      <x:c r="B51" s="2" t="n">
        <x:v>2</x:v>
      </x:c>
      <x:c r="C51" s="2" t="str">
        <x:v>MP</x:v>
      </x:c>
      <x:c r="D51" s="2" t="str">
        <x:v>Myzus persicae</x:v>
      </x:c>
      <x:c r="E51" s="2" t="str">
        <x:v>L7</x:v>
      </x:c>
      <x:c r="F51" s="2" t="n">
        <x:v>0</x:v>
      </x:c>
      <x:c r="G51" s="2" t="n">
        <x:v>4</x:v>
      </x:c>
      <x:c r="H51" s="2" t="n">
        <x:v>2</x:v>
      </x:c>
      <x:c r="I51" s="2" t="n">
        <x:v>36</x:v>
      </x:c>
      <x:c r="J51" s="14" t="n">
        <x:v>46090</x:v>
      </x:c>
      <x:c r="K51" s="14" t="n">
        <x:f>J51+O51</x:f>
        <x:v>46091</x:v>
      </x:c>
      <x:c r="L51" s="14" t="n">
        <x:f>J51+Supuestos!$C$8</x:f>
        <x:v>46104</x:v>
      </x:c>
      <x:c r="M51" s="2" t="n">
        <x:v>2</x:v>
      </x:c>
      <x:c r="N51" s="2" t="n">
        <x:v>1</x:v>
      </x:c>
      <x:c r="O51" s="2" t="n">
        <x:v>1</x:v>
      </x:c>
      <x:c r="P51" s="2" t="str">
        <x:v>simulado_didactico</x:v>
      </x:c>
    </x:row>
    <x:row r="52" ht="19" customHeight="1">
      <x:c r="A52" s="2" t="str">
        <x:v>SIM-E1-MP-L8-R03</x:v>
      </x:c>
      <x:c r="B52" s="2" t="n">
        <x:v>2</x:v>
      </x:c>
      <x:c r="C52" s="2" t="str">
        <x:v>MP</x:v>
      </x:c>
      <x:c r="D52" s="2" t="str">
        <x:v>Myzus persicae</x:v>
      </x:c>
      <x:c r="E52" s="2" t="str">
        <x:v>L8</x:v>
      </x:c>
      <x:c r="F52" s="2" t="n">
        <x:v>0</x:v>
      </x:c>
      <x:c r="G52" s="2" t="n">
        <x:v>3</x:v>
      </x:c>
      <x:c r="H52" s="2" t="n">
        <x:v>1</x:v>
      </x:c>
      <x:c r="I52" s="2" t="n">
        <x:v>1</x:v>
      </x:c>
      <x:c r="J52" s="14" t="n">
        <x:v>46090</x:v>
      </x:c>
      <x:c r="K52" s="14" t="n">
        <x:f>J52+O52</x:f>
        <x:v>46091</x:v>
      </x:c>
      <x:c r="L52" s="14" t="n">
        <x:f>J52+Supuestos!$C$8</x:f>
        <x:v>46104</x:v>
      </x:c>
      <x:c r="M52" s="2" t="n">
        <x:v>2</x:v>
      </x:c>
      <x:c r="N52" s="2" t="n">
        <x:v>1</x:v>
      </x:c>
      <x:c r="O52" s="2" t="n">
        <x:v>1</x:v>
      </x:c>
      <x:c r="P52" s="2" t="str">
        <x:v>simulado_didactico</x:v>
      </x:c>
    </x:row>
    <x:row r="53" ht="19" customHeight="1">
      <x:c r="A53" s="2" t="str">
        <x:v>SIM-E1-MP-L8-R04</x:v>
      </x:c>
      <x:c r="B53" s="2" t="n">
        <x:v>2</x:v>
      </x:c>
      <x:c r="C53" s="2" t="str">
        <x:v>MP</x:v>
      </x:c>
      <x:c r="D53" s="2" t="str">
        <x:v>Myzus persicae</x:v>
      </x:c>
      <x:c r="E53" s="2" t="str">
        <x:v>L8</x:v>
      </x:c>
      <x:c r="F53" s="2" t="n">
        <x:v>0</x:v>
      </x:c>
      <x:c r="G53" s="2" t="n">
        <x:v>4</x:v>
      </x:c>
      <x:c r="H53" s="2" t="n">
        <x:v>2</x:v>
      </x:c>
      <x:c r="I53" s="2" t="n">
        <x:v>3</x:v>
      </x:c>
      <x:c r="J53" s="14" t="n">
        <x:v>46090</x:v>
      </x:c>
      <x:c r="K53" s="14" t="n">
        <x:f>J53+O53</x:f>
        <x:v>46091</x:v>
      </x:c>
      <x:c r="L53" s="14" t="n">
        <x:f>J53+Supuestos!$C$8</x:f>
        <x:v>46104</x:v>
      </x:c>
      <x:c r="M53" s="2" t="n">
        <x:v>2</x:v>
      </x:c>
      <x:c r="N53" s="2" t="n">
        <x:v>1</x:v>
      </x:c>
      <x:c r="O53" s="2" t="n">
        <x:v>1</x:v>
      </x:c>
      <x:c r="P53" s="2" t="str">
        <x:v>simulado_didactico</x:v>
      </x:c>
    </x:row>
    <x:row r="54" ht="19" customHeight="1">
      <x:c r="A54" s="2" t="str">
        <x:v>SIM-E1-MP-L9-R03</x:v>
      </x:c>
      <x:c r="B54" s="2" t="n">
        <x:v>2</x:v>
      </x:c>
      <x:c r="C54" s="2" t="str">
        <x:v>MP</x:v>
      </x:c>
      <x:c r="D54" s="2" t="str">
        <x:v>Myzus persicae</x:v>
      </x:c>
      <x:c r="E54" s="2" t="str">
        <x:v>L9</x:v>
      </x:c>
      <x:c r="F54" s="2" t="n">
        <x:v>0</x:v>
      </x:c>
      <x:c r="G54" s="2" t="n">
        <x:v>3</x:v>
      </x:c>
      <x:c r="H54" s="2" t="n">
        <x:v>1</x:v>
      </x:c>
      <x:c r="I54" s="2" t="n">
        <x:v>28</x:v>
      </x:c>
      <x:c r="J54" s="14" t="n">
        <x:v>46090</x:v>
      </x:c>
      <x:c r="K54" s="14" t="n">
        <x:f>J54+O54</x:f>
        <x:v>46091</x:v>
      </x:c>
      <x:c r="L54" s="14" t="n">
        <x:f>J54+Supuestos!$C$8</x:f>
        <x:v>46104</x:v>
      </x:c>
      <x:c r="M54" s="2" t="n">
        <x:v>2</x:v>
      </x:c>
      <x:c r="N54" s="2" t="n">
        <x:v>1</x:v>
      </x:c>
      <x:c r="O54" s="2" t="n">
        <x:v>1</x:v>
      </x:c>
      <x:c r="P54" s="2" t="str">
        <x:v>simulado_didactico</x:v>
      </x:c>
    </x:row>
    <x:row r="55" ht="19" customHeight="1">
      <x:c r="A55" s="2" t="str">
        <x:v>SIM-E1-MP-L9-R04</x:v>
      </x:c>
      <x:c r="B55" s="2" t="n">
        <x:v>2</x:v>
      </x:c>
      <x:c r="C55" s="2" t="str">
        <x:v>MP</x:v>
      </x:c>
      <x:c r="D55" s="2" t="str">
        <x:v>Myzus persicae</x:v>
      </x:c>
      <x:c r="E55" s="2" t="str">
        <x:v>L9</x:v>
      </x:c>
      <x:c r="F55" s="2" t="n">
        <x:v>0</x:v>
      </x:c>
      <x:c r="G55" s="2" t="n">
        <x:v>4</x:v>
      </x:c>
      <x:c r="H55" s="2" t="n">
        <x:v>2</x:v>
      </x:c>
      <x:c r="I55" s="2" t="n">
        <x:v>14</x:v>
      </x:c>
      <x:c r="J55" s="14" t="n">
        <x:v>46090</x:v>
      </x:c>
      <x:c r="K55" s="14" t="n">
        <x:f>J55+O55</x:f>
        <x:v>46091</x:v>
      </x:c>
      <x:c r="L55" s="14" t="n">
        <x:f>J55+Supuestos!$C$8</x:f>
        <x:v>46104</x:v>
      </x:c>
      <x:c r="M55" s="2" t="n">
        <x:v>2</x:v>
      </x:c>
      <x:c r="N55" s="2" t="n">
        <x:v>1</x:v>
      </x:c>
      <x:c r="O55" s="2" t="n">
        <x:v>1</x:v>
      </x:c>
      <x:c r="P55" s="2" t="str">
        <x:v>simulado_didactico</x:v>
      </x:c>
    </x:row>
    <x:row r="56" ht="19" customHeight="1">
      <x:c r="A56" s="2" t="str">
        <x:v>SIM-E1-BB-L0-R03</x:v>
      </x:c>
      <x:c r="B56" s="2" t="n">
        <x:v>2</x:v>
      </x:c>
      <x:c r="C56" s="2" t="str">
        <x:v>BB</x:v>
      </x:c>
      <x:c r="D56" s="2" t="str">
        <x:v>Brevicoryne brassicae</x:v>
      </x:c>
      <x:c r="E56" s="2" t="str">
        <x:v>L0</x:v>
      </x:c>
      <x:c r="F56" s="2" t="n">
        <x:v>1</x:v>
      </x:c>
      <x:c r="G56" s="2" t="n">
        <x:v>3</x:v>
      </x:c>
      <x:c r="H56" s="2" t="n">
        <x:v>1</x:v>
      </x:c>
      <x:c r="I56" s="2" t="n">
        <x:v>27</x:v>
      </x:c>
      <x:c r="J56" s="14" t="n">
        <x:v>46090</x:v>
      </x:c>
      <x:c r="K56" s="14" t="n">
        <x:f>J56+O56</x:f>
        <x:v>46091</x:v>
      </x:c>
      <x:c r="L56" s="14" t="n">
        <x:f>J56+Supuestos!$C$8</x:f>
        <x:v>46104</x:v>
      </x:c>
      <x:c r="M56" s="2" t="n">
        <x:v>2</x:v>
      </x:c>
      <x:c r="N56" s="2" t="n">
        <x:v>1</x:v>
      </x:c>
      <x:c r="O56" s="2" t="n">
        <x:v>1</x:v>
      </x:c>
      <x:c r="P56" s="2" t="str">
        <x:v>simulado_didactico</x:v>
      </x:c>
    </x:row>
    <x:row r="57" ht="19" customHeight="1">
      <x:c r="A57" s="2" t="str">
        <x:v>SIM-E1-BB-L0-R04</x:v>
      </x:c>
      <x:c r="B57" s="2" t="n">
        <x:v>2</x:v>
      </x:c>
      <x:c r="C57" s="2" t="str">
        <x:v>BB</x:v>
      </x:c>
      <x:c r="D57" s="2" t="str">
        <x:v>Brevicoryne brassicae</x:v>
      </x:c>
      <x:c r="E57" s="2" t="str">
        <x:v>L0</x:v>
      </x:c>
      <x:c r="F57" s="2" t="n">
        <x:v>1</x:v>
      </x:c>
      <x:c r="G57" s="2" t="n">
        <x:v>4</x:v>
      </x:c>
      <x:c r="H57" s="2" t="n">
        <x:v>2</x:v>
      </x:c>
      <x:c r="I57" s="2" t="n">
        <x:v>21</x:v>
      </x:c>
      <x:c r="J57" s="14" t="n">
        <x:v>46090</x:v>
      </x:c>
      <x:c r="K57" s="14" t="n">
        <x:f>J57+O57</x:f>
        <x:v>46091</x:v>
      </x:c>
      <x:c r="L57" s="14" t="n">
        <x:f>J57+Supuestos!$C$8</x:f>
        <x:v>46104</x:v>
      </x:c>
      <x:c r="M57" s="2" t="n">
        <x:v>2</x:v>
      </x:c>
      <x:c r="N57" s="2" t="n">
        <x:v>1</x:v>
      </x:c>
      <x:c r="O57" s="2" t="n">
        <x:v>1</x:v>
      </x:c>
      <x:c r="P57" s="2" t="str">
        <x:v>simulado_didactico</x:v>
      </x:c>
    </x:row>
    <x:row r="58" ht="19" customHeight="1">
      <x:c r="A58" s="2" t="str">
        <x:v>SIM-E1-BB-L1-R03</x:v>
      </x:c>
      <x:c r="B58" s="2" t="n">
        <x:v>2</x:v>
      </x:c>
      <x:c r="C58" s="2" t="str">
        <x:v>BB</x:v>
      </x:c>
      <x:c r="D58" s="2" t="str">
        <x:v>Brevicoryne brassicae</x:v>
      </x:c>
      <x:c r="E58" s="2" t="str">
        <x:v>L1</x:v>
      </x:c>
      <x:c r="F58" s="2" t="n">
        <x:v>0</x:v>
      </x:c>
      <x:c r="G58" s="2" t="n">
        <x:v>3</x:v>
      </x:c>
      <x:c r="H58" s="2" t="n">
        <x:v>1</x:v>
      </x:c>
      <x:c r="I58" s="2" t="n">
        <x:v>8</x:v>
      </x:c>
      <x:c r="J58" s="14" t="n">
        <x:v>46090</x:v>
      </x:c>
      <x:c r="K58" s="14" t="n">
        <x:f>J58+O58</x:f>
        <x:v>46091</x:v>
      </x:c>
      <x:c r="L58" s="14" t="n">
        <x:f>J58+Supuestos!$C$8</x:f>
        <x:v>46104</x:v>
      </x:c>
      <x:c r="M58" s="2" t="n">
        <x:v>2</x:v>
      </x:c>
      <x:c r="N58" s="2" t="n">
        <x:v>1</x:v>
      </x:c>
      <x:c r="O58" s="2" t="n">
        <x:v>1</x:v>
      </x:c>
      <x:c r="P58" s="2" t="str">
        <x:v>simulado_didactico</x:v>
      </x:c>
    </x:row>
    <x:row r="59" ht="19" customHeight="1">
      <x:c r="A59" s="2" t="str">
        <x:v>SIM-E1-BB-L1-R04</x:v>
      </x:c>
      <x:c r="B59" s="2" t="n">
        <x:v>2</x:v>
      </x:c>
      <x:c r="C59" s="2" t="str">
        <x:v>BB</x:v>
      </x:c>
      <x:c r="D59" s="2" t="str">
        <x:v>Brevicoryne brassicae</x:v>
      </x:c>
      <x:c r="E59" s="2" t="str">
        <x:v>L1</x:v>
      </x:c>
      <x:c r="F59" s="2" t="n">
        <x:v>0</x:v>
      </x:c>
      <x:c r="G59" s="2" t="n">
        <x:v>4</x:v>
      </x:c>
      <x:c r="H59" s="2" t="n">
        <x:v>2</x:v>
      </x:c>
      <x:c r="I59" s="2" t="n">
        <x:v>17</x:v>
      </x:c>
      <x:c r="J59" s="14" t="n">
        <x:v>46090</x:v>
      </x:c>
      <x:c r="K59" s="14" t="n">
        <x:f>J59+O59</x:f>
        <x:v>46091</x:v>
      </x:c>
      <x:c r="L59" s="14" t="n">
        <x:f>J59+Supuestos!$C$8</x:f>
        <x:v>46104</x:v>
      </x:c>
      <x:c r="M59" s="2" t="n">
        <x:v>2</x:v>
      </x:c>
      <x:c r="N59" s="2" t="n">
        <x:v>1</x:v>
      </x:c>
      <x:c r="O59" s="2" t="n">
        <x:v>1</x:v>
      </x:c>
      <x:c r="P59" s="2" t="str">
        <x:v>simulado_didactico</x:v>
      </x:c>
    </x:row>
    <x:row r="60" ht="19" customHeight="1">
      <x:c r="A60" s="2" t="str">
        <x:v>SIM-E1-BB-L2-R03</x:v>
      </x:c>
      <x:c r="B60" s="2" t="n">
        <x:v>2</x:v>
      </x:c>
      <x:c r="C60" s="2" t="str">
        <x:v>BB</x:v>
      </x:c>
      <x:c r="D60" s="2" t="str">
        <x:v>Brevicoryne brassicae</x:v>
      </x:c>
      <x:c r="E60" s="2" t="str">
        <x:v>L2</x:v>
      </x:c>
      <x:c r="F60" s="2" t="n">
        <x:v>0</x:v>
      </x:c>
      <x:c r="G60" s="2" t="n">
        <x:v>3</x:v>
      </x:c>
      <x:c r="H60" s="2" t="n">
        <x:v>1</x:v>
      </x:c>
      <x:c r="I60" s="2" t="n">
        <x:v>5</x:v>
      </x:c>
      <x:c r="J60" s="14" t="n">
        <x:v>46090</x:v>
      </x:c>
      <x:c r="K60" s="14" t="n">
        <x:f>J60+O60</x:f>
        <x:v>46091</x:v>
      </x:c>
      <x:c r="L60" s="14" t="n">
        <x:f>J60+Supuestos!$C$8</x:f>
        <x:v>46104</x:v>
      </x:c>
      <x:c r="M60" s="2" t="n">
        <x:v>2</x:v>
      </x:c>
      <x:c r="N60" s="2" t="n">
        <x:v>1</x:v>
      </x:c>
      <x:c r="O60" s="2" t="n">
        <x:v>1</x:v>
      </x:c>
      <x:c r="P60" s="2" t="str">
        <x:v>simulado_didactico</x:v>
      </x:c>
    </x:row>
    <x:row r="61" ht="19" customHeight="1">
      <x:c r="A61" s="2" t="str">
        <x:v>SIM-E1-BB-L2-R04</x:v>
      </x:c>
      <x:c r="B61" s="2" t="n">
        <x:v>2</x:v>
      </x:c>
      <x:c r="C61" s="2" t="str">
        <x:v>BB</x:v>
      </x:c>
      <x:c r="D61" s="2" t="str">
        <x:v>Brevicoryne brassicae</x:v>
      </x:c>
      <x:c r="E61" s="2" t="str">
        <x:v>L2</x:v>
      </x:c>
      <x:c r="F61" s="2" t="n">
        <x:v>0</x:v>
      </x:c>
      <x:c r="G61" s="2" t="n">
        <x:v>4</x:v>
      </x:c>
      <x:c r="H61" s="2" t="n">
        <x:v>2</x:v>
      </x:c>
      <x:c r="I61" s="2" t="n">
        <x:v>13</x:v>
      </x:c>
      <x:c r="J61" s="14" t="n">
        <x:v>46090</x:v>
      </x:c>
      <x:c r="K61" s="14" t="n">
        <x:f>J61+O61</x:f>
        <x:v>46091</x:v>
      </x:c>
      <x:c r="L61" s="14" t="n">
        <x:f>J61+Supuestos!$C$8</x:f>
        <x:v>46104</x:v>
      </x:c>
      <x:c r="M61" s="2" t="n">
        <x:v>2</x:v>
      </x:c>
      <x:c r="N61" s="2" t="n">
        <x:v>1</x:v>
      </x:c>
      <x:c r="O61" s="2" t="n">
        <x:v>1</x:v>
      </x:c>
      <x:c r="P61" s="2" t="str">
        <x:v>simulado_didactico</x:v>
      </x:c>
    </x:row>
    <x:row r="62" ht="19" customHeight="1">
      <x:c r="A62" s="2" t="str">
        <x:v>SIM-E1-BB-L3-R03</x:v>
      </x:c>
      <x:c r="B62" s="2" t="n">
        <x:v>2</x:v>
      </x:c>
      <x:c r="C62" s="2" t="str">
        <x:v>BB</x:v>
      </x:c>
      <x:c r="D62" s="2" t="str">
        <x:v>Brevicoryne brassicae</x:v>
      </x:c>
      <x:c r="E62" s="2" t="str">
        <x:v>L3</x:v>
      </x:c>
      <x:c r="F62" s="2" t="n">
        <x:v>0</x:v>
      </x:c>
      <x:c r="G62" s="2" t="n">
        <x:v>3</x:v>
      </x:c>
      <x:c r="H62" s="2" t="n">
        <x:v>1</x:v>
      </x:c>
      <x:c r="I62" s="2" t="n">
        <x:v>10</x:v>
      </x:c>
      <x:c r="J62" s="14" t="n">
        <x:v>46090</x:v>
      </x:c>
      <x:c r="K62" s="14" t="n">
        <x:f>J62+O62</x:f>
        <x:v>46091</x:v>
      </x:c>
      <x:c r="L62" s="14" t="n">
        <x:f>J62+Supuestos!$C$8</x:f>
        <x:v>46104</x:v>
      </x:c>
      <x:c r="M62" s="2" t="n">
        <x:v>2</x:v>
      </x:c>
      <x:c r="N62" s="2" t="n">
        <x:v>1</x:v>
      </x:c>
      <x:c r="O62" s="2" t="n">
        <x:v>1</x:v>
      </x:c>
      <x:c r="P62" s="2" t="str">
        <x:v>simulado_didactico</x:v>
      </x:c>
    </x:row>
    <x:row r="63" ht="19" customHeight="1">
      <x:c r="A63" s="2" t="str">
        <x:v>SIM-E1-BB-L3-R04</x:v>
      </x:c>
      <x:c r="B63" s="2" t="n">
        <x:v>2</x:v>
      </x:c>
      <x:c r="C63" s="2" t="str">
        <x:v>BB</x:v>
      </x:c>
      <x:c r="D63" s="2" t="str">
        <x:v>Brevicoryne brassicae</x:v>
      </x:c>
      <x:c r="E63" s="2" t="str">
        <x:v>L3</x:v>
      </x:c>
      <x:c r="F63" s="2" t="n">
        <x:v>0</x:v>
      </x:c>
      <x:c r="G63" s="2" t="n">
        <x:v>4</x:v>
      </x:c>
      <x:c r="H63" s="2" t="n">
        <x:v>2</x:v>
      </x:c>
      <x:c r="I63" s="2" t="n">
        <x:v>30</x:v>
      </x:c>
      <x:c r="J63" s="14" t="n">
        <x:v>46090</x:v>
      </x:c>
      <x:c r="K63" s="14" t="n">
        <x:f>J63+O63</x:f>
        <x:v>46091</x:v>
      </x:c>
      <x:c r="L63" s="14" t="n">
        <x:f>J63+Supuestos!$C$8</x:f>
        <x:v>46104</x:v>
      </x:c>
      <x:c r="M63" s="2" t="n">
        <x:v>2</x:v>
      </x:c>
      <x:c r="N63" s="2" t="n">
        <x:v>1</x:v>
      </x:c>
      <x:c r="O63" s="2" t="n">
        <x:v>1</x:v>
      </x:c>
      <x:c r="P63" s="2" t="str">
        <x:v>simulado_didactico</x:v>
      </x:c>
    </x:row>
    <x:row r="64" ht="19" customHeight="1">
      <x:c r="A64" s="2" t="str">
        <x:v>SIM-E1-BB-L5-R03</x:v>
      </x:c>
      <x:c r="B64" s="2" t="n">
        <x:v>2</x:v>
      </x:c>
      <x:c r="C64" s="2" t="str">
        <x:v>BB</x:v>
      </x:c>
      <x:c r="D64" s="2" t="str">
        <x:v>Brevicoryne brassicae</x:v>
      </x:c>
      <x:c r="E64" s="2" t="str">
        <x:v>L5</x:v>
      </x:c>
      <x:c r="F64" s="2" t="n">
        <x:v>0</x:v>
      </x:c>
      <x:c r="G64" s="2" t="n">
        <x:v>3</x:v>
      </x:c>
      <x:c r="H64" s="2" t="n">
        <x:v>1</x:v>
      </x:c>
      <x:c r="I64" s="2" t="n">
        <x:v>7</x:v>
      </x:c>
      <x:c r="J64" s="14" t="n">
        <x:v>46090</x:v>
      </x:c>
      <x:c r="K64" s="14" t="n">
        <x:f>J64+O64</x:f>
        <x:v>46091</x:v>
      </x:c>
      <x:c r="L64" s="14" t="n">
        <x:f>J64+Supuestos!$C$8</x:f>
        <x:v>46104</x:v>
      </x:c>
      <x:c r="M64" s="2" t="n">
        <x:v>2</x:v>
      </x:c>
      <x:c r="N64" s="2" t="n">
        <x:v>1</x:v>
      </x:c>
      <x:c r="O64" s="2" t="n">
        <x:v>1</x:v>
      </x:c>
      <x:c r="P64" s="2" t="str">
        <x:v>simulado_didactico</x:v>
      </x:c>
    </x:row>
    <x:row r="65" ht="19" customHeight="1">
      <x:c r="A65" s="2" t="str">
        <x:v>SIM-E1-BB-L5-R04</x:v>
      </x:c>
      <x:c r="B65" s="2" t="n">
        <x:v>2</x:v>
      </x:c>
      <x:c r="C65" s="2" t="str">
        <x:v>BB</x:v>
      </x:c>
      <x:c r="D65" s="2" t="str">
        <x:v>Brevicoryne brassicae</x:v>
      </x:c>
      <x:c r="E65" s="2" t="str">
        <x:v>L5</x:v>
      </x:c>
      <x:c r="F65" s="2" t="n">
        <x:v>0</x:v>
      </x:c>
      <x:c r="G65" s="2" t="n">
        <x:v>4</x:v>
      </x:c>
      <x:c r="H65" s="2" t="n">
        <x:v>2</x:v>
      </x:c>
      <x:c r="I65" s="2" t="n">
        <x:v>32</x:v>
      </x:c>
      <x:c r="J65" s="14" t="n">
        <x:v>46090</x:v>
      </x:c>
      <x:c r="K65" s="14" t="n">
        <x:f>J65+O65</x:f>
        <x:v>46091</x:v>
      </x:c>
      <x:c r="L65" s="14" t="n">
        <x:f>J65+Supuestos!$C$8</x:f>
        <x:v>46104</x:v>
      </x:c>
      <x:c r="M65" s="2" t="n">
        <x:v>2</x:v>
      </x:c>
      <x:c r="N65" s="2" t="n">
        <x:v>1</x:v>
      </x:c>
      <x:c r="O65" s="2" t="n">
        <x:v>1</x:v>
      </x:c>
      <x:c r="P65" s="2" t="str">
        <x:v>simulado_didactico</x:v>
      </x:c>
    </x:row>
    <x:row r="66" ht="19" customHeight="1">
      <x:c r="A66" s="2" t="str">
        <x:v>SIM-E1-BB-L6-R03</x:v>
      </x:c>
      <x:c r="B66" s="2" t="n">
        <x:v>2</x:v>
      </x:c>
      <x:c r="C66" s="2" t="str">
        <x:v>BB</x:v>
      </x:c>
      <x:c r="D66" s="2" t="str">
        <x:v>Brevicoryne brassicae</x:v>
      </x:c>
      <x:c r="E66" s="2" t="str">
        <x:v>L6</x:v>
      </x:c>
      <x:c r="F66" s="2" t="n">
        <x:v>0</x:v>
      </x:c>
      <x:c r="G66" s="2" t="n">
        <x:v>3</x:v>
      </x:c>
      <x:c r="H66" s="2" t="n">
        <x:v>1</x:v>
      </x:c>
      <x:c r="I66" s="2" t="n">
        <x:v>11</x:v>
      </x:c>
      <x:c r="J66" s="14" t="n">
        <x:v>46090</x:v>
      </x:c>
      <x:c r="K66" s="14" t="n">
        <x:f>J66+O66</x:f>
        <x:v>46091</x:v>
      </x:c>
      <x:c r="L66" s="14" t="n">
        <x:f>J66+Supuestos!$C$8</x:f>
        <x:v>46104</x:v>
      </x:c>
      <x:c r="M66" s="2" t="n">
        <x:v>2</x:v>
      </x:c>
      <x:c r="N66" s="2" t="n">
        <x:v>1</x:v>
      </x:c>
      <x:c r="O66" s="2" t="n">
        <x:v>1</x:v>
      </x:c>
      <x:c r="P66" s="2" t="str">
        <x:v>simulado_didactico</x:v>
      </x:c>
    </x:row>
    <x:row r="67" ht="19" customHeight="1">
      <x:c r="A67" s="2" t="str">
        <x:v>SIM-E1-BB-L6-R04</x:v>
      </x:c>
      <x:c r="B67" s="2" t="n">
        <x:v>2</x:v>
      </x:c>
      <x:c r="C67" s="2" t="str">
        <x:v>BB</x:v>
      </x:c>
      <x:c r="D67" s="2" t="str">
        <x:v>Brevicoryne brassicae</x:v>
      </x:c>
      <x:c r="E67" s="2" t="str">
        <x:v>L6</x:v>
      </x:c>
      <x:c r="F67" s="2" t="n">
        <x:v>0</x:v>
      </x:c>
      <x:c r="G67" s="2" t="n">
        <x:v>4</x:v>
      </x:c>
      <x:c r="H67" s="2" t="n">
        <x:v>2</x:v>
      </x:c>
      <x:c r="I67" s="2" t="n">
        <x:v>16</x:v>
      </x:c>
      <x:c r="J67" s="14" t="n">
        <x:v>46090</x:v>
      </x:c>
      <x:c r="K67" s="14" t="n">
        <x:f>J67+O67</x:f>
        <x:v>46091</x:v>
      </x:c>
      <x:c r="L67" s="14" t="n">
        <x:f>J67+Supuestos!$C$8</x:f>
        <x:v>46104</x:v>
      </x:c>
      <x:c r="M67" s="2" t="n">
        <x:v>2</x:v>
      </x:c>
      <x:c r="N67" s="2" t="n">
        <x:v>1</x:v>
      </x:c>
      <x:c r="O67" s="2" t="n">
        <x:v>1</x:v>
      </x:c>
      <x:c r="P67" s="2" t="str">
        <x:v>simulado_didactico</x:v>
      </x:c>
    </x:row>
    <x:row r="68" ht="19" customHeight="1">
      <x:c r="A68" s="2" t="str">
        <x:v>SIM-E1-BB-L7-R03</x:v>
      </x:c>
      <x:c r="B68" s="2" t="n">
        <x:v>2</x:v>
      </x:c>
      <x:c r="C68" s="2" t="str">
        <x:v>BB</x:v>
      </x:c>
      <x:c r="D68" s="2" t="str">
        <x:v>Brevicoryne brassicae</x:v>
      </x:c>
      <x:c r="E68" s="2" t="str">
        <x:v>L7</x:v>
      </x:c>
      <x:c r="F68" s="2" t="n">
        <x:v>0</x:v>
      </x:c>
      <x:c r="G68" s="2" t="n">
        <x:v>3</x:v>
      </x:c>
      <x:c r="H68" s="2" t="n">
        <x:v>1</x:v>
      </x:c>
      <x:c r="I68" s="2" t="n">
        <x:v>35</x:v>
      </x:c>
      <x:c r="J68" s="14" t="n">
        <x:v>46090</x:v>
      </x:c>
      <x:c r="K68" s="14" t="n">
        <x:f>J68+O68</x:f>
        <x:v>46091</x:v>
      </x:c>
      <x:c r="L68" s="14" t="n">
        <x:f>J68+Supuestos!$C$8</x:f>
        <x:v>46104</x:v>
      </x:c>
      <x:c r="M68" s="2" t="n">
        <x:v>2</x:v>
      </x:c>
      <x:c r="N68" s="2" t="n">
        <x:v>1</x:v>
      </x:c>
      <x:c r="O68" s="2" t="n">
        <x:v>1</x:v>
      </x:c>
      <x:c r="P68" s="2" t="str">
        <x:v>simulado_didactico</x:v>
      </x:c>
    </x:row>
    <x:row r="69" ht="19" customHeight="1">
      <x:c r="A69" s="2" t="str">
        <x:v>SIM-E1-BB-L7-R04</x:v>
      </x:c>
      <x:c r="B69" s="2" t="n">
        <x:v>2</x:v>
      </x:c>
      <x:c r="C69" s="2" t="str">
        <x:v>BB</x:v>
      </x:c>
      <x:c r="D69" s="2" t="str">
        <x:v>Brevicoryne brassicae</x:v>
      </x:c>
      <x:c r="E69" s="2" t="str">
        <x:v>L7</x:v>
      </x:c>
      <x:c r="F69" s="2" t="n">
        <x:v>0</x:v>
      </x:c>
      <x:c r="G69" s="2" t="n">
        <x:v>4</x:v>
      </x:c>
      <x:c r="H69" s="2" t="n">
        <x:v>2</x:v>
      </x:c>
      <x:c r="I69" s="2" t="n">
        <x:v>19</x:v>
      </x:c>
      <x:c r="J69" s="14" t="n">
        <x:v>46090</x:v>
      </x:c>
      <x:c r="K69" s="14" t="n">
        <x:f>J69+O69</x:f>
        <x:v>46091</x:v>
      </x:c>
      <x:c r="L69" s="14" t="n">
        <x:f>J69+Supuestos!$C$8</x:f>
        <x:v>46104</x:v>
      </x:c>
      <x:c r="M69" s="2" t="n">
        <x:v>2</x:v>
      </x:c>
      <x:c r="N69" s="2" t="n">
        <x:v>1</x:v>
      </x:c>
      <x:c r="O69" s="2" t="n">
        <x:v>1</x:v>
      </x:c>
      <x:c r="P69" s="2" t="str">
        <x:v>simulado_didactico</x:v>
      </x:c>
    </x:row>
    <x:row r="70" ht="19" customHeight="1">
      <x:c r="A70" s="2" t="str">
        <x:v>SIM-E1-BB-L8-R03</x:v>
      </x:c>
      <x:c r="B70" s="2" t="n">
        <x:v>2</x:v>
      </x:c>
      <x:c r="C70" s="2" t="str">
        <x:v>BB</x:v>
      </x:c>
      <x:c r="D70" s="2" t="str">
        <x:v>Brevicoryne brassicae</x:v>
      </x:c>
      <x:c r="E70" s="2" t="str">
        <x:v>L8</x:v>
      </x:c>
      <x:c r="F70" s="2" t="n">
        <x:v>0</x:v>
      </x:c>
      <x:c r="G70" s="2" t="n">
        <x:v>3</x:v>
      </x:c>
      <x:c r="H70" s="2" t="n">
        <x:v>1</x:v>
      </x:c>
      <x:c r="I70" s="2" t="n">
        <x:v>18</x:v>
      </x:c>
      <x:c r="J70" s="14" t="n">
        <x:v>46090</x:v>
      </x:c>
      <x:c r="K70" s="14" t="n">
        <x:f>J70+O70</x:f>
        <x:v>46091</x:v>
      </x:c>
      <x:c r="L70" s="14" t="n">
        <x:f>J70+Supuestos!$C$8</x:f>
        <x:v>46104</x:v>
      </x:c>
      <x:c r="M70" s="2" t="n">
        <x:v>2</x:v>
      </x:c>
      <x:c r="N70" s="2" t="n">
        <x:v>1</x:v>
      </x:c>
      <x:c r="O70" s="2" t="n">
        <x:v>1</x:v>
      </x:c>
      <x:c r="P70" s="2" t="str">
        <x:v>simulado_didactico</x:v>
      </x:c>
    </x:row>
    <x:row r="71" ht="19" customHeight="1">
      <x:c r="A71" s="2" t="str">
        <x:v>SIM-E1-BB-L8-R04</x:v>
      </x:c>
      <x:c r="B71" s="2" t="n">
        <x:v>2</x:v>
      </x:c>
      <x:c r="C71" s="2" t="str">
        <x:v>BB</x:v>
      </x:c>
      <x:c r="D71" s="2" t="str">
        <x:v>Brevicoryne brassicae</x:v>
      </x:c>
      <x:c r="E71" s="2" t="str">
        <x:v>L8</x:v>
      </x:c>
      <x:c r="F71" s="2" t="n">
        <x:v>0</x:v>
      </x:c>
      <x:c r="G71" s="2" t="n">
        <x:v>4</x:v>
      </x:c>
      <x:c r="H71" s="2" t="n">
        <x:v>2</x:v>
      </x:c>
      <x:c r="I71" s="2" t="n">
        <x:v>34</x:v>
      </x:c>
      <x:c r="J71" s="14" t="n">
        <x:v>46090</x:v>
      </x:c>
      <x:c r="K71" s="14" t="n">
        <x:f>J71+O71</x:f>
        <x:v>46091</x:v>
      </x:c>
      <x:c r="L71" s="14" t="n">
        <x:f>J71+Supuestos!$C$8</x:f>
        <x:v>46104</x:v>
      </x:c>
      <x:c r="M71" s="2" t="n">
        <x:v>2</x:v>
      </x:c>
      <x:c r="N71" s="2" t="n">
        <x:v>1</x:v>
      </x:c>
      <x:c r="O71" s="2" t="n">
        <x:v>1</x:v>
      </x:c>
      <x:c r="P71" s="2" t="str">
        <x:v>simulado_didactico</x:v>
      </x:c>
    </x:row>
    <x:row r="72" ht="19" customHeight="1">
      <x:c r="A72" s="2" t="str">
        <x:v>SIM-E1-BB-L9-R03</x:v>
      </x:c>
      <x:c r="B72" s="2" t="n">
        <x:v>2</x:v>
      </x:c>
      <x:c r="C72" s="2" t="str">
        <x:v>BB</x:v>
      </x:c>
      <x:c r="D72" s="2" t="str">
        <x:v>Brevicoryne brassicae</x:v>
      </x:c>
      <x:c r="E72" s="2" t="str">
        <x:v>L9</x:v>
      </x:c>
      <x:c r="F72" s="2" t="n">
        <x:v>0</x:v>
      </x:c>
      <x:c r="G72" s="2" t="n">
        <x:v>3</x:v>
      </x:c>
      <x:c r="H72" s="2" t="n">
        <x:v>1</x:v>
      </x:c>
      <x:c r="I72" s="2" t="n">
        <x:v>31</x:v>
      </x:c>
      <x:c r="J72" s="14" t="n">
        <x:v>46090</x:v>
      </x:c>
      <x:c r="K72" s="14" t="n">
        <x:f>J72+O72</x:f>
        <x:v>46091</x:v>
      </x:c>
      <x:c r="L72" s="14" t="n">
        <x:f>J72+Supuestos!$C$8</x:f>
        <x:v>46104</x:v>
      </x:c>
      <x:c r="M72" s="2" t="n">
        <x:v>2</x:v>
      </x:c>
      <x:c r="N72" s="2" t="n">
        <x:v>1</x:v>
      </x:c>
      <x:c r="O72" s="2" t="n">
        <x:v>1</x:v>
      </x:c>
      <x:c r="P72" s="2" t="str">
        <x:v>simulado_didactico</x:v>
      </x:c>
    </x:row>
    <x:row r="73" ht="19" customHeight="1">
      <x:c r="A73" s="2" t="str">
        <x:v>SIM-E1-BB-L9-R04</x:v>
      </x:c>
      <x:c r="B73" s="2" t="n">
        <x:v>2</x:v>
      </x:c>
      <x:c r="C73" s="2" t="str">
        <x:v>BB</x:v>
      </x:c>
      <x:c r="D73" s="2" t="str">
        <x:v>Brevicoryne brassicae</x:v>
      </x:c>
      <x:c r="E73" s="2" t="str">
        <x:v>L9</x:v>
      </x:c>
      <x:c r="F73" s="2" t="n">
        <x:v>0</x:v>
      </x:c>
      <x:c r="G73" s="2" t="n">
        <x:v>4</x:v>
      </x:c>
      <x:c r="H73" s="2" t="n">
        <x:v>2</x:v>
      </x:c>
      <x:c r="I73" s="2" t="n">
        <x:v>20</x:v>
      </x:c>
      <x:c r="J73" s="14" t="n">
        <x:v>46090</x:v>
      </x:c>
      <x:c r="K73" s="14" t="n">
        <x:f>J73+O73</x:f>
        <x:v>46091</x:v>
      </x:c>
      <x:c r="L73" s="14" t="n">
        <x:f>J73+Supuestos!$C$8</x:f>
        <x:v>46104</x:v>
      </x:c>
      <x:c r="M73" s="2" t="n">
        <x:v>2</x:v>
      </x:c>
      <x:c r="N73" s="2" t="n">
        <x:v>1</x:v>
      </x:c>
      <x:c r="O73" s="2" t="n">
        <x:v>1</x:v>
      </x:c>
      <x:c r="P73" s="2" t="str">
        <x:v>simulado_didactico</x:v>
      </x:c>
    </x:row>
    <x:row r="74" ht="19" customHeight="1">
      <x:c r="A74" s="2" t="str">
        <x:v>SIM-E1-MP-L0-R05</x:v>
      </x:c>
      <x:c r="B74" s="2" t="n">
        <x:v>3</x:v>
      </x:c>
      <x:c r="C74" s="2" t="str">
        <x:v>MP</x:v>
      </x:c>
      <x:c r="D74" s="2" t="str">
        <x:v>Myzus persicae</x:v>
      </x:c>
      <x:c r="E74" s="2" t="str">
        <x:v>L0</x:v>
      </x:c>
      <x:c r="F74" s="2" t="n">
        <x:v>1</x:v>
      </x:c>
      <x:c r="G74" s="2" t="n">
        <x:v>5</x:v>
      </x:c>
      <x:c r="H74" s="2" t="n">
        <x:v>1</x:v>
      </x:c>
      <x:c r="I74" s="2" t="n">
        <x:v>25</x:v>
      </x:c>
      <x:c r="J74" s="14" t="n">
        <x:v>46097</x:v>
      </x:c>
      <x:c r="K74" s="14" t="n">
        <x:f>J74+O74</x:f>
        <x:v>46098</x:v>
      </x:c>
      <x:c r="L74" s="14" t="n">
        <x:f>J74+Supuestos!$C$8</x:f>
        <x:v>46111</x:v>
      </x:c>
      <x:c r="M74" s="2" t="n">
        <x:v>2</x:v>
      </x:c>
      <x:c r="N74" s="2" t="n">
        <x:v>1</x:v>
      </x:c>
      <x:c r="O74" s="2" t="n">
        <x:v>1</x:v>
      </x:c>
      <x:c r="P74" s="2" t="str">
        <x:v>simulado_didactico</x:v>
      </x:c>
    </x:row>
    <x:row r="75" ht="19" customHeight="1">
      <x:c r="A75" s="2" t="str">
        <x:v>SIM-E1-MP-L0-R06</x:v>
      </x:c>
      <x:c r="B75" s="2" t="n">
        <x:v>3</x:v>
      </x:c>
      <x:c r="C75" s="2" t="str">
        <x:v>MP</x:v>
      </x:c>
      <x:c r="D75" s="2" t="str">
        <x:v>Myzus persicae</x:v>
      </x:c>
      <x:c r="E75" s="2" t="str">
        <x:v>L0</x:v>
      </x:c>
      <x:c r="F75" s="2" t="n">
        <x:v>1</x:v>
      </x:c>
      <x:c r="G75" s="2" t="n">
        <x:v>6</x:v>
      </x:c>
      <x:c r="H75" s="2" t="n">
        <x:v>2</x:v>
      </x:c>
      <x:c r="I75" s="2" t="n">
        <x:v>26</x:v>
      </x:c>
      <x:c r="J75" s="14" t="n">
        <x:v>46097</x:v>
      </x:c>
      <x:c r="K75" s="14" t="n">
        <x:f>J75+O75</x:f>
        <x:v>46098</x:v>
      </x:c>
      <x:c r="L75" s="14" t="n">
        <x:f>J75+Supuestos!$C$8</x:f>
        <x:v>46111</x:v>
      </x:c>
      <x:c r="M75" s="2" t="n">
        <x:v>2</x:v>
      </x:c>
      <x:c r="N75" s="2" t="n">
        <x:v>1</x:v>
      </x:c>
      <x:c r="O75" s="2" t="n">
        <x:v>1</x:v>
      </x:c>
      <x:c r="P75" s="2" t="str">
        <x:v>simulado_didactico</x:v>
      </x:c>
    </x:row>
    <x:row r="76" ht="19" customHeight="1">
      <x:c r="A76" s="2" t="str">
        <x:v>SIM-E1-MP-L1-R05</x:v>
      </x:c>
      <x:c r="B76" s="2" t="n">
        <x:v>3</x:v>
      </x:c>
      <x:c r="C76" s="2" t="str">
        <x:v>MP</x:v>
      </x:c>
      <x:c r="D76" s="2" t="str">
        <x:v>Myzus persicae</x:v>
      </x:c>
      <x:c r="E76" s="2" t="str">
        <x:v>L1</x:v>
      </x:c>
      <x:c r="F76" s="2" t="n">
        <x:v>0</x:v>
      </x:c>
      <x:c r="G76" s="2" t="n">
        <x:v>5</x:v>
      </x:c>
      <x:c r="H76" s="2" t="n">
        <x:v>1</x:v>
      </x:c>
      <x:c r="I76" s="2" t="n">
        <x:v>4</x:v>
      </x:c>
      <x:c r="J76" s="14" t="n">
        <x:v>46097</x:v>
      </x:c>
      <x:c r="K76" s="14" t="n">
        <x:f>J76+O76</x:f>
        <x:v>46098</x:v>
      </x:c>
      <x:c r="L76" s="14" t="n">
        <x:f>J76+Supuestos!$C$8</x:f>
        <x:v>46111</x:v>
      </x:c>
      <x:c r="M76" s="2" t="n">
        <x:v>2</x:v>
      </x:c>
      <x:c r="N76" s="2" t="n">
        <x:v>1</x:v>
      </x:c>
      <x:c r="O76" s="2" t="n">
        <x:v>1</x:v>
      </x:c>
      <x:c r="P76" s="2" t="str">
        <x:v>simulado_didactico</x:v>
      </x:c>
    </x:row>
    <x:row r="77" ht="19" customHeight="1">
      <x:c r="A77" s="2" t="str">
        <x:v>SIM-E1-MP-L1-R06</x:v>
      </x:c>
      <x:c r="B77" s="2" t="n">
        <x:v>3</x:v>
      </x:c>
      <x:c r="C77" s="2" t="str">
        <x:v>MP</x:v>
      </x:c>
      <x:c r="D77" s="2" t="str">
        <x:v>Myzus persicae</x:v>
      </x:c>
      <x:c r="E77" s="2" t="str">
        <x:v>L1</x:v>
      </x:c>
      <x:c r="F77" s="2" t="n">
        <x:v>0</x:v>
      </x:c>
      <x:c r="G77" s="2" t="n">
        <x:v>6</x:v>
      </x:c>
      <x:c r="H77" s="2" t="n">
        <x:v>2</x:v>
      </x:c>
      <x:c r="I77" s="2" t="n">
        <x:v>27</x:v>
      </x:c>
      <x:c r="J77" s="14" t="n">
        <x:v>46097</x:v>
      </x:c>
      <x:c r="K77" s="14" t="n">
        <x:f>J77+O77</x:f>
        <x:v>46098</x:v>
      </x:c>
      <x:c r="L77" s="14" t="n">
        <x:f>J77+Supuestos!$C$8</x:f>
        <x:v>46111</x:v>
      </x:c>
      <x:c r="M77" s="2" t="n">
        <x:v>2</x:v>
      </x:c>
      <x:c r="N77" s="2" t="n">
        <x:v>1</x:v>
      </x:c>
      <x:c r="O77" s="2" t="n">
        <x:v>1</x:v>
      </x:c>
      <x:c r="P77" s="2" t="str">
        <x:v>simulado_didactico</x:v>
      </x:c>
    </x:row>
    <x:row r="78" ht="19" customHeight="1">
      <x:c r="A78" s="2" t="str">
        <x:v>SIM-E1-MP-L2-R05</x:v>
      </x:c>
      <x:c r="B78" s="2" t="n">
        <x:v>3</x:v>
      </x:c>
      <x:c r="C78" s="2" t="str">
        <x:v>MP</x:v>
      </x:c>
      <x:c r="D78" s="2" t="str">
        <x:v>Myzus persicae</x:v>
      </x:c>
      <x:c r="E78" s="2" t="str">
        <x:v>L2</x:v>
      </x:c>
      <x:c r="F78" s="2" t="n">
        <x:v>0</x:v>
      </x:c>
      <x:c r="G78" s="2" t="n">
        <x:v>5</x:v>
      </x:c>
      <x:c r="H78" s="2" t="n">
        <x:v>1</x:v>
      </x:c>
      <x:c r="I78" s="2" t="n">
        <x:v>17</x:v>
      </x:c>
      <x:c r="J78" s="14" t="n">
        <x:v>46097</x:v>
      </x:c>
      <x:c r="K78" s="14" t="n">
        <x:f>J78+O78</x:f>
        <x:v>46098</x:v>
      </x:c>
      <x:c r="L78" s="14" t="n">
        <x:f>J78+Supuestos!$C$8</x:f>
        <x:v>46111</x:v>
      </x:c>
      <x:c r="M78" s="2" t="n">
        <x:v>2</x:v>
      </x:c>
      <x:c r="N78" s="2" t="n">
        <x:v>1</x:v>
      </x:c>
      <x:c r="O78" s="2" t="n">
        <x:v>1</x:v>
      </x:c>
      <x:c r="P78" s="2" t="str">
        <x:v>simulado_didactico</x:v>
      </x:c>
    </x:row>
    <x:row r="79" ht="19" customHeight="1">
      <x:c r="A79" s="2" t="str">
        <x:v>SIM-E1-MP-L2-R06</x:v>
      </x:c>
      <x:c r="B79" s="2" t="n">
        <x:v>3</x:v>
      </x:c>
      <x:c r="C79" s="2" t="str">
        <x:v>MP</x:v>
      </x:c>
      <x:c r="D79" s="2" t="str">
        <x:v>Myzus persicae</x:v>
      </x:c>
      <x:c r="E79" s="2" t="str">
        <x:v>L2</x:v>
      </x:c>
      <x:c r="F79" s="2" t="n">
        <x:v>0</x:v>
      </x:c>
      <x:c r="G79" s="2" t="n">
        <x:v>6</x:v>
      </x:c>
      <x:c r="H79" s="2" t="n">
        <x:v>2</x:v>
      </x:c>
      <x:c r="I79" s="2" t="n">
        <x:v>8</x:v>
      </x:c>
      <x:c r="J79" s="14" t="n">
        <x:v>46097</x:v>
      </x:c>
      <x:c r="K79" s="14" t="n">
        <x:f>J79+O79</x:f>
        <x:v>46098</x:v>
      </x:c>
      <x:c r="L79" s="14" t="n">
        <x:f>J79+Supuestos!$C$8</x:f>
        <x:v>46111</x:v>
      </x:c>
      <x:c r="M79" s="2" t="n">
        <x:v>2</x:v>
      </x:c>
      <x:c r="N79" s="2" t="n">
        <x:v>1</x:v>
      </x:c>
      <x:c r="O79" s="2" t="n">
        <x:v>1</x:v>
      </x:c>
      <x:c r="P79" s="2" t="str">
        <x:v>simulado_didactico</x:v>
      </x:c>
    </x:row>
    <x:row r="80" ht="19" customHeight="1">
      <x:c r="A80" s="2" t="str">
        <x:v>SIM-E1-MP-L3-R05</x:v>
      </x:c>
      <x:c r="B80" s="2" t="n">
        <x:v>3</x:v>
      </x:c>
      <x:c r="C80" s="2" t="str">
        <x:v>MP</x:v>
      </x:c>
      <x:c r="D80" s="2" t="str">
        <x:v>Myzus persicae</x:v>
      </x:c>
      <x:c r="E80" s="2" t="str">
        <x:v>L3</x:v>
      </x:c>
      <x:c r="F80" s="2" t="n">
        <x:v>0</x:v>
      </x:c>
      <x:c r="G80" s="2" t="n">
        <x:v>5</x:v>
      </x:c>
      <x:c r="H80" s="2" t="n">
        <x:v>1</x:v>
      </x:c>
      <x:c r="I80" s="2" t="n">
        <x:v>3</x:v>
      </x:c>
      <x:c r="J80" s="14" t="n">
        <x:v>46097</x:v>
      </x:c>
      <x:c r="K80" s="14" t="n">
        <x:f>J80+O80</x:f>
        <x:v>46098</x:v>
      </x:c>
      <x:c r="L80" s="14" t="n">
        <x:f>J80+Supuestos!$C$8</x:f>
        <x:v>46111</x:v>
      </x:c>
      <x:c r="M80" s="2" t="n">
        <x:v>2</x:v>
      </x:c>
      <x:c r="N80" s="2" t="n">
        <x:v>1</x:v>
      </x:c>
      <x:c r="O80" s="2" t="n">
        <x:v>1</x:v>
      </x:c>
      <x:c r="P80" s="2" t="str">
        <x:v>simulado_didactico</x:v>
      </x:c>
    </x:row>
    <x:row r="81" ht="19" customHeight="1">
      <x:c r="A81" s="2" t="str">
        <x:v>SIM-E1-MP-L3-R06</x:v>
      </x:c>
      <x:c r="B81" s="2" t="n">
        <x:v>3</x:v>
      </x:c>
      <x:c r="C81" s="2" t="str">
        <x:v>MP</x:v>
      </x:c>
      <x:c r="D81" s="2" t="str">
        <x:v>Myzus persicae</x:v>
      </x:c>
      <x:c r="E81" s="2" t="str">
        <x:v>L3</x:v>
      </x:c>
      <x:c r="F81" s="2" t="n">
        <x:v>0</x:v>
      </x:c>
      <x:c r="G81" s="2" t="n">
        <x:v>6</x:v>
      </x:c>
      <x:c r="H81" s="2" t="n">
        <x:v>2</x:v>
      </x:c>
      <x:c r="I81" s="2" t="n">
        <x:v>13</x:v>
      </x:c>
      <x:c r="J81" s="14" t="n">
        <x:v>46097</x:v>
      </x:c>
      <x:c r="K81" s="14" t="n">
        <x:f>J81+O81</x:f>
        <x:v>46098</x:v>
      </x:c>
      <x:c r="L81" s="14" t="n">
        <x:f>J81+Supuestos!$C$8</x:f>
        <x:v>46111</x:v>
      </x:c>
      <x:c r="M81" s="2" t="n">
        <x:v>2</x:v>
      </x:c>
      <x:c r="N81" s="2" t="n">
        <x:v>1</x:v>
      </x:c>
      <x:c r="O81" s="2" t="n">
        <x:v>1</x:v>
      </x:c>
      <x:c r="P81" s="2" t="str">
        <x:v>simulado_didactico</x:v>
      </x:c>
    </x:row>
    <x:row r="82" ht="19" customHeight="1">
      <x:c r="A82" s="2" t="str">
        <x:v>SIM-E1-MP-L5-R05</x:v>
      </x:c>
      <x:c r="B82" s="2" t="n">
        <x:v>3</x:v>
      </x:c>
      <x:c r="C82" s="2" t="str">
        <x:v>MP</x:v>
      </x:c>
      <x:c r="D82" s="2" t="str">
        <x:v>Myzus persicae</x:v>
      </x:c>
      <x:c r="E82" s="2" t="str">
        <x:v>L5</x:v>
      </x:c>
      <x:c r="F82" s="2" t="n">
        <x:v>0</x:v>
      </x:c>
      <x:c r="G82" s="2" t="n">
        <x:v>5</x:v>
      </x:c>
      <x:c r="H82" s="2" t="n">
        <x:v>1</x:v>
      </x:c>
      <x:c r="I82" s="2" t="n">
        <x:v>30</x:v>
      </x:c>
      <x:c r="J82" s="14" t="n">
        <x:v>46097</x:v>
      </x:c>
      <x:c r="K82" s="14" t="n">
        <x:f>J82+O82</x:f>
        <x:v>46098</x:v>
      </x:c>
      <x:c r="L82" s="14" t="n">
        <x:f>J82+Supuestos!$C$8</x:f>
        <x:v>46111</x:v>
      </x:c>
      <x:c r="M82" s="2" t="n">
        <x:v>2</x:v>
      </x:c>
      <x:c r="N82" s="2" t="n">
        <x:v>1</x:v>
      </x:c>
      <x:c r="O82" s="2" t="n">
        <x:v>1</x:v>
      </x:c>
      <x:c r="P82" s="2" t="str">
        <x:v>simulado_didactico</x:v>
      </x:c>
    </x:row>
    <x:row r="83" ht="19" customHeight="1">
      <x:c r="A83" s="2" t="str">
        <x:v>SIM-E1-MP-L5-R06</x:v>
      </x:c>
      <x:c r="B83" s="2" t="n">
        <x:v>3</x:v>
      </x:c>
      <x:c r="C83" s="2" t="str">
        <x:v>MP</x:v>
      </x:c>
      <x:c r="D83" s="2" t="str">
        <x:v>Myzus persicae</x:v>
      </x:c>
      <x:c r="E83" s="2" t="str">
        <x:v>L5</x:v>
      </x:c>
      <x:c r="F83" s="2" t="n">
        <x:v>0</x:v>
      </x:c>
      <x:c r="G83" s="2" t="n">
        <x:v>6</x:v>
      </x:c>
      <x:c r="H83" s="2" t="n">
        <x:v>2</x:v>
      </x:c>
      <x:c r="I83" s="2" t="n">
        <x:v>21</x:v>
      </x:c>
      <x:c r="J83" s="14" t="n">
        <x:v>46097</x:v>
      </x:c>
      <x:c r="K83" s="14" t="n">
        <x:f>J83+O83</x:f>
        <x:v>46098</x:v>
      </x:c>
      <x:c r="L83" s="14" t="n">
        <x:f>J83+Supuestos!$C$8</x:f>
        <x:v>46111</x:v>
      </x:c>
      <x:c r="M83" s="2" t="n">
        <x:v>2</x:v>
      </x:c>
      <x:c r="N83" s="2" t="n">
        <x:v>1</x:v>
      </x:c>
      <x:c r="O83" s="2" t="n">
        <x:v>1</x:v>
      </x:c>
      <x:c r="P83" s="2" t="str">
        <x:v>simulado_didactico</x:v>
      </x:c>
    </x:row>
    <x:row r="84" ht="19" customHeight="1">
      <x:c r="A84" s="2" t="str">
        <x:v>SIM-E1-MP-L6-R05</x:v>
      </x:c>
      <x:c r="B84" s="2" t="n">
        <x:v>3</x:v>
      </x:c>
      <x:c r="C84" s="2" t="str">
        <x:v>MP</x:v>
      </x:c>
      <x:c r="D84" s="2" t="str">
        <x:v>Myzus persicae</x:v>
      </x:c>
      <x:c r="E84" s="2" t="str">
        <x:v>L6</x:v>
      </x:c>
      <x:c r="F84" s="2" t="n">
        <x:v>0</x:v>
      </x:c>
      <x:c r="G84" s="2" t="n">
        <x:v>5</x:v>
      </x:c>
      <x:c r="H84" s="2" t="n">
        <x:v>1</x:v>
      </x:c>
      <x:c r="I84" s="2" t="n">
        <x:v>11</x:v>
      </x:c>
      <x:c r="J84" s="14" t="n">
        <x:v>46097</x:v>
      </x:c>
      <x:c r="K84" s="14" t="n">
        <x:f>J84+O84</x:f>
        <x:v>46098</x:v>
      </x:c>
      <x:c r="L84" s="14" t="n">
        <x:f>J84+Supuestos!$C$8</x:f>
        <x:v>46111</x:v>
      </x:c>
      <x:c r="M84" s="2" t="n">
        <x:v>2</x:v>
      </x:c>
      <x:c r="N84" s="2" t="n">
        <x:v>1</x:v>
      </x:c>
      <x:c r="O84" s="2" t="n">
        <x:v>1</x:v>
      </x:c>
      <x:c r="P84" s="2" t="str">
        <x:v>simulado_didactico</x:v>
      </x:c>
    </x:row>
    <x:row r="85" ht="19" customHeight="1">
      <x:c r="A85" s="2" t="str">
        <x:v>SIM-E1-MP-L6-R06</x:v>
      </x:c>
      <x:c r="B85" s="2" t="n">
        <x:v>3</x:v>
      </x:c>
      <x:c r="C85" s="2" t="str">
        <x:v>MP</x:v>
      </x:c>
      <x:c r="D85" s="2" t="str">
        <x:v>Myzus persicae</x:v>
      </x:c>
      <x:c r="E85" s="2" t="str">
        <x:v>L6</x:v>
      </x:c>
      <x:c r="F85" s="2" t="n">
        <x:v>0</x:v>
      </x:c>
      <x:c r="G85" s="2" t="n">
        <x:v>6</x:v>
      </x:c>
      <x:c r="H85" s="2" t="n">
        <x:v>2</x:v>
      </x:c>
      <x:c r="I85" s="2" t="n">
        <x:v>14</x:v>
      </x:c>
      <x:c r="J85" s="14" t="n">
        <x:v>46097</x:v>
      </x:c>
      <x:c r="K85" s="14" t="n">
        <x:f>J85+O85</x:f>
        <x:v>46098</x:v>
      </x:c>
      <x:c r="L85" s="14" t="n">
        <x:f>J85+Supuestos!$C$8</x:f>
        <x:v>46111</x:v>
      </x:c>
      <x:c r="M85" s="2" t="n">
        <x:v>2</x:v>
      </x:c>
      <x:c r="N85" s="2" t="n">
        <x:v>1</x:v>
      </x:c>
      <x:c r="O85" s="2" t="n">
        <x:v>1</x:v>
      </x:c>
      <x:c r="P85" s="2" t="str">
        <x:v>simulado_didactico</x:v>
      </x:c>
    </x:row>
    <x:row r="86" ht="19" customHeight="1">
      <x:c r="A86" s="2" t="str">
        <x:v>SIM-E1-MP-L7-R05</x:v>
      </x:c>
      <x:c r="B86" s="2" t="n">
        <x:v>3</x:v>
      </x:c>
      <x:c r="C86" s="2" t="str">
        <x:v>MP</x:v>
      </x:c>
      <x:c r="D86" s="2" t="str">
        <x:v>Myzus persicae</x:v>
      </x:c>
      <x:c r="E86" s="2" t="str">
        <x:v>L7</x:v>
      </x:c>
      <x:c r="F86" s="2" t="n">
        <x:v>0</x:v>
      </x:c>
      <x:c r="G86" s="2" t="n">
        <x:v>5</x:v>
      </x:c>
      <x:c r="H86" s="2" t="n">
        <x:v>1</x:v>
      </x:c>
      <x:c r="I86" s="2" t="n">
        <x:v>20</x:v>
      </x:c>
      <x:c r="J86" s="14" t="n">
        <x:v>46097</x:v>
      </x:c>
      <x:c r="K86" s="14" t="n">
        <x:f>J86+O86</x:f>
        <x:v>46098</x:v>
      </x:c>
      <x:c r="L86" s="14" t="n">
        <x:f>J86+Supuestos!$C$8</x:f>
        <x:v>46111</x:v>
      </x:c>
      <x:c r="M86" s="2" t="n">
        <x:v>2</x:v>
      </x:c>
      <x:c r="N86" s="2" t="n">
        <x:v>1</x:v>
      </x:c>
      <x:c r="O86" s="2" t="n">
        <x:v>1</x:v>
      </x:c>
      <x:c r="P86" s="2" t="str">
        <x:v>simulado_didactico</x:v>
      </x:c>
    </x:row>
    <x:row r="87" ht="19" customHeight="1">
      <x:c r="A87" s="2" t="str">
        <x:v>SIM-E1-MP-L7-R06</x:v>
      </x:c>
      <x:c r="B87" s="2" t="n">
        <x:v>3</x:v>
      </x:c>
      <x:c r="C87" s="2" t="str">
        <x:v>MP</x:v>
      </x:c>
      <x:c r="D87" s="2" t="str">
        <x:v>Myzus persicae</x:v>
      </x:c>
      <x:c r="E87" s="2" t="str">
        <x:v>L7</x:v>
      </x:c>
      <x:c r="F87" s="2" t="n">
        <x:v>0</x:v>
      </x:c>
      <x:c r="G87" s="2" t="n">
        <x:v>6</x:v>
      </x:c>
      <x:c r="H87" s="2" t="n">
        <x:v>2</x:v>
      </x:c>
      <x:c r="I87" s="2" t="n">
        <x:v>18</x:v>
      </x:c>
      <x:c r="J87" s="14" t="n">
        <x:v>46097</x:v>
      </x:c>
      <x:c r="K87" s="14" t="n">
        <x:f>J87+O87</x:f>
        <x:v>46098</x:v>
      </x:c>
      <x:c r="L87" s="14" t="n">
        <x:f>J87+Supuestos!$C$8</x:f>
        <x:v>46111</x:v>
      </x:c>
      <x:c r="M87" s="2" t="n">
        <x:v>2</x:v>
      </x:c>
      <x:c r="N87" s="2" t="n">
        <x:v>1</x:v>
      </x:c>
      <x:c r="O87" s="2" t="n">
        <x:v>1</x:v>
      </x:c>
      <x:c r="P87" s="2" t="str">
        <x:v>simulado_didactico</x:v>
      </x:c>
    </x:row>
    <x:row r="88" ht="19" customHeight="1">
      <x:c r="A88" s="2" t="str">
        <x:v>SIM-E1-MP-L8-R05</x:v>
      </x:c>
      <x:c r="B88" s="2" t="n">
        <x:v>3</x:v>
      </x:c>
      <x:c r="C88" s="2" t="str">
        <x:v>MP</x:v>
      </x:c>
      <x:c r="D88" s="2" t="str">
        <x:v>Myzus persicae</x:v>
      </x:c>
      <x:c r="E88" s="2" t="str">
        <x:v>L8</x:v>
      </x:c>
      <x:c r="F88" s="2" t="n">
        <x:v>0</x:v>
      </x:c>
      <x:c r="G88" s="2" t="n">
        <x:v>5</x:v>
      </x:c>
      <x:c r="H88" s="2" t="n">
        <x:v>1</x:v>
      </x:c>
      <x:c r="I88" s="2" t="n">
        <x:v>28</x:v>
      </x:c>
      <x:c r="J88" s="14" t="n">
        <x:v>46097</x:v>
      </x:c>
      <x:c r="K88" s="14" t="n">
        <x:f>J88+O88</x:f>
        <x:v>46098</x:v>
      </x:c>
      <x:c r="L88" s="14" t="n">
        <x:f>J88+Supuestos!$C$8</x:f>
        <x:v>46111</x:v>
      </x:c>
      <x:c r="M88" s="2" t="n">
        <x:v>2</x:v>
      </x:c>
      <x:c r="N88" s="2" t="n">
        <x:v>1</x:v>
      </x:c>
      <x:c r="O88" s="2" t="n">
        <x:v>1</x:v>
      </x:c>
      <x:c r="P88" s="2" t="str">
        <x:v>simulado_didactico</x:v>
      </x:c>
    </x:row>
    <x:row r="89" ht="19" customHeight="1">
      <x:c r="A89" s="2" t="str">
        <x:v>SIM-E1-MP-L8-R06</x:v>
      </x:c>
      <x:c r="B89" s="2" t="n">
        <x:v>3</x:v>
      </x:c>
      <x:c r="C89" s="2" t="str">
        <x:v>MP</x:v>
      </x:c>
      <x:c r="D89" s="2" t="str">
        <x:v>Myzus persicae</x:v>
      </x:c>
      <x:c r="E89" s="2" t="str">
        <x:v>L8</x:v>
      </x:c>
      <x:c r="F89" s="2" t="n">
        <x:v>0</x:v>
      </x:c>
      <x:c r="G89" s="2" t="n">
        <x:v>6</x:v>
      </x:c>
      <x:c r="H89" s="2" t="n">
        <x:v>2</x:v>
      </x:c>
      <x:c r="I89" s="2" t="n">
        <x:v>1</x:v>
      </x:c>
      <x:c r="J89" s="14" t="n">
        <x:v>46097</x:v>
      </x:c>
      <x:c r="K89" s="14" t="n">
        <x:f>J89+O89</x:f>
        <x:v>46098</x:v>
      </x:c>
      <x:c r="L89" s="14" t="n">
        <x:f>J89+Supuestos!$C$8</x:f>
        <x:v>46111</x:v>
      </x:c>
      <x:c r="M89" s="2" t="n">
        <x:v>2</x:v>
      </x:c>
      <x:c r="N89" s="2" t="n">
        <x:v>1</x:v>
      </x:c>
      <x:c r="O89" s="2" t="n">
        <x:v>1</x:v>
      </x:c>
      <x:c r="P89" s="2" t="str">
        <x:v>simulado_didactico</x:v>
      </x:c>
    </x:row>
    <x:row r="90" ht="19" customHeight="1">
      <x:c r="A90" s="2" t="str">
        <x:v>SIM-E1-MP-L9-R05</x:v>
      </x:c>
      <x:c r="B90" s="2" t="n">
        <x:v>3</x:v>
      </x:c>
      <x:c r="C90" s="2" t="str">
        <x:v>MP</x:v>
      </x:c>
      <x:c r="D90" s="2" t="str">
        <x:v>Myzus persicae</x:v>
      </x:c>
      <x:c r="E90" s="2" t="str">
        <x:v>L9</x:v>
      </x:c>
      <x:c r="F90" s="2" t="n">
        <x:v>0</x:v>
      </x:c>
      <x:c r="G90" s="2" t="n">
        <x:v>5</x:v>
      </x:c>
      <x:c r="H90" s="2" t="n">
        <x:v>1</x:v>
      </x:c>
      <x:c r="I90" s="2" t="n">
        <x:v>33</x:v>
      </x:c>
      <x:c r="J90" s="14" t="n">
        <x:v>46097</x:v>
      </x:c>
      <x:c r="K90" s="14" t="n">
        <x:f>J90+O90</x:f>
        <x:v>46098</x:v>
      </x:c>
      <x:c r="L90" s="14" t="n">
        <x:f>J90+Supuestos!$C$8</x:f>
        <x:v>46111</x:v>
      </x:c>
      <x:c r="M90" s="2" t="n">
        <x:v>2</x:v>
      </x:c>
      <x:c r="N90" s="2" t="n">
        <x:v>1</x:v>
      </x:c>
      <x:c r="O90" s="2" t="n">
        <x:v>1</x:v>
      </x:c>
      <x:c r="P90" s="2" t="str">
        <x:v>simulado_didactico</x:v>
      </x:c>
    </x:row>
    <x:row r="91" ht="19" customHeight="1">
      <x:c r="A91" s="2" t="str">
        <x:v>SIM-E1-MP-L9-R06</x:v>
      </x:c>
      <x:c r="B91" s="2" t="n">
        <x:v>3</x:v>
      </x:c>
      <x:c r="C91" s="2" t="str">
        <x:v>MP</x:v>
      </x:c>
      <x:c r="D91" s="2" t="str">
        <x:v>Myzus persicae</x:v>
      </x:c>
      <x:c r="E91" s="2" t="str">
        <x:v>L9</x:v>
      </x:c>
      <x:c r="F91" s="2" t="n">
        <x:v>0</x:v>
      </x:c>
      <x:c r="G91" s="2" t="n">
        <x:v>6</x:v>
      </x:c>
      <x:c r="H91" s="2" t="n">
        <x:v>2</x:v>
      </x:c>
      <x:c r="I91" s="2" t="n">
        <x:v>6</x:v>
      </x:c>
      <x:c r="J91" s="14" t="n">
        <x:v>46097</x:v>
      </x:c>
      <x:c r="K91" s="14" t="n">
        <x:f>J91+O91</x:f>
        <x:v>46098</x:v>
      </x:c>
      <x:c r="L91" s="14" t="n">
        <x:f>J91+Supuestos!$C$8</x:f>
        <x:v>46111</x:v>
      </x:c>
      <x:c r="M91" s="2" t="n">
        <x:v>2</x:v>
      </x:c>
      <x:c r="N91" s="2" t="n">
        <x:v>1</x:v>
      </x:c>
      <x:c r="O91" s="2" t="n">
        <x:v>1</x:v>
      </x:c>
      <x:c r="P91" s="2" t="str">
        <x:v>simulado_didactico</x:v>
      </x:c>
    </x:row>
    <x:row r="92" ht="19" customHeight="1">
      <x:c r="A92" s="2" t="str">
        <x:v>SIM-E1-BB-L0-R05</x:v>
      </x:c>
      <x:c r="B92" s="2" t="n">
        <x:v>3</x:v>
      </x:c>
      <x:c r="C92" s="2" t="str">
        <x:v>BB</x:v>
      </x:c>
      <x:c r="D92" s="2" t="str">
        <x:v>Brevicoryne brassicae</x:v>
      </x:c>
      <x:c r="E92" s="2" t="str">
        <x:v>L0</x:v>
      </x:c>
      <x:c r="F92" s="2" t="n">
        <x:v>1</x:v>
      </x:c>
      <x:c r="G92" s="2" t="n">
        <x:v>5</x:v>
      </x:c>
      <x:c r="H92" s="2" t="n">
        <x:v>1</x:v>
      </x:c>
      <x:c r="I92" s="2" t="n">
        <x:v>35</x:v>
      </x:c>
      <x:c r="J92" s="14" t="n">
        <x:v>46097</x:v>
      </x:c>
      <x:c r="K92" s="14" t="n">
        <x:f>J92+O92</x:f>
        <x:v>46098</x:v>
      </x:c>
      <x:c r="L92" s="14" t="n">
        <x:f>J92+Supuestos!$C$8</x:f>
        <x:v>46111</x:v>
      </x:c>
      <x:c r="M92" s="2" t="n">
        <x:v>2</x:v>
      </x:c>
      <x:c r="N92" s="2" t="n">
        <x:v>1</x:v>
      </x:c>
      <x:c r="O92" s="2" t="n">
        <x:v>1</x:v>
      </x:c>
      <x:c r="P92" s="2" t="str">
        <x:v>simulado_didactico</x:v>
      </x:c>
    </x:row>
    <x:row r="93" ht="19" customHeight="1">
      <x:c r="A93" s="2" t="str">
        <x:v>SIM-E1-BB-L0-R06</x:v>
      </x:c>
      <x:c r="B93" s="2" t="n">
        <x:v>3</x:v>
      </x:c>
      <x:c r="C93" s="2" t="str">
        <x:v>BB</x:v>
      </x:c>
      <x:c r="D93" s="2" t="str">
        <x:v>Brevicoryne brassicae</x:v>
      </x:c>
      <x:c r="E93" s="2" t="str">
        <x:v>L0</x:v>
      </x:c>
      <x:c r="F93" s="2" t="n">
        <x:v>1</x:v>
      </x:c>
      <x:c r="G93" s="2" t="n">
        <x:v>6</x:v>
      </x:c>
      <x:c r="H93" s="2" t="n">
        <x:v>2</x:v>
      </x:c>
      <x:c r="I93" s="2" t="n">
        <x:v>31</x:v>
      </x:c>
      <x:c r="J93" s="14" t="n">
        <x:v>46097</x:v>
      </x:c>
      <x:c r="K93" s="14" t="n">
        <x:f>J93+O93</x:f>
        <x:v>46098</x:v>
      </x:c>
      <x:c r="L93" s="14" t="n">
        <x:f>J93+Supuestos!$C$8</x:f>
        <x:v>46111</x:v>
      </x:c>
      <x:c r="M93" s="2" t="n">
        <x:v>2</x:v>
      </x:c>
      <x:c r="N93" s="2" t="n">
        <x:v>1</x:v>
      </x:c>
      <x:c r="O93" s="2" t="n">
        <x:v>1</x:v>
      </x:c>
      <x:c r="P93" s="2" t="str">
        <x:v>simulado_didactico</x:v>
      </x:c>
    </x:row>
    <x:row r="94" ht="19" customHeight="1">
      <x:c r="A94" s="2" t="str">
        <x:v>SIM-E1-BB-L1-R05</x:v>
      </x:c>
      <x:c r="B94" s="2" t="n">
        <x:v>3</x:v>
      </x:c>
      <x:c r="C94" s="2" t="str">
        <x:v>BB</x:v>
      </x:c>
      <x:c r="D94" s="2" t="str">
        <x:v>Brevicoryne brassicae</x:v>
      </x:c>
      <x:c r="E94" s="2" t="str">
        <x:v>L1</x:v>
      </x:c>
      <x:c r="F94" s="2" t="n">
        <x:v>0</x:v>
      </x:c>
      <x:c r="G94" s="2" t="n">
        <x:v>5</x:v>
      </x:c>
      <x:c r="H94" s="2" t="n">
        <x:v>1</x:v>
      </x:c>
      <x:c r="I94" s="2" t="n">
        <x:v>7</x:v>
      </x:c>
      <x:c r="J94" s="14" t="n">
        <x:v>46097</x:v>
      </x:c>
      <x:c r="K94" s="14" t="n">
        <x:f>J94+O94</x:f>
        <x:v>46098</x:v>
      </x:c>
      <x:c r="L94" s="14" t="n">
        <x:f>J94+Supuestos!$C$8</x:f>
        <x:v>46111</x:v>
      </x:c>
      <x:c r="M94" s="2" t="n">
        <x:v>2</x:v>
      </x:c>
      <x:c r="N94" s="2" t="n">
        <x:v>1</x:v>
      </x:c>
      <x:c r="O94" s="2" t="n">
        <x:v>1</x:v>
      </x:c>
      <x:c r="P94" s="2" t="str">
        <x:v>simulado_didactico</x:v>
      </x:c>
    </x:row>
    <x:row r="95" ht="19" customHeight="1">
      <x:c r="A95" s="2" t="str">
        <x:v>SIM-E1-BB-L1-R06</x:v>
      </x:c>
      <x:c r="B95" s="2" t="n">
        <x:v>3</x:v>
      </x:c>
      <x:c r="C95" s="2" t="str">
        <x:v>BB</x:v>
      </x:c>
      <x:c r="D95" s="2" t="str">
        <x:v>Brevicoryne brassicae</x:v>
      </x:c>
      <x:c r="E95" s="2" t="str">
        <x:v>L1</x:v>
      </x:c>
      <x:c r="F95" s="2" t="n">
        <x:v>0</x:v>
      </x:c>
      <x:c r="G95" s="2" t="n">
        <x:v>6</x:v>
      </x:c>
      <x:c r="H95" s="2" t="n">
        <x:v>2</x:v>
      </x:c>
      <x:c r="I95" s="2" t="n">
        <x:v>15</x:v>
      </x:c>
      <x:c r="J95" s="14" t="n">
        <x:v>46097</x:v>
      </x:c>
      <x:c r="K95" s="14" t="n">
        <x:f>J95+O95</x:f>
        <x:v>46098</x:v>
      </x:c>
      <x:c r="L95" s="14" t="n">
        <x:f>J95+Supuestos!$C$8</x:f>
        <x:v>46111</x:v>
      </x:c>
      <x:c r="M95" s="2" t="n">
        <x:v>2</x:v>
      </x:c>
      <x:c r="N95" s="2" t="n">
        <x:v>1</x:v>
      </x:c>
      <x:c r="O95" s="2" t="n">
        <x:v>1</x:v>
      </x:c>
      <x:c r="P95" s="2" t="str">
        <x:v>simulado_didactico</x:v>
      </x:c>
    </x:row>
    <x:row r="96" ht="19" customHeight="1">
      <x:c r="A96" s="2" t="str">
        <x:v>SIM-E1-BB-L2-R05</x:v>
      </x:c>
      <x:c r="B96" s="2" t="n">
        <x:v>3</x:v>
      </x:c>
      <x:c r="C96" s="2" t="str">
        <x:v>BB</x:v>
      </x:c>
      <x:c r="D96" s="2" t="str">
        <x:v>Brevicoryne brassicae</x:v>
      </x:c>
      <x:c r="E96" s="2" t="str">
        <x:v>L2</x:v>
      </x:c>
      <x:c r="F96" s="2" t="n">
        <x:v>0</x:v>
      </x:c>
      <x:c r="G96" s="2" t="n">
        <x:v>5</x:v>
      </x:c>
      <x:c r="H96" s="2" t="n">
        <x:v>1</x:v>
      </x:c>
      <x:c r="I96" s="2" t="n">
        <x:v>12</x:v>
      </x:c>
      <x:c r="J96" s="14" t="n">
        <x:v>46097</x:v>
      </x:c>
      <x:c r="K96" s="14" t="n">
        <x:f>J96+O96</x:f>
        <x:v>46098</x:v>
      </x:c>
      <x:c r="L96" s="14" t="n">
        <x:f>J96+Supuestos!$C$8</x:f>
        <x:v>46111</x:v>
      </x:c>
      <x:c r="M96" s="2" t="n">
        <x:v>2</x:v>
      </x:c>
      <x:c r="N96" s="2" t="n">
        <x:v>1</x:v>
      </x:c>
      <x:c r="O96" s="2" t="n">
        <x:v>1</x:v>
      </x:c>
      <x:c r="P96" s="2" t="str">
        <x:v>simulado_didactico</x:v>
      </x:c>
    </x:row>
    <x:row r="97" ht="19" customHeight="1">
      <x:c r="A97" s="2" t="str">
        <x:v>SIM-E1-BB-L2-R06</x:v>
      </x:c>
      <x:c r="B97" s="2" t="n">
        <x:v>3</x:v>
      </x:c>
      <x:c r="C97" s="2" t="str">
        <x:v>BB</x:v>
      </x:c>
      <x:c r="D97" s="2" t="str">
        <x:v>Brevicoryne brassicae</x:v>
      </x:c>
      <x:c r="E97" s="2" t="str">
        <x:v>L2</x:v>
      </x:c>
      <x:c r="F97" s="2" t="n">
        <x:v>0</x:v>
      </x:c>
      <x:c r="G97" s="2" t="n">
        <x:v>6</x:v>
      </x:c>
      <x:c r="H97" s="2" t="n">
        <x:v>2</x:v>
      </x:c>
      <x:c r="I97" s="2" t="n">
        <x:v>29</x:v>
      </x:c>
      <x:c r="J97" s="14" t="n">
        <x:v>46097</x:v>
      </x:c>
      <x:c r="K97" s="14" t="n">
        <x:f>J97+O97</x:f>
        <x:v>46098</x:v>
      </x:c>
      <x:c r="L97" s="14" t="n">
        <x:f>J97+Supuestos!$C$8</x:f>
        <x:v>46111</x:v>
      </x:c>
      <x:c r="M97" s="2" t="n">
        <x:v>2</x:v>
      </x:c>
      <x:c r="N97" s="2" t="n">
        <x:v>1</x:v>
      </x:c>
      <x:c r="O97" s="2" t="n">
        <x:v>1</x:v>
      </x:c>
      <x:c r="P97" s="2" t="str">
        <x:v>simulado_didactico</x:v>
      </x:c>
    </x:row>
    <x:row r="98" ht="19" customHeight="1">
      <x:c r="A98" s="2" t="str">
        <x:v>SIM-E1-BB-L3-R05</x:v>
      </x:c>
      <x:c r="B98" s="2" t="n">
        <x:v>3</x:v>
      </x:c>
      <x:c r="C98" s="2" t="str">
        <x:v>BB</x:v>
      </x:c>
      <x:c r="D98" s="2" t="str">
        <x:v>Brevicoryne brassicae</x:v>
      </x:c>
      <x:c r="E98" s="2" t="str">
        <x:v>L3</x:v>
      </x:c>
      <x:c r="F98" s="2" t="n">
        <x:v>0</x:v>
      </x:c>
      <x:c r="G98" s="2" t="n">
        <x:v>5</x:v>
      </x:c>
      <x:c r="H98" s="2" t="n">
        <x:v>1</x:v>
      </x:c>
      <x:c r="I98" s="2" t="n">
        <x:v>5</x:v>
      </x:c>
      <x:c r="J98" s="14" t="n">
        <x:v>46097</x:v>
      </x:c>
      <x:c r="K98" s="14" t="n">
        <x:f>J98+O98</x:f>
        <x:v>46098</x:v>
      </x:c>
      <x:c r="L98" s="14" t="n">
        <x:f>J98+Supuestos!$C$8</x:f>
        <x:v>46111</x:v>
      </x:c>
      <x:c r="M98" s="2" t="n">
        <x:v>2</x:v>
      </x:c>
      <x:c r="N98" s="2" t="n">
        <x:v>1</x:v>
      </x:c>
      <x:c r="O98" s="2" t="n">
        <x:v>1</x:v>
      </x:c>
      <x:c r="P98" s="2" t="str">
        <x:v>simulado_didactico</x:v>
      </x:c>
    </x:row>
    <x:row r="99" ht="19" customHeight="1">
      <x:c r="A99" s="2" t="str">
        <x:v>SIM-E1-BB-L3-R06</x:v>
      </x:c>
      <x:c r="B99" s="2" t="n">
        <x:v>3</x:v>
      </x:c>
      <x:c r="C99" s="2" t="str">
        <x:v>BB</x:v>
      </x:c>
      <x:c r="D99" s="2" t="str">
        <x:v>Brevicoryne brassicae</x:v>
      </x:c>
      <x:c r="E99" s="2" t="str">
        <x:v>L3</x:v>
      </x:c>
      <x:c r="F99" s="2" t="n">
        <x:v>0</x:v>
      </x:c>
      <x:c r="G99" s="2" t="n">
        <x:v>6</x:v>
      </x:c>
      <x:c r="H99" s="2" t="n">
        <x:v>2</x:v>
      </x:c>
      <x:c r="I99" s="2" t="n">
        <x:v>36</x:v>
      </x:c>
      <x:c r="J99" s="14" t="n">
        <x:v>46097</x:v>
      </x:c>
      <x:c r="K99" s="14" t="n">
        <x:f>J99+O99</x:f>
        <x:v>46098</x:v>
      </x:c>
      <x:c r="L99" s="14" t="n">
        <x:f>J99+Supuestos!$C$8</x:f>
        <x:v>46111</x:v>
      </x:c>
      <x:c r="M99" s="2" t="n">
        <x:v>2</x:v>
      </x:c>
      <x:c r="N99" s="2" t="n">
        <x:v>1</x:v>
      </x:c>
      <x:c r="O99" s="2" t="n">
        <x:v>1</x:v>
      </x:c>
      <x:c r="P99" s="2" t="str">
        <x:v>simulado_didactico</x:v>
      </x:c>
    </x:row>
    <x:row r="100" ht="19" customHeight="1">
      <x:c r="A100" s="2" t="str">
        <x:v>SIM-E1-BB-L5-R05</x:v>
      </x:c>
      <x:c r="B100" s="2" t="n">
        <x:v>3</x:v>
      </x:c>
      <x:c r="C100" s="2" t="str">
        <x:v>BB</x:v>
      </x:c>
      <x:c r="D100" s="2" t="str">
        <x:v>Brevicoryne brassicae</x:v>
      </x:c>
      <x:c r="E100" s="2" t="str">
        <x:v>L5</x:v>
      </x:c>
      <x:c r="F100" s="2" t="n">
        <x:v>0</x:v>
      </x:c>
      <x:c r="G100" s="2" t="n">
        <x:v>5</x:v>
      </x:c>
      <x:c r="H100" s="2" t="n">
        <x:v>1</x:v>
      </x:c>
      <x:c r="I100" s="2" t="n">
        <x:v>9</x:v>
      </x:c>
      <x:c r="J100" s="14" t="n">
        <x:v>46097</x:v>
      </x:c>
      <x:c r="K100" s="14" t="n">
        <x:f>J100+O100</x:f>
        <x:v>46098</x:v>
      </x:c>
      <x:c r="L100" s="14" t="n">
        <x:f>J100+Supuestos!$C$8</x:f>
        <x:v>46111</x:v>
      </x:c>
      <x:c r="M100" s="2" t="n">
        <x:v>2</x:v>
      </x:c>
      <x:c r="N100" s="2" t="n">
        <x:v>1</x:v>
      </x:c>
      <x:c r="O100" s="2" t="n">
        <x:v>1</x:v>
      </x:c>
      <x:c r="P100" s="2" t="str">
        <x:v>simulado_didactico</x:v>
      </x:c>
    </x:row>
    <x:row r="101" ht="19" customHeight="1">
      <x:c r="A101" s="2" t="str">
        <x:v>SIM-E1-BB-L5-R06</x:v>
      </x:c>
      <x:c r="B101" s="2" t="n">
        <x:v>3</x:v>
      </x:c>
      <x:c r="C101" s="2" t="str">
        <x:v>BB</x:v>
      </x:c>
      <x:c r="D101" s="2" t="str">
        <x:v>Brevicoryne brassicae</x:v>
      </x:c>
      <x:c r="E101" s="2" t="str">
        <x:v>L5</x:v>
      </x:c>
      <x:c r="F101" s="2" t="n">
        <x:v>0</x:v>
      </x:c>
      <x:c r="G101" s="2" t="n">
        <x:v>6</x:v>
      </x:c>
      <x:c r="H101" s="2" t="n">
        <x:v>2</x:v>
      </x:c>
      <x:c r="I101" s="2" t="n">
        <x:v>22</x:v>
      </x:c>
      <x:c r="J101" s="14" t="n">
        <x:v>46097</x:v>
      </x:c>
      <x:c r="K101" s="14" t="n">
        <x:f>J101+O101</x:f>
        <x:v>46098</x:v>
      </x:c>
      <x:c r="L101" s="14" t="n">
        <x:f>J101+Supuestos!$C$8</x:f>
        <x:v>46111</x:v>
      </x:c>
      <x:c r="M101" s="2" t="n">
        <x:v>2</x:v>
      </x:c>
      <x:c r="N101" s="2" t="n">
        <x:v>1</x:v>
      </x:c>
      <x:c r="O101" s="2" t="n">
        <x:v>1</x:v>
      </x:c>
      <x:c r="P101" s="2" t="str">
        <x:v>simulado_didactico</x:v>
      </x:c>
    </x:row>
    <x:row r="102" ht="19" customHeight="1">
      <x:c r="A102" s="2" t="str">
        <x:v>SIM-E1-BB-L6-R05</x:v>
      </x:c>
      <x:c r="B102" s="2" t="n">
        <x:v>3</x:v>
      </x:c>
      <x:c r="C102" s="2" t="str">
        <x:v>BB</x:v>
      </x:c>
      <x:c r="D102" s="2" t="str">
        <x:v>Brevicoryne brassicae</x:v>
      </x:c>
      <x:c r="E102" s="2" t="str">
        <x:v>L6</x:v>
      </x:c>
      <x:c r="F102" s="2" t="n">
        <x:v>0</x:v>
      </x:c>
      <x:c r="G102" s="2" t="n">
        <x:v>5</x:v>
      </x:c>
      <x:c r="H102" s="2" t="n">
        <x:v>1</x:v>
      </x:c>
      <x:c r="I102" s="2" t="n">
        <x:v>23</x:v>
      </x:c>
      <x:c r="J102" s="14" t="n">
        <x:v>46097</x:v>
      </x:c>
      <x:c r="K102" s="14" t="n">
        <x:f>J102+O102</x:f>
        <x:v>46098</x:v>
      </x:c>
      <x:c r="L102" s="14" t="n">
        <x:f>J102+Supuestos!$C$8</x:f>
        <x:v>46111</x:v>
      </x:c>
      <x:c r="M102" s="2" t="n">
        <x:v>2</x:v>
      </x:c>
      <x:c r="N102" s="2" t="n">
        <x:v>1</x:v>
      </x:c>
      <x:c r="O102" s="2" t="n">
        <x:v>1</x:v>
      </x:c>
      <x:c r="P102" s="2" t="str">
        <x:v>simulado_didactico</x:v>
      </x:c>
    </x:row>
    <x:row r="103" ht="19" customHeight="1">
      <x:c r="A103" s="2" t="str">
        <x:v>SIM-E1-BB-L6-R06</x:v>
      </x:c>
      <x:c r="B103" s="2" t="n">
        <x:v>3</x:v>
      </x:c>
      <x:c r="C103" s="2" t="str">
        <x:v>BB</x:v>
      </x:c>
      <x:c r="D103" s="2" t="str">
        <x:v>Brevicoryne brassicae</x:v>
      </x:c>
      <x:c r="E103" s="2" t="str">
        <x:v>L6</x:v>
      </x:c>
      <x:c r="F103" s="2" t="n">
        <x:v>0</x:v>
      </x:c>
      <x:c r="G103" s="2" t="n">
        <x:v>6</x:v>
      </x:c>
      <x:c r="H103" s="2" t="n">
        <x:v>2</x:v>
      </x:c>
      <x:c r="I103" s="2" t="n">
        <x:v>10</x:v>
      </x:c>
      <x:c r="J103" s="14" t="n">
        <x:v>46097</x:v>
      </x:c>
      <x:c r="K103" s="14" t="n">
        <x:f>J103+O103</x:f>
        <x:v>46098</x:v>
      </x:c>
      <x:c r="L103" s="14" t="n">
        <x:f>J103+Supuestos!$C$8</x:f>
        <x:v>46111</x:v>
      </x:c>
      <x:c r="M103" s="2" t="n">
        <x:v>2</x:v>
      </x:c>
      <x:c r="N103" s="2" t="n">
        <x:v>1</x:v>
      </x:c>
      <x:c r="O103" s="2" t="n">
        <x:v>1</x:v>
      </x:c>
      <x:c r="P103" s="2" t="str">
        <x:v>simulado_didactico</x:v>
      </x:c>
    </x:row>
    <x:row r="104" ht="19" customHeight="1">
      <x:c r="A104" s="2" t="str">
        <x:v>SIM-E1-BB-L7-R05</x:v>
      </x:c>
      <x:c r="B104" s="2" t="n">
        <x:v>3</x:v>
      </x:c>
      <x:c r="C104" s="2" t="str">
        <x:v>BB</x:v>
      </x:c>
      <x:c r="D104" s="2" t="str">
        <x:v>Brevicoryne brassicae</x:v>
      </x:c>
      <x:c r="E104" s="2" t="str">
        <x:v>L7</x:v>
      </x:c>
      <x:c r="F104" s="2" t="n">
        <x:v>0</x:v>
      </x:c>
      <x:c r="G104" s="2" t="n">
        <x:v>5</x:v>
      </x:c>
      <x:c r="H104" s="2" t="n">
        <x:v>1</x:v>
      </x:c>
      <x:c r="I104" s="2" t="n">
        <x:v>24</x:v>
      </x:c>
      <x:c r="J104" s="14" t="n">
        <x:v>46097</x:v>
      </x:c>
      <x:c r="K104" s="14" t="n">
        <x:f>J104+O104</x:f>
        <x:v>46098</x:v>
      </x:c>
      <x:c r="L104" s="14" t="n">
        <x:f>J104+Supuestos!$C$8</x:f>
        <x:v>46111</x:v>
      </x:c>
      <x:c r="M104" s="2" t="n">
        <x:v>2</x:v>
      </x:c>
      <x:c r="N104" s="2" t="n">
        <x:v>1</x:v>
      </x:c>
      <x:c r="O104" s="2" t="n">
        <x:v>1</x:v>
      </x:c>
      <x:c r="P104" s="2" t="str">
        <x:v>simulado_didactico</x:v>
      </x:c>
    </x:row>
    <x:row r="105" ht="19" customHeight="1">
      <x:c r="A105" s="2" t="str">
        <x:v>SIM-E1-BB-L7-R06</x:v>
      </x:c>
      <x:c r="B105" s="2" t="n">
        <x:v>3</x:v>
      </x:c>
      <x:c r="C105" s="2" t="str">
        <x:v>BB</x:v>
      </x:c>
      <x:c r="D105" s="2" t="str">
        <x:v>Brevicoryne brassicae</x:v>
      </x:c>
      <x:c r="E105" s="2" t="str">
        <x:v>L7</x:v>
      </x:c>
      <x:c r="F105" s="2" t="n">
        <x:v>0</x:v>
      </x:c>
      <x:c r="G105" s="2" t="n">
        <x:v>6</x:v>
      </x:c>
      <x:c r="H105" s="2" t="n">
        <x:v>2</x:v>
      </x:c>
      <x:c r="I105" s="2" t="n">
        <x:v>19</x:v>
      </x:c>
      <x:c r="J105" s="14" t="n">
        <x:v>46097</x:v>
      </x:c>
      <x:c r="K105" s="14" t="n">
        <x:f>J105+O105</x:f>
        <x:v>46098</x:v>
      </x:c>
      <x:c r="L105" s="14" t="n">
        <x:f>J105+Supuestos!$C$8</x:f>
        <x:v>46111</x:v>
      </x:c>
      <x:c r="M105" s="2" t="n">
        <x:v>2</x:v>
      </x:c>
      <x:c r="N105" s="2" t="n">
        <x:v>1</x:v>
      </x:c>
      <x:c r="O105" s="2" t="n">
        <x:v>1</x:v>
      </x:c>
      <x:c r="P105" s="2" t="str">
        <x:v>simulado_didactico</x:v>
      </x:c>
    </x:row>
    <x:row r="106" ht="19" customHeight="1">
      <x:c r="A106" s="2" t="str">
        <x:v>SIM-E1-BB-L8-R05</x:v>
      </x:c>
      <x:c r="B106" s="2" t="n">
        <x:v>3</x:v>
      </x:c>
      <x:c r="C106" s="2" t="str">
        <x:v>BB</x:v>
      </x:c>
      <x:c r="D106" s="2" t="str">
        <x:v>Brevicoryne brassicae</x:v>
      </x:c>
      <x:c r="E106" s="2" t="str">
        <x:v>L8</x:v>
      </x:c>
      <x:c r="F106" s="2" t="n">
        <x:v>0</x:v>
      </x:c>
      <x:c r="G106" s="2" t="n">
        <x:v>5</x:v>
      </x:c>
      <x:c r="H106" s="2" t="n">
        <x:v>1</x:v>
      </x:c>
      <x:c r="I106" s="2" t="n">
        <x:v>16</x:v>
      </x:c>
      <x:c r="J106" s="14" t="n">
        <x:v>46097</x:v>
      </x:c>
      <x:c r="K106" s="14" t="n">
        <x:f>J106+O106</x:f>
        <x:v>46098</x:v>
      </x:c>
      <x:c r="L106" s="14" t="n">
        <x:f>J106+Supuestos!$C$8</x:f>
        <x:v>46111</x:v>
      </x:c>
      <x:c r="M106" s="2" t="n">
        <x:v>2</x:v>
      </x:c>
      <x:c r="N106" s="2" t="n">
        <x:v>1</x:v>
      </x:c>
      <x:c r="O106" s="2" t="n">
        <x:v>1</x:v>
      </x:c>
      <x:c r="P106" s="2" t="str">
        <x:v>simulado_didactico</x:v>
      </x:c>
    </x:row>
    <x:row r="107" ht="19" customHeight="1">
      <x:c r="A107" s="2" t="str">
        <x:v>SIM-E1-BB-L8-R06</x:v>
      </x:c>
      <x:c r="B107" s="2" t="n">
        <x:v>3</x:v>
      </x:c>
      <x:c r="C107" s="2" t="str">
        <x:v>BB</x:v>
      </x:c>
      <x:c r="D107" s="2" t="str">
        <x:v>Brevicoryne brassicae</x:v>
      </x:c>
      <x:c r="E107" s="2" t="str">
        <x:v>L8</x:v>
      </x:c>
      <x:c r="F107" s="2" t="n">
        <x:v>0</x:v>
      </x:c>
      <x:c r="G107" s="2" t="n">
        <x:v>6</x:v>
      </x:c>
      <x:c r="H107" s="2" t="n">
        <x:v>2</x:v>
      </x:c>
      <x:c r="I107" s="2" t="n">
        <x:v>2</x:v>
      </x:c>
      <x:c r="J107" s="14" t="n">
        <x:v>46097</x:v>
      </x:c>
      <x:c r="K107" s="14" t="n">
        <x:f>J107+O107</x:f>
        <x:v>46098</x:v>
      </x:c>
      <x:c r="L107" s="14" t="n">
        <x:f>J107+Supuestos!$C$8</x:f>
        <x:v>46111</x:v>
      </x:c>
      <x:c r="M107" s="2" t="n">
        <x:v>2</x:v>
      </x:c>
      <x:c r="N107" s="2" t="n">
        <x:v>1</x:v>
      </x:c>
      <x:c r="O107" s="2" t="n">
        <x:v>1</x:v>
      </x:c>
      <x:c r="P107" s="2" t="str">
        <x:v>simulado_didactico</x:v>
      </x:c>
    </x:row>
    <x:row r="108" ht="19" customHeight="1">
      <x:c r="A108" s="2" t="str">
        <x:v>SIM-E1-BB-L9-R05</x:v>
      </x:c>
      <x:c r="B108" s="2" t="n">
        <x:v>3</x:v>
      </x:c>
      <x:c r="C108" s="2" t="str">
        <x:v>BB</x:v>
      </x:c>
      <x:c r="D108" s="2" t="str">
        <x:v>Brevicoryne brassicae</x:v>
      </x:c>
      <x:c r="E108" s="2" t="str">
        <x:v>L9</x:v>
      </x:c>
      <x:c r="F108" s="2" t="n">
        <x:v>0</x:v>
      </x:c>
      <x:c r="G108" s="2" t="n">
        <x:v>5</x:v>
      </x:c>
      <x:c r="H108" s="2" t="n">
        <x:v>1</x:v>
      </x:c>
      <x:c r="I108" s="2" t="n">
        <x:v>34</x:v>
      </x:c>
      <x:c r="J108" s="14" t="n">
        <x:v>46097</x:v>
      </x:c>
      <x:c r="K108" s="14" t="n">
        <x:f>J108+O108</x:f>
        <x:v>46098</x:v>
      </x:c>
      <x:c r="L108" s="14" t="n">
        <x:f>J108+Supuestos!$C$8</x:f>
        <x:v>46111</x:v>
      </x:c>
      <x:c r="M108" s="2" t="n">
        <x:v>2</x:v>
      </x:c>
      <x:c r="N108" s="2" t="n">
        <x:v>1</x:v>
      </x:c>
      <x:c r="O108" s="2" t="n">
        <x:v>1</x:v>
      </x:c>
      <x:c r="P108" s="2" t="str">
        <x:v>simulado_didactico</x:v>
      </x:c>
    </x:row>
    <x:row r="109" ht="19" customHeight="1">
      <x:c r="A109" s="2" t="str">
        <x:v>SIM-E1-BB-L9-R06</x:v>
      </x:c>
      <x:c r="B109" s="2" t="n">
        <x:v>3</x:v>
      </x:c>
      <x:c r="C109" s="2" t="str">
        <x:v>BB</x:v>
      </x:c>
      <x:c r="D109" s="2" t="str">
        <x:v>Brevicoryne brassicae</x:v>
      </x:c>
      <x:c r="E109" s="2" t="str">
        <x:v>L9</x:v>
      </x:c>
      <x:c r="F109" s="2" t="n">
        <x:v>0</x:v>
      </x:c>
      <x:c r="G109" s="2" t="n">
        <x:v>6</x:v>
      </x:c>
      <x:c r="H109" s="2" t="n">
        <x:v>2</x:v>
      </x:c>
      <x:c r="I109" s="2" t="n">
        <x:v>32</x:v>
      </x:c>
      <x:c r="J109" s="14" t="n">
        <x:v>46097</x:v>
      </x:c>
      <x:c r="K109" s="14" t="n">
        <x:f>J109+O109</x:f>
        <x:v>46098</x:v>
      </x:c>
      <x:c r="L109" s="14" t="n">
        <x:f>J109+Supuestos!$C$8</x:f>
        <x:v>46111</x:v>
      </x:c>
      <x:c r="M109" s="2" t="n">
        <x:v>2</x:v>
      </x:c>
      <x:c r="N109" s="2" t="n">
        <x:v>1</x:v>
      </x:c>
      <x:c r="O109" s="2" t="n">
        <x:v>1</x:v>
      </x:c>
      <x:c r="P109" s="2" t="str">
        <x:v>simulado_didactico</x:v>
      </x:c>
    </x:row>
    <x:row r="110" ht="19" customHeight="1">
      <x:c r="A110" s="2" t="str">
        <x:v>SIM-E1-MP-L0-R07</x:v>
      </x:c>
      <x:c r="B110" s="2" t="n">
        <x:v>4</x:v>
      </x:c>
      <x:c r="C110" s="2" t="str">
        <x:v>MP</x:v>
      </x:c>
      <x:c r="D110" s="2" t="str">
        <x:v>Myzus persicae</x:v>
      </x:c>
      <x:c r="E110" s="2" t="str">
        <x:v>L0</x:v>
      </x:c>
      <x:c r="F110" s="2" t="n">
        <x:v>1</x:v>
      </x:c>
      <x:c r="G110" s="2" t="n">
        <x:v>7</x:v>
      </x:c>
      <x:c r="H110" s="2" t="n">
        <x:v>1</x:v>
      </x:c>
      <x:c r="I110" s="2" t="n">
        <x:v>26</x:v>
      </x:c>
      <x:c r="J110" s="14" t="n">
        <x:v>46104</x:v>
      </x:c>
      <x:c r="K110" s="14" t="n">
        <x:f>J110+O110</x:f>
        <x:v>46105</x:v>
      </x:c>
      <x:c r="L110" s="14" t="n">
        <x:f>J110+Supuestos!$C$8</x:f>
        <x:v>46118</x:v>
      </x:c>
      <x:c r="M110" s="2" t="n">
        <x:v>2</x:v>
      </x:c>
      <x:c r="N110" s="2" t="n">
        <x:v>1</x:v>
      </x:c>
      <x:c r="O110" s="2" t="n">
        <x:v>1</x:v>
      </x:c>
      <x:c r="P110" s="2" t="str">
        <x:v>simulado_didactico</x:v>
      </x:c>
    </x:row>
    <x:row r="111" ht="19" customHeight="1">
      <x:c r="A111" s="2" t="str">
        <x:v>SIM-E1-MP-L0-R08</x:v>
      </x:c>
      <x:c r="B111" s="2" t="n">
        <x:v>4</x:v>
      </x:c>
      <x:c r="C111" s="2" t="str">
        <x:v>MP</x:v>
      </x:c>
      <x:c r="D111" s="2" t="str">
        <x:v>Myzus persicae</x:v>
      </x:c>
      <x:c r="E111" s="2" t="str">
        <x:v>L0</x:v>
      </x:c>
      <x:c r="F111" s="2" t="n">
        <x:v>1</x:v>
      </x:c>
      <x:c r="G111" s="2" t="n">
        <x:v>8</x:v>
      </x:c>
      <x:c r="H111" s="2" t="n">
        <x:v>2</x:v>
      </x:c>
      <x:c r="I111" s="2" t="n">
        <x:v>13</x:v>
      </x:c>
      <x:c r="J111" s="14" t="n">
        <x:v>46104</x:v>
      </x:c>
      <x:c r="K111" s="14" t="n">
        <x:f>J111+O111</x:f>
        <x:v>46105</x:v>
      </x:c>
      <x:c r="L111" s="14" t="n">
        <x:f>J111+Supuestos!$C$8</x:f>
        <x:v>46118</x:v>
      </x:c>
      <x:c r="M111" s="2" t="n">
        <x:v>2</x:v>
      </x:c>
      <x:c r="N111" s="2" t="n">
        <x:v>1</x:v>
      </x:c>
      <x:c r="O111" s="2" t="n">
        <x:v>1</x:v>
      </x:c>
      <x:c r="P111" s="2" t="str">
        <x:v>simulado_didactico</x:v>
      </x:c>
    </x:row>
    <x:row r="112" ht="19" customHeight="1">
      <x:c r="A112" s="2" t="str">
        <x:v>SIM-E1-MP-L1-R07</x:v>
      </x:c>
      <x:c r="B112" s="2" t="n">
        <x:v>4</x:v>
      </x:c>
      <x:c r="C112" s="2" t="str">
        <x:v>MP</x:v>
      </x:c>
      <x:c r="D112" s="2" t="str">
        <x:v>Myzus persicae</x:v>
      </x:c>
      <x:c r="E112" s="2" t="str">
        <x:v>L1</x:v>
      </x:c>
      <x:c r="F112" s="2" t="n">
        <x:v>0</x:v>
      </x:c>
      <x:c r="G112" s="2" t="n">
        <x:v>7</x:v>
      </x:c>
      <x:c r="H112" s="2" t="n">
        <x:v>1</x:v>
      </x:c>
      <x:c r="I112" s="2" t="n">
        <x:v>20</x:v>
      </x:c>
      <x:c r="J112" s="14" t="n">
        <x:v>46104</x:v>
      </x:c>
      <x:c r="K112" s="14" t="n">
        <x:f>J112+O112</x:f>
        <x:v>46105</x:v>
      </x:c>
      <x:c r="L112" s="14" t="n">
        <x:f>J112+Supuestos!$C$8</x:f>
        <x:v>46118</x:v>
      </x:c>
      <x:c r="M112" s="2" t="n">
        <x:v>2</x:v>
      </x:c>
      <x:c r="N112" s="2" t="n">
        <x:v>1</x:v>
      </x:c>
      <x:c r="O112" s="2" t="n">
        <x:v>1</x:v>
      </x:c>
      <x:c r="P112" s="2" t="str">
        <x:v>simulado_didactico</x:v>
      </x:c>
    </x:row>
    <x:row r="113" ht="19" customHeight="1">
      <x:c r="A113" s="2" t="str">
        <x:v>SIM-E1-MP-L1-R08</x:v>
      </x:c>
      <x:c r="B113" s="2" t="n">
        <x:v>4</x:v>
      </x:c>
      <x:c r="C113" s="2" t="str">
        <x:v>MP</x:v>
      </x:c>
      <x:c r="D113" s="2" t="str">
        <x:v>Myzus persicae</x:v>
      </x:c>
      <x:c r="E113" s="2" t="str">
        <x:v>L1</x:v>
      </x:c>
      <x:c r="F113" s="2" t="n">
        <x:v>0</x:v>
      </x:c>
      <x:c r="G113" s="2" t="n">
        <x:v>8</x:v>
      </x:c>
      <x:c r="H113" s="2" t="n">
        <x:v>2</x:v>
      </x:c>
      <x:c r="I113" s="2" t="n">
        <x:v>2</x:v>
      </x:c>
      <x:c r="J113" s="14" t="n">
        <x:v>46104</x:v>
      </x:c>
      <x:c r="K113" s="14" t="n">
        <x:f>J113+O113</x:f>
        <x:v>46105</x:v>
      </x:c>
      <x:c r="L113" s="14" t="n">
        <x:f>J113+Supuestos!$C$8</x:f>
        <x:v>46118</x:v>
      </x:c>
      <x:c r="M113" s="2" t="n">
        <x:v>2</x:v>
      </x:c>
      <x:c r="N113" s="2" t="n">
        <x:v>1</x:v>
      </x:c>
      <x:c r="O113" s="2" t="n">
        <x:v>1</x:v>
      </x:c>
      <x:c r="P113" s="2" t="str">
        <x:v>simulado_didactico</x:v>
      </x:c>
    </x:row>
    <x:row r="114" ht="19" customHeight="1">
      <x:c r="A114" s="2" t="str">
        <x:v>SIM-E1-MP-L2-R07</x:v>
      </x:c>
      <x:c r="B114" s="2" t="n">
        <x:v>4</x:v>
      </x:c>
      <x:c r="C114" s="2" t="str">
        <x:v>MP</x:v>
      </x:c>
      <x:c r="D114" s="2" t="str">
        <x:v>Myzus persicae</x:v>
      </x:c>
      <x:c r="E114" s="2" t="str">
        <x:v>L2</x:v>
      </x:c>
      <x:c r="F114" s="2" t="n">
        <x:v>0</x:v>
      </x:c>
      <x:c r="G114" s="2" t="n">
        <x:v>7</x:v>
      </x:c>
      <x:c r="H114" s="2" t="n">
        <x:v>1</x:v>
      </x:c>
      <x:c r="I114" s="2" t="n">
        <x:v>24</x:v>
      </x:c>
      <x:c r="J114" s="14" t="n">
        <x:v>46104</x:v>
      </x:c>
      <x:c r="K114" s="14" t="n">
        <x:f>J114+O114</x:f>
        <x:v>46105</x:v>
      </x:c>
      <x:c r="L114" s="14" t="n">
        <x:f>J114+Supuestos!$C$8</x:f>
        <x:v>46118</x:v>
      </x:c>
      <x:c r="M114" s="2" t="n">
        <x:v>2</x:v>
      </x:c>
      <x:c r="N114" s="2" t="n">
        <x:v>1</x:v>
      </x:c>
      <x:c r="O114" s="2" t="n">
        <x:v>1</x:v>
      </x:c>
      <x:c r="P114" s="2" t="str">
        <x:v>simulado_didactico</x:v>
      </x:c>
    </x:row>
    <x:row r="115" ht="19" customHeight="1">
      <x:c r="A115" s="2" t="str">
        <x:v>SIM-E1-MP-L2-R08</x:v>
      </x:c>
      <x:c r="B115" s="2" t="n">
        <x:v>4</x:v>
      </x:c>
      <x:c r="C115" s="2" t="str">
        <x:v>MP</x:v>
      </x:c>
      <x:c r="D115" s="2" t="str">
        <x:v>Myzus persicae</x:v>
      </x:c>
      <x:c r="E115" s="2" t="str">
        <x:v>L2</x:v>
      </x:c>
      <x:c r="F115" s="2" t="n">
        <x:v>0</x:v>
      </x:c>
      <x:c r="G115" s="2" t="n">
        <x:v>8</x:v>
      </x:c>
      <x:c r="H115" s="2" t="n">
        <x:v>2</x:v>
      </x:c>
      <x:c r="I115" s="2" t="n">
        <x:v>15</x:v>
      </x:c>
      <x:c r="J115" s="14" t="n">
        <x:v>46104</x:v>
      </x:c>
      <x:c r="K115" s="14" t="n">
        <x:f>J115+O115</x:f>
        <x:v>46105</x:v>
      </x:c>
      <x:c r="L115" s="14" t="n">
        <x:f>J115+Supuestos!$C$8</x:f>
        <x:v>46118</x:v>
      </x:c>
      <x:c r="M115" s="2" t="n">
        <x:v>2</x:v>
      </x:c>
      <x:c r="N115" s="2" t="n">
        <x:v>1</x:v>
      </x:c>
      <x:c r="O115" s="2" t="n">
        <x:v>1</x:v>
      </x:c>
      <x:c r="P115" s="2" t="str">
        <x:v>simulado_didactico</x:v>
      </x:c>
    </x:row>
    <x:row r="116" ht="19" customHeight="1">
      <x:c r="A116" s="2" t="str">
        <x:v>SIM-E1-MP-L3-R07</x:v>
      </x:c>
      <x:c r="B116" s="2" t="n">
        <x:v>4</x:v>
      </x:c>
      <x:c r="C116" s="2" t="str">
        <x:v>MP</x:v>
      </x:c>
      <x:c r="D116" s="2" t="str">
        <x:v>Myzus persicae</x:v>
      </x:c>
      <x:c r="E116" s="2" t="str">
        <x:v>L3</x:v>
      </x:c>
      <x:c r="F116" s="2" t="n">
        <x:v>0</x:v>
      </x:c>
      <x:c r="G116" s="2" t="n">
        <x:v>7</x:v>
      </x:c>
      <x:c r="H116" s="2" t="n">
        <x:v>1</x:v>
      </x:c>
      <x:c r="I116" s="2" t="n">
        <x:v>16</x:v>
      </x:c>
      <x:c r="J116" s="14" t="n">
        <x:v>46104</x:v>
      </x:c>
      <x:c r="K116" s="14" t="n">
        <x:f>J116+O116</x:f>
        <x:v>46105</x:v>
      </x:c>
      <x:c r="L116" s="14" t="n">
        <x:f>J116+Supuestos!$C$8</x:f>
        <x:v>46118</x:v>
      </x:c>
      <x:c r="M116" s="2" t="n">
        <x:v>2</x:v>
      </x:c>
      <x:c r="N116" s="2" t="n">
        <x:v>1</x:v>
      </x:c>
      <x:c r="O116" s="2" t="n">
        <x:v>1</x:v>
      </x:c>
      <x:c r="P116" s="2" t="str">
        <x:v>simulado_didactico</x:v>
      </x:c>
    </x:row>
    <x:row r="117" ht="19" customHeight="1">
      <x:c r="A117" s="2" t="str">
        <x:v>SIM-E1-MP-L3-R08</x:v>
      </x:c>
      <x:c r="B117" s="2" t="n">
        <x:v>4</x:v>
      </x:c>
      <x:c r="C117" s="2" t="str">
        <x:v>MP</x:v>
      </x:c>
      <x:c r="D117" s="2" t="str">
        <x:v>Myzus persicae</x:v>
      </x:c>
      <x:c r="E117" s="2" t="str">
        <x:v>L3</x:v>
      </x:c>
      <x:c r="F117" s="2" t="n">
        <x:v>0</x:v>
      </x:c>
      <x:c r="G117" s="2" t="n">
        <x:v>8</x:v>
      </x:c>
      <x:c r="H117" s="2" t="n">
        <x:v>2</x:v>
      </x:c>
      <x:c r="I117" s="2" t="n">
        <x:v>14</x:v>
      </x:c>
      <x:c r="J117" s="14" t="n">
        <x:v>46104</x:v>
      </x:c>
      <x:c r="K117" s="14" t="n">
        <x:f>J117+O117</x:f>
        <x:v>46105</x:v>
      </x:c>
      <x:c r="L117" s="14" t="n">
        <x:f>J117+Supuestos!$C$8</x:f>
        <x:v>46118</x:v>
      </x:c>
      <x:c r="M117" s="2" t="n">
        <x:v>2</x:v>
      </x:c>
      <x:c r="N117" s="2" t="n">
        <x:v>1</x:v>
      </x:c>
      <x:c r="O117" s="2" t="n">
        <x:v>1</x:v>
      </x:c>
      <x:c r="P117" s="2" t="str">
        <x:v>simulado_didactico</x:v>
      </x:c>
    </x:row>
    <x:row r="118" ht="19" customHeight="1">
      <x:c r="A118" s="2" t="str">
        <x:v>SIM-E1-MP-L5-R07</x:v>
      </x:c>
      <x:c r="B118" s="2" t="n">
        <x:v>4</x:v>
      </x:c>
      <x:c r="C118" s="2" t="str">
        <x:v>MP</x:v>
      </x:c>
      <x:c r="D118" s="2" t="str">
        <x:v>Myzus persicae</x:v>
      </x:c>
      <x:c r="E118" s="2" t="str">
        <x:v>L5</x:v>
      </x:c>
      <x:c r="F118" s="2" t="n">
        <x:v>0</x:v>
      </x:c>
      <x:c r="G118" s="2" t="n">
        <x:v>7</x:v>
      </x:c>
      <x:c r="H118" s="2" t="n">
        <x:v>1</x:v>
      </x:c>
      <x:c r="I118" s="2" t="n">
        <x:v>19</x:v>
      </x:c>
      <x:c r="J118" s="14" t="n">
        <x:v>46104</x:v>
      </x:c>
      <x:c r="K118" s="14" t="n">
        <x:f>J118+O118</x:f>
        <x:v>46105</x:v>
      </x:c>
      <x:c r="L118" s="14" t="n">
        <x:f>J118+Supuestos!$C$8</x:f>
        <x:v>46118</x:v>
      </x:c>
      <x:c r="M118" s="2" t="n">
        <x:v>2</x:v>
      </x:c>
      <x:c r="N118" s="2" t="n">
        <x:v>1</x:v>
      </x:c>
      <x:c r="O118" s="2" t="n">
        <x:v>1</x:v>
      </x:c>
      <x:c r="P118" s="2" t="str">
        <x:v>simulado_didactico</x:v>
      </x:c>
    </x:row>
    <x:row r="119" ht="19" customHeight="1">
      <x:c r="A119" s="2" t="str">
        <x:v>SIM-E1-MP-L5-R08</x:v>
      </x:c>
      <x:c r="B119" s="2" t="n">
        <x:v>4</x:v>
      </x:c>
      <x:c r="C119" s="2" t="str">
        <x:v>MP</x:v>
      </x:c>
      <x:c r="D119" s="2" t="str">
        <x:v>Myzus persicae</x:v>
      </x:c>
      <x:c r="E119" s="2" t="str">
        <x:v>L5</x:v>
      </x:c>
      <x:c r="F119" s="2" t="n">
        <x:v>0</x:v>
      </x:c>
      <x:c r="G119" s="2" t="n">
        <x:v>8</x:v>
      </x:c>
      <x:c r="H119" s="2" t="n">
        <x:v>2</x:v>
      </x:c>
      <x:c r="I119" s="2" t="n">
        <x:v>36</x:v>
      </x:c>
      <x:c r="J119" s="14" t="n">
        <x:v>46104</x:v>
      </x:c>
      <x:c r="K119" s="14" t="n">
        <x:f>J119+O119</x:f>
        <x:v>46105</x:v>
      </x:c>
      <x:c r="L119" s="14" t="n">
        <x:f>J119+Supuestos!$C$8</x:f>
        <x:v>46118</x:v>
      </x:c>
      <x:c r="M119" s="2" t="n">
        <x:v>2</x:v>
      </x:c>
      <x:c r="N119" s="2" t="n">
        <x:v>1</x:v>
      </x:c>
      <x:c r="O119" s="2" t="n">
        <x:v>1</x:v>
      </x:c>
      <x:c r="P119" s="2" t="str">
        <x:v>simulado_didactico</x:v>
      </x:c>
    </x:row>
    <x:row r="120" ht="19" customHeight="1">
      <x:c r="A120" s="2" t="str">
        <x:v>SIM-E1-MP-L6-R07</x:v>
      </x:c>
      <x:c r="B120" s="2" t="n">
        <x:v>4</x:v>
      </x:c>
      <x:c r="C120" s="2" t="str">
        <x:v>MP</x:v>
      </x:c>
      <x:c r="D120" s="2" t="str">
        <x:v>Myzus persicae</x:v>
      </x:c>
      <x:c r="E120" s="2" t="str">
        <x:v>L6</x:v>
      </x:c>
      <x:c r="F120" s="2" t="n">
        <x:v>0</x:v>
      </x:c>
      <x:c r="G120" s="2" t="n">
        <x:v>7</x:v>
      </x:c>
      <x:c r="H120" s="2" t="n">
        <x:v>1</x:v>
      </x:c>
      <x:c r="I120" s="2" t="n">
        <x:v>11</x:v>
      </x:c>
      <x:c r="J120" s="14" t="n">
        <x:v>46104</x:v>
      </x:c>
      <x:c r="K120" s="14" t="n">
        <x:f>J120+O120</x:f>
        <x:v>46105</x:v>
      </x:c>
      <x:c r="L120" s="14" t="n">
        <x:f>J120+Supuestos!$C$8</x:f>
        <x:v>46118</x:v>
      </x:c>
      <x:c r="M120" s="2" t="n">
        <x:v>2</x:v>
      </x:c>
      <x:c r="N120" s="2" t="n">
        <x:v>1</x:v>
      </x:c>
      <x:c r="O120" s="2" t="n">
        <x:v>1</x:v>
      </x:c>
      <x:c r="P120" s="2" t="str">
        <x:v>simulado_didactico</x:v>
      </x:c>
    </x:row>
    <x:row r="121" ht="19" customHeight="1">
      <x:c r="A121" s="2" t="str">
        <x:v>SIM-E1-MP-L6-R08</x:v>
      </x:c>
      <x:c r="B121" s="2" t="n">
        <x:v>4</x:v>
      </x:c>
      <x:c r="C121" s="2" t="str">
        <x:v>MP</x:v>
      </x:c>
      <x:c r="D121" s="2" t="str">
        <x:v>Myzus persicae</x:v>
      </x:c>
      <x:c r="E121" s="2" t="str">
        <x:v>L6</x:v>
      </x:c>
      <x:c r="F121" s="2" t="n">
        <x:v>0</x:v>
      </x:c>
      <x:c r="G121" s="2" t="n">
        <x:v>8</x:v>
      </x:c>
      <x:c r="H121" s="2" t="n">
        <x:v>2</x:v>
      </x:c>
      <x:c r="I121" s="2" t="n">
        <x:v>23</x:v>
      </x:c>
      <x:c r="J121" s="14" t="n">
        <x:v>46104</x:v>
      </x:c>
      <x:c r="K121" s="14" t="n">
        <x:f>J121+O121</x:f>
        <x:v>46105</x:v>
      </x:c>
      <x:c r="L121" s="14" t="n">
        <x:f>J121+Supuestos!$C$8</x:f>
        <x:v>46118</x:v>
      </x:c>
      <x:c r="M121" s="2" t="n">
        <x:v>2</x:v>
      </x:c>
      <x:c r="N121" s="2" t="n">
        <x:v>1</x:v>
      </x:c>
      <x:c r="O121" s="2" t="n">
        <x:v>1</x:v>
      </x:c>
      <x:c r="P121" s="2" t="str">
        <x:v>simulado_didactico</x:v>
      </x:c>
    </x:row>
    <x:row r="122" ht="19" customHeight="1">
      <x:c r="A122" s="2" t="str">
        <x:v>SIM-E1-MP-L7-R07</x:v>
      </x:c>
      <x:c r="B122" s="2" t="n">
        <x:v>4</x:v>
      </x:c>
      <x:c r="C122" s="2" t="str">
        <x:v>MP</x:v>
      </x:c>
      <x:c r="D122" s="2" t="str">
        <x:v>Myzus persicae</x:v>
      </x:c>
      <x:c r="E122" s="2" t="str">
        <x:v>L7</x:v>
      </x:c>
      <x:c r="F122" s="2" t="n">
        <x:v>0</x:v>
      </x:c>
      <x:c r="G122" s="2" t="n">
        <x:v>7</x:v>
      </x:c>
      <x:c r="H122" s="2" t="n">
        <x:v>1</x:v>
      </x:c>
      <x:c r="I122" s="2" t="n">
        <x:v>34</x:v>
      </x:c>
      <x:c r="J122" s="14" t="n">
        <x:v>46104</x:v>
      </x:c>
      <x:c r="K122" s="14" t="n">
        <x:f>J122+O122</x:f>
        <x:v>46105</x:v>
      </x:c>
      <x:c r="L122" s="14" t="n">
        <x:f>J122+Supuestos!$C$8</x:f>
        <x:v>46118</x:v>
      </x:c>
      <x:c r="M122" s="2" t="n">
        <x:v>2</x:v>
      </x:c>
      <x:c r="N122" s="2" t="n">
        <x:v>1</x:v>
      </x:c>
      <x:c r="O122" s="2" t="n">
        <x:v>1</x:v>
      </x:c>
      <x:c r="P122" s="2" t="str">
        <x:v>simulado_didactico</x:v>
      </x:c>
    </x:row>
    <x:row r="123" ht="19" customHeight="1">
      <x:c r="A123" s="2" t="str">
        <x:v>SIM-E1-MP-L7-R08</x:v>
      </x:c>
      <x:c r="B123" s="2" t="n">
        <x:v>4</x:v>
      </x:c>
      <x:c r="C123" s="2" t="str">
        <x:v>MP</x:v>
      </x:c>
      <x:c r="D123" s="2" t="str">
        <x:v>Myzus persicae</x:v>
      </x:c>
      <x:c r="E123" s="2" t="str">
        <x:v>L7</x:v>
      </x:c>
      <x:c r="F123" s="2" t="n">
        <x:v>0</x:v>
      </x:c>
      <x:c r="G123" s="2" t="n">
        <x:v>8</x:v>
      </x:c>
      <x:c r="H123" s="2" t="n">
        <x:v>2</x:v>
      </x:c>
      <x:c r="I123" s="2" t="n">
        <x:v>33</x:v>
      </x:c>
      <x:c r="J123" s="14" t="n">
        <x:v>46104</x:v>
      </x:c>
      <x:c r="K123" s="14" t="n">
        <x:f>J123+O123</x:f>
        <x:v>46105</x:v>
      </x:c>
      <x:c r="L123" s="14" t="n">
        <x:f>J123+Supuestos!$C$8</x:f>
        <x:v>46118</x:v>
      </x:c>
      <x:c r="M123" s="2" t="n">
        <x:v>2</x:v>
      </x:c>
      <x:c r="N123" s="2" t="n">
        <x:v>1</x:v>
      </x:c>
      <x:c r="O123" s="2" t="n">
        <x:v>1</x:v>
      </x:c>
      <x:c r="P123" s="2" t="str">
        <x:v>simulado_didactico</x:v>
      </x:c>
    </x:row>
    <x:row r="124" ht="19" customHeight="1">
      <x:c r="A124" s="2" t="str">
        <x:v>SIM-E1-MP-L8-R07</x:v>
      </x:c>
      <x:c r="B124" s="2" t="n">
        <x:v>4</x:v>
      </x:c>
      <x:c r="C124" s="2" t="str">
        <x:v>MP</x:v>
      </x:c>
      <x:c r="D124" s="2" t="str">
        <x:v>Myzus persicae</x:v>
      </x:c>
      <x:c r="E124" s="2" t="str">
        <x:v>L8</x:v>
      </x:c>
      <x:c r="F124" s="2" t="n">
        <x:v>0</x:v>
      </x:c>
      <x:c r="G124" s="2" t="n">
        <x:v>7</x:v>
      </x:c>
      <x:c r="H124" s="2" t="n">
        <x:v>1</x:v>
      </x:c>
      <x:c r="I124" s="2" t="n">
        <x:v>28</x:v>
      </x:c>
      <x:c r="J124" s="14" t="n">
        <x:v>46104</x:v>
      </x:c>
      <x:c r="K124" s="14" t="n">
        <x:f>J124+O124</x:f>
        <x:v>46105</x:v>
      </x:c>
      <x:c r="L124" s="14" t="n">
        <x:f>J124+Supuestos!$C$8</x:f>
        <x:v>46118</x:v>
      </x:c>
      <x:c r="M124" s="2" t="n">
        <x:v>2</x:v>
      </x:c>
      <x:c r="N124" s="2" t="n">
        <x:v>1</x:v>
      </x:c>
      <x:c r="O124" s="2" t="n">
        <x:v>1</x:v>
      </x:c>
      <x:c r="P124" s="2" t="str">
        <x:v>simulado_didactico</x:v>
      </x:c>
    </x:row>
    <x:row r="125" ht="19" customHeight="1">
      <x:c r="A125" s="2" t="str">
        <x:v>SIM-E1-MP-L8-R08</x:v>
      </x:c>
      <x:c r="B125" s="2" t="n">
        <x:v>4</x:v>
      </x:c>
      <x:c r="C125" s="2" t="str">
        <x:v>MP</x:v>
      </x:c>
      <x:c r="D125" s="2" t="str">
        <x:v>Myzus persicae</x:v>
      </x:c>
      <x:c r="E125" s="2" t="str">
        <x:v>L8</x:v>
      </x:c>
      <x:c r="F125" s="2" t="n">
        <x:v>0</x:v>
      </x:c>
      <x:c r="G125" s="2" t="n">
        <x:v>8</x:v>
      </x:c>
      <x:c r="H125" s="2" t="n">
        <x:v>2</x:v>
      </x:c>
      <x:c r="I125" s="2" t="n">
        <x:v>4</x:v>
      </x:c>
      <x:c r="J125" s="14" t="n">
        <x:v>46104</x:v>
      </x:c>
      <x:c r="K125" s="14" t="n">
        <x:f>J125+O125</x:f>
        <x:v>46105</x:v>
      </x:c>
      <x:c r="L125" s="14" t="n">
        <x:f>J125+Supuestos!$C$8</x:f>
        <x:v>46118</x:v>
      </x:c>
      <x:c r="M125" s="2" t="n">
        <x:v>2</x:v>
      </x:c>
      <x:c r="N125" s="2" t="n">
        <x:v>1</x:v>
      </x:c>
      <x:c r="O125" s="2" t="n">
        <x:v>1</x:v>
      </x:c>
      <x:c r="P125" s="2" t="str">
        <x:v>simulado_didactico</x:v>
      </x:c>
    </x:row>
    <x:row r="126" ht="19" customHeight="1">
      <x:c r="A126" s="2" t="str">
        <x:v>SIM-E1-MP-L9-R07</x:v>
      </x:c>
      <x:c r="B126" s="2" t="n">
        <x:v>4</x:v>
      </x:c>
      <x:c r="C126" s="2" t="str">
        <x:v>MP</x:v>
      </x:c>
      <x:c r="D126" s="2" t="str">
        <x:v>Myzus persicae</x:v>
      </x:c>
      <x:c r="E126" s="2" t="str">
        <x:v>L9</x:v>
      </x:c>
      <x:c r="F126" s="2" t="n">
        <x:v>0</x:v>
      </x:c>
      <x:c r="G126" s="2" t="n">
        <x:v>7</x:v>
      </x:c>
      <x:c r="H126" s="2" t="n">
        <x:v>1</x:v>
      </x:c>
      <x:c r="I126" s="2" t="n">
        <x:v>35</x:v>
      </x:c>
      <x:c r="J126" s="14" t="n">
        <x:v>46104</x:v>
      </x:c>
      <x:c r="K126" s="14" t="n">
        <x:f>J126+O126</x:f>
        <x:v>46105</x:v>
      </x:c>
      <x:c r="L126" s="14" t="n">
        <x:f>J126+Supuestos!$C$8</x:f>
        <x:v>46118</x:v>
      </x:c>
      <x:c r="M126" s="2" t="n">
        <x:v>2</x:v>
      </x:c>
      <x:c r="N126" s="2" t="n">
        <x:v>1</x:v>
      </x:c>
      <x:c r="O126" s="2" t="n">
        <x:v>1</x:v>
      </x:c>
      <x:c r="P126" s="2" t="str">
        <x:v>simulado_didactico</x:v>
      </x:c>
    </x:row>
    <x:row r="127" ht="19" customHeight="1">
      <x:c r="A127" s="2" t="str">
        <x:v>SIM-E1-MP-L9-R08</x:v>
      </x:c>
      <x:c r="B127" s="2" t="n">
        <x:v>4</x:v>
      </x:c>
      <x:c r="C127" s="2" t="str">
        <x:v>MP</x:v>
      </x:c>
      <x:c r="D127" s="2" t="str">
        <x:v>Myzus persicae</x:v>
      </x:c>
      <x:c r="E127" s="2" t="str">
        <x:v>L9</x:v>
      </x:c>
      <x:c r="F127" s="2" t="n">
        <x:v>0</x:v>
      </x:c>
      <x:c r="G127" s="2" t="n">
        <x:v>8</x:v>
      </x:c>
      <x:c r="H127" s="2" t="n">
        <x:v>2</x:v>
      </x:c>
      <x:c r="I127" s="2" t="n">
        <x:v>29</x:v>
      </x:c>
      <x:c r="J127" s="14" t="n">
        <x:v>46104</x:v>
      </x:c>
      <x:c r="K127" s="14" t="n">
        <x:f>J127+O127</x:f>
        <x:v>46105</x:v>
      </x:c>
      <x:c r="L127" s="14" t="n">
        <x:f>J127+Supuestos!$C$8</x:f>
        <x:v>46118</x:v>
      </x:c>
      <x:c r="M127" s="2" t="n">
        <x:v>2</x:v>
      </x:c>
      <x:c r="N127" s="2" t="n">
        <x:v>1</x:v>
      </x:c>
      <x:c r="O127" s="2" t="n">
        <x:v>1</x:v>
      </x:c>
      <x:c r="P127" s="2" t="str">
        <x:v>simulado_didactico</x:v>
      </x:c>
    </x:row>
    <x:row r="128" ht="19" customHeight="1">
      <x:c r="A128" s="2" t="str">
        <x:v>SIM-E1-BB-L0-R07</x:v>
      </x:c>
      <x:c r="B128" s="2" t="n">
        <x:v>4</x:v>
      </x:c>
      <x:c r="C128" s="2" t="str">
        <x:v>BB</x:v>
      </x:c>
      <x:c r="D128" s="2" t="str">
        <x:v>Brevicoryne brassicae</x:v>
      </x:c>
      <x:c r="E128" s="2" t="str">
        <x:v>L0</x:v>
      </x:c>
      <x:c r="F128" s="2" t="n">
        <x:v>1</x:v>
      </x:c>
      <x:c r="G128" s="2" t="n">
        <x:v>7</x:v>
      </x:c>
      <x:c r="H128" s="2" t="n">
        <x:v>1</x:v>
      </x:c>
      <x:c r="I128" s="2" t="n">
        <x:v>3</x:v>
      </x:c>
      <x:c r="J128" s="14" t="n">
        <x:v>46104</x:v>
      </x:c>
      <x:c r="K128" s="14" t="n">
        <x:f>J128+O128</x:f>
        <x:v>46105</x:v>
      </x:c>
      <x:c r="L128" s="14" t="n">
        <x:f>J128+Supuestos!$C$8</x:f>
        <x:v>46118</x:v>
      </x:c>
      <x:c r="M128" s="2" t="n">
        <x:v>2</x:v>
      </x:c>
      <x:c r="N128" s="2" t="n">
        <x:v>1</x:v>
      </x:c>
      <x:c r="O128" s="2" t="n">
        <x:v>1</x:v>
      </x:c>
      <x:c r="P128" s="2" t="str">
        <x:v>simulado_didactico</x:v>
      </x:c>
    </x:row>
    <x:row r="129" ht="19" customHeight="1">
      <x:c r="A129" s="2" t="str">
        <x:v>SIM-E1-BB-L0-R08</x:v>
      </x:c>
      <x:c r="B129" s="2" t="n">
        <x:v>4</x:v>
      </x:c>
      <x:c r="C129" s="2" t="str">
        <x:v>BB</x:v>
      </x:c>
      <x:c r="D129" s="2" t="str">
        <x:v>Brevicoryne brassicae</x:v>
      </x:c>
      <x:c r="E129" s="2" t="str">
        <x:v>L0</x:v>
      </x:c>
      <x:c r="F129" s="2" t="n">
        <x:v>1</x:v>
      </x:c>
      <x:c r="G129" s="2" t="n">
        <x:v>8</x:v>
      </x:c>
      <x:c r="H129" s="2" t="n">
        <x:v>2</x:v>
      </x:c>
      <x:c r="I129" s="2" t="n">
        <x:v>32</x:v>
      </x:c>
      <x:c r="J129" s="14" t="n">
        <x:v>46104</x:v>
      </x:c>
      <x:c r="K129" s="14" t="n">
        <x:f>J129+O129</x:f>
        <x:v>46105</x:v>
      </x:c>
      <x:c r="L129" s="14" t="n">
        <x:f>J129+Supuestos!$C$8</x:f>
        <x:v>46118</x:v>
      </x:c>
      <x:c r="M129" s="2" t="n">
        <x:v>2</x:v>
      </x:c>
      <x:c r="N129" s="2" t="n">
        <x:v>1</x:v>
      </x:c>
      <x:c r="O129" s="2" t="n">
        <x:v>1</x:v>
      </x:c>
      <x:c r="P129" s="2" t="str">
        <x:v>simulado_didactico</x:v>
      </x:c>
    </x:row>
    <x:row r="130" ht="19" customHeight="1">
      <x:c r="A130" s="2" t="str">
        <x:v>SIM-E1-BB-L1-R07</x:v>
      </x:c>
      <x:c r="B130" s="2" t="n">
        <x:v>4</x:v>
      </x:c>
      <x:c r="C130" s="2" t="str">
        <x:v>BB</x:v>
      </x:c>
      <x:c r="D130" s="2" t="str">
        <x:v>Brevicoryne brassicae</x:v>
      </x:c>
      <x:c r="E130" s="2" t="str">
        <x:v>L1</x:v>
      </x:c>
      <x:c r="F130" s="2" t="n">
        <x:v>0</x:v>
      </x:c>
      <x:c r="G130" s="2" t="n">
        <x:v>7</x:v>
      </x:c>
      <x:c r="H130" s="2" t="n">
        <x:v>1</x:v>
      </x:c>
      <x:c r="I130" s="2" t="n">
        <x:v>7</x:v>
      </x:c>
      <x:c r="J130" s="14" t="n">
        <x:v>46104</x:v>
      </x:c>
      <x:c r="K130" s="14" t="n">
        <x:f>J130+O130</x:f>
        <x:v>46105</x:v>
      </x:c>
      <x:c r="L130" s="14" t="n">
        <x:f>J130+Supuestos!$C$8</x:f>
        <x:v>46118</x:v>
      </x:c>
      <x:c r="M130" s="2" t="n">
        <x:v>2</x:v>
      </x:c>
      <x:c r="N130" s="2" t="n">
        <x:v>1</x:v>
      </x:c>
      <x:c r="O130" s="2" t="n">
        <x:v>1</x:v>
      </x:c>
      <x:c r="P130" s="2" t="str">
        <x:v>simulado_didactico</x:v>
      </x:c>
    </x:row>
    <x:row r="131" ht="19" customHeight="1">
      <x:c r="A131" s="2" t="str">
        <x:v>SIM-E1-BB-L1-R08</x:v>
      </x:c>
      <x:c r="B131" s="2" t="n">
        <x:v>4</x:v>
      </x:c>
      <x:c r="C131" s="2" t="str">
        <x:v>BB</x:v>
      </x:c>
      <x:c r="D131" s="2" t="str">
        <x:v>Brevicoryne brassicae</x:v>
      </x:c>
      <x:c r="E131" s="2" t="str">
        <x:v>L1</x:v>
      </x:c>
      <x:c r="F131" s="2" t="n">
        <x:v>0</x:v>
      </x:c>
      <x:c r="G131" s="2" t="n">
        <x:v>8</x:v>
      </x:c>
      <x:c r="H131" s="2" t="n">
        <x:v>2</x:v>
      </x:c>
      <x:c r="I131" s="2" t="n">
        <x:v>21</x:v>
      </x:c>
      <x:c r="J131" s="14" t="n">
        <x:v>46104</x:v>
      </x:c>
      <x:c r="K131" s="14" t="n">
        <x:f>J131+O131</x:f>
        <x:v>46105</x:v>
      </x:c>
      <x:c r="L131" s="14" t="n">
        <x:f>J131+Supuestos!$C$8</x:f>
        <x:v>46118</x:v>
      </x:c>
      <x:c r="M131" s="2" t="n">
        <x:v>2</x:v>
      </x:c>
      <x:c r="N131" s="2" t="n">
        <x:v>1</x:v>
      </x:c>
      <x:c r="O131" s="2" t="n">
        <x:v>1</x:v>
      </x:c>
      <x:c r="P131" s="2" t="str">
        <x:v>simulado_didactico</x:v>
      </x:c>
    </x:row>
    <x:row r="132" ht="19" customHeight="1">
      <x:c r="A132" s="2" t="str">
        <x:v>SIM-E1-BB-L2-R07</x:v>
      </x:c>
      <x:c r="B132" s="2" t="n">
        <x:v>4</x:v>
      </x:c>
      <x:c r="C132" s="2" t="str">
        <x:v>BB</x:v>
      </x:c>
      <x:c r="D132" s="2" t="str">
        <x:v>Brevicoryne brassicae</x:v>
      </x:c>
      <x:c r="E132" s="2" t="str">
        <x:v>L2</x:v>
      </x:c>
      <x:c r="F132" s="2" t="n">
        <x:v>0</x:v>
      </x:c>
      <x:c r="G132" s="2" t="n">
        <x:v>7</x:v>
      </x:c>
      <x:c r="H132" s="2" t="n">
        <x:v>1</x:v>
      </x:c>
      <x:c r="I132" s="2" t="n">
        <x:v>25</x:v>
      </x:c>
      <x:c r="J132" s="14" t="n">
        <x:v>46104</x:v>
      </x:c>
      <x:c r="K132" s="14" t="n">
        <x:f>J132+O132</x:f>
        <x:v>46105</x:v>
      </x:c>
      <x:c r="L132" s="14" t="n">
        <x:f>J132+Supuestos!$C$8</x:f>
        <x:v>46118</x:v>
      </x:c>
      <x:c r="M132" s="2" t="n">
        <x:v>2</x:v>
      </x:c>
      <x:c r="N132" s="2" t="n">
        <x:v>1</x:v>
      </x:c>
      <x:c r="O132" s="2" t="n">
        <x:v>1</x:v>
      </x:c>
      <x:c r="P132" s="2" t="str">
        <x:v>simulado_didactico</x:v>
      </x:c>
    </x:row>
    <x:row r="133" ht="19" customHeight="1">
      <x:c r="A133" s="2" t="str">
        <x:v>SIM-E1-BB-L2-R08</x:v>
      </x:c>
      <x:c r="B133" s="2" t="n">
        <x:v>4</x:v>
      </x:c>
      <x:c r="C133" s="2" t="str">
        <x:v>BB</x:v>
      </x:c>
      <x:c r="D133" s="2" t="str">
        <x:v>Brevicoryne brassicae</x:v>
      </x:c>
      <x:c r="E133" s="2" t="str">
        <x:v>L2</x:v>
      </x:c>
      <x:c r="F133" s="2" t="n">
        <x:v>0</x:v>
      </x:c>
      <x:c r="G133" s="2" t="n">
        <x:v>8</x:v>
      </x:c>
      <x:c r="H133" s="2" t="n">
        <x:v>2</x:v>
      </x:c>
      <x:c r="I133" s="2" t="n">
        <x:v>10</x:v>
      </x:c>
      <x:c r="J133" s="14" t="n">
        <x:v>46104</x:v>
      </x:c>
      <x:c r="K133" s="14" t="n">
        <x:f>J133+O133</x:f>
        <x:v>46105</x:v>
      </x:c>
      <x:c r="L133" s="14" t="n">
        <x:f>J133+Supuestos!$C$8</x:f>
        <x:v>46118</x:v>
      </x:c>
      <x:c r="M133" s="2" t="n">
        <x:v>2</x:v>
      </x:c>
      <x:c r="N133" s="2" t="n">
        <x:v>1</x:v>
      </x:c>
      <x:c r="O133" s="2" t="n">
        <x:v>1</x:v>
      </x:c>
      <x:c r="P133" s="2" t="str">
        <x:v>simulado_didactico</x:v>
      </x:c>
    </x:row>
    <x:row r="134" ht="19" customHeight="1">
      <x:c r="A134" s="2" t="str">
        <x:v>SIM-E1-BB-L3-R07</x:v>
      </x:c>
      <x:c r="B134" s="2" t="n">
        <x:v>4</x:v>
      </x:c>
      <x:c r="C134" s="2" t="str">
        <x:v>BB</x:v>
      </x:c>
      <x:c r="D134" s="2" t="str">
        <x:v>Brevicoryne brassicae</x:v>
      </x:c>
      <x:c r="E134" s="2" t="str">
        <x:v>L3</x:v>
      </x:c>
      <x:c r="F134" s="2" t="n">
        <x:v>0</x:v>
      </x:c>
      <x:c r="G134" s="2" t="n">
        <x:v>7</x:v>
      </x:c>
      <x:c r="H134" s="2" t="n">
        <x:v>1</x:v>
      </x:c>
      <x:c r="I134" s="2" t="n">
        <x:v>31</x:v>
      </x:c>
      <x:c r="J134" s="14" t="n">
        <x:v>46104</x:v>
      </x:c>
      <x:c r="K134" s="14" t="n">
        <x:f>J134+O134</x:f>
        <x:v>46105</x:v>
      </x:c>
      <x:c r="L134" s="14" t="n">
        <x:f>J134+Supuestos!$C$8</x:f>
        <x:v>46118</x:v>
      </x:c>
      <x:c r="M134" s="2" t="n">
        <x:v>2</x:v>
      </x:c>
      <x:c r="N134" s="2" t="n">
        <x:v>1</x:v>
      </x:c>
      <x:c r="O134" s="2" t="n">
        <x:v>1</x:v>
      </x:c>
      <x:c r="P134" s="2" t="str">
        <x:v>simulado_didactico</x:v>
      </x:c>
    </x:row>
    <x:row r="135" ht="19" customHeight="1">
      <x:c r="A135" s="2" t="str">
        <x:v>SIM-E1-BB-L3-R08</x:v>
      </x:c>
      <x:c r="B135" s="2" t="n">
        <x:v>4</x:v>
      </x:c>
      <x:c r="C135" s="2" t="str">
        <x:v>BB</x:v>
      </x:c>
      <x:c r="D135" s="2" t="str">
        <x:v>Brevicoryne brassicae</x:v>
      </x:c>
      <x:c r="E135" s="2" t="str">
        <x:v>L3</x:v>
      </x:c>
      <x:c r="F135" s="2" t="n">
        <x:v>0</x:v>
      </x:c>
      <x:c r="G135" s="2" t="n">
        <x:v>8</x:v>
      </x:c>
      <x:c r="H135" s="2" t="n">
        <x:v>2</x:v>
      </x:c>
      <x:c r="I135" s="2" t="n">
        <x:v>18</x:v>
      </x:c>
      <x:c r="J135" s="14" t="n">
        <x:v>46104</x:v>
      </x:c>
      <x:c r="K135" s="14" t="n">
        <x:f>J135+O135</x:f>
        <x:v>46105</x:v>
      </x:c>
      <x:c r="L135" s="14" t="n">
        <x:f>J135+Supuestos!$C$8</x:f>
        <x:v>46118</x:v>
      </x:c>
      <x:c r="M135" s="2" t="n">
        <x:v>2</x:v>
      </x:c>
      <x:c r="N135" s="2" t="n">
        <x:v>1</x:v>
      </x:c>
      <x:c r="O135" s="2" t="n">
        <x:v>1</x:v>
      </x:c>
      <x:c r="P135" s="2" t="str">
        <x:v>simulado_didactico</x:v>
      </x:c>
    </x:row>
    <x:row r="136" ht="19" customHeight="1">
      <x:c r="A136" s="2" t="str">
        <x:v>SIM-E1-BB-L5-R07</x:v>
      </x:c>
      <x:c r="B136" s="2" t="n">
        <x:v>4</x:v>
      </x:c>
      <x:c r="C136" s="2" t="str">
        <x:v>BB</x:v>
      </x:c>
      <x:c r="D136" s="2" t="str">
        <x:v>Brevicoryne brassicae</x:v>
      </x:c>
      <x:c r="E136" s="2" t="str">
        <x:v>L5</x:v>
      </x:c>
      <x:c r="F136" s="2" t="n">
        <x:v>0</x:v>
      </x:c>
      <x:c r="G136" s="2" t="n">
        <x:v>7</x:v>
      </x:c>
      <x:c r="H136" s="2" t="n">
        <x:v>1</x:v>
      </x:c>
      <x:c r="I136" s="2" t="n">
        <x:v>30</x:v>
      </x:c>
      <x:c r="J136" s="14" t="n">
        <x:v>46104</x:v>
      </x:c>
      <x:c r="K136" s="14" t="n">
        <x:f>J136+O136</x:f>
        <x:v>46105</x:v>
      </x:c>
      <x:c r="L136" s="14" t="n">
        <x:f>J136+Supuestos!$C$8</x:f>
        <x:v>46118</x:v>
      </x:c>
      <x:c r="M136" s="2" t="n">
        <x:v>2</x:v>
      </x:c>
      <x:c r="N136" s="2" t="n">
        <x:v>1</x:v>
      </x:c>
      <x:c r="O136" s="2" t="n">
        <x:v>1</x:v>
      </x:c>
      <x:c r="P136" s="2" t="str">
        <x:v>simulado_didactico</x:v>
      </x:c>
    </x:row>
    <x:row r="137" ht="19" customHeight="1">
      <x:c r="A137" s="2" t="str">
        <x:v>SIM-E1-BB-L5-R08</x:v>
      </x:c>
      <x:c r="B137" s="2" t="n">
        <x:v>4</x:v>
      </x:c>
      <x:c r="C137" s="2" t="str">
        <x:v>BB</x:v>
      </x:c>
      <x:c r="D137" s="2" t="str">
        <x:v>Brevicoryne brassicae</x:v>
      </x:c>
      <x:c r="E137" s="2" t="str">
        <x:v>L5</x:v>
      </x:c>
      <x:c r="F137" s="2" t="n">
        <x:v>0</x:v>
      </x:c>
      <x:c r="G137" s="2" t="n">
        <x:v>8</x:v>
      </x:c>
      <x:c r="H137" s="2" t="n">
        <x:v>2</x:v>
      </x:c>
      <x:c r="I137" s="2" t="n">
        <x:v>12</x:v>
      </x:c>
      <x:c r="J137" s="14" t="n">
        <x:v>46104</x:v>
      </x:c>
      <x:c r="K137" s="14" t="n">
        <x:f>J137+O137</x:f>
        <x:v>46105</x:v>
      </x:c>
      <x:c r="L137" s="14" t="n">
        <x:f>J137+Supuestos!$C$8</x:f>
        <x:v>46118</x:v>
      </x:c>
      <x:c r="M137" s="2" t="n">
        <x:v>2</x:v>
      </x:c>
      <x:c r="N137" s="2" t="n">
        <x:v>1</x:v>
      </x:c>
      <x:c r="O137" s="2" t="n">
        <x:v>1</x:v>
      </x:c>
      <x:c r="P137" s="2" t="str">
        <x:v>simulado_didactico</x:v>
      </x:c>
    </x:row>
    <x:row r="138" ht="19" customHeight="1">
      <x:c r="A138" s="2" t="str">
        <x:v>SIM-E1-BB-L6-R07</x:v>
      </x:c>
      <x:c r="B138" s="2" t="n">
        <x:v>4</x:v>
      </x:c>
      <x:c r="C138" s="2" t="str">
        <x:v>BB</x:v>
      </x:c>
      <x:c r="D138" s="2" t="str">
        <x:v>Brevicoryne brassicae</x:v>
      </x:c>
      <x:c r="E138" s="2" t="str">
        <x:v>L6</x:v>
      </x:c>
      <x:c r="F138" s="2" t="n">
        <x:v>0</x:v>
      </x:c>
      <x:c r="G138" s="2" t="n">
        <x:v>7</x:v>
      </x:c>
      <x:c r="H138" s="2" t="n">
        <x:v>1</x:v>
      </x:c>
      <x:c r="I138" s="2" t="n">
        <x:v>8</x:v>
      </x:c>
      <x:c r="J138" s="14" t="n">
        <x:v>46104</x:v>
      </x:c>
      <x:c r="K138" s="14" t="n">
        <x:f>J138+O138</x:f>
        <x:v>46105</x:v>
      </x:c>
      <x:c r="L138" s="14" t="n">
        <x:f>J138+Supuestos!$C$8</x:f>
        <x:v>46118</x:v>
      </x:c>
      <x:c r="M138" s="2" t="n">
        <x:v>2</x:v>
      </x:c>
      <x:c r="N138" s="2" t="n">
        <x:v>1</x:v>
      </x:c>
      <x:c r="O138" s="2" t="n">
        <x:v>1</x:v>
      </x:c>
      <x:c r="P138" s="2" t="str">
        <x:v>simulado_didactico</x:v>
      </x:c>
    </x:row>
    <x:row r="139" ht="19" customHeight="1">
      <x:c r="A139" s="2" t="str">
        <x:v>SIM-E1-BB-L6-R08</x:v>
      </x:c>
      <x:c r="B139" s="2" t="n">
        <x:v>4</x:v>
      </x:c>
      <x:c r="C139" s="2" t="str">
        <x:v>BB</x:v>
      </x:c>
      <x:c r="D139" s="2" t="str">
        <x:v>Brevicoryne brassicae</x:v>
      </x:c>
      <x:c r="E139" s="2" t="str">
        <x:v>L6</x:v>
      </x:c>
      <x:c r="F139" s="2" t="n">
        <x:v>0</x:v>
      </x:c>
      <x:c r="G139" s="2" t="n">
        <x:v>8</x:v>
      </x:c>
      <x:c r="H139" s="2" t="n">
        <x:v>2</x:v>
      </x:c>
      <x:c r="I139" s="2" t="n">
        <x:v>9</x:v>
      </x:c>
      <x:c r="J139" s="14" t="n">
        <x:v>46104</x:v>
      </x:c>
      <x:c r="K139" s="14" t="n">
        <x:f>J139+O139</x:f>
        <x:v>46105</x:v>
      </x:c>
      <x:c r="L139" s="14" t="n">
        <x:f>J139+Supuestos!$C$8</x:f>
        <x:v>46118</x:v>
      </x:c>
      <x:c r="M139" s="2" t="n">
        <x:v>2</x:v>
      </x:c>
      <x:c r="N139" s="2" t="n">
        <x:v>1</x:v>
      </x:c>
      <x:c r="O139" s="2" t="n">
        <x:v>1</x:v>
      </x:c>
      <x:c r="P139" s="2" t="str">
        <x:v>simulado_didactico</x:v>
      </x:c>
    </x:row>
    <x:row r="140" ht="19" customHeight="1">
      <x:c r="A140" s="2" t="str">
        <x:v>SIM-E1-BB-L7-R07</x:v>
      </x:c>
      <x:c r="B140" s="2" t="n">
        <x:v>4</x:v>
      </x:c>
      <x:c r="C140" s="2" t="str">
        <x:v>BB</x:v>
      </x:c>
      <x:c r="D140" s="2" t="str">
        <x:v>Brevicoryne brassicae</x:v>
      </x:c>
      <x:c r="E140" s="2" t="str">
        <x:v>L7</x:v>
      </x:c>
      <x:c r="F140" s="2" t="n">
        <x:v>0</x:v>
      </x:c>
      <x:c r="G140" s="2" t="n">
        <x:v>7</x:v>
      </x:c>
      <x:c r="H140" s="2" t="n">
        <x:v>1</x:v>
      </x:c>
      <x:c r="I140" s="2" t="n">
        <x:v>5</x:v>
      </x:c>
      <x:c r="J140" s="14" t="n">
        <x:v>46104</x:v>
      </x:c>
      <x:c r="K140" s="14" t="n">
        <x:f>J140+O140</x:f>
        <x:v>46105</x:v>
      </x:c>
      <x:c r="L140" s="14" t="n">
        <x:f>J140+Supuestos!$C$8</x:f>
        <x:v>46118</x:v>
      </x:c>
      <x:c r="M140" s="2" t="n">
        <x:v>2</x:v>
      </x:c>
      <x:c r="N140" s="2" t="n">
        <x:v>1</x:v>
      </x:c>
      <x:c r="O140" s="2" t="n">
        <x:v>1</x:v>
      </x:c>
      <x:c r="P140" s="2" t="str">
        <x:v>simulado_didactico</x:v>
      </x:c>
    </x:row>
    <x:row r="141" ht="19" customHeight="1">
      <x:c r="A141" s="2" t="str">
        <x:v>SIM-E1-BB-L7-R08</x:v>
      </x:c>
      <x:c r="B141" s="2" t="n">
        <x:v>4</x:v>
      </x:c>
      <x:c r="C141" s="2" t="str">
        <x:v>BB</x:v>
      </x:c>
      <x:c r="D141" s="2" t="str">
        <x:v>Brevicoryne brassicae</x:v>
      </x:c>
      <x:c r="E141" s="2" t="str">
        <x:v>L7</x:v>
      </x:c>
      <x:c r="F141" s="2" t="n">
        <x:v>0</x:v>
      </x:c>
      <x:c r="G141" s="2" t="n">
        <x:v>8</x:v>
      </x:c>
      <x:c r="H141" s="2" t="n">
        <x:v>2</x:v>
      </x:c>
      <x:c r="I141" s="2" t="n">
        <x:v>1</x:v>
      </x:c>
      <x:c r="J141" s="14" t="n">
        <x:v>46104</x:v>
      </x:c>
      <x:c r="K141" s="14" t="n">
        <x:f>J141+O141</x:f>
        <x:v>46105</x:v>
      </x:c>
      <x:c r="L141" s="14" t="n">
        <x:f>J141+Supuestos!$C$8</x:f>
        <x:v>46118</x:v>
      </x:c>
      <x:c r="M141" s="2" t="n">
        <x:v>2</x:v>
      </x:c>
      <x:c r="N141" s="2" t="n">
        <x:v>1</x:v>
      </x:c>
      <x:c r="O141" s="2" t="n">
        <x:v>1</x:v>
      </x:c>
      <x:c r="P141" s="2" t="str">
        <x:v>simulado_didactico</x:v>
      </x:c>
    </x:row>
    <x:row r="142" ht="19" customHeight="1">
      <x:c r="A142" s="2" t="str">
        <x:v>SIM-E1-BB-L8-R07</x:v>
      </x:c>
      <x:c r="B142" s="2" t="n">
        <x:v>4</x:v>
      </x:c>
      <x:c r="C142" s="2" t="str">
        <x:v>BB</x:v>
      </x:c>
      <x:c r="D142" s="2" t="str">
        <x:v>Brevicoryne brassicae</x:v>
      </x:c>
      <x:c r="E142" s="2" t="str">
        <x:v>L8</x:v>
      </x:c>
      <x:c r="F142" s="2" t="n">
        <x:v>0</x:v>
      </x:c>
      <x:c r="G142" s="2" t="n">
        <x:v>7</x:v>
      </x:c>
      <x:c r="H142" s="2" t="n">
        <x:v>1</x:v>
      </x:c>
      <x:c r="I142" s="2" t="n">
        <x:v>22</x:v>
      </x:c>
      <x:c r="J142" s="14" t="n">
        <x:v>46104</x:v>
      </x:c>
      <x:c r="K142" s="14" t="n">
        <x:f>J142+O142</x:f>
        <x:v>46105</x:v>
      </x:c>
      <x:c r="L142" s="14" t="n">
        <x:f>J142+Supuestos!$C$8</x:f>
        <x:v>46118</x:v>
      </x:c>
      <x:c r="M142" s="2" t="n">
        <x:v>2</x:v>
      </x:c>
      <x:c r="N142" s="2" t="n">
        <x:v>1</x:v>
      </x:c>
      <x:c r="O142" s="2" t="n">
        <x:v>1</x:v>
      </x:c>
      <x:c r="P142" s="2" t="str">
        <x:v>simulado_didactico</x:v>
      </x:c>
    </x:row>
    <x:row r="143" ht="19" customHeight="1">
      <x:c r="A143" s="2" t="str">
        <x:v>SIM-E1-BB-L8-R08</x:v>
      </x:c>
      <x:c r="B143" s="2" t="n">
        <x:v>4</x:v>
      </x:c>
      <x:c r="C143" s="2" t="str">
        <x:v>BB</x:v>
      </x:c>
      <x:c r="D143" s="2" t="str">
        <x:v>Brevicoryne brassicae</x:v>
      </x:c>
      <x:c r="E143" s="2" t="str">
        <x:v>L8</x:v>
      </x:c>
      <x:c r="F143" s="2" t="n">
        <x:v>0</x:v>
      </x:c>
      <x:c r="G143" s="2" t="n">
        <x:v>8</x:v>
      </x:c>
      <x:c r="H143" s="2" t="n">
        <x:v>2</x:v>
      </x:c>
      <x:c r="I143" s="2" t="n">
        <x:v>6</x:v>
      </x:c>
      <x:c r="J143" s="14" t="n">
        <x:v>46104</x:v>
      </x:c>
      <x:c r="K143" s="14" t="n">
        <x:f>J143+O143</x:f>
        <x:v>46105</x:v>
      </x:c>
      <x:c r="L143" s="14" t="n">
        <x:f>J143+Supuestos!$C$8</x:f>
        <x:v>46118</x:v>
      </x:c>
      <x:c r="M143" s="2" t="n">
        <x:v>2</x:v>
      </x:c>
      <x:c r="N143" s="2" t="n">
        <x:v>1</x:v>
      </x:c>
      <x:c r="O143" s="2" t="n">
        <x:v>1</x:v>
      </x:c>
      <x:c r="P143" s="2" t="str">
        <x:v>simulado_didactico</x:v>
      </x:c>
    </x:row>
    <x:row r="144" ht="19" customHeight="1">
      <x:c r="A144" s="2" t="str">
        <x:v>SIM-E1-BB-L9-R07</x:v>
      </x:c>
      <x:c r="B144" s="2" t="n">
        <x:v>4</x:v>
      </x:c>
      <x:c r="C144" s="2" t="str">
        <x:v>BB</x:v>
      </x:c>
      <x:c r="D144" s="2" t="str">
        <x:v>Brevicoryne brassicae</x:v>
      </x:c>
      <x:c r="E144" s="2" t="str">
        <x:v>L9</x:v>
      </x:c>
      <x:c r="F144" s="2" t="n">
        <x:v>0</x:v>
      </x:c>
      <x:c r="G144" s="2" t="n">
        <x:v>7</x:v>
      </x:c>
      <x:c r="H144" s="2" t="n">
        <x:v>1</x:v>
      </x:c>
      <x:c r="I144" s="2" t="n">
        <x:v>17</x:v>
      </x:c>
      <x:c r="J144" s="14" t="n">
        <x:v>46104</x:v>
      </x:c>
      <x:c r="K144" s="14" t="n">
        <x:f>J144+O144</x:f>
        <x:v>46105</x:v>
      </x:c>
      <x:c r="L144" s="14" t="n">
        <x:f>J144+Supuestos!$C$8</x:f>
        <x:v>46118</x:v>
      </x:c>
      <x:c r="M144" s="2" t="n">
        <x:v>2</x:v>
      </x:c>
      <x:c r="N144" s="2" t="n">
        <x:v>1</x:v>
      </x:c>
      <x:c r="O144" s="2" t="n">
        <x:v>1</x:v>
      </x:c>
      <x:c r="P144" s="2" t="str">
        <x:v>simulado_didactico</x:v>
      </x:c>
    </x:row>
    <x:row r="145" ht="19" customHeight="1">
      <x:c r="A145" s="2" t="str">
        <x:v>SIM-E1-BB-L9-R08</x:v>
      </x:c>
      <x:c r="B145" s="2" t="n">
        <x:v>4</x:v>
      </x:c>
      <x:c r="C145" s="2" t="str">
        <x:v>BB</x:v>
      </x:c>
      <x:c r="D145" s="2" t="str">
        <x:v>Brevicoryne brassicae</x:v>
      </x:c>
      <x:c r="E145" s="2" t="str">
        <x:v>L9</x:v>
      </x:c>
      <x:c r="F145" s="2" t="n">
        <x:v>0</x:v>
      </x:c>
      <x:c r="G145" s="2" t="n">
        <x:v>8</x:v>
      </x:c>
      <x:c r="H145" s="2" t="n">
        <x:v>2</x:v>
      </x:c>
      <x:c r="I145" s="2" t="n">
        <x:v>27</x:v>
      </x:c>
      <x:c r="J145" s="14" t="n">
        <x:v>46104</x:v>
      </x:c>
      <x:c r="K145" s="14" t="n">
        <x:f>J145+O145</x:f>
        <x:v>46105</x:v>
      </x:c>
      <x:c r="L145" s="14" t="n">
        <x:f>J145+Supuestos!$C$8</x:f>
        <x:v>46118</x:v>
      </x:c>
      <x:c r="M145" s="2" t="n">
        <x:v>2</x:v>
      </x:c>
      <x:c r="N145" s="2" t="n">
        <x:v>1</x:v>
      </x:c>
      <x:c r="O145" s="2" t="n">
        <x:v>1</x:v>
      </x:c>
      <x:c r="P145" s="2" t="str">
        <x:v>simulado_didactico</x:v>
      </x:c>
    </x:row>
    <x:row r="146" ht="19" customHeight="1">
      <x:c r="A146" s="2" t="str">
        <x:v>SIM-E1-MP-L0-R09</x:v>
      </x:c>
      <x:c r="B146" s="2" t="n">
        <x:v>5</x:v>
      </x:c>
      <x:c r="C146" s="2" t="str">
        <x:v>MP</x:v>
      </x:c>
      <x:c r="D146" s="2" t="str">
        <x:v>Myzus persicae</x:v>
      </x:c>
      <x:c r="E146" s="2" t="str">
        <x:v>L0</x:v>
      </x:c>
      <x:c r="F146" s="2" t="n">
        <x:v>1</x:v>
      </x:c>
      <x:c r="G146" s="2" t="n">
        <x:v>9</x:v>
      </x:c>
      <x:c r="H146" s="2" t="n">
        <x:v>1</x:v>
      </x:c>
      <x:c r="I146" s="2" t="n">
        <x:v>26</x:v>
      </x:c>
      <x:c r="J146" s="14" t="n">
        <x:v>46111</x:v>
      </x:c>
      <x:c r="K146" s="14" t="n">
        <x:f>J146+O146</x:f>
        <x:v>46112</x:v>
      </x:c>
      <x:c r="L146" s="14" t="n">
        <x:f>J146+Supuestos!$C$8</x:f>
        <x:v>46125</x:v>
      </x:c>
      <x:c r="M146" s="2" t="n">
        <x:v>2</x:v>
      </x:c>
      <x:c r="N146" s="2" t="n">
        <x:v>1</x:v>
      </x:c>
      <x:c r="O146" s="2" t="n">
        <x:v>1</x:v>
      </x:c>
      <x:c r="P146" s="2" t="str">
        <x:v>simulado_didactico</x:v>
      </x:c>
    </x:row>
    <x:row r="147" ht="19" customHeight="1">
      <x:c r="A147" s="2" t="str">
        <x:v>SIM-E1-MP-L0-R10</x:v>
      </x:c>
      <x:c r="B147" s="2" t="n">
        <x:v>5</x:v>
      </x:c>
      <x:c r="C147" s="2" t="str">
        <x:v>MP</x:v>
      </x:c>
      <x:c r="D147" s="2" t="str">
        <x:v>Myzus persicae</x:v>
      </x:c>
      <x:c r="E147" s="2" t="str">
        <x:v>L0</x:v>
      </x:c>
      <x:c r="F147" s="2" t="n">
        <x:v>1</x:v>
      </x:c>
      <x:c r="G147" s="2" t="n">
        <x:v>10</x:v>
      </x:c>
      <x:c r="H147" s="2" t="n">
        <x:v>2</x:v>
      </x:c>
      <x:c r="I147" s="2" t="n">
        <x:v>32</x:v>
      </x:c>
      <x:c r="J147" s="14" t="n">
        <x:v>46111</x:v>
      </x:c>
      <x:c r="K147" s="14" t="n">
        <x:f>J147+O147</x:f>
        <x:v>46112</x:v>
      </x:c>
      <x:c r="L147" s="14" t="n">
        <x:f>J147+Supuestos!$C$8</x:f>
        <x:v>46125</x:v>
      </x:c>
      <x:c r="M147" s="2" t="n">
        <x:v>2</x:v>
      </x:c>
      <x:c r="N147" s="2" t="n">
        <x:v>1</x:v>
      </x:c>
      <x:c r="O147" s="2" t="n">
        <x:v>1</x:v>
      </x:c>
      <x:c r="P147" s="2" t="str">
        <x:v>simulado_didactico</x:v>
      </x:c>
    </x:row>
    <x:row r="148" ht="19" customHeight="1">
      <x:c r="A148" s="2" t="str">
        <x:v>SIM-E1-MP-L1-R09</x:v>
      </x:c>
      <x:c r="B148" s="2" t="n">
        <x:v>5</x:v>
      </x:c>
      <x:c r="C148" s="2" t="str">
        <x:v>MP</x:v>
      </x:c>
      <x:c r="D148" s="2" t="str">
        <x:v>Myzus persicae</x:v>
      </x:c>
      <x:c r="E148" s="2" t="str">
        <x:v>L1</x:v>
      </x:c>
      <x:c r="F148" s="2" t="n">
        <x:v>0</x:v>
      </x:c>
      <x:c r="G148" s="2" t="n">
        <x:v>9</x:v>
      </x:c>
      <x:c r="H148" s="2" t="n">
        <x:v>1</x:v>
      </x:c>
      <x:c r="I148" s="2" t="n">
        <x:v>13</x:v>
      </x:c>
      <x:c r="J148" s="14" t="n">
        <x:v>46111</x:v>
      </x:c>
      <x:c r="K148" s="14" t="n">
        <x:f>J148+O148</x:f>
        <x:v>46112</x:v>
      </x:c>
      <x:c r="L148" s="14" t="n">
        <x:f>J148+Supuestos!$C$8</x:f>
        <x:v>46125</x:v>
      </x:c>
      <x:c r="M148" s="2" t="n">
        <x:v>2</x:v>
      </x:c>
      <x:c r="N148" s="2" t="n">
        <x:v>1</x:v>
      </x:c>
      <x:c r="O148" s="2" t="n">
        <x:v>1</x:v>
      </x:c>
      <x:c r="P148" s="2" t="str">
        <x:v>simulado_didactico</x:v>
      </x:c>
    </x:row>
    <x:row r="149" ht="19" customHeight="1">
      <x:c r="A149" s="2" t="str">
        <x:v>SIM-E1-MP-L1-R10</x:v>
      </x:c>
      <x:c r="B149" s="2" t="n">
        <x:v>5</x:v>
      </x:c>
      <x:c r="C149" s="2" t="str">
        <x:v>MP</x:v>
      </x:c>
      <x:c r="D149" s="2" t="str">
        <x:v>Myzus persicae</x:v>
      </x:c>
      <x:c r="E149" s="2" t="str">
        <x:v>L1</x:v>
      </x:c>
      <x:c r="F149" s="2" t="n">
        <x:v>0</x:v>
      </x:c>
      <x:c r="G149" s="2" t="n">
        <x:v>10</x:v>
      </x:c>
      <x:c r="H149" s="2" t="n">
        <x:v>2</x:v>
      </x:c>
      <x:c r="I149" s="2" t="n">
        <x:v>8</x:v>
      </x:c>
      <x:c r="J149" s="14" t="n">
        <x:v>46111</x:v>
      </x:c>
      <x:c r="K149" s="14" t="n">
        <x:f>J149+O149</x:f>
        <x:v>46112</x:v>
      </x:c>
      <x:c r="L149" s="14" t="n">
        <x:f>J149+Supuestos!$C$8</x:f>
        <x:v>46125</x:v>
      </x:c>
      <x:c r="M149" s="2" t="n">
        <x:v>2</x:v>
      </x:c>
      <x:c r="N149" s="2" t="n">
        <x:v>1</x:v>
      </x:c>
      <x:c r="O149" s="2" t="n">
        <x:v>1</x:v>
      </x:c>
      <x:c r="P149" s="2" t="str">
        <x:v>simulado_didactico</x:v>
      </x:c>
    </x:row>
    <x:row r="150" ht="19" customHeight="1">
      <x:c r="A150" s="2" t="str">
        <x:v>SIM-E1-MP-L2-R09</x:v>
      </x:c>
      <x:c r="B150" s="2" t="n">
        <x:v>5</x:v>
      </x:c>
      <x:c r="C150" s="2" t="str">
        <x:v>MP</x:v>
      </x:c>
      <x:c r="D150" s="2" t="str">
        <x:v>Myzus persicae</x:v>
      </x:c>
      <x:c r="E150" s="2" t="str">
        <x:v>L2</x:v>
      </x:c>
      <x:c r="F150" s="2" t="n">
        <x:v>0</x:v>
      </x:c>
      <x:c r="G150" s="2" t="n">
        <x:v>9</x:v>
      </x:c>
      <x:c r="H150" s="2" t="n">
        <x:v>1</x:v>
      </x:c>
      <x:c r="I150" s="2" t="n">
        <x:v>15</x:v>
      </x:c>
      <x:c r="J150" s="14" t="n">
        <x:v>46111</x:v>
      </x:c>
      <x:c r="K150" s="14" t="n">
        <x:f>J150+O150</x:f>
        <x:v>46112</x:v>
      </x:c>
      <x:c r="L150" s="14" t="n">
        <x:f>J150+Supuestos!$C$8</x:f>
        <x:v>46125</x:v>
      </x:c>
      <x:c r="M150" s="2" t="n">
        <x:v>2</x:v>
      </x:c>
      <x:c r="N150" s="2" t="n">
        <x:v>1</x:v>
      </x:c>
      <x:c r="O150" s="2" t="n">
        <x:v>1</x:v>
      </x:c>
      <x:c r="P150" s="2" t="str">
        <x:v>simulado_didactico</x:v>
      </x:c>
    </x:row>
    <x:row r="151" ht="19" customHeight="1">
      <x:c r="A151" s="2" t="str">
        <x:v>SIM-E1-MP-L2-R10</x:v>
      </x:c>
      <x:c r="B151" s="2" t="n">
        <x:v>5</x:v>
      </x:c>
      <x:c r="C151" s="2" t="str">
        <x:v>MP</x:v>
      </x:c>
      <x:c r="D151" s="2" t="str">
        <x:v>Myzus persicae</x:v>
      </x:c>
      <x:c r="E151" s="2" t="str">
        <x:v>L2</x:v>
      </x:c>
      <x:c r="F151" s="2" t="n">
        <x:v>0</x:v>
      </x:c>
      <x:c r="G151" s="2" t="n">
        <x:v>10</x:v>
      </x:c>
      <x:c r="H151" s="2" t="n">
        <x:v>2</x:v>
      </x:c>
      <x:c r="I151" s="2" t="n">
        <x:v>24</x:v>
      </x:c>
      <x:c r="J151" s="14" t="n">
        <x:v>46111</x:v>
      </x:c>
      <x:c r="K151" s="14" t="n">
        <x:f>J151+O151</x:f>
        <x:v>46112</x:v>
      </x:c>
      <x:c r="L151" s="14" t="n">
        <x:f>J151+Supuestos!$C$8</x:f>
        <x:v>46125</x:v>
      </x:c>
      <x:c r="M151" s="2" t="n">
        <x:v>2</x:v>
      </x:c>
      <x:c r="N151" s="2" t="n">
        <x:v>1</x:v>
      </x:c>
      <x:c r="O151" s="2" t="n">
        <x:v>1</x:v>
      </x:c>
      <x:c r="P151" s="2" t="str">
        <x:v>simulado_didactico</x:v>
      </x:c>
    </x:row>
    <x:row r="152" ht="19" customHeight="1">
      <x:c r="A152" s="2" t="str">
        <x:v>SIM-E1-MP-L3-R09</x:v>
      </x:c>
      <x:c r="B152" s="2" t="n">
        <x:v>5</x:v>
      </x:c>
      <x:c r="C152" s="2" t="str">
        <x:v>MP</x:v>
      </x:c>
      <x:c r="D152" s="2" t="str">
        <x:v>Myzus persicae</x:v>
      </x:c>
      <x:c r="E152" s="2" t="str">
        <x:v>L3</x:v>
      </x:c>
      <x:c r="F152" s="2" t="n">
        <x:v>0</x:v>
      </x:c>
      <x:c r="G152" s="2" t="n">
        <x:v>9</x:v>
      </x:c>
      <x:c r="H152" s="2" t="n">
        <x:v>1</x:v>
      </x:c>
      <x:c r="I152" s="2" t="n">
        <x:v>33</x:v>
      </x:c>
      <x:c r="J152" s="14" t="n">
        <x:v>46111</x:v>
      </x:c>
      <x:c r="K152" s="14" t="n">
        <x:f>J152+O152</x:f>
        <x:v>46112</x:v>
      </x:c>
      <x:c r="L152" s="14" t="n">
        <x:f>J152+Supuestos!$C$8</x:f>
        <x:v>46125</x:v>
      </x:c>
      <x:c r="M152" s="2" t="n">
        <x:v>2</x:v>
      </x:c>
      <x:c r="N152" s="2" t="n">
        <x:v>1</x:v>
      </x:c>
      <x:c r="O152" s="2" t="n">
        <x:v>1</x:v>
      </x:c>
      <x:c r="P152" s="2" t="str">
        <x:v>simulado_didactico</x:v>
      </x:c>
    </x:row>
    <x:row r="153" ht="19" customHeight="1">
      <x:c r="A153" s="2" t="str">
        <x:v>SIM-E1-MP-L3-R10</x:v>
      </x:c>
      <x:c r="B153" s="2" t="n">
        <x:v>5</x:v>
      </x:c>
      <x:c r="C153" s="2" t="str">
        <x:v>MP</x:v>
      </x:c>
      <x:c r="D153" s="2" t="str">
        <x:v>Myzus persicae</x:v>
      </x:c>
      <x:c r="E153" s="2" t="str">
        <x:v>L3</x:v>
      </x:c>
      <x:c r="F153" s="2" t="n">
        <x:v>0</x:v>
      </x:c>
      <x:c r="G153" s="2" t="n">
        <x:v>10</x:v>
      </x:c>
      <x:c r="H153" s="2" t="n">
        <x:v>2</x:v>
      </x:c>
      <x:c r="I153" s="2" t="n">
        <x:v>23</x:v>
      </x:c>
      <x:c r="J153" s="14" t="n">
        <x:v>46111</x:v>
      </x:c>
      <x:c r="K153" s="14" t="n">
        <x:f>J153+O153</x:f>
        <x:v>46112</x:v>
      </x:c>
      <x:c r="L153" s="14" t="n">
        <x:f>J153+Supuestos!$C$8</x:f>
        <x:v>46125</x:v>
      </x:c>
      <x:c r="M153" s="2" t="n">
        <x:v>2</x:v>
      </x:c>
      <x:c r="N153" s="2" t="n">
        <x:v>1</x:v>
      </x:c>
      <x:c r="O153" s="2" t="n">
        <x:v>1</x:v>
      </x:c>
      <x:c r="P153" s="2" t="str">
        <x:v>simulado_didactico</x:v>
      </x:c>
    </x:row>
    <x:row r="154" ht="19" customHeight="1">
      <x:c r="A154" s="2" t="str">
        <x:v>SIM-E1-MP-L5-R09</x:v>
      </x:c>
      <x:c r="B154" s="2" t="n">
        <x:v>5</x:v>
      </x:c>
      <x:c r="C154" s="2" t="str">
        <x:v>MP</x:v>
      </x:c>
      <x:c r="D154" s="2" t="str">
        <x:v>Myzus persicae</x:v>
      </x:c>
      <x:c r="E154" s="2" t="str">
        <x:v>L5</x:v>
      </x:c>
      <x:c r="F154" s="2" t="n">
        <x:v>0</x:v>
      </x:c>
      <x:c r="G154" s="2" t="n">
        <x:v>9</x:v>
      </x:c>
      <x:c r="H154" s="2" t="n">
        <x:v>1</x:v>
      </x:c>
      <x:c r="I154" s="2" t="n">
        <x:v>7</x:v>
      </x:c>
      <x:c r="J154" s="14" t="n">
        <x:v>46111</x:v>
      </x:c>
      <x:c r="K154" s="14" t="n">
        <x:f>J154+O154</x:f>
        <x:v>46112</x:v>
      </x:c>
      <x:c r="L154" s="14" t="n">
        <x:f>J154+Supuestos!$C$8</x:f>
        <x:v>46125</x:v>
      </x:c>
      <x:c r="M154" s="2" t="n">
        <x:v>2</x:v>
      </x:c>
      <x:c r="N154" s="2" t="n">
        <x:v>1</x:v>
      </x:c>
      <x:c r="O154" s="2" t="n">
        <x:v>1</x:v>
      </x:c>
      <x:c r="P154" s="2" t="str">
        <x:v>simulado_didactico</x:v>
      </x:c>
    </x:row>
    <x:row r="155" ht="19" customHeight="1">
      <x:c r="A155" s="2" t="str">
        <x:v>SIM-E1-MP-L5-R10</x:v>
      </x:c>
      <x:c r="B155" s="2" t="n">
        <x:v>5</x:v>
      </x:c>
      <x:c r="C155" s="2" t="str">
        <x:v>MP</x:v>
      </x:c>
      <x:c r="D155" s="2" t="str">
        <x:v>Myzus persicae</x:v>
      </x:c>
      <x:c r="E155" s="2" t="str">
        <x:v>L5</x:v>
      </x:c>
      <x:c r="F155" s="2" t="n">
        <x:v>0</x:v>
      </x:c>
      <x:c r="G155" s="2" t="n">
        <x:v>10</x:v>
      </x:c>
      <x:c r="H155" s="2" t="n">
        <x:v>2</x:v>
      </x:c>
      <x:c r="I155" s="2" t="n">
        <x:v>12</x:v>
      </x:c>
      <x:c r="J155" s="14" t="n">
        <x:v>46111</x:v>
      </x:c>
      <x:c r="K155" s="14" t="n">
        <x:f>J155+O155</x:f>
        <x:v>46112</x:v>
      </x:c>
      <x:c r="L155" s="14" t="n">
        <x:f>J155+Supuestos!$C$8</x:f>
        <x:v>46125</x:v>
      </x:c>
      <x:c r="M155" s="2" t="n">
        <x:v>2</x:v>
      </x:c>
      <x:c r="N155" s="2" t="n">
        <x:v>1</x:v>
      </x:c>
      <x:c r="O155" s="2" t="n">
        <x:v>1</x:v>
      </x:c>
      <x:c r="P155" s="2" t="str">
        <x:v>simulado_didactico</x:v>
      </x:c>
    </x:row>
    <x:row r="156" ht="19" customHeight="1">
      <x:c r="A156" s="2" t="str">
        <x:v>SIM-E1-MP-L6-R09</x:v>
      </x:c>
      <x:c r="B156" s="2" t="n">
        <x:v>5</x:v>
      </x:c>
      <x:c r="C156" s="2" t="str">
        <x:v>MP</x:v>
      </x:c>
      <x:c r="D156" s="2" t="str">
        <x:v>Myzus persicae</x:v>
      </x:c>
      <x:c r="E156" s="2" t="str">
        <x:v>L6</x:v>
      </x:c>
      <x:c r="F156" s="2" t="n">
        <x:v>0</x:v>
      </x:c>
      <x:c r="G156" s="2" t="n">
        <x:v>9</x:v>
      </x:c>
      <x:c r="H156" s="2" t="n">
        <x:v>1</x:v>
      </x:c>
      <x:c r="I156" s="2" t="n">
        <x:v>2</x:v>
      </x:c>
      <x:c r="J156" s="14" t="n">
        <x:v>46111</x:v>
      </x:c>
      <x:c r="K156" s="14" t="n">
        <x:f>J156+O156</x:f>
        <x:v>46112</x:v>
      </x:c>
      <x:c r="L156" s="14" t="n">
        <x:f>J156+Supuestos!$C$8</x:f>
        <x:v>46125</x:v>
      </x:c>
      <x:c r="M156" s="2" t="n">
        <x:v>2</x:v>
      </x:c>
      <x:c r="N156" s="2" t="n">
        <x:v>1</x:v>
      </x:c>
      <x:c r="O156" s="2" t="n">
        <x:v>1</x:v>
      </x:c>
      <x:c r="P156" s="2" t="str">
        <x:v>simulado_didactico</x:v>
      </x:c>
    </x:row>
    <x:row r="157" ht="19" customHeight="1">
      <x:c r="A157" s="2" t="str">
        <x:v>SIM-E1-MP-L6-R10</x:v>
      </x:c>
      <x:c r="B157" s="2" t="n">
        <x:v>5</x:v>
      </x:c>
      <x:c r="C157" s="2" t="str">
        <x:v>MP</x:v>
      </x:c>
      <x:c r="D157" s="2" t="str">
        <x:v>Myzus persicae</x:v>
      </x:c>
      <x:c r="E157" s="2" t="str">
        <x:v>L6</x:v>
      </x:c>
      <x:c r="F157" s="2" t="n">
        <x:v>0</x:v>
      </x:c>
      <x:c r="G157" s="2" t="n">
        <x:v>10</x:v>
      </x:c>
      <x:c r="H157" s="2" t="n">
        <x:v>2</x:v>
      </x:c>
      <x:c r="I157" s="2" t="n">
        <x:v>17</x:v>
      </x:c>
      <x:c r="J157" s="14" t="n">
        <x:v>46111</x:v>
      </x:c>
      <x:c r="K157" s="14" t="n">
        <x:f>J157+O157</x:f>
        <x:v>46112</x:v>
      </x:c>
      <x:c r="L157" s="14" t="n">
        <x:f>J157+Supuestos!$C$8</x:f>
        <x:v>46125</x:v>
      </x:c>
      <x:c r="M157" s="2" t="n">
        <x:v>2</x:v>
      </x:c>
      <x:c r="N157" s="2" t="n">
        <x:v>1</x:v>
      </x:c>
      <x:c r="O157" s="2" t="n">
        <x:v>1</x:v>
      </x:c>
      <x:c r="P157" s="2" t="str">
        <x:v>simulado_didactico</x:v>
      </x:c>
    </x:row>
    <x:row r="158" ht="19" customHeight="1">
      <x:c r="A158" s="2" t="str">
        <x:v>SIM-E1-MP-L7-R09</x:v>
      </x:c>
      <x:c r="B158" s="2" t="n">
        <x:v>5</x:v>
      </x:c>
      <x:c r="C158" s="2" t="str">
        <x:v>MP</x:v>
      </x:c>
      <x:c r="D158" s="2" t="str">
        <x:v>Myzus persicae</x:v>
      </x:c>
      <x:c r="E158" s="2" t="str">
        <x:v>L7</x:v>
      </x:c>
      <x:c r="F158" s="2" t="n">
        <x:v>0</x:v>
      </x:c>
      <x:c r="G158" s="2" t="n">
        <x:v>9</x:v>
      </x:c>
      <x:c r="H158" s="2" t="n">
        <x:v>1</x:v>
      </x:c>
      <x:c r="I158" s="2" t="n">
        <x:v>27</x:v>
      </x:c>
      <x:c r="J158" s="14" t="n">
        <x:v>46111</x:v>
      </x:c>
      <x:c r="K158" s="14" t="n">
        <x:f>J158+O158</x:f>
        <x:v>46112</x:v>
      </x:c>
      <x:c r="L158" s="14" t="n">
        <x:f>J158+Supuestos!$C$8</x:f>
        <x:v>46125</x:v>
      </x:c>
      <x:c r="M158" s="2" t="n">
        <x:v>2</x:v>
      </x:c>
      <x:c r="N158" s="2" t="n">
        <x:v>1</x:v>
      </x:c>
      <x:c r="O158" s="2" t="n">
        <x:v>1</x:v>
      </x:c>
      <x:c r="P158" s="2" t="str">
        <x:v>simulado_didactico</x:v>
      </x:c>
    </x:row>
    <x:row r="159" ht="19" customHeight="1">
      <x:c r="A159" s="2" t="str">
        <x:v>SIM-E1-MP-L7-R10</x:v>
      </x:c>
      <x:c r="B159" s="2" t="n">
        <x:v>5</x:v>
      </x:c>
      <x:c r="C159" s="2" t="str">
        <x:v>MP</x:v>
      </x:c>
      <x:c r="D159" s="2" t="str">
        <x:v>Myzus persicae</x:v>
      </x:c>
      <x:c r="E159" s="2" t="str">
        <x:v>L7</x:v>
      </x:c>
      <x:c r="F159" s="2" t="n">
        <x:v>0</x:v>
      </x:c>
      <x:c r="G159" s="2" t="n">
        <x:v>10</x:v>
      </x:c>
      <x:c r="H159" s="2" t="n">
        <x:v>2</x:v>
      </x:c>
      <x:c r="I159" s="2" t="n">
        <x:v>14</x:v>
      </x:c>
      <x:c r="J159" s="14" t="n">
        <x:v>46111</x:v>
      </x:c>
      <x:c r="K159" s="14" t="n">
        <x:f>J159+O159</x:f>
        <x:v>46112</x:v>
      </x:c>
      <x:c r="L159" s="14" t="n">
        <x:f>J159+Supuestos!$C$8</x:f>
        <x:v>46125</x:v>
      </x:c>
      <x:c r="M159" s="2" t="n">
        <x:v>2</x:v>
      </x:c>
      <x:c r="N159" s="2" t="n">
        <x:v>1</x:v>
      </x:c>
      <x:c r="O159" s="2" t="n">
        <x:v>1</x:v>
      </x:c>
      <x:c r="P159" s="2" t="str">
        <x:v>simulado_didactico</x:v>
      </x:c>
    </x:row>
    <x:row r="160" ht="19" customHeight="1">
      <x:c r="A160" s="2" t="str">
        <x:v>SIM-E1-MP-L8-R09</x:v>
      </x:c>
      <x:c r="B160" s="2" t="n">
        <x:v>5</x:v>
      </x:c>
      <x:c r="C160" s="2" t="str">
        <x:v>MP</x:v>
      </x:c>
      <x:c r="D160" s="2" t="str">
        <x:v>Myzus persicae</x:v>
      </x:c>
      <x:c r="E160" s="2" t="str">
        <x:v>L8</x:v>
      </x:c>
      <x:c r="F160" s="2" t="n">
        <x:v>0</x:v>
      </x:c>
      <x:c r="G160" s="2" t="n">
        <x:v>9</x:v>
      </x:c>
      <x:c r="H160" s="2" t="n">
        <x:v>1</x:v>
      </x:c>
      <x:c r="I160" s="2" t="n">
        <x:v>3</x:v>
      </x:c>
      <x:c r="J160" s="14" t="n">
        <x:v>46111</x:v>
      </x:c>
      <x:c r="K160" s="14" t="n">
        <x:f>J160+O160</x:f>
        <x:v>46112</x:v>
      </x:c>
      <x:c r="L160" s="14" t="n">
        <x:f>J160+Supuestos!$C$8</x:f>
        <x:v>46125</x:v>
      </x:c>
      <x:c r="M160" s="2" t="n">
        <x:v>2</x:v>
      </x:c>
      <x:c r="N160" s="2" t="n">
        <x:v>1</x:v>
      </x:c>
      <x:c r="O160" s="2" t="n">
        <x:v>1</x:v>
      </x:c>
      <x:c r="P160" s="2" t="str">
        <x:v>simulado_didactico</x:v>
      </x:c>
    </x:row>
    <x:row r="161" ht="19" customHeight="1">
      <x:c r="A161" s="2" t="str">
        <x:v>SIM-E1-MP-L8-R10</x:v>
      </x:c>
      <x:c r="B161" s="2" t="n">
        <x:v>5</x:v>
      </x:c>
      <x:c r="C161" s="2" t="str">
        <x:v>MP</x:v>
      </x:c>
      <x:c r="D161" s="2" t="str">
        <x:v>Myzus persicae</x:v>
      </x:c>
      <x:c r="E161" s="2" t="str">
        <x:v>L8</x:v>
      </x:c>
      <x:c r="F161" s="2" t="n">
        <x:v>0</x:v>
      </x:c>
      <x:c r="G161" s="2" t="n">
        <x:v>10</x:v>
      </x:c>
      <x:c r="H161" s="2" t="n">
        <x:v>2</x:v>
      </x:c>
      <x:c r="I161" s="2" t="n">
        <x:v>36</x:v>
      </x:c>
      <x:c r="J161" s="14" t="n">
        <x:v>46111</x:v>
      </x:c>
      <x:c r="K161" s="14" t="n">
        <x:f>J161+O161</x:f>
        <x:v>46112</x:v>
      </x:c>
      <x:c r="L161" s="14" t="n">
        <x:f>J161+Supuestos!$C$8</x:f>
        <x:v>46125</x:v>
      </x:c>
      <x:c r="M161" s="2" t="n">
        <x:v>2</x:v>
      </x:c>
      <x:c r="N161" s="2" t="n">
        <x:v>1</x:v>
      </x:c>
      <x:c r="O161" s="2" t="n">
        <x:v>1</x:v>
      </x:c>
      <x:c r="P161" s="2" t="str">
        <x:v>simulado_didactico</x:v>
      </x:c>
    </x:row>
    <x:row r="162" ht="19" customHeight="1">
      <x:c r="A162" s="2" t="str">
        <x:v>SIM-E1-MP-L9-R09</x:v>
      </x:c>
      <x:c r="B162" s="2" t="n">
        <x:v>5</x:v>
      </x:c>
      <x:c r="C162" s="2" t="str">
        <x:v>MP</x:v>
      </x:c>
      <x:c r="D162" s="2" t="str">
        <x:v>Myzus persicae</x:v>
      </x:c>
      <x:c r="E162" s="2" t="str">
        <x:v>L9</x:v>
      </x:c>
      <x:c r="F162" s="2" t="n">
        <x:v>0</x:v>
      </x:c>
      <x:c r="G162" s="2" t="n">
        <x:v>9</x:v>
      </x:c>
      <x:c r="H162" s="2" t="n">
        <x:v>1</x:v>
      </x:c>
      <x:c r="I162" s="2" t="n">
        <x:v>31</x:v>
      </x:c>
      <x:c r="J162" s="14" t="n">
        <x:v>46111</x:v>
      </x:c>
      <x:c r="K162" s="14" t="n">
        <x:f>J162+O162</x:f>
        <x:v>46112</x:v>
      </x:c>
      <x:c r="L162" s="14" t="n">
        <x:f>J162+Supuestos!$C$8</x:f>
        <x:v>46125</x:v>
      </x:c>
      <x:c r="M162" s="2" t="n">
        <x:v>2</x:v>
      </x:c>
      <x:c r="N162" s="2" t="n">
        <x:v>1</x:v>
      </x:c>
      <x:c r="O162" s="2" t="n">
        <x:v>1</x:v>
      </x:c>
      <x:c r="P162" s="2" t="str">
        <x:v>simulado_didactico</x:v>
      </x:c>
    </x:row>
    <x:row r="163" ht="19" customHeight="1">
      <x:c r="A163" s="2" t="str">
        <x:v>SIM-E1-MP-L9-R10</x:v>
      </x:c>
      <x:c r="B163" s="2" t="n">
        <x:v>5</x:v>
      </x:c>
      <x:c r="C163" s="2" t="str">
        <x:v>MP</x:v>
      </x:c>
      <x:c r="D163" s="2" t="str">
        <x:v>Myzus persicae</x:v>
      </x:c>
      <x:c r="E163" s="2" t="str">
        <x:v>L9</x:v>
      </x:c>
      <x:c r="F163" s="2" t="n">
        <x:v>0</x:v>
      </x:c>
      <x:c r="G163" s="2" t="n">
        <x:v>10</x:v>
      </x:c>
      <x:c r="H163" s="2" t="n">
        <x:v>2</x:v>
      </x:c>
      <x:c r="I163" s="2" t="n">
        <x:v>10</x:v>
      </x:c>
      <x:c r="J163" s="14" t="n">
        <x:v>46111</x:v>
      </x:c>
      <x:c r="K163" s="14" t="n">
        <x:f>J163+O163</x:f>
        <x:v>46112</x:v>
      </x:c>
      <x:c r="L163" s="14" t="n">
        <x:f>J163+Supuestos!$C$8</x:f>
        <x:v>46125</x:v>
      </x:c>
      <x:c r="M163" s="2" t="n">
        <x:v>2</x:v>
      </x:c>
      <x:c r="N163" s="2" t="n">
        <x:v>1</x:v>
      </x:c>
      <x:c r="O163" s="2" t="n">
        <x:v>1</x:v>
      </x:c>
      <x:c r="P163" s="2" t="str">
        <x:v>simulado_didactico</x:v>
      </x:c>
    </x:row>
    <x:row r="164" ht="19" customHeight="1">
      <x:c r="A164" s="2" t="str">
        <x:v>SIM-E1-BB-L0-R09</x:v>
      </x:c>
      <x:c r="B164" s="2" t="n">
        <x:v>5</x:v>
      </x:c>
      <x:c r="C164" s="2" t="str">
        <x:v>BB</x:v>
      </x:c>
      <x:c r="D164" s="2" t="str">
        <x:v>Brevicoryne brassicae</x:v>
      </x:c>
      <x:c r="E164" s="2" t="str">
        <x:v>L0</x:v>
      </x:c>
      <x:c r="F164" s="2" t="n">
        <x:v>1</x:v>
      </x:c>
      <x:c r="G164" s="2" t="n">
        <x:v>9</x:v>
      </x:c>
      <x:c r="H164" s="2" t="n">
        <x:v>1</x:v>
      </x:c>
      <x:c r="I164" s="2" t="n">
        <x:v>21</x:v>
      </x:c>
      <x:c r="J164" s="14" t="n">
        <x:v>46111</x:v>
      </x:c>
      <x:c r="K164" s="14" t="n">
        <x:f>J164+O164</x:f>
        <x:v>46112</x:v>
      </x:c>
      <x:c r="L164" s="14" t="n">
        <x:f>J164+Supuestos!$C$8</x:f>
        <x:v>46125</x:v>
      </x:c>
      <x:c r="M164" s="2" t="n">
        <x:v>2</x:v>
      </x:c>
      <x:c r="N164" s="2" t="n">
        <x:v>1</x:v>
      </x:c>
      <x:c r="O164" s="2" t="n">
        <x:v>1</x:v>
      </x:c>
      <x:c r="P164" s="2" t="str">
        <x:v>simulado_didactico</x:v>
      </x:c>
    </x:row>
    <x:row r="165" ht="19" customHeight="1">
      <x:c r="A165" s="2" t="str">
        <x:v>SIM-E1-BB-L0-R10</x:v>
      </x:c>
      <x:c r="B165" s="2" t="n">
        <x:v>5</x:v>
      </x:c>
      <x:c r="C165" s="2" t="str">
        <x:v>BB</x:v>
      </x:c>
      <x:c r="D165" s="2" t="str">
        <x:v>Brevicoryne brassicae</x:v>
      </x:c>
      <x:c r="E165" s="2" t="str">
        <x:v>L0</x:v>
      </x:c>
      <x:c r="F165" s="2" t="n">
        <x:v>1</x:v>
      </x:c>
      <x:c r="G165" s="2" t="n">
        <x:v>10</x:v>
      </x:c>
      <x:c r="H165" s="2" t="n">
        <x:v>2</x:v>
      </x:c>
      <x:c r="I165" s="2" t="n">
        <x:v>20</x:v>
      </x:c>
      <x:c r="J165" s="14" t="n">
        <x:v>46111</x:v>
      </x:c>
      <x:c r="K165" s="14" t="n">
        <x:f>J165+O165</x:f>
        <x:v>46112</x:v>
      </x:c>
      <x:c r="L165" s="14" t="n">
        <x:f>J165+Supuestos!$C$8</x:f>
        <x:v>46125</x:v>
      </x:c>
      <x:c r="M165" s="2" t="n">
        <x:v>2</x:v>
      </x:c>
      <x:c r="N165" s="2" t="n">
        <x:v>1</x:v>
      </x:c>
      <x:c r="O165" s="2" t="n">
        <x:v>1</x:v>
      </x:c>
      <x:c r="P165" s="2" t="str">
        <x:v>simulado_didactico</x:v>
      </x:c>
    </x:row>
    <x:row r="166" ht="19" customHeight="1">
      <x:c r="A166" s="2" t="str">
        <x:v>SIM-E1-BB-L1-R09</x:v>
      </x:c>
      <x:c r="B166" s="2" t="n">
        <x:v>5</x:v>
      </x:c>
      <x:c r="C166" s="2" t="str">
        <x:v>BB</x:v>
      </x:c>
      <x:c r="D166" s="2" t="str">
        <x:v>Brevicoryne brassicae</x:v>
      </x:c>
      <x:c r="E166" s="2" t="str">
        <x:v>L1</x:v>
      </x:c>
      <x:c r="F166" s="2" t="n">
        <x:v>0</x:v>
      </x:c>
      <x:c r="G166" s="2" t="n">
        <x:v>9</x:v>
      </x:c>
      <x:c r="H166" s="2" t="n">
        <x:v>1</x:v>
      </x:c>
      <x:c r="I166" s="2" t="n">
        <x:v>28</x:v>
      </x:c>
      <x:c r="J166" s="14" t="n">
        <x:v>46111</x:v>
      </x:c>
      <x:c r="K166" s="14" t="n">
        <x:f>J166+O166</x:f>
        <x:v>46112</x:v>
      </x:c>
      <x:c r="L166" s="14" t="n">
        <x:f>J166+Supuestos!$C$8</x:f>
        <x:v>46125</x:v>
      </x:c>
      <x:c r="M166" s="2" t="n">
        <x:v>2</x:v>
      </x:c>
      <x:c r="N166" s="2" t="n">
        <x:v>1</x:v>
      </x:c>
      <x:c r="O166" s="2" t="n">
        <x:v>1</x:v>
      </x:c>
      <x:c r="P166" s="2" t="str">
        <x:v>simulado_didactico</x:v>
      </x:c>
    </x:row>
    <x:row r="167" ht="19" customHeight="1">
      <x:c r="A167" s="2" t="str">
        <x:v>SIM-E1-BB-L1-R10</x:v>
      </x:c>
      <x:c r="B167" s="2" t="n">
        <x:v>5</x:v>
      </x:c>
      <x:c r="C167" s="2" t="str">
        <x:v>BB</x:v>
      </x:c>
      <x:c r="D167" s="2" t="str">
        <x:v>Brevicoryne brassicae</x:v>
      </x:c>
      <x:c r="E167" s="2" t="str">
        <x:v>L1</x:v>
      </x:c>
      <x:c r="F167" s="2" t="n">
        <x:v>0</x:v>
      </x:c>
      <x:c r="G167" s="2" t="n">
        <x:v>10</x:v>
      </x:c>
      <x:c r="H167" s="2" t="n">
        <x:v>2</x:v>
      </x:c>
      <x:c r="I167" s="2" t="n">
        <x:v>16</x:v>
      </x:c>
      <x:c r="J167" s="14" t="n">
        <x:v>46111</x:v>
      </x:c>
      <x:c r="K167" s="14" t="n">
        <x:f>J167+O167</x:f>
        <x:v>46112</x:v>
      </x:c>
      <x:c r="L167" s="14" t="n">
        <x:f>J167+Supuestos!$C$8</x:f>
        <x:v>46125</x:v>
      </x:c>
      <x:c r="M167" s="2" t="n">
        <x:v>2</x:v>
      </x:c>
      <x:c r="N167" s="2" t="n">
        <x:v>1</x:v>
      </x:c>
      <x:c r="O167" s="2" t="n">
        <x:v>1</x:v>
      </x:c>
      <x:c r="P167" s="2" t="str">
        <x:v>simulado_didactico</x:v>
      </x:c>
    </x:row>
    <x:row r="168" ht="19" customHeight="1">
      <x:c r="A168" s="2" t="str">
        <x:v>SIM-E1-BB-L2-R09</x:v>
      </x:c>
      <x:c r="B168" s="2" t="n">
        <x:v>5</x:v>
      </x:c>
      <x:c r="C168" s="2" t="str">
        <x:v>BB</x:v>
      </x:c>
      <x:c r="D168" s="2" t="str">
        <x:v>Brevicoryne brassicae</x:v>
      </x:c>
      <x:c r="E168" s="2" t="str">
        <x:v>L2</x:v>
      </x:c>
      <x:c r="F168" s="2" t="n">
        <x:v>0</x:v>
      </x:c>
      <x:c r="G168" s="2" t="n">
        <x:v>9</x:v>
      </x:c>
      <x:c r="H168" s="2" t="n">
        <x:v>1</x:v>
      </x:c>
      <x:c r="I168" s="2" t="n">
        <x:v>34</x:v>
      </x:c>
      <x:c r="J168" s="14" t="n">
        <x:v>46111</x:v>
      </x:c>
      <x:c r="K168" s="14" t="n">
        <x:f>J168+O168</x:f>
        <x:v>46112</x:v>
      </x:c>
      <x:c r="L168" s="14" t="n">
        <x:f>J168+Supuestos!$C$8</x:f>
        <x:v>46125</x:v>
      </x:c>
      <x:c r="M168" s="2" t="n">
        <x:v>2</x:v>
      </x:c>
      <x:c r="N168" s="2" t="n">
        <x:v>1</x:v>
      </x:c>
      <x:c r="O168" s="2" t="n">
        <x:v>1</x:v>
      </x:c>
      <x:c r="P168" s="2" t="str">
        <x:v>simulado_didactico</x:v>
      </x:c>
    </x:row>
    <x:row r="169" ht="19" customHeight="1">
      <x:c r="A169" s="2" t="str">
        <x:v>SIM-E1-BB-L2-R10</x:v>
      </x:c>
      <x:c r="B169" s="2" t="n">
        <x:v>5</x:v>
      </x:c>
      <x:c r="C169" s="2" t="str">
        <x:v>BB</x:v>
      </x:c>
      <x:c r="D169" s="2" t="str">
        <x:v>Brevicoryne brassicae</x:v>
      </x:c>
      <x:c r="E169" s="2" t="str">
        <x:v>L2</x:v>
      </x:c>
      <x:c r="F169" s="2" t="n">
        <x:v>0</x:v>
      </x:c>
      <x:c r="G169" s="2" t="n">
        <x:v>10</x:v>
      </x:c>
      <x:c r="H169" s="2" t="n">
        <x:v>2</x:v>
      </x:c>
      <x:c r="I169" s="2" t="n">
        <x:v>1</x:v>
      </x:c>
      <x:c r="J169" s="14" t="n">
        <x:v>46111</x:v>
      </x:c>
      <x:c r="K169" s="14" t="n">
        <x:f>J169+O169</x:f>
        <x:v>46112</x:v>
      </x:c>
      <x:c r="L169" s="14" t="n">
        <x:f>J169+Supuestos!$C$8</x:f>
        <x:v>46125</x:v>
      </x:c>
      <x:c r="M169" s="2" t="n">
        <x:v>2</x:v>
      </x:c>
      <x:c r="N169" s="2" t="n">
        <x:v>1</x:v>
      </x:c>
      <x:c r="O169" s="2" t="n">
        <x:v>1</x:v>
      </x:c>
      <x:c r="P169" s="2" t="str">
        <x:v>simulado_didactico</x:v>
      </x:c>
    </x:row>
    <x:row r="170" ht="19" customHeight="1">
      <x:c r="A170" s="2" t="str">
        <x:v>SIM-E1-BB-L3-R09</x:v>
      </x:c>
      <x:c r="B170" s="2" t="n">
        <x:v>5</x:v>
      </x:c>
      <x:c r="C170" s="2" t="str">
        <x:v>BB</x:v>
      </x:c>
      <x:c r="D170" s="2" t="str">
        <x:v>Brevicoryne brassicae</x:v>
      </x:c>
      <x:c r="E170" s="2" t="str">
        <x:v>L3</x:v>
      </x:c>
      <x:c r="F170" s="2" t="n">
        <x:v>0</x:v>
      </x:c>
      <x:c r="G170" s="2" t="n">
        <x:v>9</x:v>
      </x:c>
      <x:c r="H170" s="2" t="n">
        <x:v>1</x:v>
      </x:c>
      <x:c r="I170" s="2" t="n">
        <x:v>30</x:v>
      </x:c>
      <x:c r="J170" s="14" t="n">
        <x:v>46111</x:v>
      </x:c>
      <x:c r="K170" s="14" t="n">
        <x:f>J170+O170</x:f>
        <x:v>46112</x:v>
      </x:c>
      <x:c r="L170" s="14" t="n">
        <x:f>J170+Supuestos!$C$8</x:f>
        <x:v>46125</x:v>
      </x:c>
      <x:c r="M170" s="2" t="n">
        <x:v>2</x:v>
      </x:c>
      <x:c r="N170" s="2" t="n">
        <x:v>1</x:v>
      </x:c>
      <x:c r="O170" s="2" t="n">
        <x:v>1</x:v>
      </x:c>
      <x:c r="P170" s="2" t="str">
        <x:v>simulado_didactico</x:v>
      </x:c>
    </x:row>
    <x:row r="171" ht="19" customHeight="1">
      <x:c r="A171" s="2" t="str">
        <x:v>SIM-E1-BB-L3-R10</x:v>
      </x:c>
      <x:c r="B171" s="2" t="n">
        <x:v>5</x:v>
      </x:c>
      <x:c r="C171" s="2" t="str">
        <x:v>BB</x:v>
      </x:c>
      <x:c r="D171" s="2" t="str">
        <x:v>Brevicoryne brassicae</x:v>
      </x:c>
      <x:c r="E171" s="2" t="str">
        <x:v>L3</x:v>
      </x:c>
      <x:c r="F171" s="2" t="n">
        <x:v>0</x:v>
      </x:c>
      <x:c r="G171" s="2" t="n">
        <x:v>10</x:v>
      </x:c>
      <x:c r="H171" s="2" t="n">
        <x:v>2</x:v>
      </x:c>
      <x:c r="I171" s="2" t="n">
        <x:v>11</x:v>
      </x:c>
      <x:c r="J171" s="14" t="n">
        <x:v>46111</x:v>
      </x:c>
      <x:c r="K171" s="14" t="n">
        <x:f>J171+O171</x:f>
        <x:v>46112</x:v>
      </x:c>
      <x:c r="L171" s="14" t="n">
        <x:f>J171+Supuestos!$C$8</x:f>
        <x:v>46125</x:v>
      </x:c>
      <x:c r="M171" s="2" t="n">
        <x:v>2</x:v>
      </x:c>
      <x:c r="N171" s="2" t="n">
        <x:v>1</x:v>
      </x:c>
      <x:c r="O171" s="2" t="n">
        <x:v>1</x:v>
      </x:c>
      <x:c r="P171" s="2" t="str">
        <x:v>simulado_didactico</x:v>
      </x:c>
    </x:row>
    <x:row r="172" ht="19" customHeight="1">
      <x:c r="A172" s="2" t="str">
        <x:v>SIM-E1-BB-L5-R09</x:v>
      </x:c>
      <x:c r="B172" s="2" t="n">
        <x:v>5</x:v>
      </x:c>
      <x:c r="C172" s="2" t="str">
        <x:v>BB</x:v>
      </x:c>
      <x:c r="D172" s="2" t="str">
        <x:v>Brevicoryne brassicae</x:v>
      </x:c>
      <x:c r="E172" s="2" t="str">
        <x:v>L5</x:v>
      </x:c>
      <x:c r="F172" s="2" t="n">
        <x:v>0</x:v>
      </x:c>
      <x:c r="G172" s="2" t="n">
        <x:v>9</x:v>
      </x:c>
      <x:c r="H172" s="2" t="n">
        <x:v>1</x:v>
      </x:c>
      <x:c r="I172" s="2" t="n">
        <x:v>29</x:v>
      </x:c>
      <x:c r="J172" s="14" t="n">
        <x:v>46111</x:v>
      </x:c>
      <x:c r="K172" s="14" t="n">
        <x:f>J172+O172</x:f>
        <x:v>46112</x:v>
      </x:c>
      <x:c r="L172" s="14" t="n">
        <x:f>J172+Supuestos!$C$8</x:f>
        <x:v>46125</x:v>
      </x:c>
      <x:c r="M172" s="2" t="n">
        <x:v>2</x:v>
      </x:c>
      <x:c r="N172" s="2" t="n">
        <x:v>1</x:v>
      </x:c>
      <x:c r="O172" s="2" t="n">
        <x:v>1</x:v>
      </x:c>
      <x:c r="P172" s="2" t="str">
        <x:v>simulado_didactico</x:v>
      </x:c>
    </x:row>
    <x:row r="173" ht="19" customHeight="1">
      <x:c r="A173" s="2" t="str">
        <x:v>SIM-E1-BB-L5-R10</x:v>
      </x:c>
      <x:c r="B173" s="2" t="n">
        <x:v>5</x:v>
      </x:c>
      <x:c r="C173" s="2" t="str">
        <x:v>BB</x:v>
      </x:c>
      <x:c r="D173" s="2" t="str">
        <x:v>Brevicoryne brassicae</x:v>
      </x:c>
      <x:c r="E173" s="2" t="str">
        <x:v>L5</x:v>
      </x:c>
      <x:c r="F173" s="2" t="n">
        <x:v>0</x:v>
      </x:c>
      <x:c r="G173" s="2" t="n">
        <x:v>10</x:v>
      </x:c>
      <x:c r="H173" s="2" t="n">
        <x:v>2</x:v>
      </x:c>
      <x:c r="I173" s="2" t="n">
        <x:v>4</x:v>
      </x:c>
      <x:c r="J173" s="14" t="n">
        <x:v>46111</x:v>
      </x:c>
      <x:c r="K173" s="14" t="n">
        <x:f>J173+O173</x:f>
        <x:v>46112</x:v>
      </x:c>
      <x:c r="L173" s="14" t="n">
        <x:f>J173+Supuestos!$C$8</x:f>
        <x:v>46125</x:v>
      </x:c>
      <x:c r="M173" s="2" t="n">
        <x:v>2</x:v>
      </x:c>
      <x:c r="N173" s="2" t="n">
        <x:v>1</x:v>
      </x:c>
      <x:c r="O173" s="2" t="n">
        <x:v>1</x:v>
      </x:c>
      <x:c r="P173" s="2" t="str">
        <x:v>simulado_didactico</x:v>
      </x:c>
    </x:row>
    <x:row r="174" ht="19" customHeight="1">
      <x:c r="A174" s="2" t="str">
        <x:v>SIM-E1-BB-L6-R09</x:v>
      </x:c>
      <x:c r="B174" s="2" t="n">
        <x:v>5</x:v>
      </x:c>
      <x:c r="C174" s="2" t="str">
        <x:v>BB</x:v>
      </x:c>
      <x:c r="D174" s="2" t="str">
        <x:v>Brevicoryne brassicae</x:v>
      </x:c>
      <x:c r="E174" s="2" t="str">
        <x:v>L6</x:v>
      </x:c>
      <x:c r="F174" s="2" t="n">
        <x:v>0</x:v>
      </x:c>
      <x:c r="G174" s="2" t="n">
        <x:v>9</x:v>
      </x:c>
      <x:c r="H174" s="2" t="n">
        <x:v>1</x:v>
      </x:c>
      <x:c r="I174" s="2" t="n">
        <x:v>5</x:v>
      </x:c>
      <x:c r="J174" s="14" t="n">
        <x:v>46111</x:v>
      </x:c>
      <x:c r="K174" s="14" t="n">
        <x:f>J174+O174</x:f>
        <x:v>46112</x:v>
      </x:c>
      <x:c r="L174" s="14" t="n">
        <x:f>J174+Supuestos!$C$8</x:f>
        <x:v>46125</x:v>
      </x:c>
      <x:c r="M174" s="2" t="n">
        <x:v>2</x:v>
      </x:c>
      <x:c r="N174" s="2" t="n">
        <x:v>1</x:v>
      </x:c>
      <x:c r="O174" s="2" t="n">
        <x:v>1</x:v>
      </x:c>
      <x:c r="P174" s="2" t="str">
        <x:v>simulado_didactico</x:v>
      </x:c>
    </x:row>
    <x:row r="175" ht="19" customHeight="1">
      <x:c r="A175" s="2" t="str">
        <x:v>SIM-E1-BB-L6-R10</x:v>
      </x:c>
      <x:c r="B175" s="2" t="n">
        <x:v>5</x:v>
      </x:c>
      <x:c r="C175" s="2" t="str">
        <x:v>BB</x:v>
      </x:c>
      <x:c r="D175" s="2" t="str">
        <x:v>Brevicoryne brassicae</x:v>
      </x:c>
      <x:c r="E175" s="2" t="str">
        <x:v>L6</x:v>
      </x:c>
      <x:c r="F175" s="2" t="n">
        <x:v>0</x:v>
      </x:c>
      <x:c r="G175" s="2" t="n">
        <x:v>10</x:v>
      </x:c>
      <x:c r="H175" s="2" t="n">
        <x:v>2</x:v>
      </x:c>
      <x:c r="I175" s="2" t="n">
        <x:v>19</x:v>
      </x:c>
      <x:c r="J175" s="14" t="n">
        <x:v>46111</x:v>
      </x:c>
      <x:c r="K175" s="14" t="n">
        <x:f>J175+O175</x:f>
        <x:v>46112</x:v>
      </x:c>
      <x:c r="L175" s="14" t="n">
        <x:f>J175+Supuestos!$C$8</x:f>
        <x:v>46125</x:v>
      </x:c>
      <x:c r="M175" s="2" t="n">
        <x:v>2</x:v>
      </x:c>
      <x:c r="N175" s="2" t="n">
        <x:v>1</x:v>
      </x:c>
      <x:c r="O175" s="2" t="n">
        <x:v>1</x:v>
      </x:c>
      <x:c r="P175" s="2" t="str">
        <x:v>simulado_didactico</x:v>
      </x:c>
    </x:row>
    <x:row r="176" ht="19" customHeight="1">
      <x:c r="A176" s="2" t="str">
        <x:v>SIM-E1-BB-L7-R09</x:v>
      </x:c>
      <x:c r="B176" s="2" t="n">
        <x:v>5</x:v>
      </x:c>
      <x:c r="C176" s="2" t="str">
        <x:v>BB</x:v>
      </x:c>
      <x:c r="D176" s="2" t="str">
        <x:v>Brevicoryne brassicae</x:v>
      </x:c>
      <x:c r="E176" s="2" t="str">
        <x:v>L7</x:v>
      </x:c>
      <x:c r="F176" s="2" t="n">
        <x:v>0</x:v>
      </x:c>
      <x:c r="G176" s="2" t="n">
        <x:v>9</x:v>
      </x:c>
      <x:c r="H176" s="2" t="n">
        <x:v>1</x:v>
      </x:c>
      <x:c r="I176" s="2" t="n">
        <x:v>22</x:v>
      </x:c>
      <x:c r="J176" s="14" t="n">
        <x:v>46111</x:v>
      </x:c>
      <x:c r="K176" s="14" t="n">
        <x:f>J176+O176</x:f>
        <x:v>46112</x:v>
      </x:c>
      <x:c r="L176" s="14" t="n">
        <x:f>J176+Supuestos!$C$8</x:f>
        <x:v>46125</x:v>
      </x:c>
      <x:c r="M176" s="2" t="n">
        <x:v>2</x:v>
      </x:c>
      <x:c r="N176" s="2" t="n">
        <x:v>1</x:v>
      </x:c>
      <x:c r="O176" s="2" t="n">
        <x:v>1</x:v>
      </x:c>
      <x:c r="P176" s="2" t="str">
        <x:v>simulado_didactico</x:v>
      </x:c>
    </x:row>
    <x:row r="177" ht="19" customHeight="1">
      <x:c r="A177" s="2" t="str">
        <x:v>SIM-E1-BB-L7-R10</x:v>
      </x:c>
      <x:c r="B177" s="2" t="n">
        <x:v>5</x:v>
      </x:c>
      <x:c r="C177" s="2" t="str">
        <x:v>BB</x:v>
      </x:c>
      <x:c r="D177" s="2" t="str">
        <x:v>Brevicoryne brassicae</x:v>
      </x:c>
      <x:c r="E177" s="2" t="str">
        <x:v>L7</x:v>
      </x:c>
      <x:c r="F177" s="2" t="n">
        <x:v>0</x:v>
      </x:c>
      <x:c r="G177" s="2" t="n">
        <x:v>10</x:v>
      </x:c>
      <x:c r="H177" s="2" t="n">
        <x:v>2</x:v>
      </x:c>
      <x:c r="I177" s="2" t="n">
        <x:v>18</x:v>
      </x:c>
      <x:c r="J177" s="14" t="n">
        <x:v>46111</x:v>
      </x:c>
      <x:c r="K177" s="14" t="n">
        <x:f>J177+O177</x:f>
        <x:v>46112</x:v>
      </x:c>
      <x:c r="L177" s="14" t="n">
        <x:f>J177+Supuestos!$C$8</x:f>
        <x:v>46125</x:v>
      </x:c>
      <x:c r="M177" s="2" t="n">
        <x:v>2</x:v>
      </x:c>
      <x:c r="N177" s="2" t="n">
        <x:v>1</x:v>
      </x:c>
      <x:c r="O177" s="2" t="n">
        <x:v>1</x:v>
      </x:c>
      <x:c r="P177" s="2" t="str">
        <x:v>simulado_didactico</x:v>
      </x:c>
    </x:row>
    <x:row r="178" ht="19" customHeight="1">
      <x:c r="A178" s="2" t="str">
        <x:v>SIM-E1-BB-L8-R09</x:v>
      </x:c>
      <x:c r="B178" s="2" t="n">
        <x:v>5</x:v>
      </x:c>
      <x:c r="C178" s="2" t="str">
        <x:v>BB</x:v>
      </x:c>
      <x:c r="D178" s="2" t="str">
        <x:v>Brevicoryne brassicae</x:v>
      </x:c>
      <x:c r="E178" s="2" t="str">
        <x:v>L8</x:v>
      </x:c>
      <x:c r="F178" s="2" t="n">
        <x:v>0</x:v>
      </x:c>
      <x:c r="G178" s="2" t="n">
        <x:v>9</x:v>
      </x:c>
      <x:c r="H178" s="2" t="n">
        <x:v>1</x:v>
      </x:c>
      <x:c r="I178" s="2" t="n">
        <x:v>25</x:v>
      </x:c>
      <x:c r="J178" s="14" t="n">
        <x:v>46111</x:v>
      </x:c>
      <x:c r="K178" s="14" t="n">
        <x:f>J178+O178</x:f>
        <x:v>46112</x:v>
      </x:c>
      <x:c r="L178" s="14" t="n">
        <x:f>J178+Supuestos!$C$8</x:f>
        <x:v>46125</x:v>
      </x:c>
      <x:c r="M178" s="2" t="n">
        <x:v>2</x:v>
      </x:c>
      <x:c r="N178" s="2" t="n">
        <x:v>1</x:v>
      </x:c>
      <x:c r="O178" s="2" t="n">
        <x:v>1</x:v>
      </x:c>
      <x:c r="P178" s="2" t="str">
        <x:v>simulado_didactico</x:v>
      </x:c>
    </x:row>
    <x:row r="179" ht="19" customHeight="1">
      <x:c r="A179" s="2" t="str">
        <x:v>SIM-E1-BB-L8-R10</x:v>
      </x:c>
      <x:c r="B179" s="2" t="n">
        <x:v>5</x:v>
      </x:c>
      <x:c r="C179" s="2" t="str">
        <x:v>BB</x:v>
      </x:c>
      <x:c r="D179" s="2" t="str">
        <x:v>Brevicoryne brassicae</x:v>
      </x:c>
      <x:c r="E179" s="2" t="str">
        <x:v>L8</x:v>
      </x:c>
      <x:c r="F179" s="2" t="n">
        <x:v>0</x:v>
      </x:c>
      <x:c r="G179" s="2" t="n">
        <x:v>10</x:v>
      </x:c>
      <x:c r="H179" s="2" t="n">
        <x:v>2</x:v>
      </x:c>
      <x:c r="I179" s="2" t="n">
        <x:v>35</x:v>
      </x:c>
      <x:c r="J179" s="14" t="n">
        <x:v>46111</x:v>
      </x:c>
      <x:c r="K179" s="14" t="n">
        <x:f>J179+O179</x:f>
        <x:v>46112</x:v>
      </x:c>
      <x:c r="L179" s="14" t="n">
        <x:f>J179+Supuestos!$C$8</x:f>
        <x:v>46125</x:v>
      </x:c>
      <x:c r="M179" s="2" t="n">
        <x:v>2</x:v>
      </x:c>
      <x:c r="N179" s="2" t="n">
        <x:v>1</x:v>
      </x:c>
      <x:c r="O179" s="2" t="n">
        <x:v>1</x:v>
      </x:c>
      <x:c r="P179" s="2" t="str">
        <x:v>simulado_didactico</x:v>
      </x:c>
    </x:row>
    <x:row r="180" ht="19" customHeight="1">
      <x:c r="A180" s="2" t="str">
        <x:v>SIM-E1-BB-L9-R09</x:v>
      </x:c>
      <x:c r="B180" s="2" t="n">
        <x:v>5</x:v>
      </x:c>
      <x:c r="C180" s="2" t="str">
        <x:v>BB</x:v>
      </x:c>
      <x:c r="D180" s="2" t="str">
        <x:v>Brevicoryne brassicae</x:v>
      </x:c>
      <x:c r="E180" s="2" t="str">
        <x:v>L9</x:v>
      </x:c>
      <x:c r="F180" s="2" t="n">
        <x:v>0</x:v>
      </x:c>
      <x:c r="G180" s="2" t="n">
        <x:v>9</x:v>
      </x:c>
      <x:c r="H180" s="2" t="n">
        <x:v>1</x:v>
      </x:c>
      <x:c r="I180" s="2" t="n">
        <x:v>9</x:v>
      </x:c>
      <x:c r="J180" s="14" t="n">
        <x:v>46111</x:v>
      </x:c>
      <x:c r="K180" s="14" t="n">
        <x:f>J180+O180</x:f>
        <x:v>46112</x:v>
      </x:c>
      <x:c r="L180" s="14" t="n">
        <x:f>J180+Supuestos!$C$8</x:f>
        <x:v>46125</x:v>
      </x:c>
      <x:c r="M180" s="2" t="n">
        <x:v>2</x:v>
      </x:c>
      <x:c r="N180" s="2" t="n">
        <x:v>1</x:v>
      </x:c>
      <x:c r="O180" s="2" t="n">
        <x:v>1</x:v>
      </x:c>
      <x:c r="P180" s="2" t="str">
        <x:v>simulado_didactico</x:v>
      </x:c>
    </x:row>
    <x:row r="181" ht="19" customHeight="1">
      <x:c r="A181" s="2" t="str">
        <x:v>SIM-E1-BB-L9-R10</x:v>
      </x:c>
      <x:c r="B181" s="2" t="n">
        <x:v>5</x:v>
      </x:c>
      <x:c r="C181" s="2" t="str">
        <x:v>BB</x:v>
      </x:c>
      <x:c r="D181" s="2" t="str">
        <x:v>Brevicoryne brassicae</x:v>
      </x:c>
      <x:c r="E181" s="2" t="str">
        <x:v>L9</x:v>
      </x:c>
      <x:c r="F181" s="2" t="n">
        <x:v>0</x:v>
      </x:c>
      <x:c r="G181" s="2" t="n">
        <x:v>10</x:v>
      </x:c>
      <x:c r="H181" s="2" t="n">
        <x:v>2</x:v>
      </x:c>
      <x:c r="I181" s="2" t="n">
        <x:v>6</x:v>
      </x:c>
      <x:c r="J181" s="14" t="n">
        <x:v>46111</x:v>
      </x:c>
      <x:c r="K181" s="14" t="n">
        <x:f>J181+O181</x:f>
        <x:v>46112</x:v>
      </x:c>
      <x:c r="L181" s="14" t="n">
        <x:f>J181+Supuestos!$C$8</x:f>
        <x:v>46125</x:v>
      </x:c>
      <x:c r="M181" s="2" t="n">
        <x:v>2</x:v>
      </x:c>
      <x:c r="N181" s="2" t="n">
        <x:v>1</x:v>
      </x:c>
      <x:c r="O181" s="2" t="n">
        <x:v>1</x:v>
      </x:c>
      <x:c r="P181" s="2" t="str">
        <x:v>simulado_didactico</x:v>
      </x:c>
    </x:row>
  </x:sheetData>
  <x:conditionalFormatting sqref="E2:E181">
    <x:cfRule type="expression" dxfId="0" priority="1">
      <x:formula>E2="L0"</x:formula>
    </x:cfRule>
    <x:cfRule type="expression" dxfId="1" priority="2">
      <x:formula>E2="L1"</x:formula>
    </x:cfRule>
    <x:cfRule type="expression" dxfId="2" priority="3">
      <x:formula>E2="L2"</x:formula>
    </x:cfRule>
    <x:cfRule type="expression" dxfId="3" priority="4">
      <x:formula>E2="L3"</x:formula>
    </x:cfRule>
    <x:cfRule type="expression" dxfId="4" priority="5">
      <x:formula>E2="L5"</x:formula>
    </x:cfRule>
    <x:cfRule type="expression" dxfId="5" priority="6">
      <x:formula>E2="L6"</x:formula>
    </x:cfRule>
    <x:cfRule type="expression" dxfId="6" priority="7">
      <x:formula>E2="L7"</x:formula>
    </x:cfRule>
    <x:cfRule type="expression" dxfId="7" priority="8">
      <x:formula>E2="L8"</x:formula>
    </x:cfRule>
    <x:cfRule type="expression" dxfId="8" priority="9">
      <x:formula>E2="L9"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a88142714d49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24" hidden="0" customWidth="1"/>
    <x:col min="8" max="8" width="23" hidden="0" customWidth="1"/>
    <x:col min="9" max="9" width="20" hidden="0" customWidth="1"/>
    <x:col min="10" max="10" width="18" hidden="0" customWidth="1"/>
    <x:col min="11" max="11" width="26" hidden="0" customWidth="1"/>
    <x:col min="12" max="12" width="29" hidden="0" customWidth="1"/>
    <x:col min="13" max="13" width="24" hidden="0" customWidth="1"/>
  </x:cols>
  <x:sheetData>
    <x:row r="1" ht="43" customHeight="1">
      <x:c r="A1" s="7" t="str">
        <x:v>id_planta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repeticion</x:v>
      </x:c>
      <x:c r="G1" s="7" t="str">
        <x:v>dias_post_inoculacion</x:v>
      </x:c>
      <x:c r="H1" s="7" t="str">
        <x:v>edad_desde_N1_dias</x:v>
      </x:c>
      <x:c r="I1" s="7" t="str">
        <x:v>fecha_recuento</x:v>
      </x:c>
      <x:c r="J1" s="7" t="str">
        <x:v>total_afidos</x:v>
      </x:c>
      <x:c r="K1" s="7" t="str">
        <x:v>reinoculada_al_recuento</x:v>
      </x:c>
      <x:c r="L1" s="7" t="str">
        <x:v>momento_recuento</x:v>
      </x:c>
      <x:c r="M1" s="7" t="str">
        <x:v>origen_dato</x:v>
      </x:c>
    </x:row>
    <x:row r="2" ht="19" customHeight="1">
      <x:c r="A2" s="2" t="str">
        <x:v>SIM-E1-MP-L0-R01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v>14</x:v>
      </x:c>
      <x:c r="H2" s="2" t="n">
        <x:f>G2-Supuestos!$C$7</x:f>
        <x:v>13</x:v>
      </x:c>
      <x:c r="I2" s="14" t="n">
        <x:f>E1_plantas!J2+G2</x:f>
        <x:v>46097</x:v>
      </x:c>
      <x:c r="J2" s="2" t="n">
        <x:v>0</x:v>
      </x:c>
      <x:c r="K2" s="2" t="n">
        <x:f>IF(AND(G2&gt;Supuestos!$C$8,E2&lt;&gt;"L0"),1,0)</x:f>
        <x:v>0</x:v>
      </x:c>
      <x:c r="L2" s="2" t="str">
        <x:v>antes_de_reinoculacion</x:v>
      </x:c>
      <x:c r="M2" s="2" t="str">
        <x:v>simulado_didactico</x:v>
      </x:c>
    </x:row>
    <x:row r="3" ht="19" customHeight="1">
      <x:c r="A3" s="2" t="str">
        <x:v>SIM-E1-MP-L0-R01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1</x:v>
      </x:c>
      <x:c r="G3" s="2" t="n">
        <x:v>21</x:v>
      </x:c>
      <x:c r="H3" s="2" t="n">
        <x:f>G3-Supuestos!$C$7</x:f>
        <x:v>20</x:v>
      </x:c>
      <x:c r="I3" s="14" t="n">
        <x:f>E1_plantas!J2+G3</x:f>
        <x:v>46104</x:v>
      </x:c>
      <x:c r="J3" s="2" t="n">
        <x:v>0</x:v>
      </x:c>
      <x:c r="K3" s="2" t="n">
        <x:f>IF(AND(G3&gt;Supuestos!$C$8,E3&lt;&gt;"L0"),1,0)</x:f>
        <x:v>0</x:v>
      </x:c>
      <x:c r="L3" s="2" t="str">
        <x:v>posterior_al_dia_14</x:v>
      </x:c>
      <x:c r="M3" s="2" t="str">
        <x:v>simulado_didactico</x:v>
      </x:c>
    </x:row>
    <x:row r="4" ht="19" customHeight="1">
      <x:c r="A4" s="2" t="str">
        <x:v>SIM-E1-MP-L0-R01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L0</x:v>
      </x:c>
      <x:c r="F4" s="2" t="n">
        <x:v>1</x:v>
      </x:c>
      <x:c r="G4" s="2" t="n">
        <x:v>28</x:v>
      </x:c>
      <x:c r="H4" s="2" t="n">
        <x:f>G4-Supuestos!$C$7</x:f>
        <x:v>27</x:v>
      </x:c>
      <x:c r="I4" s="14" t="n">
        <x:f>E1_plantas!J2+G4</x:f>
        <x:v>46111</x:v>
      </x:c>
      <x:c r="J4" s="2" t="n">
        <x:v>0</x:v>
      </x:c>
      <x:c r="K4" s="2" t="n">
        <x:f>IF(AND(G4&gt;Supuestos!$C$8,E4&lt;&gt;"L0"),1,0)</x:f>
        <x:v>0</x:v>
      </x:c>
      <x:c r="L4" s="2" t="str">
        <x:v>posterior_al_dia_14</x:v>
      </x:c>
      <x:c r="M4" s="2" t="str">
        <x:v>simulado_didactico</x:v>
      </x:c>
    </x:row>
    <x:row r="5" ht="19" customHeight="1">
      <x:c r="A5" s="2" t="str">
        <x:v>SIM-E1-MP-L0-R02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L0</x:v>
      </x:c>
      <x:c r="F5" s="2" t="n">
        <x:v>2</x:v>
      </x:c>
      <x:c r="G5" s="2" t="n">
        <x:v>14</x:v>
      </x:c>
      <x:c r="H5" s="2" t="n">
        <x:f>G5-Supuestos!$C$7</x:f>
        <x:v>13</x:v>
      </x:c>
      <x:c r="I5" s="14" t="n">
        <x:f>E1_plantas!J3+G5</x:f>
        <x:v>46097</x:v>
      </x:c>
      <x:c r="J5" s="2" t="n">
        <x:v>16</x:v>
      </x:c>
      <x:c r="K5" s="2" t="n">
        <x:f>IF(AND(G5&gt;Supuestos!$C$8,E5&lt;&gt;"L0"),1,0)</x:f>
        <x:v>0</x:v>
      </x:c>
      <x:c r="L5" s="2" t="str">
        <x:v>antes_de_reinoculacion</x:v>
      </x:c>
      <x:c r="M5" s="2" t="str">
        <x:v>simulado_didactico</x:v>
      </x:c>
    </x:row>
    <x:row r="6" ht="19" customHeight="1">
      <x:c r="A6" s="2" t="str">
        <x:v>SIM-E1-MP-L0-R02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L0</x:v>
      </x:c>
      <x:c r="F6" s="2" t="n">
        <x:v>2</x:v>
      </x:c>
      <x:c r="G6" s="2" t="n">
        <x:v>21</x:v>
      </x:c>
      <x:c r="H6" s="2" t="n">
        <x:f>G6-Supuestos!$C$7</x:f>
        <x:v>20</x:v>
      </x:c>
      <x:c r="I6" s="14" t="n">
        <x:f>E1_plantas!J3+G6</x:f>
        <x:v>46104</x:v>
      </x:c>
      <x:c r="J6" s="2" t="n">
        <x:v>47</x:v>
      </x:c>
      <x:c r="K6" s="2" t="n">
        <x:f>IF(AND(G6&gt;Supuestos!$C$8,E6&lt;&gt;"L0"),1,0)</x:f>
        <x:v>0</x:v>
      </x:c>
      <x:c r="L6" s="2" t="str">
        <x:v>posterior_al_dia_14</x:v>
      </x:c>
      <x:c r="M6" s="2" t="str">
        <x:v>simulado_didactico</x:v>
      </x:c>
    </x:row>
    <x:row r="7" ht="19" customHeight="1">
      <x:c r="A7" s="2" t="str">
        <x:v>SIM-E1-MP-L0-R02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L0</x:v>
      </x:c>
      <x:c r="F7" s="2" t="n">
        <x:v>2</x:v>
      </x:c>
      <x:c r="G7" s="2" t="n">
        <x:v>28</x:v>
      </x:c>
      <x:c r="H7" s="2" t="n">
        <x:f>G7-Supuestos!$C$7</x:f>
        <x:v>27</x:v>
      </x:c>
      <x:c r="I7" s="14" t="n">
        <x:f>E1_plantas!J3+G7</x:f>
        <x:v>46111</x:v>
      </x:c>
      <x:c r="J7" s="2" t="n">
        <x:v>227</x:v>
      </x:c>
      <x:c r="K7" s="2" t="n">
        <x:f>IF(AND(G7&gt;Supuestos!$C$8,E7&lt;&gt;"L0"),1,0)</x:f>
        <x:v>0</x:v>
      </x:c>
      <x:c r="L7" s="2" t="str">
        <x:v>posterior_al_dia_14</x:v>
      </x:c>
      <x:c r="M7" s="2" t="str">
        <x:v>simulado_didactico</x:v>
      </x:c>
    </x:row>
    <x:row r="8" ht="19" customHeight="1">
      <x:c r="A8" s="2" t="str">
        <x:v>SIM-E1-MP-L1-R01</x:v>
      </x:c>
      <x:c r="B8" s="2" t="n">
        <x:v>1</x:v>
      </x:c>
      <x:c r="C8" s="2" t="str">
        <x:v>MP</x:v>
      </x:c>
      <x:c r="D8" s="2" t="str">
        <x:v>Myzus persicae</x:v>
      </x:c>
      <x:c r="E8" s="2" t="str">
        <x:v>L1</x:v>
      </x:c>
      <x:c r="F8" s="2" t="n">
        <x:v>1</x:v>
      </x:c>
      <x:c r="G8" s="2" t="n">
        <x:v>14</x:v>
      </x:c>
      <x:c r="H8" s="2" t="n">
        <x:f>G8-Supuestos!$C$7</x:f>
        <x:v>13</x:v>
      </x:c>
      <x:c r="I8" s="14" t="n">
        <x:f>E1_plantas!J4+G8</x:f>
        <x:v>46097</x:v>
      </x:c>
      <x:c r="J8" s="2" t="n">
        <x:v>6</x:v>
      </x:c>
      <x:c r="K8" s="2" t="n">
        <x:f>IF(AND(G8&gt;Supuestos!$C$8,E8&lt;&gt;"L0"),1,0)</x:f>
        <x:v>0</x:v>
      </x:c>
      <x:c r="L8" s="2" t="str">
        <x:v>antes_de_reinoculacion</x:v>
      </x:c>
      <x:c r="M8" s="2" t="str">
        <x:v>simulado_didactico</x:v>
      </x:c>
    </x:row>
    <x:row r="9" ht="19" customHeight="1">
      <x:c r="A9" s="2" t="str">
        <x:v>SIM-E1-MP-L1-R01</x:v>
      </x:c>
      <x:c r="B9" s="2" t="n">
        <x:v>1</x:v>
      </x:c>
      <x:c r="C9" s="2" t="str">
        <x:v>MP</x:v>
      </x:c>
      <x:c r="D9" s="2" t="str">
        <x:v>Myzus persicae</x:v>
      </x:c>
      <x:c r="E9" s="2" t="str">
        <x:v>L1</x:v>
      </x:c>
      <x:c r="F9" s="2" t="n">
        <x:v>1</x:v>
      </x:c>
      <x:c r="G9" s="2" t="n">
        <x:v>21</x:v>
      </x:c>
      <x:c r="H9" s="2" t="n">
        <x:f>G9-Supuestos!$C$7</x:f>
        <x:v>20</x:v>
      </x:c>
      <x:c r="I9" s="14" t="n">
        <x:f>E1_plantas!J4+G9</x:f>
        <x:v>46104</x:v>
      </x:c>
      <x:c r="J9" s="2" t="n">
        <x:v>36</x:v>
      </x:c>
      <x:c r="K9" s="2" t="n">
        <x:f>IF(AND(G9&gt;Supuestos!$C$8,E9&lt;&gt;"L0"),1,0)</x:f>
        <x:v>1</x:v>
      </x:c>
      <x:c r="L9" s="2" t="str">
        <x:v>posterior_al_dia_14</x:v>
      </x:c>
      <x:c r="M9" s="2" t="str">
        <x:v>simulado_didactico</x:v>
      </x:c>
    </x:row>
    <x:row r="10" ht="19" customHeight="1">
      <x:c r="A10" s="2" t="str">
        <x:v>SIM-E1-MP-L1-R01</x:v>
      </x:c>
      <x:c r="B10" s="2" t="n">
        <x:v>1</x:v>
      </x:c>
      <x:c r="C10" s="2" t="str">
        <x:v>MP</x:v>
      </x:c>
      <x:c r="D10" s="2" t="str">
        <x:v>Myzus persicae</x:v>
      </x:c>
      <x:c r="E10" s="2" t="str">
        <x:v>L1</x:v>
      </x:c>
      <x:c r="F10" s="2" t="n">
        <x:v>1</x:v>
      </x:c>
      <x:c r="G10" s="2" t="n">
        <x:v>28</x:v>
      </x:c>
      <x:c r="H10" s="2" t="n">
        <x:f>G10-Supuestos!$C$7</x:f>
        <x:v>27</x:v>
      </x:c>
      <x:c r="I10" s="14" t="n">
        <x:f>E1_plantas!J4+G10</x:f>
        <x:v>46111</x:v>
      </x:c>
      <x:c r="J10" s="2" t="n">
        <x:v>109</x:v>
      </x:c>
      <x:c r="K10" s="2" t="n">
        <x:f>IF(AND(G10&gt;Supuestos!$C$8,E10&lt;&gt;"L0"),1,0)</x:f>
        <x:v>1</x:v>
      </x:c>
      <x:c r="L10" s="2" t="str">
        <x:v>posterior_al_dia_14</x:v>
      </x:c>
      <x:c r="M10" s="2" t="str">
        <x:v>simulado_didactico</x:v>
      </x:c>
    </x:row>
    <x:row r="11" ht="19" customHeight="1">
      <x:c r="A11" s="2" t="str">
        <x:v>SIM-E1-MP-L1-R02</x:v>
      </x:c>
      <x:c r="B11" s="2" t="n">
        <x:v>1</x:v>
      </x:c>
      <x:c r="C11" s="2" t="str">
        <x:v>MP</x:v>
      </x:c>
      <x:c r="D11" s="2" t="str">
        <x:v>Myzus persicae</x:v>
      </x:c>
      <x:c r="E11" s="2" t="str">
        <x:v>L1</x:v>
      </x:c>
      <x:c r="F11" s="2" t="n">
        <x:v>2</x:v>
      </x:c>
      <x:c r="G11" s="2" t="n">
        <x:v>14</x:v>
      </x:c>
      <x:c r="H11" s="2" t="n">
        <x:f>G11-Supuestos!$C$7</x:f>
        <x:v>13</x:v>
      </x:c>
      <x:c r="I11" s="14" t="n">
        <x:f>E1_plantas!J5+G11</x:f>
        <x:v>46097</x:v>
      </x:c>
      <x:c r="J11" s="2" t="n">
        <x:v>25</x:v>
      </x:c>
      <x:c r="K11" s="2" t="n">
        <x:f>IF(AND(G11&gt;Supuestos!$C$8,E11&lt;&gt;"L0"),1,0)</x:f>
        <x:v>0</x:v>
      </x:c>
      <x:c r="L11" s="2" t="str">
        <x:v>antes_de_reinoculacion</x:v>
      </x:c>
      <x:c r="M11" s="2" t="str">
        <x:v>simulado_didactico</x:v>
      </x:c>
    </x:row>
    <x:row r="12" ht="19" customHeight="1">
      <x:c r="A12" s="2" t="str">
        <x:v>SIM-E1-MP-L1-R02</x:v>
      </x:c>
      <x:c r="B12" s="2" t="n">
        <x:v>1</x:v>
      </x:c>
      <x:c r="C12" s="2" t="str">
        <x:v>MP</x:v>
      </x:c>
      <x:c r="D12" s="2" t="str">
        <x:v>Myzus persicae</x:v>
      </x:c>
      <x:c r="E12" s="2" t="str">
        <x:v>L1</x:v>
      </x:c>
      <x:c r="F12" s="2" t="n">
        <x:v>2</x:v>
      </x:c>
      <x:c r="G12" s="2" t="n">
        <x:v>21</x:v>
      </x:c>
      <x:c r="H12" s="2" t="n">
        <x:f>G12-Supuestos!$C$7</x:f>
        <x:v>20</x:v>
      </x:c>
      <x:c r="I12" s="14" t="n">
        <x:f>E1_plantas!J5+G12</x:f>
        <x:v>46104</x:v>
      </x:c>
      <x:c r="J12" s="2" t="n">
        <x:v>134</x:v>
      </x:c>
      <x:c r="K12" s="2" t="n">
        <x:f>IF(AND(G12&gt;Supuestos!$C$8,E12&lt;&gt;"L0"),1,0)</x:f>
        <x:v>1</x:v>
      </x:c>
      <x:c r="L12" s="2" t="str">
        <x:v>posterior_al_dia_14</x:v>
      </x:c>
      <x:c r="M12" s="2" t="str">
        <x:v>simulado_didactico</x:v>
      </x:c>
    </x:row>
    <x:row r="13" ht="19" customHeight="1">
      <x:c r="A13" s="2" t="str">
        <x:v>SIM-E1-MP-L1-R02</x:v>
      </x:c>
      <x:c r="B13" s="2" t="n">
        <x:v>1</x:v>
      </x:c>
      <x:c r="C13" s="2" t="str">
        <x:v>MP</x:v>
      </x:c>
      <x:c r="D13" s="2" t="str">
        <x:v>Myzus persicae</x:v>
      </x:c>
      <x:c r="E13" s="2" t="str">
        <x:v>L1</x:v>
      </x:c>
      <x:c r="F13" s="2" t="n">
        <x:v>2</x:v>
      </x:c>
      <x:c r="G13" s="2" t="n">
        <x:v>28</x:v>
      </x:c>
      <x:c r="H13" s="2" t="n">
        <x:f>G13-Supuestos!$C$7</x:f>
        <x:v>27</x:v>
      </x:c>
      <x:c r="I13" s="14" t="n">
        <x:f>E1_plantas!J5+G13</x:f>
        <x:v>46111</x:v>
      </x:c>
      <x:c r="J13" s="2" t="n">
        <x:v>193</x:v>
      </x:c>
      <x:c r="K13" s="2" t="n">
        <x:f>IF(AND(G13&gt;Supuestos!$C$8,E13&lt;&gt;"L0"),1,0)</x:f>
        <x:v>1</x:v>
      </x:c>
      <x:c r="L13" s="2" t="str">
        <x:v>posterior_al_dia_14</x:v>
      </x:c>
      <x:c r="M13" s="2" t="str">
        <x:v>simulado_didactico</x:v>
      </x:c>
    </x:row>
    <x:row r="14" ht="19" customHeight="1">
      <x:c r="A14" s="2" t="str">
        <x:v>SIM-E1-MP-L2-R01</x:v>
      </x:c>
      <x:c r="B14" s="2" t="n">
        <x:v>1</x:v>
      </x:c>
      <x:c r="C14" s="2" t="str">
        <x:v>MP</x:v>
      </x:c>
      <x:c r="D14" s="2" t="str">
        <x:v>Myzus persicae</x:v>
      </x:c>
      <x:c r="E14" s="2" t="str">
        <x:v>L2</x:v>
      </x:c>
      <x:c r="F14" s="2" t="n">
        <x:v>1</x:v>
      </x:c>
      <x:c r="G14" s="2" t="n">
        <x:v>14</x:v>
      </x:c>
      <x:c r="H14" s="2" t="n">
        <x:f>G14-Supuestos!$C$7</x:f>
        <x:v>13</x:v>
      </x:c>
      <x:c r="I14" s="14" t="n">
        <x:f>E1_plantas!J6+G14</x:f>
        <x:v>46097</x:v>
      </x:c>
      <x:c r="J14" s="2" t="n">
        <x:v>2</x:v>
      </x:c>
      <x:c r="K14" s="2" t="n">
        <x:f>IF(AND(G14&gt;Supuestos!$C$8,E14&lt;&gt;"L0"),1,0)</x:f>
        <x:v>0</x:v>
      </x:c>
      <x:c r="L14" s="2" t="str">
        <x:v>antes_de_reinoculacion</x:v>
      </x:c>
      <x:c r="M14" s="2" t="str">
        <x:v>simulado_didactico</x:v>
      </x:c>
    </x:row>
    <x:row r="15" ht="19" customHeight="1">
      <x:c r="A15" s="2" t="str">
        <x:v>SIM-E1-MP-L2-R01</x:v>
      </x:c>
      <x:c r="B15" s="2" t="n">
        <x:v>1</x:v>
      </x:c>
      <x:c r="C15" s="2" t="str">
        <x:v>MP</x:v>
      </x:c>
      <x:c r="D15" s="2" t="str">
        <x:v>Myzus persicae</x:v>
      </x:c>
      <x:c r="E15" s="2" t="str">
        <x:v>L2</x:v>
      </x:c>
      <x:c r="F15" s="2" t="n">
        <x:v>1</x:v>
      </x:c>
      <x:c r="G15" s="2" t="n">
        <x:v>21</x:v>
      </x:c>
      <x:c r="H15" s="2" t="n">
        <x:f>G15-Supuestos!$C$7</x:f>
        <x:v>20</x:v>
      </x:c>
      <x:c r="I15" s="14" t="n">
        <x:f>E1_plantas!J6+G15</x:f>
        <x:v>46104</x:v>
      </x:c>
      <x:c r="J15" s="2" t="n">
        <x:v>22</x:v>
      </x:c>
      <x:c r="K15" s="2" t="n">
        <x:f>IF(AND(G15&gt;Supuestos!$C$8,E15&lt;&gt;"L0"),1,0)</x:f>
        <x:v>1</x:v>
      </x:c>
      <x:c r="L15" s="2" t="str">
        <x:v>posterior_al_dia_14</x:v>
      </x:c>
      <x:c r="M15" s="2" t="str">
        <x:v>simulado_didactico</x:v>
      </x:c>
    </x:row>
    <x:row r="16" ht="19" customHeight="1">
      <x:c r="A16" s="2" t="str">
        <x:v>SIM-E1-MP-L2-R01</x:v>
      </x:c>
      <x:c r="B16" s="2" t="n">
        <x:v>1</x:v>
      </x:c>
      <x:c r="C16" s="2" t="str">
        <x:v>MP</x:v>
      </x:c>
      <x:c r="D16" s="2" t="str">
        <x:v>Myzus persicae</x:v>
      </x:c>
      <x:c r="E16" s="2" t="str">
        <x:v>L2</x:v>
      </x:c>
      <x:c r="F16" s="2" t="n">
        <x:v>1</x:v>
      </x:c>
      <x:c r="G16" s="2" t="n">
        <x:v>28</x:v>
      </x:c>
      <x:c r="H16" s="2" t="n">
        <x:f>G16-Supuestos!$C$7</x:f>
        <x:v>27</x:v>
      </x:c>
      <x:c r="I16" s="14" t="n">
        <x:f>E1_plantas!J6+G16</x:f>
        <x:v>46111</x:v>
      </x:c>
      <x:c r="J16" s="2" t="n">
        <x:v>34</x:v>
      </x:c>
      <x:c r="K16" s="2" t="n">
        <x:f>IF(AND(G16&gt;Supuestos!$C$8,E16&lt;&gt;"L0"),1,0)</x:f>
        <x:v>1</x:v>
      </x:c>
      <x:c r="L16" s="2" t="str">
        <x:v>posterior_al_dia_14</x:v>
      </x:c>
      <x:c r="M16" s="2" t="str">
        <x:v>simulado_didactico</x:v>
      </x:c>
    </x:row>
    <x:row r="17" ht="19" customHeight="1">
      <x:c r="A17" s="2" t="str">
        <x:v>SIM-E1-MP-L2-R02</x:v>
      </x:c>
      <x:c r="B17" s="2" t="n">
        <x:v>1</x:v>
      </x:c>
      <x:c r="C17" s="2" t="str">
        <x:v>MP</x:v>
      </x:c>
      <x:c r="D17" s="2" t="str">
        <x:v>Myzus persicae</x:v>
      </x:c>
      <x:c r="E17" s="2" t="str">
        <x:v>L2</x:v>
      </x:c>
      <x:c r="F17" s="2" t="n">
        <x:v>2</x:v>
      </x:c>
      <x:c r="G17" s="2" t="n">
        <x:v>14</x:v>
      </x:c>
      <x:c r="H17" s="2" t="n">
        <x:f>G17-Supuestos!$C$7</x:f>
        <x:v>13</x:v>
      </x:c>
      <x:c r="I17" s="14" t="n">
        <x:f>E1_plantas!J7+G17</x:f>
        <x:v>46097</x:v>
      </x:c>
      <x:c r="J17" s="2" t="n">
        <x:v>11</x:v>
      </x:c>
      <x:c r="K17" s="2" t="n">
        <x:f>IF(AND(G17&gt;Supuestos!$C$8,E17&lt;&gt;"L0"),1,0)</x:f>
        <x:v>0</x:v>
      </x:c>
      <x:c r="L17" s="2" t="str">
        <x:v>antes_de_reinoculacion</x:v>
      </x:c>
      <x:c r="M17" s="2" t="str">
        <x:v>simulado_didactico</x:v>
      </x:c>
    </x:row>
    <x:row r="18" ht="19" customHeight="1">
      <x:c r="A18" s="2" t="str">
        <x:v>SIM-E1-MP-L2-R02</x:v>
      </x:c>
      <x:c r="B18" s="2" t="n">
        <x:v>1</x:v>
      </x:c>
      <x:c r="C18" s="2" t="str">
        <x:v>MP</x:v>
      </x:c>
      <x:c r="D18" s="2" t="str">
        <x:v>Myzus persicae</x:v>
      </x:c>
      <x:c r="E18" s="2" t="str">
        <x:v>L2</x:v>
      </x:c>
      <x:c r="F18" s="2" t="n">
        <x:v>2</x:v>
      </x:c>
      <x:c r="G18" s="2" t="n">
        <x:v>21</x:v>
      </x:c>
      <x:c r="H18" s="2" t="n">
        <x:f>G18-Supuestos!$C$7</x:f>
        <x:v>20</x:v>
      </x:c>
      <x:c r="I18" s="14" t="n">
        <x:f>E1_plantas!J7+G18</x:f>
        <x:v>46104</x:v>
      </x:c>
      <x:c r="J18" s="2" t="n">
        <x:v>50</x:v>
      </x:c>
      <x:c r="K18" s="2" t="n">
        <x:f>IF(AND(G18&gt;Supuestos!$C$8,E18&lt;&gt;"L0"),1,0)</x:f>
        <x:v>1</x:v>
      </x:c>
      <x:c r="L18" s="2" t="str">
        <x:v>posterior_al_dia_14</x:v>
      </x:c>
      <x:c r="M18" s="2" t="str">
        <x:v>simulado_didactico</x:v>
      </x:c>
    </x:row>
    <x:row r="19" ht="19" customHeight="1">
      <x:c r="A19" s="2" t="str">
        <x:v>SIM-E1-MP-L2-R02</x:v>
      </x:c>
      <x:c r="B19" s="2" t="n">
        <x:v>1</x:v>
      </x:c>
      <x:c r="C19" s="2" t="str">
        <x:v>MP</x:v>
      </x:c>
      <x:c r="D19" s="2" t="str">
        <x:v>Myzus persicae</x:v>
      </x:c>
      <x:c r="E19" s="2" t="str">
        <x:v>L2</x:v>
      </x:c>
      <x:c r="F19" s="2" t="n">
        <x:v>2</x:v>
      </x:c>
      <x:c r="G19" s="2" t="n">
        <x:v>28</x:v>
      </x:c>
      <x:c r="H19" s="2" t="n">
        <x:f>G19-Supuestos!$C$7</x:f>
        <x:v>27</x:v>
      </x:c>
      <x:c r="I19" s="14" t="n">
        <x:f>E1_plantas!J7+G19</x:f>
        <x:v>46111</x:v>
      </x:c>
      <x:c r="J19" s="2" t="n">
        <x:v>77</x:v>
      </x:c>
      <x:c r="K19" s="2" t="n">
        <x:f>IF(AND(G19&gt;Supuestos!$C$8,E19&lt;&gt;"L0"),1,0)</x:f>
        <x:v>1</x:v>
      </x:c>
      <x:c r="L19" s="2" t="str">
        <x:v>posterior_al_dia_14</x:v>
      </x:c>
      <x:c r="M19" s="2" t="str">
        <x:v>simulado_didactico</x:v>
      </x:c>
    </x:row>
    <x:row r="20" ht="19" customHeight="1">
      <x:c r="A20" s="2" t="str">
        <x:v>SIM-E1-MP-L3-R01</x:v>
      </x:c>
      <x:c r="B20" s="2" t="n">
        <x:v>1</x:v>
      </x:c>
      <x:c r="C20" s="2" t="str">
        <x:v>MP</x:v>
      </x:c>
      <x:c r="D20" s="2" t="str">
        <x:v>Myzus persicae</x:v>
      </x:c>
      <x:c r="E20" s="2" t="str">
        <x:v>L3</x:v>
      </x:c>
      <x:c r="F20" s="2" t="n">
        <x:v>1</x:v>
      </x:c>
      <x:c r="G20" s="2" t="n">
        <x:v>14</x:v>
      </x:c>
      <x:c r="H20" s="2" t="n">
        <x:f>G20-Supuestos!$C$7</x:f>
        <x:v>13</x:v>
      </x:c>
      <x:c r="I20" s="14" t="n">
        <x:f>E1_plantas!J8+G20</x:f>
        <x:v>46097</x:v>
      </x:c>
      <x:c r="J20" s="2" t="n">
        <x:v>12</x:v>
      </x:c>
      <x:c r="K20" s="2" t="n">
        <x:f>IF(AND(G20&gt;Supuestos!$C$8,E20&lt;&gt;"L0"),1,0)</x:f>
        <x:v>0</x:v>
      </x:c>
      <x:c r="L20" s="2" t="str">
        <x:v>antes_de_reinoculacion</x:v>
      </x:c>
      <x:c r="M20" s="2" t="str">
        <x:v>simulado_didactico</x:v>
      </x:c>
    </x:row>
    <x:row r="21" ht="19" customHeight="1">
      <x:c r="A21" s="2" t="str">
        <x:v>SIM-E1-MP-L3-R01</x:v>
      </x:c>
      <x:c r="B21" s="2" t="n">
        <x:v>1</x:v>
      </x:c>
      <x:c r="C21" s="2" t="str">
        <x:v>MP</x:v>
      </x:c>
      <x:c r="D21" s="2" t="str">
        <x:v>Myzus persicae</x:v>
      </x:c>
      <x:c r="E21" s="2" t="str">
        <x:v>L3</x:v>
      </x:c>
      <x:c r="F21" s="2" t="n">
        <x:v>1</x:v>
      </x:c>
      <x:c r="G21" s="2" t="n">
        <x:v>21</x:v>
      </x:c>
      <x:c r="H21" s="2" t="n">
        <x:f>G21-Supuestos!$C$7</x:f>
        <x:v>20</x:v>
      </x:c>
      <x:c r="I21" s="14" t="n">
        <x:f>E1_plantas!J8+G21</x:f>
        <x:v>46104</x:v>
      </x:c>
      <x:c r="J21" s="2" t="n">
        <x:v>67</x:v>
      </x:c>
      <x:c r="K21" s="2" t="n">
        <x:f>IF(AND(G21&gt;Supuestos!$C$8,E21&lt;&gt;"L0"),1,0)</x:f>
        <x:v>1</x:v>
      </x:c>
      <x:c r="L21" s="2" t="str">
        <x:v>posterior_al_dia_14</x:v>
      </x:c>
      <x:c r="M21" s="2" t="str">
        <x:v>simulado_didactico</x:v>
      </x:c>
    </x:row>
    <x:row r="22" ht="19" customHeight="1">
      <x:c r="A22" s="2" t="str">
        <x:v>SIM-E1-MP-L3-R01</x:v>
      </x:c>
      <x:c r="B22" s="2" t="n">
        <x:v>1</x:v>
      </x:c>
      <x:c r="C22" s="2" t="str">
        <x:v>MP</x:v>
      </x:c>
      <x:c r="D22" s="2" t="str">
        <x:v>Myzus persicae</x:v>
      </x:c>
      <x:c r="E22" s="2" t="str">
        <x:v>L3</x:v>
      </x:c>
      <x:c r="F22" s="2" t="n">
        <x:v>1</x:v>
      </x:c>
      <x:c r="G22" s="2" t="n">
        <x:v>28</x:v>
      </x:c>
      <x:c r="H22" s="2" t="n">
        <x:f>G22-Supuestos!$C$7</x:f>
        <x:v>27</x:v>
      </x:c>
      <x:c r="I22" s="14" t="n">
        <x:f>E1_plantas!J8+G22</x:f>
        <x:v>46111</x:v>
      </x:c>
      <x:c r="J22" s="2" t="n">
        <x:v>140</x:v>
      </x:c>
      <x:c r="K22" s="2" t="n">
        <x:f>IF(AND(G22&gt;Supuestos!$C$8,E22&lt;&gt;"L0"),1,0)</x:f>
        <x:v>1</x:v>
      </x:c>
      <x:c r="L22" s="2" t="str">
        <x:v>posterior_al_dia_14</x:v>
      </x:c>
      <x:c r="M22" s="2" t="str">
        <x:v>simulado_didactico</x:v>
      </x:c>
    </x:row>
    <x:row r="23" ht="19" customHeight="1">
      <x:c r="A23" s="2" t="str">
        <x:v>SIM-E1-MP-L3-R02</x:v>
      </x:c>
      <x:c r="B23" s="2" t="n">
        <x:v>1</x:v>
      </x:c>
      <x:c r="C23" s="2" t="str">
        <x:v>MP</x:v>
      </x:c>
      <x:c r="D23" s="2" t="str">
        <x:v>Myzus persicae</x:v>
      </x:c>
      <x:c r="E23" s="2" t="str">
        <x:v>L3</x:v>
      </x:c>
      <x:c r="F23" s="2" t="n">
        <x:v>2</x:v>
      </x:c>
      <x:c r="G23" s="2" t="n">
        <x:v>14</x:v>
      </x:c>
      <x:c r="H23" s="2" t="n">
        <x:f>G23-Supuestos!$C$7</x:f>
        <x:v>13</x:v>
      </x:c>
      <x:c r="I23" s="14" t="n">
        <x:f>E1_plantas!J9+G23</x:f>
        <x:v>46097</x:v>
      </x:c>
      <x:c r="J23" s="2" t="n">
        <x:v>9</x:v>
      </x:c>
      <x:c r="K23" s="2" t="n">
        <x:f>IF(AND(G23&gt;Supuestos!$C$8,E23&lt;&gt;"L0"),1,0)</x:f>
        <x:v>0</x:v>
      </x:c>
      <x:c r="L23" s="2" t="str">
        <x:v>antes_de_reinoculacion</x:v>
      </x:c>
      <x:c r="M23" s="2" t="str">
        <x:v>simulado_didactico</x:v>
      </x:c>
    </x:row>
    <x:row r="24" ht="19" customHeight="1">
      <x:c r="A24" s="2" t="str">
        <x:v>SIM-E1-MP-L3-R02</x:v>
      </x:c>
      <x:c r="B24" s="2" t="n">
        <x:v>1</x:v>
      </x:c>
      <x:c r="C24" s="2" t="str">
        <x:v>MP</x:v>
      </x:c>
      <x:c r="D24" s="2" t="str">
        <x:v>Myzus persicae</x:v>
      </x:c>
      <x:c r="E24" s="2" t="str">
        <x:v>L3</x:v>
      </x:c>
      <x:c r="F24" s="2" t="n">
        <x:v>2</x:v>
      </x:c>
      <x:c r="G24" s="2" t="n">
        <x:v>21</x:v>
      </x:c>
      <x:c r="H24" s="2" t="n">
        <x:f>G24-Supuestos!$C$7</x:f>
        <x:v>20</x:v>
      </x:c>
      <x:c r="I24" s="14" t="n">
        <x:f>E1_plantas!J9+G24</x:f>
        <x:v>46104</x:v>
      </x:c>
      <x:c r="J24" s="2" t="n">
        <x:v>56</x:v>
      </x:c>
      <x:c r="K24" s="2" t="n">
        <x:f>IF(AND(G24&gt;Supuestos!$C$8,E24&lt;&gt;"L0"),1,0)</x:f>
        <x:v>1</x:v>
      </x:c>
      <x:c r="L24" s="2" t="str">
        <x:v>posterior_al_dia_14</x:v>
      </x:c>
      <x:c r="M24" s="2" t="str">
        <x:v>simulado_didactico</x:v>
      </x:c>
    </x:row>
    <x:row r="25" ht="19" customHeight="1">
      <x:c r="A25" s="2" t="str">
        <x:v>SIM-E1-MP-L3-R02</x:v>
      </x:c>
      <x:c r="B25" s="2" t="n">
        <x:v>1</x:v>
      </x:c>
      <x:c r="C25" s="2" t="str">
        <x:v>MP</x:v>
      </x:c>
      <x:c r="D25" s="2" t="str">
        <x:v>Myzus persicae</x:v>
      </x:c>
      <x:c r="E25" s="2" t="str">
        <x:v>L3</x:v>
      </x:c>
      <x:c r="F25" s="2" t="n">
        <x:v>2</x:v>
      </x:c>
      <x:c r="G25" s="2" t="n">
        <x:v>28</x:v>
      </x:c>
      <x:c r="H25" s="2" t="n">
        <x:f>G25-Supuestos!$C$7</x:f>
        <x:v>27</x:v>
      </x:c>
      <x:c r="I25" s="14" t="n">
        <x:f>E1_plantas!J9+G25</x:f>
        <x:v>46111</x:v>
      </x:c>
      <x:c r="J25" s="2" t="n">
        <x:v>169</x:v>
      </x:c>
      <x:c r="K25" s="2" t="n">
        <x:f>IF(AND(G25&gt;Supuestos!$C$8,E25&lt;&gt;"L0"),1,0)</x:f>
        <x:v>1</x:v>
      </x:c>
      <x:c r="L25" s="2" t="str">
        <x:v>posterior_al_dia_14</x:v>
      </x:c>
      <x:c r="M25" s="2" t="str">
        <x:v>simulado_didactico</x:v>
      </x:c>
    </x:row>
    <x:row r="26" ht="19" customHeight="1">
      <x:c r="A26" s="2" t="str">
        <x:v>SIM-E1-MP-L5-R01</x:v>
      </x:c>
      <x:c r="B26" s="2" t="n">
        <x:v>1</x:v>
      </x:c>
      <x:c r="C26" s="2" t="str">
        <x:v>MP</x:v>
      </x:c>
      <x:c r="D26" s="2" t="str">
        <x:v>Myzus persicae</x:v>
      </x:c>
      <x:c r="E26" s="2" t="str">
        <x:v>L5</x:v>
      </x:c>
      <x:c r="F26" s="2" t="n">
        <x:v>1</x:v>
      </x:c>
      <x:c r="G26" s="2" t="n">
        <x:v>14</x:v>
      </x:c>
      <x:c r="H26" s="2" t="n">
        <x:f>G26-Supuestos!$C$7</x:f>
        <x:v>13</x:v>
      </x:c>
      <x:c r="I26" s="14" t="n">
        <x:f>E1_plantas!J10+G26</x:f>
        <x:v>46097</x:v>
      </x:c>
      <x:c r="J26" s="2" t="n">
        <x:v>7</x:v>
      </x:c>
      <x:c r="K26" s="2" t="n">
        <x:f>IF(AND(G26&gt;Supuestos!$C$8,E26&lt;&gt;"L0"),1,0)</x:f>
        <x:v>0</x:v>
      </x:c>
      <x:c r="L26" s="2" t="str">
        <x:v>antes_de_reinoculacion</x:v>
      </x:c>
      <x:c r="M26" s="2" t="str">
        <x:v>simulado_didactico</x:v>
      </x:c>
    </x:row>
    <x:row r="27" ht="19" customHeight="1">
      <x:c r="A27" s="2" t="str">
        <x:v>SIM-E1-MP-L5-R01</x:v>
      </x:c>
      <x:c r="B27" s="2" t="n">
        <x:v>1</x:v>
      </x:c>
      <x:c r="C27" s="2" t="str">
        <x:v>MP</x:v>
      </x:c>
      <x:c r="D27" s="2" t="str">
        <x:v>Myzus persicae</x:v>
      </x:c>
      <x:c r="E27" s="2" t="str">
        <x:v>L5</x:v>
      </x:c>
      <x:c r="F27" s="2" t="n">
        <x:v>1</x:v>
      </x:c>
      <x:c r="G27" s="2" t="n">
        <x:v>21</x:v>
      </x:c>
      <x:c r="H27" s="2" t="n">
        <x:f>G27-Supuestos!$C$7</x:f>
        <x:v>20</x:v>
      </x:c>
      <x:c r="I27" s="14" t="n">
        <x:f>E1_plantas!J10+G27</x:f>
        <x:v>46104</x:v>
      </x:c>
      <x:c r="J27" s="2" t="n">
        <x:v>30</x:v>
      </x:c>
      <x:c r="K27" s="2" t="n">
        <x:f>IF(AND(G27&gt;Supuestos!$C$8,E27&lt;&gt;"L0"),1,0)</x:f>
        <x:v>1</x:v>
      </x:c>
      <x:c r="L27" s="2" t="str">
        <x:v>posterior_al_dia_14</x:v>
      </x:c>
      <x:c r="M27" s="2" t="str">
        <x:v>simulado_didactico</x:v>
      </x:c>
    </x:row>
    <x:row r="28" ht="19" customHeight="1">
      <x:c r="A28" s="2" t="str">
        <x:v>SIM-E1-MP-L5-R01</x:v>
      </x:c>
      <x:c r="B28" s="2" t="n">
        <x:v>1</x:v>
      </x:c>
      <x:c r="C28" s="2" t="str">
        <x:v>MP</x:v>
      </x:c>
      <x:c r="D28" s="2" t="str">
        <x:v>Myzus persicae</x:v>
      </x:c>
      <x:c r="E28" s="2" t="str">
        <x:v>L5</x:v>
      </x:c>
      <x:c r="F28" s="2" t="n">
        <x:v>1</x:v>
      </x:c>
      <x:c r="G28" s="2" t="n">
        <x:v>28</x:v>
      </x:c>
      <x:c r="H28" s="2" t="n">
        <x:f>G28-Supuestos!$C$7</x:f>
        <x:v>27</x:v>
      </x:c>
      <x:c r="I28" s="14" t="n">
        <x:f>E1_plantas!J10+G28</x:f>
        <x:v>46111</x:v>
      </x:c>
      <x:c r="J28" s="2" t="n">
        <x:v>108</x:v>
      </x:c>
      <x:c r="K28" s="2" t="n">
        <x:f>IF(AND(G28&gt;Supuestos!$C$8,E28&lt;&gt;"L0"),1,0)</x:f>
        <x:v>1</x:v>
      </x:c>
      <x:c r="L28" s="2" t="str">
        <x:v>posterior_al_dia_14</x:v>
      </x:c>
      <x:c r="M28" s="2" t="str">
        <x:v>simulado_didactico</x:v>
      </x:c>
    </x:row>
    <x:row r="29" ht="19" customHeight="1">
      <x:c r="A29" s="2" t="str">
        <x:v>SIM-E1-MP-L5-R02</x:v>
      </x:c>
      <x:c r="B29" s="2" t="n">
        <x:v>1</x:v>
      </x:c>
      <x:c r="C29" s="2" t="str">
        <x:v>MP</x:v>
      </x:c>
      <x:c r="D29" s="2" t="str">
        <x:v>Myzus persicae</x:v>
      </x:c>
      <x:c r="E29" s="2" t="str">
        <x:v>L5</x:v>
      </x:c>
      <x:c r="F29" s="2" t="n">
        <x:v>2</x:v>
      </x:c>
      <x:c r="G29" s="2" t="n">
        <x:v>14</x:v>
      </x:c>
      <x:c r="H29" s="2" t="n">
        <x:f>G29-Supuestos!$C$7</x:f>
        <x:v>13</x:v>
      </x:c>
      <x:c r="I29" s="14" t="n">
        <x:f>E1_plantas!J11+G29</x:f>
        <x:v>46097</x:v>
      </x:c>
      <x:c r="J29" s="2" t="n">
        <x:v>23</x:v>
      </x:c>
      <x:c r="K29" s="2" t="n">
        <x:f>IF(AND(G29&gt;Supuestos!$C$8,E29&lt;&gt;"L0"),1,0)</x:f>
        <x:v>0</x:v>
      </x:c>
      <x:c r="L29" s="2" t="str">
        <x:v>antes_de_reinoculacion</x:v>
      </x:c>
      <x:c r="M29" s="2" t="str">
        <x:v>simulado_didactico</x:v>
      </x:c>
    </x:row>
    <x:row r="30" ht="19" customHeight="1">
      <x:c r="A30" s="2" t="str">
        <x:v>SIM-E1-MP-L5-R02</x:v>
      </x:c>
      <x:c r="B30" s="2" t="n">
        <x:v>1</x:v>
      </x:c>
      <x:c r="C30" s="2" t="str">
        <x:v>MP</x:v>
      </x:c>
      <x:c r="D30" s="2" t="str">
        <x:v>Myzus persicae</x:v>
      </x:c>
      <x:c r="E30" s="2" t="str">
        <x:v>L5</x:v>
      </x:c>
      <x:c r="F30" s="2" t="n">
        <x:v>2</x:v>
      </x:c>
      <x:c r="G30" s="2" t="n">
        <x:v>21</x:v>
      </x:c>
      <x:c r="H30" s="2" t="n">
        <x:f>G30-Supuestos!$C$7</x:f>
        <x:v>20</x:v>
      </x:c>
      <x:c r="I30" s="14" t="n">
        <x:f>E1_plantas!J11+G30</x:f>
        <x:v>46104</x:v>
      </x:c>
      <x:c r="J30" s="2" t="n">
        <x:v>66</x:v>
      </x:c>
      <x:c r="K30" s="2" t="n">
        <x:f>IF(AND(G30&gt;Supuestos!$C$8,E30&lt;&gt;"L0"),1,0)</x:f>
        <x:v>1</x:v>
      </x:c>
      <x:c r="L30" s="2" t="str">
        <x:v>posterior_al_dia_14</x:v>
      </x:c>
      <x:c r="M30" s="2" t="str">
        <x:v>simulado_didactico</x:v>
      </x:c>
    </x:row>
    <x:row r="31" ht="19" customHeight="1">
      <x:c r="A31" s="2" t="str">
        <x:v>SIM-E1-MP-L5-R02</x:v>
      </x:c>
      <x:c r="B31" s="2" t="n">
        <x:v>1</x:v>
      </x:c>
      <x:c r="C31" s="2" t="str">
        <x:v>MP</x:v>
      </x:c>
      <x:c r="D31" s="2" t="str">
        <x:v>Myzus persicae</x:v>
      </x:c>
      <x:c r="E31" s="2" t="str">
        <x:v>L5</x:v>
      </x:c>
      <x:c r="F31" s="2" t="n">
        <x:v>2</x:v>
      </x:c>
      <x:c r="G31" s="2" t="n">
        <x:v>28</x:v>
      </x:c>
      <x:c r="H31" s="2" t="n">
        <x:f>G31-Supuestos!$C$7</x:f>
        <x:v>27</x:v>
      </x:c>
      <x:c r="I31" s="14" t="n">
        <x:f>E1_plantas!J11+G31</x:f>
        <x:v>46111</x:v>
      </x:c>
      <x:c r="J31" s="2" t="n">
        <x:v>108</x:v>
      </x:c>
      <x:c r="K31" s="2" t="n">
        <x:f>IF(AND(G31&gt;Supuestos!$C$8,E31&lt;&gt;"L0"),1,0)</x:f>
        <x:v>1</x:v>
      </x:c>
      <x:c r="L31" s="2" t="str">
        <x:v>posterior_al_dia_14</x:v>
      </x:c>
      <x:c r="M31" s="2" t="str">
        <x:v>simulado_didactico</x:v>
      </x:c>
    </x:row>
    <x:row r="32" ht="19" customHeight="1">
      <x:c r="A32" s="2" t="str">
        <x:v>SIM-E1-MP-L6-R01</x:v>
      </x:c>
      <x:c r="B32" s="2" t="n">
        <x:v>1</x:v>
      </x:c>
      <x:c r="C32" s="2" t="str">
        <x:v>MP</x:v>
      </x:c>
      <x:c r="D32" s="2" t="str">
        <x:v>Myzus persicae</x:v>
      </x:c>
      <x:c r="E32" s="2" t="str">
        <x:v>L6</x:v>
      </x:c>
      <x:c r="F32" s="2" t="n">
        <x:v>1</x:v>
      </x:c>
      <x:c r="G32" s="2" t="n">
        <x:v>14</x:v>
      </x:c>
      <x:c r="H32" s="2" t="n">
        <x:f>G32-Supuestos!$C$7</x:f>
        <x:v>13</x:v>
      </x:c>
      <x:c r="I32" s="14" t="n">
        <x:f>E1_plantas!J12+G32</x:f>
        <x:v>46097</x:v>
      </x:c>
      <x:c r="J32" s="2" t="n">
        <x:v>16</x:v>
      </x:c>
      <x:c r="K32" s="2" t="n">
        <x:f>IF(AND(G32&gt;Supuestos!$C$8,E32&lt;&gt;"L0"),1,0)</x:f>
        <x:v>0</x:v>
      </x:c>
      <x:c r="L32" s="2" t="str">
        <x:v>antes_de_reinoculacion</x:v>
      </x:c>
      <x:c r="M32" s="2" t="str">
        <x:v>simulado_didactico</x:v>
      </x:c>
    </x:row>
    <x:row r="33" ht="19" customHeight="1">
      <x:c r="A33" s="2" t="str">
        <x:v>SIM-E1-MP-L6-R01</x:v>
      </x:c>
      <x:c r="B33" s="2" t="n">
        <x:v>1</x:v>
      </x:c>
      <x:c r="C33" s="2" t="str">
        <x:v>MP</x:v>
      </x:c>
      <x:c r="D33" s="2" t="str">
        <x:v>Myzus persicae</x:v>
      </x:c>
      <x:c r="E33" s="2" t="str">
        <x:v>L6</x:v>
      </x:c>
      <x:c r="F33" s="2" t="n">
        <x:v>1</x:v>
      </x:c>
      <x:c r="G33" s="2" t="n">
        <x:v>21</x:v>
      </x:c>
      <x:c r="H33" s="2" t="n">
        <x:f>G33-Supuestos!$C$7</x:f>
        <x:v>20</x:v>
      </x:c>
      <x:c r="I33" s="14" t="n">
        <x:f>E1_plantas!J12+G33</x:f>
        <x:v>46104</x:v>
      </x:c>
      <x:c r="J33" s="2" t="n">
        <x:v>52</x:v>
      </x:c>
      <x:c r="K33" s="2" t="n">
        <x:f>IF(AND(G33&gt;Supuestos!$C$8,E33&lt;&gt;"L0"),1,0)</x:f>
        <x:v>1</x:v>
      </x:c>
      <x:c r="L33" s="2" t="str">
        <x:v>posterior_al_dia_14</x:v>
      </x:c>
      <x:c r="M33" s="2" t="str">
        <x:v>simulado_didactico</x:v>
      </x:c>
    </x:row>
    <x:row r="34" ht="19" customHeight="1">
      <x:c r="A34" s="2" t="str">
        <x:v>SIM-E1-MP-L6-R01</x:v>
      </x:c>
      <x:c r="B34" s="2" t="n">
        <x:v>1</x:v>
      </x:c>
      <x:c r="C34" s="2" t="str">
        <x:v>MP</x:v>
      </x:c>
      <x:c r="D34" s="2" t="str">
        <x:v>Myzus persicae</x:v>
      </x:c>
      <x:c r="E34" s="2" t="str">
        <x:v>L6</x:v>
      </x:c>
      <x:c r="F34" s="2" t="n">
        <x:v>1</x:v>
      </x:c>
      <x:c r="G34" s="2" t="n">
        <x:v>28</x:v>
      </x:c>
      <x:c r="H34" s="2" t="n">
        <x:f>G34-Supuestos!$C$7</x:f>
        <x:v>27</x:v>
      </x:c>
      <x:c r="I34" s="14" t="n">
        <x:f>E1_plantas!J12+G34</x:f>
        <x:v>46111</x:v>
      </x:c>
      <x:c r="J34" s="2" t="n">
        <x:v>198</x:v>
      </x:c>
      <x:c r="K34" s="2" t="n">
        <x:f>IF(AND(G34&gt;Supuestos!$C$8,E34&lt;&gt;"L0"),1,0)</x:f>
        <x:v>1</x:v>
      </x:c>
      <x:c r="L34" s="2" t="str">
        <x:v>posterior_al_dia_14</x:v>
      </x:c>
      <x:c r="M34" s="2" t="str">
        <x:v>simulado_didactico</x:v>
      </x:c>
    </x:row>
    <x:row r="35" ht="19" customHeight="1">
      <x:c r="A35" s="2" t="str">
        <x:v>SIM-E1-MP-L6-R02</x:v>
      </x:c>
      <x:c r="B35" s="2" t="n">
        <x:v>1</x:v>
      </x:c>
      <x:c r="C35" s="2" t="str">
        <x:v>MP</x:v>
      </x:c>
      <x:c r="D35" s="2" t="str">
        <x:v>Myzus persicae</x:v>
      </x:c>
      <x:c r="E35" s="2" t="str">
        <x:v>L6</x:v>
      </x:c>
      <x:c r="F35" s="2" t="n">
        <x:v>2</x:v>
      </x:c>
      <x:c r="G35" s="2" t="n">
        <x:v>14</x:v>
      </x:c>
      <x:c r="H35" s="2" t="n">
        <x:f>G35-Supuestos!$C$7</x:f>
        <x:v>13</x:v>
      </x:c>
      <x:c r="I35" s="14" t="n">
        <x:f>E1_plantas!J13+G35</x:f>
        <x:v>46097</x:v>
      </x:c>
      <x:c r="J35" s="2" t="n">
        <x:v>13</x:v>
      </x:c>
      <x:c r="K35" s="2" t="n">
        <x:f>IF(AND(G35&gt;Supuestos!$C$8,E35&lt;&gt;"L0"),1,0)</x:f>
        <x:v>0</x:v>
      </x:c>
      <x:c r="L35" s="2" t="str">
        <x:v>antes_de_reinoculacion</x:v>
      </x:c>
      <x:c r="M35" s="2" t="str">
        <x:v>simulado_didactico</x:v>
      </x:c>
    </x:row>
    <x:row r="36" ht="19" customHeight="1">
      <x:c r="A36" s="2" t="str">
        <x:v>SIM-E1-MP-L6-R02</x:v>
      </x:c>
      <x:c r="B36" s="2" t="n">
        <x:v>1</x:v>
      </x:c>
      <x:c r="C36" s="2" t="str">
        <x:v>MP</x:v>
      </x:c>
      <x:c r="D36" s="2" t="str">
        <x:v>Myzus persicae</x:v>
      </x:c>
      <x:c r="E36" s="2" t="str">
        <x:v>L6</x:v>
      </x:c>
      <x:c r="F36" s="2" t="n">
        <x:v>2</x:v>
      </x:c>
      <x:c r="G36" s="2" t="n">
        <x:v>21</x:v>
      </x:c>
      <x:c r="H36" s="2" t="n">
        <x:f>G36-Supuestos!$C$7</x:f>
        <x:v>20</x:v>
      </x:c>
      <x:c r="I36" s="14" t="n">
        <x:f>E1_plantas!J13+G36</x:f>
        <x:v>46104</x:v>
      </x:c>
      <x:c r="J36" s="2" t="n">
        <x:v>61</x:v>
      </x:c>
      <x:c r="K36" s="2" t="n">
        <x:f>IF(AND(G36&gt;Supuestos!$C$8,E36&lt;&gt;"L0"),1,0)</x:f>
        <x:v>1</x:v>
      </x:c>
      <x:c r="L36" s="2" t="str">
        <x:v>posterior_al_dia_14</x:v>
      </x:c>
      <x:c r="M36" s="2" t="str">
        <x:v>simulado_didactico</x:v>
      </x:c>
    </x:row>
    <x:row r="37" ht="19" customHeight="1">
      <x:c r="A37" s="2" t="str">
        <x:v>SIM-E1-MP-L6-R02</x:v>
      </x:c>
      <x:c r="B37" s="2" t="n">
        <x:v>1</x:v>
      </x:c>
      <x:c r="C37" s="2" t="str">
        <x:v>MP</x:v>
      </x:c>
      <x:c r="D37" s="2" t="str">
        <x:v>Myzus persicae</x:v>
      </x:c>
      <x:c r="E37" s="2" t="str">
        <x:v>L6</x:v>
      </x:c>
      <x:c r="F37" s="2" t="n">
        <x:v>2</x:v>
      </x:c>
      <x:c r="G37" s="2" t="n">
        <x:v>28</x:v>
      </x:c>
      <x:c r="H37" s="2" t="n">
        <x:f>G37-Supuestos!$C$7</x:f>
        <x:v>27</x:v>
      </x:c>
      <x:c r="I37" s="14" t="n">
        <x:f>E1_plantas!J13+G37</x:f>
        <x:v>46111</x:v>
      </x:c>
      <x:c r="J37" s="2" t="n">
        <x:v>167</x:v>
      </x:c>
      <x:c r="K37" s="2" t="n">
        <x:f>IF(AND(G37&gt;Supuestos!$C$8,E37&lt;&gt;"L0"),1,0)</x:f>
        <x:v>1</x:v>
      </x:c>
      <x:c r="L37" s="2" t="str">
        <x:v>posterior_al_dia_14</x:v>
      </x:c>
      <x:c r="M37" s="2" t="str">
        <x:v>simulado_didactico</x:v>
      </x:c>
    </x:row>
    <x:row r="38" ht="19" customHeight="1">
      <x:c r="A38" s="2" t="str">
        <x:v>SIM-E1-MP-L7-R01</x:v>
      </x:c>
      <x:c r="B38" s="2" t="n">
        <x:v>1</x:v>
      </x:c>
      <x:c r="C38" s="2" t="str">
        <x:v>MP</x:v>
      </x:c>
      <x:c r="D38" s="2" t="str">
        <x:v>Myzus persicae</x:v>
      </x:c>
      <x:c r="E38" s="2" t="str">
        <x:v>L7</x:v>
      </x:c>
      <x:c r="F38" s="2" t="n">
        <x:v>1</x:v>
      </x:c>
      <x:c r="G38" s="2" t="n">
        <x:v>14</x:v>
      </x:c>
      <x:c r="H38" s="2" t="n">
        <x:f>G38-Supuestos!$C$7</x:f>
        <x:v>13</x:v>
      </x:c>
      <x:c r="I38" s="14" t="n">
        <x:f>E1_plantas!J14+G38</x:f>
        <x:v>46097</x:v>
      </x:c>
      <x:c r="J38" s="2" t="n">
        <x:v>6</x:v>
      </x:c>
      <x:c r="K38" s="2" t="n">
        <x:f>IF(AND(G38&gt;Supuestos!$C$8,E38&lt;&gt;"L0"),1,0)</x:f>
        <x:v>0</x:v>
      </x:c>
      <x:c r="L38" s="2" t="str">
        <x:v>antes_de_reinoculacion</x:v>
      </x:c>
      <x:c r="M38" s="2" t="str">
        <x:v>simulado_didactico</x:v>
      </x:c>
    </x:row>
    <x:row r="39" ht="19" customHeight="1">
      <x:c r="A39" s="2" t="str">
        <x:v>SIM-E1-MP-L7-R01</x:v>
      </x:c>
      <x:c r="B39" s="2" t="n">
        <x:v>1</x:v>
      </x:c>
      <x:c r="C39" s="2" t="str">
        <x:v>MP</x:v>
      </x:c>
      <x:c r="D39" s="2" t="str">
        <x:v>Myzus persicae</x:v>
      </x:c>
      <x:c r="E39" s="2" t="str">
        <x:v>L7</x:v>
      </x:c>
      <x:c r="F39" s="2" t="n">
        <x:v>1</x:v>
      </x:c>
      <x:c r="G39" s="2" t="n">
        <x:v>21</x:v>
      </x:c>
      <x:c r="H39" s="2" t="n">
        <x:f>G39-Supuestos!$C$7</x:f>
        <x:v>20</x:v>
      </x:c>
      <x:c r="I39" s="14" t="n">
        <x:f>E1_plantas!J14+G39</x:f>
        <x:v>46104</x:v>
      </x:c>
      <x:c r="J39" s="2" t="n">
        <x:v>22</x:v>
      </x:c>
      <x:c r="K39" s="2" t="n">
        <x:f>IF(AND(G39&gt;Supuestos!$C$8,E39&lt;&gt;"L0"),1,0)</x:f>
        <x:v>1</x:v>
      </x:c>
      <x:c r="L39" s="2" t="str">
        <x:v>posterior_al_dia_14</x:v>
      </x:c>
      <x:c r="M39" s="2" t="str">
        <x:v>simulado_didactico</x:v>
      </x:c>
    </x:row>
    <x:row r="40" ht="19" customHeight="1">
      <x:c r="A40" s="2" t="str">
        <x:v>SIM-E1-MP-L7-R01</x:v>
      </x:c>
      <x:c r="B40" s="2" t="n">
        <x:v>1</x:v>
      </x:c>
      <x:c r="C40" s="2" t="str">
        <x:v>MP</x:v>
      </x:c>
      <x:c r="D40" s="2" t="str">
        <x:v>Myzus persicae</x:v>
      </x:c>
      <x:c r="E40" s="2" t="str">
        <x:v>L7</x:v>
      </x:c>
      <x:c r="F40" s="2" t="n">
        <x:v>1</x:v>
      </x:c>
      <x:c r="G40" s="2" t="n">
        <x:v>28</x:v>
      </x:c>
      <x:c r="H40" s="2" t="n">
        <x:f>G40-Supuestos!$C$7</x:f>
        <x:v>27</x:v>
      </x:c>
      <x:c r="I40" s="14" t="n">
        <x:f>E1_plantas!J14+G40</x:f>
        <x:v>46111</x:v>
      </x:c>
      <x:c r="J40" s="2" t="n">
        <x:v>65</x:v>
      </x:c>
      <x:c r="K40" s="2" t="n">
        <x:f>IF(AND(G40&gt;Supuestos!$C$8,E40&lt;&gt;"L0"),1,0)</x:f>
        <x:v>1</x:v>
      </x:c>
      <x:c r="L40" s="2" t="str">
        <x:v>posterior_al_dia_14</x:v>
      </x:c>
      <x:c r="M40" s="2" t="str">
        <x:v>simulado_didactico</x:v>
      </x:c>
    </x:row>
    <x:row r="41" ht="19" customHeight="1">
      <x:c r="A41" s="2" t="str">
        <x:v>SIM-E1-MP-L7-R02</x:v>
      </x:c>
      <x:c r="B41" s="2" t="n">
        <x:v>1</x:v>
      </x:c>
      <x:c r="C41" s="2" t="str">
        <x:v>MP</x:v>
      </x:c>
      <x:c r="D41" s="2" t="str">
        <x:v>Myzus persicae</x:v>
      </x:c>
      <x:c r="E41" s="2" t="str">
        <x:v>L7</x:v>
      </x:c>
      <x:c r="F41" s="2" t="n">
        <x:v>2</x:v>
      </x:c>
      <x:c r="G41" s="2" t="n">
        <x:v>14</x:v>
      </x:c>
      <x:c r="H41" s="2" t="n">
        <x:f>G41-Supuestos!$C$7</x:f>
        <x:v>13</x:v>
      </x:c>
      <x:c r="I41" s="14" t="n">
        <x:f>E1_plantas!J15+G41</x:f>
        <x:v>46097</x:v>
      </x:c>
      <x:c r="J41" s="2" t="n">
        <x:v>6</x:v>
      </x:c>
      <x:c r="K41" s="2" t="n">
        <x:f>IF(AND(G41&gt;Supuestos!$C$8,E41&lt;&gt;"L0"),1,0)</x:f>
        <x:v>0</x:v>
      </x:c>
      <x:c r="L41" s="2" t="str">
        <x:v>antes_de_reinoculacion</x:v>
      </x:c>
      <x:c r="M41" s="2" t="str">
        <x:v>simulado_didactico</x:v>
      </x:c>
    </x:row>
    <x:row r="42" ht="19" customHeight="1">
      <x:c r="A42" s="2" t="str">
        <x:v>SIM-E1-MP-L7-R02</x:v>
      </x:c>
      <x:c r="B42" s="2" t="n">
        <x:v>1</x:v>
      </x:c>
      <x:c r="C42" s="2" t="str">
        <x:v>MP</x:v>
      </x:c>
      <x:c r="D42" s="2" t="str">
        <x:v>Myzus persicae</x:v>
      </x:c>
      <x:c r="E42" s="2" t="str">
        <x:v>L7</x:v>
      </x:c>
      <x:c r="F42" s="2" t="n">
        <x:v>2</x:v>
      </x:c>
      <x:c r="G42" s="2" t="n">
        <x:v>21</x:v>
      </x:c>
      <x:c r="H42" s="2" t="n">
        <x:f>G42-Supuestos!$C$7</x:f>
        <x:v>20</x:v>
      </x:c>
      <x:c r="I42" s="14" t="n">
        <x:f>E1_plantas!J15+G42</x:f>
        <x:v>46104</x:v>
      </x:c>
      <x:c r="J42" s="2" t="n">
        <x:v>34</x:v>
      </x:c>
      <x:c r="K42" s="2" t="n">
        <x:f>IF(AND(G42&gt;Supuestos!$C$8,E42&lt;&gt;"L0"),1,0)</x:f>
        <x:v>1</x:v>
      </x:c>
      <x:c r="L42" s="2" t="str">
        <x:v>posterior_al_dia_14</x:v>
      </x:c>
      <x:c r="M42" s="2" t="str">
        <x:v>simulado_didactico</x:v>
      </x:c>
    </x:row>
    <x:row r="43" ht="19" customHeight="1">
      <x:c r="A43" s="2" t="str">
        <x:v>SIM-E1-MP-L7-R02</x:v>
      </x:c>
      <x:c r="B43" s="2" t="n">
        <x:v>1</x:v>
      </x:c>
      <x:c r="C43" s="2" t="str">
        <x:v>MP</x:v>
      </x:c>
      <x:c r="D43" s="2" t="str">
        <x:v>Myzus persicae</x:v>
      </x:c>
      <x:c r="E43" s="2" t="str">
        <x:v>L7</x:v>
      </x:c>
      <x:c r="F43" s="2" t="n">
        <x:v>2</x:v>
      </x:c>
      <x:c r="G43" s="2" t="n">
        <x:v>28</x:v>
      </x:c>
      <x:c r="H43" s="2" t="n">
        <x:f>G43-Supuestos!$C$7</x:f>
        <x:v>27</x:v>
      </x:c>
      <x:c r="I43" s="14" t="n">
        <x:f>E1_plantas!J15+G43</x:f>
        <x:v>46111</x:v>
      </x:c>
      <x:c r="J43" s="2" t="n">
        <x:v>100</x:v>
      </x:c>
      <x:c r="K43" s="2" t="n">
        <x:f>IF(AND(G43&gt;Supuestos!$C$8,E43&lt;&gt;"L0"),1,0)</x:f>
        <x:v>1</x:v>
      </x:c>
      <x:c r="L43" s="2" t="str">
        <x:v>posterior_al_dia_14</x:v>
      </x:c>
      <x:c r="M43" s="2" t="str">
        <x:v>simulado_didactico</x:v>
      </x:c>
    </x:row>
    <x:row r="44" ht="19" customHeight="1">
      <x:c r="A44" s="2" t="str">
        <x:v>SIM-E1-MP-L8-R01</x:v>
      </x:c>
      <x:c r="B44" s="2" t="n">
        <x:v>1</x:v>
      </x:c>
      <x:c r="C44" s="2" t="str">
        <x:v>MP</x:v>
      </x:c>
      <x:c r="D44" s="2" t="str">
        <x:v>Myzus persicae</x:v>
      </x:c>
      <x:c r="E44" s="2" t="str">
        <x:v>L8</x:v>
      </x:c>
      <x:c r="F44" s="2" t="n">
        <x:v>1</x:v>
      </x:c>
      <x:c r="G44" s="2" t="n">
        <x:v>14</x:v>
      </x:c>
      <x:c r="H44" s="2" t="n">
        <x:f>G44-Supuestos!$C$7</x:f>
        <x:v>13</x:v>
      </x:c>
      <x:c r="I44" s="14" t="n">
        <x:f>E1_plantas!J16+G44</x:f>
        <x:v>46097</x:v>
      </x:c>
      <x:c r="J44" s="2" t="n">
        <x:v>5</x:v>
      </x:c>
      <x:c r="K44" s="2" t="n">
        <x:f>IF(AND(G44&gt;Supuestos!$C$8,E44&lt;&gt;"L0"),1,0)</x:f>
        <x:v>0</x:v>
      </x:c>
      <x:c r="L44" s="2" t="str">
        <x:v>antes_de_reinoculacion</x:v>
      </x:c>
      <x:c r="M44" s="2" t="str">
        <x:v>simulado_didactico</x:v>
      </x:c>
    </x:row>
    <x:row r="45" ht="19" customHeight="1">
      <x:c r="A45" s="2" t="str">
        <x:v>SIM-E1-MP-L8-R01</x:v>
      </x:c>
      <x:c r="B45" s="2" t="n">
        <x:v>1</x:v>
      </x:c>
      <x:c r="C45" s="2" t="str">
        <x:v>MP</x:v>
      </x:c>
      <x:c r="D45" s="2" t="str">
        <x:v>Myzus persicae</x:v>
      </x:c>
      <x:c r="E45" s="2" t="str">
        <x:v>L8</x:v>
      </x:c>
      <x:c r="F45" s="2" t="n">
        <x:v>1</x:v>
      </x:c>
      <x:c r="G45" s="2" t="n">
        <x:v>21</x:v>
      </x:c>
      <x:c r="H45" s="2" t="n">
        <x:f>G45-Supuestos!$C$7</x:f>
        <x:v>20</x:v>
      </x:c>
      <x:c r="I45" s="14" t="n">
        <x:f>E1_plantas!J16+G45</x:f>
        <x:v>46104</x:v>
      </x:c>
      <x:c r="J45" s="2" t="n">
        <x:v>22</x:v>
      </x:c>
      <x:c r="K45" s="2" t="n">
        <x:f>IF(AND(G45&gt;Supuestos!$C$8,E45&lt;&gt;"L0"),1,0)</x:f>
        <x:v>1</x:v>
      </x:c>
      <x:c r="L45" s="2" t="str">
        <x:v>posterior_al_dia_14</x:v>
      </x:c>
      <x:c r="M45" s="2" t="str">
        <x:v>simulado_didactico</x:v>
      </x:c>
    </x:row>
    <x:row r="46" ht="19" customHeight="1">
      <x:c r="A46" s="2" t="str">
        <x:v>SIM-E1-MP-L8-R01</x:v>
      </x:c>
      <x:c r="B46" s="2" t="n">
        <x:v>1</x:v>
      </x:c>
      <x:c r="C46" s="2" t="str">
        <x:v>MP</x:v>
      </x:c>
      <x:c r="D46" s="2" t="str">
        <x:v>Myzus persicae</x:v>
      </x:c>
      <x:c r="E46" s="2" t="str">
        <x:v>L8</x:v>
      </x:c>
      <x:c r="F46" s="2" t="n">
        <x:v>1</x:v>
      </x:c>
      <x:c r="G46" s="2" t="n">
        <x:v>28</x:v>
      </x:c>
      <x:c r="H46" s="2" t="n">
        <x:f>G46-Supuestos!$C$7</x:f>
        <x:v>27</x:v>
      </x:c>
      <x:c r="I46" s="14" t="n">
        <x:f>E1_plantas!J16+G46</x:f>
        <x:v>46111</x:v>
      </x:c>
      <x:c r="J46" s="2" t="n">
        <x:v>77</x:v>
      </x:c>
      <x:c r="K46" s="2" t="n">
        <x:f>IF(AND(G46&gt;Supuestos!$C$8,E46&lt;&gt;"L0"),1,0)</x:f>
        <x:v>1</x:v>
      </x:c>
      <x:c r="L46" s="2" t="str">
        <x:v>posterior_al_dia_14</x:v>
      </x:c>
      <x:c r="M46" s="2" t="str">
        <x:v>simulado_didactico</x:v>
      </x:c>
    </x:row>
    <x:row r="47" ht="19" customHeight="1">
      <x:c r="A47" s="2" t="str">
        <x:v>SIM-E1-MP-L8-R02</x:v>
      </x:c>
      <x:c r="B47" s="2" t="n">
        <x:v>1</x:v>
      </x:c>
      <x:c r="C47" s="2" t="str">
        <x:v>MP</x:v>
      </x:c>
      <x:c r="D47" s="2" t="str">
        <x:v>Myzus persicae</x:v>
      </x:c>
      <x:c r="E47" s="2" t="str">
        <x:v>L8</x:v>
      </x:c>
      <x:c r="F47" s="2" t="n">
        <x:v>2</x:v>
      </x:c>
      <x:c r="G47" s="2" t="n">
        <x:v>14</x:v>
      </x:c>
      <x:c r="H47" s="2" t="n">
        <x:f>G47-Supuestos!$C$7</x:f>
        <x:v>13</x:v>
      </x:c>
      <x:c r="I47" s="14" t="n">
        <x:f>E1_plantas!J17+G47</x:f>
        <x:v>46097</x:v>
      </x:c>
      <x:c r="J47" s="2" t="n">
        <x:v>4</x:v>
      </x:c>
      <x:c r="K47" s="2" t="n">
        <x:f>IF(AND(G47&gt;Supuestos!$C$8,E47&lt;&gt;"L0"),1,0)</x:f>
        <x:v>0</x:v>
      </x:c>
      <x:c r="L47" s="2" t="str">
        <x:v>antes_de_reinoculacion</x:v>
      </x:c>
      <x:c r="M47" s="2" t="str">
        <x:v>simulado_didactico</x:v>
      </x:c>
    </x:row>
    <x:row r="48" ht="19" customHeight="1">
      <x:c r="A48" s="2" t="str">
        <x:v>SIM-E1-MP-L8-R02</x:v>
      </x:c>
      <x:c r="B48" s="2" t="n">
        <x:v>1</x:v>
      </x:c>
      <x:c r="C48" s="2" t="str">
        <x:v>MP</x:v>
      </x:c>
      <x:c r="D48" s="2" t="str">
        <x:v>Myzus persicae</x:v>
      </x:c>
      <x:c r="E48" s="2" t="str">
        <x:v>L8</x:v>
      </x:c>
      <x:c r="F48" s="2" t="n">
        <x:v>2</x:v>
      </x:c>
      <x:c r="G48" s="2" t="n">
        <x:v>21</x:v>
      </x:c>
      <x:c r="H48" s="2" t="n">
        <x:f>G48-Supuestos!$C$7</x:f>
        <x:v>20</x:v>
      </x:c>
      <x:c r="I48" s="14" t="n">
        <x:f>E1_plantas!J17+G48</x:f>
        <x:v>46104</x:v>
      </x:c>
      <x:c r="J48" s="2" t="n">
        <x:v>20</x:v>
      </x:c>
      <x:c r="K48" s="2" t="n">
        <x:f>IF(AND(G48&gt;Supuestos!$C$8,E48&lt;&gt;"L0"),1,0)</x:f>
        <x:v>1</x:v>
      </x:c>
      <x:c r="L48" s="2" t="str">
        <x:v>posterior_al_dia_14</x:v>
      </x:c>
      <x:c r="M48" s="2" t="str">
        <x:v>simulado_didactico</x:v>
      </x:c>
    </x:row>
    <x:row r="49" ht="19" customHeight="1">
      <x:c r="A49" s="2" t="str">
        <x:v>SIM-E1-MP-L8-R02</x:v>
      </x:c>
      <x:c r="B49" s="2" t="n">
        <x:v>1</x:v>
      </x:c>
      <x:c r="C49" s="2" t="str">
        <x:v>MP</x:v>
      </x:c>
      <x:c r="D49" s="2" t="str">
        <x:v>Myzus persicae</x:v>
      </x:c>
      <x:c r="E49" s="2" t="str">
        <x:v>L8</x:v>
      </x:c>
      <x:c r="F49" s="2" t="n">
        <x:v>2</x:v>
      </x:c>
      <x:c r="G49" s="2" t="n">
        <x:v>28</x:v>
      </x:c>
      <x:c r="H49" s="2" t="n">
        <x:f>G49-Supuestos!$C$7</x:f>
        <x:v>27</x:v>
      </x:c>
      <x:c r="I49" s="14" t="n">
        <x:f>E1_plantas!J17+G49</x:f>
        <x:v>46111</x:v>
      </x:c>
      <x:c r="J49" s="2" t="n">
        <x:v>88</x:v>
      </x:c>
      <x:c r="K49" s="2" t="n">
        <x:f>IF(AND(G49&gt;Supuestos!$C$8,E49&lt;&gt;"L0"),1,0)</x:f>
        <x:v>1</x:v>
      </x:c>
      <x:c r="L49" s="2" t="str">
        <x:v>posterior_al_dia_14</x:v>
      </x:c>
      <x:c r="M49" s="2" t="str">
        <x:v>simulado_didactico</x:v>
      </x:c>
    </x:row>
    <x:row r="50" ht="19" customHeight="1">
      <x:c r="A50" s="2" t="str">
        <x:v>SIM-E1-MP-L9-R01</x:v>
      </x:c>
      <x:c r="B50" s="2" t="n">
        <x:v>1</x:v>
      </x:c>
      <x:c r="C50" s="2" t="str">
        <x:v>MP</x:v>
      </x:c>
      <x:c r="D50" s="2" t="str">
        <x:v>Myzus persicae</x:v>
      </x:c>
      <x:c r="E50" s="2" t="str">
        <x:v>L9</x:v>
      </x:c>
      <x:c r="F50" s="2" t="n">
        <x:v>1</x:v>
      </x:c>
      <x:c r="G50" s="2" t="n">
        <x:v>14</x:v>
      </x:c>
      <x:c r="H50" s="2" t="n">
        <x:f>G50-Supuestos!$C$7</x:f>
        <x:v>13</x:v>
      </x:c>
      <x:c r="I50" s="14" t="n">
        <x:f>E1_plantas!J18+G50</x:f>
        <x:v>46097</x:v>
      </x:c>
      <x:c r="J50" s="2" t="n">
        <x:v>16</x:v>
      </x:c>
      <x:c r="K50" s="2" t="n">
        <x:f>IF(AND(G50&gt;Supuestos!$C$8,E50&lt;&gt;"L0"),1,0)</x:f>
        <x:v>0</x:v>
      </x:c>
      <x:c r="L50" s="2" t="str">
        <x:v>antes_de_reinoculacion</x:v>
      </x:c>
      <x:c r="M50" s="2" t="str">
        <x:v>simulado_didactico</x:v>
      </x:c>
    </x:row>
    <x:row r="51" ht="19" customHeight="1">
      <x:c r="A51" s="2" t="str">
        <x:v>SIM-E1-MP-L9-R01</x:v>
      </x:c>
      <x:c r="B51" s="2" t="n">
        <x:v>1</x:v>
      </x:c>
      <x:c r="C51" s="2" t="str">
        <x:v>MP</x:v>
      </x:c>
      <x:c r="D51" s="2" t="str">
        <x:v>Myzus persicae</x:v>
      </x:c>
      <x:c r="E51" s="2" t="str">
        <x:v>L9</x:v>
      </x:c>
      <x:c r="F51" s="2" t="n">
        <x:v>1</x:v>
      </x:c>
      <x:c r="G51" s="2" t="n">
        <x:v>21</x:v>
      </x:c>
      <x:c r="H51" s="2" t="n">
        <x:f>G51-Supuestos!$C$7</x:f>
        <x:v>20</x:v>
      </x:c>
      <x:c r="I51" s="14" t="n">
        <x:f>E1_plantas!J18+G51</x:f>
        <x:v>46104</x:v>
      </x:c>
      <x:c r="J51" s="2" t="n">
        <x:v>57</x:v>
      </x:c>
      <x:c r="K51" s="2" t="n">
        <x:f>IF(AND(G51&gt;Supuestos!$C$8,E51&lt;&gt;"L0"),1,0)</x:f>
        <x:v>1</x:v>
      </x:c>
      <x:c r="L51" s="2" t="str">
        <x:v>posterior_al_dia_14</x:v>
      </x:c>
      <x:c r="M51" s="2" t="str">
        <x:v>simulado_didactico</x:v>
      </x:c>
    </x:row>
    <x:row r="52" ht="19" customHeight="1">
      <x:c r="A52" s="2" t="str">
        <x:v>SIM-E1-MP-L9-R01</x:v>
      </x:c>
      <x:c r="B52" s="2" t="n">
        <x:v>1</x:v>
      </x:c>
      <x:c r="C52" s="2" t="str">
        <x:v>MP</x:v>
      </x:c>
      <x:c r="D52" s="2" t="str">
        <x:v>Myzus persicae</x:v>
      </x:c>
      <x:c r="E52" s="2" t="str">
        <x:v>L9</x:v>
      </x:c>
      <x:c r="F52" s="2" t="n">
        <x:v>1</x:v>
      </x:c>
      <x:c r="G52" s="2" t="n">
        <x:v>28</x:v>
      </x:c>
      <x:c r="H52" s="2" t="n">
        <x:f>G52-Supuestos!$C$7</x:f>
        <x:v>27</x:v>
      </x:c>
      <x:c r="I52" s="14" t="n">
        <x:f>E1_plantas!J18+G52</x:f>
        <x:v>46111</x:v>
      </x:c>
      <x:c r="J52" s="2" t="n">
        <x:v>158</x:v>
      </x:c>
      <x:c r="K52" s="2" t="n">
        <x:f>IF(AND(G52&gt;Supuestos!$C$8,E52&lt;&gt;"L0"),1,0)</x:f>
        <x:v>1</x:v>
      </x:c>
      <x:c r="L52" s="2" t="str">
        <x:v>posterior_al_dia_14</x:v>
      </x:c>
      <x:c r="M52" s="2" t="str">
        <x:v>simulado_didactico</x:v>
      </x:c>
    </x:row>
    <x:row r="53" ht="19" customHeight="1">
      <x:c r="A53" s="2" t="str">
        <x:v>SIM-E1-MP-L9-R02</x:v>
      </x:c>
      <x:c r="B53" s="2" t="n">
        <x:v>1</x:v>
      </x:c>
      <x:c r="C53" s="2" t="str">
        <x:v>MP</x:v>
      </x:c>
      <x:c r="D53" s="2" t="str">
        <x:v>Myzus persicae</x:v>
      </x:c>
      <x:c r="E53" s="2" t="str">
        <x:v>L9</x:v>
      </x:c>
      <x:c r="F53" s="2" t="n">
        <x:v>2</x:v>
      </x:c>
      <x:c r="G53" s="2" t="n">
        <x:v>14</x:v>
      </x:c>
      <x:c r="H53" s="2" t="n">
        <x:f>G53-Supuestos!$C$7</x:f>
        <x:v>13</x:v>
      </x:c>
      <x:c r="I53" s="14" t="n">
        <x:f>E1_plantas!J19+G53</x:f>
        <x:v>46097</x:v>
      </x:c>
      <x:c r="J53" s="2" t="n">
        <x:v>10</x:v>
      </x:c>
      <x:c r="K53" s="2" t="n">
        <x:f>IF(AND(G53&gt;Supuestos!$C$8,E53&lt;&gt;"L0"),1,0)</x:f>
        <x:v>0</x:v>
      </x:c>
      <x:c r="L53" s="2" t="str">
        <x:v>antes_de_reinoculacion</x:v>
      </x:c>
      <x:c r="M53" s="2" t="str">
        <x:v>simulado_didactico</x:v>
      </x:c>
    </x:row>
    <x:row r="54" ht="19" customHeight="1">
      <x:c r="A54" s="2" t="str">
        <x:v>SIM-E1-MP-L9-R02</x:v>
      </x:c>
      <x:c r="B54" s="2" t="n">
        <x:v>1</x:v>
      </x:c>
      <x:c r="C54" s="2" t="str">
        <x:v>MP</x:v>
      </x:c>
      <x:c r="D54" s="2" t="str">
        <x:v>Myzus persicae</x:v>
      </x:c>
      <x:c r="E54" s="2" t="str">
        <x:v>L9</x:v>
      </x:c>
      <x:c r="F54" s="2" t="n">
        <x:v>2</x:v>
      </x:c>
      <x:c r="G54" s="2" t="n">
        <x:v>21</x:v>
      </x:c>
      <x:c r="H54" s="2" t="n">
        <x:f>G54-Supuestos!$C$7</x:f>
        <x:v>20</x:v>
      </x:c>
      <x:c r="I54" s="14" t="n">
        <x:f>E1_plantas!J19+G54</x:f>
        <x:v>46104</x:v>
      </x:c>
      <x:c r="J54" s="2" t="n">
        <x:v>66</x:v>
      </x:c>
      <x:c r="K54" s="2" t="n">
        <x:f>IF(AND(G54&gt;Supuestos!$C$8,E54&lt;&gt;"L0"),1,0)</x:f>
        <x:v>1</x:v>
      </x:c>
      <x:c r="L54" s="2" t="str">
        <x:v>posterior_al_dia_14</x:v>
      </x:c>
      <x:c r="M54" s="2" t="str">
        <x:v>simulado_didactico</x:v>
      </x:c>
    </x:row>
    <x:row r="55" ht="19" customHeight="1">
      <x:c r="A55" s="2" t="str">
        <x:v>SIM-E1-MP-L9-R02</x:v>
      </x:c>
      <x:c r="B55" s="2" t="n">
        <x:v>1</x:v>
      </x:c>
      <x:c r="C55" s="2" t="str">
        <x:v>MP</x:v>
      </x:c>
      <x:c r="D55" s="2" t="str">
        <x:v>Myzus persicae</x:v>
      </x:c>
      <x:c r="E55" s="2" t="str">
        <x:v>L9</x:v>
      </x:c>
      <x:c r="F55" s="2" t="n">
        <x:v>2</x:v>
      </x:c>
      <x:c r="G55" s="2" t="n">
        <x:v>28</x:v>
      </x:c>
      <x:c r="H55" s="2" t="n">
        <x:f>G55-Supuestos!$C$7</x:f>
        <x:v>27</x:v>
      </x:c>
      <x:c r="I55" s="14" t="n">
        <x:f>E1_plantas!J19+G55</x:f>
        <x:v>46111</x:v>
      </x:c>
      <x:c r="J55" s="2" t="n">
        <x:v>167</x:v>
      </x:c>
      <x:c r="K55" s="2" t="n">
        <x:f>IF(AND(G55&gt;Supuestos!$C$8,E55&lt;&gt;"L0"),1,0)</x:f>
        <x:v>1</x:v>
      </x:c>
      <x:c r="L55" s="2" t="str">
        <x:v>posterior_al_dia_14</x:v>
      </x:c>
      <x:c r="M55" s="2" t="str">
        <x:v>simulado_didactico</x:v>
      </x:c>
    </x:row>
    <x:row r="56" ht="19" customHeight="1">
      <x:c r="A56" s="2" t="str">
        <x:v>SIM-E1-BB-L0-R01</x:v>
      </x:c>
      <x:c r="B56" s="2" t="n">
        <x:v>1</x:v>
      </x:c>
      <x:c r="C56" s="2" t="str">
        <x:v>BB</x:v>
      </x:c>
      <x:c r="D56" s="2" t="str">
        <x:v>Brevicoryne brassicae</x:v>
      </x:c>
      <x:c r="E56" s="2" t="str">
        <x:v>L0</x:v>
      </x:c>
      <x:c r="F56" s="2" t="n">
        <x:v>1</x:v>
      </x:c>
      <x:c r="G56" s="2" t="n">
        <x:v>14</x:v>
      </x:c>
      <x:c r="H56" s="2" t="n">
        <x:f>G56-Supuestos!$C$7</x:f>
        <x:v>13</x:v>
      </x:c>
      <x:c r="I56" s="14" t="n">
        <x:f>E1_plantas!J20+G56</x:f>
        <x:v>46097</x:v>
      </x:c>
      <x:c r="J56" s="2" t="n">
        <x:v>16</x:v>
      </x:c>
      <x:c r="K56" s="2" t="n">
        <x:f>IF(AND(G56&gt;Supuestos!$C$8,E56&lt;&gt;"L0"),1,0)</x:f>
        <x:v>0</x:v>
      </x:c>
      <x:c r="L56" s="2" t="str">
        <x:v>antes_de_reinoculacion</x:v>
      </x:c>
      <x:c r="M56" s="2" t="str">
        <x:v>simulado_didactico</x:v>
      </x:c>
    </x:row>
    <x:row r="57" ht="19" customHeight="1">
      <x:c r="A57" s="2" t="str">
        <x:v>SIM-E1-BB-L0-R01</x:v>
      </x:c>
      <x:c r="B57" s="2" t="n">
        <x:v>1</x:v>
      </x:c>
      <x:c r="C57" s="2" t="str">
        <x:v>BB</x:v>
      </x:c>
      <x:c r="D57" s="2" t="str">
        <x:v>Brevicoryne brassicae</x:v>
      </x:c>
      <x:c r="E57" s="2" t="str">
        <x:v>L0</x:v>
      </x:c>
      <x:c r="F57" s="2" t="n">
        <x:v>1</x:v>
      </x:c>
      <x:c r="G57" s="2" t="n">
        <x:v>21</x:v>
      </x:c>
      <x:c r="H57" s="2" t="n">
        <x:f>G57-Supuestos!$C$7</x:f>
        <x:v>20</x:v>
      </x:c>
      <x:c r="I57" s="14" t="n">
        <x:f>E1_plantas!J20+G57</x:f>
        <x:v>46104</x:v>
      </x:c>
      <x:c r="J57" s="2" t="n">
        <x:v>68</x:v>
      </x:c>
      <x:c r="K57" s="2" t="n">
        <x:f>IF(AND(G57&gt;Supuestos!$C$8,E57&lt;&gt;"L0"),1,0)</x:f>
        <x:v>0</x:v>
      </x:c>
      <x:c r="L57" s="2" t="str">
        <x:v>posterior_al_dia_14</x:v>
      </x:c>
      <x:c r="M57" s="2" t="str">
        <x:v>simulado_didactico</x:v>
      </x:c>
    </x:row>
    <x:row r="58" ht="19" customHeight="1">
      <x:c r="A58" s="2" t="str">
        <x:v>SIM-E1-BB-L0-R01</x:v>
      </x:c>
      <x:c r="B58" s="2" t="n">
        <x:v>1</x:v>
      </x:c>
      <x:c r="C58" s="2" t="str">
        <x:v>BB</x:v>
      </x:c>
      <x:c r="D58" s="2" t="str">
        <x:v>Brevicoryne brassicae</x:v>
      </x:c>
      <x:c r="E58" s="2" t="str">
        <x:v>L0</x:v>
      </x:c>
      <x:c r="F58" s="2" t="n">
        <x:v>1</x:v>
      </x:c>
      <x:c r="G58" s="2" t="n">
        <x:v>28</x:v>
      </x:c>
      <x:c r="H58" s="2" t="n">
        <x:f>G58-Supuestos!$C$7</x:f>
        <x:v>27</x:v>
      </x:c>
      <x:c r="I58" s="14" t="n">
        <x:f>E1_plantas!J20+G58</x:f>
        <x:v>46111</x:v>
      </x:c>
      <x:c r="J58" s="2" t="n">
        <x:v>255</x:v>
      </x:c>
      <x:c r="K58" s="2" t="n">
        <x:f>IF(AND(G58&gt;Supuestos!$C$8,E58&lt;&gt;"L0"),1,0)</x:f>
        <x:v>0</x:v>
      </x:c>
      <x:c r="L58" s="2" t="str">
        <x:v>posterior_al_dia_14</x:v>
      </x:c>
      <x:c r="M58" s="2" t="str">
        <x:v>simulado_didactico</x:v>
      </x:c>
    </x:row>
    <x:row r="59" ht="19" customHeight="1">
      <x:c r="A59" s="2" t="str">
        <x:v>SIM-E1-BB-L0-R02</x:v>
      </x:c>
      <x:c r="B59" s="2" t="n">
        <x:v>1</x:v>
      </x:c>
      <x:c r="C59" s="2" t="str">
        <x:v>BB</x:v>
      </x:c>
      <x:c r="D59" s="2" t="str">
        <x:v>Brevicoryne brassicae</x:v>
      </x:c>
      <x:c r="E59" s="2" t="str">
        <x:v>L0</x:v>
      </x:c>
      <x:c r="F59" s="2" t="n">
        <x:v>2</x:v>
      </x:c>
      <x:c r="G59" s="2" t="n">
        <x:v>14</x:v>
      </x:c>
      <x:c r="H59" s="2" t="n">
        <x:f>G59-Supuestos!$C$7</x:f>
        <x:v>13</x:v>
      </x:c>
      <x:c r="I59" s="14" t="n">
        <x:f>E1_plantas!J21+G59</x:f>
        <x:v>46097</x:v>
      </x:c>
      <x:c r="J59" s="2" t="n">
        <x:v>11</x:v>
      </x:c>
      <x:c r="K59" s="2" t="n">
        <x:f>IF(AND(G59&gt;Supuestos!$C$8,E59&lt;&gt;"L0"),1,0)</x:f>
        <x:v>0</x:v>
      </x:c>
      <x:c r="L59" s="2" t="str">
        <x:v>antes_de_reinoculacion</x:v>
      </x:c>
      <x:c r="M59" s="2" t="str">
        <x:v>simulado_didactico</x:v>
      </x:c>
    </x:row>
    <x:row r="60" ht="19" customHeight="1">
      <x:c r="A60" s="2" t="str">
        <x:v>SIM-E1-BB-L0-R02</x:v>
      </x:c>
      <x:c r="B60" s="2" t="n">
        <x:v>1</x:v>
      </x:c>
      <x:c r="C60" s="2" t="str">
        <x:v>BB</x:v>
      </x:c>
      <x:c r="D60" s="2" t="str">
        <x:v>Brevicoryne brassicae</x:v>
      </x:c>
      <x:c r="E60" s="2" t="str">
        <x:v>L0</x:v>
      </x:c>
      <x:c r="F60" s="2" t="n">
        <x:v>2</x:v>
      </x:c>
      <x:c r="G60" s="2" t="n">
        <x:v>21</x:v>
      </x:c>
      <x:c r="H60" s="2" t="n">
        <x:f>G60-Supuestos!$C$7</x:f>
        <x:v>20</x:v>
      </x:c>
      <x:c r="I60" s="14" t="n">
        <x:f>E1_plantas!J21+G60</x:f>
        <x:v>46104</x:v>
      </x:c>
      <x:c r="J60" s="2" t="n">
        <x:v>70</x:v>
      </x:c>
      <x:c r="K60" s="2" t="n">
        <x:f>IF(AND(G60&gt;Supuestos!$C$8,E60&lt;&gt;"L0"),1,0)</x:f>
        <x:v>0</x:v>
      </x:c>
      <x:c r="L60" s="2" t="str">
        <x:v>posterior_al_dia_14</x:v>
      </x:c>
      <x:c r="M60" s="2" t="str">
        <x:v>simulado_didactico</x:v>
      </x:c>
    </x:row>
    <x:row r="61" ht="19" customHeight="1">
      <x:c r="A61" s="2" t="str">
        <x:v>SIM-E1-BB-L0-R02</x:v>
      </x:c>
      <x:c r="B61" s="2" t="n">
        <x:v>1</x:v>
      </x:c>
      <x:c r="C61" s="2" t="str">
        <x:v>BB</x:v>
      </x:c>
      <x:c r="D61" s="2" t="str">
        <x:v>Brevicoryne brassicae</x:v>
      </x:c>
      <x:c r="E61" s="2" t="str">
        <x:v>L0</x:v>
      </x:c>
      <x:c r="F61" s="2" t="n">
        <x:v>2</x:v>
      </x:c>
      <x:c r="G61" s="2" t="n">
        <x:v>28</x:v>
      </x:c>
      <x:c r="H61" s="2" t="n">
        <x:f>G61-Supuestos!$C$7</x:f>
        <x:v>27</x:v>
      </x:c>
      <x:c r="I61" s="14" t="n">
        <x:f>E1_plantas!J21+G61</x:f>
        <x:v>46111</x:v>
      </x:c>
      <x:c r="J61" s="2" t="n">
        <x:v>220</x:v>
      </x:c>
      <x:c r="K61" s="2" t="n">
        <x:f>IF(AND(G61&gt;Supuestos!$C$8,E61&lt;&gt;"L0"),1,0)</x:f>
        <x:v>0</x:v>
      </x:c>
      <x:c r="L61" s="2" t="str">
        <x:v>posterior_al_dia_14</x:v>
      </x:c>
      <x:c r="M61" s="2" t="str">
        <x:v>simulado_didactico</x:v>
      </x:c>
    </x:row>
    <x:row r="62" ht="19" customHeight="1">
      <x:c r="A62" s="2" t="str">
        <x:v>SIM-E1-BB-L1-R01</x:v>
      </x:c>
      <x:c r="B62" s="2" t="n">
        <x:v>1</x:v>
      </x:c>
      <x:c r="C62" s="2" t="str">
        <x:v>BB</x:v>
      </x:c>
      <x:c r="D62" s="2" t="str">
        <x:v>Brevicoryne brassicae</x:v>
      </x:c>
      <x:c r="E62" s="2" t="str">
        <x:v>L1</x:v>
      </x:c>
      <x:c r="F62" s="2" t="n">
        <x:v>1</x:v>
      </x:c>
      <x:c r="G62" s="2" t="n">
        <x:v>14</x:v>
      </x:c>
      <x:c r="H62" s="2" t="n">
        <x:f>G62-Supuestos!$C$7</x:f>
        <x:v>13</x:v>
      </x:c>
      <x:c r="I62" s="14" t="n">
        <x:f>E1_plantas!J22+G62</x:f>
        <x:v>46097</x:v>
      </x:c>
      <x:c r="J62" s="2" t="n">
        <x:v>24</x:v>
      </x:c>
      <x:c r="K62" s="2" t="n">
        <x:f>IF(AND(G62&gt;Supuestos!$C$8,E62&lt;&gt;"L0"),1,0)</x:f>
        <x:v>0</x:v>
      </x:c>
      <x:c r="L62" s="2" t="str">
        <x:v>antes_de_reinoculacion</x:v>
      </x:c>
      <x:c r="M62" s="2" t="str">
        <x:v>simulado_didactico</x:v>
      </x:c>
    </x:row>
    <x:row r="63" ht="19" customHeight="1">
      <x:c r="A63" s="2" t="str">
        <x:v>SIM-E1-BB-L1-R01</x:v>
      </x:c>
      <x:c r="B63" s="2" t="n">
        <x:v>1</x:v>
      </x:c>
      <x:c r="C63" s="2" t="str">
        <x:v>BB</x:v>
      </x:c>
      <x:c r="D63" s="2" t="str">
        <x:v>Brevicoryne brassicae</x:v>
      </x:c>
      <x:c r="E63" s="2" t="str">
        <x:v>L1</x:v>
      </x:c>
      <x:c r="F63" s="2" t="n">
        <x:v>1</x:v>
      </x:c>
      <x:c r="G63" s="2" t="n">
        <x:v>21</x:v>
      </x:c>
      <x:c r="H63" s="2" t="n">
        <x:f>G63-Supuestos!$C$7</x:f>
        <x:v>20</x:v>
      </x:c>
      <x:c r="I63" s="14" t="n">
        <x:f>E1_plantas!J22+G63</x:f>
        <x:v>46104</x:v>
      </x:c>
      <x:c r="J63" s="2" t="n">
        <x:v>163</x:v>
      </x:c>
      <x:c r="K63" s="2" t="n">
        <x:f>IF(AND(G63&gt;Supuestos!$C$8,E63&lt;&gt;"L0"),1,0)</x:f>
        <x:v>1</x:v>
      </x:c>
      <x:c r="L63" s="2" t="str">
        <x:v>posterior_al_dia_14</x:v>
      </x:c>
      <x:c r="M63" s="2" t="str">
        <x:v>simulado_didactico</x:v>
      </x:c>
    </x:row>
    <x:row r="64" ht="19" customHeight="1">
      <x:c r="A64" s="2" t="str">
        <x:v>SIM-E1-BB-L1-R01</x:v>
      </x:c>
      <x:c r="B64" s="2" t="n">
        <x:v>1</x:v>
      </x:c>
      <x:c r="C64" s="2" t="str">
        <x:v>BB</x:v>
      </x:c>
      <x:c r="D64" s="2" t="str">
        <x:v>Brevicoryne brassicae</x:v>
      </x:c>
      <x:c r="E64" s="2" t="str">
        <x:v>L1</x:v>
      </x:c>
      <x:c r="F64" s="2" t="n">
        <x:v>1</x:v>
      </x:c>
      <x:c r="G64" s="2" t="n">
        <x:v>28</x:v>
      </x:c>
      <x:c r="H64" s="2" t="n">
        <x:f>G64-Supuestos!$C$7</x:f>
        <x:v>27</x:v>
      </x:c>
      <x:c r="I64" s="14" t="n">
        <x:f>E1_plantas!J22+G64</x:f>
        <x:v>46111</x:v>
      </x:c>
      <x:c r="J64" s="2" t="n">
        <x:v>402</x:v>
      </x:c>
      <x:c r="K64" s="2" t="n">
        <x:f>IF(AND(G64&gt;Supuestos!$C$8,E64&lt;&gt;"L0"),1,0)</x:f>
        <x:v>1</x:v>
      </x:c>
      <x:c r="L64" s="2" t="str">
        <x:v>posterior_al_dia_14</x:v>
      </x:c>
      <x:c r="M64" s="2" t="str">
        <x:v>simulado_didactico</x:v>
      </x:c>
    </x:row>
    <x:row r="65" ht="19" customHeight="1">
      <x:c r="A65" s="2" t="str">
        <x:v>SIM-E1-BB-L1-R02</x:v>
      </x:c>
      <x:c r="B65" s="2" t="n">
        <x:v>1</x:v>
      </x:c>
      <x:c r="C65" s="2" t="str">
        <x:v>BB</x:v>
      </x:c>
      <x:c r="D65" s="2" t="str">
        <x:v>Brevicoryne brassicae</x:v>
      </x:c>
      <x:c r="E65" s="2" t="str">
        <x:v>L1</x:v>
      </x:c>
      <x:c r="F65" s="2" t="n">
        <x:v>2</x:v>
      </x:c>
      <x:c r="G65" s="2" t="n">
        <x:v>14</x:v>
      </x:c>
      <x:c r="H65" s="2" t="n">
        <x:f>G65-Supuestos!$C$7</x:f>
        <x:v>13</x:v>
      </x:c>
      <x:c r="I65" s="14" t="n">
        <x:f>E1_plantas!J23+G65</x:f>
        <x:v>46097</x:v>
      </x:c>
      <x:c r="J65" s="2" t="n">
        <x:v>15</x:v>
      </x:c>
      <x:c r="K65" s="2" t="n">
        <x:f>IF(AND(G65&gt;Supuestos!$C$8,E65&lt;&gt;"L0"),1,0)</x:f>
        <x:v>0</x:v>
      </x:c>
      <x:c r="L65" s="2" t="str">
        <x:v>antes_de_reinoculacion</x:v>
      </x:c>
      <x:c r="M65" s="2" t="str">
        <x:v>simulado_didactico</x:v>
      </x:c>
    </x:row>
    <x:row r="66" ht="19" customHeight="1">
      <x:c r="A66" s="2" t="str">
        <x:v>SIM-E1-BB-L1-R02</x:v>
      </x:c>
      <x:c r="B66" s="2" t="n">
        <x:v>1</x:v>
      </x:c>
      <x:c r="C66" s="2" t="str">
        <x:v>BB</x:v>
      </x:c>
      <x:c r="D66" s="2" t="str">
        <x:v>Brevicoryne brassicae</x:v>
      </x:c>
      <x:c r="E66" s="2" t="str">
        <x:v>L1</x:v>
      </x:c>
      <x:c r="F66" s="2" t="n">
        <x:v>2</x:v>
      </x:c>
      <x:c r="G66" s="2" t="n">
        <x:v>21</x:v>
      </x:c>
      <x:c r="H66" s="2" t="n">
        <x:f>G66-Supuestos!$C$7</x:f>
        <x:v>20</x:v>
      </x:c>
      <x:c r="I66" s="14" t="n">
        <x:f>E1_plantas!J23+G66</x:f>
        <x:v>46104</x:v>
      </x:c>
      <x:c r="J66" s="2" t="n">
        <x:v>32</x:v>
      </x:c>
      <x:c r="K66" s="2" t="n">
        <x:f>IF(AND(G66&gt;Supuestos!$C$8,E66&lt;&gt;"L0"),1,0)</x:f>
        <x:v>1</x:v>
      </x:c>
      <x:c r="L66" s="2" t="str">
        <x:v>posterior_al_dia_14</x:v>
      </x:c>
      <x:c r="M66" s="2" t="str">
        <x:v>simulado_didactico</x:v>
      </x:c>
    </x:row>
    <x:row r="67" ht="19" customHeight="1">
      <x:c r="A67" s="2" t="str">
        <x:v>SIM-E1-BB-L1-R02</x:v>
      </x:c>
      <x:c r="B67" s="2" t="n">
        <x:v>1</x:v>
      </x:c>
      <x:c r="C67" s="2" t="str">
        <x:v>BB</x:v>
      </x:c>
      <x:c r="D67" s="2" t="str">
        <x:v>Brevicoryne brassicae</x:v>
      </x:c>
      <x:c r="E67" s="2" t="str">
        <x:v>L1</x:v>
      </x:c>
      <x:c r="F67" s="2" t="n">
        <x:v>2</x:v>
      </x:c>
      <x:c r="G67" s="2" t="n">
        <x:v>28</x:v>
      </x:c>
      <x:c r="H67" s="2" t="n">
        <x:f>G67-Supuestos!$C$7</x:f>
        <x:v>27</x:v>
      </x:c>
      <x:c r="I67" s="14" t="n">
        <x:f>E1_plantas!J23+G67</x:f>
        <x:v>46111</x:v>
      </x:c>
      <x:c r="J67" s="2" t="n">
        <x:v>128</x:v>
      </x:c>
      <x:c r="K67" s="2" t="n">
        <x:f>IF(AND(G67&gt;Supuestos!$C$8,E67&lt;&gt;"L0"),1,0)</x:f>
        <x:v>1</x:v>
      </x:c>
      <x:c r="L67" s="2" t="str">
        <x:v>posterior_al_dia_14</x:v>
      </x:c>
      <x:c r="M67" s="2" t="str">
        <x:v>simulado_didactico</x:v>
      </x:c>
    </x:row>
    <x:row r="68" ht="19" customHeight="1">
      <x:c r="A68" s="2" t="str">
        <x:v>SIM-E1-BB-L2-R01</x:v>
      </x:c>
      <x:c r="B68" s="2" t="n">
        <x:v>1</x:v>
      </x:c>
      <x:c r="C68" s="2" t="str">
        <x:v>BB</x:v>
      </x:c>
      <x:c r="D68" s="2" t="str">
        <x:v>Brevicoryne brassicae</x:v>
      </x:c>
      <x:c r="E68" s="2" t="str">
        <x:v>L2</x:v>
      </x:c>
      <x:c r="F68" s="2" t="n">
        <x:v>1</x:v>
      </x:c>
      <x:c r="G68" s="2" t="n">
        <x:v>14</x:v>
      </x:c>
      <x:c r="H68" s="2" t="n">
        <x:f>G68-Supuestos!$C$7</x:f>
        <x:v>13</x:v>
      </x:c>
      <x:c r="I68" s="14" t="n">
        <x:f>E1_plantas!J24+G68</x:f>
        <x:v>46097</x:v>
      </x:c>
      <x:c r="J68" s="2" t="n">
        <x:v>6</x:v>
      </x:c>
      <x:c r="K68" s="2" t="n">
        <x:f>IF(AND(G68&gt;Supuestos!$C$8,E68&lt;&gt;"L0"),1,0)</x:f>
        <x:v>0</x:v>
      </x:c>
      <x:c r="L68" s="2" t="str">
        <x:v>antes_de_reinoculacion</x:v>
      </x:c>
      <x:c r="M68" s="2" t="str">
        <x:v>simulado_didactico</x:v>
      </x:c>
    </x:row>
    <x:row r="69" ht="19" customHeight="1">
      <x:c r="A69" s="2" t="str">
        <x:v>SIM-E1-BB-L2-R01</x:v>
      </x:c>
      <x:c r="B69" s="2" t="n">
        <x:v>1</x:v>
      </x:c>
      <x:c r="C69" s="2" t="str">
        <x:v>BB</x:v>
      </x:c>
      <x:c r="D69" s="2" t="str">
        <x:v>Brevicoryne brassicae</x:v>
      </x:c>
      <x:c r="E69" s="2" t="str">
        <x:v>L2</x:v>
      </x:c>
      <x:c r="F69" s="2" t="n">
        <x:v>1</x:v>
      </x:c>
      <x:c r="G69" s="2" t="n">
        <x:v>21</x:v>
      </x:c>
      <x:c r="H69" s="2" t="n">
        <x:f>G69-Supuestos!$C$7</x:f>
        <x:v>20</x:v>
      </x:c>
      <x:c r="I69" s="14" t="n">
        <x:f>E1_plantas!J24+G69</x:f>
        <x:v>46104</x:v>
      </x:c>
      <x:c r="J69" s="2" t="n">
        <x:v>38</x:v>
      </x:c>
      <x:c r="K69" s="2" t="n">
        <x:f>IF(AND(G69&gt;Supuestos!$C$8,E69&lt;&gt;"L0"),1,0)</x:f>
        <x:v>1</x:v>
      </x:c>
      <x:c r="L69" s="2" t="str">
        <x:v>posterior_al_dia_14</x:v>
      </x:c>
      <x:c r="M69" s="2" t="str">
        <x:v>simulado_didactico</x:v>
      </x:c>
    </x:row>
    <x:row r="70" ht="19" customHeight="1">
      <x:c r="A70" s="2" t="str">
        <x:v>SIM-E1-BB-L2-R01</x:v>
      </x:c>
      <x:c r="B70" s="2" t="n">
        <x:v>1</x:v>
      </x:c>
      <x:c r="C70" s="2" t="str">
        <x:v>BB</x:v>
      </x:c>
      <x:c r="D70" s="2" t="str">
        <x:v>Brevicoryne brassicae</x:v>
      </x:c>
      <x:c r="E70" s="2" t="str">
        <x:v>L2</x:v>
      </x:c>
      <x:c r="F70" s="2" t="n">
        <x:v>1</x:v>
      </x:c>
      <x:c r="G70" s="2" t="n">
        <x:v>28</x:v>
      </x:c>
      <x:c r="H70" s="2" t="n">
        <x:f>G70-Supuestos!$C$7</x:f>
        <x:v>27</x:v>
      </x:c>
      <x:c r="I70" s="14" t="n">
        <x:f>E1_plantas!J24+G70</x:f>
        <x:v>46111</x:v>
      </x:c>
      <x:c r="J70" s="2" t="n">
        <x:v>152</x:v>
      </x:c>
      <x:c r="K70" s="2" t="n">
        <x:f>IF(AND(G70&gt;Supuestos!$C$8,E70&lt;&gt;"L0"),1,0)</x:f>
        <x:v>1</x:v>
      </x:c>
      <x:c r="L70" s="2" t="str">
        <x:v>posterior_al_dia_14</x:v>
      </x:c>
      <x:c r="M70" s="2" t="str">
        <x:v>simulado_didactico</x:v>
      </x:c>
    </x:row>
    <x:row r="71" ht="19" customHeight="1">
      <x:c r="A71" s="2" t="str">
        <x:v>SIM-E1-BB-L2-R02</x:v>
      </x:c>
      <x:c r="B71" s="2" t="n">
        <x:v>1</x:v>
      </x:c>
      <x:c r="C71" s="2" t="str">
        <x:v>BB</x:v>
      </x:c>
      <x:c r="D71" s="2" t="str">
        <x:v>Brevicoryne brassicae</x:v>
      </x:c>
      <x:c r="E71" s="2" t="str">
        <x:v>L2</x:v>
      </x:c>
      <x:c r="F71" s="2" t="n">
        <x:v>2</x:v>
      </x:c>
      <x:c r="G71" s="2" t="n">
        <x:v>14</x:v>
      </x:c>
      <x:c r="H71" s="2" t="n">
        <x:f>G71-Supuestos!$C$7</x:f>
        <x:v>13</x:v>
      </x:c>
      <x:c r="I71" s="14" t="n">
        <x:f>E1_plantas!J25+G71</x:f>
        <x:v>46097</x:v>
      </x:c>
      <x:c r="J71" s="2" t="n">
        <x:v>17</x:v>
      </x:c>
      <x:c r="K71" s="2" t="n">
        <x:f>IF(AND(G71&gt;Supuestos!$C$8,E71&lt;&gt;"L0"),1,0)</x:f>
        <x:v>0</x:v>
      </x:c>
      <x:c r="L71" s="2" t="str">
        <x:v>antes_de_reinoculacion</x:v>
      </x:c>
      <x:c r="M71" s="2" t="str">
        <x:v>simulado_didactico</x:v>
      </x:c>
    </x:row>
    <x:row r="72" ht="19" customHeight="1">
      <x:c r="A72" s="2" t="str">
        <x:v>SIM-E1-BB-L2-R02</x:v>
      </x:c>
      <x:c r="B72" s="2" t="n">
        <x:v>1</x:v>
      </x:c>
      <x:c r="C72" s="2" t="str">
        <x:v>BB</x:v>
      </x:c>
      <x:c r="D72" s="2" t="str">
        <x:v>Brevicoryne brassicae</x:v>
      </x:c>
      <x:c r="E72" s="2" t="str">
        <x:v>L2</x:v>
      </x:c>
      <x:c r="F72" s="2" t="n">
        <x:v>2</x:v>
      </x:c>
      <x:c r="G72" s="2" t="n">
        <x:v>21</x:v>
      </x:c>
      <x:c r="H72" s="2" t="n">
        <x:f>G72-Supuestos!$C$7</x:f>
        <x:v>20</x:v>
      </x:c>
      <x:c r="I72" s="14" t="n">
        <x:f>E1_plantas!J25+G72</x:f>
        <x:v>46104</x:v>
      </x:c>
      <x:c r="J72" s="2" t="n">
        <x:v>49</x:v>
      </x:c>
      <x:c r="K72" s="2" t="n">
        <x:f>IF(AND(G72&gt;Supuestos!$C$8,E72&lt;&gt;"L0"),1,0)</x:f>
        <x:v>1</x:v>
      </x:c>
      <x:c r="L72" s="2" t="str">
        <x:v>posterior_al_dia_14</x:v>
      </x:c>
      <x:c r="M72" s="2" t="str">
        <x:v>simulado_didactico</x:v>
      </x:c>
    </x:row>
    <x:row r="73" ht="19" customHeight="1">
      <x:c r="A73" s="2" t="str">
        <x:v>SIM-E1-BB-L2-R02</x:v>
      </x:c>
      <x:c r="B73" s="2" t="n">
        <x:v>1</x:v>
      </x:c>
      <x:c r="C73" s="2" t="str">
        <x:v>BB</x:v>
      </x:c>
      <x:c r="D73" s="2" t="str">
        <x:v>Brevicoryne brassicae</x:v>
      </x:c>
      <x:c r="E73" s="2" t="str">
        <x:v>L2</x:v>
      </x:c>
      <x:c r="F73" s="2" t="n">
        <x:v>2</x:v>
      </x:c>
      <x:c r="G73" s="2" t="n">
        <x:v>28</x:v>
      </x:c>
      <x:c r="H73" s="2" t="n">
        <x:f>G73-Supuestos!$C$7</x:f>
        <x:v>27</x:v>
      </x:c>
      <x:c r="I73" s="14" t="n">
        <x:f>E1_plantas!J25+G73</x:f>
        <x:v>46111</x:v>
      </x:c>
      <x:c r="J73" s="2" t="n">
        <x:v>162</x:v>
      </x:c>
      <x:c r="K73" s="2" t="n">
        <x:f>IF(AND(G73&gt;Supuestos!$C$8,E73&lt;&gt;"L0"),1,0)</x:f>
        <x:v>1</x:v>
      </x:c>
      <x:c r="L73" s="2" t="str">
        <x:v>posterior_al_dia_14</x:v>
      </x:c>
      <x:c r="M73" s="2" t="str">
        <x:v>simulado_didactico</x:v>
      </x:c>
    </x:row>
    <x:row r="74" ht="19" customHeight="1">
      <x:c r="A74" s="2" t="str">
        <x:v>SIM-E1-BB-L3-R01</x:v>
      </x:c>
      <x:c r="B74" s="2" t="n">
        <x:v>1</x:v>
      </x:c>
      <x:c r="C74" s="2" t="str">
        <x:v>BB</x:v>
      </x:c>
      <x:c r="D74" s="2" t="str">
        <x:v>Brevicoryne brassicae</x:v>
      </x:c>
      <x:c r="E74" s="2" t="str">
        <x:v>L3</x:v>
      </x:c>
      <x:c r="F74" s="2" t="n">
        <x:v>1</x:v>
      </x:c>
      <x:c r="G74" s="2" t="n">
        <x:v>14</x:v>
      </x:c>
      <x:c r="H74" s="2" t="n">
        <x:f>G74-Supuestos!$C$7</x:f>
        <x:v>13</x:v>
      </x:c>
      <x:c r="I74" s="14" t="n">
        <x:f>E1_plantas!J26+G74</x:f>
        <x:v>46097</x:v>
      </x:c>
      <x:c r="J74" s="2" t="n">
        <x:v>17</x:v>
      </x:c>
      <x:c r="K74" s="2" t="n">
        <x:f>IF(AND(G74&gt;Supuestos!$C$8,E74&lt;&gt;"L0"),1,0)</x:f>
        <x:v>0</x:v>
      </x:c>
      <x:c r="L74" s="2" t="str">
        <x:v>antes_de_reinoculacion</x:v>
      </x:c>
      <x:c r="M74" s="2" t="str">
        <x:v>simulado_didactico</x:v>
      </x:c>
    </x:row>
    <x:row r="75" ht="19" customHeight="1">
      <x:c r="A75" s="2" t="str">
        <x:v>SIM-E1-BB-L3-R01</x:v>
      </x:c>
      <x:c r="B75" s="2" t="n">
        <x:v>1</x:v>
      </x:c>
      <x:c r="C75" s="2" t="str">
        <x:v>BB</x:v>
      </x:c>
      <x:c r="D75" s="2" t="str">
        <x:v>Brevicoryne brassicae</x:v>
      </x:c>
      <x:c r="E75" s="2" t="str">
        <x:v>L3</x:v>
      </x:c>
      <x:c r="F75" s="2" t="n">
        <x:v>1</x:v>
      </x:c>
      <x:c r="G75" s="2" t="n">
        <x:v>21</x:v>
      </x:c>
      <x:c r="H75" s="2" t="n">
        <x:f>G75-Supuestos!$C$7</x:f>
        <x:v>20</x:v>
      </x:c>
      <x:c r="I75" s="14" t="n">
        <x:f>E1_plantas!J26+G75</x:f>
        <x:v>46104</x:v>
      </x:c>
      <x:c r="J75" s="2" t="n">
        <x:v>61</x:v>
      </x:c>
      <x:c r="K75" s="2" t="n">
        <x:f>IF(AND(G75&gt;Supuestos!$C$8,E75&lt;&gt;"L0"),1,0)</x:f>
        <x:v>1</x:v>
      </x:c>
      <x:c r="L75" s="2" t="str">
        <x:v>posterior_al_dia_14</x:v>
      </x:c>
      <x:c r="M75" s="2" t="str">
        <x:v>simulado_didactico</x:v>
      </x:c>
    </x:row>
    <x:row r="76" ht="19" customHeight="1">
      <x:c r="A76" s="2" t="str">
        <x:v>SIM-E1-BB-L3-R01</x:v>
      </x:c>
      <x:c r="B76" s="2" t="n">
        <x:v>1</x:v>
      </x:c>
      <x:c r="C76" s="2" t="str">
        <x:v>BB</x:v>
      </x:c>
      <x:c r="D76" s="2" t="str">
        <x:v>Brevicoryne brassicae</x:v>
      </x:c>
      <x:c r="E76" s="2" t="str">
        <x:v>L3</x:v>
      </x:c>
      <x:c r="F76" s="2" t="n">
        <x:v>1</x:v>
      </x:c>
      <x:c r="G76" s="2" t="n">
        <x:v>28</x:v>
      </x:c>
      <x:c r="H76" s="2" t="n">
        <x:f>G76-Supuestos!$C$7</x:f>
        <x:v>27</x:v>
      </x:c>
      <x:c r="I76" s="14" t="n">
        <x:f>E1_plantas!J26+G76</x:f>
        <x:v>46111</x:v>
      </x:c>
      <x:c r="J76" s="2" t="n">
        <x:v>175</x:v>
      </x:c>
      <x:c r="K76" s="2" t="n">
        <x:f>IF(AND(G76&gt;Supuestos!$C$8,E76&lt;&gt;"L0"),1,0)</x:f>
        <x:v>1</x:v>
      </x:c>
      <x:c r="L76" s="2" t="str">
        <x:v>posterior_al_dia_14</x:v>
      </x:c>
      <x:c r="M76" s="2" t="str">
        <x:v>simulado_didactico</x:v>
      </x:c>
    </x:row>
    <x:row r="77" ht="19" customHeight="1">
      <x:c r="A77" s="2" t="str">
        <x:v>SIM-E1-BB-L3-R02</x:v>
      </x:c>
      <x:c r="B77" s="2" t="n">
        <x:v>1</x:v>
      </x:c>
      <x:c r="C77" s="2" t="str">
        <x:v>BB</x:v>
      </x:c>
      <x:c r="D77" s="2" t="str">
        <x:v>Brevicoryne brassicae</x:v>
      </x:c>
      <x:c r="E77" s="2" t="str">
        <x:v>L3</x:v>
      </x:c>
      <x:c r="F77" s="2" t="n">
        <x:v>2</x:v>
      </x:c>
      <x:c r="G77" s="2" t="n">
        <x:v>14</x:v>
      </x:c>
      <x:c r="H77" s="2" t="n">
        <x:f>G77-Supuestos!$C$7</x:f>
        <x:v>13</x:v>
      </x:c>
      <x:c r="I77" s="14" t="n">
        <x:f>E1_plantas!J27+G77</x:f>
        <x:v>46097</x:v>
      </x:c>
      <x:c r="J77" s="2" t="n">
        <x:v>15</x:v>
      </x:c>
      <x:c r="K77" s="2" t="n">
        <x:f>IF(AND(G77&gt;Supuestos!$C$8,E77&lt;&gt;"L0"),1,0)</x:f>
        <x:v>0</x:v>
      </x:c>
      <x:c r="L77" s="2" t="str">
        <x:v>antes_de_reinoculacion</x:v>
      </x:c>
      <x:c r="M77" s="2" t="str">
        <x:v>simulado_didactico</x:v>
      </x:c>
    </x:row>
    <x:row r="78" ht="19" customHeight="1">
      <x:c r="A78" s="2" t="str">
        <x:v>SIM-E1-BB-L3-R02</x:v>
      </x:c>
      <x:c r="B78" s="2" t="n">
        <x:v>1</x:v>
      </x:c>
      <x:c r="C78" s="2" t="str">
        <x:v>BB</x:v>
      </x:c>
      <x:c r="D78" s="2" t="str">
        <x:v>Brevicoryne brassicae</x:v>
      </x:c>
      <x:c r="E78" s="2" t="str">
        <x:v>L3</x:v>
      </x:c>
      <x:c r="F78" s="2" t="n">
        <x:v>2</x:v>
      </x:c>
      <x:c r="G78" s="2" t="n">
        <x:v>21</x:v>
      </x:c>
      <x:c r="H78" s="2" t="n">
        <x:f>G78-Supuestos!$C$7</x:f>
        <x:v>20</x:v>
      </x:c>
      <x:c r="I78" s="14" t="n">
        <x:f>E1_plantas!J27+G78</x:f>
        <x:v>46104</x:v>
      </x:c>
      <x:c r="J78" s="2" t="n">
        <x:v>82</x:v>
      </x:c>
      <x:c r="K78" s="2" t="n">
        <x:f>IF(AND(G78&gt;Supuestos!$C$8,E78&lt;&gt;"L0"),1,0)</x:f>
        <x:v>1</x:v>
      </x:c>
      <x:c r="L78" s="2" t="str">
        <x:v>posterior_al_dia_14</x:v>
      </x:c>
      <x:c r="M78" s="2" t="str">
        <x:v>simulado_didactico</x:v>
      </x:c>
    </x:row>
    <x:row r="79" ht="19" customHeight="1">
      <x:c r="A79" s="2" t="str">
        <x:v>SIM-E1-BB-L3-R02</x:v>
      </x:c>
      <x:c r="B79" s="2" t="n">
        <x:v>1</x:v>
      </x:c>
      <x:c r="C79" s="2" t="str">
        <x:v>BB</x:v>
      </x:c>
      <x:c r="D79" s="2" t="str">
        <x:v>Brevicoryne brassicae</x:v>
      </x:c>
      <x:c r="E79" s="2" t="str">
        <x:v>L3</x:v>
      </x:c>
      <x:c r="F79" s="2" t="n">
        <x:v>2</x:v>
      </x:c>
      <x:c r="G79" s="2" t="n">
        <x:v>28</x:v>
      </x:c>
      <x:c r="H79" s="2" t="n">
        <x:f>G79-Supuestos!$C$7</x:f>
        <x:v>27</x:v>
      </x:c>
      <x:c r="I79" s="14" t="n">
        <x:f>E1_plantas!J27+G79</x:f>
        <x:v>46111</x:v>
      </x:c>
      <x:c r="J79" s="2" t="n">
        <x:v>264</x:v>
      </x:c>
      <x:c r="K79" s="2" t="n">
        <x:f>IF(AND(G79&gt;Supuestos!$C$8,E79&lt;&gt;"L0"),1,0)</x:f>
        <x:v>1</x:v>
      </x:c>
      <x:c r="L79" s="2" t="str">
        <x:v>posterior_al_dia_14</x:v>
      </x:c>
      <x:c r="M79" s="2" t="str">
        <x:v>simulado_didactico</x:v>
      </x:c>
    </x:row>
    <x:row r="80" ht="19" customHeight="1">
      <x:c r="A80" s="2" t="str">
        <x:v>SIM-E1-BB-L5-R01</x:v>
      </x:c>
      <x:c r="B80" s="2" t="n">
        <x:v>1</x:v>
      </x:c>
      <x:c r="C80" s="2" t="str">
        <x:v>BB</x:v>
      </x:c>
      <x:c r="D80" s="2" t="str">
        <x:v>Brevicoryne brassicae</x:v>
      </x:c>
      <x:c r="E80" s="2" t="str">
        <x:v>L5</x:v>
      </x:c>
      <x:c r="F80" s="2" t="n">
        <x:v>1</x:v>
      </x:c>
      <x:c r="G80" s="2" t="n">
        <x:v>14</x:v>
      </x:c>
      <x:c r="H80" s="2" t="n">
        <x:f>G80-Supuestos!$C$7</x:f>
        <x:v>13</x:v>
      </x:c>
      <x:c r="I80" s="14" t="n">
        <x:f>E1_plantas!J28+G80</x:f>
        <x:v>46097</x:v>
      </x:c>
      <x:c r="J80" s="2" t="n">
        <x:v>11</x:v>
      </x:c>
      <x:c r="K80" s="2" t="n">
        <x:f>IF(AND(G80&gt;Supuestos!$C$8,E80&lt;&gt;"L0"),1,0)</x:f>
        <x:v>0</x:v>
      </x:c>
      <x:c r="L80" s="2" t="str">
        <x:v>antes_de_reinoculacion</x:v>
      </x:c>
      <x:c r="M80" s="2" t="str">
        <x:v>simulado_didactico</x:v>
      </x:c>
    </x:row>
    <x:row r="81" ht="19" customHeight="1">
      <x:c r="A81" s="2" t="str">
        <x:v>SIM-E1-BB-L5-R01</x:v>
      </x:c>
      <x:c r="B81" s="2" t="n">
        <x:v>1</x:v>
      </x:c>
      <x:c r="C81" s="2" t="str">
        <x:v>BB</x:v>
      </x:c>
      <x:c r="D81" s="2" t="str">
        <x:v>Brevicoryne brassicae</x:v>
      </x:c>
      <x:c r="E81" s="2" t="str">
        <x:v>L5</x:v>
      </x:c>
      <x:c r="F81" s="2" t="n">
        <x:v>1</x:v>
      </x:c>
      <x:c r="G81" s="2" t="n">
        <x:v>21</x:v>
      </x:c>
      <x:c r="H81" s="2" t="n">
        <x:f>G81-Supuestos!$C$7</x:f>
        <x:v>20</x:v>
      </x:c>
      <x:c r="I81" s="14" t="n">
        <x:f>E1_plantas!J28+G81</x:f>
        <x:v>46104</x:v>
      </x:c>
      <x:c r="J81" s="2" t="n">
        <x:v>67</x:v>
      </x:c>
      <x:c r="K81" s="2" t="n">
        <x:f>IF(AND(G81&gt;Supuestos!$C$8,E81&lt;&gt;"L0"),1,0)</x:f>
        <x:v>1</x:v>
      </x:c>
      <x:c r="L81" s="2" t="str">
        <x:v>posterior_al_dia_14</x:v>
      </x:c>
      <x:c r="M81" s="2" t="str">
        <x:v>simulado_didactico</x:v>
      </x:c>
    </x:row>
    <x:row r="82" ht="19" customHeight="1">
      <x:c r="A82" s="2" t="str">
        <x:v>SIM-E1-BB-L5-R01</x:v>
      </x:c>
      <x:c r="B82" s="2" t="n">
        <x:v>1</x:v>
      </x:c>
      <x:c r="C82" s="2" t="str">
        <x:v>BB</x:v>
      </x:c>
      <x:c r="D82" s="2" t="str">
        <x:v>Brevicoryne brassicae</x:v>
      </x:c>
      <x:c r="E82" s="2" t="str">
        <x:v>L5</x:v>
      </x:c>
      <x:c r="F82" s="2" t="n">
        <x:v>1</x:v>
      </x:c>
      <x:c r="G82" s="2" t="n">
        <x:v>28</x:v>
      </x:c>
      <x:c r="H82" s="2" t="n">
        <x:f>G82-Supuestos!$C$7</x:f>
        <x:v>27</x:v>
      </x:c>
      <x:c r="I82" s="14" t="n">
        <x:f>E1_plantas!J28+G82</x:f>
        <x:v>46111</x:v>
      </x:c>
      <x:c r="J82" s="2" t="n">
        <x:v>136</x:v>
      </x:c>
      <x:c r="K82" s="2" t="n">
        <x:f>IF(AND(G82&gt;Supuestos!$C$8,E82&lt;&gt;"L0"),1,0)</x:f>
        <x:v>1</x:v>
      </x:c>
      <x:c r="L82" s="2" t="str">
        <x:v>posterior_al_dia_14</x:v>
      </x:c>
      <x:c r="M82" s="2" t="str">
        <x:v>simulado_didactico</x:v>
      </x:c>
    </x:row>
    <x:row r="83" ht="19" customHeight="1">
      <x:c r="A83" s="2" t="str">
        <x:v>SIM-E1-BB-L5-R02</x:v>
      </x:c>
      <x:c r="B83" s="2" t="n">
        <x:v>1</x:v>
      </x:c>
      <x:c r="C83" s="2" t="str">
        <x:v>BB</x:v>
      </x:c>
      <x:c r="D83" s="2" t="str">
        <x:v>Brevicoryne brassicae</x:v>
      </x:c>
      <x:c r="E83" s="2" t="str">
        <x:v>L5</x:v>
      </x:c>
      <x:c r="F83" s="2" t="n">
        <x:v>2</x:v>
      </x:c>
      <x:c r="G83" s="2" t="n">
        <x:v>14</x:v>
      </x:c>
      <x:c r="H83" s="2" t="n">
        <x:f>G83-Supuestos!$C$7</x:f>
        <x:v>13</x:v>
      </x:c>
      <x:c r="I83" s="14" t="n">
        <x:f>E1_plantas!J29+G83</x:f>
        <x:v>46097</x:v>
      </x:c>
      <x:c r="J83" s="2" t="n">
        <x:v>9</x:v>
      </x:c>
      <x:c r="K83" s="2" t="n">
        <x:f>IF(AND(G83&gt;Supuestos!$C$8,E83&lt;&gt;"L0"),1,0)</x:f>
        <x:v>0</x:v>
      </x:c>
      <x:c r="L83" s="2" t="str">
        <x:v>antes_de_reinoculacion</x:v>
      </x:c>
      <x:c r="M83" s="2" t="str">
        <x:v>simulado_didactico</x:v>
      </x:c>
    </x:row>
    <x:row r="84" ht="19" customHeight="1">
      <x:c r="A84" s="2" t="str">
        <x:v>SIM-E1-BB-L5-R02</x:v>
      </x:c>
      <x:c r="B84" s="2" t="n">
        <x:v>1</x:v>
      </x:c>
      <x:c r="C84" s="2" t="str">
        <x:v>BB</x:v>
      </x:c>
      <x:c r="D84" s="2" t="str">
        <x:v>Brevicoryne brassicae</x:v>
      </x:c>
      <x:c r="E84" s="2" t="str">
        <x:v>L5</x:v>
      </x:c>
      <x:c r="F84" s="2" t="n">
        <x:v>2</x:v>
      </x:c>
      <x:c r="G84" s="2" t="n">
        <x:v>21</x:v>
      </x:c>
      <x:c r="H84" s="2" t="n">
        <x:f>G84-Supuestos!$C$7</x:f>
        <x:v>20</x:v>
      </x:c>
      <x:c r="I84" s="14" t="n">
        <x:f>E1_plantas!J29+G84</x:f>
        <x:v>46104</x:v>
      </x:c>
      <x:c r="J84" s="2" t="n">
        <x:v>80</x:v>
      </x:c>
      <x:c r="K84" s="2" t="n">
        <x:f>IF(AND(G84&gt;Supuestos!$C$8,E84&lt;&gt;"L0"),1,0)</x:f>
        <x:v>1</x:v>
      </x:c>
      <x:c r="L84" s="2" t="str">
        <x:v>posterior_al_dia_14</x:v>
      </x:c>
      <x:c r="M84" s="2" t="str">
        <x:v>simulado_didactico</x:v>
      </x:c>
    </x:row>
    <x:row r="85" ht="19" customHeight="1">
      <x:c r="A85" s="2" t="str">
        <x:v>SIM-E1-BB-L5-R02</x:v>
      </x:c>
      <x:c r="B85" s="2" t="n">
        <x:v>1</x:v>
      </x:c>
      <x:c r="C85" s="2" t="str">
        <x:v>BB</x:v>
      </x:c>
      <x:c r="D85" s="2" t="str">
        <x:v>Brevicoryne brassicae</x:v>
      </x:c>
      <x:c r="E85" s="2" t="str">
        <x:v>L5</x:v>
      </x:c>
      <x:c r="F85" s="2" t="n">
        <x:v>2</x:v>
      </x:c>
      <x:c r="G85" s="2" t="n">
        <x:v>28</x:v>
      </x:c>
      <x:c r="H85" s="2" t="n">
        <x:f>G85-Supuestos!$C$7</x:f>
        <x:v>27</x:v>
      </x:c>
      <x:c r="I85" s="14" t="n">
        <x:f>E1_plantas!J29+G85</x:f>
        <x:v>46111</x:v>
      </x:c>
      <x:c r="J85" s="2" t="n">
        <x:v>184</x:v>
      </x:c>
      <x:c r="K85" s="2" t="n">
        <x:f>IF(AND(G85&gt;Supuestos!$C$8,E85&lt;&gt;"L0"),1,0)</x:f>
        <x:v>1</x:v>
      </x:c>
      <x:c r="L85" s="2" t="str">
        <x:v>posterior_al_dia_14</x:v>
      </x:c>
      <x:c r="M85" s="2" t="str">
        <x:v>simulado_didactico</x:v>
      </x:c>
    </x:row>
    <x:row r="86" ht="19" customHeight="1">
      <x:c r="A86" s="2" t="str">
        <x:v>SIM-E1-BB-L6-R01</x:v>
      </x:c>
      <x:c r="B86" s="2" t="n">
        <x:v>1</x:v>
      </x:c>
      <x:c r="C86" s="2" t="str">
        <x:v>BB</x:v>
      </x:c>
      <x:c r="D86" s="2" t="str">
        <x:v>Brevicoryne brassicae</x:v>
      </x:c>
      <x:c r="E86" s="2" t="str">
        <x:v>L6</x:v>
      </x:c>
      <x:c r="F86" s="2" t="n">
        <x:v>1</x:v>
      </x:c>
      <x:c r="G86" s="2" t="n">
        <x:v>14</x:v>
      </x:c>
      <x:c r="H86" s="2" t="n">
        <x:f>G86-Supuestos!$C$7</x:f>
        <x:v>13</x:v>
      </x:c>
      <x:c r="I86" s="14" t="n">
        <x:f>E1_plantas!J30+G86</x:f>
        <x:v>46097</x:v>
      </x:c>
      <x:c r="J86" s="2" t="n">
        <x:v>29</x:v>
      </x:c>
      <x:c r="K86" s="2" t="n">
        <x:f>IF(AND(G86&gt;Supuestos!$C$8,E86&lt;&gt;"L0"),1,0)</x:f>
        <x:v>0</x:v>
      </x:c>
      <x:c r="L86" s="2" t="str">
        <x:v>antes_de_reinoculacion</x:v>
      </x:c>
      <x:c r="M86" s="2" t="str">
        <x:v>simulado_didactico</x:v>
      </x:c>
    </x:row>
    <x:row r="87" ht="19" customHeight="1">
      <x:c r="A87" s="2" t="str">
        <x:v>SIM-E1-BB-L6-R01</x:v>
      </x:c>
      <x:c r="B87" s="2" t="n">
        <x:v>1</x:v>
      </x:c>
      <x:c r="C87" s="2" t="str">
        <x:v>BB</x:v>
      </x:c>
      <x:c r="D87" s="2" t="str">
        <x:v>Brevicoryne brassicae</x:v>
      </x:c>
      <x:c r="E87" s="2" t="str">
        <x:v>L6</x:v>
      </x:c>
      <x:c r="F87" s="2" t="n">
        <x:v>1</x:v>
      </x:c>
      <x:c r="G87" s="2" t="n">
        <x:v>21</x:v>
      </x:c>
      <x:c r="H87" s="2" t="n">
        <x:f>G87-Supuestos!$C$7</x:f>
        <x:v>20</x:v>
      </x:c>
      <x:c r="I87" s="14" t="n">
        <x:f>E1_plantas!J30+G87</x:f>
        <x:v>46104</x:v>
      </x:c>
      <x:c r="J87" s="2" t="n">
        <x:v>145</x:v>
      </x:c>
      <x:c r="K87" s="2" t="n">
        <x:f>IF(AND(G87&gt;Supuestos!$C$8,E87&lt;&gt;"L0"),1,0)</x:f>
        <x:v>1</x:v>
      </x:c>
      <x:c r="L87" s="2" t="str">
        <x:v>posterior_al_dia_14</x:v>
      </x:c>
      <x:c r="M87" s="2" t="str">
        <x:v>simulado_didactico</x:v>
      </x:c>
    </x:row>
    <x:row r="88" ht="19" customHeight="1">
      <x:c r="A88" s="2" t="str">
        <x:v>SIM-E1-BB-L6-R01</x:v>
      </x:c>
      <x:c r="B88" s="2" t="n">
        <x:v>1</x:v>
      </x:c>
      <x:c r="C88" s="2" t="str">
        <x:v>BB</x:v>
      </x:c>
      <x:c r="D88" s="2" t="str">
        <x:v>Brevicoryne brassicae</x:v>
      </x:c>
      <x:c r="E88" s="2" t="str">
        <x:v>L6</x:v>
      </x:c>
      <x:c r="F88" s="2" t="n">
        <x:v>1</x:v>
      </x:c>
      <x:c r="G88" s="2" t="n">
        <x:v>28</x:v>
      </x:c>
      <x:c r="H88" s="2" t="n">
        <x:f>G88-Supuestos!$C$7</x:f>
        <x:v>27</x:v>
      </x:c>
      <x:c r="I88" s="14" t="n">
        <x:f>E1_plantas!J30+G88</x:f>
        <x:v>46111</x:v>
      </x:c>
      <x:c r="J88" s="2" t="n">
        <x:v>705</x:v>
      </x:c>
      <x:c r="K88" s="2" t="n">
        <x:f>IF(AND(G88&gt;Supuestos!$C$8,E88&lt;&gt;"L0"),1,0)</x:f>
        <x:v>1</x:v>
      </x:c>
      <x:c r="L88" s="2" t="str">
        <x:v>posterior_al_dia_14</x:v>
      </x:c>
      <x:c r="M88" s="2" t="str">
        <x:v>simulado_didactico</x:v>
      </x:c>
    </x:row>
    <x:row r="89" ht="19" customHeight="1">
      <x:c r="A89" s="2" t="str">
        <x:v>SIM-E1-BB-L6-R02</x:v>
      </x:c>
      <x:c r="B89" s="2" t="n">
        <x:v>1</x:v>
      </x:c>
      <x:c r="C89" s="2" t="str">
        <x:v>BB</x:v>
      </x:c>
      <x:c r="D89" s="2" t="str">
        <x:v>Brevicoryne brassicae</x:v>
      </x:c>
      <x:c r="E89" s="2" t="str">
        <x:v>L6</x:v>
      </x:c>
      <x:c r="F89" s="2" t="n">
        <x:v>2</x:v>
      </x:c>
      <x:c r="G89" s="2" t="n">
        <x:v>14</x:v>
      </x:c>
      <x:c r="H89" s="2" t="n">
        <x:f>G89-Supuestos!$C$7</x:f>
        <x:v>13</x:v>
      </x:c>
      <x:c r="I89" s="14" t="n">
        <x:f>E1_plantas!J31+G89</x:f>
        <x:v>46097</x:v>
      </x:c>
      <x:c r="J89" s="2" t="n">
        <x:v>21</x:v>
      </x:c>
      <x:c r="K89" s="2" t="n">
        <x:f>IF(AND(G89&gt;Supuestos!$C$8,E89&lt;&gt;"L0"),1,0)</x:f>
        <x:v>0</x:v>
      </x:c>
      <x:c r="L89" s="2" t="str">
        <x:v>antes_de_reinoculacion</x:v>
      </x:c>
      <x:c r="M89" s="2" t="str">
        <x:v>simulado_didactico</x:v>
      </x:c>
    </x:row>
    <x:row r="90" ht="19" customHeight="1">
      <x:c r="A90" s="2" t="str">
        <x:v>SIM-E1-BB-L6-R02</x:v>
      </x:c>
      <x:c r="B90" s="2" t="n">
        <x:v>1</x:v>
      </x:c>
      <x:c r="C90" s="2" t="str">
        <x:v>BB</x:v>
      </x:c>
      <x:c r="D90" s="2" t="str">
        <x:v>Brevicoryne brassicae</x:v>
      </x:c>
      <x:c r="E90" s="2" t="str">
        <x:v>L6</x:v>
      </x:c>
      <x:c r="F90" s="2" t="n">
        <x:v>2</x:v>
      </x:c>
      <x:c r="G90" s="2" t="n">
        <x:v>21</x:v>
      </x:c>
      <x:c r="H90" s="2" t="n">
        <x:f>G90-Supuestos!$C$7</x:f>
        <x:v>20</x:v>
      </x:c>
      <x:c r="I90" s="14" t="n">
        <x:f>E1_plantas!J31+G90</x:f>
        <x:v>46104</x:v>
      </x:c>
      <x:c r="J90" s="2" t="n">
        <x:v>80</x:v>
      </x:c>
      <x:c r="K90" s="2" t="n">
        <x:f>IF(AND(G90&gt;Supuestos!$C$8,E90&lt;&gt;"L0"),1,0)</x:f>
        <x:v>1</x:v>
      </x:c>
      <x:c r="L90" s="2" t="str">
        <x:v>posterior_al_dia_14</x:v>
      </x:c>
      <x:c r="M90" s="2" t="str">
        <x:v>simulado_didactico</x:v>
      </x:c>
    </x:row>
    <x:row r="91" ht="19" customHeight="1">
      <x:c r="A91" s="2" t="str">
        <x:v>SIM-E1-BB-L6-R02</x:v>
      </x:c>
      <x:c r="B91" s="2" t="n">
        <x:v>1</x:v>
      </x:c>
      <x:c r="C91" s="2" t="str">
        <x:v>BB</x:v>
      </x:c>
      <x:c r="D91" s="2" t="str">
        <x:v>Brevicoryne brassicae</x:v>
      </x:c>
      <x:c r="E91" s="2" t="str">
        <x:v>L6</x:v>
      </x:c>
      <x:c r="F91" s="2" t="n">
        <x:v>2</x:v>
      </x:c>
      <x:c r="G91" s="2" t="n">
        <x:v>28</x:v>
      </x:c>
      <x:c r="H91" s="2" t="n">
        <x:f>G91-Supuestos!$C$7</x:f>
        <x:v>27</x:v>
      </x:c>
      <x:c r="I91" s="14" t="n">
        <x:f>E1_plantas!J31+G91</x:f>
        <x:v>46111</x:v>
      </x:c>
      <x:c r="J91" s="2" t="n">
        <x:v>166</x:v>
      </x:c>
      <x:c r="K91" s="2" t="n">
        <x:f>IF(AND(G91&gt;Supuestos!$C$8,E91&lt;&gt;"L0"),1,0)</x:f>
        <x:v>1</x:v>
      </x:c>
      <x:c r="L91" s="2" t="str">
        <x:v>posterior_al_dia_14</x:v>
      </x:c>
      <x:c r="M91" s="2" t="str">
        <x:v>simulado_didactico</x:v>
      </x:c>
    </x:row>
    <x:row r="92" ht="19" customHeight="1">
      <x:c r="A92" s="2" t="str">
        <x:v>SIM-E1-BB-L7-R01</x:v>
      </x:c>
      <x:c r="B92" s="2" t="n">
        <x:v>1</x:v>
      </x:c>
      <x:c r="C92" s="2" t="str">
        <x:v>BB</x:v>
      </x:c>
      <x:c r="D92" s="2" t="str">
        <x:v>Brevicoryne brassicae</x:v>
      </x:c>
      <x:c r="E92" s="2" t="str">
        <x:v>L7</x:v>
      </x:c>
      <x:c r="F92" s="2" t="n">
        <x:v>1</x:v>
      </x:c>
      <x:c r="G92" s="2" t="n">
        <x:v>14</x:v>
      </x:c>
      <x:c r="H92" s="2" t="n">
        <x:f>G92-Supuestos!$C$7</x:f>
        <x:v>13</x:v>
      </x:c>
      <x:c r="I92" s="14" t="n">
        <x:f>E1_plantas!J32+G92</x:f>
        <x:v>46097</x:v>
      </x:c>
      <x:c r="J92" s="2" t="n">
        <x:v>10</x:v>
      </x:c>
      <x:c r="K92" s="2" t="n">
        <x:f>IF(AND(G92&gt;Supuestos!$C$8,E92&lt;&gt;"L0"),1,0)</x:f>
        <x:v>0</x:v>
      </x:c>
      <x:c r="L92" s="2" t="str">
        <x:v>antes_de_reinoculacion</x:v>
      </x:c>
      <x:c r="M92" s="2" t="str">
        <x:v>simulado_didactico</x:v>
      </x:c>
    </x:row>
    <x:row r="93" ht="19" customHeight="1">
      <x:c r="A93" s="2" t="str">
        <x:v>SIM-E1-BB-L7-R01</x:v>
      </x:c>
      <x:c r="B93" s="2" t="n">
        <x:v>1</x:v>
      </x:c>
      <x:c r="C93" s="2" t="str">
        <x:v>BB</x:v>
      </x:c>
      <x:c r="D93" s="2" t="str">
        <x:v>Brevicoryne brassicae</x:v>
      </x:c>
      <x:c r="E93" s="2" t="str">
        <x:v>L7</x:v>
      </x:c>
      <x:c r="F93" s="2" t="n">
        <x:v>1</x:v>
      </x:c>
      <x:c r="G93" s="2" t="n">
        <x:v>21</x:v>
      </x:c>
      <x:c r="H93" s="2" t="n">
        <x:f>G93-Supuestos!$C$7</x:f>
        <x:v>20</x:v>
      </x:c>
      <x:c r="I93" s="14" t="n">
        <x:f>E1_plantas!J32+G93</x:f>
        <x:v>46104</x:v>
      </x:c>
      <x:c r="J93" s="2" t="n">
        <x:v>72</x:v>
      </x:c>
      <x:c r="K93" s="2" t="n">
        <x:f>IF(AND(G93&gt;Supuestos!$C$8,E93&lt;&gt;"L0"),1,0)</x:f>
        <x:v>1</x:v>
      </x:c>
      <x:c r="L93" s="2" t="str">
        <x:v>posterior_al_dia_14</x:v>
      </x:c>
      <x:c r="M93" s="2" t="str">
        <x:v>simulado_didactico</x:v>
      </x:c>
    </x:row>
    <x:row r="94" ht="19" customHeight="1">
      <x:c r="A94" s="2" t="str">
        <x:v>SIM-E1-BB-L7-R01</x:v>
      </x:c>
      <x:c r="B94" s="2" t="n">
        <x:v>1</x:v>
      </x:c>
      <x:c r="C94" s="2" t="str">
        <x:v>BB</x:v>
      </x:c>
      <x:c r="D94" s="2" t="str">
        <x:v>Brevicoryne brassicae</x:v>
      </x:c>
      <x:c r="E94" s="2" t="str">
        <x:v>L7</x:v>
      </x:c>
      <x:c r="F94" s="2" t="n">
        <x:v>1</x:v>
      </x:c>
      <x:c r="G94" s="2" t="n">
        <x:v>28</x:v>
      </x:c>
      <x:c r="H94" s="2" t="n">
        <x:f>G94-Supuestos!$C$7</x:f>
        <x:v>27</x:v>
      </x:c>
      <x:c r="I94" s="14" t="n">
        <x:f>E1_plantas!J32+G94</x:f>
        <x:v>46111</x:v>
      </x:c>
      <x:c r="J94" s="2" t="n">
        <x:v>162</x:v>
      </x:c>
      <x:c r="K94" s="2" t="n">
        <x:f>IF(AND(G94&gt;Supuestos!$C$8,E94&lt;&gt;"L0"),1,0)</x:f>
        <x:v>1</x:v>
      </x:c>
      <x:c r="L94" s="2" t="str">
        <x:v>posterior_al_dia_14</x:v>
      </x:c>
      <x:c r="M94" s="2" t="str">
        <x:v>simulado_didactico</x:v>
      </x:c>
    </x:row>
    <x:row r="95" ht="19" customHeight="1">
      <x:c r="A95" s="2" t="str">
        <x:v>SIM-E1-BB-L7-R02</x:v>
      </x:c>
      <x:c r="B95" s="2" t="n">
        <x:v>1</x:v>
      </x:c>
      <x:c r="C95" s="2" t="str">
        <x:v>BB</x:v>
      </x:c>
      <x:c r="D95" s="2" t="str">
        <x:v>Brevicoryne brassicae</x:v>
      </x:c>
      <x:c r="E95" s="2" t="str">
        <x:v>L7</x:v>
      </x:c>
      <x:c r="F95" s="2" t="n">
        <x:v>2</x:v>
      </x:c>
      <x:c r="G95" s="2" t="n">
        <x:v>14</x:v>
      </x:c>
      <x:c r="H95" s="2" t="n">
        <x:f>G95-Supuestos!$C$7</x:f>
        <x:v>13</x:v>
      </x:c>
      <x:c r="I95" s="14" t="n">
        <x:f>E1_plantas!J33+G95</x:f>
        <x:v>46097</x:v>
      </x:c>
      <x:c r="J95" s="2" t="n">
        <x:v>26</x:v>
      </x:c>
      <x:c r="K95" s="2" t="n">
        <x:f>IF(AND(G95&gt;Supuestos!$C$8,E95&lt;&gt;"L0"),1,0)</x:f>
        <x:v>0</x:v>
      </x:c>
      <x:c r="L95" s="2" t="str">
        <x:v>antes_de_reinoculacion</x:v>
      </x:c>
      <x:c r="M95" s="2" t="str">
        <x:v>simulado_didactico</x:v>
      </x:c>
    </x:row>
    <x:row r="96" ht="19" customHeight="1">
      <x:c r="A96" s="2" t="str">
        <x:v>SIM-E1-BB-L7-R02</x:v>
      </x:c>
      <x:c r="B96" s="2" t="n">
        <x:v>1</x:v>
      </x:c>
      <x:c r="C96" s="2" t="str">
        <x:v>BB</x:v>
      </x:c>
      <x:c r="D96" s="2" t="str">
        <x:v>Brevicoryne brassicae</x:v>
      </x:c>
      <x:c r="E96" s="2" t="str">
        <x:v>L7</x:v>
      </x:c>
      <x:c r="F96" s="2" t="n">
        <x:v>2</x:v>
      </x:c>
      <x:c r="G96" s="2" t="n">
        <x:v>21</x:v>
      </x:c>
      <x:c r="H96" s="2" t="n">
        <x:f>G96-Supuestos!$C$7</x:f>
        <x:v>20</x:v>
      </x:c>
      <x:c r="I96" s="14" t="n">
        <x:f>E1_plantas!J33+G96</x:f>
        <x:v>46104</x:v>
      </x:c>
      <x:c r="J96" s="2" t="n">
        <x:v>96</x:v>
      </x:c>
      <x:c r="K96" s="2" t="n">
        <x:f>IF(AND(G96&gt;Supuestos!$C$8,E96&lt;&gt;"L0"),1,0)</x:f>
        <x:v>1</x:v>
      </x:c>
      <x:c r="L96" s="2" t="str">
        <x:v>posterior_al_dia_14</x:v>
      </x:c>
      <x:c r="M96" s="2" t="str">
        <x:v>simulado_didactico</x:v>
      </x:c>
    </x:row>
    <x:row r="97" ht="19" customHeight="1">
      <x:c r="A97" s="2" t="str">
        <x:v>SIM-E1-BB-L7-R02</x:v>
      </x:c>
      <x:c r="B97" s="2" t="n">
        <x:v>1</x:v>
      </x:c>
      <x:c r="C97" s="2" t="str">
        <x:v>BB</x:v>
      </x:c>
      <x:c r="D97" s="2" t="str">
        <x:v>Brevicoryne brassicae</x:v>
      </x:c>
      <x:c r="E97" s="2" t="str">
        <x:v>L7</x:v>
      </x:c>
      <x:c r="F97" s="2" t="n">
        <x:v>2</x:v>
      </x:c>
      <x:c r="G97" s="2" t="n">
        <x:v>28</x:v>
      </x:c>
      <x:c r="H97" s="2" t="n">
        <x:f>G97-Supuestos!$C$7</x:f>
        <x:v>27</x:v>
      </x:c>
      <x:c r="I97" s="14" t="n">
        <x:f>E1_plantas!J33+G97</x:f>
        <x:v>46111</x:v>
      </x:c>
      <x:c r="J97" s="2" t="n">
        <x:v>204</x:v>
      </x:c>
      <x:c r="K97" s="2" t="n">
        <x:f>IF(AND(G97&gt;Supuestos!$C$8,E97&lt;&gt;"L0"),1,0)</x:f>
        <x:v>1</x:v>
      </x:c>
      <x:c r="L97" s="2" t="str">
        <x:v>posterior_al_dia_14</x:v>
      </x:c>
      <x:c r="M97" s="2" t="str">
        <x:v>simulado_didactico</x:v>
      </x:c>
    </x:row>
    <x:row r="98" ht="19" customHeight="1">
      <x:c r="A98" s="2" t="str">
        <x:v>SIM-E1-BB-L8-R01</x:v>
      </x:c>
      <x:c r="B98" s="2" t="n">
        <x:v>1</x:v>
      </x:c>
      <x:c r="C98" s="2" t="str">
        <x:v>BB</x:v>
      </x:c>
      <x:c r="D98" s="2" t="str">
        <x:v>Brevicoryne brassicae</x:v>
      </x:c>
      <x:c r="E98" s="2" t="str">
        <x:v>L8</x:v>
      </x:c>
      <x:c r="F98" s="2" t="n">
        <x:v>1</x:v>
      </x:c>
      <x:c r="G98" s="2" t="n">
        <x:v>14</x:v>
      </x:c>
      <x:c r="H98" s="2" t="n">
        <x:f>G98-Supuestos!$C$7</x:f>
        <x:v>13</x:v>
      </x:c>
      <x:c r="I98" s="14" t="n">
        <x:f>E1_plantas!J34+G98</x:f>
        <x:v>46097</x:v>
      </x:c>
      <x:c r="J98" s="2" t="n">
        <x:v>10</x:v>
      </x:c>
      <x:c r="K98" s="2" t="n">
        <x:f>IF(AND(G98&gt;Supuestos!$C$8,E98&lt;&gt;"L0"),1,0)</x:f>
        <x:v>0</x:v>
      </x:c>
      <x:c r="L98" s="2" t="str">
        <x:v>antes_de_reinoculacion</x:v>
      </x:c>
      <x:c r="M98" s="2" t="str">
        <x:v>simulado_didactico</x:v>
      </x:c>
    </x:row>
    <x:row r="99" ht="19" customHeight="1">
      <x:c r="A99" s="2" t="str">
        <x:v>SIM-E1-BB-L8-R01</x:v>
      </x:c>
      <x:c r="B99" s="2" t="n">
        <x:v>1</x:v>
      </x:c>
      <x:c r="C99" s="2" t="str">
        <x:v>BB</x:v>
      </x:c>
      <x:c r="D99" s="2" t="str">
        <x:v>Brevicoryne brassicae</x:v>
      </x:c>
      <x:c r="E99" s="2" t="str">
        <x:v>L8</x:v>
      </x:c>
      <x:c r="F99" s="2" t="n">
        <x:v>1</x:v>
      </x:c>
      <x:c r="G99" s="2" t="n">
        <x:v>21</x:v>
      </x:c>
      <x:c r="H99" s="2" t="n">
        <x:f>G99-Supuestos!$C$7</x:f>
        <x:v>20</x:v>
      </x:c>
      <x:c r="I99" s="14" t="n">
        <x:f>E1_plantas!J34+G99</x:f>
        <x:v>46104</x:v>
      </x:c>
      <x:c r="J99" s="2" t="n">
        <x:v>23</x:v>
      </x:c>
      <x:c r="K99" s="2" t="n">
        <x:f>IF(AND(G99&gt;Supuestos!$C$8,E99&lt;&gt;"L0"),1,0)</x:f>
        <x:v>1</x:v>
      </x:c>
      <x:c r="L99" s="2" t="str">
        <x:v>posterior_al_dia_14</x:v>
      </x:c>
      <x:c r="M99" s="2" t="str">
        <x:v>simulado_didactico</x:v>
      </x:c>
    </x:row>
    <x:row r="100" ht="19" customHeight="1">
      <x:c r="A100" s="2" t="str">
        <x:v>SIM-E1-BB-L8-R01</x:v>
      </x:c>
      <x:c r="B100" s="2" t="n">
        <x:v>1</x:v>
      </x:c>
      <x:c r="C100" s="2" t="str">
        <x:v>BB</x:v>
      </x:c>
      <x:c r="D100" s="2" t="str">
        <x:v>Brevicoryne brassicae</x:v>
      </x:c>
      <x:c r="E100" s="2" t="str">
        <x:v>L8</x:v>
      </x:c>
      <x:c r="F100" s="2" t="n">
        <x:v>1</x:v>
      </x:c>
      <x:c r="G100" s="2" t="n">
        <x:v>28</x:v>
      </x:c>
      <x:c r="H100" s="2" t="n">
        <x:f>G100-Supuestos!$C$7</x:f>
        <x:v>27</x:v>
      </x:c>
      <x:c r="I100" s="14" t="n">
        <x:f>E1_plantas!J34+G100</x:f>
        <x:v>46111</x:v>
      </x:c>
      <x:c r="J100" s="2" t="n">
        <x:v>62</x:v>
      </x:c>
      <x:c r="K100" s="2" t="n">
        <x:f>IF(AND(G100&gt;Supuestos!$C$8,E100&lt;&gt;"L0"),1,0)</x:f>
        <x:v>1</x:v>
      </x:c>
      <x:c r="L100" s="2" t="str">
        <x:v>posterior_al_dia_14</x:v>
      </x:c>
      <x:c r="M100" s="2" t="str">
        <x:v>simulado_didactico</x:v>
      </x:c>
    </x:row>
    <x:row r="101" ht="19" customHeight="1">
      <x:c r="A101" s="2" t="str">
        <x:v>SIM-E1-BB-L8-R02</x:v>
      </x:c>
      <x:c r="B101" s="2" t="n">
        <x:v>1</x:v>
      </x:c>
      <x:c r="C101" s="2" t="str">
        <x:v>BB</x:v>
      </x:c>
      <x:c r="D101" s="2" t="str">
        <x:v>Brevicoryne brassicae</x:v>
      </x:c>
      <x:c r="E101" s="2" t="str">
        <x:v>L8</x:v>
      </x:c>
      <x:c r="F101" s="2" t="n">
        <x:v>2</x:v>
      </x:c>
      <x:c r="G101" s="2" t="n">
        <x:v>14</x:v>
      </x:c>
      <x:c r="H101" s="2" t="n">
        <x:f>G101-Supuestos!$C$7</x:f>
        <x:v>13</x:v>
      </x:c>
      <x:c r="I101" s="14" t="n">
        <x:f>E1_plantas!J35+G101</x:f>
        <x:v>46097</x:v>
      </x:c>
      <x:c r="J101" s="2" t="n">
        <x:v>6</x:v>
      </x:c>
      <x:c r="K101" s="2" t="n">
        <x:f>IF(AND(G101&gt;Supuestos!$C$8,E101&lt;&gt;"L0"),1,0)</x:f>
        <x:v>0</x:v>
      </x:c>
      <x:c r="L101" s="2" t="str">
        <x:v>antes_de_reinoculacion</x:v>
      </x:c>
      <x:c r="M101" s="2" t="str">
        <x:v>simulado_didactico</x:v>
      </x:c>
    </x:row>
    <x:row r="102" ht="19" customHeight="1">
      <x:c r="A102" s="2" t="str">
        <x:v>SIM-E1-BB-L8-R02</x:v>
      </x:c>
      <x:c r="B102" s="2" t="n">
        <x:v>1</x:v>
      </x:c>
      <x:c r="C102" s="2" t="str">
        <x:v>BB</x:v>
      </x:c>
      <x:c r="D102" s="2" t="str">
        <x:v>Brevicoryne brassicae</x:v>
      </x:c>
      <x:c r="E102" s="2" t="str">
        <x:v>L8</x:v>
      </x:c>
      <x:c r="F102" s="2" t="n">
        <x:v>2</x:v>
      </x:c>
      <x:c r="G102" s="2" t="n">
        <x:v>21</x:v>
      </x:c>
      <x:c r="H102" s="2" t="n">
        <x:f>G102-Supuestos!$C$7</x:f>
        <x:v>20</x:v>
      </x:c>
      <x:c r="I102" s="14" t="n">
        <x:f>E1_plantas!J35+G102</x:f>
        <x:v>46104</x:v>
      </x:c>
      <x:c r="J102" s="2" t="n">
        <x:v>28</x:v>
      </x:c>
      <x:c r="K102" s="2" t="n">
        <x:f>IF(AND(G102&gt;Supuestos!$C$8,E102&lt;&gt;"L0"),1,0)</x:f>
        <x:v>1</x:v>
      </x:c>
      <x:c r="L102" s="2" t="str">
        <x:v>posterior_al_dia_14</x:v>
      </x:c>
      <x:c r="M102" s="2" t="str">
        <x:v>simulado_didactico</x:v>
      </x:c>
    </x:row>
    <x:row r="103" ht="19" customHeight="1">
      <x:c r="A103" s="2" t="str">
        <x:v>SIM-E1-BB-L8-R02</x:v>
      </x:c>
      <x:c r="B103" s="2" t="n">
        <x:v>1</x:v>
      </x:c>
      <x:c r="C103" s="2" t="str">
        <x:v>BB</x:v>
      </x:c>
      <x:c r="D103" s="2" t="str">
        <x:v>Brevicoryne brassicae</x:v>
      </x:c>
      <x:c r="E103" s="2" t="str">
        <x:v>L8</x:v>
      </x:c>
      <x:c r="F103" s="2" t="n">
        <x:v>2</x:v>
      </x:c>
      <x:c r="G103" s="2" t="n">
        <x:v>28</x:v>
      </x:c>
      <x:c r="H103" s="2" t="n">
        <x:f>G103-Supuestos!$C$7</x:f>
        <x:v>27</x:v>
      </x:c>
      <x:c r="I103" s="14" t="n">
        <x:f>E1_plantas!J35+G103</x:f>
        <x:v>46111</x:v>
      </x:c>
      <x:c r="J103" s="2" t="n">
        <x:v>68</x:v>
      </x:c>
      <x:c r="K103" s="2" t="n">
        <x:f>IF(AND(G103&gt;Supuestos!$C$8,E103&lt;&gt;"L0"),1,0)</x:f>
        <x:v>1</x:v>
      </x:c>
      <x:c r="L103" s="2" t="str">
        <x:v>posterior_al_dia_14</x:v>
      </x:c>
      <x:c r="M103" s="2" t="str">
        <x:v>simulado_didactico</x:v>
      </x:c>
    </x:row>
    <x:row r="104" ht="19" customHeight="1">
      <x:c r="A104" s="2" t="str">
        <x:v>SIM-E1-BB-L9-R01</x:v>
      </x:c>
      <x:c r="B104" s="2" t="n">
        <x:v>1</x:v>
      </x:c>
      <x:c r="C104" s="2" t="str">
        <x:v>BB</x:v>
      </x:c>
      <x:c r="D104" s="2" t="str">
        <x:v>Brevicoryne brassicae</x:v>
      </x:c>
      <x:c r="E104" s="2" t="str">
        <x:v>L9</x:v>
      </x:c>
      <x:c r="F104" s="2" t="n">
        <x:v>1</x:v>
      </x:c>
      <x:c r="G104" s="2" t="n">
        <x:v>14</x:v>
      </x:c>
      <x:c r="H104" s="2" t="n">
        <x:f>G104-Supuestos!$C$7</x:f>
        <x:v>13</x:v>
      </x:c>
      <x:c r="I104" s="14" t="n">
        <x:f>E1_plantas!J36+G104</x:f>
        <x:v>46097</x:v>
      </x:c>
      <x:c r="J104" s="2" t="n">
        <x:v>12</x:v>
      </x:c>
      <x:c r="K104" s="2" t="n">
        <x:f>IF(AND(G104&gt;Supuestos!$C$8,E104&lt;&gt;"L0"),1,0)</x:f>
        <x:v>0</x:v>
      </x:c>
      <x:c r="L104" s="2" t="str">
        <x:v>antes_de_reinoculacion</x:v>
      </x:c>
      <x:c r="M104" s="2" t="str">
        <x:v>simulado_didactico</x:v>
      </x:c>
    </x:row>
    <x:row r="105" ht="19" customHeight="1">
      <x:c r="A105" s="2" t="str">
        <x:v>SIM-E1-BB-L9-R01</x:v>
      </x:c>
      <x:c r="B105" s="2" t="n">
        <x:v>1</x:v>
      </x:c>
      <x:c r="C105" s="2" t="str">
        <x:v>BB</x:v>
      </x:c>
      <x:c r="D105" s="2" t="str">
        <x:v>Brevicoryne brassicae</x:v>
      </x:c>
      <x:c r="E105" s="2" t="str">
        <x:v>L9</x:v>
      </x:c>
      <x:c r="F105" s="2" t="n">
        <x:v>1</x:v>
      </x:c>
      <x:c r="G105" s="2" t="n">
        <x:v>21</x:v>
      </x:c>
      <x:c r="H105" s="2" t="n">
        <x:f>G105-Supuestos!$C$7</x:f>
        <x:v>20</x:v>
      </x:c>
      <x:c r="I105" s="14" t="n">
        <x:f>E1_plantas!J36+G105</x:f>
        <x:v>46104</x:v>
      </x:c>
      <x:c r="J105" s="2" t="n">
        <x:v>82</x:v>
      </x:c>
      <x:c r="K105" s="2" t="n">
        <x:f>IF(AND(G105&gt;Supuestos!$C$8,E105&lt;&gt;"L0"),1,0)</x:f>
        <x:v>1</x:v>
      </x:c>
      <x:c r="L105" s="2" t="str">
        <x:v>posterior_al_dia_14</x:v>
      </x:c>
      <x:c r="M105" s="2" t="str">
        <x:v>simulado_didactico</x:v>
      </x:c>
    </x:row>
    <x:row r="106" ht="19" customHeight="1">
      <x:c r="A106" s="2" t="str">
        <x:v>SIM-E1-BB-L9-R01</x:v>
      </x:c>
      <x:c r="B106" s="2" t="n">
        <x:v>1</x:v>
      </x:c>
      <x:c r="C106" s="2" t="str">
        <x:v>BB</x:v>
      </x:c>
      <x:c r="D106" s="2" t="str">
        <x:v>Brevicoryne brassicae</x:v>
      </x:c>
      <x:c r="E106" s="2" t="str">
        <x:v>L9</x:v>
      </x:c>
      <x:c r="F106" s="2" t="n">
        <x:v>1</x:v>
      </x:c>
      <x:c r="G106" s="2" t="n">
        <x:v>28</x:v>
      </x:c>
      <x:c r="H106" s="2" t="n">
        <x:f>G106-Supuestos!$C$7</x:f>
        <x:v>27</x:v>
      </x:c>
      <x:c r="I106" s="14" t="n">
        <x:f>E1_plantas!J36+G106</x:f>
        <x:v>46111</x:v>
      </x:c>
      <x:c r="J106" s="2" t="n">
        <x:v>103</x:v>
      </x:c>
      <x:c r="K106" s="2" t="n">
        <x:f>IF(AND(G106&gt;Supuestos!$C$8,E106&lt;&gt;"L0"),1,0)</x:f>
        <x:v>1</x:v>
      </x:c>
      <x:c r="L106" s="2" t="str">
        <x:v>posterior_al_dia_14</x:v>
      </x:c>
      <x:c r="M106" s="2" t="str">
        <x:v>simulado_didactico</x:v>
      </x:c>
    </x:row>
    <x:row r="107" ht="19" customHeight="1">
      <x:c r="A107" s="2" t="str">
        <x:v>SIM-E1-BB-L9-R02</x:v>
      </x:c>
      <x:c r="B107" s="2" t="n">
        <x:v>1</x:v>
      </x:c>
      <x:c r="C107" s="2" t="str">
        <x:v>BB</x:v>
      </x:c>
      <x:c r="D107" s="2" t="str">
        <x:v>Brevicoryne brassicae</x:v>
      </x:c>
      <x:c r="E107" s="2" t="str">
        <x:v>L9</x:v>
      </x:c>
      <x:c r="F107" s="2" t="n">
        <x:v>2</x:v>
      </x:c>
      <x:c r="G107" s="2" t="n">
        <x:v>14</x:v>
      </x:c>
      <x:c r="H107" s="2" t="n">
        <x:f>G107-Supuestos!$C$7</x:f>
        <x:v>13</x:v>
      </x:c>
      <x:c r="I107" s="14" t="n">
        <x:f>E1_plantas!J37+G107</x:f>
        <x:v>46097</x:v>
      </x:c>
      <x:c r="J107" s="2" t="n">
        <x:v>21</x:v>
      </x:c>
      <x:c r="K107" s="2" t="n">
        <x:f>IF(AND(G107&gt;Supuestos!$C$8,E107&lt;&gt;"L0"),1,0)</x:f>
        <x:v>0</x:v>
      </x:c>
      <x:c r="L107" s="2" t="str">
        <x:v>antes_de_reinoculacion</x:v>
      </x:c>
      <x:c r="M107" s="2" t="str">
        <x:v>simulado_didactico</x:v>
      </x:c>
    </x:row>
    <x:row r="108" ht="19" customHeight="1">
      <x:c r="A108" s="2" t="str">
        <x:v>SIM-E1-BB-L9-R02</x:v>
      </x:c>
      <x:c r="B108" s="2" t="n">
        <x:v>1</x:v>
      </x:c>
      <x:c r="C108" s="2" t="str">
        <x:v>BB</x:v>
      </x:c>
      <x:c r="D108" s="2" t="str">
        <x:v>Brevicoryne brassicae</x:v>
      </x:c>
      <x:c r="E108" s="2" t="str">
        <x:v>L9</x:v>
      </x:c>
      <x:c r="F108" s="2" t="n">
        <x:v>2</x:v>
      </x:c>
      <x:c r="G108" s="2" t="n">
        <x:v>21</x:v>
      </x:c>
      <x:c r="H108" s="2" t="n">
        <x:f>G108-Supuestos!$C$7</x:f>
        <x:v>20</x:v>
      </x:c>
      <x:c r="I108" s="14" t="n">
        <x:f>E1_plantas!J37+G108</x:f>
        <x:v>46104</x:v>
      </x:c>
      <x:c r="J108" s="2" t="n">
        <x:v>76</x:v>
      </x:c>
      <x:c r="K108" s="2" t="n">
        <x:f>IF(AND(G108&gt;Supuestos!$C$8,E108&lt;&gt;"L0"),1,0)</x:f>
        <x:v>1</x:v>
      </x:c>
      <x:c r="L108" s="2" t="str">
        <x:v>posterior_al_dia_14</x:v>
      </x:c>
      <x:c r="M108" s="2" t="str">
        <x:v>simulado_didactico</x:v>
      </x:c>
    </x:row>
    <x:row r="109" ht="19" customHeight="1">
      <x:c r="A109" s="2" t="str">
        <x:v>SIM-E1-BB-L9-R02</x:v>
      </x:c>
      <x:c r="B109" s="2" t="n">
        <x:v>1</x:v>
      </x:c>
      <x:c r="C109" s="2" t="str">
        <x:v>BB</x:v>
      </x:c>
      <x:c r="D109" s="2" t="str">
        <x:v>Brevicoryne brassicae</x:v>
      </x:c>
      <x:c r="E109" s="2" t="str">
        <x:v>L9</x:v>
      </x:c>
      <x:c r="F109" s="2" t="n">
        <x:v>2</x:v>
      </x:c>
      <x:c r="G109" s="2" t="n">
        <x:v>28</x:v>
      </x:c>
      <x:c r="H109" s="2" t="n">
        <x:f>G109-Supuestos!$C$7</x:f>
        <x:v>27</x:v>
      </x:c>
      <x:c r="I109" s="14" t="n">
        <x:f>E1_plantas!J37+G109</x:f>
        <x:v>46111</x:v>
      </x:c>
      <x:c r="J109" s="2" t="n">
        <x:v>204</x:v>
      </x:c>
      <x:c r="K109" s="2" t="n">
        <x:f>IF(AND(G109&gt;Supuestos!$C$8,E109&lt;&gt;"L0"),1,0)</x:f>
        <x:v>1</x:v>
      </x:c>
      <x:c r="L109" s="2" t="str">
        <x:v>posterior_al_dia_14</x:v>
      </x:c>
      <x:c r="M109" s="2" t="str">
        <x:v>simulado_didactico</x:v>
      </x:c>
    </x:row>
    <x:row r="110" ht="19" customHeight="1">
      <x:c r="A110" s="2" t="str">
        <x:v>SIM-E1-MP-L0-R03</x:v>
      </x:c>
      <x:c r="B110" s="2" t="n">
        <x:v>2</x:v>
      </x:c>
      <x:c r="C110" s="2" t="str">
        <x:v>MP</x:v>
      </x:c>
      <x:c r="D110" s="2" t="str">
        <x:v>Myzus persicae</x:v>
      </x:c>
      <x:c r="E110" s="2" t="str">
        <x:v>L0</x:v>
      </x:c>
      <x:c r="F110" s="2" t="n">
        <x:v>3</x:v>
      </x:c>
      <x:c r="G110" s="2" t="n">
        <x:v>14</x:v>
      </x:c>
      <x:c r="H110" s="2" t="n">
        <x:f>G110-Supuestos!$C$7</x:f>
        <x:v>13</x:v>
      </x:c>
      <x:c r="I110" s="14" t="n">
        <x:f>E1_plantas!J38+G110</x:f>
        <x:v>46104</x:v>
      </x:c>
      <x:c r="J110" s="2" t="n">
        <x:v>16</x:v>
      </x:c>
      <x:c r="K110" s="2" t="n">
        <x:f>IF(AND(G110&gt;Supuestos!$C$8,E110&lt;&gt;"L0"),1,0)</x:f>
        <x:v>0</x:v>
      </x:c>
      <x:c r="L110" s="2" t="str">
        <x:v>antes_de_reinoculacion</x:v>
      </x:c>
      <x:c r="M110" s="2" t="str">
        <x:v>simulado_didactico</x:v>
      </x:c>
    </x:row>
    <x:row r="111" ht="19" customHeight="1">
      <x:c r="A111" s="2" t="str">
        <x:v>SIM-E1-MP-L0-R03</x:v>
      </x:c>
      <x:c r="B111" s="2" t="n">
        <x:v>2</x:v>
      </x:c>
      <x:c r="C111" s="2" t="str">
        <x:v>MP</x:v>
      </x:c>
      <x:c r="D111" s="2" t="str">
        <x:v>Myzus persicae</x:v>
      </x:c>
      <x:c r="E111" s="2" t="str">
        <x:v>L0</x:v>
      </x:c>
      <x:c r="F111" s="2" t="n">
        <x:v>3</x:v>
      </x:c>
      <x:c r="G111" s="2" t="n">
        <x:v>21</x:v>
      </x:c>
      <x:c r="H111" s="2" t="n">
        <x:f>G111-Supuestos!$C$7</x:f>
        <x:v>20</x:v>
      </x:c>
      <x:c r="I111" s="14" t="n">
        <x:f>E1_plantas!J38+G111</x:f>
        <x:v>46111</x:v>
      </x:c>
      <x:c r="J111" s="2" t="n">
        <x:v>104</x:v>
      </x:c>
      <x:c r="K111" s="2" t="n">
        <x:f>IF(AND(G111&gt;Supuestos!$C$8,E111&lt;&gt;"L0"),1,0)</x:f>
        <x:v>0</x:v>
      </x:c>
      <x:c r="L111" s="2" t="str">
        <x:v>posterior_al_dia_14</x:v>
      </x:c>
      <x:c r="M111" s="2" t="str">
        <x:v>simulado_didactico</x:v>
      </x:c>
    </x:row>
    <x:row r="112" ht="19" customHeight="1">
      <x:c r="A112" s="2" t="str">
        <x:v>SIM-E1-MP-L0-R03</x:v>
      </x:c>
      <x:c r="B112" s="2" t="n">
        <x:v>2</x:v>
      </x:c>
      <x:c r="C112" s="2" t="str">
        <x:v>MP</x:v>
      </x:c>
      <x:c r="D112" s="2" t="str">
        <x:v>Myzus persicae</x:v>
      </x:c>
      <x:c r="E112" s="2" t="str">
        <x:v>L0</x:v>
      </x:c>
      <x:c r="F112" s="2" t="n">
        <x:v>3</x:v>
      </x:c>
      <x:c r="G112" s="2" t="n">
        <x:v>28</x:v>
      </x:c>
      <x:c r="H112" s="2" t="n">
        <x:f>G112-Supuestos!$C$7</x:f>
        <x:v>27</x:v>
      </x:c>
      <x:c r="I112" s="14" t="n">
        <x:f>E1_plantas!J38+G112</x:f>
        <x:v>46118</x:v>
      </x:c>
      <x:c r="J112" s="2" t="n">
        <x:v>194</x:v>
      </x:c>
      <x:c r="K112" s="2" t="n">
        <x:f>IF(AND(G112&gt;Supuestos!$C$8,E112&lt;&gt;"L0"),1,0)</x:f>
        <x:v>0</x:v>
      </x:c>
      <x:c r="L112" s="2" t="str">
        <x:v>posterior_al_dia_14</x:v>
      </x:c>
      <x:c r="M112" s="2" t="str">
        <x:v>simulado_didactico</x:v>
      </x:c>
    </x:row>
    <x:row r="113" ht="19" customHeight="1">
      <x:c r="A113" s="2" t="str">
        <x:v>SIM-E1-MP-L0-R04</x:v>
      </x:c>
      <x:c r="B113" s="2" t="n">
        <x:v>2</x:v>
      </x:c>
      <x:c r="C113" s="2" t="str">
        <x:v>MP</x:v>
      </x:c>
      <x:c r="D113" s="2" t="str">
        <x:v>Myzus persicae</x:v>
      </x:c>
      <x:c r="E113" s="2" t="str">
        <x:v>L0</x:v>
      </x:c>
      <x:c r="F113" s="2" t="n">
        <x:v>4</x:v>
      </x:c>
      <x:c r="G113" s="2" t="n">
        <x:v>14</x:v>
      </x:c>
      <x:c r="H113" s="2" t="n">
        <x:f>G113-Supuestos!$C$7</x:f>
        <x:v>13</x:v>
      </x:c>
      <x:c r="I113" s="14" t="n">
        <x:f>E1_plantas!J39+G113</x:f>
        <x:v>46104</x:v>
      </x:c>
      <x:c r="J113" s="2" t="n">
        <x:v>35</x:v>
      </x:c>
      <x:c r="K113" s="2" t="n">
        <x:f>IF(AND(G113&gt;Supuestos!$C$8,E113&lt;&gt;"L0"),1,0)</x:f>
        <x:v>0</x:v>
      </x:c>
      <x:c r="L113" s="2" t="str">
        <x:v>antes_de_reinoculacion</x:v>
      </x:c>
      <x:c r="M113" s="2" t="str">
        <x:v>simulado_didactico</x:v>
      </x:c>
    </x:row>
    <x:row r="114" ht="19" customHeight="1">
      <x:c r="A114" s="2" t="str">
        <x:v>SIM-E1-MP-L0-R04</x:v>
      </x:c>
      <x:c r="B114" s="2" t="n">
        <x:v>2</x:v>
      </x:c>
      <x:c r="C114" s="2" t="str">
        <x:v>MP</x:v>
      </x:c>
      <x:c r="D114" s="2" t="str">
        <x:v>Myzus persicae</x:v>
      </x:c>
      <x:c r="E114" s="2" t="str">
        <x:v>L0</x:v>
      </x:c>
      <x:c r="F114" s="2" t="n">
        <x:v>4</x:v>
      </x:c>
      <x:c r="G114" s="2" t="n">
        <x:v>21</x:v>
      </x:c>
      <x:c r="H114" s="2" t="n">
        <x:f>G114-Supuestos!$C$7</x:f>
        <x:v>20</x:v>
      </x:c>
      <x:c r="I114" s="14" t="n">
        <x:f>E1_plantas!J39+G114</x:f>
        <x:v>46111</x:v>
      </x:c>
      <x:c r="J114" s="2" t="n">
        <x:v>101</x:v>
      </x:c>
      <x:c r="K114" s="2" t="n">
        <x:f>IF(AND(G114&gt;Supuestos!$C$8,E114&lt;&gt;"L0"),1,0)</x:f>
        <x:v>0</x:v>
      </x:c>
      <x:c r="L114" s="2" t="str">
        <x:v>posterior_al_dia_14</x:v>
      </x:c>
      <x:c r="M114" s="2" t="str">
        <x:v>simulado_didactico</x:v>
      </x:c>
    </x:row>
    <x:row r="115" ht="19" customHeight="1">
      <x:c r="A115" s="2" t="str">
        <x:v>SIM-E1-MP-L0-R04</x:v>
      </x:c>
      <x:c r="B115" s="2" t="n">
        <x:v>2</x:v>
      </x:c>
      <x:c r="C115" s="2" t="str">
        <x:v>MP</x:v>
      </x:c>
      <x:c r="D115" s="2" t="str">
        <x:v>Myzus persicae</x:v>
      </x:c>
      <x:c r="E115" s="2" t="str">
        <x:v>L0</x:v>
      </x:c>
      <x:c r="F115" s="2" t="n">
        <x:v>4</x:v>
      </x:c>
      <x:c r="G115" s="2" t="n">
        <x:v>28</x:v>
      </x:c>
      <x:c r="H115" s="2" t="n">
        <x:f>G115-Supuestos!$C$7</x:f>
        <x:v>27</x:v>
      </x:c>
      <x:c r="I115" s="14" t="n">
        <x:f>E1_plantas!J39+G115</x:f>
        <x:v>46118</x:v>
      </x:c>
      <x:c r="J115" s="2" t="n">
        <x:v>170</x:v>
      </x:c>
      <x:c r="K115" s="2" t="n">
        <x:f>IF(AND(G115&gt;Supuestos!$C$8,E115&lt;&gt;"L0"),1,0)</x:f>
        <x:v>0</x:v>
      </x:c>
      <x:c r="L115" s="2" t="str">
        <x:v>posterior_al_dia_14</x:v>
      </x:c>
      <x:c r="M115" s="2" t="str">
        <x:v>simulado_didactico</x:v>
      </x:c>
    </x:row>
    <x:row r="116" ht="19" customHeight="1">
      <x:c r="A116" s="2" t="str">
        <x:v>SIM-E1-MP-L1-R03</x:v>
      </x:c>
      <x:c r="B116" s="2" t="n">
        <x:v>2</x:v>
      </x:c>
      <x:c r="C116" s="2" t="str">
        <x:v>MP</x:v>
      </x:c>
      <x:c r="D116" s="2" t="str">
        <x:v>Myzus persicae</x:v>
      </x:c>
      <x:c r="E116" s="2" t="str">
        <x:v>L1</x:v>
      </x:c>
      <x:c r="F116" s="2" t="n">
        <x:v>3</x:v>
      </x:c>
      <x:c r="G116" s="2" t="n">
        <x:v>14</x:v>
      </x:c>
      <x:c r="H116" s="2" t="n">
        <x:f>G116-Supuestos!$C$7</x:f>
        <x:v>13</x:v>
      </x:c>
      <x:c r="I116" s="14" t="n">
        <x:f>E1_plantas!J40+G116</x:f>
        <x:v>46104</x:v>
      </x:c>
      <x:c r="J116" s="2" t="n">
        <x:v>18</x:v>
      </x:c>
      <x:c r="K116" s="2" t="n">
        <x:f>IF(AND(G116&gt;Supuestos!$C$8,E116&lt;&gt;"L0"),1,0)</x:f>
        <x:v>0</x:v>
      </x:c>
      <x:c r="L116" s="2" t="str">
        <x:v>antes_de_reinoculacion</x:v>
      </x:c>
      <x:c r="M116" s="2" t="str">
        <x:v>simulado_didactico</x:v>
      </x:c>
    </x:row>
    <x:row r="117" ht="19" customHeight="1">
      <x:c r="A117" s="2" t="str">
        <x:v>SIM-E1-MP-L1-R03</x:v>
      </x:c>
      <x:c r="B117" s="2" t="n">
        <x:v>2</x:v>
      </x:c>
      <x:c r="C117" s="2" t="str">
        <x:v>MP</x:v>
      </x:c>
      <x:c r="D117" s="2" t="str">
        <x:v>Myzus persicae</x:v>
      </x:c>
      <x:c r="E117" s="2" t="str">
        <x:v>L1</x:v>
      </x:c>
      <x:c r="F117" s="2" t="n">
        <x:v>3</x:v>
      </x:c>
      <x:c r="G117" s="2" t="n">
        <x:v>21</x:v>
      </x:c>
      <x:c r="H117" s="2" t="n">
        <x:f>G117-Supuestos!$C$7</x:f>
        <x:v>20</x:v>
      </x:c>
      <x:c r="I117" s="14" t="n">
        <x:f>E1_plantas!J40+G117</x:f>
        <x:v>46111</x:v>
      </x:c>
      <x:c r="J117" s="2" t="n">
        <x:v>80</x:v>
      </x:c>
      <x:c r="K117" s="2" t="n">
        <x:f>IF(AND(G117&gt;Supuestos!$C$8,E117&lt;&gt;"L0"),1,0)</x:f>
        <x:v>1</x:v>
      </x:c>
      <x:c r="L117" s="2" t="str">
        <x:v>posterior_al_dia_14</x:v>
      </x:c>
      <x:c r="M117" s="2" t="str">
        <x:v>simulado_didactico</x:v>
      </x:c>
    </x:row>
    <x:row r="118" ht="19" customHeight="1">
      <x:c r="A118" s="2" t="str">
        <x:v>SIM-E1-MP-L1-R03</x:v>
      </x:c>
      <x:c r="B118" s="2" t="n">
        <x:v>2</x:v>
      </x:c>
      <x:c r="C118" s="2" t="str">
        <x:v>MP</x:v>
      </x:c>
      <x:c r="D118" s="2" t="str">
        <x:v>Myzus persicae</x:v>
      </x:c>
      <x:c r="E118" s="2" t="str">
        <x:v>L1</x:v>
      </x:c>
      <x:c r="F118" s="2" t="n">
        <x:v>3</x:v>
      </x:c>
      <x:c r="G118" s="2" t="n">
        <x:v>28</x:v>
      </x:c>
      <x:c r="H118" s="2" t="n">
        <x:f>G118-Supuestos!$C$7</x:f>
        <x:v>27</x:v>
      </x:c>
      <x:c r="I118" s="14" t="n">
        <x:f>E1_plantas!J40+G118</x:f>
        <x:v>46118</x:v>
      </x:c>
      <x:c r="J118" s="2" t="n">
        <x:v>285</x:v>
      </x:c>
      <x:c r="K118" s="2" t="n">
        <x:f>IF(AND(G118&gt;Supuestos!$C$8,E118&lt;&gt;"L0"),1,0)</x:f>
        <x:v>1</x:v>
      </x:c>
      <x:c r="L118" s="2" t="str">
        <x:v>posterior_al_dia_14</x:v>
      </x:c>
      <x:c r="M118" s="2" t="str">
        <x:v>simulado_didactico</x:v>
      </x:c>
    </x:row>
    <x:row r="119" ht="19" customHeight="1">
      <x:c r="A119" s="2" t="str">
        <x:v>SIM-E1-MP-L1-R04</x:v>
      </x:c>
      <x:c r="B119" s="2" t="n">
        <x:v>2</x:v>
      </x:c>
      <x:c r="C119" s="2" t="str">
        <x:v>MP</x:v>
      </x:c>
      <x:c r="D119" s="2" t="str">
        <x:v>Myzus persicae</x:v>
      </x:c>
      <x:c r="E119" s="2" t="str">
        <x:v>L1</x:v>
      </x:c>
      <x:c r="F119" s="2" t="n">
        <x:v>4</x:v>
      </x:c>
      <x:c r="G119" s="2" t="n">
        <x:v>14</x:v>
      </x:c>
      <x:c r="H119" s="2" t="n">
        <x:f>G119-Supuestos!$C$7</x:f>
        <x:v>13</x:v>
      </x:c>
      <x:c r="I119" s="14" t="n">
        <x:f>E1_plantas!J41+G119</x:f>
        <x:v>46104</x:v>
      </x:c>
      <x:c r="J119" s="2" t="n">
        <x:v>5</x:v>
      </x:c>
      <x:c r="K119" s="2" t="n">
        <x:f>IF(AND(G119&gt;Supuestos!$C$8,E119&lt;&gt;"L0"),1,0)</x:f>
        <x:v>0</x:v>
      </x:c>
      <x:c r="L119" s="2" t="str">
        <x:v>antes_de_reinoculacion</x:v>
      </x:c>
      <x:c r="M119" s="2" t="str">
        <x:v>simulado_didactico</x:v>
      </x:c>
    </x:row>
    <x:row r="120" ht="19" customHeight="1">
      <x:c r="A120" s="2" t="str">
        <x:v>SIM-E1-MP-L1-R04</x:v>
      </x:c>
      <x:c r="B120" s="2" t="n">
        <x:v>2</x:v>
      </x:c>
      <x:c r="C120" s="2" t="str">
        <x:v>MP</x:v>
      </x:c>
      <x:c r="D120" s="2" t="str">
        <x:v>Myzus persicae</x:v>
      </x:c>
      <x:c r="E120" s="2" t="str">
        <x:v>L1</x:v>
      </x:c>
      <x:c r="F120" s="2" t="n">
        <x:v>4</x:v>
      </x:c>
      <x:c r="G120" s="2" t="n">
        <x:v>21</x:v>
      </x:c>
      <x:c r="H120" s="2" t="n">
        <x:f>G120-Supuestos!$C$7</x:f>
        <x:v>20</x:v>
      </x:c>
      <x:c r="I120" s="14" t="n">
        <x:f>E1_plantas!J41+G120</x:f>
        <x:v>46111</x:v>
      </x:c>
      <x:c r="J120" s="2" t="n">
        <x:v>52</x:v>
      </x:c>
      <x:c r="K120" s="2" t="n">
        <x:f>IF(AND(G120&gt;Supuestos!$C$8,E120&lt;&gt;"L0"),1,0)</x:f>
        <x:v>1</x:v>
      </x:c>
      <x:c r="L120" s="2" t="str">
        <x:v>posterior_al_dia_14</x:v>
      </x:c>
      <x:c r="M120" s="2" t="str">
        <x:v>simulado_didactico</x:v>
      </x:c>
    </x:row>
    <x:row r="121" ht="19" customHeight="1">
      <x:c r="A121" s="2" t="str">
        <x:v>SIM-E1-MP-L1-R04</x:v>
      </x:c>
      <x:c r="B121" s="2" t="n">
        <x:v>2</x:v>
      </x:c>
      <x:c r="C121" s="2" t="str">
        <x:v>MP</x:v>
      </x:c>
      <x:c r="D121" s="2" t="str">
        <x:v>Myzus persicae</x:v>
      </x:c>
      <x:c r="E121" s="2" t="str">
        <x:v>L1</x:v>
      </x:c>
      <x:c r="F121" s="2" t="n">
        <x:v>4</x:v>
      </x:c>
      <x:c r="G121" s="2" t="n">
        <x:v>28</x:v>
      </x:c>
      <x:c r="H121" s="2" t="n">
        <x:f>G121-Supuestos!$C$7</x:f>
        <x:v>27</x:v>
      </x:c>
      <x:c r="I121" s="14" t="n">
        <x:f>E1_plantas!J41+G121</x:f>
        <x:v>46118</x:v>
      </x:c>
      <x:c r="J121" s="2" t="n">
        <x:v>135</x:v>
      </x:c>
      <x:c r="K121" s="2" t="n">
        <x:f>IF(AND(G121&gt;Supuestos!$C$8,E121&lt;&gt;"L0"),1,0)</x:f>
        <x:v>1</x:v>
      </x:c>
      <x:c r="L121" s="2" t="str">
        <x:v>posterior_al_dia_14</x:v>
      </x:c>
      <x:c r="M121" s="2" t="str">
        <x:v>simulado_didactico</x:v>
      </x:c>
    </x:row>
    <x:row r="122" ht="19" customHeight="1">
      <x:c r="A122" s="2" t="str">
        <x:v>SIM-E1-MP-L2-R03</x:v>
      </x:c>
      <x:c r="B122" s="2" t="n">
        <x:v>2</x:v>
      </x:c>
      <x:c r="C122" s="2" t="str">
        <x:v>MP</x:v>
      </x:c>
      <x:c r="D122" s="2" t="str">
        <x:v>Myzus persicae</x:v>
      </x:c>
      <x:c r="E122" s="2" t="str">
        <x:v>L2</x:v>
      </x:c>
      <x:c r="F122" s="2" t="n">
        <x:v>3</x:v>
      </x:c>
      <x:c r="G122" s="2" t="n">
        <x:v>14</x:v>
      </x:c>
      <x:c r="H122" s="2" t="n">
        <x:f>G122-Supuestos!$C$7</x:f>
        <x:v>13</x:v>
      </x:c>
      <x:c r="I122" s="14" t="n">
        <x:f>E1_plantas!J42+G122</x:f>
        <x:v>46104</x:v>
      </x:c>
      <x:c r="J122" s="2" t="n">
        <x:v>10</x:v>
      </x:c>
      <x:c r="K122" s="2" t="n">
        <x:f>IF(AND(G122&gt;Supuestos!$C$8,E122&lt;&gt;"L0"),1,0)</x:f>
        <x:v>0</x:v>
      </x:c>
      <x:c r="L122" s="2" t="str">
        <x:v>antes_de_reinoculacion</x:v>
      </x:c>
      <x:c r="M122" s="2" t="str">
        <x:v>simulado_didactico</x:v>
      </x:c>
    </x:row>
    <x:row r="123" ht="19" customHeight="1">
      <x:c r="A123" s="2" t="str">
        <x:v>SIM-E1-MP-L2-R03</x:v>
      </x:c>
      <x:c r="B123" s="2" t="n">
        <x:v>2</x:v>
      </x:c>
      <x:c r="C123" s="2" t="str">
        <x:v>MP</x:v>
      </x:c>
      <x:c r="D123" s="2" t="str">
        <x:v>Myzus persicae</x:v>
      </x:c>
      <x:c r="E123" s="2" t="str">
        <x:v>L2</x:v>
      </x:c>
      <x:c r="F123" s="2" t="n">
        <x:v>3</x:v>
      </x:c>
      <x:c r="G123" s="2" t="n">
        <x:v>21</x:v>
      </x:c>
      <x:c r="H123" s="2" t="n">
        <x:f>G123-Supuestos!$C$7</x:f>
        <x:v>20</x:v>
      </x:c>
      <x:c r="I123" s="14" t="n">
        <x:f>E1_plantas!J42+G123</x:f>
        <x:v>46111</x:v>
      </x:c>
      <x:c r="J123" s="2" t="n">
        <x:v>47</x:v>
      </x:c>
      <x:c r="K123" s="2" t="n">
        <x:f>IF(AND(G123&gt;Supuestos!$C$8,E123&lt;&gt;"L0"),1,0)</x:f>
        <x:v>1</x:v>
      </x:c>
      <x:c r="L123" s="2" t="str">
        <x:v>posterior_al_dia_14</x:v>
      </x:c>
      <x:c r="M123" s="2" t="str">
        <x:v>simulado_didactico</x:v>
      </x:c>
    </x:row>
    <x:row r="124" ht="19" customHeight="1">
      <x:c r="A124" s="2" t="str">
        <x:v>SIM-E1-MP-L2-R03</x:v>
      </x:c>
      <x:c r="B124" s="2" t="n">
        <x:v>2</x:v>
      </x:c>
      <x:c r="C124" s="2" t="str">
        <x:v>MP</x:v>
      </x:c>
      <x:c r="D124" s="2" t="str">
        <x:v>Myzus persicae</x:v>
      </x:c>
      <x:c r="E124" s="2" t="str">
        <x:v>L2</x:v>
      </x:c>
      <x:c r="F124" s="2" t="n">
        <x:v>3</x:v>
      </x:c>
      <x:c r="G124" s="2" t="n">
        <x:v>28</x:v>
      </x:c>
      <x:c r="H124" s="2" t="n">
        <x:f>G124-Supuestos!$C$7</x:f>
        <x:v>27</x:v>
      </x:c>
      <x:c r="I124" s="14" t="n">
        <x:f>E1_plantas!J42+G124</x:f>
        <x:v>46118</x:v>
      </x:c>
      <x:c r="J124" s="2" t="n">
        <x:v>132</x:v>
      </x:c>
      <x:c r="K124" s="2" t="n">
        <x:f>IF(AND(G124&gt;Supuestos!$C$8,E124&lt;&gt;"L0"),1,0)</x:f>
        <x:v>1</x:v>
      </x:c>
      <x:c r="L124" s="2" t="str">
        <x:v>posterior_al_dia_14</x:v>
      </x:c>
      <x:c r="M124" s="2" t="str">
        <x:v>simulado_didactico</x:v>
      </x:c>
    </x:row>
    <x:row r="125" ht="19" customHeight="1">
      <x:c r="A125" s="2" t="str">
        <x:v>SIM-E1-MP-L2-R04</x:v>
      </x:c>
      <x:c r="B125" s="2" t="n">
        <x:v>2</x:v>
      </x:c>
      <x:c r="C125" s="2" t="str">
        <x:v>MP</x:v>
      </x:c>
      <x:c r="D125" s="2" t="str">
        <x:v>Myzus persicae</x:v>
      </x:c>
      <x:c r="E125" s="2" t="str">
        <x:v>L2</x:v>
      </x:c>
      <x:c r="F125" s="2" t="n">
        <x:v>4</x:v>
      </x:c>
      <x:c r="G125" s="2" t="n">
        <x:v>14</x:v>
      </x:c>
      <x:c r="H125" s="2" t="n">
        <x:f>G125-Supuestos!$C$7</x:f>
        <x:v>13</x:v>
      </x:c>
      <x:c r="I125" s="14" t="n">
        <x:f>E1_plantas!J43+G125</x:f>
        <x:v>46104</x:v>
      </x:c>
      <x:c r="J125" s="2" t="n">
        <x:v>8</x:v>
      </x:c>
      <x:c r="K125" s="2" t="n">
        <x:f>IF(AND(G125&gt;Supuestos!$C$8,E125&lt;&gt;"L0"),1,0)</x:f>
        <x:v>0</x:v>
      </x:c>
      <x:c r="L125" s="2" t="str">
        <x:v>antes_de_reinoculacion</x:v>
      </x:c>
      <x:c r="M125" s="2" t="str">
        <x:v>simulado_didactico</x:v>
      </x:c>
    </x:row>
    <x:row r="126" ht="19" customHeight="1">
      <x:c r="A126" s="2" t="str">
        <x:v>SIM-E1-MP-L2-R04</x:v>
      </x:c>
      <x:c r="B126" s="2" t="n">
        <x:v>2</x:v>
      </x:c>
      <x:c r="C126" s="2" t="str">
        <x:v>MP</x:v>
      </x:c>
      <x:c r="D126" s="2" t="str">
        <x:v>Myzus persicae</x:v>
      </x:c>
      <x:c r="E126" s="2" t="str">
        <x:v>L2</x:v>
      </x:c>
      <x:c r="F126" s="2" t="n">
        <x:v>4</x:v>
      </x:c>
      <x:c r="G126" s="2" t="n">
        <x:v>21</x:v>
      </x:c>
      <x:c r="H126" s="2" t="n">
        <x:f>G126-Supuestos!$C$7</x:f>
        <x:v>20</x:v>
      </x:c>
      <x:c r="I126" s="14" t="n">
        <x:f>E1_plantas!J43+G126</x:f>
        <x:v>46111</x:v>
      </x:c>
      <x:c r="J126" s="2" t="n">
        <x:v>75</x:v>
      </x:c>
      <x:c r="K126" s="2" t="n">
        <x:f>IF(AND(G126&gt;Supuestos!$C$8,E126&lt;&gt;"L0"),1,0)</x:f>
        <x:v>1</x:v>
      </x:c>
      <x:c r="L126" s="2" t="str">
        <x:v>posterior_al_dia_14</x:v>
      </x:c>
      <x:c r="M126" s="2" t="str">
        <x:v>simulado_didactico</x:v>
      </x:c>
    </x:row>
    <x:row r="127" ht="19" customHeight="1">
      <x:c r="A127" s="2" t="str">
        <x:v>SIM-E1-MP-L2-R04</x:v>
      </x:c>
      <x:c r="B127" s="2" t="n">
        <x:v>2</x:v>
      </x:c>
      <x:c r="C127" s="2" t="str">
        <x:v>MP</x:v>
      </x:c>
      <x:c r="D127" s="2" t="str">
        <x:v>Myzus persicae</x:v>
      </x:c>
      <x:c r="E127" s="2" t="str">
        <x:v>L2</x:v>
      </x:c>
      <x:c r="F127" s="2" t="n">
        <x:v>4</x:v>
      </x:c>
      <x:c r="G127" s="2" t="n">
        <x:v>28</x:v>
      </x:c>
      <x:c r="H127" s="2" t="n">
        <x:f>G127-Supuestos!$C$7</x:f>
        <x:v>27</x:v>
      </x:c>
      <x:c r="I127" s="14" t="n">
        <x:f>E1_plantas!J43+G127</x:f>
        <x:v>46118</x:v>
      </x:c>
      <x:c r="J127" s="2" t="n">
        <x:v>159</x:v>
      </x:c>
      <x:c r="K127" s="2" t="n">
        <x:f>IF(AND(G127&gt;Supuestos!$C$8,E127&lt;&gt;"L0"),1,0)</x:f>
        <x:v>1</x:v>
      </x:c>
      <x:c r="L127" s="2" t="str">
        <x:v>posterior_al_dia_14</x:v>
      </x:c>
      <x:c r="M127" s="2" t="str">
        <x:v>simulado_didactico</x:v>
      </x:c>
    </x:row>
    <x:row r="128" ht="19" customHeight="1">
      <x:c r="A128" s="2" t="str">
        <x:v>SIM-E1-MP-L3-R03</x:v>
      </x:c>
      <x:c r="B128" s="2" t="n">
        <x:v>2</x:v>
      </x:c>
      <x:c r="C128" s="2" t="str">
        <x:v>MP</x:v>
      </x:c>
      <x:c r="D128" s="2" t="str">
        <x:v>Myzus persicae</x:v>
      </x:c>
      <x:c r="E128" s="2" t="str">
        <x:v>L3</x:v>
      </x:c>
      <x:c r="F128" s="2" t="n">
        <x:v>3</x:v>
      </x:c>
      <x:c r="G128" s="2" t="n">
        <x:v>14</x:v>
      </x:c>
      <x:c r="H128" s="2" t="n">
        <x:f>G128-Supuestos!$C$7</x:f>
        <x:v>13</x:v>
      </x:c>
      <x:c r="I128" s="14" t="n">
        <x:f>E1_plantas!J44+G128</x:f>
        <x:v>46104</x:v>
      </x:c>
      <x:c r="J128" s="2" t="n">
        <x:v>9</x:v>
      </x:c>
      <x:c r="K128" s="2" t="n">
        <x:f>IF(AND(G128&gt;Supuestos!$C$8,E128&lt;&gt;"L0"),1,0)</x:f>
        <x:v>0</x:v>
      </x:c>
      <x:c r="L128" s="2" t="str">
        <x:v>antes_de_reinoculacion</x:v>
      </x:c>
      <x:c r="M128" s="2" t="str">
        <x:v>simulado_didactico</x:v>
      </x:c>
    </x:row>
    <x:row r="129" ht="19" customHeight="1">
      <x:c r="A129" s="2" t="str">
        <x:v>SIM-E1-MP-L3-R03</x:v>
      </x:c>
      <x:c r="B129" s="2" t="n">
        <x:v>2</x:v>
      </x:c>
      <x:c r="C129" s="2" t="str">
        <x:v>MP</x:v>
      </x:c>
      <x:c r="D129" s="2" t="str">
        <x:v>Myzus persicae</x:v>
      </x:c>
      <x:c r="E129" s="2" t="str">
        <x:v>L3</x:v>
      </x:c>
      <x:c r="F129" s="2" t="n">
        <x:v>3</x:v>
      </x:c>
      <x:c r="G129" s="2" t="n">
        <x:v>21</x:v>
      </x:c>
      <x:c r="H129" s="2" t="n">
        <x:f>G129-Supuestos!$C$7</x:f>
        <x:v>20</x:v>
      </x:c>
      <x:c r="I129" s="14" t="n">
        <x:f>E1_plantas!J44+G129</x:f>
        <x:v>46111</x:v>
      </x:c>
      <x:c r="J129" s="2" t="n">
        <x:v>33</x:v>
      </x:c>
      <x:c r="K129" s="2" t="n">
        <x:f>IF(AND(G129&gt;Supuestos!$C$8,E129&lt;&gt;"L0"),1,0)</x:f>
        <x:v>1</x:v>
      </x:c>
      <x:c r="L129" s="2" t="str">
        <x:v>posterior_al_dia_14</x:v>
      </x:c>
      <x:c r="M129" s="2" t="str">
        <x:v>simulado_didactico</x:v>
      </x:c>
    </x:row>
    <x:row r="130" ht="19" customHeight="1">
      <x:c r="A130" s="2" t="str">
        <x:v>SIM-E1-MP-L3-R03</x:v>
      </x:c>
      <x:c r="B130" s="2" t="n">
        <x:v>2</x:v>
      </x:c>
      <x:c r="C130" s="2" t="str">
        <x:v>MP</x:v>
      </x:c>
      <x:c r="D130" s="2" t="str">
        <x:v>Myzus persicae</x:v>
      </x:c>
      <x:c r="E130" s="2" t="str">
        <x:v>L3</x:v>
      </x:c>
      <x:c r="F130" s="2" t="n">
        <x:v>3</x:v>
      </x:c>
      <x:c r="G130" s="2" t="n">
        <x:v>28</x:v>
      </x:c>
      <x:c r="H130" s="2" t="n">
        <x:f>G130-Supuestos!$C$7</x:f>
        <x:v>27</x:v>
      </x:c>
      <x:c r="I130" s="14" t="n">
        <x:f>E1_plantas!J44+G130</x:f>
        <x:v>46118</x:v>
      </x:c>
      <x:c r="J130" s="2" t="n">
        <x:v>94</x:v>
      </x:c>
      <x:c r="K130" s="2" t="n">
        <x:f>IF(AND(G130&gt;Supuestos!$C$8,E130&lt;&gt;"L0"),1,0)</x:f>
        <x:v>1</x:v>
      </x:c>
      <x:c r="L130" s="2" t="str">
        <x:v>posterior_al_dia_14</x:v>
      </x:c>
      <x:c r="M130" s="2" t="str">
        <x:v>simulado_didactico</x:v>
      </x:c>
    </x:row>
    <x:row r="131" ht="19" customHeight="1">
      <x:c r="A131" s="2" t="str">
        <x:v>SIM-E1-MP-L3-R04</x:v>
      </x:c>
      <x:c r="B131" s="2" t="n">
        <x:v>2</x:v>
      </x:c>
      <x:c r="C131" s="2" t="str">
        <x:v>MP</x:v>
      </x:c>
      <x:c r="D131" s="2" t="str">
        <x:v>Myzus persicae</x:v>
      </x:c>
      <x:c r="E131" s="2" t="str">
        <x:v>L3</x:v>
      </x:c>
      <x:c r="F131" s="2" t="n">
        <x:v>4</x:v>
      </x:c>
      <x:c r="G131" s="2" t="n">
        <x:v>14</x:v>
      </x:c>
      <x:c r="H131" s="2" t="n">
        <x:f>G131-Supuestos!$C$7</x:f>
        <x:v>13</x:v>
      </x:c>
      <x:c r="I131" s="14" t="n">
        <x:f>E1_plantas!J45+G131</x:f>
        <x:v>46104</x:v>
      </x:c>
      <x:c r="J131" s="2" t="n">
        <x:v>16</x:v>
      </x:c>
      <x:c r="K131" s="2" t="n">
        <x:f>IF(AND(G131&gt;Supuestos!$C$8,E131&lt;&gt;"L0"),1,0)</x:f>
        <x:v>0</x:v>
      </x:c>
      <x:c r="L131" s="2" t="str">
        <x:v>antes_de_reinoculacion</x:v>
      </x:c>
      <x:c r="M131" s="2" t="str">
        <x:v>simulado_didactico</x:v>
      </x:c>
    </x:row>
    <x:row r="132" ht="19" customHeight="1">
      <x:c r="A132" s="2" t="str">
        <x:v>SIM-E1-MP-L3-R04</x:v>
      </x:c>
      <x:c r="B132" s="2" t="n">
        <x:v>2</x:v>
      </x:c>
      <x:c r="C132" s="2" t="str">
        <x:v>MP</x:v>
      </x:c>
      <x:c r="D132" s="2" t="str">
        <x:v>Myzus persicae</x:v>
      </x:c>
      <x:c r="E132" s="2" t="str">
        <x:v>L3</x:v>
      </x:c>
      <x:c r="F132" s="2" t="n">
        <x:v>4</x:v>
      </x:c>
      <x:c r="G132" s="2" t="n">
        <x:v>21</x:v>
      </x:c>
      <x:c r="H132" s="2" t="n">
        <x:f>G132-Supuestos!$C$7</x:f>
        <x:v>20</x:v>
      </x:c>
      <x:c r="I132" s="14" t="n">
        <x:f>E1_plantas!J45+G132</x:f>
        <x:v>46111</x:v>
      </x:c>
      <x:c r="J132" s="2" t="n">
        <x:v>68</x:v>
      </x:c>
      <x:c r="K132" s="2" t="n">
        <x:f>IF(AND(G132&gt;Supuestos!$C$8,E132&lt;&gt;"L0"),1,0)</x:f>
        <x:v>1</x:v>
      </x:c>
      <x:c r="L132" s="2" t="str">
        <x:v>posterior_al_dia_14</x:v>
      </x:c>
      <x:c r="M132" s="2" t="str">
        <x:v>simulado_didactico</x:v>
      </x:c>
    </x:row>
    <x:row r="133" ht="19" customHeight="1">
      <x:c r="A133" s="2" t="str">
        <x:v>SIM-E1-MP-L3-R04</x:v>
      </x:c>
      <x:c r="B133" s="2" t="n">
        <x:v>2</x:v>
      </x:c>
      <x:c r="C133" s="2" t="str">
        <x:v>MP</x:v>
      </x:c>
      <x:c r="D133" s="2" t="str">
        <x:v>Myzus persicae</x:v>
      </x:c>
      <x:c r="E133" s="2" t="str">
        <x:v>L3</x:v>
      </x:c>
      <x:c r="F133" s="2" t="n">
        <x:v>4</x:v>
      </x:c>
      <x:c r="G133" s="2" t="n">
        <x:v>28</x:v>
      </x:c>
      <x:c r="H133" s="2" t="n">
        <x:f>G133-Supuestos!$C$7</x:f>
        <x:v>27</x:v>
      </x:c>
      <x:c r="I133" s="14" t="n">
        <x:f>E1_plantas!J45+G133</x:f>
        <x:v>46118</x:v>
      </x:c>
      <x:c r="J133" s="2" t="n">
        <x:v>193</x:v>
      </x:c>
      <x:c r="K133" s="2" t="n">
        <x:f>IF(AND(G133&gt;Supuestos!$C$8,E133&lt;&gt;"L0"),1,0)</x:f>
        <x:v>1</x:v>
      </x:c>
      <x:c r="L133" s="2" t="str">
        <x:v>posterior_al_dia_14</x:v>
      </x:c>
      <x:c r="M133" s="2" t="str">
        <x:v>simulado_didactico</x:v>
      </x:c>
    </x:row>
    <x:row r="134" ht="19" customHeight="1">
      <x:c r="A134" s="2" t="str">
        <x:v>SIM-E1-MP-L5-R03</x:v>
      </x:c>
      <x:c r="B134" s="2" t="n">
        <x:v>2</x:v>
      </x:c>
      <x:c r="C134" s="2" t="str">
        <x:v>MP</x:v>
      </x:c>
      <x:c r="D134" s="2" t="str">
        <x:v>Myzus persicae</x:v>
      </x:c>
      <x:c r="E134" s="2" t="str">
        <x:v>L5</x:v>
      </x:c>
      <x:c r="F134" s="2" t="n">
        <x:v>3</x:v>
      </x:c>
      <x:c r="G134" s="2" t="n">
        <x:v>14</x:v>
      </x:c>
      <x:c r="H134" s="2" t="n">
        <x:f>G134-Supuestos!$C$7</x:f>
        <x:v>13</x:v>
      </x:c>
      <x:c r="I134" s="14" t="n">
        <x:f>E1_plantas!J46+G134</x:f>
        <x:v>46104</x:v>
      </x:c>
      <x:c r="J134" s="2" t="n">
        <x:v>2</x:v>
      </x:c>
      <x:c r="K134" s="2" t="n">
        <x:f>IF(AND(G134&gt;Supuestos!$C$8,E134&lt;&gt;"L0"),1,0)</x:f>
        <x:v>0</x:v>
      </x:c>
      <x:c r="L134" s="2" t="str">
        <x:v>antes_de_reinoculacion</x:v>
      </x:c>
      <x:c r="M134" s="2" t="str">
        <x:v>simulado_didactico</x:v>
      </x:c>
    </x:row>
    <x:row r="135" ht="19" customHeight="1">
      <x:c r="A135" s="2" t="str">
        <x:v>SIM-E1-MP-L5-R03</x:v>
      </x:c>
      <x:c r="B135" s="2" t="n">
        <x:v>2</x:v>
      </x:c>
      <x:c r="C135" s="2" t="str">
        <x:v>MP</x:v>
      </x:c>
      <x:c r="D135" s="2" t="str">
        <x:v>Myzus persicae</x:v>
      </x:c>
      <x:c r="E135" s="2" t="str">
        <x:v>L5</x:v>
      </x:c>
      <x:c r="F135" s="2" t="n">
        <x:v>3</x:v>
      </x:c>
      <x:c r="G135" s="2" t="n">
        <x:v>21</x:v>
      </x:c>
      <x:c r="H135" s="2" t="n">
        <x:f>G135-Supuestos!$C$7</x:f>
        <x:v>20</x:v>
      </x:c>
      <x:c r="I135" s="14" t="n">
        <x:f>E1_plantas!J46+G135</x:f>
        <x:v>46111</x:v>
      </x:c>
      <x:c r="J135" s="2" t="n">
        <x:v>33</x:v>
      </x:c>
      <x:c r="K135" s="2" t="n">
        <x:f>IF(AND(G135&gt;Supuestos!$C$8,E135&lt;&gt;"L0"),1,0)</x:f>
        <x:v>1</x:v>
      </x:c>
      <x:c r="L135" s="2" t="str">
        <x:v>posterior_al_dia_14</x:v>
      </x:c>
      <x:c r="M135" s="2" t="str">
        <x:v>simulado_didactico</x:v>
      </x:c>
    </x:row>
    <x:row r="136" ht="19" customHeight="1">
      <x:c r="A136" s="2" t="str">
        <x:v>SIM-E1-MP-L5-R03</x:v>
      </x:c>
      <x:c r="B136" s="2" t="n">
        <x:v>2</x:v>
      </x:c>
      <x:c r="C136" s="2" t="str">
        <x:v>MP</x:v>
      </x:c>
      <x:c r="D136" s="2" t="str">
        <x:v>Myzus persicae</x:v>
      </x:c>
      <x:c r="E136" s="2" t="str">
        <x:v>L5</x:v>
      </x:c>
      <x:c r="F136" s="2" t="n">
        <x:v>3</x:v>
      </x:c>
      <x:c r="G136" s="2" t="n">
        <x:v>28</x:v>
      </x:c>
      <x:c r="H136" s="2" t="n">
        <x:f>G136-Supuestos!$C$7</x:f>
        <x:v>27</x:v>
      </x:c>
      <x:c r="I136" s="14" t="n">
        <x:f>E1_plantas!J46+G136</x:f>
        <x:v>46118</x:v>
      </x:c>
      <x:c r="J136" s="2" t="n">
        <x:v>54</x:v>
      </x:c>
      <x:c r="K136" s="2" t="n">
        <x:f>IF(AND(G136&gt;Supuestos!$C$8,E136&lt;&gt;"L0"),1,0)</x:f>
        <x:v>1</x:v>
      </x:c>
      <x:c r="L136" s="2" t="str">
        <x:v>posterior_al_dia_14</x:v>
      </x:c>
      <x:c r="M136" s="2" t="str">
        <x:v>simulado_didactico</x:v>
      </x:c>
    </x:row>
    <x:row r="137" ht="19" customHeight="1">
      <x:c r="A137" s="2" t="str">
        <x:v>SIM-E1-MP-L5-R04</x:v>
      </x:c>
      <x:c r="B137" s="2" t="n">
        <x:v>2</x:v>
      </x:c>
      <x:c r="C137" s="2" t="str">
        <x:v>MP</x:v>
      </x:c>
      <x:c r="D137" s="2" t="str">
        <x:v>Myzus persicae</x:v>
      </x:c>
      <x:c r="E137" s="2" t="str">
        <x:v>L5</x:v>
      </x:c>
      <x:c r="F137" s="2" t="n">
        <x:v>4</x:v>
      </x:c>
      <x:c r="G137" s="2" t="n">
        <x:v>14</x:v>
      </x:c>
      <x:c r="H137" s="2" t="n">
        <x:f>G137-Supuestos!$C$7</x:f>
        <x:v>13</x:v>
      </x:c>
      <x:c r="I137" s="14" t="n">
        <x:f>E1_plantas!J47+G137</x:f>
        <x:v>46104</x:v>
      </x:c>
      <x:c r="J137" s="2" t="n">
        <x:v>7</x:v>
      </x:c>
      <x:c r="K137" s="2" t="n">
        <x:f>IF(AND(G137&gt;Supuestos!$C$8,E137&lt;&gt;"L0"),1,0)</x:f>
        <x:v>0</x:v>
      </x:c>
      <x:c r="L137" s="2" t="str">
        <x:v>antes_de_reinoculacion</x:v>
      </x:c>
      <x:c r="M137" s="2" t="str">
        <x:v>simulado_didactico</x:v>
      </x:c>
    </x:row>
    <x:row r="138" ht="19" customHeight="1">
      <x:c r="A138" s="2" t="str">
        <x:v>SIM-E1-MP-L5-R04</x:v>
      </x:c>
      <x:c r="B138" s="2" t="n">
        <x:v>2</x:v>
      </x:c>
      <x:c r="C138" s="2" t="str">
        <x:v>MP</x:v>
      </x:c>
      <x:c r="D138" s="2" t="str">
        <x:v>Myzus persicae</x:v>
      </x:c>
      <x:c r="E138" s="2" t="str">
        <x:v>L5</x:v>
      </x:c>
      <x:c r="F138" s="2" t="n">
        <x:v>4</x:v>
      </x:c>
      <x:c r="G138" s="2" t="n">
        <x:v>21</x:v>
      </x:c>
      <x:c r="H138" s="2" t="n">
        <x:f>G138-Supuestos!$C$7</x:f>
        <x:v>20</x:v>
      </x:c>
      <x:c r="I138" s="14" t="n">
        <x:f>E1_plantas!J47+G138</x:f>
        <x:v>46111</x:v>
      </x:c>
      <x:c r="J138" s="2" t="n">
        <x:v>40</x:v>
      </x:c>
      <x:c r="K138" s="2" t="n">
        <x:f>IF(AND(G138&gt;Supuestos!$C$8,E138&lt;&gt;"L0"),1,0)</x:f>
        <x:v>1</x:v>
      </x:c>
      <x:c r="L138" s="2" t="str">
        <x:v>posterior_al_dia_14</x:v>
      </x:c>
      <x:c r="M138" s="2" t="str">
        <x:v>simulado_didactico</x:v>
      </x:c>
    </x:row>
    <x:row r="139" ht="19" customHeight="1">
      <x:c r="A139" s="2" t="str">
        <x:v>SIM-E1-MP-L5-R04</x:v>
      </x:c>
      <x:c r="B139" s="2" t="n">
        <x:v>2</x:v>
      </x:c>
      <x:c r="C139" s="2" t="str">
        <x:v>MP</x:v>
      </x:c>
      <x:c r="D139" s="2" t="str">
        <x:v>Myzus persicae</x:v>
      </x:c>
      <x:c r="E139" s="2" t="str">
        <x:v>L5</x:v>
      </x:c>
      <x:c r="F139" s="2" t="n">
        <x:v>4</x:v>
      </x:c>
      <x:c r="G139" s="2" t="n">
        <x:v>28</x:v>
      </x:c>
      <x:c r="H139" s="2" t="n">
        <x:f>G139-Supuestos!$C$7</x:f>
        <x:v>27</x:v>
      </x:c>
      <x:c r="I139" s="14" t="n">
        <x:f>E1_plantas!J47+G139</x:f>
        <x:v>46118</x:v>
      </x:c>
      <x:c r="J139" s="2" t="n">
        <x:v>90</x:v>
      </x:c>
      <x:c r="K139" s="2" t="n">
        <x:f>IF(AND(G139&gt;Supuestos!$C$8,E139&lt;&gt;"L0"),1,0)</x:f>
        <x:v>1</x:v>
      </x:c>
      <x:c r="L139" s="2" t="str">
        <x:v>posterior_al_dia_14</x:v>
      </x:c>
      <x:c r="M139" s="2" t="str">
        <x:v>simulado_didactico</x:v>
      </x:c>
    </x:row>
    <x:row r="140" ht="19" customHeight="1">
      <x:c r="A140" s="2" t="str">
        <x:v>SIM-E1-MP-L6-R03</x:v>
      </x:c>
      <x:c r="B140" s="2" t="n">
        <x:v>2</x:v>
      </x:c>
      <x:c r="C140" s="2" t="str">
        <x:v>MP</x:v>
      </x:c>
      <x:c r="D140" s="2" t="str">
        <x:v>Myzus persicae</x:v>
      </x:c>
      <x:c r="E140" s="2" t="str">
        <x:v>L6</x:v>
      </x:c>
      <x:c r="F140" s="2" t="n">
        <x:v>3</x:v>
      </x:c>
      <x:c r="G140" s="2" t="n">
        <x:v>14</x:v>
      </x:c>
      <x:c r="H140" s="2" t="n">
        <x:f>G140-Supuestos!$C$7</x:f>
        <x:v>13</x:v>
      </x:c>
      <x:c r="I140" s="14" t="n">
        <x:f>E1_plantas!J48+G140</x:f>
        <x:v>46104</x:v>
      </x:c>
      <x:c r="J140" s="2" t="n">
        <x:v>12</x:v>
      </x:c>
      <x:c r="K140" s="2" t="n">
        <x:f>IF(AND(G140&gt;Supuestos!$C$8,E140&lt;&gt;"L0"),1,0)</x:f>
        <x:v>0</x:v>
      </x:c>
      <x:c r="L140" s="2" t="str">
        <x:v>antes_de_reinoculacion</x:v>
      </x:c>
      <x:c r="M140" s="2" t="str">
        <x:v>simulado_didactico</x:v>
      </x:c>
    </x:row>
    <x:row r="141" ht="19" customHeight="1">
      <x:c r="A141" s="2" t="str">
        <x:v>SIM-E1-MP-L6-R03</x:v>
      </x:c>
      <x:c r="B141" s="2" t="n">
        <x:v>2</x:v>
      </x:c>
      <x:c r="C141" s="2" t="str">
        <x:v>MP</x:v>
      </x:c>
      <x:c r="D141" s="2" t="str">
        <x:v>Myzus persicae</x:v>
      </x:c>
      <x:c r="E141" s="2" t="str">
        <x:v>L6</x:v>
      </x:c>
      <x:c r="F141" s="2" t="n">
        <x:v>3</x:v>
      </x:c>
      <x:c r="G141" s="2" t="n">
        <x:v>21</x:v>
      </x:c>
      <x:c r="H141" s="2" t="n">
        <x:f>G141-Supuestos!$C$7</x:f>
        <x:v>20</x:v>
      </x:c>
      <x:c r="I141" s="14" t="n">
        <x:f>E1_plantas!J48+G141</x:f>
        <x:v>46111</x:v>
      </x:c>
      <x:c r="J141" s="2" t="n">
        <x:v>81</x:v>
      </x:c>
      <x:c r="K141" s="2" t="n">
        <x:f>IF(AND(G141&gt;Supuestos!$C$8,E141&lt;&gt;"L0"),1,0)</x:f>
        <x:v>1</x:v>
      </x:c>
      <x:c r="L141" s="2" t="str">
        <x:v>posterior_al_dia_14</x:v>
      </x:c>
      <x:c r="M141" s="2" t="str">
        <x:v>simulado_didactico</x:v>
      </x:c>
    </x:row>
    <x:row r="142" ht="19" customHeight="1">
      <x:c r="A142" s="2" t="str">
        <x:v>SIM-E1-MP-L6-R03</x:v>
      </x:c>
      <x:c r="B142" s="2" t="n">
        <x:v>2</x:v>
      </x:c>
      <x:c r="C142" s="2" t="str">
        <x:v>MP</x:v>
      </x:c>
      <x:c r="D142" s="2" t="str">
        <x:v>Myzus persicae</x:v>
      </x:c>
      <x:c r="E142" s="2" t="str">
        <x:v>L6</x:v>
      </x:c>
      <x:c r="F142" s="2" t="n">
        <x:v>3</x:v>
      </x:c>
      <x:c r="G142" s="2" t="n">
        <x:v>28</x:v>
      </x:c>
      <x:c r="H142" s="2" t="n">
        <x:f>G142-Supuestos!$C$7</x:f>
        <x:v>27</x:v>
      </x:c>
      <x:c r="I142" s="14" t="n">
        <x:f>E1_plantas!J48+G142</x:f>
        <x:v>46118</x:v>
      </x:c>
      <x:c r="J142" s="2" t="n">
        <x:v>215</x:v>
      </x:c>
      <x:c r="K142" s="2" t="n">
        <x:f>IF(AND(G142&gt;Supuestos!$C$8,E142&lt;&gt;"L0"),1,0)</x:f>
        <x:v>1</x:v>
      </x:c>
      <x:c r="L142" s="2" t="str">
        <x:v>posterior_al_dia_14</x:v>
      </x:c>
      <x:c r="M142" s="2" t="str">
        <x:v>simulado_didactico</x:v>
      </x:c>
    </x:row>
    <x:row r="143" ht="19" customHeight="1">
      <x:c r="A143" s="2" t="str">
        <x:v>SIM-E1-MP-L6-R04</x:v>
      </x:c>
      <x:c r="B143" s="2" t="n">
        <x:v>2</x:v>
      </x:c>
      <x:c r="C143" s="2" t="str">
        <x:v>MP</x:v>
      </x:c>
      <x:c r="D143" s="2" t="str">
        <x:v>Myzus persicae</x:v>
      </x:c>
      <x:c r="E143" s="2" t="str">
        <x:v>L6</x:v>
      </x:c>
      <x:c r="F143" s="2" t="n">
        <x:v>4</x:v>
      </x:c>
      <x:c r="G143" s="2" t="n">
        <x:v>14</x:v>
      </x:c>
      <x:c r="H143" s="2" t="n">
        <x:f>G143-Supuestos!$C$7</x:f>
        <x:v>13</x:v>
      </x:c>
      <x:c r="I143" s="14" t="n">
        <x:f>E1_plantas!J49+G143</x:f>
        <x:v>46104</x:v>
      </x:c>
      <x:c r="J143" s="2" t="n">
        <x:v>25</x:v>
      </x:c>
      <x:c r="K143" s="2" t="n">
        <x:f>IF(AND(G143&gt;Supuestos!$C$8,E143&lt;&gt;"L0"),1,0)</x:f>
        <x:v>0</x:v>
      </x:c>
      <x:c r="L143" s="2" t="str">
        <x:v>antes_de_reinoculacion</x:v>
      </x:c>
      <x:c r="M143" s="2" t="str">
        <x:v>simulado_didactico</x:v>
      </x:c>
    </x:row>
    <x:row r="144" ht="19" customHeight="1">
      <x:c r="A144" s="2" t="str">
        <x:v>SIM-E1-MP-L6-R04</x:v>
      </x:c>
      <x:c r="B144" s="2" t="n">
        <x:v>2</x:v>
      </x:c>
      <x:c r="C144" s="2" t="str">
        <x:v>MP</x:v>
      </x:c>
      <x:c r="D144" s="2" t="str">
        <x:v>Myzus persicae</x:v>
      </x:c>
      <x:c r="E144" s="2" t="str">
        <x:v>L6</x:v>
      </x:c>
      <x:c r="F144" s="2" t="n">
        <x:v>4</x:v>
      </x:c>
      <x:c r="G144" s="2" t="n">
        <x:v>21</x:v>
      </x:c>
      <x:c r="H144" s="2" t="n">
        <x:f>G144-Supuestos!$C$7</x:f>
        <x:v>20</x:v>
      </x:c>
      <x:c r="I144" s="14" t="n">
        <x:f>E1_plantas!J49+G144</x:f>
        <x:v>46111</x:v>
      </x:c>
      <x:c r="J144" s="2" t="n">
        <x:v>141</x:v>
      </x:c>
      <x:c r="K144" s="2" t="n">
        <x:f>IF(AND(G144&gt;Supuestos!$C$8,E144&lt;&gt;"L0"),1,0)</x:f>
        <x:v>1</x:v>
      </x:c>
      <x:c r="L144" s="2" t="str">
        <x:v>posterior_al_dia_14</x:v>
      </x:c>
      <x:c r="M144" s="2" t="str">
        <x:v>simulado_didactico</x:v>
      </x:c>
    </x:row>
    <x:row r="145" ht="19" customHeight="1">
      <x:c r="A145" s="2" t="str">
        <x:v>SIM-E1-MP-L6-R04</x:v>
      </x:c>
      <x:c r="B145" s="2" t="n">
        <x:v>2</x:v>
      </x:c>
      <x:c r="C145" s="2" t="str">
        <x:v>MP</x:v>
      </x:c>
      <x:c r="D145" s="2" t="str">
        <x:v>Myzus persicae</x:v>
      </x:c>
      <x:c r="E145" s="2" t="str">
        <x:v>L6</x:v>
      </x:c>
      <x:c r="F145" s="2" t="n">
        <x:v>4</x:v>
      </x:c>
      <x:c r="G145" s="2" t="n">
        <x:v>28</x:v>
      </x:c>
      <x:c r="H145" s="2" t="n">
        <x:f>G145-Supuestos!$C$7</x:f>
        <x:v>27</x:v>
      </x:c>
      <x:c r="I145" s="14" t="n">
        <x:f>E1_plantas!J49+G145</x:f>
        <x:v>46118</x:v>
      </x:c>
      <x:c r="J145" s="2" t="n">
        <x:v>316</x:v>
      </x:c>
      <x:c r="K145" s="2" t="n">
        <x:f>IF(AND(G145&gt;Supuestos!$C$8,E145&lt;&gt;"L0"),1,0)</x:f>
        <x:v>1</x:v>
      </x:c>
      <x:c r="L145" s="2" t="str">
        <x:v>posterior_al_dia_14</x:v>
      </x:c>
      <x:c r="M145" s="2" t="str">
        <x:v>simulado_didactico</x:v>
      </x:c>
    </x:row>
    <x:row r="146" ht="19" customHeight="1">
      <x:c r="A146" s="2" t="str">
        <x:v>SIM-E1-MP-L7-R03</x:v>
      </x:c>
      <x:c r="B146" s="2" t="n">
        <x:v>2</x:v>
      </x:c>
      <x:c r="C146" s="2" t="str">
        <x:v>MP</x:v>
      </x:c>
      <x:c r="D146" s="2" t="str">
        <x:v>Myzus persicae</x:v>
      </x:c>
      <x:c r="E146" s="2" t="str">
        <x:v>L7</x:v>
      </x:c>
      <x:c r="F146" s="2" t="n">
        <x:v>3</x:v>
      </x:c>
      <x:c r="G146" s="2" t="n">
        <x:v>14</x:v>
      </x:c>
      <x:c r="H146" s="2" t="n">
        <x:f>G146-Supuestos!$C$7</x:f>
        <x:v>13</x:v>
      </x:c>
      <x:c r="I146" s="14" t="n">
        <x:f>E1_plantas!J50+G146</x:f>
        <x:v>46104</x:v>
      </x:c>
      <x:c r="J146" s="2" t="n">
        <x:v>10</x:v>
      </x:c>
      <x:c r="K146" s="2" t="n">
        <x:f>IF(AND(G146&gt;Supuestos!$C$8,E146&lt;&gt;"L0"),1,0)</x:f>
        <x:v>0</x:v>
      </x:c>
      <x:c r="L146" s="2" t="str">
        <x:v>antes_de_reinoculacion</x:v>
      </x:c>
      <x:c r="M146" s="2" t="str">
        <x:v>simulado_didactico</x:v>
      </x:c>
    </x:row>
    <x:row r="147" ht="19" customHeight="1">
      <x:c r="A147" s="2" t="str">
        <x:v>SIM-E1-MP-L7-R03</x:v>
      </x:c>
      <x:c r="B147" s="2" t="n">
        <x:v>2</x:v>
      </x:c>
      <x:c r="C147" s="2" t="str">
        <x:v>MP</x:v>
      </x:c>
      <x:c r="D147" s="2" t="str">
        <x:v>Myzus persicae</x:v>
      </x:c>
      <x:c r="E147" s="2" t="str">
        <x:v>L7</x:v>
      </x:c>
      <x:c r="F147" s="2" t="n">
        <x:v>3</x:v>
      </x:c>
      <x:c r="G147" s="2" t="n">
        <x:v>21</x:v>
      </x:c>
      <x:c r="H147" s="2" t="n">
        <x:f>G147-Supuestos!$C$7</x:f>
        <x:v>20</x:v>
      </x:c>
      <x:c r="I147" s="14" t="n">
        <x:f>E1_plantas!J50+G147</x:f>
        <x:v>46111</x:v>
      </x:c>
      <x:c r="J147" s="2" t="n">
        <x:v>28</x:v>
      </x:c>
      <x:c r="K147" s="2" t="n">
        <x:f>IF(AND(G147&gt;Supuestos!$C$8,E147&lt;&gt;"L0"),1,0)</x:f>
        <x:v>1</x:v>
      </x:c>
      <x:c r="L147" s="2" t="str">
        <x:v>posterior_al_dia_14</x:v>
      </x:c>
      <x:c r="M147" s="2" t="str">
        <x:v>simulado_didactico</x:v>
      </x:c>
    </x:row>
    <x:row r="148" ht="19" customHeight="1">
      <x:c r="A148" s="2" t="str">
        <x:v>SIM-E1-MP-L7-R03</x:v>
      </x:c>
      <x:c r="B148" s="2" t="n">
        <x:v>2</x:v>
      </x:c>
      <x:c r="C148" s="2" t="str">
        <x:v>MP</x:v>
      </x:c>
      <x:c r="D148" s="2" t="str">
        <x:v>Myzus persicae</x:v>
      </x:c>
      <x:c r="E148" s="2" t="str">
        <x:v>L7</x:v>
      </x:c>
      <x:c r="F148" s="2" t="n">
        <x:v>3</x:v>
      </x:c>
      <x:c r="G148" s="2" t="n">
        <x:v>28</x:v>
      </x:c>
      <x:c r="H148" s="2" t="n">
        <x:f>G148-Supuestos!$C$7</x:f>
        <x:v>27</x:v>
      </x:c>
      <x:c r="I148" s="14" t="n">
        <x:f>E1_plantas!J50+G148</x:f>
        <x:v>46118</x:v>
      </x:c>
      <x:c r="J148" s="2" t="n">
        <x:v>76</x:v>
      </x:c>
      <x:c r="K148" s="2" t="n">
        <x:f>IF(AND(G148&gt;Supuestos!$C$8,E148&lt;&gt;"L0"),1,0)</x:f>
        <x:v>1</x:v>
      </x:c>
      <x:c r="L148" s="2" t="str">
        <x:v>posterior_al_dia_14</x:v>
      </x:c>
      <x:c r="M148" s="2" t="str">
        <x:v>simulado_didactico</x:v>
      </x:c>
    </x:row>
    <x:row r="149" ht="19" customHeight="1">
      <x:c r="A149" s="2" t="str">
        <x:v>SIM-E1-MP-L7-R04</x:v>
      </x:c>
      <x:c r="B149" s="2" t="n">
        <x:v>2</x:v>
      </x:c>
      <x:c r="C149" s="2" t="str">
        <x:v>MP</x:v>
      </x:c>
      <x:c r="D149" s="2" t="str">
        <x:v>Myzus persicae</x:v>
      </x:c>
      <x:c r="E149" s="2" t="str">
        <x:v>L7</x:v>
      </x:c>
      <x:c r="F149" s="2" t="n">
        <x:v>4</x:v>
      </x:c>
      <x:c r="G149" s="2" t="n">
        <x:v>14</x:v>
      </x:c>
      <x:c r="H149" s="2" t="n">
        <x:f>G149-Supuestos!$C$7</x:f>
        <x:v>13</x:v>
      </x:c>
      <x:c r="I149" s="14" t="n">
        <x:f>E1_plantas!J51+G149</x:f>
        <x:v>46104</x:v>
      </x:c>
      <x:c r="J149" s="2" t="n">
        <x:v>13</x:v>
      </x:c>
      <x:c r="K149" s="2" t="n">
        <x:f>IF(AND(G149&gt;Supuestos!$C$8,E149&lt;&gt;"L0"),1,0)</x:f>
        <x:v>0</x:v>
      </x:c>
      <x:c r="L149" s="2" t="str">
        <x:v>antes_de_reinoculacion</x:v>
      </x:c>
      <x:c r="M149" s="2" t="str">
        <x:v>simulado_didactico</x:v>
      </x:c>
    </x:row>
    <x:row r="150" ht="19" customHeight="1">
      <x:c r="A150" s="2" t="str">
        <x:v>SIM-E1-MP-L7-R04</x:v>
      </x:c>
      <x:c r="B150" s="2" t="n">
        <x:v>2</x:v>
      </x:c>
      <x:c r="C150" s="2" t="str">
        <x:v>MP</x:v>
      </x:c>
      <x:c r="D150" s="2" t="str">
        <x:v>Myzus persicae</x:v>
      </x:c>
      <x:c r="E150" s="2" t="str">
        <x:v>L7</x:v>
      </x:c>
      <x:c r="F150" s="2" t="n">
        <x:v>4</x:v>
      </x:c>
      <x:c r="G150" s="2" t="n">
        <x:v>21</x:v>
      </x:c>
      <x:c r="H150" s="2" t="n">
        <x:f>G150-Supuestos!$C$7</x:f>
        <x:v>20</x:v>
      </x:c>
      <x:c r="I150" s="14" t="n">
        <x:f>E1_plantas!J51+G150</x:f>
        <x:v>46111</x:v>
      </x:c>
      <x:c r="J150" s="2" t="n">
        <x:v>38</x:v>
      </x:c>
      <x:c r="K150" s="2" t="n">
        <x:f>IF(AND(G150&gt;Supuestos!$C$8,E150&lt;&gt;"L0"),1,0)</x:f>
        <x:v>1</x:v>
      </x:c>
      <x:c r="L150" s="2" t="str">
        <x:v>posterior_al_dia_14</x:v>
      </x:c>
      <x:c r="M150" s="2" t="str">
        <x:v>simulado_didactico</x:v>
      </x:c>
    </x:row>
    <x:row r="151" ht="19" customHeight="1">
      <x:c r="A151" s="2" t="str">
        <x:v>SIM-E1-MP-L7-R04</x:v>
      </x:c>
      <x:c r="B151" s="2" t="n">
        <x:v>2</x:v>
      </x:c>
      <x:c r="C151" s="2" t="str">
        <x:v>MP</x:v>
      </x:c>
      <x:c r="D151" s="2" t="str">
        <x:v>Myzus persicae</x:v>
      </x:c>
      <x:c r="E151" s="2" t="str">
        <x:v>L7</x:v>
      </x:c>
      <x:c r="F151" s="2" t="n">
        <x:v>4</x:v>
      </x:c>
      <x:c r="G151" s="2" t="n">
        <x:v>28</x:v>
      </x:c>
      <x:c r="H151" s="2" t="n">
        <x:f>G151-Supuestos!$C$7</x:f>
        <x:v>27</x:v>
      </x:c>
      <x:c r="I151" s="14" t="n">
        <x:f>E1_plantas!J51+G151</x:f>
        <x:v>46118</x:v>
      </x:c>
      <x:c r="J151" s="2" t="n">
        <x:v>58</x:v>
      </x:c>
      <x:c r="K151" s="2" t="n">
        <x:f>IF(AND(G151&gt;Supuestos!$C$8,E151&lt;&gt;"L0"),1,0)</x:f>
        <x:v>1</x:v>
      </x:c>
      <x:c r="L151" s="2" t="str">
        <x:v>posterior_al_dia_14</x:v>
      </x:c>
      <x:c r="M151" s="2" t="str">
        <x:v>simulado_didactico</x:v>
      </x:c>
    </x:row>
    <x:row r="152" ht="19" customHeight="1">
      <x:c r="A152" s="2" t="str">
        <x:v>SIM-E1-MP-L8-R03</x:v>
      </x:c>
      <x:c r="B152" s="2" t="n">
        <x:v>2</x:v>
      </x:c>
      <x:c r="C152" s="2" t="str">
        <x:v>MP</x:v>
      </x:c>
      <x:c r="D152" s="2" t="str">
        <x:v>Myzus persicae</x:v>
      </x:c>
      <x:c r="E152" s="2" t="str">
        <x:v>L8</x:v>
      </x:c>
      <x:c r="F152" s="2" t="n">
        <x:v>3</x:v>
      </x:c>
      <x:c r="G152" s="2" t="n">
        <x:v>14</x:v>
      </x:c>
      <x:c r="H152" s="2" t="n">
        <x:f>G152-Supuestos!$C$7</x:f>
        <x:v>13</x:v>
      </x:c>
      <x:c r="I152" s="14" t="n">
        <x:f>E1_plantas!J52+G152</x:f>
        <x:v>46104</x:v>
      </x:c>
      <x:c r="J152" s="2" t="n">
        <x:v>4</x:v>
      </x:c>
      <x:c r="K152" s="2" t="n">
        <x:f>IF(AND(G152&gt;Supuestos!$C$8,E152&lt;&gt;"L0"),1,0)</x:f>
        <x:v>0</x:v>
      </x:c>
      <x:c r="L152" s="2" t="str">
        <x:v>antes_de_reinoculacion</x:v>
      </x:c>
      <x:c r="M152" s="2" t="str">
        <x:v>simulado_didactico</x:v>
      </x:c>
    </x:row>
    <x:row r="153" ht="19" customHeight="1">
      <x:c r="A153" s="2" t="str">
        <x:v>SIM-E1-MP-L8-R03</x:v>
      </x:c>
      <x:c r="B153" s="2" t="n">
        <x:v>2</x:v>
      </x:c>
      <x:c r="C153" s="2" t="str">
        <x:v>MP</x:v>
      </x:c>
      <x:c r="D153" s="2" t="str">
        <x:v>Myzus persicae</x:v>
      </x:c>
      <x:c r="E153" s="2" t="str">
        <x:v>L8</x:v>
      </x:c>
      <x:c r="F153" s="2" t="n">
        <x:v>3</x:v>
      </x:c>
      <x:c r="G153" s="2" t="n">
        <x:v>21</x:v>
      </x:c>
      <x:c r="H153" s="2" t="n">
        <x:f>G153-Supuestos!$C$7</x:f>
        <x:v>20</x:v>
      </x:c>
      <x:c r="I153" s="14" t="n">
        <x:f>E1_plantas!J52+G153</x:f>
        <x:v>46111</x:v>
      </x:c>
      <x:c r="J153" s="2" t="n">
        <x:v>16</x:v>
      </x:c>
      <x:c r="K153" s="2" t="n">
        <x:f>IF(AND(G153&gt;Supuestos!$C$8,E153&lt;&gt;"L0"),1,0)</x:f>
        <x:v>1</x:v>
      </x:c>
      <x:c r="L153" s="2" t="str">
        <x:v>posterior_al_dia_14</x:v>
      </x:c>
      <x:c r="M153" s="2" t="str">
        <x:v>simulado_didactico</x:v>
      </x:c>
    </x:row>
    <x:row r="154" ht="19" customHeight="1">
      <x:c r="A154" s="2" t="str">
        <x:v>SIM-E1-MP-L8-R03</x:v>
      </x:c>
      <x:c r="B154" s="2" t="n">
        <x:v>2</x:v>
      </x:c>
      <x:c r="C154" s="2" t="str">
        <x:v>MP</x:v>
      </x:c>
      <x:c r="D154" s="2" t="str">
        <x:v>Myzus persicae</x:v>
      </x:c>
      <x:c r="E154" s="2" t="str">
        <x:v>L8</x:v>
      </x:c>
      <x:c r="F154" s="2" t="n">
        <x:v>3</x:v>
      </x:c>
      <x:c r="G154" s="2" t="n">
        <x:v>28</x:v>
      </x:c>
      <x:c r="H154" s="2" t="n">
        <x:f>G154-Supuestos!$C$7</x:f>
        <x:v>27</x:v>
      </x:c>
      <x:c r="I154" s="14" t="n">
        <x:f>E1_plantas!J52+G154</x:f>
        <x:v>46118</x:v>
      </x:c>
      <x:c r="J154" s="2" t="n">
        <x:v>76</x:v>
      </x:c>
      <x:c r="K154" s="2" t="n">
        <x:f>IF(AND(G154&gt;Supuestos!$C$8,E154&lt;&gt;"L0"),1,0)</x:f>
        <x:v>1</x:v>
      </x:c>
      <x:c r="L154" s="2" t="str">
        <x:v>posterior_al_dia_14</x:v>
      </x:c>
      <x:c r="M154" s="2" t="str">
        <x:v>simulado_didactico</x:v>
      </x:c>
    </x:row>
    <x:row r="155" ht="19" customHeight="1">
      <x:c r="A155" s="2" t="str">
        <x:v>SIM-E1-MP-L8-R04</x:v>
      </x:c>
      <x:c r="B155" s="2" t="n">
        <x:v>2</x:v>
      </x:c>
      <x:c r="C155" s="2" t="str">
        <x:v>MP</x:v>
      </x:c>
      <x:c r="D155" s="2" t="str">
        <x:v>Myzus persicae</x:v>
      </x:c>
      <x:c r="E155" s="2" t="str">
        <x:v>L8</x:v>
      </x:c>
      <x:c r="F155" s="2" t="n">
        <x:v>4</x:v>
      </x:c>
      <x:c r="G155" s="2" t="n">
        <x:v>14</x:v>
      </x:c>
      <x:c r="H155" s="2" t="n">
        <x:f>G155-Supuestos!$C$7</x:f>
        <x:v>13</x:v>
      </x:c>
      <x:c r="I155" s="14" t="n">
        <x:f>E1_plantas!J53+G155</x:f>
        <x:v>46104</x:v>
      </x:c>
      <x:c r="J155" s="2" t="n">
        <x:v>17</x:v>
      </x:c>
      <x:c r="K155" s="2" t="n">
        <x:f>IF(AND(G155&gt;Supuestos!$C$8,E155&lt;&gt;"L0"),1,0)</x:f>
        <x:v>0</x:v>
      </x:c>
      <x:c r="L155" s="2" t="str">
        <x:v>antes_de_reinoculacion</x:v>
      </x:c>
      <x:c r="M155" s="2" t="str">
        <x:v>simulado_didactico</x:v>
      </x:c>
    </x:row>
    <x:row r="156" ht="19" customHeight="1">
      <x:c r="A156" s="2" t="str">
        <x:v>SIM-E1-MP-L8-R04</x:v>
      </x:c>
      <x:c r="B156" s="2" t="n">
        <x:v>2</x:v>
      </x:c>
      <x:c r="C156" s="2" t="str">
        <x:v>MP</x:v>
      </x:c>
      <x:c r="D156" s="2" t="str">
        <x:v>Myzus persicae</x:v>
      </x:c>
      <x:c r="E156" s="2" t="str">
        <x:v>L8</x:v>
      </x:c>
      <x:c r="F156" s="2" t="n">
        <x:v>4</x:v>
      </x:c>
      <x:c r="G156" s="2" t="n">
        <x:v>21</x:v>
      </x:c>
      <x:c r="H156" s="2" t="n">
        <x:f>G156-Supuestos!$C$7</x:f>
        <x:v>20</x:v>
      </x:c>
      <x:c r="I156" s="14" t="n">
        <x:f>E1_plantas!J53+G156</x:f>
        <x:v>46111</x:v>
      </x:c>
      <x:c r="J156" s="2" t="n">
        <x:v>39</x:v>
      </x:c>
      <x:c r="K156" s="2" t="n">
        <x:f>IF(AND(G156&gt;Supuestos!$C$8,E156&lt;&gt;"L0"),1,0)</x:f>
        <x:v>1</x:v>
      </x:c>
      <x:c r="L156" s="2" t="str">
        <x:v>posterior_al_dia_14</x:v>
      </x:c>
      <x:c r="M156" s="2" t="str">
        <x:v>simulado_didactico</x:v>
      </x:c>
    </x:row>
    <x:row r="157" ht="19" customHeight="1">
      <x:c r="A157" s="2" t="str">
        <x:v>SIM-E1-MP-L8-R04</x:v>
      </x:c>
      <x:c r="B157" s="2" t="n">
        <x:v>2</x:v>
      </x:c>
      <x:c r="C157" s="2" t="str">
        <x:v>MP</x:v>
      </x:c>
      <x:c r="D157" s="2" t="str">
        <x:v>Myzus persicae</x:v>
      </x:c>
      <x:c r="E157" s="2" t="str">
        <x:v>L8</x:v>
      </x:c>
      <x:c r="F157" s="2" t="n">
        <x:v>4</x:v>
      </x:c>
      <x:c r="G157" s="2" t="n">
        <x:v>28</x:v>
      </x:c>
      <x:c r="H157" s="2" t="n">
        <x:f>G157-Supuestos!$C$7</x:f>
        <x:v>27</x:v>
      </x:c>
      <x:c r="I157" s="14" t="n">
        <x:f>E1_plantas!J53+G157</x:f>
        <x:v>46118</x:v>
      </x:c>
      <x:c r="J157" s="2" t="n">
        <x:v>141</x:v>
      </x:c>
      <x:c r="K157" s="2" t="n">
        <x:f>IF(AND(G157&gt;Supuestos!$C$8,E157&lt;&gt;"L0"),1,0)</x:f>
        <x:v>1</x:v>
      </x:c>
      <x:c r="L157" s="2" t="str">
        <x:v>posterior_al_dia_14</x:v>
      </x:c>
      <x:c r="M157" s="2" t="str">
        <x:v>simulado_didactico</x:v>
      </x:c>
    </x:row>
    <x:row r="158" ht="19" customHeight="1">
      <x:c r="A158" s="2" t="str">
        <x:v>SIM-E1-MP-L9-R03</x:v>
      </x:c>
      <x:c r="B158" s="2" t="n">
        <x:v>2</x:v>
      </x:c>
      <x:c r="C158" s="2" t="str">
        <x:v>MP</x:v>
      </x:c>
      <x:c r="D158" s="2" t="str">
        <x:v>Myzus persicae</x:v>
      </x:c>
      <x:c r="E158" s="2" t="str">
        <x:v>L9</x:v>
      </x:c>
      <x:c r="F158" s="2" t="n">
        <x:v>3</x:v>
      </x:c>
      <x:c r="G158" s="2" t="n">
        <x:v>14</x:v>
      </x:c>
      <x:c r="H158" s="2" t="n">
        <x:f>G158-Supuestos!$C$7</x:f>
        <x:v>13</x:v>
      </x:c>
      <x:c r="I158" s="14" t="n">
        <x:f>E1_plantas!J54+G158</x:f>
        <x:v>46104</x:v>
      </x:c>
      <x:c r="J158" s="2" t="n">
        <x:v>13</x:v>
      </x:c>
      <x:c r="K158" s="2" t="n">
        <x:f>IF(AND(G158&gt;Supuestos!$C$8,E158&lt;&gt;"L0"),1,0)</x:f>
        <x:v>0</x:v>
      </x:c>
      <x:c r="L158" s="2" t="str">
        <x:v>antes_de_reinoculacion</x:v>
      </x:c>
      <x:c r="M158" s="2" t="str">
        <x:v>simulado_didactico</x:v>
      </x:c>
    </x:row>
    <x:row r="159" ht="19" customHeight="1">
      <x:c r="A159" s="2" t="str">
        <x:v>SIM-E1-MP-L9-R03</x:v>
      </x:c>
      <x:c r="B159" s="2" t="n">
        <x:v>2</x:v>
      </x:c>
      <x:c r="C159" s="2" t="str">
        <x:v>MP</x:v>
      </x:c>
      <x:c r="D159" s="2" t="str">
        <x:v>Myzus persicae</x:v>
      </x:c>
      <x:c r="E159" s="2" t="str">
        <x:v>L9</x:v>
      </x:c>
      <x:c r="F159" s="2" t="n">
        <x:v>3</x:v>
      </x:c>
      <x:c r="G159" s="2" t="n">
        <x:v>21</x:v>
      </x:c>
      <x:c r="H159" s="2" t="n">
        <x:f>G159-Supuestos!$C$7</x:f>
        <x:v>20</x:v>
      </x:c>
      <x:c r="I159" s="14" t="n">
        <x:f>E1_plantas!J54+G159</x:f>
        <x:v>46111</x:v>
      </x:c>
      <x:c r="J159" s="2" t="n">
        <x:v>48</x:v>
      </x:c>
      <x:c r="K159" s="2" t="n">
        <x:f>IF(AND(G159&gt;Supuestos!$C$8,E159&lt;&gt;"L0"),1,0)</x:f>
        <x:v>1</x:v>
      </x:c>
      <x:c r="L159" s="2" t="str">
        <x:v>posterior_al_dia_14</x:v>
      </x:c>
      <x:c r="M159" s="2" t="str">
        <x:v>simulado_didactico</x:v>
      </x:c>
    </x:row>
    <x:row r="160" ht="19" customHeight="1">
      <x:c r="A160" s="2" t="str">
        <x:v>SIM-E1-MP-L9-R03</x:v>
      </x:c>
      <x:c r="B160" s="2" t="n">
        <x:v>2</x:v>
      </x:c>
      <x:c r="C160" s="2" t="str">
        <x:v>MP</x:v>
      </x:c>
      <x:c r="D160" s="2" t="str">
        <x:v>Myzus persicae</x:v>
      </x:c>
      <x:c r="E160" s="2" t="str">
        <x:v>L9</x:v>
      </x:c>
      <x:c r="F160" s="2" t="n">
        <x:v>3</x:v>
      </x:c>
      <x:c r="G160" s="2" t="n">
        <x:v>28</x:v>
      </x:c>
      <x:c r="H160" s="2" t="n">
        <x:f>G160-Supuestos!$C$7</x:f>
        <x:v>27</x:v>
      </x:c>
      <x:c r="I160" s="14" t="n">
        <x:f>E1_plantas!J54+G160</x:f>
        <x:v>46118</x:v>
      </x:c>
      <x:c r="J160" s="2" t="n">
        <x:v>137</x:v>
      </x:c>
      <x:c r="K160" s="2" t="n">
        <x:f>IF(AND(G160&gt;Supuestos!$C$8,E160&lt;&gt;"L0"),1,0)</x:f>
        <x:v>1</x:v>
      </x:c>
      <x:c r="L160" s="2" t="str">
        <x:v>posterior_al_dia_14</x:v>
      </x:c>
      <x:c r="M160" s="2" t="str">
        <x:v>simulado_didactico</x:v>
      </x:c>
    </x:row>
    <x:row r="161" ht="19" customHeight="1">
      <x:c r="A161" s="2" t="str">
        <x:v>SIM-E1-MP-L9-R04</x:v>
      </x:c>
      <x:c r="B161" s="2" t="n">
        <x:v>2</x:v>
      </x:c>
      <x:c r="C161" s="2" t="str">
        <x:v>MP</x:v>
      </x:c>
      <x:c r="D161" s="2" t="str">
        <x:v>Myzus persicae</x:v>
      </x:c>
      <x:c r="E161" s="2" t="str">
        <x:v>L9</x:v>
      </x:c>
      <x:c r="F161" s="2" t="n">
        <x:v>4</x:v>
      </x:c>
      <x:c r="G161" s="2" t="n">
        <x:v>14</x:v>
      </x:c>
      <x:c r="H161" s="2" t="n">
        <x:f>G161-Supuestos!$C$7</x:f>
        <x:v>13</x:v>
      </x:c>
      <x:c r="I161" s="14" t="n">
        <x:f>E1_plantas!J55+G161</x:f>
        <x:v>46104</x:v>
      </x:c>
      <x:c r="J161" s="2" t="n">
        <x:v>36</x:v>
      </x:c>
      <x:c r="K161" s="2" t="n">
        <x:f>IF(AND(G161&gt;Supuestos!$C$8,E161&lt;&gt;"L0"),1,0)</x:f>
        <x:v>0</x:v>
      </x:c>
      <x:c r="L161" s="2" t="str">
        <x:v>antes_de_reinoculacion</x:v>
      </x:c>
      <x:c r="M161" s="2" t="str">
        <x:v>simulado_didactico</x:v>
      </x:c>
    </x:row>
    <x:row r="162" ht="19" customHeight="1">
      <x:c r="A162" s="2" t="str">
        <x:v>SIM-E1-MP-L9-R04</x:v>
      </x:c>
      <x:c r="B162" s="2" t="n">
        <x:v>2</x:v>
      </x:c>
      <x:c r="C162" s="2" t="str">
        <x:v>MP</x:v>
      </x:c>
      <x:c r="D162" s="2" t="str">
        <x:v>Myzus persicae</x:v>
      </x:c>
      <x:c r="E162" s="2" t="str">
        <x:v>L9</x:v>
      </x:c>
      <x:c r="F162" s="2" t="n">
        <x:v>4</x:v>
      </x:c>
      <x:c r="G162" s="2" t="n">
        <x:v>21</x:v>
      </x:c>
      <x:c r="H162" s="2" t="n">
        <x:f>G162-Supuestos!$C$7</x:f>
        <x:v>20</x:v>
      </x:c>
      <x:c r="I162" s="14" t="n">
        <x:f>E1_plantas!J55+G162</x:f>
        <x:v>46111</x:v>
      </x:c>
      <x:c r="J162" s="2" t="n">
        <x:v>193</x:v>
      </x:c>
      <x:c r="K162" s="2" t="n">
        <x:f>IF(AND(G162&gt;Supuestos!$C$8,E162&lt;&gt;"L0"),1,0)</x:f>
        <x:v>1</x:v>
      </x:c>
      <x:c r="L162" s="2" t="str">
        <x:v>posterior_al_dia_14</x:v>
      </x:c>
      <x:c r="M162" s="2" t="str">
        <x:v>simulado_didactico</x:v>
      </x:c>
    </x:row>
    <x:row r="163" ht="19" customHeight="1">
      <x:c r="A163" s="2" t="str">
        <x:v>SIM-E1-MP-L9-R04</x:v>
      </x:c>
      <x:c r="B163" s="2" t="n">
        <x:v>2</x:v>
      </x:c>
      <x:c r="C163" s="2" t="str">
        <x:v>MP</x:v>
      </x:c>
      <x:c r="D163" s="2" t="str">
        <x:v>Myzus persicae</x:v>
      </x:c>
      <x:c r="E163" s="2" t="str">
        <x:v>L9</x:v>
      </x:c>
      <x:c r="F163" s="2" t="n">
        <x:v>4</x:v>
      </x:c>
      <x:c r="G163" s="2" t="n">
        <x:v>28</x:v>
      </x:c>
      <x:c r="H163" s="2" t="n">
        <x:f>G163-Supuestos!$C$7</x:f>
        <x:v>27</x:v>
      </x:c>
      <x:c r="I163" s="14" t="n">
        <x:f>E1_plantas!J55+G163</x:f>
        <x:v>46118</x:v>
      </x:c>
      <x:c r="J163" s="2" t="n">
        <x:v>562</x:v>
      </x:c>
      <x:c r="K163" s="2" t="n">
        <x:f>IF(AND(G163&gt;Supuestos!$C$8,E163&lt;&gt;"L0"),1,0)</x:f>
        <x:v>1</x:v>
      </x:c>
      <x:c r="L163" s="2" t="str">
        <x:v>posterior_al_dia_14</x:v>
      </x:c>
      <x:c r="M163" s="2" t="str">
        <x:v>simulado_didactico</x:v>
      </x:c>
    </x:row>
    <x:row r="164" ht="19" customHeight="1">
      <x:c r="A164" s="2" t="str">
        <x:v>SIM-E1-BB-L0-R03</x:v>
      </x:c>
      <x:c r="B164" s="2" t="n">
        <x:v>2</x:v>
      </x:c>
      <x:c r="C164" s="2" t="str">
        <x:v>BB</x:v>
      </x:c>
      <x:c r="D164" s="2" t="str">
        <x:v>Brevicoryne brassicae</x:v>
      </x:c>
      <x:c r="E164" s="2" t="str">
        <x:v>L0</x:v>
      </x:c>
      <x:c r="F164" s="2" t="n">
        <x:v>3</x:v>
      </x:c>
      <x:c r="G164" s="2" t="n">
        <x:v>14</x:v>
      </x:c>
      <x:c r="H164" s="2" t="n">
        <x:f>G164-Supuestos!$C$7</x:f>
        <x:v>13</x:v>
      </x:c>
      <x:c r="I164" s="14" t="n">
        <x:f>E1_plantas!J56+G164</x:f>
        <x:v>46104</x:v>
      </x:c>
      <x:c r="J164" s="2" t="n">
        <x:v>11</x:v>
      </x:c>
      <x:c r="K164" s="2" t="n">
        <x:f>IF(AND(G164&gt;Supuestos!$C$8,E164&lt;&gt;"L0"),1,0)</x:f>
        <x:v>0</x:v>
      </x:c>
      <x:c r="L164" s="2" t="str">
        <x:v>antes_de_reinoculacion</x:v>
      </x:c>
      <x:c r="M164" s="2" t="str">
        <x:v>simulado_didactico</x:v>
      </x:c>
    </x:row>
    <x:row r="165" ht="19" customHeight="1">
      <x:c r="A165" s="2" t="str">
        <x:v>SIM-E1-BB-L0-R03</x:v>
      </x:c>
      <x:c r="B165" s="2" t="n">
        <x:v>2</x:v>
      </x:c>
      <x:c r="C165" s="2" t="str">
        <x:v>BB</x:v>
      </x:c>
      <x:c r="D165" s="2" t="str">
        <x:v>Brevicoryne brassicae</x:v>
      </x:c>
      <x:c r="E165" s="2" t="str">
        <x:v>L0</x:v>
      </x:c>
      <x:c r="F165" s="2" t="n">
        <x:v>3</x:v>
      </x:c>
      <x:c r="G165" s="2" t="n">
        <x:v>21</x:v>
      </x:c>
      <x:c r="H165" s="2" t="n">
        <x:f>G165-Supuestos!$C$7</x:f>
        <x:v>20</x:v>
      </x:c>
      <x:c r="I165" s="14" t="n">
        <x:f>E1_plantas!J56+G165</x:f>
        <x:v>46111</x:v>
      </x:c>
      <x:c r="J165" s="2" t="n">
        <x:v>104</x:v>
      </x:c>
      <x:c r="K165" s="2" t="n">
        <x:f>IF(AND(G165&gt;Supuestos!$C$8,E165&lt;&gt;"L0"),1,0)</x:f>
        <x:v>0</x:v>
      </x:c>
      <x:c r="L165" s="2" t="str">
        <x:v>posterior_al_dia_14</x:v>
      </x:c>
      <x:c r="M165" s="2" t="str">
        <x:v>simulado_didactico</x:v>
      </x:c>
    </x:row>
    <x:row r="166" ht="19" customHeight="1">
      <x:c r="A166" s="2" t="str">
        <x:v>SIM-E1-BB-L0-R03</x:v>
      </x:c>
      <x:c r="B166" s="2" t="n">
        <x:v>2</x:v>
      </x:c>
      <x:c r="C166" s="2" t="str">
        <x:v>BB</x:v>
      </x:c>
      <x:c r="D166" s="2" t="str">
        <x:v>Brevicoryne brassicae</x:v>
      </x:c>
      <x:c r="E166" s="2" t="str">
        <x:v>L0</x:v>
      </x:c>
      <x:c r="F166" s="2" t="n">
        <x:v>3</x:v>
      </x:c>
      <x:c r="G166" s="2" t="n">
        <x:v>28</x:v>
      </x:c>
      <x:c r="H166" s="2" t="n">
        <x:f>G166-Supuestos!$C$7</x:f>
        <x:v>27</x:v>
      </x:c>
      <x:c r="I166" s="14" t="n">
        <x:f>E1_plantas!J56+G166</x:f>
        <x:v>46118</x:v>
      </x:c>
      <x:c r="J166" s="2" t="n">
        <x:v>217</x:v>
      </x:c>
      <x:c r="K166" s="2" t="n">
        <x:f>IF(AND(G166&gt;Supuestos!$C$8,E166&lt;&gt;"L0"),1,0)</x:f>
        <x:v>0</x:v>
      </x:c>
      <x:c r="L166" s="2" t="str">
        <x:v>posterior_al_dia_14</x:v>
      </x:c>
      <x:c r="M166" s="2" t="str">
        <x:v>simulado_didactico</x:v>
      </x:c>
    </x:row>
    <x:row r="167" ht="19" customHeight="1">
      <x:c r="A167" s="2" t="str">
        <x:v>SIM-E1-BB-L0-R04</x:v>
      </x:c>
      <x:c r="B167" s="2" t="n">
        <x:v>2</x:v>
      </x:c>
      <x:c r="C167" s="2" t="str">
        <x:v>BB</x:v>
      </x:c>
      <x:c r="D167" s="2" t="str">
        <x:v>Brevicoryne brassicae</x:v>
      </x:c>
      <x:c r="E167" s="2" t="str">
        <x:v>L0</x:v>
      </x:c>
      <x:c r="F167" s="2" t="n">
        <x:v>4</x:v>
      </x:c>
      <x:c r="G167" s="2" t="n">
        <x:v>14</x:v>
      </x:c>
      <x:c r="H167" s="2" t="n">
        <x:f>G167-Supuestos!$C$7</x:f>
        <x:v>13</x:v>
      </x:c>
      <x:c r="I167" s="14" t="n">
        <x:f>E1_plantas!J57+G167</x:f>
        <x:v>46104</x:v>
      </x:c>
      <x:c r="J167" s="2" t="n">
        <x:v>21</x:v>
      </x:c>
      <x:c r="K167" s="2" t="n">
        <x:f>IF(AND(G167&gt;Supuestos!$C$8,E167&lt;&gt;"L0"),1,0)</x:f>
        <x:v>0</x:v>
      </x:c>
      <x:c r="L167" s="2" t="str">
        <x:v>antes_de_reinoculacion</x:v>
      </x:c>
      <x:c r="M167" s="2" t="str">
        <x:v>simulado_didactico</x:v>
      </x:c>
    </x:row>
    <x:row r="168" ht="19" customHeight="1">
      <x:c r="A168" s="2" t="str">
        <x:v>SIM-E1-BB-L0-R04</x:v>
      </x:c>
      <x:c r="B168" s="2" t="n">
        <x:v>2</x:v>
      </x:c>
      <x:c r="C168" s="2" t="str">
        <x:v>BB</x:v>
      </x:c>
      <x:c r="D168" s="2" t="str">
        <x:v>Brevicoryne brassicae</x:v>
      </x:c>
      <x:c r="E168" s="2" t="str">
        <x:v>L0</x:v>
      </x:c>
      <x:c r="F168" s="2" t="n">
        <x:v>4</x:v>
      </x:c>
      <x:c r="G168" s="2" t="n">
        <x:v>21</x:v>
      </x:c>
      <x:c r="H168" s="2" t="n">
        <x:f>G168-Supuestos!$C$7</x:f>
        <x:v>20</x:v>
      </x:c>
      <x:c r="I168" s="14" t="n">
        <x:f>E1_plantas!J57+G168</x:f>
        <x:v>46111</x:v>
      </x:c>
      <x:c r="J168" s="2" t="n">
        <x:v>108</x:v>
      </x:c>
      <x:c r="K168" s="2" t="n">
        <x:f>IF(AND(G168&gt;Supuestos!$C$8,E168&lt;&gt;"L0"),1,0)</x:f>
        <x:v>0</x:v>
      </x:c>
      <x:c r="L168" s="2" t="str">
        <x:v>posterior_al_dia_14</x:v>
      </x:c>
      <x:c r="M168" s="2" t="str">
        <x:v>simulado_didactico</x:v>
      </x:c>
    </x:row>
    <x:row r="169" ht="19" customHeight="1">
      <x:c r="A169" s="2" t="str">
        <x:v>SIM-E1-BB-L0-R04</x:v>
      </x:c>
      <x:c r="B169" s="2" t="n">
        <x:v>2</x:v>
      </x:c>
      <x:c r="C169" s="2" t="str">
        <x:v>BB</x:v>
      </x:c>
      <x:c r="D169" s="2" t="str">
        <x:v>Brevicoryne brassicae</x:v>
      </x:c>
      <x:c r="E169" s="2" t="str">
        <x:v>L0</x:v>
      </x:c>
      <x:c r="F169" s="2" t="n">
        <x:v>4</x:v>
      </x:c>
      <x:c r="G169" s="2" t="n">
        <x:v>28</x:v>
      </x:c>
      <x:c r="H169" s="2" t="n">
        <x:f>G169-Supuestos!$C$7</x:f>
        <x:v>27</x:v>
      </x:c>
      <x:c r="I169" s="14" t="n">
        <x:f>E1_plantas!J57+G169</x:f>
        <x:v>46118</x:v>
      </x:c>
      <x:c r="J169" s="2" t="n">
        <x:v>219</x:v>
      </x:c>
      <x:c r="K169" s="2" t="n">
        <x:f>IF(AND(G169&gt;Supuestos!$C$8,E169&lt;&gt;"L0"),1,0)</x:f>
        <x:v>0</x:v>
      </x:c>
      <x:c r="L169" s="2" t="str">
        <x:v>posterior_al_dia_14</x:v>
      </x:c>
      <x:c r="M169" s="2" t="str">
        <x:v>simulado_didactico</x:v>
      </x:c>
    </x:row>
    <x:row r="170" ht="19" customHeight="1">
      <x:c r="A170" s="2" t="str">
        <x:v>SIM-E1-BB-L1-R03</x:v>
      </x:c>
      <x:c r="B170" s="2" t="n">
        <x:v>2</x:v>
      </x:c>
      <x:c r="C170" s="2" t="str">
        <x:v>BB</x:v>
      </x:c>
      <x:c r="D170" s="2" t="str">
        <x:v>Brevicoryne brassicae</x:v>
      </x:c>
      <x:c r="E170" s="2" t="str">
        <x:v>L1</x:v>
      </x:c>
      <x:c r="F170" s="2" t="n">
        <x:v>3</x:v>
      </x:c>
      <x:c r="G170" s="2" t="n">
        <x:v>14</x:v>
      </x:c>
      <x:c r="H170" s="2" t="n">
        <x:f>G170-Supuestos!$C$7</x:f>
        <x:v>13</x:v>
      </x:c>
      <x:c r="I170" s="14" t="n">
        <x:f>E1_plantas!J58+G170</x:f>
        <x:v>46104</x:v>
      </x:c>
      <x:c r="J170" s="2" t="n">
        <x:v>12</x:v>
      </x:c>
      <x:c r="K170" s="2" t="n">
        <x:f>IF(AND(G170&gt;Supuestos!$C$8,E170&lt;&gt;"L0"),1,0)</x:f>
        <x:v>0</x:v>
      </x:c>
      <x:c r="L170" s="2" t="str">
        <x:v>antes_de_reinoculacion</x:v>
      </x:c>
      <x:c r="M170" s="2" t="str">
        <x:v>simulado_didactico</x:v>
      </x:c>
    </x:row>
    <x:row r="171" ht="19" customHeight="1">
      <x:c r="A171" s="2" t="str">
        <x:v>SIM-E1-BB-L1-R03</x:v>
      </x:c>
      <x:c r="B171" s="2" t="n">
        <x:v>2</x:v>
      </x:c>
      <x:c r="C171" s="2" t="str">
        <x:v>BB</x:v>
      </x:c>
      <x:c r="D171" s="2" t="str">
        <x:v>Brevicoryne brassicae</x:v>
      </x:c>
      <x:c r="E171" s="2" t="str">
        <x:v>L1</x:v>
      </x:c>
      <x:c r="F171" s="2" t="n">
        <x:v>3</x:v>
      </x:c>
      <x:c r="G171" s="2" t="n">
        <x:v>21</x:v>
      </x:c>
      <x:c r="H171" s="2" t="n">
        <x:f>G171-Supuestos!$C$7</x:f>
        <x:v>20</x:v>
      </x:c>
      <x:c r="I171" s="14" t="n">
        <x:f>E1_plantas!J58+G171</x:f>
        <x:v>46111</x:v>
      </x:c>
      <x:c r="J171" s="2" t="n">
        <x:v>51</x:v>
      </x:c>
      <x:c r="K171" s="2" t="n">
        <x:f>IF(AND(G171&gt;Supuestos!$C$8,E171&lt;&gt;"L0"),1,0)</x:f>
        <x:v>1</x:v>
      </x:c>
      <x:c r="L171" s="2" t="str">
        <x:v>posterior_al_dia_14</x:v>
      </x:c>
      <x:c r="M171" s="2" t="str">
        <x:v>simulado_didactico</x:v>
      </x:c>
    </x:row>
    <x:row r="172" ht="19" customHeight="1">
      <x:c r="A172" s="2" t="str">
        <x:v>SIM-E1-BB-L1-R03</x:v>
      </x:c>
      <x:c r="B172" s="2" t="n">
        <x:v>2</x:v>
      </x:c>
      <x:c r="C172" s="2" t="str">
        <x:v>BB</x:v>
      </x:c>
      <x:c r="D172" s="2" t="str">
        <x:v>Brevicoryne brassicae</x:v>
      </x:c>
      <x:c r="E172" s="2" t="str">
        <x:v>L1</x:v>
      </x:c>
      <x:c r="F172" s="2" t="n">
        <x:v>3</x:v>
      </x:c>
      <x:c r="G172" s="2" t="n">
        <x:v>28</x:v>
      </x:c>
      <x:c r="H172" s="2" t="n">
        <x:f>G172-Supuestos!$C$7</x:f>
        <x:v>27</x:v>
      </x:c>
      <x:c r="I172" s="14" t="n">
        <x:f>E1_plantas!J58+G172</x:f>
        <x:v>46118</x:v>
      </x:c>
      <x:c r="J172" s="2" t="n">
        <x:v>163</x:v>
      </x:c>
      <x:c r="K172" s="2" t="n">
        <x:f>IF(AND(G172&gt;Supuestos!$C$8,E172&lt;&gt;"L0"),1,0)</x:f>
        <x:v>1</x:v>
      </x:c>
      <x:c r="L172" s="2" t="str">
        <x:v>posterior_al_dia_14</x:v>
      </x:c>
      <x:c r="M172" s="2" t="str">
        <x:v>simulado_didactico</x:v>
      </x:c>
    </x:row>
    <x:row r="173" ht="19" customHeight="1">
      <x:c r="A173" s="2" t="str">
        <x:v>SIM-E1-BB-L1-R04</x:v>
      </x:c>
      <x:c r="B173" s="2" t="n">
        <x:v>2</x:v>
      </x:c>
      <x:c r="C173" s="2" t="str">
        <x:v>BB</x:v>
      </x:c>
      <x:c r="D173" s="2" t="str">
        <x:v>Brevicoryne brassicae</x:v>
      </x:c>
      <x:c r="E173" s="2" t="str">
        <x:v>L1</x:v>
      </x:c>
      <x:c r="F173" s="2" t="n">
        <x:v>4</x:v>
      </x:c>
      <x:c r="G173" s="2" t="n">
        <x:v>14</x:v>
      </x:c>
      <x:c r="H173" s="2" t="n">
        <x:f>G173-Supuestos!$C$7</x:f>
        <x:v>13</x:v>
      </x:c>
      <x:c r="I173" s="14" t="n">
        <x:f>E1_plantas!J59+G173</x:f>
        <x:v>46104</x:v>
      </x:c>
      <x:c r="J173" s="2" t="n">
        <x:v>20</x:v>
      </x:c>
      <x:c r="K173" s="2" t="n">
        <x:f>IF(AND(G173&gt;Supuestos!$C$8,E173&lt;&gt;"L0"),1,0)</x:f>
        <x:v>0</x:v>
      </x:c>
      <x:c r="L173" s="2" t="str">
        <x:v>antes_de_reinoculacion</x:v>
      </x:c>
      <x:c r="M173" s="2" t="str">
        <x:v>simulado_didactico</x:v>
      </x:c>
    </x:row>
    <x:row r="174" ht="19" customHeight="1">
      <x:c r="A174" s="2" t="str">
        <x:v>SIM-E1-BB-L1-R04</x:v>
      </x:c>
      <x:c r="B174" s="2" t="n">
        <x:v>2</x:v>
      </x:c>
      <x:c r="C174" s="2" t="str">
        <x:v>BB</x:v>
      </x:c>
      <x:c r="D174" s="2" t="str">
        <x:v>Brevicoryne brassicae</x:v>
      </x:c>
      <x:c r="E174" s="2" t="str">
        <x:v>L1</x:v>
      </x:c>
      <x:c r="F174" s="2" t="n">
        <x:v>4</x:v>
      </x:c>
      <x:c r="G174" s="2" t="n">
        <x:v>21</x:v>
      </x:c>
      <x:c r="H174" s="2" t="n">
        <x:f>G174-Supuestos!$C$7</x:f>
        <x:v>20</x:v>
      </x:c>
      <x:c r="I174" s="14" t="n">
        <x:f>E1_plantas!J59+G174</x:f>
        <x:v>46111</x:v>
      </x:c>
      <x:c r="J174" s="2" t="n">
        <x:v>49</x:v>
      </x:c>
      <x:c r="K174" s="2" t="n">
        <x:f>IF(AND(G174&gt;Supuestos!$C$8,E174&lt;&gt;"L0"),1,0)</x:f>
        <x:v>1</x:v>
      </x:c>
      <x:c r="L174" s="2" t="str">
        <x:v>posterior_al_dia_14</x:v>
      </x:c>
      <x:c r="M174" s="2" t="str">
        <x:v>simulado_didactico</x:v>
      </x:c>
    </x:row>
    <x:row r="175" ht="19" customHeight="1">
      <x:c r="A175" s="2" t="str">
        <x:v>SIM-E1-BB-L1-R04</x:v>
      </x:c>
      <x:c r="B175" s="2" t="n">
        <x:v>2</x:v>
      </x:c>
      <x:c r="C175" s="2" t="str">
        <x:v>BB</x:v>
      </x:c>
      <x:c r="D175" s="2" t="str">
        <x:v>Brevicoryne brassicae</x:v>
      </x:c>
      <x:c r="E175" s="2" t="str">
        <x:v>L1</x:v>
      </x:c>
      <x:c r="F175" s="2" t="n">
        <x:v>4</x:v>
      </x:c>
      <x:c r="G175" s="2" t="n">
        <x:v>28</x:v>
      </x:c>
      <x:c r="H175" s="2" t="n">
        <x:f>G175-Supuestos!$C$7</x:f>
        <x:v>27</x:v>
      </x:c>
      <x:c r="I175" s="14" t="n">
        <x:f>E1_plantas!J59+G175</x:f>
        <x:v>46118</x:v>
      </x:c>
      <x:c r="J175" s="2" t="n">
        <x:v>197</x:v>
      </x:c>
      <x:c r="K175" s="2" t="n">
        <x:f>IF(AND(G175&gt;Supuestos!$C$8,E175&lt;&gt;"L0"),1,0)</x:f>
        <x:v>1</x:v>
      </x:c>
      <x:c r="L175" s="2" t="str">
        <x:v>posterior_al_dia_14</x:v>
      </x:c>
      <x:c r="M175" s="2" t="str">
        <x:v>simulado_didactico</x:v>
      </x:c>
    </x:row>
    <x:row r="176" ht="19" customHeight="1">
      <x:c r="A176" s="2" t="str">
        <x:v>SIM-E1-BB-L2-R03</x:v>
      </x:c>
      <x:c r="B176" s="2" t="n">
        <x:v>2</x:v>
      </x:c>
      <x:c r="C176" s="2" t="str">
        <x:v>BB</x:v>
      </x:c>
      <x:c r="D176" s="2" t="str">
        <x:v>Brevicoryne brassicae</x:v>
      </x:c>
      <x:c r="E176" s="2" t="str">
        <x:v>L2</x:v>
      </x:c>
      <x:c r="F176" s="2" t="n">
        <x:v>3</x:v>
      </x:c>
      <x:c r="G176" s="2" t="n">
        <x:v>14</x:v>
      </x:c>
      <x:c r="H176" s="2" t="n">
        <x:f>G176-Supuestos!$C$7</x:f>
        <x:v>13</x:v>
      </x:c>
      <x:c r="I176" s="14" t="n">
        <x:f>E1_plantas!J60+G176</x:f>
        <x:v>46104</x:v>
      </x:c>
      <x:c r="J176" s="2" t="n">
        <x:v>44</x:v>
      </x:c>
      <x:c r="K176" s="2" t="n">
        <x:f>IF(AND(G176&gt;Supuestos!$C$8,E176&lt;&gt;"L0"),1,0)</x:f>
        <x:v>0</x:v>
      </x:c>
      <x:c r="L176" s="2" t="str">
        <x:v>antes_de_reinoculacion</x:v>
      </x:c>
      <x:c r="M176" s="2" t="str">
        <x:v>simulado_didactico</x:v>
      </x:c>
    </x:row>
    <x:row r="177" ht="19" customHeight="1">
      <x:c r="A177" s="2" t="str">
        <x:v>SIM-E1-BB-L2-R03</x:v>
      </x:c>
      <x:c r="B177" s="2" t="n">
        <x:v>2</x:v>
      </x:c>
      <x:c r="C177" s="2" t="str">
        <x:v>BB</x:v>
      </x:c>
      <x:c r="D177" s="2" t="str">
        <x:v>Brevicoryne brassicae</x:v>
      </x:c>
      <x:c r="E177" s="2" t="str">
        <x:v>L2</x:v>
      </x:c>
      <x:c r="F177" s="2" t="n">
        <x:v>3</x:v>
      </x:c>
      <x:c r="G177" s="2" t="n">
        <x:v>21</x:v>
      </x:c>
      <x:c r="H177" s="2" t="n">
        <x:f>G177-Supuestos!$C$7</x:f>
        <x:v>20</x:v>
      </x:c>
      <x:c r="I177" s="14" t="n">
        <x:f>E1_plantas!J60+G177</x:f>
        <x:v>46111</x:v>
      </x:c>
      <x:c r="J177" s="2" t="n">
        <x:v>80</x:v>
      </x:c>
      <x:c r="K177" s="2" t="n">
        <x:f>IF(AND(G177&gt;Supuestos!$C$8,E177&lt;&gt;"L0"),1,0)</x:f>
        <x:v>1</x:v>
      </x:c>
      <x:c r="L177" s="2" t="str">
        <x:v>posterior_al_dia_14</x:v>
      </x:c>
      <x:c r="M177" s="2" t="str">
        <x:v>simulado_didactico</x:v>
      </x:c>
    </x:row>
    <x:row r="178" ht="19" customHeight="1">
      <x:c r="A178" s="2" t="str">
        <x:v>SIM-E1-BB-L2-R03</x:v>
      </x:c>
      <x:c r="B178" s="2" t="n">
        <x:v>2</x:v>
      </x:c>
      <x:c r="C178" s="2" t="str">
        <x:v>BB</x:v>
      </x:c>
      <x:c r="D178" s="2" t="str">
        <x:v>Brevicoryne brassicae</x:v>
      </x:c>
      <x:c r="E178" s="2" t="str">
        <x:v>L2</x:v>
      </x:c>
      <x:c r="F178" s="2" t="n">
        <x:v>3</x:v>
      </x:c>
      <x:c r="G178" s="2" t="n">
        <x:v>28</x:v>
      </x:c>
      <x:c r="H178" s="2" t="n">
        <x:f>G178-Supuestos!$C$7</x:f>
        <x:v>27</x:v>
      </x:c>
      <x:c r="I178" s="14" t="n">
        <x:f>E1_plantas!J60+G178</x:f>
        <x:v>46118</x:v>
      </x:c>
      <x:c r="J178" s="2" t="n">
        <x:v>250</x:v>
      </x:c>
      <x:c r="K178" s="2" t="n">
        <x:f>IF(AND(G178&gt;Supuestos!$C$8,E178&lt;&gt;"L0"),1,0)</x:f>
        <x:v>1</x:v>
      </x:c>
      <x:c r="L178" s="2" t="str">
        <x:v>posterior_al_dia_14</x:v>
      </x:c>
      <x:c r="M178" s="2" t="str">
        <x:v>simulado_didactico</x:v>
      </x:c>
    </x:row>
    <x:row r="179" ht="19" customHeight="1">
      <x:c r="A179" s="2" t="str">
        <x:v>SIM-E1-BB-L2-R04</x:v>
      </x:c>
      <x:c r="B179" s="2" t="n">
        <x:v>2</x:v>
      </x:c>
      <x:c r="C179" s="2" t="str">
        <x:v>BB</x:v>
      </x:c>
      <x:c r="D179" s="2" t="str">
        <x:v>Brevicoryne brassicae</x:v>
      </x:c>
      <x:c r="E179" s="2" t="str">
        <x:v>L2</x:v>
      </x:c>
      <x:c r="F179" s="2" t="n">
        <x:v>4</x:v>
      </x:c>
      <x:c r="G179" s="2" t="n">
        <x:v>14</x:v>
      </x:c>
      <x:c r="H179" s="2" t="n">
        <x:f>G179-Supuestos!$C$7</x:f>
        <x:v>13</x:v>
      </x:c>
      <x:c r="I179" s="14" t="n">
        <x:f>E1_plantas!J61+G179</x:f>
        <x:v>46104</x:v>
      </x:c>
      <x:c r="J179" s="2" t="n">
        <x:v>0</x:v>
      </x:c>
      <x:c r="K179" s="2" t="n">
        <x:f>IF(AND(G179&gt;Supuestos!$C$8,E179&lt;&gt;"L0"),1,0)</x:f>
        <x:v>0</x:v>
      </x:c>
      <x:c r="L179" s="2" t="str">
        <x:v>antes_de_reinoculacion</x:v>
      </x:c>
      <x:c r="M179" s="2" t="str">
        <x:v>simulado_didactico</x:v>
      </x:c>
    </x:row>
    <x:row r="180" ht="19" customHeight="1">
      <x:c r="A180" s="2" t="str">
        <x:v>SIM-E1-BB-L2-R04</x:v>
      </x:c>
      <x:c r="B180" s="2" t="n">
        <x:v>2</x:v>
      </x:c>
      <x:c r="C180" s="2" t="str">
        <x:v>BB</x:v>
      </x:c>
      <x:c r="D180" s="2" t="str">
        <x:v>Brevicoryne brassicae</x:v>
      </x:c>
      <x:c r="E180" s="2" t="str">
        <x:v>L2</x:v>
      </x:c>
      <x:c r="F180" s="2" t="n">
        <x:v>4</x:v>
      </x:c>
      <x:c r="G180" s="2" t="n">
        <x:v>21</x:v>
      </x:c>
      <x:c r="H180" s="2" t="n">
        <x:f>G180-Supuestos!$C$7</x:f>
        <x:v>20</x:v>
      </x:c>
      <x:c r="I180" s="14" t="n">
        <x:f>E1_plantas!J61+G180</x:f>
        <x:v>46111</x:v>
      </x:c>
      <x:c r="J180" s="2" t="n">
        <x:v>0</x:v>
      </x:c>
      <x:c r="K180" s="2" t="n">
        <x:f>IF(AND(G180&gt;Supuestos!$C$8,E180&lt;&gt;"L0"),1,0)</x:f>
        <x:v>1</x:v>
      </x:c>
      <x:c r="L180" s="2" t="str">
        <x:v>posterior_al_dia_14</x:v>
      </x:c>
      <x:c r="M180" s="2" t="str">
        <x:v>simulado_didactico</x:v>
      </x:c>
    </x:row>
    <x:row r="181" ht="19" customHeight="1">
      <x:c r="A181" s="2" t="str">
        <x:v>SIM-E1-BB-L2-R04</x:v>
      </x:c>
      <x:c r="B181" s="2" t="n">
        <x:v>2</x:v>
      </x:c>
      <x:c r="C181" s="2" t="str">
        <x:v>BB</x:v>
      </x:c>
      <x:c r="D181" s="2" t="str">
        <x:v>Brevicoryne brassicae</x:v>
      </x:c>
      <x:c r="E181" s="2" t="str">
        <x:v>L2</x:v>
      </x:c>
      <x:c r="F181" s="2" t="n">
        <x:v>4</x:v>
      </x:c>
      <x:c r="G181" s="2" t="n">
        <x:v>28</x:v>
      </x:c>
      <x:c r="H181" s="2" t="n">
        <x:f>G181-Supuestos!$C$7</x:f>
        <x:v>27</x:v>
      </x:c>
      <x:c r="I181" s="14" t="n">
        <x:f>E1_plantas!J61+G181</x:f>
        <x:v>46118</x:v>
      </x:c>
      <x:c r="J181" s="2" t="n">
        <x:v>0</x:v>
      </x:c>
      <x:c r="K181" s="2" t="n">
        <x:f>IF(AND(G181&gt;Supuestos!$C$8,E181&lt;&gt;"L0"),1,0)</x:f>
        <x:v>1</x:v>
      </x:c>
      <x:c r="L181" s="2" t="str">
        <x:v>posterior_al_dia_14</x:v>
      </x:c>
      <x:c r="M181" s="2" t="str">
        <x:v>simulado_didactico</x:v>
      </x:c>
    </x:row>
    <x:row r="182" ht="19" customHeight="1">
      <x:c r="A182" s="2" t="str">
        <x:v>SIM-E1-BB-L3-R03</x:v>
      </x:c>
      <x:c r="B182" s="2" t="n">
        <x:v>2</x:v>
      </x:c>
      <x:c r="C182" s="2" t="str">
        <x:v>BB</x:v>
      </x:c>
      <x:c r="D182" s="2" t="str">
        <x:v>Brevicoryne brassicae</x:v>
      </x:c>
      <x:c r="E182" s="2" t="str">
        <x:v>L3</x:v>
      </x:c>
      <x:c r="F182" s="2" t="n">
        <x:v>3</x:v>
      </x:c>
      <x:c r="G182" s="2" t="n">
        <x:v>14</x:v>
      </x:c>
      <x:c r="H182" s="2" t="n">
        <x:f>G182-Supuestos!$C$7</x:f>
        <x:v>13</x:v>
      </x:c>
      <x:c r="I182" s="14" t="n">
        <x:f>E1_plantas!J62+G182</x:f>
        <x:v>46104</x:v>
      </x:c>
      <x:c r="J182" s="2" t="n">
        <x:v>31</x:v>
      </x:c>
      <x:c r="K182" s="2" t="n">
        <x:f>IF(AND(G182&gt;Supuestos!$C$8,E182&lt;&gt;"L0"),1,0)</x:f>
        <x:v>0</x:v>
      </x:c>
      <x:c r="L182" s="2" t="str">
        <x:v>antes_de_reinoculacion</x:v>
      </x:c>
      <x:c r="M182" s="2" t="str">
        <x:v>simulado_didactico</x:v>
      </x:c>
    </x:row>
    <x:row r="183" ht="19" customHeight="1">
      <x:c r="A183" s="2" t="str">
        <x:v>SIM-E1-BB-L3-R03</x:v>
      </x:c>
      <x:c r="B183" s="2" t="n">
        <x:v>2</x:v>
      </x:c>
      <x:c r="C183" s="2" t="str">
        <x:v>BB</x:v>
      </x:c>
      <x:c r="D183" s="2" t="str">
        <x:v>Brevicoryne brassicae</x:v>
      </x:c>
      <x:c r="E183" s="2" t="str">
        <x:v>L3</x:v>
      </x:c>
      <x:c r="F183" s="2" t="n">
        <x:v>3</x:v>
      </x:c>
      <x:c r="G183" s="2" t="n">
        <x:v>21</x:v>
      </x:c>
      <x:c r="H183" s="2" t="n">
        <x:f>G183-Supuestos!$C$7</x:f>
        <x:v>20</x:v>
      </x:c>
      <x:c r="I183" s="14" t="n">
        <x:f>E1_plantas!J62+G183</x:f>
        <x:v>46111</x:v>
      </x:c>
      <x:c r="J183" s="2" t="n">
        <x:v>129</x:v>
      </x:c>
      <x:c r="K183" s="2" t="n">
        <x:f>IF(AND(G183&gt;Supuestos!$C$8,E183&lt;&gt;"L0"),1,0)</x:f>
        <x:v>1</x:v>
      </x:c>
      <x:c r="L183" s="2" t="str">
        <x:v>posterior_al_dia_14</x:v>
      </x:c>
      <x:c r="M183" s="2" t="str">
        <x:v>simulado_didactico</x:v>
      </x:c>
    </x:row>
    <x:row r="184" ht="19" customHeight="1">
      <x:c r="A184" s="2" t="str">
        <x:v>SIM-E1-BB-L3-R03</x:v>
      </x:c>
      <x:c r="B184" s="2" t="n">
        <x:v>2</x:v>
      </x:c>
      <x:c r="C184" s="2" t="str">
        <x:v>BB</x:v>
      </x:c>
      <x:c r="D184" s="2" t="str">
        <x:v>Brevicoryne brassicae</x:v>
      </x:c>
      <x:c r="E184" s="2" t="str">
        <x:v>L3</x:v>
      </x:c>
      <x:c r="F184" s="2" t="n">
        <x:v>3</x:v>
      </x:c>
      <x:c r="G184" s="2" t="n">
        <x:v>28</x:v>
      </x:c>
      <x:c r="H184" s="2" t="n">
        <x:f>G184-Supuestos!$C$7</x:f>
        <x:v>27</x:v>
      </x:c>
      <x:c r="I184" s="14" t="n">
        <x:f>E1_plantas!J62+G184</x:f>
        <x:v>46118</x:v>
      </x:c>
      <x:c r="J184" s="2" t="n">
        <x:v>244</x:v>
      </x:c>
      <x:c r="K184" s="2" t="n">
        <x:f>IF(AND(G184&gt;Supuestos!$C$8,E184&lt;&gt;"L0"),1,0)</x:f>
        <x:v>1</x:v>
      </x:c>
      <x:c r="L184" s="2" t="str">
        <x:v>posterior_al_dia_14</x:v>
      </x:c>
      <x:c r="M184" s="2" t="str">
        <x:v>simulado_didactico</x:v>
      </x:c>
    </x:row>
    <x:row r="185" ht="19" customHeight="1">
      <x:c r="A185" s="2" t="str">
        <x:v>SIM-E1-BB-L3-R04</x:v>
      </x:c>
      <x:c r="B185" s="2" t="n">
        <x:v>2</x:v>
      </x:c>
      <x:c r="C185" s="2" t="str">
        <x:v>BB</x:v>
      </x:c>
      <x:c r="D185" s="2" t="str">
        <x:v>Brevicoryne brassicae</x:v>
      </x:c>
      <x:c r="E185" s="2" t="str">
        <x:v>L3</x:v>
      </x:c>
      <x:c r="F185" s="2" t="n">
        <x:v>4</x:v>
      </x:c>
      <x:c r="G185" s="2" t="n">
        <x:v>14</x:v>
      </x:c>
      <x:c r="H185" s="2" t="n">
        <x:f>G185-Supuestos!$C$7</x:f>
        <x:v>13</x:v>
      </x:c>
      <x:c r="I185" s="14" t="n">
        <x:f>E1_plantas!J63+G185</x:f>
        <x:v>46104</x:v>
      </x:c>
      <x:c r="J185" s="2" t="n">
        <x:v>22</x:v>
      </x:c>
      <x:c r="K185" s="2" t="n">
        <x:f>IF(AND(G185&gt;Supuestos!$C$8,E185&lt;&gt;"L0"),1,0)</x:f>
        <x:v>0</x:v>
      </x:c>
      <x:c r="L185" s="2" t="str">
        <x:v>antes_de_reinoculacion</x:v>
      </x:c>
      <x:c r="M185" s="2" t="str">
        <x:v>simulado_didactico</x:v>
      </x:c>
    </x:row>
    <x:row r="186" ht="19" customHeight="1">
      <x:c r="A186" s="2" t="str">
        <x:v>SIM-E1-BB-L3-R04</x:v>
      </x:c>
      <x:c r="B186" s="2" t="n">
        <x:v>2</x:v>
      </x:c>
      <x:c r="C186" s="2" t="str">
        <x:v>BB</x:v>
      </x:c>
      <x:c r="D186" s="2" t="str">
        <x:v>Brevicoryne brassicae</x:v>
      </x:c>
      <x:c r="E186" s="2" t="str">
        <x:v>L3</x:v>
      </x:c>
      <x:c r="F186" s="2" t="n">
        <x:v>4</x:v>
      </x:c>
      <x:c r="G186" s="2" t="n">
        <x:v>21</x:v>
      </x:c>
      <x:c r="H186" s="2" t="n">
        <x:f>G186-Supuestos!$C$7</x:f>
        <x:v>20</x:v>
      </x:c>
      <x:c r="I186" s="14" t="n">
        <x:f>E1_plantas!J63+G186</x:f>
        <x:v>46111</x:v>
      </x:c>
      <x:c r="J186" s="2" t="n">
        <x:v>88</x:v>
      </x:c>
      <x:c r="K186" s="2" t="n">
        <x:f>IF(AND(G186&gt;Supuestos!$C$8,E186&lt;&gt;"L0"),1,0)</x:f>
        <x:v>1</x:v>
      </x:c>
      <x:c r="L186" s="2" t="str">
        <x:v>posterior_al_dia_14</x:v>
      </x:c>
      <x:c r="M186" s="2" t="str">
        <x:v>simulado_didactico</x:v>
      </x:c>
    </x:row>
    <x:row r="187" ht="19" customHeight="1">
      <x:c r="A187" s="2" t="str">
        <x:v>SIM-E1-BB-L3-R04</x:v>
      </x:c>
      <x:c r="B187" s="2" t="n">
        <x:v>2</x:v>
      </x:c>
      <x:c r="C187" s="2" t="str">
        <x:v>BB</x:v>
      </x:c>
      <x:c r="D187" s="2" t="str">
        <x:v>Brevicoryne brassicae</x:v>
      </x:c>
      <x:c r="E187" s="2" t="str">
        <x:v>L3</x:v>
      </x:c>
      <x:c r="F187" s="2" t="n">
        <x:v>4</x:v>
      </x:c>
      <x:c r="G187" s="2" t="n">
        <x:v>28</x:v>
      </x:c>
      <x:c r="H187" s="2" t="n">
        <x:f>G187-Supuestos!$C$7</x:f>
        <x:v>27</x:v>
      </x:c>
      <x:c r="I187" s="14" t="n">
        <x:f>E1_plantas!J63+G187</x:f>
        <x:v>46118</x:v>
      </x:c>
      <x:c r="J187" s="2" t="n">
        <x:v>232</x:v>
      </x:c>
      <x:c r="K187" s="2" t="n">
        <x:f>IF(AND(G187&gt;Supuestos!$C$8,E187&lt;&gt;"L0"),1,0)</x:f>
        <x:v>1</x:v>
      </x:c>
      <x:c r="L187" s="2" t="str">
        <x:v>posterior_al_dia_14</x:v>
      </x:c>
      <x:c r="M187" s="2" t="str">
        <x:v>simulado_didactico</x:v>
      </x:c>
    </x:row>
    <x:row r="188" ht="19" customHeight="1">
      <x:c r="A188" s="2" t="str">
        <x:v>SIM-E1-BB-L5-R03</x:v>
      </x:c>
      <x:c r="B188" s="2" t="n">
        <x:v>2</x:v>
      </x:c>
      <x:c r="C188" s="2" t="str">
        <x:v>BB</x:v>
      </x:c>
      <x:c r="D188" s="2" t="str">
        <x:v>Brevicoryne brassicae</x:v>
      </x:c>
      <x:c r="E188" s="2" t="str">
        <x:v>L5</x:v>
      </x:c>
      <x:c r="F188" s="2" t="n">
        <x:v>3</x:v>
      </x:c>
      <x:c r="G188" s="2" t="n">
        <x:v>14</x:v>
      </x:c>
      <x:c r="H188" s="2" t="n">
        <x:f>G188-Supuestos!$C$7</x:f>
        <x:v>13</x:v>
      </x:c>
      <x:c r="I188" s="14" t="n">
        <x:f>E1_plantas!J64+G188</x:f>
        <x:v>46104</x:v>
      </x:c>
      <x:c r="J188" s="2" t="n">
        <x:v>19</x:v>
      </x:c>
      <x:c r="K188" s="2" t="n">
        <x:f>IF(AND(G188&gt;Supuestos!$C$8,E188&lt;&gt;"L0"),1,0)</x:f>
        <x:v>0</x:v>
      </x:c>
      <x:c r="L188" s="2" t="str">
        <x:v>antes_de_reinoculacion</x:v>
      </x:c>
      <x:c r="M188" s="2" t="str">
        <x:v>simulado_didactico</x:v>
      </x:c>
    </x:row>
    <x:row r="189" ht="19" customHeight="1">
      <x:c r="A189" s="2" t="str">
        <x:v>SIM-E1-BB-L5-R03</x:v>
      </x:c>
      <x:c r="B189" s="2" t="n">
        <x:v>2</x:v>
      </x:c>
      <x:c r="C189" s="2" t="str">
        <x:v>BB</x:v>
      </x:c>
      <x:c r="D189" s="2" t="str">
        <x:v>Brevicoryne brassicae</x:v>
      </x:c>
      <x:c r="E189" s="2" t="str">
        <x:v>L5</x:v>
      </x:c>
      <x:c r="F189" s="2" t="n">
        <x:v>3</x:v>
      </x:c>
      <x:c r="G189" s="2" t="n">
        <x:v>21</x:v>
      </x:c>
      <x:c r="H189" s="2" t="n">
        <x:f>G189-Supuestos!$C$7</x:f>
        <x:v>20</x:v>
      </x:c>
      <x:c r="I189" s="14" t="n">
        <x:f>E1_plantas!J64+G189</x:f>
        <x:v>46111</x:v>
      </x:c>
      <x:c r="J189" s="2" t="n">
        <x:v>44</x:v>
      </x:c>
      <x:c r="K189" s="2" t="n">
        <x:f>IF(AND(G189&gt;Supuestos!$C$8,E189&lt;&gt;"L0"),1,0)</x:f>
        <x:v>1</x:v>
      </x:c>
      <x:c r="L189" s="2" t="str">
        <x:v>posterior_al_dia_14</x:v>
      </x:c>
      <x:c r="M189" s="2" t="str">
        <x:v>simulado_didactico</x:v>
      </x:c>
    </x:row>
    <x:row r="190" ht="19" customHeight="1">
      <x:c r="A190" s="2" t="str">
        <x:v>SIM-E1-BB-L5-R03</x:v>
      </x:c>
      <x:c r="B190" s="2" t="n">
        <x:v>2</x:v>
      </x:c>
      <x:c r="C190" s="2" t="str">
        <x:v>BB</x:v>
      </x:c>
      <x:c r="D190" s="2" t="str">
        <x:v>Brevicoryne brassicae</x:v>
      </x:c>
      <x:c r="E190" s="2" t="str">
        <x:v>L5</x:v>
      </x:c>
      <x:c r="F190" s="2" t="n">
        <x:v>3</x:v>
      </x:c>
      <x:c r="G190" s="2" t="n">
        <x:v>28</x:v>
      </x:c>
      <x:c r="H190" s="2" t="n">
        <x:f>G190-Supuestos!$C$7</x:f>
        <x:v>27</x:v>
      </x:c>
      <x:c r="I190" s="14" t="n">
        <x:f>E1_plantas!J64+G190</x:f>
        <x:v>46118</x:v>
      </x:c>
      <x:c r="J190" s="2" t="n">
        <x:v>95</x:v>
      </x:c>
      <x:c r="K190" s="2" t="n">
        <x:f>IF(AND(G190&gt;Supuestos!$C$8,E190&lt;&gt;"L0"),1,0)</x:f>
        <x:v>1</x:v>
      </x:c>
      <x:c r="L190" s="2" t="str">
        <x:v>posterior_al_dia_14</x:v>
      </x:c>
      <x:c r="M190" s="2" t="str">
        <x:v>simulado_didactico</x:v>
      </x:c>
    </x:row>
    <x:row r="191" ht="19" customHeight="1">
      <x:c r="A191" s="2" t="str">
        <x:v>SIM-E1-BB-L5-R04</x:v>
      </x:c>
      <x:c r="B191" s="2" t="n">
        <x:v>2</x:v>
      </x:c>
      <x:c r="C191" s="2" t="str">
        <x:v>BB</x:v>
      </x:c>
      <x:c r="D191" s="2" t="str">
        <x:v>Brevicoryne brassicae</x:v>
      </x:c>
      <x:c r="E191" s="2" t="str">
        <x:v>L5</x:v>
      </x:c>
      <x:c r="F191" s="2" t="n">
        <x:v>4</x:v>
      </x:c>
      <x:c r="G191" s="2" t="n">
        <x:v>14</x:v>
      </x:c>
      <x:c r="H191" s="2" t="n">
        <x:f>G191-Supuestos!$C$7</x:f>
        <x:v>13</x:v>
      </x:c>
      <x:c r="I191" s="14" t="n">
        <x:f>E1_plantas!J65+G191</x:f>
        <x:v>46104</x:v>
      </x:c>
      <x:c r="J191" s="2" t="n">
        <x:v>16</x:v>
      </x:c>
      <x:c r="K191" s="2" t="n">
        <x:f>IF(AND(G191&gt;Supuestos!$C$8,E191&lt;&gt;"L0"),1,0)</x:f>
        <x:v>0</x:v>
      </x:c>
      <x:c r="L191" s="2" t="str">
        <x:v>antes_de_reinoculacion</x:v>
      </x:c>
      <x:c r="M191" s="2" t="str">
        <x:v>simulado_didactico</x:v>
      </x:c>
    </x:row>
    <x:row r="192" ht="19" customHeight="1">
      <x:c r="A192" s="2" t="str">
        <x:v>SIM-E1-BB-L5-R04</x:v>
      </x:c>
      <x:c r="B192" s="2" t="n">
        <x:v>2</x:v>
      </x:c>
      <x:c r="C192" s="2" t="str">
        <x:v>BB</x:v>
      </x:c>
      <x:c r="D192" s="2" t="str">
        <x:v>Brevicoryne brassicae</x:v>
      </x:c>
      <x:c r="E192" s="2" t="str">
        <x:v>L5</x:v>
      </x:c>
      <x:c r="F192" s="2" t="n">
        <x:v>4</x:v>
      </x:c>
      <x:c r="G192" s="2" t="n">
        <x:v>21</x:v>
      </x:c>
      <x:c r="H192" s="2" t="n">
        <x:f>G192-Supuestos!$C$7</x:f>
        <x:v>20</x:v>
      </x:c>
      <x:c r="I192" s="14" t="n">
        <x:f>E1_plantas!J65+G192</x:f>
        <x:v>46111</x:v>
      </x:c>
      <x:c r="J192" s="2" t="n">
        <x:v>77</x:v>
      </x:c>
      <x:c r="K192" s="2" t="n">
        <x:f>IF(AND(G192&gt;Supuestos!$C$8,E192&lt;&gt;"L0"),1,0)</x:f>
        <x:v>1</x:v>
      </x:c>
      <x:c r="L192" s="2" t="str">
        <x:v>posterior_al_dia_14</x:v>
      </x:c>
      <x:c r="M192" s="2" t="str">
        <x:v>simulado_didactico</x:v>
      </x:c>
    </x:row>
    <x:row r="193" ht="19" customHeight="1">
      <x:c r="A193" s="2" t="str">
        <x:v>SIM-E1-BB-L5-R04</x:v>
      </x:c>
      <x:c r="B193" s="2" t="n">
        <x:v>2</x:v>
      </x:c>
      <x:c r="C193" s="2" t="str">
        <x:v>BB</x:v>
      </x:c>
      <x:c r="D193" s="2" t="str">
        <x:v>Brevicoryne brassicae</x:v>
      </x:c>
      <x:c r="E193" s="2" t="str">
        <x:v>L5</x:v>
      </x:c>
      <x:c r="F193" s="2" t="n">
        <x:v>4</x:v>
      </x:c>
      <x:c r="G193" s="2" t="n">
        <x:v>28</x:v>
      </x:c>
      <x:c r="H193" s="2" t="n">
        <x:f>G193-Supuestos!$C$7</x:f>
        <x:v>27</x:v>
      </x:c>
      <x:c r="I193" s="14" t="n">
        <x:f>E1_plantas!J65+G193</x:f>
        <x:v>46118</x:v>
      </x:c>
      <x:c r="J193" s="2" t="n">
        <x:v>149</x:v>
      </x:c>
      <x:c r="K193" s="2" t="n">
        <x:f>IF(AND(G193&gt;Supuestos!$C$8,E193&lt;&gt;"L0"),1,0)</x:f>
        <x:v>1</x:v>
      </x:c>
      <x:c r="L193" s="2" t="str">
        <x:v>posterior_al_dia_14</x:v>
      </x:c>
      <x:c r="M193" s="2" t="str">
        <x:v>simulado_didactico</x:v>
      </x:c>
    </x:row>
    <x:row r="194" ht="19" customHeight="1">
      <x:c r="A194" s="2" t="str">
        <x:v>SIM-E1-BB-L6-R03</x:v>
      </x:c>
      <x:c r="B194" s="2" t="n">
        <x:v>2</x:v>
      </x:c>
      <x:c r="C194" s="2" t="str">
        <x:v>BB</x:v>
      </x:c>
      <x:c r="D194" s="2" t="str">
        <x:v>Brevicoryne brassicae</x:v>
      </x:c>
      <x:c r="E194" s="2" t="str">
        <x:v>L6</x:v>
      </x:c>
      <x:c r="F194" s="2" t="n">
        <x:v>3</x:v>
      </x:c>
      <x:c r="G194" s="2" t="n">
        <x:v>14</x:v>
      </x:c>
      <x:c r="H194" s="2" t="n">
        <x:f>G194-Supuestos!$C$7</x:f>
        <x:v>13</x:v>
      </x:c>
      <x:c r="I194" s="14" t="n">
        <x:f>E1_plantas!J66+G194</x:f>
        <x:v>46104</x:v>
      </x:c>
      <x:c r="J194" s="2" t="n">
        <x:v>19</x:v>
      </x:c>
      <x:c r="K194" s="2" t="n">
        <x:f>IF(AND(G194&gt;Supuestos!$C$8,E194&lt;&gt;"L0"),1,0)</x:f>
        <x:v>0</x:v>
      </x:c>
      <x:c r="L194" s="2" t="str">
        <x:v>antes_de_reinoculacion</x:v>
      </x:c>
      <x:c r="M194" s="2" t="str">
        <x:v>simulado_didactico</x:v>
      </x:c>
    </x:row>
    <x:row r="195" ht="19" customHeight="1">
      <x:c r="A195" s="2" t="str">
        <x:v>SIM-E1-BB-L6-R03</x:v>
      </x:c>
      <x:c r="B195" s="2" t="n">
        <x:v>2</x:v>
      </x:c>
      <x:c r="C195" s="2" t="str">
        <x:v>BB</x:v>
      </x:c>
      <x:c r="D195" s="2" t="str">
        <x:v>Brevicoryne brassicae</x:v>
      </x:c>
      <x:c r="E195" s="2" t="str">
        <x:v>L6</x:v>
      </x:c>
      <x:c r="F195" s="2" t="n">
        <x:v>3</x:v>
      </x:c>
      <x:c r="G195" s="2" t="n">
        <x:v>21</x:v>
      </x:c>
      <x:c r="H195" s="2" t="n">
        <x:f>G195-Supuestos!$C$7</x:f>
        <x:v>20</x:v>
      </x:c>
      <x:c r="I195" s="14" t="n">
        <x:f>E1_plantas!J66+G195</x:f>
        <x:v>46111</x:v>
      </x:c>
      <x:c r="J195" s="2" t="n">
        <x:v>97</x:v>
      </x:c>
      <x:c r="K195" s="2" t="n">
        <x:f>IF(AND(G195&gt;Supuestos!$C$8,E195&lt;&gt;"L0"),1,0)</x:f>
        <x:v>1</x:v>
      </x:c>
      <x:c r="L195" s="2" t="str">
        <x:v>posterior_al_dia_14</x:v>
      </x:c>
      <x:c r="M195" s="2" t="str">
        <x:v>simulado_didactico</x:v>
      </x:c>
    </x:row>
    <x:row r="196" ht="19" customHeight="1">
      <x:c r="A196" s="2" t="str">
        <x:v>SIM-E1-BB-L6-R03</x:v>
      </x:c>
      <x:c r="B196" s="2" t="n">
        <x:v>2</x:v>
      </x:c>
      <x:c r="C196" s="2" t="str">
        <x:v>BB</x:v>
      </x:c>
      <x:c r="D196" s="2" t="str">
        <x:v>Brevicoryne brassicae</x:v>
      </x:c>
      <x:c r="E196" s="2" t="str">
        <x:v>L6</x:v>
      </x:c>
      <x:c r="F196" s="2" t="n">
        <x:v>3</x:v>
      </x:c>
      <x:c r="G196" s="2" t="n">
        <x:v>28</x:v>
      </x:c>
      <x:c r="H196" s="2" t="n">
        <x:f>G196-Supuestos!$C$7</x:f>
        <x:v>27</x:v>
      </x:c>
      <x:c r="I196" s="14" t="n">
        <x:f>E1_plantas!J66+G196</x:f>
        <x:v>46118</x:v>
      </x:c>
      <x:c r="J196" s="2" t="n">
        <x:v>244</x:v>
      </x:c>
      <x:c r="K196" s="2" t="n">
        <x:f>IF(AND(G196&gt;Supuestos!$C$8,E196&lt;&gt;"L0"),1,0)</x:f>
        <x:v>1</x:v>
      </x:c>
      <x:c r="L196" s="2" t="str">
        <x:v>posterior_al_dia_14</x:v>
      </x:c>
      <x:c r="M196" s="2" t="str">
        <x:v>simulado_didactico</x:v>
      </x:c>
    </x:row>
    <x:row r="197" ht="19" customHeight="1">
      <x:c r="A197" s="2" t="str">
        <x:v>SIM-E1-BB-L6-R04</x:v>
      </x:c>
      <x:c r="B197" s="2" t="n">
        <x:v>2</x:v>
      </x:c>
      <x:c r="C197" s="2" t="str">
        <x:v>BB</x:v>
      </x:c>
      <x:c r="D197" s="2" t="str">
        <x:v>Brevicoryne brassicae</x:v>
      </x:c>
      <x:c r="E197" s="2" t="str">
        <x:v>L6</x:v>
      </x:c>
      <x:c r="F197" s="2" t="n">
        <x:v>4</x:v>
      </x:c>
      <x:c r="G197" s="2" t="n">
        <x:v>14</x:v>
      </x:c>
      <x:c r="H197" s="2" t="n">
        <x:f>G197-Supuestos!$C$7</x:f>
        <x:v>13</x:v>
      </x:c>
      <x:c r="I197" s="14" t="n">
        <x:f>E1_plantas!J67+G197</x:f>
        <x:v>46104</x:v>
      </x:c>
      <x:c r="J197" s="2" t="n">
        <x:v>23</x:v>
      </x:c>
      <x:c r="K197" s="2" t="n">
        <x:f>IF(AND(G197&gt;Supuestos!$C$8,E197&lt;&gt;"L0"),1,0)</x:f>
        <x:v>0</x:v>
      </x:c>
      <x:c r="L197" s="2" t="str">
        <x:v>antes_de_reinoculacion</x:v>
      </x:c>
      <x:c r="M197" s="2" t="str">
        <x:v>simulado_didactico</x:v>
      </x:c>
    </x:row>
    <x:row r="198" ht="19" customHeight="1">
      <x:c r="A198" s="2" t="str">
        <x:v>SIM-E1-BB-L6-R04</x:v>
      </x:c>
      <x:c r="B198" s="2" t="n">
        <x:v>2</x:v>
      </x:c>
      <x:c r="C198" s="2" t="str">
        <x:v>BB</x:v>
      </x:c>
      <x:c r="D198" s="2" t="str">
        <x:v>Brevicoryne brassicae</x:v>
      </x:c>
      <x:c r="E198" s="2" t="str">
        <x:v>L6</x:v>
      </x:c>
      <x:c r="F198" s="2" t="n">
        <x:v>4</x:v>
      </x:c>
      <x:c r="G198" s="2" t="n">
        <x:v>21</x:v>
      </x:c>
      <x:c r="H198" s="2" t="n">
        <x:f>G198-Supuestos!$C$7</x:f>
        <x:v>20</x:v>
      </x:c>
      <x:c r="I198" s="14" t="n">
        <x:f>E1_plantas!J67+G198</x:f>
        <x:v>46111</x:v>
      </x:c>
      <x:c r="J198" s="2" t="n">
        <x:v>92</x:v>
      </x:c>
      <x:c r="K198" s="2" t="n">
        <x:f>IF(AND(G198&gt;Supuestos!$C$8,E198&lt;&gt;"L0"),1,0)</x:f>
        <x:v>1</x:v>
      </x:c>
      <x:c r="L198" s="2" t="str">
        <x:v>posterior_al_dia_14</x:v>
      </x:c>
      <x:c r="M198" s="2" t="str">
        <x:v>simulado_didactico</x:v>
      </x:c>
    </x:row>
    <x:row r="199" ht="19" customHeight="1">
      <x:c r="A199" s="2" t="str">
        <x:v>SIM-E1-BB-L6-R04</x:v>
      </x:c>
      <x:c r="B199" s="2" t="n">
        <x:v>2</x:v>
      </x:c>
      <x:c r="C199" s="2" t="str">
        <x:v>BB</x:v>
      </x:c>
      <x:c r="D199" s="2" t="str">
        <x:v>Brevicoryne brassicae</x:v>
      </x:c>
      <x:c r="E199" s="2" t="str">
        <x:v>L6</x:v>
      </x:c>
      <x:c r="F199" s="2" t="n">
        <x:v>4</x:v>
      </x:c>
      <x:c r="G199" s="2" t="n">
        <x:v>28</x:v>
      </x:c>
      <x:c r="H199" s="2" t="n">
        <x:f>G199-Supuestos!$C$7</x:f>
        <x:v>27</x:v>
      </x:c>
      <x:c r="I199" s="14" t="n">
        <x:f>E1_plantas!J67+G199</x:f>
        <x:v>46118</x:v>
      </x:c>
      <x:c r="J199" s="2" t="n">
        <x:v>336</x:v>
      </x:c>
      <x:c r="K199" s="2" t="n">
        <x:f>IF(AND(G199&gt;Supuestos!$C$8,E199&lt;&gt;"L0"),1,0)</x:f>
        <x:v>1</x:v>
      </x:c>
      <x:c r="L199" s="2" t="str">
        <x:v>posterior_al_dia_14</x:v>
      </x:c>
      <x:c r="M199" s="2" t="str">
        <x:v>simulado_didactico</x:v>
      </x:c>
    </x:row>
    <x:row r="200" ht="19" customHeight="1">
      <x:c r="A200" s="2" t="str">
        <x:v>SIM-E1-BB-L7-R03</x:v>
      </x:c>
      <x:c r="B200" s="2" t="n">
        <x:v>2</x:v>
      </x:c>
      <x:c r="C200" s="2" t="str">
        <x:v>BB</x:v>
      </x:c>
      <x:c r="D200" s="2" t="str">
        <x:v>Brevicoryne brassicae</x:v>
      </x:c>
      <x:c r="E200" s="2" t="str">
        <x:v>L7</x:v>
      </x:c>
      <x:c r="F200" s="2" t="n">
        <x:v>3</x:v>
      </x:c>
      <x:c r="G200" s="2" t="n">
        <x:v>14</x:v>
      </x:c>
      <x:c r="H200" s="2" t="n">
        <x:f>G200-Supuestos!$C$7</x:f>
        <x:v>13</x:v>
      </x:c>
      <x:c r="I200" s="14" t="n">
        <x:f>E1_plantas!J68+G200</x:f>
        <x:v>46104</x:v>
      </x:c>
      <x:c r="J200" s="2" t="n">
        <x:v>28</x:v>
      </x:c>
      <x:c r="K200" s="2" t="n">
        <x:f>IF(AND(G200&gt;Supuestos!$C$8,E200&lt;&gt;"L0"),1,0)</x:f>
        <x:v>0</x:v>
      </x:c>
      <x:c r="L200" s="2" t="str">
        <x:v>antes_de_reinoculacion</x:v>
      </x:c>
      <x:c r="M200" s="2" t="str">
        <x:v>simulado_didactico</x:v>
      </x:c>
    </x:row>
    <x:row r="201" ht="19" customHeight="1">
      <x:c r="A201" s="2" t="str">
        <x:v>SIM-E1-BB-L7-R03</x:v>
      </x:c>
      <x:c r="B201" s="2" t="n">
        <x:v>2</x:v>
      </x:c>
      <x:c r="C201" s="2" t="str">
        <x:v>BB</x:v>
      </x:c>
      <x:c r="D201" s="2" t="str">
        <x:v>Brevicoryne brassicae</x:v>
      </x:c>
      <x:c r="E201" s="2" t="str">
        <x:v>L7</x:v>
      </x:c>
      <x:c r="F201" s="2" t="n">
        <x:v>3</x:v>
      </x:c>
      <x:c r="G201" s="2" t="n">
        <x:v>21</x:v>
      </x:c>
      <x:c r="H201" s="2" t="n">
        <x:f>G201-Supuestos!$C$7</x:f>
        <x:v>20</x:v>
      </x:c>
      <x:c r="I201" s="14" t="n">
        <x:f>E1_plantas!J68+G201</x:f>
        <x:v>46111</x:v>
      </x:c>
      <x:c r="J201" s="2" t="n">
        <x:v>64</x:v>
      </x:c>
      <x:c r="K201" s="2" t="n">
        <x:f>IF(AND(G201&gt;Supuestos!$C$8,E201&lt;&gt;"L0"),1,0)</x:f>
        <x:v>1</x:v>
      </x:c>
      <x:c r="L201" s="2" t="str">
        <x:v>posterior_al_dia_14</x:v>
      </x:c>
      <x:c r="M201" s="2" t="str">
        <x:v>simulado_didactico</x:v>
      </x:c>
    </x:row>
    <x:row r="202" ht="19" customHeight="1">
      <x:c r="A202" s="2" t="str">
        <x:v>SIM-E1-BB-L7-R03</x:v>
      </x:c>
      <x:c r="B202" s="2" t="n">
        <x:v>2</x:v>
      </x:c>
      <x:c r="C202" s="2" t="str">
        <x:v>BB</x:v>
      </x:c>
      <x:c r="D202" s="2" t="str">
        <x:v>Brevicoryne brassicae</x:v>
      </x:c>
      <x:c r="E202" s="2" t="str">
        <x:v>L7</x:v>
      </x:c>
      <x:c r="F202" s="2" t="n">
        <x:v>3</x:v>
      </x:c>
      <x:c r="G202" s="2" t="n">
        <x:v>28</x:v>
      </x:c>
      <x:c r="H202" s="2" t="n">
        <x:f>G202-Supuestos!$C$7</x:f>
        <x:v>27</x:v>
      </x:c>
      <x:c r="I202" s="14" t="n">
        <x:f>E1_plantas!J68+G202</x:f>
        <x:v>46118</x:v>
      </x:c>
      <x:c r="J202" s="2" t="n">
        <x:v>199</x:v>
      </x:c>
      <x:c r="K202" s="2" t="n">
        <x:f>IF(AND(G202&gt;Supuestos!$C$8,E202&lt;&gt;"L0"),1,0)</x:f>
        <x:v>1</x:v>
      </x:c>
      <x:c r="L202" s="2" t="str">
        <x:v>posterior_al_dia_14</x:v>
      </x:c>
      <x:c r="M202" s="2" t="str">
        <x:v>simulado_didactico</x:v>
      </x:c>
    </x:row>
    <x:row r="203" ht="19" customHeight="1">
      <x:c r="A203" s="2" t="str">
        <x:v>SIM-E1-BB-L7-R04</x:v>
      </x:c>
      <x:c r="B203" s="2" t="n">
        <x:v>2</x:v>
      </x:c>
      <x:c r="C203" s="2" t="str">
        <x:v>BB</x:v>
      </x:c>
      <x:c r="D203" s="2" t="str">
        <x:v>Brevicoryne brassicae</x:v>
      </x:c>
      <x:c r="E203" s="2" t="str">
        <x:v>L7</x:v>
      </x:c>
      <x:c r="F203" s="2" t="n">
        <x:v>4</x:v>
      </x:c>
      <x:c r="G203" s="2" t="n">
        <x:v>14</x:v>
      </x:c>
      <x:c r="H203" s="2" t="n">
        <x:f>G203-Supuestos!$C$7</x:f>
        <x:v>13</x:v>
      </x:c>
      <x:c r="I203" s="14" t="n">
        <x:f>E1_plantas!J69+G203</x:f>
        <x:v>46104</x:v>
      </x:c>
      <x:c r="J203" s="2" t="n">
        <x:v>12</x:v>
      </x:c>
      <x:c r="K203" s="2" t="n">
        <x:f>IF(AND(G203&gt;Supuestos!$C$8,E203&lt;&gt;"L0"),1,0)</x:f>
        <x:v>0</x:v>
      </x:c>
      <x:c r="L203" s="2" t="str">
        <x:v>antes_de_reinoculacion</x:v>
      </x:c>
      <x:c r="M203" s="2" t="str">
        <x:v>simulado_didactico</x:v>
      </x:c>
    </x:row>
    <x:row r="204" ht="19" customHeight="1">
      <x:c r="A204" s="2" t="str">
        <x:v>SIM-E1-BB-L7-R04</x:v>
      </x:c>
      <x:c r="B204" s="2" t="n">
        <x:v>2</x:v>
      </x:c>
      <x:c r="C204" s="2" t="str">
        <x:v>BB</x:v>
      </x:c>
      <x:c r="D204" s="2" t="str">
        <x:v>Brevicoryne brassicae</x:v>
      </x:c>
      <x:c r="E204" s="2" t="str">
        <x:v>L7</x:v>
      </x:c>
      <x:c r="F204" s="2" t="n">
        <x:v>4</x:v>
      </x:c>
      <x:c r="G204" s="2" t="n">
        <x:v>21</x:v>
      </x:c>
      <x:c r="H204" s="2" t="n">
        <x:f>G204-Supuestos!$C$7</x:f>
        <x:v>20</x:v>
      </x:c>
      <x:c r="I204" s="14" t="n">
        <x:f>E1_plantas!J69+G204</x:f>
        <x:v>46111</x:v>
      </x:c>
      <x:c r="J204" s="2" t="n">
        <x:v>59</x:v>
      </x:c>
      <x:c r="K204" s="2" t="n">
        <x:f>IF(AND(G204&gt;Supuestos!$C$8,E204&lt;&gt;"L0"),1,0)</x:f>
        <x:v>1</x:v>
      </x:c>
      <x:c r="L204" s="2" t="str">
        <x:v>posterior_al_dia_14</x:v>
      </x:c>
      <x:c r="M204" s="2" t="str">
        <x:v>simulado_didactico</x:v>
      </x:c>
    </x:row>
    <x:row r="205" ht="19" customHeight="1">
      <x:c r="A205" s="2" t="str">
        <x:v>SIM-E1-BB-L7-R04</x:v>
      </x:c>
      <x:c r="B205" s="2" t="n">
        <x:v>2</x:v>
      </x:c>
      <x:c r="C205" s="2" t="str">
        <x:v>BB</x:v>
      </x:c>
      <x:c r="D205" s="2" t="str">
        <x:v>Brevicoryne brassicae</x:v>
      </x:c>
      <x:c r="E205" s="2" t="str">
        <x:v>L7</x:v>
      </x:c>
      <x:c r="F205" s="2" t="n">
        <x:v>4</x:v>
      </x:c>
      <x:c r="G205" s="2" t="n">
        <x:v>28</x:v>
      </x:c>
      <x:c r="H205" s="2" t="n">
        <x:f>G205-Supuestos!$C$7</x:f>
        <x:v>27</x:v>
      </x:c>
      <x:c r="I205" s="14" t="n">
        <x:f>E1_plantas!J69+G205</x:f>
        <x:v>46118</x:v>
      </x:c>
      <x:c r="J205" s="2" t="n">
        <x:v>184</x:v>
      </x:c>
      <x:c r="K205" s="2" t="n">
        <x:f>IF(AND(G205&gt;Supuestos!$C$8,E205&lt;&gt;"L0"),1,0)</x:f>
        <x:v>1</x:v>
      </x:c>
      <x:c r="L205" s="2" t="str">
        <x:v>posterior_al_dia_14</x:v>
      </x:c>
      <x:c r="M205" s="2" t="str">
        <x:v>simulado_didactico</x:v>
      </x:c>
    </x:row>
    <x:row r="206" ht="19" customHeight="1">
      <x:c r="A206" s="2" t="str">
        <x:v>SIM-E1-BB-L8-R03</x:v>
      </x:c>
      <x:c r="B206" s="2" t="n">
        <x:v>2</x:v>
      </x:c>
      <x:c r="C206" s="2" t="str">
        <x:v>BB</x:v>
      </x:c>
      <x:c r="D206" s="2" t="str">
        <x:v>Brevicoryne brassicae</x:v>
      </x:c>
      <x:c r="E206" s="2" t="str">
        <x:v>L8</x:v>
      </x:c>
      <x:c r="F206" s="2" t="n">
        <x:v>3</x:v>
      </x:c>
      <x:c r="G206" s="2" t="n">
        <x:v>14</x:v>
      </x:c>
      <x:c r="H206" s="2" t="n">
        <x:f>G206-Supuestos!$C$7</x:f>
        <x:v>13</x:v>
      </x:c>
      <x:c r="I206" s="14" t="n">
        <x:f>E1_plantas!J70+G206</x:f>
        <x:v>46104</x:v>
      </x:c>
      <x:c r="J206" s="2" t="n">
        <x:v>21</x:v>
      </x:c>
      <x:c r="K206" s="2" t="n">
        <x:f>IF(AND(G206&gt;Supuestos!$C$8,E206&lt;&gt;"L0"),1,0)</x:f>
        <x:v>0</x:v>
      </x:c>
      <x:c r="L206" s="2" t="str">
        <x:v>antes_de_reinoculacion</x:v>
      </x:c>
      <x:c r="M206" s="2" t="str">
        <x:v>simulado_didactico</x:v>
      </x:c>
    </x:row>
    <x:row r="207" ht="19" customHeight="1">
      <x:c r="A207" s="2" t="str">
        <x:v>SIM-E1-BB-L8-R03</x:v>
      </x:c>
      <x:c r="B207" s="2" t="n">
        <x:v>2</x:v>
      </x:c>
      <x:c r="C207" s="2" t="str">
        <x:v>BB</x:v>
      </x:c>
      <x:c r="D207" s="2" t="str">
        <x:v>Brevicoryne brassicae</x:v>
      </x:c>
      <x:c r="E207" s="2" t="str">
        <x:v>L8</x:v>
      </x:c>
      <x:c r="F207" s="2" t="n">
        <x:v>3</x:v>
      </x:c>
      <x:c r="G207" s="2" t="n">
        <x:v>21</x:v>
      </x:c>
      <x:c r="H207" s="2" t="n">
        <x:f>G207-Supuestos!$C$7</x:f>
        <x:v>20</x:v>
      </x:c>
      <x:c r="I207" s="14" t="n">
        <x:f>E1_plantas!J70+G207</x:f>
        <x:v>46111</x:v>
      </x:c>
      <x:c r="J207" s="2" t="n">
        <x:v>47</x:v>
      </x:c>
      <x:c r="K207" s="2" t="n">
        <x:f>IF(AND(G207&gt;Supuestos!$C$8,E207&lt;&gt;"L0"),1,0)</x:f>
        <x:v>1</x:v>
      </x:c>
      <x:c r="L207" s="2" t="str">
        <x:v>posterior_al_dia_14</x:v>
      </x:c>
      <x:c r="M207" s="2" t="str">
        <x:v>simulado_didactico</x:v>
      </x:c>
    </x:row>
    <x:row r="208" ht="19" customHeight="1">
      <x:c r="A208" s="2" t="str">
        <x:v>SIM-E1-BB-L8-R03</x:v>
      </x:c>
      <x:c r="B208" s="2" t="n">
        <x:v>2</x:v>
      </x:c>
      <x:c r="C208" s="2" t="str">
        <x:v>BB</x:v>
      </x:c>
      <x:c r="D208" s="2" t="str">
        <x:v>Brevicoryne brassicae</x:v>
      </x:c>
      <x:c r="E208" s="2" t="str">
        <x:v>L8</x:v>
      </x:c>
      <x:c r="F208" s="2" t="n">
        <x:v>3</x:v>
      </x:c>
      <x:c r="G208" s="2" t="n">
        <x:v>28</x:v>
      </x:c>
      <x:c r="H208" s="2" t="n">
        <x:f>G208-Supuestos!$C$7</x:f>
        <x:v>27</x:v>
      </x:c>
      <x:c r="I208" s="14" t="n">
        <x:f>E1_plantas!J70+G208</x:f>
        <x:v>46118</x:v>
      </x:c>
      <x:c r="J208" s="2" t="n">
        <x:v>86</x:v>
      </x:c>
      <x:c r="K208" s="2" t="n">
        <x:f>IF(AND(G208&gt;Supuestos!$C$8,E208&lt;&gt;"L0"),1,0)</x:f>
        <x:v>1</x:v>
      </x:c>
      <x:c r="L208" s="2" t="str">
        <x:v>posterior_al_dia_14</x:v>
      </x:c>
      <x:c r="M208" s="2" t="str">
        <x:v>simulado_didactico</x:v>
      </x:c>
    </x:row>
    <x:row r="209" ht="19" customHeight="1">
      <x:c r="A209" s="2" t="str">
        <x:v>SIM-E1-BB-L8-R04</x:v>
      </x:c>
      <x:c r="B209" s="2" t="n">
        <x:v>2</x:v>
      </x:c>
      <x:c r="C209" s="2" t="str">
        <x:v>BB</x:v>
      </x:c>
      <x:c r="D209" s="2" t="str">
        <x:v>Brevicoryne brassicae</x:v>
      </x:c>
      <x:c r="E209" s="2" t="str">
        <x:v>L8</x:v>
      </x:c>
      <x:c r="F209" s="2" t="n">
        <x:v>4</x:v>
      </x:c>
      <x:c r="G209" s="2" t="n">
        <x:v>14</x:v>
      </x:c>
      <x:c r="H209" s="2" t="n">
        <x:f>G209-Supuestos!$C$7</x:f>
        <x:v>13</x:v>
      </x:c>
      <x:c r="I209" s="14" t="n">
        <x:f>E1_plantas!J71+G209</x:f>
        <x:v>46104</x:v>
      </x:c>
      <x:c r="J209" s="2" t="n">
        <x:v>0</x:v>
      </x:c>
      <x:c r="K209" s="2" t="n">
        <x:f>IF(AND(G209&gt;Supuestos!$C$8,E209&lt;&gt;"L0"),1,0)</x:f>
        <x:v>0</x:v>
      </x:c>
      <x:c r="L209" s="2" t="str">
        <x:v>antes_de_reinoculacion</x:v>
      </x:c>
      <x:c r="M209" s="2" t="str">
        <x:v>simulado_didactico</x:v>
      </x:c>
    </x:row>
    <x:row r="210" ht="19" customHeight="1">
      <x:c r="A210" s="2" t="str">
        <x:v>SIM-E1-BB-L8-R04</x:v>
      </x:c>
      <x:c r="B210" s="2" t="n">
        <x:v>2</x:v>
      </x:c>
      <x:c r="C210" s="2" t="str">
        <x:v>BB</x:v>
      </x:c>
      <x:c r="D210" s="2" t="str">
        <x:v>Brevicoryne brassicae</x:v>
      </x:c>
      <x:c r="E210" s="2" t="str">
        <x:v>L8</x:v>
      </x:c>
      <x:c r="F210" s="2" t="n">
        <x:v>4</x:v>
      </x:c>
      <x:c r="G210" s="2" t="n">
        <x:v>21</x:v>
      </x:c>
      <x:c r="H210" s="2" t="n">
        <x:f>G210-Supuestos!$C$7</x:f>
        <x:v>20</x:v>
      </x:c>
      <x:c r="I210" s="14" t="n">
        <x:f>E1_plantas!J71+G210</x:f>
        <x:v>46111</x:v>
      </x:c>
      <x:c r="J210" s="2" t="n">
        <x:v>0</x:v>
      </x:c>
      <x:c r="K210" s="2" t="n">
        <x:f>IF(AND(G210&gt;Supuestos!$C$8,E210&lt;&gt;"L0"),1,0)</x:f>
        <x:v>1</x:v>
      </x:c>
      <x:c r="L210" s="2" t="str">
        <x:v>posterior_al_dia_14</x:v>
      </x:c>
      <x:c r="M210" s="2" t="str">
        <x:v>simulado_didactico</x:v>
      </x:c>
    </x:row>
    <x:row r="211" ht="19" customHeight="1">
      <x:c r="A211" s="2" t="str">
        <x:v>SIM-E1-BB-L8-R04</x:v>
      </x:c>
      <x:c r="B211" s="2" t="n">
        <x:v>2</x:v>
      </x:c>
      <x:c r="C211" s="2" t="str">
        <x:v>BB</x:v>
      </x:c>
      <x:c r="D211" s="2" t="str">
        <x:v>Brevicoryne brassicae</x:v>
      </x:c>
      <x:c r="E211" s="2" t="str">
        <x:v>L8</x:v>
      </x:c>
      <x:c r="F211" s="2" t="n">
        <x:v>4</x:v>
      </x:c>
      <x:c r="G211" s="2" t="n">
        <x:v>28</x:v>
      </x:c>
      <x:c r="H211" s="2" t="n">
        <x:f>G211-Supuestos!$C$7</x:f>
        <x:v>27</x:v>
      </x:c>
      <x:c r="I211" s="14" t="n">
        <x:f>E1_plantas!J71+G211</x:f>
        <x:v>46118</x:v>
      </x:c>
      <x:c r="J211" s="2" t="n">
        <x:v>0</x:v>
      </x:c>
      <x:c r="K211" s="2" t="n">
        <x:f>IF(AND(G211&gt;Supuestos!$C$8,E211&lt;&gt;"L0"),1,0)</x:f>
        <x:v>1</x:v>
      </x:c>
      <x:c r="L211" s="2" t="str">
        <x:v>posterior_al_dia_14</x:v>
      </x:c>
      <x:c r="M211" s="2" t="str">
        <x:v>simulado_didactico</x:v>
      </x:c>
    </x:row>
    <x:row r="212" ht="19" customHeight="1">
      <x:c r="A212" s="2" t="str">
        <x:v>SIM-E1-BB-L9-R03</x:v>
      </x:c>
      <x:c r="B212" s="2" t="n">
        <x:v>2</x:v>
      </x:c>
      <x:c r="C212" s="2" t="str">
        <x:v>BB</x:v>
      </x:c>
      <x:c r="D212" s="2" t="str">
        <x:v>Brevicoryne brassicae</x:v>
      </x:c>
      <x:c r="E212" s="2" t="str">
        <x:v>L9</x:v>
      </x:c>
      <x:c r="F212" s="2" t="n">
        <x:v>3</x:v>
      </x:c>
      <x:c r="G212" s="2" t="n">
        <x:v>14</x:v>
      </x:c>
      <x:c r="H212" s="2" t="n">
        <x:f>G212-Supuestos!$C$7</x:f>
        <x:v>13</x:v>
      </x:c>
      <x:c r="I212" s="14" t="n">
        <x:f>E1_plantas!J72+G212</x:f>
        <x:v>46104</x:v>
      </x:c>
      <x:c r="J212" s="2" t="n">
        <x:v>64</x:v>
      </x:c>
      <x:c r="K212" s="2" t="n">
        <x:f>IF(AND(G212&gt;Supuestos!$C$8,E212&lt;&gt;"L0"),1,0)</x:f>
        <x:v>0</x:v>
      </x:c>
      <x:c r="L212" s="2" t="str">
        <x:v>antes_de_reinoculacion</x:v>
      </x:c>
      <x:c r="M212" s="2" t="str">
        <x:v>simulado_didactico</x:v>
      </x:c>
    </x:row>
    <x:row r="213" ht="19" customHeight="1">
      <x:c r="A213" s="2" t="str">
        <x:v>SIM-E1-BB-L9-R03</x:v>
      </x:c>
      <x:c r="B213" s="2" t="n">
        <x:v>2</x:v>
      </x:c>
      <x:c r="C213" s="2" t="str">
        <x:v>BB</x:v>
      </x:c>
      <x:c r="D213" s="2" t="str">
        <x:v>Brevicoryne brassicae</x:v>
      </x:c>
      <x:c r="E213" s="2" t="str">
        <x:v>L9</x:v>
      </x:c>
      <x:c r="F213" s="2" t="n">
        <x:v>3</x:v>
      </x:c>
      <x:c r="G213" s="2" t="n">
        <x:v>21</x:v>
      </x:c>
      <x:c r="H213" s="2" t="n">
        <x:f>G213-Supuestos!$C$7</x:f>
        <x:v>20</x:v>
      </x:c>
      <x:c r="I213" s="14" t="n">
        <x:f>E1_plantas!J72+G213</x:f>
        <x:v>46111</x:v>
      </x:c>
      <x:c r="J213" s="2" t="n">
        <x:v>166</x:v>
      </x:c>
      <x:c r="K213" s="2" t="n">
        <x:f>IF(AND(G213&gt;Supuestos!$C$8,E213&lt;&gt;"L0"),1,0)</x:f>
        <x:v>1</x:v>
      </x:c>
      <x:c r="L213" s="2" t="str">
        <x:v>posterior_al_dia_14</x:v>
      </x:c>
      <x:c r="M213" s="2" t="str">
        <x:v>simulado_didactico</x:v>
      </x:c>
    </x:row>
    <x:row r="214" ht="19" customHeight="1">
      <x:c r="A214" s="2" t="str">
        <x:v>SIM-E1-BB-L9-R03</x:v>
      </x:c>
      <x:c r="B214" s="2" t="n">
        <x:v>2</x:v>
      </x:c>
      <x:c r="C214" s="2" t="str">
        <x:v>BB</x:v>
      </x:c>
      <x:c r="D214" s="2" t="str">
        <x:v>Brevicoryne brassicae</x:v>
      </x:c>
      <x:c r="E214" s="2" t="str">
        <x:v>L9</x:v>
      </x:c>
      <x:c r="F214" s="2" t="n">
        <x:v>3</x:v>
      </x:c>
      <x:c r="G214" s="2" t="n">
        <x:v>28</x:v>
      </x:c>
      <x:c r="H214" s="2" t="n">
        <x:f>G214-Supuestos!$C$7</x:f>
        <x:v>27</x:v>
      </x:c>
      <x:c r="I214" s="14" t="n">
        <x:f>E1_plantas!J72+G214</x:f>
        <x:v>46118</x:v>
      </x:c>
      <x:c r="J214" s="2" t="n">
        <x:v>674</x:v>
      </x:c>
      <x:c r="K214" s="2" t="n">
        <x:f>IF(AND(G214&gt;Supuestos!$C$8,E214&lt;&gt;"L0"),1,0)</x:f>
        <x:v>1</x:v>
      </x:c>
      <x:c r="L214" s="2" t="str">
        <x:v>posterior_al_dia_14</x:v>
      </x:c>
      <x:c r="M214" s="2" t="str">
        <x:v>simulado_didactico</x:v>
      </x:c>
    </x:row>
    <x:row r="215" ht="19" customHeight="1">
      <x:c r="A215" s="2" t="str">
        <x:v>SIM-E1-BB-L9-R04</x:v>
      </x:c>
      <x:c r="B215" s="2" t="n">
        <x:v>2</x:v>
      </x:c>
      <x:c r="C215" s="2" t="str">
        <x:v>BB</x:v>
      </x:c>
      <x:c r="D215" s="2" t="str">
        <x:v>Brevicoryne brassicae</x:v>
      </x:c>
      <x:c r="E215" s="2" t="str">
        <x:v>L9</x:v>
      </x:c>
      <x:c r="F215" s="2" t="n">
        <x:v>4</x:v>
      </x:c>
      <x:c r="G215" s="2" t="n">
        <x:v>14</x:v>
      </x:c>
      <x:c r="H215" s="2" t="n">
        <x:f>G215-Supuestos!$C$7</x:f>
        <x:v>13</x:v>
      </x:c>
      <x:c r="I215" s="14" t="n">
        <x:f>E1_plantas!J73+G215</x:f>
        <x:v>46104</x:v>
      </x:c>
      <x:c r="J215" s="2" t="n">
        <x:v>12</x:v>
      </x:c>
      <x:c r="K215" s="2" t="n">
        <x:f>IF(AND(G215&gt;Supuestos!$C$8,E215&lt;&gt;"L0"),1,0)</x:f>
        <x:v>0</x:v>
      </x:c>
      <x:c r="L215" s="2" t="str">
        <x:v>antes_de_reinoculacion</x:v>
      </x:c>
      <x:c r="M215" s="2" t="str">
        <x:v>simulado_didactico</x:v>
      </x:c>
    </x:row>
    <x:row r="216" ht="19" customHeight="1">
      <x:c r="A216" s="2" t="str">
        <x:v>SIM-E1-BB-L9-R04</x:v>
      </x:c>
      <x:c r="B216" s="2" t="n">
        <x:v>2</x:v>
      </x:c>
      <x:c r="C216" s="2" t="str">
        <x:v>BB</x:v>
      </x:c>
      <x:c r="D216" s="2" t="str">
        <x:v>Brevicoryne brassicae</x:v>
      </x:c>
      <x:c r="E216" s="2" t="str">
        <x:v>L9</x:v>
      </x:c>
      <x:c r="F216" s="2" t="n">
        <x:v>4</x:v>
      </x:c>
      <x:c r="G216" s="2" t="n">
        <x:v>21</x:v>
      </x:c>
      <x:c r="H216" s="2" t="n">
        <x:f>G216-Supuestos!$C$7</x:f>
        <x:v>20</x:v>
      </x:c>
      <x:c r="I216" s="14" t="n">
        <x:f>E1_plantas!J73+G216</x:f>
        <x:v>46111</x:v>
      </x:c>
      <x:c r="J216" s="2" t="n">
        <x:v>82</x:v>
      </x:c>
      <x:c r="K216" s="2" t="n">
        <x:f>IF(AND(G216&gt;Supuestos!$C$8,E216&lt;&gt;"L0"),1,0)</x:f>
        <x:v>1</x:v>
      </x:c>
      <x:c r="L216" s="2" t="str">
        <x:v>posterior_al_dia_14</x:v>
      </x:c>
      <x:c r="M216" s="2" t="str">
        <x:v>simulado_didactico</x:v>
      </x:c>
    </x:row>
    <x:row r="217" ht="19" customHeight="1">
      <x:c r="A217" s="2" t="str">
        <x:v>SIM-E1-BB-L9-R04</x:v>
      </x:c>
      <x:c r="B217" s="2" t="n">
        <x:v>2</x:v>
      </x:c>
      <x:c r="C217" s="2" t="str">
        <x:v>BB</x:v>
      </x:c>
      <x:c r="D217" s="2" t="str">
        <x:v>Brevicoryne brassicae</x:v>
      </x:c>
      <x:c r="E217" s="2" t="str">
        <x:v>L9</x:v>
      </x:c>
      <x:c r="F217" s="2" t="n">
        <x:v>4</x:v>
      </x:c>
      <x:c r="G217" s="2" t="n">
        <x:v>28</x:v>
      </x:c>
      <x:c r="H217" s="2" t="n">
        <x:f>G217-Supuestos!$C$7</x:f>
        <x:v>27</x:v>
      </x:c>
      <x:c r="I217" s="14" t="n">
        <x:f>E1_plantas!J73+G217</x:f>
        <x:v>46118</x:v>
      </x:c>
      <x:c r="J217" s="2" t="n">
        <x:v>254</x:v>
      </x:c>
      <x:c r="K217" s="2" t="n">
        <x:f>IF(AND(G217&gt;Supuestos!$C$8,E217&lt;&gt;"L0"),1,0)</x:f>
        <x:v>1</x:v>
      </x:c>
      <x:c r="L217" s="2" t="str">
        <x:v>posterior_al_dia_14</x:v>
      </x:c>
      <x:c r="M217" s="2" t="str">
        <x:v>simulado_didactico</x:v>
      </x:c>
    </x:row>
    <x:row r="218" ht="19" customHeight="1">
      <x:c r="A218" s="2" t="str">
        <x:v>SIM-E1-MP-L0-R05</x:v>
      </x:c>
      <x:c r="B218" s="2" t="n">
        <x:v>3</x:v>
      </x:c>
      <x:c r="C218" s="2" t="str">
        <x:v>MP</x:v>
      </x:c>
      <x:c r="D218" s="2" t="str">
        <x:v>Myzus persicae</x:v>
      </x:c>
      <x:c r="E218" s="2" t="str">
        <x:v>L0</x:v>
      </x:c>
      <x:c r="F218" s="2" t="n">
        <x:v>5</x:v>
      </x:c>
      <x:c r="G218" s="2" t="n">
        <x:v>14</x:v>
      </x:c>
      <x:c r="H218" s="2" t="n">
        <x:f>G218-Supuestos!$C$7</x:f>
        <x:v>13</x:v>
      </x:c>
      <x:c r="I218" s="14" t="n">
        <x:f>E1_plantas!J74+G218</x:f>
        <x:v>46111</x:v>
      </x:c>
      <x:c r="J218" s="2" t="n">
        <x:v>20</x:v>
      </x:c>
      <x:c r="K218" s="2" t="n">
        <x:f>IF(AND(G218&gt;Supuestos!$C$8,E218&lt;&gt;"L0"),1,0)</x:f>
        <x:v>0</x:v>
      </x:c>
      <x:c r="L218" s="2" t="str">
        <x:v>antes_de_reinoculacion</x:v>
      </x:c>
      <x:c r="M218" s="2" t="str">
        <x:v>simulado_didactico</x:v>
      </x:c>
    </x:row>
    <x:row r="219" ht="19" customHeight="1">
      <x:c r="A219" s="2" t="str">
        <x:v>SIM-E1-MP-L0-R05</x:v>
      </x:c>
      <x:c r="B219" s="2" t="n">
        <x:v>3</x:v>
      </x:c>
      <x:c r="C219" s="2" t="str">
        <x:v>MP</x:v>
      </x:c>
      <x:c r="D219" s="2" t="str">
        <x:v>Myzus persicae</x:v>
      </x:c>
      <x:c r="E219" s="2" t="str">
        <x:v>L0</x:v>
      </x:c>
      <x:c r="F219" s="2" t="n">
        <x:v>5</x:v>
      </x:c>
      <x:c r="G219" s="2" t="n">
        <x:v>21</x:v>
      </x:c>
      <x:c r="H219" s="2" t="n">
        <x:f>G219-Supuestos!$C$7</x:f>
        <x:v>20</x:v>
      </x:c>
      <x:c r="I219" s="14" t="n">
        <x:f>E1_plantas!J74+G219</x:f>
        <x:v>46118</x:v>
      </x:c>
      <x:c r="J219" s="2" t="n">
        <x:v>94</x:v>
      </x:c>
      <x:c r="K219" s="2" t="n">
        <x:f>IF(AND(G219&gt;Supuestos!$C$8,E219&lt;&gt;"L0"),1,0)</x:f>
        <x:v>0</x:v>
      </x:c>
      <x:c r="L219" s="2" t="str">
        <x:v>posterior_al_dia_14</x:v>
      </x:c>
      <x:c r="M219" s="2" t="str">
        <x:v>simulado_didactico</x:v>
      </x:c>
    </x:row>
    <x:row r="220" ht="19" customHeight="1">
      <x:c r="A220" s="2" t="str">
        <x:v>SIM-E1-MP-L0-R05</x:v>
      </x:c>
      <x:c r="B220" s="2" t="n">
        <x:v>3</x:v>
      </x:c>
      <x:c r="C220" s="2" t="str">
        <x:v>MP</x:v>
      </x:c>
      <x:c r="D220" s="2" t="str">
        <x:v>Myzus persicae</x:v>
      </x:c>
      <x:c r="E220" s="2" t="str">
        <x:v>L0</x:v>
      </x:c>
      <x:c r="F220" s="2" t="n">
        <x:v>5</x:v>
      </x:c>
      <x:c r="G220" s="2" t="n">
        <x:v>28</x:v>
      </x:c>
      <x:c r="H220" s="2" t="n">
        <x:f>G220-Supuestos!$C$7</x:f>
        <x:v>27</x:v>
      </x:c>
      <x:c r="I220" s="14" t="n">
        <x:f>E1_plantas!J74+G220</x:f>
        <x:v>46125</x:v>
      </x:c>
      <x:c r="J220" s="2" t="n">
        <x:v>140</x:v>
      </x:c>
      <x:c r="K220" s="2" t="n">
        <x:f>IF(AND(G220&gt;Supuestos!$C$8,E220&lt;&gt;"L0"),1,0)</x:f>
        <x:v>0</x:v>
      </x:c>
      <x:c r="L220" s="2" t="str">
        <x:v>posterior_al_dia_14</x:v>
      </x:c>
      <x:c r="M220" s="2" t="str">
        <x:v>simulado_didactico</x:v>
      </x:c>
    </x:row>
    <x:row r="221" ht="19" customHeight="1">
      <x:c r="A221" s="2" t="str">
        <x:v>SIM-E1-MP-L0-R06</x:v>
      </x:c>
      <x:c r="B221" s="2" t="n">
        <x:v>3</x:v>
      </x:c>
      <x:c r="C221" s="2" t="str">
        <x:v>MP</x:v>
      </x:c>
      <x:c r="D221" s="2" t="str">
        <x:v>Myzus persicae</x:v>
      </x:c>
      <x:c r="E221" s="2" t="str">
        <x:v>L0</x:v>
      </x:c>
      <x:c r="F221" s="2" t="n">
        <x:v>6</x:v>
      </x:c>
      <x:c r="G221" s="2" t="n">
        <x:v>14</x:v>
      </x:c>
      <x:c r="H221" s="2" t="n">
        <x:f>G221-Supuestos!$C$7</x:f>
        <x:v>13</x:v>
      </x:c>
      <x:c r="I221" s="14" t="n">
        <x:f>E1_plantas!J75+G221</x:f>
        <x:v>46111</x:v>
      </x:c>
      <x:c r="J221" s="2" t="n">
        <x:v>14</x:v>
      </x:c>
      <x:c r="K221" s="2" t="n">
        <x:f>IF(AND(G221&gt;Supuestos!$C$8,E221&lt;&gt;"L0"),1,0)</x:f>
        <x:v>0</x:v>
      </x:c>
      <x:c r="L221" s="2" t="str">
        <x:v>antes_de_reinoculacion</x:v>
      </x:c>
      <x:c r="M221" s="2" t="str">
        <x:v>simulado_didactico</x:v>
      </x:c>
    </x:row>
    <x:row r="222" ht="19" customHeight="1">
      <x:c r="A222" s="2" t="str">
        <x:v>SIM-E1-MP-L0-R06</x:v>
      </x:c>
      <x:c r="B222" s="2" t="n">
        <x:v>3</x:v>
      </x:c>
      <x:c r="C222" s="2" t="str">
        <x:v>MP</x:v>
      </x:c>
      <x:c r="D222" s="2" t="str">
        <x:v>Myzus persicae</x:v>
      </x:c>
      <x:c r="E222" s="2" t="str">
        <x:v>L0</x:v>
      </x:c>
      <x:c r="F222" s="2" t="n">
        <x:v>6</x:v>
      </x:c>
      <x:c r="G222" s="2" t="n">
        <x:v>21</x:v>
      </x:c>
      <x:c r="H222" s="2" t="n">
        <x:f>G222-Supuestos!$C$7</x:f>
        <x:v>20</x:v>
      </x:c>
      <x:c r="I222" s="14" t="n">
        <x:f>E1_plantas!J75+G222</x:f>
        <x:v>46118</x:v>
      </x:c>
      <x:c r="J222" s="2" t="n">
        <x:v>75</x:v>
      </x:c>
      <x:c r="K222" s="2" t="n">
        <x:f>IF(AND(G222&gt;Supuestos!$C$8,E222&lt;&gt;"L0"),1,0)</x:f>
        <x:v>0</x:v>
      </x:c>
      <x:c r="L222" s="2" t="str">
        <x:v>posterior_al_dia_14</x:v>
      </x:c>
      <x:c r="M222" s="2" t="str">
        <x:v>simulado_didactico</x:v>
      </x:c>
    </x:row>
    <x:row r="223" ht="19" customHeight="1">
      <x:c r="A223" s="2" t="str">
        <x:v>SIM-E1-MP-L0-R06</x:v>
      </x:c>
      <x:c r="B223" s="2" t="n">
        <x:v>3</x:v>
      </x:c>
      <x:c r="C223" s="2" t="str">
        <x:v>MP</x:v>
      </x:c>
      <x:c r="D223" s="2" t="str">
        <x:v>Myzus persicae</x:v>
      </x:c>
      <x:c r="E223" s="2" t="str">
        <x:v>L0</x:v>
      </x:c>
      <x:c r="F223" s="2" t="n">
        <x:v>6</x:v>
      </x:c>
      <x:c r="G223" s="2" t="n">
        <x:v>28</x:v>
      </x:c>
      <x:c r="H223" s="2" t="n">
        <x:f>G223-Supuestos!$C$7</x:f>
        <x:v>27</x:v>
      </x:c>
      <x:c r="I223" s="14" t="n">
        <x:f>E1_plantas!J75+G223</x:f>
        <x:v>46125</x:v>
      </x:c>
      <x:c r="J223" s="2" t="n">
        <x:v>116</x:v>
      </x:c>
      <x:c r="K223" s="2" t="n">
        <x:f>IF(AND(G223&gt;Supuestos!$C$8,E223&lt;&gt;"L0"),1,0)</x:f>
        <x:v>0</x:v>
      </x:c>
      <x:c r="L223" s="2" t="str">
        <x:v>posterior_al_dia_14</x:v>
      </x:c>
      <x:c r="M223" s="2" t="str">
        <x:v>simulado_didactico</x:v>
      </x:c>
    </x:row>
    <x:row r="224" ht="19" customHeight="1">
      <x:c r="A224" s="2" t="str">
        <x:v>SIM-E1-MP-L1-R05</x:v>
      </x:c>
      <x:c r="B224" s="2" t="n">
        <x:v>3</x:v>
      </x:c>
      <x:c r="C224" s="2" t="str">
        <x:v>MP</x:v>
      </x:c>
      <x:c r="D224" s="2" t="str">
        <x:v>Myzus persicae</x:v>
      </x:c>
      <x:c r="E224" s="2" t="str">
        <x:v>L1</x:v>
      </x:c>
      <x:c r="F224" s="2" t="n">
        <x:v>5</x:v>
      </x:c>
      <x:c r="G224" s="2" t="n">
        <x:v>14</x:v>
      </x:c>
      <x:c r="H224" s="2" t="n">
        <x:f>G224-Supuestos!$C$7</x:f>
        <x:v>13</x:v>
      </x:c>
      <x:c r="I224" s="14" t="n">
        <x:f>E1_plantas!J76+G224</x:f>
        <x:v>46111</x:v>
      </x:c>
      <x:c r="J224" s="2" t="n">
        <x:v>22</x:v>
      </x:c>
      <x:c r="K224" s="2" t="n">
        <x:f>IF(AND(G224&gt;Supuestos!$C$8,E224&lt;&gt;"L0"),1,0)</x:f>
        <x:v>0</x:v>
      </x:c>
      <x:c r="L224" s="2" t="str">
        <x:v>antes_de_reinoculacion</x:v>
      </x:c>
      <x:c r="M224" s="2" t="str">
        <x:v>simulado_didactico</x:v>
      </x:c>
    </x:row>
    <x:row r="225" ht="19" customHeight="1">
      <x:c r="A225" s="2" t="str">
        <x:v>SIM-E1-MP-L1-R05</x:v>
      </x:c>
      <x:c r="B225" s="2" t="n">
        <x:v>3</x:v>
      </x:c>
      <x:c r="C225" s="2" t="str">
        <x:v>MP</x:v>
      </x:c>
      <x:c r="D225" s="2" t="str">
        <x:v>Myzus persicae</x:v>
      </x:c>
      <x:c r="E225" s="2" t="str">
        <x:v>L1</x:v>
      </x:c>
      <x:c r="F225" s="2" t="n">
        <x:v>5</x:v>
      </x:c>
      <x:c r="G225" s="2" t="n">
        <x:v>21</x:v>
      </x:c>
      <x:c r="H225" s="2" t="n">
        <x:f>G225-Supuestos!$C$7</x:f>
        <x:v>20</x:v>
      </x:c>
      <x:c r="I225" s="14" t="n">
        <x:f>E1_plantas!J76+G225</x:f>
        <x:v>46118</x:v>
      </x:c>
      <x:c r="J225" s="2" t="n">
        <x:v>92</x:v>
      </x:c>
      <x:c r="K225" s="2" t="n">
        <x:f>IF(AND(G225&gt;Supuestos!$C$8,E225&lt;&gt;"L0"),1,0)</x:f>
        <x:v>1</x:v>
      </x:c>
      <x:c r="L225" s="2" t="str">
        <x:v>posterior_al_dia_14</x:v>
      </x:c>
      <x:c r="M225" s="2" t="str">
        <x:v>simulado_didactico</x:v>
      </x:c>
    </x:row>
    <x:row r="226" ht="19" customHeight="1">
      <x:c r="A226" s="2" t="str">
        <x:v>SIM-E1-MP-L1-R05</x:v>
      </x:c>
      <x:c r="B226" s="2" t="n">
        <x:v>3</x:v>
      </x:c>
      <x:c r="C226" s="2" t="str">
        <x:v>MP</x:v>
      </x:c>
      <x:c r="D226" s="2" t="str">
        <x:v>Myzus persicae</x:v>
      </x:c>
      <x:c r="E226" s="2" t="str">
        <x:v>L1</x:v>
      </x:c>
      <x:c r="F226" s="2" t="n">
        <x:v>5</x:v>
      </x:c>
      <x:c r="G226" s="2" t="n">
        <x:v>28</x:v>
      </x:c>
      <x:c r="H226" s="2" t="n">
        <x:f>G226-Supuestos!$C$7</x:f>
        <x:v>27</x:v>
      </x:c>
      <x:c r="I226" s="14" t="n">
        <x:f>E1_plantas!J76+G226</x:f>
        <x:v>46125</x:v>
      </x:c>
      <x:c r="J226" s="2" t="n">
        <x:v>205</x:v>
      </x:c>
      <x:c r="K226" s="2" t="n">
        <x:f>IF(AND(G226&gt;Supuestos!$C$8,E226&lt;&gt;"L0"),1,0)</x:f>
        <x:v>1</x:v>
      </x:c>
      <x:c r="L226" s="2" t="str">
        <x:v>posterior_al_dia_14</x:v>
      </x:c>
      <x:c r="M226" s="2" t="str">
        <x:v>simulado_didactico</x:v>
      </x:c>
    </x:row>
    <x:row r="227" ht="19" customHeight="1">
      <x:c r="A227" s="2" t="str">
        <x:v>SIM-E1-MP-L1-R06</x:v>
      </x:c>
      <x:c r="B227" s="2" t="n">
        <x:v>3</x:v>
      </x:c>
      <x:c r="C227" s="2" t="str">
        <x:v>MP</x:v>
      </x:c>
      <x:c r="D227" s="2" t="str">
        <x:v>Myzus persicae</x:v>
      </x:c>
      <x:c r="E227" s="2" t="str">
        <x:v>L1</x:v>
      </x:c>
      <x:c r="F227" s="2" t="n">
        <x:v>6</x:v>
      </x:c>
      <x:c r="G227" s="2" t="n">
        <x:v>14</x:v>
      </x:c>
      <x:c r="H227" s="2" t="n">
        <x:f>G227-Supuestos!$C$7</x:f>
        <x:v>13</x:v>
      </x:c>
      <x:c r="I227" s="14" t="n">
        <x:f>E1_plantas!J77+G227</x:f>
        <x:v>46111</x:v>
      </x:c>
      <x:c r="J227" s="2" t="n">
        <x:v>23</x:v>
      </x:c>
      <x:c r="K227" s="2" t="n">
        <x:f>IF(AND(G227&gt;Supuestos!$C$8,E227&lt;&gt;"L0"),1,0)</x:f>
        <x:v>0</x:v>
      </x:c>
      <x:c r="L227" s="2" t="str">
        <x:v>antes_de_reinoculacion</x:v>
      </x:c>
      <x:c r="M227" s="2" t="str">
        <x:v>simulado_didactico</x:v>
      </x:c>
    </x:row>
    <x:row r="228" ht="19" customHeight="1">
      <x:c r="A228" s="2" t="str">
        <x:v>SIM-E1-MP-L1-R06</x:v>
      </x:c>
      <x:c r="B228" s="2" t="n">
        <x:v>3</x:v>
      </x:c>
      <x:c r="C228" s="2" t="str">
        <x:v>MP</x:v>
      </x:c>
      <x:c r="D228" s="2" t="str">
        <x:v>Myzus persicae</x:v>
      </x:c>
      <x:c r="E228" s="2" t="str">
        <x:v>L1</x:v>
      </x:c>
      <x:c r="F228" s="2" t="n">
        <x:v>6</x:v>
      </x:c>
      <x:c r="G228" s="2" t="n">
        <x:v>21</x:v>
      </x:c>
      <x:c r="H228" s="2" t="n">
        <x:f>G228-Supuestos!$C$7</x:f>
        <x:v>20</x:v>
      </x:c>
      <x:c r="I228" s="14" t="n">
        <x:f>E1_plantas!J77+G228</x:f>
        <x:v>46118</x:v>
      </x:c>
      <x:c r="J228" s="2" t="n">
        <x:v>69</x:v>
      </x:c>
      <x:c r="K228" s="2" t="n">
        <x:f>IF(AND(G228&gt;Supuestos!$C$8,E228&lt;&gt;"L0"),1,0)</x:f>
        <x:v>1</x:v>
      </x:c>
      <x:c r="L228" s="2" t="str">
        <x:v>posterior_al_dia_14</x:v>
      </x:c>
      <x:c r="M228" s="2" t="str">
        <x:v>simulado_didactico</x:v>
      </x:c>
    </x:row>
    <x:row r="229" ht="19" customHeight="1">
      <x:c r="A229" s="2" t="str">
        <x:v>SIM-E1-MP-L1-R06</x:v>
      </x:c>
      <x:c r="B229" s="2" t="n">
        <x:v>3</x:v>
      </x:c>
      <x:c r="C229" s="2" t="str">
        <x:v>MP</x:v>
      </x:c>
      <x:c r="D229" s="2" t="str">
        <x:v>Myzus persicae</x:v>
      </x:c>
      <x:c r="E229" s="2" t="str">
        <x:v>L1</x:v>
      </x:c>
      <x:c r="F229" s="2" t="n">
        <x:v>6</x:v>
      </x:c>
      <x:c r="G229" s="2" t="n">
        <x:v>28</x:v>
      </x:c>
      <x:c r="H229" s="2" t="n">
        <x:f>G229-Supuestos!$C$7</x:f>
        <x:v>27</x:v>
      </x:c>
      <x:c r="I229" s="14" t="n">
        <x:f>E1_plantas!J77+G229</x:f>
        <x:v>46125</x:v>
      </x:c>
      <x:c r="J229" s="2" t="n">
        <x:v>231</x:v>
      </x:c>
      <x:c r="K229" s="2" t="n">
        <x:f>IF(AND(G229&gt;Supuestos!$C$8,E229&lt;&gt;"L0"),1,0)</x:f>
        <x:v>1</x:v>
      </x:c>
      <x:c r="L229" s="2" t="str">
        <x:v>posterior_al_dia_14</x:v>
      </x:c>
      <x:c r="M229" s="2" t="str">
        <x:v>simulado_didactico</x:v>
      </x:c>
    </x:row>
    <x:row r="230" ht="19" customHeight="1">
      <x:c r="A230" s="2" t="str">
        <x:v>SIM-E1-MP-L2-R05</x:v>
      </x:c>
      <x:c r="B230" s="2" t="n">
        <x:v>3</x:v>
      </x:c>
      <x:c r="C230" s="2" t="str">
        <x:v>MP</x:v>
      </x:c>
      <x:c r="D230" s="2" t="str">
        <x:v>Myzus persicae</x:v>
      </x:c>
      <x:c r="E230" s="2" t="str">
        <x:v>L2</x:v>
      </x:c>
      <x:c r="F230" s="2" t="n">
        <x:v>5</x:v>
      </x:c>
      <x:c r="G230" s="2" t="n">
        <x:v>14</x:v>
      </x:c>
      <x:c r="H230" s="2" t="n">
        <x:f>G230-Supuestos!$C$7</x:f>
        <x:v>13</x:v>
      </x:c>
      <x:c r="I230" s="14" t="n">
        <x:f>E1_plantas!J78+G230</x:f>
        <x:v>46111</x:v>
      </x:c>
      <x:c r="J230" s="2" t="n">
        <x:v>4</x:v>
      </x:c>
      <x:c r="K230" s="2" t="n">
        <x:f>IF(AND(G230&gt;Supuestos!$C$8,E230&lt;&gt;"L0"),1,0)</x:f>
        <x:v>0</x:v>
      </x:c>
      <x:c r="L230" s="2" t="str">
        <x:v>antes_de_reinoculacion</x:v>
      </x:c>
      <x:c r="M230" s="2" t="str">
        <x:v>simulado_didactico</x:v>
      </x:c>
    </x:row>
    <x:row r="231" ht="19" customHeight="1">
      <x:c r="A231" s="2" t="str">
        <x:v>SIM-E1-MP-L2-R05</x:v>
      </x:c>
      <x:c r="B231" s="2" t="n">
        <x:v>3</x:v>
      </x:c>
      <x:c r="C231" s="2" t="str">
        <x:v>MP</x:v>
      </x:c>
      <x:c r="D231" s="2" t="str">
        <x:v>Myzus persicae</x:v>
      </x:c>
      <x:c r="E231" s="2" t="str">
        <x:v>L2</x:v>
      </x:c>
      <x:c r="F231" s="2" t="n">
        <x:v>5</x:v>
      </x:c>
      <x:c r="G231" s="2" t="n">
        <x:v>21</x:v>
      </x:c>
      <x:c r="H231" s="2" t="n">
        <x:f>G231-Supuestos!$C$7</x:f>
        <x:v>20</x:v>
      </x:c>
      <x:c r="I231" s="14" t="n">
        <x:f>E1_plantas!J78+G231</x:f>
        <x:v>46118</x:v>
      </x:c>
      <x:c r="J231" s="2" t="n">
        <x:v>51</x:v>
      </x:c>
      <x:c r="K231" s="2" t="n">
        <x:f>IF(AND(G231&gt;Supuestos!$C$8,E231&lt;&gt;"L0"),1,0)</x:f>
        <x:v>1</x:v>
      </x:c>
      <x:c r="L231" s="2" t="str">
        <x:v>posterior_al_dia_14</x:v>
      </x:c>
      <x:c r="M231" s="2" t="str">
        <x:v>simulado_didactico</x:v>
      </x:c>
    </x:row>
    <x:row r="232" ht="19" customHeight="1">
      <x:c r="A232" s="2" t="str">
        <x:v>SIM-E1-MP-L2-R05</x:v>
      </x:c>
      <x:c r="B232" s="2" t="n">
        <x:v>3</x:v>
      </x:c>
      <x:c r="C232" s="2" t="str">
        <x:v>MP</x:v>
      </x:c>
      <x:c r="D232" s="2" t="str">
        <x:v>Myzus persicae</x:v>
      </x:c>
      <x:c r="E232" s="2" t="str">
        <x:v>L2</x:v>
      </x:c>
      <x:c r="F232" s="2" t="n">
        <x:v>5</x:v>
      </x:c>
      <x:c r="G232" s="2" t="n">
        <x:v>28</x:v>
      </x:c>
      <x:c r="H232" s="2" t="n">
        <x:f>G232-Supuestos!$C$7</x:f>
        <x:v>27</x:v>
      </x:c>
      <x:c r="I232" s="14" t="n">
        <x:f>E1_plantas!J78+G232</x:f>
        <x:v>46125</x:v>
      </x:c>
      <x:c r="J232" s="2" t="n">
        <x:v>115</x:v>
      </x:c>
      <x:c r="K232" s="2" t="n">
        <x:f>IF(AND(G232&gt;Supuestos!$C$8,E232&lt;&gt;"L0"),1,0)</x:f>
        <x:v>1</x:v>
      </x:c>
      <x:c r="L232" s="2" t="str">
        <x:v>posterior_al_dia_14</x:v>
      </x:c>
      <x:c r="M232" s="2" t="str">
        <x:v>simulado_didactico</x:v>
      </x:c>
    </x:row>
    <x:row r="233" ht="19" customHeight="1">
      <x:c r="A233" s="2" t="str">
        <x:v>SIM-E1-MP-L2-R06</x:v>
      </x:c>
      <x:c r="B233" s="2" t="n">
        <x:v>3</x:v>
      </x:c>
      <x:c r="C233" s="2" t="str">
        <x:v>MP</x:v>
      </x:c>
      <x:c r="D233" s="2" t="str">
        <x:v>Myzus persicae</x:v>
      </x:c>
      <x:c r="E233" s="2" t="str">
        <x:v>L2</x:v>
      </x:c>
      <x:c r="F233" s="2" t="n">
        <x:v>6</x:v>
      </x:c>
      <x:c r="G233" s="2" t="n">
        <x:v>14</x:v>
      </x:c>
      <x:c r="H233" s="2" t="n">
        <x:f>G233-Supuestos!$C$7</x:f>
        <x:v>13</x:v>
      </x:c>
      <x:c r="I233" s="14" t="n">
        <x:f>E1_plantas!J79+G233</x:f>
        <x:v>46111</x:v>
      </x:c>
      <x:c r="J233" s="2" t="n">
        <x:v>21</x:v>
      </x:c>
      <x:c r="K233" s="2" t="n">
        <x:f>IF(AND(G233&gt;Supuestos!$C$8,E233&lt;&gt;"L0"),1,0)</x:f>
        <x:v>0</x:v>
      </x:c>
      <x:c r="L233" s="2" t="str">
        <x:v>antes_de_reinoculacion</x:v>
      </x:c>
      <x:c r="M233" s="2" t="str">
        <x:v>simulado_didactico</x:v>
      </x:c>
    </x:row>
    <x:row r="234" ht="19" customHeight="1">
      <x:c r="A234" s="2" t="str">
        <x:v>SIM-E1-MP-L2-R06</x:v>
      </x:c>
      <x:c r="B234" s="2" t="n">
        <x:v>3</x:v>
      </x:c>
      <x:c r="C234" s="2" t="str">
        <x:v>MP</x:v>
      </x:c>
      <x:c r="D234" s="2" t="str">
        <x:v>Myzus persicae</x:v>
      </x:c>
      <x:c r="E234" s="2" t="str">
        <x:v>L2</x:v>
      </x:c>
      <x:c r="F234" s="2" t="n">
        <x:v>6</x:v>
      </x:c>
      <x:c r="G234" s="2" t="n">
        <x:v>21</x:v>
      </x:c>
      <x:c r="H234" s="2" t="n">
        <x:f>G234-Supuestos!$C$7</x:f>
        <x:v>20</x:v>
      </x:c>
      <x:c r="I234" s="14" t="n">
        <x:f>E1_plantas!J79+G234</x:f>
        <x:v>46118</x:v>
      </x:c>
      <x:c r="J234" s="2" t="n">
        <x:v>137</x:v>
      </x:c>
      <x:c r="K234" s="2" t="n">
        <x:f>IF(AND(G234&gt;Supuestos!$C$8,E234&lt;&gt;"L0"),1,0)</x:f>
        <x:v>1</x:v>
      </x:c>
      <x:c r="L234" s="2" t="str">
        <x:v>posterior_al_dia_14</x:v>
      </x:c>
      <x:c r="M234" s="2" t="str">
        <x:v>simulado_didactico</x:v>
      </x:c>
    </x:row>
    <x:row r="235" ht="19" customHeight="1">
      <x:c r="A235" s="2" t="str">
        <x:v>SIM-E1-MP-L2-R06</x:v>
      </x:c>
      <x:c r="B235" s="2" t="n">
        <x:v>3</x:v>
      </x:c>
      <x:c r="C235" s="2" t="str">
        <x:v>MP</x:v>
      </x:c>
      <x:c r="D235" s="2" t="str">
        <x:v>Myzus persicae</x:v>
      </x:c>
      <x:c r="E235" s="2" t="str">
        <x:v>L2</x:v>
      </x:c>
      <x:c r="F235" s="2" t="n">
        <x:v>6</x:v>
      </x:c>
      <x:c r="G235" s="2" t="n">
        <x:v>28</x:v>
      </x:c>
      <x:c r="H235" s="2" t="n">
        <x:f>G235-Supuestos!$C$7</x:f>
        <x:v>27</x:v>
      </x:c>
      <x:c r="I235" s="14" t="n">
        <x:f>E1_plantas!J79+G235</x:f>
        <x:v>46125</x:v>
      </x:c>
      <x:c r="J235" s="2" t="n">
        <x:v>285</x:v>
      </x:c>
      <x:c r="K235" s="2" t="n">
        <x:f>IF(AND(G235&gt;Supuestos!$C$8,E235&lt;&gt;"L0"),1,0)</x:f>
        <x:v>1</x:v>
      </x:c>
      <x:c r="L235" s="2" t="str">
        <x:v>posterior_al_dia_14</x:v>
      </x:c>
      <x:c r="M235" s="2" t="str">
        <x:v>simulado_didactico</x:v>
      </x:c>
    </x:row>
    <x:row r="236" ht="19" customHeight="1">
      <x:c r="A236" s="2" t="str">
        <x:v>SIM-E1-MP-L3-R05</x:v>
      </x:c>
      <x:c r="B236" s="2" t="n">
        <x:v>3</x:v>
      </x:c>
      <x:c r="C236" s="2" t="str">
        <x:v>MP</x:v>
      </x:c>
      <x:c r="D236" s="2" t="str">
        <x:v>Myzus persicae</x:v>
      </x:c>
      <x:c r="E236" s="2" t="str">
        <x:v>L3</x:v>
      </x:c>
      <x:c r="F236" s="2" t="n">
        <x:v>5</x:v>
      </x:c>
      <x:c r="G236" s="2" t="n">
        <x:v>14</x:v>
      </x:c>
      <x:c r="H236" s="2" t="n">
        <x:f>G236-Supuestos!$C$7</x:f>
        <x:v>13</x:v>
      </x:c>
      <x:c r="I236" s="14" t="n">
        <x:f>E1_plantas!J80+G236</x:f>
        <x:v>46111</x:v>
      </x:c>
      <x:c r="J236" s="2" t="n">
        <x:v>11</x:v>
      </x:c>
      <x:c r="K236" s="2" t="n">
        <x:f>IF(AND(G236&gt;Supuestos!$C$8,E236&lt;&gt;"L0"),1,0)</x:f>
        <x:v>0</x:v>
      </x:c>
      <x:c r="L236" s="2" t="str">
        <x:v>antes_de_reinoculacion</x:v>
      </x:c>
      <x:c r="M236" s="2" t="str">
        <x:v>simulado_didactico</x:v>
      </x:c>
    </x:row>
    <x:row r="237" ht="19" customHeight="1">
      <x:c r="A237" s="2" t="str">
        <x:v>SIM-E1-MP-L3-R05</x:v>
      </x:c>
      <x:c r="B237" s="2" t="n">
        <x:v>3</x:v>
      </x:c>
      <x:c r="C237" s="2" t="str">
        <x:v>MP</x:v>
      </x:c>
      <x:c r="D237" s="2" t="str">
        <x:v>Myzus persicae</x:v>
      </x:c>
      <x:c r="E237" s="2" t="str">
        <x:v>L3</x:v>
      </x:c>
      <x:c r="F237" s="2" t="n">
        <x:v>5</x:v>
      </x:c>
      <x:c r="G237" s="2" t="n">
        <x:v>21</x:v>
      </x:c>
      <x:c r="H237" s="2" t="n">
        <x:f>G237-Supuestos!$C$7</x:f>
        <x:v>20</x:v>
      </x:c>
      <x:c r="I237" s="14" t="n">
        <x:f>E1_plantas!J80+G237</x:f>
        <x:v>46118</x:v>
      </x:c>
      <x:c r="J237" s="2" t="n">
        <x:v>50</x:v>
      </x:c>
      <x:c r="K237" s="2" t="n">
        <x:f>IF(AND(G237&gt;Supuestos!$C$8,E237&lt;&gt;"L0"),1,0)</x:f>
        <x:v>1</x:v>
      </x:c>
      <x:c r="L237" s="2" t="str">
        <x:v>posterior_al_dia_14</x:v>
      </x:c>
      <x:c r="M237" s="2" t="str">
        <x:v>simulado_didactico</x:v>
      </x:c>
    </x:row>
    <x:row r="238" ht="19" customHeight="1">
      <x:c r="A238" s="2" t="str">
        <x:v>SIM-E1-MP-L3-R05</x:v>
      </x:c>
      <x:c r="B238" s="2" t="n">
        <x:v>3</x:v>
      </x:c>
      <x:c r="C238" s="2" t="str">
        <x:v>MP</x:v>
      </x:c>
      <x:c r="D238" s="2" t="str">
        <x:v>Myzus persicae</x:v>
      </x:c>
      <x:c r="E238" s="2" t="str">
        <x:v>L3</x:v>
      </x:c>
      <x:c r="F238" s="2" t="n">
        <x:v>5</x:v>
      </x:c>
      <x:c r="G238" s="2" t="n">
        <x:v>28</x:v>
      </x:c>
      <x:c r="H238" s="2" t="n">
        <x:f>G238-Supuestos!$C$7</x:f>
        <x:v>27</x:v>
      </x:c>
      <x:c r="I238" s="14" t="n">
        <x:f>E1_plantas!J80+G238</x:f>
        <x:v>46125</x:v>
      </x:c>
      <x:c r="J238" s="2" t="n">
        <x:v>146</x:v>
      </x:c>
      <x:c r="K238" s="2" t="n">
        <x:f>IF(AND(G238&gt;Supuestos!$C$8,E238&lt;&gt;"L0"),1,0)</x:f>
        <x:v>1</x:v>
      </x:c>
      <x:c r="L238" s="2" t="str">
        <x:v>posterior_al_dia_14</x:v>
      </x:c>
      <x:c r="M238" s="2" t="str">
        <x:v>simulado_didactico</x:v>
      </x:c>
    </x:row>
    <x:row r="239" ht="19" customHeight="1">
      <x:c r="A239" s="2" t="str">
        <x:v>SIM-E1-MP-L3-R06</x:v>
      </x:c>
      <x:c r="B239" s="2" t="n">
        <x:v>3</x:v>
      </x:c>
      <x:c r="C239" s="2" t="str">
        <x:v>MP</x:v>
      </x:c>
      <x:c r="D239" s="2" t="str">
        <x:v>Myzus persicae</x:v>
      </x:c>
      <x:c r="E239" s="2" t="str">
        <x:v>L3</x:v>
      </x:c>
      <x:c r="F239" s="2" t="n">
        <x:v>6</x:v>
      </x:c>
      <x:c r="G239" s="2" t="n">
        <x:v>14</x:v>
      </x:c>
      <x:c r="H239" s="2" t="n">
        <x:f>G239-Supuestos!$C$7</x:f>
        <x:v>13</x:v>
      </x:c>
      <x:c r="I239" s="14" t="n">
        <x:f>E1_plantas!J81+G239</x:f>
        <x:v>46111</x:v>
      </x:c>
      <x:c r="J239" s="2" t="n">
        <x:v>20</x:v>
      </x:c>
      <x:c r="K239" s="2" t="n">
        <x:f>IF(AND(G239&gt;Supuestos!$C$8,E239&lt;&gt;"L0"),1,0)</x:f>
        <x:v>0</x:v>
      </x:c>
      <x:c r="L239" s="2" t="str">
        <x:v>antes_de_reinoculacion</x:v>
      </x:c>
      <x:c r="M239" s="2" t="str">
        <x:v>simulado_didactico</x:v>
      </x:c>
    </x:row>
    <x:row r="240" ht="19" customHeight="1">
      <x:c r="A240" s="2" t="str">
        <x:v>SIM-E1-MP-L3-R06</x:v>
      </x:c>
      <x:c r="B240" s="2" t="n">
        <x:v>3</x:v>
      </x:c>
      <x:c r="C240" s="2" t="str">
        <x:v>MP</x:v>
      </x:c>
      <x:c r="D240" s="2" t="str">
        <x:v>Myzus persicae</x:v>
      </x:c>
      <x:c r="E240" s="2" t="str">
        <x:v>L3</x:v>
      </x:c>
      <x:c r="F240" s="2" t="n">
        <x:v>6</x:v>
      </x:c>
      <x:c r="G240" s="2" t="n">
        <x:v>21</x:v>
      </x:c>
      <x:c r="H240" s="2" t="n">
        <x:f>G240-Supuestos!$C$7</x:f>
        <x:v>20</x:v>
      </x:c>
      <x:c r="I240" s="14" t="n">
        <x:f>E1_plantas!J81+G240</x:f>
        <x:v>46118</x:v>
      </x:c>
      <x:c r="J240" s="2" t="n">
        <x:v>72</x:v>
      </x:c>
      <x:c r="K240" s="2" t="n">
        <x:f>IF(AND(G240&gt;Supuestos!$C$8,E240&lt;&gt;"L0"),1,0)</x:f>
        <x:v>1</x:v>
      </x:c>
      <x:c r="L240" s="2" t="str">
        <x:v>posterior_al_dia_14</x:v>
      </x:c>
      <x:c r="M240" s="2" t="str">
        <x:v>simulado_didactico</x:v>
      </x:c>
    </x:row>
    <x:row r="241" ht="19" customHeight="1">
      <x:c r="A241" s="2" t="str">
        <x:v>SIM-E1-MP-L3-R06</x:v>
      </x:c>
      <x:c r="B241" s="2" t="n">
        <x:v>3</x:v>
      </x:c>
      <x:c r="C241" s="2" t="str">
        <x:v>MP</x:v>
      </x:c>
      <x:c r="D241" s="2" t="str">
        <x:v>Myzus persicae</x:v>
      </x:c>
      <x:c r="E241" s="2" t="str">
        <x:v>L3</x:v>
      </x:c>
      <x:c r="F241" s="2" t="n">
        <x:v>6</x:v>
      </x:c>
      <x:c r="G241" s="2" t="n">
        <x:v>28</x:v>
      </x:c>
      <x:c r="H241" s="2" t="n">
        <x:f>G241-Supuestos!$C$7</x:f>
        <x:v>27</x:v>
      </x:c>
      <x:c r="I241" s="14" t="n">
        <x:f>E1_plantas!J81+G241</x:f>
        <x:v>46125</x:v>
      </x:c>
      <x:c r="J241" s="2" t="n">
        <x:v>158</x:v>
      </x:c>
      <x:c r="K241" s="2" t="n">
        <x:f>IF(AND(G241&gt;Supuestos!$C$8,E241&lt;&gt;"L0"),1,0)</x:f>
        <x:v>1</x:v>
      </x:c>
      <x:c r="L241" s="2" t="str">
        <x:v>posterior_al_dia_14</x:v>
      </x:c>
      <x:c r="M241" s="2" t="str">
        <x:v>simulado_didactico</x:v>
      </x:c>
    </x:row>
    <x:row r="242" ht="19" customHeight="1">
      <x:c r="A242" s="2" t="str">
        <x:v>SIM-E1-MP-L5-R05</x:v>
      </x:c>
      <x:c r="B242" s="2" t="n">
        <x:v>3</x:v>
      </x:c>
      <x:c r="C242" s="2" t="str">
        <x:v>MP</x:v>
      </x:c>
      <x:c r="D242" s="2" t="str">
        <x:v>Myzus persicae</x:v>
      </x:c>
      <x:c r="E242" s="2" t="str">
        <x:v>L5</x:v>
      </x:c>
      <x:c r="F242" s="2" t="n">
        <x:v>5</x:v>
      </x:c>
      <x:c r="G242" s="2" t="n">
        <x:v>14</x:v>
      </x:c>
      <x:c r="H242" s="2" t="n">
        <x:f>G242-Supuestos!$C$7</x:f>
        <x:v>13</x:v>
      </x:c>
      <x:c r="I242" s="14" t="n">
        <x:f>E1_plantas!J82+G242</x:f>
        <x:v>46111</x:v>
      </x:c>
      <x:c r="J242" s="2" t="n">
        <x:v>6</x:v>
      </x:c>
      <x:c r="K242" s="2" t="n">
        <x:f>IF(AND(G242&gt;Supuestos!$C$8,E242&lt;&gt;"L0"),1,0)</x:f>
        <x:v>0</x:v>
      </x:c>
      <x:c r="L242" s="2" t="str">
        <x:v>antes_de_reinoculacion</x:v>
      </x:c>
      <x:c r="M242" s="2" t="str">
        <x:v>simulado_didactico</x:v>
      </x:c>
    </x:row>
    <x:row r="243" ht="19" customHeight="1">
      <x:c r="A243" s="2" t="str">
        <x:v>SIM-E1-MP-L5-R05</x:v>
      </x:c>
      <x:c r="B243" s="2" t="n">
        <x:v>3</x:v>
      </x:c>
      <x:c r="C243" s="2" t="str">
        <x:v>MP</x:v>
      </x:c>
      <x:c r="D243" s="2" t="str">
        <x:v>Myzus persicae</x:v>
      </x:c>
      <x:c r="E243" s="2" t="str">
        <x:v>L5</x:v>
      </x:c>
      <x:c r="F243" s="2" t="n">
        <x:v>5</x:v>
      </x:c>
      <x:c r="G243" s="2" t="n">
        <x:v>21</x:v>
      </x:c>
      <x:c r="H243" s="2" t="n">
        <x:f>G243-Supuestos!$C$7</x:f>
        <x:v>20</x:v>
      </x:c>
      <x:c r="I243" s="14" t="n">
        <x:f>E1_plantas!J82+G243</x:f>
        <x:v>46118</x:v>
      </x:c>
      <x:c r="J243" s="2" t="n">
        <x:v>47</x:v>
      </x:c>
      <x:c r="K243" s="2" t="n">
        <x:f>IF(AND(G243&gt;Supuestos!$C$8,E243&lt;&gt;"L0"),1,0)</x:f>
        <x:v>1</x:v>
      </x:c>
      <x:c r="L243" s="2" t="str">
        <x:v>posterior_al_dia_14</x:v>
      </x:c>
      <x:c r="M243" s="2" t="str">
        <x:v>simulado_didactico</x:v>
      </x:c>
    </x:row>
    <x:row r="244" ht="19" customHeight="1">
      <x:c r="A244" s="2" t="str">
        <x:v>SIM-E1-MP-L5-R05</x:v>
      </x:c>
      <x:c r="B244" s="2" t="n">
        <x:v>3</x:v>
      </x:c>
      <x:c r="C244" s="2" t="str">
        <x:v>MP</x:v>
      </x:c>
      <x:c r="D244" s="2" t="str">
        <x:v>Myzus persicae</x:v>
      </x:c>
      <x:c r="E244" s="2" t="str">
        <x:v>L5</x:v>
      </x:c>
      <x:c r="F244" s="2" t="n">
        <x:v>5</x:v>
      </x:c>
      <x:c r="G244" s="2" t="n">
        <x:v>28</x:v>
      </x:c>
      <x:c r="H244" s="2" t="n">
        <x:f>G244-Supuestos!$C$7</x:f>
        <x:v>27</x:v>
      </x:c>
      <x:c r="I244" s="14" t="n">
        <x:f>E1_plantas!J82+G244</x:f>
        <x:v>46125</x:v>
      </x:c>
      <x:c r="J244" s="2" t="n">
        <x:v>95</x:v>
      </x:c>
      <x:c r="K244" s="2" t="n">
        <x:f>IF(AND(G244&gt;Supuestos!$C$8,E244&lt;&gt;"L0"),1,0)</x:f>
        <x:v>1</x:v>
      </x:c>
      <x:c r="L244" s="2" t="str">
        <x:v>posterior_al_dia_14</x:v>
      </x:c>
      <x:c r="M244" s="2" t="str">
        <x:v>simulado_didactico</x:v>
      </x:c>
    </x:row>
    <x:row r="245" ht="19" customHeight="1">
      <x:c r="A245" s="2" t="str">
        <x:v>SIM-E1-MP-L5-R06</x:v>
      </x:c>
      <x:c r="B245" s="2" t="n">
        <x:v>3</x:v>
      </x:c>
      <x:c r="C245" s="2" t="str">
        <x:v>MP</x:v>
      </x:c>
      <x:c r="D245" s="2" t="str">
        <x:v>Myzus persicae</x:v>
      </x:c>
      <x:c r="E245" s="2" t="str">
        <x:v>L5</x:v>
      </x:c>
      <x:c r="F245" s="2" t="n">
        <x:v>6</x:v>
      </x:c>
      <x:c r="G245" s="2" t="n">
        <x:v>14</x:v>
      </x:c>
      <x:c r="H245" s="2" t="n">
        <x:f>G245-Supuestos!$C$7</x:f>
        <x:v>13</x:v>
      </x:c>
      <x:c r="I245" s="14" t="n">
        <x:f>E1_plantas!J83+G245</x:f>
        <x:v>46111</x:v>
      </x:c>
      <x:c r="J245" s="2" t="n">
        <x:v>15</x:v>
      </x:c>
      <x:c r="K245" s="2" t="n">
        <x:f>IF(AND(G245&gt;Supuestos!$C$8,E245&lt;&gt;"L0"),1,0)</x:f>
        <x:v>0</x:v>
      </x:c>
      <x:c r="L245" s="2" t="str">
        <x:v>antes_de_reinoculacion</x:v>
      </x:c>
      <x:c r="M245" s="2" t="str">
        <x:v>simulado_didactico</x:v>
      </x:c>
    </x:row>
    <x:row r="246" ht="19" customHeight="1">
      <x:c r="A246" s="2" t="str">
        <x:v>SIM-E1-MP-L5-R06</x:v>
      </x:c>
      <x:c r="B246" s="2" t="n">
        <x:v>3</x:v>
      </x:c>
      <x:c r="C246" s="2" t="str">
        <x:v>MP</x:v>
      </x:c>
      <x:c r="D246" s="2" t="str">
        <x:v>Myzus persicae</x:v>
      </x:c>
      <x:c r="E246" s="2" t="str">
        <x:v>L5</x:v>
      </x:c>
      <x:c r="F246" s="2" t="n">
        <x:v>6</x:v>
      </x:c>
      <x:c r="G246" s="2" t="n">
        <x:v>21</x:v>
      </x:c>
      <x:c r="H246" s="2" t="n">
        <x:f>G246-Supuestos!$C$7</x:f>
        <x:v>20</x:v>
      </x:c>
      <x:c r="I246" s="14" t="n">
        <x:f>E1_plantas!J83+G246</x:f>
        <x:v>46118</x:v>
      </x:c>
      <x:c r="J246" s="2" t="n">
        <x:v>68</x:v>
      </x:c>
      <x:c r="K246" s="2" t="n">
        <x:f>IF(AND(G246&gt;Supuestos!$C$8,E246&lt;&gt;"L0"),1,0)</x:f>
        <x:v>1</x:v>
      </x:c>
      <x:c r="L246" s="2" t="str">
        <x:v>posterior_al_dia_14</x:v>
      </x:c>
      <x:c r="M246" s="2" t="str">
        <x:v>simulado_didactico</x:v>
      </x:c>
    </x:row>
    <x:row r="247" ht="19" customHeight="1">
      <x:c r="A247" s="2" t="str">
        <x:v>SIM-E1-MP-L5-R06</x:v>
      </x:c>
      <x:c r="B247" s="2" t="n">
        <x:v>3</x:v>
      </x:c>
      <x:c r="C247" s="2" t="str">
        <x:v>MP</x:v>
      </x:c>
      <x:c r="D247" s="2" t="str">
        <x:v>Myzus persicae</x:v>
      </x:c>
      <x:c r="E247" s="2" t="str">
        <x:v>L5</x:v>
      </x:c>
      <x:c r="F247" s="2" t="n">
        <x:v>6</x:v>
      </x:c>
      <x:c r="G247" s="2" t="n">
        <x:v>28</x:v>
      </x:c>
      <x:c r="H247" s="2" t="n">
        <x:f>G247-Supuestos!$C$7</x:f>
        <x:v>27</x:v>
      </x:c>
      <x:c r="I247" s="14" t="n">
        <x:f>E1_plantas!J83+G247</x:f>
        <x:v>46125</x:v>
      </x:c>
      <x:c r="J247" s="2" t="n">
        <x:v>167</x:v>
      </x:c>
      <x:c r="K247" s="2" t="n">
        <x:f>IF(AND(G247&gt;Supuestos!$C$8,E247&lt;&gt;"L0"),1,0)</x:f>
        <x:v>1</x:v>
      </x:c>
      <x:c r="L247" s="2" t="str">
        <x:v>posterior_al_dia_14</x:v>
      </x:c>
      <x:c r="M247" s="2" t="str">
        <x:v>simulado_didactico</x:v>
      </x:c>
    </x:row>
    <x:row r="248" ht="19" customHeight="1">
      <x:c r="A248" s="2" t="str">
        <x:v>SIM-E1-MP-L6-R05</x:v>
      </x:c>
      <x:c r="B248" s="2" t="n">
        <x:v>3</x:v>
      </x:c>
      <x:c r="C248" s="2" t="str">
        <x:v>MP</x:v>
      </x:c>
      <x:c r="D248" s="2" t="str">
        <x:v>Myzus persicae</x:v>
      </x:c>
      <x:c r="E248" s="2" t="str">
        <x:v>L6</x:v>
      </x:c>
      <x:c r="F248" s="2" t="n">
        <x:v>5</x:v>
      </x:c>
      <x:c r="G248" s="2" t="n">
        <x:v>14</x:v>
      </x:c>
      <x:c r="H248" s="2" t="n">
        <x:f>G248-Supuestos!$C$7</x:f>
        <x:v>13</x:v>
      </x:c>
      <x:c r="I248" s="14" t="n">
        <x:f>E1_plantas!J84+G248</x:f>
        <x:v>46111</x:v>
      </x:c>
      <x:c r="J248" s="2" t="n">
        <x:v>15</x:v>
      </x:c>
      <x:c r="K248" s="2" t="n">
        <x:f>IF(AND(G248&gt;Supuestos!$C$8,E248&lt;&gt;"L0"),1,0)</x:f>
        <x:v>0</x:v>
      </x:c>
      <x:c r="L248" s="2" t="str">
        <x:v>antes_de_reinoculacion</x:v>
      </x:c>
      <x:c r="M248" s="2" t="str">
        <x:v>simulado_didactico</x:v>
      </x:c>
    </x:row>
    <x:row r="249" ht="19" customHeight="1">
      <x:c r="A249" s="2" t="str">
        <x:v>SIM-E1-MP-L6-R05</x:v>
      </x:c>
      <x:c r="B249" s="2" t="n">
        <x:v>3</x:v>
      </x:c>
      <x:c r="C249" s="2" t="str">
        <x:v>MP</x:v>
      </x:c>
      <x:c r="D249" s="2" t="str">
        <x:v>Myzus persicae</x:v>
      </x:c>
      <x:c r="E249" s="2" t="str">
        <x:v>L6</x:v>
      </x:c>
      <x:c r="F249" s="2" t="n">
        <x:v>5</x:v>
      </x:c>
      <x:c r="G249" s="2" t="n">
        <x:v>21</x:v>
      </x:c>
      <x:c r="H249" s="2" t="n">
        <x:f>G249-Supuestos!$C$7</x:f>
        <x:v>20</x:v>
      </x:c>
      <x:c r="I249" s="14" t="n">
        <x:f>E1_plantas!J84+G249</x:f>
        <x:v>46118</x:v>
      </x:c>
      <x:c r="J249" s="2" t="n">
        <x:v>75</x:v>
      </x:c>
      <x:c r="K249" s="2" t="n">
        <x:f>IF(AND(G249&gt;Supuestos!$C$8,E249&lt;&gt;"L0"),1,0)</x:f>
        <x:v>1</x:v>
      </x:c>
      <x:c r="L249" s="2" t="str">
        <x:v>posterior_al_dia_14</x:v>
      </x:c>
      <x:c r="M249" s="2" t="str">
        <x:v>simulado_didactico</x:v>
      </x:c>
    </x:row>
    <x:row r="250" ht="19" customHeight="1">
      <x:c r="A250" s="2" t="str">
        <x:v>SIM-E1-MP-L6-R05</x:v>
      </x:c>
      <x:c r="B250" s="2" t="n">
        <x:v>3</x:v>
      </x:c>
      <x:c r="C250" s="2" t="str">
        <x:v>MP</x:v>
      </x:c>
      <x:c r="D250" s="2" t="str">
        <x:v>Myzus persicae</x:v>
      </x:c>
      <x:c r="E250" s="2" t="str">
        <x:v>L6</x:v>
      </x:c>
      <x:c r="F250" s="2" t="n">
        <x:v>5</x:v>
      </x:c>
      <x:c r="G250" s="2" t="n">
        <x:v>28</x:v>
      </x:c>
      <x:c r="H250" s="2" t="n">
        <x:f>G250-Supuestos!$C$7</x:f>
        <x:v>27</x:v>
      </x:c>
      <x:c r="I250" s="14" t="n">
        <x:f>E1_plantas!J84+G250</x:f>
        <x:v>46125</x:v>
      </x:c>
      <x:c r="J250" s="2" t="n">
        <x:v>129</x:v>
      </x:c>
      <x:c r="K250" s="2" t="n">
        <x:f>IF(AND(G250&gt;Supuestos!$C$8,E250&lt;&gt;"L0"),1,0)</x:f>
        <x:v>1</x:v>
      </x:c>
      <x:c r="L250" s="2" t="str">
        <x:v>posterior_al_dia_14</x:v>
      </x:c>
      <x:c r="M250" s="2" t="str">
        <x:v>simulado_didactico</x:v>
      </x:c>
    </x:row>
    <x:row r="251" ht="19" customHeight="1">
      <x:c r="A251" s="2" t="str">
        <x:v>SIM-E1-MP-L6-R06</x:v>
      </x:c>
      <x:c r="B251" s="2" t="n">
        <x:v>3</x:v>
      </x:c>
      <x:c r="C251" s="2" t="str">
        <x:v>MP</x:v>
      </x:c>
      <x:c r="D251" s="2" t="str">
        <x:v>Myzus persicae</x:v>
      </x:c>
      <x:c r="E251" s="2" t="str">
        <x:v>L6</x:v>
      </x:c>
      <x:c r="F251" s="2" t="n">
        <x:v>6</x:v>
      </x:c>
      <x:c r="G251" s="2" t="n">
        <x:v>14</x:v>
      </x:c>
      <x:c r="H251" s="2" t="n">
        <x:f>G251-Supuestos!$C$7</x:f>
        <x:v>13</x:v>
      </x:c>
      <x:c r="I251" s="14" t="n">
        <x:f>E1_plantas!J85+G251</x:f>
        <x:v>46111</x:v>
      </x:c>
      <x:c r="J251" s="2" t="n">
        <x:v>16</x:v>
      </x:c>
      <x:c r="K251" s="2" t="n">
        <x:f>IF(AND(G251&gt;Supuestos!$C$8,E251&lt;&gt;"L0"),1,0)</x:f>
        <x:v>0</x:v>
      </x:c>
      <x:c r="L251" s="2" t="str">
        <x:v>antes_de_reinoculacion</x:v>
      </x:c>
      <x:c r="M251" s="2" t="str">
        <x:v>simulado_didactico</x:v>
      </x:c>
    </x:row>
    <x:row r="252" ht="19" customHeight="1">
      <x:c r="A252" s="2" t="str">
        <x:v>SIM-E1-MP-L6-R06</x:v>
      </x:c>
      <x:c r="B252" s="2" t="n">
        <x:v>3</x:v>
      </x:c>
      <x:c r="C252" s="2" t="str">
        <x:v>MP</x:v>
      </x:c>
      <x:c r="D252" s="2" t="str">
        <x:v>Myzus persicae</x:v>
      </x:c>
      <x:c r="E252" s="2" t="str">
        <x:v>L6</x:v>
      </x:c>
      <x:c r="F252" s="2" t="n">
        <x:v>6</x:v>
      </x:c>
      <x:c r="G252" s="2" t="n">
        <x:v>21</x:v>
      </x:c>
      <x:c r="H252" s="2" t="n">
        <x:f>G252-Supuestos!$C$7</x:f>
        <x:v>20</x:v>
      </x:c>
      <x:c r="I252" s="14" t="n">
        <x:f>E1_plantas!J85+G252</x:f>
        <x:v>46118</x:v>
      </x:c>
      <x:c r="J252" s="2" t="n">
        <x:v>80</x:v>
      </x:c>
      <x:c r="K252" s="2" t="n">
        <x:f>IF(AND(G252&gt;Supuestos!$C$8,E252&lt;&gt;"L0"),1,0)</x:f>
        <x:v>1</x:v>
      </x:c>
      <x:c r="L252" s="2" t="str">
        <x:v>posterior_al_dia_14</x:v>
      </x:c>
      <x:c r="M252" s="2" t="str">
        <x:v>simulado_didactico</x:v>
      </x:c>
    </x:row>
    <x:row r="253" ht="19" customHeight="1">
      <x:c r="A253" s="2" t="str">
        <x:v>SIM-E1-MP-L6-R06</x:v>
      </x:c>
      <x:c r="B253" s="2" t="n">
        <x:v>3</x:v>
      </x:c>
      <x:c r="C253" s="2" t="str">
        <x:v>MP</x:v>
      </x:c>
      <x:c r="D253" s="2" t="str">
        <x:v>Myzus persicae</x:v>
      </x:c>
      <x:c r="E253" s="2" t="str">
        <x:v>L6</x:v>
      </x:c>
      <x:c r="F253" s="2" t="n">
        <x:v>6</x:v>
      </x:c>
      <x:c r="G253" s="2" t="n">
        <x:v>28</x:v>
      </x:c>
      <x:c r="H253" s="2" t="n">
        <x:f>G253-Supuestos!$C$7</x:f>
        <x:v>27</x:v>
      </x:c>
      <x:c r="I253" s="14" t="n">
        <x:f>E1_plantas!J85+G253</x:f>
        <x:v>46125</x:v>
      </x:c>
      <x:c r="J253" s="2" t="n">
        <x:v>232</x:v>
      </x:c>
      <x:c r="K253" s="2" t="n">
        <x:f>IF(AND(G253&gt;Supuestos!$C$8,E253&lt;&gt;"L0"),1,0)</x:f>
        <x:v>1</x:v>
      </x:c>
      <x:c r="L253" s="2" t="str">
        <x:v>posterior_al_dia_14</x:v>
      </x:c>
      <x:c r="M253" s="2" t="str">
        <x:v>simulado_didactico</x:v>
      </x:c>
    </x:row>
    <x:row r="254" ht="19" customHeight="1">
      <x:c r="A254" s="2" t="str">
        <x:v>SIM-E1-MP-L7-R05</x:v>
      </x:c>
      <x:c r="B254" s="2" t="n">
        <x:v>3</x:v>
      </x:c>
      <x:c r="C254" s="2" t="str">
        <x:v>MP</x:v>
      </x:c>
      <x:c r="D254" s="2" t="str">
        <x:v>Myzus persicae</x:v>
      </x:c>
      <x:c r="E254" s="2" t="str">
        <x:v>L7</x:v>
      </x:c>
      <x:c r="F254" s="2" t="n">
        <x:v>5</x:v>
      </x:c>
      <x:c r="G254" s="2" t="n">
        <x:v>14</x:v>
      </x:c>
      <x:c r="H254" s="2" t="n">
        <x:f>G254-Supuestos!$C$7</x:f>
        <x:v>13</x:v>
      </x:c>
      <x:c r="I254" s="14" t="n">
        <x:f>E1_plantas!J86+G254</x:f>
        <x:v>46111</x:v>
      </x:c>
      <x:c r="J254" s="2" t="n">
        <x:v>15</x:v>
      </x:c>
      <x:c r="K254" s="2" t="n">
        <x:f>IF(AND(G254&gt;Supuestos!$C$8,E254&lt;&gt;"L0"),1,0)</x:f>
        <x:v>0</x:v>
      </x:c>
      <x:c r="L254" s="2" t="str">
        <x:v>antes_de_reinoculacion</x:v>
      </x:c>
      <x:c r="M254" s="2" t="str">
        <x:v>simulado_didactico</x:v>
      </x:c>
    </x:row>
    <x:row r="255" ht="19" customHeight="1">
      <x:c r="A255" s="2" t="str">
        <x:v>SIM-E1-MP-L7-R05</x:v>
      </x:c>
      <x:c r="B255" s="2" t="n">
        <x:v>3</x:v>
      </x:c>
      <x:c r="C255" s="2" t="str">
        <x:v>MP</x:v>
      </x:c>
      <x:c r="D255" s="2" t="str">
        <x:v>Myzus persicae</x:v>
      </x:c>
      <x:c r="E255" s="2" t="str">
        <x:v>L7</x:v>
      </x:c>
      <x:c r="F255" s="2" t="n">
        <x:v>5</x:v>
      </x:c>
      <x:c r="G255" s="2" t="n">
        <x:v>21</x:v>
      </x:c>
      <x:c r="H255" s="2" t="n">
        <x:f>G255-Supuestos!$C$7</x:f>
        <x:v>20</x:v>
      </x:c>
      <x:c r="I255" s="14" t="n">
        <x:f>E1_plantas!J86+G255</x:f>
        <x:v>46118</x:v>
      </x:c>
      <x:c r="J255" s="2" t="n">
        <x:v>37</x:v>
      </x:c>
      <x:c r="K255" s="2" t="n">
        <x:f>IF(AND(G255&gt;Supuestos!$C$8,E255&lt;&gt;"L0"),1,0)</x:f>
        <x:v>1</x:v>
      </x:c>
      <x:c r="L255" s="2" t="str">
        <x:v>posterior_al_dia_14</x:v>
      </x:c>
      <x:c r="M255" s="2" t="str">
        <x:v>simulado_didactico</x:v>
      </x:c>
    </x:row>
    <x:row r="256" ht="19" customHeight="1">
      <x:c r="A256" s="2" t="str">
        <x:v>SIM-E1-MP-L7-R05</x:v>
      </x:c>
      <x:c r="B256" s="2" t="n">
        <x:v>3</x:v>
      </x:c>
      <x:c r="C256" s="2" t="str">
        <x:v>MP</x:v>
      </x:c>
      <x:c r="D256" s="2" t="str">
        <x:v>Myzus persicae</x:v>
      </x:c>
      <x:c r="E256" s="2" t="str">
        <x:v>L7</x:v>
      </x:c>
      <x:c r="F256" s="2" t="n">
        <x:v>5</x:v>
      </x:c>
      <x:c r="G256" s="2" t="n">
        <x:v>28</x:v>
      </x:c>
      <x:c r="H256" s="2" t="n">
        <x:f>G256-Supuestos!$C$7</x:f>
        <x:v>27</x:v>
      </x:c>
      <x:c r="I256" s="14" t="n">
        <x:f>E1_plantas!J86+G256</x:f>
        <x:v>46125</x:v>
      </x:c>
      <x:c r="J256" s="2" t="n">
        <x:v>57</x:v>
      </x:c>
      <x:c r="K256" s="2" t="n">
        <x:f>IF(AND(G256&gt;Supuestos!$C$8,E256&lt;&gt;"L0"),1,0)</x:f>
        <x:v>1</x:v>
      </x:c>
      <x:c r="L256" s="2" t="str">
        <x:v>posterior_al_dia_14</x:v>
      </x:c>
      <x:c r="M256" s="2" t="str">
        <x:v>simulado_didactico</x:v>
      </x:c>
    </x:row>
    <x:row r="257" ht="19" customHeight="1">
      <x:c r="A257" s="2" t="str">
        <x:v>SIM-E1-MP-L7-R06</x:v>
      </x:c>
      <x:c r="B257" s="2" t="n">
        <x:v>3</x:v>
      </x:c>
      <x:c r="C257" s="2" t="str">
        <x:v>MP</x:v>
      </x:c>
      <x:c r="D257" s="2" t="str">
        <x:v>Myzus persicae</x:v>
      </x:c>
      <x:c r="E257" s="2" t="str">
        <x:v>L7</x:v>
      </x:c>
      <x:c r="F257" s="2" t="n">
        <x:v>6</x:v>
      </x:c>
      <x:c r="G257" s="2" t="n">
        <x:v>14</x:v>
      </x:c>
      <x:c r="H257" s="2" t="n">
        <x:f>G257-Supuestos!$C$7</x:f>
        <x:v>13</x:v>
      </x:c>
      <x:c r="I257" s="14" t="n">
        <x:f>E1_plantas!J87+G257</x:f>
        <x:v>46111</x:v>
      </x:c>
      <x:c r="J257" s="2" t="n">
        <x:v>9</x:v>
      </x:c>
      <x:c r="K257" s="2" t="n">
        <x:f>IF(AND(G257&gt;Supuestos!$C$8,E257&lt;&gt;"L0"),1,0)</x:f>
        <x:v>0</x:v>
      </x:c>
      <x:c r="L257" s="2" t="str">
        <x:v>antes_de_reinoculacion</x:v>
      </x:c>
      <x:c r="M257" s="2" t="str">
        <x:v>simulado_didactico</x:v>
      </x:c>
    </x:row>
    <x:row r="258" ht="19" customHeight="1">
      <x:c r="A258" s="2" t="str">
        <x:v>SIM-E1-MP-L7-R06</x:v>
      </x:c>
      <x:c r="B258" s="2" t="n">
        <x:v>3</x:v>
      </x:c>
      <x:c r="C258" s="2" t="str">
        <x:v>MP</x:v>
      </x:c>
      <x:c r="D258" s="2" t="str">
        <x:v>Myzus persicae</x:v>
      </x:c>
      <x:c r="E258" s="2" t="str">
        <x:v>L7</x:v>
      </x:c>
      <x:c r="F258" s="2" t="n">
        <x:v>6</x:v>
      </x:c>
      <x:c r="G258" s="2" t="n">
        <x:v>21</x:v>
      </x:c>
      <x:c r="H258" s="2" t="n">
        <x:f>G258-Supuestos!$C$7</x:f>
        <x:v>20</x:v>
      </x:c>
      <x:c r="I258" s="14" t="n">
        <x:f>E1_plantas!J87+G258</x:f>
        <x:v>46118</x:v>
      </x:c>
      <x:c r="J258" s="2" t="n">
        <x:v>21</x:v>
      </x:c>
      <x:c r="K258" s="2" t="n">
        <x:f>IF(AND(G258&gt;Supuestos!$C$8,E258&lt;&gt;"L0"),1,0)</x:f>
        <x:v>1</x:v>
      </x:c>
      <x:c r="L258" s="2" t="str">
        <x:v>posterior_al_dia_14</x:v>
      </x:c>
      <x:c r="M258" s="2" t="str">
        <x:v>simulado_didactico</x:v>
      </x:c>
    </x:row>
    <x:row r="259" ht="19" customHeight="1">
      <x:c r="A259" s="2" t="str">
        <x:v>SIM-E1-MP-L7-R06</x:v>
      </x:c>
      <x:c r="B259" s="2" t="n">
        <x:v>3</x:v>
      </x:c>
      <x:c r="C259" s="2" t="str">
        <x:v>MP</x:v>
      </x:c>
      <x:c r="D259" s="2" t="str">
        <x:v>Myzus persicae</x:v>
      </x:c>
      <x:c r="E259" s="2" t="str">
        <x:v>L7</x:v>
      </x:c>
      <x:c r="F259" s="2" t="n">
        <x:v>6</x:v>
      </x:c>
      <x:c r="G259" s="2" t="n">
        <x:v>28</x:v>
      </x:c>
      <x:c r="H259" s="2" t="n">
        <x:f>G259-Supuestos!$C$7</x:f>
        <x:v>27</x:v>
      </x:c>
      <x:c r="I259" s="14" t="n">
        <x:f>E1_plantas!J87+G259</x:f>
        <x:v>46125</x:v>
      </x:c>
      <x:c r="J259" s="2" t="n">
        <x:v>53</x:v>
      </x:c>
      <x:c r="K259" s="2" t="n">
        <x:f>IF(AND(G259&gt;Supuestos!$C$8,E259&lt;&gt;"L0"),1,0)</x:f>
        <x:v>1</x:v>
      </x:c>
      <x:c r="L259" s="2" t="str">
        <x:v>posterior_al_dia_14</x:v>
      </x:c>
      <x:c r="M259" s="2" t="str">
        <x:v>simulado_didactico</x:v>
      </x:c>
    </x:row>
    <x:row r="260" ht="19" customHeight="1">
      <x:c r="A260" s="2" t="str">
        <x:v>SIM-E1-MP-L8-R05</x:v>
      </x:c>
      <x:c r="B260" s="2" t="n">
        <x:v>3</x:v>
      </x:c>
      <x:c r="C260" s="2" t="str">
        <x:v>MP</x:v>
      </x:c>
      <x:c r="D260" s="2" t="str">
        <x:v>Myzus persicae</x:v>
      </x:c>
      <x:c r="E260" s="2" t="str">
        <x:v>L8</x:v>
      </x:c>
      <x:c r="F260" s="2" t="n">
        <x:v>5</x:v>
      </x:c>
      <x:c r="G260" s="2" t="n">
        <x:v>14</x:v>
      </x:c>
      <x:c r="H260" s="2" t="n">
        <x:f>G260-Supuestos!$C$7</x:f>
        <x:v>13</x:v>
      </x:c>
      <x:c r="I260" s="14" t="n">
        <x:f>E1_plantas!J88+G260</x:f>
        <x:v>46111</x:v>
      </x:c>
      <x:c r="J260" s="2" t="n">
        <x:v>5</x:v>
      </x:c>
      <x:c r="K260" s="2" t="n">
        <x:f>IF(AND(G260&gt;Supuestos!$C$8,E260&lt;&gt;"L0"),1,0)</x:f>
        <x:v>0</x:v>
      </x:c>
      <x:c r="L260" s="2" t="str">
        <x:v>antes_de_reinoculacion</x:v>
      </x:c>
      <x:c r="M260" s="2" t="str">
        <x:v>simulado_didactico</x:v>
      </x:c>
    </x:row>
    <x:row r="261" ht="19" customHeight="1">
      <x:c r="A261" s="2" t="str">
        <x:v>SIM-E1-MP-L8-R05</x:v>
      </x:c>
      <x:c r="B261" s="2" t="n">
        <x:v>3</x:v>
      </x:c>
      <x:c r="C261" s="2" t="str">
        <x:v>MP</x:v>
      </x:c>
      <x:c r="D261" s="2" t="str">
        <x:v>Myzus persicae</x:v>
      </x:c>
      <x:c r="E261" s="2" t="str">
        <x:v>L8</x:v>
      </x:c>
      <x:c r="F261" s="2" t="n">
        <x:v>5</x:v>
      </x:c>
      <x:c r="G261" s="2" t="n">
        <x:v>21</x:v>
      </x:c>
      <x:c r="H261" s="2" t="n">
        <x:f>G261-Supuestos!$C$7</x:f>
        <x:v>20</x:v>
      </x:c>
      <x:c r="I261" s="14" t="n">
        <x:f>E1_plantas!J88+G261</x:f>
        <x:v>46118</x:v>
      </x:c>
      <x:c r="J261" s="2" t="n">
        <x:v>48</x:v>
      </x:c>
      <x:c r="K261" s="2" t="n">
        <x:f>IF(AND(G261&gt;Supuestos!$C$8,E261&lt;&gt;"L0"),1,0)</x:f>
        <x:v>1</x:v>
      </x:c>
      <x:c r="L261" s="2" t="str">
        <x:v>posterior_al_dia_14</x:v>
      </x:c>
      <x:c r="M261" s="2" t="str">
        <x:v>simulado_didactico</x:v>
      </x:c>
    </x:row>
    <x:row r="262" ht="19" customHeight="1">
      <x:c r="A262" s="2" t="str">
        <x:v>SIM-E1-MP-L8-R05</x:v>
      </x:c>
      <x:c r="B262" s="2" t="n">
        <x:v>3</x:v>
      </x:c>
      <x:c r="C262" s="2" t="str">
        <x:v>MP</x:v>
      </x:c>
      <x:c r="D262" s="2" t="str">
        <x:v>Myzus persicae</x:v>
      </x:c>
      <x:c r="E262" s="2" t="str">
        <x:v>L8</x:v>
      </x:c>
      <x:c r="F262" s="2" t="n">
        <x:v>5</x:v>
      </x:c>
      <x:c r="G262" s="2" t="n">
        <x:v>28</x:v>
      </x:c>
      <x:c r="H262" s="2" t="n">
        <x:f>G262-Supuestos!$C$7</x:f>
        <x:v>27</x:v>
      </x:c>
      <x:c r="I262" s="14" t="n">
        <x:f>E1_plantas!J88+G262</x:f>
        <x:v>46125</x:v>
      </x:c>
      <x:c r="J262" s="2" t="n">
        <x:v>120</x:v>
      </x:c>
      <x:c r="K262" s="2" t="n">
        <x:f>IF(AND(G262&gt;Supuestos!$C$8,E262&lt;&gt;"L0"),1,0)</x:f>
        <x:v>1</x:v>
      </x:c>
      <x:c r="L262" s="2" t="str">
        <x:v>posterior_al_dia_14</x:v>
      </x:c>
      <x:c r="M262" s="2" t="str">
        <x:v>simulado_didactico</x:v>
      </x:c>
    </x:row>
    <x:row r="263" ht="19" customHeight="1">
      <x:c r="A263" s="2" t="str">
        <x:v>SIM-E1-MP-L8-R06</x:v>
      </x:c>
      <x:c r="B263" s="2" t="n">
        <x:v>3</x:v>
      </x:c>
      <x:c r="C263" s="2" t="str">
        <x:v>MP</x:v>
      </x:c>
      <x:c r="D263" s="2" t="str">
        <x:v>Myzus persicae</x:v>
      </x:c>
      <x:c r="E263" s="2" t="str">
        <x:v>L8</x:v>
      </x:c>
      <x:c r="F263" s="2" t="n">
        <x:v>6</x:v>
      </x:c>
      <x:c r="G263" s="2" t="n">
        <x:v>14</x:v>
      </x:c>
      <x:c r="H263" s="2" t="n">
        <x:f>G263-Supuestos!$C$7</x:f>
        <x:v>13</x:v>
      </x:c>
      <x:c r="I263" s="14" t="n">
        <x:f>E1_plantas!J89+G263</x:f>
        <x:v>46111</x:v>
      </x:c>
      <x:c r="J263" s="2" t="n">
        <x:v>18</x:v>
      </x:c>
      <x:c r="K263" s="2" t="n">
        <x:f>IF(AND(G263&gt;Supuestos!$C$8,E263&lt;&gt;"L0"),1,0)</x:f>
        <x:v>0</x:v>
      </x:c>
      <x:c r="L263" s="2" t="str">
        <x:v>antes_de_reinoculacion</x:v>
      </x:c>
      <x:c r="M263" s="2" t="str">
        <x:v>simulado_didactico</x:v>
      </x:c>
    </x:row>
    <x:row r="264" ht="19" customHeight="1">
      <x:c r="A264" s="2" t="str">
        <x:v>SIM-E1-MP-L8-R06</x:v>
      </x:c>
      <x:c r="B264" s="2" t="n">
        <x:v>3</x:v>
      </x:c>
      <x:c r="C264" s="2" t="str">
        <x:v>MP</x:v>
      </x:c>
      <x:c r="D264" s="2" t="str">
        <x:v>Myzus persicae</x:v>
      </x:c>
      <x:c r="E264" s="2" t="str">
        <x:v>L8</x:v>
      </x:c>
      <x:c r="F264" s="2" t="n">
        <x:v>6</x:v>
      </x:c>
      <x:c r="G264" s="2" t="n">
        <x:v>21</x:v>
      </x:c>
      <x:c r="H264" s="2" t="n">
        <x:f>G264-Supuestos!$C$7</x:f>
        <x:v>20</x:v>
      </x:c>
      <x:c r="I264" s="14" t="n">
        <x:f>E1_plantas!J89+G264</x:f>
        <x:v>46118</x:v>
      </x:c>
      <x:c r="J264" s="2" t="n">
        <x:v>25</x:v>
      </x:c>
      <x:c r="K264" s="2" t="n">
        <x:f>IF(AND(G264&gt;Supuestos!$C$8,E264&lt;&gt;"L0"),1,0)</x:f>
        <x:v>1</x:v>
      </x:c>
      <x:c r="L264" s="2" t="str">
        <x:v>posterior_al_dia_14</x:v>
      </x:c>
      <x:c r="M264" s="2" t="str">
        <x:v>simulado_didactico</x:v>
      </x:c>
    </x:row>
    <x:row r="265" ht="19" customHeight="1">
      <x:c r="A265" s="2" t="str">
        <x:v>SIM-E1-MP-L8-R06</x:v>
      </x:c>
      <x:c r="B265" s="2" t="n">
        <x:v>3</x:v>
      </x:c>
      <x:c r="C265" s="2" t="str">
        <x:v>MP</x:v>
      </x:c>
      <x:c r="D265" s="2" t="str">
        <x:v>Myzus persicae</x:v>
      </x:c>
      <x:c r="E265" s="2" t="str">
        <x:v>L8</x:v>
      </x:c>
      <x:c r="F265" s="2" t="n">
        <x:v>6</x:v>
      </x:c>
      <x:c r="G265" s="2" t="n">
        <x:v>28</x:v>
      </x:c>
      <x:c r="H265" s="2" t="n">
        <x:f>G265-Supuestos!$C$7</x:f>
        <x:v>27</x:v>
      </x:c>
      <x:c r="I265" s="14" t="n">
        <x:f>E1_plantas!J89+G265</x:f>
        <x:v>46125</x:v>
      </x:c>
      <x:c r="J265" s="2" t="n">
        <x:v>124</x:v>
      </x:c>
      <x:c r="K265" s="2" t="n">
        <x:f>IF(AND(G265&gt;Supuestos!$C$8,E265&lt;&gt;"L0"),1,0)</x:f>
        <x:v>1</x:v>
      </x:c>
      <x:c r="L265" s="2" t="str">
        <x:v>posterior_al_dia_14</x:v>
      </x:c>
      <x:c r="M265" s="2" t="str">
        <x:v>simulado_didactico</x:v>
      </x:c>
    </x:row>
    <x:row r="266" ht="19" customHeight="1">
      <x:c r="A266" s="2" t="str">
        <x:v>SIM-E1-MP-L9-R05</x:v>
      </x:c>
      <x:c r="B266" s="2" t="n">
        <x:v>3</x:v>
      </x:c>
      <x:c r="C266" s="2" t="str">
        <x:v>MP</x:v>
      </x:c>
      <x:c r="D266" s="2" t="str">
        <x:v>Myzus persicae</x:v>
      </x:c>
      <x:c r="E266" s="2" t="str">
        <x:v>L9</x:v>
      </x:c>
      <x:c r="F266" s="2" t="n">
        <x:v>5</x:v>
      </x:c>
      <x:c r="G266" s="2" t="n">
        <x:v>14</x:v>
      </x:c>
      <x:c r="H266" s="2" t="n">
        <x:f>G266-Supuestos!$C$7</x:f>
        <x:v>13</x:v>
      </x:c>
      <x:c r="I266" s="14" t="n">
        <x:f>E1_plantas!J90+G266</x:f>
        <x:v>46111</x:v>
      </x:c>
      <x:c r="J266" s="2" t="n">
        <x:v>22</x:v>
      </x:c>
      <x:c r="K266" s="2" t="n">
        <x:f>IF(AND(G266&gt;Supuestos!$C$8,E266&lt;&gt;"L0"),1,0)</x:f>
        <x:v>0</x:v>
      </x:c>
      <x:c r="L266" s="2" t="str">
        <x:v>antes_de_reinoculacion</x:v>
      </x:c>
      <x:c r="M266" s="2" t="str">
        <x:v>simulado_didactico</x:v>
      </x:c>
    </x:row>
    <x:row r="267" ht="19" customHeight="1">
      <x:c r="A267" s="2" t="str">
        <x:v>SIM-E1-MP-L9-R05</x:v>
      </x:c>
      <x:c r="B267" s="2" t="n">
        <x:v>3</x:v>
      </x:c>
      <x:c r="C267" s="2" t="str">
        <x:v>MP</x:v>
      </x:c>
      <x:c r="D267" s="2" t="str">
        <x:v>Myzus persicae</x:v>
      </x:c>
      <x:c r="E267" s="2" t="str">
        <x:v>L9</x:v>
      </x:c>
      <x:c r="F267" s="2" t="n">
        <x:v>5</x:v>
      </x:c>
      <x:c r="G267" s="2" t="n">
        <x:v>21</x:v>
      </x:c>
      <x:c r="H267" s="2" t="n">
        <x:f>G267-Supuestos!$C$7</x:f>
        <x:v>20</x:v>
      </x:c>
      <x:c r="I267" s="14" t="n">
        <x:f>E1_plantas!J90+G267</x:f>
        <x:v>46118</x:v>
      </x:c>
      <x:c r="J267" s="2" t="n">
        <x:v>81</x:v>
      </x:c>
      <x:c r="K267" s="2" t="n">
        <x:f>IF(AND(G267&gt;Supuestos!$C$8,E267&lt;&gt;"L0"),1,0)</x:f>
        <x:v>1</x:v>
      </x:c>
      <x:c r="L267" s="2" t="str">
        <x:v>posterior_al_dia_14</x:v>
      </x:c>
      <x:c r="M267" s="2" t="str">
        <x:v>simulado_didactico</x:v>
      </x:c>
    </x:row>
    <x:row r="268" ht="19" customHeight="1">
      <x:c r="A268" s="2" t="str">
        <x:v>SIM-E1-MP-L9-R05</x:v>
      </x:c>
      <x:c r="B268" s="2" t="n">
        <x:v>3</x:v>
      </x:c>
      <x:c r="C268" s="2" t="str">
        <x:v>MP</x:v>
      </x:c>
      <x:c r="D268" s="2" t="str">
        <x:v>Myzus persicae</x:v>
      </x:c>
      <x:c r="E268" s="2" t="str">
        <x:v>L9</x:v>
      </x:c>
      <x:c r="F268" s="2" t="n">
        <x:v>5</x:v>
      </x:c>
      <x:c r="G268" s="2" t="n">
        <x:v>28</x:v>
      </x:c>
      <x:c r="H268" s="2" t="n">
        <x:f>G268-Supuestos!$C$7</x:f>
        <x:v>27</x:v>
      </x:c>
      <x:c r="I268" s="14" t="n">
        <x:f>E1_plantas!J90+G268</x:f>
        <x:v>46125</x:v>
      </x:c>
      <x:c r="J268" s="2" t="n">
        <x:v>312</x:v>
      </x:c>
      <x:c r="K268" s="2" t="n">
        <x:f>IF(AND(G268&gt;Supuestos!$C$8,E268&lt;&gt;"L0"),1,0)</x:f>
        <x:v>1</x:v>
      </x:c>
      <x:c r="L268" s="2" t="str">
        <x:v>posterior_al_dia_14</x:v>
      </x:c>
      <x:c r="M268" s="2" t="str">
        <x:v>simulado_didactico</x:v>
      </x:c>
    </x:row>
    <x:row r="269" ht="19" customHeight="1">
      <x:c r="A269" s="2" t="str">
        <x:v>SIM-E1-MP-L9-R06</x:v>
      </x:c>
      <x:c r="B269" s="2" t="n">
        <x:v>3</x:v>
      </x:c>
      <x:c r="C269" s="2" t="str">
        <x:v>MP</x:v>
      </x:c>
      <x:c r="D269" s="2" t="str">
        <x:v>Myzus persicae</x:v>
      </x:c>
      <x:c r="E269" s="2" t="str">
        <x:v>L9</x:v>
      </x:c>
      <x:c r="F269" s="2" t="n">
        <x:v>6</x:v>
      </x:c>
      <x:c r="G269" s="2" t="n">
        <x:v>14</x:v>
      </x:c>
      <x:c r="H269" s="2" t="n">
        <x:f>G269-Supuestos!$C$7</x:f>
        <x:v>13</x:v>
      </x:c>
      <x:c r="I269" s="14" t="n">
        <x:f>E1_plantas!J91+G269</x:f>
        <x:v>46111</x:v>
      </x:c>
      <x:c r="J269" s="2" t="n">
        <x:v>13</x:v>
      </x:c>
      <x:c r="K269" s="2" t="n">
        <x:f>IF(AND(G269&gt;Supuestos!$C$8,E269&lt;&gt;"L0"),1,0)</x:f>
        <x:v>0</x:v>
      </x:c>
      <x:c r="L269" s="2" t="str">
        <x:v>antes_de_reinoculacion</x:v>
      </x:c>
      <x:c r="M269" s="2" t="str">
        <x:v>simulado_didactico</x:v>
      </x:c>
    </x:row>
    <x:row r="270" ht="19" customHeight="1">
      <x:c r="A270" s="2" t="str">
        <x:v>SIM-E1-MP-L9-R06</x:v>
      </x:c>
      <x:c r="B270" s="2" t="n">
        <x:v>3</x:v>
      </x:c>
      <x:c r="C270" s="2" t="str">
        <x:v>MP</x:v>
      </x:c>
      <x:c r="D270" s="2" t="str">
        <x:v>Myzus persicae</x:v>
      </x:c>
      <x:c r="E270" s="2" t="str">
        <x:v>L9</x:v>
      </x:c>
      <x:c r="F270" s="2" t="n">
        <x:v>6</x:v>
      </x:c>
      <x:c r="G270" s="2" t="n">
        <x:v>21</x:v>
      </x:c>
      <x:c r="H270" s="2" t="n">
        <x:f>G270-Supuestos!$C$7</x:f>
        <x:v>20</x:v>
      </x:c>
      <x:c r="I270" s="14" t="n">
        <x:f>E1_plantas!J91+G270</x:f>
        <x:v>46118</x:v>
      </x:c>
      <x:c r="J270" s="2" t="n">
        <x:v>72</x:v>
      </x:c>
      <x:c r="K270" s="2" t="n">
        <x:f>IF(AND(G270&gt;Supuestos!$C$8,E270&lt;&gt;"L0"),1,0)</x:f>
        <x:v>1</x:v>
      </x:c>
      <x:c r="L270" s="2" t="str">
        <x:v>posterior_al_dia_14</x:v>
      </x:c>
      <x:c r="M270" s="2" t="str">
        <x:v>simulado_didactico</x:v>
      </x:c>
    </x:row>
    <x:row r="271" ht="19" customHeight="1">
      <x:c r="A271" s="2" t="str">
        <x:v>SIM-E1-MP-L9-R06</x:v>
      </x:c>
      <x:c r="B271" s="2" t="n">
        <x:v>3</x:v>
      </x:c>
      <x:c r="C271" s="2" t="str">
        <x:v>MP</x:v>
      </x:c>
      <x:c r="D271" s="2" t="str">
        <x:v>Myzus persicae</x:v>
      </x:c>
      <x:c r="E271" s="2" t="str">
        <x:v>L9</x:v>
      </x:c>
      <x:c r="F271" s="2" t="n">
        <x:v>6</x:v>
      </x:c>
      <x:c r="G271" s="2" t="n">
        <x:v>28</x:v>
      </x:c>
      <x:c r="H271" s="2" t="n">
        <x:f>G271-Supuestos!$C$7</x:f>
        <x:v>27</x:v>
      </x:c>
      <x:c r="I271" s="14" t="n">
        <x:f>E1_plantas!J91+G271</x:f>
        <x:v>46125</x:v>
      </x:c>
      <x:c r="J271" s="2" t="n">
        <x:v>208</x:v>
      </x:c>
      <x:c r="K271" s="2" t="n">
        <x:f>IF(AND(G271&gt;Supuestos!$C$8,E271&lt;&gt;"L0"),1,0)</x:f>
        <x:v>1</x:v>
      </x:c>
      <x:c r="L271" s="2" t="str">
        <x:v>posterior_al_dia_14</x:v>
      </x:c>
      <x:c r="M271" s="2" t="str">
        <x:v>simulado_didactico</x:v>
      </x:c>
    </x:row>
    <x:row r="272" ht="19" customHeight="1">
      <x:c r="A272" s="2" t="str">
        <x:v>SIM-E1-BB-L0-R05</x:v>
      </x:c>
      <x:c r="B272" s="2" t="n">
        <x:v>3</x:v>
      </x:c>
      <x:c r="C272" s="2" t="str">
        <x:v>BB</x:v>
      </x:c>
      <x:c r="D272" s="2" t="str">
        <x:v>Brevicoryne brassicae</x:v>
      </x:c>
      <x:c r="E272" s="2" t="str">
        <x:v>L0</x:v>
      </x:c>
      <x:c r="F272" s="2" t="n">
        <x:v>5</x:v>
      </x:c>
      <x:c r="G272" s="2" t="n">
        <x:v>14</x:v>
      </x:c>
      <x:c r="H272" s="2" t="n">
        <x:f>G272-Supuestos!$C$7</x:f>
        <x:v>13</x:v>
      </x:c>
      <x:c r="I272" s="14" t="n">
        <x:f>E1_plantas!J92+G272</x:f>
        <x:v>46111</x:v>
      </x:c>
      <x:c r="J272" s="2" t="n">
        <x:v>22</x:v>
      </x:c>
      <x:c r="K272" s="2" t="n">
        <x:f>IF(AND(G272&gt;Supuestos!$C$8,E272&lt;&gt;"L0"),1,0)</x:f>
        <x:v>0</x:v>
      </x:c>
      <x:c r="L272" s="2" t="str">
        <x:v>antes_de_reinoculacion</x:v>
      </x:c>
      <x:c r="M272" s="2" t="str">
        <x:v>simulado_didactico</x:v>
      </x:c>
    </x:row>
    <x:row r="273" ht="19" customHeight="1">
      <x:c r="A273" s="2" t="str">
        <x:v>SIM-E1-BB-L0-R05</x:v>
      </x:c>
      <x:c r="B273" s="2" t="n">
        <x:v>3</x:v>
      </x:c>
      <x:c r="C273" s="2" t="str">
        <x:v>BB</x:v>
      </x:c>
      <x:c r="D273" s="2" t="str">
        <x:v>Brevicoryne brassicae</x:v>
      </x:c>
      <x:c r="E273" s="2" t="str">
        <x:v>L0</x:v>
      </x:c>
      <x:c r="F273" s="2" t="n">
        <x:v>5</x:v>
      </x:c>
      <x:c r="G273" s="2" t="n">
        <x:v>21</x:v>
      </x:c>
      <x:c r="H273" s="2" t="n">
        <x:f>G273-Supuestos!$C$7</x:f>
        <x:v>20</x:v>
      </x:c>
      <x:c r="I273" s="14" t="n">
        <x:f>E1_plantas!J92+G273</x:f>
        <x:v>46118</x:v>
      </x:c>
      <x:c r="J273" s="2" t="n">
        <x:v>106</x:v>
      </x:c>
      <x:c r="K273" s="2" t="n">
        <x:f>IF(AND(G273&gt;Supuestos!$C$8,E273&lt;&gt;"L0"),1,0)</x:f>
        <x:v>0</x:v>
      </x:c>
      <x:c r="L273" s="2" t="str">
        <x:v>posterior_al_dia_14</x:v>
      </x:c>
      <x:c r="M273" s="2" t="str">
        <x:v>simulado_didactico</x:v>
      </x:c>
    </x:row>
    <x:row r="274" ht="19" customHeight="1">
      <x:c r="A274" s="2" t="str">
        <x:v>SIM-E1-BB-L0-R05</x:v>
      </x:c>
      <x:c r="B274" s="2" t="n">
        <x:v>3</x:v>
      </x:c>
      <x:c r="C274" s="2" t="str">
        <x:v>BB</x:v>
      </x:c>
      <x:c r="D274" s="2" t="str">
        <x:v>Brevicoryne brassicae</x:v>
      </x:c>
      <x:c r="E274" s="2" t="str">
        <x:v>L0</x:v>
      </x:c>
      <x:c r="F274" s="2" t="n">
        <x:v>5</x:v>
      </x:c>
      <x:c r="G274" s="2" t="n">
        <x:v>28</x:v>
      </x:c>
      <x:c r="H274" s="2" t="n">
        <x:f>G274-Supuestos!$C$7</x:f>
        <x:v>27</x:v>
      </x:c>
      <x:c r="I274" s="14" t="n">
        <x:f>E1_plantas!J92+G274</x:f>
        <x:v>46125</x:v>
      </x:c>
      <x:c r="J274" s="2" t="n">
        <x:v>282</x:v>
      </x:c>
      <x:c r="K274" s="2" t="n">
        <x:f>IF(AND(G274&gt;Supuestos!$C$8,E274&lt;&gt;"L0"),1,0)</x:f>
        <x:v>0</x:v>
      </x:c>
      <x:c r="L274" s="2" t="str">
        <x:v>posterior_al_dia_14</x:v>
      </x:c>
      <x:c r="M274" s="2" t="str">
        <x:v>simulado_didactico</x:v>
      </x:c>
    </x:row>
    <x:row r="275" ht="19" customHeight="1">
      <x:c r="A275" s="2" t="str">
        <x:v>SIM-E1-BB-L0-R06</x:v>
      </x:c>
      <x:c r="B275" s="2" t="n">
        <x:v>3</x:v>
      </x:c>
      <x:c r="C275" s="2" t="str">
        <x:v>BB</x:v>
      </x:c>
      <x:c r="D275" s="2" t="str">
        <x:v>Brevicoryne brassicae</x:v>
      </x:c>
      <x:c r="E275" s="2" t="str">
        <x:v>L0</x:v>
      </x:c>
      <x:c r="F275" s="2" t="n">
        <x:v>6</x:v>
      </x:c>
      <x:c r="G275" s="2" t="n">
        <x:v>14</x:v>
      </x:c>
      <x:c r="H275" s="2" t="n">
        <x:f>G275-Supuestos!$C$7</x:f>
        <x:v>13</x:v>
      </x:c>
      <x:c r="I275" s="14" t="n">
        <x:f>E1_plantas!J93+G275</x:f>
        <x:v>46111</x:v>
      </x:c>
      <x:c r="J275" s="2" t="n">
        <x:v>19</x:v>
      </x:c>
      <x:c r="K275" s="2" t="n">
        <x:f>IF(AND(G275&gt;Supuestos!$C$8,E275&lt;&gt;"L0"),1,0)</x:f>
        <x:v>0</x:v>
      </x:c>
      <x:c r="L275" s="2" t="str">
        <x:v>antes_de_reinoculacion</x:v>
      </x:c>
      <x:c r="M275" s="2" t="str">
        <x:v>simulado_didactico</x:v>
      </x:c>
    </x:row>
    <x:row r="276" ht="19" customHeight="1">
      <x:c r="A276" s="2" t="str">
        <x:v>SIM-E1-BB-L0-R06</x:v>
      </x:c>
      <x:c r="B276" s="2" t="n">
        <x:v>3</x:v>
      </x:c>
      <x:c r="C276" s="2" t="str">
        <x:v>BB</x:v>
      </x:c>
      <x:c r="D276" s="2" t="str">
        <x:v>Brevicoryne brassicae</x:v>
      </x:c>
      <x:c r="E276" s="2" t="str">
        <x:v>L0</x:v>
      </x:c>
      <x:c r="F276" s="2" t="n">
        <x:v>6</x:v>
      </x:c>
      <x:c r="G276" s="2" t="n">
        <x:v>21</x:v>
      </x:c>
      <x:c r="H276" s="2" t="n">
        <x:f>G276-Supuestos!$C$7</x:f>
        <x:v>20</x:v>
      </x:c>
      <x:c r="I276" s="14" t="n">
        <x:f>E1_plantas!J93+G276</x:f>
        <x:v>46118</x:v>
      </x:c>
      <x:c r="J276" s="2" t="n">
        <x:v>67</x:v>
      </x:c>
      <x:c r="K276" s="2" t="n">
        <x:f>IF(AND(G276&gt;Supuestos!$C$8,E276&lt;&gt;"L0"),1,0)</x:f>
        <x:v>0</x:v>
      </x:c>
      <x:c r="L276" s="2" t="str">
        <x:v>posterior_al_dia_14</x:v>
      </x:c>
      <x:c r="M276" s="2" t="str">
        <x:v>simulado_didactico</x:v>
      </x:c>
    </x:row>
    <x:row r="277" ht="19" customHeight="1">
      <x:c r="A277" s="2" t="str">
        <x:v>SIM-E1-BB-L0-R06</x:v>
      </x:c>
      <x:c r="B277" s="2" t="n">
        <x:v>3</x:v>
      </x:c>
      <x:c r="C277" s="2" t="str">
        <x:v>BB</x:v>
      </x:c>
      <x:c r="D277" s="2" t="str">
        <x:v>Brevicoryne brassicae</x:v>
      </x:c>
      <x:c r="E277" s="2" t="str">
        <x:v>L0</x:v>
      </x:c>
      <x:c r="F277" s="2" t="n">
        <x:v>6</x:v>
      </x:c>
      <x:c r="G277" s="2" t="n">
        <x:v>28</x:v>
      </x:c>
      <x:c r="H277" s="2" t="n">
        <x:f>G277-Supuestos!$C$7</x:f>
        <x:v>27</x:v>
      </x:c>
      <x:c r="I277" s="14" t="n">
        <x:f>E1_plantas!J93+G277</x:f>
        <x:v>46125</x:v>
      </x:c>
      <x:c r="J277" s="2" t="n">
        <x:v>318</x:v>
      </x:c>
      <x:c r="K277" s="2" t="n">
        <x:f>IF(AND(G277&gt;Supuestos!$C$8,E277&lt;&gt;"L0"),1,0)</x:f>
        <x:v>0</x:v>
      </x:c>
      <x:c r="L277" s="2" t="str">
        <x:v>posterior_al_dia_14</x:v>
      </x:c>
      <x:c r="M277" s="2" t="str">
        <x:v>simulado_didactico</x:v>
      </x:c>
    </x:row>
    <x:row r="278" ht="19" customHeight="1">
      <x:c r="A278" s="2" t="str">
        <x:v>SIM-E1-BB-L1-R05</x:v>
      </x:c>
      <x:c r="B278" s="2" t="n">
        <x:v>3</x:v>
      </x:c>
      <x:c r="C278" s="2" t="str">
        <x:v>BB</x:v>
      </x:c>
      <x:c r="D278" s="2" t="str">
        <x:v>Brevicoryne brassicae</x:v>
      </x:c>
      <x:c r="E278" s="2" t="str">
        <x:v>L1</x:v>
      </x:c>
      <x:c r="F278" s="2" t="n">
        <x:v>5</x:v>
      </x:c>
      <x:c r="G278" s="2" t="n">
        <x:v>14</x:v>
      </x:c>
      <x:c r="H278" s="2" t="n">
        <x:f>G278-Supuestos!$C$7</x:f>
        <x:v>13</x:v>
      </x:c>
      <x:c r="I278" s="14" t="n">
        <x:f>E1_plantas!J94+G278</x:f>
        <x:v>46111</x:v>
      </x:c>
      <x:c r="J278" s="2" t="n">
        <x:v>15</x:v>
      </x:c>
      <x:c r="K278" s="2" t="n">
        <x:f>IF(AND(G278&gt;Supuestos!$C$8,E278&lt;&gt;"L0"),1,0)</x:f>
        <x:v>0</x:v>
      </x:c>
      <x:c r="L278" s="2" t="str">
        <x:v>antes_de_reinoculacion</x:v>
      </x:c>
      <x:c r="M278" s="2" t="str">
        <x:v>simulado_didactico</x:v>
      </x:c>
    </x:row>
    <x:row r="279" ht="19" customHeight="1">
      <x:c r="A279" s="2" t="str">
        <x:v>SIM-E1-BB-L1-R05</x:v>
      </x:c>
      <x:c r="B279" s="2" t="n">
        <x:v>3</x:v>
      </x:c>
      <x:c r="C279" s="2" t="str">
        <x:v>BB</x:v>
      </x:c>
      <x:c r="D279" s="2" t="str">
        <x:v>Brevicoryne brassicae</x:v>
      </x:c>
      <x:c r="E279" s="2" t="str">
        <x:v>L1</x:v>
      </x:c>
      <x:c r="F279" s="2" t="n">
        <x:v>5</x:v>
      </x:c>
      <x:c r="G279" s="2" t="n">
        <x:v>21</x:v>
      </x:c>
      <x:c r="H279" s="2" t="n">
        <x:f>G279-Supuestos!$C$7</x:f>
        <x:v>20</x:v>
      </x:c>
      <x:c r="I279" s="14" t="n">
        <x:f>E1_plantas!J94+G279</x:f>
        <x:v>46118</x:v>
      </x:c>
      <x:c r="J279" s="2" t="n">
        <x:v>77</x:v>
      </x:c>
      <x:c r="K279" s="2" t="n">
        <x:f>IF(AND(G279&gt;Supuestos!$C$8,E279&lt;&gt;"L0"),1,0)</x:f>
        <x:v>1</x:v>
      </x:c>
      <x:c r="L279" s="2" t="str">
        <x:v>posterior_al_dia_14</x:v>
      </x:c>
      <x:c r="M279" s="2" t="str">
        <x:v>simulado_didactico</x:v>
      </x:c>
    </x:row>
    <x:row r="280" ht="19" customHeight="1">
      <x:c r="A280" s="2" t="str">
        <x:v>SIM-E1-BB-L1-R05</x:v>
      </x:c>
      <x:c r="B280" s="2" t="n">
        <x:v>3</x:v>
      </x:c>
      <x:c r="C280" s="2" t="str">
        <x:v>BB</x:v>
      </x:c>
      <x:c r="D280" s="2" t="str">
        <x:v>Brevicoryne brassicae</x:v>
      </x:c>
      <x:c r="E280" s="2" t="str">
        <x:v>L1</x:v>
      </x:c>
      <x:c r="F280" s="2" t="n">
        <x:v>5</x:v>
      </x:c>
      <x:c r="G280" s="2" t="n">
        <x:v>28</x:v>
      </x:c>
      <x:c r="H280" s="2" t="n">
        <x:f>G280-Supuestos!$C$7</x:f>
        <x:v>27</x:v>
      </x:c>
      <x:c r="I280" s="14" t="n">
        <x:f>E1_plantas!J94+G280</x:f>
        <x:v>46125</x:v>
      </x:c>
      <x:c r="J280" s="2" t="n">
        <x:v>222</x:v>
      </x:c>
      <x:c r="K280" s="2" t="n">
        <x:f>IF(AND(G280&gt;Supuestos!$C$8,E280&lt;&gt;"L0"),1,0)</x:f>
        <x:v>1</x:v>
      </x:c>
      <x:c r="L280" s="2" t="str">
        <x:v>posterior_al_dia_14</x:v>
      </x:c>
      <x:c r="M280" s="2" t="str">
        <x:v>simulado_didactico</x:v>
      </x:c>
    </x:row>
    <x:row r="281" ht="19" customHeight="1">
      <x:c r="A281" s="2" t="str">
        <x:v>SIM-E1-BB-L1-R06</x:v>
      </x:c>
      <x:c r="B281" s="2" t="n">
        <x:v>3</x:v>
      </x:c>
      <x:c r="C281" s="2" t="str">
        <x:v>BB</x:v>
      </x:c>
      <x:c r="D281" s="2" t="str">
        <x:v>Brevicoryne brassicae</x:v>
      </x:c>
      <x:c r="E281" s="2" t="str">
        <x:v>L1</x:v>
      </x:c>
      <x:c r="F281" s="2" t="n">
        <x:v>6</x:v>
      </x:c>
      <x:c r="G281" s="2" t="n">
        <x:v>14</x:v>
      </x:c>
      <x:c r="H281" s="2" t="n">
        <x:f>G281-Supuestos!$C$7</x:f>
        <x:v>13</x:v>
      </x:c>
      <x:c r="I281" s="14" t="n">
        <x:f>E1_plantas!J95+G281</x:f>
        <x:v>46111</x:v>
      </x:c>
      <x:c r="J281" s="2" t="n">
        <x:v>14</x:v>
      </x:c>
      <x:c r="K281" s="2" t="n">
        <x:f>IF(AND(G281&gt;Supuestos!$C$8,E281&lt;&gt;"L0"),1,0)</x:f>
        <x:v>0</x:v>
      </x:c>
      <x:c r="L281" s="2" t="str">
        <x:v>antes_de_reinoculacion</x:v>
      </x:c>
      <x:c r="M281" s="2" t="str">
        <x:v>simulado_didactico</x:v>
      </x:c>
    </x:row>
    <x:row r="282" ht="19" customHeight="1">
      <x:c r="A282" s="2" t="str">
        <x:v>SIM-E1-BB-L1-R06</x:v>
      </x:c>
      <x:c r="B282" s="2" t="n">
        <x:v>3</x:v>
      </x:c>
      <x:c r="C282" s="2" t="str">
        <x:v>BB</x:v>
      </x:c>
      <x:c r="D282" s="2" t="str">
        <x:v>Brevicoryne brassicae</x:v>
      </x:c>
      <x:c r="E282" s="2" t="str">
        <x:v>L1</x:v>
      </x:c>
      <x:c r="F282" s="2" t="n">
        <x:v>6</x:v>
      </x:c>
      <x:c r="G282" s="2" t="n">
        <x:v>21</x:v>
      </x:c>
      <x:c r="H282" s="2" t="n">
        <x:f>G282-Supuestos!$C$7</x:f>
        <x:v>20</x:v>
      </x:c>
      <x:c r="I282" s="14" t="n">
        <x:f>E1_plantas!J95+G282</x:f>
        <x:v>46118</x:v>
      </x:c>
      <x:c r="J282" s="2" t="n">
        <x:v>120</x:v>
      </x:c>
      <x:c r="K282" s="2" t="n">
        <x:f>IF(AND(G282&gt;Supuestos!$C$8,E282&lt;&gt;"L0"),1,0)</x:f>
        <x:v>1</x:v>
      </x:c>
      <x:c r="L282" s="2" t="str">
        <x:v>posterior_al_dia_14</x:v>
      </x:c>
      <x:c r="M282" s="2" t="str">
        <x:v>simulado_didactico</x:v>
      </x:c>
    </x:row>
    <x:row r="283" ht="19" customHeight="1">
      <x:c r="A283" s="2" t="str">
        <x:v>SIM-E1-BB-L1-R06</x:v>
      </x:c>
      <x:c r="B283" s="2" t="n">
        <x:v>3</x:v>
      </x:c>
      <x:c r="C283" s="2" t="str">
        <x:v>BB</x:v>
      </x:c>
      <x:c r="D283" s="2" t="str">
        <x:v>Brevicoryne brassicae</x:v>
      </x:c>
      <x:c r="E283" s="2" t="str">
        <x:v>L1</x:v>
      </x:c>
      <x:c r="F283" s="2" t="n">
        <x:v>6</x:v>
      </x:c>
      <x:c r="G283" s="2" t="n">
        <x:v>28</x:v>
      </x:c>
      <x:c r="H283" s="2" t="n">
        <x:f>G283-Supuestos!$C$7</x:f>
        <x:v>27</x:v>
      </x:c>
      <x:c r="I283" s="14" t="n">
        <x:f>E1_plantas!J95+G283</x:f>
        <x:v>46125</x:v>
      </x:c>
      <x:c r="J283" s="2" t="n">
        <x:v>371</x:v>
      </x:c>
      <x:c r="K283" s="2" t="n">
        <x:f>IF(AND(G283&gt;Supuestos!$C$8,E283&lt;&gt;"L0"),1,0)</x:f>
        <x:v>1</x:v>
      </x:c>
      <x:c r="L283" s="2" t="str">
        <x:v>posterior_al_dia_14</x:v>
      </x:c>
      <x:c r="M283" s="2" t="str">
        <x:v>simulado_didactico</x:v>
      </x:c>
    </x:row>
    <x:row r="284" ht="19" customHeight="1">
      <x:c r="A284" s="2" t="str">
        <x:v>SIM-E1-BB-L2-R05</x:v>
      </x:c>
      <x:c r="B284" s="2" t="n">
        <x:v>3</x:v>
      </x:c>
      <x:c r="C284" s="2" t="str">
        <x:v>BB</x:v>
      </x:c>
      <x:c r="D284" s="2" t="str">
        <x:v>Brevicoryne brassicae</x:v>
      </x:c>
      <x:c r="E284" s="2" t="str">
        <x:v>L2</x:v>
      </x:c>
      <x:c r="F284" s="2" t="n">
        <x:v>5</x:v>
      </x:c>
      <x:c r="G284" s="2" t="n">
        <x:v>14</x:v>
      </x:c>
      <x:c r="H284" s="2" t="n">
        <x:f>G284-Supuestos!$C$7</x:f>
        <x:v>13</x:v>
      </x:c>
      <x:c r="I284" s="14" t="n">
        <x:f>E1_plantas!J96+G284</x:f>
        <x:v>46111</x:v>
      </x:c>
      <x:c r="J284" s="2" t="n">
        <x:v>15</x:v>
      </x:c>
      <x:c r="K284" s="2" t="n">
        <x:f>IF(AND(G284&gt;Supuestos!$C$8,E284&lt;&gt;"L0"),1,0)</x:f>
        <x:v>0</x:v>
      </x:c>
      <x:c r="L284" s="2" t="str">
        <x:v>antes_de_reinoculacion</x:v>
      </x:c>
      <x:c r="M284" s="2" t="str">
        <x:v>simulado_didactico</x:v>
      </x:c>
    </x:row>
    <x:row r="285" ht="19" customHeight="1">
      <x:c r="A285" s="2" t="str">
        <x:v>SIM-E1-BB-L2-R05</x:v>
      </x:c>
      <x:c r="B285" s="2" t="n">
        <x:v>3</x:v>
      </x:c>
      <x:c r="C285" s="2" t="str">
        <x:v>BB</x:v>
      </x:c>
      <x:c r="D285" s="2" t="str">
        <x:v>Brevicoryne brassicae</x:v>
      </x:c>
      <x:c r="E285" s="2" t="str">
        <x:v>L2</x:v>
      </x:c>
      <x:c r="F285" s="2" t="n">
        <x:v>5</x:v>
      </x:c>
      <x:c r="G285" s="2" t="n">
        <x:v>21</x:v>
      </x:c>
      <x:c r="H285" s="2" t="n">
        <x:f>G285-Supuestos!$C$7</x:f>
        <x:v>20</x:v>
      </x:c>
      <x:c r="I285" s="14" t="n">
        <x:f>E1_plantas!J96+G285</x:f>
        <x:v>46118</x:v>
      </x:c>
      <x:c r="J285" s="2" t="n">
        <x:v>57</x:v>
      </x:c>
      <x:c r="K285" s="2" t="n">
        <x:f>IF(AND(G285&gt;Supuestos!$C$8,E285&lt;&gt;"L0"),1,0)</x:f>
        <x:v>1</x:v>
      </x:c>
      <x:c r="L285" s="2" t="str">
        <x:v>posterior_al_dia_14</x:v>
      </x:c>
      <x:c r="M285" s="2" t="str">
        <x:v>simulado_didactico</x:v>
      </x:c>
    </x:row>
    <x:row r="286" ht="19" customHeight="1">
      <x:c r="A286" s="2" t="str">
        <x:v>SIM-E1-BB-L2-R05</x:v>
      </x:c>
      <x:c r="B286" s="2" t="n">
        <x:v>3</x:v>
      </x:c>
      <x:c r="C286" s="2" t="str">
        <x:v>BB</x:v>
      </x:c>
      <x:c r="D286" s="2" t="str">
        <x:v>Brevicoryne brassicae</x:v>
      </x:c>
      <x:c r="E286" s="2" t="str">
        <x:v>L2</x:v>
      </x:c>
      <x:c r="F286" s="2" t="n">
        <x:v>5</x:v>
      </x:c>
      <x:c r="G286" s="2" t="n">
        <x:v>28</x:v>
      </x:c>
      <x:c r="H286" s="2" t="n">
        <x:f>G286-Supuestos!$C$7</x:f>
        <x:v>27</x:v>
      </x:c>
      <x:c r="I286" s="14" t="n">
        <x:f>E1_plantas!J96+G286</x:f>
        <x:v>46125</x:v>
      </x:c>
      <x:c r="J286" s="2" t="n">
        <x:v>149</x:v>
      </x:c>
      <x:c r="K286" s="2" t="n">
        <x:f>IF(AND(G286&gt;Supuestos!$C$8,E286&lt;&gt;"L0"),1,0)</x:f>
        <x:v>1</x:v>
      </x:c>
      <x:c r="L286" s="2" t="str">
        <x:v>posterior_al_dia_14</x:v>
      </x:c>
      <x:c r="M286" s="2" t="str">
        <x:v>simulado_didactico</x:v>
      </x:c>
    </x:row>
    <x:row r="287" ht="19" customHeight="1">
      <x:c r="A287" s="2" t="str">
        <x:v>SIM-E1-BB-L2-R06</x:v>
      </x:c>
      <x:c r="B287" s="2" t="n">
        <x:v>3</x:v>
      </x:c>
      <x:c r="C287" s="2" t="str">
        <x:v>BB</x:v>
      </x:c>
      <x:c r="D287" s="2" t="str">
        <x:v>Brevicoryne brassicae</x:v>
      </x:c>
      <x:c r="E287" s="2" t="str">
        <x:v>L2</x:v>
      </x:c>
      <x:c r="F287" s="2" t="n">
        <x:v>6</x:v>
      </x:c>
      <x:c r="G287" s="2" t="n">
        <x:v>14</x:v>
      </x:c>
      <x:c r="H287" s="2" t="n">
        <x:f>G287-Supuestos!$C$7</x:f>
        <x:v>13</x:v>
      </x:c>
      <x:c r="I287" s="14" t="n">
        <x:f>E1_plantas!J97+G287</x:f>
        <x:v>46111</x:v>
      </x:c>
      <x:c r="J287" s="2" t="n">
        <x:v>16</x:v>
      </x:c>
      <x:c r="K287" s="2" t="n">
        <x:f>IF(AND(G287&gt;Supuestos!$C$8,E287&lt;&gt;"L0"),1,0)</x:f>
        <x:v>0</x:v>
      </x:c>
      <x:c r="L287" s="2" t="str">
        <x:v>antes_de_reinoculacion</x:v>
      </x:c>
      <x:c r="M287" s="2" t="str">
        <x:v>simulado_didactico</x:v>
      </x:c>
    </x:row>
    <x:row r="288" ht="19" customHeight="1">
      <x:c r="A288" s="2" t="str">
        <x:v>SIM-E1-BB-L2-R06</x:v>
      </x:c>
      <x:c r="B288" s="2" t="n">
        <x:v>3</x:v>
      </x:c>
      <x:c r="C288" s="2" t="str">
        <x:v>BB</x:v>
      </x:c>
      <x:c r="D288" s="2" t="str">
        <x:v>Brevicoryne brassicae</x:v>
      </x:c>
      <x:c r="E288" s="2" t="str">
        <x:v>L2</x:v>
      </x:c>
      <x:c r="F288" s="2" t="n">
        <x:v>6</x:v>
      </x:c>
      <x:c r="G288" s="2" t="n">
        <x:v>21</x:v>
      </x:c>
      <x:c r="H288" s="2" t="n">
        <x:f>G288-Supuestos!$C$7</x:f>
        <x:v>20</x:v>
      </x:c>
      <x:c r="I288" s="14" t="n">
        <x:f>E1_plantas!J97+G288</x:f>
        <x:v>46118</x:v>
      </x:c>
      <x:c r="J288" s="2" t="n">
        <x:v>67</x:v>
      </x:c>
      <x:c r="K288" s="2" t="n">
        <x:f>IF(AND(G288&gt;Supuestos!$C$8,E288&lt;&gt;"L0"),1,0)</x:f>
        <x:v>1</x:v>
      </x:c>
      <x:c r="L288" s="2" t="str">
        <x:v>posterior_al_dia_14</x:v>
      </x:c>
      <x:c r="M288" s="2" t="str">
        <x:v>simulado_didactico</x:v>
      </x:c>
    </x:row>
    <x:row r="289" ht="19" customHeight="1">
      <x:c r="A289" s="2" t="str">
        <x:v>SIM-E1-BB-L2-R06</x:v>
      </x:c>
      <x:c r="B289" s="2" t="n">
        <x:v>3</x:v>
      </x:c>
      <x:c r="C289" s="2" t="str">
        <x:v>BB</x:v>
      </x:c>
      <x:c r="D289" s="2" t="str">
        <x:v>Brevicoryne brassicae</x:v>
      </x:c>
      <x:c r="E289" s="2" t="str">
        <x:v>L2</x:v>
      </x:c>
      <x:c r="F289" s="2" t="n">
        <x:v>6</x:v>
      </x:c>
      <x:c r="G289" s="2" t="n">
        <x:v>28</x:v>
      </x:c>
      <x:c r="H289" s="2" t="n">
        <x:f>G289-Supuestos!$C$7</x:f>
        <x:v>27</x:v>
      </x:c>
      <x:c r="I289" s="14" t="n">
        <x:f>E1_plantas!J97+G289</x:f>
        <x:v>46125</x:v>
      </x:c>
      <x:c r="J289" s="2" t="n">
        <x:v>218</x:v>
      </x:c>
      <x:c r="K289" s="2" t="n">
        <x:f>IF(AND(G289&gt;Supuestos!$C$8,E289&lt;&gt;"L0"),1,0)</x:f>
        <x:v>1</x:v>
      </x:c>
      <x:c r="L289" s="2" t="str">
        <x:v>posterior_al_dia_14</x:v>
      </x:c>
      <x:c r="M289" s="2" t="str">
        <x:v>simulado_didactico</x:v>
      </x:c>
    </x:row>
    <x:row r="290" ht="19" customHeight="1">
      <x:c r="A290" s="2" t="str">
        <x:v>SIM-E1-BB-L3-R05</x:v>
      </x:c>
      <x:c r="B290" s="2" t="n">
        <x:v>3</x:v>
      </x:c>
      <x:c r="C290" s="2" t="str">
        <x:v>BB</x:v>
      </x:c>
      <x:c r="D290" s="2" t="str">
        <x:v>Brevicoryne brassicae</x:v>
      </x:c>
      <x:c r="E290" s="2" t="str">
        <x:v>L3</x:v>
      </x:c>
      <x:c r="F290" s="2" t="n">
        <x:v>5</x:v>
      </x:c>
      <x:c r="G290" s="2" t="n">
        <x:v>14</x:v>
      </x:c>
      <x:c r="H290" s="2" t="n">
        <x:f>G290-Supuestos!$C$7</x:f>
        <x:v>13</x:v>
      </x:c>
      <x:c r="I290" s="14" t="n">
        <x:f>E1_plantas!J98+G290</x:f>
        <x:v>46111</x:v>
      </x:c>
      <x:c r="J290" s="2" t="n">
        <x:v>15</x:v>
      </x:c>
      <x:c r="K290" s="2" t="n">
        <x:f>IF(AND(G290&gt;Supuestos!$C$8,E290&lt;&gt;"L0"),1,0)</x:f>
        <x:v>0</x:v>
      </x:c>
      <x:c r="L290" s="2" t="str">
        <x:v>antes_de_reinoculacion</x:v>
      </x:c>
      <x:c r="M290" s="2" t="str">
        <x:v>simulado_didactico</x:v>
      </x:c>
    </x:row>
    <x:row r="291" ht="19" customHeight="1">
      <x:c r="A291" s="2" t="str">
        <x:v>SIM-E1-BB-L3-R05</x:v>
      </x:c>
      <x:c r="B291" s="2" t="n">
        <x:v>3</x:v>
      </x:c>
      <x:c r="C291" s="2" t="str">
        <x:v>BB</x:v>
      </x:c>
      <x:c r="D291" s="2" t="str">
        <x:v>Brevicoryne brassicae</x:v>
      </x:c>
      <x:c r="E291" s="2" t="str">
        <x:v>L3</x:v>
      </x:c>
      <x:c r="F291" s="2" t="n">
        <x:v>5</x:v>
      </x:c>
      <x:c r="G291" s="2" t="n">
        <x:v>21</x:v>
      </x:c>
      <x:c r="H291" s="2" t="n">
        <x:f>G291-Supuestos!$C$7</x:f>
        <x:v>20</x:v>
      </x:c>
      <x:c r="I291" s="14" t="n">
        <x:f>E1_plantas!J98+G291</x:f>
        <x:v>46118</x:v>
      </x:c>
      <x:c r="J291" s="2" t="n">
        <x:v>108</x:v>
      </x:c>
      <x:c r="K291" s="2" t="n">
        <x:f>IF(AND(G291&gt;Supuestos!$C$8,E291&lt;&gt;"L0"),1,0)</x:f>
        <x:v>1</x:v>
      </x:c>
      <x:c r="L291" s="2" t="str">
        <x:v>posterior_al_dia_14</x:v>
      </x:c>
      <x:c r="M291" s="2" t="str">
        <x:v>simulado_didactico</x:v>
      </x:c>
    </x:row>
    <x:row r="292" ht="19" customHeight="1">
      <x:c r="A292" s="2" t="str">
        <x:v>SIM-E1-BB-L3-R05</x:v>
      </x:c>
      <x:c r="B292" s="2" t="n">
        <x:v>3</x:v>
      </x:c>
      <x:c r="C292" s="2" t="str">
        <x:v>BB</x:v>
      </x:c>
      <x:c r="D292" s="2" t="str">
        <x:v>Brevicoryne brassicae</x:v>
      </x:c>
      <x:c r="E292" s="2" t="str">
        <x:v>L3</x:v>
      </x:c>
      <x:c r="F292" s="2" t="n">
        <x:v>5</x:v>
      </x:c>
      <x:c r="G292" s="2" t="n">
        <x:v>28</x:v>
      </x:c>
      <x:c r="H292" s="2" t="n">
        <x:f>G292-Supuestos!$C$7</x:f>
        <x:v>27</x:v>
      </x:c>
      <x:c r="I292" s="14" t="n">
        <x:f>E1_plantas!J98+G292</x:f>
        <x:v>46125</x:v>
      </x:c>
      <x:c r="J292" s="2" t="n">
        <x:v>167</x:v>
      </x:c>
      <x:c r="K292" s="2" t="n">
        <x:f>IF(AND(G292&gt;Supuestos!$C$8,E292&lt;&gt;"L0"),1,0)</x:f>
        <x:v>1</x:v>
      </x:c>
      <x:c r="L292" s="2" t="str">
        <x:v>posterior_al_dia_14</x:v>
      </x:c>
      <x:c r="M292" s="2" t="str">
        <x:v>simulado_didactico</x:v>
      </x:c>
    </x:row>
    <x:row r="293" ht="19" customHeight="1">
      <x:c r="A293" s="2" t="str">
        <x:v>SIM-E1-BB-L3-R06</x:v>
      </x:c>
      <x:c r="B293" s="2" t="n">
        <x:v>3</x:v>
      </x:c>
      <x:c r="C293" s="2" t="str">
        <x:v>BB</x:v>
      </x:c>
      <x:c r="D293" s="2" t="str">
        <x:v>Brevicoryne brassicae</x:v>
      </x:c>
      <x:c r="E293" s="2" t="str">
        <x:v>L3</x:v>
      </x:c>
      <x:c r="F293" s="2" t="n">
        <x:v>6</x:v>
      </x:c>
      <x:c r="G293" s="2" t="n">
        <x:v>14</x:v>
      </x:c>
      <x:c r="H293" s="2" t="n">
        <x:f>G293-Supuestos!$C$7</x:f>
        <x:v>13</x:v>
      </x:c>
      <x:c r="I293" s="14" t="n">
        <x:f>E1_plantas!J99+G293</x:f>
        <x:v>46111</x:v>
      </x:c>
      <x:c r="J293" s="2" t="n">
        <x:v>8</x:v>
      </x:c>
      <x:c r="K293" s="2" t="n">
        <x:f>IF(AND(G293&gt;Supuestos!$C$8,E293&lt;&gt;"L0"),1,0)</x:f>
        <x:v>0</x:v>
      </x:c>
      <x:c r="L293" s="2" t="str">
        <x:v>antes_de_reinoculacion</x:v>
      </x:c>
      <x:c r="M293" s="2" t="str">
        <x:v>simulado_didactico</x:v>
      </x:c>
    </x:row>
    <x:row r="294" ht="19" customHeight="1">
      <x:c r="A294" s="2" t="str">
        <x:v>SIM-E1-BB-L3-R06</x:v>
      </x:c>
      <x:c r="B294" s="2" t="n">
        <x:v>3</x:v>
      </x:c>
      <x:c r="C294" s="2" t="str">
        <x:v>BB</x:v>
      </x:c>
      <x:c r="D294" s="2" t="str">
        <x:v>Brevicoryne brassicae</x:v>
      </x:c>
      <x:c r="E294" s="2" t="str">
        <x:v>L3</x:v>
      </x:c>
      <x:c r="F294" s="2" t="n">
        <x:v>6</x:v>
      </x:c>
      <x:c r="G294" s="2" t="n">
        <x:v>21</x:v>
      </x:c>
      <x:c r="H294" s="2" t="n">
        <x:f>G294-Supuestos!$C$7</x:f>
        <x:v>20</x:v>
      </x:c>
      <x:c r="I294" s="14" t="n">
        <x:f>E1_plantas!J99+G294</x:f>
        <x:v>46118</x:v>
      </x:c>
      <x:c r="J294" s="2" t="n">
        <x:v>76</x:v>
      </x:c>
      <x:c r="K294" s="2" t="n">
        <x:f>IF(AND(G294&gt;Supuestos!$C$8,E294&lt;&gt;"L0"),1,0)</x:f>
        <x:v>1</x:v>
      </x:c>
      <x:c r="L294" s="2" t="str">
        <x:v>posterior_al_dia_14</x:v>
      </x:c>
      <x:c r="M294" s="2" t="str">
        <x:v>simulado_didactico</x:v>
      </x:c>
    </x:row>
    <x:row r="295" ht="19" customHeight="1">
      <x:c r="A295" s="2" t="str">
        <x:v>SIM-E1-BB-L3-R06</x:v>
      </x:c>
      <x:c r="B295" s="2" t="n">
        <x:v>3</x:v>
      </x:c>
      <x:c r="C295" s="2" t="str">
        <x:v>BB</x:v>
      </x:c>
      <x:c r="D295" s="2" t="str">
        <x:v>Brevicoryne brassicae</x:v>
      </x:c>
      <x:c r="E295" s="2" t="str">
        <x:v>L3</x:v>
      </x:c>
      <x:c r="F295" s="2" t="n">
        <x:v>6</x:v>
      </x:c>
      <x:c r="G295" s="2" t="n">
        <x:v>28</x:v>
      </x:c>
      <x:c r="H295" s="2" t="n">
        <x:f>G295-Supuestos!$C$7</x:f>
        <x:v>27</x:v>
      </x:c>
      <x:c r="I295" s="14" t="n">
        <x:f>E1_plantas!J99+G295</x:f>
        <x:v>46125</x:v>
      </x:c>
      <x:c r="J295" s="2" t="n">
        <x:v>122</x:v>
      </x:c>
      <x:c r="K295" s="2" t="n">
        <x:f>IF(AND(G295&gt;Supuestos!$C$8,E295&lt;&gt;"L0"),1,0)</x:f>
        <x:v>1</x:v>
      </x:c>
      <x:c r="L295" s="2" t="str">
        <x:v>posterior_al_dia_14</x:v>
      </x:c>
      <x:c r="M295" s="2" t="str">
        <x:v>simulado_didactico</x:v>
      </x:c>
    </x:row>
    <x:row r="296" ht="19" customHeight="1">
      <x:c r="A296" s="2" t="str">
        <x:v>SIM-E1-BB-L5-R05</x:v>
      </x:c>
      <x:c r="B296" s="2" t="n">
        <x:v>3</x:v>
      </x:c>
      <x:c r="C296" s="2" t="str">
        <x:v>BB</x:v>
      </x:c>
      <x:c r="D296" s="2" t="str">
        <x:v>Brevicoryne brassicae</x:v>
      </x:c>
      <x:c r="E296" s="2" t="str">
        <x:v>L5</x:v>
      </x:c>
      <x:c r="F296" s="2" t="n">
        <x:v>5</x:v>
      </x:c>
      <x:c r="G296" s="2" t="n">
        <x:v>14</x:v>
      </x:c>
      <x:c r="H296" s="2" t="n">
        <x:f>G296-Supuestos!$C$7</x:f>
        <x:v>13</x:v>
      </x:c>
      <x:c r="I296" s="14" t="n">
        <x:f>E1_plantas!J100+G296</x:f>
        <x:v>46111</x:v>
      </x:c>
      <x:c r="J296" s="2" t="n">
        <x:v>9</x:v>
      </x:c>
      <x:c r="K296" s="2" t="n">
        <x:f>IF(AND(G296&gt;Supuestos!$C$8,E296&lt;&gt;"L0"),1,0)</x:f>
        <x:v>0</x:v>
      </x:c>
      <x:c r="L296" s="2" t="str">
        <x:v>antes_de_reinoculacion</x:v>
      </x:c>
      <x:c r="M296" s="2" t="str">
        <x:v>simulado_didactico</x:v>
      </x:c>
    </x:row>
    <x:row r="297" ht="19" customHeight="1">
      <x:c r="A297" s="2" t="str">
        <x:v>SIM-E1-BB-L5-R05</x:v>
      </x:c>
      <x:c r="B297" s="2" t="n">
        <x:v>3</x:v>
      </x:c>
      <x:c r="C297" s="2" t="str">
        <x:v>BB</x:v>
      </x:c>
      <x:c r="D297" s="2" t="str">
        <x:v>Brevicoryne brassicae</x:v>
      </x:c>
      <x:c r="E297" s="2" t="str">
        <x:v>L5</x:v>
      </x:c>
      <x:c r="F297" s="2" t="n">
        <x:v>5</x:v>
      </x:c>
      <x:c r="G297" s="2" t="n">
        <x:v>21</x:v>
      </x:c>
      <x:c r="H297" s="2" t="n">
        <x:f>G297-Supuestos!$C$7</x:f>
        <x:v>20</x:v>
      </x:c>
      <x:c r="I297" s="14" t="n">
        <x:f>E1_plantas!J100+G297</x:f>
        <x:v>46118</x:v>
      </x:c>
      <x:c r="J297" s="2" t="n">
        <x:v>37</x:v>
      </x:c>
      <x:c r="K297" s="2" t="n">
        <x:f>IF(AND(G297&gt;Supuestos!$C$8,E297&lt;&gt;"L0"),1,0)</x:f>
        <x:v>1</x:v>
      </x:c>
      <x:c r="L297" s="2" t="str">
        <x:v>posterior_al_dia_14</x:v>
      </x:c>
      <x:c r="M297" s="2" t="str">
        <x:v>simulado_didactico</x:v>
      </x:c>
    </x:row>
    <x:row r="298" ht="19" customHeight="1">
      <x:c r="A298" s="2" t="str">
        <x:v>SIM-E1-BB-L5-R05</x:v>
      </x:c>
      <x:c r="B298" s="2" t="n">
        <x:v>3</x:v>
      </x:c>
      <x:c r="C298" s="2" t="str">
        <x:v>BB</x:v>
      </x:c>
      <x:c r="D298" s="2" t="str">
        <x:v>Brevicoryne brassicae</x:v>
      </x:c>
      <x:c r="E298" s="2" t="str">
        <x:v>L5</x:v>
      </x:c>
      <x:c r="F298" s="2" t="n">
        <x:v>5</x:v>
      </x:c>
      <x:c r="G298" s="2" t="n">
        <x:v>28</x:v>
      </x:c>
      <x:c r="H298" s="2" t="n">
        <x:f>G298-Supuestos!$C$7</x:f>
        <x:v>27</x:v>
      </x:c>
      <x:c r="I298" s="14" t="n">
        <x:f>E1_plantas!J100+G298</x:f>
        <x:v>46125</x:v>
      </x:c>
      <x:c r="J298" s="2" t="n">
        <x:v>90</x:v>
      </x:c>
      <x:c r="K298" s="2" t="n">
        <x:f>IF(AND(G298&gt;Supuestos!$C$8,E298&lt;&gt;"L0"),1,0)</x:f>
        <x:v>1</x:v>
      </x:c>
      <x:c r="L298" s="2" t="str">
        <x:v>posterior_al_dia_14</x:v>
      </x:c>
      <x:c r="M298" s="2" t="str">
        <x:v>simulado_didactico</x:v>
      </x:c>
    </x:row>
    <x:row r="299" ht="19" customHeight="1">
      <x:c r="A299" s="2" t="str">
        <x:v>SIM-E1-BB-L5-R06</x:v>
      </x:c>
      <x:c r="B299" s="2" t="n">
        <x:v>3</x:v>
      </x:c>
      <x:c r="C299" s="2" t="str">
        <x:v>BB</x:v>
      </x:c>
      <x:c r="D299" s="2" t="str">
        <x:v>Brevicoryne brassicae</x:v>
      </x:c>
      <x:c r="E299" s="2" t="str">
        <x:v>L5</x:v>
      </x:c>
      <x:c r="F299" s="2" t="n">
        <x:v>6</x:v>
      </x:c>
      <x:c r="G299" s="2" t="n">
        <x:v>14</x:v>
      </x:c>
      <x:c r="H299" s="2" t="n">
        <x:f>G299-Supuestos!$C$7</x:f>
        <x:v>13</x:v>
      </x:c>
      <x:c r="I299" s="14" t="n">
        <x:f>E1_plantas!J101+G299</x:f>
        <x:v>46111</x:v>
      </x:c>
      <x:c r="J299" s="2" t="n">
        <x:v>13</x:v>
      </x:c>
      <x:c r="K299" s="2" t="n">
        <x:f>IF(AND(G299&gt;Supuestos!$C$8,E299&lt;&gt;"L0"),1,0)</x:f>
        <x:v>0</x:v>
      </x:c>
      <x:c r="L299" s="2" t="str">
        <x:v>antes_de_reinoculacion</x:v>
      </x:c>
      <x:c r="M299" s="2" t="str">
        <x:v>simulado_didactico</x:v>
      </x:c>
    </x:row>
    <x:row r="300" ht="19" customHeight="1">
      <x:c r="A300" s="2" t="str">
        <x:v>SIM-E1-BB-L5-R06</x:v>
      </x:c>
      <x:c r="B300" s="2" t="n">
        <x:v>3</x:v>
      </x:c>
      <x:c r="C300" s="2" t="str">
        <x:v>BB</x:v>
      </x:c>
      <x:c r="D300" s="2" t="str">
        <x:v>Brevicoryne brassicae</x:v>
      </x:c>
      <x:c r="E300" s="2" t="str">
        <x:v>L5</x:v>
      </x:c>
      <x:c r="F300" s="2" t="n">
        <x:v>6</x:v>
      </x:c>
      <x:c r="G300" s="2" t="n">
        <x:v>21</x:v>
      </x:c>
      <x:c r="H300" s="2" t="n">
        <x:f>G300-Supuestos!$C$7</x:f>
        <x:v>20</x:v>
      </x:c>
      <x:c r="I300" s="14" t="n">
        <x:f>E1_plantas!J101+G300</x:f>
        <x:v>46118</x:v>
      </x:c>
      <x:c r="J300" s="2" t="n">
        <x:v>41</x:v>
      </x:c>
      <x:c r="K300" s="2" t="n">
        <x:f>IF(AND(G300&gt;Supuestos!$C$8,E300&lt;&gt;"L0"),1,0)</x:f>
        <x:v>1</x:v>
      </x:c>
      <x:c r="L300" s="2" t="str">
        <x:v>posterior_al_dia_14</x:v>
      </x:c>
      <x:c r="M300" s="2" t="str">
        <x:v>simulado_didactico</x:v>
      </x:c>
    </x:row>
    <x:row r="301" ht="19" customHeight="1">
      <x:c r="A301" s="2" t="str">
        <x:v>SIM-E1-BB-L5-R06</x:v>
      </x:c>
      <x:c r="B301" s="2" t="n">
        <x:v>3</x:v>
      </x:c>
      <x:c r="C301" s="2" t="str">
        <x:v>BB</x:v>
      </x:c>
      <x:c r="D301" s="2" t="str">
        <x:v>Brevicoryne brassicae</x:v>
      </x:c>
      <x:c r="E301" s="2" t="str">
        <x:v>L5</x:v>
      </x:c>
      <x:c r="F301" s="2" t="n">
        <x:v>6</x:v>
      </x:c>
      <x:c r="G301" s="2" t="n">
        <x:v>28</x:v>
      </x:c>
      <x:c r="H301" s="2" t="n">
        <x:f>G301-Supuestos!$C$7</x:f>
        <x:v>27</x:v>
      </x:c>
      <x:c r="I301" s="14" t="n">
        <x:f>E1_plantas!J101+G301</x:f>
        <x:v>46125</x:v>
      </x:c>
      <x:c r="J301" s="2" t="n">
        <x:v>112</x:v>
      </x:c>
      <x:c r="K301" s="2" t="n">
        <x:f>IF(AND(G301&gt;Supuestos!$C$8,E301&lt;&gt;"L0"),1,0)</x:f>
        <x:v>1</x:v>
      </x:c>
      <x:c r="L301" s="2" t="str">
        <x:v>posterior_al_dia_14</x:v>
      </x:c>
      <x:c r="M301" s="2" t="str">
        <x:v>simulado_didactico</x:v>
      </x:c>
    </x:row>
    <x:row r="302" ht="19" customHeight="1">
      <x:c r="A302" s="2" t="str">
        <x:v>SIM-E1-BB-L6-R05</x:v>
      </x:c>
      <x:c r="B302" s="2" t="n">
        <x:v>3</x:v>
      </x:c>
      <x:c r="C302" s="2" t="str">
        <x:v>BB</x:v>
      </x:c>
      <x:c r="D302" s="2" t="str">
        <x:v>Brevicoryne brassicae</x:v>
      </x:c>
      <x:c r="E302" s="2" t="str">
        <x:v>L6</x:v>
      </x:c>
      <x:c r="F302" s="2" t="n">
        <x:v>5</x:v>
      </x:c>
      <x:c r="G302" s="2" t="n">
        <x:v>14</x:v>
      </x:c>
      <x:c r="H302" s="2" t="n">
        <x:f>G302-Supuestos!$C$7</x:f>
        <x:v>13</x:v>
      </x:c>
      <x:c r="I302" s="14" t="n">
        <x:f>E1_plantas!J102+G302</x:f>
        <x:v>46111</x:v>
      </x:c>
      <x:c r="J302" s="2" t="n">
        <x:v>28</x:v>
      </x:c>
      <x:c r="K302" s="2" t="n">
        <x:f>IF(AND(G302&gt;Supuestos!$C$8,E302&lt;&gt;"L0"),1,0)</x:f>
        <x:v>0</x:v>
      </x:c>
      <x:c r="L302" s="2" t="str">
        <x:v>antes_de_reinoculacion</x:v>
      </x:c>
      <x:c r="M302" s="2" t="str">
        <x:v>simulado_didactico</x:v>
      </x:c>
    </x:row>
    <x:row r="303" ht="19" customHeight="1">
      <x:c r="A303" s="2" t="str">
        <x:v>SIM-E1-BB-L6-R05</x:v>
      </x:c>
      <x:c r="B303" s="2" t="n">
        <x:v>3</x:v>
      </x:c>
      <x:c r="C303" s="2" t="str">
        <x:v>BB</x:v>
      </x:c>
      <x:c r="D303" s="2" t="str">
        <x:v>Brevicoryne brassicae</x:v>
      </x:c>
      <x:c r="E303" s="2" t="str">
        <x:v>L6</x:v>
      </x:c>
      <x:c r="F303" s="2" t="n">
        <x:v>5</x:v>
      </x:c>
      <x:c r="G303" s="2" t="n">
        <x:v>21</x:v>
      </x:c>
      <x:c r="H303" s="2" t="n">
        <x:f>G303-Supuestos!$C$7</x:f>
        <x:v>20</x:v>
      </x:c>
      <x:c r="I303" s="14" t="n">
        <x:f>E1_plantas!J102+G303</x:f>
        <x:v>46118</x:v>
      </x:c>
      <x:c r="J303" s="2" t="n">
        <x:v>101</x:v>
      </x:c>
      <x:c r="K303" s="2" t="n">
        <x:f>IF(AND(G303&gt;Supuestos!$C$8,E303&lt;&gt;"L0"),1,0)</x:f>
        <x:v>1</x:v>
      </x:c>
      <x:c r="L303" s="2" t="str">
        <x:v>posterior_al_dia_14</x:v>
      </x:c>
      <x:c r="M303" s="2" t="str">
        <x:v>simulado_didactico</x:v>
      </x:c>
    </x:row>
    <x:row r="304" ht="19" customHeight="1">
      <x:c r="A304" s="2" t="str">
        <x:v>SIM-E1-BB-L6-R05</x:v>
      </x:c>
      <x:c r="B304" s="2" t="n">
        <x:v>3</x:v>
      </x:c>
      <x:c r="C304" s="2" t="str">
        <x:v>BB</x:v>
      </x:c>
      <x:c r="D304" s="2" t="str">
        <x:v>Brevicoryne brassicae</x:v>
      </x:c>
      <x:c r="E304" s="2" t="str">
        <x:v>L6</x:v>
      </x:c>
      <x:c r="F304" s="2" t="n">
        <x:v>5</x:v>
      </x:c>
      <x:c r="G304" s="2" t="n">
        <x:v>28</x:v>
      </x:c>
      <x:c r="H304" s="2" t="n">
        <x:f>G304-Supuestos!$C$7</x:f>
        <x:v>27</x:v>
      </x:c>
      <x:c r="I304" s="14" t="n">
        <x:f>E1_plantas!J102+G304</x:f>
        <x:v>46125</x:v>
      </x:c>
      <x:c r="J304" s="2" t="n">
        <x:v>337</x:v>
      </x:c>
      <x:c r="K304" s="2" t="n">
        <x:f>IF(AND(G304&gt;Supuestos!$C$8,E304&lt;&gt;"L0"),1,0)</x:f>
        <x:v>1</x:v>
      </x:c>
      <x:c r="L304" s="2" t="str">
        <x:v>posterior_al_dia_14</x:v>
      </x:c>
      <x:c r="M304" s="2" t="str">
        <x:v>simulado_didactico</x:v>
      </x:c>
    </x:row>
    <x:row r="305" ht="19" customHeight="1">
      <x:c r="A305" s="2" t="str">
        <x:v>SIM-E1-BB-L6-R06</x:v>
      </x:c>
      <x:c r="B305" s="2" t="n">
        <x:v>3</x:v>
      </x:c>
      <x:c r="C305" s="2" t="str">
        <x:v>BB</x:v>
      </x:c>
      <x:c r="D305" s="2" t="str">
        <x:v>Brevicoryne brassicae</x:v>
      </x:c>
      <x:c r="E305" s="2" t="str">
        <x:v>L6</x:v>
      </x:c>
      <x:c r="F305" s="2" t="n">
        <x:v>6</x:v>
      </x:c>
      <x:c r="G305" s="2" t="n">
        <x:v>14</x:v>
      </x:c>
      <x:c r="H305" s="2" t="n">
        <x:f>G305-Supuestos!$C$7</x:f>
        <x:v>13</x:v>
      </x:c>
      <x:c r="I305" s="14" t="n">
        <x:f>E1_plantas!J103+G305</x:f>
        <x:v>46111</x:v>
      </x:c>
      <x:c r="J305" s="2" t="n">
        <x:v>13</x:v>
      </x:c>
      <x:c r="K305" s="2" t="n">
        <x:f>IF(AND(G305&gt;Supuestos!$C$8,E305&lt;&gt;"L0"),1,0)</x:f>
        <x:v>0</x:v>
      </x:c>
      <x:c r="L305" s="2" t="str">
        <x:v>antes_de_reinoculacion</x:v>
      </x:c>
      <x:c r="M305" s="2" t="str">
        <x:v>simulado_didactico</x:v>
      </x:c>
    </x:row>
    <x:row r="306" ht="19" customHeight="1">
      <x:c r="A306" s="2" t="str">
        <x:v>SIM-E1-BB-L6-R06</x:v>
      </x:c>
      <x:c r="B306" s="2" t="n">
        <x:v>3</x:v>
      </x:c>
      <x:c r="C306" s="2" t="str">
        <x:v>BB</x:v>
      </x:c>
      <x:c r="D306" s="2" t="str">
        <x:v>Brevicoryne brassicae</x:v>
      </x:c>
      <x:c r="E306" s="2" t="str">
        <x:v>L6</x:v>
      </x:c>
      <x:c r="F306" s="2" t="n">
        <x:v>6</x:v>
      </x:c>
      <x:c r="G306" s="2" t="n">
        <x:v>21</x:v>
      </x:c>
      <x:c r="H306" s="2" t="n">
        <x:f>G306-Supuestos!$C$7</x:f>
        <x:v>20</x:v>
      </x:c>
      <x:c r="I306" s="14" t="n">
        <x:f>E1_plantas!J103+G306</x:f>
        <x:v>46118</x:v>
      </x:c>
      <x:c r="J306" s="2" t="n">
        <x:v>49</x:v>
      </x:c>
      <x:c r="K306" s="2" t="n">
        <x:f>IF(AND(G306&gt;Supuestos!$C$8,E306&lt;&gt;"L0"),1,0)</x:f>
        <x:v>1</x:v>
      </x:c>
      <x:c r="L306" s="2" t="str">
        <x:v>posterior_al_dia_14</x:v>
      </x:c>
      <x:c r="M306" s="2" t="str">
        <x:v>simulado_didactico</x:v>
      </x:c>
    </x:row>
    <x:row r="307" ht="19" customHeight="1">
      <x:c r="A307" s="2" t="str">
        <x:v>SIM-E1-BB-L6-R06</x:v>
      </x:c>
      <x:c r="B307" s="2" t="n">
        <x:v>3</x:v>
      </x:c>
      <x:c r="C307" s="2" t="str">
        <x:v>BB</x:v>
      </x:c>
      <x:c r="D307" s="2" t="str">
        <x:v>Brevicoryne brassicae</x:v>
      </x:c>
      <x:c r="E307" s="2" t="str">
        <x:v>L6</x:v>
      </x:c>
      <x:c r="F307" s="2" t="n">
        <x:v>6</x:v>
      </x:c>
      <x:c r="G307" s="2" t="n">
        <x:v>28</x:v>
      </x:c>
      <x:c r="H307" s="2" t="n">
        <x:f>G307-Supuestos!$C$7</x:f>
        <x:v>27</x:v>
      </x:c>
      <x:c r="I307" s="14" t="n">
        <x:f>E1_plantas!J103+G307</x:f>
        <x:v>46125</x:v>
      </x:c>
      <x:c r="J307" s="2" t="n">
        <x:v>188</x:v>
      </x:c>
      <x:c r="K307" s="2" t="n">
        <x:f>IF(AND(G307&gt;Supuestos!$C$8,E307&lt;&gt;"L0"),1,0)</x:f>
        <x:v>1</x:v>
      </x:c>
      <x:c r="L307" s="2" t="str">
        <x:v>posterior_al_dia_14</x:v>
      </x:c>
      <x:c r="M307" s="2" t="str">
        <x:v>simulado_didactico</x:v>
      </x:c>
    </x:row>
    <x:row r="308" ht="19" customHeight="1">
      <x:c r="A308" s="2" t="str">
        <x:v>SIM-E1-BB-L7-R05</x:v>
      </x:c>
      <x:c r="B308" s="2" t="n">
        <x:v>3</x:v>
      </x:c>
      <x:c r="C308" s="2" t="str">
        <x:v>BB</x:v>
      </x:c>
      <x:c r="D308" s="2" t="str">
        <x:v>Brevicoryne brassicae</x:v>
      </x:c>
      <x:c r="E308" s="2" t="str">
        <x:v>L7</x:v>
      </x:c>
      <x:c r="F308" s="2" t="n">
        <x:v>5</x:v>
      </x:c>
      <x:c r="G308" s="2" t="n">
        <x:v>14</x:v>
      </x:c>
      <x:c r="H308" s="2" t="n">
        <x:f>G308-Supuestos!$C$7</x:f>
        <x:v>13</x:v>
      </x:c>
      <x:c r="I308" s="14" t="n">
        <x:f>E1_plantas!J104+G308</x:f>
        <x:v>46111</x:v>
      </x:c>
      <x:c r="J308" s="2" t="n">
        <x:v>10</x:v>
      </x:c>
      <x:c r="K308" s="2" t="n">
        <x:f>IF(AND(G308&gt;Supuestos!$C$8,E308&lt;&gt;"L0"),1,0)</x:f>
        <x:v>0</x:v>
      </x:c>
      <x:c r="L308" s="2" t="str">
        <x:v>antes_de_reinoculacion</x:v>
      </x:c>
      <x:c r="M308" s="2" t="str">
        <x:v>simulado_didactico</x:v>
      </x:c>
    </x:row>
    <x:row r="309" ht="19" customHeight="1">
      <x:c r="A309" s="2" t="str">
        <x:v>SIM-E1-BB-L7-R05</x:v>
      </x:c>
      <x:c r="B309" s="2" t="n">
        <x:v>3</x:v>
      </x:c>
      <x:c r="C309" s="2" t="str">
        <x:v>BB</x:v>
      </x:c>
      <x:c r="D309" s="2" t="str">
        <x:v>Brevicoryne brassicae</x:v>
      </x:c>
      <x:c r="E309" s="2" t="str">
        <x:v>L7</x:v>
      </x:c>
      <x:c r="F309" s="2" t="n">
        <x:v>5</x:v>
      </x:c>
      <x:c r="G309" s="2" t="n">
        <x:v>21</x:v>
      </x:c>
      <x:c r="H309" s="2" t="n">
        <x:f>G309-Supuestos!$C$7</x:f>
        <x:v>20</x:v>
      </x:c>
      <x:c r="I309" s="14" t="n">
        <x:f>E1_plantas!J104+G309</x:f>
        <x:v>46118</x:v>
      </x:c>
      <x:c r="J309" s="2" t="n">
        <x:v>51</x:v>
      </x:c>
      <x:c r="K309" s="2" t="n">
        <x:f>IF(AND(G309&gt;Supuestos!$C$8,E309&lt;&gt;"L0"),1,0)</x:f>
        <x:v>1</x:v>
      </x:c>
      <x:c r="L309" s="2" t="str">
        <x:v>posterior_al_dia_14</x:v>
      </x:c>
      <x:c r="M309" s="2" t="str">
        <x:v>simulado_didactico</x:v>
      </x:c>
    </x:row>
    <x:row r="310" ht="19" customHeight="1">
      <x:c r="A310" s="2" t="str">
        <x:v>SIM-E1-BB-L7-R05</x:v>
      </x:c>
      <x:c r="B310" s="2" t="n">
        <x:v>3</x:v>
      </x:c>
      <x:c r="C310" s="2" t="str">
        <x:v>BB</x:v>
      </x:c>
      <x:c r="D310" s="2" t="str">
        <x:v>Brevicoryne brassicae</x:v>
      </x:c>
      <x:c r="E310" s="2" t="str">
        <x:v>L7</x:v>
      </x:c>
      <x:c r="F310" s="2" t="n">
        <x:v>5</x:v>
      </x:c>
      <x:c r="G310" s="2" t="n">
        <x:v>28</x:v>
      </x:c>
      <x:c r="H310" s="2" t="n">
        <x:f>G310-Supuestos!$C$7</x:f>
        <x:v>27</x:v>
      </x:c>
      <x:c r="I310" s="14" t="n">
        <x:f>E1_plantas!J104+G310</x:f>
        <x:v>46125</x:v>
      </x:c>
      <x:c r="J310" s="2" t="n">
        <x:v>113</x:v>
      </x:c>
      <x:c r="K310" s="2" t="n">
        <x:f>IF(AND(G310&gt;Supuestos!$C$8,E310&lt;&gt;"L0"),1,0)</x:f>
        <x:v>1</x:v>
      </x:c>
      <x:c r="L310" s="2" t="str">
        <x:v>posterior_al_dia_14</x:v>
      </x:c>
      <x:c r="M310" s="2" t="str">
        <x:v>simulado_didactico</x:v>
      </x:c>
    </x:row>
    <x:row r="311" ht="19" customHeight="1">
      <x:c r="A311" s="2" t="str">
        <x:v>SIM-E1-BB-L7-R06</x:v>
      </x:c>
      <x:c r="B311" s="2" t="n">
        <x:v>3</x:v>
      </x:c>
      <x:c r="C311" s="2" t="str">
        <x:v>BB</x:v>
      </x:c>
      <x:c r="D311" s="2" t="str">
        <x:v>Brevicoryne brassicae</x:v>
      </x:c>
      <x:c r="E311" s="2" t="str">
        <x:v>L7</x:v>
      </x:c>
      <x:c r="F311" s="2" t="n">
        <x:v>6</x:v>
      </x:c>
      <x:c r="G311" s="2" t="n">
        <x:v>14</x:v>
      </x:c>
      <x:c r="H311" s="2" t="n">
        <x:f>G311-Supuestos!$C$7</x:f>
        <x:v>13</x:v>
      </x:c>
      <x:c r="I311" s="14" t="n">
        <x:f>E1_plantas!J105+G311</x:f>
        <x:v>46111</x:v>
      </x:c>
      <x:c r="J311" s="2" t="n">
        <x:v>3</x:v>
      </x:c>
      <x:c r="K311" s="2" t="n">
        <x:f>IF(AND(G311&gt;Supuestos!$C$8,E311&lt;&gt;"L0"),1,0)</x:f>
        <x:v>0</x:v>
      </x:c>
      <x:c r="L311" s="2" t="str">
        <x:v>antes_de_reinoculacion</x:v>
      </x:c>
      <x:c r="M311" s="2" t="str">
        <x:v>simulado_didactico</x:v>
      </x:c>
    </x:row>
    <x:row r="312" ht="19" customHeight="1">
      <x:c r="A312" s="2" t="str">
        <x:v>SIM-E1-BB-L7-R06</x:v>
      </x:c>
      <x:c r="B312" s="2" t="n">
        <x:v>3</x:v>
      </x:c>
      <x:c r="C312" s="2" t="str">
        <x:v>BB</x:v>
      </x:c>
      <x:c r="D312" s="2" t="str">
        <x:v>Brevicoryne brassicae</x:v>
      </x:c>
      <x:c r="E312" s="2" t="str">
        <x:v>L7</x:v>
      </x:c>
      <x:c r="F312" s="2" t="n">
        <x:v>6</x:v>
      </x:c>
      <x:c r="G312" s="2" t="n">
        <x:v>21</x:v>
      </x:c>
      <x:c r="H312" s="2" t="n">
        <x:f>G312-Supuestos!$C$7</x:f>
        <x:v>20</x:v>
      </x:c>
      <x:c r="I312" s="14" t="n">
        <x:f>E1_plantas!J105+G312</x:f>
        <x:v>46118</x:v>
      </x:c>
      <x:c r="J312" s="2" t="n">
        <x:v>62</x:v>
      </x:c>
      <x:c r="K312" s="2" t="n">
        <x:f>IF(AND(G312&gt;Supuestos!$C$8,E312&lt;&gt;"L0"),1,0)</x:f>
        <x:v>1</x:v>
      </x:c>
      <x:c r="L312" s="2" t="str">
        <x:v>posterior_al_dia_14</x:v>
      </x:c>
      <x:c r="M312" s="2" t="str">
        <x:v>simulado_didactico</x:v>
      </x:c>
    </x:row>
    <x:row r="313" ht="19" customHeight="1">
      <x:c r="A313" s="2" t="str">
        <x:v>SIM-E1-BB-L7-R06</x:v>
      </x:c>
      <x:c r="B313" s="2" t="n">
        <x:v>3</x:v>
      </x:c>
      <x:c r="C313" s="2" t="str">
        <x:v>BB</x:v>
      </x:c>
      <x:c r="D313" s="2" t="str">
        <x:v>Brevicoryne brassicae</x:v>
      </x:c>
      <x:c r="E313" s="2" t="str">
        <x:v>L7</x:v>
      </x:c>
      <x:c r="F313" s="2" t="n">
        <x:v>6</x:v>
      </x:c>
      <x:c r="G313" s="2" t="n">
        <x:v>28</x:v>
      </x:c>
      <x:c r="H313" s="2" t="n">
        <x:f>G313-Supuestos!$C$7</x:f>
        <x:v>27</x:v>
      </x:c>
      <x:c r="I313" s="14" t="n">
        <x:f>E1_plantas!J105+G313</x:f>
        <x:v>46125</x:v>
      </x:c>
      <x:c r="J313" s="2" t="n">
        <x:v>134</x:v>
      </x:c>
      <x:c r="K313" s="2" t="n">
        <x:f>IF(AND(G313&gt;Supuestos!$C$8,E313&lt;&gt;"L0"),1,0)</x:f>
        <x:v>1</x:v>
      </x:c>
      <x:c r="L313" s="2" t="str">
        <x:v>posterior_al_dia_14</x:v>
      </x:c>
      <x:c r="M313" s="2" t="str">
        <x:v>simulado_didactico</x:v>
      </x:c>
    </x:row>
    <x:row r="314" ht="19" customHeight="1">
      <x:c r="A314" s="2" t="str">
        <x:v>SIM-E1-BB-L8-R05</x:v>
      </x:c>
      <x:c r="B314" s="2" t="n">
        <x:v>3</x:v>
      </x:c>
      <x:c r="C314" s="2" t="str">
        <x:v>BB</x:v>
      </x:c>
      <x:c r="D314" s="2" t="str">
        <x:v>Brevicoryne brassicae</x:v>
      </x:c>
      <x:c r="E314" s="2" t="str">
        <x:v>L8</x:v>
      </x:c>
      <x:c r="F314" s="2" t="n">
        <x:v>5</x:v>
      </x:c>
      <x:c r="G314" s="2" t="n">
        <x:v>14</x:v>
      </x:c>
      <x:c r="H314" s="2" t="n">
        <x:f>G314-Supuestos!$C$7</x:f>
        <x:v>13</x:v>
      </x:c>
      <x:c r="I314" s="14" t="n">
        <x:f>E1_plantas!J106+G314</x:f>
        <x:v>46111</x:v>
      </x:c>
      <x:c r="J314" s="2" t="n">
        <x:v>11</x:v>
      </x:c>
      <x:c r="K314" s="2" t="n">
        <x:f>IF(AND(G314&gt;Supuestos!$C$8,E314&lt;&gt;"L0"),1,0)</x:f>
        <x:v>0</x:v>
      </x:c>
      <x:c r="L314" s="2" t="str">
        <x:v>antes_de_reinoculacion</x:v>
      </x:c>
      <x:c r="M314" s="2" t="str">
        <x:v>simulado_didactico</x:v>
      </x:c>
    </x:row>
    <x:row r="315" ht="19" customHeight="1">
      <x:c r="A315" s="2" t="str">
        <x:v>SIM-E1-BB-L8-R05</x:v>
      </x:c>
      <x:c r="B315" s="2" t="n">
        <x:v>3</x:v>
      </x:c>
      <x:c r="C315" s="2" t="str">
        <x:v>BB</x:v>
      </x:c>
      <x:c r="D315" s="2" t="str">
        <x:v>Brevicoryne brassicae</x:v>
      </x:c>
      <x:c r="E315" s="2" t="str">
        <x:v>L8</x:v>
      </x:c>
      <x:c r="F315" s="2" t="n">
        <x:v>5</x:v>
      </x:c>
      <x:c r="G315" s="2" t="n">
        <x:v>21</x:v>
      </x:c>
      <x:c r="H315" s="2" t="n">
        <x:f>G315-Supuestos!$C$7</x:f>
        <x:v>20</x:v>
      </x:c>
      <x:c r="I315" s="14" t="n">
        <x:f>E1_plantas!J106+G315</x:f>
        <x:v>46118</x:v>
      </x:c>
      <x:c r="J315" s="2" t="n">
        <x:v>64</x:v>
      </x:c>
      <x:c r="K315" s="2" t="n">
        <x:f>IF(AND(G315&gt;Supuestos!$C$8,E315&lt;&gt;"L0"),1,0)</x:f>
        <x:v>1</x:v>
      </x:c>
      <x:c r="L315" s="2" t="str">
        <x:v>posterior_al_dia_14</x:v>
      </x:c>
      <x:c r="M315" s="2" t="str">
        <x:v>simulado_didactico</x:v>
      </x:c>
    </x:row>
    <x:row r="316" ht="19" customHeight="1">
      <x:c r="A316" s="2" t="str">
        <x:v>SIM-E1-BB-L8-R05</x:v>
      </x:c>
      <x:c r="B316" s="2" t="n">
        <x:v>3</x:v>
      </x:c>
      <x:c r="C316" s="2" t="str">
        <x:v>BB</x:v>
      </x:c>
      <x:c r="D316" s="2" t="str">
        <x:v>Brevicoryne brassicae</x:v>
      </x:c>
      <x:c r="E316" s="2" t="str">
        <x:v>L8</x:v>
      </x:c>
      <x:c r="F316" s="2" t="n">
        <x:v>5</x:v>
      </x:c>
      <x:c r="G316" s="2" t="n">
        <x:v>28</x:v>
      </x:c>
      <x:c r="H316" s="2" t="n">
        <x:f>G316-Supuestos!$C$7</x:f>
        <x:v>27</x:v>
      </x:c>
      <x:c r="I316" s="14" t="n">
        <x:f>E1_plantas!J106+G316</x:f>
        <x:v>46125</x:v>
      </x:c>
      <x:c r="J316" s="2" t="n">
        <x:v>100</x:v>
      </x:c>
      <x:c r="K316" s="2" t="n">
        <x:f>IF(AND(G316&gt;Supuestos!$C$8,E316&lt;&gt;"L0"),1,0)</x:f>
        <x:v>1</x:v>
      </x:c>
      <x:c r="L316" s="2" t="str">
        <x:v>posterior_al_dia_14</x:v>
      </x:c>
      <x:c r="M316" s="2" t="str">
        <x:v>simulado_didactico</x:v>
      </x:c>
    </x:row>
    <x:row r="317" ht="19" customHeight="1">
      <x:c r="A317" s="2" t="str">
        <x:v>SIM-E1-BB-L8-R06</x:v>
      </x:c>
      <x:c r="B317" s="2" t="n">
        <x:v>3</x:v>
      </x:c>
      <x:c r="C317" s="2" t="str">
        <x:v>BB</x:v>
      </x:c>
      <x:c r="D317" s="2" t="str">
        <x:v>Brevicoryne brassicae</x:v>
      </x:c>
      <x:c r="E317" s="2" t="str">
        <x:v>L8</x:v>
      </x:c>
      <x:c r="F317" s="2" t="n">
        <x:v>6</x:v>
      </x:c>
      <x:c r="G317" s="2" t="n">
        <x:v>14</x:v>
      </x:c>
      <x:c r="H317" s="2" t="n">
        <x:f>G317-Supuestos!$C$7</x:f>
        <x:v>13</x:v>
      </x:c>
      <x:c r="I317" s="14" t="n">
        <x:f>E1_plantas!J107+G317</x:f>
        <x:v>46111</x:v>
      </x:c>
      <x:c r="J317" s="2" t="n">
        <x:v>6</x:v>
      </x:c>
      <x:c r="K317" s="2" t="n">
        <x:f>IF(AND(G317&gt;Supuestos!$C$8,E317&lt;&gt;"L0"),1,0)</x:f>
        <x:v>0</x:v>
      </x:c>
      <x:c r="L317" s="2" t="str">
        <x:v>antes_de_reinoculacion</x:v>
      </x:c>
      <x:c r="M317" s="2" t="str">
        <x:v>simulado_didactico</x:v>
      </x:c>
    </x:row>
    <x:row r="318" ht="19" customHeight="1">
      <x:c r="A318" s="2" t="str">
        <x:v>SIM-E1-BB-L8-R06</x:v>
      </x:c>
      <x:c r="B318" s="2" t="n">
        <x:v>3</x:v>
      </x:c>
      <x:c r="C318" s="2" t="str">
        <x:v>BB</x:v>
      </x:c>
      <x:c r="D318" s="2" t="str">
        <x:v>Brevicoryne brassicae</x:v>
      </x:c>
      <x:c r="E318" s="2" t="str">
        <x:v>L8</x:v>
      </x:c>
      <x:c r="F318" s="2" t="n">
        <x:v>6</x:v>
      </x:c>
      <x:c r="G318" s="2" t="n">
        <x:v>21</x:v>
      </x:c>
      <x:c r="H318" s="2" t="n">
        <x:f>G318-Supuestos!$C$7</x:f>
        <x:v>20</x:v>
      </x:c>
      <x:c r="I318" s="14" t="n">
        <x:f>E1_plantas!J107+G318</x:f>
        <x:v>46118</x:v>
      </x:c>
      <x:c r="J318" s="2" t="n">
        <x:v>29</x:v>
      </x:c>
      <x:c r="K318" s="2" t="n">
        <x:f>IF(AND(G318&gt;Supuestos!$C$8,E318&lt;&gt;"L0"),1,0)</x:f>
        <x:v>1</x:v>
      </x:c>
      <x:c r="L318" s="2" t="str">
        <x:v>posterior_al_dia_14</x:v>
      </x:c>
      <x:c r="M318" s="2" t="str">
        <x:v>simulado_didactico</x:v>
      </x:c>
    </x:row>
    <x:row r="319" ht="19" customHeight="1">
      <x:c r="A319" s="2" t="str">
        <x:v>SIM-E1-BB-L8-R06</x:v>
      </x:c>
      <x:c r="B319" s="2" t="n">
        <x:v>3</x:v>
      </x:c>
      <x:c r="C319" s="2" t="str">
        <x:v>BB</x:v>
      </x:c>
      <x:c r="D319" s="2" t="str">
        <x:v>Brevicoryne brassicae</x:v>
      </x:c>
      <x:c r="E319" s="2" t="str">
        <x:v>L8</x:v>
      </x:c>
      <x:c r="F319" s="2" t="n">
        <x:v>6</x:v>
      </x:c>
      <x:c r="G319" s="2" t="n">
        <x:v>28</x:v>
      </x:c>
      <x:c r="H319" s="2" t="n">
        <x:f>G319-Supuestos!$C$7</x:f>
        <x:v>27</x:v>
      </x:c>
      <x:c r="I319" s="14" t="n">
        <x:f>E1_plantas!J107+G319</x:f>
        <x:v>46125</x:v>
      </x:c>
      <x:c r="J319" s="2" t="n">
        <x:v>98</x:v>
      </x:c>
      <x:c r="K319" s="2" t="n">
        <x:f>IF(AND(G319&gt;Supuestos!$C$8,E319&lt;&gt;"L0"),1,0)</x:f>
        <x:v>1</x:v>
      </x:c>
      <x:c r="L319" s="2" t="str">
        <x:v>posterior_al_dia_14</x:v>
      </x:c>
      <x:c r="M319" s="2" t="str">
        <x:v>simulado_didactico</x:v>
      </x:c>
    </x:row>
    <x:row r="320" ht="19" customHeight="1">
      <x:c r="A320" s="2" t="str">
        <x:v>SIM-E1-BB-L9-R05</x:v>
      </x:c>
      <x:c r="B320" s="2" t="n">
        <x:v>3</x:v>
      </x:c>
      <x:c r="C320" s="2" t="str">
        <x:v>BB</x:v>
      </x:c>
      <x:c r="D320" s="2" t="str">
        <x:v>Brevicoryne brassicae</x:v>
      </x:c>
      <x:c r="E320" s="2" t="str">
        <x:v>L9</x:v>
      </x:c>
      <x:c r="F320" s="2" t="n">
        <x:v>5</x:v>
      </x:c>
      <x:c r="G320" s="2" t="n">
        <x:v>14</x:v>
      </x:c>
      <x:c r="H320" s="2" t="n">
        <x:f>G320-Supuestos!$C$7</x:f>
        <x:v>13</x:v>
      </x:c>
      <x:c r="I320" s="14" t="n">
        <x:f>E1_plantas!J108+G320</x:f>
        <x:v>46111</x:v>
      </x:c>
      <x:c r="J320" s="2" t="n">
        <x:v>19</x:v>
      </x:c>
      <x:c r="K320" s="2" t="n">
        <x:f>IF(AND(G320&gt;Supuestos!$C$8,E320&lt;&gt;"L0"),1,0)</x:f>
        <x:v>0</x:v>
      </x:c>
      <x:c r="L320" s="2" t="str">
        <x:v>antes_de_reinoculacion</x:v>
      </x:c>
      <x:c r="M320" s="2" t="str">
        <x:v>simulado_didactico</x:v>
      </x:c>
    </x:row>
    <x:row r="321" ht="19" customHeight="1">
      <x:c r="A321" s="2" t="str">
        <x:v>SIM-E1-BB-L9-R05</x:v>
      </x:c>
      <x:c r="B321" s="2" t="n">
        <x:v>3</x:v>
      </x:c>
      <x:c r="C321" s="2" t="str">
        <x:v>BB</x:v>
      </x:c>
      <x:c r="D321" s="2" t="str">
        <x:v>Brevicoryne brassicae</x:v>
      </x:c>
      <x:c r="E321" s="2" t="str">
        <x:v>L9</x:v>
      </x:c>
      <x:c r="F321" s="2" t="n">
        <x:v>5</x:v>
      </x:c>
      <x:c r="G321" s="2" t="n">
        <x:v>21</x:v>
      </x:c>
      <x:c r="H321" s="2" t="n">
        <x:f>G321-Supuestos!$C$7</x:f>
        <x:v>20</x:v>
      </x:c>
      <x:c r="I321" s="14" t="n">
        <x:f>E1_plantas!J108+G321</x:f>
        <x:v>46118</x:v>
      </x:c>
      <x:c r="J321" s="2" t="n">
        <x:v>87</x:v>
      </x:c>
      <x:c r="K321" s="2" t="n">
        <x:f>IF(AND(G321&gt;Supuestos!$C$8,E321&lt;&gt;"L0"),1,0)</x:f>
        <x:v>1</x:v>
      </x:c>
      <x:c r="L321" s="2" t="str">
        <x:v>posterior_al_dia_14</x:v>
      </x:c>
      <x:c r="M321" s="2" t="str">
        <x:v>simulado_didactico</x:v>
      </x:c>
    </x:row>
    <x:row r="322" ht="19" customHeight="1">
      <x:c r="A322" s="2" t="str">
        <x:v>SIM-E1-BB-L9-R05</x:v>
      </x:c>
      <x:c r="B322" s="2" t="n">
        <x:v>3</x:v>
      </x:c>
      <x:c r="C322" s="2" t="str">
        <x:v>BB</x:v>
      </x:c>
      <x:c r="D322" s="2" t="str">
        <x:v>Brevicoryne brassicae</x:v>
      </x:c>
      <x:c r="E322" s="2" t="str">
        <x:v>L9</x:v>
      </x:c>
      <x:c r="F322" s="2" t="n">
        <x:v>5</x:v>
      </x:c>
      <x:c r="G322" s="2" t="n">
        <x:v>28</x:v>
      </x:c>
      <x:c r="H322" s="2" t="n">
        <x:f>G322-Supuestos!$C$7</x:f>
        <x:v>27</x:v>
      </x:c>
      <x:c r="I322" s="14" t="n">
        <x:f>E1_plantas!J108+G322</x:f>
        <x:v>46125</x:v>
      </x:c>
      <x:c r="J322" s="2" t="n">
        <x:v>290</x:v>
      </x:c>
      <x:c r="K322" s="2" t="n">
        <x:f>IF(AND(G322&gt;Supuestos!$C$8,E322&lt;&gt;"L0"),1,0)</x:f>
        <x:v>1</x:v>
      </x:c>
      <x:c r="L322" s="2" t="str">
        <x:v>posterior_al_dia_14</x:v>
      </x:c>
      <x:c r="M322" s="2" t="str">
        <x:v>simulado_didactico</x:v>
      </x:c>
    </x:row>
    <x:row r="323" ht="19" customHeight="1">
      <x:c r="A323" s="2" t="str">
        <x:v>SIM-E1-BB-L9-R06</x:v>
      </x:c>
      <x:c r="B323" s="2" t="n">
        <x:v>3</x:v>
      </x:c>
      <x:c r="C323" s="2" t="str">
        <x:v>BB</x:v>
      </x:c>
      <x:c r="D323" s="2" t="str">
        <x:v>Brevicoryne brassicae</x:v>
      </x:c>
      <x:c r="E323" s="2" t="str">
        <x:v>L9</x:v>
      </x:c>
      <x:c r="F323" s="2" t="n">
        <x:v>6</x:v>
      </x:c>
      <x:c r="G323" s="2" t="n">
        <x:v>14</x:v>
      </x:c>
      <x:c r="H323" s="2" t="n">
        <x:f>G323-Supuestos!$C$7</x:f>
        <x:v>13</x:v>
      </x:c>
      <x:c r="I323" s="14" t="n">
        <x:f>E1_plantas!J109+G323</x:f>
        <x:v>46111</x:v>
      </x:c>
      <x:c r="J323" s="2" t="n">
        <x:v>21</x:v>
      </x:c>
      <x:c r="K323" s="2" t="n">
        <x:f>IF(AND(G323&gt;Supuestos!$C$8,E323&lt;&gt;"L0"),1,0)</x:f>
        <x:v>0</x:v>
      </x:c>
      <x:c r="L323" s="2" t="str">
        <x:v>antes_de_reinoculacion</x:v>
      </x:c>
      <x:c r="M323" s="2" t="str">
        <x:v>simulado_didactico</x:v>
      </x:c>
    </x:row>
    <x:row r="324" ht="19" customHeight="1">
      <x:c r="A324" s="2" t="str">
        <x:v>SIM-E1-BB-L9-R06</x:v>
      </x:c>
      <x:c r="B324" s="2" t="n">
        <x:v>3</x:v>
      </x:c>
      <x:c r="C324" s="2" t="str">
        <x:v>BB</x:v>
      </x:c>
      <x:c r="D324" s="2" t="str">
        <x:v>Brevicoryne brassicae</x:v>
      </x:c>
      <x:c r="E324" s="2" t="str">
        <x:v>L9</x:v>
      </x:c>
      <x:c r="F324" s="2" t="n">
        <x:v>6</x:v>
      </x:c>
      <x:c r="G324" s="2" t="n">
        <x:v>21</x:v>
      </x:c>
      <x:c r="H324" s="2" t="n">
        <x:f>G324-Supuestos!$C$7</x:f>
        <x:v>20</x:v>
      </x:c>
      <x:c r="I324" s="14" t="n">
        <x:f>E1_plantas!J109+G324</x:f>
        <x:v>46118</x:v>
      </x:c>
      <x:c r="J324" s="2" t="n">
        <x:v>116</x:v>
      </x:c>
      <x:c r="K324" s="2" t="n">
        <x:f>IF(AND(G324&gt;Supuestos!$C$8,E324&lt;&gt;"L0"),1,0)</x:f>
        <x:v>1</x:v>
      </x:c>
      <x:c r="L324" s="2" t="str">
        <x:v>posterior_al_dia_14</x:v>
      </x:c>
      <x:c r="M324" s="2" t="str">
        <x:v>simulado_didactico</x:v>
      </x:c>
    </x:row>
    <x:row r="325" ht="19" customHeight="1">
      <x:c r="A325" s="2" t="str">
        <x:v>SIM-E1-BB-L9-R06</x:v>
      </x:c>
      <x:c r="B325" s="2" t="n">
        <x:v>3</x:v>
      </x:c>
      <x:c r="C325" s="2" t="str">
        <x:v>BB</x:v>
      </x:c>
      <x:c r="D325" s="2" t="str">
        <x:v>Brevicoryne brassicae</x:v>
      </x:c>
      <x:c r="E325" s="2" t="str">
        <x:v>L9</x:v>
      </x:c>
      <x:c r="F325" s="2" t="n">
        <x:v>6</x:v>
      </x:c>
      <x:c r="G325" s="2" t="n">
        <x:v>28</x:v>
      </x:c>
      <x:c r="H325" s="2" t="n">
        <x:f>G325-Supuestos!$C$7</x:f>
        <x:v>27</x:v>
      </x:c>
      <x:c r="I325" s="14" t="n">
        <x:f>E1_plantas!J109+G325</x:f>
        <x:v>46125</x:v>
      </x:c>
      <x:c r="J325" s="2" t="n">
        <x:v>238</x:v>
      </x:c>
      <x:c r="K325" s="2" t="n">
        <x:f>IF(AND(G325&gt;Supuestos!$C$8,E325&lt;&gt;"L0"),1,0)</x:f>
        <x:v>1</x:v>
      </x:c>
      <x:c r="L325" s="2" t="str">
        <x:v>posterior_al_dia_14</x:v>
      </x:c>
      <x:c r="M325" s="2" t="str">
        <x:v>simulado_didactico</x:v>
      </x:c>
    </x:row>
    <x:row r="326" ht="19" customHeight="1">
      <x:c r="A326" s="2" t="str">
        <x:v>SIM-E1-MP-L0-R07</x:v>
      </x:c>
      <x:c r="B326" s="2" t="n">
        <x:v>4</x:v>
      </x:c>
      <x:c r="C326" s="2" t="str">
        <x:v>MP</x:v>
      </x:c>
      <x:c r="D326" s="2" t="str">
        <x:v>Myzus persicae</x:v>
      </x:c>
      <x:c r="E326" s="2" t="str">
        <x:v>L0</x:v>
      </x:c>
      <x:c r="F326" s="2" t="n">
        <x:v>7</x:v>
      </x:c>
      <x:c r="G326" s="2" t="n">
        <x:v>14</x:v>
      </x:c>
      <x:c r="H326" s="2" t="n">
        <x:f>G326-Supuestos!$C$7</x:f>
        <x:v>13</x:v>
      </x:c>
      <x:c r="I326" s="14" t="n">
        <x:f>E1_plantas!J110+G326</x:f>
        <x:v>46118</x:v>
      </x:c>
      <x:c r="J326" s="2" t="n">
        <x:v>14</x:v>
      </x:c>
      <x:c r="K326" s="2" t="n">
        <x:f>IF(AND(G326&gt;Supuestos!$C$8,E326&lt;&gt;"L0"),1,0)</x:f>
        <x:v>0</x:v>
      </x:c>
      <x:c r="L326" s="2" t="str">
        <x:v>antes_de_reinoculacion</x:v>
      </x:c>
      <x:c r="M326" s="2" t="str">
        <x:v>simulado_didactico</x:v>
      </x:c>
    </x:row>
    <x:row r="327" ht="19" customHeight="1">
      <x:c r="A327" s="2" t="str">
        <x:v>SIM-E1-MP-L0-R07</x:v>
      </x:c>
      <x:c r="B327" s="2" t="n">
        <x:v>4</x:v>
      </x:c>
      <x:c r="C327" s="2" t="str">
        <x:v>MP</x:v>
      </x:c>
      <x:c r="D327" s="2" t="str">
        <x:v>Myzus persicae</x:v>
      </x:c>
      <x:c r="E327" s="2" t="str">
        <x:v>L0</x:v>
      </x:c>
      <x:c r="F327" s="2" t="n">
        <x:v>7</x:v>
      </x:c>
      <x:c r="G327" s="2" t="n">
        <x:v>21</x:v>
      </x:c>
      <x:c r="H327" s="2" t="n">
        <x:f>G327-Supuestos!$C$7</x:f>
        <x:v>20</x:v>
      </x:c>
      <x:c r="I327" s="14" t="n">
        <x:f>E1_plantas!J110+G327</x:f>
        <x:v>46125</x:v>
      </x:c>
      <x:c r="J327" s="2" t="n">
        <x:v>58</x:v>
      </x:c>
      <x:c r="K327" s="2" t="n">
        <x:f>IF(AND(G327&gt;Supuestos!$C$8,E327&lt;&gt;"L0"),1,0)</x:f>
        <x:v>0</x:v>
      </x:c>
      <x:c r="L327" s="2" t="str">
        <x:v>posterior_al_dia_14</x:v>
      </x:c>
      <x:c r="M327" s="2" t="str">
        <x:v>simulado_didactico</x:v>
      </x:c>
    </x:row>
    <x:row r="328" ht="19" customHeight="1">
      <x:c r="A328" s="2" t="str">
        <x:v>SIM-E1-MP-L0-R07</x:v>
      </x:c>
      <x:c r="B328" s="2" t="n">
        <x:v>4</x:v>
      </x:c>
      <x:c r="C328" s="2" t="str">
        <x:v>MP</x:v>
      </x:c>
      <x:c r="D328" s="2" t="str">
        <x:v>Myzus persicae</x:v>
      </x:c>
      <x:c r="E328" s="2" t="str">
        <x:v>L0</x:v>
      </x:c>
      <x:c r="F328" s="2" t="n">
        <x:v>7</x:v>
      </x:c>
      <x:c r="G328" s="2" t="n">
        <x:v>28</x:v>
      </x:c>
      <x:c r="H328" s="2" t="n">
        <x:f>G328-Supuestos!$C$7</x:f>
        <x:v>27</x:v>
      </x:c>
      <x:c r="I328" s="14" t="n">
        <x:f>E1_plantas!J110+G328</x:f>
        <x:v>46132</x:v>
      </x:c>
      <x:c r="J328" s="2" t="n">
        <x:v>153</x:v>
      </x:c>
      <x:c r="K328" s="2" t="n">
        <x:f>IF(AND(G328&gt;Supuestos!$C$8,E328&lt;&gt;"L0"),1,0)</x:f>
        <x:v>0</x:v>
      </x:c>
      <x:c r="L328" s="2" t="str">
        <x:v>posterior_al_dia_14</x:v>
      </x:c>
      <x:c r="M328" s="2" t="str">
        <x:v>simulado_didactico</x:v>
      </x:c>
    </x:row>
    <x:row r="329" ht="19" customHeight="1">
      <x:c r="A329" s="2" t="str">
        <x:v>SIM-E1-MP-L0-R08</x:v>
      </x:c>
      <x:c r="B329" s="2" t="n">
        <x:v>4</x:v>
      </x:c>
      <x:c r="C329" s="2" t="str">
        <x:v>MP</x:v>
      </x:c>
      <x:c r="D329" s="2" t="str">
        <x:v>Myzus persicae</x:v>
      </x:c>
      <x:c r="E329" s="2" t="str">
        <x:v>L0</x:v>
      </x:c>
      <x:c r="F329" s="2" t="n">
        <x:v>8</x:v>
      </x:c>
      <x:c r="G329" s="2" t="n">
        <x:v>14</x:v>
      </x:c>
      <x:c r="H329" s="2" t="n">
        <x:f>G329-Supuestos!$C$7</x:f>
        <x:v>13</x:v>
      </x:c>
      <x:c r="I329" s="14" t="n">
        <x:f>E1_plantas!J111+G329</x:f>
        <x:v>46118</x:v>
      </x:c>
      <x:c r="J329" s="2" t="n">
        <x:v>27</x:v>
      </x:c>
      <x:c r="K329" s="2" t="n">
        <x:f>IF(AND(G329&gt;Supuestos!$C$8,E329&lt;&gt;"L0"),1,0)</x:f>
        <x:v>0</x:v>
      </x:c>
      <x:c r="L329" s="2" t="str">
        <x:v>antes_de_reinoculacion</x:v>
      </x:c>
      <x:c r="M329" s="2" t="str">
        <x:v>simulado_didactico</x:v>
      </x:c>
    </x:row>
    <x:row r="330" ht="19" customHeight="1">
      <x:c r="A330" s="2" t="str">
        <x:v>SIM-E1-MP-L0-R08</x:v>
      </x:c>
      <x:c r="B330" s="2" t="n">
        <x:v>4</x:v>
      </x:c>
      <x:c r="C330" s="2" t="str">
        <x:v>MP</x:v>
      </x:c>
      <x:c r="D330" s="2" t="str">
        <x:v>Myzus persicae</x:v>
      </x:c>
      <x:c r="E330" s="2" t="str">
        <x:v>L0</x:v>
      </x:c>
      <x:c r="F330" s="2" t="n">
        <x:v>8</x:v>
      </x:c>
      <x:c r="G330" s="2" t="n">
        <x:v>21</x:v>
      </x:c>
      <x:c r="H330" s="2" t="n">
        <x:f>G330-Supuestos!$C$7</x:f>
        <x:v>20</x:v>
      </x:c>
      <x:c r="I330" s="14" t="n">
        <x:f>E1_plantas!J111+G330</x:f>
        <x:v>46125</x:v>
      </x:c>
      <x:c r="J330" s="2" t="n">
        <x:v>102</x:v>
      </x:c>
      <x:c r="K330" s="2" t="n">
        <x:f>IF(AND(G330&gt;Supuestos!$C$8,E330&lt;&gt;"L0"),1,0)</x:f>
        <x:v>0</x:v>
      </x:c>
      <x:c r="L330" s="2" t="str">
        <x:v>posterior_al_dia_14</x:v>
      </x:c>
      <x:c r="M330" s="2" t="str">
        <x:v>simulado_didactico</x:v>
      </x:c>
    </x:row>
    <x:row r="331" ht="19" customHeight="1">
      <x:c r="A331" s="2" t="str">
        <x:v>SIM-E1-MP-L0-R08</x:v>
      </x:c>
      <x:c r="B331" s="2" t="n">
        <x:v>4</x:v>
      </x:c>
      <x:c r="C331" s="2" t="str">
        <x:v>MP</x:v>
      </x:c>
      <x:c r="D331" s="2" t="str">
        <x:v>Myzus persicae</x:v>
      </x:c>
      <x:c r="E331" s="2" t="str">
        <x:v>L0</x:v>
      </x:c>
      <x:c r="F331" s="2" t="n">
        <x:v>8</x:v>
      </x:c>
      <x:c r="G331" s="2" t="n">
        <x:v>28</x:v>
      </x:c>
      <x:c r="H331" s="2" t="n">
        <x:f>G331-Supuestos!$C$7</x:f>
        <x:v>27</x:v>
      </x:c>
      <x:c r="I331" s="14" t="n">
        <x:f>E1_plantas!J111+G331</x:f>
        <x:v>46132</x:v>
      </x:c>
      <x:c r="J331" s="2" t="n">
        <x:v>276</x:v>
      </x:c>
      <x:c r="K331" s="2" t="n">
        <x:f>IF(AND(G331&gt;Supuestos!$C$8,E331&lt;&gt;"L0"),1,0)</x:f>
        <x:v>0</x:v>
      </x:c>
      <x:c r="L331" s="2" t="str">
        <x:v>posterior_al_dia_14</x:v>
      </x:c>
      <x:c r="M331" s="2" t="str">
        <x:v>simulado_didactico</x:v>
      </x:c>
    </x:row>
    <x:row r="332" ht="19" customHeight="1">
      <x:c r="A332" s="2" t="str">
        <x:v>SIM-E1-MP-L1-R07</x:v>
      </x:c>
      <x:c r="B332" s="2" t="n">
        <x:v>4</x:v>
      </x:c>
      <x:c r="C332" s="2" t="str">
        <x:v>MP</x:v>
      </x:c>
      <x:c r="D332" s="2" t="str">
        <x:v>Myzus persicae</x:v>
      </x:c>
      <x:c r="E332" s="2" t="str">
        <x:v>L1</x:v>
      </x:c>
      <x:c r="F332" s="2" t="n">
        <x:v>7</x:v>
      </x:c>
      <x:c r="G332" s="2" t="n">
        <x:v>14</x:v>
      </x:c>
      <x:c r="H332" s="2" t="n">
        <x:f>G332-Supuestos!$C$7</x:f>
        <x:v>13</x:v>
      </x:c>
      <x:c r="I332" s="14" t="n">
        <x:f>E1_plantas!J112+G332</x:f>
        <x:v>46118</x:v>
      </x:c>
      <x:c r="J332" s="2" t="n">
        <x:v>12</x:v>
      </x:c>
      <x:c r="K332" s="2" t="n">
        <x:f>IF(AND(G332&gt;Supuestos!$C$8,E332&lt;&gt;"L0"),1,0)</x:f>
        <x:v>0</x:v>
      </x:c>
      <x:c r="L332" s="2" t="str">
        <x:v>antes_de_reinoculacion</x:v>
      </x:c>
      <x:c r="M332" s="2" t="str">
        <x:v>simulado_didactico</x:v>
      </x:c>
    </x:row>
    <x:row r="333" ht="19" customHeight="1">
      <x:c r="A333" s="2" t="str">
        <x:v>SIM-E1-MP-L1-R07</x:v>
      </x:c>
      <x:c r="B333" s="2" t="n">
        <x:v>4</x:v>
      </x:c>
      <x:c r="C333" s="2" t="str">
        <x:v>MP</x:v>
      </x:c>
      <x:c r="D333" s="2" t="str">
        <x:v>Myzus persicae</x:v>
      </x:c>
      <x:c r="E333" s="2" t="str">
        <x:v>L1</x:v>
      </x:c>
      <x:c r="F333" s="2" t="n">
        <x:v>7</x:v>
      </x:c>
      <x:c r="G333" s="2" t="n">
        <x:v>21</x:v>
      </x:c>
      <x:c r="H333" s="2" t="n">
        <x:f>G333-Supuestos!$C$7</x:f>
        <x:v>20</x:v>
      </x:c>
      <x:c r="I333" s="14" t="n">
        <x:f>E1_plantas!J112+G333</x:f>
        <x:v>46125</x:v>
      </x:c>
      <x:c r="J333" s="2" t="n">
        <x:v>55</x:v>
      </x:c>
      <x:c r="K333" s="2" t="n">
        <x:f>IF(AND(G333&gt;Supuestos!$C$8,E333&lt;&gt;"L0"),1,0)</x:f>
        <x:v>1</x:v>
      </x:c>
      <x:c r="L333" s="2" t="str">
        <x:v>posterior_al_dia_14</x:v>
      </x:c>
      <x:c r="M333" s="2" t="str">
        <x:v>simulado_didactico</x:v>
      </x:c>
    </x:row>
    <x:row r="334" ht="19" customHeight="1">
      <x:c r="A334" s="2" t="str">
        <x:v>SIM-E1-MP-L1-R07</x:v>
      </x:c>
      <x:c r="B334" s="2" t="n">
        <x:v>4</x:v>
      </x:c>
      <x:c r="C334" s="2" t="str">
        <x:v>MP</x:v>
      </x:c>
      <x:c r="D334" s="2" t="str">
        <x:v>Myzus persicae</x:v>
      </x:c>
      <x:c r="E334" s="2" t="str">
        <x:v>L1</x:v>
      </x:c>
      <x:c r="F334" s="2" t="n">
        <x:v>7</x:v>
      </x:c>
      <x:c r="G334" s="2" t="n">
        <x:v>28</x:v>
      </x:c>
      <x:c r="H334" s="2" t="n">
        <x:f>G334-Supuestos!$C$7</x:f>
        <x:v>27</x:v>
      </x:c>
      <x:c r="I334" s="14" t="n">
        <x:f>E1_plantas!J112+G334</x:f>
        <x:v>46132</x:v>
      </x:c>
      <x:c r="J334" s="2" t="n">
        <x:v>131</x:v>
      </x:c>
      <x:c r="K334" s="2" t="n">
        <x:f>IF(AND(G334&gt;Supuestos!$C$8,E334&lt;&gt;"L0"),1,0)</x:f>
        <x:v>1</x:v>
      </x:c>
      <x:c r="L334" s="2" t="str">
        <x:v>posterior_al_dia_14</x:v>
      </x:c>
      <x:c r="M334" s="2" t="str">
        <x:v>simulado_didactico</x:v>
      </x:c>
    </x:row>
    <x:row r="335" ht="19" customHeight="1">
      <x:c r="A335" s="2" t="str">
        <x:v>SIM-E1-MP-L1-R08</x:v>
      </x:c>
      <x:c r="B335" s="2" t="n">
        <x:v>4</x:v>
      </x:c>
      <x:c r="C335" s="2" t="str">
        <x:v>MP</x:v>
      </x:c>
      <x:c r="D335" s="2" t="str">
        <x:v>Myzus persicae</x:v>
      </x:c>
      <x:c r="E335" s="2" t="str">
        <x:v>L1</x:v>
      </x:c>
      <x:c r="F335" s="2" t="n">
        <x:v>8</x:v>
      </x:c>
      <x:c r="G335" s="2" t="n">
        <x:v>14</x:v>
      </x:c>
      <x:c r="H335" s="2" t="n">
        <x:f>G335-Supuestos!$C$7</x:f>
        <x:v>13</x:v>
      </x:c>
      <x:c r="I335" s="14" t="n">
        <x:f>E1_plantas!J113+G335</x:f>
        <x:v>46118</x:v>
      </x:c>
      <x:c r="J335" s="2" t="n">
        <x:v>33</x:v>
      </x:c>
      <x:c r="K335" s="2" t="n">
        <x:f>IF(AND(G335&gt;Supuestos!$C$8,E335&lt;&gt;"L0"),1,0)</x:f>
        <x:v>0</x:v>
      </x:c>
      <x:c r="L335" s="2" t="str">
        <x:v>antes_de_reinoculacion</x:v>
      </x:c>
      <x:c r="M335" s="2" t="str">
        <x:v>simulado_didactico</x:v>
      </x:c>
    </x:row>
    <x:row r="336" ht="19" customHeight="1">
      <x:c r="A336" s="2" t="str">
        <x:v>SIM-E1-MP-L1-R08</x:v>
      </x:c>
      <x:c r="B336" s="2" t="n">
        <x:v>4</x:v>
      </x:c>
      <x:c r="C336" s="2" t="str">
        <x:v>MP</x:v>
      </x:c>
      <x:c r="D336" s="2" t="str">
        <x:v>Myzus persicae</x:v>
      </x:c>
      <x:c r="E336" s="2" t="str">
        <x:v>L1</x:v>
      </x:c>
      <x:c r="F336" s="2" t="n">
        <x:v>8</x:v>
      </x:c>
      <x:c r="G336" s="2" t="n">
        <x:v>21</x:v>
      </x:c>
      <x:c r="H336" s="2" t="n">
        <x:f>G336-Supuestos!$C$7</x:f>
        <x:v>20</x:v>
      </x:c>
      <x:c r="I336" s="14" t="n">
        <x:f>E1_plantas!J113+G336</x:f>
        <x:v>46125</x:v>
      </x:c>
      <x:c r="J336" s="2" t="n">
        <x:v>90</x:v>
      </x:c>
      <x:c r="K336" s="2" t="n">
        <x:f>IF(AND(G336&gt;Supuestos!$C$8,E336&lt;&gt;"L0"),1,0)</x:f>
        <x:v>1</x:v>
      </x:c>
      <x:c r="L336" s="2" t="str">
        <x:v>posterior_al_dia_14</x:v>
      </x:c>
      <x:c r="M336" s="2" t="str">
        <x:v>simulado_didactico</x:v>
      </x:c>
    </x:row>
    <x:row r="337" ht="19" customHeight="1">
      <x:c r="A337" s="2" t="str">
        <x:v>SIM-E1-MP-L1-R08</x:v>
      </x:c>
      <x:c r="B337" s="2" t="n">
        <x:v>4</x:v>
      </x:c>
      <x:c r="C337" s="2" t="str">
        <x:v>MP</x:v>
      </x:c>
      <x:c r="D337" s="2" t="str">
        <x:v>Myzus persicae</x:v>
      </x:c>
      <x:c r="E337" s="2" t="str">
        <x:v>L1</x:v>
      </x:c>
      <x:c r="F337" s="2" t="n">
        <x:v>8</x:v>
      </x:c>
      <x:c r="G337" s="2" t="n">
        <x:v>28</x:v>
      </x:c>
      <x:c r="H337" s="2" t="n">
        <x:f>G337-Supuestos!$C$7</x:f>
        <x:v>27</x:v>
      </x:c>
      <x:c r="I337" s="14" t="n">
        <x:f>E1_plantas!J113+G337</x:f>
        <x:v>46132</x:v>
      </x:c>
      <x:c r="J337" s="2" t="n">
        <x:v>218</x:v>
      </x:c>
      <x:c r="K337" s="2" t="n">
        <x:f>IF(AND(G337&gt;Supuestos!$C$8,E337&lt;&gt;"L0"),1,0)</x:f>
        <x:v>1</x:v>
      </x:c>
      <x:c r="L337" s="2" t="str">
        <x:v>posterior_al_dia_14</x:v>
      </x:c>
      <x:c r="M337" s="2" t="str">
        <x:v>simulado_didactico</x:v>
      </x:c>
    </x:row>
    <x:row r="338" ht="19" customHeight="1">
      <x:c r="A338" s="2" t="str">
        <x:v>SIM-E1-MP-L2-R07</x:v>
      </x:c>
      <x:c r="B338" s="2" t="n">
        <x:v>4</x:v>
      </x:c>
      <x:c r="C338" s="2" t="str">
        <x:v>MP</x:v>
      </x:c>
      <x:c r="D338" s="2" t="str">
        <x:v>Myzus persicae</x:v>
      </x:c>
      <x:c r="E338" s="2" t="str">
        <x:v>L2</x:v>
      </x:c>
      <x:c r="F338" s="2" t="n">
        <x:v>7</x:v>
      </x:c>
      <x:c r="G338" s="2" t="n">
        <x:v>14</x:v>
      </x:c>
      <x:c r="H338" s="2" t="n">
        <x:f>G338-Supuestos!$C$7</x:f>
        <x:v>13</x:v>
      </x:c>
      <x:c r="I338" s="14" t="n">
        <x:f>E1_plantas!J114+G338</x:f>
        <x:v>46118</x:v>
      </x:c>
      <x:c r="J338" s="2" t="n">
        <x:v>8</x:v>
      </x:c>
      <x:c r="K338" s="2" t="n">
        <x:f>IF(AND(G338&gt;Supuestos!$C$8,E338&lt;&gt;"L0"),1,0)</x:f>
        <x:v>0</x:v>
      </x:c>
      <x:c r="L338" s="2" t="str">
        <x:v>antes_de_reinoculacion</x:v>
      </x:c>
      <x:c r="M338" s="2" t="str">
        <x:v>simulado_didactico</x:v>
      </x:c>
    </x:row>
    <x:row r="339" ht="19" customHeight="1">
      <x:c r="A339" s="2" t="str">
        <x:v>SIM-E1-MP-L2-R07</x:v>
      </x:c>
      <x:c r="B339" s="2" t="n">
        <x:v>4</x:v>
      </x:c>
      <x:c r="C339" s="2" t="str">
        <x:v>MP</x:v>
      </x:c>
      <x:c r="D339" s="2" t="str">
        <x:v>Myzus persicae</x:v>
      </x:c>
      <x:c r="E339" s="2" t="str">
        <x:v>L2</x:v>
      </x:c>
      <x:c r="F339" s="2" t="n">
        <x:v>7</x:v>
      </x:c>
      <x:c r="G339" s="2" t="n">
        <x:v>21</x:v>
      </x:c>
      <x:c r="H339" s="2" t="n">
        <x:f>G339-Supuestos!$C$7</x:f>
        <x:v>20</x:v>
      </x:c>
      <x:c r="I339" s="14" t="n">
        <x:f>E1_plantas!J114+G339</x:f>
        <x:v>46125</x:v>
      </x:c>
      <x:c r="J339" s="2" t="n">
        <x:v>33</x:v>
      </x:c>
      <x:c r="K339" s="2" t="n">
        <x:f>IF(AND(G339&gt;Supuestos!$C$8,E339&lt;&gt;"L0"),1,0)</x:f>
        <x:v>1</x:v>
      </x:c>
      <x:c r="L339" s="2" t="str">
        <x:v>posterior_al_dia_14</x:v>
      </x:c>
      <x:c r="M339" s="2" t="str">
        <x:v>simulado_didactico</x:v>
      </x:c>
    </x:row>
    <x:row r="340" ht="19" customHeight="1">
      <x:c r="A340" s="2" t="str">
        <x:v>SIM-E1-MP-L2-R07</x:v>
      </x:c>
      <x:c r="B340" s="2" t="n">
        <x:v>4</x:v>
      </x:c>
      <x:c r="C340" s="2" t="str">
        <x:v>MP</x:v>
      </x:c>
      <x:c r="D340" s="2" t="str">
        <x:v>Myzus persicae</x:v>
      </x:c>
      <x:c r="E340" s="2" t="str">
        <x:v>L2</x:v>
      </x:c>
      <x:c r="F340" s="2" t="n">
        <x:v>7</x:v>
      </x:c>
      <x:c r="G340" s="2" t="n">
        <x:v>28</x:v>
      </x:c>
      <x:c r="H340" s="2" t="n">
        <x:f>G340-Supuestos!$C$7</x:f>
        <x:v>27</x:v>
      </x:c>
      <x:c r="I340" s="14" t="n">
        <x:f>E1_plantas!J114+G340</x:f>
        <x:v>46132</x:v>
      </x:c>
      <x:c r="J340" s="2" t="n">
        <x:v>82</x:v>
      </x:c>
      <x:c r="K340" s="2" t="n">
        <x:f>IF(AND(G340&gt;Supuestos!$C$8,E340&lt;&gt;"L0"),1,0)</x:f>
        <x:v>1</x:v>
      </x:c>
      <x:c r="L340" s="2" t="str">
        <x:v>posterior_al_dia_14</x:v>
      </x:c>
      <x:c r="M340" s="2" t="str">
        <x:v>simulado_didactico</x:v>
      </x:c>
    </x:row>
    <x:row r="341" ht="19" customHeight="1">
      <x:c r="A341" s="2" t="str">
        <x:v>SIM-E1-MP-L2-R08</x:v>
      </x:c>
      <x:c r="B341" s="2" t="n">
        <x:v>4</x:v>
      </x:c>
      <x:c r="C341" s="2" t="str">
        <x:v>MP</x:v>
      </x:c>
      <x:c r="D341" s="2" t="str">
        <x:v>Myzus persicae</x:v>
      </x:c>
      <x:c r="E341" s="2" t="str">
        <x:v>L2</x:v>
      </x:c>
      <x:c r="F341" s="2" t="n">
        <x:v>8</x:v>
      </x:c>
      <x:c r="G341" s="2" t="n">
        <x:v>14</x:v>
      </x:c>
      <x:c r="H341" s="2" t="n">
        <x:f>G341-Supuestos!$C$7</x:f>
        <x:v>13</x:v>
      </x:c>
      <x:c r="I341" s="14" t="n">
        <x:f>E1_plantas!J115+G341</x:f>
        <x:v>46118</x:v>
      </x:c>
      <x:c r="J341" s="2" t="n">
        <x:v>12</x:v>
      </x:c>
      <x:c r="K341" s="2" t="n">
        <x:f>IF(AND(G341&gt;Supuestos!$C$8,E341&lt;&gt;"L0"),1,0)</x:f>
        <x:v>0</x:v>
      </x:c>
      <x:c r="L341" s="2" t="str">
        <x:v>antes_de_reinoculacion</x:v>
      </x:c>
      <x:c r="M341" s="2" t="str">
        <x:v>simulado_didactico</x:v>
      </x:c>
    </x:row>
    <x:row r="342" ht="19" customHeight="1">
      <x:c r="A342" s="2" t="str">
        <x:v>SIM-E1-MP-L2-R08</x:v>
      </x:c>
      <x:c r="B342" s="2" t="n">
        <x:v>4</x:v>
      </x:c>
      <x:c r="C342" s="2" t="str">
        <x:v>MP</x:v>
      </x:c>
      <x:c r="D342" s="2" t="str">
        <x:v>Myzus persicae</x:v>
      </x:c>
      <x:c r="E342" s="2" t="str">
        <x:v>L2</x:v>
      </x:c>
      <x:c r="F342" s="2" t="n">
        <x:v>8</x:v>
      </x:c>
      <x:c r="G342" s="2" t="n">
        <x:v>21</x:v>
      </x:c>
      <x:c r="H342" s="2" t="n">
        <x:f>G342-Supuestos!$C$7</x:f>
        <x:v>20</x:v>
      </x:c>
      <x:c r="I342" s="14" t="n">
        <x:f>E1_plantas!J115+G342</x:f>
        <x:v>46125</x:v>
      </x:c>
      <x:c r="J342" s="2" t="n">
        <x:v>82</x:v>
      </x:c>
      <x:c r="K342" s="2" t="n">
        <x:f>IF(AND(G342&gt;Supuestos!$C$8,E342&lt;&gt;"L0"),1,0)</x:f>
        <x:v>1</x:v>
      </x:c>
      <x:c r="L342" s="2" t="str">
        <x:v>posterior_al_dia_14</x:v>
      </x:c>
      <x:c r="M342" s="2" t="str">
        <x:v>simulado_didactico</x:v>
      </x:c>
    </x:row>
    <x:row r="343" ht="19" customHeight="1">
      <x:c r="A343" s="2" t="str">
        <x:v>SIM-E1-MP-L2-R08</x:v>
      </x:c>
      <x:c r="B343" s="2" t="n">
        <x:v>4</x:v>
      </x:c>
      <x:c r="C343" s="2" t="str">
        <x:v>MP</x:v>
      </x:c>
      <x:c r="D343" s="2" t="str">
        <x:v>Myzus persicae</x:v>
      </x:c>
      <x:c r="E343" s="2" t="str">
        <x:v>L2</x:v>
      </x:c>
      <x:c r="F343" s="2" t="n">
        <x:v>8</x:v>
      </x:c>
      <x:c r="G343" s="2" t="n">
        <x:v>28</x:v>
      </x:c>
      <x:c r="H343" s="2" t="n">
        <x:f>G343-Supuestos!$C$7</x:f>
        <x:v>27</x:v>
      </x:c>
      <x:c r="I343" s="14" t="n">
        <x:f>E1_plantas!J115+G343</x:f>
        <x:v>46132</x:v>
      </x:c>
      <x:c r="J343" s="2" t="n">
        <x:v>148</x:v>
      </x:c>
      <x:c r="K343" s="2" t="n">
        <x:f>IF(AND(G343&gt;Supuestos!$C$8,E343&lt;&gt;"L0"),1,0)</x:f>
        <x:v>1</x:v>
      </x:c>
      <x:c r="L343" s="2" t="str">
        <x:v>posterior_al_dia_14</x:v>
      </x:c>
      <x:c r="M343" s="2" t="str">
        <x:v>simulado_didactico</x:v>
      </x:c>
    </x:row>
    <x:row r="344" ht="19" customHeight="1">
      <x:c r="A344" s="2" t="str">
        <x:v>SIM-E1-MP-L3-R07</x:v>
      </x:c>
      <x:c r="B344" s="2" t="n">
        <x:v>4</x:v>
      </x:c>
      <x:c r="C344" s="2" t="str">
        <x:v>MP</x:v>
      </x:c>
      <x:c r="D344" s="2" t="str">
        <x:v>Myzus persicae</x:v>
      </x:c>
      <x:c r="E344" s="2" t="str">
        <x:v>L3</x:v>
      </x:c>
      <x:c r="F344" s="2" t="n">
        <x:v>7</x:v>
      </x:c>
      <x:c r="G344" s="2" t="n">
        <x:v>14</x:v>
      </x:c>
      <x:c r="H344" s="2" t="n">
        <x:f>G344-Supuestos!$C$7</x:f>
        <x:v>13</x:v>
      </x:c>
      <x:c r="I344" s="14" t="n">
        <x:f>E1_plantas!J116+G344</x:f>
        <x:v>46118</x:v>
      </x:c>
      <x:c r="J344" s="2" t="n">
        <x:v>24</x:v>
      </x:c>
      <x:c r="K344" s="2" t="n">
        <x:f>IF(AND(G344&gt;Supuestos!$C$8,E344&lt;&gt;"L0"),1,0)</x:f>
        <x:v>0</x:v>
      </x:c>
      <x:c r="L344" s="2" t="str">
        <x:v>antes_de_reinoculacion</x:v>
      </x:c>
      <x:c r="M344" s="2" t="str">
        <x:v>simulado_didactico</x:v>
      </x:c>
    </x:row>
    <x:row r="345" ht="19" customHeight="1">
      <x:c r="A345" s="2" t="str">
        <x:v>SIM-E1-MP-L3-R07</x:v>
      </x:c>
      <x:c r="B345" s="2" t="n">
        <x:v>4</x:v>
      </x:c>
      <x:c r="C345" s="2" t="str">
        <x:v>MP</x:v>
      </x:c>
      <x:c r="D345" s="2" t="str">
        <x:v>Myzus persicae</x:v>
      </x:c>
      <x:c r="E345" s="2" t="str">
        <x:v>L3</x:v>
      </x:c>
      <x:c r="F345" s="2" t="n">
        <x:v>7</x:v>
      </x:c>
      <x:c r="G345" s="2" t="n">
        <x:v>21</x:v>
      </x:c>
      <x:c r="H345" s="2" t="n">
        <x:f>G345-Supuestos!$C$7</x:f>
        <x:v>20</x:v>
      </x:c>
      <x:c r="I345" s="14" t="n">
        <x:f>E1_plantas!J116+G345</x:f>
        <x:v>46125</x:v>
      </x:c>
      <x:c r="J345" s="2" t="n">
        <x:v>103</x:v>
      </x:c>
      <x:c r="K345" s="2" t="n">
        <x:f>IF(AND(G345&gt;Supuestos!$C$8,E345&lt;&gt;"L0"),1,0)</x:f>
        <x:v>1</x:v>
      </x:c>
      <x:c r="L345" s="2" t="str">
        <x:v>posterior_al_dia_14</x:v>
      </x:c>
      <x:c r="M345" s="2" t="str">
        <x:v>simulado_didactico</x:v>
      </x:c>
    </x:row>
    <x:row r="346" ht="19" customHeight="1">
      <x:c r="A346" s="2" t="str">
        <x:v>SIM-E1-MP-L3-R07</x:v>
      </x:c>
      <x:c r="B346" s="2" t="n">
        <x:v>4</x:v>
      </x:c>
      <x:c r="C346" s="2" t="str">
        <x:v>MP</x:v>
      </x:c>
      <x:c r="D346" s="2" t="str">
        <x:v>Myzus persicae</x:v>
      </x:c>
      <x:c r="E346" s="2" t="str">
        <x:v>L3</x:v>
      </x:c>
      <x:c r="F346" s="2" t="n">
        <x:v>7</x:v>
      </x:c>
      <x:c r="G346" s="2" t="n">
        <x:v>28</x:v>
      </x:c>
      <x:c r="H346" s="2" t="n">
        <x:f>G346-Supuestos!$C$7</x:f>
        <x:v>27</x:v>
      </x:c>
      <x:c r="I346" s="14" t="n">
        <x:f>E1_plantas!J116+G346</x:f>
        <x:v>46132</x:v>
      </x:c>
      <x:c r="J346" s="2" t="n">
        <x:v>208</x:v>
      </x:c>
      <x:c r="K346" s="2" t="n">
        <x:f>IF(AND(G346&gt;Supuestos!$C$8,E346&lt;&gt;"L0"),1,0)</x:f>
        <x:v>1</x:v>
      </x:c>
      <x:c r="L346" s="2" t="str">
        <x:v>posterior_al_dia_14</x:v>
      </x:c>
      <x:c r="M346" s="2" t="str">
        <x:v>simulado_didactico</x:v>
      </x:c>
    </x:row>
    <x:row r="347" ht="19" customHeight="1">
      <x:c r="A347" s="2" t="str">
        <x:v>SIM-E1-MP-L3-R08</x:v>
      </x:c>
      <x:c r="B347" s="2" t="n">
        <x:v>4</x:v>
      </x:c>
      <x:c r="C347" s="2" t="str">
        <x:v>MP</x:v>
      </x:c>
      <x:c r="D347" s="2" t="str">
        <x:v>Myzus persicae</x:v>
      </x:c>
      <x:c r="E347" s="2" t="str">
        <x:v>L3</x:v>
      </x:c>
      <x:c r="F347" s="2" t="n">
        <x:v>8</x:v>
      </x:c>
      <x:c r="G347" s="2" t="n">
        <x:v>14</x:v>
      </x:c>
      <x:c r="H347" s="2" t="n">
        <x:f>G347-Supuestos!$C$7</x:f>
        <x:v>13</x:v>
      </x:c>
      <x:c r="I347" s="14" t="n">
        <x:f>E1_plantas!J117+G347</x:f>
        <x:v>46118</x:v>
      </x:c>
      <x:c r="J347" s="2" t="n">
        <x:v>22</x:v>
      </x:c>
      <x:c r="K347" s="2" t="n">
        <x:f>IF(AND(G347&gt;Supuestos!$C$8,E347&lt;&gt;"L0"),1,0)</x:f>
        <x:v>0</x:v>
      </x:c>
      <x:c r="L347" s="2" t="str">
        <x:v>antes_de_reinoculacion</x:v>
      </x:c>
      <x:c r="M347" s="2" t="str">
        <x:v>simulado_didactico</x:v>
      </x:c>
    </x:row>
    <x:row r="348" ht="19" customHeight="1">
      <x:c r="A348" s="2" t="str">
        <x:v>SIM-E1-MP-L3-R08</x:v>
      </x:c>
      <x:c r="B348" s="2" t="n">
        <x:v>4</x:v>
      </x:c>
      <x:c r="C348" s="2" t="str">
        <x:v>MP</x:v>
      </x:c>
      <x:c r="D348" s="2" t="str">
        <x:v>Myzus persicae</x:v>
      </x:c>
      <x:c r="E348" s="2" t="str">
        <x:v>L3</x:v>
      </x:c>
      <x:c r="F348" s="2" t="n">
        <x:v>8</x:v>
      </x:c>
      <x:c r="G348" s="2" t="n">
        <x:v>21</x:v>
      </x:c>
      <x:c r="H348" s="2" t="n">
        <x:f>G348-Supuestos!$C$7</x:f>
        <x:v>20</x:v>
      </x:c>
      <x:c r="I348" s="14" t="n">
        <x:f>E1_plantas!J117+G348</x:f>
        <x:v>46125</x:v>
      </x:c>
      <x:c r="J348" s="2" t="n">
        <x:v>76</x:v>
      </x:c>
      <x:c r="K348" s="2" t="n">
        <x:f>IF(AND(G348&gt;Supuestos!$C$8,E348&lt;&gt;"L0"),1,0)</x:f>
        <x:v>1</x:v>
      </x:c>
      <x:c r="L348" s="2" t="str">
        <x:v>posterior_al_dia_14</x:v>
      </x:c>
      <x:c r="M348" s="2" t="str">
        <x:v>simulado_didactico</x:v>
      </x:c>
    </x:row>
    <x:row r="349" ht="19" customHeight="1">
      <x:c r="A349" s="2" t="str">
        <x:v>SIM-E1-MP-L3-R08</x:v>
      </x:c>
      <x:c r="B349" s="2" t="n">
        <x:v>4</x:v>
      </x:c>
      <x:c r="C349" s="2" t="str">
        <x:v>MP</x:v>
      </x:c>
      <x:c r="D349" s="2" t="str">
        <x:v>Myzus persicae</x:v>
      </x:c>
      <x:c r="E349" s="2" t="str">
        <x:v>L3</x:v>
      </x:c>
      <x:c r="F349" s="2" t="n">
        <x:v>8</x:v>
      </x:c>
      <x:c r="G349" s="2" t="n">
        <x:v>28</x:v>
      </x:c>
      <x:c r="H349" s="2" t="n">
        <x:f>G349-Supuestos!$C$7</x:f>
        <x:v>27</x:v>
      </x:c>
      <x:c r="I349" s="14" t="n">
        <x:f>E1_plantas!J117+G349</x:f>
        <x:v>46132</x:v>
      </x:c>
      <x:c r="J349" s="2" t="n">
        <x:v>208</x:v>
      </x:c>
      <x:c r="K349" s="2" t="n">
        <x:f>IF(AND(G349&gt;Supuestos!$C$8,E349&lt;&gt;"L0"),1,0)</x:f>
        <x:v>1</x:v>
      </x:c>
      <x:c r="L349" s="2" t="str">
        <x:v>posterior_al_dia_14</x:v>
      </x:c>
      <x:c r="M349" s="2" t="str">
        <x:v>simulado_didactico</x:v>
      </x:c>
    </x:row>
    <x:row r="350" ht="19" customHeight="1">
      <x:c r="A350" s="2" t="str">
        <x:v>SIM-E1-MP-L5-R07</x:v>
      </x:c>
      <x:c r="B350" s="2" t="n">
        <x:v>4</x:v>
      </x:c>
      <x:c r="C350" s="2" t="str">
        <x:v>MP</x:v>
      </x:c>
      <x:c r="D350" s="2" t="str">
        <x:v>Myzus persicae</x:v>
      </x:c>
      <x:c r="E350" s="2" t="str">
        <x:v>L5</x:v>
      </x:c>
      <x:c r="F350" s="2" t="n">
        <x:v>7</x:v>
      </x:c>
      <x:c r="G350" s="2" t="n">
        <x:v>14</x:v>
      </x:c>
      <x:c r="H350" s="2" t="n">
        <x:f>G350-Supuestos!$C$7</x:f>
        <x:v>13</x:v>
      </x:c>
      <x:c r="I350" s="14" t="n">
        <x:f>E1_plantas!J118+G350</x:f>
        <x:v>46118</x:v>
      </x:c>
      <x:c r="J350" s="2" t="n">
        <x:v>12</x:v>
      </x:c>
      <x:c r="K350" s="2" t="n">
        <x:f>IF(AND(G350&gt;Supuestos!$C$8,E350&lt;&gt;"L0"),1,0)</x:f>
        <x:v>0</x:v>
      </x:c>
      <x:c r="L350" s="2" t="str">
        <x:v>antes_de_reinoculacion</x:v>
      </x:c>
      <x:c r="M350" s="2" t="str">
        <x:v>simulado_didactico</x:v>
      </x:c>
    </x:row>
    <x:row r="351" ht="19" customHeight="1">
      <x:c r="A351" s="2" t="str">
        <x:v>SIM-E1-MP-L5-R07</x:v>
      </x:c>
      <x:c r="B351" s="2" t="n">
        <x:v>4</x:v>
      </x:c>
      <x:c r="C351" s="2" t="str">
        <x:v>MP</x:v>
      </x:c>
      <x:c r="D351" s="2" t="str">
        <x:v>Myzus persicae</x:v>
      </x:c>
      <x:c r="E351" s="2" t="str">
        <x:v>L5</x:v>
      </x:c>
      <x:c r="F351" s="2" t="n">
        <x:v>7</x:v>
      </x:c>
      <x:c r="G351" s="2" t="n">
        <x:v>21</x:v>
      </x:c>
      <x:c r="H351" s="2" t="n">
        <x:f>G351-Supuestos!$C$7</x:f>
        <x:v>20</x:v>
      </x:c>
      <x:c r="I351" s="14" t="n">
        <x:f>E1_plantas!J118+G351</x:f>
        <x:v>46125</x:v>
      </x:c>
      <x:c r="J351" s="2" t="n">
        <x:v>35</x:v>
      </x:c>
      <x:c r="K351" s="2" t="n">
        <x:f>IF(AND(G351&gt;Supuestos!$C$8,E351&lt;&gt;"L0"),1,0)</x:f>
        <x:v>1</x:v>
      </x:c>
      <x:c r="L351" s="2" t="str">
        <x:v>posterior_al_dia_14</x:v>
      </x:c>
      <x:c r="M351" s="2" t="str">
        <x:v>simulado_didactico</x:v>
      </x:c>
    </x:row>
    <x:row r="352" ht="19" customHeight="1">
      <x:c r="A352" s="2" t="str">
        <x:v>SIM-E1-MP-L5-R07</x:v>
      </x:c>
      <x:c r="B352" s="2" t="n">
        <x:v>4</x:v>
      </x:c>
      <x:c r="C352" s="2" t="str">
        <x:v>MP</x:v>
      </x:c>
      <x:c r="D352" s="2" t="str">
        <x:v>Myzus persicae</x:v>
      </x:c>
      <x:c r="E352" s="2" t="str">
        <x:v>L5</x:v>
      </x:c>
      <x:c r="F352" s="2" t="n">
        <x:v>7</x:v>
      </x:c>
      <x:c r="G352" s="2" t="n">
        <x:v>28</x:v>
      </x:c>
      <x:c r="H352" s="2" t="n">
        <x:f>G352-Supuestos!$C$7</x:f>
        <x:v>27</x:v>
      </x:c>
      <x:c r="I352" s="14" t="n">
        <x:f>E1_plantas!J118+G352</x:f>
        <x:v>46132</x:v>
      </x:c>
      <x:c r="J352" s="2" t="n">
        <x:v>126</x:v>
      </x:c>
      <x:c r="K352" s="2" t="n">
        <x:f>IF(AND(G352&gt;Supuestos!$C$8,E352&lt;&gt;"L0"),1,0)</x:f>
        <x:v>1</x:v>
      </x:c>
      <x:c r="L352" s="2" t="str">
        <x:v>posterior_al_dia_14</x:v>
      </x:c>
      <x:c r="M352" s="2" t="str">
        <x:v>simulado_didactico</x:v>
      </x:c>
    </x:row>
    <x:row r="353" ht="19" customHeight="1">
      <x:c r="A353" s="2" t="str">
        <x:v>SIM-E1-MP-L5-R08</x:v>
      </x:c>
      <x:c r="B353" s="2" t="n">
        <x:v>4</x:v>
      </x:c>
      <x:c r="C353" s="2" t="str">
        <x:v>MP</x:v>
      </x:c>
      <x:c r="D353" s="2" t="str">
        <x:v>Myzus persicae</x:v>
      </x:c>
      <x:c r="E353" s="2" t="str">
        <x:v>L5</x:v>
      </x:c>
      <x:c r="F353" s="2" t="n">
        <x:v>8</x:v>
      </x:c>
      <x:c r="G353" s="2" t="n">
        <x:v>14</x:v>
      </x:c>
      <x:c r="H353" s="2" t="n">
        <x:f>G353-Supuestos!$C$7</x:f>
        <x:v>13</x:v>
      </x:c>
      <x:c r="I353" s="14" t="n">
        <x:f>E1_plantas!J119+G353</x:f>
        <x:v>46118</x:v>
      </x:c>
      <x:c r="J353" s="2" t="n">
        <x:v>16</x:v>
      </x:c>
      <x:c r="K353" s="2" t="n">
        <x:f>IF(AND(G353&gt;Supuestos!$C$8,E353&lt;&gt;"L0"),1,0)</x:f>
        <x:v>0</x:v>
      </x:c>
      <x:c r="L353" s="2" t="str">
        <x:v>antes_de_reinoculacion</x:v>
      </x:c>
      <x:c r="M353" s="2" t="str">
        <x:v>simulado_didactico</x:v>
      </x:c>
    </x:row>
    <x:row r="354" ht="19" customHeight="1">
      <x:c r="A354" s="2" t="str">
        <x:v>SIM-E1-MP-L5-R08</x:v>
      </x:c>
      <x:c r="B354" s="2" t="n">
        <x:v>4</x:v>
      </x:c>
      <x:c r="C354" s="2" t="str">
        <x:v>MP</x:v>
      </x:c>
      <x:c r="D354" s="2" t="str">
        <x:v>Myzus persicae</x:v>
      </x:c>
      <x:c r="E354" s="2" t="str">
        <x:v>L5</x:v>
      </x:c>
      <x:c r="F354" s="2" t="n">
        <x:v>8</x:v>
      </x:c>
      <x:c r="G354" s="2" t="n">
        <x:v>21</x:v>
      </x:c>
      <x:c r="H354" s="2" t="n">
        <x:f>G354-Supuestos!$C$7</x:f>
        <x:v>20</x:v>
      </x:c>
      <x:c r="I354" s="14" t="n">
        <x:f>E1_plantas!J119+G354</x:f>
        <x:v>46125</x:v>
      </x:c>
      <x:c r="J354" s="2" t="n">
        <x:v>60</x:v>
      </x:c>
      <x:c r="K354" s="2" t="n">
        <x:f>IF(AND(G354&gt;Supuestos!$C$8,E354&lt;&gt;"L0"),1,0)</x:f>
        <x:v>1</x:v>
      </x:c>
      <x:c r="L354" s="2" t="str">
        <x:v>posterior_al_dia_14</x:v>
      </x:c>
      <x:c r="M354" s="2" t="str">
        <x:v>simulado_didactico</x:v>
      </x:c>
    </x:row>
    <x:row r="355" ht="19" customHeight="1">
      <x:c r="A355" s="2" t="str">
        <x:v>SIM-E1-MP-L5-R08</x:v>
      </x:c>
      <x:c r="B355" s="2" t="n">
        <x:v>4</x:v>
      </x:c>
      <x:c r="C355" s="2" t="str">
        <x:v>MP</x:v>
      </x:c>
      <x:c r="D355" s="2" t="str">
        <x:v>Myzus persicae</x:v>
      </x:c>
      <x:c r="E355" s="2" t="str">
        <x:v>L5</x:v>
      </x:c>
      <x:c r="F355" s="2" t="n">
        <x:v>8</x:v>
      </x:c>
      <x:c r="G355" s="2" t="n">
        <x:v>28</x:v>
      </x:c>
      <x:c r="H355" s="2" t="n">
        <x:f>G355-Supuestos!$C$7</x:f>
        <x:v>27</x:v>
      </x:c>
      <x:c r="I355" s="14" t="n">
        <x:f>E1_plantas!J119+G355</x:f>
        <x:v>46132</x:v>
      </x:c>
      <x:c r="J355" s="2" t="n">
        <x:v>105</x:v>
      </x:c>
      <x:c r="K355" s="2" t="n">
        <x:f>IF(AND(G355&gt;Supuestos!$C$8,E355&lt;&gt;"L0"),1,0)</x:f>
        <x:v>1</x:v>
      </x:c>
      <x:c r="L355" s="2" t="str">
        <x:v>posterior_al_dia_14</x:v>
      </x:c>
      <x:c r="M355" s="2" t="str">
        <x:v>simulado_didactico</x:v>
      </x:c>
    </x:row>
    <x:row r="356" ht="19" customHeight="1">
      <x:c r="A356" s="2" t="str">
        <x:v>SIM-E1-MP-L6-R07</x:v>
      </x:c>
      <x:c r="B356" s="2" t="n">
        <x:v>4</x:v>
      </x:c>
      <x:c r="C356" s="2" t="str">
        <x:v>MP</x:v>
      </x:c>
      <x:c r="D356" s="2" t="str">
        <x:v>Myzus persicae</x:v>
      </x:c>
      <x:c r="E356" s="2" t="str">
        <x:v>L6</x:v>
      </x:c>
      <x:c r="F356" s="2" t="n">
        <x:v>7</x:v>
      </x:c>
      <x:c r="G356" s="2" t="n">
        <x:v>14</x:v>
      </x:c>
      <x:c r="H356" s="2" t="n">
        <x:f>G356-Supuestos!$C$7</x:f>
        <x:v>13</x:v>
      </x:c>
      <x:c r="I356" s="14" t="n">
        <x:f>E1_plantas!J120+G356</x:f>
        <x:v>46118</x:v>
      </x:c>
      <x:c r="J356" s="2" t="n">
        <x:v>15</x:v>
      </x:c>
      <x:c r="K356" s="2" t="n">
        <x:f>IF(AND(G356&gt;Supuestos!$C$8,E356&lt;&gt;"L0"),1,0)</x:f>
        <x:v>0</x:v>
      </x:c>
      <x:c r="L356" s="2" t="str">
        <x:v>antes_de_reinoculacion</x:v>
      </x:c>
      <x:c r="M356" s="2" t="str">
        <x:v>simulado_didactico</x:v>
      </x:c>
    </x:row>
    <x:row r="357" ht="19" customHeight="1">
      <x:c r="A357" s="2" t="str">
        <x:v>SIM-E1-MP-L6-R07</x:v>
      </x:c>
      <x:c r="B357" s="2" t="n">
        <x:v>4</x:v>
      </x:c>
      <x:c r="C357" s="2" t="str">
        <x:v>MP</x:v>
      </x:c>
      <x:c r="D357" s="2" t="str">
        <x:v>Myzus persicae</x:v>
      </x:c>
      <x:c r="E357" s="2" t="str">
        <x:v>L6</x:v>
      </x:c>
      <x:c r="F357" s="2" t="n">
        <x:v>7</x:v>
      </x:c>
      <x:c r="G357" s="2" t="n">
        <x:v>21</x:v>
      </x:c>
      <x:c r="H357" s="2" t="n">
        <x:f>G357-Supuestos!$C$7</x:f>
        <x:v>20</x:v>
      </x:c>
      <x:c r="I357" s="14" t="n">
        <x:f>E1_plantas!J120+G357</x:f>
        <x:v>46125</x:v>
      </x:c>
      <x:c r="J357" s="2" t="n">
        <x:v>61</x:v>
      </x:c>
      <x:c r="K357" s="2" t="n">
        <x:f>IF(AND(G357&gt;Supuestos!$C$8,E357&lt;&gt;"L0"),1,0)</x:f>
        <x:v>1</x:v>
      </x:c>
      <x:c r="L357" s="2" t="str">
        <x:v>posterior_al_dia_14</x:v>
      </x:c>
      <x:c r="M357" s="2" t="str">
        <x:v>simulado_didactico</x:v>
      </x:c>
    </x:row>
    <x:row r="358" ht="19" customHeight="1">
      <x:c r="A358" s="2" t="str">
        <x:v>SIM-E1-MP-L6-R07</x:v>
      </x:c>
      <x:c r="B358" s="2" t="n">
        <x:v>4</x:v>
      </x:c>
      <x:c r="C358" s="2" t="str">
        <x:v>MP</x:v>
      </x:c>
      <x:c r="D358" s="2" t="str">
        <x:v>Myzus persicae</x:v>
      </x:c>
      <x:c r="E358" s="2" t="str">
        <x:v>L6</x:v>
      </x:c>
      <x:c r="F358" s="2" t="n">
        <x:v>7</x:v>
      </x:c>
      <x:c r="G358" s="2" t="n">
        <x:v>28</x:v>
      </x:c>
      <x:c r="H358" s="2" t="n">
        <x:f>G358-Supuestos!$C$7</x:f>
        <x:v>27</x:v>
      </x:c>
      <x:c r="I358" s="14" t="n">
        <x:f>E1_plantas!J120+G358</x:f>
        <x:v>46132</x:v>
      </x:c>
      <x:c r="J358" s="2" t="n">
        <x:v>117</x:v>
      </x:c>
      <x:c r="K358" s="2" t="n">
        <x:f>IF(AND(G358&gt;Supuestos!$C$8,E358&lt;&gt;"L0"),1,0)</x:f>
        <x:v>1</x:v>
      </x:c>
      <x:c r="L358" s="2" t="str">
        <x:v>posterior_al_dia_14</x:v>
      </x:c>
      <x:c r="M358" s="2" t="str">
        <x:v>simulado_didactico</x:v>
      </x:c>
    </x:row>
    <x:row r="359" ht="19" customHeight="1">
      <x:c r="A359" s="2" t="str">
        <x:v>SIM-E1-MP-L6-R08</x:v>
      </x:c>
      <x:c r="B359" s="2" t="n">
        <x:v>4</x:v>
      </x:c>
      <x:c r="C359" s="2" t="str">
        <x:v>MP</x:v>
      </x:c>
      <x:c r="D359" s="2" t="str">
        <x:v>Myzus persicae</x:v>
      </x:c>
      <x:c r="E359" s="2" t="str">
        <x:v>L6</x:v>
      </x:c>
      <x:c r="F359" s="2" t="n">
        <x:v>8</x:v>
      </x:c>
      <x:c r="G359" s="2" t="n">
        <x:v>14</x:v>
      </x:c>
      <x:c r="H359" s="2" t="n">
        <x:f>G359-Supuestos!$C$7</x:f>
        <x:v>13</x:v>
      </x:c>
      <x:c r="I359" s="14" t="n">
        <x:f>E1_plantas!J121+G359</x:f>
        <x:v>46118</x:v>
      </x:c>
      <x:c r="J359" s="2" t="n">
        <x:v>7</x:v>
      </x:c>
      <x:c r="K359" s="2" t="n">
        <x:f>IF(AND(G359&gt;Supuestos!$C$8,E359&lt;&gt;"L0"),1,0)</x:f>
        <x:v>0</x:v>
      </x:c>
      <x:c r="L359" s="2" t="str">
        <x:v>antes_de_reinoculacion</x:v>
      </x:c>
      <x:c r="M359" s="2" t="str">
        <x:v>simulado_didactico</x:v>
      </x:c>
    </x:row>
    <x:row r="360" ht="19" customHeight="1">
      <x:c r="A360" s="2" t="str">
        <x:v>SIM-E1-MP-L6-R08</x:v>
      </x:c>
      <x:c r="B360" s="2" t="n">
        <x:v>4</x:v>
      </x:c>
      <x:c r="C360" s="2" t="str">
        <x:v>MP</x:v>
      </x:c>
      <x:c r="D360" s="2" t="str">
        <x:v>Myzus persicae</x:v>
      </x:c>
      <x:c r="E360" s="2" t="str">
        <x:v>L6</x:v>
      </x:c>
      <x:c r="F360" s="2" t="n">
        <x:v>8</x:v>
      </x:c>
      <x:c r="G360" s="2" t="n">
        <x:v>21</x:v>
      </x:c>
      <x:c r="H360" s="2" t="n">
        <x:f>G360-Supuestos!$C$7</x:f>
        <x:v>20</x:v>
      </x:c>
      <x:c r="I360" s="14" t="n">
        <x:f>E1_plantas!J121+G360</x:f>
        <x:v>46125</x:v>
      </x:c>
      <x:c r="J360" s="2" t="n">
        <x:v>40</x:v>
      </x:c>
      <x:c r="K360" s="2" t="n">
        <x:f>IF(AND(G360&gt;Supuestos!$C$8,E360&lt;&gt;"L0"),1,0)</x:f>
        <x:v>1</x:v>
      </x:c>
      <x:c r="L360" s="2" t="str">
        <x:v>posterior_al_dia_14</x:v>
      </x:c>
      <x:c r="M360" s="2" t="str">
        <x:v>simulado_didactico</x:v>
      </x:c>
    </x:row>
    <x:row r="361" ht="19" customHeight="1">
      <x:c r="A361" s="2" t="str">
        <x:v>SIM-E1-MP-L6-R08</x:v>
      </x:c>
      <x:c r="B361" s="2" t="n">
        <x:v>4</x:v>
      </x:c>
      <x:c r="C361" s="2" t="str">
        <x:v>MP</x:v>
      </x:c>
      <x:c r="D361" s="2" t="str">
        <x:v>Myzus persicae</x:v>
      </x:c>
      <x:c r="E361" s="2" t="str">
        <x:v>L6</x:v>
      </x:c>
      <x:c r="F361" s="2" t="n">
        <x:v>8</x:v>
      </x:c>
      <x:c r="G361" s="2" t="n">
        <x:v>28</x:v>
      </x:c>
      <x:c r="H361" s="2" t="n">
        <x:f>G361-Supuestos!$C$7</x:f>
        <x:v>27</x:v>
      </x:c>
      <x:c r="I361" s="14" t="n">
        <x:f>E1_plantas!J121+G361</x:f>
        <x:v>46132</x:v>
      </x:c>
      <x:c r="J361" s="2" t="n">
        <x:v>168</x:v>
      </x:c>
      <x:c r="K361" s="2" t="n">
        <x:f>IF(AND(G361&gt;Supuestos!$C$8,E361&lt;&gt;"L0"),1,0)</x:f>
        <x:v>1</x:v>
      </x:c>
      <x:c r="L361" s="2" t="str">
        <x:v>posterior_al_dia_14</x:v>
      </x:c>
      <x:c r="M361" s="2" t="str">
        <x:v>simulado_didactico</x:v>
      </x:c>
    </x:row>
    <x:row r="362" ht="19" customHeight="1">
      <x:c r="A362" s="2" t="str">
        <x:v>SIM-E1-MP-L7-R07</x:v>
      </x:c>
      <x:c r="B362" s="2" t="n">
        <x:v>4</x:v>
      </x:c>
      <x:c r="C362" s="2" t="str">
        <x:v>MP</x:v>
      </x:c>
      <x:c r="D362" s="2" t="str">
        <x:v>Myzus persicae</x:v>
      </x:c>
      <x:c r="E362" s="2" t="str">
        <x:v>L7</x:v>
      </x:c>
      <x:c r="F362" s="2" t="n">
        <x:v>7</x:v>
      </x:c>
      <x:c r="G362" s="2" t="n">
        <x:v>14</x:v>
      </x:c>
      <x:c r="H362" s="2" t="n">
        <x:f>G362-Supuestos!$C$7</x:f>
        <x:v>13</x:v>
      </x:c>
      <x:c r="I362" s="14" t="n">
        <x:f>E1_plantas!J122+G362</x:f>
        <x:v>46118</x:v>
      </x:c>
      <x:c r="J362" s="2" t="n">
        <x:v>4</x:v>
      </x:c>
      <x:c r="K362" s="2" t="n">
        <x:f>IF(AND(G362&gt;Supuestos!$C$8,E362&lt;&gt;"L0"),1,0)</x:f>
        <x:v>0</x:v>
      </x:c>
      <x:c r="L362" s="2" t="str">
        <x:v>antes_de_reinoculacion</x:v>
      </x:c>
      <x:c r="M362" s="2" t="str">
        <x:v>simulado_didactico</x:v>
      </x:c>
    </x:row>
    <x:row r="363" ht="19" customHeight="1">
      <x:c r="A363" s="2" t="str">
        <x:v>SIM-E1-MP-L7-R07</x:v>
      </x:c>
      <x:c r="B363" s="2" t="n">
        <x:v>4</x:v>
      </x:c>
      <x:c r="C363" s="2" t="str">
        <x:v>MP</x:v>
      </x:c>
      <x:c r="D363" s="2" t="str">
        <x:v>Myzus persicae</x:v>
      </x:c>
      <x:c r="E363" s="2" t="str">
        <x:v>L7</x:v>
      </x:c>
      <x:c r="F363" s="2" t="n">
        <x:v>7</x:v>
      </x:c>
      <x:c r="G363" s="2" t="n">
        <x:v>21</x:v>
      </x:c>
      <x:c r="H363" s="2" t="n">
        <x:f>G363-Supuestos!$C$7</x:f>
        <x:v>20</x:v>
      </x:c>
      <x:c r="I363" s="14" t="n">
        <x:f>E1_plantas!J122+G363</x:f>
        <x:v>46125</x:v>
      </x:c>
      <x:c r="J363" s="2" t="n">
        <x:v>34</x:v>
      </x:c>
      <x:c r="K363" s="2" t="n">
        <x:f>IF(AND(G363&gt;Supuestos!$C$8,E363&lt;&gt;"L0"),1,0)</x:f>
        <x:v>1</x:v>
      </x:c>
      <x:c r="L363" s="2" t="str">
        <x:v>posterior_al_dia_14</x:v>
      </x:c>
      <x:c r="M363" s="2" t="str">
        <x:v>simulado_didactico</x:v>
      </x:c>
    </x:row>
    <x:row r="364" ht="19" customHeight="1">
      <x:c r="A364" s="2" t="str">
        <x:v>SIM-E1-MP-L7-R07</x:v>
      </x:c>
      <x:c r="B364" s="2" t="n">
        <x:v>4</x:v>
      </x:c>
      <x:c r="C364" s="2" t="str">
        <x:v>MP</x:v>
      </x:c>
      <x:c r="D364" s="2" t="str">
        <x:v>Myzus persicae</x:v>
      </x:c>
      <x:c r="E364" s="2" t="str">
        <x:v>L7</x:v>
      </x:c>
      <x:c r="F364" s="2" t="n">
        <x:v>7</x:v>
      </x:c>
      <x:c r="G364" s="2" t="n">
        <x:v>28</x:v>
      </x:c>
      <x:c r="H364" s="2" t="n">
        <x:f>G364-Supuestos!$C$7</x:f>
        <x:v>27</x:v>
      </x:c>
      <x:c r="I364" s="14" t="n">
        <x:f>E1_plantas!J122+G364</x:f>
        <x:v>46132</x:v>
      </x:c>
      <x:c r="J364" s="2" t="n">
        <x:v>48</x:v>
      </x:c>
      <x:c r="K364" s="2" t="n">
        <x:f>IF(AND(G364&gt;Supuestos!$C$8,E364&lt;&gt;"L0"),1,0)</x:f>
        <x:v>1</x:v>
      </x:c>
      <x:c r="L364" s="2" t="str">
        <x:v>posterior_al_dia_14</x:v>
      </x:c>
      <x:c r="M364" s="2" t="str">
        <x:v>simulado_didactico</x:v>
      </x:c>
    </x:row>
    <x:row r="365" ht="19" customHeight="1">
      <x:c r="A365" s="2" t="str">
        <x:v>SIM-E1-MP-L7-R08</x:v>
      </x:c>
      <x:c r="B365" s="2" t="n">
        <x:v>4</x:v>
      </x:c>
      <x:c r="C365" s="2" t="str">
        <x:v>MP</x:v>
      </x:c>
      <x:c r="D365" s="2" t="str">
        <x:v>Myzus persicae</x:v>
      </x:c>
      <x:c r="E365" s="2" t="str">
        <x:v>L7</x:v>
      </x:c>
      <x:c r="F365" s="2" t="n">
        <x:v>8</x:v>
      </x:c>
      <x:c r="G365" s="2" t="n">
        <x:v>14</x:v>
      </x:c>
      <x:c r="H365" s="2" t="n">
        <x:f>G365-Supuestos!$C$7</x:f>
        <x:v>13</x:v>
      </x:c>
      <x:c r="I365" s="14" t="n">
        <x:f>E1_plantas!J123+G365</x:f>
        <x:v>46118</x:v>
      </x:c>
      <x:c r="J365" s="2" t="n">
        <x:v>7</x:v>
      </x:c>
      <x:c r="K365" s="2" t="n">
        <x:f>IF(AND(G365&gt;Supuestos!$C$8,E365&lt;&gt;"L0"),1,0)</x:f>
        <x:v>0</x:v>
      </x:c>
      <x:c r="L365" s="2" t="str">
        <x:v>antes_de_reinoculacion</x:v>
      </x:c>
      <x:c r="M365" s="2" t="str">
        <x:v>simulado_didactico</x:v>
      </x:c>
    </x:row>
    <x:row r="366" ht="19" customHeight="1">
      <x:c r="A366" s="2" t="str">
        <x:v>SIM-E1-MP-L7-R08</x:v>
      </x:c>
      <x:c r="B366" s="2" t="n">
        <x:v>4</x:v>
      </x:c>
      <x:c r="C366" s="2" t="str">
        <x:v>MP</x:v>
      </x:c>
      <x:c r="D366" s="2" t="str">
        <x:v>Myzus persicae</x:v>
      </x:c>
      <x:c r="E366" s="2" t="str">
        <x:v>L7</x:v>
      </x:c>
      <x:c r="F366" s="2" t="n">
        <x:v>8</x:v>
      </x:c>
      <x:c r="G366" s="2" t="n">
        <x:v>21</x:v>
      </x:c>
      <x:c r="H366" s="2" t="n">
        <x:f>G366-Supuestos!$C$7</x:f>
        <x:v>20</x:v>
      </x:c>
      <x:c r="I366" s="14" t="n">
        <x:f>E1_plantas!J123+G366</x:f>
        <x:v>46125</x:v>
      </x:c>
      <x:c r="J366" s="2" t="n">
        <x:v>23</x:v>
      </x:c>
      <x:c r="K366" s="2" t="n">
        <x:f>IF(AND(G366&gt;Supuestos!$C$8,E366&lt;&gt;"L0"),1,0)</x:f>
        <x:v>1</x:v>
      </x:c>
      <x:c r="L366" s="2" t="str">
        <x:v>posterior_al_dia_14</x:v>
      </x:c>
      <x:c r="M366" s="2" t="str">
        <x:v>simulado_didactico</x:v>
      </x:c>
    </x:row>
    <x:row r="367" ht="19" customHeight="1">
      <x:c r="A367" s="2" t="str">
        <x:v>SIM-E1-MP-L7-R08</x:v>
      </x:c>
      <x:c r="B367" s="2" t="n">
        <x:v>4</x:v>
      </x:c>
      <x:c r="C367" s="2" t="str">
        <x:v>MP</x:v>
      </x:c>
      <x:c r="D367" s="2" t="str">
        <x:v>Myzus persicae</x:v>
      </x:c>
      <x:c r="E367" s="2" t="str">
        <x:v>L7</x:v>
      </x:c>
      <x:c r="F367" s="2" t="n">
        <x:v>8</x:v>
      </x:c>
      <x:c r="G367" s="2" t="n">
        <x:v>28</x:v>
      </x:c>
      <x:c r="H367" s="2" t="n">
        <x:f>G367-Supuestos!$C$7</x:f>
        <x:v>27</x:v>
      </x:c>
      <x:c r="I367" s="14" t="n">
        <x:f>E1_plantas!J123+G367</x:f>
        <x:v>46132</x:v>
      </x:c>
      <x:c r="J367" s="2" t="n">
        <x:v>57</x:v>
      </x:c>
      <x:c r="K367" s="2" t="n">
        <x:f>IF(AND(G367&gt;Supuestos!$C$8,E367&lt;&gt;"L0"),1,0)</x:f>
        <x:v>1</x:v>
      </x:c>
      <x:c r="L367" s="2" t="str">
        <x:v>posterior_al_dia_14</x:v>
      </x:c>
      <x:c r="M367" s="2" t="str">
        <x:v>simulado_didactico</x:v>
      </x:c>
    </x:row>
    <x:row r="368" ht="19" customHeight="1">
      <x:c r="A368" s="2" t="str">
        <x:v>SIM-E1-MP-L8-R07</x:v>
      </x:c>
      <x:c r="B368" s="2" t="n">
        <x:v>4</x:v>
      </x:c>
      <x:c r="C368" s="2" t="str">
        <x:v>MP</x:v>
      </x:c>
      <x:c r="D368" s="2" t="str">
        <x:v>Myzus persicae</x:v>
      </x:c>
      <x:c r="E368" s="2" t="str">
        <x:v>L8</x:v>
      </x:c>
      <x:c r="F368" s="2" t="n">
        <x:v>7</x:v>
      </x:c>
      <x:c r="G368" s="2" t="n">
        <x:v>14</x:v>
      </x:c>
      <x:c r="H368" s="2" t="n">
        <x:f>G368-Supuestos!$C$7</x:f>
        <x:v>13</x:v>
      </x:c>
      <x:c r="I368" s="14" t="n">
        <x:f>E1_plantas!J124+G368</x:f>
        <x:v>46118</x:v>
      </x:c>
      <x:c r="J368" s="2" t="n">
        <x:v>5</x:v>
      </x:c>
      <x:c r="K368" s="2" t="n">
        <x:f>IF(AND(G368&gt;Supuestos!$C$8,E368&lt;&gt;"L0"),1,0)</x:f>
        <x:v>0</x:v>
      </x:c>
      <x:c r="L368" s="2" t="str">
        <x:v>antes_de_reinoculacion</x:v>
      </x:c>
      <x:c r="M368" s="2" t="str">
        <x:v>simulado_didactico</x:v>
      </x:c>
    </x:row>
    <x:row r="369" ht="19" customHeight="1">
      <x:c r="A369" s="2" t="str">
        <x:v>SIM-E1-MP-L8-R07</x:v>
      </x:c>
      <x:c r="B369" s="2" t="n">
        <x:v>4</x:v>
      </x:c>
      <x:c r="C369" s="2" t="str">
        <x:v>MP</x:v>
      </x:c>
      <x:c r="D369" s="2" t="str">
        <x:v>Myzus persicae</x:v>
      </x:c>
      <x:c r="E369" s="2" t="str">
        <x:v>L8</x:v>
      </x:c>
      <x:c r="F369" s="2" t="n">
        <x:v>7</x:v>
      </x:c>
      <x:c r="G369" s="2" t="n">
        <x:v>21</x:v>
      </x:c>
      <x:c r="H369" s="2" t="n">
        <x:f>G369-Supuestos!$C$7</x:f>
        <x:v>20</x:v>
      </x:c>
      <x:c r="I369" s="14" t="n">
        <x:f>E1_plantas!J124+G369</x:f>
        <x:v>46125</x:v>
      </x:c>
      <x:c r="J369" s="2" t="n">
        <x:v>32</x:v>
      </x:c>
      <x:c r="K369" s="2" t="n">
        <x:f>IF(AND(G369&gt;Supuestos!$C$8,E369&lt;&gt;"L0"),1,0)</x:f>
        <x:v>1</x:v>
      </x:c>
      <x:c r="L369" s="2" t="str">
        <x:v>posterior_al_dia_14</x:v>
      </x:c>
      <x:c r="M369" s="2" t="str">
        <x:v>simulado_didactico</x:v>
      </x:c>
    </x:row>
    <x:row r="370" ht="19" customHeight="1">
      <x:c r="A370" s="2" t="str">
        <x:v>SIM-E1-MP-L8-R07</x:v>
      </x:c>
      <x:c r="B370" s="2" t="n">
        <x:v>4</x:v>
      </x:c>
      <x:c r="C370" s="2" t="str">
        <x:v>MP</x:v>
      </x:c>
      <x:c r="D370" s="2" t="str">
        <x:v>Myzus persicae</x:v>
      </x:c>
      <x:c r="E370" s="2" t="str">
        <x:v>L8</x:v>
      </x:c>
      <x:c r="F370" s="2" t="n">
        <x:v>7</x:v>
      </x:c>
      <x:c r="G370" s="2" t="n">
        <x:v>28</x:v>
      </x:c>
      <x:c r="H370" s="2" t="n">
        <x:f>G370-Supuestos!$C$7</x:f>
        <x:v>27</x:v>
      </x:c>
      <x:c r="I370" s="14" t="n">
        <x:f>E1_plantas!J124+G370</x:f>
        <x:v>46132</x:v>
      </x:c>
      <x:c r="J370" s="2" t="n">
        <x:v>89</x:v>
      </x:c>
      <x:c r="K370" s="2" t="n">
        <x:f>IF(AND(G370&gt;Supuestos!$C$8,E370&lt;&gt;"L0"),1,0)</x:f>
        <x:v>1</x:v>
      </x:c>
      <x:c r="L370" s="2" t="str">
        <x:v>posterior_al_dia_14</x:v>
      </x:c>
      <x:c r="M370" s="2" t="str">
        <x:v>simulado_didactico</x:v>
      </x:c>
    </x:row>
    <x:row r="371" ht="19" customHeight="1">
      <x:c r="A371" s="2" t="str">
        <x:v>SIM-E1-MP-L8-R08</x:v>
      </x:c>
      <x:c r="B371" s="2" t="n">
        <x:v>4</x:v>
      </x:c>
      <x:c r="C371" s="2" t="str">
        <x:v>MP</x:v>
      </x:c>
      <x:c r="D371" s="2" t="str">
        <x:v>Myzus persicae</x:v>
      </x:c>
      <x:c r="E371" s="2" t="str">
        <x:v>L8</x:v>
      </x:c>
      <x:c r="F371" s="2" t="n">
        <x:v>8</x:v>
      </x:c>
      <x:c r="G371" s="2" t="n">
        <x:v>14</x:v>
      </x:c>
      <x:c r="H371" s="2" t="n">
        <x:f>G371-Supuestos!$C$7</x:f>
        <x:v>13</x:v>
      </x:c>
      <x:c r="I371" s="14" t="n">
        <x:f>E1_plantas!J125+G371</x:f>
        <x:v>46118</x:v>
      </x:c>
      <x:c r="J371" s="2" t="n">
        <x:v>0</x:v>
      </x:c>
      <x:c r="K371" s="2" t="n">
        <x:f>IF(AND(G371&gt;Supuestos!$C$8,E371&lt;&gt;"L0"),1,0)</x:f>
        <x:v>0</x:v>
      </x:c>
      <x:c r="L371" s="2" t="str">
        <x:v>antes_de_reinoculacion</x:v>
      </x:c>
      <x:c r="M371" s="2" t="str">
        <x:v>simulado_didactico</x:v>
      </x:c>
    </x:row>
    <x:row r="372" ht="19" customHeight="1">
      <x:c r="A372" s="2" t="str">
        <x:v>SIM-E1-MP-L8-R08</x:v>
      </x:c>
      <x:c r="B372" s="2" t="n">
        <x:v>4</x:v>
      </x:c>
      <x:c r="C372" s="2" t="str">
        <x:v>MP</x:v>
      </x:c>
      <x:c r="D372" s="2" t="str">
        <x:v>Myzus persicae</x:v>
      </x:c>
      <x:c r="E372" s="2" t="str">
        <x:v>L8</x:v>
      </x:c>
      <x:c r="F372" s="2" t="n">
        <x:v>8</x:v>
      </x:c>
      <x:c r="G372" s="2" t="n">
        <x:v>21</x:v>
      </x:c>
      <x:c r="H372" s="2" t="n">
        <x:f>G372-Supuestos!$C$7</x:f>
        <x:v>20</x:v>
      </x:c>
      <x:c r="I372" s="14" t="n">
        <x:f>E1_plantas!J125+G372</x:f>
        <x:v>46125</x:v>
      </x:c>
      <x:c r="J372" s="2" t="n">
        <x:v>0</x:v>
      </x:c>
      <x:c r="K372" s="2" t="n">
        <x:f>IF(AND(G372&gt;Supuestos!$C$8,E372&lt;&gt;"L0"),1,0)</x:f>
        <x:v>1</x:v>
      </x:c>
      <x:c r="L372" s="2" t="str">
        <x:v>posterior_al_dia_14</x:v>
      </x:c>
      <x:c r="M372" s="2" t="str">
        <x:v>simulado_didactico</x:v>
      </x:c>
    </x:row>
    <x:row r="373" ht="19" customHeight="1">
      <x:c r="A373" s="2" t="str">
        <x:v>SIM-E1-MP-L8-R08</x:v>
      </x:c>
      <x:c r="B373" s="2" t="n">
        <x:v>4</x:v>
      </x:c>
      <x:c r="C373" s="2" t="str">
        <x:v>MP</x:v>
      </x:c>
      <x:c r="D373" s="2" t="str">
        <x:v>Myzus persicae</x:v>
      </x:c>
      <x:c r="E373" s="2" t="str">
        <x:v>L8</x:v>
      </x:c>
      <x:c r="F373" s="2" t="n">
        <x:v>8</x:v>
      </x:c>
      <x:c r="G373" s="2" t="n">
        <x:v>28</x:v>
      </x:c>
      <x:c r="H373" s="2" t="n">
        <x:f>G373-Supuestos!$C$7</x:f>
        <x:v>27</x:v>
      </x:c>
      <x:c r="I373" s="14" t="n">
        <x:f>E1_plantas!J125+G373</x:f>
        <x:v>46132</x:v>
      </x:c>
      <x:c r="J373" s="2" t="n">
        <x:v>0</x:v>
      </x:c>
      <x:c r="K373" s="2" t="n">
        <x:f>IF(AND(G373&gt;Supuestos!$C$8,E373&lt;&gt;"L0"),1,0)</x:f>
        <x:v>1</x:v>
      </x:c>
      <x:c r="L373" s="2" t="str">
        <x:v>posterior_al_dia_14</x:v>
      </x:c>
      <x:c r="M373" s="2" t="str">
        <x:v>simulado_didactico</x:v>
      </x:c>
    </x:row>
    <x:row r="374" ht="19" customHeight="1">
      <x:c r="A374" s="2" t="str">
        <x:v>SIM-E1-MP-L9-R07</x:v>
      </x:c>
      <x:c r="B374" s="2" t="n">
        <x:v>4</x:v>
      </x:c>
      <x:c r="C374" s="2" t="str">
        <x:v>MP</x:v>
      </x:c>
      <x:c r="D374" s="2" t="str">
        <x:v>Myzus persicae</x:v>
      </x:c>
      <x:c r="E374" s="2" t="str">
        <x:v>L9</x:v>
      </x:c>
      <x:c r="F374" s="2" t="n">
        <x:v>7</x:v>
      </x:c>
      <x:c r="G374" s="2" t="n">
        <x:v>14</x:v>
      </x:c>
      <x:c r="H374" s="2" t="n">
        <x:f>G374-Supuestos!$C$7</x:f>
        <x:v>13</x:v>
      </x:c>
      <x:c r="I374" s="14" t="n">
        <x:f>E1_plantas!J126+G374</x:f>
        <x:v>46118</x:v>
      </x:c>
      <x:c r="J374" s="2" t="n">
        <x:v>41</x:v>
      </x:c>
      <x:c r="K374" s="2" t="n">
        <x:f>IF(AND(G374&gt;Supuestos!$C$8,E374&lt;&gt;"L0"),1,0)</x:f>
        <x:v>0</x:v>
      </x:c>
      <x:c r="L374" s="2" t="str">
        <x:v>antes_de_reinoculacion</x:v>
      </x:c>
      <x:c r="M374" s="2" t="str">
        <x:v>simulado_didactico</x:v>
      </x:c>
    </x:row>
    <x:row r="375" ht="19" customHeight="1">
      <x:c r="A375" s="2" t="str">
        <x:v>SIM-E1-MP-L9-R07</x:v>
      </x:c>
      <x:c r="B375" s="2" t="n">
        <x:v>4</x:v>
      </x:c>
      <x:c r="C375" s="2" t="str">
        <x:v>MP</x:v>
      </x:c>
      <x:c r="D375" s="2" t="str">
        <x:v>Myzus persicae</x:v>
      </x:c>
      <x:c r="E375" s="2" t="str">
        <x:v>L9</x:v>
      </x:c>
      <x:c r="F375" s="2" t="n">
        <x:v>7</x:v>
      </x:c>
      <x:c r="G375" s="2" t="n">
        <x:v>21</x:v>
      </x:c>
      <x:c r="H375" s="2" t="n">
        <x:f>G375-Supuestos!$C$7</x:f>
        <x:v>20</x:v>
      </x:c>
      <x:c r="I375" s="14" t="n">
        <x:f>E1_plantas!J126+G375</x:f>
        <x:v>46125</x:v>
      </x:c>
      <x:c r="J375" s="2" t="n">
        <x:v>171</x:v>
      </x:c>
      <x:c r="K375" s="2" t="n">
        <x:f>IF(AND(G375&gt;Supuestos!$C$8,E375&lt;&gt;"L0"),1,0)</x:f>
        <x:v>1</x:v>
      </x:c>
      <x:c r="L375" s="2" t="str">
        <x:v>posterior_al_dia_14</x:v>
      </x:c>
      <x:c r="M375" s="2" t="str">
        <x:v>simulado_didactico</x:v>
      </x:c>
    </x:row>
    <x:row r="376" ht="19" customHeight="1">
      <x:c r="A376" s="2" t="str">
        <x:v>SIM-E1-MP-L9-R07</x:v>
      </x:c>
      <x:c r="B376" s="2" t="n">
        <x:v>4</x:v>
      </x:c>
      <x:c r="C376" s="2" t="str">
        <x:v>MP</x:v>
      </x:c>
      <x:c r="D376" s="2" t="str">
        <x:v>Myzus persicae</x:v>
      </x:c>
      <x:c r="E376" s="2" t="str">
        <x:v>L9</x:v>
      </x:c>
      <x:c r="F376" s="2" t="n">
        <x:v>7</x:v>
      </x:c>
      <x:c r="G376" s="2" t="n">
        <x:v>28</x:v>
      </x:c>
      <x:c r="H376" s="2" t="n">
        <x:f>G376-Supuestos!$C$7</x:f>
        <x:v>27</x:v>
      </x:c>
      <x:c r="I376" s="14" t="n">
        <x:f>E1_plantas!J126+G376</x:f>
        <x:v>46132</x:v>
      </x:c>
      <x:c r="J376" s="2" t="n">
        <x:v>258</x:v>
      </x:c>
      <x:c r="K376" s="2" t="n">
        <x:f>IF(AND(G376&gt;Supuestos!$C$8,E376&lt;&gt;"L0"),1,0)</x:f>
        <x:v>1</x:v>
      </x:c>
      <x:c r="L376" s="2" t="str">
        <x:v>posterior_al_dia_14</x:v>
      </x:c>
      <x:c r="M376" s="2" t="str">
        <x:v>simulado_didactico</x:v>
      </x:c>
    </x:row>
    <x:row r="377" ht="19" customHeight="1">
      <x:c r="A377" s="2" t="str">
        <x:v>SIM-E1-MP-L9-R08</x:v>
      </x:c>
      <x:c r="B377" s="2" t="n">
        <x:v>4</x:v>
      </x:c>
      <x:c r="C377" s="2" t="str">
        <x:v>MP</x:v>
      </x:c>
      <x:c r="D377" s="2" t="str">
        <x:v>Myzus persicae</x:v>
      </x:c>
      <x:c r="E377" s="2" t="str">
        <x:v>L9</x:v>
      </x:c>
      <x:c r="F377" s="2" t="n">
        <x:v>8</x:v>
      </x:c>
      <x:c r="G377" s="2" t="n">
        <x:v>14</x:v>
      </x:c>
      <x:c r="H377" s="2" t="n">
        <x:f>G377-Supuestos!$C$7</x:f>
        <x:v>13</x:v>
      </x:c>
      <x:c r="I377" s="14" t="n">
        <x:f>E1_plantas!J127+G377</x:f>
        <x:v>46118</x:v>
      </x:c>
      <x:c r="J377" s="2" t="n">
        <x:v>15</x:v>
      </x:c>
      <x:c r="K377" s="2" t="n">
        <x:f>IF(AND(G377&gt;Supuestos!$C$8,E377&lt;&gt;"L0"),1,0)</x:f>
        <x:v>0</x:v>
      </x:c>
      <x:c r="L377" s="2" t="str">
        <x:v>antes_de_reinoculacion</x:v>
      </x:c>
      <x:c r="M377" s="2" t="str">
        <x:v>simulado_didactico</x:v>
      </x:c>
    </x:row>
    <x:row r="378" ht="19" customHeight="1">
      <x:c r="A378" s="2" t="str">
        <x:v>SIM-E1-MP-L9-R08</x:v>
      </x:c>
      <x:c r="B378" s="2" t="n">
        <x:v>4</x:v>
      </x:c>
      <x:c r="C378" s="2" t="str">
        <x:v>MP</x:v>
      </x:c>
      <x:c r="D378" s="2" t="str">
        <x:v>Myzus persicae</x:v>
      </x:c>
      <x:c r="E378" s="2" t="str">
        <x:v>L9</x:v>
      </x:c>
      <x:c r="F378" s="2" t="n">
        <x:v>8</x:v>
      </x:c>
      <x:c r="G378" s="2" t="n">
        <x:v>21</x:v>
      </x:c>
      <x:c r="H378" s="2" t="n">
        <x:f>G378-Supuestos!$C$7</x:f>
        <x:v>20</x:v>
      </x:c>
      <x:c r="I378" s="14" t="n">
        <x:f>E1_plantas!J127+G378</x:f>
        <x:v>46125</x:v>
      </x:c>
      <x:c r="J378" s="2" t="n">
        <x:v>88</x:v>
      </x:c>
      <x:c r="K378" s="2" t="n">
        <x:f>IF(AND(G378&gt;Supuestos!$C$8,E378&lt;&gt;"L0"),1,0)</x:f>
        <x:v>1</x:v>
      </x:c>
      <x:c r="L378" s="2" t="str">
        <x:v>posterior_al_dia_14</x:v>
      </x:c>
      <x:c r="M378" s="2" t="str">
        <x:v>simulado_didactico</x:v>
      </x:c>
    </x:row>
    <x:row r="379" ht="19" customHeight="1">
      <x:c r="A379" s="2" t="str">
        <x:v>SIM-E1-MP-L9-R08</x:v>
      </x:c>
      <x:c r="B379" s="2" t="n">
        <x:v>4</x:v>
      </x:c>
      <x:c r="C379" s="2" t="str">
        <x:v>MP</x:v>
      </x:c>
      <x:c r="D379" s="2" t="str">
        <x:v>Myzus persicae</x:v>
      </x:c>
      <x:c r="E379" s="2" t="str">
        <x:v>L9</x:v>
      </x:c>
      <x:c r="F379" s="2" t="n">
        <x:v>8</x:v>
      </x:c>
      <x:c r="G379" s="2" t="n">
        <x:v>28</x:v>
      </x:c>
      <x:c r="H379" s="2" t="n">
        <x:f>G379-Supuestos!$C$7</x:f>
        <x:v>27</x:v>
      </x:c>
      <x:c r="I379" s="14" t="n">
        <x:f>E1_plantas!J127+G379</x:f>
        <x:v>46132</x:v>
      </x:c>
      <x:c r="J379" s="2" t="n">
        <x:v>263</x:v>
      </x:c>
      <x:c r="K379" s="2" t="n">
        <x:f>IF(AND(G379&gt;Supuestos!$C$8,E379&lt;&gt;"L0"),1,0)</x:f>
        <x:v>1</x:v>
      </x:c>
      <x:c r="L379" s="2" t="str">
        <x:v>posterior_al_dia_14</x:v>
      </x:c>
      <x:c r="M379" s="2" t="str">
        <x:v>simulado_didactico</x:v>
      </x:c>
    </x:row>
    <x:row r="380" ht="19" customHeight="1">
      <x:c r="A380" s="2" t="str">
        <x:v>SIM-E1-BB-L0-R07</x:v>
      </x:c>
      <x:c r="B380" s="2" t="n">
        <x:v>4</x:v>
      </x:c>
      <x:c r="C380" s="2" t="str">
        <x:v>BB</x:v>
      </x:c>
      <x:c r="D380" s="2" t="str">
        <x:v>Brevicoryne brassicae</x:v>
      </x:c>
      <x:c r="E380" s="2" t="str">
        <x:v>L0</x:v>
      </x:c>
      <x:c r="F380" s="2" t="n">
        <x:v>7</x:v>
      </x:c>
      <x:c r="G380" s="2" t="n">
        <x:v>14</x:v>
      </x:c>
      <x:c r="H380" s="2" t="n">
        <x:f>G380-Supuestos!$C$7</x:f>
        <x:v>13</x:v>
      </x:c>
      <x:c r="I380" s="14" t="n">
        <x:f>E1_plantas!J128+G380</x:f>
        <x:v>46118</x:v>
      </x:c>
      <x:c r="J380" s="2" t="n">
        <x:v>23</x:v>
      </x:c>
      <x:c r="K380" s="2" t="n">
        <x:f>IF(AND(G380&gt;Supuestos!$C$8,E380&lt;&gt;"L0"),1,0)</x:f>
        <x:v>0</x:v>
      </x:c>
      <x:c r="L380" s="2" t="str">
        <x:v>antes_de_reinoculacion</x:v>
      </x:c>
      <x:c r="M380" s="2" t="str">
        <x:v>simulado_didactico</x:v>
      </x:c>
    </x:row>
    <x:row r="381" ht="19" customHeight="1">
      <x:c r="A381" s="2" t="str">
        <x:v>SIM-E1-BB-L0-R07</x:v>
      </x:c>
      <x:c r="B381" s="2" t="n">
        <x:v>4</x:v>
      </x:c>
      <x:c r="C381" s="2" t="str">
        <x:v>BB</x:v>
      </x:c>
      <x:c r="D381" s="2" t="str">
        <x:v>Brevicoryne brassicae</x:v>
      </x:c>
      <x:c r="E381" s="2" t="str">
        <x:v>L0</x:v>
      </x:c>
      <x:c r="F381" s="2" t="n">
        <x:v>7</x:v>
      </x:c>
      <x:c r="G381" s="2" t="n">
        <x:v>21</x:v>
      </x:c>
      <x:c r="H381" s="2" t="n">
        <x:f>G381-Supuestos!$C$7</x:f>
        <x:v>20</x:v>
      </x:c>
      <x:c r="I381" s="14" t="n">
        <x:f>E1_plantas!J128+G381</x:f>
        <x:v>46125</x:v>
      </x:c>
      <x:c r="J381" s="2" t="n">
        <x:v>73</x:v>
      </x:c>
      <x:c r="K381" s="2" t="n">
        <x:f>IF(AND(G381&gt;Supuestos!$C$8,E381&lt;&gt;"L0"),1,0)</x:f>
        <x:v>0</x:v>
      </x:c>
      <x:c r="L381" s="2" t="str">
        <x:v>posterior_al_dia_14</x:v>
      </x:c>
      <x:c r="M381" s="2" t="str">
        <x:v>simulado_didactico</x:v>
      </x:c>
    </x:row>
    <x:row r="382" ht="19" customHeight="1">
      <x:c r="A382" s="2" t="str">
        <x:v>SIM-E1-BB-L0-R07</x:v>
      </x:c>
      <x:c r="B382" s="2" t="n">
        <x:v>4</x:v>
      </x:c>
      <x:c r="C382" s="2" t="str">
        <x:v>BB</x:v>
      </x:c>
      <x:c r="D382" s="2" t="str">
        <x:v>Brevicoryne brassicae</x:v>
      </x:c>
      <x:c r="E382" s="2" t="str">
        <x:v>L0</x:v>
      </x:c>
      <x:c r="F382" s="2" t="n">
        <x:v>7</x:v>
      </x:c>
      <x:c r="G382" s="2" t="n">
        <x:v>28</x:v>
      </x:c>
      <x:c r="H382" s="2" t="n">
        <x:f>G382-Supuestos!$C$7</x:f>
        <x:v>27</x:v>
      </x:c>
      <x:c r="I382" s="14" t="n">
        <x:f>E1_plantas!J128+G382</x:f>
        <x:v>46132</x:v>
      </x:c>
      <x:c r="J382" s="2" t="n">
        <x:v>284</x:v>
      </x:c>
      <x:c r="K382" s="2" t="n">
        <x:f>IF(AND(G382&gt;Supuestos!$C$8,E382&lt;&gt;"L0"),1,0)</x:f>
        <x:v>0</x:v>
      </x:c>
      <x:c r="L382" s="2" t="str">
        <x:v>posterior_al_dia_14</x:v>
      </x:c>
      <x:c r="M382" s="2" t="str">
        <x:v>simulado_didactico</x:v>
      </x:c>
    </x:row>
    <x:row r="383" ht="19" customHeight="1">
      <x:c r="A383" s="2" t="str">
        <x:v>SIM-E1-BB-L0-R08</x:v>
      </x:c>
      <x:c r="B383" s="2" t="n">
        <x:v>4</x:v>
      </x:c>
      <x:c r="C383" s="2" t="str">
        <x:v>BB</x:v>
      </x:c>
      <x:c r="D383" s="2" t="str">
        <x:v>Brevicoryne brassicae</x:v>
      </x:c>
      <x:c r="E383" s="2" t="str">
        <x:v>L0</x:v>
      </x:c>
      <x:c r="F383" s="2" t="n">
        <x:v>8</x:v>
      </x:c>
      <x:c r="G383" s="2" t="n">
        <x:v>14</x:v>
      </x:c>
      <x:c r="H383" s="2" t="n">
        <x:f>G383-Supuestos!$C$7</x:f>
        <x:v>13</x:v>
      </x:c>
      <x:c r="I383" s="14" t="n">
        <x:f>E1_plantas!J129+G383</x:f>
        <x:v>46118</x:v>
      </x:c>
      <x:c r="J383" s="2" t="n">
        <x:v>8</x:v>
      </x:c>
      <x:c r="K383" s="2" t="n">
        <x:f>IF(AND(G383&gt;Supuestos!$C$8,E383&lt;&gt;"L0"),1,0)</x:f>
        <x:v>0</x:v>
      </x:c>
      <x:c r="L383" s="2" t="str">
        <x:v>antes_de_reinoculacion</x:v>
      </x:c>
      <x:c r="M383" s="2" t="str">
        <x:v>simulado_didactico</x:v>
      </x:c>
    </x:row>
    <x:row r="384" ht="19" customHeight="1">
      <x:c r="A384" s="2" t="str">
        <x:v>SIM-E1-BB-L0-R08</x:v>
      </x:c>
      <x:c r="B384" s="2" t="n">
        <x:v>4</x:v>
      </x:c>
      <x:c r="C384" s="2" t="str">
        <x:v>BB</x:v>
      </x:c>
      <x:c r="D384" s="2" t="str">
        <x:v>Brevicoryne brassicae</x:v>
      </x:c>
      <x:c r="E384" s="2" t="str">
        <x:v>L0</x:v>
      </x:c>
      <x:c r="F384" s="2" t="n">
        <x:v>8</x:v>
      </x:c>
      <x:c r="G384" s="2" t="n">
        <x:v>21</x:v>
      </x:c>
      <x:c r="H384" s="2" t="n">
        <x:f>G384-Supuestos!$C$7</x:f>
        <x:v>20</x:v>
      </x:c>
      <x:c r="I384" s="14" t="n">
        <x:f>E1_plantas!J129+G384</x:f>
        <x:v>46125</x:v>
      </x:c>
      <x:c r="J384" s="2" t="n">
        <x:v>71</x:v>
      </x:c>
      <x:c r="K384" s="2" t="n">
        <x:f>IF(AND(G384&gt;Supuestos!$C$8,E384&lt;&gt;"L0"),1,0)</x:f>
        <x:v>0</x:v>
      </x:c>
      <x:c r="L384" s="2" t="str">
        <x:v>posterior_al_dia_14</x:v>
      </x:c>
      <x:c r="M384" s="2" t="str">
        <x:v>simulado_didactico</x:v>
      </x:c>
    </x:row>
    <x:row r="385" ht="19" customHeight="1">
      <x:c r="A385" s="2" t="str">
        <x:v>SIM-E1-BB-L0-R08</x:v>
      </x:c>
      <x:c r="B385" s="2" t="n">
        <x:v>4</x:v>
      </x:c>
      <x:c r="C385" s="2" t="str">
        <x:v>BB</x:v>
      </x:c>
      <x:c r="D385" s="2" t="str">
        <x:v>Brevicoryne brassicae</x:v>
      </x:c>
      <x:c r="E385" s="2" t="str">
        <x:v>L0</x:v>
      </x:c>
      <x:c r="F385" s="2" t="n">
        <x:v>8</x:v>
      </x:c>
      <x:c r="G385" s="2" t="n">
        <x:v>28</x:v>
      </x:c>
      <x:c r="H385" s="2" t="n">
        <x:f>G385-Supuestos!$C$7</x:f>
        <x:v>27</x:v>
      </x:c>
      <x:c r="I385" s="14" t="n">
        <x:f>E1_plantas!J129+G385</x:f>
        <x:v>46132</x:v>
      </x:c>
      <x:c r="J385" s="2" t="n">
        <x:v>149</x:v>
      </x:c>
      <x:c r="K385" s="2" t="n">
        <x:f>IF(AND(G385&gt;Supuestos!$C$8,E385&lt;&gt;"L0"),1,0)</x:f>
        <x:v>0</x:v>
      </x:c>
      <x:c r="L385" s="2" t="str">
        <x:v>posterior_al_dia_14</x:v>
      </x:c>
      <x:c r="M385" s="2" t="str">
        <x:v>simulado_didactico</x:v>
      </x:c>
    </x:row>
    <x:row r="386" ht="19" customHeight="1">
      <x:c r="A386" s="2" t="str">
        <x:v>SIM-E1-BB-L1-R07</x:v>
      </x:c>
      <x:c r="B386" s="2" t="n">
        <x:v>4</x:v>
      </x:c>
      <x:c r="C386" s="2" t="str">
        <x:v>BB</x:v>
      </x:c>
      <x:c r="D386" s="2" t="str">
        <x:v>Brevicoryne brassicae</x:v>
      </x:c>
      <x:c r="E386" s="2" t="str">
        <x:v>L1</x:v>
      </x:c>
      <x:c r="F386" s="2" t="n">
        <x:v>7</x:v>
      </x:c>
      <x:c r="G386" s="2" t="n">
        <x:v>14</x:v>
      </x:c>
      <x:c r="H386" s="2" t="n">
        <x:f>G386-Supuestos!$C$7</x:f>
        <x:v>13</x:v>
      </x:c>
      <x:c r="I386" s="14" t="n">
        <x:f>E1_plantas!J130+G386</x:f>
        <x:v>46118</x:v>
      </x:c>
      <x:c r="J386" s="2" t="n">
        <x:v>26</x:v>
      </x:c>
      <x:c r="K386" s="2" t="n">
        <x:f>IF(AND(G386&gt;Supuestos!$C$8,E386&lt;&gt;"L0"),1,0)</x:f>
        <x:v>0</x:v>
      </x:c>
      <x:c r="L386" s="2" t="str">
        <x:v>antes_de_reinoculacion</x:v>
      </x:c>
      <x:c r="M386" s="2" t="str">
        <x:v>simulado_didactico</x:v>
      </x:c>
    </x:row>
    <x:row r="387" ht="19" customHeight="1">
      <x:c r="A387" s="2" t="str">
        <x:v>SIM-E1-BB-L1-R07</x:v>
      </x:c>
      <x:c r="B387" s="2" t="n">
        <x:v>4</x:v>
      </x:c>
      <x:c r="C387" s="2" t="str">
        <x:v>BB</x:v>
      </x:c>
      <x:c r="D387" s="2" t="str">
        <x:v>Brevicoryne brassicae</x:v>
      </x:c>
      <x:c r="E387" s="2" t="str">
        <x:v>L1</x:v>
      </x:c>
      <x:c r="F387" s="2" t="n">
        <x:v>7</x:v>
      </x:c>
      <x:c r="G387" s="2" t="n">
        <x:v>21</x:v>
      </x:c>
      <x:c r="H387" s="2" t="n">
        <x:f>G387-Supuestos!$C$7</x:f>
        <x:v>20</x:v>
      </x:c>
      <x:c r="I387" s="14" t="n">
        <x:f>E1_plantas!J130+G387</x:f>
        <x:v>46125</x:v>
      </x:c>
      <x:c r="J387" s="2" t="n">
        <x:v>149</x:v>
      </x:c>
      <x:c r="K387" s="2" t="n">
        <x:f>IF(AND(G387&gt;Supuestos!$C$8,E387&lt;&gt;"L0"),1,0)</x:f>
        <x:v>1</x:v>
      </x:c>
      <x:c r="L387" s="2" t="str">
        <x:v>posterior_al_dia_14</x:v>
      </x:c>
      <x:c r="M387" s="2" t="str">
        <x:v>simulado_didactico</x:v>
      </x:c>
    </x:row>
    <x:row r="388" ht="19" customHeight="1">
      <x:c r="A388" s="2" t="str">
        <x:v>SIM-E1-BB-L1-R07</x:v>
      </x:c>
      <x:c r="B388" s="2" t="n">
        <x:v>4</x:v>
      </x:c>
      <x:c r="C388" s="2" t="str">
        <x:v>BB</x:v>
      </x:c>
      <x:c r="D388" s="2" t="str">
        <x:v>Brevicoryne brassicae</x:v>
      </x:c>
      <x:c r="E388" s="2" t="str">
        <x:v>L1</x:v>
      </x:c>
      <x:c r="F388" s="2" t="n">
        <x:v>7</x:v>
      </x:c>
      <x:c r="G388" s="2" t="n">
        <x:v>28</x:v>
      </x:c>
      <x:c r="H388" s="2" t="n">
        <x:f>G388-Supuestos!$C$7</x:f>
        <x:v>27</x:v>
      </x:c>
      <x:c r="I388" s="14" t="n">
        <x:f>E1_plantas!J130+G388</x:f>
        <x:v>46132</x:v>
      </x:c>
      <x:c r="J388" s="2" t="n">
        <x:v>373</x:v>
      </x:c>
      <x:c r="K388" s="2" t="n">
        <x:f>IF(AND(G388&gt;Supuestos!$C$8,E388&lt;&gt;"L0"),1,0)</x:f>
        <x:v>1</x:v>
      </x:c>
      <x:c r="L388" s="2" t="str">
        <x:v>posterior_al_dia_14</x:v>
      </x:c>
      <x:c r="M388" s="2" t="str">
        <x:v>simulado_didactico</x:v>
      </x:c>
    </x:row>
    <x:row r="389" ht="19" customHeight="1">
      <x:c r="A389" s="2" t="str">
        <x:v>SIM-E1-BB-L1-R08</x:v>
      </x:c>
      <x:c r="B389" s="2" t="n">
        <x:v>4</x:v>
      </x:c>
      <x:c r="C389" s="2" t="str">
        <x:v>BB</x:v>
      </x:c>
      <x:c r="D389" s="2" t="str">
        <x:v>Brevicoryne brassicae</x:v>
      </x:c>
      <x:c r="E389" s="2" t="str">
        <x:v>L1</x:v>
      </x:c>
      <x:c r="F389" s="2" t="n">
        <x:v>8</x:v>
      </x:c>
      <x:c r="G389" s="2" t="n">
        <x:v>14</x:v>
      </x:c>
      <x:c r="H389" s="2" t="n">
        <x:f>G389-Supuestos!$C$7</x:f>
        <x:v>13</x:v>
      </x:c>
      <x:c r="I389" s="14" t="n">
        <x:f>E1_plantas!J131+G389</x:f>
        <x:v>46118</x:v>
      </x:c>
      <x:c r="J389" s="2" t="n">
        <x:v>52</x:v>
      </x:c>
      <x:c r="K389" s="2" t="n">
        <x:f>IF(AND(G389&gt;Supuestos!$C$8,E389&lt;&gt;"L0"),1,0)</x:f>
        <x:v>0</x:v>
      </x:c>
      <x:c r="L389" s="2" t="str">
        <x:v>antes_de_reinoculacion</x:v>
      </x:c>
      <x:c r="M389" s="2" t="str">
        <x:v>simulado_didactico</x:v>
      </x:c>
    </x:row>
    <x:row r="390" ht="19" customHeight="1">
      <x:c r="A390" s="2" t="str">
        <x:v>SIM-E1-BB-L1-R08</x:v>
      </x:c>
      <x:c r="B390" s="2" t="n">
        <x:v>4</x:v>
      </x:c>
      <x:c r="C390" s="2" t="str">
        <x:v>BB</x:v>
      </x:c>
      <x:c r="D390" s="2" t="str">
        <x:v>Brevicoryne brassicae</x:v>
      </x:c>
      <x:c r="E390" s="2" t="str">
        <x:v>L1</x:v>
      </x:c>
      <x:c r="F390" s="2" t="n">
        <x:v>8</x:v>
      </x:c>
      <x:c r="G390" s="2" t="n">
        <x:v>21</x:v>
      </x:c>
      <x:c r="H390" s="2" t="n">
        <x:f>G390-Supuestos!$C$7</x:f>
        <x:v>20</x:v>
      </x:c>
      <x:c r="I390" s="14" t="n">
        <x:f>E1_plantas!J131+G390</x:f>
        <x:v>46125</x:v>
      </x:c>
      <x:c r="J390" s="2" t="n">
        <x:v>189</x:v>
      </x:c>
      <x:c r="K390" s="2" t="n">
        <x:f>IF(AND(G390&gt;Supuestos!$C$8,E390&lt;&gt;"L0"),1,0)</x:f>
        <x:v>1</x:v>
      </x:c>
      <x:c r="L390" s="2" t="str">
        <x:v>posterior_al_dia_14</x:v>
      </x:c>
      <x:c r="M390" s="2" t="str">
        <x:v>simulado_didactico</x:v>
      </x:c>
    </x:row>
    <x:row r="391" ht="19" customHeight="1">
      <x:c r="A391" s="2" t="str">
        <x:v>SIM-E1-BB-L1-R08</x:v>
      </x:c>
      <x:c r="B391" s="2" t="n">
        <x:v>4</x:v>
      </x:c>
      <x:c r="C391" s="2" t="str">
        <x:v>BB</x:v>
      </x:c>
      <x:c r="D391" s="2" t="str">
        <x:v>Brevicoryne brassicae</x:v>
      </x:c>
      <x:c r="E391" s="2" t="str">
        <x:v>L1</x:v>
      </x:c>
      <x:c r="F391" s="2" t="n">
        <x:v>8</x:v>
      </x:c>
      <x:c r="G391" s="2" t="n">
        <x:v>28</x:v>
      </x:c>
      <x:c r="H391" s="2" t="n">
        <x:f>G391-Supuestos!$C$7</x:f>
        <x:v>27</x:v>
      </x:c>
      <x:c r="I391" s="14" t="n">
        <x:f>E1_plantas!J131+G391</x:f>
        <x:v>46132</x:v>
      </x:c>
      <x:c r="J391" s="2" t="n">
        <x:v>582</x:v>
      </x:c>
      <x:c r="K391" s="2" t="n">
        <x:f>IF(AND(G391&gt;Supuestos!$C$8,E391&lt;&gt;"L0"),1,0)</x:f>
        <x:v>1</x:v>
      </x:c>
      <x:c r="L391" s="2" t="str">
        <x:v>posterior_al_dia_14</x:v>
      </x:c>
      <x:c r="M391" s="2" t="str">
        <x:v>simulado_didactico</x:v>
      </x:c>
    </x:row>
    <x:row r="392" ht="19" customHeight="1">
      <x:c r="A392" s="2" t="str">
        <x:v>SIM-E1-BB-L2-R07</x:v>
      </x:c>
      <x:c r="B392" s="2" t="n">
        <x:v>4</x:v>
      </x:c>
      <x:c r="C392" s="2" t="str">
        <x:v>BB</x:v>
      </x:c>
      <x:c r="D392" s="2" t="str">
        <x:v>Brevicoryne brassicae</x:v>
      </x:c>
      <x:c r="E392" s="2" t="str">
        <x:v>L2</x:v>
      </x:c>
      <x:c r="F392" s="2" t="n">
        <x:v>7</x:v>
      </x:c>
      <x:c r="G392" s="2" t="n">
        <x:v>14</x:v>
      </x:c>
      <x:c r="H392" s="2" t="n">
        <x:f>G392-Supuestos!$C$7</x:f>
        <x:v>13</x:v>
      </x:c>
      <x:c r="I392" s="14" t="n">
        <x:f>E1_plantas!J132+G392</x:f>
        <x:v>46118</x:v>
      </x:c>
      <x:c r="J392" s="2" t="n">
        <x:v>19</x:v>
      </x:c>
      <x:c r="K392" s="2" t="n">
        <x:f>IF(AND(G392&gt;Supuestos!$C$8,E392&lt;&gt;"L0"),1,0)</x:f>
        <x:v>0</x:v>
      </x:c>
      <x:c r="L392" s="2" t="str">
        <x:v>antes_de_reinoculacion</x:v>
      </x:c>
      <x:c r="M392" s="2" t="str">
        <x:v>simulado_didactico</x:v>
      </x:c>
    </x:row>
    <x:row r="393" ht="19" customHeight="1">
      <x:c r="A393" s="2" t="str">
        <x:v>SIM-E1-BB-L2-R07</x:v>
      </x:c>
      <x:c r="B393" s="2" t="n">
        <x:v>4</x:v>
      </x:c>
      <x:c r="C393" s="2" t="str">
        <x:v>BB</x:v>
      </x:c>
      <x:c r="D393" s="2" t="str">
        <x:v>Brevicoryne brassicae</x:v>
      </x:c>
      <x:c r="E393" s="2" t="str">
        <x:v>L2</x:v>
      </x:c>
      <x:c r="F393" s="2" t="n">
        <x:v>7</x:v>
      </x:c>
      <x:c r="G393" s="2" t="n">
        <x:v>21</x:v>
      </x:c>
      <x:c r="H393" s="2" t="n">
        <x:f>G393-Supuestos!$C$7</x:f>
        <x:v>20</x:v>
      </x:c>
      <x:c r="I393" s="14" t="n">
        <x:f>E1_plantas!J132+G393</x:f>
        <x:v>46125</x:v>
      </x:c>
      <x:c r="J393" s="2" t="n">
        <x:v>86</x:v>
      </x:c>
      <x:c r="K393" s="2" t="n">
        <x:f>IF(AND(G393&gt;Supuestos!$C$8,E393&lt;&gt;"L0"),1,0)</x:f>
        <x:v>1</x:v>
      </x:c>
      <x:c r="L393" s="2" t="str">
        <x:v>posterior_al_dia_14</x:v>
      </x:c>
      <x:c r="M393" s="2" t="str">
        <x:v>simulado_didactico</x:v>
      </x:c>
    </x:row>
    <x:row r="394" ht="19" customHeight="1">
      <x:c r="A394" s="2" t="str">
        <x:v>SIM-E1-BB-L2-R07</x:v>
      </x:c>
      <x:c r="B394" s="2" t="n">
        <x:v>4</x:v>
      </x:c>
      <x:c r="C394" s="2" t="str">
        <x:v>BB</x:v>
      </x:c>
      <x:c r="D394" s="2" t="str">
        <x:v>Brevicoryne brassicae</x:v>
      </x:c>
      <x:c r="E394" s="2" t="str">
        <x:v>L2</x:v>
      </x:c>
      <x:c r="F394" s="2" t="n">
        <x:v>7</x:v>
      </x:c>
      <x:c r="G394" s="2" t="n">
        <x:v>28</x:v>
      </x:c>
      <x:c r="H394" s="2" t="n">
        <x:f>G394-Supuestos!$C$7</x:f>
        <x:v>27</x:v>
      </x:c>
      <x:c r="I394" s="14" t="n">
        <x:f>E1_plantas!J132+G394</x:f>
        <x:v>46132</x:v>
      </x:c>
      <x:c r="J394" s="2" t="n">
        <x:v>286</x:v>
      </x:c>
      <x:c r="K394" s="2" t="n">
        <x:f>IF(AND(G394&gt;Supuestos!$C$8,E394&lt;&gt;"L0"),1,0)</x:f>
        <x:v>1</x:v>
      </x:c>
      <x:c r="L394" s="2" t="str">
        <x:v>posterior_al_dia_14</x:v>
      </x:c>
      <x:c r="M394" s="2" t="str">
        <x:v>simulado_didactico</x:v>
      </x:c>
    </x:row>
    <x:row r="395" ht="19" customHeight="1">
      <x:c r="A395" s="2" t="str">
        <x:v>SIM-E1-BB-L2-R08</x:v>
      </x:c>
      <x:c r="B395" s="2" t="n">
        <x:v>4</x:v>
      </x:c>
      <x:c r="C395" s="2" t="str">
        <x:v>BB</x:v>
      </x:c>
      <x:c r="D395" s="2" t="str">
        <x:v>Brevicoryne brassicae</x:v>
      </x:c>
      <x:c r="E395" s="2" t="str">
        <x:v>L2</x:v>
      </x:c>
      <x:c r="F395" s="2" t="n">
        <x:v>8</x:v>
      </x:c>
      <x:c r="G395" s="2" t="n">
        <x:v>14</x:v>
      </x:c>
      <x:c r="H395" s="2" t="n">
        <x:f>G395-Supuestos!$C$7</x:f>
        <x:v>13</x:v>
      </x:c>
      <x:c r="I395" s="14" t="n">
        <x:f>E1_plantas!J133+G395</x:f>
        <x:v>46118</x:v>
      </x:c>
      <x:c r="J395" s="2" t="n">
        <x:v>20</x:v>
      </x:c>
      <x:c r="K395" s="2" t="n">
        <x:f>IF(AND(G395&gt;Supuestos!$C$8,E395&lt;&gt;"L0"),1,0)</x:f>
        <x:v>0</x:v>
      </x:c>
      <x:c r="L395" s="2" t="str">
        <x:v>antes_de_reinoculacion</x:v>
      </x:c>
      <x:c r="M395" s="2" t="str">
        <x:v>simulado_didactico</x:v>
      </x:c>
    </x:row>
    <x:row r="396" ht="19" customHeight="1">
      <x:c r="A396" s="2" t="str">
        <x:v>SIM-E1-BB-L2-R08</x:v>
      </x:c>
      <x:c r="B396" s="2" t="n">
        <x:v>4</x:v>
      </x:c>
      <x:c r="C396" s="2" t="str">
        <x:v>BB</x:v>
      </x:c>
      <x:c r="D396" s="2" t="str">
        <x:v>Brevicoryne brassicae</x:v>
      </x:c>
      <x:c r="E396" s="2" t="str">
        <x:v>L2</x:v>
      </x:c>
      <x:c r="F396" s="2" t="n">
        <x:v>8</x:v>
      </x:c>
      <x:c r="G396" s="2" t="n">
        <x:v>21</x:v>
      </x:c>
      <x:c r="H396" s="2" t="n">
        <x:f>G396-Supuestos!$C$7</x:f>
        <x:v>20</x:v>
      </x:c>
      <x:c r="I396" s="14" t="n">
        <x:f>E1_plantas!J133+G396</x:f>
        <x:v>46125</x:v>
      </x:c>
      <x:c r="J396" s="2" t="n">
        <x:v>86</x:v>
      </x:c>
      <x:c r="K396" s="2" t="n">
        <x:f>IF(AND(G396&gt;Supuestos!$C$8,E396&lt;&gt;"L0"),1,0)</x:f>
        <x:v>1</x:v>
      </x:c>
      <x:c r="L396" s="2" t="str">
        <x:v>posterior_al_dia_14</x:v>
      </x:c>
      <x:c r="M396" s="2" t="str">
        <x:v>simulado_didactico</x:v>
      </x:c>
    </x:row>
    <x:row r="397" ht="19" customHeight="1">
      <x:c r="A397" s="2" t="str">
        <x:v>SIM-E1-BB-L2-R08</x:v>
      </x:c>
      <x:c r="B397" s="2" t="n">
        <x:v>4</x:v>
      </x:c>
      <x:c r="C397" s="2" t="str">
        <x:v>BB</x:v>
      </x:c>
      <x:c r="D397" s="2" t="str">
        <x:v>Brevicoryne brassicae</x:v>
      </x:c>
      <x:c r="E397" s="2" t="str">
        <x:v>L2</x:v>
      </x:c>
      <x:c r="F397" s="2" t="n">
        <x:v>8</x:v>
      </x:c>
      <x:c r="G397" s="2" t="n">
        <x:v>28</x:v>
      </x:c>
      <x:c r="H397" s="2" t="n">
        <x:f>G397-Supuestos!$C$7</x:f>
        <x:v>27</x:v>
      </x:c>
      <x:c r="I397" s="14" t="n">
        <x:f>E1_plantas!J133+G397</x:f>
        <x:v>46132</x:v>
      </x:c>
      <x:c r="J397" s="2" t="n">
        <x:v>310</x:v>
      </x:c>
      <x:c r="K397" s="2" t="n">
        <x:f>IF(AND(G397&gt;Supuestos!$C$8,E397&lt;&gt;"L0"),1,0)</x:f>
        <x:v>1</x:v>
      </x:c>
      <x:c r="L397" s="2" t="str">
        <x:v>posterior_al_dia_14</x:v>
      </x:c>
      <x:c r="M397" s="2" t="str">
        <x:v>simulado_didactico</x:v>
      </x:c>
    </x:row>
    <x:row r="398" ht="19" customHeight="1">
      <x:c r="A398" s="2" t="str">
        <x:v>SIM-E1-BB-L3-R07</x:v>
      </x:c>
      <x:c r="B398" s="2" t="n">
        <x:v>4</x:v>
      </x:c>
      <x:c r="C398" s="2" t="str">
        <x:v>BB</x:v>
      </x:c>
      <x:c r="D398" s="2" t="str">
        <x:v>Brevicoryne brassicae</x:v>
      </x:c>
      <x:c r="E398" s="2" t="str">
        <x:v>L3</x:v>
      </x:c>
      <x:c r="F398" s="2" t="n">
        <x:v>7</x:v>
      </x:c>
      <x:c r="G398" s="2" t="n">
        <x:v>14</x:v>
      </x:c>
      <x:c r="H398" s="2" t="n">
        <x:f>G398-Supuestos!$C$7</x:f>
        <x:v>13</x:v>
      </x:c>
      <x:c r="I398" s="14" t="n">
        <x:f>E1_plantas!J134+G398</x:f>
        <x:v>46118</x:v>
      </x:c>
      <x:c r="J398" s="2" t="n">
        <x:v>23</x:v>
      </x:c>
      <x:c r="K398" s="2" t="n">
        <x:f>IF(AND(G398&gt;Supuestos!$C$8,E398&lt;&gt;"L0"),1,0)</x:f>
        <x:v>0</x:v>
      </x:c>
      <x:c r="L398" s="2" t="str">
        <x:v>antes_de_reinoculacion</x:v>
      </x:c>
      <x:c r="M398" s="2" t="str">
        <x:v>simulado_didactico</x:v>
      </x:c>
    </x:row>
    <x:row r="399" ht="19" customHeight="1">
      <x:c r="A399" s="2" t="str">
        <x:v>SIM-E1-BB-L3-R07</x:v>
      </x:c>
      <x:c r="B399" s="2" t="n">
        <x:v>4</x:v>
      </x:c>
      <x:c r="C399" s="2" t="str">
        <x:v>BB</x:v>
      </x:c>
      <x:c r="D399" s="2" t="str">
        <x:v>Brevicoryne brassicae</x:v>
      </x:c>
      <x:c r="E399" s="2" t="str">
        <x:v>L3</x:v>
      </x:c>
      <x:c r="F399" s="2" t="n">
        <x:v>7</x:v>
      </x:c>
      <x:c r="G399" s="2" t="n">
        <x:v>21</x:v>
      </x:c>
      <x:c r="H399" s="2" t="n">
        <x:f>G399-Supuestos!$C$7</x:f>
        <x:v>20</x:v>
      </x:c>
      <x:c r="I399" s="14" t="n">
        <x:f>E1_plantas!J134+G399</x:f>
        <x:v>46125</x:v>
      </x:c>
      <x:c r="J399" s="2" t="n">
        <x:v>79</x:v>
      </x:c>
      <x:c r="K399" s="2" t="n">
        <x:f>IF(AND(G399&gt;Supuestos!$C$8,E399&lt;&gt;"L0"),1,0)</x:f>
        <x:v>1</x:v>
      </x:c>
      <x:c r="L399" s="2" t="str">
        <x:v>posterior_al_dia_14</x:v>
      </x:c>
      <x:c r="M399" s="2" t="str">
        <x:v>simulado_didactico</x:v>
      </x:c>
    </x:row>
    <x:row r="400" ht="19" customHeight="1">
      <x:c r="A400" s="2" t="str">
        <x:v>SIM-E1-BB-L3-R07</x:v>
      </x:c>
      <x:c r="B400" s="2" t="n">
        <x:v>4</x:v>
      </x:c>
      <x:c r="C400" s="2" t="str">
        <x:v>BB</x:v>
      </x:c>
      <x:c r="D400" s="2" t="str">
        <x:v>Brevicoryne brassicae</x:v>
      </x:c>
      <x:c r="E400" s="2" t="str">
        <x:v>L3</x:v>
      </x:c>
      <x:c r="F400" s="2" t="n">
        <x:v>7</x:v>
      </x:c>
      <x:c r="G400" s="2" t="n">
        <x:v>28</x:v>
      </x:c>
      <x:c r="H400" s="2" t="n">
        <x:f>G400-Supuestos!$C$7</x:f>
        <x:v>27</x:v>
      </x:c>
      <x:c r="I400" s="14" t="n">
        <x:f>E1_plantas!J134+G400</x:f>
        <x:v>46132</x:v>
      </x:c>
      <x:c r="J400" s="2" t="n">
        <x:v>214</x:v>
      </x:c>
      <x:c r="K400" s="2" t="n">
        <x:f>IF(AND(G400&gt;Supuestos!$C$8,E400&lt;&gt;"L0"),1,0)</x:f>
        <x:v>1</x:v>
      </x:c>
      <x:c r="L400" s="2" t="str">
        <x:v>posterior_al_dia_14</x:v>
      </x:c>
      <x:c r="M400" s="2" t="str">
        <x:v>simulado_didactico</x:v>
      </x:c>
    </x:row>
    <x:row r="401" ht="19" customHeight="1">
      <x:c r="A401" s="2" t="str">
        <x:v>SIM-E1-BB-L3-R08</x:v>
      </x:c>
      <x:c r="B401" s="2" t="n">
        <x:v>4</x:v>
      </x:c>
      <x:c r="C401" s="2" t="str">
        <x:v>BB</x:v>
      </x:c>
      <x:c r="D401" s="2" t="str">
        <x:v>Brevicoryne brassicae</x:v>
      </x:c>
      <x:c r="E401" s="2" t="str">
        <x:v>L3</x:v>
      </x:c>
      <x:c r="F401" s="2" t="n">
        <x:v>8</x:v>
      </x:c>
      <x:c r="G401" s="2" t="n">
        <x:v>14</x:v>
      </x:c>
      <x:c r="H401" s="2" t="n">
        <x:f>G401-Supuestos!$C$7</x:f>
        <x:v>13</x:v>
      </x:c>
      <x:c r="I401" s="14" t="n">
        <x:f>E1_plantas!J135+G401</x:f>
        <x:v>46118</x:v>
      </x:c>
      <x:c r="J401" s="2" t="n">
        <x:v>24</x:v>
      </x:c>
      <x:c r="K401" s="2" t="n">
        <x:f>IF(AND(G401&gt;Supuestos!$C$8,E401&lt;&gt;"L0"),1,0)</x:f>
        <x:v>0</x:v>
      </x:c>
      <x:c r="L401" s="2" t="str">
        <x:v>antes_de_reinoculacion</x:v>
      </x:c>
      <x:c r="M401" s="2" t="str">
        <x:v>simulado_didactico</x:v>
      </x:c>
    </x:row>
    <x:row r="402" ht="19" customHeight="1">
      <x:c r="A402" s="2" t="str">
        <x:v>SIM-E1-BB-L3-R08</x:v>
      </x:c>
      <x:c r="B402" s="2" t="n">
        <x:v>4</x:v>
      </x:c>
      <x:c r="C402" s="2" t="str">
        <x:v>BB</x:v>
      </x:c>
      <x:c r="D402" s="2" t="str">
        <x:v>Brevicoryne brassicae</x:v>
      </x:c>
      <x:c r="E402" s="2" t="str">
        <x:v>L3</x:v>
      </x:c>
      <x:c r="F402" s="2" t="n">
        <x:v>8</x:v>
      </x:c>
      <x:c r="G402" s="2" t="n">
        <x:v>21</x:v>
      </x:c>
      <x:c r="H402" s="2" t="n">
        <x:f>G402-Supuestos!$C$7</x:f>
        <x:v>20</x:v>
      </x:c>
      <x:c r="I402" s="14" t="n">
        <x:f>E1_plantas!J135+G402</x:f>
        <x:v>46125</x:v>
      </x:c>
      <x:c r="J402" s="2" t="n">
        <x:v>86</x:v>
      </x:c>
      <x:c r="K402" s="2" t="n">
        <x:f>IF(AND(G402&gt;Supuestos!$C$8,E402&lt;&gt;"L0"),1,0)</x:f>
        <x:v>1</x:v>
      </x:c>
      <x:c r="L402" s="2" t="str">
        <x:v>posterior_al_dia_14</x:v>
      </x:c>
      <x:c r="M402" s="2" t="str">
        <x:v>simulado_didactico</x:v>
      </x:c>
    </x:row>
    <x:row r="403" ht="19" customHeight="1">
      <x:c r="A403" s="2" t="str">
        <x:v>SIM-E1-BB-L3-R08</x:v>
      </x:c>
      <x:c r="B403" s="2" t="n">
        <x:v>4</x:v>
      </x:c>
      <x:c r="C403" s="2" t="str">
        <x:v>BB</x:v>
      </x:c>
      <x:c r="D403" s="2" t="str">
        <x:v>Brevicoryne brassicae</x:v>
      </x:c>
      <x:c r="E403" s="2" t="str">
        <x:v>L3</x:v>
      </x:c>
      <x:c r="F403" s="2" t="n">
        <x:v>8</x:v>
      </x:c>
      <x:c r="G403" s="2" t="n">
        <x:v>28</x:v>
      </x:c>
      <x:c r="H403" s="2" t="n">
        <x:f>G403-Supuestos!$C$7</x:f>
        <x:v>27</x:v>
      </x:c>
      <x:c r="I403" s="14" t="n">
        <x:f>E1_plantas!J135+G403</x:f>
        <x:v>46132</x:v>
      </x:c>
      <x:c r="J403" s="2" t="n">
        <x:v>144</x:v>
      </x:c>
      <x:c r="K403" s="2" t="n">
        <x:f>IF(AND(G403&gt;Supuestos!$C$8,E403&lt;&gt;"L0"),1,0)</x:f>
        <x:v>1</x:v>
      </x:c>
      <x:c r="L403" s="2" t="str">
        <x:v>posterior_al_dia_14</x:v>
      </x:c>
      <x:c r="M403" s="2" t="str">
        <x:v>simulado_didactico</x:v>
      </x:c>
    </x:row>
    <x:row r="404" ht="19" customHeight="1">
      <x:c r="A404" s="2" t="str">
        <x:v>SIM-E1-BB-L5-R07</x:v>
      </x:c>
      <x:c r="B404" s="2" t="n">
        <x:v>4</x:v>
      </x:c>
      <x:c r="C404" s="2" t="str">
        <x:v>BB</x:v>
      </x:c>
      <x:c r="D404" s="2" t="str">
        <x:v>Brevicoryne brassicae</x:v>
      </x:c>
      <x:c r="E404" s="2" t="str">
        <x:v>L5</x:v>
      </x:c>
      <x:c r="F404" s="2" t="n">
        <x:v>7</x:v>
      </x:c>
      <x:c r="G404" s="2" t="n">
        <x:v>14</x:v>
      </x:c>
      <x:c r="H404" s="2" t="n">
        <x:f>G404-Supuestos!$C$7</x:f>
        <x:v>13</x:v>
      </x:c>
      <x:c r="I404" s="14" t="n">
        <x:f>E1_plantas!J136+G404</x:f>
        <x:v>46118</x:v>
      </x:c>
      <x:c r="J404" s="2" t="n">
        <x:v>9</x:v>
      </x:c>
      <x:c r="K404" s="2" t="n">
        <x:f>IF(AND(G404&gt;Supuestos!$C$8,E404&lt;&gt;"L0"),1,0)</x:f>
        <x:v>0</x:v>
      </x:c>
      <x:c r="L404" s="2" t="str">
        <x:v>antes_de_reinoculacion</x:v>
      </x:c>
      <x:c r="M404" s="2" t="str">
        <x:v>simulado_didactico</x:v>
      </x:c>
    </x:row>
    <x:row r="405" ht="19" customHeight="1">
      <x:c r="A405" s="2" t="str">
        <x:v>SIM-E1-BB-L5-R07</x:v>
      </x:c>
      <x:c r="B405" s="2" t="n">
        <x:v>4</x:v>
      </x:c>
      <x:c r="C405" s="2" t="str">
        <x:v>BB</x:v>
      </x:c>
      <x:c r="D405" s="2" t="str">
        <x:v>Brevicoryne brassicae</x:v>
      </x:c>
      <x:c r="E405" s="2" t="str">
        <x:v>L5</x:v>
      </x:c>
      <x:c r="F405" s="2" t="n">
        <x:v>7</x:v>
      </x:c>
      <x:c r="G405" s="2" t="n">
        <x:v>21</x:v>
      </x:c>
      <x:c r="H405" s="2" t="n">
        <x:f>G405-Supuestos!$C$7</x:f>
        <x:v>20</x:v>
      </x:c>
      <x:c r="I405" s="14" t="n">
        <x:f>E1_plantas!J136+G405</x:f>
        <x:v>46125</x:v>
      </x:c>
      <x:c r="J405" s="2" t="n">
        <x:v>77</x:v>
      </x:c>
      <x:c r="K405" s="2" t="n">
        <x:f>IF(AND(G405&gt;Supuestos!$C$8,E405&lt;&gt;"L0"),1,0)</x:f>
        <x:v>1</x:v>
      </x:c>
      <x:c r="L405" s="2" t="str">
        <x:v>posterior_al_dia_14</x:v>
      </x:c>
      <x:c r="M405" s="2" t="str">
        <x:v>simulado_didactico</x:v>
      </x:c>
    </x:row>
    <x:row r="406" ht="19" customHeight="1">
      <x:c r="A406" s="2" t="str">
        <x:v>SIM-E1-BB-L5-R07</x:v>
      </x:c>
      <x:c r="B406" s="2" t="n">
        <x:v>4</x:v>
      </x:c>
      <x:c r="C406" s="2" t="str">
        <x:v>BB</x:v>
      </x:c>
      <x:c r="D406" s="2" t="str">
        <x:v>Brevicoryne brassicae</x:v>
      </x:c>
      <x:c r="E406" s="2" t="str">
        <x:v>L5</x:v>
      </x:c>
      <x:c r="F406" s="2" t="n">
        <x:v>7</x:v>
      </x:c>
      <x:c r="G406" s="2" t="n">
        <x:v>28</x:v>
      </x:c>
      <x:c r="H406" s="2" t="n">
        <x:f>G406-Supuestos!$C$7</x:f>
        <x:v>27</x:v>
      </x:c>
      <x:c r="I406" s="14" t="n">
        <x:f>E1_plantas!J136+G406</x:f>
        <x:v>46132</x:v>
      </x:c>
      <x:c r="J406" s="2" t="n">
        <x:v>127</x:v>
      </x:c>
      <x:c r="K406" s="2" t="n">
        <x:f>IF(AND(G406&gt;Supuestos!$C$8,E406&lt;&gt;"L0"),1,0)</x:f>
        <x:v>1</x:v>
      </x:c>
      <x:c r="L406" s="2" t="str">
        <x:v>posterior_al_dia_14</x:v>
      </x:c>
      <x:c r="M406" s="2" t="str">
        <x:v>simulado_didactico</x:v>
      </x:c>
    </x:row>
    <x:row r="407" ht="19" customHeight="1">
      <x:c r="A407" s="2" t="str">
        <x:v>SIM-E1-BB-L5-R08</x:v>
      </x:c>
      <x:c r="B407" s="2" t="n">
        <x:v>4</x:v>
      </x:c>
      <x:c r="C407" s="2" t="str">
        <x:v>BB</x:v>
      </x:c>
      <x:c r="D407" s="2" t="str">
        <x:v>Brevicoryne brassicae</x:v>
      </x:c>
      <x:c r="E407" s="2" t="str">
        <x:v>L5</x:v>
      </x:c>
      <x:c r="F407" s="2" t="n">
        <x:v>8</x:v>
      </x:c>
      <x:c r="G407" s="2" t="n">
        <x:v>14</x:v>
      </x:c>
      <x:c r="H407" s="2" t="n">
        <x:f>G407-Supuestos!$C$7</x:f>
        <x:v>13</x:v>
      </x:c>
      <x:c r="I407" s="14" t="n">
        <x:f>E1_plantas!J137+G407</x:f>
        <x:v>46118</x:v>
      </x:c>
      <x:c r="J407" s="2" t="n">
        <x:v>13</x:v>
      </x:c>
      <x:c r="K407" s="2" t="n">
        <x:f>IF(AND(G407&gt;Supuestos!$C$8,E407&lt;&gt;"L0"),1,0)</x:f>
        <x:v>0</x:v>
      </x:c>
      <x:c r="L407" s="2" t="str">
        <x:v>antes_de_reinoculacion</x:v>
      </x:c>
      <x:c r="M407" s="2" t="str">
        <x:v>simulado_didactico</x:v>
      </x:c>
    </x:row>
    <x:row r="408" ht="19" customHeight="1">
      <x:c r="A408" s="2" t="str">
        <x:v>SIM-E1-BB-L5-R08</x:v>
      </x:c>
      <x:c r="B408" s="2" t="n">
        <x:v>4</x:v>
      </x:c>
      <x:c r="C408" s="2" t="str">
        <x:v>BB</x:v>
      </x:c>
      <x:c r="D408" s="2" t="str">
        <x:v>Brevicoryne brassicae</x:v>
      </x:c>
      <x:c r="E408" s="2" t="str">
        <x:v>L5</x:v>
      </x:c>
      <x:c r="F408" s="2" t="n">
        <x:v>8</x:v>
      </x:c>
      <x:c r="G408" s="2" t="n">
        <x:v>21</x:v>
      </x:c>
      <x:c r="H408" s="2" t="n">
        <x:f>G408-Supuestos!$C$7</x:f>
        <x:v>20</x:v>
      </x:c>
      <x:c r="I408" s="14" t="n">
        <x:f>E1_plantas!J137+G408</x:f>
        <x:v>46125</x:v>
      </x:c>
      <x:c r="J408" s="2" t="n">
        <x:v>59</x:v>
      </x:c>
      <x:c r="K408" s="2" t="n">
        <x:f>IF(AND(G408&gt;Supuestos!$C$8,E408&lt;&gt;"L0"),1,0)</x:f>
        <x:v>1</x:v>
      </x:c>
      <x:c r="L408" s="2" t="str">
        <x:v>posterior_al_dia_14</x:v>
      </x:c>
      <x:c r="M408" s="2" t="str">
        <x:v>simulado_didactico</x:v>
      </x:c>
    </x:row>
    <x:row r="409" ht="19" customHeight="1">
      <x:c r="A409" s="2" t="str">
        <x:v>SIM-E1-BB-L5-R08</x:v>
      </x:c>
      <x:c r="B409" s="2" t="n">
        <x:v>4</x:v>
      </x:c>
      <x:c r="C409" s="2" t="str">
        <x:v>BB</x:v>
      </x:c>
      <x:c r="D409" s="2" t="str">
        <x:v>Brevicoryne brassicae</x:v>
      </x:c>
      <x:c r="E409" s="2" t="str">
        <x:v>L5</x:v>
      </x:c>
      <x:c r="F409" s="2" t="n">
        <x:v>8</x:v>
      </x:c>
      <x:c r="G409" s="2" t="n">
        <x:v>28</x:v>
      </x:c>
      <x:c r="H409" s="2" t="n">
        <x:f>G409-Supuestos!$C$7</x:f>
        <x:v>27</x:v>
      </x:c>
      <x:c r="I409" s="14" t="n">
        <x:f>E1_plantas!J137+G409</x:f>
        <x:v>46132</x:v>
      </x:c>
      <x:c r="J409" s="2" t="n">
        <x:v>163</x:v>
      </x:c>
      <x:c r="K409" s="2" t="n">
        <x:f>IF(AND(G409&gt;Supuestos!$C$8,E409&lt;&gt;"L0"),1,0)</x:f>
        <x:v>1</x:v>
      </x:c>
      <x:c r="L409" s="2" t="str">
        <x:v>posterior_al_dia_14</x:v>
      </x:c>
      <x:c r="M409" s="2" t="str">
        <x:v>simulado_didactico</x:v>
      </x:c>
    </x:row>
    <x:row r="410" ht="19" customHeight="1">
      <x:c r="A410" s="2" t="str">
        <x:v>SIM-E1-BB-L6-R07</x:v>
      </x:c>
      <x:c r="B410" s="2" t="n">
        <x:v>4</x:v>
      </x:c>
      <x:c r="C410" s="2" t="str">
        <x:v>BB</x:v>
      </x:c>
      <x:c r="D410" s="2" t="str">
        <x:v>Brevicoryne brassicae</x:v>
      </x:c>
      <x:c r="E410" s="2" t="str">
        <x:v>L6</x:v>
      </x:c>
      <x:c r="F410" s="2" t="n">
        <x:v>7</x:v>
      </x:c>
      <x:c r="G410" s="2" t="n">
        <x:v>14</x:v>
      </x:c>
      <x:c r="H410" s="2" t="n">
        <x:f>G410-Supuestos!$C$7</x:f>
        <x:v>13</x:v>
      </x:c>
      <x:c r="I410" s="14" t="n">
        <x:f>E1_plantas!J138+G410</x:f>
        <x:v>46118</x:v>
      </x:c>
      <x:c r="J410" s="2" t="n">
        <x:v>34</x:v>
      </x:c>
      <x:c r="K410" s="2" t="n">
        <x:f>IF(AND(G410&gt;Supuestos!$C$8,E410&lt;&gt;"L0"),1,0)</x:f>
        <x:v>0</x:v>
      </x:c>
      <x:c r="L410" s="2" t="str">
        <x:v>antes_de_reinoculacion</x:v>
      </x:c>
      <x:c r="M410" s="2" t="str">
        <x:v>simulado_didactico</x:v>
      </x:c>
    </x:row>
    <x:row r="411" ht="19" customHeight="1">
      <x:c r="A411" s="2" t="str">
        <x:v>SIM-E1-BB-L6-R07</x:v>
      </x:c>
      <x:c r="B411" s="2" t="n">
        <x:v>4</x:v>
      </x:c>
      <x:c r="C411" s="2" t="str">
        <x:v>BB</x:v>
      </x:c>
      <x:c r="D411" s="2" t="str">
        <x:v>Brevicoryne brassicae</x:v>
      </x:c>
      <x:c r="E411" s="2" t="str">
        <x:v>L6</x:v>
      </x:c>
      <x:c r="F411" s="2" t="n">
        <x:v>7</x:v>
      </x:c>
      <x:c r="G411" s="2" t="n">
        <x:v>21</x:v>
      </x:c>
      <x:c r="H411" s="2" t="n">
        <x:f>G411-Supuestos!$C$7</x:f>
        <x:v>20</x:v>
      </x:c>
      <x:c r="I411" s="14" t="n">
        <x:f>E1_plantas!J138+G411</x:f>
        <x:v>46125</x:v>
      </x:c>
      <x:c r="J411" s="2" t="n">
        <x:v>125</x:v>
      </x:c>
      <x:c r="K411" s="2" t="n">
        <x:f>IF(AND(G411&gt;Supuestos!$C$8,E411&lt;&gt;"L0"),1,0)</x:f>
        <x:v>1</x:v>
      </x:c>
      <x:c r="L411" s="2" t="str">
        <x:v>posterior_al_dia_14</x:v>
      </x:c>
      <x:c r="M411" s="2" t="str">
        <x:v>simulado_didactico</x:v>
      </x:c>
    </x:row>
    <x:row r="412" ht="19" customHeight="1">
      <x:c r="A412" s="2" t="str">
        <x:v>SIM-E1-BB-L6-R07</x:v>
      </x:c>
      <x:c r="B412" s="2" t="n">
        <x:v>4</x:v>
      </x:c>
      <x:c r="C412" s="2" t="str">
        <x:v>BB</x:v>
      </x:c>
      <x:c r="D412" s="2" t="str">
        <x:v>Brevicoryne brassicae</x:v>
      </x:c>
      <x:c r="E412" s="2" t="str">
        <x:v>L6</x:v>
      </x:c>
      <x:c r="F412" s="2" t="n">
        <x:v>7</x:v>
      </x:c>
      <x:c r="G412" s="2" t="n">
        <x:v>28</x:v>
      </x:c>
      <x:c r="H412" s="2" t="n">
        <x:f>G412-Supuestos!$C$7</x:f>
        <x:v>27</x:v>
      </x:c>
      <x:c r="I412" s="14" t="n">
        <x:f>E1_plantas!J138+G412</x:f>
        <x:v>46132</x:v>
      </x:c>
      <x:c r="J412" s="2" t="n">
        <x:v>295</x:v>
      </x:c>
      <x:c r="K412" s="2" t="n">
        <x:f>IF(AND(G412&gt;Supuestos!$C$8,E412&lt;&gt;"L0"),1,0)</x:f>
        <x:v>1</x:v>
      </x:c>
      <x:c r="L412" s="2" t="str">
        <x:v>posterior_al_dia_14</x:v>
      </x:c>
      <x:c r="M412" s="2" t="str">
        <x:v>simulado_didactico</x:v>
      </x:c>
    </x:row>
    <x:row r="413" ht="19" customHeight="1">
      <x:c r="A413" s="2" t="str">
        <x:v>SIM-E1-BB-L6-R08</x:v>
      </x:c>
      <x:c r="B413" s="2" t="n">
        <x:v>4</x:v>
      </x:c>
      <x:c r="C413" s="2" t="str">
        <x:v>BB</x:v>
      </x:c>
      <x:c r="D413" s="2" t="str">
        <x:v>Brevicoryne brassicae</x:v>
      </x:c>
      <x:c r="E413" s="2" t="str">
        <x:v>L6</x:v>
      </x:c>
      <x:c r="F413" s="2" t="n">
        <x:v>8</x:v>
      </x:c>
      <x:c r="G413" s="2" t="n">
        <x:v>14</x:v>
      </x:c>
      <x:c r="H413" s="2" t="n">
        <x:f>G413-Supuestos!$C$7</x:f>
        <x:v>13</x:v>
      </x:c>
      <x:c r="I413" s="14" t="n">
        <x:f>E1_plantas!J139+G413</x:f>
        <x:v>46118</x:v>
      </x:c>
      <x:c r="J413" s="2" t="n">
        <x:v>19</x:v>
      </x:c>
      <x:c r="K413" s="2" t="n">
        <x:f>IF(AND(G413&gt;Supuestos!$C$8,E413&lt;&gt;"L0"),1,0)</x:f>
        <x:v>0</x:v>
      </x:c>
      <x:c r="L413" s="2" t="str">
        <x:v>antes_de_reinoculacion</x:v>
      </x:c>
      <x:c r="M413" s="2" t="str">
        <x:v>simulado_didactico</x:v>
      </x:c>
    </x:row>
    <x:row r="414" ht="19" customHeight="1">
      <x:c r="A414" s="2" t="str">
        <x:v>SIM-E1-BB-L6-R08</x:v>
      </x:c>
      <x:c r="B414" s="2" t="n">
        <x:v>4</x:v>
      </x:c>
      <x:c r="C414" s="2" t="str">
        <x:v>BB</x:v>
      </x:c>
      <x:c r="D414" s="2" t="str">
        <x:v>Brevicoryne brassicae</x:v>
      </x:c>
      <x:c r="E414" s="2" t="str">
        <x:v>L6</x:v>
      </x:c>
      <x:c r="F414" s="2" t="n">
        <x:v>8</x:v>
      </x:c>
      <x:c r="G414" s="2" t="n">
        <x:v>21</x:v>
      </x:c>
      <x:c r="H414" s="2" t="n">
        <x:f>G414-Supuestos!$C$7</x:f>
        <x:v>20</x:v>
      </x:c>
      <x:c r="I414" s="14" t="n">
        <x:f>E1_plantas!J139+G414</x:f>
        <x:v>46125</x:v>
      </x:c>
      <x:c r="J414" s="2" t="n">
        <x:v>75</x:v>
      </x:c>
      <x:c r="K414" s="2" t="n">
        <x:f>IF(AND(G414&gt;Supuestos!$C$8,E414&lt;&gt;"L0"),1,0)</x:f>
        <x:v>1</x:v>
      </x:c>
      <x:c r="L414" s="2" t="str">
        <x:v>posterior_al_dia_14</x:v>
      </x:c>
      <x:c r="M414" s="2" t="str">
        <x:v>simulado_didactico</x:v>
      </x:c>
    </x:row>
    <x:row r="415" ht="19" customHeight="1">
      <x:c r="A415" s="2" t="str">
        <x:v>SIM-E1-BB-L6-R08</x:v>
      </x:c>
      <x:c r="B415" s="2" t="n">
        <x:v>4</x:v>
      </x:c>
      <x:c r="C415" s="2" t="str">
        <x:v>BB</x:v>
      </x:c>
      <x:c r="D415" s="2" t="str">
        <x:v>Brevicoryne brassicae</x:v>
      </x:c>
      <x:c r="E415" s="2" t="str">
        <x:v>L6</x:v>
      </x:c>
      <x:c r="F415" s="2" t="n">
        <x:v>8</x:v>
      </x:c>
      <x:c r="G415" s="2" t="n">
        <x:v>28</x:v>
      </x:c>
      <x:c r="H415" s="2" t="n">
        <x:f>G415-Supuestos!$C$7</x:f>
        <x:v>27</x:v>
      </x:c>
      <x:c r="I415" s="14" t="n">
        <x:f>E1_plantas!J139+G415</x:f>
        <x:v>46132</x:v>
      </x:c>
      <x:c r="J415" s="2" t="n">
        <x:v>257</x:v>
      </x:c>
      <x:c r="K415" s="2" t="n">
        <x:f>IF(AND(G415&gt;Supuestos!$C$8,E415&lt;&gt;"L0"),1,0)</x:f>
        <x:v>1</x:v>
      </x:c>
      <x:c r="L415" s="2" t="str">
        <x:v>posterior_al_dia_14</x:v>
      </x:c>
      <x:c r="M415" s="2" t="str">
        <x:v>simulado_didactico</x:v>
      </x:c>
    </x:row>
    <x:row r="416" ht="19" customHeight="1">
      <x:c r="A416" s="2" t="str">
        <x:v>SIM-E1-BB-L7-R07</x:v>
      </x:c>
      <x:c r="B416" s="2" t="n">
        <x:v>4</x:v>
      </x:c>
      <x:c r="C416" s="2" t="str">
        <x:v>BB</x:v>
      </x:c>
      <x:c r="D416" s="2" t="str">
        <x:v>Brevicoryne brassicae</x:v>
      </x:c>
      <x:c r="E416" s="2" t="str">
        <x:v>L7</x:v>
      </x:c>
      <x:c r="F416" s="2" t="n">
        <x:v>7</x:v>
      </x:c>
      <x:c r="G416" s="2" t="n">
        <x:v>14</x:v>
      </x:c>
      <x:c r="H416" s="2" t="n">
        <x:f>G416-Supuestos!$C$7</x:f>
        <x:v>13</x:v>
      </x:c>
      <x:c r="I416" s="14" t="n">
        <x:f>E1_plantas!J140+G416</x:f>
        <x:v>46118</x:v>
      </x:c>
      <x:c r="J416" s="2" t="n">
        <x:v>19</x:v>
      </x:c>
      <x:c r="K416" s="2" t="n">
        <x:f>IF(AND(G416&gt;Supuestos!$C$8,E416&lt;&gt;"L0"),1,0)</x:f>
        <x:v>0</x:v>
      </x:c>
      <x:c r="L416" s="2" t="str">
        <x:v>antes_de_reinoculacion</x:v>
      </x:c>
      <x:c r="M416" s="2" t="str">
        <x:v>simulado_didactico</x:v>
      </x:c>
    </x:row>
    <x:row r="417" ht="19" customHeight="1">
      <x:c r="A417" s="2" t="str">
        <x:v>SIM-E1-BB-L7-R07</x:v>
      </x:c>
      <x:c r="B417" s="2" t="n">
        <x:v>4</x:v>
      </x:c>
      <x:c r="C417" s="2" t="str">
        <x:v>BB</x:v>
      </x:c>
      <x:c r="D417" s="2" t="str">
        <x:v>Brevicoryne brassicae</x:v>
      </x:c>
      <x:c r="E417" s="2" t="str">
        <x:v>L7</x:v>
      </x:c>
      <x:c r="F417" s="2" t="n">
        <x:v>7</x:v>
      </x:c>
      <x:c r="G417" s="2" t="n">
        <x:v>21</x:v>
      </x:c>
      <x:c r="H417" s="2" t="n">
        <x:f>G417-Supuestos!$C$7</x:f>
        <x:v>20</x:v>
      </x:c>
      <x:c r="I417" s="14" t="n">
        <x:f>E1_plantas!J140+G417</x:f>
        <x:v>46125</x:v>
      </x:c>
      <x:c r="J417" s="2" t="n">
        <x:v>75</x:v>
      </x:c>
      <x:c r="K417" s="2" t="n">
        <x:f>IF(AND(G417&gt;Supuestos!$C$8,E417&lt;&gt;"L0"),1,0)</x:f>
        <x:v>1</x:v>
      </x:c>
      <x:c r="L417" s="2" t="str">
        <x:v>posterior_al_dia_14</x:v>
      </x:c>
      <x:c r="M417" s="2" t="str">
        <x:v>simulado_didactico</x:v>
      </x:c>
    </x:row>
    <x:row r="418" ht="19" customHeight="1">
      <x:c r="A418" s="2" t="str">
        <x:v>SIM-E1-BB-L7-R07</x:v>
      </x:c>
      <x:c r="B418" s="2" t="n">
        <x:v>4</x:v>
      </x:c>
      <x:c r="C418" s="2" t="str">
        <x:v>BB</x:v>
      </x:c>
      <x:c r="D418" s="2" t="str">
        <x:v>Brevicoryne brassicae</x:v>
      </x:c>
      <x:c r="E418" s="2" t="str">
        <x:v>L7</x:v>
      </x:c>
      <x:c r="F418" s="2" t="n">
        <x:v>7</x:v>
      </x:c>
      <x:c r="G418" s="2" t="n">
        <x:v>28</x:v>
      </x:c>
      <x:c r="H418" s="2" t="n">
        <x:f>G418-Supuestos!$C$7</x:f>
        <x:v>27</x:v>
      </x:c>
      <x:c r="I418" s="14" t="n">
        <x:f>E1_plantas!J140+G418</x:f>
        <x:v>46132</x:v>
      </x:c>
      <x:c r="J418" s="2" t="n">
        <x:v>117</x:v>
      </x:c>
      <x:c r="K418" s="2" t="n">
        <x:f>IF(AND(G418&gt;Supuestos!$C$8,E418&lt;&gt;"L0"),1,0)</x:f>
        <x:v>1</x:v>
      </x:c>
      <x:c r="L418" s="2" t="str">
        <x:v>posterior_al_dia_14</x:v>
      </x:c>
      <x:c r="M418" s="2" t="str">
        <x:v>simulado_didactico</x:v>
      </x:c>
    </x:row>
    <x:row r="419" ht="19" customHeight="1">
      <x:c r="A419" s="2" t="str">
        <x:v>SIM-E1-BB-L7-R08</x:v>
      </x:c>
      <x:c r="B419" s="2" t="n">
        <x:v>4</x:v>
      </x:c>
      <x:c r="C419" s="2" t="str">
        <x:v>BB</x:v>
      </x:c>
      <x:c r="D419" s="2" t="str">
        <x:v>Brevicoryne brassicae</x:v>
      </x:c>
      <x:c r="E419" s="2" t="str">
        <x:v>L7</x:v>
      </x:c>
      <x:c r="F419" s="2" t="n">
        <x:v>8</x:v>
      </x:c>
      <x:c r="G419" s="2" t="n">
        <x:v>14</x:v>
      </x:c>
      <x:c r="H419" s="2" t="n">
        <x:f>G419-Supuestos!$C$7</x:f>
        <x:v>13</x:v>
      </x:c>
      <x:c r="I419" s="14" t="n">
        <x:f>E1_plantas!J141+G419</x:f>
        <x:v>46118</x:v>
      </x:c>
      <x:c r="J419" s="2" t="n">
        <x:v>13</x:v>
      </x:c>
      <x:c r="K419" s="2" t="n">
        <x:f>IF(AND(G419&gt;Supuestos!$C$8,E419&lt;&gt;"L0"),1,0)</x:f>
        <x:v>0</x:v>
      </x:c>
      <x:c r="L419" s="2" t="str">
        <x:v>antes_de_reinoculacion</x:v>
      </x:c>
      <x:c r="M419" s="2" t="str">
        <x:v>simulado_didactico</x:v>
      </x:c>
    </x:row>
    <x:row r="420" ht="19" customHeight="1">
      <x:c r="A420" s="2" t="str">
        <x:v>SIM-E1-BB-L7-R08</x:v>
      </x:c>
      <x:c r="B420" s="2" t="n">
        <x:v>4</x:v>
      </x:c>
      <x:c r="C420" s="2" t="str">
        <x:v>BB</x:v>
      </x:c>
      <x:c r="D420" s="2" t="str">
        <x:v>Brevicoryne brassicae</x:v>
      </x:c>
      <x:c r="E420" s="2" t="str">
        <x:v>L7</x:v>
      </x:c>
      <x:c r="F420" s="2" t="n">
        <x:v>8</x:v>
      </x:c>
      <x:c r="G420" s="2" t="n">
        <x:v>21</x:v>
      </x:c>
      <x:c r="H420" s="2" t="n">
        <x:f>G420-Supuestos!$C$7</x:f>
        <x:v>20</x:v>
      </x:c>
      <x:c r="I420" s="14" t="n">
        <x:f>E1_plantas!J141+G420</x:f>
        <x:v>46125</x:v>
      </x:c>
      <x:c r="J420" s="2" t="n">
        <x:v>41</x:v>
      </x:c>
      <x:c r="K420" s="2" t="n">
        <x:f>IF(AND(G420&gt;Supuestos!$C$8,E420&lt;&gt;"L0"),1,0)</x:f>
        <x:v>1</x:v>
      </x:c>
      <x:c r="L420" s="2" t="str">
        <x:v>posterior_al_dia_14</x:v>
      </x:c>
      <x:c r="M420" s="2" t="str">
        <x:v>simulado_didactico</x:v>
      </x:c>
    </x:row>
    <x:row r="421" ht="19" customHeight="1">
      <x:c r="A421" s="2" t="str">
        <x:v>SIM-E1-BB-L7-R08</x:v>
      </x:c>
      <x:c r="B421" s="2" t="n">
        <x:v>4</x:v>
      </x:c>
      <x:c r="C421" s="2" t="str">
        <x:v>BB</x:v>
      </x:c>
      <x:c r="D421" s="2" t="str">
        <x:v>Brevicoryne brassicae</x:v>
      </x:c>
      <x:c r="E421" s="2" t="str">
        <x:v>L7</x:v>
      </x:c>
      <x:c r="F421" s="2" t="n">
        <x:v>8</x:v>
      </x:c>
      <x:c r="G421" s="2" t="n">
        <x:v>28</x:v>
      </x:c>
      <x:c r="H421" s="2" t="n">
        <x:f>G421-Supuestos!$C$7</x:f>
        <x:v>27</x:v>
      </x:c>
      <x:c r="I421" s="14" t="n">
        <x:f>E1_plantas!J141+G421</x:f>
        <x:v>46132</x:v>
      </x:c>
      <x:c r="J421" s="2" t="n">
        <x:v>63</x:v>
      </x:c>
      <x:c r="K421" s="2" t="n">
        <x:f>IF(AND(G421&gt;Supuestos!$C$8,E421&lt;&gt;"L0"),1,0)</x:f>
        <x:v>1</x:v>
      </x:c>
      <x:c r="L421" s="2" t="str">
        <x:v>posterior_al_dia_14</x:v>
      </x:c>
      <x:c r="M421" s="2" t="str">
        <x:v>simulado_didactico</x:v>
      </x:c>
    </x:row>
    <x:row r="422" ht="19" customHeight="1">
      <x:c r="A422" s="2" t="str">
        <x:v>SIM-E1-BB-L8-R07</x:v>
      </x:c>
      <x:c r="B422" s="2" t="n">
        <x:v>4</x:v>
      </x:c>
      <x:c r="C422" s="2" t="str">
        <x:v>BB</x:v>
      </x:c>
      <x:c r="D422" s="2" t="str">
        <x:v>Brevicoryne brassicae</x:v>
      </x:c>
      <x:c r="E422" s="2" t="str">
        <x:v>L8</x:v>
      </x:c>
      <x:c r="F422" s="2" t="n">
        <x:v>7</x:v>
      </x:c>
      <x:c r="G422" s="2" t="n">
        <x:v>14</x:v>
      </x:c>
      <x:c r="H422" s="2" t="n">
        <x:f>G422-Supuestos!$C$7</x:f>
        <x:v>13</x:v>
      </x:c>
      <x:c r="I422" s="14" t="n">
        <x:f>E1_plantas!J142+G422</x:f>
        <x:v>46118</x:v>
      </x:c>
      <x:c r="J422" s="2" t="n">
        <x:v>14</x:v>
      </x:c>
      <x:c r="K422" s="2" t="n">
        <x:f>IF(AND(G422&gt;Supuestos!$C$8,E422&lt;&gt;"L0"),1,0)</x:f>
        <x:v>0</x:v>
      </x:c>
      <x:c r="L422" s="2" t="str">
        <x:v>antes_de_reinoculacion</x:v>
      </x:c>
      <x:c r="M422" s="2" t="str">
        <x:v>simulado_didactico</x:v>
      </x:c>
    </x:row>
    <x:row r="423" ht="19" customHeight="1">
      <x:c r="A423" s="2" t="str">
        <x:v>SIM-E1-BB-L8-R07</x:v>
      </x:c>
      <x:c r="B423" s="2" t="n">
        <x:v>4</x:v>
      </x:c>
      <x:c r="C423" s="2" t="str">
        <x:v>BB</x:v>
      </x:c>
      <x:c r="D423" s="2" t="str">
        <x:v>Brevicoryne brassicae</x:v>
      </x:c>
      <x:c r="E423" s="2" t="str">
        <x:v>L8</x:v>
      </x:c>
      <x:c r="F423" s="2" t="n">
        <x:v>7</x:v>
      </x:c>
      <x:c r="G423" s="2" t="n">
        <x:v>21</x:v>
      </x:c>
      <x:c r="H423" s="2" t="n">
        <x:f>G423-Supuestos!$C$7</x:f>
        <x:v>20</x:v>
      </x:c>
      <x:c r="I423" s="14" t="n">
        <x:f>E1_plantas!J142+G423</x:f>
        <x:v>46125</x:v>
      </x:c>
      <x:c r="J423" s="2" t="n">
        <x:v>58</x:v>
      </x:c>
      <x:c r="K423" s="2" t="n">
        <x:f>IF(AND(G423&gt;Supuestos!$C$8,E423&lt;&gt;"L0"),1,0)</x:f>
        <x:v>1</x:v>
      </x:c>
      <x:c r="L423" s="2" t="str">
        <x:v>posterior_al_dia_14</x:v>
      </x:c>
      <x:c r="M423" s="2" t="str">
        <x:v>simulado_didactico</x:v>
      </x:c>
    </x:row>
    <x:row r="424" ht="19" customHeight="1">
      <x:c r="A424" s="2" t="str">
        <x:v>SIM-E1-BB-L8-R07</x:v>
      </x:c>
      <x:c r="B424" s="2" t="n">
        <x:v>4</x:v>
      </x:c>
      <x:c r="C424" s="2" t="str">
        <x:v>BB</x:v>
      </x:c>
      <x:c r="D424" s="2" t="str">
        <x:v>Brevicoryne brassicae</x:v>
      </x:c>
      <x:c r="E424" s="2" t="str">
        <x:v>L8</x:v>
      </x:c>
      <x:c r="F424" s="2" t="n">
        <x:v>7</x:v>
      </x:c>
      <x:c r="G424" s="2" t="n">
        <x:v>28</x:v>
      </x:c>
      <x:c r="H424" s="2" t="n">
        <x:f>G424-Supuestos!$C$7</x:f>
        <x:v>27</x:v>
      </x:c>
      <x:c r="I424" s="14" t="n">
        <x:f>E1_plantas!J142+G424</x:f>
        <x:v>46132</x:v>
      </x:c>
      <x:c r="J424" s="2" t="n">
        <x:v>84</x:v>
      </x:c>
      <x:c r="K424" s="2" t="n">
        <x:f>IF(AND(G424&gt;Supuestos!$C$8,E424&lt;&gt;"L0"),1,0)</x:f>
        <x:v>1</x:v>
      </x:c>
      <x:c r="L424" s="2" t="str">
        <x:v>posterior_al_dia_14</x:v>
      </x:c>
      <x:c r="M424" s="2" t="str">
        <x:v>simulado_didactico</x:v>
      </x:c>
    </x:row>
    <x:row r="425" ht="19" customHeight="1">
      <x:c r="A425" s="2" t="str">
        <x:v>SIM-E1-BB-L8-R08</x:v>
      </x:c>
      <x:c r="B425" s="2" t="n">
        <x:v>4</x:v>
      </x:c>
      <x:c r="C425" s="2" t="str">
        <x:v>BB</x:v>
      </x:c>
      <x:c r="D425" s="2" t="str">
        <x:v>Brevicoryne brassicae</x:v>
      </x:c>
      <x:c r="E425" s="2" t="str">
        <x:v>L8</x:v>
      </x:c>
      <x:c r="F425" s="2" t="n">
        <x:v>8</x:v>
      </x:c>
      <x:c r="G425" s="2" t="n">
        <x:v>14</x:v>
      </x:c>
      <x:c r="H425" s="2" t="n">
        <x:f>G425-Supuestos!$C$7</x:f>
        <x:v>13</x:v>
      </x:c>
      <x:c r="I425" s="14" t="n">
        <x:f>E1_plantas!J143+G425</x:f>
        <x:v>46118</x:v>
      </x:c>
      <x:c r="J425" s="2" t="n">
        <x:v>8</x:v>
      </x:c>
      <x:c r="K425" s="2" t="n">
        <x:f>IF(AND(G425&gt;Supuestos!$C$8,E425&lt;&gt;"L0"),1,0)</x:f>
        <x:v>0</x:v>
      </x:c>
      <x:c r="L425" s="2" t="str">
        <x:v>antes_de_reinoculacion</x:v>
      </x:c>
      <x:c r="M425" s="2" t="str">
        <x:v>simulado_didactico</x:v>
      </x:c>
    </x:row>
    <x:row r="426" ht="19" customHeight="1">
      <x:c r="A426" s="2" t="str">
        <x:v>SIM-E1-BB-L8-R08</x:v>
      </x:c>
      <x:c r="B426" s="2" t="n">
        <x:v>4</x:v>
      </x:c>
      <x:c r="C426" s="2" t="str">
        <x:v>BB</x:v>
      </x:c>
      <x:c r="D426" s="2" t="str">
        <x:v>Brevicoryne brassicae</x:v>
      </x:c>
      <x:c r="E426" s="2" t="str">
        <x:v>L8</x:v>
      </x:c>
      <x:c r="F426" s="2" t="n">
        <x:v>8</x:v>
      </x:c>
      <x:c r="G426" s="2" t="n">
        <x:v>21</x:v>
      </x:c>
      <x:c r="H426" s="2" t="n">
        <x:f>G426-Supuestos!$C$7</x:f>
        <x:v>20</x:v>
      </x:c>
      <x:c r="I426" s="14" t="n">
        <x:f>E1_plantas!J143+G426</x:f>
        <x:v>46125</x:v>
      </x:c>
      <x:c r="J426" s="2" t="n">
        <x:v>15</x:v>
      </x:c>
      <x:c r="K426" s="2" t="n">
        <x:f>IF(AND(G426&gt;Supuestos!$C$8,E426&lt;&gt;"L0"),1,0)</x:f>
        <x:v>1</x:v>
      </x:c>
      <x:c r="L426" s="2" t="str">
        <x:v>posterior_al_dia_14</x:v>
      </x:c>
      <x:c r="M426" s="2" t="str">
        <x:v>simulado_didactico</x:v>
      </x:c>
    </x:row>
    <x:row r="427" ht="19" customHeight="1">
      <x:c r="A427" s="2" t="str">
        <x:v>SIM-E1-BB-L8-R08</x:v>
      </x:c>
      <x:c r="B427" s="2" t="n">
        <x:v>4</x:v>
      </x:c>
      <x:c r="C427" s="2" t="str">
        <x:v>BB</x:v>
      </x:c>
      <x:c r="D427" s="2" t="str">
        <x:v>Brevicoryne brassicae</x:v>
      </x:c>
      <x:c r="E427" s="2" t="str">
        <x:v>L8</x:v>
      </x:c>
      <x:c r="F427" s="2" t="n">
        <x:v>8</x:v>
      </x:c>
      <x:c r="G427" s="2" t="n">
        <x:v>28</x:v>
      </x:c>
      <x:c r="H427" s="2" t="n">
        <x:f>G427-Supuestos!$C$7</x:f>
        <x:v>27</x:v>
      </x:c>
      <x:c r="I427" s="14" t="n">
        <x:f>E1_plantas!J143+G427</x:f>
        <x:v>46132</x:v>
      </x:c>
      <x:c r="J427" s="2" t="n">
        <x:v>55</x:v>
      </x:c>
      <x:c r="K427" s="2" t="n">
        <x:f>IF(AND(G427&gt;Supuestos!$C$8,E427&lt;&gt;"L0"),1,0)</x:f>
        <x:v>1</x:v>
      </x:c>
      <x:c r="L427" s="2" t="str">
        <x:v>posterior_al_dia_14</x:v>
      </x:c>
      <x:c r="M427" s="2" t="str">
        <x:v>simulado_didactico</x:v>
      </x:c>
    </x:row>
    <x:row r="428" ht="19" customHeight="1">
      <x:c r="A428" s="2" t="str">
        <x:v>SIM-E1-BB-L9-R07</x:v>
      </x:c>
      <x:c r="B428" s="2" t="n">
        <x:v>4</x:v>
      </x:c>
      <x:c r="C428" s="2" t="str">
        <x:v>BB</x:v>
      </x:c>
      <x:c r="D428" s="2" t="str">
        <x:v>Brevicoryne brassicae</x:v>
      </x:c>
      <x:c r="E428" s="2" t="str">
        <x:v>L9</x:v>
      </x:c>
      <x:c r="F428" s="2" t="n">
        <x:v>7</x:v>
      </x:c>
      <x:c r="G428" s="2" t="n">
        <x:v>14</x:v>
      </x:c>
      <x:c r="H428" s="2" t="n">
        <x:f>G428-Supuestos!$C$7</x:f>
        <x:v>13</x:v>
      </x:c>
      <x:c r="I428" s="14" t="n">
        <x:f>E1_plantas!J144+G428</x:f>
        <x:v>46118</x:v>
      </x:c>
      <x:c r="J428" s="2" t="n">
        <x:v>39</x:v>
      </x:c>
      <x:c r="K428" s="2" t="n">
        <x:f>IF(AND(G428&gt;Supuestos!$C$8,E428&lt;&gt;"L0"),1,0)</x:f>
        <x:v>0</x:v>
      </x:c>
      <x:c r="L428" s="2" t="str">
        <x:v>antes_de_reinoculacion</x:v>
      </x:c>
      <x:c r="M428" s="2" t="str">
        <x:v>simulado_didactico</x:v>
      </x:c>
    </x:row>
    <x:row r="429" ht="19" customHeight="1">
      <x:c r="A429" s="2" t="str">
        <x:v>SIM-E1-BB-L9-R07</x:v>
      </x:c>
      <x:c r="B429" s="2" t="n">
        <x:v>4</x:v>
      </x:c>
      <x:c r="C429" s="2" t="str">
        <x:v>BB</x:v>
      </x:c>
      <x:c r="D429" s="2" t="str">
        <x:v>Brevicoryne brassicae</x:v>
      </x:c>
      <x:c r="E429" s="2" t="str">
        <x:v>L9</x:v>
      </x:c>
      <x:c r="F429" s="2" t="n">
        <x:v>7</x:v>
      </x:c>
      <x:c r="G429" s="2" t="n">
        <x:v>21</x:v>
      </x:c>
      <x:c r="H429" s="2" t="n">
        <x:f>G429-Supuestos!$C$7</x:f>
        <x:v>20</x:v>
      </x:c>
      <x:c r="I429" s="14" t="n">
        <x:f>E1_plantas!J144+G429</x:f>
        <x:v>46125</x:v>
      </x:c>
      <x:c r="J429" s="2" t="n">
        <x:v>98</x:v>
      </x:c>
      <x:c r="K429" s="2" t="n">
        <x:f>IF(AND(G429&gt;Supuestos!$C$8,E429&lt;&gt;"L0"),1,0)</x:f>
        <x:v>1</x:v>
      </x:c>
      <x:c r="L429" s="2" t="str">
        <x:v>posterior_al_dia_14</x:v>
      </x:c>
      <x:c r="M429" s="2" t="str">
        <x:v>simulado_didactico</x:v>
      </x:c>
    </x:row>
    <x:row r="430" ht="19" customHeight="1">
      <x:c r="A430" s="2" t="str">
        <x:v>SIM-E1-BB-L9-R07</x:v>
      </x:c>
      <x:c r="B430" s="2" t="n">
        <x:v>4</x:v>
      </x:c>
      <x:c r="C430" s="2" t="str">
        <x:v>BB</x:v>
      </x:c>
      <x:c r="D430" s="2" t="str">
        <x:v>Brevicoryne brassicae</x:v>
      </x:c>
      <x:c r="E430" s="2" t="str">
        <x:v>L9</x:v>
      </x:c>
      <x:c r="F430" s="2" t="n">
        <x:v>7</x:v>
      </x:c>
      <x:c r="G430" s="2" t="n">
        <x:v>28</x:v>
      </x:c>
      <x:c r="H430" s="2" t="n">
        <x:f>G430-Supuestos!$C$7</x:f>
        <x:v>27</x:v>
      </x:c>
      <x:c r="I430" s="14" t="n">
        <x:f>E1_plantas!J144+G430</x:f>
        <x:v>46132</x:v>
      </x:c>
      <x:c r="J430" s="2" t="n">
        <x:v>254</x:v>
      </x:c>
      <x:c r="K430" s="2" t="n">
        <x:f>IF(AND(G430&gt;Supuestos!$C$8,E430&lt;&gt;"L0"),1,0)</x:f>
        <x:v>1</x:v>
      </x:c>
      <x:c r="L430" s="2" t="str">
        <x:v>posterior_al_dia_14</x:v>
      </x:c>
      <x:c r="M430" s="2" t="str">
        <x:v>simulado_didactico</x:v>
      </x:c>
    </x:row>
    <x:row r="431" ht="19" customHeight="1">
      <x:c r="A431" s="2" t="str">
        <x:v>SIM-E1-BB-L9-R08</x:v>
      </x:c>
      <x:c r="B431" s="2" t="n">
        <x:v>4</x:v>
      </x:c>
      <x:c r="C431" s="2" t="str">
        <x:v>BB</x:v>
      </x:c>
      <x:c r="D431" s="2" t="str">
        <x:v>Brevicoryne brassicae</x:v>
      </x:c>
      <x:c r="E431" s="2" t="str">
        <x:v>L9</x:v>
      </x:c>
      <x:c r="F431" s="2" t="n">
        <x:v>8</x:v>
      </x:c>
      <x:c r="G431" s="2" t="n">
        <x:v>14</x:v>
      </x:c>
      <x:c r="H431" s="2" t="n">
        <x:f>G431-Supuestos!$C$7</x:f>
        <x:v>13</x:v>
      </x:c>
      <x:c r="I431" s="14" t="n">
        <x:f>E1_plantas!J145+G431</x:f>
        <x:v>46118</x:v>
      </x:c>
      <x:c r="J431" s="2" t="n">
        <x:v>13</x:v>
      </x:c>
      <x:c r="K431" s="2" t="n">
        <x:f>IF(AND(G431&gt;Supuestos!$C$8,E431&lt;&gt;"L0"),1,0)</x:f>
        <x:v>0</x:v>
      </x:c>
      <x:c r="L431" s="2" t="str">
        <x:v>antes_de_reinoculacion</x:v>
      </x:c>
      <x:c r="M431" s="2" t="str">
        <x:v>simulado_didactico</x:v>
      </x:c>
    </x:row>
    <x:row r="432" ht="19" customHeight="1">
      <x:c r="A432" s="2" t="str">
        <x:v>SIM-E1-BB-L9-R08</x:v>
      </x:c>
      <x:c r="B432" s="2" t="n">
        <x:v>4</x:v>
      </x:c>
      <x:c r="C432" s="2" t="str">
        <x:v>BB</x:v>
      </x:c>
      <x:c r="D432" s="2" t="str">
        <x:v>Brevicoryne brassicae</x:v>
      </x:c>
      <x:c r="E432" s="2" t="str">
        <x:v>L9</x:v>
      </x:c>
      <x:c r="F432" s="2" t="n">
        <x:v>8</x:v>
      </x:c>
      <x:c r="G432" s="2" t="n">
        <x:v>21</x:v>
      </x:c>
      <x:c r="H432" s="2" t="n">
        <x:f>G432-Supuestos!$C$7</x:f>
        <x:v>20</x:v>
      </x:c>
      <x:c r="I432" s="14" t="n">
        <x:f>E1_plantas!J145+G432</x:f>
        <x:v>46125</x:v>
      </x:c>
      <x:c r="J432" s="2" t="n">
        <x:v>104</x:v>
      </x:c>
      <x:c r="K432" s="2" t="n">
        <x:f>IF(AND(G432&gt;Supuestos!$C$8,E432&lt;&gt;"L0"),1,0)</x:f>
        <x:v>1</x:v>
      </x:c>
      <x:c r="L432" s="2" t="str">
        <x:v>posterior_al_dia_14</x:v>
      </x:c>
      <x:c r="M432" s="2" t="str">
        <x:v>simulado_didactico</x:v>
      </x:c>
    </x:row>
    <x:row r="433" ht="19" customHeight="1">
      <x:c r="A433" s="2" t="str">
        <x:v>SIM-E1-BB-L9-R08</x:v>
      </x:c>
      <x:c r="B433" s="2" t="n">
        <x:v>4</x:v>
      </x:c>
      <x:c r="C433" s="2" t="str">
        <x:v>BB</x:v>
      </x:c>
      <x:c r="D433" s="2" t="str">
        <x:v>Brevicoryne brassicae</x:v>
      </x:c>
      <x:c r="E433" s="2" t="str">
        <x:v>L9</x:v>
      </x:c>
      <x:c r="F433" s="2" t="n">
        <x:v>8</x:v>
      </x:c>
      <x:c r="G433" s="2" t="n">
        <x:v>28</x:v>
      </x:c>
      <x:c r="H433" s="2" t="n">
        <x:f>G433-Supuestos!$C$7</x:f>
        <x:v>27</x:v>
      </x:c>
      <x:c r="I433" s="14" t="n">
        <x:f>E1_plantas!J145+G433</x:f>
        <x:v>46132</x:v>
      </x:c>
      <x:c r="J433" s="2" t="n">
        <x:v>233</x:v>
      </x:c>
      <x:c r="K433" s="2" t="n">
        <x:f>IF(AND(G433&gt;Supuestos!$C$8,E433&lt;&gt;"L0"),1,0)</x:f>
        <x:v>1</x:v>
      </x:c>
      <x:c r="L433" s="2" t="str">
        <x:v>posterior_al_dia_14</x:v>
      </x:c>
      <x:c r="M433" s="2" t="str">
        <x:v>simulado_didactico</x:v>
      </x:c>
    </x:row>
    <x:row r="434" ht="19" customHeight="1">
      <x:c r="A434" s="2" t="str">
        <x:v>SIM-E1-MP-L0-R09</x:v>
      </x:c>
      <x:c r="B434" s="2" t="n">
        <x:v>5</x:v>
      </x:c>
      <x:c r="C434" s="2" t="str">
        <x:v>MP</x:v>
      </x:c>
      <x:c r="D434" s="2" t="str">
        <x:v>Myzus persicae</x:v>
      </x:c>
      <x:c r="E434" s="2" t="str">
        <x:v>L0</x:v>
      </x:c>
      <x:c r="F434" s="2" t="n">
        <x:v>9</x:v>
      </x:c>
      <x:c r="G434" s="2" t="n">
        <x:v>14</x:v>
      </x:c>
      <x:c r="H434" s="2" t="n">
        <x:f>G434-Supuestos!$C$7</x:f>
        <x:v>13</x:v>
      </x:c>
      <x:c r="I434" s="14" t="n">
        <x:f>E1_plantas!J146+G434</x:f>
        <x:v>46125</x:v>
      </x:c>
      <x:c r="J434" s="2" t="n">
        <x:v>9</x:v>
      </x:c>
      <x:c r="K434" s="2" t="n">
        <x:f>IF(AND(G434&gt;Supuestos!$C$8,E434&lt;&gt;"L0"),1,0)</x:f>
        <x:v>0</x:v>
      </x:c>
      <x:c r="L434" s="2" t="str">
        <x:v>antes_de_reinoculacion</x:v>
      </x:c>
      <x:c r="M434" s="2" t="str">
        <x:v>simulado_didactico</x:v>
      </x:c>
    </x:row>
    <x:row r="435" ht="19" customHeight="1">
      <x:c r="A435" s="2" t="str">
        <x:v>SIM-E1-MP-L0-R09</x:v>
      </x:c>
      <x:c r="B435" s="2" t="n">
        <x:v>5</x:v>
      </x:c>
      <x:c r="C435" s="2" t="str">
        <x:v>MP</x:v>
      </x:c>
      <x:c r="D435" s="2" t="str">
        <x:v>Myzus persicae</x:v>
      </x:c>
      <x:c r="E435" s="2" t="str">
        <x:v>L0</x:v>
      </x:c>
      <x:c r="F435" s="2" t="n">
        <x:v>9</x:v>
      </x:c>
      <x:c r="G435" s="2" t="n">
        <x:v>21</x:v>
      </x:c>
      <x:c r="H435" s="2" t="n">
        <x:f>G435-Supuestos!$C$7</x:f>
        <x:v>20</x:v>
      </x:c>
      <x:c r="I435" s="14" t="n">
        <x:f>E1_plantas!J146+G435</x:f>
        <x:v>46132</x:v>
      </x:c>
      <x:c r="J435" s="2" t="n">
        <x:v>110</x:v>
      </x:c>
      <x:c r="K435" s="2" t="n">
        <x:f>IF(AND(G435&gt;Supuestos!$C$8,E435&lt;&gt;"L0"),1,0)</x:f>
        <x:v>0</x:v>
      </x:c>
      <x:c r="L435" s="2" t="str">
        <x:v>posterior_al_dia_14</x:v>
      </x:c>
      <x:c r="M435" s="2" t="str">
        <x:v>simulado_didactico</x:v>
      </x:c>
    </x:row>
    <x:row r="436" ht="19" customHeight="1">
      <x:c r="A436" s="2" t="str">
        <x:v>SIM-E1-MP-L0-R09</x:v>
      </x:c>
      <x:c r="B436" s="2" t="n">
        <x:v>5</x:v>
      </x:c>
      <x:c r="C436" s="2" t="str">
        <x:v>MP</x:v>
      </x:c>
      <x:c r="D436" s="2" t="str">
        <x:v>Myzus persicae</x:v>
      </x:c>
      <x:c r="E436" s="2" t="str">
        <x:v>L0</x:v>
      </x:c>
      <x:c r="F436" s="2" t="n">
        <x:v>9</x:v>
      </x:c>
      <x:c r="G436" s="2" t="n">
        <x:v>28</x:v>
      </x:c>
      <x:c r="H436" s="2" t="n">
        <x:f>G436-Supuestos!$C$7</x:f>
        <x:v>27</x:v>
      </x:c>
      <x:c r="I436" s="14" t="n">
        <x:f>E1_plantas!J146+G436</x:f>
        <x:v>46139</x:v>
      </x:c>
      <x:c r="J436" s="2" t="n">
        <x:v>204</x:v>
      </x:c>
      <x:c r="K436" s="2" t="n">
        <x:f>IF(AND(G436&gt;Supuestos!$C$8,E436&lt;&gt;"L0"),1,0)</x:f>
        <x:v>0</x:v>
      </x:c>
      <x:c r="L436" s="2" t="str">
        <x:v>posterior_al_dia_14</x:v>
      </x:c>
      <x:c r="M436" s="2" t="str">
        <x:v>simulado_didactico</x:v>
      </x:c>
    </x:row>
    <x:row r="437" ht="19" customHeight="1">
      <x:c r="A437" s="2" t="str">
        <x:v>SIM-E1-MP-L0-R10</x:v>
      </x:c>
      <x:c r="B437" s="2" t="n">
        <x:v>5</x:v>
      </x:c>
      <x:c r="C437" s="2" t="str">
        <x:v>MP</x:v>
      </x:c>
      <x:c r="D437" s="2" t="str">
        <x:v>Myzus persicae</x:v>
      </x:c>
      <x:c r="E437" s="2" t="str">
        <x:v>L0</x:v>
      </x:c>
      <x:c r="F437" s="2" t="n">
        <x:v>10</x:v>
      </x:c>
      <x:c r="G437" s="2" t="n">
        <x:v>14</x:v>
      </x:c>
      <x:c r="H437" s="2" t="n">
        <x:f>G437-Supuestos!$C$7</x:f>
        <x:v>13</x:v>
      </x:c>
      <x:c r="I437" s="14" t="n">
        <x:f>E1_plantas!J147+G437</x:f>
        <x:v>46125</x:v>
      </x:c>
      <x:c r="J437" s="2" t="n">
        <x:v>20</x:v>
      </x:c>
      <x:c r="K437" s="2" t="n">
        <x:f>IF(AND(G437&gt;Supuestos!$C$8,E437&lt;&gt;"L0"),1,0)</x:f>
        <x:v>0</x:v>
      </x:c>
      <x:c r="L437" s="2" t="str">
        <x:v>antes_de_reinoculacion</x:v>
      </x:c>
      <x:c r="M437" s="2" t="str">
        <x:v>simulado_didactico</x:v>
      </x:c>
    </x:row>
    <x:row r="438" ht="19" customHeight="1">
      <x:c r="A438" s="2" t="str">
        <x:v>SIM-E1-MP-L0-R10</x:v>
      </x:c>
      <x:c r="B438" s="2" t="n">
        <x:v>5</x:v>
      </x:c>
      <x:c r="C438" s="2" t="str">
        <x:v>MP</x:v>
      </x:c>
      <x:c r="D438" s="2" t="str">
        <x:v>Myzus persicae</x:v>
      </x:c>
      <x:c r="E438" s="2" t="str">
        <x:v>L0</x:v>
      </x:c>
      <x:c r="F438" s="2" t="n">
        <x:v>10</x:v>
      </x:c>
      <x:c r="G438" s="2" t="n">
        <x:v>21</x:v>
      </x:c>
      <x:c r="H438" s="2" t="n">
        <x:f>G438-Supuestos!$C$7</x:f>
        <x:v>20</x:v>
      </x:c>
      <x:c r="I438" s="14" t="n">
        <x:f>E1_plantas!J147+G438</x:f>
        <x:v>46132</x:v>
      </x:c>
      <x:c r="J438" s="2" t="n">
        <x:v>129</x:v>
      </x:c>
      <x:c r="K438" s="2" t="n">
        <x:f>IF(AND(G438&gt;Supuestos!$C$8,E438&lt;&gt;"L0"),1,0)</x:f>
        <x:v>0</x:v>
      </x:c>
      <x:c r="L438" s="2" t="str">
        <x:v>posterior_al_dia_14</x:v>
      </x:c>
      <x:c r="M438" s="2" t="str">
        <x:v>simulado_didactico</x:v>
      </x:c>
    </x:row>
    <x:row r="439" ht="19" customHeight="1">
      <x:c r="A439" s="2" t="str">
        <x:v>SIM-E1-MP-L0-R10</x:v>
      </x:c>
      <x:c r="B439" s="2" t="n">
        <x:v>5</x:v>
      </x:c>
      <x:c r="C439" s="2" t="str">
        <x:v>MP</x:v>
      </x:c>
      <x:c r="D439" s="2" t="str">
        <x:v>Myzus persicae</x:v>
      </x:c>
      <x:c r="E439" s="2" t="str">
        <x:v>L0</x:v>
      </x:c>
      <x:c r="F439" s="2" t="n">
        <x:v>10</x:v>
      </x:c>
      <x:c r="G439" s="2" t="n">
        <x:v>28</x:v>
      </x:c>
      <x:c r="H439" s="2" t="n">
        <x:f>G439-Supuestos!$C$7</x:f>
        <x:v>27</x:v>
      </x:c>
      <x:c r="I439" s="14" t="n">
        <x:f>E1_plantas!J147+G439</x:f>
        <x:v>46139</x:v>
      </x:c>
      <x:c r="J439" s="2" t="n">
        <x:v>329</x:v>
      </x:c>
      <x:c r="K439" s="2" t="n">
        <x:f>IF(AND(G439&gt;Supuestos!$C$8,E439&lt;&gt;"L0"),1,0)</x:f>
        <x:v>0</x:v>
      </x:c>
      <x:c r="L439" s="2" t="str">
        <x:v>posterior_al_dia_14</x:v>
      </x:c>
      <x:c r="M439" s="2" t="str">
        <x:v>simulado_didactico</x:v>
      </x:c>
    </x:row>
    <x:row r="440" ht="19" customHeight="1">
      <x:c r="A440" s="2" t="str">
        <x:v>SIM-E1-MP-L1-R09</x:v>
      </x:c>
      <x:c r="B440" s="2" t="n">
        <x:v>5</x:v>
      </x:c>
      <x:c r="C440" s="2" t="str">
        <x:v>MP</x:v>
      </x:c>
      <x:c r="D440" s="2" t="str">
        <x:v>Myzus persicae</x:v>
      </x:c>
      <x:c r="E440" s="2" t="str">
        <x:v>L1</x:v>
      </x:c>
      <x:c r="F440" s="2" t="n">
        <x:v>9</x:v>
      </x:c>
      <x:c r="G440" s="2" t="n">
        <x:v>14</x:v>
      </x:c>
      <x:c r="H440" s="2" t="n">
        <x:f>G440-Supuestos!$C$7</x:f>
        <x:v>13</x:v>
      </x:c>
      <x:c r="I440" s="14" t="n">
        <x:f>E1_plantas!J148+G440</x:f>
        <x:v>46125</x:v>
      </x:c>
      <x:c r="J440" s="2" t="n">
        <x:v>15</x:v>
      </x:c>
      <x:c r="K440" s="2" t="n">
        <x:f>IF(AND(G440&gt;Supuestos!$C$8,E440&lt;&gt;"L0"),1,0)</x:f>
        <x:v>0</x:v>
      </x:c>
      <x:c r="L440" s="2" t="str">
        <x:v>antes_de_reinoculacion</x:v>
      </x:c>
      <x:c r="M440" s="2" t="str">
        <x:v>simulado_didactico</x:v>
      </x:c>
    </x:row>
    <x:row r="441" ht="19" customHeight="1">
      <x:c r="A441" s="2" t="str">
        <x:v>SIM-E1-MP-L1-R09</x:v>
      </x:c>
      <x:c r="B441" s="2" t="n">
        <x:v>5</x:v>
      </x:c>
      <x:c r="C441" s="2" t="str">
        <x:v>MP</x:v>
      </x:c>
      <x:c r="D441" s="2" t="str">
        <x:v>Myzus persicae</x:v>
      </x:c>
      <x:c r="E441" s="2" t="str">
        <x:v>L1</x:v>
      </x:c>
      <x:c r="F441" s="2" t="n">
        <x:v>9</x:v>
      </x:c>
      <x:c r="G441" s="2" t="n">
        <x:v>21</x:v>
      </x:c>
      <x:c r="H441" s="2" t="n">
        <x:f>G441-Supuestos!$C$7</x:f>
        <x:v>20</x:v>
      </x:c>
      <x:c r="I441" s="14" t="n">
        <x:f>E1_plantas!J148+G441</x:f>
        <x:v>46132</x:v>
      </x:c>
      <x:c r="J441" s="2" t="n">
        <x:v>109</x:v>
      </x:c>
      <x:c r="K441" s="2" t="n">
        <x:f>IF(AND(G441&gt;Supuestos!$C$8,E441&lt;&gt;"L0"),1,0)</x:f>
        <x:v>1</x:v>
      </x:c>
      <x:c r="L441" s="2" t="str">
        <x:v>posterior_al_dia_14</x:v>
      </x:c>
      <x:c r="M441" s="2" t="str">
        <x:v>simulado_didactico</x:v>
      </x:c>
    </x:row>
    <x:row r="442" ht="19" customHeight="1">
      <x:c r="A442" s="2" t="str">
        <x:v>SIM-E1-MP-L1-R09</x:v>
      </x:c>
      <x:c r="B442" s="2" t="n">
        <x:v>5</x:v>
      </x:c>
      <x:c r="C442" s="2" t="str">
        <x:v>MP</x:v>
      </x:c>
      <x:c r="D442" s="2" t="str">
        <x:v>Myzus persicae</x:v>
      </x:c>
      <x:c r="E442" s="2" t="str">
        <x:v>L1</x:v>
      </x:c>
      <x:c r="F442" s="2" t="n">
        <x:v>9</x:v>
      </x:c>
      <x:c r="G442" s="2" t="n">
        <x:v>28</x:v>
      </x:c>
      <x:c r="H442" s="2" t="n">
        <x:f>G442-Supuestos!$C$7</x:f>
        <x:v>27</x:v>
      </x:c>
      <x:c r="I442" s="14" t="n">
        <x:f>E1_plantas!J148+G442</x:f>
        <x:v>46139</x:v>
      </x:c>
      <x:c r="J442" s="2" t="n">
        <x:v>225</x:v>
      </x:c>
      <x:c r="K442" s="2" t="n">
        <x:f>IF(AND(G442&gt;Supuestos!$C$8,E442&lt;&gt;"L0"),1,0)</x:f>
        <x:v>1</x:v>
      </x:c>
      <x:c r="L442" s="2" t="str">
        <x:v>posterior_al_dia_14</x:v>
      </x:c>
      <x:c r="M442" s="2" t="str">
        <x:v>simulado_didactico</x:v>
      </x:c>
    </x:row>
    <x:row r="443" ht="19" customHeight="1">
      <x:c r="A443" s="2" t="str">
        <x:v>SIM-E1-MP-L1-R10</x:v>
      </x:c>
      <x:c r="B443" s="2" t="n">
        <x:v>5</x:v>
      </x:c>
      <x:c r="C443" s="2" t="str">
        <x:v>MP</x:v>
      </x:c>
      <x:c r="D443" s="2" t="str">
        <x:v>Myzus persicae</x:v>
      </x:c>
      <x:c r="E443" s="2" t="str">
        <x:v>L1</x:v>
      </x:c>
      <x:c r="F443" s="2" t="n">
        <x:v>10</x:v>
      </x:c>
      <x:c r="G443" s="2" t="n">
        <x:v>14</x:v>
      </x:c>
      <x:c r="H443" s="2" t="n">
        <x:f>G443-Supuestos!$C$7</x:f>
        <x:v>13</x:v>
      </x:c>
      <x:c r="I443" s="14" t="n">
        <x:f>E1_plantas!J149+G443</x:f>
        <x:v>46125</x:v>
      </x:c>
      <x:c r="J443" s="2" t="n">
        <x:v>18</x:v>
      </x:c>
      <x:c r="K443" s="2" t="n">
        <x:f>IF(AND(G443&gt;Supuestos!$C$8,E443&lt;&gt;"L0"),1,0)</x:f>
        <x:v>0</x:v>
      </x:c>
      <x:c r="L443" s="2" t="str">
        <x:v>antes_de_reinoculacion</x:v>
      </x:c>
      <x:c r="M443" s="2" t="str">
        <x:v>simulado_didactico</x:v>
      </x:c>
    </x:row>
    <x:row r="444" ht="19" customHeight="1">
      <x:c r="A444" s="2" t="str">
        <x:v>SIM-E1-MP-L1-R10</x:v>
      </x:c>
      <x:c r="B444" s="2" t="n">
        <x:v>5</x:v>
      </x:c>
      <x:c r="C444" s="2" t="str">
        <x:v>MP</x:v>
      </x:c>
      <x:c r="D444" s="2" t="str">
        <x:v>Myzus persicae</x:v>
      </x:c>
      <x:c r="E444" s="2" t="str">
        <x:v>L1</x:v>
      </x:c>
      <x:c r="F444" s="2" t="n">
        <x:v>10</x:v>
      </x:c>
      <x:c r="G444" s="2" t="n">
        <x:v>21</x:v>
      </x:c>
      <x:c r="H444" s="2" t="n">
        <x:f>G444-Supuestos!$C$7</x:f>
        <x:v>20</x:v>
      </x:c>
      <x:c r="I444" s="14" t="n">
        <x:f>E1_plantas!J149+G444</x:f>
        <x:v>46132</x:v>
      </x:c>
      <x:c r="J444" s="2" t="n">
        <x:v>47</x:v>
      </x:c>
      <x:c r="K444" s="2" t="n">
        <x:f>IF(AND(G444&gt;Supuestos!$C$8,E444&lt;&gt;"L0"),1,0)</x:f>
        <x:v>1</x:v>
      </x:c>
      <x:c r="L444" s="2" t="str">
        <x:v>posterior_al_dia_14</x:v>
      </x:c>
      <x:c r="M444" s="2" t="str">
        <x:v>simulado_didactico</x:v>
      </x:c>
    </x:row>
    <x:row r="445" ht="19" customHeight="1">
      <x:c r="A445" s="2" t="str">
        <x:v>SIM-E1-MP-L1-R10</x:v>
      </x:c>
      <x:c r="B445" s="2" t="n">
        <x:v>5</x:v>
      </x:c>
      <x:c r="C445" s="2" t="str">
        <x:v>MP</x:v>
      </x:c>
      <x:c r="D445" s="2" t="str">
        <x:v>Myzus persicae</x:v>
      </x:c>
      <x:c r="E445" s="2" t="str">
        <x:v>L1</x:v>
      </x:c>
      <x:c r="F445" s="2" t="n">
        <x:v>10</x:v>
      </x:c>
      <x:c r="G445" s="2" t="n">
        <x:v>28</x:v>
      </x:c>
      <x:c r="H445" s="2" t="n">
        <x:f>G445-Supuestos!$C$7</x:f>
        <x:v>27</x:v>
      </x:c>
      <x:c r="I445" s="14" t="n">
        <x:f>E1_plantas!J149+G445</x:f>
        <x:v>46139</x:v>
      </x:c>
      <x:c r="J445" s="2" t="n">
        <x:v>153</x:v>
      </x:c>
      <x:c r="K445" s="2" t="n">
        <x:f>IF(AND(G445&gt;Supuestos!$C$8,E445&lt;&gt;"L0"),1,0)</x:f>
        <x:v>1</x:v>
      </x:c>
      <x:c r="L445" s="2" t="str">
        <x:v>posterior_al_dia_14</x:v>
      </x:c>
      <x:c r="M445" s="2" t="str">
        <x:v>simulado_didactico</x:v>
      </x:c>
    </x:row>
    <x:row r="446" ht="19" customHeight="1">
      <x:c r="A446" s="2" t="str">
        <x:v>SIM-E1-MP-L2-R09</x:v>
      </x:c>
      <x:c r="B446" s="2" t="n">
        <x:v>5</x:v>
      </x:c>
      <x:c r="C446" s="2" t="str">
        <x:v>MP</x:v>
      </x:c>
      <x:c r="D446" s="2" t="str">
        <x:v>Myzus persicae</x:v>
      </x:c>
      <x:c r="E446" s="2" t="str">
        <x:v>L2</x:v>
      </x:c>
      <x:c r="F446" s="2" t="n">
        <x:v>9</x:v>
      </x:c>
      <x:c r="G446" s="2" t="n">
        <x:v>14</x:v>
      </x:c>
      <x:c r="H446" s="2" t="n">
        <x:f>G446-Supuestos!$C$7</x:f>
        <x:v>13</x:v>
      </x:c>
      <x:c r="I446" s="14" t="n">
        <x:f>E1_plantas!J150+G446</x:f>
        <x:v>46125</x:v>
      </x:c>
      <x:c r="J446" s="2" t="n">
        <x:v>12</x:v>
      </x:c>
      <x:c r="K446" s="2" t="n">
        <x:f>IF(AND(G446&gt;Supuestos!$C$8,E446&lt;&gt;"L0"),1,0)</x:f>
        <x:v>0</x:v>
      </x:c>
      <x:c r="L446" s="2" t="str">
        <x:v>antes_de_reinoculacion</x:v>
      </x:c>
      <x:c r="M446" s="2" t="str">
        <x:v>simulado_didactico</x:v>
      </x:c>
    </x:row>
    <x:row r="447" ht="19" customHeight="1">
      <x:c r="A447" s="2" t="str">
        <x:v>SIM-E1-MP-L2-R09</x:v>
      </x:c>
      <x:c r="B447" s="2" t="n">
        <x:v>5</x:v>
      </x:c>
      <x:c r="C447" s="2" t="str">
        <x:v>MP</x:v>
      </x:c>
      <x:c r="D447" s="2" t="str">
        <x:v>Myzus persicae</x:v>
      </x:c>
      <x:c r="E447" s="2" t="str">
        <x:v>L2</x:v>
      </x:c>
      <x:c r="F447" s="2" t="n">
        <x:v>9</x:v>
      </x:c>
      <x:c r="G447" s="2" t="n">
        <x:v>21</x:v>
      </x:c>
      <x:c r="H447" s="2" t="n">
        <x:f>G447-Supuestos!$C$7</x:f>
        <x:v>20</x:v>
      </x:c>
      <x:c r="I447" s="14" t="n">
        <x:f>E1_plantas!J150+G447</x:f>
        <x:v>46132</x:v>
      </x:c>
      <x:c r="J447" s="2" t="n">
        <x:v>40</x:v>
      </x:c>
      <x:c r="K447" s="2" t="n">
        <x:f>IF(AND(G447&gt;Supuestos!$C$8,E447&lt;&gt;"L0"),1,0)</x:f>
        <x:v>1</x:v>
      </x:c>
      <x:c r="L447" s="2" t="str">
        <x:v>posterior_al_dia_14</x:v>
      </x:c>
      <x:c r="M447" s="2" t="str">
        <x:v>simulado_didactico</x:v>
      </x:c>
    </x:row>
    <x:row r="448" ht="19" customHeight="1">
      <x:c r="A448" s="2" t="str">
        <x:v>SIM-E1-MP-L2-R09</x:v>
      </x:c>
      <x:c r="B448" s="2" t="n">
        <x:v>5</x:v>
      </x:c>
      <x:c r="C448" s="2" t="str">
        <x:v>MP</x:v>
      </x:c>
      <x:c r="D448" s="2" t="str">
        <x:v>Myzus persicae</x:v>
      </x:c>
      <x:c r="E448" s="2" t="str">
        <x:v>L2</x:v>
      </x:c>
      <x:c r="F448" s="2" t="n">
        <x:v>9</x:v>
      </x:c>
      <x:c r="G448" s="2" t="n">
        <x:v>28</x:v>
      </x:c>
      <x:c r="H448" s="2" t="n">
        <x:f>G448-Supuestos!$C$7</x:f>
        <x:v>27</x:v>
      </x:c>
      <x:c r="I448" s="14" t="n">
        <x:f>E1_plantas!J150+G448</x:f>
        <x:v>46139</x:v>
      </x:c>
      <x:c r="J448" s="2" t="n">
        <x:v>165</x:v>
      </x:c>
      <x:c r="K448" s="2" t="n">
        <x:f>IF(AND(G448&gt;Supuestos!$C$8,E448&lt;&gt;"L0"),1,0)</x:f>
        <x:v>1</x:v>
      </x:c>
      <x:c r="L448" s="2" t="str">
        <x:v>posterior_al_dia_14</x:v>
      </x:c>
      <x:c r="M448" s="2" t="str">
        <x:v>simulado_didactico</x:v>
      </x:c>
    </x:row>
    <x:row r="449" ht="19" customHeight="1">
      <x:c r="A449" s="2" t="str">
        <x:v>SIM-E1-MP-L2-R10</x:v>
      </x:c>
      <x:c r="B449" s="2" t="n">
        <x:v>5</x:v>
      </x:c>
      <x:c r="C449" s="2" t="str">
        <x:v>MP</x:v>
      </x:c>
      <x:c r="D449" s="2" t="str">
        <x:v>Myzus persicae</x:v>
      </x:c>
      <x:c r="E449" s="2" t="str">
        <x:v>L2</x:v>
      </x:c>
      <x:c r="F449" s="2" t="n">
        <x:v>10</x:v>
      </x:c>
      <x:c r="G449" s="2" t="n">
        <x:v>14</x:v>
      </x:c>
      <x:c r="H449" s="2" t="n">
        <x:f>G449-Supuestos!$C$7</x:f>
        <x:v>13</x:v>
      </x:c>
      <x:c r="I449" s="14" t="n">
        <x:f>E1_plantas!J151+G449</x:f>
        <x:v>46125</x:v>
      </x:c>
      <x:c r="J449" s="2" t="n">
        <x:v>0</x:v>
      </x:c>
      <x:c r="K449" s="2" t="n">
        <x:f>IF(AND(G449&gt;Supuestos!$C$8,E449&lt;&gt;"L0"),1,0)</x:f>
        <x:v>0</x:v>
      </x:c>
      <x:c r="L449" s="2" t="str">
        <x:v>antes_de_reinoculacion</x:v>
      </x:c>
      <x:c r="M449" s="2" t="str">
        <x:v>simulado_didactico</x:v>
      </x:c>
    </x:row>
    <x:row r="450" ht="19" customHeight="1">
      <x:c r="A450" s="2" t="str">
        <x:v>SIM-E1-MP-L2-R10</x:v>
      </x:c>
      <x:c r="B450" s="2" t="n">
        <x:v>5</x:v>
      </x:c>
      <x:c r="C450" s="2" t="str">
        <x:v>MP</x:v>
      </x:c>
      <x:c r="D450" s="2" t="str">
        <x:v>Myzus persicae</x:v>
      </x:c>
      <x:c r="E450" s="2" t="str">
        <x:v>L2</x:v>
      </x:c>
      <x:c r="F450" s="2" t="n">
        <x:v>10</x:v>
      </x:c>
      <x:c r="G450" s="2" t="n">
        <x:v>21</x:v>
      </x:c>
      <x:c r="H450" s="2" t="n">
        <x:f>G450-Supuestos!$C$7</x:f>
        <x:v>20</x:v>
      </x:c>
      <x:c r="I450" s="14" t="n">
        <x:f>E1_plantas!J151+G450</x:f>
        <x:v>46132</x:v>
      </x:c>
      <x:c r="J450" s="2" t="n">
        <x:v>0</x:v>
      </x:c>
      <x:c r="K450" s="2" t="n">
        <x:f>IF(AND(G450&gt;Supuestos!$C$8,E450&lt;&gt;"L0"),1,0)</x:f>
        <x:v>1</x:v>
      </x:c>
      <x:c r="L450" s="2" t="str">
        <x:v>posterior_al_dia_14</x:v>
      </x:c>
      <x:c r="M450" s="2" t="str">
        <x:v>simulado_didactico</x:v>
      </x:c>
    </x:row>
    <x:row r="451" ht="19" customHeight="1">
      <x:c r="A451" s="2" t="str">
        <x:v>SIM-E1-MP-L2-R10</x:v>
      </x:c>
      <x:c r="B451" s="2" t="n">
        <x:v>5</x:v>
      </x:c>
      <x:c r="C451" s="2" t="str">
        <x:v>MP</x:v>
      </x:c>
      <x:c r="D451" s="2" t="str">
        <x:v>Myzus persicae</x:v>
      </x:c>
      <x:c r="E451" s="2" t="str">
        <x:v>L2</x:v>
      </x:c>
      <x:c r="F451" s="2" t="n">
        <x:v>10</x:v>
      </x:c>
      <x:c r="G451" s="2" t="n">
        <x:v>28</x:v>
      </x:c>
      <x:c r="H451" s="2" t="n">
        <x:f>G451-Supuestos!$C$7</x:f>
        <x:v>27</x:v>
      </x:c>
      <x:c r="I451" s="14" t="n">
        <x:f>E1_plantas!J151+G451</x:f>
        <x:v>46139</x:v>
      </x:c>
      <x:c r="J451" s="2" t="n">
        <x:v>0</x:v>
      </x:c>
      <x:c r="K451" s="2" t="n">
        <x:f>IF(AND(G451&gt;Supuestos!$C$8,E451&lt;&gt;"L0"),1,0)</x:f>
        <x:v>1</x:v>
      </x:c>
      <x:c r="L451" s="2" t="str">
        <x:v>posterior_al_dia_14</x:v>
      </x:c>
      <x:c r="M451" s="2" t="str">
        <x:v>simulado_didactico</x:v>
      </x:c>
    </x:row>
    <x:row r="452" ht="19" customHeight="1">
      <x:c r="A452" s="2" t="str">
        <x:v>SIM-E1-MP-L3-R09</x:v>
      </x:c>
      <x:c r="B452" s="2" t="n">
        <x:v>5</x:v>
      </x:c>
      <x:c r="C452" s="2" t="str">
        <x:v>MP</x:v>
      </x:c>
      <x:c r="D452" s="2" t="str">
        <x:v>Myzus persicae</x:v>
      </x:c>
      <x:c r="E452" s="2" t="str">
        <x:v>L3</x:v>
      </x:c>
      <x:c r="F452" s="2" t="n">
        <x:v>9</x:v>
      </x:c>
      <x:c r="G452" s="2" t="n">
        <x:v>14</x:v>
      </x:c>
      <x:c r="H452" s="2" t="n">
        <x:f>G452-Supuestos!$C$7</x:f>
        <x:v>13</x:v>
      </x:c>
      <x:c r="I452" s="14" t="n">
        <x:f>E1_plantas!J152+G452</x:f>
        <x:v>46125</x:v>
      </x:c>
      <x:c r="J452" s="2" t="n">
        <x:v>11</x:v>
      </x:c>
      <x:c r="K452" s="2" t="n">
        <x:f>IF(AND(G452&gt;Supuestos!$C$8,E452&lt;&gt;"L0"),1,0)</x:f>
        <x:v>0</x:v>
      </x:c>
      <x:c r="L452" s="2" t="str">
        <x:v>antes_de_reinoculacion</x:v>
      </x:c>
      <x:c r="M452" s="2" t="str">
        <x:v>simulado_didactico</x:v>
      </x:c>
    </x:row>
    <x:row r="453" ht="19" customHeight="1">
      <x:c r="A453" s="2" t="str">
        <x:v>SIM-E1-MP-L3-R09</x:v>
      </x:c>
      <x:c r="B453" s="2" t="n">
        <x:v>5</x:v>
      </x:c>
      <x:c r="C453" s="2" t="str">
        <x:v>MP</x:v>
      </x:c>
      <x:c r="D453" s="2" t="str">
        <x:v>Myzus persicae</x:v>
      </x:c>
      <x:c r="E453" s="2" t="str">
        <x:v>L3</x:v>
      </x:c>
      <x:c r="F453" s="2" t="n">
        <x:v>9</x:v>
      </x:c>
      <x:c r="G453" s="2" t="n">
        <x:v>21</x:v>
      </x:c>
      <x:c r="H453" s="2" t="n">
        <x:f>G453-Supuestos!$C$7</x:f>
        <x:v>20</x:v>
      </x:c>
      <x:c r="I453" s="14" t="n">
        <x:f>E1_plantas!J152+G453</x:f>
        <x:v>46132</x:v>
      </x:c>
      <x:c r="J453" s="2" t="n">
        <x:v>83</x:v>
      </x:c>
      <x:c r="K453" s="2" t="n">
        <x:f>IF(AND(G453&gt;Supuestos!$C$8,E453&lt;&gt;"L0"),1,0)</x:f>
        <x:v>1</x:v>
      </x:c>
      <x:c r="L453" s="2" t="str">
        <x:v>posterior_al_dia_14</x:v>
      </x:c>
      <x:c r="M453" s="2" t="str">
        <x:v>simulado_didactico</x:v>
      </x:c>
    </x:row>
    <x:row r="454" ht="19" customHeight="1">
      <x:c r="A454" s="2" t="str">
        <x:v>SIM-E1-MP-L3-R09</x:v>
      </x:c>
      <x:c r="B454" s="2" t="n">
        <x:v>5</x:v>
      </x:c>
      <x:c r="C454" s="2" t="str">
        <x:v>MP</x:v>
      </x:c>
      <x:c r="D454" s="2" t="str">
        <x:v>Myzus persicae</x:v>
      </x:c>
      <x:c r="E454" s="2" t="str">
        <x:v>L3</x:v>
      </x:c>
      <x:c r="F454" s="2" t="n">
        <x:v>9</x:v>
      </x:c>
      <x:c r="G454" s="2" t="n">
        <x:v>28</x:v>
      </x:c>
      <x:c r="H454" s="2" t="n">
        <x:f>G454-Supuestos!$C$7</x:f>
        <x:v>27</x:v>
      </x:c>
      <x:c r="I454" s="14" t="n">
        <x:f>E1_plantas!J152+G454</x:f>
        <x:v>46139</x:v>
      </x:c>
      <x:c r="J454" s="2" t="n">
        <x:v>191</x:v>
      </x:c>
      <x:c r="K454" s="2" t="n">
        <x:f>IF(AND(G454&gt;Supuestos!$C$8,E454&lt;&gt;"L0"),1,0)</x:f>
        <x:v>1</x:v>
      </x:c>
      <x:c r="L454" s="2" t="str">
        <x:v>posterior_al_dia_14</x:v>
      </x:c>
      <x:c r="M454" s="2" t="str">
        <x:v>simulado_didactico</x:v>
      </x:c>
    </x:row>
    <x:row r="455" ht="19" customHeight="1">
      <x:c r="A455" s="2" t="str">
        <x:v>SIM-E1-MP-L3-R10</x:v>
      </x:c>
      <x:c r="B455" s="2" t="n">
        <x:v>5</x:v>
      </x:c>
      <x:c r="C455" s="2" t="str">
        <x:v>MP</x:v>
      </x:c>
      <x:c r="D455" s="2" t="str">
        <x:v>Myzus persicae</x:v>
      </x:c>
      <x:c r="E455" s="2" t="str">
        <x:v>L3</x:v>
      </x:c>
      <x:c r="F455" s="2" t="n">
        <x:v>10</x:v>
      </x:c>
      <x:c r="G455" s="2" t="n">
        <x:v>14</x:v>
      </x:c>
      <x:c r="H455" s="2" t="n">
        <x:f>G455-Supuestos!$C$7</x:f>
        <x:v>13</x:v>
      </x:c>
      <x:c r="I455" s="14" t="n">
        <x:f>E1_plantas!J153+G455</x:f>
        <x:v>46125</x:v>
      </x:c>
      <x:c r="J455" s="2" t="n">
        <x:v>17</x:v>
      </x:c>
      <x:c r="K455" s="2" t="n">
        <x:f>IF(AND(G455&gt;Supuestos!$C$8,E455&lt;&gt;"L0"),1,0)</x:f>
        <x:v>0</x:v>
      </x:c>
      <x:c r="L455" s="2" t="str">
        <x:v>antes_de_reinoculacion</x:v>
      </x:c>
      <x:c r="M455" s="2" t="str">
        <x:v>simulado_didactico</x:v>
      </x:c>
    </x:row>
    <x:row r="456" ht="19" customHeight="1">
      <x:c r="A456" s="2" t="str">
        <x:v>SIM-E1-MP-L3-R10</x:v>
      </x:c>
      <x:c r="B456" s="2" t="n">
        <x:v>5</x:v>
      </x:c>
      <x:c r="C456" s="2" t="str">
        <x:v>MP</x:v>
      </x:c>
      <x:c r="D456" s="2" t="str">
        <x:v>Myzus persicae</x:v>
      </x:c>
      <x:c r="E456" s="2" t="str">
        <x:v>L3</x:v>
      </x:c>
      <x:c r="F456" s="2" t="n">
        <x:v>10</x:v>
      </x:c>
      <x:c r="G456" s="2" t="n">
        <x:v>21</x:v>
      </x:c>
      <x:c r="H456" s="2" t="n">
        <x:f>G456-Supuestos!$C$7</x:f>
        <x:v>20</x:v>
      </x:c>
      <x:c r="I456" s="14" t="n">
        <x:f>E1_plantas!J153+G456</x:f>
        <x:v>46132</x:v>
      </x:c>
      <x:c r="J456" s="2" t="n">
        <x:v>64</x:v>
      </x:c>
      <x:c r="K456" s="2" t="n">
        <x:f>IF(AND(G456&gt;Supuestos!$C$8,E456&lt;&gt;"L0"),1,0)</x:f>
        <x:v>1</x:v>
      </x:c>
      <x:c r="L456" s="2" t="str">
        <x:v>posterior_al_dia_14</x:v>
      </x:c>
      <x:c r="M456" s="2" t="str">
        <x:v>simulado_didactico</x:v>
      </x:c>
    </x:row>
    <x:row r="457" ht="19" customHeight="1">
      <x:c r="A457" s="2" t="str">
        <x:v>SIM-E1-MP-L3-R10</x:v>
      </x:c>
      <x:c r="B457" s="2" t="n">
        <x:v>5</x:v>
      </x:c>
      <x:c r="C457" s="2" t="str">
        <x:v>MP</x:v>
      </x:c>
      <x:c r="D457" s="2" t="str">
        <x:v>Myzus persicae</x:v>
      </x:c>
      <x:c r="E457" s="2" t="str">
        <x:v>L3</x:v>
      </x:c>
      <x:c r="F457" s="2" t="n">
        <x:v>10</x:v>
      </x:c>
      <x:c r="G457" s="2" t="n">
        <x:v>28</x:v>
      </x:c>
      <x:c r="H457" s="2" t="n">
        <x:f>G457-Supuestos!$C$7</x:f>
        <x:v>27</x:v>
      </x:c>
      <x:c r="I457" s="14" t="n">
        <x:f>E1_plantas!J153+G457</x:f>
        <x:v>46139</x:v>
      </x:c>
      <x:c r="J457" s="2" t="n">
        <x:v>168</x:v>
      </x:c>
      <x:c r="K457" s="2" t="n">
        <x:f>IF(AND(G457&gt;Supuestos!$C$8,E457&lt;&gt;"L0"),1,0)</x:f>
        <x:v>1</x:v>
      </x:c>
      <x:c r="L457" s="2" t="str">
        <x:v>posterior_al_dia_14</x:v>
      </x:c>
      <x:c r="M457" s="2" t="str">
        <x:v>simulado_didactico</x:v>
      </x:c>
    </x:row>
    <x:row r="458" ht="19" customHeight="1">
      <x:c r="A458" s="2" t="str">
        <x:v>SIM-E1-MP-L5-R09</x:v>
      </x:c>
      <x:c r="B458" s="2" t="n">
        <x:v>5</x:v>
      </x:c>
      <x:c r="C458" s="2" t="str">
        <x:v>MP</x:v>
      </x:c>
      <x:c r="D458" s="2" t="str">
        <x:v>Myzus persicae</x:v>
      </x:c>
      <x:c r="E458" s="2" t="str">
        <x:v>L5</x:v>
      </x:c>
      <x:c r="F458" s="2" t="n">
        <x:v>9</x:v>
      </x:c>
      <x:c r="G458" s="2" t="n">
        <x:v>14</x:v>
      </x:c>
      <x:c r="H458" s="2" t="n">
        <x:f>G458-Supuestos!$C$7</x:f>
        <x:v>13</x:v>
      </x:c>
      <x:c r="I458" s="14" t="n">
        <x:f>E1_plantas!J154+G458</x:f>
        <x:v>46125</x:v>
      </x:c>
      <x:c r="J458" s="2" t="n">
        <x:v>8</x:v>
      </x:c>
      <x:c r="K458" s="2" t="n">
        <x:f>IF(AND(G458&gt;Supuestos!$C$8,E458&lt;&gt;"L0"),1,0)</x:f>
        <x:v>0</x:v>
      </x:c>
      <x:c r="L458" s="2" t="str">
        <x:v>antes_de_reinoculacion</x:v>
      </x:c>
      <x:c r="M458" s="2" t="str">
        <x:v>simulado_didactico</x:v>
      </x:c>
    </x:row>
    <x:row r="459" ht="19" customHeight="1">
      <x:c r="A459" s="2" t="str">
        <x:v>SIM-E1-MP-L5-R09</x:v>
      </x:c>
      <x:c r="B459" s="2" t="n">
        <x:v>5</x:v>
      </x:c>
      <x:c r="C459" s="2" t="str">
        <x:v>MP</x:v>
      </x:c>
      <x:c r="D459" s="2" t="str">
        <x:v>Myzus persicae</x:v>
      </x:c>
      <x:c r="E459" s="2" t="str">
        <x:v>L5</x:v>
      </x:c>
      <x:c r="F459" s="2" t="n">
        <x:v>9</x:v>
      </x:c>
      <x:c r="G459" s="2" t="n">
        <x:v>21</x:v>
      </x:c>
      <x:c r="H459" s="2" t="n">
        <x:f>G459-Supuestos!$C$7</x:f>
        <x:v>20</x:v>
      </x:c>
      <x:c r="I459" s="14" t="n">
        <x:f>E1_plantas!J154+G459</x:f>
        <x:v>46132</x:v>
      </x:c>
      <x:c r="J459" s="2" t="n">
        <x:v>45</x:v>
      </x:c>
      <x:c r="K459" s="2" t="n">
        <x:f>IF(AND(G459&gt;Supuestos!$C$8,E459&lt;&gt;"L0"),1,0)</x:f>
        <x:v>1</x:v>
      </x:c>
      <x:c r="L459" s="2" t="str">
        <x:v>posterior_al_dia_14</x:v>
      </x:c>
      <x:c r="M459" s="2" t="str">
        <x:v>simulado_didactico</x:v>
      </x:c>
    </x:row>
    <x:row r="460" ht="19" customHeight="1">
      <x:c r="A460" s="2" t="str">
        <x:v>SIM-E1-MP-L5-R09</x:v>
      </x:c>
      <x:c r="B460" s="2" t="n">
        <x:v>5</x:v>
      </x:c>
      <x:c r="C460" s="2" t="str">
        <x:v>MP</x:v>
      </x:c>
      <x:c r="D460" s="2" t="str">
        <x:v>Myzus persicae</x:v>
      </x:c>
      <x:c r="E460" s="2" t="str">
        <x:v>L5</x:v>
      </x:c>
      <x:c r="F460" s="2" t="n">
        <x:v>9</x:v>
      </x:c>
      <x:c r="G460" s="2" t="n">
        <x:v>28</x:v>
      </x:c>
      <x:c r="H460" s="2" t="n">
        <x:f>G460-Supuestos!$C$7</x:f>
        <x:v>27</x:v>
      </x:c>
      <x:c r="I460" s="14" t="n">
        <x:f>E1_plantas!J154+G460</x:f>
        <x:v>46139</x:v>
      </x:c>
      <x:c r="J460" s="2" t="n">
        <x:v>67</x:v>
      </x:c>
      <x:c r="K460" s="2" t="n">
        <x:f>IF(AND(G460&gt;Supuestos!$C$8,E460&lt;&gt;"L0"),1,0)</x:f>
        <x:v>1</x:v>
      </x:c>
      <x:c r="L460" s="2" t="str">
        <x:v>posterior_al_dia_14</x:v>
      </x:c>
      <x:c r="M460" s="2" t="str">
        <x:v>simulado_didactico</x:v>
      </x:c>
    </x:row>
    <x:row r="461" ht="19" customHeight="1">
      <x:c r="A461" s="2" t="str">
        <x:v>SIM-E1-MP-L5-R10</x:v>
      </x:c>
      <x:c r="B461" s="2" t="n">
        <x:v>5</x:v>
      </x:c>
      <x:c r="C461" s="2" t="str">
        <x:v>MP</x:v>
      </x:c>
      <x:c r="D461" s="2" t="str">
        <x:v>Myzus persicae</x:v>
      </x:c>
      <x:c r="E461" s="2" t="str">
        <x:v>L5</x:v>
      </x:c>
      <x:c r="F461" s="2" t="n">
        <x:v>10</x:v>
      </x:c>
      <x:c r="G461" s="2" t="n">
        <x:v>14</x:v>
      </x:c>
      <x:c r="H461" s="2" t="n">
        <x:f>G461-Supuestos!$C$7</x:f>
        <x:v>13</x:v>
      </x:c>
      <x:c r="I461" s="14" t="n">
        <x:f>E1_plantas!J155+G461</x:f>
        <x:v>46125</x:v>
      </x:c>
      <x:c r="J461" s="2" t="n">
        <x:v>10</x:v>
      </x:c>
      <x:c r="K461" s="2" t="n">
        <x:f>IF(AND(G461&gt;Supuestos!$C$8,E461&lt;&gt;"L0"),1,0)</x:f>
        <x:v>0</x:v>
      </x:c>
      <x:c r="L461" s="2" t="str">
        <x:v>antes_de_reinoculacion</x:v>
      </x:c>
      <x:c r="M461" s="2" t="str">
        <x:v>simulado_didactico</x:v>
      </x:c>
    </x:row>
    <x:row r="462" ht="19" customHeight="1">
      <x:c r="A462" s="2" t="str">
        <x:v>SIM-E1-MP-L5-R10</x:v>
      </x:c>
      <x:c r="B462" s="2" t="n">
        <x:v>5</x:v>
      </x:c>
      <x:c r="C462" s="2" t="str">
        <x:v>MP</x:v>
      </x:c>
      <x:c r="D462" s="2" t="str">
        <x:v>Myzus persicae</x:v>
      </x:c>
      <x:c r="E462" s="2" t="str">
        <x:v>L5</x:v>
      </x:c>
      <x:c r="F462" s="2" t="n">
        <x:v>10</x:v>
      </x:c>
      <x:c r="G462" s="2" t="n">
        <x:v>21</x:v>
      </x:c>
      <x:c r="H462" s="2" t="n">
        <x:f>G462-Supuestos!$C$7</x:f>
        <x:v>20</x:v>
      </x:c>
      <x:c r="I462" s="14" t="n">
        <x:f>E1_plantas!J155+G462</x:f>
        <x:v>46132</x:v>
      </x:c>
      <x:c r="J462" s="2" t="n">
        <x:v>19</x:v>
      </x:c>
      <x:c r="K462" s="2" t="n">
        <x:f>IF(AND(G462&gt;Supuestos!$C$8,E462&lt;&gt;"L0"),1,0)</x:f>
        <x:v>1</x:v>
      </x:c>
      <x:c r="L462" s="2" t="str">
        <x:v>posterior_al_dia_14</x:v>
      </x:c>
      <x:c r="M462" s="2" t="str">
        <x:v>simulado_didactico</x:v>
      </x:c>
    </x:row>
    <x:row r="463" ht="19" customHeight="1">
      <x:c r="A463" s="2" t="str">
        <x:v>SIM-E1-MP-L5-R10</x:v>
      </x:c>
      <x:c r="B463" s="2" t="n">
        <x:v>5</x:v>
      </x:c>
      <x:c r="C463" s="2" t="str">
        <x:v>MP</x:v>
      </x:c>
      <x:c r="D463" s="2" t="str">
        <x:v>Myzus persicae</x:v>
      </x:c>
      <x:c r="E463" s="2" t="str">
        <x:v>L5</x:v>
      </x:c>
      <x:c r="F463" s="2" t="n">
        <x:v>10</x:v>
      </x:c>
      <x:c r="G463" s="2" t="n">
        <x:v>28</x:v>
      </x:c>
      <x:c r="H463" s="2" t="n">
        <x:f>G463-Supuestos!$C$7</x:f>
        <x:v>27</x:v>
      </x:c>
      <x:c r="I463" s="14" t="n">
        <x:f>E1_plantas!J155+G463</x:f>
        <x:v>46139</x:v>
      </x:c>
      <x:c r="J463" s="2" t="n">
        <x:v>68</x:v>
      </x:c>
      <x:c r="K463" s="2" t="n">
        <x:f>IF(AND(G463&gt;Supuestos!$C$8,E463&lt;&gt;"L0"),1,0)</x:f>
        <x:v>1</x:v>
      </x:c>
      <x:c r="L463" s="2" t="str">
        <x:v>posterior_al_dia_14</x:v>
      </x:c>
      <x:c r="M463" s="2" t="str">
        <x:v>simulado_didactico</x:v>
      </x:c>
    </x:row>
    <x:row r="464" ht="19" customHeight="1">
      <x:c r="A464" s="2" t="str">
        <x:v>SIM-E1-MP-L6-R09</x:v>
      </x:c>
      <x:c r="B464" s="2" t="n">
        <x:v>5</x:v>
      </x:c>
      <x:c r="C464" s="2" t="str">
        <x:v>MP</x:v>
      </x:c>
      <x:c r="D464" s="2" t="str">
        <x:v>Myzus persicae</x:v>
      </x:c>
      <x:c r="E464" s="2" t="str">
        <x:v>L6</x:v>
      </x:c>
      <x:c r="F464" s="2" t="n">
        <x:v>9</x:v>
      </x:c>
      <x:c r="G464" s="2" t="n">
        <x:v>14</x:v>
      </x:c>
      <x:c r="H464" s="2" t="n">
        <x:f>G464-Supuestos!$C$7</x:f>
        <x:v>13</x:v>
      </x:c>
      <x:c r="I464" s="14" t="n">
        <x:f>E1_plantas!J156+G464</x:f>
        <x:v>46125</x:v>
      </x:c>
      <x:c r="J464" s="2" t="n">
        <x:v>19</x:v>
      </x:c>
      <x:c r="K464" s="2" t="n">
        <x:f>IF(AND(G464&gt;Supuestos!$C$8,E464&lt;&gt;"L0"),1,0)</x:f>
        <x:v>0</x:v>
      </x:c>
      <x:c r="L464" s="2" t="str">
        <x:v>antes_de_reinoculacion</x:v>
      </x:c>
      <x:c r="M464" s="2" t="str">
        <x:v>simulado_didactico</x:v>
      </x:c>
    </x:row>
    <x:row r="465" ht="19" customHeight="1">
      <x:c r="A465" s="2" t="str">
        <x:v>SIM-E1-MP-L6-R09</x:v>
      </x:c>
      <x:c r="B465" s="2" t="n">
        <x:v>5</x:v>
      </x:c>
      <x:c r="C465" s="2" t="str">
        <x:v>MP</x:v>
      </x:c>
      <x:c r="D465" s="2" t="str">
        <x:v>Myzus persicae</x:v>
      </x:c>
      <x:c r="E465" s="2" t="str">
        <x:v>L6</x:v>
      </x:c>
      <x:c r="F465" s="2" t="n">
        <x:v>9</x:v>
      </x:c>
      <x:c r="G465" s="2" t="n">
        <x:v>21</x:v>
      </x:c>
      <x:c r="H465" s="2" t="n">
        <x:f>G465-Supuestos!$C$7</x:f>
        <x:v>20</x:v>
      </x:c>
      <x:c r="I465" s="14" t="n">
        <x:f>E1_plantas!J156+G465</x:f>
        <x:v>46132</x:v>
      </x:c>
      <x:c r="J465" s="2" t="n">
        <x:v>72</x:v>
      </x:c>
      <x:c r="K465" s="2" t="n">
        <x:f>IF(AND(G465&gt;Supuestos!$C$8,E465&lt;&gt;"L0"),1,0)</x:f>
        <x:v>1</x:v>
      </x:c>
      <x:c r="L465" s="2" t="str">
        <x:v>posterior_al_dia_14</x:v>
      </x:c>
      <x:c r="M465" s="2" t="str">
        <x:v>simulado_didactico</x:v>
      </x:c>
    </x:row>
    <x:row r="466" ht="19" customHeight="1">
      <x:c r="A466" s="2" t="str">
        <x:v>SIM-E1-MP-L6-R09</x:v>
      </x:c>
      <x:c r="B466" s="2" t="n">
        <x:v>5</x:v>
      </x:c>
      <x:c r="C466" s="2" t="str">
        <x:v>MP</x:v>
      </x:c>
      <x:c r="D466" s="2" t="str">
        <x:v>Myzus persicae</x:v>
      </x:c>
      <x:c r="E466" s="2" t="str">
        <x:v>L6</x:v>
      </x:c>
      <x:c r="F466" s="2" t="n">
        <x:v>9</x:v>
      </x:c>
      <x:c r="G466" s="2" t="n">
        <x:v>28</x:v>
      </x:c>
      <x:c r="H466" s="2" t="n">
        <x:f>G466-Supuestos!$C$7</x:f>
        <x:v>27</x:v>
      </x:c>
      <x:c r="I466" s="14" t="n">
        <x:f>E1_plantas!J156+G466</x:f>
        <x:v>46139</x:v>
      </x:c>
      <x:c r="J466" s="2" t="n">
        <x:v>181</x:v>
      </x:c>
      <x:c r="K466" s="2" t="n">
        <x:f>IF(AND(G466&gt;Supuestos!$C$8,E466&lt;&gt;"L0"),1,0)</x:f>
        <x:v>1</x:v>
      </x:c>
      <x:c r="L466" s="2" t="str">
        <x:v>posterior_al_dia_14</x:v>
      </x:c>
      <x:c r="M466" s="2" t="str">
        <x:v>simulado_didactico</x:v>
      </x:c>
    </x:row>
    <x:row r="467" ht="19" customHeight="1">
      <x:c r="A467" s="2" t="str">
        <x:v>SIM-E1-MP-L6-R10</x:v>
      </x:c>
      <x:c r="B467" s="2" t="n">
        <x:v>5</x:v>
      </x:c>
      <x:c r="C467" s="2" t="str">
        <x:v>MP</x:v>
      </x:c>
      <x:c r="D467" s="2" t="str">
        <x:v>Myzus persicae</x:v>
      </x:c>
      <x:c r="E467" s="2" t="str">
        <x:v>L6</x:v>
      </x:c>
      <x:c r="F467" s="2" t="n">
        <x:v>10</x:v>
      </x:c>
      <x:c r="G467" s="2" t="n">
        <x:v>14</x:v>
      </x:c>
      <x:c r="H467" s="2" t="n">
        <x:f>G467-Supuestos!$C$7</x:f>
        <x:v>13</x:v>
      </x:c>
      <x:c r="I467" s="14" t="n">
        <x:f>E1_plantas!J157+G467</x:f>
        <x:v>46125</x:v>
      </x:c>
      <x:c r="J467" s="2" t="n">
        <x:v>9</x:v>
      </x:c>
      <x:c r="K467" s="2" t="n">
        <x:f>IF(AND(G467&gt;Supuestos!$C$8,E467&lt;&gt;"L0"),1,0)</x:f>
        <x:v>0</x:v>
      </x:c>
      <x:c r="L467" s="2" t="str">
        <x:v>antes_de_reinoculacion</x:v>
      </x:c>
      <x:c r="M467" s="2" t="str">
        <x:v>simulado_didactico</x:v>
      </x:c>
    </x:row>
    <x:row r="468" ht="19" customHeight="1">
      <x:c r="A468" s="2" t="str">
        <x:v>SIM-E1-MP-L6-R10</x:v>
      </x:c>
      <x:c r="B468" s="2" t="n">
        <x:v>5</x:v>
      </x:c>
      <x:c r="C468" s="2" t="str">
        <x:v>MP</x:v>
      </x:c>
      <x:c r="D468" s="2" t="str">
        <x:v>Myzus persicae</x:v>
      </x:c>
      <x:c r="E468" s="2" t="str">
        <x:v>L6</x:v>
      </x:c>
      <x:c r="F468" s="2" t="n">
        <x:v>10</x:v>
      </x:c>
      <x:c r="G468" s="2" t="n">
        <x:v>21</x:v>
      </x:c>
      <x:c r="H468" s="2" t="n">
        <x:f>G468-Supuestos!$C$7</x:f>
        <x:v>20</x:v>
      </x:c>
      <x:c r="I468" s="14" t="n">
        <x:f>E1_plantas!J157+G468</x:f>
        <x:v>46132</x:v>
      </x:c>
      <x:c r="J468" s="2" t="n">
        <x:v>37</x:v>
      </x:c>
      <x:c r="K468" s="2" t="n">
        <x:f>IF(AND(G468&gt;Supuestos!$C$8,E468&lt;&gt;"L0"),1,0)</x:f>
        <x:v>1</x:v>
      </x:c>
      <x:c r="L468" s="2" t="str">
        <x:v>posterior_al_dia_14</x:v>
      </x:c>
      <x:c r="M468" s="2" t="str">
        <x:v>simulado_didactico</x:v>
      </x:c>
    </x:row>
    <x:row r="469" ht="19" customHeight="1">
      <x:c r="A469" s="2" t="str">
        <x:v>SIM-E1-MP-L6-R10</x:v>
      </x:c>
      <x:c r="B469" s="2" t="n">
        <x:v>5</x:v>
      </x:c>
      <x:c r="C469" s="2" t="str">
        <x:v>MP</x:v>
      </x:c>
      <x:c r="D469" s="2" t="str">
        <x:v>Myzus persicae</x:v>
      </x:c>
      <x:c r="E469" s="2" t="str">
        <x:v>L6</x:v>
      </x:c>
      <x:c r="F469" s="2" t="n">
        <x:v>10</x:v>
      </x:c>
      <x:c r="G469" s="2" t="n">
        <x:v>28</x:v>
      </x:c>
      <x:c r="H469" s="2" t="n">
        <x:f>G469-Supuestos!$C$7</x:f>
        <x:v>27</x:v>
      </x:c>
      <x:c r="I469" s="14" t="n">
        <x:f>E1_plantas!J157+G469</x:f>
        <x:v>46139</x:v>
      </x:c>
      <x:c r="J469" s="2" t="n">
        <x:v>105</x:v>
      </x:c>
      <x:c r="K469" s="2" t="n">
        <x:f>IF(AND(G469&gt;Supuestos!$C$8,E469&lt;&gt;"L0"),1,0)</x:f>
        <x:v>1</x:v>
      </x:c>
      <x:c r="L469" s="2" t="str">
        <x:v>posterior_al_dia_14</x:v>
      </x:c>
      <x:c r="M469" s="2" t="str">
        <x:v>simulado_didactico</x:v>
      </x:c>
    </x:row>
    <x:row r="470" ht="19" customHeight="1">
      <x:c r="A470" s="2" t="str">
        <x:v>SIM-E1-MP-L7-R09</x:v>
      </x:c>
      <x:c r="B470" s="2" t="n">
        <x:v>5</x:v>
      </x:c>
      <x:c r="C470" s="2" t="str">
        <x:v>MP</x:v>
      </x:c>
      <x:c r="D470" s="2" t="str">
        <x:v>Myzus persicae</x:v>
      </x:c>
      <x:c r="E470" s="2" t="str">
        <x:v>L7</x:v>
      </x:c>
      <x:c r="F470" s="2" t="n">
        <x:v>9</x:v>
      </x:c>
      <x:c r="G470" s="2" t="n">
        <x:v>14</x:v>
      </x:c>
      <x:c r="H470" s="2" t="n">
        <x:f>G470-Supuestos!$C$7</x:f>
        <x:v>13</x:v>
      </x:c>
      <x:c r="I470" s="14" t="n">
        <x:f>E1_plantas!J158+G470</x:f>
        <x:v>46125</x:v>
      </x:c>
      <x:c r="J470" s="2" t="n">
        <x:v>2</x:v>
      </x:c>
      <x:c r="K470" s="2" t="n">
        <x:f>IF(AND(G470&gt;Supuestos!$C$8,E470&lt;&gt;"L0"),1,0)</x:f>
        <x:v>0</x:v>
      </x:c>
      <x:c r="L470" s="2" t="str">
        <x:v>antes_de_reinoculacion</x:v>
      </x:c>
      <x:c r="M470" s="2" t="str">
        <x:v>simulado_didactico</x:v>
      </x:c>
    </x:row>
    <x:row r="471" ht="19" customHeight="1">
      <x:c r="A471" s="2" t="str">
        <x:v>SIM-E1-MP-L7-R09</x:v>
      </x:c>
      <x:c r="B471" s="2" t="n">
        <x:v>5</x:v>
      </x:c>
      <x:c r="C471" s="2" t="str">
        <x:v>MP</x:v>
      </x:c>
      <x:c r="D471" s="2" t="str">
        <x:v>Myzus persicae</x:v>
      </x:c>
      <x:c r="E471" s="2" t="str">
        <x:v>L7</x:v>
      </x:c>
      <x:c r="F471" s="2" t="n">
        <x:v>9</x:v>
      </x:c>
      <x:c r="G471" s="2" t="n">
        <x:v>21</x:v>
      </x:c>
      <x:c r="H471" s="2" t="n">
        <x:f>G471-Supuestos!$C$7</x:f>
        <x:v>20</x:v>
      </x:c>
      <x:c r="I471" s="14" t="n">
        <x:f>E1_plantas!J158+G471</x:f>
        <x:v>46132</x:v>
      </x:c>
      <x:c r="J471" s="2" t="n">
        <x:v>27</x:v>
      </x:c>
      <x:c r="K471" s="2" t="n">
        <x:f>IF(AND(G471&gt;Supuestos!$C$8,E471&lt;&gt;"L0"),1,0)</x:f>
        <x:v>1</x:v>
      </x:c>
      <x:c r="L471" s="2" t="str">
        <x:v>posterior_al_dia_14</x:v>
      </x:c>
      <x:c r="M471" s="2" t="str">
        <x:v>simulado_didactico</x:v>
      </x:c>
    </x:row>
    <x:row r="472" ht="19" customHeight="1">
      <x:c r="A472" s="2" t="str">
        <x:v>SIM-E1-MP-L7-R09</x:v>
      </x:c>
      <x:c r="B472" s="2" t="n">
        <x:v>5</x:v>
      </x:c>
      <x:c r="C472" s="2" t="str">
        <x:v>MP</x:v>
      </x:c>
      <x:c r="D472" s="2" t="str">
        <x:v>Myzus persicae</x:v>
      </x:c>
      <x:c r="E472" s="2" t="str">
        <x:v>L7</x:v>
      </x:c>
      <x:c r="F472" s="2" t="n">
        <x:v>9</x:v>
      </x:c>
      <x:c r="G472" s="2" t="n">
        <x:v>28</x:v>
      </x:c>
      <x:c r="H472" s="2" t="n">
        <x:f>G472-Supuestos!$C$7</x:f>
        <x:v>27</x:v>
      </x:c>
      <x:c r="I472" s="14" t="n">
        <x:f>E1_plantas!J158+G472</x:f>
        <x:v>46139</x:v>
      </x:c>
      <x:c r="J472" s="2" t="n">
        <x:v>57</x:v>
      </x:c>
      <x:c r="K472" s="2" t="n">
        <x:f>IF(AND(G472&gt;Supuestos!$C$8,E472&lt;&gt;"L0"),1,0)</x:f>
        <x:v>1</x:v>
      </x:c>
      <x:c r="L472" s="2" t="str">
        <x:v>posterior_al_dia_14</x:v>
      </x:c>
      <x:c r="M472" s="2" t="str">
        <x:v>simulado_didactico</x:v>
      </x:c>
    </x:row>
    <x:row r="473" ht="19" customHeight="1">
      <x:c r="A473" s="2" t="str">
        <x:v>SIM-E1-MP-L7-R10</x:v>
      </x:c>
      <x:c r="B473" s="2" t="n">
        <x:v>5</x:v>
      </x:c>
      <x:c r="C473" s="2" t="str">
        <x:v>MP</x:v>
      </x:c>
      <x:c r="D473" s="2" t="str">
        <x:v>Myzus persicae</x:v>
      </x:c>
      <x:c r="E473" s="2" t="str">
        <x:v>L7</x:v>
      </x:c>
      <x:c r="F473" s="2" t="n">
        <x:v>10</x:v>
      </x:c>
      <x:c r="G473" s="2" t="n">
        <x:v>14</x:v>
      </x:c>
      <x:c r="H473" s="2" t="n">
        <x:f>G473-Supuestos!$C$7</x:f>
        <x:v>13</x:v>
      </x:c>
      <x:c r="I473" s="14" t="n">
        <x:f>E1_plantas!J159+G473</x:f>
        <x:v>46125</x:v>
      </x:c>
      <x:c r="J473" s="2" t="n">
        <x:v>19</x:v>
      </x:c>
      <x:c r="K473" s="2" t="n">
        <x:f>IF(AND(G473&gt;Supuestos!$C$8,E473&lt;&gt;"L0"),1,0)</x:f>
        <x:v>0</x:v>
      </x:c>
      <x:c r="L473" s="2" t="str">
        <x:v>antes_de_reinoculacion</x:v>
      </x:c>
      <x:c r="M473" s="2" t="str">
        <x:v>simulado_didactico</x:v>
      </x:c>
    </x:row>
    <x:row r="474" ht="19" customHeight="1">
      <x:c r="A474" s="2" t="str">
        <x:v>SIM-E1-MP-L7-R10</x:v>
      </x:c>
      <x:c r="B474" s="2" t="n">
        <x:v>5</x:v>
      </x:c>
      <x:c r="C474" s="2" t="str">
        <x:v>MP</x:v>
      </x:c>
      <x:c r="D474" s="2" t="str">
        <x:v>Myzus persicae</x:v>
      </x:c>
      <x:c r="E474" s="2" t="str">
        <x:v>L7</x:v>
      </x:c>
      <x:c r="F474" s="2" t="n">
        <x:v>10</x:v>
      </x:c>
      <x:c r="G474" s="2" t="n">
        <x:v>21</x:v>
      </x:c>
      <x:c r="H474" s="2" t="n">
        <x:f>G474-Supuestos!$C$7</x:f>
        <x:v>20</x:v>
      </x:c>
      <x:c r="I474" s="14" t="n">
        <x:f>E1_plantas!J159+G474</x:f>
        <x:v>46132</x:v>
      </x:c>
      <x:c r="J474" s="2" t="n">
        <x:v>32</x:v>
      </x:c>
      <x:c r="K474" s="2" t="n">
        <x:f>IF(AND(G474&gt;Supuestos!$C$8,E474&lt;&gt;"L0"),1,0)</x:f>
        <x:v>1</x:v>
      </x:c>
      <x:c r="L474" s="2" t="str">
        <x:v>posterior_al_dia_14</x:v>
      </x:c>
      <x:c r="M474" s="2" t="str">
        <x:v>simulado_didactico</x:v>
      </x:c>
    </x:row>
    <x:row r="475" ht="19" customHeight="1">
      <x:c r="A475" s="2" t="str">
        <x:v>SIM-E1-MP-L7-R10</x:v>
      </x:c>
      <x:c r="B475" s="2" t="n">
        <x:v>5</x:v>
      </x:c>
      <x:c r="C475" s="2" t="str">
        <x:v>MP</x:v>
      </x:c>
      <x:c r="D475" s="2" t="str">
        <x:v>Myzus persicae</x:v>
      </x:c>
      <x:c r="E475" s="2" t="str">
        <x:v>L7</x:v>
      </x:c>
      <x:c r="F475" s="2" t="n">
        <x:v>10</x:v>
      </x:c>
      <x:c r="G475" s="2" t="n">
        <x:v>28</x:v>
      </x:c>
      <x:c r="H475" s="2" t="n">
        <x:f>G475-Supuestos!$C$7</x:f>
        <x:v>27</x:v>
      </x:c>
      <x:c r="I475" s="14" t="n">
        <x:f>E1_plantas!J159+G475</x:f>
        <x:v>46139</x:v>
      </x:c>
      <x:c r="J475" s="2" t="n">
        <x:v>88</x:v>
      </x:c>
      <x:c r="K475" s="2" t="n">
        <x:f>IF(AND(G475&gt;Supuestos!$C$8,E475&lt;&gt;"L0"),1,0)</x:f>
        <x:v>1</x:v>
      </x:c>
      <x:c r="L475" s="2" t="str">
        <x:v>posterior_al_dia_14</x:v>
      </x:c>
      <x:c r="M475" s="2" t="str">
        <x:v>simulado_didactico</x:v>
      </x:c>
    </x:row>
    <x:row r="476" ht="19" customHeight="1">
      <x:c r="A476" s="2" t="str">
        <x:v>SIM-E1-MP-L8-R09</x:v>
      </x:c>
      <x:c r="B476" s="2" t="n">
        <x:v>5</x:v>
      </x:c>
      <x:c r="C476" s="2" t="str">
        <x:v>MP</x:v>
      </x:c>
      <x:c r="D476" s="2" t="str">
        <x:v>Myzus persicae</x:v>
      </x:c>
      <x:c r="E476" s="2" t="str">
        <x:v>L8</x:v>
      </x:c>
      <x:c r="F476" s="2" t="n">
        <x:v>9</x:v>
      </x:c>
      <x:c r="G476" s="2" t="n">
        <x:v>14</x:v>
      </x:c>
      <x:c r="H476" s="2" t="n">
        <x:f>G476-Supuestos!$C$7</x:f>
        <x:v>13</x:v>
      </x:c>
      <x:c r="I476" s="14" t="n">
        <x:f>E1_plantas!J160+G476</x:f>
        <x:v>46125</x:v>
      </x:c>
      <x:c r="J476" s="2" t="n">
        <x:v>20</x:v>
      </x:c>
      <x:c r="K476" s="2" t="n">
        <x:f>IF(AND(G476&gt;Supuestos!$C$8,E476&lt;&gt;"L0"),1,0)</x:f>
        <x:v>0</x:v>
      </x:c>
      <x:c r="L476" s="2" t="str">
        <x:v>antes_de_reinoculacion</x:v>
      </x:c>
      <x:c r="M476" s="2" t="str">
        <x:v>simulado_didactico</x:v>
      </x:c>
    </x:row>
    <x:row r="477" ht="19" customHeight="1">
      <x:c r="A477" s="2" t="str">
        <x:v>SIM-E1-MP-L8-R09</x:v>
      </x:c>
      <x:c r="B477" s="2" t="n">
        <x:v>5</x:v>
      </x:c>
      <x:c r="C477" s="2" t="str">
        <x:v>MP</x:v>
      </x:c>
      <x:c r="D477" s="2" t="str">
        <x:v>Myzus persicae</x:v>
      </x:c>
      <x:c r="E477" s="2" t="str">
        <x:v>L8</x:v>
      </x:c>
      <x:c r="F477" s="2" t="n">
        <x:v>9</x:v>
      </x:c>
      <x:c r="G477" s="2" t="n">
        <x:v>21</x:v>
      </x:c>
      <x:c r="H477" s="2" t="n">
        <x:f>G477-Supuestos!$C$7</x:f>
        <x:v>20</x:v>
      </x:c>
      <x:c r="I477" s="14" t="n">
        <x:f>E1_plantas!J160+G477</x:f>
        <x:v>46132</x:v>
      </x:c>
      <x:c r="J477" s="2" t="n">
        <x:v>56</x:v>
      </x:c>
      <x:c r="K477" s="2" t="n">
        <x:f>IF(AND(G477&gt;Supuestos!$C$8,E477&lt;&gt;"L0"),1,0)</x:f>
        <x:v>1</x:v>
      </x:c>
      <x:c r="L477" s="2" t="str">
        <x:v>posterior_al_dia_14</x:v>
      </x:c>
      <x:c r="M477" s="2" t="str">
        <x:v>simulado_didactico</x:v>
      </x:c>
    </x:row>
    <x:row r="478" ht="19" customHeight="1">
      <x:c r="A478" s="2" t="str">
        <x:v>SIM-E1-MP-L8-R09</x:v>
      </x:c>
      <x:c r="B478" s="2" t="n">
        <x:v>5</x:v>
      </x:c>
      <x:c r="C478" s="2" t="str">
        <x:v>MP</x:v>
      </x:c>
      <x:c r="D478" s="2" t="str">
        <x:v>Myzus persicae</x:v>
      </x:c>
      <x:c r="E478" s="2" t="str">
        <x:v>L8</x:v>
      </x:c>
      <x:c r="F478" s="2" t="n">
        <x:v>9</x:v>
      </x:c>
      <x:c r="G478" s="2" t="n">
        <x:v>28</x:v>
      </x:c>
      <x:c r="H478" s="2" t="n">
        <x:f>G478-Supuestos!$C$7</x:f>
        <x:v>27</x:v>
      </x:c>
      <x:c r="I478" s="14" t="n">
        <x:f>E1_plantas!J160+G478</x:f>
        <x:v>46139</x:v>
      </x:c>
      <x:c r="J478" s="2" t="n">
        <x:v>146</x:v>
      </x:c>
      <x:c r="K478" s="2" t="n">
        <x:f>IF(AND(G478&gt;Supuestos!$C$8,E478&lt;&gt;"L0"),1,0)</x:f>
        <x:v>1</x:v>
      </x:c>
      <x:c r="L478" s="2" t="str">
        <x:v>posterior_al_dia_14</x:v>
      </x:c>
      <x:c r="M478" s="2" t="str">
        <x:v>simulado_didactico</x:v>
      </x:c>
    </x:row>
    <x:row r="479" ht="19" customHeight="1">
      <x:c r="A479" s="2" t="str">
        <x:v>SIM-E1-MP-L8-R10</x:v>
      </x:c>
      <x:c r="B479" s="2" t="n">
        <x:v>5</x:v>
      </x:c>
      <x:c r="C479" s="2" t="str">
        <x:v>MP</x:v>
      </x:c>
      <x:c r="D479" s="2" t="str">
        <x:v>Myzus persicae</x:v>
      </x:c>
      <x:c r="E479" s="2" t="str">
        <x:v>L8</x:v>
      </x:c>
      <x:c r="F479" s="2" t="n">
        <x:v>10</x:v>
      </x:c>
      <x:c r="G479" s="2" t="n">
        <x:v>14</x:v>
      </x:c>
      <x:c r="H479" s="2" t="n">
        <x:f>G479-Supuestos!$C$7</x:f>
        <x:v>13</x:v>
      </x:c>
      <x:c r="I479" s="14" t="n">
        <x:f>E1_plantas!J161+G479</x:f>
        <x:v>46125</x:v>
      </x:c>
      <x:c r="J479" s="2" t="n">
        <x:v>12</x:v>
      </x:c>
      <x:c r="K479" s="2" t="n">
        <x:f>IF(AND(G479&gt;Supuestos!$C$8,E479&lt;&gt;"L0"),1,0)</x:f>
        <x:v>0</x:v>
      </x:c>
      <x:c r="L479" s="2" t="str">
        <x:v>antes_de_reinoculacion</x:v>
      </x:c>
      <x:c r="M479" s="2" t="str">
        <x:v>simulado_didactico</x:v>
      </x:c>
    </x:row>
    <x:row r="480" ht="19" customHeight="1">
      <x:c r="A480" s="2" t="str">
        <x:v>SIM-E1-MP-L8-R10</x:v>
      </x:c>
      <x:c r="B480" s="2" t="n">
        <x:v>5</x:v>
      </x:c>
      <x:c r="C480" s="2" t="str">
        <x:v>MP</x:v>
      </x:c>
      <x:c r="D480" s="2" t="str">
        <x:v>Myzus persicae</x:v>
      </x:c>
      <x:c r="E480" s="2" t="str">
        <x:v>L8</x:v>
      </x:c>
      <x:c r="F480" s="2" t="n">
        <x:v>10</x:v>
      </x:c>
      <x:c r="G480" s="2" t="n">
        <x:v>21</x:v>
      </x:c>
      <x:c r="H480" s="2" t="n">
        <x:f>G480-Supuestos!$C$7</x:f>
        <x:v>20</x:v>
      </x:c>
      <x:c r="I480" s="14" t="n">
        <x:f>E1_plantas!J161+G480</x:f>
        <x:v>46132</x:v>
      </x:c>
      <x:c r="J480" s="2" t="n">
        <x:v>44</x:v>
      </x:c>
      <x:c r="K480" s="2" t="n">
        <x:f>IF(AND(G480&gt;Supuestos!$C$8,E480&lt;&gt;"L0"),1,0)</x:f>
        <x:v>1</x:v>
      </x:c>
      <x:c r="L480" s="2" t="str">
        <x:v>posterior_al_dia_14</x:v>
      </x:c>
      <x:c r="M480" s="2" t="str">
        <x:v>simulado_didactico</x:v>
      </x:c>
    </x:row>
    <x:row r="481" ht="19" customHeight="1">
      <x:c r="A481" s="2" t="str">
        <x:v>SIM-E1-MP-L8-R10</x:v>
      </x:c>
      <x:c r="B481" s="2" t="n">
        <x:v>5</x:v>
      </x:c>
      <x:c r="C481" s="2" t="str">
        <x:v>MP</x:v>
      </x:c>
      <x:c r="D481" s="2" t="str">
        <x:v>Myzus persicae</x:v>
      </x:c>
      <x:c r="E481" s="2" t="str">
        <x:v>L8</x:v>
      </x:c>
      <x:c r="F481" s="2" t="n">
        <x:v>10</x:v>
      </x:c>
      <x:c r="G481" s="2" t="n">
        <x:v>28</x:v>
      </x:c>
      <x:c r="H481" s="2" t="n">
        <x:f>G481-Supuestos!$C$7</x:f>
        <x:v>27</x:v>
      </x:c>
      <x:c r="I481" s="14" t="n">
        <x:f>E1_plantas!J161+G481</x:f>
        <x:v>46139</x:v>
      </x:c>
      <x:c r="J481" s="2" t="n">
        <x:v>93</x:v>
      </x:c>
      <x:c r="K481" s="2" t="n">
        <x:f>IF(AND(G481&gt;Supuestos!$C$8,E481&lt;&gt;"L0"),1,0)</x:f>
        <x:v>1</x:v>
      </x:c>
      <x:c r="L481" s="2" t="str">
        <x:v>posterior_al_dia_14</x:v>
      </x:c>
      <x:c r="M481" s="2" t="str">
        <x:v>simulado_didactico</x:v>
      </x:c>
    </x:row>
    <x:row r="482" ht="19" customHeight="1">
      <x:c r="A482" s="2" t="str">
        <x:v>SIM-E1-MP-L9-R09</x:v>
      </x:c>
      <x:c r="B482" s="2" t="n">
        <x:v>5</x:v>
      </x:c>
      <x:c r="C482" s="2" t="str">
        <x:v>MP</x:v>
      </x:c>
      <x:c r="D482" s="2" t="str">
        <x:v>Myzus persicae</x:v>
      </x:c>
      <x:c r="E482" s="2" t="str">
        <x:v>L9</x:v>
      </x:c>
      <x:c r="F482" s="2" t="n">
        <x:v>9</x:v>
      </x:c>
      <x:c r="G482" s="2" t="n">
        <x:v>14</x:v>
      </x:c>
      <x:c r="H482" s="2" t="n">
        <x:f>G482-Supuestos!$C$7</x:f>
        <x:v>13</x:v>
      </x:c>
      <x:c r="I482" s="14" t="n">
        <x:f>E1_plantas!J162+G482</x:f>
        <x:v>46125</x:v>
      </x:c>
      <x:c r="J482" s="2" t="n">
        <x:v>12</x:v>
      </x:c>
      <x:c r="K482" s="2" t="n">
        <x:f>IF(AND(G482&gt;Supuestos!$C$8,E482&lt;&gt;"L0"),1,0)</x:f>
        <x:v>0</x:v>
      </x:c>
      <x:c r="L482" s="2" t="str">
        <x:v>antes_de_reinoculacion</x:v>
      </x:c>
      <x:c r="M482" s="2" t="str">
        <x:v>simulado_didactico</x:v>
      </x:c>
    </x:row>
    <x:row r="483" ht="19" customHeight="1">
      <x:c r="A483" s="2" t="str">
        <x:v>SIM-E1-MP-L9-R09</x:v>
      </x:c>
      <x:c r="B483" s="2" t="n">
        <x:v>5</x:v>
      </x:c>
      <x:c r="C483" s="2" t="str">
        <x:v>MP</x:v>
      </x:c>
      <x:c r="D483" s="2" t="str">
        <x:v>Myzus persicae</x:v>
      </x:c>
      <x:c r="E483" s="2" t="str">
        <x:v>L9</x:v>
      </x:c>
      <x:c r="F483" s="2" t="n">
        <x:v>9</x:v>
      </x:c>
      <x:c r="G483" s="2" t="n">
        <x:v>21</x:v>
      </x:c>
      <x:c r="H483" s="2" t="n">
        <x:f>G483-Supuestos!$C$7</x:f>
        <x:v>20</x:v>
      </x:c>
      <x:c r="I483" s="14" t="n">
        <x:f>E1_plantas!J162+G483</x:f>
        <x:v>46132</x:v>
      </x:c>
      <x:c r="J483" s="2" t="n">
        <x:v>99</x:v>
      </x:c>
      <x:c r="K483" s="2" t="n">
        <x:f>IF(AND(G483&gt;Supuestos!$C$8,E483&lt;&gt;"L0"),1,0)</x:f>
        <x:v>1</x:v>
      </x:c>
      <x:c r="L483" s="2" t="str">
        <x:v>posterior_al_dia_14</x:v>
      </x:c>
      <x:c r="M483" s="2" t="str">
        <x:v>simulado_didactico</x:v>
      </x:c>
    </x:row>
    <x:row r="484" ht="19" customHeight="1">
      <x:c r="A484" s="2" t="str">
        <x:v>SIM-E1-MP-L9-R09</x:v>
      </x:c>
      <x:c r="B484" s="2" t="n">
        <x:v>5</x:v>
      </x:c>
      <x:c r="C484" s="2" t="str">
        <x:v>MP</x:v>
      </x:c>
      <x:c r="D484" s="2" t="str">
        <x:v>Myzus persicae</x:v>
      </x:c>
      <x:c r="E484" s="2" t="str">
        <x:v>L9</x:v>
      </x:c>
      <x:c r="F484" s="2" t="n">
        <x:v>9</x:v>
      </x:c>
      <x:c r="G484" s="2" t="n">
        <x:v>28</x:v>
      </x:c>
      <x:c r="H484" s="2" t="n">
        <x:f>G484-Supuestos!$C$7</x:f>
        <x:v>27</x:v>
      </x:c>
      <x:c r="I484" s="14" t="n">
        <x:f>E1_plantas!J162+G484</x:f>
        <x:v>46139</x:v>
      </x:c>
      <x:c r="J484" s="2" t="n">
        <x:v>273</x:v>
      </x:c>
      <x:c r="K484" s="2" t="n">
        <x:f>IF(AND(G484&gt;Supuestos!$C$8,E484&lt;&gt;"L0"),1,0)</x:f>
        <x:v>1</x:v>
      </x:c>
      <x:c r="L484" s="2" t="str">
        <x:v>posterior_al_dia_14</x:v>
      </x:c>
      <x:c r="M484" s="2" t="str">
        <x:v>simulado_didactico</x:v>
      </x:c>
    </x:row>
    <x:row r="485" ht="19" customHeight="1">
      <x:c r="A485" s="2" t="str">
        <x:v>SIM-E1-MP-L9-R10</x:v>
      </x:c>
      <x:c r="B485" s="2" t="n">
        <x:v>5</x:v>
      </x:c>
      <x:c r="C485" s="2" t="str">
        <x:v>MP</x:v>
      </x:c>
      <x:c r="D485" s="2" t="str">
        <x:v>Myzus persicae</x:v>
      </x:c>
      <x:c r="E485" s="2" t="str">
        <x:v>L9</x:v>
      </x:c>
      <x:c r="F485" s="2" t="n">
        <x:v>10</x:v>
      </x:c>
      <x:c r="G485" s="2" t="n">
        <x:v>14</x:v>
      </x:c>
      <x:c r="H485" s="2" t="n">
        <x:f>G485-Supuestos!$C$7</x:f>
        <x:v>13</x:v>
      </x:c>
      <x:c r="I485" s="14" t="n">
        <x:f>E1_plantas!J163+G485</x:f>
        <x:v>46125</x:v>
      </x:c>
      <x:c r="J485" s="2" t="n">
        <x:v>15</x:v>
      </x:c>
      <x:c r="K485" s="2" t="n">
        <x:f>IF(AND(G485&gt;Supuestos!$C$8,E485&lt;&gt;"L0"),1,0)</x:f>
        <x:v>0</x:v>
      </x:c>
      <x:c r="L485" s="2" t="str">
        <x:v>antes_de_reinoculacion</x:v>
      </x:c>
      <x:c r="M485" s="2" t="str">
        <x:v>simulado_didactico</x:v>
      </x:c>
    </x:row>
    <x:row r="486" ht="19" customHeight="1">
      <x:c r="A486" s="2" t="str">
        <x:v>SIM-E1-MP-L9-R10</x:v>
      </x:c>
      <x:c r="B486" s="2" t="n">
        <x:v>5</x:v>
      </x:c>
      <x:c r="C486" s="2" t="str">
        <x:v>MP</x:v>
      </x:c>
      <x:c r="D486" s="2" t="str">
        <x:v>Myzus persicae</x:v>
      </x:c>
      <x:c r="E486" s="2" t="str">
        <x:v>L9</x:v>
      </x:c>
      <x:c r="F486" s="2" t="n">
        <x:v>10</x:v>
      </x:c>
      <x:c r="G486" s="2" t="n">
        <x:v>21</x:v>
      </x:c>
      <x:c r="H486" s="2" t="n">
        <x:f>G486-Supuestos!$C$7</x:f>
        <x:v>20</x:v>
      </x:c>
      <x:c r="I486" s="14" t="n">
        <x:f>E1_plantas!J163+G486</x:f>
        <x:v>46132</x:v>
      </x:c>
      <x:c r="J486" s="2" t="n">
        <x:v>48</x:v>
      </x:c>
      <x:c r="K486" s="2" t="n">
        <x:f>IF(AND(G486&gt;Supuestos!$C$8,E486&lt;&gt;"L0"),1,0)</x:f>
        <x:v>1</x:v>
      </x:c>
      <x:c r="L486" s="2" t="str">
        <x:v>posterior_al_dia_14</x:v>
      </x:c>
      <x:c r="M486" s="2" t="str">
        <x:v>simulado_didactico</x:v>
      </x:c>
    </x:row>
    <x:row r="487" ht="19" customHeight="1">
      <x:c r="A487" s="2" t="str">
        <x:v>SIM-E1-MP-L9-R10</x:v>
      </x:c>
      <x:c r="B487" s="2" t="n">
        <x:v>5</x:v>
      </x:c>
      <x:c r="C487" s="2" t="str">
        <x:v>MP</x:v>
      </x:c>
      <x:c r="D487" s="2" t="str">
        <x:v>Myzus persicae</x:v>
      </x:c>
      <x:c r="E487" s="2" t="str">
        <x:v>L9</x:v>
      </x:c>
      <x:c r="F487" s="2" t="n">
        <x:v>10</x:v>
      </x:c>
      <x:c r="G487" s="2" t="n">
        <x:v>28</x:v>
      </x:c>
      <x:c r="H487" s="2" t="n">
        <x:f>G487-Supuestos!$C$7</x:f>
        <x:v>27</x:v>
      </x:c>
      <x:c r="I487" s="14" t="n">
        <x:f>E1_plantas!J163+G487</x:f>
        <x:v>46139</x:v>
      </x:c>
      <x:c r="J487" s="2" t="n">
        <x:v>140</x:v>
      </x:c>
      <x:c r="K487" s="2" t="n">
        <x:f>IF(AND(G487&gt;Supuestos!$C$8,E487&lt;&gt;"L0"),1,0)</x:f>
        <x:v>1</x:v>
      </x:c>
      <x:c r="L487" s="2" t="str">
        <x:v>posterior_al_dia_14</x:v>
      </x:c>
      <x:c r="M487" s="2" t="str">
        <x:v>simulado_didactico</x:v>
      </x:c>
    </x:row>
    <x:row r="488" ht="19" customHeight="1">
      <x:c r="A488" s="2" t="str">
        <x:v>SIM-E1-BB-L0-R09</x:v>
      </x:c>
      <x:c r="B488" s="2" t="n">
        <x:v>5</x:v>
      </x:c>
      <x:c r="C488" s="2" t="str">
        <x:v>BB</x:v>
      </x:c>
      <x:c r="D488" s="2" t="str">
        <x:v>Brevicoryne brassicae</x:v>
      </x:c>
      <x:c r="E488" s="2" t="str">
        <x:v>L0</x:v>
      </x:c>
      <x:c r="F488" s="2" t="n">
        <x:v>9</x:v>
      </x:c>
      <x:c r="G488" s="2" t="n">
        <x:v>14</x:v>
      </x:c>
      <x:c r="H488" s="2" t="n">
        <x:f>G488-Supuestos!$C$7</x:f>
        <x:v>13</x:v>
      </x:c>
      <x:c r="I488" s="14" t="n">
        <x:f>E1_plantas!J164+G488</x:f>
        <x:v>46125</x:v>
      </x:c>
      <x:c r="J488" s="2" t="n">
        <x:v>15</x:v>
      </x:c>
      <x:c r="K488" s="2" t="n">
        <x:f>IF(AND(G488&gt;Supuestos!$C$8,E488&lt;&gt;"L0"),1,0)</x:f>
        <x:v>0</x:v>
      </x:c>
      <x:c r="L488" s="2" t="str">
        <x:v>antes_de_reinoculacion</x:v>
      </x:c>
      <x:c r="M488" s="2" t="str">
        <x:v>simulado_didactico</x:v>
      </x:c>
    </x:row>
    <x:row r="489" ht="19" customHeight="1">
      <x:c r="A489" s="2" t="str">
        <x:v>SIM-E1-BB-L0-R09</x:v>
      </x:c>
      <x:c r="B489" s="2" t="n">
        <x:v>5</x:v>
      </x:c>
      <x:c r="C489" s="2" t="str">
        <x:v>BB</x:v>
      </x:c>
      <x:c r="D489" s="2" t="str">
        <x:v>Brevicoryne brassicae</x:v>
      </x:c>
      <x:c r="E489" s="2" t="str">
        <x:v>L0</x:v>
      </x:c>
      <x:c r="F489" s="2" t="n">
        <x:v>9</x:v>
      </x:c>
      <x:c r="G489" s="2" t="n">
        <x:v>21</x:v>
      </x:c>
      <x:c r="H489" s="2" t="n">
        <x:f>G489-Supuestos!$C$7</x:f>
        <x:v>20</x:v>
      </x:c>
      <x:c r="I489" s="14" t="n">
        <x:f>E1_plantas!J164+G489</x:f>
        <x:v>46132</x:v>
      </x:c>
      <x:c r="J489" s="2" t="n">
        <x:v>106</x:v>
      </x:c>
      <x:c r="K489" s="2" t="n">
        <x:f>IF(AND(G489&gt;Supuestos!$C$8,E489&lt;&gt;"L0"),1,0)</x:f>
        <x:v>0</x:v>
      </x:c>
      <x:c r="L489" s="2" t="str">
        <x:v>posterior_al_dia_14</x:v>
      </x:c>
      <x:c r="M489" s="2" t="str">
        <x:v>simulado_didactico</x:v>
      </x:c>
    </x:row>
    <x:row r="490" ht="19" customHeight="1">
      <x:c r="A490" s="2" t="str">
        <x:v>SIM-E1-BB-L0-R09</x:v>
      </x:c>
      <x:c r="B490" s="2" t="n">
        <x:v>5</x:v>
      </x:c>
      <x:c r="C490" s="2" t="str">
        <x:v>BB</x:v>
      </x:c>
      <x:c r="D490" s="2" t="str">
        <x:v>Brevicoryne brassicae</x:v>
      </x:c>
      <x:c r="E490" s="2" t="str">
        <x:v>L0</x:v>
      </x:c>
      <x:c r="F490" s="2" t="n">
        <x:v>9</x:v>
      </x:c>
      <x:c r="G490" s="2" t="n">
        <x:v>28</x:v>
      </x:c>
      <x:c r="H490" s="2" t="n">
        <x:f>G490-Supuestos!$C$7</x:f>
        <x:v>27</x:v>
      </x:c>
      <x:c r="I490" s="14" t="n">
        <x:f>E1_plantas!J164+G490</x:f>
        <x:v>46139</x:v>
      </x:c>
      <x:c r="J490" s="2" t="n">
        <x:v>241</x:v>
      </x:c>
      <x:c r="K490" s="2" t="n">
        <x:f>IF(AND(G490&gt;Supuestos!$C$8,E490&lt;&gt;"L0"),1,0)</x:f>
        <x:v>0</x:v>
      </x:c>
      <x:c r="L490" s="2" t="str">
        <x:v>posterior_al_dia_14</x:v>
      </x:c>
      <x:c r="M490" s="2" t="str">
        <x:v>simulado_didactico</x:v>
      </x:c>
    </x:row>
    <x:row r="491" ht="19" customHeight="1">
      <x:c r="A491" s="2" t="str">
        <x:v>SIM-E1-BB-L0-R10</x:v>
      </x:c>
      <x:c r="B491" s="2" t="n">
        <x:v>5</x:v>
      </x:c>
      <x:c r="C491" s="2" t="str">
        <x:v>BB</x:v>
      </x:c>
      <x:c r="D491" s="2" t="str">
        <x:v>Brevicoryne brassicae</x:v>
      </x:c>
      <x:c r="E491" s="2" t="str">
        <x:v>L0</x:v>
      </x:c>
      <x:c r="F491" s="2" t="n">
        <x:v>10</x:v>
      </x:c>
      <x:c r="G491" s="2" t="n">
        <x:v>14</x:v>
      </x:c>
      <x:c r="H491" s="2" t="n">
        <x:f>G491-Supuestos!$C$7</x:f>
        <x:v>13</x:v>
      </x:c>
      <x:c r="I491" s="14" t="n">
        <x:f>E1_plantas!J165+G491</x:f>
        <x:v>46125</x:v>
      </x:c>
      <x:c r="J491" s="2" t="n">
        <x:v>16</x:v>
      </x:c>
      <x:c r="K491" s="2" t="n">
        <x:f>IF(AND(G491&gt;Supuestos!$C$8,E491&lt;&gt;"L0"),1,0)</x:f>
        <x:v>0</x:v>
      </x:c>
      <x:c r="L491" s="2" t="str">
        <x:v>antes_de_reinoculacion</x:v>
      </x:c>
      <x:c r="M491" s="2" t="str">
        <x:v>simulado_didactico</x:v>
      </x:c>
    </x:row>
    <x:row r="492" ht="19" customHeight="1">
      <x:c r="A492" s="2" t="str">
        <x:v>SIM-E1-BB-L0-R10</x:v>
      </x:c>
      <x:c r="B492" s="2" t="n">
        <x:v>5</x:v>
      </x:c>
      <x:c r="C492" s="2" t="str">
        <x:v>BB</x:v>
      </x:c>
      <x:c r="D492" s="2" t="str">
        <x:v>Brevicoryne brassicae</x:v>
      </x:c>
      <x:c r="E492" s="2" t="str">
        <x:v>L0</x:v>
      </x:c>
      <x:c r="F492" s="2" t="n">
        <x:v>10</x:v>
      </x:c>
      <x:c r="G492" s="2" t="n">
        <x:v>21</x:v>
      </x:c>
      <x:c r="H492" s="2" t="n">
        <x:f>G492-Supuestos!$C$7</x:f>
        <x:v>20</x:v>
      </x:c>
      <x:c r="I492" s="14" t="n">
        <x:f>E1_plantas!J165+G492</x:f>
        <x:v>46132</x:v>
      </x:c>
      <x:c r="J492" s="2" t="n">
        <x:v>107</x:v>
      </x:c>
      <x:c r="K492" s="2" t="n">
        <x:f>IF(AND(G492&gt;Supuestos!$C$8,E492&lt;&gt;"L0"),1,0)</x:f>
        <x:v>0</x:v>
      </x:c>
      <x:c r="L492" s="2" t="str">
        <x:v>posterior_al_dia_14</x:v>
      </x:c>
      <x:c r="M492" s="2" t="str">
        <x:v>simulado_didactico</x:v>
      </x:c>
    </x:row>
    <x:row r="493" ht="19" customHeight="1">
      <x:c r="A493" s="2" t="str">
        <x:v>SIM-E1-BB-L0-R10</x:v>
      </x:c>
      <x:c r="B493" s="2" t="n">
        <x:v>5</x:v>
      </x:c>
      <x:c r="C493" s="2" t="str">
        <x:v>BB</x:v>
      </x:c>
      <x:c r="D493" s="2" t="str">
        <x:v>Brevicoryne brassicae</x:v>
      </x:c>
      <x:c r="E493" s="2" t="str">
        <x:v>L0</x:v>
      </x:c>
      <x:c r="F493" s="2" t="n">
        <x:v>10</x:v>
      </x:c>
      <x:c r="G493" s="2" t="n">
        <x:v>28</x:v>
      </x:c>
      <x:c r="H493" s="2" t="n">
        <x:f>G493-Supuestos!$C$7</x:f>
        <x:v>27</x:v>
      </x:c>
      <x:c r="I493" s="14" t="n">
        <x:f>E1_plantas!J165+G493</x:f>
        <x:v>46139</x:v>
      </x:c>
      <x:c r="J493" s="2" t="n">
        <x:v>251</x:v>
      </x:c>
      <x:c r="K493" s="2" t="n">
        <x:f>IF(AND(G493&gt;Supuestos!$C$8,E493&lt;&gt;"L0"),1,0)</x:f>
        <x:v>0</x:v>
      </x:c>
      <x:c r="L493" s="2" t="str">
        <x:v>posterior_al_dia_14</x:v>
      </x:c>
      <x:c r="M493" s="2" t="str">
        <x:v>simulado_didactico</x:v>
      </x:c>
    </x:row>
    <x:row r="494" ht="19" customHeight="1">
      <x:c r="A494" s="2" t="str">
        <x:v>SIM-E1-BB-L1-R09</x:v>
      </x:c>
      <x:c r="B494" s="2" t="n">
        <x:v>5</x:v>
      </x:c>
      <x:c r="C494" s="2" t="str">
        <x:v>BB</x:v>
      </x:c>
      <x:c r="D494" s="2" t="str">
        <x:v>Brevicoryne brassicae</x:v>
      </x:c>
      <x:c r="E494" s="2" t="str">
        <x:v>L1</x:v>
      </x:c>
      <x:c r="F494" s="2" t="n">
        <x:v>9</x:v>
      </x:c>
      <x:c r="G494" s="2" t="n">
        <x:v>14</x:v>
      </x:c>
      <x:c r="H494" s="2" t="n">
        <x:f>G494-Supuestos!$C$7</x:f>
        <x:v>13</x:v>
      </x:c>
      <x:c r="I494" s="14" t="n">
        <x:f>E1_plantas!J166+G494</x:f>
        <x:v>46125</x:v>
      </x:c>
      <x:c r="J494" s="2" t="n">
        <x:v>18</x:v>
      </x:c>
      <x:c r="K494" s="2" t="n">
        <x:f>IF(AND(G494&gt;Supuestos!$C$8,E494&lt;&gt;"L0"),1,0)</x:f>
        <x:v>0</x:v>
      </x:c>
      <x:c r="L494" s="2" t="str">
        <x:v>antes_de_reinoculacion</x:v>
      </x:c>
      <x:c r="M494" s="2" t="str">
        <x:v>simulado_didactico</x:v>
      </x:c>
    </x:row>
    <x:row r="495" ht="19" customHeight="1">
      <x:c r="A495" s="2" t="str">
        <x:v>SIM-E1-BB-L1-R09</x:v>
      </x:c>
      <x:c r="B495" s="2" t="n">
        <x:v>5</x:v>
      </x:c>
      <x:c r="C495" s="2" t="str">
        <x:v>BB</x:v>
      </x:c>
      <x:c r="D495" s="2" t="str">
        <x:v>Brevicoryne brassicae</x:v>
      </x:c>
      <x:c r="E495" s="2" t="str">
        <x:v>L1</x:v>
      </x:c>
      <x:c r="F495" s="2" t="n">
        <x:v>9</x:v>
      </x:c>
      <x:c r="G495" s="2" t="n">
        <x:v>21</x:v>
      </x:c>
      <x:c r="H495" s="2" t="n">
        <x:f>G495-Supuestos!$C$7</x:f>
        <x:v>20</x:v>
      </x:c>
      <x:c r="I495" s="14" t="n">
        <x:f>E1_plantas!J166+G495</x:f>
        <x:v>46132</x:v>
      </x:c>
      <x:c r="J495" s="2" t="n">
        <x:v>87</x:v>
      </x:c>
      <x:c r="K495" s="2" t="n">
        <x:f>IF(AND(G495&gt;Supuestos!$C$8,E495&lt;&gt;"L0"),1,0)</x:f>
        <x:v>1</x:v>
      </x:c>
      <x:c r="L495" s="2" t="str">
        <x:v>posterior_al_dia_14</x:v>
      </x:c>
      <x:c r="M495" s="2" t="str">
        <x:v>simulado_didactico</x:v>
      </x:c>
    </x:row>
    <x:row r="496" ht="19" customHeight="1">
      <x:c r="A496" s="2" t="str">
        <x:v>SIM-E1-BB-L1-R09</x:v>
      </x:c>
      <x:c r="B496" s="2" t="n">
        <x:v>5</x:v>
      </x:c>
      <x:c r="C496" s="2" t="str">
        <x:v>BB</x:v>
      </x:c>
      <x:c r="D496" s="2" t="str">
        <x:v>Brevicoryne brassicae</x:v>
      </x:c>
      <x:c r="E496" s="2" t="str">
        <x:v>L1</x:v>
      </x:c>
      <x:c r="F496" s="2" t="n">
        <x:v>9</x:v>
      </x:c>
      <x:c r="G496" s="2" t="n">
        <x:v>28</x:v>
      </x:c>
      <x:c r="H496" s="2" t="n">
        <x:f>G496-Supuestos!$C$7</x:f>
        <x:v>27</x:v>
      </x:c>
      <x:c r="I496" s="14" t="n">
        <x:f>E1_plantas!J166+G496</x:f>
        <x:v>46139</x:v>
      </x:c>
      <x:c r="J496" s="2" t="n">
        <x:v>188</x:v>
      </x:c>
      <x:c r="K496" s="2" t="n">
        <x:f>IF(AND(G496&gt;Supuestos!$C$8,E496&lt;&gt;"L0"),1,0)</x:f>
        <x:v>1</x:v>
      </x:c>
      <x:c r="L496" s="2" t="str">
        <x:v>posterior_al_dia_14</x:v>
      </x:c>
      <x:c r="M496" s="2" t="str">
        <x:v>simulado_didactico</x:v>
      </x:c>
    </x:row>
    <x:row r="497" ht="19" customHeight="1">
      <x:c r="A497" s="2" t="str">
        <x:v>SIM-E1-BB-L1-R10</x:v>
      </x:c>
      <x:c r="B497" s="2" t="n">
        <x:v>5</x:v>
      </x:c>
      <x:c r="C497" s="2" t="str">
        <x:v>BB</x:v>
      </x:c>
      <x:c r="D497" s="2" t="str">
        <x:v>Brevicoryne brassicae</x:v>
      </x:c>
      <x:c r="E497" s="2" t="str">
        <x:v>L1</x:v>
      </x:c>
      <x:c r="F497" s="2" t="n">
        <x:v>10</x:v>
      </x:c>
      <x:c r="G497" s="2" t="n">
        <x:v>14</x:v>
      </x:c>
      <x:c r="H497" s="2" t="n">
        <x:f>G497-Supuestos!$C$7</x:f>
        <x:v>13</x:v>
      </x:c>
      <x:c r="I497" s="14" t="n">
        <x:f>E1_plantas!J167+G497</x:f>
        <x:v>46125</x:v>
      </x:c>
      <x:c r="J497" s="2" t="n">
        <x:v>33</x:v>
      </x:c>
      <x:c r="K497" s="2" t="n">
        <x:f>IF(AND(G497&gt;Supuestos!$C$8,E497&lt;&gt;"L0"),1,0)</x:f>
        <x:v>0</x:v>
      </x:c>
      <x:c r="L497" s="2" t="str">
        <x:v>antes_de_reinoculacion</x:v>
      </x:c>
      <x:c r="M497" s="2" t="str">
        <x:v>simulado_didactico</x:v>
      </x:c>
    </x:row>
    <x:row r="498" ht="19" customHeight="1">
      <x:c r="A498" s="2" t="str">
        <x:v>SIM-E1-BB-L1-R10</x:v>
      </x:c>
      <x:c r="B498" s="2" t="n">
        <x:v>5</x:v>
      </x:c>
      <x:c r="C498" s="2" t="str">
        <x:v>BB</x:v>
      </x:c>
      <x:c r="D498" s="2" t="str">
        <x:v>Brevicoryne brassicae</x:v>
      </x:c>
      <x:c r="E498" s="2" t="str">
        <x:v>L1</x:v>
      </x:c>
      <x:c r="F498" s="2" t="n">
        <x:v>10</x:v>
      </x:c>
      <x:c r="G498" s="2" t="n">
        <x:v>21</x:v>
      </x:c>
      <x:c r="H498" s="2" t="n">
        <x:f>G498-Supuestos!$C$7</x:f>
        <x:v>20</x:v>
      </x:c>
      <x:c r="I498" s="14" t="n">
        <x:f>E1_plantas!J167+G498</x:f>
        <x:v>46132</x:v>
      </x:c>
      <x:c r="J498" s="2" t="n">
        <x:v>121</x:v>
      </x:c>
      <x:c r="K498" s="2" t="n">
        <x:f>IF(AND(G498&gt;Supuestos!$C$8,E498&lt;&gt;"L0"),1,0)</x:f>
        <x:v>1</x:v>
      </x:c>
      <x:c r="L498" s="2" t="str">
        <x:v>posterior_al_dia_14</x:v>
      </x:c>
      <x:c r="M498" s="2" t="str">
        <x:v>simulado_didactico</x:v>
      </x:c>
    </x:row>
    <x:row r="499" ht="19" customHeight="1">
      <x:c r="A499" s="2" t="str">
        <x:v>SIM-E1-BB-L1-R10</x:v>
      </x:c>
      <x:c r="B499" s="2" t="n">
        <x:v>5</x:v>
      </x:c>
      <x:c r="C499" s="2" t="str">
        <x:v>BB</x:v>
      </x:c>
      <x:c r="D499" s="2" t="str">
        <x:v>Brevicoryne brassicae</x:v>
      </x:c>
      <x:c r="E499" s="2" t="str">
        <x:v>L1</x:v>
      </x:c>
      <x:c r="F499" s="2" t="n">
        <x:v>10</x:v>
      </x:c>
      <x:c r="G499" s="2" t="n">
        <x:v>28</x:v>
      </x:c>
      <x:c r="H499" s="2" t="n">
        <x:f>G499-Supuestos!$C$7</x:f>
        <x:v>27</x:v>
      </x:c>
      <x:c r="I499" s="14" t="n">
        <x:f>E1_plantas!J167+G499</x:f>
        <x:v>46139</x:v>
      </x:c>
      <x:c r="J499" s="2" t="n">
        <x:v>276</x:v>
      </x:c>
      <x:c r="K499" s="2" t="n">
        <x:f>IF(AND(G499&gt;Supuestos!$C$8,E499&lt;&gt;"L0"),1,0)</x:f>
        <x:v>1</x:v>
      </x:c>
      <x:c r="L499" s="2" t="str">
        <x:v>posterior_al_dia_14</x:v>
      </x:c>
      <x:c r="M499" s="2" t="str">
        <x:v>simulado_didactico</x:v>
      </x:c>
    </x:row>
    <x:row r="500" ht="19" customHeight="1">
      <x:c r="A500" s="2" t="str">
        <x:v>SIM-E1-BB-L2-R09</x:v>
      </x:c>
      <x:c r="B500" s="2" t="n">
        <x:v>5</x:v>
      </x:c>
      <x:c r="C500" s="2" t="str">
        <x:v>BB</x:v>
      </x:c>
      <x:c r="D500" s="2" t="str">
        <x:v>Brevicoryne brassicae</x:v>
      </x:c>
      <x:c r="E500" s="2" t="str">
        <x:v>L2</x:v>
      </x:c>
      <x:c r="F500" s="2" t="n">
        <x:v>9</x:v>
      </x:c>
      <x:c r="G500" s="2" t="n">
        <x:v>14</x:v>
      </x:c>
      <x:c r="H500" s="2" t="n">
        <x:f>G500-Supuestos!$C$7</x:f>
        <x:v>13</x:v>
      </x:c>
      <x:c r="I500" s="14" t="n">
        <x:f>E1_plantas!J168+G500</x:f>
        <x:v>46125</x:v>
      </x:c>
      <x:c r="J500" s="2" t="n">
        <x:v>19</x:v>
      </x:c>
      <x:c r="K500" s="2" t="n">
        <x:f>IF(AND(G500&gt;Supuestos!$C$8,E500&lt;&gt;"L0"),1,0)</x:f>
        <x:v>0</x:v>
      </x:c>
      <x:c r="L500" s="2" t="str">
        <x:v>antes_de_reinoculacion</x:v>
      </x:c>
      <x:c r="M500" s="2" t="str">
        <x:v>simulado_didactico</x:v>
      </x:c>
    </x:row>
    <x:row r="501" ht="19" customHeight="1">
      <x:c r="A501" s="2" t="str">
        <x:v>SIM-E1-BB-L2-R09</x:v>
      </x:c>
      <x:c r="B501" s="2" t="n">
        <x:v>5</x:v>
      </x:c>
      <x:c r="C501" s="2" t="str">
        <x:v>BB</x:v>
      </x:c>
      <x:c r="D501" s="2" t="str">
        <x:v>Brevicoryne brassicae</x:v>
      </x:c>
      <x:c r="E501" s="2" t="str">
        <x:v>L2</x:v>
      </x:c>
      <x:c r="F501" s="2" t="n">
        <x:v>9</x:v>
      </x:c>
      <x:c r="G501" s="2" t="n">
        <x:v>21</x:v>
      </x:c>
      <x:c r="H501" s="2" t="n">
        <x:f>G501-Supuestos!$C$7</x:f>
        <x:v>20</x:v>
      </x:c>
      <x:c r="I501" s="14" t="n">
        <x:f>E1_plantas!J168+G501</x:f>
        <x:v>46132</x:v>
      </x:c>
      <x:c r="J501" s="2" t="n">
        <x:v>67</x:v>
      </x:c>
      <x:c r="K501" s="2" t="n">
        <x:f>IF(AND(G501&gt;Supuestos!$C$8,E501&lt;&gt;"L0"),1,0)</x:f>
        <x:v>1</x:v>
      </x:c>
      <x:c r="L501" s="2" t="str">
        <x:v>posterior_al_dia_14</x:v>
      </x:c>
      <x:c r="M501" s="2" t="str">
        <x:v>simulado_didactico</x:v>
      </x:c>
    </x:row>
    <x:row r="502" ht="19" customHeight="1">
      <x:c r="A502" s="2" t="str">
        <x:v>SIM-E1-BB-L2-R09</x:v>
      </x:c>
      <x:c r="B502" s="2" t="n">
        <x:v>5</x:v>
      </x:c>
      <x:c r="C502" s="2" t="str">
        <x:v>BB</x:v>
      </x:c>
      <x:c r="D502" s="2" t="str">
        <x:v>Brevicoryne brassicae</x:v>
      </x:c>
      <x:c r="E502" s="2" t="str">
        <x:v>L2</x:v>
      </x:c>
      <x:c r="F502" s="2" t="n">
        <x:v>9</x:v>
      </x:c>
      <x:c r="G502" s="2" t="n">
        <x:v>28</x:v>
      </x:c>
      <x:c r="H502" s="2" t="n">
        <x:f>G502-Supuestos!$C$7</x:f>
        <x:v>27</x:v>
      </x:c>
      <x:c r="I502" s="14" t="n">
        <x:f>E1_plantas!J168+G502</x:f>
        <x:v>46139</x:v>
      </x:c>
      <x:c r="J502" s="2" t="n">
        <x:v>178</x:v>
      </x:c>
      <x:c r="K502" s="2" t="n">
        <x:f>IF(AND(G502&gt;Supuestos!$C$8,E502&lt;&gt;"L0"),1,0)</x:f>
        <x:v>1</x:v>
      </x:c>
      <x:c r="L502" s="2" t="str">
        <x:v>posterior_al_dia_14</x:v>
      </x:c>
      <x:c r="M502" s="2" t="str">
        <x:v>simulado_didactico</x:v>
      </x:c>
    </x:row>
    <x:row r="503" ht="19" customHeight="1">
      <x:c r="A503" s="2" t="str">
        <x:v>SIM-E1-BB-L2-R10</x:v>
      </x:c>
      <x:c r="B503" s="2" t="n">
        <x:v>5</x:v>
      </x:c>
      <x:c r="C503" s="2" t="str">
        <x:v>BB</x:v>
      </x:c>
      <x:c r="D503" s="2" t="str">
        <x:v>Brevicoryne brassicae</x:v>
      </x:c>
      <x:c r="E503" s="2" t="str">
        <x:v>L2</x:v>
      </x:c>
      <x:c r="F503" s="2" t="n">
        <x:v>10</x:v>
      </x:c>
      <x:c r="G503" s="2" t="n">
        <x:v>14</x:v>
      </x:c>
      <x:c r="H503" s="2" t="n">
        <x:f>G503-Supuestos!$C$7</x:f>
        <x:v>13</x:v>
      </x:c>
      <x:c r="I503" s="14" t="n">
        <x:f>E1_plantas!J169+G503</x:f>
        <x:v>46125</x:v>
      </x:c>
      <x:c r="J503" s="2" t="n">
        <x:v>19</x:v>
      </x:c>
      <x:c r="K503" s="2" t="n">
        <x:f>IF(AND(G503&gt;Supuestos!$C$8,E503&lt;&gt;"L0"),1,0)</x:f>
        <x:v>0</x:v>
      </x:c>
      <x:c r="L503" s="2" t="str">
        <x:v>antes_de_reinoculacion</x:v>
      </x:c>
      <x:c r="M503" s="2" t="str">
        <x:v>simulado_didactico</x:v>
      </x:c>
    </x:row>
    <x:row r="504" ht="19" customHeight="1">
      <x:c r="A504" s="2" t="str">
        <x:v>SIM-E1-BB-L2-R10</x:v>
      </x:c>
      <x:c r="B504" s="2" t="n">
        <x:v>5</x:v>
      </x:c>
      <x:c r="C504" s="2" t="str">
        <x:v>BB</x:v>
      </x:c>
      <x:c r="D504" s="2" t="str">
        <x:v>Brevicoryne brassicae</x:v>
      </x:c>
      <x:c r="E504" s="2" t="str">
        <x:v>L2</x:v>
      </x:c>
      <x:c r="F504" s="2" t="n">
        <x:v>10</x:v>
      </x:c>
      <x:c r="G504" s="2" t="n">
        <x:v>21</x:v>
      </x:c>
      <x:c r="H504" s="2" t="n">
        <x:f>G504-Supuestos!$C$7</x:f>
        <x:v>20</x:v>
      </x:c>
      <x:c r="I504" s="14" t="n">
        <x:f>E1_plantas!J169+G504</x:f>
        <x:v>46132</x:v>
      </x:c>
      <x:c r="J504" s="2" t="n">
        <x:v>69</x:v>
      </x:c>
      <x:c r="K504" s="2" t="n">
        <x:f>IF(AND(G504&gt;Supuestos!$C$8,E504&lt;&gt;"L0"),1,0)</x:f>
        <x:v>1</x:v>
      </x:c>
      <x:c r="L504" s="2" t="str">
        <x:v>posterior_al_dia_14</x:v>
      </x:c>
      <x:c r="M504" s="2" t="str">
        <x:v>simulado_didactico</x:v>
      </x:c>
    </x:row>
    <x:row r="505" ht="19" customHeight="1">
      <x:c r="A505" s="2" t="str">
        <x:v>SIM-E1-BB-L2-R10</x:v>
      </x:c>
      <x:c r="B505" s="2" t="n">
        <x:v>5</x:v>
      </x:c>
      <x:c r="C505" s="2" t="str">
        <x:v>BB</x:v>
      </x:c>
      <x:c r="D505" s="2" t="str">
        <x:v>Brevicoryne brassicae</x:v>
      </x:c>
      <x:c r="E505" s="2" t="str">
        <x:v>L2</x:v>
      </x:c>
      <x:c r="F505" s="2" t="n">
        <x:v>10</x:v>
      </x:c>
      <x:c r="G505" s="2" t="n">
        <x:v>28</x:v>
      </x:c>
      <x:c r="H505" s="2" t="n">
        <x:f>G505-Supuestos!$C$7</x:f>
        <x:v>27</x:v>
      </x:c>
      <x:c r="I505" s="14" t="n">
        <x:f>E1_plantas!J169+G505</x:f>
        <x:v>46139</x:v>
      </x:c>
      <x:c r="J505" s="2" t="n">
        <x:v>190</x:v>
      </x:c>
      <x:c r="K505" s="2" t="n">
        <x:f>IF(AND(G505&gt;Supuestos!$C$8,E505&lt;&gt;"L0"),1,0)</x:f>
        <x:v>1</x:v>
      </x:c>
      <x:c r="L505" s="2" t="str">
        <x:v>posterior_al_dia_14</x:v>
      </x:c>
      <x:c r="M505" s="2" t="str">
        <x:v>simulado_didactico</x:v>
      </x:c>
    </x:row>
    <x:row r="506" ht="19" customHeight="1">
      <x:c r="A506" s="2" t="str">
        <x:v>SIM-E1-BB-L3-R09</x:v>
      </x:c>
      <x:c r="B506" s="2" t="n">
        <x:v>5</x:v>
      </x:c>
      <x:c r="C506" s="2" t="str">
        <x:v>BB</x:v>
      </x:c>
      <x:c r="D506" s="2" t="str">
        <x:v>Brevicoryne brassicae</x:v>
      </x:c>
      <x:c r="E506" s="2" t="str">
        <x:v>L3</x:v>
      </x:c>
      <x:c r="F506" s="2" t="n">
        <x:v>9</x:v>
      </x:c>
      <x:c r="G506" s="2" t="n">
        <x:v>14</x:v>
      </x:c>
      <x:c r="H506" s="2" t="n">
        <x:f>G506-Supuestos!$C$7</x:f>
        <x:v>13</x:v>
      </x:c>
      <x:c r="I506" s="14" t="n">
        <x:f>E1_plantas!J170+G506</x:f>
        <x:v>46125</x:v>
      </x:c>
      <x:c r="J506" s="2" t="n">
        <x:v>22</x:v>
      </x:c>
      <x:c r="K506" s="2" t="n">
        <x:f>IF(AND(G506&gt;Supuestos!$C$8,E506&lt;&gt;"L0"),1,0)</x:f>
        <x:v>0</x:v>
      </x:c>
      <x:c r="L506" s="2" t="str">
        <x:v>antes_de_reinoculacion</x:v>
      </x:c>
      <x:c r="M506" s="2" t="str">
        <x:v>simulado_didactico</x:v>
      </x:c>
    </x:row>
    <x:row r="507" ht="19" customHeight="1">
      <x:c r="A507" s="2" t="str">
        <x:v>SIM-E1-BB-L3-R09</x:v>
      </x:c>
      <x:c r="B507" s="2" t="n">
        <x:v>5</x:v>
      </x:c>
      <x:c r="C507" s="2" t="str">
        <x:v>BB</x:v>
      </x:c>
      <x:c r="D507" s="2" t="str">
        <x:v>Brevicoryne brassicae</x:v>
      </x:c>
      <x:c r="E507" s="2" t="str">
        <x:v>L3</x:v>
      </x:c>
      <x:c r="F507" s="2" t="n">
        <x:v>9</x:v>
      </x:c>
      <x:c r="G507" s="2" t="n">
        <x:v>21</x:v>
      </x:c>
      <x:c r="H507" s="2" t="n">
        <x:f>G507-Supuestos!$C$7</x:f>
        <x:v>20</x:v>
      </x:c>
      <x:c r="I507" s="14" t="n">
        <x:f>E1_plantas!J170+G507</x:f>
        <x:v>46132</x:v>
      </x:c>
      <x:c r="J507" s="2" t="n">
        <x:v>63</x:v>
      </x:c>
      <x:c r="K507" s="2" t="n">
        <x:f>IF(AND(G507&gt;Supuestos!$C$8,E507&lt;&gt;"L0"),1,0)</x:f>
        <x:v>1</x:v>
      </x:c>
      <x:c r="L507" s="2" t="str">
        <x:v>posterior_al_dia_14</x:v>
      </x:c>
      <x:c r="M507" s="2" t="str">
        <x:v>simulado_didactico</x:v>
      </x:c>
    </x:row>
    <x:row r="508" ht="19" customHeight="1">
      <x:c r="A508" s="2" t="str">
        <x:v>SIM-E1-BB-L3-R09</x:v>
      </x:c>
      <x:c r="B508" s="2" t="n">
        <x:v>5</x:v>
      </x:c>
      <x:c r="C508" s="2" t="str">
        <x:v>BB</x:v>
      </x:c>
      <x:c r="D508" s="2" t="str">
        <x:v>Brevicoryne brassicae</x:v>
      </x:c>
      <x:c r="E508" s="2" t="str">
        <x:v>L3</x:v>
      </x:c>
      <x:c r="F508" s="2" t="n">
        <x:v>9</x:v>
      </x:c>
      <x:c r="G508" s="2" t="n">
        <x:v>28</x:v>
      </x:c>
      <x:c r="H508" s="2" t="n">
        <x:f>G508-Supuestos!$C$7</x:f>
        <x:v>27</x:v>
      </x:c>
      <x:c r="I508" s="14" t="n">
        <x:f>E1_plantas!J170+G508</x:f>
        <x:v>46139</x:v>
      </x:c>
      <x:c r="J508" s="2" t="n">
        <x:v>165</x:v>
      </x:c>
      <x:c r="K508" s="2" t="n">
        <x:f>IF(AND(G508&gt;Supuestos!$C$8,E508&lt;&gt;"L0"),1,0)</x:f>
        <x:v>1</x:v>
      </x:c>
      <x:c r="L508" s="2" t="str">
        <x:v>posterior_al_dia_14</x:v>
      </x:c>
      <x:c r="M508" s="2" t="str">
        <x:v>simulado_didactico</x:v>
      </x:c>
    </x:row>
    <x:row r="509" ht="19" customHeight="1">
      <x:c r="A509" s="2" t="str">
        <x:v>SIM-E1-BB-L3-R10</x:v>
      </x:c>
      <x:c r="B509" s="2" t="n">
        <x:v>5</x:v>
      </x:c>
      <x:c r="C509" s="2" t="str">
        <x:v>BB</x:v>
      </x:c>
      <x:c r="D509" s="2" t="str">
        <x:v>Brevicoryne brassicae</x:v>
      </x:c>
      <x:c r="E509" s="2" t="str">
        <x:v>L3</x:v>
      </x:c>
      <x:c r="F509" s="2" t="n">
        <x:v>10</x:v>
      </x:c>
      <x:c r="G509" s="2" t="n">
        <x:v>14</x:v>
      </x:c>
      <x:c r="H509" s="2" t="n">
        <x:f>G509-Supuestos!$C$7</x:f>
        <x:v>13</x:v>
      </x:c>
      <x:c r="I509" s="14" t="n">
        <x:f>E1_plantas!J171+G509</x:f>
        <x:v>46125</x:v>
      </x:c>
      <x:c r="J509" s="2" t="n">
        <x:v>16</x:v>
      </x:c>
      <x:c r="K509" s="2" t="n">
        <x:f>IF(AND(G509&gt;Supuestos!$C$8,E509&lt;&gt;"L0"),1,0)</x:f>
        <x:v>0</x:v>
      </x:c>
      <x:c r="L509" s="2" t="str">
        <x:v>antes_de_reinoculacion</x:v>
      </x:c>
      <x:c r="M509" s="2" t="str">
        <x:v>simulado_didactico</x:v>
      </x:c>
    </x:row>
    <x:row r="510" ht="19" customHeight="1">
      <x:c r="A510" s="2" t="str">
        <x:v>SIM-E1-BB-L3-R10</x:v>
      </x:c>
      <x:c r="B510" s="2" t="n">
        <x:v>5</x:v>
      </x:c>
      <x:c r="C510" s="2" t="str">
        <x:v>BB</x:v>
      </x:c>
      <x:c r="D510" s="2" t="str">
        <x:v>Brevicoryne brassicae</x:v>
      </x:c>
      <x:c r="E510" s="2" t="str">
        <x:v>L3</x:v>
      </x:c>
      <x:c r="F510" s="2" t="n">
        <x:v>10</x:v>
      </x:c>
      <x:c r="G510" s="2" t="n">
        <x:v>21</x:v>
      </x:c>
      <x:c r="H510" s="2" t="n">
        <x:f>G510-Supuestos!$C$7</x:f>
        <x:v>20</x:v>
      </x:c>
      <x:c r="I510" s="14" t="n">
        <x:f>E1_plantas!J171+G510</x:f>
        <x:v>46132</x:v>
      </x:c>
      <x:c r="J510" s="2" t="n">
        <x:v>72</x:v>
      </x:c>
      <x:c r="K510" s="2" t="n">
        <x:f>IF(AND(G510&gt;Supuestos!$C$8,E510&lt;&gt;"L0"),1,0)</x:f>
        <x:v>1</x:v>
      </x:c>
      <x:c r="L510" s="2" t="str">
        <x:v>posterior_al_dia_14</x:v>
      </x:c>
      <x:c r="M510" s="2" t="str">
        <x:v>simulado_didactico</x:v>
      </x:c>
    </x:row>
    <x:row r="511" ht="19" customHeight="1">
      <x:c r="A511" s="2" t="str">
        <x:v>SIM-E1-BB-L3-R10</x:v>
      </x:c>
      <x:c r="B511" s="2" t="n">
        <x:v>5</x:v>
      </x:c>
      <x:c r="C511" s="2" t="str">
        <x:v>BB</x:v>
      </x:c>
      <x:c r="D511" s="2" t="str">
        <x:v>Brevicoryne brassicae</x:v>
      </x:c>
      <x:c r="E511" s="2" t="str">
        <x:v>L3</x:v>
      </x:c>
      <x:c r="F511" s="2" t="n">
        <x:v>10</x:v>
      </x:c>
      <x:c r="G511" s="2" t="n">
        <x:v>28</x:v>
      </x:c>
      <x:c r="H511" s="2" t="n">
        <x:f>G511-Supuestos!$C$7</x:f>
        <x:v>27</x:v>
      </x:c>
      <x:c r="I511" s="14" t="n">
        <x:f>E1_plantas!J171+G511</x:f>
        <x:v>46139</x:v>
      </x:c>
      <x:c r="J511" s="2" t="n">
        <x:v>190</x:v>
      </x:c>
      <x:c r="K511" s="2" t="n">
        <x:f>IF(AND(G511&gt;Supuestos!$C$8,E511&lt;&gt;"L0"),1,0)</x:f>
        <x:v>1</x:v>
      </x:c>
      <x:c r="L511" s="2" t="str">
        <x:v>posterior_al_dia_14</x:v>
      </x:c>
      <x:c r="M511" s="2" t="str">
        <x:v>simulado_didactico</x:v>
      </x:c>
    </x:row>
    <x:row r="512" ht="19" customHeight="1">
      <x:c r="A512" s="2" t="str">
        <x:v>SIM-E1-BB-L5-R09</x:v>
      </x:c>
      <x:c r="B512" s="2" t="n">
        <x:v>5</x:v>
      </x:c>
      <x:c r="C512" s="2" t="str">
        <x:v>BB</x:v>
      </x:c>
      <x:c r="D512" s="2" t="str">
        <x:v>Brevicoryne brassicae</x:v>
      </x:c>
      <x:c r="E512" s="2" t="str">
        <x:v>L5</x:v>
      </x:c>
      <x:c r="F512" s="2" t="n">
        <x:v>9</x:v>
      </x:c>
      <x:c r="G512" s="2" t="n">
        <x:v>14</x:v>
      </x:c>
      <x:c r="H512" s="2" t="n">
        <x:f>G512-Supuestos!$C$7</x:f>
        <x:v>13</x:v>
      </x:c>
      <x:c r="I512" s="14" t="n">
        <x:f>E1_plantas!J172+G512</x:f>
        <x:v>46125</x:v>
      </x:c>
      <x:c r="J512" s="2" t="n">
        <x:v>14</x:v>
      </x:c>
      <x:c r="K512" s="2" t="n">
        <x:f>IF(AND(G512&gt;Supuestos!$C$8,E512&lt;&gt;"L0"),1,0)</x:f>
        <x:v>0</x:v>
      </x:c>
      <x:c r="L512" s="2" t="str">
        <x:v>antes_de_reinoculacion</x:v>
      </x:c>
      <x:c r="M512" s="2" t="str">
        <x:v>simulado_didactico</x:v>
      </x:c>
    </x:row>
    <x:row r="513" ht="19" customHeight="1">
      <x:c r="A513" s="2" t="str">
        <x:v>SIM-E1-BB-L5-R09</x:v>
      </x:c>
      <x:c r="B513" s="2" t="n">
        <x:v>5</x:v>
      </x:c>
      <x:c r="C513" s="2" t="str">
        <x:v>BB</x:v>
      </x:c>
      <x:c r="D513" s="2" t="str">
        <x:v>Brevicoryne brassicae</x:v>
      </x:c>
      <x:c r="E513" s="2" t="str">
        <x:v>L5</x:v>
      </x:c>
      <x:c r="F513" s="2" t="n">
        <x:v>9</x:v>
      </x:c>
      <x:c r="G513" s="2" t="n">
        <x:v>21</x:v>
      </x:c>
      <x:c r="H513" s="2" t="n">
        <x:f>G513-Supuestos!$C$7</x:f>
        <x:v>20</x:v>
      </x:c>
      <x:c r="I513" s="14" t="n">
        <x:f>E1_plantas!J172+G513</x:f>
        <x:v>46132</x:v>
      </x:c>
      <x:c r="J513" s="2" t="n">
        <x:v>37</x:v>
      </x:c>
      <x:c r="K513" s="2" t="n">
        <x:f>IF(AND(G513&gt;Supuestos!$C$8,E513&lt;&gt;"L0"),1,0)</x:f>
        <x:v>1</x:v>
      </x:c>
      <x:c r="L513" s="2" t="str">
        <x:v>posterior_al_dia_14</x:v>
      </x:c>
      <x:c r="M513" s="2" t="str">
        <x:v>simulado_didactico</x:v>
      </x:c>
    </x:row>
    <x:row r="514" ht="19" customHeight="1">
      <x:c r="A514" s="2" t="str">
        <x:v>SIM-E1-BB-L5-R09</x:v>
      </x:c>
      <x:c r="B514" s="2" t="n">
        <x:v>5</x:v>
      </x:c>
      <x:c r="C514" s="2" t="str">
        <x:v>BB</x:v>
      </x:c>
      <x:c r="D514" s="2" t="str">
        <x:v>Brevicoryne brassicae</x:v>
      </x:c>
      <x:c r="E514" s="2" t="str">
        <x:v>L5</x:v>
      </x:c>
      <x:c r="F514" s="2" t="n">
        <x:v>9</x:v>
      </x:c>
      <x:c r="G514" s="2" t="n">
        <x:v>28</x:v>
      </x:c>
      <x:c r="H514" s="2" t="n">
        <x:f>G514-Supuestos!$C$7</x:f>
        <x:v>27</x:v>
      </x:c>
      <x:c r="I514" s="14" t="n">
        <x:f>E1_plantas!J172+G514</x:f>
        <x:v>46139</x:v>
      </x:c>
      <x:c r="J514" s="2" t="n">
        <x:v>142</x:v>
      </x:c>
      <x:c r="K514" s="2" t="n">
        <x:f>IF(AND(G514&gt;Supuestos!$C$8,E514&lt;&gt;"L0"),1,0)</x:f>
        <x:v>1</x:v>
      </x:c>
      <x:c r="L514" s="2" t="str">
        <x:v>posterior_al_dia_14</x:v>
      </x:c>
      <x:c r="M514" s="2" t="str">
        <x:v>simulado_didactico</x:v>
      </x:c>
    </x:row>
    <x:row r="515" ht="19" customHeight="1">
      <x:c r="A515" s="2" t="str">
        <x:v>SIM-E1-BB-L5-R10</x:v>
      </x:c>
      <x:c r="B515" s="2" t="n">
        <x:v>5</x:v>
      </x:c>
      <x:c r="C515" s="2" t="str">
        <x:v>BB</x:v>
      </x:c>
      <x:c r="D515" s="2" t="str">
        <x:v>Brevicoryne brassicae</x:v>
      </x:c>
      <x:c r="E515" s="2" t="str">
        <x:v>L5</x:v>
      </x:c>
      <x:c r="F515" s="2" t="n">
        <x:v>10</x:v>
      </x:c>
      <x:c r="G515" s="2" t="n">
        <x:v>14</x:v>
      </x:c>
      <x:c r="H515" s="2" t="n">
        <x:f>G515-Supuestos!$C$7</x:f>
        <x:v>13</x:v>
      </x:c>
      <x:c r="I515" s="14" t="n">
        <x:f>E1_plantas!J173+G515</x:f>
        <x:v>46125</x:v>
      </x:c>
      <x:c r="J515" s="2" t="n">
        <x:v>11</x:v>
      </x:c>
      <x:c r="K515" s="2" t="n">
        <x:f>IF(AND(G515&gt;Supuestos!$C$8,E515&lt;&gt;"L0"),1,0)</x:f>
        <x:v>0</x:v>
      </x:c>
      <x:c r="L515" s="2" t="str">
        <x:v>antes_de_reinoculacion</x:v>
      </x:c>
      <x:c r="M515" s="2" t="str">
        <x:v>simulado_didactico</x:v>
      </x:c>
    </x:row>
    <x:row r="516" ht="19" customHeight="1">
      <x:c r="A516" s="2" t="str">
        <x:v>SIM-E1-BB-L5-R10</x:v>
      </x:c>
      <x:c r="B516" s="2" t="n">
        <x:v>5</x:v>
      </x:c>
      <x:c r="C516" s="2" t="str">
        <x:v>BB</x:v>
      </x:c>
      <x:c r="D516" s="2" t="str">
        <x:v>Brevicoryne brassicae</x:v>
      </x:c>
      <x:c r="E516" s="2" t="str">
        <x:v>L5</x:v>
      </x:c>
      <x:c r="F516" s="2" t="n">
        <x:v>10</x:v>
      </x:c>
      <x:c r="G516" s="2" t="n">
        <x:v>21</x:v>
      </x:c>
      <x:c r="H516" s="2" t="n">
        <x:f>G516-Supuestos!$C$7</x:f>
        <x:v>20</x:v>
      </x:c>
      <x:c r="I516" s="14" t="n">
        <x:f>E1_plantas!J173+G516</x:f>
        <x:v>46132</x:v>
      </x:c>
      <x:c r="J516" s="2" t="n">
        <x:v>72</x:v>
      </x:c>
      <x:c r="K516" s="2" t="n">
        <x:f>IF(AND(G516&gt;Supuestos!$C$8,E516&lt;&gt;"L0"),1,0)</x:f>
        <x:v>1</x:v>
      </x:c>
      <x:c r="L516" s="2" t="str">
        <x:v>posterior_al_dia_14</x:v>
      </x:c>
      <x:c r="M516" s="2" t="str">
        <x:v>simulado_didactico</x:v>
      </x:c>
    </x:row>
    <x:row r="517" ht="19" customHeight="1">
      <x:c r="A517" s="2" t="str">
        <x:v>SIM-E1-BB-L5-R10</x:v>
      </x:c>
      <x:c r="B517" s="2" t="n">
        <x:v>5</x:v>
      </x:c>
      <x:c r="C517" s="2" t="str">
        <x:v>BB</x:v>
      </x:c>
      <x:c r="D517" s="2" t="str">
        <x:v>Brevicoryne brassicae</x:v>
      </x:c>
      <x:c r="E517" s="2" t="str">
        <x:v>L5</x:v>
      </x:c>
      <x:c r="F517" s="2" t="n">
        <x:v>10</x:v>
      </x:c>
      <x:c r="G517" s="2" t="n">
        <x:v>28</x:v>
      </x:c>
      <x:c r="H517" s="2" t="n">
        <x:f>G517-Supuestos!$C$7</x:f>
        <x:v>27</x:v>
      </x:c>
      <x:c r="I517" s="14" t="n">
        <x:f>E1_plantas!J173+G517</x:f>
        <x:v>46139</x:v>
      </x:c>
      <x:c r="J517" s="2" t="n">
        <x:v>159</x:v>
      </x:c>
      <x:c r="K517" s="2" t="n">
        <x:f>IF(AND(G517&gt;Supuestos!$C$8,E517&lt;&gt;"L0"),1,0)</x:f>
        <x:v>1</x:v>
      </x:c>
      <x:c r="L517" s="2" t="str">
        <x:v>posterior_al_dia_14</x:v>
      </x:c>
      <x:c r="M517" s="2" t="str">
        <x:v>simulado_didactico</x:v>
      </x:c>
    </x:row>
    <x:row r="518" ht="19" customHeight="1">
      <x:c r="A518" s="2" t="str">
        <x:v>SIM-E1-BB-L6-R09</x:v>
      </x:c>
      <x:c r="B518" s="2" t="n">
        <x:v>5</x:v>
      </x:c>
      <x:c r="C518" s="2" t="str">
        <x:v>BB</x:v>
      </x:c>
      <x:c r="D518" s="2" t="str">
        <x:v>Brevicoryne brassicae</x:v>
      </x:c>
      <x:c r="E518" s="2" t="str">
        <x:v>L6</x:v>
      </x:c>
      <x:c r="F518" s="2" t="n">
        <x:v>9</x:v>
      </x:c>
      <x:c r="G518" s="2" t="n">
        <x:v>14</x:v>
      </x:c>
      <x:c r="H518" s="2" t="n">
        <x:f>G518-Supuestos!$C$7</x:f>
        <x:v>13</x:v>
      </x:c>
      <x:c r="I518" s="14" t="n">
        <x:f>E1_plantas!J174+G518</x:f>
        <x:v>46125</x:v>
      </x:c>
      <x:c r="J518" s="2" t="n">
        <x:v>15</x:v>
      </x:c>
      <x:c r="K518" s="2" t="n">
        <x:f>IF(AND(G518&gt;Supuestos!$C$8,E518&lt;&gt;"L0"),1,0)</x:f>
        <x:v>0</x:v>
      </x:c>
      <x:c r="L518" s="2" t="str">
        <x:v>antes_de_reinoculacion</x:v>
      </x:c>
      <x:c r="M518" s="2" t="str">
        <x:v>simulado_didactico</x:v>
      </x:c>
    </x:row>
    <x:row r="519" ht="19" customHeight="1">
      <x:c r="A519" s="2" t="str">
        <x:v>SIM-E1-BB-L6-R09</x:v>
      </x:c>
      <x:c r="B519" s="2" t="n">
        <x:v>5</x:v>
      </x:c>
      <x:c r="C519" s="2" t="str">
        <x:v>BB</x:v>
      </x:c>
      <x:c r="D519" s="2" t="str">
        <x:v>Brevicoryne brassicae</x:v>
      </x:c>
      <x:c r="E519" s="2" t="str">
        <x:v>L6</x:v>
      </x:c>
      <x:c r="F519" s="2" t="n">
        <x:v>9</x:v>
      </x:c>
      <x:c r="G519" s="2" t="n">
        <x:v>21</x:v>
      </x:c>
      <x:c r="H519" s="2" t="n">
        <x:f>G519-Supuestos!$C$7</x:f>
        <x:v>20</x:v>
      </x:c>
      <x:c r="I519" s="14" t="n">
        <x:f>E1_plantas!J174+G519</x:f>
        <x:v>46132</x:v>
      </x:c>
      <x:c r="J519" s="2" t="n">
        <x:v>111</x:v>
      </x:c>
      <x:c r="K519" s="2" t="n">
        <x:f>IF(AND(G519&gt;Supuestos!$C$8,E519&lt;&gt;"L0"),1,0)</x:f>
        <x:v>1</x:v>
      </x:c>
      <x:c r="L519" s="2" t="str">
        <x:v>posterior_al_dia_14</x:v>
      </x:c>
      <x:c r="M519" s="2" t="str">
        <x:v>simulado_didactico</x:v>
      </x:c>
    </x:row>
    <x:row r="520" ht="19" customHeight="1">
      <x:c r="A520" s="2" t="str">
        <x:v>SIM-E1-BB-L6-R09</x:v>
      </x:c>
      <x:c r="B520" s="2" t="n">
        <x:v>5</x:v>
      </x:c>
      <x:c r="C520" s="2" t="str">
        <x:v>BB</x:v>
      </x:c>
      <x:c r="D520" s="2" t="str">
        <x:v>Brevicoryne brassicae</x:v>
      </x:c>
      <x:c r="E520" s="2" t="str">
        <x:v>L6</x:v>
      </x:c>
      <x:c r="F520" s="2" t="n">
        <x:v>9</x:v>
      </x:c>
      <x:c r="G520" s="2" t="n">
        <x:v>28</x:v>
      </x:c>
      <x:c r="H520" s="2" t="n">
        <x:f>G520-Supuestos!$C$7</x:f>
        <x:v>27</x:v>
      </x:c>
      <x:c r="I520" s="14" t="n">
        <x:f>E1_plantas!J174+G520</x:f>
        <x:v>46139</x:v>
      </x:c>
      <x:c r="J520" s="2" t="n">
        <x:v>337</x:v>
      </x:c>
      <x:c r="K520" s="2" t="n">
        <x:f>IF(AND(G520&gt;Supuestos!$C$8,E520&lt;&gt;"L0"),1,0)</x:f>
        <x:v>1</x:v>
      </x:c>
      <x:c r="L520" s="2" t="str">
        <x:v>posterior_al_dia_14</x:v>
      </x:c>
      <x:c r="M520" s="2" t="str">
        <x:v>simulado_didactico</x:v>
      </x:c>
    </x:row>
    <x:row r="521" ht="19" customHeight="1">
      <x:c r="A521" s="2" t="str">
        <x:v>SIM-E1-BB-L6-R10</x:v>
      </x:c>
      <x:c r="B521" s="2" t="n">
        <x:v>5</x:v>
      </x:c>
      <x:c r="C521" s="2" t="str">
        <x:v>BB</x:v>
      </x:c>
      <x:c r="D521" s="2" t="str">
        <x:v>Brevicoryne brassicae</x:v>
      </x:c>
      <x:c r="E521" s="2" t="str">
        <x:v>L6</x:v>
      </x:c>
      <x:c r="F521" s="2" t="n">
        <x:v>10</x:v>
      </x:c>
      <x:c r="G521" s="2" t="n">
        <x:v>14</x:v>
      </x:c>
      <x:c r="H521" s="2" t="n">
        <x:f>G521-Supuestos!$C$7</x:f>
        <x:v>13</x:v>
      </x:c>
      <x:c r="I521" s="14" t="n">
        <x:f>E1_plantas!J175+G521</x:f>
        <x:v>46125</x:v>
      </x:c>
      <x:c r="J521" s="2" t="n">
        <x:v>13</x:v>
      </x:c>
      <x:c r="K521" s="2" t="n">
        <x:f>IF(AND(G521&gt;Supuestos!$C$8,E521&lt;&gt;"L0"),1,0)</x:f>
        <x:v>0</x:v>
      </x:c>
      <x:c r="L521" s="2" t="str">
        <x:v>antes_de_reinoculacion</x:v>
      </x:c>
      <x:c r="M521" s="2" t="str">
        <x:v>simulado_didactico</x:v>
      </x:c>
    </x:row>
    <x:row r="522" ht="19" customHeight="1">
      <x:c r="A522" s="2" t="str">
        <x:v>SIM-E1-BB-L6-R10</x:v>
      </x:c>
      <x:c r="B522" s="2" t="n">
        <x:v>5</x:v>
      </x:c>
      <x:c r="C522" s="2" t="str">
        <x:v>BB</x:v>
      </x:c>
      <x:c r="D522" s="2" t="str">
        <x:v>Brevicoryne brassicae</x:v>
      </x:c>
      <x:c r="E522" s="2" t="str">
        <x:v>L6</x:v>
      </x:c>
      <x:c r="F522" s="2" t="n">
        <x:v>10</x:v>
      </x:c>
      <x:c r="G522" s="2" t="n">
        <x:v>21</x:v>
      </x:c>
      <x:c r="H522" s="2" t="n">
        <x:f>G522-Supuestos!$C$7</x:f>
        <x:v>20</x:v>
      </x:c>
      <x:c r="I522" s="14" t="n">
        <x:f>E1_plantas!J175+G522</x:f>
        <x:v>46132</x:v>
      </x:c>
      <x:c r="J522" s="2" t="n">
        <x:v>68</x:v>
      </x:c>
      <x:c r="K522" s="2" t="n">
        <x:f>IF(AND(G522&gt;Supuestos!$C$8,E522&lt;&gt;"L0"),1,0)</x:f>
        <x:v>1</x:v>
      </x:c>
      <x:c r="L522" s="2" t="str">
        <x:v>posterior_al_dia_14</x:v>
      </x:c>
      <x:c r="M522" s="2" t="str">
        <x:v>simulado_didactico</x:v>
      </x:c>
    </x:row>
    <x:row r="523" ht="19" customHeight="1">
      <x:c r="A523" s="2" t="str">
        <x:v>SIM-E1-BB-L6-R10</x:v>
      </x:c>
      <x:c r="B523" s="2" t="n">
        <x:v>5</x:v>
      </x:c>
      <x:c r="C523" s="2" t="str">
        <x:v>BB</x:v>
      </x:c>
      <x:c r="D523" s="2" t="str">
        <x:v>Brevicoryne brassicae</x:v>
      </x:c>
      <x:c r="E523" s="2" t="str">
        <x:v>L6</x:v>
      </x:c>
      <x:c r="F523" s="2" t="n">
        <x:v>10</x:v>
      </x:c>
      <x:c r="G523" s="2" t="n">
        <x:v>28</x:v>
      </x:c>
      <x:c r="H523" s="2" t="n">
        <x:f>G523-Supuestos!$C$7</x:f>
        <x:v>27</x:v>
      </x:c>
      <x:c r="I523" s="14" t="n">
        <x:f>E1_plantas!J175+G523</x:f>
        <x:v>46139</x:v>
      </x:c>
      <x:c r="J523" s="2" t="n">
        <x:v>202</x:v>
      </x:c>
      <x:c r="K523" s="2" t="n">
        <x:f>IF(AND(G523&gt;Supuestos!$C$8,E523&lt;&gt;"L0"),1,0)</x:f>
        <x:v>1</x:v>
      </x:c>
      <x:c r="L523" s="2" t="str">
        <x:v>posterior_al_dia_14</x:v>
      </x:c>
      <x:c r="M523" s="2" t="str">
        <x:v>simulado_didactico</x:v>
      </x:c>
    </x:row>
    <x:row r="524" ht="19" customHeight="1">
      <x:c r="A524" s="2" t="str">
        <x:v>SIM-E1-BB-L7-R09</x:v>
      </x:c>
      <x:c r="B524" s="2" t="n">
        <x:v>5</x:v>
      </x:c>
      <x:c r="C524" s="2" t="str">
        <x:v>BB</x:v>
      </x:c>
      <x:c r="D524" s="2" t="str">
        <x:v>Brevicoryne brassicae</x:v>
      </x:c>
      <x:c r="E524" s="2" t="str">
        <x:v>L7</x:v>
      </x:c>
      <x:c r="F524" s="2" t="n">
        <x:v>9</x:v>
      </x:c>
      <x:c r="G524" s="2" t="n">
        <x:v>14</x:v>
      </x:c>
      <x:c r="H524" s="2" t="n">
        <x:f>G524-Supuestos!$C$7</x:f>
        <x:v>13</x:v>
      </x:c>
      <x:c r="I524" s="14" t="n">
        <x:f>E1_plantas!J176+G524</x:f>
        <x:v>46125</x:v>
      </x:c>
      <x:c r="J524" s="2" t="n">
        <x:v>16</x:v>
      </x:c>
      <x:c r="K524" s="2" t="n">
        <x:f>IF(AND(G524&gt;Supuestos!$C$8,E524&lt;&gt;"L0"),1,0)</x:f>
        <x:v>0</x:v>
      </x:c>
      <x:c r="L524" s="2" t="str">
        <x:v>antes_de_reinoculacion</x:v>
      </x:c>
      <x:c r="M524" s="2" t="str">
        <x:v>simulado_didactico</x:v>
      </x:c>
    </x:row>
    <x:row r="525" ht="19" customHeight="1">
      <x:c r="A525" s="2" t="str">
        <x:v>SIM-E1-BB-L7-R09</x:v>
      </x:c>
      <x:c r="B525" s="2" t="n">
        <x:v>5</x:v>
      </x:c>
      <x:c r="C525" s="2" t="str">
        <x:v>BB</x:v>
      </x:c>
      <x:c r="D525" s="2" t="str">
        <x:v>Brevicoryne brassicae</x:v>
      </x:c>
      <x:c r="E525" s="2" t="str">
        <x:v>L7</x:v>
      </x:c>
      <x:c r="F525" s="2" t="n">
        <x:v>9</x:v>
      </x:c>
      <x:c r="G525" s="2" t="n">
        <x:v>21</x:v>
      </x:c>
      <x:c r="H525" s="2" t="n">
        <x:f>G525-Supuestos!$C$7</x:f>
        <x:v>20</x:v>
      </x:c>
      <x:c r="I525" s="14" t="n">
        <x:f>E1_plantas!J176+G525</x:f>
        <x:v>46132</x:v>
      </x:c>
      <x:c r="J525" s="2" t="n">
        <x:v>49</x:v>
      </x:c>
      <x:c r="K525" s="2" t="n">
        <x:f>IF(AND(G525&gt;Supuestos!$C$8,E525&lt;&gt;"L0"),1,0)</x:f>
        <x:v>1</x:v>
      </x:c>
      <x:c r="L525" s="2" t="str">
        <x:v>posterior_al_dia_14</x:v>
      </x:c>
      <x:c r="M525" s="2" t="str">
        <x:v>simulado_didactico</x:v>
      </x:c>
    </x:row>
    <x:row r="526" ht="19" customHeight="1">
      <x:c r="A526" s="2" t="str">
        <x:v>SIM-E1-BB-L7-R09</x:v>
      </x:c>
      <x:c r="B526" s="2" t="n">
        <x:v>5</x:v>
      </x:c>
      <x:c r="C526" s="2" t="str">
        <x:v>BB</x:v>
      </x:c>
      <x:c r="D526" s="2" t="str">
        <x:v>Brevicoryne brassicae</x:v>
      </x:c>
      <x:c r="E526" s="2" t="str">
        <x:v>L7</x:v>
      </x:c>
      <x:c r="F526" s="2" t="n">
        <x:v>9</x:v>
      </x:c>
      <x:c r="G526" s="2" t="n">
        <x:v>28</x:v>
      </x:c>
      <x:c r="H526" s="2" t="n">
        <x:f>G526-Supuestos!$C$7</x:f>
        <x:v>27</x:v>
      </x:c>
      <x:c r="I526" s="14" t="n">
        <x:f>E1_plantas!J176+G526</x:f>
        <x:v>46139</x:v>
      </x:c>
      <x:c r="J526" s="2" t="n">
        <x:v>129</x:v>
      </x:c>
      <x:c r="K526" s="2" t="n">
        <x:f>IF(AND(G526&gt;Supuestos!$C$8,E526&lt;&gt;"L0"),1,0)</x:f>
        <x:v>1</x:v>
      </x:c>
      <x:c r="L526" s="2" t="str">
        <x:v>posterior_al_dia_14</x:v>
      </x:c>
      <x:c r="M526" s="2" t="str">
        <x:v>simulado_didactico</x:v>
      </x:c>
    </x:row>
    <x:row r="527" ht="19" customHeight="1">
      <x:c r="A527" s="2" t="str">
        <x:v>SIM-E1-BB-L7-R10</x:v>
      </x:c>
      <x:c r="B527" s="2" t="n">
        <x:v>5</x:v>
      </x:c>
      <x:c r="C527" s="2" t="str">
        <x:v>BB</x:v>
      </x:c>
      <x:c r="D527" s="2" t="str">
        <x:v>Brevicoryne brassicae</x:v>
      </x:c>
      <x:c r="E527" s="2" t="str">
        <x:v>L7</x:v>
      </x:c>
      <x:c r="F527" s="2" t="n">
        <x:v>10</x:v>
      </x:c>
      <x:c r="G527" s="2" t="n">
        <x:v>14</x:v>
      </x:c>
      <x:c r="H527" s="2" t="n">
        <x:f>G527-Supuestos!$C$7</x:f>
        <x:v>13</x:v>
      </x:c>
      <x:c r="I527" s="14" t="n">
        <x:f>E1_plantas!J177+G527</x:f>
        <x:v>46125</x:v>
      </x:c>
      <x:c r="J527" s="2" t="n">
        <x:v>7</x:v>
      </x:c>
      <x:c r="K527" s="2" t="n">
        <x:f>IF(AND(G527&gt;Supuestos!$C$8,E527&lt;&gt;"L0"),1,0)</x:f>
        <x:v>0</x:v>
      </x:c>
      <x:c r="L527" s="2" t="str">
        <x:v>antes_de_reinoculacion</x:v>
      </x:c>
      <x:c r="M527" s="2" t="str">
        <x:v>simulado_didactico</x:v>
      </x:c>
    </x:row>
    <x:row r="528" ht="19" customHeight="1">
      <x:c r="A528" s="2" t="str">
        <x:v>SIM-E1-BB-L7-R10</x:v>
      </x:c>
      <x:c r="B528" s="2" t="n">
        <x:v>5</x:v>
      </x:c>
      <x:c r="C528" s="2" t="str">
        <x:v>BB</x:v>
      </x:c>
      <x:c r="D528" s="2" t="str">
        <x:v>Brevicoryne brassicae</x:v>
      </x:c>
      <x:c r="E528" s="2" t="str">
        <x:v>L7</x:v>
      </x:c>
      <x:c r="F528" s="2" t="n">
        <x:v>10</x:v>
      </x:c>
      <x:c r="G528" s="2" t="n">
        <x:v>21</x:v>
      </x:c>
      <x:c r="H528" s="2" t="n">
        <x:f>G528-Supuestos!$C$7</x:f>
        <x:v>20</x:v>
      </x:c>
      <x:c r="I528" s="14" t="n">
        <x:f>E1_plantas!J177+G528</x:f>
        <x:v>46132</x:v>
      </x:c>
      <x:c r="J528" s="2" t="n">
        <x:v>47</x:v>
      </x:c>
      <x:c r="K528" s="2" t="n">
        <x:f>IF(AND(G528&gt;Supuestos!$C$8,E528&lt;&gt;"L0"),1,0)</x:f>
        <x:v>1</x:v>
      </x:c>
      <x:c r="L528" s="2" t="str">
        <x:v>posterior_al_dia_14</x:v>
      </x:c>
      <x:c r="M528" s="2" t="str">
        <x:v>simulado_didactico</x:v>
      </x:c>
    </x:row>
    <x:row r="529" ht="19" customHeight="1">
      <x:c r="A529" s="2" t="str">
        <x:v>SIM-E1-BB-L7-R10</x:v>
      </x:c>
      <x:c r="B529" s="2" t="n">
        <x:v>5</x:v>
      </x:c>
      <x:c r="C529" s="2" t="str">
        <x:v>BB</x:v>
      </x:c>
      <x:c r="D529" s="2" t="str">
        <x:v>Brevicoryne brassicae</x:v>
      </x:c>
      <x:c r="E529" s="2" t="str">
        <x:v>L7</x:v>
      </x:c>
      <x:c r="F529" s="2" t="n">
        <x:v>10</x:v>
      </x:c>
      <x:c r="G529" s="2" t="n">
        <x:v>28</x:v>
      </x:c>
      <x:c r="H529" s="2" t="n">
        <x:f>G529-Supuestos!$C$7</x:f>
        <x:v>27</x:v>
      </x:c>
      <x:c r="I529" s="14" t="n">
        <x:f>E1_plantas!J177+G529</x:f>
        <x:v>46139</x:v>
      </x:c>
      <x:c r="J529" s="2" t="n">
        <x:v>91</x:v>
      </x:c>
      <x:c r="K529" s="2" t="n">
        <x:f>IF(AND(G529&gt;Supuestos!$C$8,E529&lt;&gt;"L0"),1,0)</x:f>
        <x:v>1</x:v>
      </x:c>
      <x:c r="L529" s="2" t="str">
        <x:v>posterior_al_dia_14</x:v>
      </x:c>
      <x:c r="M529" s="2" t="str">
        <x:v>simulado_didactico</x:v>
      </x:c>
    </x:row>
    <x:row r="530" ht="19" customHeight="1">
      <x:c r="A530" s="2" t="str">
        <x:v>SIM-E1-BB-L8-R09</x:v>
      </x:c>
      <x:c r="B530" s="2" t="n">
        <x:v>5</x:v>
      </x:c>
      <x:c r="C530" s="2" t="str">
        <x:v>BB</x:v>
      </x:c>
      <x:c r="D530" s="2" t="str">
        <x:v>Brevicoryne brassicae</x:v>
      </x:c>
      <x:c r="E530" s="2" t="str">
        <x:v>L8</x:v>
      </x:c>
      <x:c r="F530" s="2" t="n">
        <x:v>9</x:v>
      </x:c>
      <x:c r="G530" s="2" t="n">
        <x:v>14</x:v>
      </x:c>
      <x:c r="H530" s="2" t="n">
        <x:f>G530-Supuestos!$C$7</x:f>
        <x:v>13</x:v>
      </x:c>
      <x:c r="I530" s="14" t="n">
        <x:f>E1_plantas!J178+G530</x:f>
        <x:v>46125</x:v>
      </x:c>
      <x:c r="J530" s="2" t="n">
        <x:v>21</x:v>
      </x:c>
      <x:c r="K530" s="2" t="n">
        <x:f>IF(AND(G530&gt;Supuestos!$C$8,E530&lt;&gt;"L0"),1,0)</x:f>
        <x:v>0</x:v>
      </x:c>
      <x:c r="L530" s="2" t="str">
        <x:v>antes_de_reinoculacion</x:v>
      </x:c>
      <x:c r="M530" s="2" t="str">
        <x:v>simulado_didactico</x:v>
      </x:c>
    </x:row>
    <x:row r="531" ht="19" customHeight="1">
      <x:c r="A531" s="2" t="str">
        <x:v>SIM-E1-BB-L8-R09</x:v>
      </x:c>
      <x:c r="B531" s="2" t="n">
        <x:v>5</x:v>
      </x:c>
      <x:c r="C531" s="2" t="str">
        <x:v>BB</x:v>
      </x:c>
      <x:c r="D531" s="2" t="str">
        <x:v>Brevicoryne brassicae</x:v>
      </x:c>
      <x:c r="E531" s="2" t="str">
        <x:v>L8</x:v>
      </x:c>
      <x:c r="F531" s="2" t="n">
        <x:v>9</x:v>
      </x:c>
      <x:c r="G531" s="2" t="n">
        <x:v>21</x:v>
      </x:c>
      <x:c r="H531" s="2" t="n">
        <x:f>G531-Supuestos!$C$7</x:f>
        <x:v>20</x:v>
      </x:c>
      <x:c r="I531" s="14" t="n">
        <x:f>E1_plantas!J178+G531</x:f>
        <x:v>46132</x:v>
      </x:c>
      <x:c r="J531" s="2" t="n">
        <x:v>57</x:v>
      </x:c>
      <x:c r="K531" s="2" t="n">
        <x:f>IF(AND(G531&gt;Supuestos!$C$8,E531&lt;&gt;"L0"),1,0)</x:f>
        <x:v>1</x:v>
      </x:c>
      <x:c r="L531" s="2" t="str">
        <x:v>posterior_al_dia_14</x:v>
      </x:c>
      <x:c r="M531" s="2" t="str">
        <x:v>simulado_didactico</x:v>
      </x:c>
    </x:row>
    <x:row r="532" ht="19" customHeight="1">
      <x:c r="A532" s="2" t="str">
        <x:v>SIM-E1-BB-L8-R09</x:v>
      </x:c>
      <x:c r="B532" s="2" t="n">
        <x:v>5</x:v>
      </x:c>
      <x:c r="C532" s="2" t="str">
        <x:v>BB</x:v>
      </x:c>
      <x:c r="D532" s="2" t="str">
        <x:v>Brevicoryne brassicae</x:v>
      </x:c>
      <x:c r="E532" s="2" t="str">
        <x:v>L8</x:v>
      </x:c>
      <x:c r="F532" s="2" t="n">
        <x:v>9</x:v>
      </x:c>
      <x:c r="G532" s="2" t="n">
        <x:v>28</x:v>
      </x:c>
      <x:c r="H532" s="2" t="n">
        <x:f>G532-Supuestos!$C$7</x:f>
        <x:v>27</x:v>
      </x:c>
      <x:c r="I532" s="14" t="n">
        <x:f>E1_plantas!J178+G532</x:f>
        <x:v>46139</x:v>
      </x:c>
      <x:c r="J532" s="2" t="n">
        <x:v>128</x:v>
      </x:c>
      <x:c r="K532" s="2" t="n">
        <x:f>IF(AND(G532&gt;Supuestos!$C$8,E532&lt;&gt;"L0"),1,0)</x:f>
        <x:v>1</x:v>
      </x:c>
      <x:c r="L532" s="2" t="str">
        <x:v>posterior_al_dia_14</x:v>
      </x:c>
      <x:c r="M532" s="2" t="str">
        <x:v>simulado_didactico</x:v>
      </x:c>
    </x:row>
    <x:row r="533" ht="19" customHeight="1">
      <x:c r="A533" s="2" t="str">
        <x:v>SIM-E1-BB-L8-R10</x:v>
      </x:c>
      <x:c r="B533" s="2" t="n">
        <x:v>5</x:v>
      </x:c>
      <x:c r="C533" s="2" t="str">
        <x:v>BB</x:v>
      </x:c>
      <x:c r="D533" s="2" t="str">
        <x:v>Brevicoryne brassicae</x:v>
      </x:c>
      <x:c r="E533" s="2" t="str">
        <x:v>L8</x:v>
      </x:c>
      <x:c r="F533" s="2" t="n">
        <x:v>10</x:v>
      </x:c>
      <x:c r="G533" s="2" t="n">
        <x:v>14</x:v>
      </x:c>
      <x:c r="H533" s="2" t="n">
        <x:f>G533-Supuestos!$C$7</x:f>
        <x:v>13</x:v>
      </x:c>
      <x:c r="I533" s="14" t="n">
        <x:f>E1_plantas!J179+G533</x:f>
        <x:v>46125</x:v>
      </x:c>
      <x:c r="J533" s="2" t="n">
        <x:v>9</x:v>
      </x:c>
      <x:c r="K533" s="2" t="n">
        <x:f>IF(AND(G533&gt;Supuestos!$C$8,E533&lt;&gt;"L0"),1,0)</x:f>
        <x:v>0</x:v>
      </x:c>
      <x:c r="L533" s="2" t="str">
        <x:v>antes_de_reinoculacion</x:v>
      </x:c>
      <x:c r="M533" s="2" t="str">
        <x:v>simulado_didactico</x:v>
      </x:c>
    </x:row>
    <x:row r="534" ht="19" customHeight="1">
      <x:c r="A534" s="2" t="str">
        <x:v>SIM-E1-BB-L8-R10</x:v>
      </x:c>
      <x:c r="B534" s="2" t="n">
        <x:v>5</x:v>
      </x:c>
      <x:c r="C534" s="2" t="str">
        <x:v>BB</x:v>
      </x:c>
      <x:c r="D534" s="2" t="str">
        <x:v>Brevicoryne brassicae</x:v>
      </x:c>
      <x:c r="E534" s="2" t="str">
        <x:v>L8</x:v>
      </x:c>
      <x:c r="F534" s="2" t="n">
        <x:v>10</x:v>
      </x:c>
      <x:c r="G534" s="2" t="n">
        <x:v>21</x:v>
      </x:c>
      <x:c r="H534" s="2" t="n">
        <x:f>G534-Supuestos!$C$7</x:f>
        <x:v>20</x:v>
      </x:c>
      <x:c r="I534" s="14" t="n">
        <x:f>E1_plantas!J179+G534</x:f>
        <x:v>46132</x:v>
      </x:c>
      <x:c r="J534" s="2" t="n">
        <x:v>28</x:v>
      </x:c>
      <x:c r="K534" s="2" t="n">
        <x:f>IF(AND(G534&gt;Supuestos!$C$8,E534&lt;&gt;"L0"),1,0)</x:f>
        <x:v>1</x:v>
      </x:c>
      <x:c r="L534" s="2" t="str">
        <x:v>posterior_al_dia_14</x:v>
      </x:c>
      <x:c r="M534" s="2" t="str">
        <x:v>simulado_didactico</x:v>
      </x:c>
    </x:row>
    <x:row r="535" ht="19" customHeight="1">
      <x:c r="A535" s="2" t="str">
        <x:v>SIM-E1-BB-L8-R10</x:v>
      </x:c>
      <x:c r="B535" s="2" t="n">
        <x:v>5</x:v>
      </x:c>
      <x:c r="C535" s="2" t="str">
        <x:v>BB</x:v>
      </x:c>
      <x:c r="D535" s="2" t="str">
        <x:v>Brevicoryne brassicae</x:v>
      </x:c>
      <x:c r="E535" s="2" t="str">
        <x:v>L8</x:v>
      </x:c>
      <x:c r="F535" s="2" t="n">
        <x:v>10</x:v>
      </x:c>
      <x:c r="G535" s="2" t="n">
        <x:v>28</x:v>
      </x:c>
      <x:c r="H535" s="2" t="n">
        <x:f>G535-Supuestos!$C$7</x:f>
        <x:v>27</x:v>
      </x:c>
      <x:c r="I535" s="14" t="n">
        <x:f>E1_plantas!J179+G535</x:f>
        <x:v>46139</x:v>
      </x:c>
      <x:c r="J535" s="2" t="n">
        <x:v>67</x:v>
      </x:c>
      <x:c r="K535" s="2" t="n">
        <x:f>IF(AND(G535&gt;Supuestos!$C$8,E535&lt;&gt;"L0"),1,0)</x:f>
        <x:v>1</x:v>
      </x:c>
      <x:c r="L535" s="2" t="str">
        <x:v>posterior_al_dia_14</x:v>
      </x:c>
      <x:c r="M535" s="2" t="str">
        <x:v>simulado_didactico</x:v>
      </x:c>
    </x:row>
    <x:row r="536" ht="19" customHeight="1">
      <x:c r="A536" s="2" t="str">
        <x:v>SIM-E1-BB-L9-R09</x:v>
      </x:c>
      <x:c r="B536" s="2" t="n">
        <x:v>5</x:v>
      </x:c>
      <x:c r="C536" s="2" t="str">
        <x:v>BB</x:v>
      </x:c>
      <x:c r="D536" s="2" t="str">
        <x:v>Brevicoryne brassicae</x:v>
      </x:c>
      <x:c r="E536" s="2" t="str">
        <x:v>L9</x:v>
      </x:c>
      <x:c r="F536" s="2" t="n">
        <x:v>9</x:v>
      </x:c>
      <x:c r="G536" s="2" t="n">
        <x:v>14</x:v>
      </x:c>
      <x:c r="H536" s="2" t="n">
        <x:f>G536-Supuestos!$C$7</x:f>
        <x:v>13</x:v>
      </x:c>
      <x:c r="I536" s="14" t="n">
        <x:f>E1_plantas!J180+G536</x:f>
        <x:v>46125</x:v>
      </x:c>
      <x:c r="J536" s="2" t="n">
        <x:v>13</x:v>
      </x:c>
      <x:c r="K536" s="2" t="n">
        <x:f>IF(AND(G536&gt;Supuestos!$C$8,E536&lt;&gt;"L0"),1,0)</x:f>
        <x:v>0</x:v>
      </x:c>
      <x:c r="L536" s="2" t="str">
        <x:v>antes_de_reinoculacion</x:v>
      </x:c>
      <x:c r="M536" s="2" t="str">
        <x:v>simulado_didactico</x:v>
      </x:c>
    </x:row>
    <x:row r="537" ht="19" customHeight="1">
      <x:c r="A537" s="2" t="str">
        <x:v>SIM-E1-BB-L9-R09</x:v>
      </x:c>
      <x:c r="B537" s="2" t="n">
        <x:v>5</x:v>
      </x:c>
      <x:c r="C537" s="2" t="str">
        <x:v>BB</x:v>
      </x:c>
      <x:c r="D537" s="2" t="str">
        <x:v>Brevicoryne brassicae</x:v>
      </x:c>
      <x:c r="E537" s="2" t="str">
        <x:v>L9</x:v>
      </x:c>
      <x:c r="F537" s="2" t="n">
        <x:v>9</x:v>
      </x:c>
      <x:c r="G537" s="2" t="n">
        <x:v>21</x:v>
      </x:c>
      <x:c r="H537" s="2" t="n">
        <x:f>G537-Supuestos!$C$7</x:f>
        <x:v>20</x:v>
      </x:c>
      <x:c r="I537" s="14" t="n">
        <x:f>E1_plantas!J180+G537</x:f>
        <x:v>46132</x:v>
      </x:c>
      <x:c r="J537" s="2" t="n">
        <x:v>149</x:v>
      </x:c>
      <x:c r="K537" s="2" t="n">
        <x:f>IF(AND(G537&gt;Supuestos!$C$8,E537&lt;&gt;"L0"),1,0)</x:f>
        <x:v>1</x:v>
      </x:c>
      <x:c r="L537" s="2" t="str">
        <x:v>posterior_al_dia_14</x:v>
      </x:c>
      <x:c r="M537" s="2" t="str">
        <x:v>simulado_didactico</x:v>
      </x:c>
    </x:row>
    <x:row r="538" ht="19" customHeight="1">
      <x:c r="A538" s="2" t="str">
        <x:v>SIM-E1-BB-L9-R09</x:v>
      </x:c>
      <x:c r="B538" s="2" t="n">
        <x:v>5</x:v>
      </x:c>
      <x:c r="C538" s="2" t="str">
        <x:v>BB</x:v>
      </x:c>
      <x:c r="D538" s="2" t="str">
        <x:v>Brevicoryne brassicae</x:v>
      </x:c>
      <x:c r="E538" s="2" t="str">
        <x:v>L9</x:v>
      </x:c>
      <x:c r="F538" s="2" t="n">
        <x:v>9</x:v>
      </x:c>
      <x:c r="G538" s="2" t="n">
        <x:v>28</x:v>
      </x:c>
      <x:c r="H538" s="2" t="n">
        <x:f>G538-Supuestos!$C$7</x:f>
        <x:v>27</x:v>
      </x:c>
      <x:c r="I538" s="14" t="n">
        <x:f>E1_plantas!J180+G538</x:f>
        <x:v>46139</x:v>
      </x:c>
      <x:c r="J538" s="2" t="n">
        <x:v>381</x:v>
      </x:c>
      <x:c r="K538" s="2" t="n">
        <x:f>IF(AND(G538&gt;Supuestos!$C$8,E538&lt;&gt;"L0"),1,0)</x:f>
        <x:v>1</x:v>
      </x:c>
      <x:c r="L538" s="2" t="str">
        <x:v>posterior_al_dia_14</x:v>
      </x:c>
      <x:c r="M538" s="2" t="str">
        <x:v>simulado_didactico</x:v>
      </x:c>
    </x:row>
    <x:row r="539" ht="19" customHeight="1">
      <x:c r="A539" s="2" t="str">
        <x:v>SIM-E1-BB-L9-R10</x:v>
      </x:c>
      <x:c r="B539" s="2" t="n">
        <x:v>5</x:v>
      </x:c>
      <x:c r="C539" s="2" t="str">
        <x:v>BB</x:v>
      </x:c>
      <x:c r="D539" s="2" t="str">
        <x:v>Brevicoryne brassicae</x:v>
      </x:c>
      <x:c r="E539" s="2" t="str">
        <x:v>L9</x:v>
      </x:c>
      <x:c r="F539" s="2" t="n">
        <x:v>10</x:v>
      </x:c>
      <x:c r="G539" s="2" t="n">
        <x:v>14</x:v>
      </x:c>
      <x:c r="H539" s="2" t="n">
        <x:f>G539-Supuestos!$C$7</x:f>
        <x:v>13</x:v>
      </x:c>
      <x:c r="I539" s="14" t="n">
        <x:f>E1_plantas!J181+G539</x:f>
        <x:v>46125</x:v>
      </x:c>
      <x:c r="J539" s="2" t="n">
        <x:v>20</x:v>
      </x:c>
      <x:c r="K539" s="2" t="n">
        <x:f>IF(AND(G539&gt;Supuestos!$C$8,E539&lt;&gt;"L0"),1,0)</x:f>
        <x:v>0</x:v>
      </x:c>
      <x:c r="L539" s="2" t="str">
        <x:v>antes_de_reinoculacion</x:v>
      </x:c>
      <x:c r="M539" s="2" t="str">
        <x:v>simulado_didactico</x:v>
      </x:c>
    </x:row>
    <x:row r="540" ht="19" customHeight="1">
      <x:c r="A540" s="2" t="str">
        <x:v>SIM-E1-BB-L9-R10</x:v>
      </x:c>
      <x:c r="B540" s="2" t="n">
        <x:v>5</x:v>
      </x:c>
      <x:c r="C540" s="2" t="str">
        <x:v>BB</x:v>
      </x:c>
      <x:c r="D540" s="2" t="str">
        <x:v>Brevicoryne brassicae</x:v>
      </x:c>
      <x:c r="E540" s="2" t="str">
        <x:v>L9</x:v>
      </x:c>
      <x:c r="F540" s="2" t="n">
        <x:v>10</x:v>
      </x:c>
      <x:c r="G540" s="2" t="n">
        <x:v>21</x:v>
      </x:c>
      <x:c r="H540" s="2" t="n">
        <x:f>G540-Supuestos!$C$7</x:f>
        <x:v>20</x:v>
      </x:c>
      <x:c r="I540" s="14" t="n">
        <x:f>E1_plantas!J181+G540</x:f>
        <x:v>46132</x:v>
      </x:c>
      <x:c r="J540" s="2" t="n">
        <x:v>85</x:v>
      </x:c>
      <x:c r="K540" s="2" t="n">
        <x:f>IF(AND(G540&gt;Supuestos!$C$8,E540&lt;&gt;"L0"),1,0)</x:f>
        <x:v>1</x:v>
      </x:c>
      <x:c r="L540" s="2" t="str">
        <x:v>posterior_al_dia_14</x:v>
      </x:c>
      <x:c r="M540" s="2" t="str">
        <x:v>simulado_didactico</x:v>
      </x:c>
    </x:row>
    <x:row r="541" ht="19" customHeight="1">
      <x:c r="A541" s="2" t="str">
        <x:v>SIM-E1-BB-L9-R10</x:v>
      </x:c>
      <x:c r="B541" s="2" t="n">
        <x:v>5</x:v>
      </x:c>
      <x:c r="C541" s="2" t="str">
        <x:v>BB</x:v>
      </x:c>
      <x:c r="D541" s="2" t="str">
        <x:v>Brevicoryne brassicae</x:v>
      </x:c>
      <x:c r="E541" s="2" t="str">
        <x:v>L9</x:v>
      </x:c>
      <x:c r="F541" s="2" t="n">
        <x:v>10</x:v>
      </x:c>
      <x:c r="G541" s="2" t="n">
        <x:v>28</x:v>
      </x:c>
      <x:c r="H541" s="2" t="n">
        <x:f>G541-Supuestos!$C$7</x:f>
        <x:v>27</x:v>
      </x:c>
      <x:c r="I541" s="14" t="n">
        <x:f>E1_plantas!J181+G541</x:f>
        <x:v>46139</x:v>
      </x:c>
      <x:c r="J541" s="2" t="n">
        <x:v>206</x:v>
      </x:c>
      <x:c r="K541" s="2" t="n">
        <x:f>IF(AND(G541&gt;Supuestos!$C$8,E541&lt;&gt;"L0"),1,0)</x:f>
        <x:v>1</x:v>
      </x:c>
      <x:c r="L541" s="2" t="str">
        <x:v>posterior_al_dia_14</x:v>
      </x:c>
      <x:c r="M541" s="2" t="str">
        <x:v>simulado_didactico</x:v>
      </x:c>
    </x:row>
  </x:sheetData>
  <x:conditionalFormatting sqref="E2:E541">
    <x:cfRule type="expression" dxfId="9" priority="1">
      <x:formula>E2="L0"</x:formula>
    </x:cfRule>
    <x:cfRule type="expression" dxfId="10" priority="2">
      <x:formula>E2="L1"</x:formula>
    </x:cfRule>
    <x:cfRule type="expression" dxfId="11" priority="3">
      <x:formula>E2="L2"</x:formula>
    </x:cfRule>
    <x:cfRule type="expression" dxfId="12" priority="4">
      <x:formula>E2="L3"</x:formula>
    </x:cfRule>
    <x:cfRule type="expression" dxfId="13" priority="5">
      <x:formula>E2="L5"</x:formula>
    </x:cfRule>
    <x:cfRule type="expression" dxfId="14" priority="6">
      <x:formula>E2="L6"</x:formula>
    </x:cfRule>
    <x:cfRule type="expression" dxfId="15" priority="7">
      <x:formula>E2="L7"</x:formula>
    </x:cfRule>
    <x:cfRule type="expression" dxfId="16" priority="8">
      <x:formula>E2="L8"</x:formula>
    </x:cfRule>
    <x:cfRule type="expression" dxfId="17" priority="9">
      <x:formula>E2="L9"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18382066fb4f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43" customHeight="1">
      <x:c r="A1" s="7" t="str">
        <x:v>id_planta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repeticion</x:v>
      </x:c>
      <x:c r="G1" s="7" t="str">
        <x:v>total_d14</x:v>
      </x:c>
      <x:c r="H1" s="7" t="str">
        <x:v>total_d21</x:v>
      </x:c>
      <x:c r="I1" s="7" t="str">
        <x:v>total_d28</x:v>
      </x:c>
      <x:c r="J1" s="7" t="str">
        <x:v>origen_dato</x:v>
      </x:c>
    </x:row>
    <x:row r="2" ht="19" customHeight="1">
      <x:c r="A2" s="2" t="str">
        <x:v>SIM-E1-MP-L0-R01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f>E1_recuentos!J2</x:f>
        <x:v>0</x:v>
      </x:c>
      <x:c r="H2" s="2" t="n">
        <x:f>E1_recuentos!J3</x:f>
        <x:v>0</x:v>
      </x:c>
      <x:c r="I2" s="2" t="n">
        <x:f>E1_recuentos!J4</x:f>
        <x:v>0</x:v>
      </x:c>
      <x:c r="J2" s="2" t="str">
        <x:v>simulado_didactico</x:v>
      </x:c>
    </x:row>
    <x:row r="3" ht="19" customHeight="1">
      <x:c r="A3" s="2" t="str">
        <x:v>SIM-E1-MP-L0-R02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2</x:v>
      </x:c>
      <x:c r="G3" s="2" t="n">
        <x:f>E1_recuentos!J5</x:f>
        <x:v>16</x:v>
      </x:c>
      <x:c r="H3" s="2" t="n">
        <x:f>E1_recuentos!J6</x:f>
        <x:v>47</x:v>
      </x:c>
      <x:c r="I3" s="2" t="n">
        <x:f>E1_recuentos!J7</x:f>
        <x:v>227</x:v>
      </x:c>
      <x:c r="J3" s="2" t="str">
        <x:v>simulado_didactico</x:v>
      </x:c>
    </x:row>
    <x:row r="4" ht="19" customHeight="1">
      <x:c r="A4" s="2" t="str">
        <x:v>SIM-E1-MP-L1-R01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L1</x:v>
      </x:c>
      <x:c r="F4" s="2" t="n">
        <x:v>1</x:v>
      </x:c>
      <x:c r="G4" s="2" t="n">
        <x:f>E1_recuentos!J8</x:f>
        <x:v>6</x:v>
      </x:c>
      <x:c r="H4" s="2" t="n">
        <x:f>E1_recuentos!J9</x:f>
        <x:v>36</x:v>
      </x:c>
      <x:c r="I4" s="2" t="n">
        <x:f>E1_recuentos!J10</x:f>
        <x:v>109</x:v>
      </x:c>
      <x:c r="J4" s="2" t="str">
        <x:v>simulado_didactico</x:v>
      </x:c>
    </x:row>
    <x:row r="5" ht="19" customHeight="1">
      <x:c r="A5" s="2" t="str">
        <x:v>SIM-E1-MP-L1-R02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L1</x:v>
      </x:c>
      <x:c r="F5" s="2" t="n">
        <x:v>2</x:v>
      </x:c>
      <x:c r="G5" s="2" t="n">
        <x:f>E1_recuentos!J11</x:f>
        <x:v>25</x:v>
      </x:c>
      <x:c r="H5" s="2" t="n">
        <x:f>E1_recuentos!J12</x:f>
        <x:v>134</x:v>
      </x:c>
      <x:c r="I5" s="2" t="n">
        <x:f>E1_recuentos!J13</x:f>
        <x:v>193</x:v>
      </x:c>
      <x:c r="J5" s="2" t="str">
        <x:v>simulado_didactico</x:v>
      </x:c>
    </x:row>
    <x:row r="6" ht="19" customHeight="1">
      <x:c r="A6" s="2" t="str">
        <x:v>SIM-E1-MP-L2-R01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L2</x:v>
      </x:c>
      <x:c r="F6" s="2" t="n">
        <x:v>1</x:v>
      </x:c>
      <x:c r="G6" s="2" t="n">
        <x:f>E1_recuentos!J14</x:f>
        <x:v>2</x:v>
      </x:c>
      <x:c r="H6" s="2" t="n">
        <x:f>E1_recuentos!J15</x:f>
        <x:v>22</x:v>
      </x:c>
      <x:c r="I6" s="2" t="n">
        <x:f>E1_recuentos!J16</x:f>
        <x:v>34</x:v>
      </x:c>
      <x:c r="J6" s="2" t="str">
        <x:v>simulado_didactico</x:v>
      </x:c>
    </x:row>
    <x:row r="7" ht="19" customHeight="1">
      <x:c r="A7" s="2" t="str">
        <x:v>SIM-E1-MP-L2-R02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L2</x:v>
      </x:c>
      <x:c r="F7" s="2" t="n">
        <x:v>2</x:v>
      </x:c>
      <x:c r="G7" s="2" t="n">
        <x:f>E1_recuentos!J17</x:f>
        <x:v>11</x:v>
      </x:c>
      <x:c r="H7" s="2" t="n">
        <x:f>E1_recuentos!J18</x:f>
        <x:v>50</x:v>
      </x:c>
      <x:c r="I7" s="2" t="n">
        <x:f>E1_recuentos!J19</x:f>
        <x:v>77</x:v>
      </x:c>
      <x:c r="J7" s="2" t="str">
        <x:v>simulado_didactico</x:v>
      </x:c>
    </x:row>
    <x:row r="8" ht="19" customHeight="1">
      <x:c r="A8" s="2" t="str">
        <x:v>SIM-E1-MP-L3-R01</x:v>
      </x:c>
      <x:c r="B8" s="2" t="n">
        <x:v>1</x:v>
      </x:c>
      <x:c r="C8" s="2" t="str">
        <x:v>MP</x:v>
      </x:c>
      <x:c r="D8" s="2" t="str">
        <x:v>Myzus persicae</x:v>
      </x:c>
      <x:c r="E8" s="2" t="str">
        <x:v>L3</x:v>
      </x:c>
      <x:c r="F8" s="2" t="n">
        <x:v>1</x:v>
      </x:c>
      <x:c r="G8" s="2" t="n">
        <x:f>E1_recuentos!J20</x:f>
        <x:v>12</x:v>
      </x:c>
      <x:c r="H8" s="2" t="n">
        <x:f>E1_recuentos!J21</x:f>
        <x:v>67</x:v>
      </x:c>
      <x:c r="I8" s="2" t="n">
        <x:f>E1_recuentos!J22</x:f>
        <x:v>140</x:v>
      </x:c>
      <x:c r="J8" s="2" t="str">
        <x:v>simulado_didactico</x:v>
      </x:c>
    </x:row>
    <x:row r="9" ht="19" customHeight="1">
      <x:c r="A9" s="2" t="str">
        <x:v>SIM-E1-MP-L3-R02</x:v>
      </x:c>
      <x:c r="B9" s="2" t="n">
        <x:v>1</x:v>
      </x:c>
      <x:c r="C9" s="2" t="str">
        <x:v>MP</x:v>
      </x:c>
      <x:c r="D9" s="2" t="str">
        <x:v>Myzus persicae</x:v>
      </x:c>
      <x:c r="E9" s="2" t="str">
        <x:v>L3</x:v>
      </x:c>
      <x:c r="F9" s="2" t="n">
        <x:v>2</x:v>
      </x:c>
      <x:c r="G9" s="2" t="n">
        <x:f>E1_recuentos!J23</x:f>
        <x:v>9</x:v>
      </x:c>
      <x:c r="H9" s="2" t="n">
        <x:f>E1_recuentos!J24</x:f>
        <x:v>56</x:v>
      </x:c>
      <x:c r="I9" s="2" t="n">
        <x:f>E1_recuentos!J25</x:f>
        <x:v>169</x:v>
      </x:c>
      <x:c r="J9" s="2" t="str">
        <x:v>simulado_didactico</x:v>
      </x:c>
    </x:row>
    <x:row r="10" ht="19" customHeight="1">
      <x:c r="A10" s="2" t="str">
        <x:v>SIM-E1-MP-L5-R01</x:v>
      </x:c>
      <x:c r="B10" s="2" t="n">
        <x:v>1</x:v>
      </x:c>
      <x:c r="C10" s="2" t="str">
        <x:v>MP</x:v>
      </x:c>
      <x:c r="D10" s="2" t="str">
        <x:v>Myzus persicae</x:v>
      </x:c>
      <x:c r="E10" s="2" t="str">
        <x:v>L5</x:v>
      </x:c>
      <x:c r="F10" s="2" t="n">
        <x:v>1</x:v>
      </x:c>
      <x:c r="G10" s="2" t="n">
        <x:f>E1_recuentos!J26</x:f>
        <x:v>7</x:v>
      </x:c>
      <x:c r="H10" s="2" t="n">
        <x:f>E1_recuentos!J27</x:f>
        <x:v>30</x:v>
      </x:c>
      <x:c r="I10" s="2" t="n">
        <x:f>E1_recuentos!J28</x:f>
        <x:v>108</x:v>
      </x:c>
      <x:c r="J10" s="2" t="str">
        <x:v>simulado_didactico</x:v>
      </x:c>
    </x:row>
    <x:row r="11" ht="19" customHeight="1">
      <x:c r="A11" s="2" t="str">
        <x:v>SIM-E1-MP-L5-R02</x:v>
      </x:c>
      <x:c r="B11" s="2" t="n">
        <x:v>1</x:v>
      </x:c>
      <x:c r="C11" s="2" t="str">
        <x:v>MP</x:v>
      </x:c>
      <x:c r="D11" s="2" t="str">
        <x:v>Myzus persicae</x:v>
      </x:c>
      <x:c r="E11" s="2" t="str">
        <x:v>L5</x:v>
      </x:c>
      <x:c r="F11" s="2" t="n">
        <x:v>2</x:v>
      </x:c>
      <x:c r="G11" s="2" t="n">
        <x:f>E1_recuentos!J29</x:f>
        <x:v>23</x:v>
      </x:c>
      <x:c r="H11" s="2" t="n">
        <x:f>E1_recuentos!J30</x:f>
        <x:v>66</x:v>
      </x:c>
      <x:c r="I11" s="2" t="n">
        <x:f>E1_recuentos!J31</x:f>
        <x:v>108</x:v>
      </x:c>
      <x:c r="J11" s="2" t="str">
        <x:v>simulado_didactico</x:v>
      </x:c>
    </x:row>
    <x:row r="12" ht="19" customHeight="1">
      <x:c r="A12" s="2" t="str">
        <x:v>SIM-E1-MP-L6-R01</x:v>
      </x:c>
      <x:c r="B12" s="2" t="n">
        <x:v>1</x:v>
      </x:c>
      <x:c r="C12" s="2" t="str">
        <x:v>MP</x:v>
      </x:c>
      <x:c r="D12" s="2" t="str">
        <x:v>Myzus persicae</x:v>
      </x:c>
      <x:c r="E12" s="2" t="str">
        <x:v>L6</x:v>
      </x:c>
      <x:c r="F12" s="2" t="n">
        <x:v>1</x:v>
      </x:c>
      <x:c r="G12" s="2" t="n">
        <x:f>E1_recuentos!J32</x:f>
        <x:v>16</x:v>
      </x:c>
      <x:c r="H12" s="2" t="n">
        <x:f>E1_recuentos!J33</x:f>
        <x:v>52</x:v>
      </x:c>
      <x:c r="I12" s="2" t="n">
        <x:f>E1_recuentos!J34</x:f>
        <x:v>198</x:v>
      </x:c>
      <x:c r="J12" s="2" t="str">
        <x:v>simulado_didactico</x:v>
      </x:c>
    </x:row>
    <x:row r="13" ht="19" customHeight="1">
      <x:c r="A13" s="2" t="str">
        <x:v>SIM-E1-MP-L6-R02</x:v>
      </x:c>
      <x:c r="B13" s="2" t="n">
        <x:v>1</x:v>
      </x:c>
      <x:c r="C13" s="2" t="str">
        <x:v>MP</x:v>
      </x:c>
      <x:c r="D13" s="2" t="str">
        <x:v>Myzus persicae</x:v>
      </x:c>
      <x:c r="E13" s="2" t="str">
        <x:v>L6</x:v>
      </x:c>
      <x:c r="F13" s="2" t="n">
        <x:v>2</x:v>
      </x:c>
      <x:c r="G13" s="2" t="n">
        <x:f>E1_recuentos!J35</x:f>
        <x:v>13</x:v>
      </x:c>
      <x:c r="H13" s="2" t="n">
        <x:f>E1_recuentos!J36</x:f>
        <x:v>61</x:v>
      </x:c>
      <x:c r="I13" s="2" t="n">
        <x:f>E1_recuentos!J37</x:f>
        <x:v>167</x:v>
      </x:c>
      <x:c r="J13" s="2" t="str">
        <x:v>simulado_didactico</x:v>
      </x:c>
    </x:row>
    <x:row r="14" ht="19" customHeight="1">
      <x:c r="A14" s="2" t="str">
        <x:v>SIM-E1-MP-L7-R01</x:v>
      </x:c>
      <x:c r="B14" s="2" t="n">
        <x:v>1</x:v>
      </x:c>
      <x:c r="C14" s="2" t="str">
        <x:v>MP</x:v>
      </x:c>
      <x:c r="D14" s="2" t="str">
        <x:v>Myzus persicae</x:v>
      </x:c>
      <x:c r="E14" s="2" t="str">
        <x:v>L7</x:v>
      </x:c>
      <x:c r="F14" s="2" t="n">
        <x:v>1</x:v>
      </x:c>
      <x:c r="G14" s="2" t="n">
        <x:f>E1_recuentos!J38</x:f>
        <x:v>6</x:v>
      </x:c>
      <x:c r="H14" s="2" t="n">
        <x:f>E1_recuentos!J39</x:f>
        <x:v>22</x:v>
      </x:c>
      <x:c r="I14" s="2" t="n">
        <x:f>E1_recuentos!J40</x:f>
        <x:v>65</x:v>
      </x:c>
      <x:c r="J14" s="2" t="str">
        <x:v>simulado_didactico</x:v>
      </x:c>
    </x:row>
    <x:row r="15" ht="19" customHeight="1">
      <x:c r="A15" s="2" t="str">
        <x:v>SIM-E1-MP-L7-R02</x:v>
      </x:c>
      <x:c r="B15" s="2" t="n">
        <x:v>1</x:v>
      </x:c>
      <x:c r="C15" s="2" t="str">
        <x:v>MP</x:v>
      </x:c>
      <x:c r="D15" s="2" t="str">
        <x:v>Myzus persicae</x:v>
      </x:c>
      <x:c r="E15" s="2" t="str">
        <x:v>L7</x:v>
      </x:c>
      <x:c r="F15" s="2" t="n">
        <x:v>2</x:v>
      </x:c>
      <x:c r="G15" s="2" t="n">
        <x:f>E1_recuentos!J41</x:f>
        <x:v>6</x:v>
      </x:c>
      <x:c r="H15" s="2" t="n">
        <x:f>E1_recuentos!J42</x:f>
        <x:v>34</x:v>
      </x:c>
      <x:c r="I15" s="2" t="n">
        <x:f>E1_recuentos!J43</x:f>
        <x:v>100</x:v>
      </x:c>
      <x:c r="J15" s="2" t="str">
        <x:v>simulado_didactico</x:v>
      </x:c>
    </x:row>
    <x:row r="16" ht="19" customHeight="1">
      <x:c r="A16" s="2" t="str">
        <x:v>SIM-E1-MP-L8-R01</x:v>
      </x:c>
      <x:c r="B16" s="2" t="n">
        <x:v>1</x:v>
      </x:c>
      <x:c r="C16" s="2" t="str">
        <x:v>MP</x:v>
      </x:c>
      <x:c r="D16" s="2" t="str">
        <x:v>Myzus persicae</x:v>
      </x:c>
      <x:c r="E16" s="2" t="str">
        <x:v>L8</x:v>
      </x:c>
      <x:c r="F16" s="2" t="n">
        <x:v>1</x:v>
      </x:c>
      <x:c r="G16" s="2" t="n">
        <x:f>E1_recuentos!J44</x:f>
        <x:v>5</x:v>
      </x:c>
      <x:c r="H16" s="2" t="n">
        <x:f>E1_recuentos!J45</x:f>
        <x:v>22</x:v>
      </x:c>
      <x:c r="I16" s="2" t="n">
        <x:f>E1_recuentos!J46</x:f>
        <x:v>77</x:v>
      </x:c>
      <x:c r="J16" s="2" t="str">
        <x:v>simulado_didactico</x:v>
      </x:c>
    </x:row>
    <x:row r="17" ht="19" customHeight="1">
      <x:c r="A17" s="2" t="str">
        <x:v>SIM-E1-MP-L8-R02</x:v>
      </x:c>
      <x:c r="B17" s="2" t="n">
        <x:v>1</x:v>
      </x:c>
      <x:c r="C17" s="2" t="str">
        <x:v>MP</x:v>
      </x:c>
      <x:c r="D17" s="2" t="str">
        <x:v>Myzus persicae</x:v>
      </x:c>
      <x:c r="E17" s="2" t="str">
        <x:v>L8</x:v>
      </x:c>
      <x:c r="F17" s="2" t="n">
        <x:v>2</x:v>
      </x:c>
      <x:c r="G17" s="2" t="n">
        <x:f>E1_recuentos!J47</x:f>
        <x:v>4</x:v>
      </x:c>
      <x:c r="H17" s="2" t="n">
        <x:f>E1_recuentos!J48</x:f>
        <x:v>20</x:v>
      </x:c>
      <x:c r="I17" s="2" t="n">
        <x:f>E1_recuentos!J49</x:f>
        <x:v>88</x:v>
      </x:c>
      <x:c r="J17" s="2" t="str">
        <x:v>simulado_didactico</x:v>
      </x:c>
    </x:row>
    <x:row r="18" ht="19" customHeight="1">
      <x:c r="A18" s="2" t="str">
        <x:v>SIM-E1-MP-L9-R01</x:v>
      </x:c>
      <x:c r="B18" s="2" t="n">
        <x:v>1</x:v>
      </x:c>
      <x:c r="C18" s="2" t="str">
        <x:v>MP</x:v>
      </x:c>
      <x:c r="D18" s="2" t="str">
        <x:v>Myzus persicae</x:v>
      </x:c>
      <x:c r="E18" s="2" t="str">
        <x:v>L9</x:v>
      </x:c>
      <x:c r="F18" s="2" t="n">
        <x:v>1</x:v>
      </x:c>
      <x:c r="G18" s="2" t="n">
        <x:f>E1_recuentos!J50</x:f>
        <x:v>16</x:v>
      </x:c>
      <x:c r="H18" s="2" t="n">
        <x:f>E1_recuentos!J51</x:f>
        <x:v>57</x:v>
      </x:c>
      <x:c r="I18" s="2" t="n">
        <x:f>E1_recuentos!J52</x:f>
        <x:v>158</x:v>
      </x:c>
      <x:c r="J18" s="2" t="str">
        <x:v>simulado_didactico</x:v>
      </x:c>
    </x:row>
    <x:row r="19" ht="19" customHeight="1">
      <x:c r="A19" s="2" t="str">
        <x:v>SIM-E1-MP-L9-R02</x:v>
      </x:c>
      <x:c r="B19" s="2" t="n">
        <x:v>1</x:v>
      </x:c>
      <x:c r="C19" s="2" t="str">
        <x:v>MP</x:v>
      </x:c>
      <x:c r="D19" s="2" t="str">
        <x:v>Myzus persicae</x:v>
      </x:c>
      <x:c r="E19" s="2" t="str">
        <x:v>L9</x:v>
      </x:c>
      <x:c r="F19" s="2" t="n">
        <x:v>2</x:v>
      </x:c>
      <x:c r="G19" s="2" t="n">
        <x:f>E1_recuentos!J53</x:f>
        <x:v>10</x:v>
      </x:c>
      <x:c r="H19" s="2" t="n">
        <x:f>E1_recuentos!J54</x:f>
        <x:v>66</x:v>
      </x:c>
      <x:c r="I19" s="2" t="n">
        <x:f>E1_recuentos!J55</x:f>
        <x:v>167</x:v>
      </x:c>
      <x:c r="J19" s="2" t="str">
        <x:v>simulado_didactico</x:v>
      </x:c>
    </x:row>
    <x:row r="20" ht="19" customHeight="1">
      <x:c r="A20" s="2" t="str">
        <x:v>SIM-E1-BB-L0-R01</x:v>
      </x:c>
      <x:c r="B20" s="2" t="n">
        <x:v>1</x:v>
      </x:c>
      <x:c r="C20" s="2" t="str">
        <x:v>BB</x:v>
      </x:c>
      <x:c r="D20" s="2" t="str">
        <x:v>Brevicoryne brassicae</x:v>
      </x:c>
      <x:c r="E20" s="2" t="str">
        <x:v>L0</x:v>
      </x:c>
      <x:c r="F20" s="2" t="n">
        <x:v>1</x:v>
      </x:c>
      <x:c r="G20" s="2" t="n">
        <x:f>E1_recuentos!J56</x:f>
        <x:v>16</x:v>
      </x:c>
      <x:c r="H20" s="2" t="n">
        <x:f>E1_recuentos!J57</x:f>
        <x:v>68</x:v>
      </x:c>
      <x:c r="I20" s="2" t="n">
        <x:f>E1_recuentos!J58</x:f>
        <x:v>255</x:v>
      </x:c>
      <x:c r="J20" s="2" t="str">
        <x:v>simulado_didactico</x:v>
      </x:c>
    </x:row>
    <x:row r="21" ht="19" customHeight="1">
      <x:c r="A21" s="2" t="str">
        <x:v>SIM-E1-BB-L0-R02</x:v>
      </x:c>
      <x:c r="B21" s="2" t="n">
        <x:v>1</x:v>
      </x:c>
      <x:c r="C21" s="2" t="str">
        <x:v>BB</x:v>
      </x:c>
      <x:c r="D21" s="2" t="str">
        <x:v>Brevicoryne brassicae</x:v>
      </x:c>
      <x:c r="E21" s="2" t="str">
        <x:v>L0</x:v>
      </x:c>
      <x:c r="F21" s="2" t="n">
        <x:v>2</x:v>
      </x:c>
      <x:c r="G21" s="2" t="n">
        <x:f>E1_recuentos!J59</x:f>
        <x:v>11</x:v>
      </x:c>
      <x:c r="H21" s="2" t="n">
        <x:f>E1_recuentos!J60</x:f>
        <x:v>70</x:v>
      </x:c>
      <x:c r="I21" s="2" t="n">
        <x:f>E1_recuentos!J61</x:f>
        <x:v>220</x:v>
      </x:c>
      <x:c r="J21" s="2" t="str">
        <x:v>simulado_didactico</x:v>
      </x:c>
    </x:row>
    <x:row r="22" ht="19" customHeight="1">
      <x:c r="A22" s="2" t="str">
        <x:v>SIM-E1-BB-L1-R01</x:v>
      </x:c>
      <x:c r="B22" s="2" t="n">
        <x:v>1</x:v>
      </x:c>
      <x:c r="C22" s="2" t="str">
        <x:v>BB</x:v>
      </x:c>
      <x:c r="D22" s="2" t="str">
        <x:v>Brevicoryne brassicae</x:v>
      </x:c>
      <x:c r="E22" s="2" t="str">
        <x:v>L1</x:v>
      </x:c>
      <x:c r="F22" s="2" t="n">
        <x:v>1</x:v>
      </x:c>
      <x:c r="G22" s="2" t="n">
        <x:f>E1_recuentos!J62</x:f>
        <x:v>24</x:v>
      </x:c>
      <x:c r="H22" s="2" t="n">
        <x:f>E1_recuentos!J63</x:f>
        <x:v>163</x:v>
      </x:c>
      <x:c r="I22" s="2" t="n">
        <x:f>E1_recuentos!J64</x:f>
        <x:v>402</x:v>
      </x:c>
      <x:c r="J22" s="2" t="str">
        <x:v>simulado_didactico</x:v>
      </x:c>
    </x:row>
    <x:row r="23" ht="19" customHeight="1">
      <x:c r="A23" s="2" t="str">
        <x:v>SIM-E1-BB-L1-R02</x:v>
      </x:c>
      <x:c r="B23" s="2" t="n">
        <x:v>1</x:v>
      </x:c>
      <x:c r="C23" s="2" t="str">
        <x:v>BB</x:v>
      </x:c>
      <x:c r="D23" s="2" t="str">
        <x:v>Brevicoryne brassicae</x:v>
      </x:c>
      <x:c r="E23" s="2" t="str">
        <x:v>L1</x:v>
      </x:c>
      <x:c r="F23" s="2" t="n">
        <x:v>2</x:v>
      </x:c>
      <x:c r="G23" s="2" t="n">
        <x:f>E1_recuentos!J65</x:f>
        <x:v>15</x:v>
      </x:c>
      <x:c r="H23" s="2" t="n">
        <x:f>E1_recuentos!J66</x:f>
        <x:v>32</x:v>
      </x:c>
      <x:c r="I23" s="2" t="n">
        <x:f>E1_recuentos!J67</x:f>
        <x:v>128</x:v>
      </x:c>
      <x:c r="J23" s="2" t="str">
        <x:v>simulado_didactico</x:v>
      </x:c>
    </x:row>
    <x:row r="24" ht="19" customHeight="1">
      <x:c r="A24" s="2" t="str">
        <x:v>SIM-E1-BB-L2-R01</x:v>
      </x:c>
      <x:c r="B24" s="2" t="n">
        <x:v>1</x:v>
      </x:c>
      <x:c r="C24" s="2" t="str">
        <x:v>BB</x:v>
      </x:c>
      <x:c r="D24" s="2" t="str">
        <x:v>Brevicoryne brassicae</x:v>
      </x:c>
      <x:c r="E24" s="2" t="str">
        <x:v>L2</x:v>
      </x:c>
      <x:c r="F24" s="2" t="n">
        <x:v>1</x:v>
      </x:c>
      <x:c r="G24" s="2" t="n">
        <x:f>E1_recuentos!J68</x:f>
        <x:v>6</x:v>
      </x:c>
      <x:c r="H24" s="2" t="n">
        <x:f>E1_recuentos!J69</x:f>
        <x:v>38</x:v>
      </x:c>
      <x:c r="I24" s="2" t="n">
        <x:f>E1_recuentos!J70</x:f>
        <x:v>152</x:v>
      </x:c>
      <x:c r="J24" s="2" t="str">
        <x:v>simulado_didactico</x:v>
      </x:c>
    </x:row>
    <x:row r="25" ht="19" customHeight="1">
      <x:c r="A25" s="2" t="str">
        <x:v>SIM-E1-BB-L2-R02</x:v>
      </x:c>
      <x:c r="B25" s="2" t="n">
        <x:v>1</x:v>
      </x:c>
      <x:c r="C25" s="2" t="str">
        <x:v>BB</x:v>
      </x:c>
      <x:c r="D25" s="2" t="str">
        <x:v>Brevicoryne brassicae</x:v>
      </x:c>
      <x:c r="E25" s="2" t="str">
        <x:v>L2</x:v>
      </x:c>
      <x:c r="F25" s="2" t="n">
        <x:v>2</x:v>
      </x:c>
      <x:c r="G25" s="2" t="n">
        <x:f>E1_recuentos!J71</x:f>
        <x:v>17</x:v>
      </x:c>
      <x:c r="H25" s="2" t="n">
        <x:f>E1_recuentos!J72</x:f>
        <x:v>49</x:v>
      </x:c>
      <x:c r="I25" s="2" t="n">
        <x:f>E1_recuentos!J73</x:f>
        <x:v>162</x:v>
      </x:c>
      <x:c r="J25" s="2" t="str">
        <x:v>simulado_didactico</x:v>
      </x:c>
    </x:row>
    <x:row r="26" ht="19" customHeight="1">
      <x:c r="A26" s="2" t="str">
        <x:v>SIM-E1-BB-L3-R01</x:v>
      </x:c>
      <x:c r="B26" s="2" t="n">
        <x:v>1</x:v>
      </x:c>
      <x:c r="C26" s="2" t="str">
        <x:v>BB</x:v>
      </x:c>
      <x:c r="D26" s="2" t="str">
        <x:v>Brevicoryne brassicae</x:v>
      </x:c>
      <x:c r="E26" s="2" t="str">
        <x:v>L3</x:v>
      </x:c>
      <x:c r="F26" s="2" t="n">
        <x:v>1</x:v>
      </x:c>
      <x:c r="G26" s="2" t="n">
        <x:f>E1_recuentos!J74</x:f>
        <x:v>17</x:v>
      </x:c>
      <x:c r="H26" s="2" t="n">
        <x:f>E1_recuentos!J75</x:f>
        <x:v>61</x:v>
      </x:c>
      <x:c r="I26" s="2" t="n">
        <x:f>E1_recuentos!J76</x:f>
        <x:v>175</x:v>
      </x:c>
      <x:c r="J26" s="2" t="str">
        <x:v>simulado_didactico</x:v>
      </x:c>
    </x:row>
    <x:row r="27" ht="19" customHeight="1">
      <x:c r="A27" s="2" t="str">
        <x:v>SIM-E1-BB-L3-R02</x:v>
      </x:c>
      <x:c r="B27" s="2" t="n">
        <x:v>1</x:v>
      </x:c>
      <x:c r="C27" s="2" t="str">
        <x:v>BB</x:v>
      </x:c>
      <x:c r="D27" s="2" t="str">
        <x:v>Brevicoryne brassicae</x:v>
      </x:c>
      <x:c r="E27" s="2" t="str">
        <x:v>L3</x:v>
      </x:c>
      <x:c r="F27" s="2" t="n">
        <x:v>2</x:v>
      </x:c>
      <x:c r="G27" s="2" t="n">
        <x:f>E1_recuentos!J77</x:f>
        <x:v>15</x:v>
      </x:c>
      <x:c r="H27" s="2" t="n">
        <x:f>E1_recuentos!J78</x:f>
        <x:v>82</x:v>
      </x:c>
      <x:c r="I27" s="2" t="n">
        <x:f>E1_recuentos!J79</x:f>
        <x:v>264</x:v>
      </x:c>
      <x:c r="J27" s="2" t="str">
        <x:v>simulado_didactico</x:v>
      </x:c>
    </x:row>
    <x:row r="28" ht="19" customHeight="1">
      <x:c r="A28" s="2" t="str">
        <x:v>SIM-E1-BB-L5-R01</x:v>
      </x:c>
      <x:c r="B28" s="2" t="n">
        <x:v>1</x:v>
      </x:c>
      <x:c r="C28" s="2" t="str">
        <x:v>BB</x:v>
      </x:c>
      <x:c r="D28" s="2" t="str">
        <x:v>Brevicoryne brassicae</x:v>
      </x:c>
      <x:c r="E28" s="2" t="str">
        <x:v>L5</x:v>
      </x:c>
      <x:c r="F28" s="2" t="n">
        <x:v>1</x:v>
      </x:c>
      <x:c r="G28" s="2" t="n">
        <x:f>E1_recuentos!J80</x:f>
        <x:v>11</x:v>
      </x:c>
      <x:c r="H28" s="2" t="n">
        <x:f>E1_recuentos!J81</x:f>
        <x:v>67</x:v>
      </x:c>
      <x:c r="I28" s="2" t="n">
        <x:f>E1_recuentos!J82</x:f>
        <x:v>136</x:v>
      </x:c>
      <x:c r="J28" s="2" t="str">
        <x:v>simulado_didactico</x:v>
      </x:c>
    </x:row>
    <x:row r="29" ht="19" customHeight="1">
      <x:c r="A29" s="2" t="str">
        <x:v>SIM-E1-BB-L5-R02</x:v>
      </x:c>
      <x:c r="B29" s="2" t="n">
        <x:v>1</x:v>
      </x:c>
      <x:c r="C29" s="2" t="str">
        <x:v>BB</x:v>
      </x:c>
      <x:c r="D29" s="2" t="str">
        <x:v>Brevicoryne brassicae</x:v>
      </x:c>
      <x:c r="E29" s="2" t="str">
        <x:v>L5</x:v>
      </x:c>
      <x:c r="F29" s="2" t="n">
        <x:v>2</x:v>
      </x:c>
      <x:c r="G29" s="2" t="n">
        <x:f>E1_recuentos!J83</x:f>
        <x:v>9</x:v>
      </x:c>
      <x:c r="H29" s="2" t="n">
        <x:f>E1_recuentos!J84</x:f>
        <x:v>80</x:v>
      </x:c>
      <x:c r="I29" s="2" t="n">
        <x:f>E1_recuentos!J85</x:f>
        <x:v>184</x:v>
      </x:c>
      <x:c r="J29" s="2" t="str">
        <x:v>simulado_didactico</x:v>
      </x:c>
    </x:row>
    <x:row r="30" ht="19" customHeight="1">
      <x:c r="A30" s="2" t="str">
        <x:v>SIM-E1-BB-L6-R01</x:v>
      </x:c>
      <x:c r="B30" s="2" t="n">
        <x:v>1</x:v>
      </x:c>
      <x:c r="C30" s="2" t="str">
        <x:v>BB</x:v>
      </x:c>
      <x:c r="D30" s="2" t="str">
        <x:v>Brevicoryne brassicae</x:v>
      </x:c>
      <x:c r="E30" s="2" t="str">
        <x:v>L6</x:v>
      </x:c>
      <x:c r="F30" s="2" t="n">
        <x:v>1</x:v>
      </x:c>
      <x:c r="G30" s="2" t="n">
        <x:f>E1_recuentos!J86</x:f>
        <x:v>29</x:v>
      </x:c>
      <x:c r="H30" s="2" t="n">
        <x:f>E1_recuentos!J87</x:f>
        <x:v>145</x:v>
      </x:c>
      <x:c r="I30" s="2" t="n">
        <x:f>E1_recuentos!J88</x:f>
        <x:v>705</x:v>
      </x:c>
      <x:c r="J30" s="2" t="str">
        <x:v>simulado_didactico</x:v>
      </x:c>
    </x:row>
    <x:row r="31" ht="19" customHeight="1">
      <x:c r="A31" s="2" t="str">
        <x:v>SIM-E1-BB-L6-R02</x:v>
      </x:c>
      <x:c r="B31" s="2" t="n">
        <x:v>1</x:v>
      </x:c>
      <x:c r="C31" s="2" t="str">
        <x:v>BB</x:v>
      </x:c>
      <x:c r="D31" s="2" t="str">
        <x:v>Brevicoryne brassicae</x:v>
      </x:c>
      <x:c r="E31" s="2" t="str">
        <x:v>L6</x:v>
      </x:c>
      <x:c r="F31" s="2" t="n">
        <x:v>2</x:v>
      </x:c>
      <x:c r="G31" s="2" t="n">
        <x:f>E1_recuentos!J89</x:f>
        <x:v>21</x:v>
      </x:c>
      <x:c r="H31" s="2" t="n">
        <x:f>E1_recuentos!J90</x:f>
        <x:v>80</x:v>
      </x:c>
      <x:c r="I31" s="2" t="n">
        <x:f>E1_recuentos!J91</x:f>
        <x:v>166</x:v>
      </x:c>
      <x:c r="J31" s="2" t="str">
        <x:v>simulado_didactico</x:v>
      </x:c>
    </x:row>
    <x:row r="32" ht="19" customHeight="1">
      <x:c r="A32" s="2" t="str">
        <x:v>SIM-E1-BB-L7-R01</x:v>
      </x:c>
      <x:c r="B32" s="2" t="n">
        <x:v>1</x:v>
      </x:c>
      <x:c r="C32" s="2" t="str">
        <x:v>BB</x:v>
      </x:c>
      <x:c r="D32" s="2" t="str">
        <x:v>Brevicoryne brassicae</x:v>
      </x:c>
      <x:c r="E32" s="2" t="str">
        <x:v>L7</x:v>
      </x:c>
      <x:c r="F32" s="2" t="n">
        <x:v>1</x:v>
      </x:c>
      <x:c r="G32" s="2" t="n">
        <x:f>E1_recuentos!J92</x:f>
        <x:v>10</x:v>
      </x:c>
      <x:c r="H32" s="2" t="n">
        <x:f>E1_recuentos!J93</x:f>
        <x:v>72</x:v>
      </x:c>
      <x:c r="I32" s="2" t="n">
        <x:f>E1_recuentos!J94</x:f>
        <x:v>162</x:v>
      </x:c>
      <x:c r="J32" s="2" t="str">
        <x:v>simulado_didactico</x:v>
      </x:c>
    </x:row>
    <x:row r="33" ht="19" customHeight="1">
      <x:c r="A33" s="2" t="str">
        <x:v>SIM-E1-BB-L7-R02</x:v>
      </x:c>
      <x:c r="B33" s="2" t="n">
        <x:v>1</x:v>
      </x:c>
      <x:c r="C33" s="2" t="str">
        <x:v>BB</x:v>
      </x:c>
      <x:c r="D33" s="2" t="str">
        <x:v>Brevicoryne brassicae</x:v>
      </x:c>
      <x:c r="E33" s="2" t="str">
        <x:v>L7</x:v>
      </x:c>
      <x:c r="F33" s="2" t="n">
        <x:v>2</x:v>
      </x:c>
      <x:c r="G33" s="2" t="n">
        <x:f>E1_recuentos!J95</x:f>
        <x:v>26</x:v>
      </x:c>
      <x:c r="H33" s="2" t="n">
        <x:f>E1_recuentos!J96</x:f>
        <x:v>96</x:v>
      </x:c>
      <x:c r="I33" s="2" t="n">
        <x:f>E1_recuentos!J97</x:f>
        <x:v>204</x:v>
      </x:c>
      <x:c r="J33" s="2" t="str">
        <x:v>simulado_didactico</x:v>
      </x:c>
    </x:row>
    <x:row r="34" ht="19" customHeight="1">
      <x:c r="A34" s="2" t="str">
        <x:v>SIM-E1-BB-L8-R01</x:v>
      </x:c>
      <x:c r="B34" s="2" t="n">
        <x:v>1</x:v>
      </x:c>
      <x:c r="C34" s="2" t="str">
        <x:v>BB</x:v>
      </x:c>
      <x:c r="D34" s="2" t="str">
        <x:v>Brevicoryne brassicae</x:v>
      </x:c>
      <x:c r="E34" s="2" t="str">
        <x:v>L8</x:v>
      </x:c>
      <x:c r="F34" s="2" t="n">
        <x:v>1</x:v>
      </x:c>
      <x:c r="G34" s="2" t="n">
        <x:f>E1_recuentos!J98</x:f>
        <x:v>10</x:v>
      </x:c>
      <x:c r="H34" s="2" t="n">
        <x:f>E1_recuentos!J99</x:f>
        <x:v>23</x:v>
      </x:c>
      <x:c r="I34" s="2" t="n">
        <x:f>E1_recuentos!J100</x:f>
        <x:v>62</x:v>
      </x:c>
      <x:c r="J34" s="2" t="str">
        <x:v>simulado_didactico</x:v>
      </x:c>
    </x:row>
    <x:row r="35" ht="19" customHeight="1">
      <x:c r="A35" s="2" t="str">
        <x:v>SIM-E1-BB-L8-R02</x:v>
      </x:c>
      <x:c r="B35" s="2" t="n">
        <x:v>1</x:v>
      </x:c>
      <x:c r="C35" s="2" t="str">
        <x:v>BB</x:v>
      </x:c>
      <x:c r="D35" s="2" t="str">
        <x:v>Brevicoryne brassicae</x:v>
      </x:c>
      <x:c r="E35" s="2" t="str">
        <x:v>L8</x:v>
      </x:c>
      <x:c r="F35" s="2" t="n">
        <x:v>2</x:v>
      </x:c>
      <x:c r="G35" s="2" t="n">
        <x:f>E1_recuentos!J101</x:f>
        <x:v>6</x:v>
      </x:c>
      <x:c r="H35" s="2" t="n">
        <x:f>E1_recuentos!J102</x:f>
        <x:v>28</x:v>
      </x:c>
      <x:c r="I35" s="2" t="n">
        <x:f>E1_recuentos!J103</x:f>
        <x:v>68</x:v>
      </x:c>
      <x:c r="J35" s="2" t="str">
        <x:v>simulado_didactico</x:v>
      </x:c>
    </x:row>
    <x:row r="36" ht="19" customHeight="1">
      <x:c r="A36" s="2" t="str">
        <x:v>SIM-E1-BB-L9-R01</x:v>
      </x:c>
      <x:c r="B36" s="2" t="n">
        <x:v>1</x:v>
      </x:c>
      <x:c r="C36" s="2" t="str">
        <x:v>BB</x:v>
      </x:c>
      <x:c r="D36" s="2" t="str">
        <x:v>Brevicoryne brassicae</x:v>
      </x:c>
      <x:c r="E36" s="2" t="str">
        <x:v>L9</x:v>
      </x:c>
      <x:c r="F36" s="2" t="n">
        <x:v>1</x:v>
      </x:c>
      <x:c r="G36" s="2" t="n">
        <x:f>E1_recuentos!J104</x:f>
        <x:v>12</x:v>
      </x:c>
      <x:c r="H36" s="2" t="n">
        <x:f>E1_recuentos!J105</x:f>
        <x:v>82</x:v>
      </x:c>
      <x:c r="I36" s="2" t="n">
        <x:f>E1_recuentos!J106</x:f>
        <x:v>103</x:v>
      </x:c>
      <x:c r="J36" s="2" t="str">
        <x:v>simulado_didactico</x:v>
      </x:c>
    </x:row>
    <x:row r="37" ht="19" customHeight="1">
      <x:c r="A37" s="2" t="str">
        <x:v>SIM-E1-BB-L9-R02</x:v>
      </x:c>
      <x:c r="B37" s="2" t="n">
        <x:v>1</x:v>
      </x:c>
      <x:c r="C37" s="2" t="str">
        <x:v>BB</x:v>
      </x:c>
      <x:c r="D37" s="2" t="str">
        <x:v>Brevicoryne brassicae</x:v>
      </x:c>
      <x:c r="E37" s="2" t="str">
        <x:v>L9</x:v>
      </x:c>
      <x:c r="F37" s="2" t="n">
        <x:v>2</x:v>
      </x:c>
      <x:c r="G37" s="2" t="n">
        <x:f>E1_recuentos!J107</x:f>
        <x:v>21</x:v>
      </x:c>
      <x:c r="H37" s="2" t="n">
        <x:f>E1_recuentos!J108</x:f>
        <x:v>76</x:v>
      </x:c>
      <x:c r="I37" s="2" t="n">
        <x:f>E1_recuentos!J109</x:f>
        <x:v>204</x:v>
      </x:c>
      <x:c r="J37" s="2" t="str">
        <x:v>simulado_didactico</x:v>
      </x:c>
    </x:row>
    <x:row r="38" ht="19" customHeight="1">
      <x:c r="A38" s="2" t="str">
        <x:v>SIM-E1-MP-L0-R03</x:v>
      </x:c>
      <x:c r="B38" s="2" t="n">
        <x:v>2</x:v>
      </x:c>
      <x:c r="C38" s="2" t="str">
        <x:v>MP</x:v>
      </x:c>
      <x:c r="D38" s="2" t="str">
        <x:v>Myzus persicae</x:v>
      </x:c>
      <x:c r="E38" s="2" t="str">
        <x:v>L0</x:v>
      </x:c>
      <x:c r="F38" s="2" t="n">
        <x:v>3</x:v>
      </x:c>
      <x:c r="G38" s="2" t="n">
        <x:f>E1_recuentos!J110</x:f>
        <x:v>16</x:v>
      </x:c>
      <x:c r="H38" s="2" t="n">
        <x:f>E1_recuentos!J111</x:f>
        <x:v>104</x:v>
      </x:c>
      <x:c r="I38" s="2" t="n">
        <x:f>E1_recuentos!J112</x:f>
        <x:v>194</x:v>
      </x:c>
      <x:c r="J38" s="2" t="str">
        <x:v>simulado_didactico</x:v>
      </x:c>
    </x:row>
    <x:row r="39" ht="19" customHeight="1">
      <x:c r="A39" s="2" t="str">
        <x:v>SIM-E1-MP-L0-R04</x:v>
      </x:c>
      <x:c r="B39" s="2" t="n">
        <x:v>2</x:v>
      </x:c>
      <x:c r="C39" s="2" t="str">
        <x:v>MP</x:v>
      </x:c>
      <x:c r="D39" s="2" t="str">
        <x:v>Myzus persicae</x:v>
      </x:c>
      <x:c r="E39" s="2" t="str">
        <x:v>L0</x:v>
      </x:c>
      <x:c r="F39" s="2" t="n">
        <x:v>4</x:v>
      </x:c>
      <x:c r="G39" s="2" t="n">
        <x:f>E1_recuentos!J113</x:f>
        <x:v>35</x:v>
      </x:c>
      <x:c r="H39" s="2" t="n">
        <x:f>E1_recuentos!J114</x:f>
        <x:v>101</x:v>
      </x:c>
      <x:c r="I39" s="2" t="n">
        <x:f>E1_recuentos!J115</x:f>
        <x:v>170</x:v>
      </x:c>
      <x:c r="J39" s="2" t="str">
        <x:v>simulado_didactico</x:v>
      </x:c>
    </x:row>
    <x:row r="40" ht="19" customHeight="1">
      <x:c r="A40" s="2" t="str">
        <x:v>SIM-E1-MP-L1-R03</x:v>
      </x:c>
      <x:c r="B40" s="2" t="n">
        <x:v>2</x:v>
      </x:c>
      <x:c r="C40" s="2" t="str">
        <x:v>MP</x:v>
      </x:c>
      <x:c r="D40" s="2" t="str">
        <x:v>Myzus persicae</x:v>
      </x:c>
      <x:c r="E40" s="2" t="str">
        <x:v>L1</x:v>
      </x:c>
      <x:c r="F40" s="2" t="n">
        <x:v>3</x:v>
      </x:c>
      <x:c r="G40" s="2" t="n">
        <x:f>E1_recuentos!J116</x:f>
        <x:v>18</x:v>
      </x:c>
      <x:c r="H40" s="2" t="n">
        <x:f>E1_recuentos!J117</x:f>
        <x:v>80</x:v>
      </x:c>
      <x:c r="I40" s="2" t="n">
        <x:f>E1_recuentos!J118</x:f>
        <x:v>285</x:v>
      </x:c>
      <x:c r="J40" s="2" t="str">
        <x:v>simulado_didactico</x:v>
      </x:c>
    </x:row>
    <x:row r="41" ht="19" customHeight="1">
      <x:c r="A41" s="2" t="str">
        <x:v>SIM-E1-MP-L1-R04</x:v>
      </x:c>
      <x:c r="B41" s="2" t="n">
        <x:v>2</x:v>
      </x:c>
      <x:c r="C41" s="2" t="str">
        <x:v>MP</x:v>
      </x:c>
      <x:c r="D41" s="2" t="str">
        <x:v>Myzus persicae</x:v>
      </x:c>
      <x:c r="E41" s="2" t="str">
        <x:v>L1</x:v>
      </x:c>
      <x:c r="F41" s="2" t="n">
        <x:v>4</x:v>
      </x:c>
      <x:c r="G41" s="2" t="n">
        <x:f>E1_recuentos!J119</x:f>
        <x:v>5</x:v>
      </x:c>
      <x:c r="H41" s="2" t="n">
        <x:f>E1_recuentos!J120</x:f>
        <x:v>52</x:v>
      </x:c>
      <x:c r="I41" s="2" t="n">
        <x:f>E1_recuentos!J121</x:f>
        <x:v>135</x:v>
      </x:c>
      <x:c r="J41" s="2" t="str">
        <x:v>simulado_didactico</x:v>
      </x:c>
    </x:row>
    <x:row r="42" ht="19" customHeight="1">
      <x:c r="A42" s="2" t="str">
        <x:v>SIM-E1-MP-L2-R03</x:v>
      </x:c>
      <x:c r="B42" s="2" t="n">
        <x:v>2</x:v>
      </x:c>
      <x:c r="C42" s="2" t="str">
        <x:v>MP</x:v>
      </x:c>
      <x:c r="D42" s="2" t="str">
        <x:v>Myzus persicae</x:v>
      </x:c>
      <x:c r="E42" s="2" t="str">
        <x:v>L2</x:v>
      </x:c>
      <x:c r="F42" s="2" t="n">
        <x:v>3</x:v>
      </x:c>
      <x:c r="G42" s="2" t="n">
        <x:f>E1_recuentos!J122</x:f>
        <x:v>10</x:v>
      </x:c>
      <x:c r="H42" s="2" t="n">
        <x:f>E1_recuentos!J123</x:f>
        <x:v>47</x:v>
      </x:c>
      <x:c r="I42" s="2" t="n">
        <x:f>E1_recuentos!J124</x:f>
        <x:v>132</x:v>
      </x:c>
      <x:c r="J42" s="2" t="str">
        <x:v>simulado_didactico</x:v>
      </x:c>
    </x:row>
    <x:row r="43" ht="19" customHeight="1">
      <x:c r="A43" s="2" t="str">
        <x:v>SIM-E1-MP-L2-R04</x:v>
      </x:c>
      <x:c r="B43" s="2" t="n">
        <x:v>2</x:v>
      </x:c>
      <x:c r="C43" s="2" t="str">
        <x:v>MP</x:v>
      </x:c>
      <x:c r="D43" s="2" t="str">
        <x:v>Myzus persicae</x:v>
      </x:c>
      <x:c r="E43" s="2" t="str">
        <x:v>L2</x:v>
      </x:c>
      <x:c r="F43" s="2" t="n">
        <x:v>4</x:v>
      </x:c>
      <x:c r="G43" s="2" t="n">
        <x:f>E1_recuentos!J125</x:f>
        <x:v>8</x:v>
      </x:c>
      <x:c r="H43" s="2" t="n">
        <x:f>E1_recuentos!J126</x:f>
        <x:v>75</x:v>
      </x:c>
      <x:c r="I43" s="2" t="n">
        <x:f>E1_recuentos!J127</x:f>
        <x:v>159</x:v>
      </x:c>
      <x:c r="J43" s="2" t="str">
        <x:v>simulado_didactico</x:v>
      </x:c>
    </x:row>
    <x:row r="44" ht="19" customHeight="1">
      <x:c r="A44" s="2" t="str">
        <x:v>SIM-E1-MP-L3-R03</x:v>
      </x:c>
      <x:c r="B44" s="2" t="n">
        <x:v>2</x:v>
      </x:c>
      <x:c r="C44" s="2" t="str">
        <x:v>MP</x:v>
      </x:c>
      <x:c r="D44" s="2" t="str">
        <x:v>Myzus persicae</x:v>
      </x:c>
      <x:c r="E44" s="2" t="str">
        <x:v>L3</x:v>
      </x:c>
      <x:c r="F44" s="2" t="n">
        <x:v>3</x:v>
      </x:c>
      <x:c r="G44" s="2" t="n">
        <x:f>E1_recuentos!J128</x:f>
        <x:v>9</x:v>
      </x:c>
      <x:c r="H44" s="2" t="n">
        <x:f>E1_recuentos!J129</x:f>
        <x:v>33</x:v>
      </x:c>
      <x:c r="I44" s="2" t="n">
        <x:f>E1_recuentos!J130</x:f>
        <x:v>94</x:v>
      </x:c>
      <x:c r="J44" s="2" t="str">
        <x:v>simulado_didactico</x:v>
      </x:c>
    </x:row>
    <x:row r="45" ht="19" customHeight="1">
      <x:c r="A45" s="2" t="str">
        <x:v>SIM-E1-MP-L3-R04</x:v>
      </x:c>
      <x:c r="B45" s="2" t="n">
        <x:v>2</x:v>
      </x:c>
      <x:c r="C45" s="2" t="str">
        <x:v>MP</x:v>
      </x:c>
      <x:c r="D45" s="2" t="str">
        <x:v>Myzus persicae</x:v>
      </x:c>
      <x:c r="E45" s="2" t="str">
        <x:v>L3</x:v>
      </x:c>
      <x:c r="F45" s="2" t="n">
        <x:v>4</x:v>
      </x:c>
      <x:c r="G45" s="2" t="n">
        <x:f>E1_recuentos!J131</x:f>
        <x:v>16</x:v>
      </x:c>
      <x:c r="H45" s="2" t="n">
        <x:f>E1_recuentos!J132</x:f>
        <x:v>68</x:v>
      </x:c>
      <x:c r="I45" s="2" t="n">
        <x:f>E1_recuentos!J133</x:f>
        <x:v>193</x:v>
      </x:c>
      <x:c r="J45" s="2" t="str">
        <x:v>simulado_didactico</x:v>
      </x:c>
    </x:row>
    <x:row r="46" ht="19" customHeight="1">
      <x:c r="A46" s="2" t="str">
        <x:v>SIM-E1-MP-L5-R03</x:v>
      </x:c>
      <x:c r="B46" s="2" t="n">
        <x:v>2</x:v>
      </x:c>
      <x:c r="C46" s="2" t="str">
        <x:v>MP</x:v>
      </x:c>
      <x:c r="D46" s="2" t="str">
        <x:v>Myzus persicae</x:v>
      </x:c>
      <x:c r="E46" s="2" t="str">
        <x:v>L5</x:v>
      </x:c>
      <x:c r="F46" s="2" t="n">
        <x:v>3</x:v>
      </x:c>
      <x:c r="G46" s="2" t="n">
        <x:f>E1_recuentos!J134</x:f>
        <x:v>2</x:v>
      </x:c>
      <x:c r="H46" s="2" t="n">
        <x:f>E1_recuentos!J135</x:f>
        <x:v>33</x:v>
      </x:c>
      <x:c r="I46" s="2" t="n">
        <x:f>E1_recuentos!J136</x:f>
        <x:v>54</x:v>
      </x:c>
      <x:c r="J46" s="2" t="str">
        <x:v>simulado_didactico</x:v>
      </x:c>
    </x:row>
    <x:row r="47" ht="19" customHeight="1">
      <x:c r="A47" s="2" t="str">
        <x:v>SIM-E1-MP-L5-R04</x:v>
      </x:c>
      <x:c r="B47" s="2" t="n">
        <x:v>2</x:v>
      </x:c>
      <x:c r="C47" s="2" t="str">
        <x:v>MP</x:v>
      </x:c>
      <x:c r="D47" s="2" t="str">
        <x:v>Myzus persicae</x:v>
      </x:c>
      <x:c r="E47" s="2" t="str">
        <x:v>L5</x:v>
      </x:c>
      <x:c r="F47" s="2" t="n">
        <x:v>4</x:v>
      </x:c>
      <x:c r="G47" s="2" t="n">
        <x:f>E1_recuentos!J137</x:f>
        <x:v>7</x:v>
      </x:c>
      <x:c r="H47" s="2" t="n">
        <x:f>E1_recuentos!J138</x:f>
        <x:v>40</x:v>
      </x:c>
      <x:c r="I47" s="2" t="n">
        <x:f>E1_recuentos!J139</x:f>
        <x:v>90</x:v>
      </x:c>
      <x:c r="J47" s="2" t="str">
        <x:v>simulado_didactico</x:v>
      </x:c>
    </x:row>
    <x:row r="48" ht="19" customHeight="1">
      <x:c r="A48" s="2" t="str">
        <x:v>SIM-E1-MP-L6-R03</x:v>
      </x:c>
      <x:c r="B48" s="2" t="n">
        <x:v>2</x:v>
      </x:c>
      <x:c r="C48" s="2" t="str">
        <x:v>MP</x:v>
      </x:c>
      <x:c r="D48" s="2" t="str">
        <x:v>Myzus persicae</x:v>
      </x:c>
      <x:c r="E48" s="2" t="str">
        <x:v>L6</x:v>
      </x:c>
      <x:c r="F48" s="2" t="n">
        <x:v>3</x:v>
      </x:c>
      <x:c r="G48" s="2" t="n">
        <x:f>E1_recuentos!J140</x:f>
        <x:v>12</x:v>
      </x:c>
      <x:c r="H48" s="2" t="n">
        <x:f>E1_recuentos!J141</x:f>
        <x:v>81</x:v>
      </x:c>
      <x:c r="I48" s="2" t="n">
        <x:f>E1_recuentos!J142</x:f>
        <x:v>215</x:v>
      </x:c>
      <x:c r="J48" s="2" t="str">
        <x:v>simulado_didactico</x:v>
      </x:c>
    </x:row>
    <x:row r="49" ht="19" customHeight="1">
      <x:c r="A49" s="2" t="str">
        <x:v>SIM-E1-MP-L6-R04</x:v>
      </x:c>
      <x:c r="B49" s="2" t="n">
        <x:v>2</x:v>
      </x:c>
      <x:c r="C49" s="2" t="str">
        <x:v>MP</x:v>
      </x:c>
      <x:c r="D49" s="2" t="str">
        <x:v>Myzus persicae</x:v>
      </x:c>
      <x:c r="E49" s="2" t="str">
        <x:v>L6</x:v>
      </x:c>
      <x:c r="F49" s="2" t="n">
        <x:v>4</x:v>
      </x:c>
      <x:c r="G49" s="2" t="n">
        <x:f>E1_recuentos!J143</x:f>
        <x:v>25</x:v>
      </x:c>
      <x:c r="H49" s="2" t="n">
        <x:f>E1_recuentos!J144</x:f>
        <x:v>141</x:v>
      </x:c>
      <x:c r="I49" s="2" t="n">
        <x:f>E1_recuentos!J145</x:f>
        <x:v>316</x:v>
      </x:c>
      <x:c r="J49" s="2" t="str">
        <x:v>simulado_didactico</x:v>
      </x:c>
    </x:row>
    <x:row r="50" ht="19" customHeight="1">
      <x:c r="A50" s="2" t="str">
        <x:v>SIM-E1-MP-L7-R03</x:v>
      </x:c>
      <x:c r="B50" s="2" t="n">
        <x:v>2</x:v>
      </x:c>
      <x:c r="C50" s="2" t="str">
        <x:v>MP</x:v>
      </x:c>
      <x:c r="D50" s="2" t="str">
        <x:v>Myzus persicae</x:v>
      </x:c>
      <x:c r="E50" s="2" t="str">
        <x:v>L7</x:v>
      </x:c>
      <x:c r="F50" s="2" t="n">
        <x:v>3</x:v>
      </x:c>
      <x:c r="G50" s="2" t="n">
        <x:f>E1_recuentos!J146</x:f>
        <x:v>10</x:v>
      </x:c>
      <x:c r="H50" s="2" t="n">
        <x:f>E1_recuentos!J147</x:f>
        <x:v>28</x:v>
      </x:c>
      <x:c r="I50" s="2" t="n">
        <x:f>E1_recuentos!J148</x:f>
        <x:v>76</x:v>
      </x:c>
      <x:c r="J50" s="2" t="str">
        <x:v>simulado_didactico</x:v>
      </x:c>
    </x:row>
    <x:row r="51" ht="19" customHeight="1">
      <x:c r="A51" s="2" t="str">
        <x:v>SIM-E1-MP-L7-R04</x:v>
      </x:c>
      <x:c r="B51" s="2" t="n">
        <x:v>2</x:v>
      </x:c>
      <x:c r="C51" s="2" t="str">
        <x:v>MP</x:v>
      </x:c>
      <x:c r="D51" s="2" t="str">
        <x:v>Myzus persicae</x:v>
      </x:c>
      <x:c r="E51" s="2" t="str">
        <x:v>L7</x:v>
      </x:c>
      <x:c r="F51" s="2" t="n">
        <x:v>4</x:v>
      </x:c>
      <x:c r="G51" s="2" t="n">
        <x:f>E1_recuentos!J149</x:f>
        <x:v>13</x:v>
      </x:c>
      <x:c r="H51" s="2" t="n">
        <x:f>E1_recuentos!J150</x:f>
        <x:v>38</x:v>
      </x:c>
      <x:c r="I51" s="2" t="n">
        <x:f>E1_recuentos!J151</x:f>
        <x:v>58</x:v>
      </x:c>
      <x:c r="J51" s="2" t="str">
        <x:v>simulado_didactico</x:v>
      </x:c>
    </x:row>
    <x:row r="52" ht="19" customHeight="1">
      <x:c r="A52" s="2" t="str">
        <x:v>SIM-E1-MP-L8-R03</x:v>
      </x:c>
      <x:c r="B52" s="2" t="n">
        <x:v>2</x:v>
      </x:c>
      <x:c r="C52" s="2" t="str">
        <x:v>MP</x:v>
      </x:c>
      <x:c r="D52" s="2" t="str">
        <x:v>Myzus persicae</x:v>
      </x:c>
      <x:c r="E52" s="2" t="str">
        <x:v>L8</x:v>
      </x:c>
      <x:c r="F52" s="2" t="n">
        <x:v>3</x:v>
      </x:c>
      <x:c r="G52" s="2" t="n">
        <x:f>E1_recuentos!J152</x:f>
        <x:v>4</x:v>
      </x:c>
      <x:c r="H52" s="2" t="n">
        <x:f>E1_recuentos!J153</x:f>
        <x:v>16</x:v>
      </x:c>
      <x:c r="I52" s="2" t="n">
        <x:f>E1_recuentos!J154</x:f>
        <x:v>76</x:v>
      </x:c>
      <x:c r="J52" s="2" t="str">
        <x:v>simulado_didactico</x:v>
      </x:c>
    </x:row>
    <x:row r="53" ht="19" customHeight="1">
      <x:c r="A53" s="2" t="str">
        <x:v>SIM-E1-MP-L8-R04</x:v>
      </x:c>
      <x:c r="B53" s="2" t="n">
        <x:v>2</x:v>
      </x:c>
      <x:c r="C53" s="2" t="str">
        <x:v>MP</x:v>
      </x:c>
      <x:c r="D53" s="2" t="str">
        <x:v>Myzus persicae</x:v>
      </x:c>
      <x:c r="E53" s="2" t="str">
        <x:v>L8</x:v>
      </x:c>
      <x:c r="F53" s="2" t="n">
        <x:v>4</x:v>
      </x:c>
      <x:c r="G53" s="2" t="n">
        <x:f>E1_recuentos!J155</x:f>
        <x:v>17</x:v>
      </x:c>
      <x:c r="H53" s="2" t="n">
        <x:f>E1_recuentos!J156</x:f>
        <x:v>39</x:v>
      </x:c>
      <x:c r="I53" s="2" t="n">
        <x:f>E1_recuentos!J157</x:f>
        <x:v>141</x:v>
      </x:c>
      <x:c r="J53" s="2" t="str">
        <x:v>simulado_didactico</x:v>
      </x:c>
    </x:row>
    <x:row r="54" ht="19" customHeight="1">
      <x:c r="A54" s="2" t="str">
        <x:v>SIM-E1-MP-L9-R03</x:v>
      </x:c>
      <x:c r="B54" s="2" t="n">
        <x:v>2</x:v>
      </x:c>
      <x:c r="C54" s="2" t="str">
        <x:v>MP</x:v>
      </x:c>
      <x:c r="D54" s="2" t="str">
        <x:v>Myzus persicae</x:v>
      </x:c>
      <x:c r="E54" s="2" t="str">
        <x:v>L9</x:v>
      </x:c>
      <x:c r="F54" s="2" t="n">
        <x:v>3</x:v>
      </x:c>
      <x:c r="G54" s="2" t="n">
        <x:f>E1_recuentos!J158</x:f>
        <x:v>13</x:v>
      </x:c>
      <x:c r="H54" s="2" t="n">
        <x:f>E1_recuentos!J159</x:f>
        <x:v>48</x:v>
      </x:c>
      <x:c r="I54" s="2" t="n">
        <x:f>E1_recuentos!J160</x:f>
        <x:v>137</x:v>
      </x:c>
      <x:c r="J54" s="2" t="str">
        <x:v>simulado_didactico</x:v>
      </x:c>
    </x:row>
    <x:row r="55" ht="19" customHeight="1">
      <x:c r="A55" s="2" t="str">
        <x:v>SIM-E1-MP-L9-R04</x:v>
      </x:c>
      <x:c r="B55" s="2" t="n">
        <x:v>2</x:v>
      </x:c>
      <x:c r="C55" s="2" t="str">
        <x:v>MP</x:v>
      </x:c>
      <x:c r="D55" s="2" t="str">
        <x:v>Myzus persicae</x:v>
      </x:c>
      <x:c r="E55" s="2" t="str">
        <x:v>L9</x:v>
      </x:c>
      <x:c r="F55" s="2" t="n">
        <x:v>4</x:v>
      </x:c>
      <x:c r="G55" s="2" t="n">
        <x:f>E1_recuentos!J161</x:f>
        <x:v>36</x:v>
      </x:c>
      <x:c r="H55" s="2" t="n">
        <x:f>E1_recuentos!J162</x:f>
        <x:v>193</x:v>
      </x:c>
      <x:c r="I55" s="2" t="n">
        <x:f>E1_recuentos!J163</x:f>
        <x:v>562</x:v>
      </x:c>
      <x:c r="J55" s="2" t="str">
        <x:v>simulado_didactico</x:v>
      </x:c>
    </x:row>
    <x:row r="56" ht="19" customHeight="1">
      <x:c r="A56" s="2" t="str">
        <x:v>SIM-E1-BB-L0-R03</x:v>
      </x:c>
      <x:c r="B56" s="2" t="n">
        <x:v>2</x:v>
      </x:c>
      <x:c r="C56" s="2" t="str">
        <x:v>BB</x:v>
      </x:c>
      <x:c r="D56" s="2" t="str">
        <x:v>Brevicoryne brassicae</x:v>
      </x:c>
      <x:c r="E56" s="2" t="str">
        <x:v>L0</x:v>
      </x:c>
      <x:c r="F56" s="2" t="n">
        <x:v>3</x:v>
      </x:c>
      <x:c r="G56" s="2" t="n">
        <x:f>E1_recuentos!J164</x:f>
        <x:v>11</x:v>
      </x:c>
      <x:c r="H56" s="2" t="n">
        <x:f>E1_recuentos!J165</x:f>
        <x:v>104</x:v>
      </x:c>
      <x:c r="I56" s="2" t="n">
        <x:f>E1_recuentos!J166</x:f>
        <x:v>217</x:v>
      </x:c>
      <x:c r="J56" s="2" t="str">
        <x:v>simulado_didactico</x:v>
      </x:c>
    </x:row>
    <x:row r="57" ht="19" customHeight="1">
      <x:c r="A57" s="2" t="str">
        <x:v>SIM-E1-BB-L0-R04</x:v>
      </x:c>
      <x:c r="B57" s="2" t="n">
        <x:v>2</x:v>
      </x:c>
      <x:c r="C57" s="2" t="str">
        <x:v>BB</x:v>
      </x:c>
      <x:c r="D57" s="2" t="str">
        <x:v>Brevicoryne brassicae</x:v>
      </x:c>
      <x:c r="E57" s="2" t="str">
        <x:v>L0</x:v>
      </x:c>
      <x:c r="F57" s="2" t="n">
        <x:v>4</x:v>
      </x:c>
      <x:c r="G57" s="2" t="n">
        <x:f>E1_recuentos!J167</x:f>
        <x:v>21</x:v>
      </x:c>
      <x:c r="H57" s="2" t="n">
        <x:f>E1_recuentos!J168</x:f>
        <x:v>108</x:v>
      </x:c>
      <x:c r="I57" s="2" t="n">
        <x:f>E1_recuentos!J169</x:f>
        <x:v>219</x:v>
      </x:c>
      <x:c r="J57" s="2" t="str">
        <x:v>simulado_didactico</x:v>
      </x:c>
    </x:row>
    <x:row r="58" ht="19" customHeight="1">
      <x:c r="A58" s="2" t="str">
        <x:v>SIM-E1-BB-L1-R03</x:v>
      </x:c>
      <x:c r="B58" s="2" t="n">
        <x:v>2</x:v>
      </x:c>
      <x:c r="C58" s="2" t="str">
        <x:v>BB</x:v>
      </x:c>
      <x:c r="D58" s="2" t="str">
        <x:v>Brevicoryne brassicae</x:v>
      </x:c>
      <x:c r="E58" s="2" t="str">
        <x:v>L1</x:v>
      </x:c>
      <x:c r="F58" s="2" t="n">
        <x:v>3</x:v>
      </x:c>
      <x:c r="G58" s="2" t="n">
        <x:f>E1_recuentos!J170</x:f>
        <x:v>12</x:v>
      </x:c>
      <x:c r="H58" s="2" t="n">
        <x:f>E1_recuentos!J171</x:f>
        <x:v>51</x:v>
      </x:c>
      <x:c r="I58" s="2" t="n">
        <x:f>E1_recuentos!J172</x:f>
        <x:v>163</x:v>
      </x:c>
      <x:c r="J58" s="2" t="str">
        <x:v>simulado_didactico</x:v>
      </x:c>
    </x:row>
    <x:row r="59" ht="19" customHeight="1">
      <x:c r="A59" s="2" t="str">
        <x:v>SIM-E1-BB-L1-R04</x:v>
      </x:c>
      <x:c r="B59" s="2" t="n">
        <x:v>2</x:v>
      </x:c>
      <x:c r="C59" s="2" t="str">
        <x:v>BB</x:v>
      </x:c>
      <x:c r="D59" s="2" t="str">
        <x:v>Brevicoryne brassicae</x:v>
      </x:c>
      <x:c r="E59" s="2" t="str">
        <x:v>L1</x:v>
      </x:c>
      <x:c r="F59" s="2" t="n">
        <x:v>4</x:v>
      </x:c>
      <x:c r="G59" s="2" t="n">
        <x:f>E1_recuentos!J173</x:f>
        <x:v>20</x:v>
      </x:c>
      <x:c r="H59" s="2" t="n">
        <x:f>E1_recuentos!J174</x:f>
        <x:v>49</x:v>
      </x:c>
      <x:c r="I59" s="2" t="n">
        <x:f>E1_recuentos!J175</x:f>
        <x:v>197</x:v>
      </x:c>
      <x:c r="J59" s="2" t="str">
        <x:v>simulado_didactico</x:v>
      </x:c>
    </x:row>
    <x:row r="60" ht="19" customHeight="1">
      <x:c r="A60" s="2" t="str">
        <x:v>SIM-E1-BB-L2-R03</x:v>
      </x:c>
      <x:c r="B60" s="2" t="n">
        <x:v>2</x:v>
      </x:c>
      <x:c r="C60" s="2" t="str">
        <x:v>BB</x:v>
      </x:c>
      <x:c r="D60" s="2" t="str">
        <x:v>Brevicoryne brassicae</x:v>
      </x:c>
      <x:c r="E60" s="2" t="str">
        <x:v>L2</x:v>
      </x:c>
      <x:c r="F60" s="2" t="n">
        <x:v>3</x:v>
      </x:c>
      <x:c r="G60" s="2" t="n">
        <x:f>E1_recuentos!J176</x:f>
        <x:v>44</x:v>
      </x:c>
      <x:c r="H60" s="2" t="n">
        <x:f>E1_recuentos!J177</x:f>
        <x:v>80</x:v>
      </x:c>
      <x:c r="I60" s="2" t="n">
        <x:f>E1_recuentos!J178</x:f>
        <x:v>250</x:v>
      </x:c>
      <x:c r="J60" s="2" t="str">
        <x:v>simulado_didactico</x:v>
      </x:c>
    </x:row>
    <x:row r="61" ht="19" customHeight="1">
      <x:c r="A61" s="2" t="str">
        <x:v>SIM-E1-BB-L2-R04</x:v>
      </x:c>
      <x:c r="B61" s="2" t="n">
        <x:v>2</x:v>
      </x:c>
      <x:c r="C61" s="2" t="str">
        <x:v>BB</x:v>
      </x:c>
      <x:c r="D61" s="2" t="str">
        <x:v>Brevicoryne brassicae</x:v>
      </x:c>
      <x:c r="E61" s="2" t="str">
        <x:v>L2</x:v>
      </x:c>
      <x:c r="F61" s="2" t="n">
        <x:v>4</x:v>
      </x:c>
      <x:c r="G61" s="2" t="n">
        <x:f>E1_recuentos!J179</x:f>
        <x:v>0</x:v>
      </x:c>
      <x:c r="H61" s="2" t="n">
        <x:f>E1_recuentos!J180</x:f>
        <x:v>0</x:v>
      </x:c>
      <x:c r="I61" s="2" t="n">
        <x:f>E1_recuentos!J181</x:f>
        <x:v>0</x:v>
      </x:c>
      <x:c r="J61" s="2" t="str">
        <x:v>simulado_didactico</x:v>
      </x:c>
    </x:row>
    <x:row r="62" ht="19" customHeight="1">
      <x:c r="A62" s="2" t="str">
        <x:v>SIM-E1-BB-L3-R03</x:v>
      </x:c>
      <x:c r="B62" s="2" t="n">
        <x:v>2</x:v>
      </x:c>
      <x:c r="C62" s="2" t="str">
        <x:v>BB</x:v>
      </x:c>
      <x:c r="D62" s="2" t="str">
        <x:v>Brevicoryne brassicae</x:v>
      </x:c>
      <x:c r="E62" s="2" t="str">
        <x:v>L3</x:v>
      </x:c>
      <x:c r="F62" s="2" t="n">
        <x:v>3</x:v>
      </x:c>
      <x:c r="G62" s="2" t="n">
        <x:f>E1_recuentos!J182</x:f>
        <x:v>31</x:v>
      </x:c>
      <x:c r="H62" s="2" t="n">
        <x:f>E1_recuentos!J183</x:f>
        <x:v>129</x:v>
      </x:c>
      <x:c r="I62" s="2" t="n">
        <x:f>E1_recuentos!J184</x:f>
        <x:v>244</x:v>
      </x:c>
      <x:c r="J62" s="2" t="str">
        <x:v>simulado_didactico</x:v>
      </x:c>
    </x:row>
    <x:row r="63" ht="19" customHeight="1">
      <x:c r="A63" s="2" t="str">
        <x:v>SIM-E1-BB-L3-R04</x:v>
      </x:c>
      <x:c r="B63" s="2" t="n">
        <x:v>2</x:v>
      </x:c>
      <x:c r="C63" s="2" t="str">
        <x:v>BB</x:v>
      </x:c>
      <x:c r="D63" s="2" t="str">
        <x:v>Brevicoryne brassicae</x:v>
      </x:c>
      <x:c r="E63" s="2" t="str">
        <x:v>L3</x:v>
      </x:c>
      <x:c r="F63" s="2" t="n">
        <x:v>4</x:v>
      </x:c>
      <x:c r="G63" s="2" t="n">
        <x:f>E1_recuentos!J185</x:f>
        <x:v>22</x:v>
      </x:c>
      <x:c r="H63" s="2" t="n">
        <x:f>E1_recuentos!J186</x:f>
        <x:v>88</x:v>
      </x:c>
      <x:c r="I63" s="2" t="n">
        <x:f>E1_recuentos!J187</x:f>
        <x:v>232</x:v>
      </x:c>
      <x:c r="J63" s="2" t="str">
        <x:v>simulado_didactico</x:v>
      </x:c>
    </x:row>
    <x:row r="64" ht="19" customHeight="1">
      <x:c r="A64" s="2" t="str">
        <x:v>SIM-E1-BB-L5-R03</x:v>
      </x:c>
      <x:c r="B64" s="2" t="n">
        <x:v>2</x:v>
      </x:c>
      <x:c r="C64" s="2" t="str">
        <x:v>BB</x:v>
      </x:c>
      <x:c r="D64" s="2" t="str">
        <x:v>Brevicoryne brassicae</x:v>
      </x:c>
      <x:c r="E64" s="2" t="str">
        <x:v>L5</x:v>
      </x:c>
      <x:c r="F64" s="2" t="n">
        <x:v>3</x:v>
      </x:c>
      <x:c r="G64" s="2" t="n">
        <x:f>E1_recuentos!J188</x:f>
        <x:v>19</x:v>
      </x:c>
      <x:c r="H64" s="2" t="n">
        <x:f>E1_recuentos!J189</x:f>
        <x:v>44</x:v>
      </x:c>
      <x:c r="I64" s="2" t="n">
        <x:f>E1_recuentos!J190</x:f>
        <x:v>95</x:v>
      </x:c>
      <x:c r="J64" s="2" t="str">
        <x:v>simulado_didactico</x:v>
      </x:c>
    </x:row>
    <x:row r="65" ht="19" customHeight="1">
      <x:c r="A65" s="2" t="str">
        <x:v>SIM-E1-BB-L5-R04</x:v>
      </x:c>
      <x:c r="B65" s="2" t="n">
        <x:v>2</x:v>
      </x:c>
      <x:c r="C65" s="2" t="str">
        <x:v>BB</x:v>
      </x:c>
      <x:c r="D65" s="2" t="str">
        <x:v>Brevicoryne brassicae</x:v>
      </x:c>
      <x:c r="E65" s="2" t="str">
        <x:v>L5</x:v>
      </x:c>
      <x:c r="F65" s="2" t="n">
        <x:v>4</x:v>
      </x:c>
      <x:c r="G65" s="2" t="n">
        <x:f>E1_recuentos!J191</x:f>
        <x:v>16</x:v>
      </x:c>
      <x:c r="H65" s="2" t="n">
        <x:f>E1_recuentos!J192</x:f>
        <x:v>77</x:v>
      </x:c>
      <x:c r="I65" s="2" t="n">
        <x:f>E1_recuentos!J193</x:f>
        <x:v>149</x:v>
      </x:c>
      <x:c r="J65" s="2" t="str">
        <x:v>simulado_didactico</x:v>
      </x:c>
    </x:row>
    <x:row r="66" ht="19" customHeight="1">
      <x:c r="A66" s="2" t="str">
        <x:v>SIM-E1-BB-L6-R03</x:v>
      </x:c>
      <x:c r="B66" s="2" t="n">
        <x:v>2</x:v>
      </x:c>
      <x:c r="C66" s="2" t="str">
        <x:v>BB</x:v>
      </x:c>
      <x:c r="D66" s="2" t="str">
        <x:v>Brevicoryne brassicae</x:v>
      </x:c>
      <x:c r="E66" s="2" t="str">
        <x:v>L6</x:v>
      </x:c>
      <x:c r="F66" s="2" t="n">
        <x:v>3</x:v>
      </x:c>
      <x:c r="G66" s="2" t="n">
        <x:f>E1_recuentos!J194</x:f>
        <x:v>19</x:v>
      </x:c>
      <x:c r="H66" s="2" t="n">
        <x:f>E1_recuentos!J195</x:f>
        <x:v>97</x:v>
      </x:c>
      <x:c r="I66" s="2" t="n">
        <x:f>E1_recuentos!J196</x:f>
        <x:v>244</x:v>
      </x:c>
      <x:c r="J66" s="2" t="str">
        <x:v>simulado_didactico</x:v>
      </x:c>
    </x:row>
    <x:row r="67" ht="19" customHeight="1">
      <x:c r="A67" s="2" t="str">
        <x:v>SIM-E1-BB-L6-R04</x:v>
      </x:c>
      <x:c r="B67" s="2" t="n">
        <x:v>2</x:v>
      </x:c>
      <x:c r="C67" s="2" t="str">
        <x:v>BB</x:v>
      </x:c>
      <x:c r="D67" s="2" t="str">
        <x:v>Brevicoryne brassicae</x:v>
      </x:c>
      <x:c r="E67" s="2" t="str">
        <x:v>L6</x:v>
      </x:c>
      <x:c r="F67" s="2" t="n">
        <x:v>4</x:v>
      </x:c>
      <x:c r="G67" s="2" t="n">
        <x:f>E1_recuentos!J197</x:f>
        <x:v>23</x:v>
      </x:c>
      <x:c r="H67" s="2" t="n">
        <x:f>E1_recuentos!J198</x:f>
        <x:v>92</x:v>
      </x:c>
      <x:c r="I67" s="2" t="n">
        <x:f>E1_recuentos!J199</x:f>
        <x:v>336</x:v>
      </x:c>
      <x:c r="J67" s="2" t="str">
        <x:v>simulado_didactico</x:v>
      </x:c>
    </x:row>
    <x:row r="68" ht="19" customHeight="1">
      <x:c r="A68" s="2" t="str">
        <x:v>SIM-E1-BB-L7-R03</x:v>
      </x:c>
      <x:c r="B68" s="2" t="n">
        <x:v>2</x:v>
      </x:c>
      <x:c r="C68" s="2" t="str">
        <x:v>BB</x:v>
      </x:c>
      <x:c r="D68" s="2" t="str">
        <x:v>Brevicoryne brassicae</x:v>
      </x:c>
      <x:c r="E68" s="2" t="str">
        <x:v>L7</x:v>
      </x:c>
      <x:c r="F68" s="2" t="n">
        <x:v>3</x:v>
      </x:c>
      <x:c r="G68" s="2" t="n">
        <x:f>E1_recuentos!J200</x:f>
        <x:v>28</x:v>
      </x:c>
      <x:c r="H68" s="2" t="n">
        <x:f>E1_recuentos!J201</x:f>
        <x:v>64</x:v>
      </x:c>
      <x:c r="I68" s="2" t="n">
        <x:f>E1_recuentos!J202</x:f>
        <x:v>199</x:v>
      </x:c>
      <x:c r="J68" s="2" t="str">
        <x:v>simulado_didactico</x:v>
      </x:c>
    </x:row>
    <x:row r="69" ht="19" customHeight="1">
      <x:c r="A69" s="2" t="str">
        <x:v>SIM-E1-BB-L7-R04</x:v>
      </x:c>
      <x:c r="B69" s="2" t="n">
        <x:v>2</x:v>
      </x:c>
      <x:c r="C69" s="2" t="str">
        <x:v>BB</x:v>
      </x:c>
      <x:c r="D69" s="2" t="str">
        <x:v>Brevicoryne brassicae</x:v>
      </x:c>
      <x:c r="E69" s="2" t="str">
        <x:v>L7</x:v>
      </x:c>
      <x:c r="F69" s="2" t="n">
        <x:v>4</x:v>
      </x:c>
      <x:c r="G69" s="2" t="n">
        <x:f>E1_recuentos!J203</x:f>
        <x:v>12</x:v>
      </x:c>
      <x:c r="H69" s="2" t="n">
        <x:f>E1_recuentos!J204</x:f>
        <x:v>59</x:v>
      </x:c>
      <x:c r="I69" s="2" t="n">
        <x:f>E1_recuentos!J205</x:f>
        <x:v>184</x:v>
      </x:c>
      <x:c r="J69" s="2" t="str">
        <x:v>simulado_didactico</x:v>
      </x:c>
    </x:row>
    <x:row r="70" ht="19" customHeight="1">
      <x:c r="A70" s="2" t="str">
        <x:v>SIM-E1-BB-L8-R03</x:v>
      </x:c>
      <x:c r="B70" s="2" t="n">
        <x:v>2</x:v>
      </x:c>
      <x:c r="C70" s="2" t="str">
        <x:v>BB</x:v>
      </x:c>
      <x:c r="D70" s="2" t="str">
        <x:v>Brevicoryne brassicae</x:v>
      </x:c>
      <x:c r="E70" s="2" t="str">
        <x:v>L8</x:v>
      </x:c>
      <x:c r="F70" s="2" t="n">
        <x:v>3</x:v>
      </x:c>
      <x:c r="G70" s="2" t="n">
        <x:f>E1_recuentos!J206</x:f>
        <x:v>21</x:v>
      </x:c>
      <x:c r="H70" s="2" t="n">
        <x:f>E1_recuentos!J207</x:f>
        <x:v>47</x:v>
      </x:c>
      <x:c r="I70" s="2" t="n">
        <x:f>E1_recuentos!J208</x:f>
        <x:v>86</x:v>
      </x:c>
      <x:c r="J70" s="2" t="str">
        <x:v>simulado_didactico</x:v>
      </x:c>
    </x:row>
    <x:row r="71" ht="19" customHeight="1">
      <x:c r="A71" s="2" t="str">
        <x:v>SIM-E1-BB-L8-R04</x:v>
      </x:c>
      <x:c r="B71" s="2" t="n">
        <x:v>2</x:v>
      </x:c>
      <x:c r="C71" s="2" t="str">
        <x:v>BB</x:v>
      </x:c>
      <x:c r="D71" s="2" t="str">
        <x:v>Brevicoryne brassicae</x:v>
      </x:c>
      <x:c r="E71" s="2" t="str">
        <x:v>L8</x:v>
      </x:c>
      <x:c r="F71" s="2" t="n">
        <x:v>4</x:v>
      </x:c>
      <x:c r="G71" s="2" t="n">
        <x:f>E1_recuentos!J209</x:f>
        <x:v>0</x:v>
      </x:c>
      <x:c r="H71" s="2" t="n">
        <x:f>E1_recuentos!J210</x:f>
        <x:v>0</x:v>
      </x:c>
      <x:c r="I71" s="2" t="n">
        <x:f>E1_recuentos!J211</x:f>
        <x:v>0</x:v>
      </x:c>
      <x:c r="J71" s="2" t="str">
        <x:v>simulado_didactico</x:v>
      </x:c>
    </x:row>
    <x:row r="72" ht="19" customHeight="1">
      <x:c r="A72" s="2" t="str">
        <x:v>SIM-E1-BB-L9-R03</x:v>
      </x:c>
      <x:c r="B72" s="2" t="n">
        <x:v>2</x:v>
      </x:c>
      <x:c r="C72" s="2" t="str">
        <x:v>BB</x:v>
      </x:c>
      <x:c r="D72" s="2" t="str">
        <x:v>Brevicoryne brassicae</x:v>
      </x:c>
      <x:c r="E72" s="2" t="str">
        <x:v>L9</x:v>
      </x:c>
      <x:c r="F72" s="2" t="n">
        <x:v>3</x:v>
      </x:c>
      <x:c r="G72" s="2" t="n">
        <x:f>E1_recuentos!J212</x:f>
        <x:v>64</x:v>
      </x:c>
      <x:c r="H72" s="2" t="n">
        <x:f>E1_recuentos!J213</x:f>
        <x:v>166</x:v>
      </x:c>
      <x:c r="I72" s="2" t="n">
        <x:f>E1_recuentos!J214</x:f>
        <x:v>674</x:v>
      </x:c>
      <x:c r="J72" s="2" t="str">
        <x:v>simulado_didactico</x:v>
      </x:c>
    </x:row>
    <x:row r="73" ht="19" customHeight="1">
      <x:c r="A73" s="2" t="str">
        <x:v>SIM-E1-BB-L9-R04</x:v>
      </x:c>
      <x:c r="B73" s="2" t="n">
        <x:v>2</x:v>
      </x:c>
      <x:c r="C73" s="2" t="str">
        <x:v>BB</x:v>
      </x:c>
      <x:c r="D73" s="2" t="str">
        <x:v>Brevicoryne brassicae</x:v>
      </x:c>
      <x:c r="E73" s="2" t="str">
        <x:v>L9</x:v>
      </x:c>
      <x:c r="F73" s="2" t="n">
        <x:v>4</x:v>
      </x:c>
      <x:c r="G73" s="2" t="n">
        <x:f>E1_recuentos!J215</x:f>
        <x:v>12</x:v>
      </x:c>
      <x:c r="H73" s="2" t="n">
        <x:f>E1_recuentos!J216</x:f>
        <x:v>82</x:v>
      </x:c>
      <x:c r="I73" s="2" t="n">
        <x:f>E1_recuentos!J217</x:f>
        <x:v>254</x:v>
      </x:c>
      <x:c r="J73" s="2" t="str">
        <x:v>simulado_didactico</x:v>
      </x:c>
    </x:row>
    <x:row r="74" ht="19" customHeight="1">
      <x:c r="A74" s="2" t="str">
        <x:v>SIM-E1-MP-L0-R05</x:v>
      </x:c>
      <x:c r="B74" s="2" t="n">
        <x:v>3</x:v>
      </x:c>
      <x:c r="C74" s="2" t="str">
        <x:v>MP</x:v>
      </x:c>
      <x:c r="D74" s="2" t="str">
        <x:v>Myzus persicae</x:v>
      </x:c>
      <x:c r="E74" s="2" t="str">
        <x:v>L0</x:v>
      </x:c>
      <x:c r="F74" s="2" t="n">
        <x:v>5</x:v>
      </x:c>
      <x:c r="G74" s="2" t="n">
        <x:f>E1_recuentos!J218</x:f>
        <x:v>20</x:v>
      </x:c>
      <x:c r="H74" s="2" t="n">
        <x:f>E1_recuentos!J219</x:f>
        <x:v>94</x:v>
      </x:c>
      <x:c r="I74" s="2" t="n">
        <x:f>E1_recuentos!J220</x:f>
        <x:v>140</x:v>
      </x:c>
      <x:c r="J74" s="2" t="str">
        <x:v>simulado_didactico</x:v>
      </x:c>
    </x:row>
    <x:row r="75" ht="19" customHeight="1">
      <x:c r="A75" s="2" t="str">
        <x:v>SIM-E1-MP-L0-R06</x:v>
      </x:c>
      <x:c r="B75" s="2" t="n">
        <x:v>3</x:v>
      </x:c>
      <x:c r="C75" s="2" t="str">
        <x:v>MP</x:v>
      </x:c>
      <x:c r="D75" s="2" t="str">
        <x:v>Myzus persicae</x:v>
      </x:c>
      <x:c r="E75" s="2" t="str">
        <x:v>L0</x:v>
      </x:c>
      <x:c r="F75" s="2" t="n">
        <x:v>6</x:v>
      </x:c>
      <x:c r="G75" s="2" t="n">
        <x:f>E1_recuentos!J221</x:f>
        <x:v>14</x:v>
      </x:c>
      <x:c r="H75" s="2" t="n">
        <x:f>E1_recuentos!J222</x:f>
        <x:v>75</x:v>
      </x:c>
      <x:c r="I75" s="2" t="n">
        <x:f>E1_recuentos!J223</x:f>
        <x:v>116</x:v>
      </x:c>
      <x:c r="J75" s="2" t="str">
        <x:v>simulado_didactico</x:v>
      </x:c>
    </x:row>
    <x:row r="76" ht="19" customHeight="1">
      <x:c r="A76" s="2" t="str">
        <x:v>SIM-E1-MP-L1-R05</x:v>
      </x:c>
      <x:c r="B76" s="2" t="n">
        <x:v>3</x:v>
      </x:c>
      <x:c r="C76" s="2" t="str">
        <x:v>MP</x:v>
      </x:c>
      <x:c r="D76" s="2" t="str">
        <x:v>Myzus persicae</x:v>
      </x:c>
      <x:c r="E76" s="2" t="str">
        <x:v>L1</x:v>
      </x:c>
      <x:c r="F76" s="2" t="n">
        <x:v>5</x:v>
      </x:c>
      <x:c r="G76" s="2" t="n">
        <x:f>E1_recuentos!J224</x:f>
        <x:v>22</x:v>
      </x:c>
      <x:c r="H76" s="2" t="n">
        <x:f>E1_recuentos!J225</x:f>
        <x:v>92</x:v>
      </x:c>
      <x:c r="I76" s="2" t="n">
        <x:f>E1_recuentos!J226</x:f>
        <x:v>205</x:v>
      </x:c>
      <x:c r="J76" s="2" t="str">
        <x:v>simulado_didactico</x:v>
      </x:c>
    </x:row>
    <x:row r="77" ht="19" customHeight="1">
      <x:c r="A77" s="2" t="str">
        <x:v>SIM-E1-MP-L1-R06</x:v>
      </x:c>
      <x:c r="B77" s="2" t="n">
        <x:v>3</x:v>
      </x:c>
      <x:c r="C77" s="2" t="str">
        <x:v>MP</x:v>
      </x:c>
      <x:c r="D77" s="2" t="str">
        <x:v>Myzus persicae</x:v>
      </x:c>
      <x:c r="E77" s="2" t="str">
        <x:v>L1</x:v>
      </x:c>
      <x:c r="F77" s="2" t="n">
        <x:v>6</x:v>
      </x:c>
      <x:c r="G77" s="2" t="n">
        <x:f>E1_recuentos!J227</x:f>
        <x:v>23</x:v>
      </x:c>
      <x:c r="H77" s="2" t="n">
        <x:f>E1_recuentos!J228</x:f>
        <x:v>69</x:v>
      </x:c>
      <x:c r="I77" s="2" t="n">
        <x:f>E1_recuentos!J229</x:f>
        <x:v>231</x:v>
      </x:c>
      <x:c r="J77" s="2" t="str">
        <x:v>simulado_didactico</x:v>
      </x:c>
    </x:row>
    <x:row r="78" ht="19" customHeight="1">
      <x:c r="A78" s="2" t="str">
        <x:v>SIM-E1-MP-L2-R05</x:v>
      </x:c>
      <x:c r="B78" s="2" t="n">
        <x:v>3</x:v>
      </x:c>
      <x:c r="C78" s="2" t="str">
        <x:v>MP</x:v>
      </x:c>
      <x:c r="D78" s="2" t="str">
        <x:v>Myzus persicae</x:v>
      </x:c>
      <x:c r="E78" s="2" t="str">
        <x:v>L2</x:v>
      </x:c>
      <x:c r="F78" s="2" t="n">
        <x:v>5</x:v>
      </x:c>
      <x:c r="G78" s="2" t="n">
        <x:f>E1_recuentos!J230</x:f>
        <x:v>4</x:v>
      </x:c>
      <x:c r="H78" s="2" t="n">
        <x:f>E1_recuentos!J231</x:f>
        <x:v>51</x:v>
      </x:c>
      <x:c r="I78" s="2" t="n">
        <x:f>E1_recuentos!J232</x:f>
        <x:v>115</x:v>
      </x:c>
      <x:c r="J78" s="2" t="str">
        <x:v>simulado_didactico</x:v>
      </x:c>
    </x:row>
    <x:row r="79" ht="19" customHeight="1">
      <x:c r="A79" s="2" t="str">
        <x:v>SIM-E1-MP-L2-R06</x:v>
      </x:c>
      <x:c r="B79" s="2" t="n">
        <x:v>3</x:v>
      </x:c>
      <x:c r="C79" s="2" t="str">
        <x:v>MP</x:v>
      </x:c>
      <x:c r="D79" s="2" t="str">
        <x:v>Myzus persicae</x:v>
      </x:c>
      <x:c r="E79" s="2" t="str">
        <x:v>L2</x:v>
      </x:c>
      <x:c r="F79" s="2" t="n">
        <x:v>6</x:v>
      </x:c>
      <x:c r="G79" s="2" t="n">
        <x:f>E1_recuentos!J233</x:f>
        <x:v>21</x:v>
      </x:c>
      <x:c r="H79" s="2" t="n">
        <x:f>E1_recuentos!J234</x:f>
        <x:v>137</x:v>
      </x:c>
      <x:c r="I79" s="2" t="n">
        <x:f>E1_recuentos!J235</x:f>
        <x:v>285</x:v>
      </x:c>
      <x:c r="J79" s="2" t="str">
        <x:v>simulado_didactico</x:v>
      </x:c>
    </x:row>
    <x:row r="80" ht="19" customHeight="1">
      <x:c r="A80" s="2" t="str">
        <x:v>SIM-E1-MP-L3-R05</x:v>
      </x:c>
      <x:c r="B80" s="2" t="n">
        <x:v>3</x:v>
      </x:c>
      <x:c r="C80" s="2" t="str">
        <x:v>MP</x:v>
      </x:c>
      <x:c r="D80" s="2" t="str">
        <x:v>Myzus persicae</x:v>
      </x:c>
      <x:c r="E80" s="2" t="str">
        <x:v>L3</x:v>
      </x:c>
      <x:c r="F80" s="2" t="n">
        <x:v>5</x:v>
      </x:c>
      <x:c r="G80" s="2" t="n">
        <x:f>E1_recuentos!J236</x:f>
        <x:v>11</x:v>
      </x:c>
      <x:c r="H80" s="2" t="n">
        <x:f>E1_recuentos!J237</x:f>
        <x:v>50</x:v>
      </x:c>
      <x:c r="I80" s="2" t="n">
        <x:f>E1_recuentos!J238</x:f>
        <x:v>146</x:v>
      </x:c>
      <x:c r="J80" s="2" t="str">
        <x:v>simulado_didactico</x:v>
      </x:c>
    </x:row>
    <x:row r="81" ht="19" customHeight="1">
      <x:c r="A81" s="2" t="str">
        <x:v>SIM-E1-MP-L3-R06</x:v>
      </x:c>
      <x:c r="B81" s="2" t="n">
        <x:v>3</x:v>
      </x:c>
      <x:c r="C81" s="2" t="str">
        <x:v>MP</x:v>
      </x:c>
      <x:c r="D81" s="2" t="str">
        <x:v>Myzus persicae</x:v>
      </x:c>
      <x:c r="E81" s="2" t="str">
        <x:v>L3</x:v>
      </x:c>
      <x:c r="F81" s="2" t="n">
        <x:v>6</x:v>
      </x:c>
      <x:c r="G81" s="2" t="n">
        <x:f>E1_recuentos!J239</x:f>
        <x:v>20</x:v>
      </x:c>
      <x:c r="H81" s="2" t="n">
        <x:f>E1_recuentos!J240</x:f>
        <x:v>72</x:v>
      </x:c>
      <x:c r="I81" s="2" t="n">
        <x:f>E1_recuentos!J241</x:f>
        <x:v>158</x:v>
      </x:c>
      <x:c r="J81" s="2" t="str">
        <x:v>simulado_didactico</x:v>
      </x:c>
    </x:row>
    <x:row r="82" ht="19" customHeight="1">
      <x:c r="A82" s="2" t="str">
        <x:v>SIM-E1-MP-L5-R05</x:v>
      </x:c>
      <x:c r="B82" s="2" t="n">
        <x:v>3</x:v>
      </x:c>
      <x:c r="C82" s="2" t="str">
        <x:v>MP</x:v>
      </x:c>
      <x:c r="D82" s="2" t="str">
        <x:v>Myzus persicae</x:v>
      </x:c>
      <x:c r="E82" s="2" t="str">
        <x:v>L5</x:v>
      </x:c>
      <x:c r="F82" s="2" t="n">
        <x:v>5</x:v>
      </x:c>
      <x:c r="G82" s="2" t="n">
        <x:f>E1_recuentos!J242</x:f>
        <x:v>6</x:v>
      </x:c>
      <x:c r="H82" s="2" t="n">
        <x:f>E1_recuentos!J243</x:f>
        <x:v>47</x:v>
      </x:c>
      <x:c r="I82" s="2" t="n">
        <x:f>E1_recuentos!J244</x:f>
        <x:v>95</x:v>
      </x:c>
      <x:c r="J82" s="2" t="str">
        <x:v>simulado_didactico</x:v>
      </x:c>
    </x:row>
    <x:row r="83" ht="19" customHeight="1">
      <x:c r="A83" s="2" t="str">
        <x:v>SIM-E1-MP-L5-R06</x:v>
      </x:c>
      <x:c r="B83" s="2" t="n">
        <x:v>3</x:v>
      </x:c>
      <x:c r="C83" s="2" t="str">
        <x:v>MP</x:v>
      </x:c>
      <x:c r="D83" s="2" t="str">
        <x:v>Myzus persicae</x:v>
      </x:c>
      <x:c r="E83" s="2" t="str">
        <x:v>L5</x:v>
      </x:c>
      <x:c r="F83" s="2" t="n">
        <x:v>6</x:v>
      </x:c>
      <x:c r="G83" s="2" t="n">
        <x:f>E1_recuentos!J245</x:f>
        <x:v>15</x:v>
      </x:c>
      <x:c r="H83" s="2" t="n">
        <x:f>E1_recuentos!J246</x:f>
        <x:v>68</x:v>
      </x:c>
      <x:c r="I83" s="2" t="n">
        <x:f>E1_recuentos!J247</x:f>
        <x:v>167</x:v>
      </x:c>
      <x:c r="J83" s="2" t="str">
        <x:v>simulado_didactico</x:v>
      </x:c>
    </x:row>
    <x:row r="84" ht="19" customHeight="1">
      <x:c r="A84" s="2" t="str">
        <x:v>SIM-E1-MP-L6-R05</x:v>
      </x:c>
      <x:c r="B84" s="2" t="n">
        <x:v>3</x:v>
      </x:c>
      <x:c r="C84" s="2" t="str">
        <x:v>MP</x:v>
      </x:c>
      <x:c r="D84" s="2" t="str">
        <x:v>Myzus persicae</x:v>
      </x:c>
      <x:c r="E84" s="2" t="str">
        <x:v>L6</x:v>
      </x:c>
      <x:c r="F84" s="2" t="n">
        <x:v>5</x:v>
      </x:c>
      <x:c r="G84" s="2" t="n">
        <x:f>E1_recuentos!J248</x:f>
        <x:v>15</x:v>
      </x:c>
      <x:c r="H84" s="2" t="n">
        <x:f>E1_recuentos!J249</x:f>
        <x:v>75</x:v>
      </x:c>
      <x:c r="I84" s="2" t="n">
        <x:f>E1_recuentos!J250</x:f>
        <x:v>129</x:v>
      </x:c>
      <x:c r="J84" s="2" t="str">
        <x:v>simulado_didactico</x:v>
      </x:c>
    </x:row>
    <x:row r="85" ht="19" customHeight="1">
      <x:c r="A85" s="2" t="str">
        <x:v>SIM-E1-MP-L6-R06</x:v>
      </x:c>
      <x:c r="B85" s="2" t="n">
        <x:v>3</x:v>
      </x:c>
      <x:c r="C85" s="2" t="str">
        <x:v>MP</x:v>
      </x:c>
      <x:c r="D85" s="2" t="str">
        <x:v>Myzus persicae</x:v>
      </x:c>
      <x:c r="E85" s="2" t="str">
        <x:v>L6</x:v>
      </x:c>
      <x:c r="F85" s="2" t="n">
        <x:v>6</x:v>
      </x:c>
      <x:c r="G85" s="2" t="n">
        <x:f>E1_recuentos!J251</x:f>
        <x:v>16</x:v>
      </x:c>
      <x:c r="H85" s="2" t="n">
        <x:f>E1_recuentos!J252</x:f>
        <x:v>80</x:v>
      </x:c>
      <x:c r="I85" s="2" t="n">
        <x:f>E1_recuentos!J253</x:f>
        <x:v>232</x:v>
      </x:c>
      <x:c r="J85" s="2" t="str">
        <x:v>simulado_didactico</x:v>
      </x:c>
    </x:row>
    <x:row r="86" ht="19" customHeight="1">
      <x:c r="A86" s="2" t="str">
        <x:v>SIM-E1-MP-L7-R05</x:v>
      </x:c>
      <x:c r="B86" s="2" t="n">
        <x:v>3</x:v>
      </x:c>
      <x:c r="C86" s="2" t="str">
        <x:v>MP</x:v>
      </x:c>
      <x:c r="D86" s="2" t="str">
        <x:v>Myzus persicae</x:v>
      </x:c>
      <x:c r="E86" s="2" t="str">
        <x:v>L7</x:v>
      </x:c>
      <x:c r="F86" s="2" t="n">
        <x:v>5</x:v>
      </x:c>
      <x:c r="G86" s="2" t="n">
        <x:f>E1_recuentos!J254</x:f>
        <x:v>15</x:v>
      </x:c>
      <x:c r="H86" s="2" t="n">
        <x:f>E1_recuentos!J255</x:f>
        <x:v>37</x:v>
      </x:c>
      <x:c r="I86" s="2" t="n">
        <x:f>E1_recuentos!J256</x:f>
        <x:v>57</x:v>
      </x:c>
      <x:c r="J86" s="2" t="str">
        <x:v>simulado_didactico</x:v>
      </x:c>
    </x:row>
    <x:row r="87" ht="19" customHeight="1">
      <x:c r="A87" s="2" t="str">
        <x:v>SIM-E1-MP-L7-R06</x:v>
      </x:c>
      <x:c r="B87" s="2" t="n">
        <x:v>3</x:v>
      </x:c>
      <x:c r="C87" s="2" t="str">
        <x:v>MP</x:v>
      </x:c>
      <x:c r="D87" s="2" t="str">
        <x:v>Myzus persicae</x:v>
      </x:c>
      <x:c r="E87" s="2" t="str">
        <x:v>L7</x:v>
      </x:c>
      <x:c r="F87" s="2" t="n">
        <x:v>6</x:v>
      </x:c>
      <x:c r="G87" s="2" t="n">
        <x:f>E1_recuentos!J257</x:f>
        <x:v>9</x:v>
      </x:c>
      <x:c r="H87" s="2" t="n">
        <x:f>E1_recuentos!J258</x:f>
        <x:v>21</x:v>
      </x:c>
      <x:c r="I87" s="2" t="n">
        <x:f>E1_recuentos!J259</x:f>
        <x:v>53</x:v>
      </x:c>
      <x:c r="J87" s="2" t="str">
        <x:v>simulado_didactico</x:v>
      </x:c>
    </x:row>
    <x:row r="88" ht="19" customHeight="1">
      <x:c r="A88" s="2" t="str">
        <x:v>SIM-E1-MP-L8-R05</x:v>
      </x:c>
      <x:c r="B88" s="2" t="n">
        <x:v>3</x:v>
      </x:c>
      <x:c r="C88" s="2" t="str">
        <x:v>MP</x:v>
      </x:c>
      <x:c r="D88" s="2" t="str">
        <x:v>Myzus persicae</x:v>
      </x:c>
      <x:c r="E88" s="2" t="str">
        <x:v>L8</x:v>
      </x:c>
      <x:c r="F88" s="2" t="n">
        <x:v>5</x:v>
      </x:c>
      <x:c r="G88" s="2" t="n">
        <x:f>E1_recuentos!J260</x:f>
        <x:v>5</x:v>
      </x:c>
      <x:c r="H88" s="2" t="n">
        <x:f>E1_recuentos!J261</x:f>
        <x:v>48</x:v>
      </x:c>
      <x:c r="I88" s="2" t="n">
        <x:f>E1_recuentos!J262</x:f>
        <x:v>120</x:v>
      </x:c>
      <x:c r="J88" s="2" t="str">
        <x:v>simulado_didactico</x:v>
      </x:c>
    </x:row>
    <x:row r="89" ht="19" customHeight="1">
      <x:c r="A89" s="2" t="str">
        <x:v>SIM-E1-MP-L8-R06</x:v>
      </x:c>
      <x:c r="B89" s="2" t="n">
        <x:v>3</x:v>
      </x:c>
      <x:c r="C89" s="2" t="str">
        <x:v>MP</x:v>
      </x:c>
      <x:c r="D89" s="2" t="str">
        <x:v>Myzus persicae</x:v>
      </x:c>
      <x:c r="E89" s="2" t="str">
        <x:v>L8</x:v>
      </x:c>
      <x:c r="F89" s="2" t="n">
        <x:v>6</x:v>
      </x:c>
      <x:c r="G89" s="2" t="n">
        <x:f>E1_recuentos!J263</x:f>
        <x:v>18</x:v>
      </x:c>
      <x:c r="H89" s="2" t="n">
        <x:f>E1_recuentos!J264</x:f>
        <x:v>25</x:v>
      </x:c>
      <x:c r="I89" s="2" t="n">
        <x:f>E1_recuentos!J265</x:f>
        <x:v>124</x:v>
      </x:c>
      <x:c r="J89" s="2" t="str">
        <x:v>simulado_didactico</x:v>
      </x:c>
    </x:row>
    <x:row r="90" ht="19" customHeight="1">
      <x:c r="A90" s="2" t="str">
        <x:v>SIM-E1-MP-L9-R05</x:v>
      </x:c>
      <x:c r="B90" s="2" t="n">
        <x:v>3</x:v>
      </x:c>
      <x:c r="C90" s="2" t="str">
        <x:v>MP</x:v>
      </x:c>
      <x:c r="D90" s="2" t="str">
        <x:v>Myzus persicae</x:v>
      </x:c>
      <x:c r="E90" s="2" t="str">
        <x:v>L9</x:v>
      </x:c>
      <x:c r="F90" s="2" t="n">
        <x:v>5</x:v>
      </x:c>
      <x:c r="G90" s="2" t="n">
        <x:f>E1_recuentos!J266</x:f>
        <x:v>22</x:v>
      </x:c>
      <x:c r="H90" s="2" t="n">
        <x:f>E1_recuentos!J267</x:f>
        <x:v>81</x:v>
      </x:c>
      <x:c r="I90" s="2" t="n">
        <x:f>E1_recuentos!J268</x:f>
        <x:v>312</x:v>
      </x:c>
      <x:c r="J90" s="2" t="str">
        <x:v>simulado_didactico</x:v>
      </x:c>
    </x:row>
    <x:row r="91" ht="19" customHeight="1">
      <x:c r="A91" s="2" t="str">
        <x:v>SIM-E1-MP-L9-R06</x:v>
      </x:c>
      <x:c r="B91" s="2" t="n">
        <x:v>3</x:v>
      </x:c>
      <x:c r="C91" s="2" t="str">
        <x:v>MP</x:v>
      </x:c>
      <x:c r="D91" s="2" t="str">
        <x:v>Myzus persicae</x:v>
      </x:c>
      <x:c r="E91" s="2" t="str">
        <x:v>L9</x:v>
      </x:c>
      <x:c r="F91" s="2" t="n">
        <x:v>6</x:v>
      </x:c>
      <x:c r="G91" s="2" t="n">
        <x:f>E1_recuentos!J269</x:f>
        <x:v>13</x:v>
      </x:c>
      <x:c r="H91" s="2" t="n">
        <x:f>E1_recuentos!J270</x:f>
        <x:v>72</x:v>
      </x:c>
      <x:c r="I91" s="2" t="n">
        <x:f>E1_recuentos!J271</x:f>
        <x:v>208</x:v>
      </x:c>
      <x:c r="J91" s="2" t="str">
        <x:v>simulado_didactico</x:v>
      </x:c>
    </x:row>
    <x:row r="92" ht="19" customHeight="1">
      <x:c r="A92" s="2" t="str">
        <x:v>SIM-E1-BB-L0-R05</x:v>
      </x:c>
      <x:c r="B92" s="2" t="n">
        <x:v>3</x:v>
      </x:c>
      <x:c r="C92" s="2" t="str">
        <x:v>BB</x:v>
      </x:c>
      <x:c r="D92" s="2" t="str">
        <x:v>Brevicoryne brassicae</x:v>
      </x:c>
      <x:c r="E92" s="2" t="str">
        <x:v>L0</x:v>
      </x:c>
      <x:c r="F92" s="2" t="n">
        <x:v>5</x:v>
      </x:c>
      <x:c r="G92" s="2" t="n">
        <x:f>E1_recuentos!J272</x:f>
        <x:v>22</x:v>
      </x:c>
      <x:c r="H92" s="2" t="n">
        <x:f>E1_recuentos!J273</x:f>
        <x:v>106</x:v>
      </x:c>
      <x:c r="I92" s="2" t="n">
        <x:f>E1_recuentos!J274</x:f>
        <x:v>282</x:v>
      </x:c>
      <x:c r="J92" s="2" t="str">
        <x:v>simulado_didactico</x:v>
      </x:c>
    </x:row>
    <x:row r="93" ht="19" customHeight="1">
      <x:c r="A93" s="2" t="str">
        <x:v>SIM-E1-BB-L0-R06</x:v>
      </x:c>
      <x:c r="B93" s="2" t="n">
        <x:v>3</x:v>
      </x:c>
      <x:c r="C93" s="2" t="str">
        <x:v>BB</x:v>
      </x:c>
      <x:c r="D93" s="2" t="str">
        <x:v>Brevicoryne brassicae</x:v>
      </x:c>
      <x:c r="E93" s="2" t="str">
        <x:v>L0</x:v>
      </x:c>
      <x:c r="F93" s="2" t="n">
        <x:v>6</x:v>
      </x:c>
      <x:c r="G93" s="2" t="n">
        <x:f>E1_recuentos!J275</x:f>
        <x:v>19</x:v>
      </x:c>
      <x:c r="H93" s="2" t="n">
        <x:f>E1_recuentos!J276</x:f>
        <x:v>67</x:v>
      </x:c>
      <x:c r="I93" s="2" t="n">
        <x:f>E1_recuentos!J277</x:f>
        <x:v>318</x:v>
      </x:c>
      <x:c r="J93" s="2" t="str">
        <x:v>simulado_didactico</x:v>
      </x:c>
    </x:row>
    <x:row r="94" ht="19" customHeight="1">
      <x:c r="A94" s="2" t="str">
        <x:v>SIM-E1-BB-L1-R05</x:v>
      </x:c>
      <x:c r="B94" s="2" t="n">
        <x:v>3</x:v>
      </x:c>
      <x:c r="C94" s="2" t="str">
        <x:v>BB</x:v>
      </x:c>
      <x:c r="D94" s="2" t="str">
        <x:v>Brevicoryne brassicae</x:v>
      </x:c>
      <x:c r="E94" s="2" t="str">
        <x:v>L1</x:v>
      </x:c>
      <x:c r="F94" s="2" t="n">
        <x:v>5</x:v>
      </x:c>
      <x:c r="G94" s="2" t="n">
        <x:f>E1_recuentos!J278</x:f>
        <x:v>15</x:v>
      </x:c>
      <x:c r="H94" s="2" t="n">
        <x:f>E1_recuentos!J279</x:f>
        <x:v>77</x:v>
      </x:c>
      <x:c r="I94" s="2" t="n">
        <x:f>E1_recuentos!J280</x:f>
        <x:v>222</x:v>
      </x:c>
      <x:c r="J94" s="2" t="str">
        <x:v>simulado_didactico</x:v>
      </x:c>
    </x:row>
    <x:row r="95" ht="19" customHeight="1">
      <x:c r="A95" s="2" t="str">
        <x:v>SIM-E1-BB-L1-R06</x:v>
      </x:c>
      <x:c r="B95" s="2" t="n">
        <x:v>3</x:v>
      </x:c>
      <x:c r="C95" s="2" t="str">
        <x:v>BB</x:v>
      </x:c>
      <x:c r="D95" s="2" t="str">
        <x:v>Brevicoryne brassicae</x:v>
      </x:c>
      <x:c r="E95" s="2" t="str">
        <x:v>L1</x:v>
      </x:c>
      <x:c r="F95" s="2" t="n">
        <x:v>6</x:v>
      </x:c>
      <x:c r="G95" s="2" t="n">
        <x:f>E1_recuentos!J281</x:f>
        <x:v>14</x:v>
      </x:c>
      <x:c r="H95" s="2" t="n">
        <x:f>E1_recuentos!J282</x:f>
        <x:v>120</x:v>
      </x:c>
      <x:c r="I95" s="2" t="n">
        <x:f>E1_recuentos!J283</x:f>
        <x:v>371</x:v>
      </x:c>
      <x:c r="J95" s="2" t="str">
        <x:v>simulado_didactico</x:v>
      </x:c>
    </x:row>
    <x:row r="96" ht="19" customHeight="1">
      <x:c r="A96" s="2" t="str">
        <x:v>SIM-E1-BB-L2-R05</x:v>
      </x:c>
      <x:c r="B96" s="2" t="n">
        <x:v>3</x:v>
      </x:c>
      <x:c r="C96" s="2" t="str">
        <x:v>BB</x:v>
      </x:c>
      <x:c r="D96" s="2" t="str">
        <x:v>Brevicoryne brassicae</x:v>
      </x:c>
      <x:c r="E96" s="2" t="str">
        <x:v>L2</x:v>
      </x:c>
      <x:c r="F96" s="2" t="n">
        <x:v>5</x:v>
      </x:c>
      <x:c r="G96" s="2" t="n">
        <x:f>E1_recuentos!J284</x:f>
        <x:v>15</x:v>
      </x:c>
      <x:c r="H96" s="2" t="n">
        <x:f>E1_recuentos!J285</x:f>
        <x:v>57</x:v>
      </x:c>
      <x:c r="I96" s="2" t="n">
        <x:f>E1_recuentos!J286</x:f>
        <x:v>149</x:v>
      </x:c>
      <x:c r="J96" s="2" t="str">
        <x:v>simulado_didactico</x:v>
      </x:c>
    </x:row>
    <x:row r="97" ht="19" customHeight="1">
      <x:c r="A97" s="2" t="str">
        <x:v>SIM-E1-BB-L2-R06</x:v>
      </x:c>
      <x:c r="B97" s="2" t="n">
        <x:v>3</x:v>
      </x:c>
      <x:c r="C97" s="2" t="str">
        <x:v>BB</x:v>
      </x:c>
      <x:c r="D97" s="2" t="str">
        <x:v>Brevicoryne brassicae</x:v>
      </x:c>
      <x:c r="E97" s="2" t="str">
        <x:v>L2</x:v>
      </x:c>
      <x:c r="F97" s="2" t="n">
        <x:v>6</x:v>
      </x:c>
      <x:c r="G97" s="2" t="n">
        <x:f>E1_recuentos!J287</x:f>
        <x:v>16</x:v>
      </x:c>
      <x:c r="H97" s="2" t="n">
        <x:f>E1_recuentos!J288</x:f>
        <x:v>67</x:v>
      </x:c>
      <x:c r="I97" s="2" t="n">
        <x:f>E1_recuentos!J289</x:f>
        <x:v>218</x:v>
      </x:c>
      <x:c r="J97" s="2" t="str">
        <x:v>simulado_didactico</x:v>
      </x:c>
    </x:row>
    <x:row r="98" ht="19" customHeight="1">
      <x:c r="A98" s="2" t="str">
        <x:v>SIM-E1-BB-L3-R05</x:v>
      </x:c>
      <x:c r="B98" s="2" t="n">
        <x:v>3</x:v>
      </x:c>
      <x:c r="C98" s="2" t="str">
        <x:v>BB</x:v>
      </x:c>
      <x:c r="D98" s="2" t="str">
        <x:v>Brevicoryne brassicae</x:v>
      </x:c>
      <x:c r="E98" s="2" t="str">
        <x:v>L3</x:v>
      </x:c>
      <x:c r="F98" s="2" t="n">
        <x:v>5</x:v>
      </x:c>
      <x:c r="G98" s="2" t="n">
        <x:f>E1_recuentos!J290</x:f>
        <x:v>15</x:v>
      </x:c>
      <x:c r="H98" s="2" t="n">
        <x:f>E1_recuentos!J291</x:f>
        <x:v>108</x:v>
      </x:c>
      <x:c r="I98" s="2" t="n">
        <x:f>E1_recuentos!J292</x:f>
        <x:v>167</x:v>
      </x:c>
      <x:c r="J98" s="2" t="str">
        <x:v>simulado_didactico</x:v>
      </x:c>
    </x:row>
    <x:row r="99" ht="19" customHeight="1">
      <x:c r="A99" s="2" t="str">
        <x:v>SIM-E1-BB-L3-R06</x:v>
      </x:c>
      <x:c r="B99" s="2" t="n">
        <x:v>3</x:v>
      </x:c>
      <x:c r="C99" s="2" t="str">
        <x:v>BB</x:v>
      </x:c>
      <x:c r="D99" s="2" t="str">
        <x:v>Brevicoryne brassicae</x:v>
      </x:c>
      <x:c r="E99" s="2" t="str">
        <x:v>L3</x:v>
      </x:c>
      <x:c r="F99" s="2" t="n">
        <x:v>6</x:v>
      </x:c>
      <x:c r="G99" s="2" t="n">
        <x:f>E1_recuentos!J293</x:f>
        <x:v>8</x:v>
      </x:c>
      <x:c r="H99" s="2" t="n">
        <x:f>E1_recuentos!J294</x:f>
        <x:v>76</x:v>
      </x:c>
      <x:c r="I99" s="2" t="n">
        <x:f>E1_recuentos!J295</x:f>
        <x:v>122</x:v>
      </x:c>
      <x:c r="J99" s="2" t="str">
        <x:v>simulado_didactico</x:v>
      </x:c>
    </x:row>
    <x:row r="100" ht="19" customHeight="1">
      <x:c r="A100" s="2" t="str">
        <x:v>SIM-E1-BB-L5-R05</x:v>
      </x:c>
      <x:c r="B100" s="2" t="n">
        <x:v>3</x:v>
      </x:c>
      <x:c r="C100" s="2" t="str">
        <x:v>BB</x:v>
      </x:c>
      <x:c r="D100" s="2" t="str">
        <x:v>Brevicoryne brassicae</x:v>
      </x:c>
      <x:c r="E100" s="2" t="str">
        <x:v>L5</x:v>
      </x:c>
      <x:c r="F100" s="2" t="n">
        <x:v>5</x:v>
      </x:c>
      <x:c r="G100" s="2" t="n">
        <x:f>E1_recuentos!J296</x:f>
        <x:v>9</x:v>
      </x:c>
      <x:c r="H100" s="2" t="n">
        <x:f>E1_recuentos!J297</x:f>
        <x:v>37</x:v>
      </x:c>
      <x:c r="I100" s="2" t="n">
        <x:f>E1_recuentos!J298</x:f>
        <x:v>90</x:v>
      </x:c>
      <x:c r="J100" s="2" t="str">
        <x:v>simulado_didactico</x:v>
      </x:c>
    </x:row>
    <x:row r="101" ht="19" customHeight="1">
      <x:c r="A101" s="2" t="str">
        <x:v>SIM-E1-BB-L5-R06</x:v>
      </x:c>
      <x:c r="B101" s="2" t="n">
        <x:v>3</x:v>
      </x:c>
      <x:c r="C101" s="2" t="str">
        <x:v>BB</x:v>
      </x:c>
      <x:c r="D101" s="2" t="str">
        <x:v>Brevicoryne brassicae</x:v>
      </x:c>
      <x:c r="E101" s="2" t="str">
        <x:v>L5</x:v>
      </x:c>
      <x:c r="F101" s="2" t="n">
        <x:v>6</x:v>
      </x:c>
      <x:c r="G101" s="2" t="n">
        <x:f>E1_recuentos!J299</x:f>
        <x:v>13</x:v>
      </x:c>
      <x:c r="H101" s="2" t="n">
        <x:f>E1_recuentos!J300</x:f>
        <x:v>41</x:v>
      </x:c>
      <x:c r="I101" s="2" t="n">
        <x:f>E1_recuentos!J301</x:f>
        <x:v>112</x:v>
      </x:c>
      <x:c r="J101" s="2" t="str">
        <x:v>simulado_didactico</x:v>
      </x:c>
    </x:row>
    <x:row r="102" ht="19" customHeight="1">
      <x:c r="A102" s="2" t="str">
        <x:v>SIM-E1-BB-L6-R05</x:v>
      </x:c>
      <x:c r="B102" s="2" t="n">
        <x:v>3</x:v>
      </x:c>
      <x:c r="C102" s="2" t="str">
        <x:v>BB</x:v>
      </x:c>
      <x:c r="D102" s="2" t="str">
        <x:v>Brevicoryne brassicae</x:v>
      </x:c>
      <x:c r="E102" s="2" t="str">
        <x:v>L6</x:v>
      </x:c>
      <x:c r="F102" s="2" t="n">
        <x:v>5</x:v>
      </x:c>
      <x:c r="G102" s="2" t="n">
        <x:f>E1_recuentos!J302</x:f>
        <x:v>28</x:v>
      </x:c>
      <x:c r="H102" s="2" t="n">
        <x:f>E1_recuentos!J303</x:f>
        <x:v>101</x:v>
      </x:c>
      <x:c r="I102" s="2" t="n">
        <x:f>E1_recuentos!J304</x:f>
        <x:v>337</x:v>
      </x:c>
      <x:c r="J102" s="2" t="str">
        <x:v>simulado_didactico</x:v>
      </x:c>
    </x:row>
    <x:row r="103" ht="19" customHeight="1">
      <x:c r="A103" s="2" t="str">
        <x:v>SIM-E1-BB-L6-R06</x:v>
      </x:c>
      <x:c r="B103" s="2" t="n">
        <x:v>3</x:v>
      </x:c>
      <x:c r="C103" s="2" t="str">
        <x:v>BB</x:v>
      </x:c>
      <x:c r="D103" s="2" t="str">
        <x:v>Brevicoryne brassicae</x:v>
      </x:c>
      <x:c r="E103" s="2" t="str">
        <x:v>L6</x:v>
      </x:c>
      <x:c r="F103" s="2" t="n">
        <x:v>6</x:v>
      </x:c>
      <x:c r="G103" s="2" t="n">
        <x:f>E1_recuentos!J305</x:f>
        <x:v>13</x:v>
      </x:c>
      <x:c r="H103" s="2" t="n">
        <x:f>E1_recuentos!J306</x:f>
        <x:v>49</x:v>
      </x:c>
      <x:c r="I103" s="2" t="n">
        <x:f>E1_recuentos!J307</x:f>
        <x:v>188</x:v>
      </x:c>
      <x:c r="J103" s="2" t="str">
        <x:v>simulado_didactico</x:v>
      </x:c>
    </x:row>
    <x:row r="104" ht="19" customHeight="1">
      <x:c r="A104" s="2" t="str">
        <x:v>SIM-E1-BB-L7-R05</x:v>
      </x:c>
      <x:c r="B104" s="2" t="n">
        <x:v>3</x:v>
      </x:c>
      <x:c r="C104" s="2" t="str">
        <x:v>BB</x:v>
      </x:c>
      <x:c r="D104" s="2" t="str">
        <x:v>Brevicoryne brassicae</x:v>
      </x:c>
      <x:c r="E104" s="2" t="str">
        <x:v>L7</x:v>
      </x:c>
      <x:c r="F104" s="2" t="n">
        <x:v>5</x:v>
      </x:c>
      <x:c r="G104" s="2" t="n">
        <x:f>E1_recuentos!J308</x:f>
        <x:v>10</x:v>
      </x:c>
      <x:c r="H104" s="2" t="n">
        <x:f>E1_recuentos!J309</x:f>
        <x:v>51</x:v>
      </x:c>
      <x:c r="I104" s="2" t="n">
        <x:f>E1_recuentos!J310</x:f>
        <x:v>113</x:v>
      </x:c>
      <x:c r="J104" s="2" t="str">
        <x:v>simulado_didactico</x:v>
      </x:c>
    </x:row>
    <x:row r="105" ht="19" customHeight="1">
      <x:c r="A105" s="2" t="str">
        <x:v>SIM-E1-BB-L7-R06</x:v>
      </x:c>
      <x:c r="B105" s="2" t="n">
        <x:v>3</x:v>
      </x:c>
      <x:c r="C105" s="2" t="str">
        <x:v>BB</x:v>
      </x:c>
      <x:c r="D105" s="2" t="str">
        <x:v>Brevicoryne brassicae</x:v>
      </x:c>
      <x:c r="E105" s="2" t="str">
        <x:v>L7</x:v>
      </x:c>
      <x:c r="F105" s="2" t="n">
        <x:v>6</x:v>
      </x:c>
      <x:c r="G105" s="2" t="n">
        <x:f>E1_recuentos!J311</x:f>
        <x:v>3</x:v>
      </x:c>
      <x:c r="H105" s="2" t="n">
        <x:f>E1_recuentos!J312</x:f>
        <x:v>62</x:v>
      </x:c>
      <x:c r="I105" s="2" t="n">
        <x:f>E1_recuentos!J313</x:f>
        <x:v>134</x:v>
      </x:c>
      <x:c r="J105" s="2" t="str">
        <x:v>simulado_didactico</x:v>
      </x:c>
    </x:row>
    <x:row r="106" ht="19" customHeight="1">
      <x:c r="A106" s="2" t="str">
        <x:v>SIM-E1-BB-L8-R05</x:v>
      </x:c>
      <x:c r="B106" s="2" t="n">
        <x:v>3</x:v>
      </x:c>
      <x:c r="C106" s="2" t="str">
        <x:v>BB</x:v>
      </x:c>
      <x:c r="D106" s="2" t="str">
        <x:v>Brevicoryne brassicae</x:v>
      </x:c>
      <x:c r="E106" s="2" t="str">
        <x:v>L8</x:v>
      </x:c>
      <x:c r="F106" s="2" t="n">
        <x:v>5</x:v>
      </x:c>
      <x:c r="G106" s="2" t="n">
        <x:f>E1_recuentos!J314</x:f>
        <x:v>11</x:v>
      </x:c>
      <x:c r="H106" s="2" t="n">
        <x:f>E1_recuentos!J315</x:f>
        <x:v>64</x:v>
      </x:c>
      <x:c r="I106" s="2" t="n">
        <x:f>E1_recuentos!J316</x:f>
        <x:v>100</x:v>
      </x:c>
      <x:c r="J106" s="2" t="str">
        <x:v>simulado_didactico</x:v>
      </x:c>
    </x:row>
    <x:row r="107" ht="19" customHeight="1">
      <x:c r="A107" s="2" t="str">
        <x:v>SIM-E1-BB-L8-R06</x:v>
      </x:c>
      <x:c r="B107" s="2" t="n">
        <x:v>3</x:v>
      </x:c>
      <x:c r="C107" s="2" t="str">
        <x:v>BB</x:v>
      </x:c>
      <x:c r="D107" s="2" t="str">
        <x:v>Brevicoryne brassicae</x:v>
      </x:c>
      <x:c r="E107" s="2" t="str">
        <x:v>L8</x:v>
      </x:c>
      <x:c r="F107" s="2" t="n">
        <x:v>6</x:v>
      </x:c>
      <x:c r="G107" s="2" t="n">
        <x:f>E1_recuentos!J317</x:f>
        <x:v>6</x:v>
      </x:c>
      <x:c r="H107" s="2" t="n">
        <x:f>E1_recuentos!J318</x:f>
        <x:v>29</x:v>
      </x:c>
      <x:c r="I107" s="2" t="n">
        <x:f>E1_recuentos!J319</x:f>
        <x:v>98</x:v>
      </x:c>
      <x:c r="J107" s="2" t="str">
        <x:v>simulado_didactico</x:v>
      </x:c>
    </x:row>
    <x:row r="108" ht="19" customHeight="1">
      <x:c r="A108" s="2" t="str">
        <x:v>SIM-E1-BB-L9-R05</x:v>
      </x:c>
      <x:c r="B108" s="2" t="n">
        <x:v>3</x:v>
      </x:c>
      <x:c r="C108" s="2" t="str">
        <x:v>BB</x:v>
      </x:c>
      <x:c r="D108" s="2" t="str">
        <x:v>Brevicoryne brassicae</x:v>
      </x:c>
      <x:c r="E108" s="2" t="str">
        <x:v>L9</x:v>
      </x:c>
      <x:c r="F108" s="2" t="n">
        <x:v>5</x:v>
      </x:c>
      <x:c r="G108" s="2" t="n">
        <x:f>E1_recuentos!J320</x:f>
        <x:v>19</x:v>
      </x:c>
      <x:c r="H108" s="2" t="n">
        <x:f>E1_recuentos!J321</x:f>
        <x:v>87</x:v>
      </x:c>
      <x:c r="I108" s="2" t="n">
        <x:f>E1_recuentos!J322</x:f>
        <x:v>290</x:v>
      </x:c>
      <x:c r="J108" s="2" t="str">
        <x:v>simulado_didactico</x:v>
      </x:c>
    </x:row>
    <x:row r="109" ht="19" customHeight="1">
      <x:c r="A109" s="2" t="str">
        <x:v>SIM-E1-BB-L9-R06</x:v>
      </x:c>
      <x:c r="B109" s="2" t="n">
        <x:v>3</x:v>
      </x:c>
      <x:c r="C109" s="2" t="str">
        <x:v>BB</x:v>
      </x:c>
      <x:c r="D109" s="2" t="str">
        <x:v>Brevicoryne brassicae</x:v>
      </x:c>
      <x:c r="E109" s="2" t="str">
        <x:v>L9</x:v>
      </x:c>
      <x:c r="F109" s="2" t="n">
        <x:v>6</x:v>
      </x:c>
      <x:c r="G109" s="2" t="n">
        <x:f>E1_recuentos!J323</x:f>
        <x:v>21</x:v>
      </x:c>
      <x:c r="H109" s="2" t="n">
        <x:f>E1_recuentos!J324</x:f>
        <x:v>116</x:v>
      </x:c>
      <x:c r="I109" s="2" t="n">
        <x:f>E1_recuentos!J325</x:f>
        <x:v>238</x:v>
      </x:c>
      <x:c r="J109" s="2" t="str">
        <x:v>simulado_didactico</x:v>
      </x:c>
    </x:row>
    <x:row r="110" ht="19" customHeight="1">
      <x:c r="A110" s="2" t="str">
        <x:v>SIM-E1-MP-L0-R07</x:v>
      </x:c>
      <x:c r="B110" s="2" t="n">
        <x:v>4</x:v>
      </x:c>
      <x:c r="C110" s="2" t="str">
        <x:v>MP</x:v>
      </x:c>
      <x:c r="D110" s="2" t="str">
        <x:v>Myzus persicae</x:v>
      </x:c>
      <x:c r="E110" s="2" t="str">
        <x:v>L0</x:v>
      </x:c>
      <x:c r="F110" s="2" t="n">
        <x:v>7</x:v>
      </x:c>
      <x:c r="G110" s="2" t="n">
        <x:f>E1_recuentos!J326</x:f>
        <x:v>14</x:v>
      </x:c>
      <x:c r="H110" s="2" t="n">
        <x:f>E1_recuentos!J327</x:f>
        <x:v>58</x:v>
      </x:c>
      <x:c r="I110" s="2" t="n">
        <x:f>E1_recuentos!J328</x:f>
        <x:v>153</x:v>
      </x:c>
      <x:c r="J110" s="2" t="str">
        <x:v>simulado_didactico</x:v>
      </x:c>
    </x:row>
    <x:row r="111" ht="19" customHeight="1">
      <x:c r="A111" s="2" t="str">
        <x:v>SIM-E1-MP-L0-R08</x:v>
      </x:c>
      <x:c r="B111" s="2" t="n">
        <x:v>4</x:v>
      </x:c>
      <x:c r="C111" s="2" t="str">
        <x:v>MP</x:v>
      </x:c>
      <x:c r="D111" s="2" t="str">
        <x:v>Myzus persicae</x:v>
      </x:c>
      <x:c r="E111" s="2" t="str">
        <x:v>L0</x:v>
      </x:c>
      <x:c r="F111" s="2" t="n">
        <x:v>8</x:v>
      </x:c>
      <x:c r="G111" s="2" t="n">
        <x:f>E1_recuentos!J329</x:f>
        <x:v>27</x:v>
      </x:c>
      <x:c r="H111" s="2" t="n">
        <x:f>E1_recuentos!J330</x:f>
        <x:v>102</x:v>
      </x:c>
      <x:c r="I111" s="2" t="n">
        <x:f>E1_recuentos!J331</x:f>
        <x:v>276</x:v>
      </x:c>
      <x:c r="J111" s="2" t="str">
        <x:v>simulado_didactico</x:v>
      </x:c>
    </x:row>
    <x:row r="112" ht="19" customHeight="1">
      <x:c r="A112" s="2" t="str">
        <x:v>SIM-E1-MP-L1-R07</x:v>
      </x:c>
      <x:c r="B112" s="2" t="n">
        <x:v>4</x:v>
      </x:c>
      <x:c r="C112" s="2" t="str">
        <x:v>MP</x:v>
      </x:c>
      <x:c r="D112" s="2" t="str">
        <x:v>Myzus persicae</x:v>
      </x:c>
      <x:c r="E112" s="2" t="str">
        <x:v>L1</x:v>
      </x:c>
      <x:c r="F112" s="2" t="n">
        <x:v>7</x:v>
      </x:c>
      <x:c r="G112" s="2" t="n">
        <x:f>E1_recuentos!J332</x:f>
        <x:v>12</x:v>
      </x:c>
      <x:c r="H112" s="2" t="n">
        <x:f>E1_recuentos!J333</x:f>
        <x:v>55</x:v>
      </x:c>
      <x:c r="I112" s="2" t="n">
        <x:f>E1_recuentos!J334</x:f>
        <x:v>131</x:v>
      </x:c>
      <x:c r="J112" s="2" t="str">
        <x:v>simulado_didactico</x:v>
      </x:c>
    </x:row>
    <x:row r="113" ht="19" customHeight="1">
      <x:c r="A113" s="2" t="str">
        <x:v>SIM-E1-MP-L1-R08</x:v>
      </x:c>
      <x:c r="B113" s="2" t="n">
        <x:v>4</x:v>
      </x:c>
      <x:c r="C113" s="2" t="str">
        <x:v>MP</x:v>
      </x:c>
      <x:c r="D113" s="2" t="str">
        <x:v>Myzus persicae</x:v>
      </x:c>
      <x:c r="E113" s="2" t="str">
        <x:v>L1</x:v>
      </x:c>
      <x:c r="F113" s="2" t="n">
        <x:v>8</x:v>
      </x:c>
      <x:c r="G113" s="2" t="n">
        <x:f>E1_recuentos!J335</x:f>
        <x:v>33</x:v>
      </x:c>
      <x:c r="H113" s="2" t="n">
        <x:f>E1_recuentos!J336</x:f>
        <x:v>90</x:v>
      </x:c>
      <x:c r="I113" s="2" t="n">
        <x:f>E1_recuentos!J337</x:f>
        <x:v>218</x:v>
      </x:c>
      <x:c r="J113" s="2" t="str">
        <x:v>simulado_didactico</x:v>
      </x:c>
    </x:row>
    <x:row r="114" ht="19" customHeight="1">
      <x:c r="A114" s="2" t="str">
        <x:v>SIM-E1-MP-L2-R07</x:v>
      </x:c>
      <x:c r="B114" s="2" t="n">
        <x:v>4</x:v>
      </x:c>
      <x:c r="C114" s="2" t="str">
        <x:v>MP</x:v>
      </x:c>
      <x:c r="D114" s="2" t="str">
        <x:v>Myzus persicae</x:v>
      </x:c>
      <x:c r="E114" s="2" t="str">
        <x:v>L2</x:v>
      </x:c>
      <x:c r="F114" s="2" t="n">
        <x:v>7</x:v>
      </x:c>
      <x:c r="G114" s="2" t="n">
        <x:f>E1_recuentos!J338</x:f>
        <x:v>8</x:v>
      </x:c>
      <x:c r="H114" s="2" t="n">
        <x:f>E1_recuentos!J339</x:f>
        <x:v>33</x:v>
      </x:c>
      <x:c r="I114" s="2" t="n">
        <x:f>E1_recuentos!J340</x:f>
        <x:v>82</x:v>
      </x:c>
      <x:c r="J114" s="2" t="str">
        <x:v>simulado_didactico</x:v>
      </x:c>
    </x:row>
    <x:row r="115" ht="19" customHeight="1">
      <x:c r="A115" s="2" t="str">
        <x:v>SIM-E1-MP-L2-R08</x:v>
      </x:c>
      <x:c r="B115" s="2" t="n">
        <x:v>4</x:v>
      </x:c>
      <x:c r="C115" s="2" t="str">
        <x:v>MP</x:v>
      </x:c>
      <x:c r="D115" s="2" t="str">
        <x:v>Myzus persicae</x:v>
      </x:c>
      <x:c r="E115" s="2" t="str">
        <x:v>L2</x:v>
      </x:c>
      <x:c r="F115" s="2" t="n">
        <x:v>8</x:v>
      </x:c>
      <x:c r="G115" s="2" t="n">
        <x:f>E1_recuentos!J341</x:f>
        <x:v>12</x:v>
      </x:c>
      <x:c r="H115" s="2" t="n">
        <x:f>E1_recuentos!J342</x:f>
        <x:v>82</x:v>
      </x:c>
      <x:c r="I115" s="2" t="n">
        <x:f>E1_recuentos!J343</x:f>
        <x:v>148</x:v>
      </x:c>
      <x:c r="J115" s="2" t="str">
        <x:v>simulado_didactico</x:v>
      </x:c>
    </x:row>
    <x:row r="116" ht="19" customHeight="1">
      <x:c r="A116" s="2" t="str">
        <x:v>SIM-E1-MP-L3-R07</x:v>
      </x:c>
      <x:c r="B116" s="2" t="n">
        <x:v>4</x:v>
      </x:c>
      <x:c r="C116" s="2" t="str">
        <x:v>MP</x:v>
      </x:c>
      <x:c r="D116" s="2" t="str">
        <x:v>Myzus persicae</x:v>
      </x:c>
      <x:c r="E116" s="2" t="str">
        <x:v>L3</x:v>
      </x:c>
      <x:c r="F116" s="2" t="n">
        <x:v>7</x:v>
      </x:c>
      <x:c r="G116" s="2" t="n">
        <x:f>E1_recuentos!J344</x:f>
        <x:v>24</x:v>
      </x:c>
      <x:c r="H116" s="2" t="n">
        <x:f>E1_recuentos!J345</x:f>
        <x:v>103</x:v>
      </x:c>
      <x:c r="I116" s="2" t="n">
        <x:f>E1_recuentos!J346</x:f>
        <x:v>208</x:v>
      </x:c>
      <x:c r="J116" s="2" t="str">
        <x:v>simulado_didactico</x:v>
      </x:c>
    </x:row>
    <x:row r="117" ht="19" customHeight="1">
      <x:c r="A117" s="2" t="str">
        <x:v>SIM-E1-MP-L3-R08</x:v>
      </x:c>
      <x:c r="B117" s="2" t="n">
        <x:v>4</x:v>
      </x:c>
      <x:c r="C117" s="2" t="str">
        <x:v>MP</x:v>
      </x:c>
      <x:c r="D117" s="2" t="str">
        <x:v>Myzus persicae</x:v>
      </x:c>
      <x:c r="E117" s="2" t="str">
        <x:v>L3</x:v>
      </x:c>
      <x:c r="F117" s="2" t="n">
        <x:v>8</x:v>
      </x:c>
      <x:c r="G117" s="2" t="n">
        <x:f>E1_recuentos!J347</x:f>
        <x:v>22</x:v>
      </x:c>
      <x:c r="H117" s="2" t="n">
        <x:f>E1_recuentos!J348</x:f>
        <x:v>76</x:v>
      </x:c>
      <x:c r="I117" s="2" t="n">
        <x:f>E1_recuentos!J349</x:f>
        <x:v>208</x:v>
      </x:c>
      <x:c r="J117" s="2" t="str">
        <x:v>simulado_didactico</x:v>
      </x:c>
    </x:row>
    <x:row r="118" ht="19" customHeight="1">
      <x:c r="A118" s="2" t="str">
        <x:v>SIM-E1-MP-L5-R07</x:v>
      </x:c>
      <x:c r="B118" s="2" t="n">
        <x:v>4</x:v>
      </x:c>
      <x:c r="C118" s="2" t="str">
        <x:v>MP</x:v>
      </x:c>
      <x:c r="D118" s="2" t="str">
        <x:v>Myzus persicae</x:v>
      </x:c>
      <x:c r="E118" s="2" t="str">
        <x:v>L5</x:v>
      </x:c>
      <x:c r="F118" s="2" t="n">
        <x:v>7</x:v>
      </x:c>
      <x:c r="G118" s="2" t="n">
        <x:f>E1_recuentos!J350</x:f>
        <x:v>12</x:v>
      </x:c>
      <x:c r="H118" s="2" t="n">
        <x:f>E1_recuentos!J351</x:f>
        <x:v>35</x:v>
      </x:c>
      <x:c r="I118" s="2" t="n">
        <x:f>E1_recuentos!J352</x:f>
        <x:v>126</x:v>
      </x:c>
      <x:c r="J118" s="2" t="str">
        <x:v>simulado_didactico</x:v>
      </x:c>
    </x:row>
    <x:row r="119" ht="19" customHeight="1">
      <x:c r="A119" s="2" t="str">
        <x:v>SIM-E1-MP-L5-R08</x:v>
      </x:c>
      <x:c r="B119" s="2" t="n">
        <x:v>4</x:v>
      </x:c>
      <x:c r="C119" s="2" t="str">
        <x:v>MP</x:v>
      </x:c>
      <x:c r="D119" s="2" t="str">
        <x:v>Myzus persicae</x:v>
      </x:c>
      <x:c r="E119" s="2" t="str">
        <x:v>L5</x:v>
      </x:c>
      <x:c r="F119" s="2" t="n">
        <x:v>8</x:v>
      </x:c>
      <x:c r="G119" s="2" t="n">
        <x:f>E1_recuentos!J353</x:f>
        <x:v>16</x:v>
      </x:c>
      <x:c r="H119" s="2" t="n">
        <x:f>E1_recuentos!J354</x:f>
        <x:v>60</x:v>
      </x:c>
      <x:c r="I119" s="2" t="n">
        <x:f>E1_recuentos!J355</x:f>
        <x:v>105</x:v>
      </x:c>
      <x:c r="J119" s="2" t="str">
        <x:v>simulado_didactico</x:v>
      </x:c>
    </x:row>
    <x:row r="120" ht="19" customHeight="1">
      <x:c r="A120" s="2" t="str">
        <x:v>SIM-E1-MP-L6-R07</x:v>
      </x:c>
      <x:c r="B120" s="2" t="n">
        <x:v>4</x:v>
      </x:c>
      <x:c r="C120" s="2" t="str">
        <x:v>MP</x:v>
      </x:c>
      <x:c r="D120" s="2" t="str">
        <x:v>Myzus persicae</x:v>
      </x:c>
      <x:c r="E120" s="2" t="str">
        <x:v>L6</x:v>
      </x:c>
      <x:c r="F120" s="2" t="n">
        <x:v>7</x:v>
      </x:c>
      <x:c r="G120" s="2" t="n">
        <x:f>E1_recuentos!J356</x:f>
        <x:v>15</x:v>
      </x:c>
      <x:c r="H120" s="2" t="n">
        <x:f>E1_recuentos!J357</x:f>
        <x:v>61</x:v>
      </x:c>
      <x:c r="I120" s="2" t="n">
        <x:f>E1_recuentos!J358</x:f>
        <x:v>117</x:v>
      </x:c>
      <x:c r="J120" s="2" t="str">
        <x:v>simulado_didactico</x:v>
      </x:c>
    </x:row>
    <x:row r="121" ht="19" customHeight="1">
      <x:c r="A121" s="2" t="str">
        <x:v>SIM-E1-MP-L6-R08</x:v>
      </x:c>
      <x:c r="B121" s="2" t="n">
        <x:v>4</x:v>
      </x:c>
      <x:c r="C121" s="2" t="str">
        <x:v>MP</x:v>
      </x:c>
      <x:c r="D121" s="2" t="str">
        <x:v>Myzus persicae</x:v>
      </x:c>
      <x:c r="E121" s="2" t="str">
        <x:v>L6</x:v>
      </x:c>
      <x:c r="F121" s="2" t="n">
        <x:v>8</x:v>
      </x:c>
      <x:c r="G121" s="2" t="n">
        <x:f>E1_recuentos!J359</x:f>
        <x:v>7</x:v>
      </x:c>
      <x:c r="H121" s="2" t="n">
        <x:f>E1_recuentos!J360</x:f>
        <x:v>40</x:v>
      </x:c>
      <x:c r="I121" s="2" t="n">
        <x:f>E1_recuentos!J361</x:f>
        <x:v>168</x:v>
      </x:c>
      <x:c r="J121" s="2" t="str">
        <x:v>simulado_didactico</x:v>
      </x:c>
    </x:row>
    <x:row r="122" ht="19" customHeight="1">
      <x:c r="A122" s="2" t="str">
        <x:v>SIM-E1-MP-L7-R07</x:v>
      </x:c>
      <x:c r="B122" s="2" t="n">
        <x:v>4</x:v>
      </x:c>
      <x:c r="C122" s="2" t="str">
        <x:v>MP</x:v>
      </x:c>
      <x:c r="D122" s="2" t="str">
        <x:v>Myzus persicae</x:v>
      </x:c>
      <x:c r="E122" s="2" t="str">
        <x:v>L7</x:v>
      </x:c>
      <x:c r="F122" s="2" t="n">
        <x:v>7</x:v>
      </x:c>
      <x:c r="G122" s="2" t="n">
        <x:f>E1_recuentos!J362</x:f>
        <x:v>4</x:v>
      </x:c>
      <x:c r="H122" s="2" t="n">
        <x:f>E1_recuentos!J363</x:f>
        <x:v>34</x:v>
      </x:c>
      <x:c r="I122" s="2" t="n">
        <x:f>E1_recuentos!J364</x:f>
        <x:v>48</x:v>
      </x:c>
      <x:c r="J122" s="2" t="str">
        <x:v>simulado_didactico</x:v>
      </x:c>
    </x:row>
    <x:row r="123" ht="19" customHeight="1">
      <x:c r="A123" s="2" t="str">
        <x:v>SIM-E1-MP-L7-R08</x:v>
      </x:c>
      <x:c r="B123" s="2" t="n">
        <x:v>4</x:v>
      </x:c>
      <x:c r="C123" s="2" t="str">
        <x:v>MP</x:v>
      </x:c>
      <x:c r="D123" s="2" t="str">
        <x:v>Myzus persicae</x:v>
      </x:c>
      <x:c r="E123" s="2" t="str">
        <x:v>L7</x:v>
      </x:c>
      <x:c r="F123" s="2" t="n">
        <x:v>8</x:v>
      </x:c>
      <x:c r="G123" s="2" t="n">
        <x:f>E1_recuentos!J365</x:f>
        <x:v>7</x:v>
      </x:c>
      <x:c r="H123" s="2" t="n">
        <x:f>E1_recuentos!J366</x:f>
        <x:v>23</x:v>
      </x:c>
      <x:c r="I123" s="2" t="n">
        <x:f>E1_recuentos!J367</x:f>
        <x:v>57</x:v>
      </x:c>
      <x:c r="J123" s="2" t="str">
        <x:v>simulado_didactico</x:v>
      </x:c>
    </x:row>
    <x:row r="124" ht="19" customHeight="1">
      <x:c r="A124" s="2" t="str">
        <x:v>SIM-E1-MP-L8-R07</x:v>
      </x:c>
      <x:c r="B124" s="2" t="n">
        <x:v>4</x:v>
      </x:c>
      <x:c r="C124" s="2" t="str">
        <x:v>MP</x:v>
      </x:c>
      <x:c r="D124" s="2" t="str">
        <x:v>Myzus persicae</x:v>
      </x:c>
      <x:c r="E124" s="2" t="str">
        <x:v>L8</x:v>
      </x:c>
      <x:c r="F124" s="2" t="n">
        <x:v>7</x:v>
      </x:c>
      <x:c r="G124" s="2" t="n">
        <x:f>E1_recuentos!J368</x:f>
        <x:v>5</x:v>
      </x:c>
      <x:c r="H124" s="2" t="n">
        <x:f>E1_recuentos!J369</x:f>
        <x:v>32</x:v>
      </x:c>
      <x:c r="I124" s="2" t="n">
        <x:f>E1_recuentos!J370</x:f>
        <x:v>89</x:v>
      </x:c>
      <x:c r="J124" s="2" t="str">
        <x:v>simulado_didactico</x:v>
      </x:c>
    </x:row>
    <x:row r="125" ht="19" customHeight="1">
      <x:c r="A125" s="2" t="str">
        <x:v>SIM-E1-MP-L8-R08</x:v>
      </x:c>
      <x:c r="B125" s="2" t="n">
        <x:v>4</x:v>
      </x:c>
      <x:c r="C125" s="2" t="str">
        <x:v>MP</x:v>
      </x:c>
      <x:c r="D125" s="2" t="str">
        <x:v>Myzus persicae</x:v>
      </x:c>
      <x:c r="E125" s="2" t="str">
        <x:v>L8</x:v>
      </x:c>
      <x:c r="F125" s="2" t="n">
        <x:v>8</x:v>
      </x:c>
      <x:c r="G125" s="2" t="n">
        <x:f>E1_recuentos!J371</x:f>
        <x:v>0</x:v>
      </x:c>
      <x:c r="H125" s="2" t="n">
        <x:f>E1_recuentos!J372</x:f>
        <x:v>0</x:v>
      </x:c>
      <x:c r="I125" s="2" t="n">
        <x:f>E1_recuentos!J373</x:f>
        <x:v>0</x:v>
      </x:c>
      <x:c r="J125" s="2" t="str">
        <x:v>simulado_didactico</x:v>
      </x:c>
    </x:row>
    <x:row r="126" ht="19" customHeight="1">
      <x:c r="A126" s="2" t="str">
        <x:v>SIM-E1-MP-L9-R07</x:v>
      </x:c>
      <x:c r="B126" s="2" t="n">
        <x:v>4</x:v>
      </x:c>
      <x:c r="C126" s="2" t="str">
        <x:v>MP</x:v>
      </x:c>
      <x:c r="D126" s="2" t="str">
        <x:v>Myzus persicae</x:v>
      </x:c>
      <x:c r="E126" s="2" t="str">
        <x:v>L9</x:v>
      </x:c>
      <x:c r="F126" s="2" t="n">
        <x:v>7</x:v>
      </x:c>
      <x:c r="G126" s="2" t="n">
        <x:f>E1_recuentos!J374</x:f>
        <x:v>41</x:v>
      </x:c>
      <x:c r="H126" s="2" t="n">
        <x:f>E1_recuentos!J375</x:f>
        <x:v>171</x:v>
      </x:c>
      <x:c r="I126" s="2" t="n">
        <x:f>E1_recuentos!J376</x:f>
        <x:v>258</x:v>
      </x:c>
      <x:c r="J126" s="2" t="str">
        <x:v>simulado_didactico</x:v>
      </x:c>
    </x:row>
    <x:row r="127" ht="19" customHeight="1">
      <x:c r="A127" s="2" t="str">
        <x:v>SIM-E1-MP-L9-R08</x:v>
      </x:c>
      <x:c r="B127" s="2" t="n">
        <x:v>4</x:v>
      </x:c>
      <x:c r="C127" s="2" t="str">
        <x:v>MP</x:v>
      </x:c>
      <x:c r="D127" s="2" t="str">
        <x:v>Myzus persicae</x:v>
      </x:c>
      <x:c r="E127" s="2" t="str">
        <x:v>L9</x:v>
      </x:c>
      <x:c r="F127" s="2" t="n">
        <x:v>8</x:v>
      </x:c>
      <x:c r="G127" s="2" t="n">
        <x:f>E1_recuentos!J377</x:f>
        <x:v>15</x:v>
      </x:c>
      <x:c r="H127" s="2" t="n">
        <x:f>E1_recuentos!J378</x:f>
        <x:v>88</x:v>
      </x:c>
      <x:c r="I127" s="2" t="n">
        <x:f>E1_recuentos!J379</x:f>
        <x:v>263</x:v>
      </x:c>
      <x:c r="J127" s="2" t="str">
        <x:v>simulado_didactico</x:v>
      </x:c>
    </x:row>
    <x:row r="128" ht="19" customHeight="1">
      <x:c r="A128" s="2" t="str">
        <x:v>SIM-E1-BB-L0-R07</x:v>
      </x:c>
      <x:c r="B128" s="2" t="n">
        <x:v>4</x:v>
      </x:c>
      <x:c r="C128" s="2" t="str">
        <x:v>BB</x:v>
      </x:c>
      <x:c r="D128" s="2" t="str">
        <x:v>Brevicoryne brassicae</x:v>
      </x:c>
      <x:c r="E128" s="2" t="str">
        <x:v>L0</x:v>
      </x:c>
      <x:c r="F128" s="2" t="n">
        <x:v>7</x:v>
      </x:c>
      <x:c r="G128" s="2" t="n">
        <x:f>E1_recuentos!J380</x:f>
        <x:v>23</x:v>
      </x:c>
      <x:c r="H128" s="2" t="n">
        <x:f>E1_recuentos!J381</x:f>
        <x:v>73</x:v>
      </x:c>
      <x:c r="I128" s="2" t="n">
        <x:f>E1_recuentos!J382</x:f>
        <x:v>284</x:v>
      </x:c>
      <x:c r="J128" s="2" t="str">
        <x:v>simulado_didactico</x:v>
      </x:c>
    </x:row>
    <x:row r="129" ht="19" customHeight="1">
      <x:c r="A129" s="2" t="str">
        <x:v>SIM-E1-BB-L0-R08</x:v>
      </x:c>
      <x:c r="B129" s="2" t="n">
        <x:v>4</x:v>
      </x:c>
      <x:c r="C129" s="2" t="str">
        <x:v>BB</x:v>
      </x:c>
      <x:c r="D129" s="2" t="str">
        <x:v>Brevicoryne brassicae</x:v>
      </x:c>
      <x:c r="E129" s="2" t="str">
        <x:v>L0</x:v>
      </x:c>
      <x:c r="F129" s="2" t="n">
        <x:v>8</x:v>
      </x:c>
      <x:c r="G129" s="2" t="n">
        <x:f>E1_recuentos!J383</x:f>
        <x:v>8</x:v>
      </x:c>
      <x:c r="H129" s="2" t="n">
        <x:f>E1_recuentos!J384</x:f>
        <x:v>71</x:v>
      </x:c>
      <x:c r="I129" s="2" t="n">
        <x:f>E1_recuentos!J385</x:f>
        <x:v>149</x:v>
      </x:c>
      <x:c r="J129" s="2" t="str">
        <x:v>simulado_didactico</x:v>
      </x:c>
    </x:row>
    <x:row r="130" ht="19" customHeight="1">
      <x:c r="A130" s="2" t="str">
        <x:v>SIM-E1-BB-L1-R07</x:v>
      </x:c>
      <x:c r="B130" s="2" t="n">
        <x:v>4</x:v>
      </x:c>
      <x:c r="C130" s="2" t="str">
        <x:v>BB</x:v>
      </x:c>
      <x:c r="D130" s="2" t="str">
        <x:v>Brevicoryne brassicae</x:v>
      </x:c>
      <x:c r="E130" s="2" t="str">
        <x:v>L1</x:v>
      </x:c>
      <x:c r="F130" s="2" t="n">
        <x:v>7</x:v>
      </x:c>
      <x:c r="G130" s="2" t="n">
        <x:f>E1_recuentos!J386</x:f>
        <x:v>26</x:v>
      </x:c>
      <x:c r="H130" s="2" t="n">
        <x:f>E1_recuentos!J387</x:f>
        <x:v>149</x:v>
      </x:c>
      <x:c r="I130" s="2" t="n">
        <x:f>E1_recuentos!J388</x:f>
        <x:v>373</x:v>
      </x:c>
      <x:c r="J130" s="2" t="str">
        <x:v>simulado_didactico</x:v>
      </x:c>
    </x:row>
    <x:row r="131" ht="19" customHeight="1">
      <x:c r="A131" s="2" t="str">
        <x:v>SIM-E1-BB-L1-R08</x:v>
      </x:c>
      <x:c r="B131" s="2" t="n">
        <x:v>4</x:v>
      </x:c>
      <x:c r="C131" s="2" t="str">
        <x:v>BB</x:v>
      </x:c>
      <x:c r="D131" s="2" t="str">
        <x:v>Brevicoryne brassicae</x:v>
      </x:c>
      <x:c r="E131" s="2" t="str">
        <x:v>L1</x:v>
      </x:c>
      <x:c r="F131" s="2" t="n">
        <x:v>8</x:v>
      </x:c>
      <x:c r="G131" s="2" t="n">
        <x:f>E1_recuentos!J389</x:f>
        <x:v>52</x:v>
      </x:c>
      <x:c r="H131" s="2" t="n">
        <x:f>E1_recuentos!J390</x:f>
        <x:v>189</x:v>
      </x:c>
      <x:c r="I131" s="2" t="n">
        <x:f>E1_recuentos!J391</x:f>
        <x:v>582</x:v>
      </x:c>
      <x:c r="J131" s="2" t="str">
        <x:v>simulado_didactico</x:v>
      </x:c>
    </x:row>
    <x:row r="132" ht="19" customHeight="1">
      <x:c r="A132" s="2" t="str">
        <x:v>SIM-E1-BB-L2-R07</x:v>
      </x:c>
      <x:c r="B132" s="2" t="n">
        <x:v>4</x:v>
      </x:c>
      <x:c r="C132" s="2" t="str">
        <x:v>BB</x:v>
      </x:c>
      <x:c r="D132" s="2" t="str">
        <x:v>Brevicoryne brassicae</x:v>
      </x:c>
      <x:c r="E132" s="2" t="str">
        <x:v>L2</x:v>
      </x:c>
      <x:c r="F132" s="2" t="n">
        <x:v>7</x:v>
      </x:c>
      <x:c r="G132" s="2" t="n">
        <x:f>E1_recuentos!J392</x:f>
        <x:v>19</x:v>
      </x:c>
      <x:c r="H132" s="2" t="n">
        <x:f>E1_recuentos!J393</x:f>
        <x:v>86</x:v>
      </x:c>
      <x:c r="I132" s="2" t="n">
        <x:f>E1_recuentos!J394</x:f>
        <x:v>286</x:v>
      </x:c>
      <x:c r="J132" s="2" t="str">
        <x:v>simulado_didactico</x:v>
      </x:c>
    </x:row>
    <x:row r="133" ht="19" customHeight="1">
      <x:c r="A133" s="2" t="str">
        <x:v>SIM-E1-BB-L2-R08</x:v>
      </x:c>
      <x:c r="B133" s="2" t="n">
        <x:v>4</x:v>
      </x:c>
      <x:c r="C133" s="2" t="str">
        <x:v>BB</x:v>
      </x:c>
      <x:c r="D133" s="2" t="str">
        <x:v>Brevicoryne brassicae</x:v>
      </x:c>
      <x:c r="E133" s="2" t="str">
        <x:v>L2</x:v>
      </x:c>
      <x:c r="F133" s="2" t="n">
        <x:v>8</x:v>
      </x:c>
      <x:c r="G133" s="2" t="n">
        <x:f>E1_recuentos!J395</x:f>
        <x:v>20</x:v>
      </x:c>
      <x:c r="H133" s="2" t="n">
        <x:f>E1_recuentos!J396</x:f>
        <x:v>86</x:v>
      </x:c>
      <x:c r="I133" s="2" t="n">
        <x:f>E1_recuentos!J397</x:f>
        <x:v>310</x:v>
      </x:c>
      <x:c r="J133" s="2" t="str">
        <x:v>simulado_didactico</x:v>
      </x:c>
    </x:row>
    <x:row r="134" ht="19" customHeight="1">
      <x:c r="A134" s="2" t="str">
        <x:v>SIM-E1-BB-L3-R07</x:v>
      </x:c>
      <x:c r="B134" s="2" t="n">
        <x:v>4</x:v>
      </x:c>
      <x:c r="C134" s="2" t="str">
        <x:v>BB</x:v>
      </x:c>
      <x:c r="D134" s="2" t="str">
        <x:v>Brevicoryne brassicae</x:v>
      </x:c>
      <x:c r="E134" s="2" t="str">
        <x:v>L3</x:v>
      </x:c>
      <x:c r="F134" s="2" t="n">
        <x:v>7</x:v>
      </x:c>
      <x:c r="G134" s="2" t="n">
        <x:f>E1_recuentos!J398</x:f>
        <x:v>23</x:v>
      </x:c>
      <x:c r="H134" s="2" t="n">
        <x:f>E1_recuentos!J399</x:f>
        <x:v>79</x:v>
      </x:c>
      <x:c r="I134" s="2" t="n">
        <x:f>E1_recuentos!J400</x:f>
        <x:v>214</x:v>
      </x:c>
      <x:c r="J134" s="2" t="str">
        <x:v>simulado_didactico</x:v>
      </x:c>
    </x:row>
    <x:row r="135" ht="19" customHeight="1">
      <x:c r="A135" s="2" t="str">
        <x:v>SIM-E1-BB-L3-R08</x:v>
      </x:c>
      <x:c r="B135" s="2" t="n">
        <x:v>4</x:v>
      </x:c>
      <x:c r="C135" s="2" t="str">
        <x:v>BB</x:v>
      </x:c>
      <x:c r="D135" s="2" t="str">
        <x:v>Brevicoryne brassicae</x:v>
      </x:c>
      <x:c r="E135" s="2" t="str">
        <x:v>L3</x:v>
      </x:c>
      <x:c r="F135" s="2" t="n">
        <x:v>8</x:v>
      </x:c>
      <x:c r="G135" s="2" t="n">
        <x:f>E1_recuentos!J401</x:f>
        <x:v>24</x:v>
      </x:c>
      <x:c r="H135" s="2" t="n">
        <x:f>E1_recuentos!J402</x:f>
        <x:v>86</x:v>
      </x:c>
      <x:c r="I135" s="2" t="n">
        <x:f>E1_recuentos!J403</x:f>
        <x:v>144</x:v>
      </x:c>
      <x:c r="J135" s="2" t="str">
        <x:v>simulado_didactico</x:v>
      </x:c>
    </x:row>
    <x:row r="136" ht="19" customHeight="1">
      <x:c r="A136" s="2" t="str">
        <x:v>SIM-E1-BB-L5-R07</x:v>
      </x:c>
      <x:c r="B136" s="2" t="n">
        <x:v>4</x:v>
      </x:c>
      <x:c r="C136" s="2" t="str">
        <x:v>BB</x:v>
      </x:c>
      <x:c r="D136" s="2" t="str">
        <x:v>Brevicoryne brassicae</x:v>
      </x:c>
      <x:c r="E136" s="2" t="str">
        <x:v>L5</x:v>
      </x:c>
      <x:c r="F136" s="2" t="n">
        <x:v>7</x:v>
      </x:c>
      <x:c r="G136" s="2" t="n">
        <x:f>E1_recuentos!J404</x:f>
        <x:v>9</x:v>
      </x:c>
      <x:c r="H136" s="2" t="n">
        <x:f>E1_recuentos!J405</x:f>
        <x:v>77</x:v>
      </x:c>
      <x:c r="I136" s="2" t="n">
        <x:f>E1_recuentos!J406</x:f>
        <x:v>127</x:v>
      </x:c>
      <x:c r="J136" s="2" t="str">
        <x:v>simulado_didactico</x:v>
      </x:c>
    </x:row>
    <x:row r="137" ht="19" customHeight="1">
      <x:c r="A137" s="2" t="str">
        <x:v>SIM-E1-BB-L5-R08</x:v>
      </x:c>
      <x:c r="B137" s="2" t="n">
        <x:v>4</x:v>
      </x:c>
      <x:c r="C137" s="2" t="str">
        <x:v>BB</x:v>
      </x:c>
      <x:c r="D137" s="2" t="str">
        <x:v>Brevicoryne brassicae</x:v>
      </x:c>
      <x:c r="E137" s="2" t="str">
        <x:v>L5</x:v>
      </x:c>
      <x:c r="F137" s="2" t="n">
        <x:v>8</x:v>
      </x:c>
      <x:c r="G137" s="2" t="n">
        <x:f>E1_recuentos!J407</x:f>
        <x:v>13</x:v>
      </x:c>
      <x:c r="H137" s="2" t="n">
        <x:f>E1_recuentos!J408</x:f>
        <x:v>59</x:v>
      </x:c>
      <x:c r="I137" s="2" t="n">
        <x:f>E1_recuentos!J409</x:f>
        <x:v>163</x:v>
      </x:c>
      <x:c r="J137" s="2" t="str">
        <x:v>simulado_didactico</x:v>
      </x:c>
    </x:row>
    <x:row r="138" ht="19" customHeight="1">
      <x:c r="A138" s="2" t="str">
        <x:v>SIM-E1-BB-L6-R07</x:v>
      </x:c>
      <x:c r="B138" s="2" t="n">
        <x:v>4</x:v>
      </x:c>
      <x:c r="C138" s="2" t="str">
        <x:v>BB</x:v>
      </x:c>
      <x:c r="D138" s="2" t="str">
        <x:v>Brevicoryne brassicae</x:v>
      </x:c>
      <x:c r="E138" s="2" t="str">
        <x:v>L6</x:v>
      </x:c>
      <x:c r="F138" s="2" t="n">
        <x:v>7</x:v>
      </x:c>
      <x:c r="G138" s="2" t="n">
        <x:f>E1_recuentos!J410</x:f>
        <x:v>34</x:v>
      </x:c>
      <x:c r="H138" s="2" t="n">
        <x:f>E1_recuentos!J411</x:f>
        <x:v>125</x:v>
      </x:c>
      <x:c r="I138" s="2" t="n">
        <x:f>E1_recuentos!J412</x:f>
        <x:v>295</x:v>
      </x:c>
      <x:c r="J138" s="2" t="str">
        <x:v>simulado_didactico</x:v>
      </x:c>
    </x:row>
    <x:row r="139" ht="19" customHeight="1">
      <x:c r="A139" s="2" t="str">
        <x:v>SIM-E1-BB-L6-R08</x:v>
      </x:c>
      <x:c r="B139" s="2" t="n">
        <x:v>4</x:v>
      </x:c>
      <x:c r="C139" s="2" t="str">
        <x:v>BB</x:v>
      </x:c>
      <x:c r="D139" s="2" t="str">
        <x:v>Brevicoryne brassicae</x:v>
      </x:c>
      <x:c r="E139" s="2" t="str">
        <x:v>L6</x:v>
      </x:c>
      <x:c r="F139" s="2" t="n">
        <x:v>8</x:v>
      </x:c>
      <x:c r="G139" s="2" t="n">
        <x:f>E1_recuentos!J413</x:f>
        <x:v>19</x:v>
      </x:c>
      <x:c r="H139" s="2" t="n">
        <x:f>E1_recuentos!J414</x:f>
        <x:v>75</x:v>
      </x:c>
      <x:c r="I139" s="2" t="n">
        <x:f>E1_recuentos!J415</x:f>
        <x:v>257</x:v>
      </x:c>
      <x:c r="J139" s="2" t="str">
        <x:v>simulado_didactico</x:v>
      </x:c>
    </x:row>
    <x:row r="140" ht="19" customHeight="1">
      <x:c r="A140" s="2" t="str">
        <x:v>SIM-E1-BB-L7-R07</x:v>
      </x:c>
      <x:c r="B140" s="2" t="n">
        <x:v>4</x:v>
      </x:c>
      <x:c r="C140" s="2" t="str">
        <x:v>BB</x:v>
      </x:c>
      <x:c r="D140" s="2" t="str">
        <x:v>Brevicoryne brassicae</x:v>
      </x:c>
      <x:c r="E140" s="2" t="str">
        <x:v>L7</x:v>
      </x:c>
      <x:c r="F140" s="2" t="n">
        <x:v>7</x:v>
      </x:c>
      <x:c r="G140" s="2" t="n">
        <x:f>E1_recuentos!J416</x:f>
        <x:v>19</x:v>
      </x:c>
      <x:c r="H140" s="2" t="n">
        <x:f>E1_recuentos!J417</x:f>
        <x:v>75</x:v>
      </x:c>
      <x:c r="I140" s="2" t="n">
        <x:f>E1_recuentos!J418</x:f>
        <x:v>117</x:v>
      </x:c>
      <x:c r="J140" s="2" t="str">
        <x:v>simulado_didactico</x:v>
      </x:c>
    </x:row>
    <x:row r="141" ht="19" customHeight="1">
      <x:c r="A141" s="2" t="str">
        <x:v>SIM-E1-BB-L7-R08</x:v>
      </x:c>
      <x:c r="B141" s="2" t="n">
        <x:v>4</x:v>
      </x:c>
      <x:c r="C141" s="2" t="str">
        <x:v>BB</x:v>
      </x:c>
      <x:c r="D141" s="2" t="str">
        <x:v>Brevicoryne brassicae</x:v>
      </x:c>
      <x:c r="E141" s="2" t="str">
        <x:v>L7</x:v>
      </x:c>
      <x:c r="F141" s="2" t="n">
        <x:v>8</x:v>
      </x:c>
      <x:c r="G141" s="2" t="n">
        <x:f>E1_recuentos!J419</x:f>
        <x:v>13</x:v>
      </x:c>
      <x:c r="H141" s="2" t="n">
        <x:f>E1_recuentos!J420</x:f>
        <x:v>41</x:v>
      </x:c>
      <x:c r="I141" s="2" t="n">
        <x:f>E1_recuentos!J421</x:f>
        <x:v>63</x:v>
      </x:c>
      <x:c r="J141" s="2" t="str">
        <x:v>simulado_didactico</x:v>
      </x:c>
    </x:row>
    <x:row r="142" ht="19" customHeight="1">
      <x:c r="A142" s="2" t="str">
        <x:v>SIM-E1-BB-L8-R07</x:v>
      </x:c>
      <x:c r="B142" s="2" t="n">
        <x:v>4</x:v>
      </x:c>
      <x:c r="C142" s="2" t="str">
        <x:v>BB</x:v>
      </x:c>
      <x:c r="D142" s="2" t="str">
        <x:v>Brevicoryne brassicae</x:v>
      </x:c>
      <x:c r="E142" s="2" t="str">
        <x:v>L8</x:v>
      </x:c>
      <x:c r="F142" s="2" t="n">
        <x:v>7</x:v>
      </x:c>
      <x:c r="G142" s="2" t="n">
        <x:f>E1_recuentos!J422</x:f>
        <x:v>14</x:v>
      </x:c>
      <x:c r="H142" s="2" t="n">
        <x:f>E1_recuentos!J423</x:f>
        <x:v>58</x:v>
      </x:c>
      <x:c r="I142" s="2" t="n">
        <x:f>E1_recuentos!J424</x:f>
        <x:v>84</x:v>
      </x:c>
      <x:c r="J142" s="2" t="str">
        <x:v>simulado_didactico</x:v>
      </x:c>
    </x:row>
    <x:row r="143" ht="19" customHeight="1">
      <x:c r="A143" s="2" t="str">
        <x:v>SIM-E1-BB-L8-R08</x:v>
      </x:c>
      <x:c r="B143" s="2" t="n">
        <x:v>4</x:v>
      </x:c>
      <x:c r="C143" s="2" t="str">
        <x:v>BB</x:v>
      </x:c>
      <x:c r="D143" s="2" t="str">
        <x:v>Brevicoryne brassicae</x:v>
      </x:c>
      <x:c r="E143" s="2" t="str">
        <x:v>L8</x:v>
      </x:c>
      <x:c r="F143" s="2" t="n">
        <x:v>8</x:v>
      </x:c>
      <x:c r="G143" s="2" t="n">
        <x:f>E1_recuentos!J425</x:f>
        <x:v>8</x:v>
      </x:c>
      <x:c r="H143" s="2" t="n">
        <x:f>E1_recuentos!J426</x:f>
        <x:v>15</x:v>
      </x:c>
      <x:c r="I143" s="2" t="n">
        <x:f>E1_recuentos!J427</x:f>
        <x:v>55</x:v>
      </x:c>
      <x:c r="J143" s="2" t="str">
        <x:v>simulado_didactico</x:v>
      </x:c>
    </x:row>
    <x:row r="144" ht="19" customHeight="1">
      <x:c r="A144" s="2" t="str">
        <x:v>SIM-E1-BB-L9-R07</x:v>
      </x:c>
      <x:c r="B144" s="2" t="n">
        <x:v>4</x:v>
      </x:c>
      <x:c r="C144" s="2" t="str">
        <x:v>BB</x:v>
      </x:c>
      <x:c r="D144" s="2" t="str">
        <x:v>Brevicoryne brassicae</x:v>
      </x:c>
      <x:c r="E144" s="2" t="str">
        <x:v>L9</x:v>
      </x:c>
      <x:c r="F144" s="2" t="n">
        <x:v>7</x:v>
      </x:c>
      <x:c r="G144" s="2" t="n">
        <x:f>E1_recuentos!J428</x:f>
        <x:v>39</x:v>
      </x:c>
      <x:c r="H144" s="2" t="n">
        <x:f>E1_recuentos!J429</x:f>
        <x:v>98</x:v>
      </x:c>
      <x:c r="I144" s="2" t="n">
        <x:f>E1_recuentos!J430</x:f>
        <x:v>254</x:v>
      </x:c>
      <x:c r="J144" s="2" t="str">
        <x:v>simulado_didactico</x:v>
      </x:c>
    </x:row>
    <x:row r="145" ht="19" customHeight="1">
      <x:c r="A145" s="2" t="str">
        <x:v>SIM-E1-BB-L9-R08</x:v>
      </x:c>
      <x:c r="B145" s="2" t="n">
        <x:v>4</x:v>
      </x:c>
      <x:c r="C145" s="2" t="str">
        <x:v>BB</x:v>
      </x:c>
      <x:c r="D145" s="2" t="str">
        <x:v>Brevicoryne brassicae</x:v>
      </x:c>
      <x:c r="E145" s="2" t="str">
        <x:v>L9</x:v>
      </x:c>
      <x:c r="F145" s="2" t="n">
        <x:v>8</x:v>
      </x:c>
      <x:c r="G145" s="2" t="n">
        <x:f>E1_recuentos!J431</x:f>
        <x:v>13</x:v>
      </x:c>
      <x:c r="H145" s="2" t="n">
        <x:f>E1_recuentos!J432</x:f>
        <x:v>104</x:v>
      </x:c>
      <x:c r="I145" s="2" t="n">
        <x:f>E1_recuentos!J433</x:f>
        <x:v>233</x:v>
      </x:c>
      <x:c r="J145" s="2" t="str">
        <x:v>simulado_didactico</x:v>
      </x:c>
    </x:row>
    <x:row r="146" ht="19" customHeight="1">
      <x:c r="A146" s="2" t="str">
        <x:v>SIM-E1-MP-L0-R09</x:v>
      </x:c>
      <x:c r="B146" s="2" t="n">
        <x:v>5</x:v>
      </x:c>
      <x:c r="C146" s="2" t="str">
        <x:v>MP</x:v>
      </x:c>
      <x:c r="D146" s="2" t="str">
        <x:v>Myzus persicae</x:v>
      </x:c>
      <x:c r="E146" s="2" t="str">
        <x:v>L0</x:v>
      </x:c>
      <x:c r="F146" s="2" t="n">
        <x:v>9</x:v>
      </x:c>
      <x:c r="G146" s="2" t="n">
        <x:f>E1_recuentos!J434</x:f>
        <x:v>9</x:v>
      </x:c>
      <x:c r="H146" s="2" t="n">
        <x:f>E1_recuentos!J435</x:f>
        <x:v>110</x:v>
      </x:c>
      <x:c r="I146" s="2" t="n">
        <x:f>E1_recuentos!J436</x:f>
        <x:v>204</x:v>
      </x:c>
      <x:c r="J146" s="2" t="str">
        <x:v>simulado_didactico</x:v>
      </x:c>
    </x:row>
    <x:row r="147" ht="19" customHeight="1">
      <x:c r="A147" s="2" t="str">
        <x:v>SIM-E1-MP-L0-R10</x:v>
      </x:c>
      <x:c r="B147" s="2" t="n">
        <x:v>5</x:v>
      </x:c>
      <x:c r="C147" s="2" t="str">
        <x:v>MP</x:v>
      </x:c>
      <x:c r="D147" s="2" t="str">
        <x:v>Myzus persicae</x:v>
      </x:c>
      <x:c r="E147" s="2" t="str">
        <x:v>L0</x:v>
      </x:c>
      <x:c r="F147" s="2" t="n">
        <x:v>10</x:v>
      </x:c>
      <x:c r="G147" s="2" t="n">
        <x:f>E1_recuentos!J437</x:f>
        <x:v>20</x:v>
      </x:c>
      <x:c r="H147" s="2" t="n">
        <x:f>E1_recuentos!J438</x:f>
        <x:v>129</x:v>
      </x:c>
      <x:c r="I147" s="2" t="n">
        <x:f>E1_recuentos!J439</x:f>
        <x:v>329</x:v>
      </x:c>
      <x:c r="J147" s="2" t="str">
        <x:v>simulado_didactico</x:v>
      </x:c>
    </x:row>
    <x:row r="148" ht="19" customHeight="1">
      <x:c r="A148" s="2" t="str">
        <x:v>SIM-E1-MP-L1-R09</x:v>
      </x:c>
      <x:c r="B148" s="2" t="n">
        <x:v>5</x:v>
      </x:c>
      <x:c r="C148" s="2" t="str">
        <x:v>MP</x:v>
      </x:c>
      <x:c r="D148" s="2" t="str">
        <x:v>Myzus persicae</x:v>
      </x:c>
      <x:c r="E148" s="2" t="str">
        <x:v>L1</x:v>
      </x:c>
      <x:c r="F148" s="2" t="n">
        <x:v>9</x:v>
      </x:c>
      <x:c r="G148" s="2" t="n">
        <x:f>E1_recuentos!J440</x:f>
        <x:v>15</x:v>
      </x:c>
      <x:c r="H148" s="2" t="n">
        <x:f>E1_recuentos!J441</x:f>
        <x:v>109</x:v>
      </x:c>
      <x:c r="I148" s="2" t="n">
        <x:f>E1_recuentos!J442</x:f>
        <x:v>225</x:v>
      </x:c>
      <x:c r="J148" s="2" t="str">
        <x:v>simulado_didactico</x:v>
      </x:c>
    </x:row>
    <x:row r="149" ht="19" customHeight="1">
      <x:c r="A149" s="2" t="str">
        <x:v>SIM-E1-MP-L1-R10</x:v>
      </x:c>
      <x:c r="B149" s="2" t="n">
        <x:v>5</x:v>
      </x:c>
      <x:c r="C149" s="2" t="str">
        <x:v>MP</x:v>
      </x:c>
      <x:c r="D149" s="2" t="str">
        <x:v>Myzus persicae</x:v>
      </x:c>
      <x:c r="E149" s="2" t="str">
        <x:v>L1</x:v>
      </x:c>
      <x:c r="F149" s="2" t="n">
        <x:v>10</x:v>
      </x:c>
      <x:c r="G149" s="2" t="n">
        <x:f>E1_recuentos!J443</x:f>
        <x:v>18</x:v>
      </x:c>
      <x:c r="H149" s="2" t="n">
        <x:f>E1_recuentos!J444</x:f>
        <x:v>47</x:v>
      </x:c>
      <x:c r="I149" s="2" t="n">
        <x:f>E1_recuentos!J445</x:f>
        <x:v>153</x:v>
      </x:c>
      <x:c r="J149" s="2" t="str">
        <x:v>simulado_didactico</x:v>
      </x:c>
    </x:row>
    <x:row r="150" ht="19" customHeight="1">
      <x:c r="A150" s="2" t="str">
        <x:v>SIM-E1-MP-L2-R09</x:v>
      </x:c>
      <x:c r="B150" s="2" t="n">
        <x:v>5</x:v>
      </x:c>
      <x:c r="C150" s="2" t="str">
        <x:v>MP</x:v>
      </x:c>
      <x:c r="D150" s="2" t="str">
        <x:v>Myzus persicae</x:v>
      </x:c>
      <x:c r="E150" s="2" t="str">
        <x:v>L2</x:v>
      </x:c>
      <x:c r="F150" s="2" t="n">
        <x:v>9</x:v>
      </x:c>
      <x:c r="G150" s="2" t="n">
        <x:f>E1_recuentos!J446</x:f>
        <x:v>12</x:v>
      </x:c>
      <x:c r="H150" s="2" t="n">
        <x:f>E1_recuentos!J447</x:f>
        <x:v>40</x:v>
      </x:c>
      <x:c r="I150" s="2" t="n">
        <x:f>E1_recuentos!J448</x:f>
        <x:v>165</x:v>
      </x:c>
      <x:c r="J150" s="2" t="str">
        <x:v>simulado_didactico</x:v>
      </x:c>
    </x:row>
    <x:row r="151" ht="19" customHeight="1">
      <x:c r="A151" s="2" t="str">
        <x:v>SIM-E1-MP-L2-R10</x:v>
      </x:c>
      <x:c r="B151" s="2" t="n">
        <x:v>5</x:v>
      </x:c>
      <x:c r="C151" s="2" t="str">
        <x:v>MP</x:v>
      </x:c>
      <x:c r="D151" s="2" t="str">
        <x:v>Myzus persicae</x:v>
      </x:c>
      <x:c r="E151" s="2" t="str">
        <x:v>L2</x:v>
      </x:c>
      <x:c r="F151" s="2" t="n">
        <x:v>10</x:v>
      </x:c>
      <x:c r="G151" s="2" t="n">
        <x:f>E1_recuentos!J449</x:f>
        <x:v>0</x:v>
      </x:c>
      <x:c r="H151" s="2" t="n">
        <x:f>E1_recuentos!J450</x:f>
        <x:v>0</x:v>
      </x:c>
      <x:c r="I151" s="2" t="n">
        <x:f>E1_recuentos!J451</x:f>
        <x:v>0</x:v>
      </x:c>
      <x:c r="J151" s="2" t="str">
        <x:v>simulado_didactico</x:v>
      </x:c>
    </x:row>
    <x:row r="152" ht="19" customHeight="1">
      <x:c r="A152" s="2" t="str">
        <x:v>SIM-E1-MP-L3-R09</x:v>
      </x:c>
      <x:c r="B152" s="2" t="n">
        <x:v>5</x:v>
      </x:c>
      <x:c r="C152" s="2" t="str">
        <x:v>MP</x:v>
      </x:c>
      <x:c r="D152" s="2" t="str">
        <x:v>Myzus persicae</x:v>
      </x:c>
      <x:c r="E152" s="2" t="str">
        <x:v>L3</x:v>
      </x:c>
      <x:c r="F152" s="2" t="n">
        <x:v>9</x:v>
      </x:c>
      <x:c r="G152" s="2" t="n">
        <x:f>E1_recuentos!J452</x:f>
        <x:v>11</x:v>
      </x:c>
      <x:c r="H152" s="2" t="n">
        <x:f>E1_recuentos!J453</x:f>
        <x:v>83</x:v>
      </x:c>
      <x:c r="I152" s="2" t="n">
        <x:f>E1_recuentos!J454</x:f>
        <x:v>191</x:v>
      </x:c>
      <x:c r="J152" s="2" t="str">
        <x:v>simulado_didactico</x:v>
      </x:c>
    </x:row>
    <x:row r="153" ht="19" customHeight="1">
      <x:c r="A153" s="2" t="str">
        <x:v>SIM-E1-MP-L3-R10</x:v>
      </x:c>
      <x:c r="B153" s="2" t="n">
        <x:v>5</x:v>
      </x:c>
      <x:c r="C153" s="2" t="str">
        <x:v>MP</x:v>
      </x:c>
      <x:c r="D153" s="2" t="str">
        <x:v>Myzus persicae</x:v>
      </x:c>
      <x:c r="E153" s="2" t="str">
        <x:v>L3</x:v>
      </x:c>
      <x:c r="F153" s="2" t="n">
        <x:v>10</x:v>
      </x:c>
      <x:c r="G153" s="2" t="n">
        <x:f>E1_recuentos!J455</x:f>
        <x:v>17</x:v>
      </x:c>
      <x:c r="H153" s="2" t="n">
        <x:f>E1_recuentos!J456</x:f>
        <x:v>64</x:v>
      </x:c>
      <x:c r="I153" s="2" t="n">
        <x:f>E1_recuentos!J457</x:f>
        <x:v>168</x:v>
      </x:c>
      <x:c r="J153" s="2" t="str">
        <x:v>simulado_didactico</x:v>
      </x:c>
    </x:row>
    <x:row r="154" ht="19" customHeight="1">
      <x:c r="A154" s="2" t="str">
        <x:v>SIM-E1-MP-L5-R09</x:v>
      </x:c>
      <x:c r="B154" s="2" t="n">
        <x:v>5</x:v>
      </x:c>
      <x:c r="C154" s="2" t="str">
        <x:v>MP</x:v>
      </x:c>
      <x:c r="D154" s="2" t="str">
        <x:v>Myzus persicae</x:v>
      </x:c>
      <x:c r="E154" s="2" t="str">
        <x:v>L5</x:v>
      </x:c>
      <x:c r="F154" s="2" t="n">
        <x:v>9</x:v>
      </x:c>
      <x:c r="G154" s="2" t="n">
        <x:f>E1_recuentos!J458</x:f>
        <x:v>8</x:v>
      </x:c>
      <x:c r="H154" s="2" t="n">
        <x:f>E1_recuentos!J459</x:f>
        <x:v>45</x:v>
      </x:c>
      <x:c r="I154" s="2" t="n">
        <x:f>E1_recuentos!J460</x:f>
        <x:v>67</x:v>
      </x:c>
      <x:c r="J154" s="2" t="str">
        <x:v>simulado_didactico</x:v>
      </x:c>
    </x:row>
    <x:row r="155" ht="19" customHeight="1">
      <x:c r="A155" s="2" t="str">
        <x:v>SIM-E1-MP-L5-R10</x:v>
      </x:c>
      <x:c r="B155" s="2" t="n">
        <x:v>5</x:v>
      </x:c>
      <x:c r="C155" s="2" t="str">
        <x:v>MP</x:v>
      </x:c>
      <x:c r="D155" s="2" t="str">
        <x:v>Myzus persicae</x:v>
      </x:c>
      <x:c r="E155" s="2" t="str">
        <x:v>L5</x:v>
      </x:c>
      <x:c r="F155" s="2" t="n">
        <x:v>10</x:v>
      </x:c>
      <x:c r="G155" s="2" t="n">
        <x:f>E1_recuentos!J461</x:f>
        <x:v>10</x:v>
      </x:c>
      <x:c r="H155" s="2" t="n">
        <x:f>E1_recuentos!J462</x:f>
        <x:v>19</x:v>
      </x:c>
      <x:c r="I155" s="2" t="n">
        <x:f>E1_recuentos!J463</x:f>
        <x:v>68</x:v>
      </x:c>
      <x:c r="J155" s="2" t="str">
        <x:v>simulado_didactico</x:v>
      </x:c>
    </x:row>
    <x:row r="156" ht="19" customHeight="1">
      <x:c r="A156" s="2" t="str">
        <x:v>SIM-E1-MP-L6-R09</x:v>
      </x:c>
      <x:c r="B156" s="2" t="n">
        <x:v>5</x:v>
      </x:c>
      <x:c r="C156" s="2" t="str">
        <x:v>MP</x:v>
      </x:c>
      <x:c r="D156" s="2" t="str">
        <x:v>Myzus persicae</x:v>
      </x:c>
      <x:c r="E156" s="2" t="str">
        <x:v>L6</x:v>
      </x:c>
      <x:c r="F156" s="2" t="n">
        <x:v>9</x:v>
      </x:c>
      <x:c r="G156" s="2" t="n">
        <x:f>E1_recuentos!J464</x:f>
        <x:v>19</x:v>
      </x:c>
      <x:c r="H156" s="2" t="n">
        <x:f>E1_recuentos!J465</x:f>
        <x:v>72</x:v>
      </x:c>
      <x:c r="I156" s="2" t="n">
        <x:f>E1_recuentos!J466</x:f>
        <x:v>181</x:v>
      </x:c>
      <x:c r="J156" s="2" t="str">
        <x:v>simulado_didactico</x:v>
      </x:c>
    </x:row>
    <x:row r="157" ht="19" customHeight="1">
      <x:c r="A157" s="2" t="str">
        <x:v>SIM-E1-MP-L6-R10</x:v>
      </x:c>
      <x:c r="B157" s="2" t="n">
        <x:v>5</x:v>
      </x:c>
      <x:c r="C157" s="2" t="str">
        <x:v>MP</x:v>
      </x:c>
      <x:c r="D157" s="2" t="str">
        <x:v>Myzus persicae</x:v>
      </x:c>
      <x:c r="E157" s="2" t="str">
        <x:v>L6</x:v>
      </x:c>
      <x:c r="F157" s="2" t="n">
        <x:v>10</x:v>
      </x:c>
      <x:c r="G157" s="2" t="n">
        <x:f>E1_recuentos!J467</x:f>
        <x:v>9</x:v>
      </x:c>
      <x:c r="H157" s="2" t="n">
        <x:f>E1_recuentos!J468</x:f>
        <x:v>37</x:v>
      </x:c>
      <x:c r="I157" s="2" t="n">
        <x:f>E1_recuentos!J469</x:f>
        <x:v>105</x:v>
      </x:c>
      <x:c r="J157" s="2" t="str">
        <x:v>simulado_didactico</x:v>
      </x:c>
    </x:row>
    <x:row r="158" ht="19" customHeight="1">
      <x:c r="A158" s="2" t="str">
        <x:v>SIM-E1-MP-L7-R09</x:v>
      </x:c>
      <x:c r="B158" s="2" t="n">
        <x:v>5</x:v>
      </x:c>
      <x:c r="C158" s="2" t="str">
        <x:v>MP</x:v>
      </x:c>
      <x:c r="D158" s="2" t="str">
        <x:v>Myzus persicae</x:v>
      </x:c>
      <x:c r="E158" s="2" t="str">
        <x:v>L7</x:v>
      </x:c>
      <x:c r="F158" s="2" t="n">
        <x:v>9</x:v>
      </x:c>
      <x:c r="G158" s="2" t="n">
        <x:f>E1_recuentos!J470</x:f>
        <x:v>2</x:v>
      </x:c>
      <x:c r="H158" s="2" t="n">
        <x:f>E1_recuentos!J471</x:f>
        <x:v>27</x:v>
      </x:c>
      <x:c r="I158" s="2" t="n">
        <x:f>E1_recuentos!J472</x:f>
        <x:v>57</x:v>
      </x:c>
      <x:c r="J158" s="2" t="str">
        <x:v>simulado_didactico</x:v>
      </x:c>
    </x:row>
    <x:row r="159" ht="19" customHeight="1">
      <x:c r="A159" s="2" t="str">
        <x:v>SIM-E1-MP-L7-R10</x:v>
      </x:c>
      <x:c r="B159" s="2" t="n">
        <x:v>5</x:v>
      </x:c>
      <x:c r="C159" s="2" t="str">
        <x:v>MP</x:v>
      </x:c>
      <x:c r="D159" s="2" t="str">
        <x:v>Myzus persicae</x:v>
      </x:c>
      <x:c r="E159" s="2" t="str">
        <x:v>L7</x:v>
      </x:c>
      <x:c r="F159" s="2" t="n">
        <x:v>10</x:v>
      </x:c>
      <x:c r="G159" s="2" t="n">
        <x:f>E1_recuentos!J473</x:f>
        <x:v>19</x:v>
      </x:c>
      <x:c r="H159" s="2" t="n">
        <x:f>E1_recuentos!J474</x:f>
        <x:v>32</x:v>
      </x:c>
      <x:c r="I159" s="2" t="n">
        <x:f>E1_recuentos!J475</x:f>
        <x:v>88</x:v>
      </x:c>
      <x:c r="J159" s="2" t="str">
        <x:v>simulado_didactico</x:v>
      </x:c>
    </x:row>
    <x:row r="160" ht="19" customHeight="1">
      <x:c r="A160" s="2" t="str">
        <x:v>SIM-E1-MP-L8-R09</x:v>
      </x:c>
      <x:c r="B160" s="2" t="n">
        <x:v>5</x:v>
      </x:c>
      <x:c r="C160" s="2" t="str">
        <x:v>MP</x:v>
      </x:c>
      <x:c r="D160" s="2" t="str">
        <x:v>Myzus persicae</x:v>
      </x:c>
      <x:c r="E160" s="2" t="str">
        <x:v>L8</x:v>
      </x:c>
      <x:c r="F160" s="2" t="n">
        <x:v>9</x:v>
      </x:c>
      <x:c r="G160" s="2" t="n">
        <x:f>E1_recuentos!J476</x:f>
        <x:v>20</x:v>
      </x:c>
      <x:c r="H160" s="2" t="n">
        <x:f>E1_recuentos!J477</x:f>
        <x:v>56</x:v>
      </x:c>
      <x:c r="I160" s="2" t="n">
        <x:f>E1_recuentos!J478</x:f>
        <x:v>146</x:v>
      </x:c>
      <x:c r="J160" s="2" t="str">
        <x:v>simulado_didactico</x:v>
      </x:c>
    </x:row>
    <x:row r="161" ht="19" customHeight="1">
      <x:c r="A161" s="2" t="str">
        <x:v>SIM-E1-MP-L8-R10</x:v>
      </x:c>
      <x:c r="B161" s="2" t="n">
        <x:v>5</x:v>
      </x:c>
      <x:c r="C161" s="2" t="str">
        <x:v>MP</x:v>
      </x:c>
      <x:c r="D161" s="2" t="str">
        <x:v>Myzus persicae</x:v>
      </x:c>
      <x:c r="E161" s="2" t="str">
        <x:v>L8</x:v>
      </x:c>
      <x:c r="F161" s="2" t="n">
        <x:v>10</x:v>
      </x:c>
      <x:c r="G161" s="2" t="n">
        <x:f>E1_recuentos!J479</x:f>
        <x:v>12</x:v>
      </x:c>
      <x:c r="H161" s="2" t="n">
        <x:f>E1_recuentos!J480</x:f>
        <x:v>44</x:v>
      </x:c>
      <x:c r="I161" s="2" t="n">
        <x:f>E1_recuentos!J481</x:f>
        <x:v>93</x:v>
      </x:c>
      <x:c r="J161" s="2" t="str">
        <x:v>simulado_didactico</x:v>
      </x:c>
    </x:row>
    <x:row r="162" ht="19" customHeight="1">
      <x:c r="A162" s="2" t="str">
        <x:v>SIM-E1-MP-L9-R09</x:v>
      </x:c>
      <x:c r="B162" s="2" t="n">
        <x:v>5</x:v>
      </x:c>
      <x:c r="C162" s="2" t="str">
        <x:v>MP</x:v>
      </x:c>
      <x:c r="D162" s="2" t="str">
        <x:v>Myzus persicae</x:v>
      </x:c>
      <x:c r="E162" s="2" t="str">
        <x:v>L9</x:v>
      </x:c>
      <x:c r="F162" s="2" t="n">
        <x:v>9</x:v>
      </x:c>
      <x:c r="G162" s="2" t="n">
        <x:f>E1_recuentos!J482</x:f>
        <x:v>12</x:v>
      </x:c>
      <x:c r="H162" s="2" t="n">
        <x:f>E1_recuentos!J483</x:f>
        <x:v>99</x:v>
      </x:c>
      <x:c r="I162" s="2" t="n">
        <x:f>E1_recuentos!J484</x:f>
        <x:v>273</x:v>
      </x:c>
      <x:c r="J162" s="2" t="str">
        <x:v>simulado_didactico</x:v>
      </x:c>
    </x:row>
    <x:row r="163" ht="19" customHeight="1">
      <x:c r="A163" s="2" t="str">
        <x:v>SIM-E1-MP-L9-R10</x:v>
      </x:c>
      <x:c r="B163" s="2" t="n">
        <x:v>5</x:v>
      </x:c>
      <x:c r="C163" s="2" t="str">
        <x:v>MP</x:v>
      </x:c>
      <x:c r="D163" s="2" t="str">
        <x:v>Myzus persicae</x:v>
      </x:c>
      <x:c r="E163" s="2" t="str">
        <x:v>L9</x:v>
      </x:c>
      <x:c r="F163" s="2" t="n">
        <x:v>10</x:v>
      </x:c>
      <x:c r="G163" s="2" t="n">
        <x:f>E1_recuentos!J485</x:f>
        <x:v>15</x:v>
      </x:c>
      <x:c r="H163" s="2" t="n">
        <x:f>E1_recuentos!J486</x:f>
        <x:v>48</x:v>
      </x:c>
      <x:c r="I163" s="2" t="n">
        <x:f>E1_recuentos!J487</x:f>
        <x:v>140</x:v>
      </x:c>
      <x:c r="J163" s="2" t="str">
        <x:v>simulado_didactico</x:v>
      </x:c>
    </x:row>
    <x:row r="164" ht="19" customHeight="1">
      <x:c r="A164" s="2" t="str">
        <x:v>SIM-E1-BB-L0-R09</x:v>
      </x:c>
      <x:c r="B164" s="2" t="n">
        <x:v>5</x:v>
      </x:c>
      <x:c r="C164" s="2" t="str">
        <x:v>BB</x:v>
      </x:c>
      <x:c r="D164" s="2" t="str">
        <x:v>Brevicoryne brassicae</x:v>
      </x:c>
      <x:c r="E164" s="2" t="str">
        <x:v>L0</x:v>
      </x:c>
      <x:c r="F164" s="2" t="n">
        <x:v>9</x:v>
      </x:c>
      <x:c r="G164" s="2" t="n">
        <x:f>E1_recuentos!J488</x:f>
        <x:v>15</x:v>
      </x:c>
      <x:c r="H164" s="2" t="n">
        <x:f>E1_recuentos!J489</x:f>
        <x:v>106</x:v>
      </x:c>
      <x:c r="I164" s="2" t="n">
        <x:f>E1_recuentos!J490</x:f>
        <x:v>241</x:v>
      </x:c>
      <x:c r="J164" s="2" t="str">
        <x:v>simulado_didactico</x:v>
      </x:c>
    </x:row>
    <x:row r="165" ht="19" customHeight="1">
      <x:c r="A165" s="2" t="str">
        <x:v>SIM-E1-BB-L0-R10</x:v>
      </x:c>
      <x:c r="B165" s="2" t="n">
        <x:v>5</x:v>
      </x:c>
      <x:c r="C165" s="2" t="str">
        <x:v>BB</x:v>
      </x:c>
      <x:c r="D165" s="2" t="str">
        <x:v>Brevicoryne brassicae</x:v>
      </x:c>
      <x:c r="E165" s="2" t="str">
        <x:v>L0</x:v>
      </x:c>
      <x:c r="F165" s="2" t="n">
        <x:v>10</x:v>
      </x:c>
      <x:c r="G165" s="2" t="n">
        <x:f>E1_recuentos!J491</x:f>
        <x:v>16</x:v>
      </x:c>
      <x:c r="H165" s="2" t="n">
        <x:f>E1_recuentos!J492</x:f>
        <x:v>107</x:v>
      </x:c>
      <x:c r="I165" s="2" t="n">
        <x:f>E1_recuentos!J493</x:f>
        <x:v>251</x:v>
      </x:c>
      <x:c r="J165" s="2" t="str">
        <x:v>simulado_didactico</x:v>
      </x:c>
    </x:row>
    <x:row r="166" ht="19" customHeight="1">
      <x:c r="A166" s="2" t="str">
        <x:v>SIM-E1-BB-L1-R09</x:v>
      </x:c>
      <x:c r="B166" s="2" t="n">
        <x:v>5</x:v>
      </x:c>
      <x:c r="C166" s="2" t="str">
        <x:v>BB</x:v>
      </x:c>
      <x:c r="D166" s="2" t="str">
        <x:v>Brevicoryne brassicae</x:v>
      </x:c>
      <x:c r="E166" s="2" t="str">
        <x:v>L1</x:v>
      </x:c>
      <x:c r="F166" s="2" t="n">
        <x:v>9</x:v>
      </x:c>
      <x:c r="G166" s="2" t="n">
        <x:f>E1_recuentos!J494</x:f>
        <x:v>18</x:v>
      </x:c>
      <x:c r="H166" s="2" t="n">
        <x:f>E1_recuentos!J495</x:f>
        <x:v>87</x:v>
      </x:c>
      <x:c r="I166" s="2" t="n">
        <x:f>E1_recuentos!J496</x:f>
        <x:v>188</x:v>
      </x:c>
      <x:c r="J166" s="2" t="str">
        <x:v>simulado_didactico</x:v>
      </x:c>
    </x:row>
    <x:row r="167" ht="19" customHeight="1">
      <x:c r="A167" s="2" t="str">
        <x:v>SIM-E1-BB-L1-R10</x:v>
      </x:c>
      <x:c r="B167" s="2" t="n">
        <x:v>5</x:v>
      </x:c>
      <x:c r="C167" s="2" t="str">
        <x:v>BB</x:v>
      </x:c>
      <x:c r="D167" s="2" t="str">
        <x:v>Brevicoryne brassicae</x:v>
      </x:c>
      <x:c r="E167" s="2" t="str">
        <x:v>L1</x:v>
      </x:c>
      <x:c r="F167" s="2" t="n">
        <x:v>10</x:v>
      </x:c>
      <x:c r="G167" s="2" t="n">
        <x:f>E1_recuentos!J497</x:f>
        <x:v>33</x:v>
      </x:c>
      <x:c r="H167" s="2" t="n">
        <x:f>E1_recuentos!J498</x:f>
        <x:v>121</x:v>
      </x:c>
      <x:c r="I167" s="2" t="n">
        <x:f>E1_recuentos!J499</x:f>
        <x:v>276</x:v>
      </x:c>
      <x:c r="J167" s="2" t="str">
        <x:v>simulado_didactico</x:v>
      </x:c>
    </x:row>
    <x:row r="168" ht="19" customHeight="1">
      <x:c r="A168" s="2" t="str">
        <x:v>SIM-E1-BB-L2-R09</x:v>
      </x:c>
      <x:c r="B168" s="2" t="n">
        <x:v>5</x:v>
      </x:c>
      <x:c r="C168" s="2" t="str">
        <x:v>BB</x:v>
      </x:c>
      <x:c r="D168" s="2" t="str">
        <x:v>Brevicoryne brassicae</x:v>
      </x:c>
      <x:c r="E168" s="2" t="str">
        <x:v>L2</x:v>
      </x:c>
      <x:c r="F168" s="2" t="n">
        <x:v>9</x:v>
      </x:c>
      <x:c r="G168" s="2" t="n">
        <x:f>E1_recuentos!J500</x:f>
        <x:v>19</x:v>
      </x:c>
      <x:c r="H168" s="2" t="n">
        <x:f>E1_recuentos!J501</x:f>
        <x:v>67</x:v>
      </x:c>
      <x:c r="I168" s="2" t="n">
        <x:f>E1_recuentos!J502</x:f>
        <x:v>178</x:v>
      </x:c>
      <x:c r="J168" s="2" t="str">
        <x:v>simulado_didactico</x:v>
      </x:c>
    </x:row>
    <x:row r="169" ht="19" customHeight="1">
      <x:c r="A169" s="2" t="str">
        <x:v>SIM-E1-BB-L2-R10</x:v>
      </x:c>
      <x:c r="B169" s="2" t="n">
        <x:v>5</x:v>
      </x:c>
      <x:c r="C169" s="2" t="str">
        <x:v>BB</x:v>
      </x:c>
      <x:c r="D169" s="2" t="str">
        <x:v>Brevicoryne brassicae</x:v>
      </x:c>
      <x:c r="E169" s="2" t="str">
        <x:v>L2</x:v>
      </x:c>
      <x:c r="F169" s="2" t="n">
        <x:v>10</x:v>
      </x:c>
      <x:c r="G169" s="2" t="n">
        <x:f>E1_recuentos!J503</x:f>
        <x:v>19</x:v>
      </x:c>
      <x:c r="H169" s="2" t="n">
        <x:f>E1_recuentos!J504</x:f>
        <x:v>69</x:v>
      </x:c>
      <x:c r="I169" s="2" t="n">
        <x:f>E1_recuentos!J505</x:f>
        <x:v>190</x:v>
      </x:c>
      <x:c r="J169" s="2" t="str">
        <x:v>simulado_didactico</x:v>
      </x:c>
    </x:row>
    <x:row r="170" ht="19" customHeight="1">
      <x:c r="A170" s="2" t="str">
        <x:v>SIM-E1-BB-L3-R09</x:v>
      </x:c>
      <x:c r="B170" s="2" t="n">
        <x:v>5</x:v>
      </x:c>
      <x:c r="C170" s="2" t="str">
        <x:v>BB</x:v>
      </x:c>
      <x:c r="D170" s="2" t="str">
        <x:v>Brevicoryne brassicae</x:v>
      </x:c>
      <x:c r="E170" s="2" t="str">
        <x:v>L3</x:v>
      </x:c>
      <x:c r="F170" s="2" t="n">
        <x:v>9</x:v>
      </x:c>
      <x:c r="G170" s="2" t="n">
        <x:f>E1_recuentos!J506</x:f>
        <x:v>22</x:v>
      </x:c>
      <x:c r="H170" s="2" t="n">
        <x:f>E1_recuentos!J507</x:f>
        <x:v>63</x:v>
      </x:c>
      <x:c r="I170" s="2" t="n">
        <x:f>E1_recuentos!J508</x:f>
        <x:v>165</x:v>
      </x:c>
      <x:c r="J170" s="2" t="str">
        <x:v>simulado_didactico</x:v>
      </x:c>
    </x:row>
    <x:row r="171" ht="19" customHeight="1">
      <x:c r="A171" s="2" t="str">
        <x:v>SIM-E1-BB-L3-R10</x:v>
      </x:c>
      <x:c r="B171" s="2" t="n">
        <x:v>5</x:v>
      </x:c>
      <x:c r="C171" s="2" t="str">
        <x:v>BB</x:v>
      </x:c>
      <x:c r="D171" s="2" t="str">
        <x:v>Brevicoryne brassicae</x:v>
      </x:c>
      <x:c r="E171" s="2" t="str">
        <x:v>L3</x:v>
      </x:c>
      <x:c r="F171" s="2" t="n">
        <x:v>10</x:v>
      </x:c>
      <x:c r="G171" s="2" t="n">
        <x:f>E1_recuentos!J509</x:f>
        <x:v>16</x:v>
      </x:c>
      <x:c r="H171" s="2" t="n">
        <x:f>E1_recuentos!J510</x:f>
        <x:v>72</x:v>
      </x:c>
      <x:c r="I171" s="2" t="n">
        <x:f>E1_recuentos!J511</x:f>
        <x:v>190</x:v>
      </x:c>
      <x:c r="J171" s="2" t="str">
        <x:v>simulado_didactico</x:v>
      </x:c>
    </x:row>
    <x:row r="172" ht="19" customHeight="1">
      <x:c r="A172" s="2" t="str">
        <x:v>SIM-E1-BB-L5-R09</x:v>
      </x:c>
      <x:c r="B172" s="2" t="n">
        <x:v>5</x:v>
      </x:c>
      <x:c r="C172" s="2" t="str">
        <x:v>BB</x:v>
      </x:c>
      <x:c r="D172" s="2" t="str">
        <x:v>Brevicoryne brassicae</x:v>
      </x:c>
      <x:c r="E172" s="2" t="str">
        <x:v>L5</x:v>
      </x:c>
      <x:c r="F172" s="2" t="n">
        <x:v>9</x:v>
      </x:c>
      <x:c r="G172" s="2" t="n">
        <x:f>E1_recuentos!J512</x:f>
        <x:v>14</x:v>
      </x:c>
      <x:c r="H172" s="2" t="n">
        <x:f>E1_recuentos!J513</x:f>
        <x:v>37</x:v>
      </x:c>
      <x:c r="I172" s="2" t="n">
        <x:f>E1_recuentos!J514</x:f>
        <x:v>142</x:v>
      </x:c>
      <x:c r="J172" s="2" t="str">
        <x:v>simulado_didactico</x:v>
      </x:c>
    </x:row>
    <x:row r="173" ht="19" customHeight="1">
      <x:c r="A173" s="2" t="str">
        <x:v>SIM-E1-BB-L5-R10</x:v>
      </x:c>
      <x:c r="B173" s="2" t="n">
        <x:v>5</x:v>
      </x:c>
      <x:c r="C173" s="2" t="str">
        <x:v>BB</x:v>
      </x:c>
      <x:c r="D173" s="2" t="str">
        <x:v>Brevicoryne brassicae</x:v>
      </x:c>
      <x:c r="E173" s="2" t="str">
        <x:v>L5</x:v>
      </x:c>
      <x:c r="F173" s="2" t="n">
        <x:v>10</x:v>
      </x:c>
      <x:c r="G173" s="2" t="n">
        <x:f>E1_recuentos!J515</x:f>
        <x:v>11</x:v>
      </x:c>
      <x:c r="H173" s="2" t="n">
        <x:f>E1_recuentos!J516</x:f>
        <x:v>72</x:v>
      </x:c>
      <x:c r="I173" s="2" t="n">
        <x:f>E1_recuentos!J517</x:f>
        <x:v>159</x:v>
      </x:c>
      <x:c r="J173" s="2" t="str">
        <x:v>simulado_didactico</x:v>
      </x:c>
    </x:row>
    <x:row r="174" ht="19" customHeight="1">
      <x:c r="A174" s="2" t="str">
        <x:v>SIM-E1-BB-L6-R09</x:v>
      </x:c>
      <x:c r="B174" s="2" t="n">
        <x:v>5</x:v>
      </x:c>
      <x:c r="C174" s="2" t="str">
        <x:v>BB</x:v>
      </x:c>
      <x:c r="D174" s="2" t="str">
        <x:v>Brevicoryne brassicae</x:v>
      </x:c>
      <x:c r="E174" s="2" t="str">
        <x:v>L6</x:v>
      </x:c>
      <x:c r="F174" s="2" t="n">
        <x:v>9</x:v>
      </x:c>
      <x:c r="G174" s="2" t="n">
        <x:f>E1_recuentos!J518</x:f>
        <x:v>15</x:v>
      </x:c>
      <x:c r="H174" s="2" t="n">
        <x:f>E1_recuentos!J519</x:f>
        <x:v>111</x:v>
      </x:c>
      <x:c r="I174" s="2" t="n">
        <x:f>E1_recuentos!J520</x:f>
        <x:v>337</x:v>
      </x:c>
      <x:c r="J174" s="2" t="str">
        <x:v>simulado_didactico</x:v>
      </x:c>
    </x:row>
    <x:row r="175" ht="19" customHeight="1">
      <x:c r="A175" s="2" t="str">
        <x:v>SIM-E1-BB-L6-R10</x:v>
      </x:c>
      <x:c r="B175" s="2" t="n">
        <x:v>5</x:v>
      </x:c>
      <x:c r="C175" s="2" t="str">
        <x:v>BB</x:v>
      </x:c>
      <x:c r="D175" s="2" t="str">
        <x:v>Brevicoryne brassicae</x:v>
      </x:c>
      <x:c r="E175" s="2" t="str">
        <x:v>L6</x:v>
      </x:c>
      <x:c r="F175" s="2" t="n">
        <x:v>10</x:v>
      </x:c>
      <x:c r="G175" s="2" t="n">
        <x:f>E1_recuentos!J521</x:f>
        <x:v>13</x:v>
      </x:c>
      <x:c r="H175" s="2" t="n">
        <x:f>E1_recuentos!J522</x:f>
        <x:v>68</x:v>
      </x:c>
      <x:c r="I175" s="2" t="n">
        <x:f>E1_recuentos!J523</x:f>
        <x:v>202</x:v>
      </x:c>
      <x:c r="J175" s="2" t="str">
        <x:v>simulado_didactico</x:v>
      </x:c>
    </x:row>
    <x:row r="176" ht="19" customHeight="1">
      <x:c r="A176" s="2" t="str">
        <x:v>SIM-E1-BB-L7-R09</x:v>
      </x:c>
      <x:c r="B176" s="2" t="n">
        <x:v>5</x:v>
      </x:c>
      <x:c r="C176" s="2" t="str">
        <x:v>BB</x:v>
      </x:c>
      <x:c r="D176" s="2" t="str">
        <x:v>Brevicoryne brassicae</x:v>
      </x:c>
      <x:c r="E176" s="2" t="str">
        <x:v>L7</x:v>
      </x:c>
      <x:c r="F176" s="2" t="n">
        <x:v>9</x:v>
      </x:c>
      <x:c r="G176" s="2" t="n">
        <x:f>E1_recuentos!J524</x:f>
        <x:v>16</x:v>
      </x:c>
      <x:c r="H176" s="2" t="n">
        <x:f>E1_recuentos!J525</x:f>
        <x:v>49</x:v>
      </x:c>
      <x:c r="I176" s="2" t="n">
        <x:f>E1_recuentos!J526</x:f>
        <x:v>129</x:v>
      </x:c>
      <x:c r="J176" s="2" t="str">
        <x:v>simulado_didactico</x:v>
      </x:c>
    </x:row>
    <x:row r="177" ht="19" customHeight="1">
      <x:c r="A177" s="2" t="str">
        <x:v>SIM-E1-BB-L7-R10</x:v>
      </x:c>
      <x:c r="B177" s="2" t="n">
        <x:v>5</x:v>
      </x:c>
      <x:c r="C177" s="2" t="str">
        <x:v>BB</x:v>
      </x:c>
      <x:c r="D177" s="2" t="str">
        <x:v>Brevicoryne brassicae</x:v>
      </x:c>
      <x:c r="E177" s="2" t="str">
        <x:v>L7</x:v>
      </x:c>
      <x:c r="F177" s="2" t="n">
        <x:v>10</x:v>
      </x:c>
      <x:c r="G177" s="2" t="n">
        <x:f>E1_recuentos!J527</x:f>
        <x:v>7</x:v>
      </x:c>
      <x:c r="H177" s="2" t="n">
        <x:f>E1_recuentos!J528</x:f>
        <x:v>47</x:v>
      </x:c>
      <x:c r="I177" s="2" t="n">
        <x:f>E1_recuentos!J529</x:f>
        <x:v>91</x:v>
      </x:c>
      <x:c r="J177" s="2" t="str">
        <x:v>simulado_didactico</x:v>
      </x:c>
    </x:row>
    <x:row r="178" ht="19" customHeight="1">
      <x:c r="A178" s="2" t="str">
        <x:v>SIM-E1-BB-L8-R09</x:v>
      </x:c>
      <x:c r="B178" s="2" t="n">
        <x:v>5</x:v>
      </x:c>
      <x:c r="C178" s="2" t="str">
        <x:v>BB</x:v>
      </x:c>
      <x:c r="D178" s="2" t="str">
        <x:v>Brevicoryne brassicae</x:v>
      </x:c>
      <x:c r="E178" s="2" t="str">
        <x:v>L8</x:v>
      </x:c>
      <x:c r="F178" s="2" t="n">
        <x:v>9</x:v>
      </x:c>
      <x:c r="G178" s="2" t="n">
        <x:f>E1_recuentos!J530</x:f>
        <x:v>21</x:v>
      </x:c>
      <x:c r="H178" s="2" t="n">
        <x:f>E1_recuentos!J531</x:f>
        <x:v>57</x:v>
      </x:c>
      <x:c r="I178" s="2" t="n">
        <x:f>E1_recuentos!J532</x:f>
        <x:v>128</x:v>
      </x:c>
      <x:c r="J178" s="2" t="str">
        <x:v>simulado_didactico</x:v>
      </x:c>
    </x:row>
    <x:row r="179" ht="19" customHeight="1">
      <x:c r="A179" s="2" t="str">
        <x:v>SIM-E1-BB-L8-R10</x:v>
      </x:c>
      <x:c r="B179" s="2" t="n">
        <x:v>5</x:v>
      </x:c>
      <x:c r="C179" s="2" t="str">
        <x:v>BB</x:v>
      </x:c>
      <x:c r="D179" s="2" t="str">
        <x:v>Brevicoryne brassicae</x:v>
      </x:c>
      <x:c r="E179" s="2" t="str">
        <x:v>L8</x:v>
      </x:c>
      <x:c r="F179" s="2" t="n">
        <x:v>10</x:v>
      </x:c>
      <x:c r="G179" s="2" t="n">
        <x:f>E1_recuentos!J533</x:f>
        <x:v>9</x:v>
      </x:c>
      <x:c r="H179" s="2" t="n">
        <x:f>E1_recuentos!J534</x:f>
        <x:v>28</x:v>
      </x:c>
      <x:c r="I179" s="2" t="n">
        <x:f>E1_recuentos!J535</x:f>
        <x:v>67</x:v>
      </x:c>
      <x:c r="J179" s="2" t="str">
        <x:v>simulado_didactico</x:v>
      </x:c>
    </x:row>
    <x:row r="180" ht="19" customHeight="1">
      <x:c r="A180" s="2" t="str">
        <x:v>SIM-E1-BB-L9-R09</x:v>
      </x:c>
      <x:c r="B180" s="2" t="n">
        <x:v>5</x:v>
      </x:c>
      <x:c r="C180" s="2" t="str">
        <x:v>BB</x:v>
      </x:c>
      <x:c r="D180" s="2" t="str">
        <x:v>Brevicoryne brassicae</x:v>
      </x:c>
      <x:c r="E180" s="2" t="str">
        <x:v>L9</x:v>
      </x:c>
      <x:c r="F180" s="2" t="n">
        <x:v>9</x:v>
      </x:c>
      <x:c r="G180" s="2" t="n">
        <x:f>E1_recuentos!J536</x:f>
        <x:v>13</x:v>
      </x:c>
      <x:c r="H180" s="2" t="n">
        <x:f>E1_recuentos!J537</x:f>
        <x:v>149</x:v>
      </x:c>
      <x:c r="I180" s="2" t="n">
        <x:f>E1_recuentos!J538</x:f>
        <x:v>381</x:v>
      </x:c>
      <x:c r="J180" s="2" t="str">
        <x:v>simulado_didactico</x:v>
      </x:c>
    </x:row>
    <x:row r="181" ht="19" customHeight="1">
      <x:c r="A181" s="2" t="str">
        <x:v>SIM-E1-BB-L9-R10</x:v>
      </x:c>
      <x:c r="B181" s="2" t="n">
        <x:v>5</x:v>
      </x:c>
      <x:c r="C181" s="2" t="str">
        <x:v>BB</x:v>
      </x:c>
      <x:c r="D181" s="2" t="str">
        <x:v>Brevicoryne brassicae</x:v>
      </x:c>
      <x:c r="E181" s="2" t="str">
        <x:v>L9</x:v>
      </x:c>
      <x:c r="F181" s="2" t="n">
        <x:v>10</x:v>
      </x:c>
      <x:c r="G181" s="2" t="n">
        <x:f>E1_recuentos!J539</x:f>
        <x:v>20</x:v>
      </x:c>
      <x:c r="H181" s="2" t="n">
        <x:f>E1_recuentos!J540</x:f>
        <x:v>85</x:v>
      </x:c>
      <x:c r="I181" s="2" t="n">
        <x:f>E1_recuentos!J541</x:f>
        <x:v>206</x:v>
      </x:c>
      <x:c r="J181" s="2" t="str">
        <x:v>simulado_didactico</x:v>
      </x:c>
    </x:row>
  </x:sheetData>
  <x:conditionalFormatting sqref="E2:E181">
    <x:cfRule type="expression" dxfId="18" priority="1">
      <x:formula>E2="L0"</x:formula>
    </x:cfRule>
    <x:cfRule type="expression" dxfId="19" priority="2">
      <x:formula>E2="L1"</x:formula>
    </x:cfRule>
    <x:cfRule type="expression" dxfId="20" priority="3">
      <x:formula>E2="L2"</x:formula>
    </x:cfRule>
    <x:cfRule type="expression" dxfId="21" priority="4">
      <x:formula>E2="L3"</x:formula>
    </x:cfRule>
    <x:cfRule type="expression" dxfId="22" priority="5">
      <x:formula>E2="L5"</x:formula>
    </x:cfRule>
    <x:cfRule type="expression" dxfId="23" priority="6">
      <x:formula>E2="L6"</x:formula>
    </x:cfRule>
    <x:cfRule type="expression" dxfId="24" priority="7">
      <x:formula>E2="L7"</x:formula>
    </x:cfRule>
    <x:cfRule type="expression" dxfId="25" priority="8">
      <x:formula>E2="L8"</x:formula>
    </x:cfRule>
    <x:cfRule type="expression" dxfId="26" priority="9">
      <x:formula>E2="L9"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c8df3cd5bf4f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3" hidden="0" customWidth="1"/>
    <x:col min="14" max="14" width="24" hidden="0" customWidth="1"/>
  </x:cols>
  <x:sheetData>
    <x:row r="1" ht="43" customHeight="1">
      <x:c r="A1" s="7" t="str">
        <x:v>codigo_especie</x:v>
      </x:c>
      <x:c r="B1" s="7" t="str">
        <x:v>especie</x:v>
      </x:c>
      <x:c r="C1" s="7" t="str">
        <x:v>tratamiento</x:v>
      </x:c>
      <x:c r="D1" s="7" t="str">
        <x:v>dias_post_inoculacion</x:v>
      </x:c>
      <x:c r="E1" s="7" t="str">
        <x:v>n_plantas</x:v>
      </x:c>
      <x:c r="F1" s="7" t="str">
        <x:v>media_total</x:v>
      </x:c>
      <x:c r="G1" s="7" t="str">
        <x:v>desviacion_estandar</x:v>
      </x:c>
      <x:c r="H1" s="7" t="str">
        <x:v>error_estandar</x:v>
      </x:c>
      <x:c r="I1" s="7" t="str">
        <x:v>mediana</x:v>
      </x:c>
      <x:c r="J1" s="7" t="str">
        <x:v>minimo</x:v>
      </x:c>
      <x:c r="K1" s="7" t="str">
        <x:v>maximo</x:v>
      </x:c>
      <x:c r="L1" s="7" t="str">
        <x:v>media_control</x:v>
      </x:c>
      <x:c r="M1" s="7" t="str">
        <x:v>reduccion_relativa</x:v>
      </x:c>
      <x:c r="N1" s="7" t="str">
        <x:v>origen_dato</x:v>
      </x:c>
    </x:row>
    <x:row r="2" ht="19" customHeight="1">
      <x:c r="A2" s="2" t="str">
        <x:v>MP</x:v>
      </x:c>
      <x:c r="B2" s="2" t="str">
        <x:v>Myzus persicae</x:v>
      </x:c>
      <x:c r="C2" s="2" t="str">
        <x:v>L0</x:v>
      </x:c>
      <x:c r="D2" s="2" t="n">
        <x:v>14</x:v>
      </x:c>
      <x:c r="E2" s="2" t="n">
        <x:f>COUNT(E1_recuentos!J2,E1_recuentos!J5,E1_recuentos!J110,E1_recuentos!J113,E1_recuentos!J218,E1_recuentos!J221,E1_recuentos!J326,E1_recuentos!J329,E1_recuentos!J434,E1_recuentos!J437)</x:f>
        <x:v>10</x:v>
      </x:c>
      <x:c r="F2" s="16" t="n">
        <x:f>AVERAGE(E1_recuentos!J2,E1_recuentos!J5,E1_recuentos!J110,E1_recuentos!J113,E1_recuentos!J218,E1_recuentos!J221,E1_recuentos!J326,E1_recuentos!J329,E1_recuentos!J434,E1_recuentos!J437)</x:f>
        <x:v>17.1</x:v>
      </x:c>
      <x:c r="G2" s="16" t="n">
        <x:f>STDEV.S(E1_recuentos!J2,E1_recuentos!J5,E1_recuentos!J110,E1_recuentos!J113,E1_recuentos!J218,E1_recuentos!J221,E1_recuentos!J326,E1_recuentos!J329,E1_recuentos!J434,E1_recuentos!J437)</x:f>
        <x:v>9.515484456634063</x:v>
      </x:c>
      <x:c r="H2" s="16" t="n">
        <x:f>G2/SQRT(E2)</x:f>
        <x:v>3.0090603922893346</x:v>
      </x:c>
      <x:c r="I2" s="16" t="n">
        <x:f>MEDIAN(E1_recuentos!J2,E1_recuentos!J5,E1_recuentos!J110,E1_recuentos!J113,E1_recuentos!J218,E1_recuentos!J221,E1_recuentos!J326,E1_recuentos!J329,E1_recuentos!J434,E1_recuentos!J437)</x:f>
        <x:v>16</x:v>
      </x:c>
      <x:c r="J2" s="16" t="n">
        <x:f>MIN(E1_recuentos!J2,E1_recuentos!J5,E1_recuentos!J110,E1_recuentos!J113,E1_recuentos!J218,E1_recuentos!J221,E1_recuentos!J326,E1_recuentos!J329,E1_recuentos!J434,E1_recuentos!J437)</x:f>
        <x:v>0</x:v>
      </x:c>
      <x:c r="K2" s="16" t="n">
        <x:f>MAX(E1_recuentos!J2,E1_recuentos!J5,E1_recuentos!J110,E1_recuentos!J113,E1_recuentos!J218,E1_recuentos!J221,E1_recuentos!J326,E1_recuentos!J329,E1_recuentos!J434,E1_recuentos!J437)</x:f>
        <x:v>35</x:v>
      </x:c>
      <x:c r="L2" s="16" t="n">
        <x:f>F2</x:f>
        <x:v>17.1</x:v>
      </x:c>
      <x:c r="M2" s="18" t="n">
        <x:f>1-F2/L2</x:f>
        <x:v>0</x:v>
      </x:c>
      <x:c r="N2" s="2" t="str">
        <x:v>simulado_didactico</x:v>
      </x:c>
    </x:row>
    <x:row r="3" ht="19" customHeight="1">
      <x:c r="A3" s="2" t="str">
        <x:v>MP</x:v>
      </x:c>
      <x:c r="B3" s="2" t="str">
        <x:v>Myzus persicae</x:v>
      </x:c>
      <x:c r="C3" s="2" t="str">
        <x:v>L0</x:v>
      </x:c>
      <x:c r="D3" s="2" t="n">
        <x:v>21</x:v>
      </x:c>
      <x:c r="E3" s="2" t="n">
        <x:f>COUNT(E1_recuentos!J3,E1_recuentos!J6,E1_recuentos!J111,E1_recuentos!J114,E1_recuentos!J219,E1_recuentos!J222,E1_recuentos!J327,E1_recuentos!J330,E1_recuentos!J435,E1_recuentos!J438)</x:f>
        <x:v>10</x:v>
      </x:c>
      <x:c r="F3" s="16" t="n">
        <x:f>AVERAGE(E1_recuentos!J3,E1_recuentos!J6,E1_recuentos!J111,E1_recuentos!J114,E1_recuentos!J219,E1_recuentos!J222,E1_recuentos!J327,E1_recuentos!J330,E1_recuentos!J435,E1_recuentos!J438)</x:f>
        <x:v>82</x:v>
      </x:c>
      <x:c r="G3" s="16" t="n">
        <x:f>STDEV.S(E1_recuentos!J3,E1_recuentos!J6,E1_recuentos!J111,E1_recuentos!J114,E1_recuentos!J219,E1_recuentos!J222,E1_recuentos!J327,E1_recuentos!J330,E1_recuentos!J435,E1_recuentos!J438)</x:f>
        <x:v>37.94147540035252</x:v>
      </x:c>
      <x:c r="H3" s="16" t="n">
        <x:f>G3/SQRT(E3)</x:f>
        <x:v>11.99814800523629</x:v>
      </x:c>
      <x:c r="I3" s="16" t="n">
        <x:f>MEDIAN(E1_recuentos!J3,E1_recuentos!J6,E1_recuentos!J111,E1_recuentos!J114,E1_recuentos!J219,E1_recuentos!J222,E1_recuentos!J327,E1_recuentos!J330,E1_recuentos!J435,E1_recuentos!J438)</x:f>
        <x:v>97.5</x:v>
      </x:c>
      <x:c r="J3" s="16" t="n">
        <x:f>MIN(E1_recuentos!J3,E1_recuentos!J6,E1_recuentos!J111,E1_recuentos!J114,E1_recuentos!J219,E1_recuentos!J222,E1_recuentos!J327,E1_recuentos!J330,E1_recuentos!J435,E1_recuentos!J438)</x:f>
        <x:v>0</x:v>
      </x:c>
      <x:c r="K3" s="16" t="n">
        <x:f>MAX(E1_recuentos!J3,E1_recuentos!J6,E1_recuentos!J111,E1_recuentos!J114,E1_recuentos!J219,E1_recuentos!J222,E1_recuentos!J327,E1_recuentos!J330,E1_recuentos!J435,E1_recuentos!J438)</x:f>
        <x:v>129</x:v>
      </x:c>
      <x:c r="L3" s="16" t="n">
        <x:f>F3</x:f>
        <x:v>82</x:v>
      </x:c>
      <x:c r="M3" s="18" t="n">
        <x:f>1-F3/L3</x:f>
        <x:v>0</x:v>
      </x:c>
      <x:c r="N3" s="2" t="str">
        <x:v>simulado_didactico</x:v>
      </x:c>
    </x:row>
    <x:row r="4" ht="19" customHeight="1">
      <x:c r="A4" s="2" t="str">
        <x:v>MP</x:v>
      </x:c>
      <x:c r="B4" s="2" t="str">
        <x:v>Myzus persicae</x:v>
      </x:c>
      <x:c r="C4" s="2" t="str">
        <x:v>L0</x:v>
      </x:c>
      <x:c r="D4" s="2" t="n">
        <x:v>28</x:v>
      </x:c>
      <x:c r="E4" s="2" t="n">
        <x:f>COUNT(E1_recuentos!J4,E1_recuentos!J7,E1_recuentos!J112,E1_recuentos!J115,E1_recuentos!J220,E1_recuentos!J223,E1_recuentos!J328,E1_recuentos!J331,E1_recuentos!J436,E1_recuentos!J439)</x:f>
        <x:v>10</x:v>
      </x:c>
      <x:c r="F4" s="16" t="n">
        <x:f>AVERAGE(E1_recuentos!J4,E1_recuentos!J7,E1_recuentos!J112,E1_recuentos!J115,E1_recuentos!J220,E1_recuentos!J223,E1_recuentos!J328,E1_recuentos!J331,E1_recuentos!J436,E1_recuentos!J439)</x:f>
        <x:v>180.9</x:v>
      </x:c>
      <x:c r="G4" s="16" t="n">
        <x:f>STDEV.S(E1_recuentos!J4,E1_recuentos!J7,E1_recuentos!J112,E1_recuentos!J115,E1_recuentos!J220,E1_recuentos!J223,E1_recuentos!J328,E1_recuentos!J331,E1_recuentos!J436,E1_recuentos!J439)</x:f>
        <x:v>90.25574773940993</x:v>
      </x:c>
      <x:c r="H4" s="16" t="n">
        <x:f>G4/SQRT(E4)</x:f>
        <x:v>28.54137347781287</x:v>
      </x:c>
      <x:c r="I4" s="16" t="n">
        <x:f>MEDIAN(E1_recuentos!J4,E1_recuentos!J7,E1_recuentos!J112,E1_recuentos!J115,E1_recuentos!J220,E1_recuentos!J223,E1_recuentos!J328,E1_recuentos!J331,E1_recuentos!J436,E1_recuentos!J439)</x:f>
        <x:v>182</x:v>
      </x:c>
      <x:c r="J4" s="16" t="n">
        <x:f>MIN(E1_recuentos!J4,E1_recuentos!J7,E1_recuentos!J112,E1_recuentos!J115,E1_recuentos!J220,E1_recuentos!J223,E1_recuentos!J328,E1_recuentos!J331,E1_recuentos!J436,E1_recuentos!J439)</x:f>
        <x:v>0</x:v>
      </x:c>
      <x:c r="K4" s="16" t="n">
        <x:f>MAX(E1_recuentos!J4,E1_recuentos!J7,E1_recuentos!J112,E1_recuentos!J115,E1_recuentos!J220,E1_recuentos!J223,E1_recuentos!J328,E1_recuentos!J331,E1_recuentos!J436,E1_recuentos!J439)</x:f>
        <x:v>329</x:v>
      </x:c>
      <x:c r="L4" s="16" t="n">
        <x:f>F4</x:f>
        <x:v>180.9</x:v>
      </x:c>
      <x:c r="M4" s="18" t="n">
        <x:f>1-F4/L4</x:f>
        <x:v>0</x:v>
      </x:c>
      <x:c r="N4" s="2" t="str">
        <x:v>simulado_didactico</x:v>
      </x:c>
    </x:row>
    <x:row r="5" ht="19" customHeight="1">
      <x:c r="A5" s="2" t="str">
        <x:v>MP</x:v>
      </x:c>
      <x:c r="B5" s="2" t="str">
        <x:v>Myzus persicae</x:v>
      </x:c>
      <x:c r="C5" s="2" t="str">
        <x:v>L1</x:v>
      </x:c>
      <x:c r="D5" s="2" t="n">
        <x:v>14</x:v>
      </x:c>
      <x:c r="E5" s="2" t="n">
        <x:f>COUNT(E1_recuentos!J8,E1_recuentos!J11,E1_recuentos!J116,E1_recuentos!J119,E1_recuentos!J224,E1_recuentos!J227,E1_recuentos!J332,E1_recuentos!J335,E1_recuentos!J440,E1_recuentos!J443)</x:f>
        <x:v>10</x:v>
      </x:c>
      <x:c r="F5" s="16" t="n">
        <x:f>AVERAGE(E1_recuentos!J8,E1_recuentos!J11,E1_recuentos!J116,E1_recuentos!J119,E1_recuentos!J224,E1_recuentos!J227,E1_recuentos!J332,E1_recuentos!J335,E1_recuentos!J440,E1_recuentos!J443)</x:f>
        <x:v>17.7</x:v>
      </x:c>
      <x:c r="G5" s="16" t="n">
        <x:f>STDEV.S(E1_recuentos!J8,E1_recuentos!J11,E1_recuentos!J116,E1_recuentos!J119,E1_recuentos!J224,E1_recuentos!J227,E1_recuentos!J332,E1_recuentos!J335,E1_recuentos!J440,E1_recuentos!J443)</x:f>
        <x:v>8.641630504585219</x:v>
      </x:c>
      <x:c r="H5" s="16" t="n">
        <x:f>G5/SQRT(E5)</x:f>
        <x:v>2.732723509207944</x:v>
      </x:c>
      <x:c r="I5" s="16" t="n">
        <x:f>MEDIAN(E1_recuentos!J8,E1_recuentos!J11,E1_recuentos!J116,E1_recuentos!J119,E1_recuentos!J224,E1_recuentos!J227,E1_recuentos!J332,E1_recuentos!J335,E1_recuentos!J440,E1_recuentos!J443)</x:f>
        <x:v>18</x:v>
      </x:c>
      <x:c r="J5" s="16" t="n">
        <x:f>MIN(E1_recuentos!J8,E1_recuentos!J11,E1_recuentos!J116,E1_recuentos!J119,E1_recuentos!J224,E1_recuentos!J227,E1_recuentos!J332,E1_recuentos!J335,E1_recuentos!J440,E1_recuentos!J443)</x:f>
        <x:v>5</x:v>
      </x:c>
      <x:c r="K5" s="16" t="n">
        <x:f>MAX(E1_recuentos!J8,E1_recuentos!J11,E1_recuentos!J116,E1_recuentos!J119,E1_recuentos!J224,E1_recuentos!J227,E1_recuentos!J332,E1_recuentos!J335,E1_recuentos!J440,E1_recuentos!J443)</x:f>
        <x:v>33</x:v>
      </x:c>
      <x:c r="L5" s="16" t="n">
        <x:f>F2</x:f>
        <x:v>17.1</x:v>
      </x:c>
      <x:c r="M5" s="18" t="n">
        <x:f>1-F5/L5</x:f>
        <x:v>-0.0350877192982455</x:v>
      </x:c>
      <x:c r="N5" s="2" t="str">
        <x:v>simulado_didactico</x:v>
      </x:c>
    </x:row>
    <x:row r="6" ht="19" customHeight="1">
      <x:c r="A6" s="2" t="str">
        <x:v>MP</x:v>
      </x:c>
      <x:c r="B6" s="2" t="str">
        <x:v>Myzus persicae</x:v>
      </x:c>
      <x:c r="C6" s="2" t="str">
        <x:v>L1</x:v>
      </x:c>
      <x:c r="D6" s="2" t="n">
        <x:v>21</x:v>
      </x:c>
      <x:c r="E6" s="2" t="n">
        <x:f>COUNT(E1_recuentos!J9,E1_recuentos!J12,E1_recuentos!J117,E1_recuentos!J120,E1_recuentos!J225,E1_recuentos!J228,E1_recuentos!J333,E1_recuentos!J336,E1_recuentos!J441,E1_recuentos!J444)</x:f>
        <x:v>10</x:v>
      </x:c>
      <x:c r="F6" s="16" t="n">
        <x:f>AVERAGE(E1_recuentos!J9,E1_recuentos!J12,E1_recuentos!J117,E1_recuentos!J120,E1_recuentos!J225,E1_recuentos!J228,E1_recuentos!J333,E1_recuentos!J336,E1_recuentos!J441,E1_recuentos!J444)</x:f>
        <x:v>76.4</x:v>
      </x:c>
      <x:c r="G6" s="16" t="n">
        <x:f>STDEV.S(E1_recuentos!J9,E1_recuentos!J12,E1_recuentos!J117,E1_recuentos!J120,E1_recuentos!J225,E1_recuentos!J228,E1_recuentos!J333,E1_recuentos!J336,E1_recuentos!J441,E1_recuentos!J444)</x:f>
        <x:v>30.59847490752875</x:v>
      </x:c>
      <x:c r="H6" s="16" t="n">
        <x:f>G6/SQRT(E6)</x:f>
        <x:v>9.676087363530089</x:v>
      </x:c>
      <x:c r="I6" s="16" t="n">
        <x:f>MEDIAN(E1_recuentos!J9,E1_recuentos!J12,E1_recuentos!J117,E1_recuentos!J120,E1_recuentos!J225,E1_recuentos!J228,E1_recuentos!J333,E1_recuentos!J336,E1_recuentos!J441,E1_recuentos!J444)</x:f>
        <x:v>74.5</x:v>
      </x:c>
      <x:c r="J6" s="16" t="n">
        <x:f>MIN(E1_recuentos!J9,E1_recuentos!J12,E1_recuentos!J117,E1_recuentos!J120,E1_recuentos!J225,E1_recuentos!J228,E1_recuentos!J333,E1_recuentos!J336,E1_recuentos!J441,E1_recuentos!J444)</x:f>
        <x:v>36</x:v>
      </x:c>
      <x:c r="K6" s="16" t="n">
        <x:f>MAX(E1_recuentos!J9,E1_recuentos!J12,E1_recuentos!J117,E1_recuentos!J120,E1_recuentos!J225,E1_recuentos!J228,E1_recuentos!J333,E1_recuentos!J336,E1_recuentos!J441,E1_recuentos!J444)</x:f>
        <x:v>134</x:v>
      </x:c>
      <x:c r="L6" s="16" t="n">
        <x:f>F3</x:f>
        <x:v>82</x:v>
      </x:c>
      <x:c r="M6" s="18" t="n">
        <x:f>1-F6/L6</x:f>
        <x:v>0.06829268292682922</x:v>
      </x:c>
      <x:c r="N6" s="2" t="str">
        <x:v>simulado_didactico</x:v>
      </x:c>
    </x:row>
    <x:row r="7" ht="19" customHeight="1">
      <x:c r="A7" s="2" t="str">
        <x:v>MP</x:v>
      </x:c>
      <x:c r="B7" s="2" t="str">
        <x:v>Myzus persicae</x:v>
      </x:c>
      <x:c r="C7" s="2" t="str">
        <x:v>L1</x:v>
      </x:c>
      <x:c r="D7" s="2" t="n">
        <x:v>28</x:v>
      </x:c>
      <x:c r="E7" s="2" t="n">
        <x:f>COUNT(E1_recuentos!J10,E1_recuentos!J13,E1_recuentos!J118,E1_recuentos!J121,E1_recuentos!J226,E1_recuentos!J229,E1_recuentos!J334,E1_recuentos!J337,E1_recuentos!J442,E1_recuentos!J445)</x:f>
        <x:v>10</x:v>
      </x:c>
      <x:c r="F7" s="16" t="n">
        <x:f>AVERAGE(E1_recuentos!J10,E1_recuentos!J13,E1_recuentos!J118,E1_recuentos!J121,E1_recuentos!J226,E1_recuentos!J229,E1_recuentos!J334,E1_recuentos!J337,E1_recuentos!J442,E1_recuentos!J445)</x:f>
        <x:v>188.5</x:v>
      </x:c>
      <x:c r="G7" s="16" t="n">
        <x:f>STDEV.S(E1_recuentos!J10,E1_recuentos!J13,E1_recuentos!J118,E1_recuentos!J121,E1_recuentos!J226,E1_recuentos!J229,E1_recuentos!J334,E1_recuentos!J337,E1_recuentos!J442,E1_recuentos!J445)</x:f>
        <x:v>55.13871396557756</x:v>
      </x:c>
      <x:c r="H7" s="16" t="n">
        <x:f>G7/SQRT(E7)</x:f>
        <x:v>17.436392338376013</x:v>
      </x:c>
      <x:c r="I7" s="16" t="n">
        <x:f>MEDIAN(E1_recuentos!J10,E1_recuentos!J13,E1_recuentos!J118,E1_recuentos!J121,E1_recuentos!J226,E1_recuentos!J229,E1_recuentos!J334,E1_recuentos!J337,E1_recuentos!J442,E1_recuentos!J445)</x:f>
        <x:v>199</x:v>
      </x:c>
      <x:c r="J7" s="16" t="n">
        <x:f>MIN(E1_recuentos!J10,E1_recuentos!J13,E1_recuentos!J118,E1_recuentos!J121,E1_recuentos!J226,E1_recuentos!J229,E1_recuentos!J334,E1_recuentos!J337,E1_recuentos!J442,E1_recuentos!J445)</x:f>
        <x:v>109</x:v>
      </x:c>
      <x:c r="K7" s="16" t="n">
        <x:f>MAX(E1_recuentos!J10,E1_recuentos!J13,E1_recuentos!J118,E1_recuentos!J121,E1_recuentos!J226,E1_recuentos!J229,E1_recuentos!J334,E1_recuentos!J337,E1_recuentos!J442,E1_recuentos!J445)</x:f>
        <x:v>285</x:v>
      </x:c>
      <x:c r="L7" s="16" t="n">
        <x:f>F4</x:f>
        <x:v>180.9</x:v>
      </x:c>
      <x:c r="M7" s="18" t="n">
        <x:f>1-F7/L7</x:f>
        <x:v>-0.04201216141514652</x:v>
      </x:c>
      <x:c r="N7" s="2" t="str">
        <x:v>simulado_didactico</x:v>
      </x:c>
    </x:row>
    <x:row r="8" ht="19" customHeight="1">
      <x:c r="A8" s="2" t="str">
        <x:v>MP</x:v>
      </x:c>
      <x:c r="B8" s="2" t="str">
        <x:v>Myzus persicae</x:v>
      </x:c>
      <x:c r="C8" s="2" t="str">
        <x:v>L2</x:v>
      </x:c>
      <x:c r="D8" s="2" t="n">
        <x:v>14</x:v>
      </x:c>
      <x:c r="E8" s="2" t="n">
        <x:f>COUNT(E1_recuentos!J14,E1_recuentos!J17,E1_recuentos!J122,E1_recuentos!J125,E1_recuentos!J230,E1_recuentos!J233,E1_recuentos!J338,E1_recuentos!J341,E1_recuentos!J446,E1_recuentos!J449)</x:f>
        <x:v>10</x:v>
      </x:c>
      <x:c r="F8" s="16" t="n">
        <x:f>AVERAGE(E1_recuentos!J14,E1_recuentos!J17,E1_recuentos!J122,E1_recuentos!J125,E1_recuentos!J230,E1_recuentos!J233,E1_recuentos!J338,E1_recuentos!J341,E1_recuentos!J446,E1_recuentos!J449)</x:f>
        <x:v>8.8</x:v>
      </x:c>
      <x:c r="G8" s="16" t="n">
        <x:f>STDEV.S(E1_recuentos!J14,E1_recuentos!J17,E1_recuentos!J122,E1_recuentos!J125,E1_recuentos!J230,E1_recuentos!J233,E1_recuentos!J338,E1_recuentos!J341,E1_recuentos!J446,E1_recuentos!J449)</x:f>
        <x:v>5.996295152471696</x:v>
      </x:c>
      <x:c r="H8" s="16" t="n">
        <x:f>G8/SQRT(E8)</x:f>
        <x:v>1.8961950204437188</x:v>
      </x:c>
      <x:c r="I8" s="16" t="n">
        <x:f>MEDIAN(E1_recuentos!J14,E1_recuentos!J17,E1_recuentos!J122,E1_recuentos!J125,E1_recuentos!J230,E1_recuentos!J233,E1_recuentos!J338,E1_recuentos!J341,E1_recuentos!J446,E1_recuentos!J449)</x:f>
        <x:v>9</x:v>
      </x:c>
      <x:c r="J8" s="16" t="n">
        <x:f>MIN(E1_recuentos!J14,E1_recuentos!J17,E1_recuentos!J122,E1_recuentos!J125,E1_recuentos!J230,E1_recuentos!J233,E1_recuentos!J338,E1_recuentos!J341,E1_recuentos!J446,E1_recuentos!J449)</x:f>
        <x:v>0</x:v>
      </x:c>
      <x:c r="K8" s="16" t="n">
        <x:f>MAX(E1_recuentos!J14,E1_recuentos!J17,E1_recuentos!J122,E1_recuentos!J125,E1_recuentos!J230,E1_recuentos!J233,E1_recuentos!J338,E1_recuentos!J341,E1_recuentos!J446,E1_recuentos!J449)</x:f>
        <x:v>21</x:v>
      </x:c>
      <x:c r="L8" s="16" t="n">
        <x:f>F2</x:f>
        <x:v>17.1</x:v>
      </x:c>
      <x:c r="M8" s="18" t="n">
        <x:f>1-F8/L8</x:f>
        <x:v>0.48538011695906436</x:v>
      </x:c>
      <x:c r="N8" s="2" t="str">
        <x:v>simulado_didactico</x:v>
      </x:c>
    </x:row>
    <x:row r="9" ht="19" customHeight="1">
      <x:c r="A9" s="2" t="str">
        <x:v>MP</x:v>
      </x:c>
      <x:c r="B9" s="2" t="str">
        <x:v>Myzus persicae</x:v>
      </x:c>
      <x:c r="C9" s="2" t="str">
        <x:v>L2</x:v>
      </x:c>
      <x:c r="D9" s="2" t="n">
        <x:v>21</x:v>
      </x:c>
      <x:c r="E9" s="2" t="n">
        <x:f>COUNT(E1_recuentos!J15,E1_recuentos!J18,E1_recuentos!J123,E1_recuentos!J126,E1_recuentos!J231,E1_recuentos!J234,E1_recuentos!J339,E1_recuentos!J342,E1_recuentos!J447,E1_recuentos!J450)</x:f>
        <x:v>10</x:v>
      </x:c>
      <x:c r="F9" s="16" t="n">
        <x:f>AVERAGE(E1_recuentos!J15,E1_recuentos!J18,E1_recuentos!J123,E1_recuentos!J126,E1_recuentos!J231,E1_recuentos!J234,E1_recuentos!J339,E1_recuentos!J342,E1_recuentos!J447,E1_recuentos!J450)</x:f>
        <x:v>53.7</x:v>
      </x:c>
      <x:c r="G9" s="16" t="n">
        <x:f>STDEV.S(E1_recuentos!J15,E1_recuentos!J18,E1_recuentos!J123,E1_recuentos!J126,E1_recuentos!J231,E1_recuentos!J234,E1_recuentos!J339,E1_recuentos!J342,E1_recuentos!J447,E1_recuentos!J450)</x:f>
        <x:v>37.6594388345516</x:v>
      </x:c>
      <x:c r="H9" s="16" t="n">
        <x:f>G9/SQRT(E9)</x:f>
        <x:v>11.908960212098004</x:v>
      </x:c>
      <x:c r="I9" s="16" t="n">
        <x:f>MEDIAN(E1_recuentos!J15,E1_recuentos!J18,E1_recuentos!J123,E1_recuentos!J126,E1_recuentos!J231,E1_recuentos!J234,E1_recuentos!J339,E1_recuentos!J342,E1_recuentos!J447,E1_recuentos!J450)</x:f>
        <x:v>48.5</x:v>
      </x:c>
      <x:c r="J9" s="16" t="n">
        <x:f>MIN(E1_recuentos!J15,E1_recuentos!J18,E1_recuentos!J123,E1_recuentos!J126,E1_recuentos!J231,E1_recuentos!J234,E1_recuentos!J339,E1_recuentos!J342,E1_recuentos!J447,E1_recuentos!J450)</x:f>
        <x:v>0</x:v>
      </x:c>
      <x:c r="K9" s="16" t="n">
        <x:f>MAX(E1_recuentos!J15,E1_recuentos!J18,E1_recuentos!J123,E1_recuentos!J126,E1_recuentos!J231,E1_recuentos!J234,E1_recuentos!J339,E1_recuentos!J342,E1_recuentos!J447,E1_recuentos!J450)</x:f>
        <x:v>137</x:v>
      </x:c>
      <x:c r="L9" s="16" t="n">
        <x:f>F3</x:f>
        <x:v>82</x:v>
      </x:c>
      <x:c r="M9" s="18" t="n">
        <x:f>1-F9/L9</x:f>
        <x:v>0.34512195121951217</x:v>
      </x:c>
      <x:c r="N9" s="2" t="str">
        <x:v>simulado_didactico</x:v>
      </x:c>
    </x:row>
    <x:row r="10" ht="19" customHeight="1">
      <x:c r="A10" s="2" t="str">
        <x:v>MP</x:v>
      </x:c>
      <x:c r="B10" s="2" t="str">
        <x:v>Myzus persicae</x:v>
      </x:c>
      <x:c r="C10" s="2" t="str">
        <x:v>L2</x:v>
      </x:c>
      <x:c r="D10" s="2" t="n">
        <x:v>28</x:v>
      </x:c>
      <x:c r="E10" s="2" t="n">
        <x:f>COUNT(E1_recuentos!J16,E1_recuentos!J19,E1_recuentos!J124,E1_recuentos!J127,E1_recuentos!J232,E1_recuentos!J235,E1_recuentos!J340,E1_recuentos!J343,E1_recuentos!J448,E1_recuentos!J451)</x:f>
        <x:v>10</x:v>
      </x:c>
      <x:c r="F10" s="16" t="n">
        <x:f>AVERAGE(E1_recuentos!J16,E1_recuentos!J19,E1_recuentos!J124,E1_recuentos!J127,E1_recuentos!J232,E1_recuentos!J235,E1_recuentos!J340,E1_recuentos!J343,E1_recuentos!J448,E1_recuentos!J451)</x:f>
        <x:v>119.7</x:v>
      </x:c>
      <x:c r="G10" s="16" t="n">
        <x:f>STDEV.S(E1_recuentos!J16,E1_recuentos!J19,E1_recuentos!J124,E1_recuentos!J127,E1_recuentos!J232,E1_recuentos!J235,E1_recuentos!J340,E1_recuentos!J343,E1_recuentos!J448,E1_recuentos!J451)</x:f>
        <x:v>79.45096321351653</x:v>
      </x:c>
      <x:c r="H10" s="16" t="n">
        <x:f>G10/SQRT(E10)</x:f>
        <x:v>25.1246006048963</x:v>
      </x:c>
      <x:c r="I10" s="16" t="n">
        <x:f>MEDIAN(E1_recuentos!J16,E1_recuentos!J19,E1_recuentos!J124,E1_recuentos!J127,E1_recuentos!J232,E1_recuentos!J235,E1_recuentos!J340,E1_recuentos!J343,E1_recuentos!J448,E1_recuentos!J451)</x:f>
        <x:v>123.5</x:v>
      </x:c>
      <x:c r="J10" s="16" t="n">
        <x:f>MIN(E1_recuentos!J16,E1_recuentos!J19,E1_recuentos!J124,E1_recuentos!J127,E1_recuentos!J232,E1_recuentos!J235,E1_recuentos!J340,E1_recuentos!J343,E1_recuentos!J448,E1_recuentos!J451)</x:f>
        <x:v>0</x:v>
      </x:c>
      <x:c r="K10" s="16" t="n">
        <x:f>MAX(E1_recuentos!J16,E1_recuentos!J19,E1_recuentos!J124,E1_recuentos!J127,E1_recuentos!J232,E1_recuentos!J235,E1_recuentos!J340,E1_recuentos!J343,E1_recuentos!J448,E1_recuentos!J451)</x:f>
        <x:v>285</x:v>
      </x:c>
      <x:c r="L10" s="16" t="n">
        <x:f>F4</x:f>
        <x:v>180.9</x:v>
      </x:c>
      <x:c r="M10" s="18" t="n">
        <x:f>1-F10/L10</x:f>
        <x:v>0.3383084577114428</x:v>
      </x:c>
      <x:c r="N10" s="2" t="str">
        <x:v>simulado_didactico</x:v>
      </x:c>
    </x:row>
    <x:row r="11" ht="19" customHeight="1">
      <x:c r="A11" s="2" t="str">
        <x:v>MP</x:v>
      </x:c>
      <x:c r="B11" s="2" t="str">
        <x:v>Myzus persicae</x:v>
      </x:c>
      <x:c r="C11" s="2" t="str">
        <x:v>L3</x:v>
      </x:c>
      <x:c r="D11" s="2" t="n">
        <x:v>14</x:v>
      </x:c>
      <x:c r="E11" s="2" t="n">
        <x:f>COUNT(E1_recuentos!J20,E1_recuentos!J23,E1_recuentos!J128,E1_recuentos!J131,E1_recuentos!J236,E1_recuentos!J239,E1_recuentos!J344,E1_recuentos!J347,E1_recuentos!J452,E1_recuentos!J455)</x:f>
        <x:v>10</x:v>
      </x:c>
      <x:c r="F11" s="16" t="n">
        <x:f>AVERAGE(E1_recuentos!J20,E1_recuentos!J23,E1_recuentos!J128,E1_recuentos!J131,E1_recuentos!J236,E1_recuentos!J239,E1_recuentos!J344,E1_recuentos!J347,E1_recuentos!J452,E1_recuentos!J455)</x:f>
        <x:v>15.1</x:v>
      </x:c>
      <x:c r="G11" s="16" t="n">
        <x:f>STDEV.S(E1_recuentos!J20,E1_recuentos!J23,E1_recuentos!J128,E1_recuentos!J131,E1_recuentos!J236,E1_recuentos!J239,E1_recuentos!J344,E1_recuentos!J347,E1_recuentos!J452,E1_recuentos!J455)</x:f>
        <x:v>5.506561742341788</x:v>
      </x:c>
      <x:c r="H11" s="16" t="n">
        <x:f>G11/SQRT(E11)</x:f>
        <x:v>1.7413277182145301</x:v>
      </x:c>
      <x:c r="I11" s="16" t="n">
        <x:f>MEDIAN(E1_recuentos!J20,E1_recuentos!J23,E1_recuentos!J128,E1_recuentos!J131,E1_recuentos!J236,E1_recuentos!J239,E1_recuentos!J344,E1_recuentos!J347,E1_recuentos!J452,E1_recuentos!J455)</x:f>
        <x:v>14</x:v>
      </x:c>
      <x:c r="J11" s="16" t="n">
        <x:f>MIN(E1_recuentos!J20,E1_recuentos!J23,E1_recuentos!J128,E1_recuentos!J131,E1_recuentos!J236,E1_recuentos!J239,E1_recuentos!J344,E1_recuentos!J347,E1_recuentos!J452,E1_recuentos!J455)</x:f>
        <x:v>9</x:v>
      </x:c>
      <x:c r="K11" s="16" t="n">
        <x:f>MAX(E1_recuentos!J20,E1_recuentos!J23,E1_recuentos!J128,E1_recuentos!J131,E1_recuentos!J236,E1_recuentos!J239,E1_recuentos!J344,E1_recuentos!J347,E1_recuentos!J452,E1_recuentos!J455)</x:f>
        <x:v>24</x:v>
      </x:c>
      <x:c r="L11" s="16" t="n">
        <x:f>F2</x:f>
        <x:v>17.1</x:v>
      </x:c>
      <x:c r="M11" s="18" t="n">
        <x:f>1-F11/L11</x:f>
        <x:v>0.11695906432748548</x:v>
      </x:c>
      <x:c r="N11" s="2" t="str">
        <x:v>simulado_didactico</x:v>
      </x:c>
    </x:row>
    <x:row r="12" ht="19" customHeight="1">
      <x:c r="A12" s="2" t="str">
        <x:v>MP</x:v>
      </x:c>
      <x:c r="B12" s="2" t="str">
        <x:v>Myzus persicae</x:v>
      </x:c>
      <x:c r="C12" s="2" t="str">
        <x:v>L3</x:v>
      </x:c>
      <x:c r="D12" s="2" t="n">
        <x:v>21</x:v>
      </x:c>
      <x:c r="E12" s="2" t="n">
        <x:f>COUNT(E1_recuentos!J21,E1_recuentos!J24,E1_recuentos!J129,E1_recuentos!J132,E1_recuentos!J237,E1_recuentos!J240,E1_recuentos!J345,E1_recuentos!J348,E1_recuentos!J453,E1_recuentos!J456)</x:f>
        <x:v>10</x:v>
      </x:c>
      <x:c r="F12" s="16" t="n">
        <x:f>AVERAGE(E1_recuentos!J21,E1_recuentos!J24,E1_recuentos!J129,E1_recuentos!J132,E1_recuentos!J237,E1_recuentos!J240,E1_recuentos!J345,E1_recuentos!J348,E1_recuentos!J453,E1_recuentos!J456)</x:f>
        <x:v>67.2</x:v>
      </x:c>
      <x:c r="G12" s="16" t="n">
        <x:f>STDEV.S(E1_recuentos!J21,E1_recuentos!J24,E1_recuentos!J129,E1_recuentos!J132,E1_recuentos!J237,E1_recuentos!J240,E1_recuentos!J345,E1_recuentos!J348,E1_recuentos!J453,E1_recuentos!J456)</x:f>
        <x:v>18.954917274651688</x:v>
      </x:c>
      <x:c r="H12" s="16" t="n">
        <x:f>G12/SQRT(E12)</x:f>
        <x:v>5.994071144797073</x:v>
      </x:c>
      <x:c r="I12" s="16" t="n">
        <x:f>MEDIAN(E1_recuentos!J21,E1_recuentos!J24,E1_recuentos!J129,E1_recuentos!J132,E1_recuentos!J237,E1_recuentos!J240,E1_recuentos!J345,E1_recuentos!J348,E1_recuentos!J453,E1_recuentos!J456)</x:f>
        <x:v>67.5</x:v>
      </x:c>
      <x:c r="J12" s="16" t="n">
        <x:f>MIN(E1_recuentos!J21,E1_recuentos!J24,E1_recuentos!J129,E1_recuentos!J132,E1_recuentos!J237,E1_recuentos!J240,E1_recuentos!J345,E1_recuentos!J348,E1_recuentos!J453,E1_recuentos!J456)</x:f>
        <x:v>33</x:v>
      </x:c>
      <x:c r="K12" s="16" t="n">
        <x:f>MAX(E1_recuentos!J21,E1_recuentos!J24,E1_recuentos!J129,E1_recuentos!J132,E1_recuentos!J237,E1_recuentos!J240,E1_recuentos!J345,E1_recuentos!J348,E1_recuentos!J453,E1_recuentos!J456)</x:f>
        <x:v>103</x:v>
      </x:c>
      <x:c r="L12" s="16" t="n">
        <x:f>F3</x:f>
        <x:v>82</x:v>
      </x:c>
      <x:c r="M12" s="18" t="n">
        <x:f>1-F12/L12</x:f>
        <x:v>0.18048780487804872</x:v>
      </x:c>
      <x:c r="N12" s="2" t="str">
        <x:v>simulado_didactico</x:v>
      </x:c>
    </x:row>
    <x:row r="13" ht="19" customHeight="1">
      <x:c r="A13" s="2" t="str">
        <x:v>MP</x:v>
      </x:c>
      <x:c r="B13" s="2" t="str">
        <x:v>Myzus persicae</x:v>
      </x:c>
      <x:c r="C13" s="2" t="str">
        <x:v>L3</x:v>
      </x:c>
      <x:c r="D13" s="2" t="n">
        <x:v>28</x:v>
      </x:c>
      <x:c r="E13" s="2" t="n">
        <x:f>COUNT(E1_recuentos!J22,E1_recuentos!J25,E1_recuentos!J130,E1_recuentos!J133,E1_recuentos!J238,E1_recuentos!J241,E1_recuentos!J346,E1_recuentos!J349,E1_recuentos!J454,E1_recuentos!J457)</x:f>
        <x:v>10</x:v>
      </x:c>
      <x:c r="F13" s="16" t="n">
        <x:f>AVERAGE(E1_recuentos!J22,E1_recuentos!J25,E1_recuentos!J130,E1_recuentos!J133,E1_recuentos!J238,E1_recuentos!J241,E1_recuentos!J346,E1_recuentos!J349,E1_recuentos!J454,E1_recuentos!J457)</x:f>
        <x:v>167.5</x:v>
      </x:c>
      <x:c r="G13" s="16" t="n">
        <x:f>STDEV.S(E1_recuentos!J22,E1_recuentos!J25,E1_recuentos!J130,E1_recuentos!J133,E1_recuentos!J238,E1_recuentos!J241,E1_recuentos!J346,E1_recuentos!J349,E1_recuentos!J454,E1_recuentos!J457)</x:f>
        <x:v>35.27117173493894</x:v>
      </x:c>
      <x:c r="H13" s="16" t="n">
        <x:f>G13/SQRT(E13)</x:f>
        <x:v>11.153723842535978</x:v>
      </x:c>
      <x:c r="I13" s="16" t="n">
        <x:f>MEDIAN(E1_recuentos!J22,E1_recuentos!J25,E1_recuentos!J130,E1_recuentos!J133,E1_recuentos!J238,E1_recuentos!J241,E1_recuentos!J346,E1_recuentos!J349,E1_recuentos!J454,E1_recuentos!J457)</x:f>
        <x:v>168.5</x:v>
      </x:c>
      <x:c r="J13" s="16" t="n">
        <x:f>MIN(E1_recuentos!J22,E1_recuentos!J25,E1_recuentos!J130,E1_recuentos!J133,E1_recuentos!J238,E1_recuentos!J241,E1_recuentos!J346,E1_recuentos!J349,E1_recuentos!J454,E1_recuentos!J457)</x:f>
        <x:v>94</x:v>
      </x:c>
      <x:c r="K13" s="16" t="n">
        <x:f>MAX(E1_recuentos!J22,E1_recuentos!J25,E1_recuentos!J130,E1_recuentos!J133,E1_recuentos!J238,E1_recuentos!J241,E1_recuentos!J346,E1_recuentos!J349,E1_recuentos!J454,E1_recuentos!J457)</x:f>
        <x:v>208</x:v>
      </x:c>
      <x:c r="L13" s="16" t="n">
        <x:f>F4</x:f>
        <x:v>180.9</x:v>
      </x:c>
      <x:c r="M13" s="18" t="n">
        <x:f>1-F13/L13</x:f>
        <x:v>0.07407407407407407</x:v>
      </x:c>
      <x:c r="N13" s="2" t="str">
        <x:v>simulado_didactico</x:v>
      </x:c>
    </x:row>
    <x:row r="14" ht="19" customHeight="1">
      <x:c r="A14" s="2" t="str">
        <x:v>MP</x:v>
      </x:c>
      <x:c r="B14" s="2" t="str">
        <x:v>Myzus persicae</x:v>
      </x:c>
      <x:c r="C14" s="2" t="str">
        <x:v>L5</x:v>
      </x:c>
      <x:c r="D14" s="2" t="n">
        <x:v>14</x:v>
      </x:c>
      <x:c r="E14" s="2" t="n">
        <x:f>COUNT(E1_recuentos!J26,E1_recuentos!J29,E1_recuentos!J134,E1_recuentos!J137,E1_recuentos!J242,E1_recuentos!J245,E1_recuentos!J350,E1_recuentos!J353,E1_recuentos!J458,E1_recuentos!J461)</x:f>
        <x:v>10</x:v>
      </x:c>
      <x:c r="F14" s="16" t="n">
        <x:f>AVERAGE(E1_recuentos!J26,E1_recuentos!J29,E1_recuentos!J134,E1_recuentos!J137,E1_recuentos!J242,E1_recuentos!J245,E1_recuentos!J350,E1_recuentos!J353,E1_recuentos!J458,E1_recuentos!J461)</x:f>
        <x:v>10.6</x:v>
      </x:c>
      <x:c r="G14" s="16" t="n">
        <x:f>STDEV.S(E1_recuentos!J26,E1_recuentos!J29,E1_recuentos!J134,E1_recuentos!J137,E1_recuentos!J242,E1_recuentos!J245,E1_recuentos!J350,E1_recuentos!J353,E1_recuentos!J458,E1_recuentos!J461)</x:f>
        <x:v>6.077280093375106</x:v>
      </x:c>
      <x:c r="H14" s="16" t="n">
        <x:f>G14/SQRT(E14)</x:f>
        <x:v>1.9218047073866098</x:v>
      </x:c>
      <x:c r="I14" s="16" t="n">
        <x:f>MEDIAN(E1_recuentos!J26,E1_recuentos!J29,E1_recuentos!J134,E1_recuentos!J137,E1_recuentos!J242,E1_recuentos!J245,E1_recuentos!J350,E1_recuentos!J353,E1_recuentos!J458,E1_recuentos!J461)</x:f>
        <x:v>9</x:v>
      </x:c>
      <x:c r="J14" s="16" t="n">
        <x:f>MIN(E1_recuentos!J26,E1_recuentos!J29,E1_recuentos!J134,E1_recuentos!J137,E1_recuentos!J242,E1_recuentos!J245,E1_recuentos!J350,E1_recuentos!J353,E1_recuentos!J458,E1_recuentos!J461)</x:f>
        <x:v>2</x:v>
      </x:c>
      <x:c r="K14" s="16" t="n">
        <x:f>MAX(E1_recuentos!J26,E1_recuentos!J29,E1_recuentos!J134,E1_recuentos!J137,E1_recuentos!J242,E1_recuentos!J245,E1_recuentos!J350,E1_recuentos!J353,E1_recuentos!J458,E1_recuentos!J461)</x:f>
        <x:v>23</x:v>
      </x:c>
      <x:c r="L14" s="16" t="n">
        <x:f>F2</x:f>
        <x:v>17.1</x:v>
      </x:c>
      <x:c r="M14" s="18" t="n">
        <x:f>1-F14/L14</x:f>
        <x:v>0.3801169590643275</x:v>
      </x:c>
      <x:c r="N14" s="2" t="str">
        <x:v>simulado_didactico</x:v>
      </x:c>
    </x:row>
    <x:row r="15" ht="19" customHeight="1">
      <x:c r="A15" s="2" t="str">
        <x:v>MP</x:v>
      </x:c>
      <x:c r="B15" s="2" t="str">
        <x:v>Myzus persicae</x:v>
      </x:c>
      <x:c r="C15" s="2" t="str">
        <x:v>L5</x:v>
      </x:c>
      <x:c r="D15" s="2" t="n">
        <x:v>21</x:v>
      </x:c>
      <x:c r="E15" s="2" t="n">
        <x:f>COUNT(E1_recuentos!J27,E1_recuentos!J30,E1_recuentos!J135,E1_recuentos!J138,E1_recuentos!J243,E1_recuentos!J246,E1_recuentos!J351,E1_recuentos!J354,E1_recuentos!J459,E1_recuentos!J462)</x:f>
        <x:v>10</x:v>
      </x:c>
      <x:c r="F15" s="16" t="n">
        <x:f>AVERAGE(E1_recuentos!J27,E1_recuentos!J30,E1_recuentos!J135,E1_recuentos!J138,E1_recuentos!J243,E1_recuentos!J246,E1_recuentos!J351,E1_recuentos!J354,E1_recuentos!J459,E1_recuentos!J462)</x:f>
        <x:v>44.3</x:v>
      </x:c>
      <x:c r="G15" s="16" t="n">
        <x:f>STDEV.S(E1_recuentos!J27,E1_recuentos!J30,E1_recuentos!J135,E1_recuentos!J138,E1_recuentos!J243,E1_recuentos!J246,E1_recuentos!J351,E1_recuentos!J354,E1_recuentos!J459,E1_recuentos!J462)</x:f>
        <x:v>16.2073371587617</x:v>
      </x:c>
      <x:c r="H15" s="16" t="n">
        <x:f>G15/SQRT(E15)</x:f>
        <x:v>5.125210022796898</x:v>
      </x:c>
      <x:c r="I15" s="16" t="n">
        <x:f>MEDIAN(E1_recuentos!J27,E1_recuentos!J30,E1_recuentos!J135,E1_recuentos!J138,E1_recuentos!J243,E1_recuentos!J246,E1_recuentos!J351,E1_recuentos!J354,E1_recuentos!J459,E1_recuentos!J462)</x:f>
        <x:v>42.5</x:v>
      </x:c>
      <x:c r="J15" s="16" t="n">
        <x:f>MIN(E1_recuentos!J27,E1_recuentos!J30,E1_recuentos!J135,E1_recuentos!J138,E1_recuentos!J243,E1_recuentos!J246,E1_recuentos!J351,E1_recuentos!J354,E1_recuentos!J459,E1_recuentos!J462)</x:f>
        <x:v>19</x:v>
      </x:c>
      <x:c r="K15" s="16" t="n">
        <x:f>MAX(E1_recuentos!J27,E1_recuentos!J30,E1_recuentos!J135,E1_recuentos!J138,E1_recuentos!J243,E1_recuentos!J246,E1_recuentos!J351,E1_recuentos!J354,E1_recuentos!J459,E1_recuentos!J462)</x:f>
        <x:v>68</x:v>
      </x:c>
      <x:c r="L15" s="16" t="n">
        <x:f>F3</x:f>
        <x:v>82</x:v>
      </x:c>
      <x:c r="M15" s="18" t="n">
        <x:f>1-F15/L15</x:f>
        <x:v>0.4597560975609757</x:v>
      </x:c>
      <x:c r="N15" s="2" t="str">
        <x:v>simulado_didactico</x:v>
      </x:c>
    </x:row>
    <x:row r="16" ht="19" customHeight="1">
      <x:c r="A16" s="2" t="str">
        <x:v>MP</x:v>
      </x:c>
      <x:c r="B16" s="2" t="str">
        <x:v>Myzus persicae</x:v>
      </x:c>
      <x:c r="C16" s="2" t="str">
        <x:v>L5</x:v>
      </x:c>
      <x:c r="D16" s="2" t="n">
        <x:v>28</x:v>
      </x:c>
      <x:c r="E16" s="2" t="n">
        <x:f>COUNT(E1_recuentos!J28,E1_recuentos!J31,E1_recuentos!J136,E1_recuentos!J139,E1_recuentos!J244,E1_recuentos!J247,E1_recuentos!J352,E1_recuentos!J355,E1_recuentos!J460,E1_recuentos!J463)</x:f>
        <x:v>10</x:v>
      </x:c>
      <x:c r="F16" s="16" t="n">
        <x:f>AVERAGE(E1_recuentos!J28,E1_recuentos!J31,E1_recuentos!J136,E1_recuentos!J139,E1_recuentos!J244,E1_recuentos!J247,E1_recuentos!J352,E1_recuentos!J355,E1_recuentos!J460,E1_recuentos!J463)</x:f>
        <x:v>98.8</x:v>
      </x:c>
      <x:c r="G16" s="16" t="n">
        <x:f>STDEV.S(E1_recuentos!J28,E1_recuentos!J31,E1_recuentos!J136,E1_recuentos!J139,E1_recuentos!J244,E1_recuentos!J247,E1_recuentos!J352,E1_recuentos!J355,E1_recuentos!J460,E1_recuentos!J463)</x:f>
        <x:v>32.75769629669746</x:v>
      </x:c>
      <x:c r="H16" s="16" t="n">
        <x:f>G16/SQRT(E16)</x:f>
        <x:v>10.358893119762682</x:v>
      </x:c>
      <x:c r="I16" s="16" t="n">
        <x:f>MEDIAN(E1_recuentos!J28,E1_recuentos!J31,E1_recuentos!J136,E1_recuentos!J139,E1_recuentos!J244,E1_recuentos!J247,E1_recuentos!J352,E1_recuentos!J355,E1_recuentos!J460,E1_recuentos!J463)</x:f>
        <x:v>100</x:v>
      </x:c>
      <x:c r="J16" s="16" t="n">
        <x:f>MIN(E1_recuentos!J28,E1_recuentos!J31,E1_recuentos!J136,E1_recuentos!J139,E1_recuentos!J244,E1_recuentos!J247,E1_recuentos!J352,E1_recuentos!J355,E1_recuentos!J460,E1_recuentos!J463)</x:f>
        <x:v>54</x:v>
      </x:c>
      <x:c r="K16" s="16" t="n">
        <x:f>MAX(E1_recuentos!J28,E1_recuentos!J31,E1_recuentos!J136,E1_recuentos!J139,E1_recuentos!J244,E1_recuentos!J247,E1_recuentos!J352,E1_recuentos!J355,E1_recuentos!J460,E1_recuentos!J463)</x:f>
        <x:v>167</x:v>
      </x:c>
      <x:c r="L16" s="16" t="n">
        <x:f>F4</x:f>
        <x:v>180.9</x:v>
      </x:c>
      <x:c r="M16" s="18" t="n">
        <x:f>1-F16/L16</x:f>
        <x:v>0.4538419016030957</x:v>
      </x:c>
      <x:c r="N16" s="2" t="str">
        <x:v>simulado_didactico</x:v>
      </x:c>
    </x:row>
    <x:row r="17" ht="19" customHeight="1">
      <x:c r="A17" s="2" t="str">
        <x:v>MP</x:v>
      </x:c>
      <x:c r="B17" s="2" t="str">
        <x:v>Myzus persicae</x:v>
      </x:c>
      <x:c r="C17" s="2" t="str">
        <x:v>L6</x:v>
      </x:c>
      <x:c r="D17" s="2" t="n">
        <x:v>14</x:v>
      </x:c>
      <x:c r="E17" s="2" t="n">
        <x:f>COUNT(E1_recuentos!J32,E1_recuentos!J35,E1_recuentos!J140,E1_recuentos!J143,E1_recuentos!J248,E1_recuentos!J251,E1_recuentos!J356,E1_recuentos!J359,E1_recuentos!J464,E1_recuentos!J467)</x:f>
        <x:v>10</x:v>
      </x:c>
      <x:c r="F17" s="16" t="n">
        <x:f>AVERAGE(E1_recuentos!J32,E1_recuentos!J35,E1_recuentos!J140,E1_recuentos!J143,E1_recuentos!J248,E1_recuentos!J251,E1_recuentos!J356,E1_recuentos!J359,E1_recuentos!J464,E1_recuentos!J467)</x:f>
        <x:v>14.7</x:v>
      </x:c>
      <x:c r="G17" s="16" t="n">
        <x:f>STDEV.S(E1_recuentos!J32,E1_recuentos!J35,E1_recuentos!J140,E1_recuentos!J143,E1_recuentos!J248,E1_recuentos!J251,E1_recuentos!J356,E1_recuentos!J359,E1_recuentos!J464,E1_recuentos!J467)</x:f>
        <x:v>5.056349144063003</x:v>
      </x:c>
      <x:c r="H17" s="16" t="n">
        <x:f>G17/SQRT(E17)</x:f>
        <x:v>1.5989579940281942</x:v>
      </x:c>
      <x:c r="I17" s="16" t="n">
        <x:f>MEDIAN(E1_recuentos!J32,E1_recuentos!J35,E1_recuentos!J140,E1_recuentos!J143,E1_recuentos!J248,E1_recuentos!J251,E1_recuentos!J356,E1_recuentos!J359,E1_recuentos!J464,E1_recuentos!J467)</x:f>
        <x:v>15</x:v>
      </x:c>
      <x:c r="J17" s="16" t="n">
        <x:f>MIN(E1_recuentos!J32,E1_recuentos!J35,E1_recuentos!J140,E1_recuentos!J143,E1_recuentos!J248,E1_recuentos!J251,E1_recuentos!J356,E1_recuentos!J359,E1_recuentos!J464,E1_recuentos!J467)</x:f>
        <x:v>7</x:v>
      </x:c>
      <x:c r="K17" s="16" t="n">
        <x:f>MAX(E1_recuentos!J32,E1_recuentos!J35,E1_recuentos!J140,E1_recuentos!J143,E1_recuentos!J248,E1_recuentos!J251,E1_recuentos!J356,E1_recuentos!J359,E1_recuentos!J464,E1_recuentos!J467)</x:f>
        <x:v>25</x:v>
      </x:c>
      <x:c r="L17" s="16" t="n">
        <x:f>F2</x:f>
        <x:v>17.1</x:v>
      </x:c>
      <x:c r="M17" s="18" t="n">
        <x:f>1-F17/L17</x:f>
        <x:v>0.14035087719298256</x:v>
      </x:c>
      <x:c r="N17" s="2" t="str">
        <x:v>simulado_didactico</x:v>
      </x:c>
    </x:row>
    <x:row r="18" ht="19" customHeight="1">
      <x:c r="A18" s="2" t="str">
        <x:v>MP</x:v>
      </x:c>
      <x:c r="B18" s="2" t="str">
        <x:v>Myzus persicae</x:v>
      </x:c>
      <x:c r="C18" s="2" t="str">
        <x:v>L6</x:v>
      </x:c>
      <x:c r="D18" s="2" t="n">
        <x:v>21</x:v>
      </x:c>
      <x:c r="E18" s="2" t="n">
        <x:f>COUNT(E1_recuentos!J33,E1_recuentos!J36,E1_recuentos!J141,E1_recuentos!J144,E1_recuentos!J249,E1_recuentos!J252,E1_recuentos!J357,E1_recuentos!J360,E1_recuentos!J465,E1_recuentos!J468)</x:f>
        <x:v>10</x:v>
      </x:c>
      <x:c r="F18" s="16" t="n">
        <x:f>AVERAGE(E1_recuentos!J33,E1_recuentos!J36,E1_recuentos!J141,E1_recuentos!J144,E1_recuentos!J249,E1_recuentos!J252,E1_recuentos!J357,E1_recuentos!J360,E1_recuentos!J465,E1_recuentos!J468)</x:f>
        <x:v>70</x:v>
      </x:c>
      <x:c r="G18" s="16" t="n">
        <x:f>STDEV.S(E1_recuentos!J33,E1_recuentos!J36,E1_recuentos!J141,E1_recuentos!J144,E1_recuentos!J249,E1_recuentos!J252,E1_recuentos!J357,E1_recuentos!J360,E1_recuentos!J465,E1_recuentos!J468)</x:f>
        <x:v>29.374970449157715</x:v>
      </x:c>
      <x:c r="H18" s="16" t="n">
        <x:f>G18/SQRT(E18)</x:f>
        <x:v>9.289181281947775</x:v>
      </x:c>
      <x:c r="I18" s="16" t="n">
        <x:f>MEDIAN(E1_recuentos!J33,E1_recuentos!J36,E1_recuentos!J141,E1_recuentos!J144,E1_recuentos!J249,E1_recuentos!J252,E1_recuentos!J357,E1_recuentos!J360,E1_recuentos!J465,E1_recuentos!J468)</x:f>
        <x:v>66.5</x:v>
      </x:c>
      <x:c r="J18" s="16" t="n">
        <x:f>MIN(E1_recuentos!J33,E1_recuentos!J36,E1_recuentos!J141,E1_recuentos!J144,E1_recuentos!J249,E1_recuentos!J252,E1_recuentos!J357,E1_recuentos!J360,E1_recuentos!J465,E1_recuentos!J468)</x:f>
        <x:v>37</x:v>
      </x:c>
      <x:c r="K18" s="16" t="n">
        <x:f>MAX(E1_recuentos!J33,E1_recuentos!J36,E1_recuentos!J141,E1_recuentos!J144,E1_recuentos!J249,E1_recuentos!J252,E1_recuentos!J357,E1_recuentos!J360,E1_recuentos!J465,E1_recuentos!J468)</x:f>
        <x:v>141</x:v>
      </x:c>
      <x:c r="L18" s="16" t="n">
        <x:f>F3</x:f>
        <x:v>82</x:v>
      </x:c>
      <x:c r="M18" s="18" t="n">
        <x:f>1-F18/L18</x:f>
        <x:v>0.14634146341463417</x:v>
      </x:c>
      <x:c r="N18" s="2" t="str">
        <x:v>simulado_didactico</x:v>
      </x:c>
    </x:row>
    <x:row r="19" ht="19" customHeight="1">
      <x:c r="A19" s="2" t="str">
        <x:v>MP</x:v>
      </x:c>
      <x:c r="B19" s="2" t="str">
        <x:v>Myzus persicae</x:v>
      </x:c>
      <x:c r="C19" s="2" t="str">
        <x:v>L6</x:v>
      </x:c>
      <x:c r="D19" s="2" t="n">
        <x:v>28</x:v>
      </x:c>
      <x:c r="E19" s="2" t="n">
        <x:f>COUNT(E1_recuentos!J34,E1_recuentos!J37,E1_recuentos!J142,E1_recuentos!J145,E1_recuentos!J250,E1_recuentos!J253,E1_recuentos!J358,E1_recuentos!J361,E1_recuentos!J466,E1_recuentos!J469)</x:f>
        <x:v>10</x:v>
      </x:c>
      <x:c r="F19" s="16" t="n">
        <x:f>AVERAGE(E1_recuentos!J34,E1_recuentos!J37,E1_recuentos!J142,E1_recuentos!J145,E1_recuentos!J250,E1_recuentos!J253,E1_recuentos!J358,E1_recuentos!J361,E1_recuentos!J466,E1_recuentos!J469)</x:f>
        <x:v>182.8</x:v>
      </x:c>
      <x:c r="G19" s="16" t="n">
        <x:f>STDEV.S(E1_recuentos!J34,E1_recuentos!J37,E1_recuentos!J142,E1_recuentos!J145,E1_recuentos!J250,E1_recuentos!J253,E1_recuentos!J358,E1_recuentos!J361,E1_recuentos!J466,E1_recuentos!J469)</x:f>
        <x:v>62.520752110354884</x:v>
      </x:c>
      <x:c r="H19" s="16" t="n">
        <x:f>G19/SQRT(E19)</x:f>
        <x:v>19.77079776955003</x:v>
      </x:c>
      <x:c r="I19" s="16" t="n">
        <x:f>MEDIAN(E1_recuentos!J34,E1_recuentos!J37,E1_recuentos!J142,E1_recuentos!J145,E1_recuentos!J250,E1_recuentos!J253,E1_recuentos!J358,E1_recuentos!J361,E1_recuentos!J466,E1_recuentos!J469)</x:f>
        <x:v>174.5</x:v>
      </x:c>
      <x:c r="J19" s="16" t="n">
        <x:f>MIN(E1_recuentos!J34,E1_recuentos!J37,E1_recuentos!J142,E1_recuentos!J145,E1_recuentos!J250,E1_recuentos!J253,E1_recuentos!J358,E1_recuentos!J361,E1_recuentos!J466,E1_recuentos!J469)</x:f>
        <x:v>105</x:v>
      </x:c>
      <x:c r="K19" s="16" t="n">
        <x:f>MAX(E1_recuentos!J34,E1_recuentos!J37,E1_recuentos!J142,E1_recuentos!J145,E1_recuentos!J250,E1_recuentos!J253,E1_recuentos!J358,E1_recuentos!J361,E1_recuentos!J466,E1_recuentos!J469)</x:f>
        <x:v>316</x:v>
      </x:c>
      <x:c r="L19" s="16" t="n">
        <x:f>F4</x:f>
        <x:v>180.9</x:v>
      </x:c>
      <x:c r="M19" s="18" t="n">
        <x:f>1-F19/L19</x:f>
        <x:v>-0.010503040353786686</x:v>
      </x:c>
      <x:c r="N19" s="2" t="str">
        <x:v>simulado_didactico</x:v>
      </x:c>
    </x:row>
    <x:row r="20" ht="19" customHeight="1">
      <x:c r="A20" s="2" t="str">
        <x:v>MP</x:v>
      </x:c>
      <x:c r="B20" s="2" t="str">
        <x:v>Myzus persicae</x:v>
      </x:c>
      <x:c r="C20" s="2" t="str">
        <x:v>L7</x:v>
      </x:c>
      <x:c r="D20" s="2" t="n">
        <x:v>14</x:v>
      </x:c>
      <x:c r="E20" s="2" t="n">
        <x:f>COUNT(E1_recuentos!J38,E1_recuentos!J41,E1_recuentos!J146,E1_recuentos!J149,E1_recuentos!J254,E1_recuentos!J257,E1_recuentos!J362,E1_recuentos!J365,E1_recuentos!J470,E1_recuentos!J473)</x:f>
        <x:v>10</x:v>
      </x:c>
      <x:c r="F20" s="16" t="n">
        <x:f>AVERAGE(E1_recuentos!J38,E1_recuentos!J41,E1_recuentos!J146,E1_recuentos!J149,E1_recuentos!J254,E1_recuentos!J257,E1_recuentos!J362,E1_recuentos!J365,E1_recuentos!J470,E1_recuentos!J473)</x:f>
        <x:v>9.1</x:v>
      </x:c>
      <x:c r="G20" s="16" t="n">
        <x:f>STDEV.S(E1_recuentos!J38,E1_recuentos!J41,E1_recuentos!J146,E1_recuentos!J149,E1_recuentos!J254,E1_recuentos!J257,E1_recuentos!J362,E1_recuentos!J365,E1_recuentos!J470,E1_recuentos!J473)</x:f>
        <x:v>5.258854966202772</x:v>
      </x:c>
      <x:c r="H20" s="16" t="n">
        <x:f>G20/SQRT(E20)</x:f>
        <x:v>1.6629959577688564</x:v>
      </x:c>
      <x:c r="I20" s="16" t="n">
        <x:f>MEDIAN(E1_recuentos!J38,E1_recuentos!J41,E1_recuentos!J146,E1_recuentos!J149,E1_recuentos!J254,E1_recuentos!J257,E1_recuentos!J362,E1_recuentos!J365,E1_recuentos!J470,E1_recuentos!J473)</x:f>
        <x:v>8</x:v>
      </x:c>
      <x:c r="J20" s="16" t="n">
        <x:f>MIN(E1_recuentos!J38,E1_recuentos!J41,E1_recuentos!J146,E1_recuentos!J149,E1_recuentos!J254,E1_recuentos!J257,E1_recuentos!J362,E1_recuentos!J365,E1_recuentos!J470,E1_recuentos!J473)</x:f>
        <x:v>2</x:v>
      </x:c>
      <x:c r="K20" s="16" t="n">
        <x:f>MAX(E1_recuentos!J38,E1_recuentos!J41,E1_recuentos!J146,E1_recuentos!J149,E1_recuentos!J254,E1_recuentos!J257,E1_recuentos!J362,E1_recuentos!J365,E1_recuentos!J470,E1_recuentos!J473)</x:f>
        <x:v>19</x:v>
      </x:c>
      <x:c r="L20" s="16" t="n">
        <x:f>F2</x:f>
        <x:v>17.1</x:v>
      </x:c>
      <x:c r="M20" s="18" t="n">
        <x:f>1-F20/L20</x:f>
        <x:v>0.4678362573099416</x:v>
      </x:c>
      <x:c r="N20" s="2" t="str">
        <x:v>simulado_didactico</x:v>
      </x:c>
    </x:row>
    <x:row r="21" ht="19" customHeight="1">
      <x:c r="A21" s="2" t="str">
        <x:v>MP</x:v>
      </x:c>
      <x:c r="B21" s="2" t="str">
        <x:v>Myzus persicae</x:v>
      </x:c>
      <x:c r="C21" s="2" t="str">
        <x:v>L7</x:v>
      </x:c>
      <x:c r="D21" s="2" t="n">
        <x:v>21</x:v>
      </x:c>
      <x:c r="E21" s="2" t="n">
        <x:f>COUNT(E1_recuentos!J39,E1_recuentos!J42,E1_recuentos!J147,E1_recuentos!J150,E1_recuentos!J255,E1_recuentos!J258,E1_recuentos!J363,E1_recuentos!J366,E1_recuentos!J471,E1_recuentos!J474)</x:f>
        <x:v>10</x:v>
      </x:c>
      <x:c r="F21" s="16" t="n">
        <x:f>AVERAGE(E1_recuentos!J39,E1_recuentos!J42,E1_recuentos!J147,E1_recuentos!J150,E1_recuentos!J255,E1_recuentos!J258,E1_recuentos!J363,E1_recuentos!J366,E1_recuentos!J471,E1_recuentos!J474)</x:f>
        <x:v>29.6</x:v>
      </x:c>
      <x:c r="G21" s="16" t="n">
        <x:f>STDEV.S(E1_recuentos!J39,E1_recuentos!J42,E1_recuentos!J147,E1_recuentos!J150,E1_recuentos!J255,E1_recuentos!J258,E1_recuentos!J363,E1_recuentos!J366,E1_recuentos!J471,E1_recuentos!J474)</x:f>
        <x:v>6.275171533733382</x:v>
      </x:c>
      <x:c r="H21" s="16" t="n">
        <x:f>G21/SQRT(E21)</x:f>
        <x:v>1.9843834754849619</x:v>
      </x:c>
      <x:c r="I21" s="16" t="n">
        <x:f>MEDIAN(E1_recuentos!J39,E1_recuentos!J42,E1_recuentos!J147,E1_recuentos!J150,E1_recuentos!J255,E1_recuentos!J258,E1_recuentos!J363,E1_recuentos!J366,E1_recuentos!J471,E1_recuentos!J474)</x:f>
        <x:v>30</x:v>
      </x:c>
      <x:c r="J21" s="16" t="n">
        <x:f>MIN(E1_recuentos!J39,E1_recuentos!J42,E1_recuentos!J147,E1_recuentos!J150,E1_recuentos!J255,E1_recuentos!J258,E1_recuentos!J363,E1_recuentos!J366,E1_recuentos!J471,E1_recuentos!J474)</x:f>
        <x:v>21</x:v>
      </x:c>
      <x:c r="K21" s="16" t="n">
        <x:f>MAX(E1_recuentos!J39,E1_recuentos!J42,E1_recuentos!J147,E1_recuentos!J150,E1_recuentos!J255,E1_recuentos!J258,E1_recuentos!J363,E1_recuentos!J366,E1_recuentos!J471,E1_recuentos!J474)</x:f>
        <x:v>38</x:v>
      </x:c>
      <x:c r="L21" s="16" t="n">
        <x:f>F3</x:f>
        <x:v>82</x:v>
      </x:c>
      <x:c r="M21" s="18" t="n">
        <x:f>1-F21/L21</x:f>
        <x:v>0.6390243902439023</x:v>
      </x:c>
      <x:c r="N21" s="2" t="str">
        <x:v>simulado_didactico</x:v>
      </x:c>
    </x:row>
    <x:row r="22" ht="19" customHeight="1">
      <x:c r="A22" s="2" t="str">
        <x:v>MP</x:v>
      </x:c>
      <x:c r="B22" s="2" t="str">
        <x:v>Myzus persicae</x:v>
      </x:c>
      <x:c r="C22" s="2" t="str">
        <x:v>L7</x:v>
      </x:c>
      <x:c r="D22" s="2" t="n">
        <x:v>28</x:v>
      </x:c>
      <x:c r="E22" s="2" t="n">
        <x:f>COUNT(E1_recuentos!J40,E1_recuentos!J43,E1_recuentos!J148,E1_recuentos!J151,E1_recuentos!J256,E1_recuentos!J259,E1_recuentos!J364,E1_recuentos!J367,E1_recuentos!J472,E1_recuentos!J475)</x:f>
        <x:v>10</x:v>
      </x:c>
      <x:c r="F22" s="16" t="n">
        <x:f>AVERAGE(E1_recuentos!J40,E1_recuentos!J43,E1_recuentos!J148,E1_recuentos!J151,E1_recuentos!J256,E1_recuentos!J259,E1_recuentos!J364,E1_recuentos!J367,E1_recuentos!J472,E1_recuentos!J475)</x:f>
        <x:v>65.9</x:v>
      </x:c>
      <x:c r="G22" s="16" t="n">
        <x:f>STDEV.S(E1_recuentos!J40,E1_recuentos!J43,E1_recuentos!J148,E1_recuentos!J151,E1_recuentos!J256,E1_recuentos!J259,E1_recuentos!J364,E1_recuentos!J367,E1_recuentos!J472,E1_recuentos!J475)</x:f>
        <x:v>16.802446911751343</x:v>
      </x:c>
      <x:c r="H22" s="16" t="n">
        <x:f>G22/SQRT(E22)</x:f>
        <x:v>5.313400250519645</x:v>
      </x:c>
      <x:c r="I22" s="16" t="n">
        <x:f>MEDIAN(E1_recuentos!J40,E1_recuentos!J43,E1_recuentos!J148,E1_recuentos!J151,E1_recuentos!J256,E1_recuentos!J259,E1_recuentos!J364,E1_recuentos!J367,E1_recuentos!J472,E1_recuentos!J475)</x:f>
        <x:v>57.5</x:v>
      </x:c>
      <x:c r="J22" s="16" t="n">
        <x:f>MIN(E1_recuentos!J40,E1_recuentos!J43,E1_recuentos!J148,E1_recuentos!J151,E1_recuentos!J256,E1_recuentos!J259,E1_recuentos!J364,E1_recuentos!J367,E1_recuentos!J472,E1_recuentos!J475)</x:f>
        <x:v>48</x:v>
      </x:c>
      <x:c r="K22" s="16" t="n">
        <x:f>MAX(E1_recuentos!J40,E1_recuentos!J43,E1_recuentos!J148,E1_recuentos!J151,E1_recuentos!J256,E1_recuentos!J259,E1_recuentos!J364,E1_recuentos!J367,E1_recuentos!J472,E1_recuentos!J475)</x:f>
        <x:v>100</x:v>
      </x:c>
      <x:c r="L22" s="16" t="n">
        <x:f>F4</x:f>
        <x:v>180.9</x:v>
      </x:c>
      <x:c r="M22" s="18" t="n">
        <x:f>1-F22/L22</x:f>
        <x:v>0.6357103372028745</x:v>
      </x:c>
      <x:c r="N22" s="2" t="str">
        <x:v>simulado_didactico</x:v>
      </x:c>
    </x:row>
    <x:row r="23" ht="19" customHeight="1">
      <x:c r="A23" s="2" t="str">
        <x:v>MP</x:v>
      </x:c>
      <x:c r="B23" s="2" t="str">
        <x:v>Myzus persicae</x:v>
      </x:c>
      <x:c r="C23" s="2" t="str">
        <x:v>L8</x:v>
      </x:c>
      <x:c r="D23" s="2" t="n">
        <x:v>14</x:v>
      </x:c>
      <x:c r="E23" s="2" t="n">
        <x:f>COUNT(E1_recuentos!J44,E1_recuentos!J47,E1_recuentos!J152,E1_recuentos!J155,E1_recuentos!J260,E1_recuentos!J263,E1_recuentos!J368,E1_recuentos!J371,E1_recuentos!J476,E1_recuentos!J479)</x:f>
        <x:v>10</x:v>
      </x:c>
      <x:c r="F23" s="16" t="n">
        <x:f>AVERAGE(E1_recuentos!J44,E1_recuentos!J47,E1_recuentos!J152,E1_recuentos!J155,E1_recuentos!J260,E1_recuentos!J263,E1_recuentos!J368,E1_recuentos!J371,E1_recuentos!J476,E1_recuentos!J479)</x:f>
        <x:v>9</x:v>
      </x:c>
      <x:c r="G23" s="16" t="n">
        <x:f>STDEV.S(E1_recuentos!J44,E1_recuentos!J47,E1_recuentos!J152,E1_recuentos!J155,E1_recuentos!J260,E1_recuentos!J263,E1_recuentos!J368,E1_recuentos!J371,E1_recuentos!J476,E1_recuentos!J479)</x:f>
        <x:v>7.102425250887506</x:v>
      </x:c>
      <x:c r="H23" s="16" t="n">
        <x:f>G23/SQRT(E23)</x:f>
        <x:v>2.2459840703897354</x:v>
      </x:c>
      <x:c r="I23" s="16" t="n">
        <x:f>MEDIAN(E1_recuentos!J44,E1_recuentos!J47,E1_recuentos!J152,E1_recuentos!J155,E1_recuentos!J260,E1_recuentos!J263,E1_recuentos!J368,E1_recuentos!J371,E1_recuentos!J476,E1_recuentos!J479)</x:f>
        <x:v>5</x:v>
      </x:c>
      <x:c r="J23" s="16" t="n">
        <x:f>MIN(E1_recuentos!J44,E1_recuentos!J47,E1_recuentos!J152,E1_recuentos!J155,E1_recuentos!J260,E1_recuentos!J263,E1_recuentos!J368,E1_recuentos!J371,E1_recuentos!J476,E1_recuentos!J479)</x:f>
        <x:v>0</x:v>
      </x:c>
      <x:c r="K23" s="16" t="n">
        <x:f>MAX(E1_recuentos!J44,E1_recuentos!J47,E1_recuentos!J152,E1_recuentos!J155,E1_recuentos!J260,E1_recuentos!J263,E1_recuentos!J368,E1_recuentos!J371,E1_recuentos!J476,E1_recuentos!J479)</x:f>
        <x:v>20</x:v>
      </x:c>
      <x:c r="L23" s="16" t="n">
        <x:f>F2</x:f>
        <x:v>17.1</x:v>
      </x:c>
      <x:c r="M23" s="18" t="n">
        <x:f>1-F23/L23</x:f>
        <x:v>0.4736842105263158</x:v>
      </x:c>
      <x:c r="N23" s="2" t="str">
        <x:v>simulado_didactico</x:v>
      </x:c>
    </x:row>
    <x:row r="24" ht="19" customHeight="1">
      <x:c r="A24" s="2" t="str">
        <x:v>MP</x:v>
      </x:c>
      <x:c r="B24" s="2" t="str">
        <x:v>Myzus persicae</x:v>
      </x:c>
      <x:c r="C24" s="2" t="str">
        <x:v>L8</x:v>
      </x:c>
      <x:c r="D24" s="2" t="n">
        <x:v>21</x:v>
      </x:c>
      <x:c r="E24" s="2" t="n">
        <x:f>COUNT(E1_recuentos!J45,E1_recuentos!J48,E1_recuentos!J153,E1_recuentos!J156,E1_recuentos!J261,E1_recuentos!J264,E1_recuentos!J369,E1_recuentos!J372,E1_recuentos!J477,E1_recuentos!J480)</x:f>
        <x:v>10</x:v>
      </x:c>
      <x:c r="F24" s="16" t="n">
        <x:f>AVERAGE(E1_recuentos!J45,E1_recuentos!J48,E1_recuentos!J153,E1_recuentos!J156,E1_recuentos!J261,E1_recuentos!J264,E1_recuentos!J369,E1_recuentos!J372,E1_recuentos!J477,E1_recuentos!J480)</x:f>
        <x:v>30.2</x:v>
      </x:c>
      <x:c r="G24" s="16" t="n">
        <x:f>STDEV.S(E1_recuentos!J45,E1_recuentos!J48,E1_recuentos!J153,E1_recuentos!J156,E1_recuentos!J261,E1_recuentos!J264,E1_recuentos!J369,E1_recuentos!J372,E1_recuentos!J477,E1_recuentos!J480)</x:f>
        <x:v>16.883917396939214</x:v>
      </x:c>
      <x:c r="H24" s="16" t="n">
        <x:f>G24/SQRT(E24)</x:f>
        <x:v>5.3391634800469125</x:v>
      </x:c>
      <x:c r="I24" s="16" t="n">
        <x:f>MEDIAN(E1_recuentos!J45,E1_recuentos!J48,E1_recuentos!J153,E1_recuentos!J156,E1_recuentos!J261,E1_recuentos!J264,E1_recuentos!J369,E1_recuentos!J372,E1_recuentos!J477,E1_recuentos!J480)</x:f>
        <x:v>28.5</x:v>
      </x:c>
      <x:c r="J24" s="16" t="n">
        <x:f>MIN(E1_recuentos!J45,E1_recuentos!J48,E1_recuentos!J153,E1_recuentos!J156,E1_recuentos!J261,E1_recuentos!J264,E1_recuentos!J369,E1_recuentos!J372,E1_recuentos!J477,E1_recuentos!J480)</x:f>
        <x:v>0</x:v>
      </x:c>
      <x:c r="K24" s="16" t="n">
        <x:f>MAX(E1_recuentos!J45,E1_recuentos!J48,E1_recuentos!J153,E1_recuentos!J156,E1_recuentos!J261,E1_recuentos!J264,E1_recuentos!J369,E1_recuentos!J372,E1_recuentos!J477,E1_recuentos!J480)</x:f>
        <x:v>56</x:v>
      </x:c>
      <x:c r="L24" s="16" t="n">
        <x:f>F3</x:f>
        <x:v>82</x:v>
      </x:c>
      <x:c r="M24" s="18" t="n">
        <x:f>1-F24/L24</x:f>
        <x:v>0.6317073170731707</x:v>
      </x:c>
      <x:c r="N24" s="2" t="str">
        <x:v>simulado_didactico</x:v>
      </x:c>
    </x:row>
    <x:row r="25" ht="19" customHeight="1">
      <x:c r="A25" s="2" t="str">
        <x:v>MP</x:v>
      </x:c>
      <x:c r="B25" s="2" t="str">
        <x:v>Myzus persicae</x:v>
      </x:c>
      <x:c r="C25" s="2" t="str">
        <x:v>L8</x:v>
      </x:c>
      <x:c r="D25" s="2" t="n">
        <x:v>28</x:v>
      </x:c>
      <x:c r="E25" s="2" t="n">
        <x:f>COUNT(E1_recuentos!J46,E1_recuentos!J49,E1_recuentos!J154,E1_recuentos!J157,E1_recuentos!J262,E1_recuentos!J265,E1_recuentos!J370,E1_recuentos!J373,E1_recuentos!J478,E1_recuentos!J481)</x:f>
        <x:v>10</x:v>
      </x:c>
      <x:c r="F25" s="16" t="n">
        <x:f>AVERAGE(E1_recuentos!J46,E1_recuentos!J49,E1_recuentos!J154,E1_recuentos!J157,E1_recuentos!J262,E1_recuentos!J265,E1_recuentos!J370,E1_recuentos!J373,E1_recuentos!J478,E1_recuentos!J481)</x:f>
        <x:v>95.4</x:v>
      </x:c>
      <x:c r="G25" s="16" t="n">
        <x:f>STDEV.S(E1_recuentos!J46,E1_recuentos!J49,E1_recuentos!J154,E1_recuentos!J157,E1_recuentos!J262,E1_recuentos!J265,E1_recuentos!J370,E1_recuentos!J373,E1_recuentos!J478,E1_recuentos!J481)</x:f>
        <x:v>42.13786895418419</x:v>
      </x:c>
      <x:c r="H25" s="16" t="n">
        <x:f>G25/SQRT(E25)</x:f>
        <x:v>13.325164164091937</x:v>
      </x:c>
      <x:c r="I25" s="16" t="n">
        <x:f>MEDIAN(E1_recuentos!J46,E1_recuentos!J49,E1_recuentos!J154,E1_recuentos!J157,E1_recuentos!J262,E1_recuentos!J265,E1_recuentos!J370,E1_recuentos!J373,E1_recuentos!J478,E1_recuentos!J481)</x:f>
        <x:v>91</x:v>
      </x:c>
      <x:c r="J25" s="16" t="n">
        <x:f>MIN(E1_recuentos!J46,E1_recuentos!J49,E1_recuentos!J154,E1_recuentos!J157,E1_recuentos!J262,E1_recuentos!J265,E1_recuentos!J370,E1_recuentos!J373,E1_recuentos!J478,E1_recuentos!J481)</x:f>
        <x:v>0</x:v>
      </x:c>
      <x:c r="K25" s="16" t="n">
        <x:f>MAX(E1_recuentos!J46,E1_recuentos!J49,E1_recuentos!J154,E1_recuentos!J157,E1_recuentos!J262,E1_recuentos!J265,E1_recuentos!J370,E1_recuentos!J373,E1_recuentos!J478,E1_recuentos!J481)</x:f>
        <x:v>146</x:v>
      </x:c>
      <x:c r="L25" s="16" t="n">
        <x:f>F4</x:f>
        <x:v>180.9</x:v>
      </x:c>
      <x:c r="M25" s="18" t="n">
        <x:f>1-F25/L25</x:f>
        <x:v>0.47263681592039797</x:v>
      </x:c>
      <x:c r="N25" s="2" t="str">
        <x:v>simulado_didactico</x:v>
      </x:c>
    </x:row>
    <x:row r="26" ht="19" customHeight="1">
      <x:c r="A26" s="2" t="str">
        <x:v>MP</x:v>
      </x:c>
      <x:c r="B26" s="2" t="str">
        <x:v>Myzus persicae</x:v>
      </x:c>
      <x:c r="C26" s="2" t="str">
        <x:v>L9</x:v>
      </x:c>
      <x:c r="D26" s="2" t="n">
        <x:v>14</x:v>
      </x:c>
      <x:c r="E26" s="2" t="n">
        <x:f>COUNT(E1_recuentos!J50,E1_recuentos!J53,E1_recuentos!J158,E1_recuentos!J161,E1_recuentos!J266,E1_recuentos!J269,E1_recuentos!J374,E1_recuentos!J377,E1_recuentos!J482,E1_recuentos!J485)</x:f>
        <x:v>10</x:v>
      </x:c>
      <x:c r="F26" s="16" t="n">
        <x:f>AVERAGE(E1_recuentos!J50,E1_recuentos!J53,E1_recuentos!J158,E1_recuentos!J161,E1_recuentos!J266,E1_recuentos!J269,E1_recuentos!J374,E1_recuentos!J377,E1_recuentos!J482,E1_recuentos!J485)</x:f>
        <x:v>19.3</x:v>
      </x:c>
      <x:c r="G26" s="16" t="n">
        <x:f>STDEV.S(E1_recuentos!J50,E1_recuentos!J53,E1_recuentos!J158,E1_recuentos!J161,E1_recuentos!J266,E1_recuentos!J269,E1_recuentos!J374,E1_recuentos!J377,E1_recuentos!J482,E1_recuentos!J485)</x:f>
        <x:v>10.667187487284963</x:v>
      </x:c>
      <x:c r="H26" s="16" t="n">
        <x:f>G26/SQRT(E26)</x:f>
        <x:v>3.3732608687868906</x:v>
      </x:c>
      <x:c r="I26" s="16" t="n">
        <x:f>MEDIAN(E1_recuentos!J50,E1_recuentos!J53,E1_recuentos!J158,E1_recuentos!J161,E1_recuentos!J266,E1_recuentos!J269,E1_recuentos!J374,E1_recuentos!J377,E1_recuentos!J482,E1_recuentos!J485)</x:f>
        <x:v>15</x:v>
      </x:c>
      <x:c r="J26" s="16" t="n">
        <x:f>MIN(E1_recuentos!J50,E1_recuentos!J53,E1_recuentos!J158,E1_recuentos!J161,E1_recuentos!J266,E1_recuentos!J269,E1_recuentos!J374,E1_recuentos!J377,E1_recuentos!J482,E1_recuentos!J485)</x:f>
        <x:v>10</x:v>
      </x:c>
      <x:c r="K26" s="16" t="n">
        <x:f>MAX(E1_recuentos!J50,E1_recuentos!J53,E1_recuentos!J158,E1_recuentos!J161,E1_recuentos!J266,E1_recuentos!J269,E1_recuentos!J374,E1_recuentos!J377,E1_recuentos!J482,E1_recuentos!J485)</x:f>
        <x:v>41</x:v>
      </x:c>
      <x:c r="L26" s="16" t="n">
        <x:f>F2</x:f>
        <x:v>17.1</x:v>
      </x:c>
      <x:c r="M26" s="18" t="n">
        <x:f>1-F26/L26</x:f>
        <x:v>-0.1286549707602338</x:v>
      </x:c>
      <x:c r="N26" s="2" t="str">
        <x:v>simulado_didactico</x:v>
      </x:c>
    </x:row>
    <x:row r="27" ht="19" customHeight="1">
      <x:c r="A27" s="2" t="str">
        <x:v>MP</x:v>
      </x:c>
      <x:c r="B27" s="2" t="str">
        <x:v>Myzus persicae</x:v>
      </x:c>
      <x:c r="C27" s="2" t="str">
        <x:v>L9</x:v>
      </x:c>
      <x:c r="D27" s="2" t="n">
        <x:v>21</x:v>
      </x:c>
      <x:c r="E27" s="2" t="n">
        <x:f>COUNT(E1_recuentos!J51,E1_recuentos!J54,E1_recuentos!J159,E1_recuentos!J162,E1_recuentos!J267,E1_recuentos!J270,E1_recuentos!J375,E1_recuentos!J378,E1_recuentos!J483,E1_recuentos!J486)</x:f>
        <x:v>10</x:v>
      </x:c>
      <x:c r="F27" s="16" t="n">
        <x:f>AVERAGE(E1_recuentos!J51,E1_recuentos!J54,E1_recuentos!J159,E1_recuentos!J162,E1_recuentos!J267,E1_recuentos!J270,E1_recuentos!J375,E1_recuentos!J378,E1_recuentos!J483,E1_recuentos!J486)</x:f>
        <x:v>92.3</x:v>
      </x:c>
      <x:c r="G27" s="16" t="n">
        <x:f>STDEV.S(E1_recuentos!J51,E1_recuentos!J54,E1_recuentos!J159,E1_recuentos!J162,E1_recuentos!J267,E1_recuentos!J270,E1_recuentos!J375,E1_recuentos!J378,E1_recuentos!J483,E1_recuentos!J486)</x:f>
        <x:v>50.33233994604706</x:v>
      </x:c>
      <x:c r="H27" s="16" t="n">
        <x:f>G27/SQRT(E27)</x:f>
        <x:v>15.916483419538514</x:v>
      </x:c>
      <x:c r="I27" s="16" t="n">
        <x:f>MEDIAN(E1_recuentos!J51,E1_recuentos!J54,E1_recuentos!J159,E1_recuentos!J162,E1_recuentos!J267,E1_recuentos!J270,E1_recuentos!J375,E1_recuentos!J378,E1_recuentos!J483,E1_recuentos!J486)</x:f>
        <x:v>76.5</x:v>
      </x:c>
      <x:c r="J27" s="16" t="n">
        <x:f>MIN(E1_recuentos!J51,E1_recuentos!J54,E1_recuentos!J159,E1_recuentos!J162,E1_recuentos!J267,E1_recuentos!J270,E1_recuentos!J375,E1_recuentos!J378,E1_recuentos!J483,E1_recuentos!J486)</x:f>
        <x:v>48</x:v>
      </x:c>
      <x:c r="K27" s="16" t="n">
        <x:f>MAX(E1_recuentos!J51,E1_recuentos!J54,E1_recuentos!J159,E1_recuentos!J162,E1_recuentos!J267,E1_recuentos!J270,E1_recuentos!J375,E1_recuentos!J378,E1_recuentos!J483,E1_recuentos!J486)</x:f>
        <x:v>193</x:v>
      </x:c>
      <x:c r="L27" s="16" t="n">
        <x:f>F3</x:f>
        <x:v>82</x:v>
      </x:c>
      <x:c r="M27" s="18" t="n">
        <x:f>1-F27/L27</x:f>
        <x:v>-0.12560975609756087</x:v>
      </x:c>
      <x:c r="N27" s="2" t="str">
        <x:v>simulado_didactico</x:v>
      </x:c>
    </x:row>
    <x:row r="28" ht="19" customHeight="1">
      <x:c r="A28" s="2" t="str">
        <x:v>MP</x:v>
      </x:c>
      <x:c r="B28" s="2" t="str">
        <x:v>Myzus persicae</x:v>
      </x:c>
      <x:c r="C28" s="2" t="str">
        <x:v>L9</x:v>
      </x:c>
      <x:c r="D28" s="2" t="n">
        <x:v>28</x:v>
      </x:c>
      <x:c r="E28" s="2" t="n">
        <x:f>COUNT(E1_recuentos!J52,E1_recuentos!J55,E1_recuentos!J160,E1_recuentos!J163,E1_recuentos!J268,E1_recuentos!J271,E1_recuentos!J376,E1_recuentos!J379,E1_recuentos!J484,E1_recuentos!J487)</x:f>
        <x:v>10</x:v>
      </x:c>
      <x:c r="F28" s="16" t="n">
        <x:f>AVERAGE(E1_recuentos!J52,E1_recuentos!J55,E1_recuentos!J160,E1_recuentos!J163,E1_recuentos!J268,E1_recuentos!J271,E1_recuentos!J376,E1_recuentos!J379,E1_recuentos!J484,E1_recuentos!J487)</x:f>
        <x:v>247.8</x:v>
      </x:c>
      <x:c r="G28" s="16" t="n">
        <x:f>STDEV.S(E1_recuentos!J52,E1_recuentos!J55,E1_recuentos!J160,E1_recuentos!J163,E1_recuentos!J268,E1_recuentos!J271,E1_recuentos!J376,E1_recuentos!J379,E1_recuentos!J484,E1_recuentos!J487)</x:f>
        <x:v>126.44173010169987</x:v>
      </x:c>
      <x:c r="H28" s="16" t="n">
        <x:f>G28/SQRT(E28)</x:f>
        <x:v>39.98438584136452</x:v>
      </x:c>
      <x:c r="I28" s="16" t="n">
        <x:f>MEDIAN(E1_recuentos!J52,E1_recuentos!J55,E1_recuentos!J160,E1_recuentos!J163,E1_recuentos!J268,E1_recuentos!J271,E1_recuentos!J376,E1_recuentos!J379,E1_recuentos!J484,E1_recuentos!J487)</x:f>
        <x:v>233</x:v>
      </x:c>
      <x:c r="J28" s="16" t="n">
        <x:f>MIN(E1_recuentos!J52,E1_recuentos!J55,E1_recuentos!J160,E1_recuentos!J163,E1_recuentos!J268,E1_recuentos!J271,E1_recuentos!J376,E1_recuentos!J379,E1_recuentos!J484,E1_recuentos!J487)</x:f>
        <x:v>137</x:v>
      </x:c>
      <x:c r="K28" s="16" t="n">
        <x:f>MAX(E1_recuentos!J52,E1_recuentos!J55,E1_recuentos!J160,E1_recuentos!J163,E1_recuentos!J268,E1_recuentos!J271,E1_recuentos!J376,E1_recuentos!J379,E1_recuentos!J484,E1_recuentos!J487)</x:f>
        <x:v>562</x:v>
      </x:c>
      <x:c r="L28" s="16" t="n">
        <x:f>F4</x:f>
        <x:v>180.9</x:v>
      </x:c>
      <x:c r="M28" s="18" t="n">
        <x:f>1-F28/L28</x:f>
        <x:v>-0.36981757877280264</x:v>
      </x:c>
      <x:c r="N28" s="2" t="str">
        <x:v>simulado_didactico</x:v>
      </x:c>
    </x:row>
    <x:row r="29" ht="19" customHeight="1">
      <x:c r="A29" s="2" t="str">
        <x:v>BB</x:v>
      </x:c>
      <x:c r="B29" s="2" t="str">
        <x:v>Brevicoryne brassicae</x:v>
      </x:c>
      <x:c r="C29" s="2" t="str">
        <x:v>L0</x:v>
      </x:c>
      <x:c r="D29" s="2" t="n">
        <x:v>14</x:v>
      </x:c>
      <x:c r="E29" s="2" t="n">
        <x:f>COUNT(E1_recuentos!J56,E1_recuentos!J59,E1_recuentos!J164,E1_recuentos!J167,E1_recuentos!J272,E1_recuentos!J275,E1_recuentos!J380,E1_recuentos!J383,E1_recuentos!J488,E1_recuentos!J491)</x:f>
        <x:v>10</x:v>
      </x:c>
      <x:c r="F29" s="16" t="n">
        <x:f>AVERAGE(E1_recuentos!J56,E1_recuentos!J59,E1_recuentos!J164,E1_recuentos!J167,E1_recuentos!J272,E1_recuentos!J275,E1_recuentos!J380,E1_recuentos!J383,E1_recuentos!J488,E1_recuentos!J491)</x:f>
        <x:v>16.2</x:v>
      </x:c>
      <x:c r="G29" s="16" t="n">
        <x:f>STDEV.S(E1_recuentos!J56,E1_recuentos!J59,E1_recuentos!J164,E1_recuentos!J167,E1_recuentos!J272,E1_recuentos!J275,E1_recuentos!J380,E1_recuentos!J383,E1_recuentos!J488,E1_recuentos!J491)</x:f>
        <x:v>5.094659513211413</x:v>
      </x:c>
      <x:c r="H29" s="16" t="n">
        <x:f>G29/SQRT(E29)</x:f>
        <x:v>1.6110727964792761</x:v>
      </x:c>
      <x:c r="I29" s="16" t="n">
        <x:f>MEDIAN(E1_recuentos!J56,E1_recuentos!J59,E1_recuentos!J164,E1_recuentos!J167,E1_recuentos!J272,E1_recuentos!J275,E1_recuentos!J380,E1_recuentos!J383,E1_recuentos!J488,E1_recuentos!J491)</x:f>
        <x:v>16</x:v>
      </x:c>
      <x:c r="J29" s="16" t="n">
        <x:f>MIN(E1_recuentos!J56,E1_recuentos!J59,E1_recuentos!J164,E1_recuentos!J167,E1_recuentos!J272,E1_recuentos!J275,E1_recuentos!J380,E1_recuentos!J383,E1_recuentos!J488,E1_recuentos!J491)</x:f>
        <x:v>8</x:v>
      </x:c>
      <x:c r="K29" s="16" t="n">
        <x:f>MAX(E1_recuentos!J56,E1_recuentos!J59,E1_recuentos!J164,E1_recuentos!J167,E1_recuentos!J272,E1_recuentos!J275,E1_recuentos!J380,E1_recuentos!J383,E1_recuentos!J488,E1_recuentos!J491)</x:f>
        <x:v>23</x:v>
      </x:c>
      <x:c r="L29" s="16" t="n">
        <x:f>F29</x:f>
        <x:v>16.2</x:v>
      </x:c>
      <x:c r="M29" s="18" t="n">
        <x:f>1-F29/L29</x:f>
        <x:v>0</x:v>
      </x:c>
      <x:c r="N29" s="2" t="str">
        <x:v>simulado_didactico</x:v>
      </x:c>
    </x:row>
    <x:row r="30" ht="19" customHeight="1">
      <x:c r="A30" s="2" t="str">
        <x:v>BB</x:v>
      </x:c>
      <x:c r="B30" s="2" t="str">
        <x:v>Brevicoryne brassicae</x:v>
      </x:c>
      <x:c r="C30" s="2" t="str">
        <x:v>L0</x:v>
      </x:c>
      <x:c r="D30" s="2" t="n">
        <x:v>21</x:v>
      </x:c>
      <x:c r="E30" s="2" t="n">
        <x:f>COUNT(E1_recuentos!J57,E1_recuentos!J60,E1_recuentos!J165,E1_recuentos!J168,E1_recuentos!J273,E1_recuentos!J276,E1_recuentos!J381,E1_recuentos!J384,E1_recuentos!J489,E1_recuentos!J492)</x:f>
        <x:v>10</x:v>
      </x:c>
      <x:c r="F30" s="16" t="n">
        <x:f>AVERAGE(E1_recuentos!J57,E1_recuentos!J60,E1_recuentos!J165,E1_recuentos!J168,E1_recuentos!J273,E1_recuentos!J276,E1_recuentos!J381,E1_recuentos!J384,E1_recuentos!J489,E1_recuentos!J492)</x:f>
        <x:v>88</x:v>
      </x:c>
      <x:c r="G30" s="16" t="n">
        <x:f>STDEV.S(E1_recuentos!J57,E1_recuentos!J60,E1_recuentos!J165,E1_recuentos!J168,E1_recuentos!J273,E1_recuentos!J276,E1_recuentos!J381,E1_recuentos!J384,E1_recuentos!J489,E1_recuentos!J492)</x:f>
        <x:v>19.275776393067947</x:v>
      </x:c>
      <x:c r="H30" s="16" t="n">
        <x:f>G30/SQRT(E30)</x:f>
        <x:v>6.0955357070199785</x:v>
      </x:c>
      <x:c r="I30" s="16" t="n">
        <x:f>MEDIAN(E1_recuentos!J57,E1_recuentos!J60,E1_recuentos!J165,E1_recuentos!J168,E1_recuentos!J273,E1_recuentos!J276,E1_recuentos!J381,E1_recuentos!J384,E1_recuentos!J489,E1_recuentos!J492)</x:f>
        <x:v>88.5</x:v>
      </x:c>
      <x:c r="J30" s="16" t="n">
        <x:f>MIN(E1_recuentos!J57,E1_recuentos!J60,E1_recuentos!J165,E1_recuentos!J168,E1_recuentos!J273,E1_recuentos!J276,E1_recuentos!J381,E1_recuentos!J384,E1_recuentos!J489,E1_recuentos!J492)</x:f>
        <x:v>67</x:v>
      </x:c>
      <x:c r="K30" s="16" t="n">
        <x:f>MAX(E1_recuentos!J57,E1_recuentos!J60,E1_recuentos!J165,E1_recuentos!J168,E1_recuentos!J273,E1_recuentos!J276,E1_recuentos!J381,E1_recuentos!J384,E1_recuentos!J489,E1_recuentos!J492)</x:f>
        <x:v>108</x:v>
      </x:c>
      <x:c r="L30" s="16" t="n">
        <x:f>F30</x:f>
        <x:v>88</x:v>
      </x:c>
      <x:c r="M30" s="18" t="n">
        <x:f>1-F30/L30</x:f>
        <x:v>0</x:v>
      </x:c>
      <x:c r="N30" s="2" t="str">
        <x:v>simulado_didactico</x:v>
      </x:c>
    </x:row>
    <x:row r="31" ht="19" customHeight="1">
      <x:c r="A31" s="2" t="str">
        <x:v>BB</x:v>
      </x:c>
      <x:c r="B31" s="2" t="str">
        <x:v>Brevicoryne brassicae</x:v>
      </x:c>
      <x:c r="C31" s="2" t="str">
        <x:v>L0</x:v>
      </x:c>
      <x:c r="D31" s="2" t="n">
        <x:v>28</x:v>
      </x:c>
      <x:c r="E31" s="2" t="n">
        <x:f>COUNT(E1_recuentos!J58,E1_recuentos!J61,E1_recuentos!J166,E1_recuentos!J169,E1_recuentos!J274,E1_recuentos!J277,E1_recuentos!J382,E1_recuentos!J385,E1_recuentos!J490,E1_recuentos!J493)</x:f>
        <x:v>10</x:v>
      </x:c>
      <x:c r="F31" s="16" t="n">
        <x:f>AVERAGE(E1_recuentos!J58,E1_recuentos!J61,E1_recuentos!J166,E1_recuentos!J169,E1_recuentos!J274,E1_recuentos!J277,E1_recuentos!J382,E1_recuentos!J385,E1_recuentos!J490,E1_recuentos!J493)</x:f>
        <x:v>243.6</x:v>
      </x:c>
      <x:c r="G31" s="16" t="n">
        <x:f>STDEV.S(E1_recuentos!J58,E1_recuentos!J61,E1_recuentos!J166,E1_recuentos!J169,E1_recuentos!J274,E1_recuentos!J277,E1_recuentos!J382,E1_recuentos!J385,E1_recuentos!J490,E1_recuentos!J493)</x:f>
        <x:v>46.72900598129602</x:v>
      </x:c>
      <x:c r="H31" s="16" t="n">
        <x:f>G31/SQRT(E31)</x:f>
        <x:v>14.777009169652697</x:v>
      </x:c>
      <x:c r="I31" s="16" t="n">
        <x:f>MEDIAN(E1_recuentos!J58,E1_recuentos!J61,E1_recuentos!J166,E1_recuentos!J169,E1_recuentos!J274,E1_recuentos!J277,E1_recuentos!J382,E1_recuentos!J385,E1_recuentos!J490,E1_recuentos!J493)</x:f>
        <x:v>246</x:v>
      </x:c>
      <x:c r="J31" s="16" t="n">
        <x:f>MIN(E1_recuentos!J58,E1_recuentos!J61,E1_recuentos!J166,E1_recuentos!J169,E1_recuentos!J274,E1_recuentos!J277,E1_recuentos!J382,E1_recuentos!J385,E1_recuentos!J490,E1_recuentos!J493)</x:f>
        <x:v>149</x:v>
      </x:c>
      <x:c r="K31" s="16" t="n">
        <x:f>MAX(E1_recuentos!J58,E1_recuentos!J61,E1_recuentos!J166,E1_recuentos!J169,E1_recuentos!J274,E1_recuentos!J277,E1_recuentos!J382,E1_recuentos!J385,E1_recuentos!J490,E1_recuentos!J493)</x:f>
        <x:v>318</x:v>
      </x:c>
      <x:c r="L31" s="16" t="n">
        <x:f>F31</x:f>
        <x:v>243.6</x:v>
      </x:c>
      <x:c r="M31" s="18" t="n">
        <x:f>1-F31/L31</x:f>
        <x:v>0</x:v>
      </x:c>
      <x:c r="N31" s="2" t="str">
        <x:v>simulado_didactico</x:v>
      </x:c>
    </x:row>
    <x:row r="32" ht="19" customHeight="1">
      <x:c r="A32" s="2" t="str">
        <x:v>BB</x:v>
      </x:c>
      <x:c r="B32" s="2" t="str">
        <x:v>Brevicoryne brassicae</x:v>
      </x:c>
      <x:c r="C32" s="2" t="str">
        <x:v>L1</x:v>
      </x:c>
      <x:c r="D32" s="2" t="n">
        <x:v>14</x:v>
      </x:c>
      <x:c r="E32" s="2" t="n">
        <x:f>COUNT(E1_recuentos!J62,E1_recuentos!J65,E1_recuentos!J170,E1_recuentos!J173,E1_recuentos!J278,E1_recuentos!J281,E1_recuentos!J386,E1_recuentos!J389,E1_recuentos!J494,E1_recuentos!J497)</x:f>
        <x:v>10</x:v>
      </x:c>
      <x:c r="F32" s="16" t="n">
        <x:f>AVERAGE(E1_recuentos!J62,E1_recuentos!J65,E1_recuentos!J170,E1_recuentos!J173,E1_recuentos!J278,E1_recuentos!J281,E1_recuentos!J386,E1_recuentos!J389,E1_recuentos!J494,E1_recuentos!J497)</x:f>
        <x:v>22.9</x:v>
      </x:c>
      <x:c r="G32" s="16" t="n">
        <x:f>STDEV.S(E1_recuentos!J62,E1_recuentos!J65,E1_recuentos!J170,E1_recuentos!J173,E1_recuentos!J278,E1_recuentos!J281,E1_recuentos!J386,E1_recuentos!J389,E1_recuentos!J494,E1_recuentos!J497)</x:f>
        <x:v>12.087183294713455</x:v>
      </x:c>
      <x:c r="H32" s="16" t="n">
        <x:f>G32/SQRT(E32)</x:f>
        <x:v>3.8223029707232783</x:v>
      </x:c>
      <x:c r="I32" s="16" t="n">
        <x:f>MEDIAN(E1_recuentos!J62,E1_recuentos!J65,E1_recuentos!J170,E1_recuentos!J173,E1_recuentos!J278,E1_recuentos!J281,E1_recuentos!J386,E1_recuentos!J389,E1_recuentos!J494,E1_recuentos!J497)</x:f>
        <x:v>19</x:v>
      </x:c>
      <x:c r="J32" s="16" t="n">
        <x:f>MIN(E1_recuentos!J62,E1_recuentos!J65,E1_recuentos!J170,E1_recuentos!J173,E1_recuentos!J278,E1_recuentos!J281,E1_recuentos!J386,E1_recuentos!J389,E1_recuentos!J494,E1_recuentos!J497)</x:f>
        <x:v>12</x:v>
      </x:c>
      <x:c r="K32" s="16" t="n">
        <x:f>MAX(E1_recuentos!J62,E1_recuentos!J65,E1_recuentos!J170,E1_recuentos!J173,E1_recuentos!J278,E1_recuentos!J281,E1_recuentos!J386,E1_recuentos!J389,E1_recuentos!J494,E1_recuentos!J497)</x:f>
        <x:v>52</x:v>
      </x:c>
      <x:c r="L32" s="16" t="n">
        <x:f>F29</x:f>
        <x:v>16.2</x:v>
      </x:c>
      <x:c r="M32" s="18" t="n">
        <x:f>1-F32/L32</x:f>
        <x:v>-0.4135802469135803</x:v>
      </x:c>
      <x:c r="N32" s="2" t="str">
        <x:v>simulado_didactico</x:v>
      </x:c>
    </x:row>
    <x:row r="33" ht="19" customHeight="1">
      <x:c r="A33" s="2" t="str">
        <x:v>BB</x:v>
      </x:c>
      <x:c r="B33" s="2" t="str">
        <x:v>Brevicoryne brassicae</x:v>
      </x:c>
      <x:c r="C33" s="2" t="str">
        <x:v>L1</x:v>
      </x:c>
      <x:c r="D33" s="2" t="n">
        <x:v>21</x:v>
      </x:c>
      <x:c r="E33" s="2" t="n">
        <x:f>COUNT(E1_recuentos!J63,E1_recuentos!J66,E1_recuentos!J171,E1_recuentos!J174,E1_recuentos!J279,E1_recuentos!J282,E1_recuentos!J387,E1_recuentos!J390,E1_recuentos!J495,E1_recuentos!J498)</x:f>
        <x:v>10</x:v>
      </x:c>
      <x:c r="F33" s="16" t="n">
        <x:f>AVERAGE(E1_recuentos!J63,E1_recuentos!J66,E1_recuentos!J171,E1_recuentos!J174,E1_recuentos!J279,E1_recuentos!J282,E1_recuentos!J387,E1_recuentos!J390,E1_recuentos!J495,E1_recuentos!J498)</x:f>
        <x:v>103.8</x:v>
      </x:c>
      <x:c r="G33" s="16" t="n">
        <x:f>STDEV.S(E1_recuentos!J63,E1_recuentos!J66,E1_recuentos!J171,E1_recuentos!J174,E1_recuentos!J279,E1_recuentos!J282,E1_recuentos!J387,E1_recuentos!J390,E1_recuentos!J495,E1_recuentos!J498)</x:f>
        <x:v>53.03206577156881</x:v>
      </x:c>
      <x:c r="H33" s="16" t="n">
        <x:f>G33/SQRT(E33)</x:f>
        <x:v>16.770211686201222</x:v>
      </x:c>
      <x:c r="I33" s="16" t="n">
        <x:f>MEDIAN(E1_recuentos!J63,E1_recuentos!J66,E1_recuentos!J171,E1_recuentos!J174,E1_recuentos!J279,E1_recuentos!J282,E1_recuentos!J387,E1_recuentos!J390,E1_recuentos!J495,E1_recuentos!J498)</x:f>
        <x:v>103.5</x:v>
      </x:c>
      <x:c r="J33" s="16" t="n">
        <x:f>MIN(E1_recuentos!J63,E1_recuentos!J66,E1_recuentos!J171,E1_recuentos!J174,E1_recuentos!J279,E1_recuentos!J282,E1_recuentos!J387,E1_recuentos!J390,E1_recuentos!J495,E1_recuentos!J498)</x:f>
        <x:v>32</x:v>
      </x:c>
      <x:c r="K33" s="16" t="n">
        <x:f>MAX(E1_recuentos!J63,E1_recuentos!J66,E1_recuentos!J171,E1_recuentos!J174,E1_recuentos!J279,E1_recuentos!J282,E1_recuentos!J387,E1_recuentos!J390,E1_recuentos!J495,E1_recuentos!J498)</x:f>
        <x:v>189</x:v>
      </x:c>
      <x:c r="L33" s="16" t="n">
        <x:f>F30</x:f>
        <x:v>88</x:v>
      </x:c>
      <x:c r="M33" s="18" t="n">
        <x:f>1-F33/L33</x:f>
        <x:v>-0.17954545454545445</x:v>
      </x:c>
      <x:c r="N33" s="2" t="str">
        <x:v>simulado_didactico</x:v>
      </x:c>
    </x:row>
    <x:row r="34" ht="19" customHeight="1">
      <x:c r="A34" s="2" t="str">
        <x:v>BB</x:v>
      </x:c>
      <x:c r="B34" s="2" t="str">
        <x:v>Brevicoryne brassicae</x:v>
      </x:c>
      <x:c r="C34" s="2" t="str">
        <x:v>L1</x:v>
      </x:c>
      <x:c r="D34" s="2" t="n">
        <x:v>28</x:v>
      </x:c>
      <x:c r="E34" s="2" t="n">
        <x:f>COUNT(E1_recuentos!J64,E1_recuentos!J67,E1_recuentos!J172,E1_recuentos!J175,E1_recuentos!J280,E1_recuentos!J283,E1_recuentos!J388,E1_recuentos!J391,E1_recuentos!J496,E1_recuentos!J499)</x:f>
        <x:v>10</x:v>
      </x:c>
      <x:c r="F34" s="16" t="n">
        <x:f>AVERAGE(E1_recuentos!J64,E1_recuentos!J67,E1_recuentos!J172,E1_recuentos!J175,E1_recuentos!J280,E1_recuentos!J283,E1_recuentos!J388,E1_recuentos!J391,E1_recuentos!J496,E1_recuentos!J499)</x:f>
        <x:v>290.2</x:v>
      </x:c>
      <x:c r="G34" s="16" t="n">
        <x:f>STDEV.S(E1_recuentos!J64,E1_recuentos!J67,E1_recuentos!J172,E1_recuentos!J175,E1_recuentos!J280,E1_recuentos!J283,E1_recuentos!J388,E1_recuentos!J391,E1_recuentos!J496,E1_recuentos!J499)</x:f>
        <x:v>140.43725368370824</x:v>
      </x:c>
      <x:c r="H34" s="16" t="n">
        <x:f>G34/SQRT(E34)</x:f>
        <x:v>44.41015899793899</x:v>
      </x:c>
      <x:c r="I34" s="16" t="n">
        <x:f>MEDIAN(E1_recuentos!J64,E1_recuentos!J67,E1_recuentos!J172,E1_recuentos!J175,E1_recuentos!J280,E1_recuentos!J283,E1_recuentos!J388,E1_recuentos!J391,E1_recuentos!J496,E1_recuentos!J499)</x:f>
        <x:v>249</x:v>
      </x:c>
      <x:c r="J34" s="16" t="n">
        <x:f>MIN(E1_recuentos!J64,E1_recuentos!J67,E1_recuentos!J172,E1_recuentos!J175,E1_recuentos!J280,E1_recuentos!J283,E1_recuentos!J388,E1_recuentos!J391,E1_recuentos!J496,E1_recuentos!J499)</x:f>
        <x:v>128</x:v>
      </x:c>
      <x:c r="K34" s="16" t="n">
        <x:f>MAX(E1_recuentos!J64,E1_recuentos!J67,E1_recuentos!J172,E1_recuentos!J175,E1_recuentos!J280,E1_recuentos!J283,E1_recuentos!J388,E1_recuentos!J391,E1_recuentos!J496,E1_recuentos!J499)</x:f>
        <x:v>582</x:v>
      </x:c>
      <x:c r="L34" s="16" t="n">
        <x:f>F31</x:f>
        <x:v>243.6</x:v>
      </x:c>
      <x:c r="M34" s="18" t="n">
        <x:f>1-F34/L34</x:f>
        <x:v>-0.19129720853858778</x:v>
      </x:c>
      <x:c r="N34" s="2" t="str">
        <x:v>simulado_didactico</x:v>
      </x:c>
    </x:row>
    <x:row r="35" ht="19" customHeight="1">
      <x:c r="A35" s="2" t="str">
        <x:v>BB</x:v>
      </x:c>
      <x:c r="B35" s="2" t="str">
        <x:v>Brevicoryne brassicae</x:v>
      </x:c>
      <x:c r="C35" s="2" t="str">
        <x:v>L2</x:v>
      </x:c>
      <x:c r="D35" s="2" t="n">
        <x:v>14</x:v>
      </x:c>
      <x:c r="E35" s="2" t="n">
        <x:f>COUNT(E1_recuentos!J68,E1_recuentos!J71,E1_recuentos!J176,E1_recuentos!J179,E1_recuentos!J284,E1_recuentos!J287,E1_recuentos!J392,E1_recuentos!J395,E1_recuentos!J500,E1_recuentos!J503)</x:f>
        <x:v>10</x:v>
      </x:c>
      <x:c r="F35" s="16" t="n">
        <x:f>AVERAGE(E1_recuentos!J68,E1_recuentos!J71,E1_recuentos!J176,E1_recuentos!J179,E1_recuentos!J284,E1_recuentos!J287,E1_recuentos!J392,E1_recuentos!J395,E1_recuentos!J500,E1_recuentos!J503)</x:f>
        <x:v>17.5</x:v>
      </x:c>
      <x:c r="G35" s="16" t="n">
        <x:f>STDEV.S(E1_recuentos!J68,E1_recuentos!J71,E1_recuentos!J176,E1_recuentos!J179,E1_recuentos!J284,E1_recuentos!J287,E1_recuentos!J392,E1_recuentos!J395,E1_recuentos!J500,E1_recuentos!J503)</x:f>
        <x:v>11.36515141415488</x:v>
      </x:c>
      <x:c r="H35" s="16" t="n">
        <x:f>G35/SQRT(E35)</x:f>
        <x:v>3.593976442141304</x:v>
      </x:c>
      <x:c r="I35" s="16" t="n">
        <x:f>MEDIAN(E1_recuentos!J68,E1_recuentos!J71,E1_recuentos!J176,E1_recuentos!J179,E1_recuentos!J284,E1_recuentos!J287,E1_recuentos!J392,E1_recuentos!J395,E1_recuentos!J500,E1_recuentos!J503)</x:f>
        <x:v>18</x:v>
      </x:c>
      <x:c r="J35" s="16" t="n">
        <x:f>MIN(E1_recuentos!J68,E1_recuentos!J71,E1_recuentos!J176,E1_recuentos!J179,E1_recuentos!J284,E1_recuentos!J287,E1_recuentos!J392,E1_recuentos!J395,E1_recuentos!J500,E1_recuentos!J503)</x:f>
        <x:v>0</x:v>
      </x:c>
      <x:c r="K35" s="16" t="n">
        <x:f>MAX(E1_recuentos!J68,E1_recuentos!J71,E1_recuentos!J176,E1_recuentos!J179,E1_recuentos!J284,E1_recuentos!J287,E1_recuentos!J392,E1_recuentos!J395,E1_recuentos!J500,E1_recuentos!J503)</x:f>
        <x:v>44</x:v>
      </x:c>
      <x:c r="L35" s="16" t="n">
        <x:f>F29</x:f>
        <x:v>16.2</x:v>
      </x:c>
      <x:c r="M35" s="18" t="n">
        <x:f>1-F35/L35</x:f>
        <x:v>-0.08024691358024705</x:v>
      </x:c>
      <x:c r="N35" s="2" t="str">
        <x:v>simulado_didactico</x:v>
      </x:c>
    </x:row>
    <x:row r="36" ht="19" customHeight="1">
      <x:c r="A36" s="2" t="str">
        <x:v>BB</x:v>
      </x:c>
      <x:c r="B36" s="2" t="str">
        <x:v>Brevicoryne brassicae</x:v>
      </x:c>
      <x:c r="C36" s="2" t="str">
        <x:v>L2</x:v>
      </x:c>
      <x:c r="D36" s="2" t="n">
        <x:v>21</x:v>
      </x:c>
      <x:c r="E36" s="2" t="n">
        <x:f>COUNT(E1_recuentos!J69,E1_recuentos!J72,E1_recuentos!J177,E1_recuentos!J180,E1_recuentos!J285,E1_recuentos!J288,E1_recuentos!J393,E1_recuentos!J396,E1_recuentos!J501,E1_recuentos!J504)</x:f>
        <x:v>10</x:v>
      </x:c>
      <x:c r="F36" s="16" t="n">
        <x:f>AVERAGE(E1_recuentos!J69,E1_recuentos!J72,E1_recuentos!J177,E1_recuentos!J180,E1_recuentos!J285,E1_recuentos!J288,E1_recuentos!J393,E1_recuentos!J396,E1_recuentos!J501,E1_recuentos!J504)</x:f>
        <x:v>59.9</x:v>
      </x:c>
      <x:c r="G36" s="16" t="n">
        <x:f>STDEV.S(E1_recuentos!J69,E1_recuentos!J72,E1_recuentos!J177,E1_recuentos!J180,E1_recuentos!J285,E1_recuentos!J288,E1_recuentos!J393,E1_recuentos!J396,E1_recuentos!J501,E1_recuentos!J504)</x:f>
        <x:v>26.12980418347345</x:v>
      </x:c>
      <x:c r="H36" s="16" t="n">
        <x:f>G36/SQRT(E36)</x:f>
        <x:v>8.262969603397234</x:v>
      </x:c>
      <x:c r="I36" s="16" t="n">
        <x:f>MEDIAN(E1_recuentos!J69,E1_recuentos!J72,E1_recuentos!J177,E1_recuentos!J180,E1_recuentos!J285,E1_recuentos!J288,E1_recuentos!J393,E1_recuentos!J396,E1_recuentos!J501,E1_recuentos!J504)</x:f>
        <x:v>67</x:v>
      </x:c>
      <x:c r="J36" s="16" t="n">
        <x:f>MIN(E1_recuentos!J69,E1_recuentos!J72,E1_recuentos!J177,E1_recuentos!J180,E1_recuentos!J285,E1_recuentos!J288,E1_recuentos!J393,E1_recuentos!J396,E1_recuentos!J501,E1_recuentos!J504)</x:f>
        <x:v>0</x:v>
      </x:c>
      <x:c r="K36" s="16" t="n">
        <x:f>MAX(E1_recuentos!J69,E1_recuentos!J72,E1_recuentos!J177,E1_recuentos!J180,E1_recuentos!J285,E1_recuentos!J288,E1_recuentos!J393,E1_recuentos!J396,E1_recuentos!J501,E1_recuentos!J504)</x:f>
        <x:v>86</x:v>
      </x:c>
      <x:c r="L36" s="16" t="n">
        <x:f>F30</x:f>
        <x:v>88</x:v>
      </x:c>
      <x:c r="M36" s="18" t="n">
        <x:f>1-F36/L36</x:f>
        <x:v>0.31931818181818183</x:v>
      </x:c>
      <x:c r="N36" s="2" t="str">
        <x:v>simulado_didactico</x:v>
      </x:c>
    </x:row>
    <x:row r="37" ht="19" customHeight="1">
      <x:c r="A37" s="2" t="str">
        <x:v>BB</x:v>
      </x:c>
      <x:c r="B37" s="2" t="str">
        <x:v>Brevicoryne brassicae</x:v>
      </x:c>
      <x:c r="C37" s="2" t="str">
        <x:v>L2</x:v>
      </x:c>
      <x:c r="D37" s="2" t="n">
        <x:v>28</x:v>
      </x:c>
      <x:c r="E37" s="2" t="n">
        <x:f>COUNT(E1_recuentos!J70,E1_recuentos!J73,E1_recuentos!J178,E1_recuentos!J181,E1_recuentos!J286,E1_recuentos!J289,E1_recuentos!J394,E1_recuentos!J397,E1_recuentos!J502,E1_recuentos!J505)</x:f>
        <x:v>10</x:v>
      </x:c>
      <x:c r="F37" s="16" t="n">
        <x:f>AVERAGE(E1_recuentos!J70,E1_recuentos!J73,E1_recuentos!J178,E1_recuentos!J181,E1_recuentos!J286,E1_recuentos!J289,E1_recuentos!J394,E1_recuentos!J397,E1_recuentos!J502,E1_recuentos!J505)</x:f>
        <x:v>189.5</x:v>
      </x:c>
      <x:c r="G37" s="16" t="n">
        <x:f>STDEV.S(E1_recuentos!J70,E1_recuentos!J73,E1_recuentos!J178,E1_recuentos!J181,E1_recuentos!J286,E1_recuentos!J289,E1_recuentos!J394,E1_recuentos!J397,E1_recuentos!J502,E1_recuentos!J505)</x:f>
        <x:v>87.01883576432046</x:v>
      </x:c>
      <x:c r="H37" s="16" t="n">
        <x:f>G37/SQRT(E37)</x:f>
        <x:v>27.517772035137178</x:v>
      </x:c>
      <x:c r="I37" s="16" t="n">
        <x:f>MEDIAN(E1_recuentos!J70,E1_recuentos!J73,E1_recuentos!J178,E1_recuentos!J181,E1_recuentos!J286,E1_recuentos!J289,E1_recuentos!J394,E1_recuentos!J397,E1_recuentos!J502,E1_recuentos!J505)</x:f>
        <x:v>184</x:v>
      </x:c>
      <x:c r="J37" s="16" t="n">
        <x:f>MIN(E1_recuentos!J70,E1_recuentos!J73,E1_recuentos!J178,E1_recuentos!J181,E1_recuentos!J286,E1_recuentos!J289,E1_recuentos!J394,E1_recuentos!J397,E1_recuentos!J502,E1_recuentos!J505)</x:f>
        <x:v>0</x:v>
      </x:c>
      <x:c r="K37" s="16" t="n">
        <x:f>MAX(E1_recuentos!J70,E1_recuentos!J73,E1_recuentos!J178,E1_recuentos!J181,E1_recuentos!J286,E1_recuentos!J289,E1_recuentos!J394,E1_recuentos!J397,E1_recuentos!J502,E1_recuentos!J505)</x:f>
        <x:v>310</x:v>
      </x:c>
      <x:c r="L37" s="16" t="n">
        <x:f>F31</x:f>
        <x:v>243.6</x:v>
      </x:c>
      <x:c r="M37" s="18" t="n">
        <x:f>1-F37/L37</x:f>
        <x:v>0.22208538587848936</x:v>
      </x:c>
      <x:c r="N37" s="2" t="str">
        <x:v>simulado_didactico</x:v>
      </x:c>
    </x:row>
    <x:row r="38" ht="19" customHeight="1">
      <x:c r="A38" s="2" t="str">
        <x:v>BB</x:v>
      </x:c>
      <x:c r="B38" s="2" t="str">
        <x:v>Brevicoryne brassicae</x:v>
      </x:c>
      <x:c r="C38" s="2" t="str">
        <x:v>L3</x:v>
      </x:c>
      <x:c r="D38" s="2" t="n">
        <x:v>14</x:v>
      </x:c>
      <x:c r="E38" s="2" t="n">
        <x:f>COUNT(E1_recuentos!J74,E1_recuentos!J77,E1_recuentos!J182,E1_recuentos!J185,E1_recuentos!J290,E1_recuentos!J293,E1_recuentos!J398,E1_recuentos!J401,E1_recuentos!J506,E1_recuentos!J509)</x:f>
        <x:v>10</x:v>
      </x:c>
      <x:c r="F38" s="16" t="n">
        <x:f>AVERAGE(E1_recuentos!J74,E1_recuentos!J77,E1_recuentos!J182,E1_recuentos!J185,E1_recuentos!J290,E1_recuentos!J293,E1_recuentos!J398,E1_recuentos!J401,E1_recuentos!J506,E1_recuentos!J509)</x:f>
        <x:v>19.3</x:v>
      </x:c>
      <x:c r="G38" s="16" t="n">
        <x:f>STDEV.S(E1_recuentos!J74,E1_recuentos!J77,E1_recuentos!J182,E1_recuentos!J185,E1_recuentos!J290,E1_recuentos!J293,E1_recuentos!J398,E1_recuentos!J401,E1_recuentos!J506,E1_recuentos!J509)</x:f>
        <x:v>6.395310782127793</x:v>
      </x:c>
      <x:c r="H38" s="16" t="n">
        <x:f>G38/SQRT(E38)</x:f>
        <x:v>2.0223748416156684</x:v>
      </x:c>
      <x:c r="I38" s="16" t="n">
        <x:f>MEDIAN(E1_recuentos!J74,E1_recuentos!J77,E1_recuentos!J182,E1_recuentos!J185,E1_recuentos!J290,E1_recuentos!J293,E1_recuentos!J398,E1_recuentos!J401,E1_recuentos!J506,E1_recuentos!J509)</x:f>
        <x:v>19.5</x:v>
      </x:c>
      <x:c r="J38" s="16" t="n">
        <x:f>MIN(E1_recuentos!J74,E1_recuentos!J77,E1_recuentos!J182,E1_recuentos!J185,E1_recuentos!J290,E1_recuentos!J293,E1_recuentos!J398,E1_recuentos!J401,E1_recuentos!J506,E1_recuentos!J509)</x:f>
        <x:v>8</x:v>
      </x:c>
      <x:c r="K38" s="16" t="n">
        <x:f>MAX(E1_recuentos!J74,E1_recuentos!J77,E1_recuentos!J182,E1_recuentos!J185,E1_recuentos!J290,E1_recuentos!J293,E1_recuentos!J398,E1_recuentos!J401,E1_recuentos!J506,E1_recuentos!J509)</x:f>
        <x:v>31</x:v>
      </x:c>
      <x:c r="L38" s="16" t="n">
        <x:f>F29</x:f>
        <x:v>16.2</x:v>
      </x:c>
      <x:c r="M38" s="18" t="n">
        <x:f>1-F38/L38</x:f>
        <x:v>-0.1913580246913582</x:v>
      </x:c>
      <x:c r="N38" s="2" t="str">
        <x:v>simulado_didactico</x:v>
      </x:c>
    </x:row>
    <x:row r="39" ht="19" customHeight="1">
      <x:c r="A39" s="2" t="str">
        <x:v>BB</x:v>
      </x:c>
      <x:c r="B39" s="2" t="str">
        <x:v>Brevicoryne brassicae</x:v>
      </x:c>
      <x:c r="C39" s="2" t="str">
        <x:v>L3</x:v>
      </x:c>
      <x:c r="D39" s="2" t="n">
        <x:v>21</x:v>
      </x:c>
      <x:c r="E39" s="2" t="n">
        <x:f>COUNT(E1_recuentos!J75,E1_recuentos!J78,E1_recuentos!J183,E1_recuentos!J186,E1_recuentos!J291,E1_recuentos!J294,E1_recuentos!J399,E1_recuentos!J402,E1_recuentos!J507,E1_recuentos!J510)</x:f>
        <x:v>10</x:v>
      </x:c>
      <x:c r="F39" s="16" t="n">
        <x:f>AVERAGE(E1_recuentos!J75,E1_recuentos!J78,E1_recuentos!J183,E1_recuentos!J186,E1_recuentos!J291,E1_recuentos!J294,E1_recuentos!J399,E1_recuentos!J402,E1_recuentos!J507,E1_recuentos!J510)</x:f>
        <x:v>84.4</x:v>
      </x:c>
      <x:c r="G39" s="16" t="n">
        <x:f>STDEV.S(E1_recuentos!J75,E1_recuentos!J78,E1_recuentos!J183,E1_recuentos!J186,E1_recuentos!J291,E1_recuentos!J294,E1_recuentos!J399,E1_recuentos!J402,E1_recuentos!J507,E1_recuentos!J510)</x:f>
        <x:v>20.61930055931955</x:v>
      </x:c>
      <x:c r="H39" s="16" t="n">
        <x:f>G39/SQRT(E39)</x:f>
        <x:v>6.520395352703359</x:v>
      </x:c>
      <x:c r="I39" s="16" t="n">
        <x:f>MEDIAN(E1_recuentos!J75,E1_recuentos!J78,E1_recuentos!J183,E1_recuentos!J186,E1_recuentos!J291,E1_recuentos!J294,E1_recuentos!J399,E1_recuentos!J402,E1_recuentos!J507,E1_recuentos!J510)</x:f>
        <x:v>80.5</x:v>
      </x:c>
      <x:c r="J39" s="16" t="n">
        <x:f>MIN(E1_recuentos!J75,E1_recuentos!J78,E1_recuentos!J183,E1_recuentos!J186,E1_recuentos!J291,E1_recuentos!J294,E1_recuentos!J399,E1_recuentos!J402,E1_recuentos!J507,E1_recuentos!J510)</x:f>
        <x:v>61</x:v>
      </x:c>
      <x:c r="K39" s="16" t="n">
        <x:f>MAX(E1_recuentos!J75,E1_recuentos!J78,E1_recuentos!J183,E1_recuentos!J186,E1_recuentos!J291,E1_recuentos!J294,E1_recuentos!J399,E1_recuentos!J402,E1_recuentos!J507,E1_recuentos!J510)</x:f>
        <x:v>129</x:v>
      </x:c>
      <x:c r="L39" s="16" t="n">
        <x:f>F30</x:f>
        <x:v>88</x:v>
      </x:c>
      <x:c r="M39" s="18" t="n">
        <x:f>1-F39/L39</x:f>
        <x:v>0.040909090909090895</x:v>
      </x:c>
      <x:c r="N39" s="2" t="str">
        <x:v>simulado_didactico</x:v>
      </x:c>
    </x:row>
    <x:row r="40" ht="19" customHeight="1">
      <x:c r="A40" s="2" t="str">
        <x:v>BB</x:v>
      </x:c>
      <x:c r="B40" s="2" t="str">
        <x:v>Brevicoryne brassicae</x:v>
      </x:c>
      <x:c r="C40" s="2" t="str">
        <x:v>L3</x:v>
      </x:c>
      <x:c r="D40" s="2" t="n">
        <x:v>28</x:v>
      </x:c>
      <x:c r="E40" s="2" t="n">
        <x:f>COUNT(E1_recuentos!J76,E1_recuentos!J79,E1_recuentos!J184,E1_recuentos!J187,E1_recuentos!J292,E1_recuentos!J295,E1_recuentos!J400,E1_recuentos!J403,E1_recuentos!J508,E1_recuentos!J511)</x:f>
        <x:v>10</x:v>
      </x:c>
      <x:c r="F40" s="16" t="n">
        <x:f>AVERAGE(E1_recuentos!J76,E1_recuentos!J79,E1_recuentos!J184,E1_recuentos!J187,E1_recuentos!J292,E1_recuentos!J295,E1_recuentos!J400,E1_recuentos!J403,E1_recuentos!J508,E1_recuentos!J511)</x:f>
        <x:v>191.7</x:v>
      </x:c>
      <x:c r="G40" s="16" t="n">
        <x:f>STDEV.S(E1_recuentos!J76,E1_recuentos!J79,E1_recuentos!J184,E1_recuentos!J187,E1_recuentos!J292,E1_recuentos!J295,E1_recuentos!J400,E1_recuentos!J403,E1_recuentos!J508,E1_recuentos!J511)</x:f>
        <x:v>45.73121958186163</x:v>
      </x:c>
      <x:c r="H40" s="16" t="n">
        <x:f>G40/SQRT(E40)</x:f>
        <x:v>14.461481405597576</x:v>
      </x:c>
      <x:c r="I40" s="16" t="n">
        <x:f>MEDIAN(E1_recuentos!J76,E1_recuentos!J79,E1_recuentos!J184,E1_recuentos!J187,E1_recuentos!J292,E1_recuentos!J295,E1_recuentos!J400,E1_recuentos!J403,E1_recuentos!J508,E1_recuentos!J511)</x:f>
        <x:v>182.5</x:v>
      </x:c>
      <x:c r="J40" s="16" t="n">
        <x:f>MIN(E1_recuentos!J76,E1_recuentos!J79,E1_recuentos!J184,E1_recuentos!J187,E1_recuentos!J292,E1_recuentos!J295,E1_recuentos!J400,E1_recuentos!J403,E1_recuentos!J508,E1_recuentos!J511)</x:f>
        <x:v>122</x:v>
      </x:c>
      <x:c r="K40" s="16" t="n">
        <x:f>MAX(E1_recuentos!J76,E1_recuentos!J79,E1_recuentos!J184,E1_recuentos!J187,E1_recuentos!J292,E1_recuentos!J295,E1_recuentos!J400,E1_recuentos!J403,E1_recuentos!J508,E1_recuentos!J511)</x:f>
        <x:v>264</x:v>
      </x:c>
      <x:c r="L40" s="16" t="n">
        <x:f>F31</x:f>
        <x:v>243.6</x:v>
      </x:c>
      <x:c r="M40" s="18" t="n">
        <x:f>1-F40/L40</x:f>
        <x:v>0.21305418719211822</x:v>
      </x:c>
      <x:c r="N40" s="2" t="str">
        <x:v>simulado_didactico</x:v>
      </x:c>
    </x:row>
    <x:row r="41" ht="19" customHeight="1">
      <x:c r="A41" s="2" t="str">
        <x:v>BB</x:v>
      </x:c>
      <x:c r="B41" s="2" t="str">
        <x:v>Brevicoryne brassicae</x:v>
      </x:c>
      <x:c r="C41" s="2" t="str">
        <x:v>L5</x:v>
      </x:c>
      <x:c r="D41" s="2" t="n">
        <x:v>14</x:v>
      </x:c>
      <x:c r="E41" s="2" t="n">
        <x:f>COUNT(E1_recuentos!J80,E1_recuentos!J83,E1_recuentos!J188,E1_recuentos!J191,E1_recuentos!J296,E1_recuentos!J299,E1_recuentos!J404,E1_recuentos!J407,E1_recuentos!J512,E1_recuentos!J515)</x:f>
        <x:v>10</x:v>
      </x:c>
      <x:c r="F41" s="16" t="n">
        <x:f>AVERAGE(E1_recuentos!J80,E1_recuentos!J83,E1_recuentos!J188,E1_recuentos!J191,E1_recuentos!J296,E1_recuentos!J299,E1_recuentos!J404,E1_recuentos!J407,E1_recuentos!J512,E1_recuentos!J515)</x:f>
        <x:v>12.4</x:v>
      </x:c>
      <x:c r="G41" s="16" t="n">
        <x:f>STDEV.S(E1_recuentos!J80,E1_recuentos!J83,E1_recuentos!J188,E1_recuentos!J191,E1_recuentos!J296,E1_recuentos!J299,E1_recuentos!J404,E1_recuentos!J407,E1_recuentos!J512,E1_recuentos!J515)</x:f>
        <x:v>3.3065591380365986</x:v>
      </x:c>
      <x:c r="H41" s="16" t="n">
        <x:f>G41/SQRT(E41)</x:f>
        <x:v>1.0456258094238748</x:v>
      </x:c>
      <x:c r="I41" s="16" t="n">
        <x:f>MEDIAN(E1_recuentos!J80,E1_recuentos!J83,E1_recuentos!J188,E1_recuentos!J191,E1_recuentos!J296,E1_recuentos!J299,E1_recuentos!J404,E1_recuentos!J407,E1_recuentos!J512,E1_recuentos!J515)</x:f>
        <x:v>12</x:v>
      </x:c>
      <x:c r="J41" s="16" t="n">
        <x:f>MIN(E1_recuentos!J80,E1_recuentos!J83,E1_recuentos!J188,E1_recuentos!J191,E1_recuentos!J296,E1_recuentos!J299,E1_recuentos!J404,E1_recuentos!J407,E1_recuentos!J512,E1_recuentos!J515)</x:f>
        <x:v>9</x:v>
      </x:c>
      <x:c r="K41" s="16" t="n">
        <x:f>MAX(E1_recuentos!J80,E1_recuentos!J83,E1_recuentos!J188,E1_recuentos!J191,E1_recuentos!J296,E1_recuentos!J299,E1_recuentos!J404,E1_recuentos!J407,E1_recuentos!J512,E1_recuentos!J515)</x:f>
        <x:v>19</x:v>
      </x:c>
      <x:c r="L41" s="16" t="n">
        <x:f>F29</x:f>
        <x:v>16.2</x:v>
      </x:c>
      <x:c r="M41" s="18" t="n">
        <x:f>1-F41/L41</x:f>
        <x:v>0.23456790123456783</x:v>
      </x:c>
      <x:c r="N41" s="2" t="str">
        <x:v>simulado_didactico</x:v>
      </x:c>
    </x:row>
    <x:row r="42" ht="19" customHeight="1">
      <x:c r="A42" s="2" t="str">
        <x:v>BB</x:v>
      </x:c>
      <x:c r="B42" s="2" t="str">
        <x:v>Brevicoryne brassicae</x:v>
      </x:c>
      <x:c r="C42" s="2" t="str">
        <x:v>L5</x:v>
      </x:c>
      <x:c r="D42" s="2" t="n">
        <x:v>21</x:v>
      </x:c>
      <x:c r="E42" s="2" t="n">
        <x:f>COUNT(E1_recuentos!J81,E1_recuentos!J84,E1_recuentos!J189,E1_recuentos!J192,E1_recuentos!J297,E1_recuentos!J300,E1_recuentos!J405,E1_recuentos!J408,E1_recuentos!J513,E1_recuentos!J516)</x:f>
        <x:v>10</x:v>
      </x:c>
      <x:c r="F42" s="16" t="n">
        <x:f>AVERAGE(E1_recuentos!J81,E1_recuentos!J84,E1_recuentos!J189,E1_recuentos!J192,E1_recuentos!J297,E1_recuentos!J300,E1_recuentos!J405,E1_recuentos!J408,E1_recuentos!J513,E1_recuentos!J516)</x:f>
        <x:v>59.1</x:v>
      </x:c>
      <x:c r="G42" s="16" t="n">
        <x:f>STDEV.S(E1_recuentos!J81,E1_recuentos!J84,E1_recuentos!J189,E1_recuentos!J192,E1_recuentos!J297,E1_recuentos!J300,E1_recuentos!J405,E1_recuentos!J408,E1_recuentos!J513,E1_recuentos!J516)</x:f>
        <x:v>17.760442937419477</x:v>
      </x:c>
      <x:c r="H42" s="16" t="n">
        <x:f>G42/SQRT(E42)</x:f>
        <x:v>5.616345193569687</x:v>
      </x:c>
      <x:c r="I42" s="16" t="n">
        <x:f>MEDIAN(E1_recuentos!J81,E1_recuentos!J84,E1_recuentos!J189,E1_recuentos!J192,E1_recuentos!J297,E1_recuentos!J300,E1_recuentos!J405,E1_recuentos!J408,E1_recuentos!J513,E1_recuentos!J516)</x:f>
        <x:v>63</x:v>
      </x:c>
      <x:c r="J42" s="16" t="n">
        <x:f>MIN(E1_recuentos!J81,E1_recuentos!J84,E1_recuentos!J189,E1_recuentos!J192,E1_recuentos!J297,E1_recuentos!J300,E1_recuentos!J405,E1_recuentos!J408,E1_recuentos!J513,E1_recuentos!J516)</x:f>
        <x:v>37</x:v>
      </x:c>
      <x:c r="K42" s="16" t="n">
        <x:f>MAX(E1_recuentos!J81,E1_recuentos!J84,E1_recuentos!J189,E1_recuentos!J192,E1_recuentos!J297,E1_recuentos!J300,E1_recuentos!J405,E1_recuentos!J408,E1_recuentos!J513,E1_recuentos!J516)</x:f>
        <x:v>80</x:v>
      </x:c>
      <x:c r="L42" s="16" t="n">
        <x:f>F30</x:f>
        <x:v>88</x:v>
      </x:c>
      <x:c r="M42" s="18" t="n">
        <x:f>1-F42/L42</x:f>
        <x:v>0.3284090909090909</x:v>
      </x:c>
      <x:c r="N42" s="2" t="str">
        <x:v>simulado_didactico</x:v>
      </x:c>
    </x:row>
    <x:row r="43" ht="19" customHeight="1">
      <x:c r="A43" s="2" t="str">
        <x:v>BB</x:v>
      </x:c>
      <x:c r="B43" s="2" t="str">
        <x:v>Brevicoryne brassicae</x:v>
      </x:c>
      <x:c r="C43" s="2" t="str">
        <x:v>L5</x:v>
      </x:c>
      <x:c r="D43" s="2" t="n">
        <x:v>28</x:v>
      </x:c>
      <x:c r="E43" s="2" t="n">
        <x:f>COUNT(E1_recuentos!J82,E1_recuentos!J85,E1_recuentos!J190,E1_recuentos!J193,E1_recuentos!J298,E1_recuentos!J301,E1_recuentos!J406,E1_recuentos!J409,E1_recuentos!J514,E1_recuentos!J517)</x:f>
        <x:v>10</x:v>
      </x:c>
      <x:c r="F43" s="16" t="n">
        <x:f>AVERAGE(E1_recuentos!J82,E1_recuentos!J85,E1_recuentos!J190,E1_recuentos!J193,E1_recuentos!J298,E1_recuentos!J301,E1_recuentos!J406,E1_recuentos!J409,E1_recuentos!J514,E1_recuentos!J517)</x:f>
        <x:v>135.7</x:v>
      </x:c>
      <x:c r="G43" s="16" t="n">
        <x:f>STDEV.S(E1_recuentos!J82,E1_recuentos!J85,E1_recuentos!J190,E1_recuentos!J193,E1_recuentos!J298,E1_recuentos!J301,E1_recuentos!J406,E1_recuentos!J409,E1_recuentos!J514,E1_recuentos!J517)</x:f>
        <x:v>30.221589045654838</x:v>
      </x:c>
      <x:c r="H43" s="16" t="n">
        <x:f>G43/SQRT(E43)</x:f>
        <x:v>9.55690558938637</x:v>
      </x:c>
      <x:c r="I43" s="16" t="n">
        <x:f>MEDIAN(E1_recuentos!J82,E1_recuentos!J85,E1_recuentos!J190,E1_recuentos!J193,E1_recuentos!J298,E1_recuentos!J301,E1_recuentos!J406,E1_recuentos!J409,E1_recuentos!J514,E1_recuentos!J517)</x:f>
        <x:v>139</x:v>
      </x:c>
      <x:c r="J43" s="16" t="n">
        <x:f>MIN(E1_recuentos!J82,E1_recuentos!J85,E1_recuentos!J190,E1_recuentos!J193,E1_recuentos!J298,E1_recuentos!J301,E1_recuentos!J406,E1_recuentos!J409,E1_recuentos!J514,E1_recuentos!J517)</x:f>
        <x:v>90</x:v>
      </x:c>
      <x:c r="K43" s="16" t="n">
        <x:f>MAX(E1_recuentos!J82,E1_recuentos!J85,E1_recuentos!J190,E1_recuentos!J193,E1_recuentos!J298,E1_recuentos!J301,E1_recuentos!J406,E1_recuentos!J409,E1_recuentos!J514,E1_recuentos!J517)</x:f>
        <x:v>184</x:v>
      </x:c>
      <x:c r="L43" s="16" t="n">
        <x:f>F31</x:f>
        <x:v>243.6</x:v>
      </x:c>
      <x:c r="M43" s="18" t="n">
        <x:f>1-F43/L43</x:f>
        <x:v>0.44293924466338264</x:v>
      </x:c>
      <x:c r="N43" s="2" t="str">
        <x:v>simulado_didactico</x:v>
      </x:c>
    </x:row>
    <x:row r="44" ht="19" customHeight="1">
      <x:c r="A44" s="2" t="str">
        <x:v>BB</x:v>
      </x:c>
      <x:c r="B44" s="2" t="str">
        <x:v>Brevicoryne brassicae</x:v>
      </x:c>
      <x:c r="C44" s="2" t="str">
        <x:v>L6</x:v>
      </x:c>
      <x:c r="D44" s="2" t="n">
        <x:v>14</x:v>
      </x:c>
      <x:c r="E44" s="2" t="n">
        <x:f>COUNT(E1_recuentos!J86,E1_recuentos!J89,E1_recuentos!J194,E1_recuentos!J197,E1_recuentos!J302,E1_recuentos!J305,E1_recuentos!J410,E1_recuentos!J413,E1_recuentos!J518,E1_recuentos!J521)</x:f>
        <x:v>10</x:v>
      </x:c>
      <x:c r="F44" s="16" t="n">
        <x:f>AVERAGE(E1_recuentos!J86,E1_recuentos!J89,E1_recuentos!J194,E1_recuentos!J197,E1_recuentos!J302,E1_recuentos!J305,E1_recuentos!J410,E1_recuentos!J413,E1_recuentos!J518,E1_recuentos!J521)</x:f>
        <x:v>21.4</x:v>
      </x:c>
      <x:c r="G44" s="16" t="n">
        <x:f>STDEV.S(E1_recuentos!J86,E1_recuentos!J89,E1_recuentos!J194,E1_recuentos!J197,E1_recuentos!J302,E1_recuentos!J305,E1_recuentos!J410,E1_recuentos!J413,E1_recuentos!J518,E1_recuentos!J521)</x:f>
        <x:v>7.121173436387511</x:v>
      </x:c>
      <x:c r="H44" s="16" t="n">
        <x:f>G44/SQRT(E44)</x:f>
        <x:v>2.2519127672072714</x:v>
      </x:c>
      <x:c r="I44" s="16" t="n">
        <x:f>MEDIAN(E1_recuentos!J86,E1_recuentos!J89,E1_recuentos!J194,E1_recuentos!J197,E1_recuentos!J302,E1_recuentos!J305,E1_recuentos!J410,E1_recuentos!J413,E1_recuentos!J518,E1_recuentos!J521)</x:f>
        <x:v>20</x:v>
      </x:c>
      <x:c r="J44" s="16" t="n">
        <x:f>MIN(E1_recuentos!J86,E1_recuentos!J89,E1_recuentos!J194,E1_recuentos!J197,E1_recuentos!J302,E1_recuentos!J305,E1_recuentos!J410,E1_recuentos!J413,E1_recuentos!J518,E1_recuentos!J521)</x:f>
        <x:v>13</x:v>
      </x:c>
      <x:c r="K44" s="16" t="n">
        <x:f>MAX(E1_recuentos!J86,E1_recuentos!J89,E1_recuentos!J194,E1_recuentos!J197,E1_recuentos!J302,E1_recuentos!J305,E1_recuentos!J410,E1_recuentos!J413,E1_recuentos!J518,E1_recuentos!J521)</x:f>
        <x:v>34</x:v>
      </x:c>
      <x:c r="L44" s="16" t="n">
        <x:f>F29</x:f>
        <x:v>16.2</x:v>
      </x:c>
      <x:c r="M44" s="18" t="n">
        <x:f>1-F44/L44</x:f>
        <x:v>-0.3209876543209875</x:v>
      </x:c>
      <x:c r="N44" s="2" t="str">
        <x:v>simulado_didactico</x:v>
      </x:c>
    </x:row>
    <x:row r="45" ht="19" customHeight="1">
      <x:c r="A45" s="2" t="str">
        <x:v>BB</x:v>
      </x:c>
      <x:c r="B45" s="2" t="str">
        <x:v>Brevicoryne brassicae</x:v>
      </x:c>
      <x:c r="C45" s="2" t="str">
        <x:v>L6</x:v>
      </x:c>
      <x:c r="D45" s="2" t="n">
        <x:v>21</x:v>
      </x:c>
      <x:c r="E45" s="2" t="n">
        <x:f>COUNT(E1_recuentos!J87,E1_recuentos!J90,E1_recuentos!J195,E1_recuentos!J198,E1_recuentos!J303,E1_recuentos!J306,E1_recuentos!J411,E1_recuentos!J414,E1_recuentos!J519,E1_recuentos!J522)</x:f>
        <x:v>10</x:v>
      </x:c>
      <x:c r="F45" s="16" t="n">
        <x:f>AVERAGE(E1_recuentos!J87,E1_recuentos!J90,E1_recuentos!J195,E1_recuentos!J198,E1_recuentos!J303,E1_recuentos!J306,E1_recuentos!J411,E1_recuentos!J414,E1_recuentos!J519,E1_recuentos!J522)</x:f>
        <x:v>94.3</x:v>
      </x:c>
      <x:c r="G45" s="16" t="n">
        <x:f>STDEV.S(E1_recuentos!J87,E1_recuentos!J90,E1_recuentos!J195,E1_recuentos!J198,E1_recuentos!J303,E1_recuentos!J306,E1_recuentos!J411,E1_recuentos!J414,E1_recuentos!J519,E1_recuentos!J522)</x:f>
        <x:v>28.22548100170797</x:v>
      </x:c>
      <x:c r="H45" s="16" t="n">
        <x:f>G45/SQRT(E45)</x:f>
        <x:v>8.925680801920812</x:v>
      </x:c>
      <x:c r="I45" s="16" t="n">
        <x:f>MEDIAN(E1_recuentos!J87,E1_recuentos!J90,E1_recuentos!J195,E1_recuentos!J198,E1_recuentos!J303,E1_recuentos!J306,E1_recuentos!J411,E1_recuentos!J414,E1_recuentos!J519,E1_recuentos!J522)</x:f>
        <x:v>94.5</x:v>
      </x:c>
      <x:c r="J45" s="16" t="n">
        <x:f>MIN(E1_recuentos!J87,E1_recuentos!J90,E1_recuentos!J195,E1_recuentos!J198,E1_recuentos!J303,E1_recuentos!J306,E1_recuentos!J411,E1_recuentos!J414,E1_recuentos!J519,E1_recuentos!J522)</x:f>
        <x:v>49</x:v>
      </x:c>
      <x:c r="K45" s="16" t="n">
        <x:f>MAX(E1_recuentos!J87,E1_recuentos!J90,E1_recuentos!J195,E1_recuentos!J198,E1_recuentos!J303,E1_recuentos!J306,E1_recuentos!J411,E1_recuentos!J414,E1_recuentos!J519,E1_recuentos!J522)</x:f>
        <x:v>145</x:v>
      </x:c>
      <x:c r="L45" s="16" t="n">
        <x:f>F30</x:f>
        <x:v>88</x:v>
      </x:c>
      <x:c r="M45" s="18" t="n">
        <x:f>1-F45/L45</x:f>
        <x:v>-0.07159090909090904</x:v>
      </x:c>
      <x:c r="N45" s="2" t="str">
        <x:v>simulado_didactico</x:v>
      </x:c>
    </x:row>
    <x:row r="46" ht="19" customHeight="1">
      <x:c r="A46" s="2" t="str">
        <x:v>BB</x:v>
      </x:c>
      <x:c r="B46" s="2" t="str">
        <x:v>Brevicoryne brassicae</x:v>
      </x:c>
      <x:c r="C46" s="2" t="str">
        <x:v>L6</x:v>
      </x:c>
      <x:c r="D46" s="2" t="n">
        <x:v>28</x:v>
      </x:c>
      <x:c r="E46" s="2" t="n">
        <x:f>COUNT(E1_recuentos!J88,E1_recuentos!J91,E1_recuentos!J196,E1_recuentos!J199,E1_recuentos!J304,E1_recuentos!J307,E1_recuentos!J412,E1_recuentos!J415,E1_recuentos!J520,E1_recuentos!J523)</x:f>
        <x:v>10</x:v>
      </x:c>
      <x:c r="F46" s="16" t="n">
        <x:f>AVERAGE(E1_recuentos!J88,E1_recuentos!J91,E1_recuentos!J196,E1_recuentos!J199,E1_recuentos!J304,E1_recuentos!J307,E1_recuentos!J412,E1_recuentos!J415,E1_recuentos!J520,E1_recuentos!J523)</x:f>
        <x:v>306.7</x:v>
      </x:c>
      <x:c r="G46" s="16" t="n">
        <x:f>STDEV.S(E1_recuentos!J88,E1_recuentos!J91,E1_recuentos!J196,E1_recuentos!J199,E1_recuentos!J304,E1_recuentos!J307,E1_recuentos!J412,E1_recuentos!J415,E1_recuentos!J520,E1_recuentos!J523)</x:f>
        <x:v>153.74007646385218</x:v>
      </x:c>
      <x:c r="H46" s="16" t="n">
        <x:f>G46/SQRT(E46)</x:f>
        <x:v>48.61688092742182</x:v>
      </x:c>
      <x:c r="I46" s="16" t="n">
        <x:f>MEDIAN(E1_recuentos!J88,E1_recuentos!J91,E1_recuentos!J196,E1_recuentos!J199,E1_recuentos!J304,E1_recuentos!J307,E1_recuentos!J412,E1_recuentos!J415,E1_recuentos!J520,E1_recuentos!J523)</x:f>
        <x:v>276</x:v>
      </x:c>
      <x:c r="J46" s="16" t="n">
        <x:f>MIN(E1_recuentos!J88,E1_recuentos!J91,E1_recuentos!J196,E1_recuentos!J199,E1_recuentos!J304,E1_recuentos!J307,E1_recuentos!J412,E1_recuentos!J415,E1_recuentos!J520,E1_recuentos!J523)</x:f>
        <x:v>166</x:v>
      </x:c>
      <x:c r="K46" s="16" t="n">
        <x:f>MAX(E1_recuentos!J88,E1_recuentos!J91,E1_recuentos!J196,E1_recuentos!J199,E1_recuentos!J304,E1_recuentos!J307,E1_recuentos!J412,E1_recuentos!J415,E1_recuentos!J520,E1_recuentos!J523)</x:f>
        <x:v>705</x:v>
      </x:c>
      <x:c r="L46" s="16" t="n">
        <x:f>F31</x:f>
        <x:v>243.6</x:v>
      </x:c>
      <x:c r="M46" s="18" t="n">
        <x:f>1-F46/L46</x:f>
        <x:v>-0.25903119868637114</x:v>
      </x:c>
      <x:c r="N46" s="2" t="str">
        <x:v>simulado_didactico</x:v>
      </x:c>
    </x:row>
    <x:row r="47" ht="19" customHeight="1">
      <x:c r="A47" s="2" t="str">
        <x:v>BB</x:v>
      </x:c>
      <x:c r="B47" s="2" t="str">
        <x:v>Brevicoryne brassicae</x:v>
      </x:c>
      <x:c r="C47" s="2" t="str">
        <x:v>L7</x:v>
      </x:c>
      <x:c r="D47" s="2" t="n">
        <x:v>14</x:v>
      </x:c>
      <x:c r="E47" s="2" t="n">
        <x:f>COUNT(E1_recuentos!J92,E1_recuentos!J95,E1_recuentos!J200,E1_recuentos!J203,E1_recuentos!J308,E1_recuentos!J311,E1_recuentos!J416,E1_recuentos!J419,E1_recuentos!J524,E1_recuentos!J527)</x:f>
        <x:v>10</x:v>
      </x:c>
      <x:c r="F47" s="16" t="n">
        <x:f>AVERAGE(E1_recuentos!J92,E1_recuentos!J95,E1_recuentos!J200,E1_recuentos!J203,E1_recuentos!J308,E1_recuentos!J311,E1_recuentos!J416,E1_recuentos!J419,E1_recuentos!J524,E1_recuentos!J527)</x:f>
        <x:v>14.4</x:v>
      </x:c>
      <x:c r="G47" s="16" t="n">
        <x:f>STDEV.S(E1_recuentos!J92,E1_recuentos!J95,E1_recuentos!J200,E1_recuentos!J203,E1_recuentos!J308,E1_recuentos!J311,E1_recuentos!J416,E1_recuentos!J419,E1_recuentos!J524,E1_recuentos!J527)</x:f>
        <x:v>7.988881162104129</x:v>
      </x:c>
      <x:c r="H47" s="16" t="n">
        <x:f>G47/SQRT(E47)</x:f>
        <x:v>2.5263060428661888</x:v>
      </x:c>
      <x:c r="I47" s="16" t="n">
        <x:f>MEDIAN(E1_recuentos!J92,E1_recuentos!J95,E1_recuentos!J200,E1_recuentos!J203,E1_recuentos!J308,E1_recuentos!J311,E1_recuentos!J416,E1_recuentos!J419,E1_recuentos!J524,E1_recuentos!J527)</x:f>
        <x:v>12.5</x:v>
      </x:c>
      <x:c r="J47" s="16" t="n">
        <x:f>MIN(E1_recuentos!J92,E1_recuentos!J95,E1_recuentos!J200,E1_recuentos!J203,E1_recuentos!J308,E1_recuentos!J311,E1_recuentos!J416,E1_recuentos!J419,E1_recuentos!J524,E1_recuentos!J527)</x:f>
        <x:v>3</x:v>
      </x:c>
      <x:c r="K47" s="16" t="n">
        <x:f>MAX(E1_recuentos!J92,E1_recuentos!J95,E1_recuentos!J200,E1_recuentos!J203,E1_recuentos!J308,E1_recuentos!J311,E1_recuentos!J416,E1_recuentos!J419,E1_recuentos!J524,E1_recuentos!J527)</x:f>
        <x:v>28</x:v>
      </x:c>
      <x:c r="L47" s="16" t="n">
        <x:f>F29</x:f>
        <x:v>16.2</x:v>
      </x:c>
      <x:c r="M47" s="18" t="n">
        <x:f>1-F47/L47</x:f>
        <x:v>0.11111111111111105</x:v>
      </x:c>
      <x:c r="N47" s="2" t="str">
        <x:v>simulado_didactico</x:v>
      </x:c>
    </x:row>
    <x:row r="48" ht="19" customHeight="1">
      <x:c r="A48" s="2" t="str">
        <x:v>BB</x:v>
      </x:c>
      <x:c r="B48" s="2" t="str">
        <x:v>Brevicoryne brassicae</x:v>
      </x:c>
      <x:c r="C48" s="2" t="str">
        <x:v>L7</x:v>
      </x:c>
      <x:c r="D48" s="2" t="n">
        <x:v>21</x:v>
      </x:c>
      <x:c r="E48" s="2" t="n">
        <x:f>COUNT(E1_recuentos!J93,E1_recuentos!J96,E1_recuentos!J201,E1_recuentos!J204,E1_recuentos!J309,E1_recuentos!J312,E1_recuentos!J417,E1_recuentos!J420,E1_recuentos!J525,E1_recuentos!J528)</x:f>
        <x:v>10</x:v>
      </x:c>
      <x:c r="F48" s="16" t="n">
        <x:f>AVERAGE(E1_recuentos!J93,E1_recuentos!J96,E1_recuentos!J201,E1_recuentos!J204,E1_recuentos!J309,E1_recuentos!J312,E1_recuentos!J417,E1_recuentos!J420,E1_recuentos!J525,E1_recuentos!J528)</x:f>
        <x:v>61.6</x:v>
      </x:c>
      <x:c r="G48" s="16" t="n">
        <x:f>STDEV.S(E1_recuentos!J93,E1_recuentos!J96,E1_recuentos!J201,E1_recuentos!J204,E1_recuentos!J309,E1_recuentos!J312,E1_recuentos!J417,E1_recuentos!J420,E1_recuentos!J525,E1_recuentos!J528)</x:f>
        <x:v>16.304055391902416</x:v>
      </x:c>
      <x:c r="H48" s="16" t="n">
        <x:f>G48/SQRT(E48)</x:f>
        <x:v>5.155795013596082</x:v>
      </x:c>
      <x:c r="I48" s="16" t="n">
        <x:f>MEDIAN(E1_recuentos!J93,E1_recuentos!J96,E1_recuentos!J201,E1_recuentos!J204,E1_recuentos!J309,E1_recuentos!J312,E1_recuentos!J417,E1_recuentos!J420,E1_recuentos!J525,E1_recuentos!J528)</x:f>
        <x:v>60.5</x:v>
      </x:c>
      <x:c r="J48" s="16" t="n">
        <x:f>MIN(E1_recuentos!J93,E1_recuentos!J96,E1_recuentos!J201,E1_recuentos!J204,E1_recuentos!J309,E1_recuentos!J312,E1_recuentos!J417,E1_recuentos!J420,E1_recuentos!J525,E1_recuentos!J528)</x:f>
        <x:v>41</x:v>
      </x:c>
      <x:c r="K48" s="16" t="n">
        <x:f>MAX(E1_recuentos!J93,E1_recuentos!J96,E1_recuentos!J201,E1_recuentos!J204,E1_recuentos!J309,E1_recuentos!J312,E1_recuentos!J417,E1_recuentos!J420,E1_recuentos!J525,E1_recuentos!J528)</x:f>
        <x:v>96</x:v>
      </x:c>
      <x:c r="L48" s="16" t="n">
        <x:f>F30</x:f>
        <x:v>88</x:v>
      </x:c>
      <x:c r="M48" s="18" t="n">
        <x:f>1-F48/L48</x:f>
        <x:v>0.29999999999999993</x:v>
      </x:c>
      <x:c r="N48" s="2" t="str">
        <x:v>simulado_didactico</x:v>
      </x:c>
    </x:row>
    <x:row r="49" ht="19" customHeight="1">
      <x:c r="A49" s="2" t="str">
        <x:v>BB</x:v>
      </x:c>
      <x:c r="B49" s="2" t="str">
        <x:v>Brevicoryne brassicae</x:v>
      </x:c>
      <x:c r="C49" s="2" t="str">
        <x:v>L7</x:v>
      </x:c>
      <x:c r="D49" s="2" t="n">
        <x:v>28</x:v>
      </x:c>
      <x:c r="E49" s="2" t="n">
        <x:f>COUNT(E1_recuentos!J94,E1_recuentos!J97,E1_recuentos!J202,E1_recuentos!J205,E1_recuentos!J310,E1_recuentos!J313,E1_recuentos!J418,E1_recuentos!J421,E1_recuentos!J526,E1_recuentos!J529)</x:f>
        <x:v>10</x:v>
      </x:c>
      <x:c r="F49" s="16" t="n">
        <x:f>AVERAGE(E1_recuentos!J94,E1_recuentos!J97,E1_recuentos!J202,E1_recuentos!J205,E1_recuentos!J310,E1_recuentos!J313,E1_recuentos!J418,E1_recuentos!J421,E1_recuentos!J526,E1_recuentos!J529)</x:f>
        <x:v>139.6</x:v>
      </x:c>
      <x:c r="G49" s="16" t="n">
        <x:f>STDEV.S(E1_recuentos!J94,E1_recuentos!J97,E1_recuentos!J202,E1_recuentos!J205,E1_recuentos!J310,E1_recuentos!J313,E1_recuentos!J418,E1_recuentos!J421,E1_recuentos!J526,E1_recuentos!J529)</x:f>
        <x:v>46.83351126893837</x:v>
      </x:c>
      <x:c r="H49" s="16" t="n">
        <x:f>G49/SQRT(E49)</x:f>
        <x:v>14.810056643300786</x:v>
      </x:c>
      <x:c r="I49" s="16" t="n">
        <x:f>MEDIAN(E1_recuentos!J94,E1_recuentos!J97,E1_recuentos!J202,E1_recuentos!J205,E1_recuentos!J310,E1_recuentos!J313,E1_recuentos!J418,E1_recuentos!J421,E1_recuentos!J526,E1_recuentos!J529)</x:f>
        <x:v>131.5</x:v>
      </x:c>
      <x:c r="J49" s="16" t="n">
        <x:f>MIN(E1_recuentos!J94,E1_recuentos!J97,E1_recuentos!J202,E1_recuentos!J205,E1_recuentos!J310,E1_recuentos!J313,E1_recuentos!J418,E1_recuentos!J421,E1_recuentos!J526,E1_recuentos!J529)</x:f>
        <x:v>63</x:v>
      </x:c>
      <x:c r="K49" s="16" t="n">
        <x:f>MAX(E1_recuentos!J94,E1_recuentos!J97,E1_recuentos!J202,E1_recuentos!J205,E1_recuentos!J310,E1_recuentos!J313,E1_recuentos!J418,E1_recuentos!J421,E1_recuentos!J526,E1_recuentos!J529)</x:f>
        <x:v>204</x:v>
      </x:c>
      <x:c r="L49" s="16" t="n">
        <x:f>F31</x:f>
        <x:v>243.6</x:v>
      </x:c>
      <x:c r="M49" s="18" t="n">
        <x:f>1-F49/L49</x:f>
        <x:v>0.42692939244663386</x:v>
      </x:c>
      <x:c r="N49" s="2" t="str">
        <x:v>simulado_didactico</x:v>
      </x:c>
    </x:row>
    <x:row r="50" ht="19" customHeight="1">
      <x:c r="A50" s="2" t="str">
        <x:v>BB</x:v>
      </x:c>
      <x:c r="B50" s="2" t="str">
        <x:v>Brevicoryne brassicae</x:v>
      </x:c>
      <x:c r="C50" s="2" t="str">
        <x:v>L8</x:v>
      </x:c>
      <x:c r="D50" s="2" t="n">
        <x:v>14</x:v>
      </x:c>
      <x:c r="E50" s="2" t="n">
        <x:f>COUNT(E1_recuentos!J98,E1_recuentos!J101,E1_recuentos!J206,E1_recuentos!J209,E1_recuentos!J314,E1_recuentos!J317,E1_recuentos!J422,E1_recuentos!J425,E1_recuentos!J530,E1_recuentos!J533)</x:f>
        <x:v>10</x:v>
      </x:c>
      <x:c r="F50" s="16" t="n">
        <x:f>AVERAGE(E1_recuentos!J98,E1_recuentos!J101,E1_recuentos!J206,E1_recuentos!J209,E1_recuentos!J314,E1_recuentos!J317,E1_recuentos!J422,E1_recuentos!J425,E1_recuentos!J530,E1_recuentos!J533)</x:f>
        <x:v>10.6</x:v>
      </x:c>
      <x:c r="G50" s="16" t="n">
        <x:f>STDEV.S(E1_recuentos!J98,E1_recuentos!J101,E1_recuentos!J206,E1_recuentos!J209,E1_recuentos!J314,E1_recuentos!J317,E1_recuentos!J422,E1_recuentos!J425,E1_recuentos!J530,E1_recuentos!J533)</x:f>
        <x:v>6.603029607687671</x:v>
      </x:c>
      <x:c r="H50" s="16" t="n">
        <x:f>G50/SQRT(E50)</x:f>
        <x:v>2.0880613017821097</x:v>
      </x:c>
      <x:c r="I50" s="16" t="n">
        <x:f>MEDIAN(E1_recuentos!J98,E1_recuentos!J101,E1_recuentos!J206,E1_recuentos!J209,E1_recuentos!J314,E1_recuentos!J317,E1_recuentos!J422,E1_recuentos!J425,E1_recuentos!J530,E1_recuentos!J533)</x:f>
        <x:v>9.5</x:v>
      </x:c>
      <x:c r="J50" s="16" t="n">
        <x:f>MIN(E1_recuentos!J98,E1_recuentos!J101,E1_recuentos!J206,E1_recuentos!J209,E1_recuentos!J314,E1_recuentos!J317,E1_recuentos!J422,E1_recuentos!J425,E1_recuentos!J530,E1_recuentos!J533)</x:f>
        <x:v>0</x:v>
      </x:c>
      <x:c r="K50" s="16" t="n">
        <x:f>MAX(E1_recuentos!J98,E1_recuentos!J101,E1_recuentos!J206,E1_recuentos!J209,E1_recuentos!J314,E1_recuentos!J317,E1_recuentos!J422,E1_recuentos!J425,E1_recuentos!J530,E1_recuentos!J533)</x:f>
        <x:v>21</x:v>
      </x:c>
      <x:c r="L50" s="16" t="n">
        <x:f>F29</x:f>
        <x:v>16.2</x:v>
      </x:c>
      <x:c r="M50" s="18" t="n">
        <x:f>1-F50/L50</x:f>
        <x:v>0.345679012345679</x:v>
      </x:c>
      <x:c r="N50" s="2" t="str">
        <x:v>simulado_didactico</x:v>
      </x:c>
    </x:row>
    <x:row r="51" ht="19" customHeight="1">
      <x:c r="A51" s="2" t="str">
        <x:v>BB</x:v>
      </x:c>
      <x:c r="B51" s="2" t="str">
        <x:v>Brevicoryne brassicae</x:v>
      </x:c>
      <x:c r="C51" s="2" t="str">
        <x:v>L8</x:v>
      </x:c>
      <x:c r="D51" s="2" t="n">
        <x:v>21</x:v>
      </x:c>
      <x:c r="E51" s="2" t="n">
        <x:f>COUNT(E1_recuentos!J99,E1_recuentos!J102,E1_recuentos!J207,E1_recuentos!J210,E1_recuentos!J315,E1_recuentos!J318,E1_recuentos!J423,E1_recuentos!J426,E1_recuentos!J531,E1_recuentos!J534)</x:f>
        <x:v>10</x:v>
      </x:c>
      <x:c r="F51" s="16" t="n">
        <x:f>AVERAGE(E1_recuentos!J99,E1_recuentos!J102,E1_recuentos!J207,E1_recuentos!J210,E1_recuentos!J315,E1_recuentos!J318,E1_recuentos!J423,E1_recuentos!J426,E1_recuentos!J531,E1_recuentos!J534)</x:f>
        <x:v>34.9</x:v>
      </x:c>
      <x:c r="G51" s="16" t="n">
        <x:f>STDEV.S(E1_recuentos!J99,E1_recuentos!J102,E1_recuentos!J207,E1_recuentos!J210,E1_recuentos!J315,E1_recuentos!J318,E1_recuentos!J423,E1_recuentos!J426,E1_recuentos!J531,E1_recuentos!J534)</x:f>
        <x:v>20.81906177841195</x:v>
      </x:c>
      <x:c r="H51" s="16" t="n">
        <x:f>G51/SQRT(E51)</x:f>
        <x:v>6.583565396753747</x:v>
      </x:c>
      <x:c r="I51" s="16" t="n">
        <x:f>MEDIAN(E1_recuentos!J99,E1_recuentos!J102,E1_recuentos!J207,E1_recuentos!J210,E1_recuentos!J315,E1_recuentos!J318,E1_recuentos!J423,E1_recuentos!J426,E1_recuentos!J531,E1_recuentos!J534)</x:f>
        <x:v>28.5</x:v>
      </x:c>
      <x:c r="J51" s="16" t="n">
        <x:f>MIN(E1_recuentos!J99,E1_recuentos!J102,E1_recuentos!J207,E1_recuentos!J210,E1_recuentos!J315,E1_recuentos!J318,E1_recuentos!J423,E1_recuentos!J426,E1_recuentos!J531,E1_recuentos!J534)</x:f>
        <x:v>0</x:v>
      </x:c>
      <x:c r="K51" s="16" t="n">
        <x:f>MAX(E1_recuentos!J99,E1_recuentos!J102,E1_recuentos!J207,E1_recuentos!J210,E1_recuentos!J315,E1_recuentos!J318,E1_recuentos!J423,E1_recuentos!J426,E1_recuentos!J531,E1_recuentos!J534)</x:f>
        <x:v>64</x:v>
      </x:c>
      <x:c r="L51" s="16" t="n">
        <x:f>F30</x:f>
        <x:v>88</x:v>
      </x:c>
      <x:c r="M51" s="18" t="n">
        <x:f>1-F51/L51</x:f>
        <x:v>0.603409090909091</x:v>
      </x:c>
      <x:c r="N51" s="2" t="str">
        <x:v>simulado_didactico</x:v>
      </x:c>
    </x:row>
    <x:row r="52" ht="19" customHeight="1">
      <x:c r="A52" s="2" t="str">
        <x:v>BB</x:v>
      </x:c>
      <x:c r="B52" s="2" t="str">
        <x:v>Brevicoryne brassicae</x:v>
      </x:c>
      <x:c r="C52" s="2" t="str">
        <x:v>L8</x:v>
      </x:c>
      <x:c r="D52" s="2" t="n">
        <x:v>28</x:v>
      </x:c>
      <x:c r="E52" s="2" t="n">
        <x:f>COUNT(E1_recuentos!J100,E1_recuentos!J103,E1_recuentos!J208,E1_recuentos!J211,E1_recuentos!J316,E1_recuentos!J319,E1_recuentos!J424,E1_recuentos!J427,E1_recuentos!J532,E1_recuentos!J535)</x:f>
        <x:v>10</x:v>
      </x:c>
      <x:c r="F52" s="16" t="n">
        <x:f>AVERAGE(E1_recuentos!J100,E1_recuentos!J103,E1_recuentos!J208,E1_recuentos!J211,E1_recuentos!J316,E1_recuentos!J319,E1_recuentos!J424,E1_recuentos!J427,E1_recuentos!J532,E1_recuentos!J535)</x:f>
        <x:v>74.8</x:v>
      </x:c>
      <x:c r="G52" s="16" t="n">
        <x:f>STDEV.S(E1_recuentos!J100,E1_recuentos!J103,E1_recuentos!J208,E1_recuentos!J211,E1_recuentos!J316,E1_recuentos!J319,E1_recuentos!J424,E1_recuentos!J427,E1_recuentos!J532,E1_recuentos!J535)</x:f>
        <x:v>34.11027867243408</x:v>
      </x:c>
      <x:c r="H52" s="16" t="n">
        <x:f>G52/SQRT(E52)</x:f>
        <x:v>10.78661722279562</x:v>
      </x:c>
      <x:c r="I52" s="16" t="n">
        <x:f>MEDIAN(E1_recuentos!J100,E1_recuentos!J103,E1_recuentos!J208,E1_recuentos!J211,E1_recuentos!J316,E1_recuentos!J319,E1_recuentos!J424,E1_recuentos!J427,E1_recuentos!J532,E1_recuentos!J535)</x:f>
        <x:v>76</x:v>
      </x:c>
      <x:c r="J52" s="16" t="n">
        <x:f>MIN(E1_recuentos!J100,E1_recuentos!J103,E1_recuentos!J208,E1_recuentos!J211,E1_recuentos!J316,E1_recuentos!J319,E1_recuentos!J424,E1_recuentos!J427,E1_recuentos!J532,E1_recuentos!J535)</x:f>
        <x:v>0</x:v>
      </x:c>
      <x:c r="K52" s="16" t="n">
        <x:f>MAX(E1_recuentos!J100,E1_recuentos!J103,E1_recuentos!J208,E1_recuentos!J211,E1_recuentos!J316,E1_recuentos!J319,E1_recuentos!J424,E1_recuentos!J427,E1_recuentos!J532,E1_recuentos!J535)</x:f>
        <x:v>128</x:v>
      </x:c>
      <x:c r="L52" s="16" t="n">
        <x:f>F31</x:f>
        <x:v>243.6</x:v>
      </x:c>
      <x:c r="M52" s="18" t="n">
        <x:f>1-F52/L52</x:f>
        <x:v>0.6929392446633826</x:v>
      </x:c>
      <x:c r="N52" s="2" t="str">
        <x:v>simulado_didactico</x:v>
      </x:c>
    </x:row>
    <x:row r="53" ht="19" customHeight="1">
      <x:c r="A53" s="2" t="str">
        <x:v>BB</x:v>
      </x:c>
      <x:c r="B53" s="2" t="str">
        <x:v>Brevicoryne brassicae</x:v>
      </x:c>
      <x:c r="C53" s="2" t="str">
        <x:v>L9</x:v>
      </x:c>
      <x:c r="D53" s="2" t="n">
        <x:v>14</x:v>
      </x:c>
      <x:c r="E53" s="2" t="n">
        <x:f>COUNT(E1_recuentos!J104,E1_recuentos!J107,E1_recuentos!J212,E1_recuentos!J215,E1_recuentos!J320,E1_recuentos!J323,E1_recuentos!J428,E1_recuentos!J431,E1_recuentos!J536,E1_recuentos!J539)</x:f>
        <x:v>10</x:v>
      </x:c>
      <x:c r="F53" s="16" t="n">
        <x:f>AVERAGE(E1_recuentos!J104,E1_recuentos!J107,E1_recuentos!J212,E1_recuentos!J215,E1_recuentos!J320,E1_recuentos!J323,E1_recuentos!J428,E1_recuentos!J431,E1_recuentos!J536,E1_recuentos!J539)</x:f>
        <x:v>23.4</x:v>
      </x:c>
      <x:c r="G53" s="16" t="n">
        <x:f>STDEV.S(E1_recuentos!J104,E1_recuentos!J107,E1_recuentos!J212,E1_recuentos!J215,E1_recuentos!J320,E1_recuentos!J323,E1_recuentos!J428,E1_recuentos!J431,E1_recuentos!J536,E1_recuentos!J539)</x:f>
        <x:v>16.36527488990705</x:v>
      </x:c>
      <x:c r="H53" s="16" t="n">
        <x:f>G53/SQRT(E53)</x:f>
        <x:v>5.175154318686759</x:v>
      </x:c>
      <x:c r="I53" s="16" t="n">
        <x:f>MEDIAN(E1_recuentos!J104,E1_recuentos!J107,E1_recuentos!J212,E1_recuentos!J215,E1_recuentos!J320,E1_recuentos!J323,E1_recuentos!J428,E1_recuentos!J431,E1_recuentos!J536,E1_recuentos!J539)</x:f>
        <x:v>19.5</x:v>
      </x:c>
      <x:c r="J53" s="16" t="n">
        <x:f>MIN(E1_recuentos!J104,E1_recuentos!J107,E1_recuentos!J212,E1_recuentos!J215,E1_recuentos!J320,E1_recuentos!J323,E1_recuentos!J428,E1_recuentos!J431,E1_recuentos!J536,E1_recuentos!J539)</x:f>
        <x:v>12</x:v>
      </x:c>
      <x:c r="K53" s="16" t="n">
        <x:f>MAX(E1_recuentos!J104,E1_recuentos!J107,E1_recuentos!J212,E1_recuentos!J215,E1_recuentos!J320,E1_recuentos!J323,E1_recuentos!J428,E1_recuentos!J431,E1_recuentos!J536,E1_recuentos!J539)</x:f>
        <x:v>64</x:v>
      </x:c>
      <x:c r="L53" s="16" t="n">
        <x:f>F29</x:f>
        <x:v>16.2</x:v>
      </x:c>
      <x:c r="M53" s="18" t="n">
        <x:f>1-F53/L53</x:f>
        <x:v>-0.4444444444444444</x:v>
      </x:c>
      <x:c r="N53" s="2" t="str">
        <x:v>simulado_didactico</x:v>
      </x:c>
    </x:row>
    <x:row r="54" ht="19" customHeight="1">
      <x:c r="A54" s="2" t="str">
        <x:v>BB</x:v>
      </x:c>
      <x:c r="B54" s="2" t="str">
        <x:v>Brevicoryne brassicae</x:v>
      </x:c>
      <x:c r="C54" s="2" t="str">
        <x:v>L9</x:v>
      </x:c>
      <x:c r="D54" s="2" t="n">
        <x:v>21</x:v>
      </x:c>
      <x:c r="E54" s="2" t="n">
        <x:f>COUNT(E1_recuentos!J105,E1_recuentos!J108,E1_recuentos!J213,E1_recuentos!J216,E1_recuentos!J321,E1_recuentos!J324,E1_recuentos!J429,E1_recuentos!J432,E1_recuentos!J537,E1_recuentos!J540)</x:f>
        <x:v>10</x:v>
      </x:c>
      <x:c r="F54" s="16" t="n">
        <x:f>AVERAGE(E1_recuentos!J105,E1_recuentos!J108,E1_recuentos!J213,E1_recuentos!J216,E1_recuentos!J321,E1_recuentos!J324,E1_recuentos!J429,E1_recuentos!J432,E1_recuentos!J537,E1_recuentos!J540)</x:f>
        <x:v>104.5</x:v>
      </x:c>
      <x:c r="G54" s="16" t="n">
        <x:f>STDEV.S(E1_recuentos!J105,E1_recuentos!J108,E1_recuentos!J213,E1_recuentos!J216,E1_recuentos!J321,E1_recuentos!J324,E1_recuentos!J429,E1_recuentos!J432,E1_recuentos!J537,E1_recuentos!J540)</x:f>
        <x:v>30.638574089246095</x:v>
      </x:c>
      <x:c r="H54" s="16" t="n">
        <x:f>G54/SQRT(E54)</x:f>
        <x:v>9.688767838183667</x:v>
      </x:c>
      <x:c r="I54" s="16" t="n">
        <x:f>MEDIAN(E1_recuentos!J105,E1_recuentos!J108,E1_recuentos!J213,E1_recuentos!J216,E1_recuentos!J321,E1_recuentos!J324,E1_recuentos!J429,E1_recuentos!J432,E1_recuentos!J537,E1_recuentos!J540)</x:f>
        <x:v>92.5</x:v>
      </x:c>
      <x:c r="J54" s="16" t="n">
        <x:f>MIN(E1_recuentos!J105,E1_recuentos!J108,E1_recuentos!J213,E1_recuentos!J216,E1_recuentos!J321,E1_recuentos!J324,E1_recuentos!J429,E1_recuentos!J432,E1_recuentos!J537,E1_recuentos!J540)</x:f>
        <x:v>76</x:v>
      </x:c>
      <x:c r="K54" s="16" t="n">
        <x:f>MAX(E1_recuentos!J105,E1_recuentos!J108,E1_recuentos!J213,E1_recuentos!J216,E1_recuentos!J321,E1_recuentos!J324,E1_recuentos!J429,E1_recuentos!J432,E1_recuentos!J537,E1_recuentos!J540)</x:f>
        <x:v>166</x:v>
      </x:c>
      <x:c r="L54" s="16" t="n">
        <x:f>F30</x:f>
        <x:v>88</x:v>
      </x:c>
      <x:c r="M54" s="18" t="n">
        <x:f>1-F54/L54</x:f>
        <x:v>-0.1875</x:v>
      </x:c>
      <x:c r="N54" s="2" t="str">
        <x:v>simulado_didactico</x:v>
      </x:c>
    </x:row>
    <x:row r="55" ht="19" customHeight="1">
      <x:c r="A55" s="2" t="str">
        <x:v>BB</x:v>
      </x:c>
      <x:c r="B55" s="2" t="str">
        <x:v>Brevicoryne brassicae</x:v>
      </x:c>
      <x:c r="C55" s="2" t="str">
        <x:v>L9</x:v>
      </x:c>
      <x:c r="D55" s="2" t="n">
        <x:v>28</x:v>
      </x:c>
      <x:c r="E55" s="2" t="n">
        <x:f>COUNT(E1_recuentos!J106,E1_recuentos!J109,E1_recuentos!J214,E1_recuentos!J217,E1_recuentos!J322,E1_recuentos!J325,E1_recuentos!J430,E1_recuentos!J433,E1_recuentos!J538,E1_recuentos!J541)</x:f>
        <x:v>10</x:v>
      </x:c>
      <x:c r="F55" s="16" t="n">
        <x:f>AVERAGE(E1_recuentos!J106,E1_recuentos!J109,E1_recuentos!J214,E1_recuentos!J217,E1_recuentos!J322,E1_recuentos!J325,E1_recuentos!J430,E1_recuentos!J433,E1_recuentos!J538,E1_recuentos!J541)</x:f>
        <x:v>283.7</x:v>
      </x:c>
      <x:c r="G55" s="16" t="n">
        <x:f>STDEV.S(E1_recuentos!J106,E1_recuentos!J109,E1_recuentos!J214,E1_recuentos!J217,E1_recuentos!J322,E1_recuentos!J325,E1_recuentos!J430,E1_recuentos!J433,E1_recuentos!J538,E1_recuentos!J541)</x:f>
        <x:v>153.95024448755441</x:v>
      </x:c>
      <x:c r="H55" s="16" t="n">
        <x:f>G55/SQRT(E55)</x:f>
        <x:v>48.68334189204535</x:v>
      </x:c>
      <x:c r="I55" s="16" t="n">
        <x:f>MEDIAN(E1_recuentos!J106,E1_recuentos!J109,E1_recuentos!J214,E1_recuentos!J217,E1_recuentos!J322,E1_recuentos!J325,E1_recuentos!J430,E1_recuentos!J433,E1_recuentos!J538,E1_recuentos!J541)</x:f>
        <x:v>246</x:v>
      </x:c>
      <x:c r="J55" s="16" t="n">
        <x:f>MIN(E1_recuentos!J106,E1_recuentos!J109,E1_recuentos!J214,E1_recuentos!J217,E1_recuentos!J322,E1_recuentos!J325,E1_recuentos!J430,E1_recuentos!J433,E1_recuentos!J538,E1_recuentos!J541)</x:f>
        <x:v>103</x:v>
      </x:c>
      <x:c r="K55" s="16" t="n">
        <x:f>MAX(E1_recuentos!J106,E1_recuentos!J109,E1_recuentos!J214,E1_recuentos!J217,E1_recuentos!J322,E1_recuentos!J325,E1_recuentos!J430,E1_recuentos!J433,E1_recuentos!J538,E1_recuentos!J541)</x:f>
        <x:v>674</x:v>
      </x:c>
      <x:c r="L55" s="16" t="n">
        <x:f>F31</x:f>
        <x:v>243.6</x:v>
      </x:c>
      <x:c r="M55" s="18" t="n">
        <x:f>1-F55/L55</x:f>
        <x:v>-0.16461412151067312</x:v>
      </x:c>
      <x:c r="N55" s="2" t="str">
        <x:v>simulado_didactico</x:v>
      </x:c>
    </x:row>
  </x:sheetData>
  <x:conditionalFormatting sqref="C2:C55">
    <x:cfRule type="expression" dxfId="27" priority="1">
      <x:formula>C2="L0"</x:formula>
    </x:cfRule>
    <x:cfRule type="expression" dxfId="28" priority="2">
      <x:formula>C2="L1"</x:formula>
    </x:cfRule>
    <x:cfRule type="expression" dxfId="29" priority="3">
      <x:formula>C2="L2"</x:formula>
    </x:cfRule>
    <x:cfRule type="expression" dxfId="30" priority="4">
      <x:formula>C2="L3"</x:formula>
    </x:cfRule>
    <x:cfRule type="expression" dxfId="31" priority="5">
      <x:formula>C2="L5"</x:formula>
    </x:cfRule>
    <x:cfRule type="expression" dxfId="32" priority="6">
      <x:formula>C2="L6"</x:formula>
    </x:cfRule>
    <x:cfRule type="expression" dxfId="33" priority="7">
      <x:formula>C2="L7"</x:formula>
    </x:cfRule>
    <x:cfRule type="expression" dxfId="34" priority="8">
      <x:formula>C2="L8"</x:formula>
    </x:cfRule>
    <x:cfRule type="expression" dxfId="35" priority="9">
      <x:formula>C2="L9"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4b86efeb7543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  <x:col min="7" max="7" width="22" hidden="0" customWidth="1"/>
    <x:col min="8" max="8" width="24" hidden="0" customWidth="1"/>
  </x:cols>
  <x:sheetData>
    <x:row r="1" ht="43" customHeight="1">
      <x:c r="A1" s="7" t="str">
        <x:v>tratamiento</x:v>
      </x:c>
      <x:c r="B1" s="7" t="str">
        <x:v>tipo</x:v>
      </x:c>
      <x:c r="C1" s="7" t="str">
        <x:v>reduccion_media_MP</x:v>
      </x:c>
      <x:c r="D1" s="7" t="str">
        <x:v>reduccion_media_BB</x:v>
      </x:c>
      <x:c r="E1" s="7" t="str">
        <x:v>reduccion_conjunta</x:v>
      </x:c>
      <x:c r="F1" s="7" t="str">
        <x:v>puesto_entre_cepas</x:v>
      </x:c>
      <x:c r="G1" s="7" t="str">
        <x:v>seleccionada_E2</x:v>
      </x:c>
      <x:c r="H1" s="7" t="str">
        <x:v>origen_dato</x:v>
      </x:c>
    </x:row>
    <x:row r="2" ht="19" customHeight="1">
      <x:c r="A2" s="2" t="str">
        <x:v>L0</x:v>
      </x:c>
      <x:c r="B2" s="2" t="str">
        <x:v>control</x:v>
      </x:c>
      <x:c r="C2" s="18" t="n">
        <x:f>AVERAGE(E1_resumen!M2,E1_resumen!M3,E1_resumen!M4)</x:f>
        <x:v>0</x:v>
      </x:c>
      <x:c r="D2" s="18" t="n">
        <x:f>AVERAGE(E1_resumen!M29,E1_resumen!M30,E1_resumen!M31)</x:f>
        <x:v>0</x:v>
      </x:c>
      <x:c r="E2" s="18" t="n">
        <x:f>AVERAGE(C2:D2)</x:f>
        <x:v>0</x:v>
      </x:c>
      <x:c r="F2" s="2" t="str">
        <x:f>IF(A2="L0","",RANK(E2,$E$3:$E$10,0))</x:f>
      </x:c>
      <x:c r="G2" s="2" t="str">
        <x:f>IF(A2="L0","no",IF(F2&lt;=Supuestos!$C$35,"si","no"))</x:f>
        <x:v>no</x:v>
      </x:c>
      <x:c r="H2" s="2" t="str">
        <x:v>simulado_didactico</x:v>
      </x:c>
    </x:row>
    <x:row r="3" ht="19" customHeight="1">
      <x:c r="A3" s="2" t="str">
        <x:v>L1</x:v>
      </x:c>
      <x:c r="B3" s="2" t="str">
        <x:v>levadura</x:v>
      </x:c>
      <x:c r="C3" s="18" t="n">
        <x:f>AVERAGE(E1_resumen!M5,E1_resumen!M6,E1_resumen!M7)</x:f>
        <x:v>-0.0029357325955209346</x:v>
      </x:c>
      <x:c r="D3" s="18" t="n">
        <x:f>AVERAGE(E1_resumen!M32,E1_resumen!M33,E1_resumen!M34)</x:f>
        <x:v>-0.26147430333254085</x:v>
      </x:c>
      <x:c r="E3" s="18" t="n">
        <x:f>AVERAGE(C3:D3)</x:f>
        <x:v>-0.1322050179640309</x:v>
      </x:c>
      <x:c r="F3" s="2" t="n">
        <x:f>IF(A3="L0","",RANK(E3,$E$3:$E$10,0))</x:f>
        <x:v>7</x:v>
      </x:c>
      <x:c r="G3" s="2" t="str">
        <x:f>IF(A3="L0","no",IF(F3&lt;=Supuestos!$C$35,"si","no"))</x:f>
        <x:v>no</x:v>
      </x:c>
      <x:c r="H3" s="2" t="str">
        <x:v>simulado_didactico</x:v>
      </x:c>
    </x:row>
    <x:row r="4" ht="19" customHeight="1">
      <x:c r="A4" s="2" t="str">
        <x:v>L2</x:v>
      </x:c>
      <x:c r="B4" s="2" t="str">
        <x:v>levadura</x:v>
      </x:c>
      <x:c r="C4" s="18" t="n">
        <x:f>AVERAGE(E1_resumen!M8,E1_resumen!M9,E1_resumen!M10)</x:f>
        <x:v>0.3896035086300064</x:v>
      </x:c>
      <x:c r="D4" s="18" t="n">
        <x:f>AVERAGE(E1_resumen!M35,E1_resumen!M36,E1_resumen!M37)</x:f>
        <x:v>0.1537188847054747</x:v>
      </x:c>
      <x:c r="E4" s="18" t="n">
        <x:f>AVERAGE(C4:D4)</x:f>
        <x:v>0.2716611966677406</x:v>
      </x:c>
      <x:c r="F4" s="2" t="n">
        <x:f>IF(A4="L0","",RANK(E4,$E$3:$E$10,0))</x:f>
        <x:v>4</x:v>
      </x:c>
      <x:c r="G4" s="2" t="str">
        <x:f>IF(A4="L0","no",IF(F4&lt;=Supuestos!$C$35,"si","no"))</x:f>
        <x:v>no</x:v>
      </x:c>
      <x:c r="H4" s="2" t="str">
        <x:v>simulado_didactico</x:v>
      </x:c>
    </x:row>
    <x:row r="5" ht="19" customHeight="1">
      <x:c r="A5" s="2" t="str">
        <x:v>L3</x:v>
      </x:c>
      <x:c r="B5" s="2" t="str">
        <x:v>levadura</x:v>
      </x:c>
      <x:c r="C5" s="18" t="n">
        <x:f>AVERAGE(E1_resumen!M11,E1_resumen!M12,E1_resumen!M13)</x:f>
        <x:v>0.12384031442653609</x:v>
      </x:c>
      <x:c r="D5" s="18" t="n">
        <x:f>AVERAGE(E1_resumen!M38,E1_resumen!M39,E1_resumen!M40)</x:f>
        <x:v>0.020868417803283634</x:v>
      </x:c>
      <x:c r="E5" s="18" t="n">
        <x:f>AVERAGE(C5:D5)</x:f>
        <x:v>0.07235436611490986</x:v>
      </x:c>
      <x:c r="F5" s="2" t="n">
        <x:f>IF(A5="L0","",RANK(E5,$E$3:$E$10,0))</x:f>
        <x:v>5</x:v>
      </x:c>
      <x:c r="G5" s="2" t="str">
        <x:f>IF(A5="L0","no",IF(F5&lt;=Supuestos!$C$35,"si","no"))</x:f>
        <x:v>no</x:v>
      </x:c>
      <x:c r="H5" s="2" t="str">
        <x:v>simulado_didactico</x:v>
      </x:c>
    </x:row>
    <x:row r="6" ht="19" customHeight="1">
      <x:c r="A6" s="2" t="str">
        <x:v>L5</x:v>
      </x:c>
      <x:c r="B6" s="2" t="str">
        <x:v>levadura</x:v>
      </x:c>
      <x:c r="C6" s="18" t="n">
        <x:f>AVERAGE(E1_resumen!M14,E1_resumen!M15,E1_resumen!M16)</x:f>
        <x:v>0.4312383194094663</x:v>
      </x:c>
      <x:c r="D6" s="18" t="n">
        <x:f>AVERAGE(E1_resumen!M41,E1_resumen!M42,E1_resumen!M43)</x:f>
        <x:v>0.3353054122690138</x:v>
      </x:c>
      <x:c r="E6" s="18" t="n">
        <x:f>AVERAGE(C6:D6)</x:f>
        <x:v>0.38327186583924</x:v>
      </x:c>
      <x:c r="F6" s="2" t="n">
        <x:f>IF(A6="L0","",RANK(E6,$E$3:$E$10,0))</x:f>
        <x:v>3</x:v>
      </x:c>
      <x:c r="G6" s="2" t="str">
        <x:f>IF(A6="L0","no",IF(F6&lt;=Supuestos!$C$35,"si","no"))</x:f>
        <x:v>no</x:v>
      </x:c>
      <x:c r="H6" s="2" t="str">
        <x:v>simulado_didactico</x:v>
      </x:c>
    </x:row>
    <x:row r="7" ht="19" customHeight="1">
      <x:c r="A7" s="2" t="str">
        <x:v>L6</x:v>
      </x:c>
      <x:c r="B7" s="2" t="str">
        <x:v>levadura</x:v>
      </x:c>
      <x:c r="C7" s="18" t="n">
        <x:f>AVERAGE(E1_resumen!M17,E1_resumen!M18,E1_resumen!M19)</x:f>
        <x:v>0.09206310008461001</x:v>
      </x:c>
      <x:c r="D7" s="18" t="n">
        <x:f>AVERAGE(E1_resumen!M44,E1_resumen!M45,E1_resumen!M46)</x:f>
        <x:v>-0.2172032540327559</x:v>
      </x:c>
      <x:c r="E7" s="18" t="n">
        <x:f>AVERAGE(C7:D7)</x:f>
        <x:v>-0.06257007697407294</x:v>
      </x:c>
      <x:c r="F7" s="2" t="n">
        <x:f>IF(A7="L0","",RANK(E7,$E$3:$E$10,0))</x:f>
        <x:v>6</x:v>
      </x:c>
      <x:c r="G7" s="2" t="str">
        <x:f>IF(A7="L0","no",IF(F7&lt;=Supuestos!$C$35,"si","no"))</x:f>
        <x:v>no</x:v>
      </x:c>
      <x:c r="H7" s="2" t="str">
        <x:v>simulado_didactico</x:v>
      </x:c>
    </x:row>
    <x:row r="8" ht="19" customHeight="1">
      <x:c r="A8" s="2" t="str">
        <x:v>L7</x:v>
      </x:c>
      <x:c r="B8" s="2" t="str">
        <x:v>levadura</x:v>
      </x:c>
      <x:c r="C8" s="18" t="n">
        <x:f>AVERAGE(E1_resumen!M20,E1_resumen!M21,E1_resumen!M22)</x:f>
        <x:v>0.5808569949189062</x:v>
      </x:c>
      <x:c r="D8" s="18" t="n">
        <x:f>AVERAGE(E1_resumen!M47,E1_resumen!M48,E1_resumen!M49)</x:f>
        <x:v>0.2793468345192483</x:v>
      </x:c>
      <x:c r="E8" s="18" t="n">
        <x:f>AVERAGE(C8:D8)</x:f>
        <x:v>0.4301019147190772</x:v>
      </x:c>
      <x:c r="F8" s="2" t="n">
        <x:f>IF(A8="L0","",RANK(E8,$E$3:$E$10,0))</x:f>
        <x:v>2</x:v>
      </x:c>
      <x:c r="G8" s="2" t="str">
        <x:f>IF(A8="L0","no",IF(F8&lt;=Supuestos!$C$35,"si","no"))</x:f>
        <x:v>si</x:v>
      </x:c>
      <x:c r="H8" s="2" t="str">
        <x:v>simulado_didactico</x:v>
      </x:c>
    </x:row>
    <x:row r="9" ht="19" customHeight="1">
      <x:c r="A9" s="2" t="str">
        <x:v>L8</x:v>
      </x:c>
      <x:c r="B9" s="2" t="str">
        <x:v>levadura</x:v>
      </x:c>
      <x:c r="C9" s="18" t="n">
        <x:f>AVERAGE(E1_resumen!M23,E1_resumen!M24,E1_resumen!M25)</x:f>
        <x:v>0.5260094478399615</x:v>
      </x:c>
      <x:c r="D9" s="18" t="n">
        <x:f>AVERAGE(E1_resumen!M50,E1_resumen!M51,E1_resumen!M52)</x:f>
        <x:v>0.5473424493060509</x:v>
      </x:c>
      <x:c r="E9" s="18" t="n">
        <x:f>AVERAGE(C9:D9)</x:f>
        <x:v>0.5366759485730062</x:v>
      </x:c>
      <x:c r="F9" s="2" t="n">
        <x:f>IF(A9="L0","",RANK(E9,$E$3:$E$10,0))</x:f>
        <x:v>1</x:v>
      </x:c>
      <x:c r="G9" s="2" t="str">
        <x:f>IF(A9="L0","no",IF(F9&lt;=Supuestos!$C$35,"si","no"))</x:f>
        <x:v>si</x:v>
      </x:c>
      <x:c r="H9" s="2" t="str">
        <x:v>simulado_didactico</x:v>
      </x:c>
    </x:row>
    <x:row r="10" ht="19" customHeight="1">
      <x:c r="A10" s="2" t="str">
        <x:v>L9</x:v>
      </x:c>
      <x:c r="B10" s="2" t="str">
        <x:v>levadura</x:v>
      </x:c>
      <x:c r="C10" s="18" t="n">
        <x:f>AVERAGE(E1_resumen!M26,E1_resumen!M27,E1_resumen!M28)</x:f>
        <x:v>-0.2080274352101991</x:v>
      </x:c>
      <x:c r="D10" s="18" t="n">
        <x:f>AVERAGE(E1_resumen!M53,E1_resumen!M54,E1_resumen!M55)</x:f>
        <x:v>-0.2655195219850392</x:v>
      </x:c>
      <x:c r="E10" s="18" t="n">
        <x:f>AVERAGE(C10:D10)</x:f>
        <x:v>-0.23677347859761916</x:v>
      </x:c>
      <x:c r="F10" s="2" t="n">
        <x:f>IF(A10="L0","",RANK(E10,$E$3:$E$10,0))</x:f>
        <x:v>8</x:v>
      </x:c>
      <x:c r="G10" s="2" t="str">
        <x:f>IF(A10="L0","no",IF(F10&lt;=Supuestos!$C$35,"si","no"))</x:f>
        <x:v>no</x:v>
      </x:c>
      <x:c r="H10" s="2" t="str">
        <x:v>simulado_didactico</x:v>
      </x:c>
    </x:row>
  </x:sheetData>
  <x:conditionalFormatting sqref="A2:A10">
    <x:cfRule type="expression" dxfId="36" priority="1">
      <x:formula>A2="L0"</x:formula>
    </x:cfRule>
    <x:cfRule type="expression" dxfId="37" priority="2">
      <x:formula>A2="L1"</x:formula>
    </x:cfRule>
    <x:cfRule type="expression" dxfId="38" priority="3">
      <x:formula>A2="L2"</x:formula>
    </x:cfRule>
    <x:cfRule type="expression" dxfId="39" priority="4">
      <x:formula>A2="L3"</x:formula>
    </x:cfRule>
    <x:cfRule type="expression" dxfId="40" priority="5">
      <x:formula>A2="L5"</x:formula>
    </x:cfRule>
    <x:cfRule type="expression" dxfId="41" priority="6">
      <x:formula>A2="L6"</x:formula>
    </x:cfRule>
    <x:cfRule type="expression" dxfId="42" priority="7">
      <x:formula>A2="L7"</x:formula>
    </x:cfRule>
    <x:cfRule type="expression" dxfId="43" priority="8">
      <x:formula>A2="L8"</x:formula>
    </x:cfRule>
    <x:cfRule type="expression" dxfId="44" priority="9">
      <x:formula>A2="L9"</x:formula>
    </x:cfRule>
  </x:conditionalFormatting>
  <x:pageMargins left="0.7" right="0.7" top="0.75" bottom="0.75" header="0.3" footer="0.3"/>
  <x:drawing xmlns:r="http://schemas.openxmlformats.org/officeDocument/2006/relationships" r:id="Rb320a79d6a104964"/>
  <x:tableParts count="1">
    <x:tablePart xmlns:r="http://schemas.openxmlformats.org/officeDocument/2006/relationships" r:id="R94e3bf42e73c46a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8" hidden="0" customWidth="1"/>
    <x:col min="13" max="13" width="24" hidden="0" customWidth="1"/>
  </x:cols>
  <x:sheetData>
    <x:row r="1" ht="43" customHeight="1">
      <x:c r="A1" s="7" t="str">
        <x:v>id_individuo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es_control</x:v>
      </x:c>
      <x:c r="G1" s="7" t="str">
        <x:v>repeticion</x:v>
      </x:c>
      <x:c r="H1" s="7" t="str">
        <x:v>rep_en_bloque</x:v>
      </x:c>
      <x:c r="I1" s="7" t="str">
        <x:v>posicion_en_bloque</x:v>
      </x:c>
      <x:c r="J1" s="7" t="str">
        <x:v>fecha_inicio_N1</x:v>
      </x:c>
      <x:c r="K1" s="7" t="str">
        <x:v>ninfas_iniciales</x:v>
      </x:c>
      <x:c r="L1" s="7" t="str">
        <x:v>sexo</x:v>
      </x:c>
      <x:c r="M1" s="7" t="str">
        <x:v>origen_dato</x:v>
      </x:c>
    </x:row>
    <x:row r="2" ht="19" customHeight="1">
      <x:c r="A2" s="2" t="str">
        <x:v>SIM-E2-MP-L0-R01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v>1</x:v>
      </x:c>
      <x:c r="H2" s="2" t="n">
        <x:v>1</x:v>
      </x:c>
      <x:c r="I2" s="2" t="n">
        <x:v>10</x:v>
      </x:c>
      <x:c r="J2" s="14" t="n">
        <x:v>46174</x:v>
      </x:c>
      <x:c r="K2" s="2" t="n">
        <x:v>1</x:v>
      </x:c>
      <x:c r="L2" s="2" t="str">
        <x:v>hembra</x:v>
      </x:c>
      <x:c r="M2" s="2" t="str">
        <x:v>simulado_didactico</x:v>
      </x:c>
    </x:row>
    <x:row r="3" ht="19" customHeight="1">
      <x:c r="A3" s="2" t="str">
        <x:v>SIM-E2-MP-L0-R02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1</x:v>
      </x:c>
      <x:c r="G3" s="2" t="n">
        <x:v>2</x:v>
      </x:c>
      <x:c r="H3" s="2" t="n">
        <x:v>2</x:v>
      </x:c>
      <x:c r="I3" s="2" t="n">
        <x:v>9</x:v>
      </x:c>
      <x:c r="J3" s="14" t="n">
        <x:v>46174</x:v>
      </x:c>
      <x:c r="K3" s="2" t="n">
        <x:v>1</x:v>
      </x:c>
      <x:c r="L3" s="2" t="str">
        <x:v>hembra</x:v>
      </x:c>
      <x:c r="M3" s="2" t="str">
        <x:v>simulado_didactico</x:v>
      </x:c>
    </x:row>
    <x:row r="4" ht="19" customHeight="1">
      <x:c r="A4" s="2" t="str">
        <x:v>SIM-E2-MP-L8-R01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L8</x:v>
      </x:c>
      <x:c r="F4" s="2" t="n">
        <x:v>0</x:v>
      </x:c>
      <x:c r="G4" s="2" t="n">
        <x:v>1</x:v>
      </x:c>
      <x:c r="H4" s="2" t="n">
        <x:v>1</x:v>
      </x:c>
      <x:c r="I4" s="2" t="n">
        <x:v>5</x:v>
      </x:c>
      <x:c r="J4" s="14" t="n">
        <x:v>46174</x:v>
      </x:c>
      <x:c r="K4" s="2" t="n">
        <x:v>1</x:v>
      </x:c>
      <x:c r="L4" s="2" t="str">
        <x:v>hembra</x:v>
      </x:c>
      <x:c r="M4" s="2" t="str">
        <x:v>simulado_didactico</x:v>
      </x:c>
    </x:row>
    <x:row r="5" ht="19" customHeight="1">
      <x:c r="A5" s="2" t="str">
        <x:v>SIM-E2-MP-L8-R02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L8</x:v>
      </x:c>
      <x:c r="F5" s="2" t="n">
        <x:v>0</x:v>
      </x:c>
      <x:c r="G5" s="2" t="n">
        <x:v>2</x:v>
      </x:c>
      <x:c r="H5" s="2" t="n">
        <x:v>2</x:v>
      </x:c>
      <x:c r="I5" s="2" t="n">
        <x:v>11</x:v>
      </x:c>
      <x:c r="J5" s="14" t="n">
        <x:v>46174</x:v>
      </x:c>
      <x:c r="K5" s="2" t="n">
        <x:v>1</x:v>
      </x:c>
      <x:c r="L5" s="2" t="str">
        <x:v>hembra</x:v>
      </x:c>
      <x:c r="M5" s="2" t="str">
        <x:v>simulado_didactico</x:v>
      </x:c>
    </x:row>
    <x:row r="6" ht="19" customHeight="1">
      <x:c r="A6" s="2" t="str">
        <x:v>SIM-E2-MP-L7-R01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L7</x:v>
      </x:c>
      <x:c r="F6" s="2" t="n">
        <x:v>0</x:v>
      </x:c>
      <x:c r="G6" s="2" t="n">
        <x:v>1</x:v>
      </x:c>
      <x:c r="H6" s="2" t="n">
        <x:v>1</x:v>
      </x:c>
      <x:c r="I6" s="2" t="n">
        <x:v>4</x:v>
      </x:c>
      <x:c r="J6" s="14" t="n">
        <x:v>46174</x:v>
      </x:c>
      <x:c r="K6" s="2" t="n">
        <x:v>1</x:v>
      </x:c>
      <x:c r="L6" s="2" t="str">
        <x:v>hembra</x:v>
      </x:c>
      <x:c r="M6" s="2" t="str">
        <x:v>simulado_didactico</x:v>
      </x:c>
    </x:row>
    <x:row r="7" ht="19" customHeight="1">
      <x:c r="A7" s="2" t="str">
        <x:v>SIM-E2-MP-L7-R02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L7</x:v>
      </x:c>
      <x:c r="F7" s="2" t="n">
        <x:v>0</x:v>
      </x:c>
      <x:c r="G7" s="2" t="n">
        <x:v>2</x:v>
      </x:c>
      <x:c r="H7" s="2" t="n">
        <x:v>2</x:v>
      </x:c>
      <x:c r="I7" s="2" t="n">
        <x:v>3</x:v>
      </x:c>
      <x:c r="J7" s="14" t="n">
        <x:v>46174</x:v>
      </x:c>
      <x:c r="K7" s="2" t="n">
        <x:v>1</x:v>
      </x:c>
      <x:c r="L7" s="2" t="str">
        <x:v>hembra</x:v>
      </x:c>
      <x:c r="M7" s="2" t="str">
        <x:v>simulado_didactico</x:v>
      </x:c>
    </x:row>
    <x:row r="8" ht="19" customHeight="1">
      <x:c r="A8" s="2" t="str">
        <x:v>SIM-E2-BB-L0-R01</x:v>
      </x:c>
      <x:c r="B8" s="2" t="n">
        <x:v>1</x:v>
      </x:c>
      <x:c r="C8" s="2" t="str">
        <x:v>BB</x:v>
      </x:c>
      <x:c r="D8" s="2" t="str">
        <x:v>Brevicoryne brassicae</x:v>
      </x:c>
      <x:c r="E8" s="2" t="str">
        <x:v>L0</x:v>
      </x:c>
      <x:c r="F8" s="2" t="n">
        <x:v>1</x:v>
      </x:c>
      <x:c r="G8" s="2" t="n">
        <x:v>1</x:v>
      </x:c>
      <x:c r="H8" s="2" t="n">
        <x:v>1</x:v>
      </x:c>
      <x:c r="I8" s="2" t="n">
        <x:v>12</x:v>
      </x:c>
      <x:c r="J8" s="14" t="n">
        <x:v>46174</x:v>
      </x:c>
      <x:c r="K8" s="2" t="n">
        <x:v>1</x:v>
      </x:c>
      <x:c r="L8" s="2" t="str">
        <x:v>hembra</x:v>
      </x:c>
      <x:c r="M8" s="2" t="str">
        <x:v>simulado_didactico</x:v>
      </x:c>
    </x:row>
    <x:row r="9" ht="19" customHeight="1">
      <x:c r="A9" s="2" t="str">
        <x:v>SIM-E2-BB-L0-R02</x:v>
      </x:c>
      <x:c r="B9" s="2" t="n">
        <x:v>1</x:v>
      </x:c>
      <x:c r="C9" s="2" t="str">
        <x:v>BB</x:v>
      </x:c>
      <x:c r="D9" s="2" t="str">
        <x:v>Brevicoryne brassicae</x:v>
      </x:c>
      <x:c r="E9" s="2" t="str">
        <x:v>L0</x:v>
      </x:c>
      <x:c r="F9" s="2" t="n">
        <x:v>1</x:v>
      </x:c>
      <x:c r="G9" s="2" t="n">
        <x:v>2</x:v>
      </x:c>
      <x:c r="H9" s="2" t="n">
        <x:v>2</x:v>
      </x:c>
      <x:c r="I9" s="2" t="n">
        <x:v>8</x:v>
      </x:c>
      <x:c r="J9" s="14" t="n">
        <x:v>46174</x:v>
      </x:c>
      <x:c r="K9" s="2" t="n">
        <x:v>1</x:v>
      </x:c>
      <x:c r="L9" s="2" t="str">
        <x:v>hembra</x:v>
      </x:c>
      <x:c r="M9" s="2" t="str">
        <x:v>simulado_didactico</x:v>
      </x:c>
    </x:row>
    <x:row r="10" ht="19" customHeight="1">
      <x:c r="A10" s="2" t="str">
        <x:v>SIM-E2-BB-L8-R01</x:v>
      </x:c>
      <x:c r="B10" s="2" t="n">
        <x:v>1</x:v>
      </x:c>
      <x:c r="C10" s="2" t="str">
        <x:v>BB</x:v>
      </x:c>
      <x:c r="D10" s="2" t="str">
        <x:v>Brevicoryne brassicae</x:v>
      </x:c>
      <x:c r="E10" s="2" t="str">
        <x:v>L8</x:v>
      </x:c>
      <x:c r="F10" s="2" t="n">
        <x:v>0</x:v>
      </x:c>
      <x:c r="G10" s="2" t="n">
        <x:v>1</x:v>
      </x:c>
      <x:c r="H10" s="2" t="n">
        <x:v>1</x:v>
      </x:c>
      <x:c r="I10" s="2" t="n">
        <x:v>1</x:v>
      </x:c>
      <x:c r="J10" s="14" t="n">
        <x:v>46174</x:v>
      </x:c>
      <x:c r="K10" s="2" t="n">
        <x:v>1</x:v>
      </x:c>
      <x:c r="L10" s="2" t="str">
        <x:v>hembra</x:v>
      </x:c>
      <x:c r="M10" s="2" t="str">
        <x:v>simulado_didactico</x:v>
      </x:c>
    </x:row>
    <x:row r="11" ht="19" customHeight="1">
      <x:c r="A11" s="2" t="str">
        <x:v>SIM-E2-BB-L8-R02</x:v>
      </x:c>
      <x:c r="B11" s="2" t="n">
        <x:v>1</x:v>
      </x:c>
      <x:c r="C11" s="2" t="str">
        <x:v>BB</x:v>
      </x:c>
      <x:c r="D11" s="2" t="str">
        <x:v>Brevicoryne brassicae</x:v>
      </x:c>
      <x:c r="E11" s="2" t="str">
        <x:v>L8</x:v>
      </x:c>
      <x:c r="F11" s="2" t="n">
        <x:v>0</x:v>
      </x:c>
      <x:c r="G11" s="2" t="n">
        <x:v>2</x:v>
      </x:c>
      <x:c r="H11" s="2" t="n">
        <x:v>2</x:v>
      </x:c>
      <x:c r="I11" s="2" t="n">
        <x:v>7</x:v>
      </x:c>
      <x:c r="J11" s="14" t="n">
        <x:v>46174</x:v>
      </x:c>
      <x:c r="K11" s="2" t="n">
        <x:v>1</x:v>
      </x:c>
      <x:c r="L11" s="2" t="str">
        <x:v>hembra</x:v>
      </x:c>
      <x:c r="M11" s="2" t="str">
        <x:v>simulado_didactico</x:v>
      </x:c>
    </x:row>
    <x:row r="12" ht="19" customHeight="1">
      <x:c r="A12" s="2" t="str">
        <x:v>SIM-E2-BB-L7-R01</x:v>
      </x:c>
      <x:c r="B12" s="2" t="n">
        <x:v>1</x:v>
      </x:c>
      <x:c r="C12" s="2" t="str">
        <x:v>BB</x:v>
      </x:c>
      <x:c r="D12" s="2" t="str">
        <x:v>Brevicoryne brassicae</x:v>
      </x:c>
      <x:c r="E12" s="2" t="str">
        <x:v>L7</x:v>
      </x:c>
      <x:c r="F12" s="2" t="n">
        <x:v>0</x:v>
      </x:c>
      <x:c r="G12" s="2" t="n">
        <x:v>1</x:v>
      </x:c>
      <x:c r="H12" s="2" t="n">
        <x:v>1</x:v>
      </x:c>
      <x:c r="I12" s="2" t="n">
        <x:v>6</x:v>
      </x:c>
      <x:c r="J12" s="14" t="n">
        <x:v>46174</x:v>
      </x:c>
      <x:c r="K12" s="2" t="n">
        <x:v>1</x:v>
      </x:c>
      <x:c r="L12" s="2" t="str">
        <x:v>hembra</x:v>
      </x:c>
      <x:c r="M12" s="2" t="str">
        <x:v>simulado_didactico</x:v>
      </x:c>
    </x:row>
    <x:row r="13" ht="19" customHeight="1">
      <x:c r="A13" s="2" t="str">
        <x:v>SIM-E2-BB-L7-R02</x:v>
      </x:c>
      <x:c r="B13" s="2" t="n">
        <x:v>1</x:v>
      </x:c>
      <x:c r="C13" s="2" t="str">
        <x:v>BB</x:v>
      </x:c>
      <x:c r="D13" s="2" t="str">
        <x:v>Brevicoryne brassicae</x:v>
      </x:c>
      <x:c r="E13" s="2" t="str">
        <x:v>L7</x:v>
      </x:c>
      <x:c r="F13" s="2" t="n">
        <x:v>0</x:v>
      </x:c>
      <x:c r="G13" s="2" t="n">
        <x:v>2</x:v>
      </x:c>
      <x:c r="H13" s="2" t="n">
        <x:v>2</x:v>
      </x:c>
      <x:c r="I13" s="2" t="n">
        <x:v>2</x:v>
      </x:c>
      <x:c r="J13" s="14" t="n">
        <x:v>46174</x:v>
      </x:c>
      <x:c r="K13" s="2" t="n">
        <x:v>1</x:v>
      </x:c>
      <x:c r="L13" s="2" t="str">
        <x:v>hembra</x:v>
      </x:c>
      <x:c r="M13" s="2" t="str">
        <x:v>simulado_didactico</x:v>
      </x:c>
    </x:row>
    <x:row r="14" ht="19" customHeight="1">
      <x:c r="A14" s="2" t="str">
        <x:v>SIM-E2-MP-L0-R03</x:v>
      </x:c>
      <x:c r="B14" s="2" t="n">
        <x:v>2</x:v>
      </x:c>
      <x:c r="C14" s="2" t="str">
        <x:v>MP</x:v>
      </x:c>
      <x:c r="D14" s="2" t="str">
        <x:v>Myzus persicae</x:v>
      </x:c>
      <x:c r="E14" s="2" t="str">
        <x:v>L0</x:v>
      </x:c>
      <x:c r="F14" s="2" t="n">
        <x:v>1</x:v>
      </x:c>
      <x:c r="G14" s="2" t="n">
        <x:v>3</x:v>
      </x:c>
      <x:c r="H14" s="2" t="n">
        <x:v>1</x:v>
      </x:c>
      <x:c r="I14" s="2" t="n">
        <x:v>12</x:v>
      </x:c>
      <x:c r="J14" s="14" t="n">
        <x:v>46181</x:v>
      </x:c>
      <x:c r="K14" s="2" t="n">
        <x:v>1</x:v>
      </x:c>
      <x:c r="L14" s="2" t="str">
        <x:v>hembra</x:v>
      </x:c>
      <x:c r="M14" s="2" t="str">
        <x:v>simulado_didactico</x:v>
      </x:c>
    </x:row>
    <x:row r="15" ht="19" customHeight="1">
      <x:c r="A15" s="2" t="str">
        <x:v>SIM-E2-MP-L0-R04</x:v>
      </x:c>
      <x:c r="B15" s="2" t="n">
        <x:v>2</x:v>
      </x:c>
      <x:c r="C15" s="2" t="str">
        <x:v>MP</x:v>
      </x:c>
      <x:c r="D15" s="2" t="str">
        <x:v>Myzus persicae</x:v>
      </x:c>
      <x:c r="E15" s="2" t="str">
        <x:v>L0</x:v>
      </x:c>
      <x:c r="F15" s="2" t="n">
        <x:v>1</x:v>
      </x:c>
      <x:c r="G15" s="2" t="n">
        <x:v>4</x:v>
      </x:c>
      <x:c r="H15" s="2" t="n">
        <x:v>2</x:v>
      </x:c>
      <x:c r="I15" s="2" t="n">
        <x:v>11</x:v>
      </x:c>
      <x:c r="J15" s="14" t="n">
        <x:v>46181</x:v>
      </x:c>
      <x:c r="K15" s="2" t="n">
        <x:v>1</x:v>
      </x:c>
      <x:c r="L15" s="2" t="str">
        <x:v>hembra</x:v>
      </x:c>
      <x:c r="M15" s="2" t="str">
        <x:v>simulado_didactico</x:v>
      </x:c>
    </x:row>
    <x:row r="16" ht="19" customHeight="1">
      <x:c r="A16" s="2" t="str">
        <x:v>SIM-E2-MP-L8-R03</x:v>
      </x:c>
      <x:c r="B16" s="2" t="n">
        <x:v>2</x:v>
      </x:c>
      <x:c r="C16" s="2" t="str">
        <x:v>MP</x:v>
      </x:c>
      <x:c r="D16" s="2" t="str">
        <x:v>Myzus persicae</x:v>
      </x:c>
      <x:c r="E16" s="2" t="str">
        <x:v>L8</x:v>
      </x:c>
      <x:c r="F16" s="2" t="n">
        <x:v>0</x:v>
      </x:c>
      <x:c r="G16" s="2" t="n">
        <x:v>3</x:v>
      </x:c>
      <x:c r="H16" s="2" t="n">
        <x:v>1</x:v>
      </x:c>
      <x:c r="I16" s="2" t="n">
        <x:v>6</x:v>
      </x:c>
      <x:c r="J16" s="14" t="n">
        <x:v>46181</x:v>
      </x:c>
      <x:c r="K16" s="2" t="n">
        <x:v>1</x:v>
      </x:c>
      <x:c r="L16" s="2" t="str">
        <x:v>hembra</x:v>
      </x:c>
      <x:c r="M16" s="2" t="str">
        <x:v>simulado_didactico</x:v>
      </x:c>
    </x:row>
    <x:row r="17" ht="19" customHeight="1">
      <x:c r="A17" s="2" t="str">
        <x:v>SIM-E2-MP-L8-R04</x:v>
      </x:c>
      <x:c r="B17" s="2" t="n">
        <x:v>2</x:v>
      </x:c>
      <x:c r="C17" s="2" t="str">
        <x:v>MP</x:v>
      </x:c>
      <x:c r="D17" s="2" t="str">
        <x:v>Myzus persicae</x:v>
      </x:c>
      <x:c r="E17" s="2" t="str">
        <x:v>L8</x:v>
      </x:c>
      <x:c r="F17" s="2" t="n">
        <x:v>0</x:v>
      </x:c>
      <x:c r="G17" s="2" t="n">
        <x:v>4</x:v>
      </x:c>
      <x:c r="H17" s="2" t="n">
        <x:v>2</x:v>
      </x:c>
      <x:c r="I17" s="2" t="n">
        <x:v>7</x:v>
      </x:c>
      <x:c r="J17" s="14" t="n">
        <x:v>46181</x:v>
      </x:c>
      <x:c r="K17" s="2" t="n">
        <x:v>1</x:v>
      </x:c>
      <x:c r="L17" s="2" t="str">
        <x:v>hembra</x:v>
      </x:c>
      <x:c r="M17" s="2" t="str">
        <x:v>simulado_didactico</x:v>
      </x:c>
    </x:row>
    <x:row r="18" ht="19" customHeight="1">
      <x:c r="A18" s="2" t="str">
        <x:v>SIM-E2-MP-L7-R03</x:v>
      </x:c>
      <x:c r="B18" s="2" t="n">
        <x:v>2</x:v>
      </x:c>
      <x:c r="C18" s="2" t="str">
        <x:v>MP</x:v>
      </x:c>
      <x:c r="D18" s="2" t="str">
        <x:v>Myzus persicae</x:v>
      </x:c>
      <x:c r="E18" s="2" t="str">
        <x:v>L7</x:v>
      </x:c>
      <x:c r="F18" s="2" t="n">
        <x:v>0</x:v>
      </x:c>
      <x:c r="G18" s="2" t="n">
        <x:v>3</x:v>
      </x:c>
      <x:c r="H18" s="2" t="n">
        <x:v>1</x:v>
      </x:c>
      <x:c r="I18" s="2" t="n">
        <x:v>5</x:v>
      </x:c>
      <x:c r="J18" s="14" t="n">
        <x:v>46181</x:v>
      </x:c>
      <x:c r="K18" s="2" t="n">
        <x:v>1</x:v>
      </x:c>
      <x:c r="L18" s="2" t="str">
        <x:v>hembra</x:v>
      </x:c>
      <x:c r="M18" s="2" t="str">
        <x:v>simulado_didactico</x:v>
      </x:c>
    </x:row>
    <x:row r="19" ht="19" customHeight="1">
      <x:c r="A19" s="2" t="str">
        <x:v>SIM-E2-MP-L7-R04</x:v>
      </x:c>
      <x:c r="B19" s="2" t="n">
        <x:v>2</x:v>
      </x:c>
      <x:c r="C19" s="2" t="str">
        <x:v>MP</x:v>
      </x:c>
      <x:c r="D19" s="2" t="str">
        <x:v>Myzus persicae</x:v>
      </x:c>
      <x:c r="E19" s="2" t="str">
        <x:v>L7</x:v>
      </x:c>
      <x:c r="F19" s="2" t="n">
        <x:v>0</x:v>
      </x:c>
      <x:c r="G19" s="2" t="n">
        <x:v>4</x:v>
      </x:c>
      <x:c r="H19" s="2" t="n">
        <x:v>2</x:v>
      </x:c>
      <x:c r="I19" s="2" t="n">
        <x:v>8</x:v>
      </x:c>
      <x:c r="J19" s="14" t="n">
        <x:v>46181</x:v>
      </x:c>
      <x:c r="K19" s="2" t="n">
        <x:v>1</x:v>
      </x:c>
      <x:c r="L19" s="2" t="str">
        <x:v>hembra</x:v>
      </x:c>
      <x:c r="M19" s="2" t="str">
        <x:v>simulado_didactico</x:v>
      </x:c>
    </x:row>
    <x:row r="20" ht="19" customHeight="1">
      <x:c r="A20" s="2" t="str">
        <x:v>SIM-E2-BB-L0-R03</x:v>
      </x:c>
      <x:c r="B20" s="2" t="n">
        <x:v>2</x:v>
      </x:c>
      <x:c r="C20" s="2" t="str">
        <x:v>BB</x:v>
      </x:c>
      <x:c r="D20" s="2" t="str">
        <x:v>Brevicoryne brassicae</x:v>
      </x:c>
      <x:c r="E20" s="2" t="str">
        <x:v>L0</x:v>
      </x:c>
      <x:c r="F20" s="2" t="n">
        <x:v>1</x:v>
      </x:c>
      <x:c r="G20" s="2" t="n">
        <x:v>3</x:v>
      </x:c>
      <x:c r="H20" s="2" t="n">
        <x:v>1</x:v>
      </x:c>
      <x:c r="I20" s="2" t="n">
        <x:v>3</x:v>
      </x:c>
      <x:c r="J20" s="14" t="n">
        <x:v>46181</x:v>
      </x:c>
      <x:c r="K20" s="2" t="n">
        <x:v>1</x:v>
      </x:c>
      <x:c r="L20" s="2" t="str">
        <x:v>hembra</x:v>
      </x:c>
      <x:c r="M20" s="2" t="str">
        <x:v>simulado_didactico</x:v>
      </x:c>
    </x:row>
    <x:row r="21" ht="19" customHeight="1">
      <x:c r="A21" s="2" t="str">
        <x:v>SIM-E2-BB-L0-R04</x:v>
      </x:c>
      <x:c r="B21" s="2" t="n">
        <x:v>2</x:v>
      </x:c>
      <x:c r="C21" s="2" t="str">
        <x:v>BB</x:v>
      </x:c>
      <x:c r="D21" s="2" t="str">
        <x:v>Brevicoryne brassicae</x:v>
      </x:c>
      <x:c r="E21" s="2" t="str">
        <x:v>L0</x:v>
      </x:c>
      <x:c r="F21" s="2" t="n">
        <x:v>1</x:v>
      </x:c>
      <x:c r="G21" s="2" t="n">
        <x:v>4</x:v>
      </x:c>
      <x:c r="H21" s="2" t="n">
        <x:v>2</x:v>
      </x:c>
      <x:c r="I21" s="2" t="n">
        <x:v>2</x:v>
      </x:c>
      <x:c r="J21" s="14" t="n">
        <x:v>46181</x:v>
      </x:c>
      <x:c r="K21" s="2" t="n">
        <x:v>1</x:v>
      </x:c>
      <x:c r="L21" s="2" t="str">
        <x:v>hembra</x:v>
      </x:c>
      <x:c r="M21" s="2" t="str">
        <x:v>simulado_didactico</x:v>
      </x:c>
    </x:row>
    <x:row r="22" ht="19" customHeight="1">
      <x:c r="A22" s="2" t="str">
        <x:v>SIM-E2-BB-L8-R03</x:v>
      </x:c>
      <x:c r="B22" s="2" t="n">
        <x:v>2</x:v>
      </x:c>
      <x:c r="C22" s="2" t="str">
        <x:v>BB</x:v>
      </x:c>
      <x:c r="D22" s="2" t="str">
        <x:v>Brevicoryne brassicae</x:v>
      </x:c>
      <x:c r="E22" s="2" t="str">
        <x:v>L8</x:v>
      </x:c>
      <x:c r="F22" s="2" t="n">
        <x:v>0</x:v>
      </x:c>
      <x:c r="G22" s="2" t="n">
        <x:v>3</x:v>
      </x:c>
      <x:c r="H22" s="2" t="n">
        <x:v>1</x:v>
      </x:c>
      <x:c r="I22" s="2" t="n">
        <x:v>9</x:v>
      </x:c>
      <x:c r="J22" s="14" t="n">
        <x:v>46181</x:v>
      </x:c>
      <x:c r="K22" s="2" t="n">
        <x:v>1</x:v>
      </x:c>
      <x:c r="L22" s="2" t="str">
        <x:v>hembra</x:v>
      </x:c>
      <x:c r="M22" s="2" t="str">
        <x:v>simulado_didactico</x:v>
      </x:c>
    </x:row>
    <x:row r="23" ht="19" customHeight="1">
      <x:c r="A23" s="2" t="str">
        <x:v>SIM-E2-BB-L8-R04</x:v>
      </x:c>
      <x:c r="B23" s="2" t="n">
        <x:v>2</x:v>
      </x:c>
      <x:c r="C23" s="2" t="str">
        <x:v>BB</x:v>
      </x:c>
      <x:c r="D23" s="2" t="str">
        <x:v>Brevicoryne brassicae</x:v>
      </x:c>
      <x:c r="E23" s="2" t="str">
        <x:v>L8</x:v>
      </x:c>
      <x:c r="F23" s="2" t="n">
        <x:v>0</x:v>
      </x:c>
      <x:c r="G23" s="2" t="n">
        <x:v>4</x:v>
      </x:c>
      <x:c r="H23" s="2" t="n">
        <x:v>2</x:v>
      </x:c>
      <x:c r="I23" s="2" t="n">
        <x:v>4</x:v>
      </x:c>
      <x:c r="J23" s="14" t="n">
        <x:v>46181</x:v>
      </x:c>
      <x:c r="K23" s="2" t="n">
        <x:v>1</x:v>
      </x:c>
      <x:c r="L23" s="2" t="str">
        <x:v>hembra</x:v>
      </x:c>
      <x:c r="M23" s="2" t="str">
        <x:v>simulado_didactico</x:v>
      </x:c>
    </x:row>
    <x:row r="24" ht="19" customHeight="1">
      <x:c r="A24" s="2" t="str">
        <x:v>SIM-E2-BB-L7-R03</x:v>
      </x:c>
      <x:c r="B24" s="2" t="n">
        <x:v>2</x:v>
      </x:c>
      <x:c r="C24" s="2" t="str">
        <x:v>BB</x:v>
      </x:c>
      <x:c r="D24" s="2" t="str">
        <x:v>Brevicoryne brassicae</x:v>
      </x:c>
      <x:c r="E24" s="2" t="str">
        <x:v>L7</x:v>
      </x:c>
      <x:c r="F24" s="2" t="n">
        <x:v>0</x:v>
      </x:c>
      <x:c r="G24" s="2" t="n">
        <x:v>3</x:v>
      </x:c>
      <x:c r="H24" s="2" t="n">
        <x:v>1</x:v>
      </x:c>
      <x:c r="I24" s="2" t="n">
        <x:v>1</x:v>
      </x:c>
      <x:c r="J24" s="14" t="n">
        <x:v>46181</x:v>
      </x:c>
      <x:c r="K24" s="2" t="n">
        <x:v>1</x:v>
      </x:c>
      <x:c r="L24" s="2" t="str">
        <x:v>hembra</x:v>
      </x:c>
      <x:c r="M24" s="2" t="str">
        <x:v>simulado_didactico</x:v>
      </x:c>
    </x:row>
    <x:row r="25" ht="19" customHeight="1">
      <x:c r="A25" s="2" t="str">
        <x:v>SIM-E2-BB-L7-R04</x:v>
      </x:c>
      <x:c r="B25" s="2" t="n">
        <x:v>2</x:v>
      </x:c>
      <x:c r="C25" s="2" t="str">
        <x:v>BB</x:v>
      </x:c>
      <x:c r="D25" s="2" t="str">
        <x:v>Brevicoryne brassicae</x:v>
      </x:c>
      <x:c r="E25" s="2" t="str">
        <x:v>L7</x:v>
      </x:c>
      <x:c r="F25" s="2" t="n">
        <x:v>0</x:v>
      </x:c>
      <x:c r="G25" s="2" t="n">
        <x:v>4</x:v>
      </x:c>
      <x:c r="H25" s="2" t="n">
        <x:v>2</x:v>
      </x:c>
      <x:c r="I25" s="2" t="n">
        <x:v>10</x:v>
      </x:c>
      <x:c r="J25" s="14" t="n">
        <x:v>46181</x:v>
      </x:c>
      <x:c r="K25" s="2" t="n">
        <x:v>1</x:v>
      </x:c>
      <x:c r="L25" s="2" t="str">
        <x:v>hembra</x:v>
      </x:c>
      <x:c r="M25" s="2" t="str">
        <x:v>simulado_didactico</x:v>
      </x:c>
    </x:row>
    <x:row r="26" ht="19" customHeight="1">
      <x:c r="A26" s="2" t="str">
        <x:v>SIM-E2-MP-L0-R05</x:v>
      </x:c>
      <x:c r="B26" s="2" t="n">
        <x:v>3</x:v>
      </x:c>
      <x:c r="C26" s="2" t="str">
        <x:v>MP</x:v>
      </x:c>
      <x:c r="D26" s="2" t="str">
        <x:v>Myzus persicae</x:v>
      </x:c>
      <x:c r="E26" s="2" t="str">
        <x:v>L0</x:v>
      </x:c>
      <x:c r="F26" s="2" t="n">
        <x:v>1</x:v>
      </x:c>
      <x:c r="G26" s="2" t="n">
        <x:v>5</x:v>
      </x:c>
      <x:c r="H26" s="2" t="n">
        <x:v>1</x:v>
      </x:c>
      <x:c r="I26" s="2" t="n">
        <x:v>11</x:v>
      </x:c>
      <x:c r="J26" s="14" t="n">
        <x:v>46188</x:v>
      </x:c>
      <x:c r="K26" s="2" t="n">
        <x:v>1</x:v>
      </x:c>
      <x:c r="L26" s="2" t="str">
        <x:v>hembra</x:v>
      </x:c>
      <x:c r="M26" s="2" t="str">
        <x:v>simulado_didactico</x:v>
      </x:c>
    </x:row>
    <x:row r="27" ht="19" customHeight="1">
      <x:c r="A27" s="2" t="str">
        <x:v>SIM-E2-MP-L0-R06</x:v>
      </x:c>
      <x:c r="B27" s="2" t="n">
        <x:v>3</x:v>
      </x:c>
      <x:c r="C27" s="2" t="str">
        <x:v>MP</x:v>
      </x:c>
      <x:c r="D27" s="2" t="str">
        <x:v>Myzus persicae</x:v>
      </x:c>
      <x:c r="E27" s="2" t="str">
        <x:v>L0</x:v>
      </x:c>
      <x:c r="F27" s="2" t="n">
        <x:v>1</x:v>
      </x:c>
      <x:c r="G27" s="2" t="n">
        <x:v>6</x:v>
      </x:c>
      <x:c r="H27" s="2" t="n">
        <x:v>2</x:v>
      </x:c>
      <x:c r="I27" s="2" t="n">
        <x:v>3</x:v>
      </x:c>
      <x:c r="J27" s="14" t="n">
        <x:v>46188</x:v>
      </x:c>
      <x:c r="K27" s="2" t="n">
        <x:v>1</x:v>
      </x:c>
      <x:c r="L27" s="2" t="str">
        <x:v>hembra</x:v>
      </x:c>
      <x:c r="M27" s="2" t="str">
        <x:v>simulado_didactico</x:v>
      </x:c>
    </x:row>
    <x:row r="28" ht="19" customHeight="1">
      <x:c r="A28" s="2" t="str">
        <x:v>SIM-E2-MP-L8-R05</x:v>
      </x:c>
      <x:c r="B28" s="2" t="n">
        <x:v>3</x:v>
      </x:c>
      <x:c r="C28" s="2" t="str">
        <x:v>MP</x:v>
      </x:c>
      <x:c r="D28" s="2" t="str">
        <x:v>Myzus persicae</x:v>
      </x:c>
      <x:c r="E28" s="2" t="str">
        <x:v>L8</x:v>
      </x:c>
      <x:c r="F28" s="2" t="n">
        <x:v>0</x:v>
      </x:c>
      <x:c r="G28" s="2" t="n">
        <x:v>5</x:v>
      </x:c>
      <x:c r="H28" s="2" t="n">
        <x:v>1</x:v>
      </x:c>
      <x:c r="I28" s="2" t="n">
        <x:v>2</x:v>
      </x:c>
      <x:c r="J28" s="14" t="n">
        <x:v>46188</x:v>
      </x:c>
      <x:c r="K28" s="2" t="n">
        <x:v>1</x:v>
      </x:c>
      <x:c r="L28" s="2" t="str">
        <x:v>hembra</x:v>
      </x:c>
      <x:c r="M28" s="2" t="str">
        <x:v>simulado_didactico</x:v>
      </x:c>
    </x:row>
    <x:row r="29" ht="19" customHeight="1">
      <x:c r="A29" s="2" t="str">
        <x:v>SIM-E2-MP-L8-R06</x:v>
      </x:c>
      <x:c r="B29" s="2" t="n">
        <x:v>3</x:v>
      </x:c>
      <x:c r="C29" s="2" t="str">
        <x:v>MP</x:v>
      </x:c>
      <x:c r="D29" s="2" t="str">
        <x:v>Myzus persicae</x:v>
      </x:c>
      <x:c r="E29" s="2" t="str">
        <x:v>L8</x:v>
      </x:c>
      <x:c r="F29" s="2" t="n">
        <x:v>0</x:v>
      </x:c>
      <x:c r="G29" s="2" t="n">
        <x:v>6</x:v>
      </x:c>
      <x:c r="H29" s="2" t="n">
        <x:v>2</x:v>
      </x:c>
      <x:c r="I29" s="2" t="n">
        <x:v>4</x:v>
      </x:c>
      <x:c r="J29" s="14" t="n">
        <x:v>46188</x:v>
      </x:c>
      <x:c r="K29" s="2" t="n">
        <x:v>1</x:v>
      </x:c>
      <x:c r="L29" s="2" t="str">
        <x:v>hembra</x:v>
      </x:c>
      <x:c r="M29" s="2" t="str">
        <x:v>simulado_didactico</x:v>
      </x:c>
    </x:row>
    <x:row r="30" ht="19" customHeight="1">
      <x:c r="A30" s="2" t="str">
        <x:v>SIM-E2-MP-L7-R05</x:v>
      </x:c>
      <x:c r="B30" s="2" t="n">
        <x:v>3</x:v>
      </x:c>
      <x:c r="C30" s="2" t="str">
        <x:v>MP</x:v>
      </x:c>
      <x:c r="D30" s="2" t="str">
        <x:v>Myzus persicae</x:v>
      </x:c>
      <x:c r="E30" s="2" t="str">
        <x:v>L7</x:v>
      </x:c>
      <x:c r="F30" s="2" t="n">
        <x:v>0</x:v>
      </x:c>
      <x:c r="G30" s="2" t="n">
        <x:v>5</x:v>
      </x:c>
      <x:c r="H30" s="2" t="n">
        <x:v>1</x:v>
      </x:c>
      <x:c r="I30" s="2" t="n">
        <x:v>6</x:v>
      </x:c>
      <x:c r="J30" s="14" t="n">
        <x:v>46188</x:v>
      </x:c>
      <x:c r="K30" s="2" t="n">
        <x:v>1</x:v>
      </x:c>
      <x:c r="L30" s="2" t="str">
        <x:v>hembra</x:v>
      </x:c>
      <x:c r="M30" s="2" t="str">
        <x:v>simulado_didactico</x:v>
      </x:c>
    </x:row>
    <x:row r="31" ht="19" customHeight="1">
      <x:c r="A31" s="2" t="str">
        <x:v>SIM-E2-MP-L7-R06</x:v>
      </x:c>
      <x:c r="B31" s="2" t="n">
        <x:v>3</x:v>
      </x:c>
      <x:c r="C31" s="2" t="str">
        <x:v>MP</x:v>
      </x:c>
      <x:c r="D31" s="2" t="str">
        <x:v>Myzus persicae</x:v>
      </x:c>
      <x:c r="E31" s="2" t="str">
        <x:v>L7</x:v>
      </x:c>
      <x:c r="F31" s="2" t="n">
        <x:v>0</x:v>
      </x:c>
      <x:c r="G31" s="2" t="n">
        <x:v>6</x:v>
      </x:c>
      <x:c r="H31" s="2" t="n">
        <x:v>2</x:v>
      </x:c>
      <x:c r="I31" s="2" t="n">
        <x:v>7</x:v>
      </x:c>
      <x:c r="J31" s="14" t="n">
        <x:v>46188</x:v>
      </x:c>
      <x:c r="K31" s="2" t="n">
        <x:v>1</x:v>
      </x:c>
      <x:c r="L31" s="2" t="str">
        <x:v>hembra</x:v>
      </x:c>
      <x:c r="M31" s="2" t="str">
        <x:v>simulado_didactico</x:v>
      </x:c>
    </x:row>
    <x:row r="32" ht="19" customHeight="1">
      <x:c r="A32" s="2" t="str">
        <x:v>SIM-E2-BB-L0-R05</x:v>
      </x:c>
      <x:c r="B32" s="2" t="n">
        <x:v>3</x:v>
      </x:c>
      <x:c r="C32" s="2" t="str">
        <x:v>BB</x:v>
      </x:c>
      <x:c r="D32" s="2" t="str">
        <x:v>Brevicoryne brassicae</x:v>
      </x:c>
      <x:c r="E32" s="2" t="str">
        <x:v>L0</x:v>
      </x:c>
      <x:c r="F32" s="2" t="n">
        <x:v>1</x:v>
      </x:c>
      <x:c r="G32" s="2" t="n">
        <x:v>5</x:v>
      </x:c>
      <x:c r="H32" s="2" t="n">
        <x:v>1</x:v>
      </x:c>
      <x:c r="I32" s="2" t="n">
        <x:v>12</x:v>
      </x:c>
      <x:c r="J32" s="14" t="n">
        <x:v>46188</x:v>
      </x:c>
      <x:c r="K32" s="2" t="n">
        <x:v>1</x:v>
      </x:c>
      <x:c r="L32" s="2" t="str">
        <x:v>hembra</x:v>
      </x:c>
      <x:c r="M32" s="2" t="str">
        <x:v>simulado_didactico</x:v>
      </x:c>
    </x:row>
    <x:row r="33" ht="19" customHeight="1">
      <x:c r="A33" s="2" t="str">
        <x:v>SIM-E2-BB-L0-R06</x:v>
      </x:c>
      <x:c r="B33" s="2" t="n">
        <x:v>3</x:v>
      </x:c>
      <x:c r="C33" s="2" t="str">
        <x:v>BB</x:v>
      </x:c>
      <x:c r="D33" s="2" t="str">
        <x:v>Brevicoryne brassicae</x:v>
      </x:c>
      <x:c r="E33" s="2" t="str">
        <x:v>L0</x:v>
      </x:c>
      <x:c r="F33" s="2" t="n">
        <x:v>1</x:v>
      </x:c>
      <x:c r="G33" s="2" t="n">
        <x:v>6</x:v>
      </x:c>
      <x:c r="H33" s="2" t="n">
        <x:v>2</x:v>
      </x:c>
      <x:c r="I33" s="2" t="n">
        <x:v>10</x:v>
      </x:c>
      <x:c r="J33" s="14" t="n">
        <x:v>46188</x:v>
      </x:c>
      <x:c r="K33" s="2" t="n">
        <x:v>1</x:v>
      </x:c>
      <x:c r="L33" s="2" t="str">
        <x:v>hembra</x:v>
      </x:c>
      <x:c r="M33" s="2" t="str">
        <x:v>simulado_didactico</x:v>
      </x:c>
    </x:row>
    <x:row r="34" ht="19" customHeight="1">
      <x:c r="A34" s="2" t="str">
        <x:v>SIM-E2-BB-L8-R05</x:v>
      </x:c>
      <x:c r="B34" s="2" t="n">
        <x:v>3</x:v>
      </x:c>
      <x:c r="C34" s="2" t="str">
        <x:v>BB</x:v>
      </x:c>
      <x:c r="D34" s="2" t="str">
        <x:v>Brevicoryne brassicae</x:v>
      </x:c>
      <x:c r="E34" s="2" t="str">
        <x:v>L8</x:v>
      </x:c>
      <x:c r="F34" s="2" t="n">
        <x:v>0</x:v>
      </x:c>
      <x:c r="G34" s="2" t="n">
        <x:v>5</x:v>
      </x:c>
      <x:c r="H34" s="2" t="n">
        <x:v>1</x:v>
      </x:c>
      <x:c r="I34" s="2" t="n">
        <x:v>9</x:v>
      </x:c>
      <x:c r="J34" s="14" t="n">
        <x:v>46188</x:v>
      </x:c>
      <x:c r="K34" s="2" t="n">
        <x:v>1</x:v>
      </x:c>
      <x:c r="L34" s="2" t="str">
        <x:v>hembra</x:v>
      </x:c>
      <x:c r="M34" s="2" t="str">
        <x:v>simulado_didactico</x:v>
      </x:c>
    </x:row>
    <x:row r="35" ht="19" customHeight="1">
      <x:c r="A35" s="2" t="str">
        <x:v>SIM-E2-BB-L8-R06</x:v>
      </x:c>
      <x:c r="B35" s="2" t="n">
        <x:v>3</x:v>
      </x:c>
      <x:c r="C35" s="2" t="str">
        <x:v>BB</x:v>
      </x:c>
      <x:c r="D35" s="2" t="str">
        <x:v>Brevicoryne brassicae</x:v>
      </x:c>
      <x:c r="E35" s="2" t="str">
        <x:v>L8</x:v>
      </x:c>
      <x:c r="F35" s="2" t="n">
        <x:v>0</x:v>
      </x:c>
      <x:c r="G35" s="2" t="n">
        <x:v>6</x:v>
      </x:c>
      <x:c r="H35" s="2" t="n">
        <x:v>2</x:v>
      </x:c>
      <x:c r="I35" s="2" t="n">
        <x:v>5</x:v>
      </x:c>
      <x:c r="J35" s="14" t="n">
        <x:v>46188</x:v>
      </x:c>
      <x:c r="K35" s="2" t="n">
        <x:v>1</x:v>
      </x:c>
      <x:c r="L35" s="2" t="str">
        <x:v>hembra</x:v>
      </x:c>
      <x:c r="M35" s="2" t="str">
        <x:v>simulado_didactico</x:v>
      </x:c>
    </x:row>
    <x:row r="36" ht="19" customHeight="1">
      <x:c r="A36" s="2" t="str">
        <x:v>SIM-E2-BB-L7-R05</x:v>
      </x:c>
      <x:c r="B36" s="2" t="n">
        <x:v>3</x:v>
      </x:c>
      <x:c r="C36" s="2" t="str">
        <x:v>BB</x:v>
      </x:c>
      <x:c r="D36" s="2" t="str">
        <x:v>Brevicoryne brassicae</x:v>
      </x:c>
      <x:c r="E36" s="2" t="str">
        <x:v>L7</x:v>
      </x:c>
      <x:c r="F36" s="2" t="n">
        <x:v>0</x:v>
      </x:c>
      <x:c r="G36" s="2" t="n">
        <x:v>5</x:v>
      </x:c>
      <x:c r="H36" s="2" t="n">
        <x:v>1</x:v>
      </x:c>
      <x:c r="I36" s="2" t="n">
        <x:v>1</x:v>
      </x:c>
      <x:c r="J36" s="14" t="n">
        <x:v>46188</x:v>
      </x:c>
      <x:c r="K36" s="2" t="n">
        <x:v>1</x:v>
      </x:c>
      <x:c r="L36" s="2" t="str">
        <x:v>hembra</x:v>
      </x:c>
      <x:c r="M36" s="2" t="str">
        <x:v>simulado_didactico</x:v>
      </x:c>
    </x:row>
    <x:row r="37" ht="19" customHeight="1">
      <x:c r="A37" s="2" t="str">
        <x:v>SIM-E2-BB-L7-R06</x:v>
      </x:c>
      <x:c r="B37" s="2" t="n">
        <x:v>3</x:v>
      </x:c>
      <x:c r="C37" s="2" t="str">
        <x:v>BB</x:v>
      </x:c>
      <x:c r="D37" s="2" t="str">
        <x:v>Brevicoryne brassicae</x:v>
      </x:c>
      <x:c r="E37" s="2" t="str">
        <x:v>L7</x:v>
      </x:c>
      <x:c r="F37" s="2" t="n">
        <x:v>0</x:v>
      </x:c>
      <x:c r="G37" s="2" t="n">
        <x:v>6</x:v>
      </x:c>
      <x:c r="H37" s="2" t="n">
        <x:v>2</x:v>
      </x:c>
      <x:c r="I37" s="2" t="n">
        <x:v>8</x:v>
      </x:c>
      <x:c r="J37" s="14" t="n">
        <x:v>46188</x:v>
      </x:c>
      <x:c r="K37" s="2" t="n">
        <x:v>1</x:v>
      </x:c>
      <x:c r="L37" s="2" t="str">
        <x:v>hembra</x:v>
      </x:c>
      <x:c r="M37" s="2" t="str">
        <x:v>simulado_didactico</x:v>
      </x:c>
    </x:row>
    <x:row r="38" ht="19" customHeight="1">
      <x:c r="A38" s="2" t="str">
        <x:v>SIM-E2-MP-L0-R07</x:v>
      </x:c>
      <x:c r="B38" s="2" t="n">
        <x:v>4</x:v>
      </x:c>
      <x:c r="C38" s="2" t="str">
        <x:v>MP</x:v>
      </x:c>
      <x:c r="D38" s="2" t="str">
        <x:v>Myzus persicae</x:v>
      </x:c>
      <x:c r="E38" s="2" t="str">
        <x:v>L0</x:v>
      </x:c>
      <x:c r="F38" s="2" t="n">
        <x:v>1</x:v>
      </x:c>
      <x:c r="G38" s="2" t="n">
        <x:v>7</x:v>
      </x:c>
      <x:c r="H38" s="2" t="n">
        <x:v>1</x:v>
      </x:c>
      <x:c r="I38" s="2" t="n">
        <x:v>4</x:v>
      </x:c>
      <x:c r="J38" s="14" t="n">
        <x:v>46195</x:v>
      </x:c>
      <x:c r="K38" s="2" t="n">
        <x:v>1</x:v>
      </x:c>
      <x:c r="L38" s="2" t="str">
        <x:v>hembra</x:v>
      </x:c>
      <x:c r="M38" s="2" t="str">
        <x:v>simulado_didactico</x:v>
      </x:c>
    </x:row>
    <x:row r="39" ht="19" customHeight="1">
      <x:c r="A39" s="2" t="str">
        <x:v>SIM-E2-MP-L0-R08</x:v>
      </x:c>
      <x:c r="B39" s="2" t="n">
        <x:v>4</x:v>
      </x:c>
      <x:c r="C39" s="2" t="str">
        <x:v>MP</x:v>
      </x:c>
      <x:c r="D39" s="2" t="str">
        <x:v>Myzus persicae</x:v>
      </x:c>
      <x:c r="E39" s="2" t="str">
        <x:v>L0</x:v>
      </x:c>
      <x:c r="F39" s="2" t="n">
        <x:v>1</x:v>
      </x:c>
      <x:c r="G39" s="2" t="n">
        <x:v>8</x:v>
      </x:c>
      <x:c r="H39" s="2" t="n">
        <x:v>2</x:v>
      </x:c>
      <x:c r="I39" s="2" t="n">
        <x:v>5</x:v>
      </x:c>
      <x:c r="J39" s="14" t="n">
        <x:v>46195</x:v>
      </x:c>
      <x:c r="K39" s="2" t="n">
        <x:v>1</x:v>
      </x:c>
      <x:c r="L39" s="2" t="str">
        <x:v>hembra</x:v>
      </x:c>
      <x:c r="M39" s="2" t="str">
        <x:v>simulado_didactico</x:v>
      </x:c>
    </x:row>
    <x:row r="40" ht="19" customHeight="1">
      <x:c r="A40" s="2" t="str">
        <x:v>SIM-E2-MP-L8-R07</x:v>
      </x:c>
      <x:c r="B40" s="2" t="n">
        <x:v>4</x:v>
      </x:c>
      <x:c r="C40" s="2" t="str">
        <x:v>MP</x:v>
      </x:c>
      <x:c r="D40" s="2" t="str">
        <x:v>Myzus persicae</x:v>
      </x:c>
      <x:c r="E40" s="2" t="str">
        <x:v>L8</x:v>
      </x:c>
      <x:c r="F40" s="2" t="n">
        <x:v>0</x:v>
      </x:c>
      <x:c r="G40" s="2" t="n">
        <x:v>7</x:v>
      </x:c>
      <x:c r="H40" s="2" t="n">
        <x:v>1</x:v>
      </x:c>
      <x:c r="I40" s="2" t="n">
        <x:v>11</x:v>
      </x:c>
      <x:c r="J40" s="14" t="n">
        <x:v>46195</x:v>
      </x:c>
      <x:c r="K40" s="2" t="n">
        <x:v>1</x:v>
      </x:c>
      <x:c r="L40" s="2" t="str">
        <x:v>hembra</x:v>
      </x:c>
      <x:c r="M40" s="2" t="str">
        <x:v>simulado_didactico</x:v>
      </x:c>
    </x:row>
    <x:row r="41" ht="19" customHeight="1">
      <x:c r="A41" s="2" t="str">
        <x:v>SIM-E2-MP-L8-R08</x:v>
      </x:c>
      <x:c r="B41" s="2" t="n">
        <x:v>4</x:v>
      </x:c>
      <x:c r="C41" s="2" t="str">
        <x:v>MP</x:v>
      </x:c>
      <x:c r="D41" s="2" t="str">
        <x:v>Myzus persicae</x:v>
      </x:c>
      <x:c r="E41" s="2" t="str">
        <x:v>L8</x:v>
      </x:c>
      <x:c r="F41" s="2" t="n">
        <x:v>0</x:v>
      </x:c>
      <x:c r="G41" s="2" t="n">
        <x:v>8</x:v>
      </x:c>
      <x:c r="H41" s="2" t="n">
        <x:v>2</x:v>
      </x:c>
      <x:c r="I41" s="2" t="n">
        <x:v>9</x:v>
      </x:c>
      <x:c r="J41" s="14" t="n">
        <x:v>46195</x:v>
      </x:c>
      <x:c r="K41" s="2" t="n">
        <x:v>1</x:v>
      </x:c>
      <x:c r="L41" s="2" t="str">
        <x:v>hembra</x:v>
      </x:c>
      <x:c r="M41" s="2" t="str">
        <x:v>simulado_didactico</x:v>
      </x:c>
    </x:row>
    <x:row r="42" ht="19" customHeight="1">
      <x:c r="A42" s="2" t="str">
        <x:v>SIM-E2-MP-L7-R07</x:v>
      </x:c>
      <x:c r="B42" s="2" t="n">
        <x:v>4</x:v>
      </x:c>
      <x:c r="C42" s="2" t="str">
        <x:v>MP</x:v>
      </x:c>
      <x:c r="D42" s="2" t="str">
        <x:v>Myzus persicae</x:v>
      </x:c>
      <x:c r="E42" s="2" t="str">
        <x:v>L7</x:v>
      </x:c>
      <x:c r="F42" s="2" t="n">
        <x:v>0</x:v>
      </x:c>
      <x:c r="G42" s="2" t="n">
        <x:v>7</x:v>
      </x:c>
      <x:c r="H42" s="2" t="n">
        <x:v>1</x:v>
      </x:c>
      <x:c r="I42" s="2" t="n">
        <x:v>1</x:v>
      </x:c>
      <x:c r="J42" s="14" t="n">
        <x:v>46195</x:v>
      </x:c>
      <x:c r="K42" s="2" t="n">
        <x:v>1</x:v>
      </x:c>
      <x:c r="L42" s="2" t="str">
        <x:v>hembra</x:v>
      </x:c>
      <x:c r="M42" s="2" t="str">
        <x:v>simulado_didactico</x:v>
      </x:c>
    </x:row>
    <x:row r="43" ht="19" customHeight="1">
      <x:c r="A43" s="2" t="str">
        <x:v>SIM-E2-MP-L7-R08</x:v>
      </x:c>
      <x:c r="B43" s="2" t="n">
        <x:v>4</x:v>
      </x:c>
      <x:c r="C43" s="2" t="str">
        <x:v>MP</x:v>
      </x:c>
      <x:c r="D43" s="2" t="str">
        <x:v>Myzus persicae</x:v>
      </x:c>
      <x:c r="E43" s="2" t="str">
        <x:v>L7</x:v>
      </x:c>
      <x:c r="F43" s="2" t="n">
        <x:v>0</x:v>
      </x:c>
      <x:c r="G43" s="2" t="n">
        <x:v>8</x:v>
      </x:c>
      <x:c r="H43" s="2" t="n">
        <x:v>2</x:v>
      </x:c>
      <x:c r="I43" s="2" t="n">
        <x:v>2</x:v>
      </x:c>
      <x:c r="J43" s="14" t="n">
        <x:v>46195</x:v>
      </x:c>
      <x:c r="K43" s="2" t="n">
        <x:v>1</x:v>
      </x:c>
      <x:c r="L43" s="2" t="str">
        <x:v>hembra</x:v>
      </x:c>
      <x:c r="M43" s="2" t="str">
        <x:v>simulado_didactico</x:v>
      </x:c>
    </x:row>
    <x:row r="44" ht="19" customHeight="1">
      <x:c r="A44" s="2" t="str">
        <x:v>SIM-E2-BB-L0-R07</x:v>
      </x:c>
      <x:c r="B44" s="2" t="n">
        <x:v>4</x:v>
      </x:c>
      <x:c r="C44" s="2" t="str">
        <x:v>BB</x:v>
      </x:c>
      <x:c r="D44" s="2" t="str">
        <x:v>Brevicoryne brassicae</x:v>
      </x:c>
      <x:c r="E44" s="2" t="str">
        <x:v>L0</x:v>
      </x:c>
      <x:c r="F44" s="2" t="n">
        <x:v>1</x:v>
      </x:c>
      <x:c r="G44" s="2" t="n">
        <x:v>7</x:v>
      </x:c>
      <x:c r="H44" s="2" t="n">
        <x:v>1</x:v>
      </x:c>
      <x:c r="I44" s="2" t="n">
        <x:v>7</x:v>
      </x:c>
      <x:c r="J44" s="14" t="n">
        <x:v>46195</x:v>
      </x:c>
      <x:c r="K44" s="2" t="n">
        <x:v>1</x:v>
      </x:c>
      <x:c r="L44" s="2" t="str">
        <x:v>hembra</x:v>
      </x:c>
      <x:c r="M44" s="2" t="str">
        <x:v>simulado_didactico</x:v>
      </x:c>
    </x:row>
    <x:row r="45" ht="19" customHeight="1">
      <x:c r="A45" s="2" t="str">
        <x:v>SIM-E2-BB-L0-R08</x:v>
      </x:c>
      <x:c r="B45" s="2" t="n">
        <x:v>4</x:v>
      </x:c>
      <x:c r="C45" s="2" t="str">
        <x:v>BB</x:v>
      </x:c>
      <x:c r="D45" s="2" t="str">
        <x:v>Brevicoryne brassicae</x:v>
      </x:c>
      <x:c r="E45" s="2" t="str">
        <x:v>L0</x:v>
      </x:c>
      <x:c r="F45" s="2" t="n">
        <x:v>1</x:v>
      </x:c>
      <x:c r="G45" s="2" t="n">
        <x:v>8</x:v>
      </x:c>
      <x:c r="H45" s="2" t="n">
        <x:v>2</x:v>
      </x:c>
      <x:c r="I45" s="2" t="n">
        <x:v>12</x:v>
      </x:c>
      <x:c r="J45" s="14" t="n">
        <x:v>46195</x:v>
      </x:c>
      <x:c r="K45" s="2" t="n">
        <x:v>1</x:v>
      </x:c>
      <x:c r="L45" s="2" t="str">
        <x:v>hembra</x:v>
      </x:c>
      <x:c r="M45" s="2" t="str">
        <x:v>simulado_didactico</x:v>
      </x:c>
    </x:row>
    <x:row r="46" ht="19" customHeight="1">
      <x:c r="A46" s="2" t="str">
        <x:v>SIM-E2-BB-L8-R07</x:v>
      </x:c>
      <x:c r="B46" s="2" t="n">
        <x:v>4</x:v>
      </x:c>
      <x:c r="C46" s="2" t="str">
        <x:v>BB</x:v>
      </x:c>
      <x:c r="D46" s="2" t="str">
        <x:v>Brevicoryne brassicae</x:v>
      </x:c>
      <x:c r="E46" s="2" t="str">
        <x:v>L8</x:v>
      </x:c>
      <x:c r="F46" s="2" t="n">
        <x:v>0</x:v>
      </x:c>
      <x:c r="G46" s="2" t="n">
        <x:v>7</x:v>
      </x:c>
      <x:c r="H46" s="2" t="n">
        <x:v>1</x:v>
      </x:c>
      <x:c r="I46" s="2" t="n">
        <x:v>3</x:v>
      </x:c>
      <x:c r="J46" s="14" t="n">
        <x:v>46195</x:v>
      </x:c>
      <x:c r="K46" s="2" t="n">
        <x:v>1</x:v>
      </x:c>
      <x:c r="L46" s="2" t="str">
        <x:v>hembra</x:v>
      </x:c>
      <x:c r="M46" s="2" t="str">
        <x:v>simulado_didactico</x:v>
      </x:c>
    </x:row>
    <x:row r="47" ht="19" customHeight="1">
      <x:c r="A47" s="2" t="str">
        <x:v>SIM-E2-BB-L8-R08</x:v>
      </x:c>
      <x:c r="B47" s="2" t="n">
        <x:v>4</x:v>
      </x:c>
      <x:c r="C47" s="2" t="str">
        <x:v>BB</x:v>
      </x:c>
      <x:c r="D47" s="2" t="str">
        <x:v>Brevicoryne brassicae</x:v>
      </x:c>
      <x:c r="E47" s="2" t="str">
        <x:v>L8</x:v>
      </x:c>
      <x:c r="F47" s="2" t="n">
        <x:v>0</x:v>
      </x:c>
      <x:c r="G47" s="2" t="n">
        <x:v>8</x:v>
      </x:c>
      <x:c r="H47" s="2" t="n">
        <x:v>2</x:v>
      </x:c>
      <x:c r="I47" s="2" t="n">
        <x:v>10</x:v>
      </x:c>
      <x:c r="J47" s="14" t="n">
        <x:v>46195</x:v>
      </x:c>
      <x:c r="K47" s="2" t="n">
        <x:v>1</x:v>
      </x:c>
      <x:c r="L47" s="2" t="str">
        <x:v>hembra</x:v>
      </x:c>
      <x:c r="M47" s="2" t="str">
        <x:v>simulado_didactico</x:v>
      </x:c>
    </x:row>
    <x:row r="48" ht="19" customHeight="1">
      <x:c r="A48" s="2" t="str">
        <x:v>SIM-E2-BB-L7-R07</x:v>
      </x:c>
      <x:c r="B48" s="2" t="n">
        <x:v>4</x:v>
      </x:c>
      <x:c r="C48" s="2" t="str">
        <x:v>BB</x:v>
      </x:c>
      <x:c r="D48" s="2" t="str">
        <x:v>Brevicoryne brassicae</x:v>
      </x:c>
      <x:c r="E48" s="2" t="str">
        <x:v>L7</x:v>
      </x:c>
      <x:c r="F48" s="2" t="n">
        <x:v>0</x:v>
      </x:c>
      <x:c r="G48" s="2" t="n">
        <x:v>7</x:v>
      </x:c>
      <x:c r="H48" s="2" t="n">
        <x:v>1</x:v>
      </x:c>
      <x:c r="I48" s="2" t="n">
        <x:v>8</x:v>
      </x:c>
      <x:c r="J48" s="14" t="n">
        <x:v>46195</x:v>
      </x:c>
      <x:c r="K48" s="2" t="n">
        <x:v>1</x:v>
      </x:c>
      <x:c r="L48" s="2" t="str">
        <x:v>hembra</x:v>
      </x:c>
      <x:c r="M48" s="2" t="str">
        <x:v>simulado_didactico</x:v>
      </x:c>
    </x:row>
    <x:row r="49" ht="19" customHeight="1">
      <x:c r="A49" s="2" t="str">
        <x:v>SIM-E2-BB-L7-R08</x:v>
      </x:c>
      <x:c r="B49" s="2" t="n">
        <x:v>4</x:v>
      </x:c>
      <x:c r="C49" s="2" t="str">
        <x:v>BB</x:v>
      </x:c>
      <x:c r="D49" s="2" t="str">
        <x:v>Brevicoryne brassicae</x:v>
      </x:c>
      <x:c r="E49" s="2" t="str">
        <x:v>L7</x:v>
      </x:c>
      <x:c r="F49" s="2" t="n">
        <x:v>0</x:v>
      </x:c>
      <x:c r="G49" s="2" t="n">
        <x:v>8</x:v>
      </x:c>
      <x:c r="H49" s="2" t="n">
        <x:v>2</x:v>
      </x:c>
      <x:c r="I49" s="2" t="n">
        <x:v>6</x:v>
      </x:c>
      <x:c r="J49" s="14" t="n">
        <x:v>46195</x:v>
      </x:c>
      <x:c r="K49" s="2" t="n">
        <x:v>1</x:v>
      </x:c>
      <x:c r="L49" s="2" t="str">
        <x:v>hembra</x:v>
      </x:c>
      <x:c r="M49" s="2" t="str">
        <x:v>simulado_didactico</x:v>
      </x:c>
    </x:row>
    <x:row r="50" ht="19" customHeight="1">
      <x:c r="A50" s="2" t="str">
        <x:v>SIM-E2-MP-L0-R09</x:v>
      </x:c>
      <x:c r="B50" s="2" t="n">
        <x:v>5</x:v>
      </x:c>
      <x:c r="C50" s="2" t="str">
        <x:v>MP</x:v>
      </x:c>
      <x:c r="D50" s="2" t="str">
        <x:v>Myzus persicae</x:v>
      </x:c>
      <x:c r="E50" s="2" t="str">
        <x:v>L0</x:v>
      </x:c>
      <x:c r="F50" s="2" t="n">
        <x:v>1</x:v>
      </x:c>
      <x:c r="G50" s="2" t="n">
        <x:v>9</x:v>
      </x:c>
      <x:c r="H50" s="2" t="n">
        <x:v>1</x:v>
      </x:c>
      <x:c r="I50" s="2" t="n">
        <x:v>12</x:v>
      </x:c>
      <x:c r="J50" s="14" t="n">
        <x:v>46202</x:v>
      </x:c>
      <x:c r="K50" s="2" t="n">
        <x:v>1</x:v>
      </x:c>
      <x:c r="L50" s="2" t="str">
        <x:v>hembra</x:v>
      </x:c>
      <x:c r="M50" s="2" t="str">
        <x:v>simulado_didactico</x:v>
      </x:c>
    </x:row>
    <x:row r="51" ht="19" customHeight="1">
      <x:c r="A51" s="2" t="str">
        <x:v>SIM-E2-MP-L0-R10</x:v>
      </x:c>
      <x:c r="B51" s="2" t="n">
        <x:v>5</x:v>
      </x:c>
      <x:c r="C51" s="2" t="str">
        <x:v>MP</x:v>
      </x:c>
      <x:c r="D51" s="2" t="str">
        <x:v>Myzus persicae</x:v>
      </x:c>
      <x:c r="E51" s="2" t="str">
        <x:v>L0</x:v>
      </x:c>
      <x:c r="F51" s="2" t="n">
        <x:v>1</x:v>
      </x:c>
      <x:c r="G51" s="2" t="n">
        <x:v>10</x:v>
      </x:c>
      <x:c r="H51" s="2" t="n">
        <x:v>2</x:v>
      </x:c>
      <x:c r="I51" s="2" t="n">
        <x:v>9</x:v>
      </x:c>
      <x:c r="J51" s="14" t="n">
        <x:v>46202</x:v>
      </x:c>
      <x:c r="K51" s="2" t="n">
        <x:v>1</x:v>
      </x:c>
      <x:c r="L51" s="2" t="str">
        <x:v>hembra</x:v>
      </x:c>
      <x:c r="M51" s="2" t="str">
        <x:v>simulado_didactico</x:v>
      </x:c>
    </x:row>
    <x:row r="52" ht="19" customHeight="1">
      <x:c r="A52" s="2" t="str">
        <x:v>SIM-E2-MP-L8-R09</x:v>
      </x:c>
      <x:c r="B52" s="2" t="n">
        <x:v>5</x:v>
      </x:c>
      <x:c r="C52" s="2" t="str">
        <x:v>MP</x:v>
      </x:c>
      <x:c r="D52" s="2" t="str">
        <x:v>Myzus persicae</x:v>
      </x:c>
      <x:c r="E52" s="2" t="str">
        <x:v>L8</x:v>
      </x:c>
      <x:c r="F52" s="2" t="n">
        <x:v>0</x:v>
      </x:c>
      <x:c r="G52" s="2" t="n">
        <x:v>9</x:v>
      </x:c>
      <x:c r="H52" s="2" t="n">
        <x:v>1</x:v>
      </x:c>
      <x:c r="I52" s="2" t="n">
        <x:v>6</x:v>
      </x:c>
      <x:c r="J52" s="14" t="n">
        <x:v>46202</x:v>
      </x:c>
      <x:c r="K52" s="2" t="n">
        <x:v>1</x:v>
      </x:c>
      <x:c r="L52" s="2" t="str">
        <x:v>hembra</x:v>
      </x:c>
      <x:c r="M52" s="2" t="str">
        <x:v>simulado_didactico</x:v>
      </x:c>
    </x:row>
    <x:row r="53" ht="19" customHeight="1">
      <x:c r="A53" s="2" t="str">
        <x:v>SIM-E2-MP-L8-R10</x:v>
      </x:c>
      <x:c r="B53" s="2" t="n">
        <x:v>5</x:v>
      </x:c>
      <x:c r="C53" s="2" t="str">
        <x:v>MP</x:v>
      </x:c>
      <x:c r="D53" s="2" t="str">
        <x:v>Myzus persicae</x:v>
      </x:c>
      <x:c r="E53" s="2" t="str">
        <x:v>L8</x:v>
      </x:c>
      <x:c r="F53" s="2" t="n">
        <x:v>0</x:v>
      </x:c>
      <x:c r="G53" s="2" t="n">
        <x:v>10</x:v>
      </x:c>
      <x:c r="H53" s="2" t="n">
        <x:v>2</x:v>
      </x:c>
      <x:c r="I53" s="2" t="n">
        <x:v>2</x:v>
      </x:c>
      <x:c r="J53" s="14" t="n">
        <x:v>46202</x:v>
      </x:c>
      <x:c r="K53" s="2" t="n">
        <x:v>1</x:v>
      </x:c>
      <x:c r="L53" s="2" t="str">
        <x:v>hembra</x:v>
      </x:c>
      <x:c r="M53" s="2" t="str">
        <x:v>simulado_didactico</x:v>
      </x:c>
    </x:row>
    <x:row r="54" ht="19" customHeight="1">
      <x:c r="A54" s="2" t="str">
        <x:v>SIM-E2-MP-L7-R09</x:v>
      </x:c>
      <x:c r="B54" s="2" t="n">
        <x:v>5</x:v>
      </x:c>
      <x:c r="C54" s="2" t="str">
        <x:v>MP</x:v>
      </x:c>
      <x:c r="D54" s="2" t="str">
        <x:v>Myzus persicae</x:v>
      </x:c>
      <x:c r="E54" s="2" t="str">
        <x:v>L7</x:v>
      </x:c>
      <x:c r="F54" s="2" t="n">
        <x:v>0</x:v>
      </x:c>
      <x:c r="G54" s="2" t="n">
        <x:v>9</x:v>
      </x:c>
      <x:c r="H54" s="2" t="n">
        <x:v>1</x:v>
      </x:c>
      <x:c r="I54" s="2" t="n">
        <x:v>5</x:v>
      </x:c>
      <x:c r="J54" s="14" t="n">
        <x:v>46202</x:v>
      </x:c>
      <x:c r="K54" s="2" t="n">
        <x:v>1</x:v>
      </x:c>
      <x:c r="L54" s="2" t="str">
        <x:v>hembra</x:v>
      </x:c>
      <x:c r="M54" s="2" t="str">
        <x:v>simulado_didactico</x:v>
      </x:c>
    </x:row>
    <x:row r="55" ht="19" customHeight="1">
      <x:c r="A55" s="2" t="str">
        <x:v>SIM-E2-MP-L7-R10</x:v>
      </x:c>
      <x:c r="B55" s="2" t="n">
        <x:v>5</x:v>
      </x:c>
      <x:c r="C55" s="2" t="str">
        <x:v>MP</x:v>
      </x:c>
      <x:c r="D55" s="2" t="str">
        <x:v>Myzus persicae</x:v>
      </x:c>
      <x:c r="E55" s="2" t="str">
        <x:v>L7</x:v>
      </x:c>
      <x:c r="F55" s="2" t="n">
        <x:v>0</x:v>
      </x:c>
      <x:c r="G55" s="2" t="n">
        <x:v>10</x:v>
      </x:c>
      <x:c r="H55" s="2" t="n">
        <x:v>2</x:v>
      </x:c>
      <x:c r="I55" s="2" t="n">
        <x:v>7</x:v>
      </x:c>
      <x:c r="J55" s="14" t="n">
        <x:v>46202</x:v>
      </x:c>
      <x:c r="K55" s="2" t="n">
        <x:v>1</x:v>
      </x:c>
      <x:c r="L55" s="2" t="str">
        <x:v>hembra</x:v>
      </x:c>
      <x:c r="M55" s="2" t="str">
        <x:v>simulado_didactico</x:v>
      </x:c>
    </x:row>
    <x:row r="56" ht="19" customHeight="1">
      <x:c r="A56" s="2" t="str">
        <x:v>SIM-E2-BB-L0-R09</x:v>
      </x:c>
      <x:c r="B56" s="2" t="n">
        <x:v>5</x:v>
      </x:c>
      <x:c r="C56" s="2" t="str">
        <x:v>BB</x:v>
      </x:c>
      <x:c r="D56" s="2" t="str">
        <x:v>Brevicoryne brassicae</x:v>
      </x:c>
      <x:c r="E56" s="2" t="str">
        <x:v>L0</x:v>
      </x:c>
      <x:c r="F56" s="2" t="n">
        <x:v>1</x:v>
      </x:c>
      <x:c r="G56" s="2" t="n">
        <x:v>9</x:v>
      </x:c>
      <x:c r="H56" s="2" t="n">
        <x:v>1</x:v>
      </x:c>
      <x:c r="I56" s="2" t="n">
        <x:v>4</x:v>
      </x:c>
      <x:c r="J56" s="14" t="n">
        <x:v>46202</x:v>
      </x:c>
      <x:c r="K56" s="2" t="n">
        <x:v>1</x:v>
      </x:c>
      <x:c r="L56" s="2" t="str">
        <x:v>hembra</x:v>
      </x:c>
      <x:c r="M56" s="2" t="str">
        <x:v>simulado_didactico</x:v>
      </x:c>
    </x:row>
    <x:row r="57" ht="19" customHeight="1">
      <x:c r="A57" s="2" t="str">
        <x:v>SIM-E2-BB-L0-R10</x:v>
      </x:c>
      <x:c r="B57" s="2" t="n">
        <x:v>5</x:v>
      </x:c>
      <x:c r="C57" s="2" t="str">
        <x:v>BB</x:v>
      </x:c>
      <x:c r="D57" s="2" t="str">
        <x:v>Brevicoryne brassicae</x:v>
      </x:c>
      <x:c r="E57" s="2" t="str">
        <x:v>L0</x:v>
      </x:c>
      <x:c r="F57" s="2" t="n">
        <x:v>1</x:v>
      </x:c>
      <x:c r="G57" s="2" t="n">
        <x:v>10</x:v>
      </x:c>
      <x:c r="H57" s="2" t="n">
        <x:v>2</x:v>
      </x:c>
      <x:c r="I57" s="2" t="n">
        <x:v>10</x:v>
      </x:c>
      <x:c r="J57" s="14" t="n">
        <x:v>46202</x:v>
      </x:c>
      <x:c r="K57" s="2" t="n">
        <x:v>1</x:v>
      </x:c>
      <x:c r="L57" s="2" t="str">
        <x:v>hembra</x:v>
      </x:c>
      <x:c r="M57" s="2" t="str">
        <x:v>simulado_didactico</x:v>
      </x:c>
    </x:row>
    <x:row r="58" ht="19" customHeight="1">
      <x:c r="A58" s="2" t="str">
        <x:v>SIM-E2-BB-L8-R09</x:v>
      </x:c>
      <x:c r="B58" s="2" t="n">
        <x:v>5</x:v>
      </x:c>
      <x:c r="C58" s="2" t="str">
        <x:v>BB</x:v>
      </x:c>
      <x:c r="D58" s="2" t="str">
        <x:v>Brevicoryne brassicae</x:v>
      </x:c>
      <x:c r="E58" s="2" t="str">
        <x:v>L8</x:v>
      </x:c>
      <x:c r="F58" s="2" t="n">
        <x:v>0</x:v>
      </x:c>
      <x:c r="G58" s="2" t="n">
        <x:v>9</x:v>
      </x:c>
      <x:c r="H58" s="2" t="n">
        <x:v>1</x:v>
      </x:c>
      <x:c r="I58" s="2" t="n">
        <x:v>8</x:v>
      </x:c>
      <x:c r="J58" s="14" t="n">
        <x:v>46202</x:v>
      </x:c>
      <x:c r="K58" s="2" t="n">
        <x:v>1</x:v>
      </x:c>
      <x:c r="L58" s="2" t="str">
        <x:v>hembra</x:v>
      </x:c>
      <x:c r="M58" s="2" t="str">
        <x:v>simulado_didactico</x:v>
      </x:c>
    </x:row>
    <x:row r="59" ht="19" customHeight="1">
      <x:c r="A59" s="2" t="str">
        <x:v>SIM-E2-BB-L8-R10</x:v>
      </x:c>
      <x:c r="B59" s="2" t="n">
        <x:v>5</x:v>
      </x:c>
      <x:c r="C59" s="2" t="str">
        <x:v>BB</x:v>
      </x:c>
      <x:c r="D59" s="2" t="str">
        <x:v>Brevicoryne brassicae</x:v>
      </x:c>
      <x:c r="E59" s="2" t="str">
        <x:v>L8</x:v>
      </x:c>
      <x:c r="F59" s="2" t="n">
        <x:v>0</x:v>
      </x:c>
      <x:c r="G59" s="2" t="n">
        <x:v>10</x:v>
      </x:c>
      <x:c r="H59" s="2" t="n">
        <x:v>2</x:v>
      </x:c>
      <x:c r="I59" s="2" t="n">
        <x:v>1</x:v>
      </x:c>
      <x:c r="J59" s="14" t="n">
        <x:v>46202</x:v>
      </x:c>
      <x:c r="K59" s="2" t="n">
        <x:v>1</x:v>
      </x:c>
      <x:c r="L59" s="2" t="str">
        <x:v>hembra</x:v>
      </x:c>
      <x:c r="M59" s="2" t="str">
        <x:v>simulado_didactico</x:v>
      </x:c>
    </x:row>
    <x:row r="60" ht="19" customHeight="1">
      <x:c r="A60" s="2" t="str">
        <x:v>SIM-E2-BB-L7-R09</x:v>
      </x:c>
      <x:c r="B60" s="2" t="n">
        <x:v>5</x:v>
      </x:c>
      <x:c r="C60" s="2" t="str">
        <x:v>BB</x:v>
      </x:c>
      <x:c r="D60" s="2" t="str">
        <x:v>Brevicoryne brassicae</x:v>
      </x:c>
      <x:c r="E60" s="2" t="str">
        <x:v>L7</x:v>
      </x:c>
      <x:c r="F60" s="2" t="n">
        <x:v>0</x:v>
      </x:c>
      <x:c r="G60" s="2" t="n">
        <x:v>9</x:v>
      </x:c>
      <x:c r="H60" s="2" t="n">
        <x:v>1</x:v>
      </x:c>
      <x:c r="I60" s="2" t="n">
        <x:v>3</x:v>
      </x:c>
      <x:c r="J60" s="14" t="n">
        <x:v>46202</x:v>
      </x:c>
      <x:c r="K60" s="2" t="n">
        <x:v>1</x:v>
      </x:c>
      <x:c r="L60" s="2" t="str">
        <x:v>hembra</x:v>
      </x:c>
      <x:c r="M60" s="2" t="str">
        <x:v>simulado_didactico</x:v>
      </x:c>
    </x:row>
    <x:row r="61" ht="19" customHeight="1">
      <x:c r="A61" s="2" t="str">
        <x:v>SIM-E2-BB-L7-R10</x:v>
      </x:c>
      <x:c r="B61" s="2" t="n">
        <x:v>5</x:v>
      </x:c>
      <x:c r="C61" s="2" t="str">
        <x:v>BB</x:v>
      </x:c>
      <x:c r="D61" s="2" t="str">
        <x:v>Brevicoryne brassicae</x:v>
      </x:c>
      <x:c r="E61" s="2" t="str">
        <x:v>L7</x:v>
      </x:c>
      <x:c r="F61" s="2" t="n">
        <x:v>0</x:v>
      </x:c>
      <x:c r="G61" s="2" t="n">
        <x:v>10</x:v>
      </x:c>
      <x:c r="H61" s="2" t="n">
        <x:v>2</x:v>
      </x:c>
      <x:c r="I61" s="2" t="n">
        <x:v>11</x:v>
      </x:c>
      <x:c r="J61" s="14" t="n">
        <x:v>46202</x:v>
      </x:c>
      <x:c r="K61" s="2" t="n">
        <x:v>1</x:v>
      </x:c>
      <x:c r="L61" s="2" t="str">
        <x:v>hembra</x:v>
      </x:c>
      <x:c r="M61" s="2" t="str">
        <x:v>simulado_didactico</x:v>
      </x:c>
    </x:row>
  </x:sheetData>
  <x:conditionalFormatting sqref="E2:E61">
    <x:cfRule type="expression" dxfId="45" priority="1">
      <x:formula>E2="L0"</x:formula>
    </x:cfRule>
    <x:cfRule type="expression" dxfId="46" priority="2">
      <x:formula>E2="L1"</x:formula>
    </x:cfRule>
    <x:cfRule type="expression" dxfId="47" priority="3">
      <x:formula>E2="L2"</x:formula>
    </x:cfRule>
    <x:cfRule type="expression" dxfId="48" priority="4">
      <x:formula>E2="L3"</x:formula>
    </x:cfRule>
    <x:cfRule type="expression" dxfId="49" priority="5">
      <x:formula>E2="L5"</x:formula>
    </x:cfRule>
    <x:cfRule type="expression" dxfId="50" priority="6">
      <x:formula>E2="L6"</x:formula>
    </x:cfRule>
    <x:cfRule type="expression" dxfId="51" priority="7">
      <x:formula>E2="L7"</x:formula>
    </x:cfRule>
    <x:cfRule type="expression" dxfId="52" priority="8">
      <x:formula>E2="L8"</x:formula>
    </x:cfRule>
    <x:cfRule type="expression" dxfId="53" priority="9">
      <x:formula>E2="L9"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44476aa9cd4ec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26" hidden="0" customWidth="1"/>
    <x:col min="16" max="16" width="18" hidden="0" customWidth="1"/>
    <x:col min="17" max="17" width="24" hidden="0" customWidth="1"/>
  </x:cols>
  <x:sheetData>
    <x:row r="1" ht="43" customHeight="1">
      <x:c r="A1" s="7" t="str">
        <x:v>id_individuo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repeticion</x:v>
      </x:c>
      <x:c r="G1" s="7" t="str">
        <x:v>edad_dias</x:v>
      </x:c>
      <x:c r="H1" s="7" t="str">
        <x:v>fin_intervalo_dias</x:v>
      </x:c>
      <x:c r="I1" s="7" t="str">
        <x:v>fecha_inicio_intervalo</x:v>
      </x:c>
      <x:c r="J1" s="7" t="str">
        <x:v>estadio</x:v>
      </x:c>
      <x:c r="K1" s="7" t="str">
        <x:v>vivo_inicio</x:v>
      </x:c>
      <x:c r="L1" s="7" t="str">
        <x:v>ninfas_producidas</x:v>
      </x:c>
      <x:c r="M1" s="7" t="str">
        <x:v>fecundidad_acumulada</x:v>
      </x:c>
      <x:c r="N1" s="7" t="str">
        <x:v>evento_muerte</x:v>
      </x:c>
      <x:c r="O1" s="7" t="str">
        <x:v>tipo_fila</x:v>
      </x:c>
      <x:c r="P1" s="7" t="str">
        <x:v>censurado</x:v>
      </x:c>
      <x:c r="Q1" s="7" t="str">
        <x:v>origen_dato</x:v>
      </x:c>
    </x:row>
    <x:row r="2" ht="19" customHeight="1">
      <x:c r="A2" s="2" t="str">
        <x:v>SIM-E2-MP-L0-R01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v>0</x:v>
      </x:c>
      <x:c r="H2" s="2" t="n">
        <x:f>G2+Supuestos!$C$15</x:f>
        <x:v>1</x:v>
      </x:c>
      <x:c r="I2" s="14" t="n">
        <x:f>E2_plantas!J2+G2</x:f>
        <x:v>46174</x:v>
      </x:c>
      <x:c r="J2" s="2" t="str">
        <x:v>N1</x:v>
      </x:c>
      <x:c r="K2" s="2" t="n">
        <x:v>1</x:v>
      </x:c>
      <x:c r="L2" s="2" t="n">
        <x:v>0</x:v>
      </x:c>
      <x:c r="M2" s="2" t="n">
        <x:f>SUM(L$2:L2)</x:f>
        <x:v>0</x:v>
      </x:c>
      <x:c r="N2" s="2" t="n">
        <x:v>0</x:v>
      </x:c>
      <x:c r="O2" s="2" t="str">
        <x:v>seguimiento</x:v>
      </x:c>
      <x:c r="P2" s="2" t="n">
        <x:v>0</x:v>
      </x:c>
      <x:c r="Q2" s="2" t="str">
        <x:v>simulado_didactico</x:v>
      </x:c>
    </x:row>
    <x:row r="3" ht="19" customHeight="1">
      <x:c r="A3" s="2" t="str">
        <x:v>SIM-E2-MP-L0-R01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1</x:v>
      </x:c>
      <x:c r="G3" s="2" t="n">
        <x:v>1</x:v>
      </x:c>
      <x:c r="H3" s="2" t="n">
        <x:f>G3+Supuestos!$C$15</x:f>
        <x:v>2</x:v>
      </x:c>
      <x:c r="I3" s="14" t="n">
        <x:f>E2_plantas!J2+G3</x:f>
        <x:v>46175</x:v>
      </x:c>
      <x:c r="J3" s="2" t="str">
        <x:v>N1</x:v>
      </x:c>
      <x:c r="K3" s="2" t="n">
        <x:v>1</x:v>
      </x:c>
      <x:c r="L3" s="2" t="n">
        <x:v>0</x:v>
      </x:c>
      <x:c r="M3" s="2" t="n">
        <x:f>SUM(L$2:L3)</x:f>
        <x:v>0</x:v>
      </x:c>
      <x:c r="N3" s="2" t="n">
        <x:v>0</x:v>
      </x:c>
      <x:c r="O3" s="2" t="str">
        <x:v>seguimiento</x:v>
      </x:c>
      <x:c r="P3" s="2" t="n">
        <x:v>0</x:v>
      </x:c>
      <x:c r="Q3" s="2" t="str">
        <x:v>simulado_didactico</x:v>
      </x:c>
    </x:row>
    <x:row r="4" ht="19" customHeight="1">
      <x:c r="A4" s="2" t="str">
        <x:v>SIM-E2-MP-L0-R01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L0</x:v>
      </x:c>
      <x:c r="F4" s="2" t="n">
        <x:v>1</x:v>
      </x:c>
      <x:c r="G4" s="2" t="n">
        <x:v>2</x:v>
      </x:c>
      <x:c r="H4" s="2" t="n">
        <x:f>G4+Supuestos!$C$15</x:f>
        <x:v>3</x:v>
      </x:c>
      <x:c r="I4" s="14" t="n">
        <x:f>E2_plantas!J2+G4</x:f>
        <x:v>46176</x:v>
      </x:c>
      <x:c r="J4" s="2" t="str">
        <x:v>N2</x:v>
      </x:c>
      <x:c r="K4" s="2" t="n">
        <x:v>1</x:v>
      </x:c>
      <x:c r="L4" s="2" t="n">
        <x:v>0</x:v>
      </x:c>
      <x:c r="M4" s="2" t="n">
        <x:f>SUM(L$2:L4)</x:f>
        <x:v>0</x:v>
      </x:c>
      <x:c r="N4" s="2" t="n">
        <x:v>0</x:v>
      </x:c>
      <x:c r="O4" s="2" t="str">
        <x:v>seguimiento</x:v>
      </x:c>
      <x:c r="P4" s="2" t="n">
        <x:v>0</x:v>
      </x:c>
      <x:c r="Q4" s="2" t="str">
        <x:v>simulado_didactico</x:v>
      </x:c>
    </x:row>
    <x:row r="5" ht="19" customHeight="1">
      <x:c r="A5" s="2" t="str">
        <x:v>SIM-E2-MP-L0-R01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L0</x:v>
      </x:c>
      <x:c r="F5" s="2" t="n">
        <x:v>1</x:v>
      </x:c>
      <x:c r="G5" s="2" t="n">
        <x:v>3</x:v>
      </x:c>
      <x:c r="H5" s="2" t="n">
        <x:f>G5+Supuestos!$C$15</x:f>
        <x:v>4</x:v>
      </x:c>
      <x:c r="I5" s="14" t="n">
        <x:f>E2_plantas!J2+G5</x:f>
        <x:v>46177</x:v>
      </x:c>
      <x:c r="J5" s="2" t="str">
        <x:v>N3</x:v>
      </x:c>
      <x:c r="K5" s="2" t="n">
        <x:v>1</x:v>
      </x:c>
      <x:c r="L5" s="2" t="n">
        <x:v>0</x:v>
      </x:c>
      <x:c r="M5" s="2" t="n">
        <x:f>SUM(L$2:L5)</x:f>
        <x:v>0</x:v>
      </x:c>
      <x:c r="N5" s="2" t="n">
        <x:v>0</x:v>
      </x:c>
      <x:c r="O5" s="2" t="str">
        <x:v>seguimiento</x:v>
      </x:c>
      <x:c r="P5" s="2" t="n">
        <x:v>0</x:v>
      </x:c>
      <x:c r="Q5" s="2" t="str">
        <x:v>simulado_didactico</x:v>
      </x:c>
    </x:row>
    <x:row r="6" ht="19" customHeight="1">
      <x:c r="A6" s="2" t="str">
        <x:v>SIM-E2-MP-L0-R01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L0</x:v>
      </x:c>
      <x:c r="F6" s="2" t="n">
        <x:v>1</x:v>
      </x:c>
      <x:c r="G6" s="2" t="n">
        <x:v>4</x:v>
      </x:c>
      <x:c r="H6" s="2" t="n">
        <x:f>G6+Supuestos!$C$15</x:f>
        <x:v>5</x:v>
      </x:c>
      <x:c r="I6" s="14" t="n">
        <x:f>E2_plantas!J2+G6</x:f>
        <x:v>46178</x:v>
      </x:c>
      <x:c r="J6" s="2" t="str">
        <x:v>N3</x:v>
      </x:c>
      <x:c r="K6" s="2" t="n">
        <x:v>1</x:v>
      </x:c>
      <x:c r="L6" s="2" t="n">
        <x:v>0</x:v>
      </x:c>
      <x:c r="M6" s="2" t="n">
        <x:f>SUM(L$2:L6)</x:f>
        <x:v>0</x:v>
      </x:c>
      <x:c r="N6" s="2" t="n">
        <x:v>0</x:v>
      </x:c>
      <x:c r="O6" s="2" t="str">
        <x:v>seguimiento</x:v>
      </x:c>
      <x:c r="P6" s="2" t="n">
        <x:v>0</x:v>
      </x:c>
      <x:c r="Q6" s="2" t="str">
        <x:v>simulado_didactico</x:v>
      </x:c>
    </x:row>
    <x:row r="7" ht="19" customHeight="1">
      <x:c r="A7" s="2" t="str">
        <x:v>SIM-E2-MP-L0-R01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L0</x:v>
      </x:c>
      <x:c r="F7" s="2" t="n">
        <x:v>1</x:v>
      </x:c>
      <x:c r="G7" s="2" t="n">
        <x:v>5</x:v>
      </x:c>
      <x:c r="H7" s="2" t="n">
        <x:f>G7+Supuestos!$C$15</x:f>
        <x:v>6</x:v>
      </x:c>
      <x:c r="I7" s="14" t="n">
        <x:f>E2_plantas!J2+G7</x:f>
        <x:v>46179</x:v>
      </x:c>
      <x:c r="J7" s="2" t="str">
        <x:v>N4</x:v>
      </x:c>
      <x:c r="K7" s="2" t="n">
        <x:v>1</x:v>
      </x:c>
      <x:c r="L7" s="2" t="n">
        <x:v>0</x:v>
      </x:c>
      <x:c r="M7" s="2" t="n">
        <x:f>SUM(L$2:L7)</x:f>
        <x:v>0</x:v>
      </x:c>
      <x:c r="N7" s="2" t="n">
        <x:v>0</x:v>
      </x:c>
      <x:c r="O7" s="2" t="str">
        <x:v>seguimiento</x:v>
      </x:c>
      <x:c r="P7" s="2" t="n">
        <x:v>0</x:v>
      </x:c>
      <x:c r="Q7" s="2" t="str">
        <x:v>simulado_didactico</x:v>
      </x:c>
    </x:row>
    <x:row r="8" ht="19" customHeight="1">
      <x:c r="A8" s="2" t="str">
        <x:v>SIM-E2-MP-L0-R01</x:v>
      </x:c>
      <x:c r="B8" s="2" t="n">
        <x:v>1</x:v>
      </x:c>
      <x:c r="C8" s="2" t="str">
        <x:v>MP</x:v>
      </x:c>
      <x:c r="D8" s="2" t="str">
        <x:v>Myzus persicae</x:v>
      </x:c>
      <x:c r="E8" s="2" t="str">
        <x:v>L0</x:v>
      </x:c>
      <x:c r="F8" s="2" t="n">
        <x:v>1</x:v>
      </x:c>
      <x:c r="G8" s="2" t="n">
        <x:v>6</x:v>
      </x:c>
      <x:c r="H8" s="2" t="n">
        <x:f>G8+Supuestos!$C$15</x:f>
        <x:v>7</x:v>
      </x:c>
      <x:c r="I8" s="14" t="n">
        <x:f>E2_plantas!J2+G8</x:f>
        <x:v>46180</x:v>
      </x:c>
      <x:c r="J8" s="2" t="str">
        <x:v>N4</x:v>
      </x:c>
      <x:c r="K8" s="2" t="n">
        <x:v>1</x:v>
      </x:c>
      <x:c r="L8" s="2" t="n">
        <x:v>0</x:v>
      </x:c>
      <x:c r="M8" s="2" t="n">
        <x:f>SUM(L$2:L8)</x:f>
        <x:v>0</x:v>
      </x:c>
      <x:c r="N8" s="2" t="n">
        <x:v>0</x:v>
      </x:c>
      <x:c r="O8" s="2" t="str">
        <x:v>seguimiento</x:v>
      </x:c>
      <x:c r="P8" s="2" t="n">
        <x:v>0</x:v>
      </x:c>
      <x:c r="Q8" s="2" t="str">
        <x:v>simulado_didactico</x:v>
      </x:c>
    </x:row>
    <x:row r="9" ht="19" customHeight="1">
      <x:c r="A9" s="2" t="str">
        <x:v>SIM-E2-MP-L0-R01</x:v>
      </x:c>
      <x:c r="B9" s="2" t="n">
        <x:v>1</x:v>
      </x:c>
      <x:c r="C9" s="2" t="str">
        <x:v>MP</x:v>
      </x:c>
      <x:c r="D9" s="2" t="str">
        <x:v>Myzus persicae</x:v>
      </x:c>
      <x:c r="E9" s="2" t="str">
        <x:v>L0</x:v>
      </x:c>
      <x:c r="F9" s="2" t="n">
        <x:v>1</x:v>
      </x:c>
      <x:c r="G9" s="2" t="n">
        <x:v>7</x:v>
      </x:c>
      <x:c r="H9" s="2" t="n">
        <x:f>G9+Supuestos!$C$15</x:f>
        <x:v>8</x:v>
      </x:c>
      <x:c r="I9" s="14" t="n">
        <x:f>E2_plantas!J2+G9</x:f>
        <x:v>46181</x:v>
      </x:c>
      <x:c r="J9" s="2" t="str">
        <x:v>N4</x:v>
      </x:c>
      <x:c r="K9" s="2" t="n">
        <x:v>1</x:v>
      </x:c>
      <x:c r="L9" s="2" t="n">
        <x:v>0</x:v>
      </x:c>
      <x:c r="M9" s="2" t="n">
        <x:f>SUM(L$2:L9)</x:f>
        <x:v>0</x:v>
      </x:c>
      <x:c r="N9" s="2" t="n">
        <x:v>0</x:v>
      </x:c>
      <x:c r="O9" s="2" t="str">
        <x:v>seguimiento</x:v>
      </x:c>
      <x:c r="P9" s="2" t="n">
        <x:v>0</x:v>
      </x:c>
      <x:c r="Q9" s="2" t="str">
        <x:v>simulado_didactico</x:v>
      </x:c>
    </x:row>
    <x:row r="10" ht="19" customHeight="1">
      <x:c r="A10" s="2" t="str">
        <x:v>SIM-E2-MP-L0-R01</x:v>
      </x:c>
      <x:c r="B10" s="2" t="n">
        <x:v>1</x:v>
      </x:c>
      <x:c r="C10" s="2" t="str">
        <x:v>MP</x:v>
      </x:c>
      <x:c r="D10" s="2" t="str">
        <x:v>Myzus persicae</x:v>
      </x:c>
      <x:c r="E10" s="2" t="str">
        <x:v>L0</x:v>
      </x:c>
      <x:c r="F10" s="2" t="n">
        <x:v>1</x:v>
      </x:c>
      <x:c r="G10" s="2" t="n">
        <x:v>8</x:v>
      </x:c>
      <x:c r="H10" s="2" t="n">
        <x:f>G10+Supuestos!$C$15</x:f>
        <x:v>9</x:v>
      </x:c>
      <x:c r="I10" s="14" t="n">
        <x:f>E2_plantas!J2+G10</x:f>
        <x:v>46182</x:v>
      </x:c>
      <x:c r="J10" s="2" t="str">
        <x:v>adulta</x:v>
      </x:c>
      <x:c r="K10" s="2" t="n">
        <x:v>1</x:v>
      </x:c>
      <x:c r="L10" s="2" t="n">
        <x:v>0</x:v>
      </x:c>
      <x:c r="M10" s="2" t="n">
        <x:f>SUM(L$2:L10)</x:f>
        <x:v>0</x:v>
      </x:c>
      <x:c r="N10" s="2" t="n">
        <x:v>0</x:v>
      </x:c>
      <x:c r="O10" s="2" t="str">
        <x:v>seguimiento</x:v>
      </x:c>
      <x:c r="P10" s="2" t="n">
        <x:v>0</x:v>
      </x:c>
      <x:c r="Q10" s="2" t="str">
        <x:v>simulado_didactico</x:v>
      </x:c>
    </x:row>
    <x:row r="11" ht="19" customHeight="1">
      <x:c r="A11" s="2" t="str">
        <x:v>SIM-E2-MP-L0-R01</x:v>
      </x:c>
      <x:c r="B11" s="2" t="n">
        <x:v>1</x:v>
      </x:c>
      <x:c r="C11" s="2" t="str">
        <x:v>MP</x:v>
      </x:c>
      <x:c r="D11" s="2" t="str">
        <x:v>Myzus persicae</x:v>
      </x:c>
      <x:c r="E11" s="2" t="str">
        <x:v>L0</x:v>
      </x:c>
      <x:c r="F11" s="2" t="n">
        <x:v>1</x:v>
      </x:c>
      <x:c r="G11" s="2" t="n">
        <x:v>9</x:v>
      </x:c>
      <x:c r="H11" s="2" t="n">
        <x:f>G11+Supuestos!$C$15</x:f>
        <x:v>10</x:v>
      </x:c>
      <x:c r="I11" s="14" t="n">
        <x:f>E2_plantas!J2+G11</x:f>
        <x:v>46183</x:v>
      </x:c>
      <x:c r="J11" s="2" t="str">
        <x:v>adulta</x:v>
      </x:c>
      <x:c r="K11" s="2" t="n">
        <x:v>1</x:v>
      </x:c>
      <x:c r="L11" s="2" t="n">
        <x:v>3</x:v>
      </x:c>
      <x:c r="M11" s="2" t="n">
        <x:f>SUM(L$2:L11)</x:f>
        <x:v>3</x:v>
      </x:c>
      <x:c r="N11" s="2" t="n">
        <x:v>0</x:v>
      </x:c>
      <x:c r="O11" s="2" t="str">
        <x:v>seguimiento</x:v>
      </x:c>
      <x:c r="P11" s="2" t="n">
        <x:v>0</x:v>
      </x:c>
      <x:c r="Q11" s="2" t="str">
        <x:v>simulado_didactico</x:v>
      </x:c>
    </x:row>
    <x:row r="12" ht="19" customHeight="1">
      <x:c r="A12" s="2" t="str">
        <x:v>SIM-E2-MP-L0-R01</x:v>
      </x:c>
      <x:c r="B12" s="2" t="n">
        <x:v>1</x:v>
      </x:c>
      <x:c r="C12" s="2" t="str">
        <x:v>MP</x:v>
      </x:c>
      <x:c r="D12" s="2" t="str">
        <x:v>Myzus persicae</x:v>
      </x:c>
      <x:c r="E12" s="2" t="str">
        <x:v>L0</x:v>
      </x:c>
      <x:c r="F12" s="2" t="n">
        <x:v>1</x:v>
      </x:c>
      <x:c r="G12" s="2" t="n">
        <x:v>10</x:v>
      </x:c>
      <x:c r="H12" s="2" t="n">
        <x:f>G12+Supuestos!$C$15</x:f>
        <x:v>11</x:v>
      </x:c>
      <x:c r="I12" s="14" t="n">
        <x:f>E2_plantas!J2+G12</x:f>
        <x:v>46184</x:v>
      </x:c>
      <x:c r="J12" s="2" t="str">
        <x:v>adulta</x:v>
      </x:c>
      <x:c r="K12" s="2" t="n">
        <x:v>1</x:v>
      </x:c>
      <x:c r="L12" s="2" t="n">
        <x:v>2</x:v>
      </x:c>
      <x:c r="M12" s="2" t="n">
        <x:f>SUM(L$2:L12)</x:f>
        <x:v>5</x:v>
      </x:c>
      <x:c r="N12" s="2" t="n">
        <x:v>0</x:v>
      </x:c>
      <x:c r="O12" s="2" t="str">
        <x:v>seguimiento</x:v>
      </x:c>
      <x:c r="P12" s="2" t="n">
        <x:v>0</x:v>
      </x:c>
      <x:c r="Q12" s="2" t="str">
        <x:v>simulado_didactico</x:v>
      </x:c>
    </x:row>
    <x:row r="13" ht="19" customHeight="1">
      <x:c r="A13" s="2" t="str">
        <x:v>SIM-E2-MP-L0-R01</x:v>
      </x:c>
      <x:c r="B13" s="2" t="n">
        <x:v>1</x:v>
      </x:c>
      <x:c r="C13" s="2" t="str">
        <x:v>MP</x:v>
      </x:c>
      <x:c r="D13" s="2" t="str">
        <x:v>Myzus persicae</x:v>
      </x:c>
      <x:c r="E13" s="2" t="str">
        <x:v>L0</x:v>
      </x:c>
      <x:c r="F13" s="2" t="n">
        <x:v>1</x:v>
      </x:c>
      <x:c r="G13" s="2" t="n">
        <x:v>11</x:v>
      </x:c>
      <x:c r="H13" s="2" t="n">
        <x:f>G13+Supuestos!$C$15</x:f>
        <x:v>12</x:v>
      </x:c>
      <x:c r="I13" s="14" t="n">
        <x:f>E2_plantas!J2+G13</x:f>
        <x:v>46185</x:v>
      </x:c>
      <x:c r="J13" s="2" t="str">
        <x:v>adulta</x:v>
      </x:c>
      <x:c r="K13" s="2" t="n">
        <x:v>1</x:v>
      </x:c>
      <x:c r="L13" s="2" t="n">
        <x:v>2</x:v>
      </x:c>
      <x:c r="M13" s="2" t="n">
        <x:f>SUM(L$2:L13)</x:f>
        <x:v>7</x:v>
      </x:c>
      <x:c r="N13" s="2" t="n">
        <x:v>0</x:v>
      </x:c>
      <x:c r="O13" s="2" t="str">
        <x:v>seguimiento</x:v>
      </x:c>
      <x:c r="P13" s="2" t="n">
        <x:v>0</x:v>
      </x:c>
      <x:c r="Q13" s="2" t="str">
        <x:v>simulado_didactico</x:v>
      </x:c>
    </x:row>
    <x:row r="14" ht="19" customHeight="1">
      <x:c r="A14" s="2" t="str">
        <x:v>SIM-E2-MP-L0-R01</x:v>
      </x:c>
      <x:c r="B14" s="2" t="n">
        <x:v>1</x:v>
      </x:c>
      <x:c r="C14" s="2" t="str">
        <x:v>MP</x:v>
      </x:c>
      <x:c r="D14" s="2" t="str">
        <x:v>Myzus persicae</x:v>
      </x:c>
      <x:c r="E14" s="2" t="str">
        <x:v>L0</x:v>
      </x:c>
      <x:c r="F14" s="2" t="n">
        <x:v>1</x:v>
      </x:c>
      <x:c r="G14" s="2" t="n">
        <x:v>12</x:v>
      </x:c>
      <x:c r="H14" s="2" t="n">
        <x:f>G14+Supuestos!$C$15</x:f>
        <x:v>13</x:v>
      </x:c>
      <x:c r="I14" s="14" t="n">
        <x:f>E2_plantas!J2+G14</x:f>
        <x:v>46186</x:v>
      </x:c>
      <x:c r="J14" s="2" t="str">
        <x:v>adulta</x:v>
      </x:c>
      <x:c r="K14" s="2" t="n">
        <x:v>1</x:v>
      </x:c>
      <x:c r="L14" s="2" t="n">
        <x:v>1</x:v>
      </x:c>
      <x:c r="M14" s="2" t="n">
        <x:f>SUM(L$2:L14)</x:f>
        <x:v>8</x:v>
      </x:c>
      <x:c r="N14" s="2" t="n">
        <x:v>0</x:v>
      </x:c>
      <x:c r="O14" s="2" t="str">
        <x:v>seguimiento</x:v>
      </x:c>
      <x:c r="P14" s="2" t="n">
        <x:v>0</x:v>
      </x:c>
      <x:c r="Q14" s="2" t="str">
        <x:v>simulado_didactico</x:v>
      </x:c>
    </x:row>
    <x:row r="15" ht="19" customHeight="1">
      <x:c r="A15" s="2" t="str">
        <x:v>SIM-E2-MP-L0-R01</x:v>
      </x:c>
      <x:c r="B15" s="2" t="n">
        <x:v>1</x:v>
      </x:c>
      <x:c r="C15" s="2" t="str">
        <x:v>MP</x:v>
      </x:c>
      <x:c r="D15" s="2" t="str">
        <x:v>Myzus persicae</x:v>
      </x:c>
      <x:c r="E15" s="2" t="str">
        <x:v>L0</x:v>
      </x:c>
      <x:c r="F15" s="2" t="n">
        <x:v>1</x:v>
      </x:c>
      <x:c r="G15" s="2" t="n">
        <x:v>13</x:v>
      </x:c>
      <x:c r="H15" s="2" t="n">
        <x:f>G15+Supuestos!$C$15</x:f>
        <x:v>14</x:v>
      </x:c>
      <x:c r="I15" s="14" t="n">
        <x:f>E2_plantas!J2+G15</x:f>
        <x:v>46187</x:v>
      </x:c>
      <x:c r="J15" s="2" t="str">
        <x:v>adulta</x:v>
      </x:c>
      <x:c r="K15" s="2" t="n">
        <x:v>1</x:v>
      </x:c>
      <x:c r="L15" s="2" t="n">
        <x:v>1</x:v>
      </x:c>
      <x:c r="M15" s="2" t="n">
        <x:f>SUM(L$2:L15)</x:f>
        <x:v>9</x:v>
      </x:c>
      <x:c r="N15" s="2" t="n">
        <x:v>0</x:v>
      </x:c>
      <x:c r="O15" s="2" t="str">
        <x:v>seguimiento</x:v>
      </x:c>
      <x:c r="P15" s="2" t="n">
        <x:v>0</x:v>
      </x:c>
      <x:c r="Q15" s="2" t="str">
        <x:v>simulado_didactico</x:v>
      </x:c>
    </x:row>
    <x:row r="16" ht="19" customHeight="1">
      <x:c r="A16" s="2" t="str">
        <x:v>SIM-E2-MP-L0-R01</x:v>
      </x:c>
      <x:c r="B16" s="2" t="n">
        <x:v>1</x:v>
      </x:c>
      <x:c r="C16" s="2" t="str">
        <x:v>MP</x:v>
      </x:c>
      <x:c r="D16" s="2" t="str">
        <x:v>Myzus persicae</x:v>
      </x:c>
      <x:c r="E16" s="2" t="str">
        <x:v>L0</x:v>
      </x:c>
      <x:c r="F16" s="2" t="n">
        <x:v>1</x:v>
      </x:c>
      <x:c r="G16" s="2" t="n">
        <x:v>14</x:v>
      </x:c>
      <x:c r="H16" s="2" t="n">
        <x:f>G16+Supuestos!$C$15</x:f>
        <x:v>15</x:v>
      </x:c>
      <x:c r="I16" s="14" t="n">
        <x:f>E2_plantas!J2+G16</x:f>
        <x:v>46188</x:v>
      </x:c>
      <x:c r="J16" s="2" t="str">
        <x:v>adulta</x:v>
      </x:c>
      <x:c r="K16" s="2" t="n">
        <x:v>1</x:v>
      </x:c>
      <x:c r="L16" s="2" t="n">
        <x:v>4</x:v>
      </x:c>
      <x:c r="M16" s="2" t="n">
        <x:f>SUM(L$2:L16)</x:f>
        <x:v>13</x:v>
      </x:c>
      <x:c r="N16" s="2" t="n">
        <x:v>0</x:v>
      </x:c>
      <x:c r="O16" s="2" t="str">
        <x:v>seguimiento</x:v>
      </x:c>
      <x:c r="P16" s="2" t="n">
        <x:v>0</x:v>
      </x:c>
      <x:c r="Q16" s="2" t="str">
        <x:v>simulado_didactico</x:v>
      </x:c>
    </x:row>
    <x:row r="17" ht="19" customHeight="1">
      <x:c r="A17" s="2" t="str">
        <x:v>SIM-E2-MP-L0-R01</x:v>
      </x:c>
      <x:c r="B17" s="2" t="n">
        <x:v>1</x:v>
      </x:c>
      <x:c r="C17" s="2" t="str">
        <x:v>MP</x:v>
      </x:c>
      <x:c r="D17" s="2" t="str">
        <x:v>Myzus persicae</x:v>
      </x:c>
      <x:c r="E17" s="2" t="str">
        <x:v>L0</x:v>
      </x:c>
      <x:c r="F17" s="2" t="n">
        <x:v>1</x:v>
      </x:c>
      <x:c r="G17" s="2" t="n">
        <x:v>15</x:v>
      </x:c>
      <x:c r="H17" s="2" t="n">
        <x:f>G17+Supuestos!$C$15</x:f>
        <x:v>16</x:v>
      </x:c>
      <x:c r="I17" s="14" t="n">
        <x:f>E2_plantas!J2+G17</x:f>
        <x:v>46189</x:v>
      </x:c>
      <x:c r="J17" s="2" t="str">
        <x:v>adulta</x:v>
      </x:c>
      <x:c r="K17" s="2" t="n">
        <x:v>1</x:v>
      </x:c>
      <x:c r="L17" s="2" t="n">
        <x:v>3</x:v>
      </x:c>
      <x:c r="M17" s="2" t="n">
        <x:f>SUM(L$2:L17)</x:f>
        <x:v>16</x:v>
      </x:c>
      <x:c r="N17" s="2" t="n">
        <x:v>0</x:v>
      </x:c>
      <x:c r="O17" s="2" t="str">
        <x:v>seguimiento</x:v>
      </x:c>
      <x:c r="P17" s="2" t="n">
        <x:v>0</x:v>
      </x:c>
      <x:c r="Q17" s="2" t="str">
        <x:v>simulado_didactico</x:v>
      </x:c>
    </x:row>
    <x:row r="18" ht="19" customHeight="1">
      <x:c r="A18" s="2" t="str">
        <x:v>SIM-E2-MP-L0-R01</x:v>
      </x:c>
      <x:c r="B18" s="2" t="n">
        <x:v>1</x:v>
      </x:c>
      <x:c r="C18" s="2" t="str">
        <x:v>MP</x:v>
      </x:c>
      <x:c r="D18" s="2" t="str">
        <x:v>Myzus persicae</x:v>
      </x:c>
      <x:c r="E18" s="2" t="str">
        <x:v>L0</x:v>
      </x:c>
      <x:c r="F18" s="2" t="n">
        <x:v>1</x:v>
      </x:c>
      <x:c r="G18" s="2" t="n">
        <x:v>16</x:v>
      </x:c>
      <x:c r="H18" s="2" t="n">
        <x:f>G18+Supuestos!$C$15</x:f>
        <x:v>17</x:v>
      </x:c>
      <x:c r="I18" s="14" t="n">
        <x:f>E2_plantas!J2+G18</x:f>
        <x:v>46190</x:v>
      </x:c>
      <x:c r="J18" s="2" t="str">
        <x:v>adulta</x:v>
      </x:c>
      <x:c r="K18" s="2" t="n">
        <x:v>1</x:v>
      </x:c>
      <x:c r="L18" s="2" t="n">
        <x:v>4</x:v>
      </x:c>
      <x:c r="M18" s="2" t="n">
        <x:f>SUM(L$2:L18)</x:f>
        <x:v>20</x:v>
      </x:c>
      <x:c r="N18" s="2" t="n">
        <x:v>0</x:v>
      </x:c>
      <x:c r="O18" s="2" t="str">
        <x:v>seguimiento</x:v>
      </x:c>
      <x:c r="P18" s="2" t="n">
        <x:v>0</x:v>
      </x:c>
      <x:c r="Q18" s="2" t="str">
        <x:v>simulado_didactico</x:v>
      </x:c>
    </x:row>
    <x:row r="19" ht="19" customHeight="1">
      <x:c r="A19" s="2" t="str">
        <x:v>SIM-E2-MP-L0-R01</x:v>
      </x:c>
      <x:c r="B19" s="2" t="n">
        <x:v>1</x:v>
      </x:c>
      <x:c r="C19" s="2" t="str">
        <x:v>MP</x:v>
      </x:c>
      <x:c r="D19" s="2" t="str">
        <x:v>Myzus persicae</x:v>
      </x:c>
      <x:c r="E19" s="2" t="str">
        <x:v>L0</x:v>
      </x:c>
      <x:c r="F19" s="2" t="n">
        <x:v>1</x:v>
      </x:c>
      <x:c r="G19" s="2" t="n">
        <x:v>17</x:v>
      </x:c>
      <x:c r="H19" s="2" t="n">
        <x:f>G19+Supuestos!$C$15</x:f>
        <x:v>18</x:v>
      </x:c>
      <x:c r="I19" s="14" t="n">
        <x:f>E2_plantas!J2+G19</x:f>
        <x:v>46191</x:v>
      </x:c>
      <x:c r="J19" s="2" t="str">
        <x:v>adulta</x:v>
      </x:c>
      <x:c r="K19" s="2" t="n">
        <x:v>1</x:v>
      </x:c>
      <x:c r="L19" s="2" t="n">
        <x:v>0</x:v>
      </x:c>
      <x:c r="M19" s="2" t="n">
        <x:f>SUM(L$2:L19)</x:f>
        <x:v>20</x:v>
      </x:c>
      <x:c r="N19" s="2" t="n">
        <x:v>0</x:v>
      </x:c>
      <x:c r="O19" s="2" t="str">
        <x:v>seguimiento</x:v>
      </x:c>
      <x:c r="P19" s="2" t="n">
        <x:v>0</x:v>
      </x:c>
      <x:c r="Q19" s="2" t="str">
        <x:v>simulado_didactico</x:v>
      </x:c>
    </x:row>
    <x:row r="20" ht="19" customHeight="1">
      <x:c r="A20" s="2" t="str">
        <x:v>SIM-E2-MP-L0-R01</x:v>
      </x:c>
      <x:c r="B20" s="2" t="n">
        <x:v>1</x:v>
      </x:c>
      <x:c r="C20" s="2" t="str">
        <x:v>MP</x:v>
      </x:c>
      <x:c r="D20" s="2" t="str">
        <x:v>Myzus persicae</x:v>
      </x:c>
      <x:c r="E20" s="2" t="str">
        <x:v>L0</x:v>
      </x:c>
      <x:c r="F20" s="2" t="n">
        <x:v>1</x:v>
      </x:c>
      <x:c r="G20" s="2" t="n">
        <x:v>18</x:v>
      </x:c>
      <x:c r="H20" s="2" t="n">
        <x:f>G20+Supuestos!$C$15</x:f>
        <x:v>19</x:v>
      </x:c>
      <x:c r="I20" s="14" t="n">
        <x:f>E2_plantas!J2+G20</x:f>
        <x:v>46192</x:v>
      </x:c>
      <x:c r="J20" s="2" t="str">
        <x:v>adulta</x:v>
      </x:c>
      <x:c r="K20" s="2" t="n">
        <x:v>1</x:v>
      </x:c>
      <x:c r="L20" s="2" t="n">
        <x:v>2</x:v>
      </x:c>
      <x:c r="M20" s="2" t="n">
        <x:f>SUM(L$2:L20)</x:f>
        <x:v>22</x:v>
      </x:c>
      <x:c r="N20" s="2" t="n">
        <x:v>0</x:v>
      </x:c>
      <x:c r="O20" s="2" t="str">
        <x:v>seguimiento</x:v>
      </x:c>
      <x:c r="P20" s="2" t="n">
        <x:v>0</x:v>
      </x:c>
      <x:c r="Q20" s="2" t="str">
        <x:v>simulado_didactico</x:v>
      </x:c>
    </x:row>
    <x:row r="21" ht="19" customHeight="1">
      <x:c r="A21" s="2" t="str">
        <x:v>SIM-E2-MP-L0-R01</x:v>
      </x:c>
      <x:c r="B21" s="2" t="n">
        <x:v>1</x:v>
      </x:c>
      <x:c r="C21" s="2" t="str">
        <x:v>MP</x:v>
      </x:c>
      <x:c r="D21" s="2" t="str">
        <x:v>Myzus persicae</x:v>
      </x:c>
      <x:c r="E21" s="2" t="str">
        <x:v>L0</x:v>
      </x:c>
      <x:c r="F21" s="2" t="n">
        <x:v>1</x:v>
      </x:c>
      <x:c r="G21" s="2" t="n">
        <x:v>19</x:v>
      </x:c>
      <x:c r="H21" s="2" t="n">
        <x:f>G21+Supuestos!$C$15</x:f>
        <x:v>20</x:v>
      </x:c>
      <x:c r="I21" s="14" t="n">
        <x:f>E2_plantas!J2+G21</x:f>
        <x:v>46193</x:v>
      </x:c>
      <x:c r="J21" s="2" t="str">
        <x:v>adulta</x:v>
      </x:c>
      <x:c r="K21" s="2" t="n">
        <x:v>1</x:v>
      </x:c>
      <x:c r="L21" s="2" t="n">
        <x:v>3</x:v>
      </x:c>
      <x:c r="M21" s="2" t="n">
        <x:f>SUM(L$2:L21)</x:f>
        <x:v>25</x:v>
      </x:c>
      <x:c r="N21" s="2" t="n">
        <x:v>0</x:v>
      </x:c>
      <x:c r="O21" s="2" t="str">
        <x:v>seguimiento</x:v>
      </x:c>
      <x:c r="P21" s="2" t="n">
        <x:v>0</x:v>
      </x:c>
      <x:c r="Q21" s="2" t="str">
        <x:v>simulado_didactico</x:v>
      </x:c>
    </x:row>
    <x:row r="22" ht="19" customHeight="1">
      <x:c r="A22" s="2" t="str">
        <x:v>SIM-E2-MP-L0-R01</x:v>
      </x:c>
      <x:c r="B22" s="2" t="n">
        <x:v>1</x:v>
      </x:c>
      <x:c r="C22" s="2" t="str">
        <x:v>MP</x:v>
      </x:c>
      <x:c r="D22" s="2" t="str">
        <x:v>Myzus persicae</x:v>
      </x:c>
      <x:c r="E22" s="2" t="str">
        <x:v>L0</x:v>
      </x:c>
      <x:c r="F22" s="2" t="n">
        <x:v>1</x:v>
      </x:c>
      <x:c r="G22" s="2" t="n">
        <x:v>20</x:v>
      </x:c>
      <x:c r="H22" s="2" t="n">
        <x:f>G22+Supuestos!$C$15</x:f>
        <x:v>21</x:v>
      </x:c>
      <x:c r="I22" s="14" t="n">
        <x:f>E2_plantas!J2+G22</x:f>
        <x:v>46194</x:v>
      </x:c>
      <x:c r="J22" s="2" t="str">
        <x:v>adulta</x:v>
      </x:c>
      <x:c r="K22" s="2" t="n">
        <x:v>1</x:v>
      </x:c>
      <x:c r="L22" s="2" t="n">
        <x:v>1</x:v>
      </x:c>
      <x:c r="M22" s="2" t="n">
        <x:f>SUM(L$2:L22)</x:f>
        <x:v>26</x:v>
      </x:c>
      <x:c r="N22" s="2" t="n">
        <x:v>0</x:v>
      </x:c>
      <x:c r="O22" s="2" t="str">
        <x:v>seguimiento</x:v>
      </x:c>
      <x:c r="P22" s="2" t="n">
        <x:v>0</x:v>
      </x:c>
      <x:c r="Q22" s="2" t="str">
        <x:v>simulado_didactico</x:v>
      </x:c>
    </x:row>
    <x:row r="23" ht="19" customHeight="1">
      <x:c r="A23" s="2" t="str">
        <x:v>SIM-E2-MP-L0-R01</x:v>
      </x:c>
      <x:c r="B23" s="2" t="n">
        <x:v>1</x:v>
      </x:c>
      <x:c r="C23" s="2" t="str">
        <x:v>MP</x:v>
      </x:c>
      <x:c r="D23" s="2" t="str">
        <x:v>Myzus persicae</x:v>
      </x:c>
      <x:c r="E23" s="2" t="str">
        <x:v>L0</x:v>
      </x:c>
      <x:c r="F23" s="2" t="n">
        <x:v>1</x:v>
      </x:c>
      <x:c r="G23" s="2" t="n">
        <x:v>21</x:v>
      </x:c>
      <x:c r="H23" s="2" t="n">
        <x:f>G23+Supuestos!$C$15</x:f>
        <x:v>22</x:v>
      </x:c>
      <x:c r="I23" s="14" t="n">
        <x:f>E2_plantas!J2+G23</x:f>
        <x:v>46195</x:v>
      </x:c>
      <x:c r="J23" s="2" t="str">
        <x:v>adulta</x:v>
      </x:c>
      <x:c r="K23" s="2" t="n">
        <x:v>1</x:v>
      </x:c>
      <x:c r="L23" s="2" t="n">
        <x:v>2</x:v>
      </x:c>
      <x:c r="M23" s="2" t="n">
        <x:f>SUM(L$2:L23)</x:f>
        <x:v>28</x:v>
      </x:c>
      <x:c r="N23" s="2" t="n">
        <x:v>0</x:v>
      </x:c>
      <x:c r="O23" s="2" t="str">
        <x:v>seguimiento</x:v>
      </x:c>
      <x:c r="P23" s="2" t="n">
        <x:v>0</x:v>
      </x:c>
      <x:c r="Q23" s="2" t="str">
        <x:v>simulado_didactico</x:v>
      </x:c>
    </x:row>
    <x:row r="24" ht="19" customHeight="1">
      <x:c r="A24" s="2" t="str">
        <x:v>SIM-E2-MP-L0-R01</x:v>
      </x:c>
      <x:c r="B24" s="2" t="n">
        <x:v>1</x:v>
      </x:c>
      <x:c r="C24" s="2" t="str">
        <x:v>MP</x:v>
      </x:c>
      <x:c r="D24" s="2" t="str">
        <x:v>Myzus persicae</x:v>
      </x:c>
      <x:c r="E24" s="2" t="str">
        <x:v>L0</x:v>
      </x:c>
      <x:c r="F24" s="2" t="n">
        <x:v>1</x:v>
      </x:c>
      <x:c r="G24" s="2" t="n">
        <x:v>22</x:v>
      </x:c>
      <x:c r="H24" s="2" t="n">
        <x:f>G24+Supuestos!$C$15</x:f>
        <x:v>23</x:v>
      </x:c>
      <x:c r="I24" s="14" t="n">
        <x:f>E2_plantas!J2+G24</x:f>
        <x:v>46196</x:v>
      </x:c>
      <x:c r="J24" s="2" t="str">
        <x:v>adulta</x:v>
      </x:c>
      <x:c r="K24" s="2" t="n">
        <x:v>1</x:v>
      </x:c>
      <x:c r="L24" s="2" t="n">
        <x:v>2</x:v>
      </x:c>
      <x:c r="M24" s="2" t="n">
        <x:f>SUM(L$2:L24)</x:f>
        <x:v>30</x:v>
      </x:c>
      <x:c r="N24" s="2" t="n">
        <x:v>0</x:v>
      </x:c>
      <x:c r="O24" s="2" t="str">
        <x:v>seguimiento</x:v>
      </x:c>
      <x:c r="P24" s="2" t="n">
        <x:v>0</x:v>
      </x:c>
      <x:c r="Q24" s="2" t="str">
        <x:v>simulado_didactico</x:v>
      </x:c>
    </x:row>
    <x:row r="25" ht="19" customHeight="1">
      <x:c r="A25" s="2" t="str">
        <x:v>SIM-E2-MP-L0-R01</x:v>
      </x:c>
      <x:c r="B25" s="2" t="n">
        <x:v>1</x:v>
      </x:c>
      <x:c r="C25" s="2" t="str">
        <x:v>MP</x:v>
      </x:c>
      <x:c r="D25" s="2" t="str">
        <x:v>Myzus persicae</x:v>
      </x:c>
      <x:c r="E25" s="2" t="str">
        <x:v>L0</x:v>
      </x:c>
      <x:c r="F25" s="2" t="n">
        <x:v>1</x:v>
      </x:c>
      <x:c r="G25" s="2" t="n">
        <x:v>23</x:v>
      </x:c>
      <x:c r="H25" s="2" t="n">
        <x:f>G25+Supuestos!$C$15</x:f>
        <x:v>24</x:v>
      </x:c>
      <x:c r="I25" s="14" t="n">
        <x:f>E2_plantas!J2+G25</x:f>
        <x:v>46197</x:v>
      </x:c>
      <x:c r="J25" s="2" t="str">
        <x:v>adulta</x:v>
      </x:c>
      <x:c r="K25" s="2" t="n">
        <x:v>1</x:v>
      </x:c>
      <x:c r="L25" s="2" t="n">
        <x:v>1</x:v>
      </x:c>
      <x:c r="M25" s="2" t="n">
        <x:f>SUM(L$2:L25)</x:f>
        <x:v>31</x:v>
      </x:c>
      <x:c r="N25" s="2" t="n">
        <x:v>0</x:v>
      </x:c>
      <x:c r="O25" s="2" t="str">
        <x:v>seguimiento</x:v>
      </x:c>
      <x:c r="P25" s="2" t="n">
        <x:v>0</x:v>
      </x:c>
      <x:c r="Q25" s="2" t="str">
        <x:v>simulado_didactico</x:v>
      </x:c>
    </x:row>
    <x:row r="26" ht="19" customHeight="1">
      <x:c r="A26" s="2" t="str">
        <x:v>SIM-E2-MP-L0-R01</x:v>
      </x:c>
      <x:c r="B26" s="2" t="n">
        <x:v>1</x:v>
      </x:c>
      <x:c r="C26" s="2" t="str">
        <x:v>MP</x:v>
      </x:c>
      <x:c r="D26" s="2" t="str">
        <x:v>Myzus persicae</x:v>
      </x:c>
      <x:c r="E26" s="2" t="str">
        <x:v>L0</x:v>
      </x:c>
      <x:c r="F26" s="2" t="n">
        <x:v>1</x:v>
      </x:c>
      <x:c r="G26" s="2" t="n">
        <x:v>24</x:v>
      </x:c>
      <x:c r="H26" s="2" t="n">
        <x:f>G26+Supuestos!$C$15</x:f>
        <x:v>25</x:v>
      </x:c>
      <x:c r="I26" s="14" t="n">
        <x:f>E2_plantas!J2+G26</x:f>
        <x:v>46198</x:v>
      </x:c>
      <x:c r="J26" s="2" t="str">
        <x:v>adulta</x:v>
      </x:c>
      <x:c r="K26" s="2" t="n">
        <x:v>1</x:v>
      </x:c>
      <x:c r="L26" s="2" t="n">
        <x:v>2</x:v>
      </x:c>
      <x:c r="M26" s="2" t="n">
        <x:f>SUM(L$2:L26)</x:f>
        <x:v>33</x:v>
      </x:c>
      <x:c r="N26" s="2" t="n">
        <x:v>0</x:v>
      </x:c>
      <x:c r="O26" s="2" t="str">
        <x:v>seguimiento</x:v>
      </x:c>
      <x:c r="P26" s="2" t="n">
        <x:v>0</x:v>
      </x:c>
      <x:c r="Q26" s="2" t="str">
        <x:v>simulado_didactico</x:v>
      </x:c>
    </x:row>
    <x:row r="27" ht="19" customHeight="1">
      <x:c r="A27" s="2" t="str">
        <x:v>SIM-E2-MP-L0-R01</x:v>
      </x:c>
      <x:c r="B27" s="2" t="n">
        <x:v>1</x:v>
      </x:c>
      <x:c r="C27" s="2" t="str">
        <x:v>MP</x:v>
      </x:c>
      <x:c r="D27" s="2" t="str">
        <x:v>Myzus persicae</x:v>
      </x:c>
      <x:c r="E27" s="2" t="str">
        <x:v>L0</x:v>
      </x:c>
      <x:c r="F27" s="2" t="n">
        <x:v>1</x:v>
      </x:c>
      <x:c r="G27" s="2" t="n">
        <x:v>25</x:v>
      </x:c>
      <x:c r="H27" s="2" t="n">
        <x:f>G27+Supuestos!$C$15</x:f>
        <x:v>26</x:v>
      </x:c>
      <x:c r="I27" s="14" t="n">
        <x:f>E2_plantas!J2+G27</x:f>
        <x:v>46199</x:v>
      </x:c>
      <x:c r="J27" s="2" t="str">
        <x:v>adulta</x:v>
      </x:c>
      <x:c r="K27" s="2" t="n">
        <x:v>1</x:v>
      </x:c>
      <x:c r="L27" s="2" t="n">
        <x:v>0</x:v>
      </x:c>
      <x:c r="M27" s="2" t="n">
        <x:f>SUM(L$2:L27)</x:f>
        <x:v>33</x:v>
      </x:c>
      <x:c r="N27" s="2" t="n">
        <x:v>0</x:v>
      </x:c>
      <x:c r="O27" s="2" t="str">
        <x:v>seguimiento</x:v>
      </x:c>
      <x:c r="P27" s="2" t="n">
        <x:v>0</x:v>
      </x:c>
      <x:c r="Q27" s="2" t="str">
        <x:v>simulado_didactico</x:v>
      </x:c>
    </x:row>
    <x:row r="28" ht="19" customHeight="1">
      <x:c r="A28" s="2" t="str">
        <x:v>SIM-E2-MP-L0-R01</x:v>
      </x:c>
      <x:c r="B28" s="2" t="n">
        <x:v>1</x:v>
      </x:c>
      <x:c r="C28" s="2" t="str">
        <x:v>MP</x:v>
      </x:c>
      <x:c r="D28" s="2" t="str">
        <x:v>Myzus persicae</x:v>
      </x:c>
      <x:c r="E28" s="2" t="str">
        <x:v>L0</x:v>
      </x:c>
      <x:c r="F28" s="2" t="n">
        <x:v>1</x:v>
      </x:c>
      <x:c r="G28" s="2" t="n">
        <x:v>26</x:v>
      </x:c>
      <x:c r="H28" s="2" t="n">
        <x:f>G28+Supuestos!$C$15</x:f>
        <x:v>27</x:v>
      </x:c>
      <x:c r="I28" s="14" t="n">
        <x:f>E2_plantas!J2+G28</x:f>
        <x:v>46200</x:v>
      </x:c>
      <x:c r="J28" s="2" t="str">
        <x:v>adulta</x:v>
      </x:c>
      <x:c r="K28" s="2" t="n">
        <x:v>1</x:v>
      </x:c>
      <x:c r="L28" s="2" t="n">
        <x:v>2</x:v>
      </x:c>
      <x:c r="M28" s="2" t="n">
        <x:f>SUM(L$2:L28)</x:f>
        <x:v>35</x:v>
      </x:c>
      <x:c r="N28" s="2" t="n">
        <x:v>0</x:v>
      </x:c>
      <x:c r="O28" s="2" t="str">
        <x:v>seguimiento</x:v>
      </x:c>
      <x:c r="P28" s="2" t="n">
        <x:v>0</x:v>
      </x:c>
      <x:c r="Q28" s="2" t="str">
        <x:v>simulado_didactico</x:v>
      </x:c>
    </x:row>
    <x:row r="29" ht="19" customHeight="1">
      <x:c r="A29" s="2" t="str">
        <x:v>SIM-E2-MP-L0-R01</x:v>
      </x:c>
      <x:c r="B29" s="2" t="n">
        <x:v>1</x:v>
      </x:c>
      <x:c r="C29" s="2" t="str">
        <x:v>MP</x:v>
      </x:c>
      <x:c r="D29" s="2" t="str">
        <x:v>Myzus persicae</x:v>
      </x:c>
      <x:c r="E29" s="2" t="str">
        <x:v>L0</x:v>
      </x:c>
      <x:c r="F29" s="2" t="n">
        <x:v>1</x:v>
      </x:c>
      <x:c r="G29" s="2" t="n">
        <x:v>27</x:v>
      </x:c>
      <x:c r="H29" s="2" t="n">
        <x:f>G29+Supuestos!$C$15</x:f>
        <x:v>28</x:v>
      </x:c>
      <x:c r="I29" s="14" t="n">
        <x:f>E2_plantas!J2+G29</x:f>
        <x:v>46201</x:v>
      </x:c>
      <x:c r="J29" s="2" t="str">
        <x:v>adulta</x:v>
      </x:c>
      <x:c r="K29" s="2" t="n">
        <x:v>1</x:v>
      </x:c>
      <x:c r="L29" s="2" t="n">
        <x:v>2</x:v>
      </x:c>
      <x:c r="M29" s="2" t="n">
        <x:f>SUM(L$2:L29)</x:f>
        <x:v>37</x:v>
      </x:c>
      <x:c r="N29" s="2" t="n">
        <x:v>0</x:v>
      </x:c>
      <x:c r="O29" s="2" t="str">
        <x:v>seguimiento</x:v>
      </x:c>
      <x:c r="P29" s="2" t="n">
        <x:v>0</x:v>
      </x:c>
      <x:c r="Q29" s="2" t="str">
        <x:v>simulado_didactico</x:v>
      </x:c>
    </x:row>
    <x:row r="30" ht="19" customHeight="1">
      <x:c r="A30" s="2" t="str">
        <x:v>SIM-E2-MP-L0-R01</x:v>
      </x:c>
      <x:c r="B30" s="2" t="n">
        <x:v>1</x:v>
      </x:c>
      <x:c r="C30" s="2" t="str">
        <x:v>MP</x:v>
      </x:c>
      <x:c r="D30" s="2" t="str">
        <x:v>Myzus persicae</x:v>
      </x:c>
      <x:c r="E30" s="2" t="str">
        <x:v>L0</x:v>
      </x:c>
      <x:c r="F30" s="2" t="n">
        <x:v>1</x:v>
      </x:c>
      <x:c r="G30" s="2" t="n">
        <x:v>28</x:v>
      </x:c>
      <x:c r="H30" s="2" t="n">
        <x:f>G30+Supuestos!$C$15</x:f>
        <x:v>29</x:v>
      </x:c>
      <x:c r="I30" s="14" t="n">
        <x:f>E2_plantas!J2+G30</x:f>
        <x:v>46202</x:v>
      </x:c>
      <x:c r="J30" s="2" t="str">
        <x:v>adulta</x:v>
      </x:c>
      <x:c r="K30" s="2" t="n">
        <x:v>1</x:v>
      </x:c>
      <x:c r="L30" s="2" t="n">
        <x:v>0</x:v>
      </x:c>
      <x:c r="M30" s="2" t="n">
        <x:f>SUM(L$2:L30)</x:f>
        <x:v>37</x:v>
      </x:c>
      <x:c r="N30" s="2" t="n">
        <x:v>0</x:v>
      </x:c>
      <x:c r="O30" s="2" t="str">
        <x:v>seguimiento</x:v>
      </x:c>
      <x:c r="P30" s="2" t="n">
        <x:v>0</x:v>
      </x:c>
      <x:c r="Q30" s="2" t="str">
        <x:v>simulado_didactico</x:v>
      </x:c>
    </x:row>
    <x:row r="31" ht="19" customHeight="1">
      <x:c r="A31" s="2" t="str">
        <x:v>SIM-E2-MP-L0-R01</x:v>
      </x:c>
      <x:c r="B31" s="2" t="n">
        <x:v>1</x:v>
      </x:c>
      <x:c r="C31" s="2" t="str">
        <x:v>MP</x:v>
      </x:c>
      <x:c r="D31" s="2" t="str">
        <x:v>Myzus persicae</x:v>
      </x:c>
      <x:c r="E31" s="2" t="str">
        <x:v>L0</x:v>
      </x:c>
      <x:c r="F31" s="2" t="n">
        <x:v>1</x:v>
      </x:c>
      <x:c r="G31" s="2" t="n">
        <x:v>29</x:v>
      </x:c>
      <x:c r="H31" s="2" t="n">
        <x:f>G31+Supuestos!$C$15</x:f>
        <x:v>30</x:v>
      </x:c>
      <x:c r="I31" s="14" t="n">
        <x:f>E2_plantas!J2+G31</x:f>
        <x:v>46203</x:v>
      </x:c>
      <x:c r="J31" s="2" t="str">
        <x:v>adulta</x:v>
      </x:c>
      <x:c r="K31" s="2" t="n">
        <x:v>1</x:v>
      </x:c>
      <x:c r="L31" s="2" t="n">
        <x:v>1</x:v>
      </x:c>
      <x:c r="M31" s="2" t="n">
        <x:f>SUM(L$2:L31)</x:f>
        <x:v>38</x:v>
      </x:c>
      <x:c r="N31" s="2" t="n">
        <x:v>0</x:v>
      </x:c>
      <x:c r="O31" s="2" t="str">
        <x:v>seguimiento</x:v>
      </x:c>
      <x:c r="P31" s="2" t="n">
        <x:v>0</x:v>
      </x:c>
      <x:c r="Q31" s="2" t="str">
        <x:v>simulado_didactico</x:v>
      </x:c>
    </x:row>
    <x:row r="32" ht="19" customHeight="1">
      <x:c r="A32" s="2" t="str">
        <x:v>SIM-E2-MP-L0-R01</x:v>
      </x:c>
      <x:c r="B32" s="2" t="n">
        <x:v>1</x:v>
      </x:c>
      <x:c r="C32" s="2" t="str">
        <x:v>MP</x:v>
      </x:c>
      <x:c r="D32" s="2" t="str">
        <x:v>Myzus persicae</x:v>
      </x:c>
      <x:c r="E32" s="2" t="str">
        <x:v>L0</x:v>
      </x:c>
      <x:c r="F32" s="2" t="n">
        <x:v>1</x:v>
      </x:c>
      <x:c r="G32" s="2" t="n">
        <x:v>30</x:v>
      </x:c>
      <x:c r="H32" s="2" t="n">
        <x:f>G32+Supuestos!$C$15</x:f>
        <x:v>31</x:v>
      </x:c>
      <x:c r="I32" s="14" t="n">
        <x:f>E2_plantas!J2+G32</x:f>
        <x:v>46204</x:v>
      </x:c>
      <x:c r="J32" s="2" t="str">
        <x:v>adulta</x:v>
      </x:c>
      <x:c r="K32" s="2" t="n">
        <x:v>1</x:v>
      </x:c>
      <x:c r="L32" s="2" t="n">
        <x:v>0</x:v>
      </x:c>
      <x:c r="M32" s="2" t="n">
        <x:f>SUM(L$2:L32)</x:f>
        <x:v>38</x:v>
      </x:c>
      <x:c r="N32" s="2" t="n">
        <x:v>0</x:v>
      </x:c>
      <x:c r="O32" s="2" t="str">
        <x:v>seguimiento</x:v>
      </x:c>
      <x:c r="P32" s="2" t="n">
        <x:v>0</x:v>
      </x:c>
      <x:c r="Q32" s="2" t="str">
        <x:v>simulado_didactico</x:v>
      </x:c>
    </x:row>
    <x:row r="33" ht="19" customHeight="1">
      <x:c r="A33" s="2" t="str">
        <x:v>SIM-E2-MP-L0-R01</x:v>
      </x:c>
      <x:c r="B33" s="2" t="n">
        <x:v>1</x:v>
      </x:c>
      <x:c r="C33" s="2" t="str">
        <x:v>MP</x:v>
      </x:c>
      <x:c r="D33" s="2" t="str">
        <x:v>Myzus persicae</x:v>
      </x:c>
      <x:c r="E33" s="2" t="str">
        <x:v>L0</x:v>
      </x:c>
      <x:c r="F33" s="2" t="n">
        <x:v>1</x:v>
      </x:c>
      <x:c r="G33" s="2" t="n">
        <x:v>31</x:v>
      </x:c>
      <x:c r="H33" s="2" t="n">
        <x:f>G33+Supuestos!$C$15</x:f>
        <x:v>32</x:v>
      </x:c>
      <x:c r="I33" s="14" t="n">
        <x:f>E2_plantas!J2+G33</x:f>
        <x:v>46205</x:v>
      </x:c>
      <x:c r="J33" s="2" t="str">
        <x:v>muerta</x:v>
      </x:c>
      <x:c r="K33" s="2" t="n">
        <x:v>0</x:v>
      </x:c>
      <x:c r="L33" s="2" t="n">
        <x:v>0</x:v>
      </x:c>
      <x:c r="M33" s="2" t="n">
        <x:f>SUM(L$2:L33)</x:f>
        <x:v>38</x:v>
      </x:c>
      <x:c r="N33" s="2" t="n">
        <x:v>1</x:v>
      </x:c>
      <x:c r="O33" s="2" t="str">
        <x:v>muerte</x:v>
      </x:c>
      <x:c r="P33" s="2" t="n">
        <x:v>0</x:v>
      </x:c>
      <x:c r="Q33" s="2" t="str">
        <x:v>simulado_didactico</x:v>
      </x:c>
    </x:row>
    <x:row r="34" ht="19" customHeight="1">
      <x:c r="A34" s="2" t="str">
        <x:v>SIM-E2-MP-L0-R01</x:v>
      </x:c>
      <x:c r="B34" s="2" t="n">
        <x:v>1</x:v>
      </x:c>
      <x:c r="C34" s="2" t="str">
        <x:v>MP</x:v>
      </x:c>
      <x:c r="D34" s="2" t="str">
        <x:v>Myzus persicae</x:v>
      </x:c>
      <x:c r="E34" s="2" t="str">
        <x:v>L0</x:v>
      </x:c>
      <x:c r="F34" s="2" t="n">
        <x:v>1</x:v>
      </x:c>
      <x:c r="G34" s="2" t="n">
        <x:v>32</x:v>
      </x:c>
      <x:c r="H34" s="2" t="n">
        <x:f>G34+Supuestos!$C$15</x:f>
        <x:v>33</x:v>
      </x:c>
      <x:c r="I34" s="14" t="n">
        <x:f>E2_plantas!J2+G34</x:f>
        <x:v>46206</x:v>
      </x:c>
      <x:c r="J34" s="2" t="str">
        <x:v>muerta</x:v>
      </x:c>
      <x:c r="K34" s="2" t="n">
        <x:v>0</x:v>
      </x:c>
      <x:c r="L34" s="2" t="n">
        <x:v>0</x:v>
      </x:c>
      <x:c r="M34" s="2" t="n">
        <x:f>SUM(L$2:L34)</x:f>
        <x:v>38</x:v>
      </x:c>
      <x:c r="N34" s="2" t="n">
        <x:v>0</x:v>
      </x:c>
      <x:c r="O34" s="2" t="str">
        <x:v>relleno_postmuerte</x:v>
      </x:c>
      <x:c r="P34" s="2" t="n">
        <x:v>0</x:v>
      </x:c>
      <x:c r="Q34" s="2" t="str">
        <x:v>simulado_didactico</x:v>
      </x:c>
    </x:row>
    <x:row r="35" ht="19" customHeight="1">
      <x:c r="A35" s="2" t="str">
        <x:v>SIM-E2-MP-L0-R01</x:v>
      </x:c>
      <x:c r="B35" s="2" t="n">
        <x:v>1</x:v>
      </x:c>
      <x:c r="C35" s="2" t="str">
        <x:v>MP</x:v>
      </x:c>
      <x:c r="D35" s="2" t="str">
        <x:v>Myzus persicae</x:v>
      </x:c>
      <x:c r="E35" s="2" t="str">
        <x:v>L0</x:v>
      </x:c>
      <x:c r="F35" s="2" t="n">
        <x:v>1</x:v>
      </x:c>
      <x:c r="G35" s="2" t="n">
        <x:v>33</x:v>
      </x:c>
      <x:c r="H35" s="2" t="n">
        <x:f>G35+Supuestos!$C$15</x:f>
        <x:v>34</x:v>
      </x:c>
      <x:c r="I35" s="14" t="n">
        <x:f>E2_plantas!J2+G35</x:f>
        <x:v>46207</x:v>
      </x:c>
      <x:c r="J35" s="2" t="str">
        <x:v>muerta</x:v>
      </x:c>
      <x:c r="K35" s="2" t="n">
        <x:v>0</x:v>
      </x:c>
      <x:c r="L35" s="2" t="n">
        <x:v>0</x:v>
      </x:c>
      <x:c r="M35" s="2" t="n">
        <x:f>SUM(L$2:L35)</x:f>
        <x:v>38</x:v>
      </x:c>
      <x:c r="N35" s="2" t="n">
        <x:v>0</x:v>
      </x:c>
      <x:c r="O35" s="2" t="str">
        <x:v>relleno_postmuerte</x:v>
      </x:c>
      <x:c r="P35" s="2" t="n">
        <x:v>0</x:v>
      </x:c>
      <x:c r="Q35" s="2" t="str">
        <x:v>simulado_didactico</x:v>
      </x:c>
    </x:row>
    <x:row r="36" ht="19" customHeight="1">
      <x:c r="A36" s="2" t="str">
        <x:v>SIM-E2-MP-L0-R01</x:v>
      </x:c>
      <x:c r="B36" s="2" t="n">
        <x:v>1</x:v>
      </x:c>
      <x:c r="C36" s="2" t="str">
        <x:v>MP</x:v>
      </x:c>
      <x:c r="D36" s="2" t="str">
        <x:v>Myzus persicae</x:v>
      </x:c>
      <x:c r="E36" s="2" t="str">
        <x:v>L0</x:v>
      </x:c>
      <x:c r="F36" s="2" t="n">
        <x:v>1</x:v>
      </x:c>
      <x:c r="G36" s="2" t="n">
        <x:v>34</x:v>
      </x:c>
      <x:c r="H36" s="2" t="n">
        <x:f>G36+Supuestos!$C$15</x:f>
        <x:v>35</x:v>
      </x:c>
      <x:c r="I36" s="14" t="n">
        <x:f>E2_plantas!J2+G36</x:f>
        <x:v>46208</x:v>
      </x:c>
      <x:c r="J36" s="2" t="str">
        <x:v>muerta</x:v>
      </x:c>
      <x:c r="K36" s="2" t="n">
        <x:v>0</x:v>
      </x:c>
      <x:c r="L36" s="2" t="n">
        <x:v>0</x:v>
      </x:c>
      <x:c r="M36" s="2" t="n">
        <x:f>SUM(L$2:L36)</x:f>
        <x:v>38</x:v>
      </x:c>
      <x:c r="N36" s="2" t="n">
        <x:v>0</x:v>
      </x:c>
      <x:c r="O36" s="2" t="str">
        <x:v>relleno_postmuerte</x:v>
      </x:c>
      <x:c r="P36" s="2" t="n">
        <x:v>0</x:v>
      </x:c>
      <x:c r="Q36" s="2" t="str">
        <x:v>simulado_didactico</x:v>
      </x:c>
    </x:row>
    <x:row r="37" ht="19" customHeight="1">
      <x:c r="A37" s="2" t="str">
        <x:v>SIM-E2-MP-L0-R01</x:v>
      </x:c>
      <x:c r="B37" s="2" t="n">
        <x:v>1</x:v>
      </x:c>
      <x:c r="C37" s="2" t="str">
        <x:v>MP</x:v>
      </x:c>
      <x:c r="D37" s="2" t="str">
        <x:v>Myzus persicae</x:v>
      </x:c>
      <x:c r="E37" s="2" t="str">
        <x:v>L0</x:v>
      </x:c>
      <x:c r="F37" s="2" t="n">
        <x:v>1</x:v>
      </x:c>
      <x:c r="G37" s="2" t="n">
        <x:v>35</x:v>
      </x:c>
      <x:c r="H37" s="2" t="n">
        <x:f>G37+Supuestos!$C$15</x:f>
        <x:v>36</x:v>
      </x:c>
      <x:c r="I37" s="14" t="n">
        <x:f>E2_plantas!J2+G37</x:f>
        <x:v>46209</x:v>
      </x:c>
      <x:c r="J37" s="2" t="str">
        <x:v>muerta</x:v>
      </x:c>
      <x:c r="K37" s="2" t="n">
        <x:v>0</x:v>
      </x:c>
      <x:c r="L37" s="2" t="n">
        <x:v>0</x:v>
      </x:c>
      <x:c r="M37" s="2" t="n">
        <x:f>SUM(L$2:L37)</x:f>
        <x:v>38</x:v>
      </x:c>
      <x:c r="N37" s="2" t="n">
        <x:v>0</x:v>
      </x:c>
      <x:c r="O37" s="2" t="str">
        <x:v>relleno_postmuerte</x:v>
      </x:c>
      <x:c r="P37" s="2" t="n">
        <x:v>0</x:v>
      </x:c>
      <x:c r="Q37" s="2" t="str">
        <x:v>simulado_didactico</x:v>
      </x:c>
    </x:row>
    <x:row r="38" ht="19" customHeight="1">
      <x:c r="A38" s="2" t="str">
        <x:v>SIM-E2-MP-L0-R01</x:v>
      </x:c>
      <x:c r="B38" s="2" t="n">
        <x:v>1</x:v>
      </x:c>
      <x:c r="C38" s="2" t="str">
        <x:v>MP</x:v>
      </x:c>
      <x:c r="D38" s="2" t="str">
        <x:v>Myzus persicae</x:v>
      </x:c>
      <x:c r="E38" s="2" t="str">
        <x:v>L0</x:v>
      </x:c>
      <x:c r="F38" s="2" t="n">
        <x:v>1</x:v>
      </x:c>
      <x:c r="G38" s="2" t="n">
        <x:v>36</x:v>
      </x:c>
      <x:c r="H38" s="2" t="n">
        <x:f>G38+Supuestos!$C$15</x:f>
        <x:v>37</x:v>
      </x:c>
      <x:c r="I38" s="14" t="n">
        <x:f>E2_plantas!J2+G38</x:f>
        <x:v>46210</x:v>
      </x:c>
      <x:c r="J38" s="2" t="str">
        <x:v>muerta</x:v>
      </x:c>
      <x:c r="K38" s="2" t="n">
        <x:v>0</x:v>
      </x:c>
      <x:c r="L38" s="2" t="n">
        <x:v>0</x:v>
      </x:c>
      <x:c r="M38" s="2" t="n">
        <x:f>SUM(L$2:L38)</x:f>
        <x:v>38</x:v>
      </x:c>
      <x:c r="N38" s="2" t="n">
        <x:v>0</x:v>
      </x:c>
      <x:c r="O38" s="2" t="str">
        <x:v>relleno_postmuerte</x:v>
      </x:c>
      <x:c r="P38" s="2" t="n">
        <x:v>0</x:v>
      </x:c>
      <x:c r="Q38" s="2" t="str">
        <x:v>simulado_didactico</x:v>
      </x:c>
    </x:row>
    <x:row r="39" ht="19" customHeight="1">
      <x:c r="A39" s="2" t="str">
        <x:v>SIM-E2-MP-L0-R01</x:v>
      </x:c>
      <x:c r="B39" s="2" t="n">
        <x:v>1</x:v>
      </x:c>
      <x:c r="C39" s="2" t="str">
        <x:v>MP</x:v>
      </x:c>
      <x:c r="D39" s="2" t="str">
        <x:v>Myzus persicae</x:v>
      </x:c>
      <x:c r="E39" s="2" t="str">
        <x:v>L0</x:v>
      </x:c>
      <x:c r="F39" s="2" t="n">
        <x:v>1</x:v>
      </x:c>
      <x:c r="G39" s="2" t="n">
        <x:v>37</x:v>
      </x:c>
      <x:c r="H39" s="2" t="n">
        <x:f>G39+Supuestos!$C$15</x:f>
        <x:v>38</x:v>
      </x:c>
      <x:c r="I39" s="14" t="n">
        <x:f>E2_plantas!J2+G39</x:f>
        <x:v>46211</x:v>
      </x:c>
      <x:c r="J39" s="2" t="str">
        <x:v>muerta</x:v>
      </x:c>
      <x:c r="K39" s="2" t="n">
        <x:v>0</x:v>
      </x:c>
      <x:c r="L39" s="2" t="n">
        <x:v>0</x:v>
      </x:c>
      <x:c r="M39" s="2" t="n">
        <x:f>SUM(L$2:L39)</x:f>
        <x:v>38</x:v>
      </x:c>
      <x:c r="N39" s="2" t="n">
        <x:v>0</x:v>
      </x:c>
      <x:c r="O39" s="2" t="str">
        <x:v>relleno_postmuerte</x:v>
      </x:c>
      <x:c r="P39" s="2" t="n">
        <x:v>0</x:v>
      </x:c>
      <x:c r="Q39" s="2" t="str">
        <x:v>simulado_didactico</x:v>
      </x:c>
    </x:row>
    <x:row r="40" ht="19" customHeight="1">
      <x:c r="A40" s="2" t="str">
        <x:v>SIM-E2-MP-L0-R01</x:v>
      </x:c>
      <x:c r="B40" s="2" t="n">
        <x:v>1</x:v>
      </x:c>
      <x:c r="C40" s="2" t="str">
        <x:v>MP</x:v>
      </x:c>
      <x:c r="D40" s="2" t="str">
        <x:v>Myzus persicae</x:v>
      </x:c>
      <x:c r="E40" s="2" t="str">
        <x:v>L0</x:v>
      </x:c>
      <x:c r="F40" s="2" t="n">
        <x:v>1</x:v>
      </x:c>
      <x:c r="G40" s="2" t="n">
        <x:v>38</x:v>
      </x:c>
      <x:c r="H40" s="2" t="n">
        <x:f>G40+Supuestos!$C$15</x:f>
        <x:v>39</x:v>
      </x:c>
      <x:c r="I40" s="14" t="n">
        <x:f>E2_plantas!J2+G40</x:f>
        <x:v>46212</x:v>
      </x:c>
      <x:c r="J40" s="2" t="str">
        <x:v>muerta</x:v>
      </x:c>
      <x:c r="K40" s="2" t="n">
        <x:v>0</x:v>
      </x:c>
      <x:c r="L40" s="2" t="n">
        <x:v>0</x:v>
      </x:c>
      <x:c r="M40" s="2" t="n">
        <x:f>SUM(L$2:L40)</x:f>
        <x:v>38</x:v>
      </x:c>
      <x:c r="N40" s="2" t="n">
        <x:v>0</x:v>
      </x:c>
      <x:c r="O40" s="2" t="str">
        <x:v>relleno_postmuerte</x:v>
      </x:c>
      <x:c r="P40" s="2" t="n">
        <x:v>0</x:v>
      </x:c>
      <x:c r="Q40" s="2" t="str">
        <x:v>simulado_didactico</x:v>
      </x:c>
    </x:row>
    <x:row r="41" ht="19" customHeight="1">
      <x:c r="A41" s="2" t="str">
        <x:v>SIM-E2-MP-L0-R01</x:v>
      </x:c>
      <x:c r="B41" s="2" t="n">
        <x:v>1</x:v>
      </x:c>
      <x:c r="C41" s="2" t="str">
        <x:v>MP</x:v>
      </x:c>
      <x:c r="D41" s="2" t="str">
        <x:v>Myzus persicae</x:v>
      </x:c>
      <x:c r="E41" s="2" t="str">
        <x:v>L0</x:v>
      </x:c>
      <x:c r="F41" s="2" t="n">
        <x:v>1</x:v>
      </x:c>
      <x:c r="G41" s="2" t="n">
        <x:v>39</x:v>
      </x:c>
      <x:c r="H41" s="2" t="n">
        <x:f>G41+Supuestos!$C$15</x:f>
        <x:v>40</x:v>
      </x:c>
      <x:c r="I41" s="14" t="n">
        <x:f>E2_plantas!J2+G41</x:f>
        <x:v>46213</x:v>
      </x:c>
      <x:c r="J41" s="2" t="str">
        <x:v>muerta</x:v>
      </x:c>
      <x:c r="K41" s="2" t="n">
        <x:v>0</x:v>
      </x:c>
      <x:c r="L41" s="2" t="n">
        <x:v>0</x:v>
      </x:c>
      <x:c r="M41" s="2" t="n">
        <x:f>SUM(L$2:L41)</x:f>
        <x:v>38</x:v>
      </x:c>
      <x:c r="N41" s="2" t="n">
        <x:v>0</x:v>
      </x:c>
      <x:c r="O41" s="2" t="str">
        <x:v>relleno_postmuerte</x:v>
      </x:c>
      <x:c r="P41" s="2" t="n">
        <x:v>0</x:v>
      </x:c>
      <x:c r="Q41" s="2" t="str">
        <x:v>simulado_didactico</x:v>
      </x:c>
    </x:row>
    <x:row r="42" ht="19" customHeight="1">
      <x:c r="A42" s="2" t="str">
        <x:v>SIM-E2-MP-L0-R01</x:v>
      </x:c>
      <x:c r="B42" s="2" t="n">
        <x:v>1</x:v>
      </x:c>
      <x:c r="C42" s="2" t="str">
        <x:v>MP</x:v>
      </x:c>
      <x:c r="D42" s="2" t="str">
        <x:v>Myzus persicae</x:v>
      </x:c>
      <x:c r="E42" s="2" t="str">
        <x:v>L0</x:v>
      </x:c>
      <x:c r="F42" s="2" t="n">
        <x:v>1</x:v>
      </x:c>
      <x:c r="G42" s="2" t="n">
        <x:v>40</x:v>
      </x:c>
      <x:c r="H42" s="2" t="n">
        <x:f>G42+Supuestos!$C$15</x:f>
        <x:v>41</x:v>
      </x:c>
      <x:c r="I42" s="14" t="n">
        <x:f>E2_plantas!J2+G42</x:f>
        <x:v>46214</x:v>
      </x:c>
      <x:c r="J42" s="2" t="str">
        <x:v>muerta</x:v>
      </x:c>
      <x:c r="K42" s="2" t="n">
        <x:v>0</x:v>
      </x:c>
      <x:c r="L42" s="2" t="n">
        <x:v>0</x:v>
      </x:c>
      <x:c r="M42" s="2" t="n">
        <x:f>SUM(L$2:L42)</x:f>
        <x:v>38</x:v>
      </x:c>
      <x:c r="N42" s="2" t="n">
        <x:v>0</x:v>
      </x:c>
      <x:c r="O42" s="2" t="str">
        <x:v>relleno_postmuerte</x:v>
      </x:c>
      <x:c r="P42" s="2" t="n">
        <x:v>0</x:v>
      </x:c>
      <x:c r="Q42" s="2" t="str">
        <x:v>simulado_didactico</x:v>
      </x:c>
    </x:row>
    <x:row r="43" ht="19" customHeight="1">
      <x:c r="A43" s="2" t="str">
        <x:v>SIM-E2-MP-L0-R01</x:v>
      </x:c>
      <x:c r="B43" s="2" t="n">
        <x:v>1</x:v>
      </x:c>
      <x:c r="C43" s="2" t="str">
        <x:v>MP</x:v>
      </x:c>
      <x:c r="D43" s="2" t="str">
        <x:v>Myzus persicae</x:v>
      </x:c>
      <x:c r="E43" s="2" t="str">
        <x:v>L0</x:v>
      </x:c>
      <x:c r="F43" s="2" t="n">
        <x:v>1</x:v>
      </x:c>
      <x:c r="G43" s="2" t="n">
        <x:v>41</x:v>
      </x:c>
      <x:c r="H43" s="2" t="n">
        <x:f>G43+Supuestos!$C$15</x:f>
        <x:v>42</x:v>
      </x:c>
      <x:c r="I43" s="14" t="n">
        <x:f>E2_plantas!J2+G43</x:f>
        <x:v>46215</x:v>
      </x:c>
      <x:c r="J43" s="2" t="str">
        <x:v>muerta</x:v>
      </x:c>
      <x:c r="K43" s="2" t="n">
        <x:v>0</x:v>
      </x:c>
      <x:c r="L43" s="2" t="n">
        <x:v>0</x:v>
      </x:c>
      <x:c r="M43" s="2" t="n">
        <x:f>SUM(L$2:L43)</x:f>
        <x:v>38</x:v>
      </x:c>
      <x:c r="N43" s="2" t="n">
        <x:v>0</x:v>
      </x:c>
      <x:c r="O43" s="2" t="str">
        <x:v>relleno_postmuerte</x:v>
      </x:c>
      <x:c r="P43" s="2" t="n">
        <x:v>0</x:v>
      </x:c>
      <x:c r="Q43" s="2" t="str">
        <x:v>simulado_didactico</x:v>
      </x:c>
    </x:row>
    <x:row r="44" ht="19" customHeight="1">
      <x:c r="A44" s="2" t="str">
        <x:v>SIM-E2-MP-L0-R02</x:v>
      </x:c>
      <x:c r="B44" s="2" t="n">
        <x:v>1</x:v>
      </x:c>
      <x:c r="C44" s="2" t="str">
        <x:v>MP</x:v>
      </x:c>
      <x:c r="D44" s="2" t="str">
        <x:v>Myzus persicae</x:v>
      </x:c>
      <x:c r="E44" s="2" t="str">
        <x:v>L0</x:v>
      </x:c>
      <x:c r="F44" s="2" t="n">
        <x:v>2</x:v>
      </x:c>
      <x:c r="G44" s="2" t="n">
        <x:v>0</x:v>
      </x:c>
      <x:c r="H44" s="2" t="n">
        <x:f>G44+Supuestos!$C$15</x:f>
        <x:v>1</x:v>
      </x:c>
      <x:c r="I44" s="14" t="n">
        <x:f>E2_plantas!J3+G44</x:f>
        <x:v>46174</x:v>
      </x:c>
      <x:c r="J44" s="2" t="str">
        <x:v>N1</x:v>
      </x:c>
      <x:c r="K44" s="2" t="n">
        <x:v>1</x:v>
      </x:c>
      <x:c r="L44" s="2" t="n">
        <x:v>0</x:v>
      </x:c>
      <x:c r="M44" s="2" t="n">
        <x:f>SUM(L$44:L44)</x:f>
        <x:v>0</x:v>
      </x:c>
      <x:c r="N44" s="2" t="n">
        <x:v>0</x:v>
      </x:c>
      <x:c r="O44" s="2" t="str">
        <x:v>seguimiento</x:v>
      </x:c>
      <x:c r="P44" s="2" t="n">
        <x:v>0</x:v>
      </x:c>
      <x:c r="Q44" s="2" t="str">
        <x:v>simulado_didactico</x:v>
      </x:c>
    </x:row>
    <x:row r="45" ht="19" customHeight="1">
      <x:c r="A45" s="2" t="str">
        <x:v>SIM-E2-MP-L0-R02</x:v>
      </x:c>
      <x:c r="B45" s="2" t="n">
        <x:v>1</x:v>
      </x:c>
      <x:c r="C45" s="2" t="str">
        <x:v>MP</x:v>
      </x:c>
      <x:c r="D45" s="2" t="str">
        <x:v>Myzus persicae</x:v>
      </x:c>
      <x:c r="E45" s="2" t="str">
        <x:v>L0</x:v>
      </x:c>
      <x:c r="F45" s="2" t="n">
        <x:v>2</x:v>
      </x:c>
      <x:c r="G45" s="2" t="n">
        <x:v>1</x:v>
      </x:c>
      <x:c r="H45" s="2" t="n">
        <x:f>G45+Supuestos!$C$15</x:f>
        <x:v>2</x:v>
      </x:c>
      <x:c r="I45" s="14" t="n">
        <x:f>E2_plantas!J3+G45</x:f>
        <x:v>46175</x:v>
      </x:c>
      <x:c r="J45" s="2" t="str">
        <x:v>N1</x:v>
      </x:c>
      <x:c r="K45" s="2" t="n">
        <x:v>1</x:v>
      </x:c>
      <x:c r="L45" s="2" t="n">
        <x:v>0</x:v>
      </x:c>
      <x:c r="M45" s="2" t="n">
        <x:f>SUM(L$44:L45)</x:f>
        <x:v>0</x:v>
      </x:c>
      <x:c r="N45" s="2" t="n">
        <x:v>0</x:v>
      </x:c>
      <x:c r="O45" s="2" t="str">
        <x:v>seguimiento</x:v>
      </x:c>
      <x:c r="P45" s="2" t="n">
        <x:v>0</x:v>
      </x:c>
      <x:c r="Q45" s="2" t="str">
        <x:v>simulado_didactico</x:v>
      </x:c>
    </x:row>
    <x:row r="46" ht="19" customHeight="1">
      <x:c r="A46" s="2" t="str">
        <x:v>SIM-E2-MP-L0-R02</x:v>
      </x:c>
      <x:c r="B46" s="2" t="n">
        <x:v>1</x:v>
      </x:c>
      <x:c r="C46" s="2" t="str">
        <x:v>MP</x:v>
      </x:c>
      <x:c r="D46" s="2" t="str">
        <x:v>Myzus persicae</x:v>
      </x:c>
      <x:c r="E46" s="2" t="str">
        <x:v>L0</x:v>
      </x:c>
      <x:c r="F46" s="2" t="n">
        <x:v>2</x:v>
      </x:c>
      <x:c r="G46" s="2" t="n">
        <x:v>2</x:v>
      </x:c>
      <x:c r="H46" s="2" t="n">
        <x:f>G46+Supuestos!$C$15</x:f>
        <x:v>3</x:v>
      </x:c>
      <x:c r="I46" s="14" t="n">
        <x:f>E2_plantas!J3+G46</x:f>
        <x:v>46176</x:v>
      </x:c>
      <x:c r="J46" s="2" t="str">
        <x:v>N1</x:v>
      </x:c>
      <x:c r="K46" s="2" t="n">
        <x:v>1</x:v>
      </x:c>
      <x:c r="L46" s="2" t="n">
        <x:v>0</x:v>
      </x:c>
      <x:c r="M46" s="2" t="n">
        <x:f>SUM(L$44:L46)</x:f>
        <x:v>0</x:v>
      </x:c>
      <x:c r="N46" s="2" t="n">
        <x:v>0</x:v>
      </x:c>
      <x:c r="O46" s="2" t="str">
        <x:v>seguimiento</x:v>
      </x:c>
      <x:c r="P46" s="2" t="n">
        <x:v>0</x:v>
      </x:c>
      <x:c r="Q46" s="2" t="str">
        <x:v>simulado_didactico</x:v>
      </x:c>
    </x:row>
    <x:row r="47" ht="19" customHeight="1">
      <x:c r="A47" s="2" t="str">
        <x:v>SIM-E2-MP-L0-R02</x:v>
      </x:c>
      <x:c r="B47" s="2" t="n">
        <x:v>1</x:v>
      </x:c>
      <x:c r="C47" s="2" t="str">
        <x:v>MP</x:v>
      </x:c>
      <x:c r="D47" s="2" t="str">
        <x:v>Myzus persicae</x:v>
      </x:c>
      <x:c r="E47" s="2" t="str">
        <x:v>L0</x:v>
      </x:c>
      <x:c r="F47" s="2" t="n">
        <x:v>2</x:v>
      </x:c>
      <x:c r="G47" s="2" t="n">
        <x:v>3</x:v>
      </x:c>
      <x:c r="H47" s="2" t="n">
        <x:f>G47+Supuestos!$C$15</x:f>
        <x:v>4</x:v>
      </x:c>
      <x:c r="I47" s="14" t="n">
        <x:f>E2_plantas!J3+G47</x:f>
        <x:v>46177</x:v>
      </x:c>
      <x:c r="J47" s="2" t="str">
        <x:v>N2</x:v>
      </x:c>
      <x:c r="K47" s="2" t="n">
        <x:v>1</x:v>
      </x:c>
      <x:c r="L47" s="2" t="n">
        <x:v>0</x:v>
      </x:c>
      <x:c r="M47" s="2" t="n">
        <x:f>SUM(L$44:L47)</x:f>
        <x:v>0</x:v>
      </x:c>
      <x:c r="N47" s="2" t="n">
        <x:v>0</x:v>
      </x:c>
      <x:c r="O47" s="2" t="str">
        <x:v>seguimiento</x:v>
      </x:c>
      <x:c r="P47" s="2" t="n">
        <x:v>0</x:v>
      </x:c>
      <x:c r="Q47" s="2" t="str">
        <x:v>simulado_didactico</x:v>
      </x:c>
    </x:row>
    <x:row r="48" ht="19" customHeight="1">
      <x:c r="A48" s="2" t="str">
        <x:v>SIM-E2-MP-L0-R02</x:v>
      </x:c>
      <x:c r="B48" s="2" t="n">
        <x:v>1</x:v>
      </x:c>
      <x:c r="C48" s="2" t="str">
        <x:v>MP</x:v>
      </x:c>
      <x:c r="D48" s="2" t="str">
        <x:v>Myzus persicae</x:v>
      </x:c>
      <x:c r="E48" s="2" t="str">
        <x:v>L0</x:v>
      </x:c>
      <x:c r="F48" s="2" t="n">
        <x:v>2</x:v>
      </x:c>
      <x:c r="G48" s="2" t="n">
        <x:v>4</x:v>
      </x:c>
      <x:c r="H48" s="2" t="n">
        <x:f>G48+Supuestos!$C$15</x:f>
        <x:v>5</x:v>
      </x:c>
      <x:c r="I48" s="14" t="n">
        <x:f>E2_plantas!J3+G48</x:f>
        <x:v>46178</x:v>
      </x:c>
      <x:c r="J48" s="2" t="str">
        <x:v>N3</x:v>
      </x:c>
      <x:c r="K48" s="2" t="n">
        <x:v>1</x:v>
      </x:c>
      <x:c r="L48" s="2" t="n">
        <x:v>0</x:v>
      </x:c>
      <x:c r="M48" s="2" t="n">
        <x:f>SUM(L$44:L48)</x:f>
        <x:v>0</x:v>
      </x:c>
      <x:c r="N48" s="2" t="n">
        <x:v>0</x:v>
      </x:c>
      <x:c r="O48" s="2" t="str">
        <x:v>seguimiento</x:v>
      </x:c>
      <x:c r="P48" s="2" t="n">
        <x:v>0</x:v>
      </x:c>
      <x:c r="Q48" s="2" t="str">
        <x:v>simulado_didactico</x:v>
      </x:c>
    </x:row>
    <x:row r="49" ht="19" customHeight="1">
      <x:c r="A49" s="2" t="str">
        <x:v>SIM-E2-MP-L0-R02</x:v>
      </x:c>
      <x:c r="B49" s="2" t="n">
        <x:v>1</x:v>
      </x:c>
      <x:c r="C49" s="2" t="str">
        <x:v>MP</x:v>
      </x:c>
      <x:c r="D49" s="2" t="str">
        <x:v>Myzus persicae</x:v>
      </x:c>
      <x:c r="E49" s="2" t="str">
        <x:v>L0</x:v>
      </x:c>
      <x:c r="F49" s="2" t="n">
        <x:v>2</x:v>
      </x:c>
      <x:c r="G49" s="2" t="n">
        <x:v>5</x:v>
      </x:c>
      <x:c r="H49" s="2" t="n">
        <x:f>G49+Supuestos!$C$15</x:f>
        <x:v>6</x:v>
      </x:c>
      <x:c r="I49" s="14" t="n">
        <x:f>E2_plantas!J3+G49</x:f>
        <x:v>46179</x:v>
      </x:c>
      <x:c r="J49" s="2" t="str">
        <x:v>N4</x:v>
      </x:c>
      <x:c r="K49" s="2" t="n">
        <x:v>1</x:v>
      </x:c>
      <x:c r="L49" s="2" t="n">
        <x:v>0</x:v>
      </x:c>
      <x:c r="M49" s="2" t="n">
        <x:f>SUM(L$44:L49)</x:f>
        <x:v>0</x:v>
      </x:c>
      <x:c r="N49" s="2" t="n">
        <x:v>0</x:v>
      </x:c>
      <x:c r="O49" s="2" t="str">
        <x:v>seguimiento</x:v>
      </x:c>
      <x:c r="P49" s="2" t="n">
        <x:v>0</x:v>
      </x:c>
      <x:c r="Q49" s="2" t="str">
        <x:v>simulado_didactico</x:v>
      </x:c>
    </x:row>
    <x:row r="50" ht="19" customHeight="1">
      <x:c r="A50" s="2" t="str">
        <x:v>SIM-E2-MP-L0-R02</x:v>
      </x:c>
      <x:c r="B50" s="2" t="n">
        <x:v>1</x:v>
      </x:c>
      <x:c r="C50" s="2" t="str">
        <x:v>MP</x:v>
      </x:c>
      <x:c r="D50" s="2" t="str">
        <x:v>Myzus persicae</x:v>
      </x:c>
      <x:c r="E50" s="2" t="str">
        <x:v>L0</x:v>
      </x:c>
      <x:c r="F50" s="2" t="n">
        <x:v>2</x:v>
      </x:c>
      <x:c r="G50" s="2" t="n">
        <x:v>6</x:v>
      </x:c>
      <x:c r="H50" s="2" t="n">
        <x:f>G50+Supuestos!$C$15</x:f>
        <x:v>7</x:v>
      </x:c>
      <x:c r="I50" s="14" t="n">
        <x:f>E2_plantas!J3+G50</x:f>
        <x:v>46180</x:v>
      </x:c>
      <x:c r="J50" s="2" t="str">
        <x:v>N4</x:v>
      </x:c>
      <x:c r="K50" s="2" t="n">
        <x:v>1</x:v>
      </x:c>
      <x:c r="L50" s="2" t="n">
        <x:v>0</x:v>
      </x:c>
      <x:c r="M50" s="2" t="n">
        <x:f>SUM(L$44:L50)</x:f>
        <x:v>0</x:v>
      </x:c>
      <x:c r="N50" s="2" t="n">
        <x:v>0</x:v>
      </x:c>
      <x:c r="O50" s="2" t="str">
        <x:v>seguimiento</x:v>
      </x:c>
      <x:c r="P50" s="2" t="n">
        <x:v>0</x:v>
      </x:c>
      <x:c r="Q50" s="2" t="str">
        <x:v>simulado_didactico</x:v>
      </x:c>
    </x:row>
    <x:row r="51" ht="19" customHeight="1">
      <x:c r="A51" s="2" t="str">
        <x:v>SIM-E2-MP-L0-R02</x:v>
      </x:c>
      <x:c r="B51" s="2" t="n">
        <x:v>1</x:v>
      </x:c>
      <x:c r="C51" s="2" t="str">
        <x:v>MP</x:v>
      </x:c>
      <x:c r="D51" s="2" t="str">
        <x:v>Myzus persicae</x:v>
      </x:c>
      <x:c r="E51" s="2" t="str">
        <x:v>L0</x:v>
      </x:c>
      <x:c r="F51" s="2" t="n">
        <x:v>2</x:v>
      </x:c>
      <x:c r="G51" s="2" t="n">
        <x:v>7</x:v>
      </x:c>
      <x:c r="H51" s="2" t="n">
        <x:f>G51+Supuestos!$C$15</x:f>
        <x:v>8</x:v>
      </x:c>
      <x:c r="I51" s="14" t="n">
        <x:f>E2_plantas!J3+G51</x:f>
        <x:v>46181</x:v>
      </x:c>
      <x:c r="J51" s="2" t="str">
        <x:v>N4</x:v>
      </x:c>
      <x:c r="K51" s="2" t="n">
        <x:v>1</x:v>
      </x:c>
      <x:c r="L51" s="2" t="n">
        <x:v>0</x:v>
      </x:c>
      <x:c r="M51" s="2" t="n">
        <x:f>SUM(L$44:L51)</x:f>
        <x:v>0</x:v>
      </x:c>
      <x:c r="N51" s="2" t="n">
        <x:v>0</x:v>
      </x:c>
      <x:c r="O51" s="2" t="str">
        <x:v>seguimiento</x:v>
      </x:c>
      <x:c r="P51" s="2" t="n">
        <x:v>0</x:v>
      </x:c>
      <x:c r="Q51" s="2" t="str">
        <x:v>simulado_didactico</x:v>
      </x:c>
    </x:row>
    <x:row r="52" ht="19" customHeight="1">
      <x:c r="A52" s="2" t="str">
        <x:v>SIM-E2-MP-L0-R02</x:v>
      </x:c>
      <x:c r="B52" s="2" t="n">
        <x:v>1</x:v>
      </x:c>
      <x:c r="C52" s="2" t="str">
        <x:v>MP</x:v>
      </x:c>
      <x:c r="D52" s="2" t="str">
        <x:v>Myzus persicae</x:v>
      </x:c>
      <x:c r="E52" s="2" t="str">
        <x:v>L0</x:v>
      </x:c>
      <x:c r="F52" s="2" t="n">
        <x:v>2</x:v>
      </x:c>
      <x:c r="G52" s="2" t="n">
        <x:v>8</x:v>
      </x:c>
      <x:c r="H52" s="2" t="n">
        <x:f>G52+Supuestos!$C$15</x:f>
        <x:v>9</x:v>
      </x:c>
      <x:c r="I52" s="14" t="n">
        <x:f>E2_plantas!J3+G52</x:f>
        <x:v>46182</x:v>
      </x:c>
      <x:c r="J52" s="2" t="str">
        <x:v>adulta</x:v>
      </x:c>
      <x:c r="K52" s="2" t="n">
        <x:v>1</x:v>
      </x:c>
      <x:c r="L52" s="2" t="n">
        <x:v>0</x:v>
      </x:c>
      <x:c r="M52" s="2" t="n">
        <x:f>SUM(L$44:L52)</x:f>
        <x:v>0</x:v>
      </x:c>
      <x:c r="N52" s="2" t="n">
        <x:v>0</x:v>
      </x:c>
      <x:c r="O52" s="2" t="str">
        <x:v>seguimiento</x:v>
      </x:c>
      <x:c r="P52" s="2" t="n">
        <x:v>0</x:v>
      </x:c>
      <x:c r="Q52" s="2" t="str">
        <x:v>simulado_didactico</x:v>
      </x:c>
    </x:row>
    <x:row r="53" ht="19" customHeight="1">
      <x:c r="A53" s="2" t="str">
        <x:v>SIM-E2-MP-L0-R02</x:v>
      </x:c>
      <x:c r="B53" s="2" t="n">
        <x:v>1</x:v>
      </x:c>
      <x:c r="C53" s="2" t="str">
        <x:v>MP</x:v>
      </x:c>
      <x:c r="D53" s="2" t="str">
        <x:v>Myzus persicae</x:v>
      </x:c>
      <x:c r="E53" s="2" t="str">
        <x:v>L0</x:v>
      </x:c>
      <x:c r="F53" s="2" t="n">
        <x:v>2</x:v>
      </x:c>
      <x:c r="G53" s="2" t="n">
        <x:v>9</x:v>
      </x:c>
      <x:c r="H53" s="2" t="n">
        <x:f>G53+Supuestos!$C$15</x:f>
        <x:v>10</x:v>
      </x:c>
      <x:c r="I53" s="14" t="n">
        <x:f>E2_plantas!J3+G53</x:f>
        <x:v>46183</x:v>
      </x:c>
      <x:c r="J53" s="2" t="str">
        <x:v>adulta</x:v>
      </x:c>
      <x:c r="K53" s="2" t="n">
        <x:v>1</x:v>
      </x:c>
      <x:c r="L53" s="2" t="n">
        <x:v>0</x:v>
      </x:c>
      <x:c r="M53" s="2" t="n">
        <x:f>SUM(L$44:L53)</x:f>
        <x:v>0</x:v>
      </x:c>
      <x:c r="N53" s="2" t="n">
        <x:v>0</x:v>
      </x:c>
      <x:c r="O53" s="2" t="str">
        <x:v>seguimiento</x:v>
      </x:c>
      <x:c r="P53" s="2" t="n">
        <x:v>0</x:v>
      </x:c>
      <x:c r="Q53" s="2" t="str">
        <x:v>simulado_didactico</x:v>
      </x:c>
    </x:row>
    <x:row r="54" ht="19" customHeight="1">
      <x:c r="A54" s="2" t="str">
        <x:v>SIM-E2-MP-L0-R02</x:v>
      </x:c>
      <x:c r="B54" s="2" t="n">
        <x:v>1</x:v>
      </x:c>
      <x:c r="C54" s="2" t="str">
        <x:v>MP</x:v>
      </x:c>
      <x:c r="D54" s="2" t="str">
        <x:v>Myzus persicae</x:v>
      </x:c>
      <x:c r="E54" s="2" t="str">
        <x:v>L0</x:v>
      </x:c>
      <x:c r="F54" s="2" t="n">
        <x:v>2</x:v>
      </x:c>
      <x:c r="G54" s="2" t="n">
        <x:v>10</x:v>
      </x:c>
      <x:c r="H54" s="2" t="n">
        <x:f>G54+Supuestos!$C$15</x:f>
        <x:v>11</x:v>
      </x:c>
      <x:c r="I54" s="14" t="n">
        <x:f>E2_plantas!J3+G54</x:f>
        <x:v>46184</x:v>
      </x:c>
      <x:c r="J54" s="2" t="str">
        <x:v>adulta</x:v>
      </x:c>
      <x:c r="K54" s="2" t="n">
        <x:v>1</x:v>
      </x:c>
      <x:c r="L54" s="2" t="n">
        <x:v>1</x:v>
      </x:c>
      <x:c r="M54" s="2" t="n">
        <x:f>SUM(L$44:L54)</x:f>
        <x:v>1</x:v>
      </x:c>
      <x:c r="N54" s="2" t="n">
        <x:v>0</x:v>
      </x:c>
      <x:c r="O54" s="2" t="str">
        <x:v>seguimiento</x:v>
      </x:c>
      <x:c r="P54" s="2" t="n">
        <x:v>0</x:v>
      </x:c>
      <x:c r="Q54" s="2" t="str">
        <x:v>simulado_didactico</x:v>
      </x:c>
    </x:row>
    <x:row r="55" ht="19" customHeight="1">
      <x:c r="A55" s="2" t="str">
        <x:v>SIM-E2-MP-L0-R02</x:v>
      </x:c>
      <x:c r="B55" s="2" t="n">
        <x:v>1</x:v>
      </x:c>
      <x:c r="C55" s="2" t="str">
        <x:v>MP</x:v>
      </x:c>
      <x:c r="D55" s="2" t="str">
        <x:v>Myzus persicae</x:v>
      </x:c>
      <x:c r="E55" s="2" t="str">
        <x:v>L0</x:v>
      </x:c>
      <x:c r="F55" s="2" t="n">
        <x:v>2</x:v>
      </x:c>
      <x:c r="G55" s="2" t="n">
        <x:v>11</x:v>
      </x:c>
      <x:c r="H55" s="2" t="n">
        <x:f>G55+Supuestos!$C$15</x:f>
        <x:v>12</x:v>
      </x:c>
      <x:c r="I55" s="14" t="n">
        <x:f>E2_plantas!J3+G55</x:f>
        <x:v>46185</x:v>
      </x:c>
      <x:c r="J55" s="2" t="str">
        <x:v>adulta</x:v>
      </x:c>
      <x:c r="K55" s="2" t="n">
        <x:v>1</x:v>
      </x:c>
      <x:c r="L55" s="2" t="n">
        <x:v>4</x:v>
      </x:c>
      <x:c r="M55" s="2" t="n">
        <x:f>SUM(L$44:L55)</x:f>
        <x:v>5</x:v>
      </x:c>
      <x:c r="N55" s="2" t="n">
        <x:v>0</x:v>
      </x:c>
      <x:c r="O55" s="2" t="str">
        <x:v>seguimiento</x:v>
      </x:c>
      <x:c r="P55" s="2" t="n">
        <x:v>0</x:v>
      </x:c>
      <x:c r="Q55" s="2" t="str">
        <x:v>simulado_didactico</x:v>
      </x:c>
    </x:row>
    <x:row r="56" ht="19" customHeight="1">
      <x:c r="A56" s="2" t="str">
        <x:v>SIM-E2-MP-L0-R02</x:v>
      </x:c>
      <x:c r="B56" s="2" t="n">
        <x:v>1</x:v>
      </x:c>
      <x:c r="C56" s="2" t="str">
        <x:v>MP</x:v>
      </x:c>
      <x:c r="D56" s="2" t="str">
        <x:v>Myzus persicae</x:v>
      </x:c>
      <x:c r="E56" s="2" t="str">
        <x:v>L0</x:v>
      </x:c>
      <x:c r="F56" s="2" t="n">
        <x:v>2</x:v>
      </x:c>
      <x:c r="G56" s="2" t="n">
        <x:v>12</x:v>
      </x:c>
      <x:c r="H56" s="2" t="n">
        <x:f>G56+Supuestos!$C$15</x:f>
        <x:v>13</x:v>
      </x:c>
      <x:c r="I56" s="14" t="n">
        <x:f>E2_plantas!J3+G56</x:f>
        <x:v>46186</x:v>
      </x:c>
      <x:c r="J56" s="2" t="str">
        <x:v>adulta</x:v>
      </x:c>
      <x:c r="K56" s="2" t="n">
        <x:v>1</x:v>
      </x:c>
      <x:c r="L56" s="2" t="n">
        <x:v>5</x:v>
      </x:c>
      <x:c r="M56" s="2" t="n">
        <x:f>SUM(L$44:L56)</x:f>
        <x:v>10</x:v>
      </x:c>
      <x:c r="N56" s="2" t="n">
        <x:v>0</x:v>
      </x:c>
      <x:c r="O56" s="2" t="str">
        <x:v>seguimiento</x:v>
      </x:c>
      <x:c r="P56" s="2" t="n">
        <x:v>0</x:v>
      </x:c>
      <x:c r="Q56" s="2" t="str">
        <x:v>simulado_didactico</x:v>
      </x:c>
    </x:row>
    <x:row r="57" ht="19" customHeight="1">
      <x:c r="A57" s="2" t="str">
        <x:v>SIM-E2-MP-L0-R02</x:v>
      </x:c>
      <x:c r="B57" s="2" t="n">
        <x:v>1</x:v>
      </x:c>
      <x:c r="C57" s="2" t="str">
        <x:v>MP</x:v>
      </x:c>
      <x:c r="D57" s="2" t="str">
        <x:v>Myzus persicae</x:v>
      </x:c>
      <x:c r="E57" s="2" t="str">
        <x:v>L0</x:v>
      </x:c>
      <x:c r="F57" s="2" t="n">
        <x:v>2</x:v>
      </x:c>
      <x:c r="G57" s="2" t="n">
        <x:v>13</x:v>
      </x:c>
      <x:c r="H57" s="2" t="n">
        <x:f>G57+Supuestos!$C$15</x:f>
        <x:v>14</x:v>
      </x:c>
      <x:c r="I57" s="14" t="n">
        <x:f>E2_plantas!J3+G57</x:f>
        <x:v>46187</x:v>
      </x:c>
      <x:c r="J57" s="2" t="str">
        <x:v>adulta</x:v>
      </x:c>
      <x:c r="K57" s="2" t="n">
        <x:v>1</x:v>
      </x:c>
      <x:c r="L57" s="2" t="n">
        <x:v>2</x:v>
      </x:c>
      <x:c r="M57" s="2" t="n">
        <x:f>SUM(L$44:L57)</x:f>
        <x:v>12</x:v>
      </x:c>
      <x:c r="N57" s="2" t="n">
        <x:v>0</x:v>
      </x:c>
      <x:c r="O57" s="2" t="str">
        <x:v>seguimiento</x:v>
      </x:c>
      <x:c r="P57" s="2" t="n">
        <x:v>0</x:v>
      </x:c>
      <x:c r="Q57" s="2" t="str">
        <x:v>simulado_didactico</x:v>
      </x:c>
    </x:row>
    <x:row r="58" ht="19" customHeight="1">
      <x:c r="A58" s="2" t="str">
        <x:v>SIM-E2-MP-L0-R02</x:v>
      </x:c>
      <x:c r="B58" s="2" t="n">
        <x:v>1</x:v>
      </x:c>
      <x:c r="C58" s="2" t="str">
        <x:v>MP</x:v>
      </x:c>
      <x:c r="D58" s="2" t="str">
        <x:v>Myzus persicae</x:v>
      </x:c>
      <x:c r="E58" s="2" t="str">
        <x:v>L0</x:v>
      </x:c>
      <x:c r="F58" s="2" t="n">
        <x:v>2</x:v>
      </x:c>
      <x:c r="G58" s="2" t="n">
        <x:v>14</x:v>
      </x:c>
      <x:c r="H58" s="2" t="n">
        <x:f>G58+Supuestos!$C$15</x:f>
        <x:v>15</x:v>
      </x:c>
      <x:c r="I58" s="14" t="n">
        <x:f>E2_plantas!J3+G58</x:f>
        <x:v>46188</x:v>
      </x:c>
      <x:c r="J58" s="2" t="str">
        <x:v>adulta</x:v>
      </x:c>
      <x:c r="K58" s="2" t="n">
        <x:v>1</x:v>
      </x:c>
      <x:c r="L58" s="2" t="n">
        <x:v>1</x:v>
      </x:c>
      <x:c r="M58" s="2" t="n">
        <x:f>SUM(L$44:L58)</x:f>
        <x:v>13</x:v>
      </x:c>
      <x:c r="N58" s="2" t="n">
        <x:v>0</x:v>
      </x:c>
      <x:c r="O58" s="2" t="str">
        <x:v>seguimiento</x:v>
      </x:c>
      <x:c r="P58" s="2" t="n">
        <x:v>0</x:v>
      </x:c>
      <x:c r="Q58" s="2" t="str">
        <x:v>simulado_didactico</x:v>
      </x:c>
    </x:row>
    <x:row r="59" ht="19" customHeight="1">
      <x:c r="A59" s="2" t="str">
        <x:v>SIM-E2-MP-L0-R02</x:v>
      </x:c>
      <x:c r="B59" s="2" t="n">
        <x:v>1</x:v>
      </x:c>
      <x:c r="C59" s="2" t="str">
        <x:v>MP</x:v>
      </x:c>
      <x:c r="D59" s="2" t="str">
        <x:v>Myzus persicae</x:v>
      </x:c>
      <x:c r="E59" s="2" t="str">
        <x:v>L0</x:v>
      </x:c>
      <x:c r="F59" s="2" t="n">
        <x:v>2</x:v>
      </x:c>
      <x:c r="G59" s="2" t="n">
        <x:v>15</x:v>
      </x:c>
      <x:c r="H59" s="2" t="n">
        <x:f>G59+Supuestos!$C$15</x:f>
        <x:v>16</x:v>
      </x:c>
      <x:c r="I59" s="14" t="n">
        <x:f>E2_plantas!J3+G59</x:f>
        <x:v>46189</x:v>
      </x:c>
      <x:c r="J59" s="2" t="str">
        <x:v>adulta</x:v>
      </x:c>
      <x:c r="K59" s="2" t="n">
        <x:v>1</x:v>
      </x:c>
      <x:c r="L59" s="2" t="n">
        <x:v>6</x:v>
      </x:c>
      <x:c r="M59" s="2" t="n">
        <x:f>SUM(L$44:L59)</x:f>
        <x:v>19</x:v>
      </x:c>
      <x:c r="N59" s="2" t="n">
        <x:v>0</x:v>
      </x:c>
      <x:c r="O59" s="2" t="str">
        <x:v>seguimiento</x:v>
      </x:c>
      <x:c r="P59" s="2" t="n">
        <x:v>0</x:v>
      </x:c>
      <x:c r="Q59" s="2" t="str">
        <x:v>simulado_didactico</x:v>
      </x:c>
    </x:row>
    <x:row r="60" ht="19" customHeight="1">
      <x:c r="A60" s="2" t="str">
        <x:v>SIM-E2-MP-L0-R02</x:v>
      </x:c>
      <x:c r="B60" s="2" t="n">
        <x:v>1</x:v>
      </x:c>
      <x:c r="C60" s="2" t="str">
        <x:v>MP</x:v>
      </x:c>
      <x:c r="D60" s="2" t="str">
        <x:v>Myzus persicae</x:v>
      </x:c>
      <x:c r="E60" s="2" t="str">
        <x:v>L0</x:v>
      </x:c>
      <x:c r="F60" s="2" t="n">
        <x:v>2</x:v>
      </x:c>
      <x:c r="G60" s="2" t="n">
        <x:v>16</x:v>
      </x:c>
      <x:c r="H60" s="2" t="n">
        <x:f>G60+Supuestos!$C$15</x:f>
        <x:v>17</x:v>
      </x:c>
      <x:c r="I60" s="14" t="n">
        <x:f>E2_plantas!J3+G60</x:f>
        <x:v>46190</x:v>
      </x:c>
      <x:c r="J60" s="2" t="str">
        <x:v>adulta</x:v>
      </x:c>
      <x:c r="K60" s="2" t="n">
        <x:v>1</x:v>
      </x:c>
      <x:c r="L60" s="2" t="n">
        <x:v>3</x:v>
      </x:c>
      <x:c r="M60" s="2" t="n">
        <x:f>SUM(L$44:L60)</x:f>
        <x:v>22</x:v>
      </x:c>
      <x:c r="N60" s="2" t="n">
        <x:v>0</x:v>
      </x:c>
      <x:c r="O60" s="2" t="str">
        <x:v>seguimiento</x:v>
      </x:c>
      <x:c r="P60" s="2" t="n">
        <x:v>0</x:v>
      </x:c>
      <x:c r="Q60" s="2" t="str">
        <x:v>simulado_didactico</x:v>
      </x:c>
    </x:row>
    <x:row r="61" ht="19" customHeight="1">
      <x:c r="A61" s="2" t="str">
        <x:v>SIM-E2-MP-L0-R02</x:v>
      </x:c>
      <x:c r="B61" s="2" t="n">
        <x:v>1</x:v>
      </x:c>
      <x:c r="C61" s="2" t="str">
        <x:v>MP</x:v>
      </x:c>
      <x:c r="D61" s="2" t="str">
        <x:v>Myzus persicae</x:v>
      </x:c>
      <x:c r="E61" s="2" t="str">
        <x:v>L0</x:v>
      </x:c>
      <x:c r="F61" s="2" t="n">
        <x:v>2</x:v>
      </x:c>
      <x:c r="G61" s="2" t="n">
        <x:v>17</x:v>
      </x:c>
      <x:c r="H61" s="2" t="n">
        <x:f>G61+Supuestos!$C$15</x:f>
        <x:v>18</x:v>
      </x:c>
      <x:c r="I61" s="14" t="n">
        <x:f>E2_plantas!J3+G61</x:f>
        <x:v>46191</x:v>
      </x:c>
      <x:c r="J61" s="2" t="str">
        <x:v>adulta</x:v>
      </x:c>
      <x:c r="K61" s="2" t="n">
        <x:v>1</x:v>
      </x:c>
      <x:c r="L61" s="2" t="n">
        <x:v>5</x:v>
      </x:c>
      <x:c r="M61" s="2" t="n">
        <x:f>SUM(L$44:L61)</x:f>
        <x:v>27</x:v>
      </x:c>
      <x:c r="N61" s="2" t="n">
        <x:v>0</x:v>
      </x:c>
      <x:c r="O61" s="2" t="str">
        <x:v>seguimiento</x:v>
      </x:c>
      <x:c r="P61" s="2" t="n">
        <x:v>0</x:v>
      </x:c>
      <x:c r="Q61" s="2" t="str">
        <x:v>simulado_didactico</x:v>
      </x:c>
    </x:row>
    <x:row r="62" ht="19" customHeight="1">
      <x:c r="A62" s="2" t="str">
        <x:v>SIM-E2-MP-L0-R02</x:v>
      </x:c>
      <x:c r="B62" s="2" t="n">
        <x:v>1</x:v>
      </x:c>
      <x:c r="C62" s="2" t="str">
        <x:v>MP</x:v>
      </x:c>
      <x:c r="D62" s="2" t="str">
        <x:v>Myzus persicae</x:v>
      </x:c>
      <x:c r="E62" s="2" t="str">
        <x:v>L0</x:v>
      </x:c>
      <x:c r="F62" s="2" t="n">
        <x:v>2</x:v>
      </x:c>
      <x:c r="G62" s="2" t="n">
        <x:v>18</x:v>
      </x:c>
      <x:c r="H62" s="2" t="n">
        <x:f>G62+Supuestos!$C$15</x:f>
        <x:v>19</x:v>
      </x:c>
      <x:c r="I62" s="14" t="n">
        <x:f>E2_plantas!J3+G62</x:f>
        <x:v>46192</x:v>
      </x:c>
      <x:c r="J62" s="2" t="str">
        <x:v>adulta</x:v>
      </x:c>
      <x:c r="K62" s="2" t="n">
        <x:v>1</x:v>
      </x:c>
      <x:c r="L62" s="2" t="n">
        <x:v>3</x:v>
      </x:c>
      <x:c r="M62" s="2" t="n">
        <x:f>SUM(L$44:L62)</x:f>
        <x:v>30</x:v>
      </x:c>
      <x:c r="N62" s="2" t="n">
        <x:v>0</x:v>
      </x:c>
      <x:c r="O62" s="2" t="str">
        <x:v>seguimiento</x:v>
      </x:c>
      <x:c r="P62" s="2" t="n">
        <x:v>0</x:v>
      </x:c>
      <x:c r="Q62" s="2" t="str">
        <x:v>simulado_didactico</x:v>
      </x:c>
    </x:row>
    <x:row r="63" ht="19" customHeight="1">
      <x:c r="A63" s="2" t="str">
        <x:v>SIM-E2-MP-L0-R02</x:v>
      </x:c>
      <x:c r="B63" s="2" t="n">
        <x:v>1</x:v>
      </x:c>
      <x:c r="C63" s="2" t="str">
        <x:v>MP</x:v>
      </x:c>
      <x:c r="D63" s="2" t="str">
        <x:v>Myzus persicae</x:v>
      </x:c>
      <x:c r="E63" s="2" t="str">
        <x:v>L0</x:v>
      </x:c>
      <x:c r="F63" s="2" t="n">
        <x:v>2</x:v>
      </x:c>
      <x:c r="G63" s="2" t="n">
        <x:v>19</x:v>
      </x:c>
      <x:c r="H63" s="2" t="n">
        <x:f>G63+Supuestos!$C$15</x:f>
        <x:v>20</x:v>
      </x:c>
      <x:c r="I63" s="14" t="n">
        <x:f>E2_plantas!J3+G63</x:f>
        <x:v>46193</x:v>
      </x:c>
      <x:c r="J63" s="2" t="str">
        <x:v>adulta</x:v>
      </x:c>
      <x:c r="K63" s="2" t="n">
        <x:v>1</x:v>
      </x:c>
      <x:c r="L63" s="2" t="n">
        <x:v>4</x:v>
      </x:c>
      <x:c r="M63" s="2" t="n">
        <x:f>SUM(L$44:L63)</x:f>
        <x:v>34</x:v>
      </x:c>
      <x:c r="N63" s="2" t="n">
        <x:v>0</x:v>
      </x:c>
      <x:c r="O63" s="2" t="str">
        <x:v>seguimiento</x:v>
      </x:c>
      <x:c r="P63" s="2" t="n">
        <x:v>0</x:v>
      </x:c>
      <x:c r="Q63" s="2" t="str">
        <x:v>simulado_didactico</x:v>
      </x:c>
    </x:row>
    <x:row r="64" ht="19" customHeight="1">
      <x:c r="A64" s="2" t="str">
        <x:v>SIM-E2-MP-L0-R02</x:v>
      </x:c>
      <x:c r="B64" s="2" t="n">
        <x:v>1</x:v>
      </x:c>
      <x:c r="C64" s="2" t="str">
        <x:v>MP</x:v>
      </x:c>
      <x:c r="D64" s="2" t="str">
        <x:v>Myzus persicae</x:v>
      </x:c>
      <x:c r="E64" s="2" t="str">
        <x:v>L0</x:v>
      </x:c>
      <x:c r="F64" s="2" t="n">
        <x:v>2</x:v>
      </x:c>
      <x:c r="G64" s="2" t="n">
        <x:v>20</x:v>
      </x:c>
      <x:c r="H64" s="2" t="n">
        <x:f>G64+Supuestos!$C$15</x:f>
        <x:v>21</x:v>
      </x:c>
      <x:c r="I64" s="14" t="n">
        <x:f>E2_plantas!J3+G64</x:f>
        <x:v>46194</x:v>
      </x:c>
      <x:c r="J64" s="2" t="str">
        <x:v>adulta</x:v>
      </x:c>
      <x:c r="K64" s="2" t="n">
        <x:v>1</x:v>
      </x:c>
      <x:c r="L64" s="2" t="n">
        <x:v>6</x:v>
      </x:c>
      <x:c r="M64" s="2" t="n">
        <x:f>SUM(L$44:L64)</x:f>
        <x:v>40</x:v>
      </x:c>
      <x:c r="N64" s="2" t="n">
        <x:v>0</x:v>
      </x:c>
      <x:c r="O64" s="2" t="str">
        <x:v>seguimiento</x:v>
      </x:c>
      <x:c r="P64" s="2" t="n">
        <x:v>0</x:v>
      </x:c>
      <x:c r="Q64" s="2" t="str">
        <x:v>simulado_didactico</x:v>
      </x:c>
    </x:row>
    <x:row r="65" ht="19" customHeight="1">
      <x:c r="A65" s="2" t="str">
        <x:v>SIM-E2-MP-L0-R02</x:v>
      </x:c>
      <x:c r="B65" s="2" t="n">
        <x:v>1</x:v>
      </x:c>
      <x:c r="C65" s="2" t="str">
        <x:v>MP</x:v>
      </x:c>
      <x:c r="D65" s="2" t="str">
        <x:v>Myzus persicae</x:v>
      </x:c>
      <x:c r="E65" s="2" t="str">
        <x:v>L0</x:v>
      </x:c>
      <x:c r="F65" s="2" t="n">
        <x:v>2</x:v>
      </x:c>
      <x:c r="G65" s="2" t="n">
        <x:v>21</x:v>
      </x:c>
      <x:c r="H65" s="2" t="n">
        <x:f>G65+Supuestos!$C$15</x:f>
        <x:v>22</x:v>
      </x:c>
      <x:c r="I65" s="14" t="n">
        <x:f>E2_plantas!J3+G65</x:f>
        <x:v>46195</x:v>
      </x:c>
      <x:c r="J65" s="2" t="str">
        <x:v>adulta</x:v>
      </x:c>
      <x:c r="K65" s="2" t="n">
        <x:v>1</x:v>
      </x:c>
      <x:c r="L65" s="2" t="n">
        <x:v>4</x:v>
      </x:c>
      <x:c r="M65" s="2" t="n">
        <x:f>SUM(L$44:L65)</x:f>
        <x:v>44</x:v>
      </x:c>
      <x:c r="N65" s="2" t="n">
        <x:v>0</x:v>
      </x:c>
      <x:c r="O65" s="2" t="str">
        <x:v>seguimiento</x:v>
      </x:c>
      <x:c r="P65" s="2" t="n">
        <x:v>0</x:v>
      </x:c>
      <x:c r="Q65" s="2" t="str">
        <x:v>simulado_didactico</x:v>
      </x:c>
    </x:row>
    <x:row r="66" ht="19" customHeight="1">
      <x:c r="A66" s="2" t="str">
        <x:v>SIM-E2-MP-L0-R02</x:v>
      </x:c>
      <x:c r="B66" s="2" t="n">
        <x:v>1</x:v>
      </x:c>
      <x:c r="C66" s="2" t="str">
        <x:v>MP</x:v>
      </x:c>
      <x:c r="D66" s="2" t="str">
        <x:v>Myzus persicae</x:v>
      </x:c>
      <x:c r="E66" s="2" t="str">
        <x:v>L0</x:v>
      </x:c>
      <x:c r="F66" s="2" t="n">
        <x:v>2</x:v>
      </x:c>
      <x:c r="G66" s="2" t="n">
        <x:v>22</x:v>
      </x:c>
      <x:c r="H66" s="2" t="n">
        <x:f>G66+Supuestos!$C$15</x:f>
        <x:v>23</x:v>
      </x:c>
      <x:c r="I66" s="14" t="n">
        <x:f>E2_plantas!J3+G66</x:f>
        <x:v>46196</x:v>
      </x:c>
      <x:c r="J66" s="2" t="str">
        <x:v>adulta</x:v>
      </x:c>
      <x:c r="K66" s="2" t="n">
        <x:v>1</x:v>
      </x:c>
      <x:c r="L66" s="2" t="n">
        <x:v>2</x:v>
      </x:c>
      <x:c r="M66" s="2" t="n">
        <x:f>SUM(L$44:L66)</x:f>
        <x:v>46</x:v>
      </x:c>
      <x:c r="N66" s="2" t="n">
        <x:v>0</x:v>
      </x:c>
      <x:c r="O66" s="2" t="str">
        <x:v>seguimiento</x:v>
      </x:c>
      <x:c r="P66" s="2" t="n">
        <x:v>0</x:v>
      </x:c>
      <x:c r="Q66" s="2" t="str">
        <x:v>simulado_didactico</x:v>
      </x:c>
    </x:row>
    <x:row r="67" ht="19" customHeight="1">
      <x:c r="A67" s="2" t="str">
        <x:v>SIM-E2-MP-L0-R02</x:v>
      </x:c>
      <x:c r="B67" s="2" t="n">
        <x:v>1</x:v>
      </x:c>
      <x:c r="C67" s="2" t="str">
        <x:v>MP</x:v>
      </x:c>
      <x:c r="D67" s="2" t="str">
        <x:v>Myzus persicae</x:v>
      </x:c>
      <x:c r="E67" s="2" t="str">
        <x:v>L0</x:v>
      </x:c>
      <x:c r="F67" s="2" t="n">
        <x:v>2</x:v>
      </x:c>
      <x:c r="G67" s="2" t="n">
        <x:v>23</x:v>
      </x:c>
      <x:c r="H67" s="2" t="n">
        <x:f>G67+Supuestos!$C$15</x:f>
        <x:v>24</x:v>
      </x:c>
      <x:c r="I67" s="14" t="n">
        <x:f>E2_plantas!J3+G67</x:f>
        <x:v>46197</x:v>
      </x:c>
      <x:c r="J67" s="2" t="str">
        <x:v>adulta</x:v>
      </x:c>
      <x:c r="K67" s="2" t="n">
        <x:v>1</x:v>
      </x:c>
      <x:c r="L67" s="2" t="n">
        <x:v>3</x:v>
      </x:c>
      <x:c r="M67" s="2" t="n">
        <x:f>SUM(L$44:L67)</x:f>
        <x:v>49</x:v>
      </x:c>
      <x:c r="N67" s="2" t="n">
        <x:v>0</x:v>
      </x:c>
      <x:c r="O67" s="2" t="str">
        <x:v>seguimiento</x:v>
      </x:c>
      <x:c r="P67" s="2" t="n">
        <x:v>0</x:v>
      </x:c>
      <x:c r="Q67" s="2" t="str">
        <x:v>simulado_didactico</x:v>
      </x:c>
    </x:row>
    <x:row r="68" ht="19" customHeight="1">
      <x:c r="A68" s="2" t="str">
        <x:v>SIM-E2-MP-L0-R02</x:v>
      </x:c>
      <x:c r="B68" s="2" t="n">
        <x:v>1</x:v>
      </x:c>
      <x:c r="C68" s="2" t="str">
        <x:v>MP</x:v>
      </x:c>
      <x:c r="D68" s="2" t="str">
        <x:v>Myzus persicae</x:v>
      </x:c>
      <x:c r="E68" s="2" t="str">
        <x:v>L0</x:v>
      </x:c>
      <x:c r="F68" s="2" t="n">
        <x:v>2</x:v>
      </x:c>
      <x:c r="G68" s="2" t="n">
        <x:v>24</x:v>
      </x:c>
      <x:c r="H68" s="2" t="n">
        <x:f>G68+Supuestos!$C$15</x:f>
        <x:v>25</x:v>
      </x:c>
      <x:c r="I68" s="14" t="n">
        <x:f>E2_plantas!J3+G68</x:f>
        <x:v>46198</x:v>
      </x:c>
      <x:c r="J68" s="2" t="str">
        <x:v>adulta</x:v>
      </x:c>
      <x:c r="K68" s="2" t="n">
        <x:v>1</x:v>
      </x:c>
      <x:c r="L68" s="2" t="n">
        <x:v>2</x:v>
      </x:c>
      <x:c r="M68" s="2" t="n">
        <x:f>SUM(L$44:L68)</x:f>
        <x:v>51</x:v>
      </x:c>
      <x:c r="N68" s="2" t="n">
        <x:v>0</x:v>
      </x:c>
      <x:c r="O68" s="2" t="str">
        <x:v>seguimiento</x:v>
      </x:c>
      <x:c r="P68" s="2" t="n">
        <x:v>0</x:v>
      </x:c>
      <x:c r="Q68" s="2" t="str">
        <x:v>simulado_didactico</x:v>
      </x:c>
    </x:row>
    <x:row r="69" ht="19" customHeight="1">
      <x:c r="A69" s="2" t="str">
        <x:v>SIM-E2-MP-L0-R02</x:v>
      </x:c>
      <x:c r="B69" s="2" t="n">
        <x:v>1</x:v>
      </x:c>
      <x:c r="C69" s="2" t="str">
        <x:v>MP</x:v>
      </x:c>
      <x:c r="D69" s="2" t="str">
        <x:v>Myzus persicae</x:v>
      </x:c>
      <x:c r="E69" s="2" t="str">
        <x:v>L0</x:v>
      </x:c>
      <x:c r="F69" s="2" t="n">
        <x:v>2</x:v>
      </x:c>
      <x:c r="G69" s="2" t="n">
        <x:v>25</x:v>
      </x:c>
      <x:c r="H69" s="2" t="n">
        <x:f>G69+Supuestos!$C$15</x:f>
        <x:v>26</x:v>
      </x:c>
      <x:c r="I69" s="14" t="n">
        <x:f>E2_plantas!J3+G69</x:f>
        <x:v>46199</x:v>
      </x:c>
      <x:c r="J69" s="2" t="str">
        <x:v>adulta</x:v>
      </x:c>
      <x:c r="K69" s="2" t="n">
        <x:v>1</x:v>
      </x:c>
      <x:c r="L69" s="2" t="n">
        <x:v>1</x:v>
      </x:c>
      <x:c r="M69" s="2" t="n">
        <x:f>SUM(L$44:L69)</x:f>
        <x:v>52</x:v>
      </x:c>
      <x:c r="N69" s="2" t="n">
        <x:v>0</x:v>
      </x:c>
      <x:c r="O69" s="2" t="str">
        <x:v>seguimiento</x:v>
      </x:c>
      <x:c r="P69" s="2" t="n">
        <x:v>0</x:v>
      </x:c>
      <x:c r="Q69" s="2" t="str">
        <x:v>simulado_didactico</x:v>
      </x:c>
    </x:row>
    <x:row r="70" ht="19" customHeight="1">
      <x:c r="A70" s="2" t="str">
        <x:v>SIM-E2-MP-L0-R02</x:v>
      </x:c>
      <x:c r="B70" s="2" t="n">
        <x:v>1</x:v>
      </x:c>
      <x:c r="C70" s="2" t="str">
        <x:v>MP</x:v>
      </x:c>
      <x:c r="D70" s="2" t="str">
        <x:v>Myzus persicae</x:v>
      </x:c>
      <x:c r="E70" s="2" t="str">
        <x:v>L0</x:v>
      </x:c>
      <x:c r="F70" s="2" t="n">
        <x:v>2</x:v>
      </x:c>
      <x:c r="G70" s="2" t="n">
        <x:v>26</x:v>
      </x:c>
      <x:c r="H70" s="2" t="n">
        <x:f>G70+Supuestos!$C$15</x:f>
        <x:v>27</x:v>
      </x:c>
      <x:c r="I70" s="14" t="n">
        <x:f>E2_plantas!J3+G70</x:f>
        <x:v>46200</x:v>
      </x:c>
      <x:c r="J70" s="2" t="str">
        <x:v>adulta</x:v>
      </x:c>
      <x:c r="K70" s="2" t="n">
        <x:v>1</x:v>
      </x:c>
      <x:c r="L70" s="2" t="n">
        <x:v>2</x:v>
      </x:c>
      <x:c r="M70" s="2" t="n">
        <x:f>SUM(L$44:L70)</x:f>
        <x:v>54</x:v>
      </x:c>
      <x:c r="N70" s="2" t="n">
        <x:v>0</x:v>
      </x:c>
      <x:c r="O70" s="2" t="str">
        <x:v>seguimiento</x:v>
      </x:c>
      <x:c r="P70" s="2" t="n">
        <x:v>0</x:v>
      </x:c>
      <x:c r="Q70" s="2" t="str">
        <x:v>simulado_didactico</x:v>
      </x:c>
    </x:row>
    <x:row r="71" ht="19" customHeight="1">
      <x:c r="A71" s="2" t="str">
        <x:v>SIM-E2-MP-L0-R02</x:v>
      </x:c>
      <x:c r="B71" s="2" t="n">
        <x:v>1</x:v>
      </x:c>
      <x:c r="C71" s="2" t="str">
        <x:v>MP</x:v>
      </x:c>
      <x:c r="D71" s="2" t="str">
        <x:v>Myzus persicae</x:v>
      </x:c>
      <x:c r="E71" s="2" t="str">
        <x:v>L0</x:v>
      </x:c>
      <x:c r="F71" s="2" t="n">
        <x:v>2</x:v>
      </x:c>
      <x:c r="G71" s="2" t="n">
        <x:v>27</x:v>
      </x:c>
      <x:c r="H71" s="2" t="n">
        <x:f>G71+Supuestos!$C$15</x:f>
        <x:v>28</x:v>
      </x:c>
      <x:c r="I71" s="14" t="n">
        <x:f>E2_plantas!J3+G71</x:f>
        <x:v>46201</x:v>
      </x:c>
      <x:c r="J71" s="2" t="str">
        <x:v>adulta</x:v>
      </x:c>
      <x:c r="K71" s="2" t="n">
        <x:v>1</x:v>
      </x:c>
      <x:c r="L71" s="2" t="n">
        <x:v>0</x:v>
      </x:c>
      <x:c r="M71" s="2" t="n">
        <x:f>SUM(L$44:L71)</x:f>
        <x:v>54</x:v>
      </x:c>
      <x:c r="N71" s="2" t="n">
        <x:v>0</x:v>
      </x:c>
      <x:c r="O71" s="2" t="str">
        <x:v>seguimiento</x:v>
      </x:c>
      <x:c r="P71" s="2" t="n">
        <x:v>0</x:v>
      </x:c>
      <x:c r="Q71" s="2" t="str">
        <x:v>simulado_didactico</x:v>
      </x:c>
    </x:row>
    <x:row r="72" ht="19" customHeight="1">
      <x:c r="A72" s="2" t="str">
        <x:v>SIM-E2-MP-L0-R02</x:v>
      </x:c>
      <x:c r="B72" s="2" t="n">
        <x:v>1</x:v>
      </x:c>
      <x:c r="C72" s="2" t="str">
        <x:v>MP</x:v>
      </x:c>
      <x:c r="D72" s="2" t="str">
        <x:v>Myzus persicae</x:v>
      </x:c>
      <x:c r="E72" s="2" t="str">
        <x:v>L0</x:v>
      </x:c>
      <x:c r="F72" s="2" t="n">
        <x:v>2</x:v>
      </x:c>
      <x:c r="G72" s="2" t="n">
        <x:v>28</x:v>
      </x:c>
      <x:c r="H72" s="2" t="n">
        <x:f>G72+Supuestos!$C$15</x:f>
        <x:v>29</x:v>
      </x:c>
      <x:c r="I72" s="14" t="n">
        <x:f>E2_plantas!J3+G72</x:f>
        <x:v>46202</x:v>
      </x:c>
      <x:c r="J72" s="2" t="str">
        <x:v>adulta</x:v>
      </x:c>
      <x:c r="K72" s="2" t="n">
        <x:v>1</x:v>
      </x:c>
      <x:c r="L72" s="2" t="n">
        <x:v>3</x:v>
      </x:c>
      <x:c r="M72" s="2" t="n">
        <x:f>SUM(L$44:L72)</x:f>
        <x:v>57</x:v>
      </x:c>
      <x:c r="N72" s="2" t="n">
        <x:v>0</x:v>
      </x:c>
      <x:c r="O72" s="2" t="str">
        <x:v>seguimiento</x:v>
      </x:c>
      <x:c r="P72" s="2" t="n">
        <x:v>0</x:v>
      </x:c>
      <x:c r="Q72" s="2" t="str">
        <x:v>simulado_didactico</x:v>
      </x:c>
    </x:row>
    <x:row r="73" ht="19" customHeight="1">
      <x:c r="A73" s="2" t="str">
        <x:v>SIM-E2-MP-L0-R02</x:v>
      </x:c>
      <x:c r="B73" s="2" t="n">
        <x:v>1</x:v>
      </x:c>
      <x:c r="C73" s="2" t="str">
        <x:v>MP</x:v>
      </x:c>
      <x:c r="D73" s="2" t="str">
        <x:v>Myzus persicae</x:v>
      </x:c>
      <x:c r="E73" s="2" t="str">
        <x:v>L0</x:v>
      </x:c>
      <x:c r="F73" s="2" t="n">
        <x:v>2</x:v>
      </x:c>
      <x:c r="G73" s="2" t="n">
        <x:v>29</x:v>
      </x:c>
      <x:c r="H73" s="2" t="n">
        <x:f>G73+Supuestos!$C$15</x:f>
        <x:v>30</x:v>
      </x:c>
      <x:c r="I73" s="14" t="n">
        <x:f>E2_plantas!J3+G73</x:f>
        <x:v>46203</x:v>
      </x:c>
      <x:c r="J73" s="2" t="str">
        <x:v>adulta</x:v>
      </x:c>
      <x:c r="K73" s="2" t="n">
        <x:v>1</x:v>
      </x:c>
      <x:c r="L73" s="2" t="n">
        <x:v>1</x:v>
      </x:c>
      <x:c r="M73" s="2" t="n">
        <x:f>SUM(L$44:L73)</x:f>
        <x:v>58</x:v>
      </x:c>
      <x:c r="N73" s="2" t="n">
        <x:v>0</x:v>
      </x:c>
      <x:c r="O73" s="2" t="str">
        <x:v>seguimiento</x:v>
      </x:c>
      <x:c r="P73" s="2" t="n">
        <x:v>0</x:v>
      </x:c>
      <x:c r="Q73" s="2" t="str">
        <x:v>simulado_didactico</x:v>
      </x:c>
    </x:row>
    <x:row r="74" ht="19" customHeight="1">
      <x:c r="A74" s="2" t="str">
        <x:v>SIM-E2-MP-L0-R02</x:v>
      </x:c>
      <x:c r="B74" s="2" t="n">
        <x:v>1</x:v>
      </x:c>
      <x:c r="C74" s="2" t="str">
        <x:v>MP</x:v>
      </x:c>
      <x:c r="D74" s="2" t="str">
        <x:v>Myzus persicae</x:v>
      </x:c>
      <x:c r="E74" s="2" t="str">
        <x:v>L0</x:v>
      </x:c>
      <x:c r="F74" s="2" t="n">
        <x:v>2</x:v>
      </x:c>
      <x:c r="G74" s="2" t="n">
        <x:v>30</x:v>
      </x:c>
      <x:c r="H74" s="2" t="n">
        <x:f>G74+Supuestos!$C$15</x:f>
        <x:v>31</x:v>
      </x:c>
      <x:c r="I74" s="14" t="n">
        <x:f>E2_plantas!J3+G74</x:f>
        <x:v>46204</x:v>
      </x:c>
      <x:c r="J74" s="2" t="str">
        <x:v>adulta</x:v>
      </x:c>
      <x:c r="K74" s="2" t="n">
        <x:v>1</x:v>
      </x:c>
      <x:c r="L74" s="2" t="n">
        <x:v>0</x:v>
      </x:c>
      <x:c r="M74" s="2" t="n">
        <x:f>SUM(L$44:L74)</x:f>
        <x:v>58</x:v>
      </x:c>
      <x:c r="N74" s="2" t="n">
        <x:v>0</x:v>
      </x:c>
      <x:c r="O74" s="2" t="str">
        <x:v>seguimiento</x:v>
      </x:c>
      <x:c r="P74" s="2" t="n">
        <x:v>0</x:v>
      </x:c>
      <x:c r="Q74" s="2" t="str">
        <x:v>simulado_didactico</x:v>
      </x:c>
    </x:row>
    <x:row r="75" ht="19" customHeight="1">
      <x:c r="A75" s="2" t="str">
        <x:v>SIM-E2-MP-L0-R02</x:v>
      </x:c>
      <x:c r="B75" s="2" t="n">
        <x:v>1</x:v>
      </x:c>
      <x:c r="C75" s="2" t="str">
        <x:v>MP</x:v>
      </x:c>
      <x:c r="D75" s="2" t="str">
        <x:v>Myzus persicae</x:v>
      </x:c>
      <x:c r="E75" s="2" t="str">
        <x:v>L0</x:v>
      </x:c>
      <x:c r="F75" s="2" t="n">
        <x:v>2</x:v>
      </x:c>
      <x:c r="G75" s="2" t="n">
        <x:v>31</x:v>
      </x:c>
      <x:c r="H75" s="2" t="n">
        <x:f>G75+Supuestos!$C$15</x:f>
        <x:v>32</x:v>
      </x:c>
      <x:c r="I75" s="14" t="n">
        <x:f>E2_plantas!J3+G75</x:f>
        <x:v>46205</x:v>
      </x:c>
      <x:c r="J75" s="2" t="str">
        <x:v>muerta</x:v>
      </x:c>
      <x:c r="K75" s="2" t="n">
        <x:v>0</x:v>
      </x:c>
      <x:c r="L75" s="2" t="n">
        <x:v>0</x:v>
      </x:c>
      <x:c r="M75" s="2" t="n">
        <x:f>SUM(L$44:L75)</x:f>
        <x:v>58</x:v>
      </x:c>
      <x:c r="N75" s="2" t="n">
        <x:v>1</x:v>
      </x:c>
      <x:c r="O75" s="2" t="str">
        <x:v>muerte</x:v>
      </x:c>
      <x:c r="P75" s="2" t="n">
        <x:v>0</x:v>
      </x:c>
      <x:c r="Q75" s="2" t="str">
        <x:v>simulado_didactico</x:v>
      </x:c>
    </x:row>
    <x:row r="76" ht="19" customHeight="1">
      <x:c r="A76" s="2" t="str">
        <x:v>SIM-E2-MP-L0-R02</x:v>
      </x:c>
      <x:c r="B76" s="2" t="n">
        <x:v>1</x:v>
      </x:c>
      <x:c r="C76" s="2" t="str">
        <x:v>MP</x:v>
      </x:c>
      <x:c r="D76" s="2" t="str">
        <x:v>Myzus persicae</x:v>
      </x:c>
      <x:c r="E76" s="2" t="str">
        <x:v>L0</x:v>
      </x:c>
      <x:c r="F76" s="2" t="n">
        <x:v>2</x:v>
      </x:c>
      <x:c r="G76" s="2" t="n">
        <x:v>32</x:v>
      </x:c>
      <x:c r="H76" s="2" t="n">
        <x:f>G76+Supuestos!$C$15</x:f>
        <x:v>33</x:v>
      </x:c>
      <x:c r="I76" s="14" t="n">
        <x:f>E2_plantas!J3+G76</x:f>
        <x:v>46206</x:v>
      </x:c>
      <x:c r="J76" s="2" t="str">
        <x:v>muerta</x:v>
      </x:c>
      <x:c r="K76" s="2" t="n">
        <x:v>0</x:v>
      </x:c>
      <x:c r="L76" s="2" t="n">
        <x:v>0</x:v>
      </x:c>
      <x:c r="M76" s="2" t="n">
        <x:f>SUM(L$44:L76)</x:f>
        <x:v>58</x:v>
      </x:c>
      <x:c r="N76" s="2" t="n">
        <x:v>0</x:v>
      </x:c>
      <x:c r="O76" s="2" t="str">
        <x:v>relleno_postmuerte</x:v>
      </x:c>
      <x:c r="P76" s="2" t="n">
        <x:v>0</x:v>
      </x:c>
      <x:c r="Q76" s="2" t="str">
        <x:v>simulado_didactico</x:v>
      </x:c>
    </x:row>
    <x:row r="77" ht="19" customHeight="1">
      <x:c r="A77" s="2" t="str">
        <x:v>SIM-E2-MP-L0-R02</x:v>
      </x:c>
      <x:c r="B77" s="2" t="n">
        <x:v>1</x:v>
      </x:c>
      <x:c r="C77" s="2" t="str">
        <x:v>MP</x:v>
      </x:c>
      <x:c r="D77" s="2" t="str">
        <x:v>Myzus persicae</x:v>
      </x:c>
      <x:c r="E77" s="2" t="str">
        <x:v>L0</x:v>
      </x:c>
      <x:c r="F77" s="2" t="n">
        <x:v>2</x:v>
      </x:c>
      <x:c r="G77" s="2" t="n">
        <x:v>33</x:v>
      </x:c>
      <x:c r="H77" s="2" t="n">
        <x:f>G77+Supuestos!$C$15</x:f>
        <x:v>34</x:v>
      </x:c>
      <x:c r="I77" s="14" t="n">
        <x:f>E2_plantas!J3+G77</x:f>
        <x:v>46207</x:v>
      </x:c>
      <x:c r="J77" s="2" t="str">
        <x:v>muerta</x:v>
      </x:c>
      <x:c r="K77" s="2" t="n">
        <x:v>0</x:v>
      </x:c>
      <x:c r="L77" s="2" t="n">
        <x:v>0</x:v>
      </x:c>
      <x:c r="M77" s="2" t="n">
        <x:f>SUM(L$44:L77)</x:f>
        <x:v>58</x:v>
      </x:c>
      <x:c r="N77" s="2" t="n">
        <x:v>0</x:v>
      </x:c>
      <x:c r="O77" s="2" t="str">
        <x:v>relleno_postmuerte</x:v>
      </x:c>
      <x:c r="P77" s="2" t="n">
        <x:v>0</x:v>
      </x:c>
      <x:c r="Q77" s="2" t="str">
        <x:v>simulado_didactico</x:v>
      </x:c>
    </x:row>
    <x:row r="78" ht="19" customHeight="1">
      <x:c r="A78" s="2" t="str">
        <x:v>SIM-E2-MP-L0-R02</x:v>
      </x:c>
      <x:c r="B78" s="2" t="n">
        <x:v>1</x:v>
      </x:c>
      <x:c r="C78" s="2" t="str">
        <x:v>MP</x:v>
      </x:c>
      <x:c r="D78" s="2" t="str">
        <x:v>Myzus persicae</x:v>
      </x:c>
      <x:c r="E78" s="2" t="str">
        <x:v>L0</x:v>
      </x:c>
      <x:c r="F78" s="2" t="n">
        <x:v>2</x:v>
      </x:c>
      <x:c r="G78" s="2" t="n">
        <x:v>34</x:v>
      </x:c>
      <x:c r="H78" s="2" t="n">
        <x:f>G78+Supuestos!$C$15</x:f>
        <x:v>35</x:v>
      </x:c>
      <x:c r="I78" s="14" t="n">
        <x:f>E2_plantas!J3+G78</x:f>
        <x:v>46208</x:v>
      </x:c>
      <x:c r="J78" s="2" t="str">
        <x:v>muerta</x:v>
      </x:c>
      <x:c r="K78" s="2" t="n">
        <x:v>0</x:v>
      </x:c>
      <x:c r="L78" s="2" t="n">
        <x:v>0</x:v>
      </x:c>
      <x:c r="M78" s="2" t="n">
        <x:f>SUM(L$44:L78)</x:f>
        <x:v>58</x:v>
      </x:c>
      <x:c r="N78" s="2" t="n">
        <x:v>0</x:v>
      </x:c>
      <x:c r="O78" s="2" t="str">
        <x:v>relleno_postmuerte</x:v>
      </x:c>
      <x:c r="P78" s="2" t="n">
        <x:v>0</x:v>
      </x:c>
      <x:c r="Q78" s="2" t="str">
        <x:v>simulado_didactico</x:v>
      </x:c>
    </x:row>
    <x:row r="79" ht="19" customHeight="1">
      <x:c r="A79" s="2" t="str">
        <x:v>SIM-E2-MP-L0-R02</x:v>
      </x:c>
      <x:c r="B79" s="2" t="n">
        <x:v>1</x:v>
      </x:c>
      <x:c r="C79" s="2" t="str">
        <x:v>MP</x:v>
      </x:c>
      <x:c r="D79" s="2" t="str">
        <x:v>Myzus persicae</x:v>
      </x:c>
      <x:c r="E79" s="2" t="str">
        <x:v>L0</x:v>
      </x:c>
      <x:c r="F79" s="2" t="n">
        <x:v>2</x:v>
      </x:c>
      <x:c r="G79" s="2" t="n">
        <x:v>35</x:v>
      </x:c>
      <x:c r="H79" s="2" t="n">
        <x:f>G79+Supuestos!$C$15</x:f>
        <x:v>36</x:v>
      </x:c>
      <x:c r="I79" s="14" t="n">
        <x:f>E2_plantas!J3+G79</x:f>
        <x:v>46209</x:v>
      </x:c>
      <x:c r="J79" s="2" t="str">
        <x:v>muerta</x:v>
      </x:c>
      <x:c r="K79" s="2" t="n">
        <x:v>0</x:v>
      </x:c>
      <x:c r="L79" s="2" t="n">
        <x:v>0</x:v>
      </x:c>
      <x:c r="M79" s="2" t="n">
        <x:f>SUM(L$44:L79)</x:f>
        <x:v>58</x:v>
      </x:c>
      <x:c r="N79" s="2" t="n">
        <x:v>0</x:v>
      </x:c>
      <x:c r="O79" s="2" t="str">
        <x:v>relleno_postmuerte</x:v>
      </x:c>
      <x:c r="P79" s="2" t="n">
        <x:v>0</x:v>
      </x:c>
      <x:c r="Q79" s="2" t="str">
        <x:v>simulado_didactico</x:v>
      </x:c>
    </x:row>
    <x:row r="80" ht="19" customHeight="1">
      <x:c r="A80" s="2" t="str">
        <x:v>SIM-E2-MP-L0-R02</x:v>
      </x:c>
      <x:c r="B80" s="2" t="n">
        <x:v>1</x:v>
      </x:c>
      <x:c r="C80" s="2" t="str">
        <x:v>MP</x:v>
      </x:c>
      <x:c r="D80" s="2" t="str">
        <x:v>Myzus persicae</x:v>
      </x:c>
      <x:c r="E80" s="2" t="str">
        <x:v>L0</x:v>
      </x:c>
      <x:c r="F80" s="2" t="n">
        <x:v>2</x:v>
      </x:c>
      <x:c r="G80" s="2" t="n">
        <x:v>36</x:v>
      </x:c>
      <x:c r="H80" s="2" t="n">
        <x:f>G80+Supuestos!$C$15</x:f>
        <x:v>37</x:v>
      </x:c>
      <x:c r="I80" s="14" t="n">
        <x:f>E2_plantas!J3+G80</x:f>
        <x:v>46210</x:v>
      </x:c>
      <x:c r="J80" s="2" t="str">
        <x:v>muerta</x:v>
      </x:c>
      <x:c r="K80" s="2" t="n">
        <x:v>0</x:v>
      </x:c>
      <x:c r="L80" s="2" t="n">
        <x:v>0</x:v>
      </x:c>
      <x:c r="M80" s="2" t="n">
        <x:f>SUM(L$44:L80)</x:f>
        <x:v>58</x:v>
      </x:c>
      <x:c r="N80" s="2" t="n">
        <x:v>0</x:v>
      </x:c>
      <x:c r="O80" s="2" t="str">
        <x:v>relleno_postmuerte</x:v>
      </x:c>
      <x:c r="P80" s="2" t="n">
        <x:v>0</x:v>
      </x:c>
      <x:c r="Q80" s="2" t="str">
        <x:v>simulado_didactico</x:v>
      </x:c>
    </x:row>
    <x:row r="81" ht="19" customHeight="1">
      <x:c r="A81" s="2" t="str">
        <x:v>SIM-E2-MP-L0-R02</x:v>
      </x:c>
      <x:c r="B81" s="2" t="n">
        <x:v>1</x:v>
      </x:c>
      <x:c r="C81" s="2" t="str">
        <x:v>MP</x:v>
      </x:c>
      <x:c r="D81" s="2" t="str">
        <x:v>Myzus persicae</x:v>
      </x:c>
      <x:c r="E81" s="2" t="str">
        <x:v>L0</x:v>
      </x:c>
      <x:c r="F81" s="2" t="n">
        <x:v>2</x:v>
      </x:c>
      <x:c r="G81" s="2" t="n">
        <x:v>37</x:v>
      </x:c>
      <x:c r="H81" s="2" t="n">
        <x:f>G81+Supuestos!$C$15</x:f>
        <x:v>38</x:v>
      </x:c>
      <x:c r="I81" s="14" t="n">
        <x:f>E2_plantas!J3+G81</x:f>
        <x:v>46211</x:v>
      </x:c>
      <x:c r="J81" s="2" t="str">
        <x:v>muerta</x:v>
      </x:c>
      <x:c r="K81" s="2" t="n">
        <x:v>0</x:v>
      </x:c>
      <x:c r="L81" s="2" t="n">
        <x:v>0</x:v>
      </x:c>
      <x:c r="M81" s="2" t="n">
        <x:f>SUM(L$44:L81)</x:f>
        <x:v>58</x:v>
      </x:c>
      <x:c r="N81" s="2" t="n">
        <x:v>0</x:v>
      </x:c>
      <x:c r="O81" s="2" t="str">
        <x:v>relleno_postmuerte</x:v>
      </x:c>
      <x:c r="P81" s="2" t="n">
        <x:v>0</x:v>
      </x:c>
      <x:c r="Q81" s="2" t="str">
        <x:v>simulado_didactico</x:v>
      </x:c>
    </x:row>
    <x:row r="82" ht="19" customHeight="1">
      <x:c r="A82" s="2" t="str">
        <x:v>SIM-E2-MP-L0-R02</x:v>
      </x:c>
      <x:c r="B82" s="2" t="n">
        <x:v>1</x:v>
      </x:c>
      <x:c r="C82" s="2" t="str">
        <x:v>MP</x:v>
      </x:c>
      <x:c r="D82" s="2" t="str">
        <x:v>Myzus persicae</x:v>
      </x:c>
      <x:c r="E82" s="2" t="str">
        <x:v>L0</x:v>
      </x:c>
      <x:c r="F82" s="2" t="n">
        <x:v>2</x:v>
      </x:c>
      <x:c r="G82" s="2" t="n">
        <x:v>38</x:v>
      </x:c>
      <x:c r="H82" s="2" t="n">
        <x:f>G82+Supuestos!$C$15</x:f>
        <x:v>39</x:v>
      </x:c>
      <x:c r="I82" s="14" t="n">
        <x:f>E2_plantas!J3+G82</x:f>
        <x:v>46212</x:v>
      </x:c>
      <x:c r="J82" s="2" t="str">
        <x:v>muerta</x:v>
      </x:c>
      <x:c r="K82" s="2" t="n">
        <x:v>0</x:v>
      </x:c>
      <x:c r="L82" s="2" t="n">
        <x:v>0</x:v>
      </x:c>
      <x:c r="M82" s="2" t="n">
        <x:f>SUM(L$44:L82)</x:f>
        <x:v>58</x:v>
      </x:c>
      <x:c r="N82" s="2" t="n">
        <x:v>0</x:v>
      </x:c>
      <x:c r="O82" s="2" t="str">
        <x:v>relleno_postmuerte</x:v>
      </x:c>
      <x:c r="P82" s="2" t="n">
        <x:v>0</x:v>
      </x:c>
      <x:c r="Q82" s="2" t="str">
        <x:v>simulado_didactico</x:v>
      </x:c>
    </x:row>
    <x:row r="83" ht="19" customHeight="1">
      <x:c r="A83" s="2" t="str">
        <x:v>SIM-E2-MP-L0-R02</x:v>
      </x:c>
      <x:c r="B83" s="2" t="n">
        <x:v>1</x:v>
      </x:c>
      <x:c r="C83" s="2" t="str">
        <x:v>MP</x:v>
      </x:c>
      <x:c r="D83" s="2" t="str">
        <x:v>Myzus persicae</x:v>
      </x:c>
      <x:c r="E83" s="2" t="str">
        <x:v>L0</x:v>
      </x:c>
      <x:c r="F83" s="2" t="n">
        <x:v>2</x:v>
      </x:c>
      <x:c r="G83" s="2" t="n">
        <x:v>39</x:v>
      </x:c>
      <x:c r="H83" s="2" t="n">
        <x:f>G83+Supuestos!$C$15</x:f>
        <x:v>40</x:v>
      </x:c>
      <x:c r="I83" s="14" t="n">
        <x:f>E2_plantas!J3+G83</x:f>
        <x:v>46213</x:v>
      </x:c>
      <x:c r="J83" s="2" t="str">
        <x:v>muerta</x:v>
      </x:c>
      <x:c r="K83" s="2" t="n">
        <x:v>0</x:v>
      </x:c>
      <x:c r="L83" s="2" t="n">
        <x:v>0</x:v>
      </x:c>
      <x:c r="M83" s="2" t="n">
        <x:f>SUM(L$44:L83)</x:f>
        <x:v>58</x:v>
      </x:c>
      <x:c r="N83" s="2" t="n">
        <x:v>0</x:v>
      </x:c>
      <x:c r="O83" s="2" t="str">
        <x:v>relleno_postmuerte</x:v>
      </x:c>
      <x:c r="P83" s="2" t="n">
        <x:v>0</x:v>
      </x:c>
      <x:c r="Q83" s="2" t="str">
        <x:v>simulado_didactico</x:v>
      </x:c>
    </x:row>
    <x:row r="84" ht="19" customHeight="1">
      <x:c r="A84" s="2" t="str">
        <x:v>SIM-E2-MP-L0-R02</x:v>
      </x:c>
      <x:c r="B84" s="2" t="n">
        <x:v>1</x:v>
      </x:c>
      <x:c r="C84" s="2" t="str">
        <x:v>MP</x:v>
      </x:c>
      <x:c r="D84" s="2" t="str">
        <x:v>Myzus persicae</x:v>
      </x:c>
      <x:c r="E84" s="2" t="str">
        <x:v>L0</x:v>
      </x:c>
      <x:c r="F84" s="2" t="n">
        <x:v>2</x:v>
      </x:c>
      <x:c r="G84" s="2" t="n">
        <x:v>40</x:v>
      </x:c>
      <x:c r="H84" s="2" t="n">
        <x:f>G84+Supuestos!$C$15</x:f>
        <x:v>41</x:v>
      </x:c>
      <x:c r="I84" s="14" t="n">
        <x:f>E2_plantas!J3+G84</x:f>
        <x:v>46214</x:v>
      </x:c>
      <x:c r="J84" s="2" t="str">
        <x:v>muerta</x:v>
      </x:c>
      <x:c r="K84" s="2" t="n">
        <x:v>0</x:v>
      </x:c>
      <x:c r="L84" s="2" t="n">
        <x:v>0</x:v>
      </x:c>
      <x:c r="M84" s="2" t="n">
        <x:f>SUM(L$44:L84)</x:f>
        <x:v>58</x:v>
      </x:c>
      <x:c r="N84" s="2" t="n">
        <x:v>0</x:v>
      </x:c>
      <x:c r="O84" s="2" t="str">
        <x:v>relleno_postmuerte</x:v>
      </x:c>
      <x:c r="P84" s="2" t="n">
        <x:v>0</x:v>
      </x:c>
      <x:c r="Q84" s="2" t="str">
        <x:v>simulado_didactico</x:v>
      </x:c>
    </x:row>
    <x:row r="85" ht="19" customHeight="1">
      <x:c r="A85" s="2" t="str">
        <x:v>SIM-E2-MP-L0-R02</x:v>
      </x:c>
      <x:c r="B85" s="2" t="n">
        <x:v>1</x:v>
      </x:c>
      <x:c r="C85" s="2" t="str">
        <x:v>MP</x:v>
      </x:c>
      <x:c r="D85" s="2" t="str">
        <x:v>Myzus persicae</x:v>
      </x:c>
      <x:c r="E85" s="2" t="str">
        <x:v>L0</x:v>
      </x:c>
      <x:c r="F85" s="2" t="n">
        <x:v>2</x:v>
      </x:c>
      <x:c r="G85" s="2" t="n">
        <x:v>41</x:v>
      </x:c>
      <x:c r="H85" s="2" t="n">
        <x:f>G85+Supuestos!$C$15</x:f>
        <x:v>42</x:v>
      </x:c>
      <x:c r="I85" s="14" t="n">
        <x:f>E2_plantas!J3+G85</x:f>
        <x:v>46215</x:v>
      </x:c>
      <x:c r="J85" s="2" t="str">
        <x:v>muerta</x:v>
      </x:c>
      <x:c r="K85" s="2" t="n">
        <x:v>0</x:v>
      </x:c>
      <x:c r="L85" s="2" t="n">
        <x:v>0</x:v>
      </x:c>
      <x:c r="M85" s="2" t="n">
        <x:f>SUM(L$44:L85)</x:f>
        <x:v>58</x:v>
      </x:c>
      <x:c r="N85" s="2" t="n">
        <x:v>0</x:v>
      </x:c>
      <x:c r="O85" s="2" t="str">
        <x:v>relleno_postmuerte</x:v>
      </x:c>
      <x:c r="P85" s="2" t="n">
        <x:v>0</x:v>
      </x:c>
      <x:c r="Q85" s="2" t="str">
        <x:v>simulado_didactico</x:v>
      </x:c>
    </x:row>
    <x:row r="86" ht="19" customHeight="1">
      <x:c r="A86" s="2" t="str">
        <x:v>SIM-E2-MP-L8-R01</x:v>
      </x:c>
      <x:c r="B86" s="2" t="n">
        <x:v>1</x:v>
      </x:c>
      <x:c r="C86" s="2" t="str">
        <x:v>MP</x:v>
      </x:c>
      <x:c r="D86" s="2" t="str">
        <x:v>Myzus persicae</x:v>
      </x:c>
      <x:c r="E86" s="2" t="str">
        <x:v>L8</x:v>
      </x:c>
      <x:c r="F86" s="2" t="n">
        <x:v>1</x:v>
      </x:c>
      <x:c r="G86" s="2" t="n">
        <x:v>0</x:v>
      </x:c>
      <x:c r="H86" s="2" t="n">
        <x:f>G86+Supuestos!$C$15</x:f>
        <x:v>1</x:v>
      </x:c>
      <x:c r="I86" s="14" t="n">
        <x:f>E2_plantas!J4+G86</x:f>
        <x:v>46174</x:v>
      </x:c>
      <x:c r="J86" s="2" t="str">
        <x:v>N1</x:v>
      </x:c>
      <x:c r="K86" s="2" t="n">
        <x:v>1</x:v>
      </x:c>
      <x:c r="L86" s="2" t="n">
        <x:v>0</x:v>
      </x:c>
      <x:c r="M86" s="2" t="n">
        <x:f>SUM(L$86:L86)</x:f>
        <x:v>0</x:v>
      </x:c>
      <x:c r="N86" s="2" t="n">
        <x:v>0</x:v>
      </x:c>
      <x:c r="O86" s="2" t="str">
        <x:v>seguimiento</x:v>
      </x:c>
      <x:c r="P86" s="2" t="n">
        <x:v>0</x:v>
      </x:c>
      <x:c r="Q86" s="2" t="str">
        <x:v>simulado_didactico</x:v>
      </x:c>
    </x:row>
    <x:row r="87" ht="19" customHeight="1">
      <x:c r="A87" s="2" t="str">
        <x:v>SIM-E2-MP-L8-R01</x:v>
      </x:c>
      <x:c r="B87" s="2" t="n">
        <x:v>1</x:v>
      </x:c>
      <x:c r="C87" s="2" t="str">
        <x:v>MP</x:v>
      </x:c>
      <x:c r="D87" s="2" t="str">
        <x:v>Myzus persicae</x:v>
      </x:c>
      <x:c r="E87" s="2" t="str">
        <x:v>L8</x:v>
      </x:c>
      <x:c r="F87" s="2" t="n">
        <x:v>1</x:v>
      </x:c>
      <x:c r="G87" s="2" t="n">
        <x:v>1</x:v>
      </x:c>
      <x:c r="H87" s="2" t="n">
        <x:f>G87+Supuestos!$C$15</x:f>
        <x:v>2</x:v>
      </x:c>
      <x:c r="I87" s="14" t="n">
        <x:f>E2_plantas!J4+G87</x:f>
        <x:v>46175</x:v>
      </x:c>
      <x:c r="J87" s="2" t="str">
        <x:v>N1</x:v>
      </x:c>
      <x:c r="K87" s="2" t="n">
        <x:v>1</x:v>
      </x:c>
      <x:c r="L87" s="2" t="n">
        <x:v>0</x:v>
      </x:c>
      <x:c r="M87" s="2" t="n">
        <x:f>SUM(L$86:L87)</x:f>
        <x:v>0</x:v>
      </x:c>
      <x:c r="N87" s="2" t="n">
        <x:v>0</x:v>
      </x:c>
      <x:c r="O87" s="2" t="str">
        <x:v>seguimiento</x:v>
      </x:c>
      <x:c r="P87" s="2" t="n">
        <x:v>0</x:v>
      </x:c>
      <x:c r="Q87" s="2" t="str">
        <x:v>simulado_didactico</x:v>
      </x:c>
    </x:row>
    <x:row r="88" ht="19" customHeight="1">
      <x:c r="A88" s="2" t="str">
        <x:v>SIM-E2-MP-L8-R01</x:v>
      </x:c>
      <x:c r="B88" s="2" t="n">
        <x:v>1</x:v>
      </x:c>
      <x:c r="C88" s="2" t="str">
        <x:v>MP</x:v>
      </x:c>
      <x:c r="D88" s="2" t="str">
        <x:v>Myzus persicae</x:v>
      </x:c>
      <x:c r="E88" s="2" t="str">
        <x:v>L8</x:v>
      </x:c>
      <x:c r="F88" s="2" t="n">
        <x:v>1</x:v>
      </x:c>
      <x:c r="G88" s="2" t="n">
        <x:v>2</x:v>
      </x:c>
      <x:c r="H88" s="2" t="n">
        <x:f>G88+Supuestos!$C$15</x:f>
        <x:v>3</x:v>
      </x:c>
      <x:c r="I88" s="14" t="n">
        <x:f>E2_plantas!J4+G88</x:f>
        <x:v>46176</x:v>
      </x:c>
      <x:c r="J88" s="2" t="str">
        <x:v>N1</x:v>
      </x:c>
      <x:c r="K88" s="2" t="n">
        <x:v>1</x:v>
      </x:c>
      <x:c r="L88" s="2" t="n">
        <x:v>0</x:v>
      </x:c>
      <x:c r="M88" s="2" t="n">
        <x:f>SUM(L$86:L88)</x:f>
        <x:v>0</x:v>
      </x:c>
      <x:c r="N88" s="2" t="n">
        <x:v>0</x:v>
      </x:c>
      <x:c r="O88" s="2" t="str">
        <x:v>seguimiento</x:v>
      </x:c>
      <x:c r="P88" s="2" t="n">
        <x:v>0</x:v>
      </x:c>
      <x:c r="Q88" s="2" t="str">
        <x:v>simulado_didactico</x:v>
      </x:c>
    </x:row>
    <x:row r="89" ht="19" customHeight="1">
      <x:c r="A89" s="2" t="str">
        <x:v>SIM-E2-MP-L8-R01</x:v>
      </x:c>
      <x:c r="B89" s="2" t="n">
        <x:v>1</x:v>
      </x:c>
      <x:c r="C89" s="2" t="str">
        <x:v>MP</x:v>
      </x:c>
      <x:c r="D89" s="2" t="str">
        <x:v>Myzus persicae</x:v>
      </x:c>
      <x:c r="E89" s="2" t="str">
        <x:v>L8</x:v>
      </x:c>
      <x:c r="F89" s="2" t="n">
        <x:v>1</x:v>
      </x:c>
      <x:c r="G89" s="2" t="n">
        <x:v>3</x:v>
      </x:c>
      <x:c r="H89" s="2" t="n">
        <x:f>G89+Supuestos!$C$15</x:f>
        <x:v>4</x:v>
      </x:c>
      <x:c r="I89" s="14" t="n">
        <x:f>E2_plantas!J4+G89</x:f>
        <x:v>46177</x:v>
      </x:c>
      <x:c r="J89" s="2" t="str">
        <x:v>N2</x:v>
      </x:c>
      <x:c r="K89" s="2" t="n">
        <x:v>1</x:v>
      </x:c>
      <x:c r="L89" s="2" t="n">
        <x:v>0</x:v>
      </x:c>
      <x:c r="M89" s="2" t="n">
        <x:f>SUM(L$86:L89)</x:f>
        <x:v>0</x:v>
      </x:c>
      <x:c r="N89" s="2" t="n">
        <x:v>0</x:v>
      </x:c>
      <x:c r="O89" s="2" t="str">
        <x:v>seguimiento</x:v>
      </x:c>
      <x:c r="P89" s="2" t="n">
        <x:v>0</x:v>
      </x:c>
      <x:c r="Q89" s="2" t="str">
        <x:v>simulado_didactico</x:v>
      </x:c>
    </x:row>
    <x:row r="90" ht="19" customHeight="1">
      <x:c r="A90" s="2" t="str">
        <x:v>SIM-E2-MP-L8-R01</x:v>
      </x:c>
      <x:c r="B90" s="2" t="n">
        <x:v>1</x:v>
      </x:c>
      <x:c r="C90" s="2" t="str">
        <x:v>MP</x:v>
      </x:c>
      <x:c r="D90" s="2" t="str">
        <x:v>Myzus persicae</x:v>
      </x:c>
      <x:c r="E90" s="2" t="str">
        <x:v>L8</x:v>
      </x:c>
      <x:c r="F90" s="2" t="n">
        <x:v>1</x:v>
      </x:c>
      <x:c r="G90" s="2" t="n">
        <x:v>4</x:v>
      </x:c>
      <x:c r="H90" s="2" t="n">
        <x:f>G90+Supuestos!$C$15</x:f>
        <x:v>5</x:v>
      </x:c>
      <x:c r="I90" s="14" t="n">
        <x:f>E2_plantas!J4+G90</x:f>
        <x:v>46178</x:v>
      </x:c>
      <x:c r="J90" s="2" t="str">
        <x:v>N2</x:v>
      </x:c>
      <x:c r="K90" s="2" t="n">
        <x:v>1</x:v>
      </x:c>
      <x:c r="L90" s="2" t="n">
        <x:v>0</x:v>
      </x:c>
      <x:c r="M90" s="2" t="n">
        <x:f>SUM(L$86:L90)</x:f>
        <x:v>0</x:v>
      </x:c>
      <x:c r="N90" s="2" t="n">
        <x:v>0</x:v>
      </x:c>
      <x:c r="O90" s="2" t="str">
        <x:v>seguimiento</x:v>
      </x:c>
      <x:c r="P90" s="2" t="n">
        <x:v>0</x:v>
      </x:c>
      <x:c r="Q90" s="2" t="str">
        <x:v>simulado_didactico</x:v>
      </x:c>
    </x:row>
    <x:row r="91" ht="19" customHeight="1">
      <x:c r="A91" s="2" t="str">
        <x:v>SIM-E2-MP-L8-R01</x:v>
      </x:c>
      <x:c r="B91" s="2" t="n">
        <x:v>1</x:v>
      </x:c>
      <x:c r="C91" s="2" t="str">
        <x:v>MP</x:v>
      </x:c>
      <x:c r="D91" s="2" t="str">
        <x:v>Myzus persicae</x:v>
      </x:c>
      <x:c r="E91" s="2" t="str">
        <x:v>L8</x:v>
      </x:c>
      <x:c r="F91" s="2" t="n">
        <x:v>1</x:v>
      </x:c>
      <x:c r="G91" s="2" t="n">
        <x:v>5</x:v>
      </x:c>
      <x:c r="H91" s="2" t="n">
        <x:f>G91+Supuestos!$C$15</x:f>
        <x:v>6</x:v>
      </x:c>
      <x:c r="I91" s="14" t="n">
        <x:f>E2_plantas!J4+G91</x:f>
        <x:v>46179</x:v>
      </x:c>
      <x:c r="J91" s="2" t="str">
        <x:v>N3</x:v>
      </x:c>
      <x:c r="K91" s="2" t="n">
        <x:v>1</x:v>
      </x:c>
      <x:c r="L91" s="2" t="n">
        <x:v>0</x:v>
      </x:c>
      <x:c r="M91" s="2" t="n">
        <x:f>SUM(L$86:L91)</x:f>
        <x:v>0</x:v>
      </x:c>
      <x:c r="N91" s="2" t="n">
        <x:v>0</x:v>
      </x:c>
      <x:c r="O91" s="2" t="str">
        <x:v>seguimiento</x:v>
      </x:c>
      <x:c r="P91" s="2" t="n">
        <x:v>0</x:v>
      </x:c>
      <x:c r="Q91" s="2" t="str">
        <x:v>simulado_didactico</x:v>
      </x:c>
    </x:row>
    <x:row r="92" ht="19" customHeight="1">
      <x:c r="A92" s="2" t="str">
        <x:v>SIM-E2-MP-L8-R01</x:v>
      </x:c>
      <x:c r="B92" s="2" t="n">
        <x:v>1</x:v>
      </x:c>
      <x:c r="C92" s="2" t="str">
        <x:v>MP</x:v>
      </x:c>
      <x:c r="D92" s="2" t="str">
        <x:v>Myzus persicae</x:v>
      </x:c>
      <x:c r="E92" s="2" t="str">
        <x:v>L8</x:v>
      </x:c>
      <x:c r="F92" s="2" t="n">
        <x:v>1</x:v>
      </x:c>
      <x:c r="G92" s="2" t="n">
        <x:v>6</x:v>
      </x:c>
      <x:c r="H92" s="2" t="n">
        <x:f>G92+Supuestos!$C$15</x:f>
        <x:v>7</x:v>
      </x:c>
      <x:c r="I92" s="14" t="n">
        <x:f>E2_plantas!J4+G92</x:f>
        <x:v>46180</x:v>
      </x:c>
      <x:c r="J92" s="2" t="str">
        <x:v>N3</x:v>
      </x:c>
      <x:c r="K92" s="2" t="n">
        <x:v>1</x:v>
      </x:c>
      <x:c r="L92" s="2" t="n">
        <x:v>0</x:v>
      </x:c>
      <x:c r="M92" s="2" t="n">
        <x:f>SUM(L$86:L92)</x:f>
        <x:v>0</x:v>
      </x:c>
      <x:c r="N92" s="2" t="n">
        <x:v>0</x:v>
      </x:c>
      <x:c r="O92" s="2" t="str">
        <x:v>seguimiento</x:v>
      </x:c>
      <x:c r="P92" s="2" t="n">
        <x:v>0</x:v>
      </x:c>
      <x:c r="Q92" s="2" t="str">
        <x:v>simulado_didactico</x:v>
      </x:c>
    </x:row>
    <x:row r="93" ht="19" customHeight="1">
      <x:c r="A93" s="2" t="str">
        <x:v>SIM-E2-MP-L8-R01</x:v>
      </x:c>
      <x:c r="B93" s="2" t="n">
        <x:v>1</x:v>
      </x:c>
      <x:c r="C93" s="2" t="str">
        <x:v>MP</x:v>
      </x:c>
      <x:c r="D93" s="2" t="str">
        <x:v>Myzus persicae</x:v>
      </x:c>
      <x:c r="E93" s="2" t="str">
        <x:v>L8</x:v>
      </x:c>
      <x:c r="F93" s="2" t="n">
        <x:v>1</x:v>
      </x:c>
      <x:c r="G93" s="2" t="n">
        <x:v>7</x:v>
      </x:c>
      <x:c r="H93" s="2" t="n">
        <x:f>G93+Supuestos!$C$15</x:f>
        <x:v>8</x:v>
      </x:c>
      <x:c r="I93" s="14" t="n">
        <x:f>E2_plantas!J4+G93</x:f>
        <x:v>46181</x:v>
      </x:c>
      <x:c r="J93" s="2" t="str">
        <x:v>N3</x:v>
      </x:c>
      <x:c r="K93" s="2" t="n">
        <x:v>1</x:v>
      </x:c>
      <x:c r="L93" s="2" t="n">
        <x:v>0</x:v>
      </x:c>
      <x:c r="M93" s="2" t="n">
        <x:f>SUM(L$86:L93)</x:f>
        <x:v>0</x:v>
      </x:c>
      <x:c r="N93" s="2" t="n">
        <x:v>0</x:v>
      </x:c>
      <x:c r="O93" s="2" t="str">
        <x:v>seguimiento</x:v>
      </x:c>
      <x:c r="P93" s="2" t="n">
        <x:v>0</x:v>
      </x:c>
      <x:c r="Q93" s="2" t="str">
        <x:v>simulado_didactico</x:v>
      </x:c>
    </x:row>
    <x:row r="94" ht="19" customHeight="1">
      <x:c r="A94" s="2" t="str">
        <x:v>SIM-E2-MP-L8-R01</x:v>
      </x:c>
      <x:c r="B94" s="2" t="n">
        <x:v>1</x:v>
      </x:c>
      <x:c r="C94" s="2" t="str">
        <x:v>MP</x:v>
      </x:c>
      <x:c r="D94" s="2" t="str">
        <x:v>Myzus persicae</x:v>
      </x:c>
      <x:c r="E94" s="2" t="str">
        <x:v>L8</x:v>
      </x:c>
      <x:c r="F94" s="2" t="n">
        <x:v>1</x:v>
      </x:c>
      <x:c r="G94" s="2" t="n">
        <x:v>8</x:v>
      </x:c>
      <x:c r="H94" s="2" t="n">
        <x:f>G94+Supuestos!$C$15</x:f>
        <x:v>9</x:v>
      </x:c>
      <x:c r="I94" s="14" t="n">
        <x:f>E2_plantas!J4+G94</x:f>
        <x:v>46182</x:v>
      </x:c>
      <x:c r="J94" s="2" t="str">
        <x:v>N4</x:v>
      </x:c>
      <x:c r="K94" s="2" t="n">
        <x:v>1</x:v>
      </x:c>
      <x:c r="L94" s="2" t="n">
        <x:v>0</x:v>
      </x:c>
      <x:c r="M94" s="2" t="n">
        <x:f>SUM(L$86:L94)</x:f>
        <x:v>0</x:v>
      </x:c>
      <x:c r="N94" s="2" t="n">
        <x:v>0</x:v>
      </x:c>
      <x:c r="O94" s="2" t="str">
        <x:v>seguimiento</x:v>
      </x:c>
      <x:c r="P94" s="2" t="n">
        <x:v>0</x:v>
      </x:c>
      <x:c r="Q94" s="2" t="str">
        <x:v>simulado_didactico</x:v>
      </x:c>
    </x:row>
    <x:row r="95" ht="19" customHeight="1">
      <x:c r="A95" s="2" t="str">
        <x:v>SIM-E2-MP-L8-R01</x:v>
      </x:c>
      <x:c r="B95" s="2" t="n">
        <x:v>1</x:v>
      </x:c>
      <x:c r="C95" s="2" t="str">
        <x:v>MP</x:v>
      </x:c>
      <x:c r="D95" s="2" t="str">
        <x:v>Myzus persicae</x:v>
      </x:c>
      <x:c r="E95" s="2" t="str">
        <x:v>L8</x:v>
      </x:c>
      <x:c r="F95" s="2" t="n">
        <x:v>1</x:v>
      </x:c>
      <x:c r="G95" s="2" t="n">
        <x:v>9</x:v>
      </x:c>
      <x:c r="H95" s="2" t="n">
        <x:f>G95+Supuestos!$C$15</x:f>
        <x:v>10</x:v>
      </x:c>
      <x:c r="I95" s="14" t="n">
        <x:f>E2_plantas!J4+G95</x:f>
        <x:v>46183</x:v>
      </x:c>
      <x:c r="J95" s="2" t="str">
        <x:v>N4</x:v>
      </x:c>
      <x:c r="K95" s="2" t="n">
        <x:v>1</x:v>
      </x:c>
      <x:c r="L95" s="2" t="n">
        <x:v>0</x:v>
      </x:c>
      <x:c r="M95" s="2" t="n">
        <x:f>SUM(L$86:L95)</x:f>
        <x:v>0</x:v>
      </x:c>
      <x:c r="N95" s="2" t="n">
        <x:v>0</x:v>
      </x:c>
      <x:c r="O95" s="2" t="str">
        <x:v>seguimiento</x:v>
      </x:c>
      <x:c r="P95" s="2" t="n">
        <x:v>0</x:v>
      </x:c>
      <x:c r="Q95" s="2" t="str">
        <x:v>simulado_didactico</x:v>
      </x:c>
    </x:row>
    <x:row r="96" ht="19" customHeight="1">
      <x:c r="A96" s="2" t="str">
        <x:v>SIM-E2-MP-L8-R01</x:v>
      </x:c>
      <x:c r="B96" s="2" t="n">
        <x:v>1</x:v>
      </x:c>
      <x:c r="C96" s="2" t="str">
        <x:v>MP</x:v>
      </x:c>
      <x:c r="D96" s="2" t="str">
        <x:v>Myzus persicae</x:v>
      </x:c>
      <x:c r="E96" s="2" t="str">
        <x:v>L8</x:v>
      </x:c>
      <x:c r="F96" s="2" t="n">
        <x:v>1</x:v>
      </x:c>
      <x:c r="G96" s="2" t="n">
        <x:v>10</x:v>
      </x:c>
      <x:c r="H96" s="2" t="n">
        <x:f>G96+Supuestos!$C$15</x:f>
        <x:v>11</x:v>
      </x:c>
      <x:c r="I96" s="14" t="n">
        <x:f>E2_plantas!J4+G96</x:f>
        <x:v>46184</x:v>
      </x:c>
      <x:c r="J96" s="2" t="str">
        <x:v>adulta</x:v>
      </x:c>
      <x:c r="K96" s="2" t="n">
        <x:v>1</x:v>
      </x:c>
      <x:c r="L96" s="2" t="n">
        <x:v>0</x:v>
      </x:c>
      <x:c r="M96" s="2" t="n">
        <x:f>SUM(L$86:L96)</x:f>
        <x:v>0</x:v>
      </x:c>
      <x:c r="N96" s="2" t="n">
        <x:v>0</x:v>
      </x:c>
      <x:c r="O96" s="2" t="str">
        <x:v>seguimiento</x:v>
      </x:c>
      <x:c r="P96" s="2" t="n">
        <x:v>0</x:v>
      </x:c>
      <x:c r="Q96" s="2" t="str">
        <x:v>simulado_didactico</x:v>
      </x:c>
    </x:row>
    <x:row r="97" ht="19" customHeight="1">
      <x:c r="A97" s="2" t="str">
        <x:v>SIM-E2-MP-L8-R01</x:v>
      </x:c>
      <x:c r="B97" s="2" t="n">
        <x:v>1</x:v>
      </x:c>
      <x:c r="C97" s="2" t="str">
        <x:v>MP</x:v>
      </x:c>
      <x:c r="D97" s="2" t="str">
        <x:v>Myzus persicae</x:v>
      </x:c>
      <x:c r="E97" s="2" t="str">
        <x:v>L8</x:v>
      </x:c>
      <x:c r="F97" s="2" t="n">
        <x:v>1</x:v>
      </x:c>
      <x:c r="G97" s="2" t="n">
        <x:v>11</x:v>
      </x:c>
      <x:c r="H97" s="2" t="n">
        <x:f>G97+Supuestos!$C$15</x:f>
        <x:v>12</x:v>
      </x:c>
      <x:c r="I97" s="14" t="n">
        <x:f>E2_plantas!J4+G97</x:f>
        <x:v>46185</x:v>
      </x:c>
      <x:c r="J97" s="2" t="str">
        <x:v>adulta</x:v>
      </x:c>
      <x:c r="K97" s="2" t="n">
        <x:v>1</x:v>
      </x:c>
      <x:c r="L97" s="2" t="n">
        <x:v>0</x:v>
      </x:c>
      <x:c r="M97" s="2" t="n">
        <x:f>SUM(L$86:L97)</x:f>
        <x:v>0</x:v>
      </x:c>
      <x:c r="N97" s="2" t="n">
        <x:v>0</x:v>
      </x:c>
      <x:c r="O97" s="2" t="str">
        <x:v>seguimiento</x:v>
      </x:c>
      <x:c r="P97" s="2" t="n">
        <x:v>0</x:v>
      </x:c>
      <x:c r="Q97" s="2" t="str">
        <x:v>simulado_didactico</x:v>
      </x:c>
    </x:row>
    <x:row r="98" ht="19" customHeight="1">
      <x:c r="A98" s="2" t="str">
        <x:v>SIM-E2-MP-L8-R01</x:v>
      </x:c>
      <x:c r="B98" s="2" t="n">
        <x:v>1</x:v>
      </x:c>
      <x:c r="C98" s="2" t="str">
        <x:v>MP</x:v>
      </x:c>
      <x:c r="D98" s="2" t="str">
        <x:v>Myzus persicae</x:v>
      </x:c>
      <x:c r="E98" s="2" t="str">
        <x:v>L8</x:v>
      </x:c>
      <x:c r="F98" s="2" t="n">
        <x:v>1</x:v>
      </x:c>
      <x:c r="G98" s="2" t="n">
        <x:v>12</x:v>
      </x:c>
      <x:c r="H98" s="2" t="n">
        <x:f>G98+Supuestos!$C$15</x:f>
        <x:v>13</x:v>
      </x:c>
      <x:c r="I98" s="14" t="n">
        <x:f>E2_plantas!J4+G98</x:f>
        <x:v>46186</x:v>
      </x:c>
      <x:c r="J98" s="2" t="str">
        <x:v>adulta</x:v>
      </x:c>
      <x:c r="K98" s="2" t="n">
        <x:v>1</x:v>
      </x:c>
      <x:c r="L98" s="2" t="n">
        <x:v>0</x:v>
      </x:c>
      <x:c r="M98" s="2" t="n">
        <x:f>SUM(L$86:L98)</x:f>
        <x:v>0</x:v>
      </x:c>
      <x:c r="N98" s="2" t="n">
        <x:v>0</x:v>
      </x:c>
      <x:c r="O98" s="2" t="str">
        <x:v>seguimiento</x:v>
      </x:c>
      <x:c r="P98" s="2" t="n">
        <x:v>0</x:v>
      </x:c>
      <x:c r="Q98" s="2" t="str">
        <x:v>simulado_didactico</x:v>
      </x:c>
    </x:row>
    <x:row r="99" ht="19" customHeight="1">
      <x:c r="A99" s="2" t="str">
        <x:v>SIM-E2-MP-L8-R01</x:v>
      </x:c>
      <x:c r="B99" s="2" t="n">
        <x:v>1</x:v>
      </x:c>
      <x:c r="C99" s="2" t="str">
        <x:v>MP</x:v>
      </x:c>
      <x:c r="D99" s="2" t="str">
        <x:v>Myzus persicae</x:v>
      </x:c>
      <x:c r="E99" s="2" t="str">
        <x:v>L8</x:v>
      </x:c>
      <x:c r="F99" s="2" t="n">
        <x:v>1</x:v>
      </x:c>
      <x:c r="G99" s="2" t="n">
        <x:v>13</x:v>
      </x:c>
      <x:c r="H99" s="2" t="n">
        <x:f>G99+Supuestos!$C$15</x:f>
        <x:v>14</x:v>
      </x:c>
      <x:c r="I99" s="14" t="n">
        <x:f>E2_plantas!J4+G99</x:f>
        <x:v>46187</x:v>
      </x:c>
      <x:c r="J99" s="2" t="str">
        <x:v>adulta</x:v>
      </x:c>
      <x:c r="K99" s="2" t="n">
        <x:v>1</x:v>
      </x:c>
      <x:c r="L99" s="2" t="n">
        <x:v>0</x:v>
      </x:c>
      <x:c r="M99" s="2" t="n">
        <x:f>SUM(L$86:L99)</x:f>
        <x:v>0</x:v>
      </x:c>
      <x:c r="N99" s="2" t="n">
        <x:v>0</x:v>
      </x:c>
      <x:c r="O99" s="2" t="str">
        <x:v>seguimiento</x:v>
      </x:c>
      <x:c r="P99" s="2" t="n">
        <x:v>0</x:v>
      </x:c>
      <x:c r="Q99" s="2" t="str">
        <x:v>simulado_didactico</x:v>
      </x:c>
    </x:row>
    <x:row r="100" ht="19" customHeight="1">
      <x:c r="A100" s="2" t="str">
        <x:v>SIM-E2-MP-L8-R01</x:v>
      </x:c>
      <x:c r="B100" s="2" t="n">
        <x:v>1</x:v>
      </x:c>
      <x:c r="C100" s="2" t="str">
        <x:v>MP</x:v>
      </x:c>
      <x:c r="D100" s="2" t="str">
        <x:v>Myzus persicae</x:v>
      </x:c>
      <x:c r="E100" s="2" t="str">
        <x:v>L8</x:v>
      </x:c>
      <x:c r="F100" s="2" t="n">
        <x:v>1</x:v>
      </x:c>
      <x:c r="G100" s="2" t="n">
        <x:v>14</x:v>
      </x:c>
      <x:c r="H100" s="2" t="n">
        <x:f>G100+Supuestos!$C$15</x:f>
        <x:v>15</x:v>
      </x:c>
      <x:c r="I100" s="14" t="n">
        <x:f>E2_plantas!J4+G100</x:f>
        <x:v>46188</x:v>
      </x:c>
      <x:c r="J100" s="2" t="str">
        <x:v>adulta</x:v>
      </x:c>
      <x:c r="K100" s="2" t="n">
        <x:v>1</x:v>
      </x:c>
      <x:c r="L100" s="2" t="n">
        <x:v>2</x:v>
      </x:c>
      <x:c r="M100" s="2" t="n">
        <x:f>SUM(L$86:L100)</x:f>
        <x:v>2</x:v>
      </x:c>
      <x:c r="N100" s="2" t="n">
        <x:v>0</x:v>
      </x:c>
      <x:c r="O100" s="2" t="str">
        <x:v>seguimiento</x:v>
      </x:c>
      <x:c r="P100" s="2" t="n">
        <x:v>0</x:v>
      </x:c>
      <x:c r="Q100" s="2" t="str">
        <x:v>simulado_didactico</x:v>
      </x:c>
    </x:row>
    <x:row r="101" ht="19" customHeight="1">
      <x:c r="A101" s="2" t="str">
        <x:v>SIM-E2-MP-L8-R01</x:v>
      </x:c>
      <x:c r="B101" s="2" t="n">
        <x:v>1</x:v>
      </x:c>
      <x:c r="C101" s="2" t="str">
        <x:v>MP</x:v>
      </x:c>
      <x:c r="D101" s="2" t="str">
        <x:v>Myzus persicae</x:v>
      </x:c>
      <x:c r="E101" s="2" t="str">
        <x:v>L8</x:v>
      </x:c>
      <x:c r="F101" s="2" t="n">
        <x:v>1</x:v>
      </x:c>
      <x:c r="G101" s="2" t="n">
        <x:v>15</x:v>
      </x:c>
      <x:c r="H101" s="2" t="n">
        <x:f>G101+Supuestos!$C$15</x:f>
        <x:v>16</x:v>
      </x:c>
      <x:c r="I101" s="14" t="n">
        <x:f>E2_plantas!J4+G101</x:f>
        <x:v>46189</x:v>
      </x:c>
      <x:c r="J101" s="2" t="str">
        <x:v>adulta</x:v>
      </x:c>
      <x:c r="K101" s="2" t="n">
        <x:v>1</x:v>
      </x:c>
      <x:c r="L101" s="2" t="n">
        <x:v>1</x:v>
      </x:c>
      <x:c r="M101" s="2" t="n">
        <x:f>SUM(L$86:L101)</x:f>
        <x:v>3</x:v>
      </x:c>
      <x:c r="N101" s="2" t="n">
        <x:v>0</x:v>
      </x:c>
      <x:c r="O101" s="2" t="str">
        <x:v>seguimiento</x:v>
      </x:c>
      <x:c r="P101" s="2" t="n">
        <x:v>0</x:v>
      </x:c>
      <x:c r="Q101" s="2" t="str">
        <x:v>simulado_didactico</x:v>
      </x:c>
    </x:row>
    <x:row r="102" ht="19" customHeight="1">
      <x:c r="A102" s="2" t="str">
        <x:v>SIM-E2-MP-L8-R01</x:v>
      </x:c>
      <x:c r="B102" s="2" t="n">
        <x:v>1</x:v>
      </x:c>
      <x:c r="C102" s="2" t="str">
        <x:v>MP</x:v>
      </x:c>
      <x:c r="D102" s="2" t="str">
        <x:v>Myzus persicae</x:v>
      </x:c>
      <x:c r="E102" s="2" t="str">
        <x:v>L8</x:v>
      </x:c>
      <x:c r="F102" s="2" t="n">
        <x:v>1</x:v>
      </x:c>
      <x:c r="G102" s="2" t="n">
        <x:v>16</x:v>
      </x:c>
      <x:c r="H102" s="2" t="n">
        <x:f>G102+Supuestos!$C$15</x:f>
        <x:v>17</x:v>
      </x:c>
      <x:c r="I102" s="14" t="n">
        <x:f>E2_plantas!J4+G102</x:f>
        <x:v>46190</x:v>
      </x:c>
      <x:c r="J102" s="2" t="str">
        <x:v>adulta</x:v>
      </x:c>
      <x:c r="K102" s="2" t="n">
        <x:v>1</x:v>
      </x:c>
      <x:c r="L102" s="2" t="n">
        <x:v>1</x:v>
      </x:c>
      <x:c r="M102" s="2" t="n">
        <x:f>SUM(L$86:L102)</x:f>
        <x:v>4</x:v>
      </x:c>
      <x:c r="N102" s="2" t="n">
        <x:v>0</x:v>
      </x:c>
      <x:c r="O102" s="2" t="str">
        <x:v>seguimiento</x:v>
      </x:c>
      <x:c r="P102" s="2" t="n">
        <x:v>0</x:v>
      </x:c>
      <x:c r="Q102" s="2" t="str">
        <x:v>simulado_didactico</x:v>
      </x:c>
    </x:row>
    <x:row r="103" ht="19" customHeight="1">
      <x:c r="A103" s="2" t="str">
        <x:v>SIM-E2-MP-L8-R01</x:v>
      </x:c>
      <x:c r="B103" s="2" t="n">
        <x:v>1</x:v>
      </x:c>
      <x:c r="C103" s="2" t="str">
        <x:v>MP</x:v>
      </x:c>
      <x:c r="D103" s="2" t="str">
        <x:v>Myzus persicae</x:v>
      </x:c>
      <x:c r="E103" s="2" t="str">
        <x:v>L8</x:v>
      </x:c>
      <x:c r="F103" s="2" t="n">
        <x:v>1</x:v>
      </x:c>
      <x:c r="G103" s="2" t="n">
        <x:v>17</x:v>
      </x:c>
      <x:c r="H103" s="2" t="n">
        <x:f>G103+Supuestos!$C$15</x:f>
        <x:v>18</x:v>
      </x:c>
      <x:c r="I103" s="14" t="n">
        <x:f>E2_plantas!J4+G103</x:f>
        <x:v>46191</x:v>
      </x:c>
      <x:c r="J103" s="2" t="str">
        <x:v>adulta</x:v>
      </x:c>
      <x:c r="K103" s="2" t="n">
        <x:v>1</x:v>
      </x:c>
      <x:c r="L103" s="2" t="n">
        <x:v>3</x:v>
      </x:c>
      <x:c r="M103" s="2" t="n">
        <x:f>SUM(L$86:L103)</x:f>
        <x:v>7</x:v>
      </x:c>
      <x:c r="N103" s="2" t="n">
        <x:v>0</x:v>
      </x:c>
      <x:c r="O103" s="2" t="str">
        <x:v>seguimiento</x:v>
      </x:c>
      <x:c r="P103" s="2" t="n">
        <x:v>0</x:v>
      </x:c>
      <x:c r="Q103" s="2" t="str">
        <x:v>simulado_didactico</x:v>
      </x:c>
    </x:row>
    <x:row r="104" ht="19" customHeight="1">
      <x:c r="A104" s="2" t="str">
        <x:v>SIM-E2-MP-L8-R01</x:v>
      </x:c>
      <x:c r="B104" s="2" t="n">
        <x:v>1</x:v>
      </x:c>
      <x:c r="C104" s="2" t="str">
        <x:v>MP</x:v>
      </x:c>
      <x:c r="D104" s="2" t="str">
        <x:v>Myzus persicae</x:v>
      </x:c>
      <x:c r="E104" s="2" t="str">
        <x:v>L8</x:v>
      </x:c>
      <x:c r="F104" s="2" t="n">
        <x:v>1</x:v>
      </x:c>
      <x:c r="G104" s="2" t="n">
        <x:v>18</x:v>
      </x:c>
      <x:c r="H104" s="2" t="n">
        <x:f>G104+Supuestos!$C$15</x:f>
        <x:v>19</x:v>
      </x:c>
      <x:c r="I104" s="14" t="n">
        <x:f>E2_plantas!J4+G104</x:f>
        <x:v>46192</x:v>
      </x:c>
      <x:c r="J104" s="2" t="str">
        <x:v>adulta</x:v>
      </x:c>
      <x:c r="K104" s="2" t="n">
        <x:v>1</x:v>
      </x:c>
      <x:c r="L104" s="2" t="n">
        <x:v>4</x:v>
      </x:c>
      <x:c r="M104" s="2" t="n">
        <x:f>SUM(L$86:L104)</x:f>
        <x:v>11</x:v>
      </x:c>
      <x:c r="N104" s="2" t="n">
        <x:v>0</x:v>
      </x:c>
      <x:c r="O104" s="2" t="str">
        <x:v>seguimiento</x:v>
      </x:c>
      <x:c r="P104" s="2" t="n">
        <x:v>0</x:v>
      </x:c>
      <x:c r="Q104" s="2" t="str">
        <x:v>simulado_didactico</x:v>
      </x:c>
    </x:row>
    <x:row r="105" ht="19" customHeight="1">
      <x:c r="A105" s="2" t="str">
        <x:v>SIM-E2-MP-L8-R01</x:v>
      </x:c>
      <x:c r="B105" s="2" t="n">
        <x:v>1</x:v>
      </x:c>
      <x:c r="C105" s="2" t="str">
        <x:v>MP</x:v>
      </x:c>
      <x:c r="D105" s="2" t="str">
        <x:v>Myzus persicae</x:v>
      </x:c>
      <x:c r="E105" s="2" t="str">
        <x:v>L8</x:v>
      </x:c>
      <x:c r="F105" s="2" t="n">
        <x:v>1</x:v>
      </x:c>
      <x:c r="G105" s="2" t="n">
        <x:v>19</x:v>
      </x:c>
      <x:c r="H105" s="2" t="n">
        <x:f>G105+Supuestos!$C$15</x:f>
        <x:v>20</x:v>
      </x:c>
      <x:c r="I105" s="14" t="n">
        <x:f>E2_plantas!J4+G105</x:f>
        <x:v>46193</x:v>
      </x:c>
      <x:c r="J105" s="2" t="str">
        <x:v>adulta</x:v>
      </x:c>
      <x:c r="K105" s="2" t="n">
        <x:v>1</x:v>
      </x:c>
      <x:c r="L105" s="2" t="n">
        <x:v>3</x:v>
      </x:c>
      <x:c r="M105" s="2" t="n">
        <x:f>SUM(L$86:L105)</x:f>
        <x:v>14</x:v>
      </x:c>
      <x:c r="N105" s="2" t="n">
        <x:v>0</x:v>
      </x:c>
      <x:c r="O105" s="2" t="str">
        <x:v>seguimiento</x:v>
      </x:c>
      <x:c r="P105" s="2" t="n">
        <x:v>0</x:v>
      </x:c>
      <x:c r="Q105" s="2" t="str">
        <x:v>simulado_didactico</x:v>
      </x:c>
    </x:row>
    <x:row r="106" ht="19" customHeight="1">
      <x:c r="A106" s="2" t="str">
        <x:v>SIM-E2-MP-L8-R01</x:v>
      </x:c>
      <x:c r="B106" s="2" t="n">
        <x:v>1</x:v>
      </x:c>
      <x:c r="C106" s="2" t="str">
        <x:v>MP</x:v>
      </x:c>
      <x:c r="D106" s="2" t="str">
        <x:v>Myzus persicae</x:v>
      </x:c>
      <x:c r="E106" s="2" t="str">
        <x:v>L8</x:v>
      </x:c>
      <x:c r="F106" s="2" t="n">
        <x:v>1</x:v>
      </x:c>
      <x:c r="G106" s="2" t="n">
        <x:v>20</x:v>
      </x:c>
      <x:c r="H106" s="2" t="n">
        <x:f>G106+Supuestos!$C$15</x:f>
        <x:v>21</x:v>
      </x:c>
      <x:c r="I106" s="14" t="n">
        <x:f>E2_plantas!J4+G106</x:f>
        <x:v>46194</x:v>
      </x:c>
      <x:c r="J106" s="2" t="str">
        <x:v>adulta</x:v>
      </x:c>
      <x:c r="K106" s="2" t="n">
        <x:v>1</x:v>
      </x:c>
      <x:c r="L106" s="2" t="n">
        <x:v>0</x:v>
      </x:c>
      <x:c r="M106" s="2" t="n">
        <x:f>SUM(L$86:L106)</x:f>
        <x:v>14</x:v>
      </x:c>
      <x:c r="N106" s="2" t="n">
        <x:v>0</x:v>
      </x:c>
      <x:c r="O106" s="2" t="str">
        <x:v>seguimiento</x:v>
      </x:c>
      <x:c r="P106" s="2" t="n">
        <x:v>0</x:v>
      </x:c>
      <x:c r="Q106" s="2" t="str">
        <x:v>simulado_didactico</x:v>
      </x:c>
    </x:row>
    <x:row r="107" ht="19" customHeight="1">
      <x:c r="A107" s="2" t="str">
        <x:v>SIM-E2-MP-L8-R01</x:v>
      </x:c>
      <x:c r="B107" s="2" t="n">
        <x:v>1</x:v>
      </x:c>
      <x:c r="C107" s="2" t="str">
        <x:v>MP</x:v>
      </x:c>
      <x:c r="D107" s="2" t="str">
        <x:v>Myzus persicae</x:v>
      </x:c>
      <x:c r="E107" s="2" t="str">
        <x:v>L8</x:v>
      </x:c>
      <x:c r="F107" s="2" t="n">
        <x:v>1</x:v>
      </x:c>
      <x:c r="G107" s="2" t="n">
        <x:v>21</x:v>
      </x:c>
      <x:c r="H107" s="2" t="n">
        <x:f>G107+Supuestos!$C$15</x:f>
        <x:v>22</x:v>
      </x:c>
      <x:c r="I107" s="14" t="n">
        <x:f>E2_plantas!J4+G107</x:f>
        <x:v>46195</x:v>
      </x:c>
      <x:c r="J107" s="2" t="str">
        <x:v>adulta</x:v>
      </x:c>
      <x:c r="K107" s="2" t="n">
        <x:v>1</x:v>
      </x:c>
      <x:c r="L107" s="2" t="n">
        <x:v>3</x:v>
      </x:c>
      <x:c r="M107" s="2" t="n">
        <x:f>SUM(L$86:L107)</x:f>
        <x:v>17</x:v>
      </x:c>
      <x:c r="N107" s="2" t="n">
        <x:v>0</x:v>
      </x:c>
      <x:c r="O107" s="2" t="str">
        <x:v>seguimiento</x:v>
      </x:c>
      <x:c r="P107" s="2" t="n">
        <x:v>0</x:v>
      </x:c>
      <x:c r="Q107" s="2" t="str">
        <x:v>simulado_didactico</x:v>
      </x:c>
    </x:row>
    <x:row r="108" ht="19" customHeight="1">
      <x:c r="A108" s="2" t="str">
        <x:v>SIM-E2-MP-L8-R01</x:v>
      </x:c>
      <x:c r="B108" s="2" t="n">
        <x:v>1</x:v>
      </x:c>
      <x:c r="C108" s="2" t="str">
        <x:v>MP</x:v>
      </x:c>
      <x:c r="D108" s="2" t="str">
        <x:v>Myzus persicae</x:v>
      </x:c>
      <x:c r="E108" s="2" t="str">
        <x:v>L8</x:v>
      </x:c>
      <x:c r="F108" s="2" t="n">
        <x:v>1</x:v>
      </x:c>
      <x:c r="G108" s="2" t="n">
        <x:v>22</x:v>
      </x:c>
      <x:c r="H108" s="2" t="n">
        <x:f>G108+Supuestos!$C$15</x:f>
        <x:v>23</x:v>
      </x:c>
      <x:c r="I108" s="14" t="n">
        <x:f>E2_plantas!J4+G108</x:f>
        <x:v>46196</x:v>
      </x:c>
      <x:c r="J108" s="2" t="str">
        <x:v>adulta</x:v>
      </x:c>
      <x:c r="K108" s="2" t="n">
        <x:v>1</x:v>
      </x:c>
      <x:c r="L108" s="2" t="n">
        <x:v>0</x:v>
      </x:c>
      <x:c r="M108" s="2" t="n">
        <x:f>SUM(L$86:L108)</x:f>
        <x:v>17</x:v>
      </x:c>
      <x:c r="N108" s="2" t="n">
        <x:v>0</x:v>
      </x:c>
      <x:c r="O108" s="2" t="str">
        <x:v>seguimiento</x:v>
      </x:c>
      <x:c r="P108" s="2" t="n">
        <x:v>0</x:v>
      </x:c>
      <x:c r="Q108" s="2" t="str">
        <x:v>simulado_didactico</x:v>
      </x:c>
    </x:row>
    <x:row r="109" ht="19" customHeight="1">
      <x:c r="A109" s="2" t="str">
        <x:v>SIM-E2-MP-L8-R01</x:v>
      </x:c>
      <x:c r="B109" s="2" t="n">
        <x:v>1</x:v>
      </x:c>
      <x:c r="C109" s="2" t="str">
        <x:v>MP</x:v>
      </x:c>
      <x:c r="D109" s="2" t="str">
        <x:v>Myzus persicae</x:v>
      </x:c>
      <x:c r="E109" s="2" t="str">
        <x:v>L8</x:v>
      </x:c>
      <x:c r="F109" s="2" t="n">
        <x:v>1</x:v>
      </x:c>
      <x:c r="G109" s="2" t="n">
        <x:v>23</x:v>
      </x:c>
      <x:c r="H109" s="2" t="n">
        <x:f>G109+Supuestos!$C$15</x:f>
        <x:v>24</x:v>
      </x:c>
      <x:c r="I109" s="14" t="n">
        <x:f>E2_plantas!J4+G109</x:f>
        <x:v>46197</x:v>
      </x:c>
      <x:c r="J109" s="2" t="str">
        <x:v>adulta</x:v>
      </x:c>
      <x:c r="K109" s="2" t="n">
        <x:v>1</x:v>
      </x:c>
      <x:c r="L109" s="2" t="n">
        <x:v>0</x:v>
      </x:c>
      <x:c r="M109" s="2" t="n">
        <x:f>SUM(L$86:L109)</x:f>
        <x:v>17</x:v>
      </x:c>
      <x:c r="N109" s="2" t="n">
        <x:v>0</x:v>
      </x:c>
      <x:c r="O109" s="2" t="str">
        <x:v>seguimiento</x:v>
      </x:c>
      <x:c r="P109" s="2" t="n">
        <x:v>0</x:v>
      </x:c>
      <x:c r="Q109" s="2" t="str">
        <x:v>simulado_didactico</x:v>
      </x:c>
    </x:row>
    <x:row r="110" ht="19" customHeight="1">
      <x:c r="A110" s="2" t="str">
        <x:v>SIM-E2-MP-L8-R01</x:v>
      </x:c>
      <x:c r="B110" s="2" t="n">
        <x:v>1</x:v>
      </x:c>
      <x:c r="C110" s="2" t="str">
        <x:v>MP</x:v>
      </x:c>
      <x:c r="D110" s="2" t="str">
        <x:v>Myzus persicae</x:v>
      </x:c>
      <x:c r="E110" s="2" t="str">
        <x:v>L8</x:v>
      </x:c>
      <x:c r="F110" s="2" t="n">
        <x:v>1</x:v>
      </x:c>
      <x:c r="G110" s="2" t="n">
        <x:v>24</x:v>
      </x:c>
      <x:c r="H110" s="2" t="n">
        <x:f>G110+Supuestos!$C$15</x:f>
        <x:v>25</x:v>
      </x:c>
      <x:c r="I110" s="14" t="n">
        <x:f>E2_plantas!J4+G110</x:f>
        <x:v>46198</x:v>
      </x:c>
      <x:c r="J110" s="2" t="str">
        <x:v>adulta</x:v>
      </x:c>
      <x:c r="K110" s="2" t="n">
        <x:v>1</x:v>
      </x:c>
      <x:c r="L110" s="2" t="n">
        <x:v>0</x:v>
      </x:c>
      <x:c r="M110" s="2" t="n">
        <x:f>SUM(L$86:L110)</x:f>
        <x:v>17</x:v>
      </x:c>
      <x:c r="N110" s="2" t="n">
        <x:v>0</x:v>
      </x:c>
      <x:c r="O110" s="2" t="str">
        <x:v>seguimiento</x:v>
      </x:c>
      <x:c r="P110" s="2" t="n">
        <x:v>0</x:v>
      </x:c>
      <x:c r="Q110" s="2" t="str">
        <x:v>simulado_didactico</x:v>
      </x:c>
    </x:row>
    <x:row r="111" ht="19" customHeight="1">
      <x:c r="A111" s="2" t="str">
        <x:v>SIM-E2-MP-L8-R01</x:v>
      </x:c>
      <x:c r="B111" s="2" t="n">
        <x:v>1</x:v>
      </x:c>
      <x:c r="C111" s="2" t="str">
        <x:v>MP</x:v>
      </x:c>
      <x:c r="D111" s="2" t="str">
        <x:v>Myzus persicae</x:v>
      </x:c>
      <x:c r="E111" s="2" t="str">
        <x:v>L8</x:v>
      </x:c>
      <x:c r="F111" s="2" t="n">
        <x:v>1</x:v>
      </x:c>
      <x:c r="G111" s="2" t="n">
        <x:v>25</x:v>
      </x:c>
      <x:c r="H111" s="2" t="n">
        <x:f>G111+Supuestos!$C$15</x:f>
        <x:v>26</x:v>
      </x:c>
      <x:c r="I111" s="14" t="n">
        <x:f>E2_plantas!J4+G111</x:f>
        <x:v>46199</x:v>
      </x:c>
      <x:c r="J111" s="2" t="str">
        <x:v>muerta</x:v>
      </x:c>
      <x:c r="K111" s="2" t="n">
        <x:v>0</x:v>
      </x:c>
      <x:c r="L111" s="2" t="n">
        <x:v>0</x:v>
      </x:c>
      <x:c r="M111" s="2" t="n">
        <x:f>SUM(L$86:L111)</x:f>
        <x:v>17</x:v>
      </x:c>
      <x:c r="N111" s="2" t="n">
        <x:v>1</x:v>
      </x:c>
      <x:c r="O111" s="2" t="str">
        <x:v>muerte</x:v>
      </x:c>
      <x:c r="P111" s="2" t="n">
        <x:v>0</x:v>
      </x:c>
      <x:c r="Q111" s="2" t="str">
        <x:v>simulado_didactico</x:v>
      </x:c>
    </x:row>
    <x:row r="112" ht="19" customHeight="1">
      <x:c r="A112" s="2" t="str">
        <x:v>SIM-E2-MP-L8-R01</x:v>
      </x:c>
      <x:c r="B112" s="2" t="n">
        <x:v>1</x:v>
      </x:c>
      <x:c r="C112" s="2" t="str">
        <x:v>MP</x:v>
      </x:c>
      <x:c r="D112" s="2" t="str">
        <x:v>Myzus persicae</x:v>
      </x:c>
      <x:c r="E112" s="2" t="str">
        <x:v>L8</x:v>
      </x:c>
      <x:c r="F112" s="2" t="n">
        <x:v>1</x:v>
      </x:c>
      <x:c r="G112" s="2" t="n">
        <x:v>26</x:v>
      </x:c>
      <x:c r="H112" s="2" t="n">
        <x:f>G112+Supuestos!$C$15</x:f>
        <x:v>27</x:v>
      </x:c>
      <x:c r="I112" s="14" t="n">
        <x:f>E2_plantas!J4+G112</x:f>
        <x:v>46200</x:v>
      </x:c>
      <x:c r="J112" s="2" t="str">
        <x:v>muerta</x:v>
      </x:c>
      <x:c r="K112" s="2" t="n">
        <x:v>0</x:v>
      </x:c>
      <x:c r="L112" s="2" t="n">
        <x:v>0</x:v>
      </x:c>
      <x:c r="M112" s="2" t="n">
        <x:f>SUM(L$86:L112)</x:f>
        <x:v>17</x:v>
      </x:c>
      <x:c r="N112" s="2" t="n">
        <x:v>0</x:v>
      </x:c>
      <x:c r="O112" s="2" t="str">
        <x:v>relleno_postmuerte</x:v>
      </x:c>
      <x:c r="P112" s="2" t="n">
        <x:v>0</x:v>
      </x:c>
      <x:c r="Q112" s="2" t="str">
        <x:v>simulado_didactico</x:v>
      </x:c>
    </x:row>
    <x:row r="113" ht="19" customHeight="1">
      <x:c r="A113" s="2" t="str">
        <x:v>SIM-E2-MP-L8-R01</x:v>
      </x:c>
      <x:c r="B113" s="2" t="n">
        <x:v>1</x:v>
      </x:c>
      <x:c r="C113" s="2" t="str">
        <x:v>MP</x:v>
      </x:c>
      <x:c r="D113" s="2" t="str">
        <x:v>Myzus persicae</x:v>
      </x:c>
      <x:c r="E113" s="2" t="str">
        <x:v>L8</x:v>
      </x:c>
      <x:c r="F113" s="2" t="n">
        <x:v>1</x:v>
      </x:c>
      <x:c r="G113" s="2" t="n">
        <x:v>27</x:v>
      </x:c>
      <x:c r="H113" s="2" t="n">
        <x:f>G113+Supuestos!$C$15</x:f>
        <x:v>28</x:v>
      </x:c>
      <x:c r="I113" s="14" t="n">
        <x:f>E2_plantas!J4+G113</x:f>
        <x:v>46201</x:v>
      </x:c>
      <x:c r="J113" s="2" t="str">
        <x:v>muerta</x:v>
      </x:c>
      <x:c r="K113" s="2" t="n">
        <x:v>0</x:v>
      </x:c>
      <x:c r="L113" s="2" t="n">
        <x:v>0</x:v>
      </x:c>
      <x:c r="M113" s="2" t="n">
        <x:f>SUM(L$86:L113)</x:f>
        <x:v>17</x:v>
      </x:c>
      <x:c r="N113" s="2" t="n">
        <x:v>0</x:v>
      </x:c>
      <x:c r="O113" s="2" t="str">
        <x:v>relleno_postmuerte</x:v>
      </x:c>
      <x:c r="P113" s="2" t="n">
        <x:v>0</x:v>
      </x:c>
      <x:c r="Q113" s="2" t="str">
        <x:v>simulado_didactico</x:v>
      </x:c>
    </x:row>
    <x:row r="114" ht="19" customHeight="1">
      <x:c r="A114" s="2" t="str">
        <x:v>SIM-E2-MP-L8-R01</x:v>
      </x:c>
      <x:c r="B114" s="2" t="n">
        <x:v>1</x:v>
      </x:c>
      <x:c r="C114" s="2" t="str">
        <x:v>MP</x:v>
      </x:c>
      <x:c r="D114" s="2" t="str">
        <x:v>Myzus persicae</x:v>
      </x:c>
      <x:c r="E114" s="2" t="str">
        <x:v>L8</x:v>
      </x:c>
      <x:c r="F114" s="2" t="n">
        <x:v>1</x:v>
      </x:c>
      <x:c r="G114" s="2" t="n">
        <x:v>28</x:v>
      </x:c>
      <x:c r="H114" s="2" t="n">
        <x:f>G114+Supuestos!$C$15</x:f>
        <x:v>29</x:v>
      </x:c>
      <x:c r="I114" s="14" t="n">
        <x:f>E2_plantas!J4+G114</x:f>
        <x:v>46202</x:v>
      </x:c>
      <x:c r="J114" s="2" t="str">
        <x:v>muerta</x:v>
      </x:c>
      <x:c r="K114" s="2" t="n">
        <x:v>0</x:v>
      </x:c>
      <x:c r="L114" s="2" t="n">
        <x:v>0</x:v>
      </x:c>
      <x:c r="M114" s="2" t="n">
        <x:f>SUM(L$86:L114)</x:f>
        <x:v>17</x:v>
      </x:c>
      <x:c r="N114" s="2" t="n">
        <x:v>0</x:v>
      </x:c>
      <x:c r="O114" s="2" t="str">
        <x:v>relleno_postmuerte</x:v>
      </x:c>
      <x:c r="P114" s="2" t="n">
        <x:v>0</x:v>
      </x:c>
      <x:c r="Q114" s="2" t="str">
        <x:v>simulado_didactico</x:v>
      </x:c>
    </x:row>
    <x:row r="115" ht="19" customHeight="1">
      <x:c r="A115" s="2" t="str">
        <x:v>SIM-E2-MP-L8-R01</x:v>
      </x:c>
      <x:c r="B115" s="2" t="n">
        <x:v>1</x:v>
      </x:c>
      <x:c r="C115" s="2" t="str">
        <x:v>MP</x:v>
      </x:c>
      <x:c r="D115" s="2" t="str">
        <x:v>Myzus persicae</x:v>
      </x:c>
      <x:c r="E115" s="2" t="str">
        <x:v>L8</x:v>
      </x:c>
      <x:c r="F115" s="2" t="n">
        <x:v>1</x:v>
      </x:c>
      <x:c r="G115" s="2" t="n">
        <x:v>29</x:v>
      </x:c>
      <x:c r="H115" s="2" t="n">
        <x:f>G115+Supuestos!$C$15</x:f>
        <x:v>30</x:v>
      </x:c>
      <x:c r="I115" s="14" t="n">
        <x:f>E2_plantas!J4+G115</x:f>
        <x:v>46203</x:v>
      </x:c>
      <x:c r="J115" s="2" t="str">
        <x:v>muerta</x:v>
      </x:c>
      <x:c r="K115" s="2" t="n">
        <x:v>0</x:v>
      </x:c>
      <x:c r="L115" s="2" t="n">
        <x:v>0</x:v>
      </x:c>
      <x:c r="M115" s="2" t="n">
        <x:f>SUM(L$86:L115)</x:f>
        <x:v>17</x:v>
      </x:c>
      <x:c r="N115" s="2" t="n">
        <x:v>0</x:v>
      </x:c>
      <x:c r="O115" s="2" t="str">
        <x:v>relleno_postmuerte</x:v>
      </x:c>
      <x:c r="P115" s="2" t="n">
        <x:v>0</x:v>
      </x:c>
      <x:c r="Q115" s="2" t="str">
        <x:v>simulado_didactico</x:v>
      </x:c>
    </x:row>
    <x:row r="116" ht="19" customHeight="1">
      <x:c r="A116" s="2" t="str">
        <x:v>SIM-E2-MP-L8-R01</x:v>
      </x:c>
      <x:c r="B116" s="2" t="n">
        <x:v>1</x:v>
      </x:c>
      <x:c r="C116" s="2" t="str">
        <x:v>MP</x:v>
      </x:c>
      <x:c r="D116" s="2" t="str">
        <x:v>Myzus persicae</x:v>
      </x:c>
      <x:c r="E116" s="2" t="str">
        <x:v>L8</x:v>
      </x:c>
      <x:c r="F116" s="2" t="n">
        <x:v>1</x:v>
      </x:c>
      <x:c r="G116" s="2" t="n">
        <x:v>30</x:v>
      </x:c>
      <x:c r="H116" s="2" t="n">
        <x:f>G116+Supuestos!$C$15</x:f>
        <x:v>31</x:v>
      </x:c>
      <x:c r="I116" s="14" t="n">
        <x:f>E2_plantas!J4+G116</x:f>
        <x:v>46204</x:v>
      </x:c>
      <x:c r="J116" s="2" t="str">
        <x:v>muerta</x:v>
      </x:c>
      <x:c r="K116" s="2" t="n">
        <x:v>0</x:v>
      </x:c>
      <x:c r="L116" s="2" t="n">
        <x:v>0</x:v>
      </x:c>
      <x:c r="M116" s="2" t="n">
        <x:f>SUM(L$86:L116)</x:f>
        <x:v>17</x:v>
      </x:c>
      <x:c r="N116" s="2" t="n">
        <x:v>0</x:v>
      </x:c>
      <x:c r="O116" s="2" t="str">
        <x:v>relleno_postmuerte</x:v>
      </x:c>
      <x:c r="P116" s="2" t="n">
        <x:v>0</x:v>
      </x:c>
      <x:c r="Q116" s="2" t="str">
        <x:v>simulado_didactico</x:v>
      </x:c>
    </x:row>
    <x:row r="117" ht="19" customHeight="1">
      <x:c r="A117" s="2" t="str">
        <x:v>SIM-E2-MP-L8-R01</x:v>
      </x:c>
      <x:c r="B117" s="2" t="n">
        <x:v>1</x:v>
      </x:c>
      <x:c r="C117" s="2" t="str">
        <x:v>MP</x:v>
      </x:c>
      <x:c r="D117" s="2" t="str">
        <x:v>Myzus persicae</x:v>
      </x:c>
      <x:c r="E117" s="2" t="str">
        <x:v>L8</x:v>
      </x:c>
      <x:c r="F117" s="2" t="n">
        <x:v>1</x:v>
      </x:c>
      <x:c r="G117" s="2" t="n">
        <x:v>31</x:v>
      </x:c>
      <x:c r="H117" s="2" t="n">
        <x:f>G117+Supuestos!$C$15</x:f>
        <x:v>32</x:v>
      </x:c>
      <x:c r="I117" s="14" t="n">
        <x:f>E2_plantas!J4+G117</x:f>
        <x:v>46205</x:v>
      </x:c>
      <x:c r="J117" s="2" t="str">
        <x:v>muerta</x:v>
      </x:c>
      <x:c r="K117" s="2" t="n">
        <x:v>0</x:v>
      </x:c>
      <x:c r="L117" s="2" t="n">
        <x:v>0</x:v>
      </x:c>
      <x:c r="M117" s="2" t="n">
        <x:f>SUM(L$86:L117)</x:f>
        <x:v>17</x:v>
      </x:c>
      <x:c r="N117" s="2" t="n">
        <x:v>0</x:v>
      </x:c>
      <x:c r="O117" s="2" t="str">
        <x:v>relleno_postmuerte</x:v>
      </x:c>
      <x:c r="P117" s="2" t="n">
        <x:v>0</x:v>
      </x:c>
      <x:c r="Q117" s="2" t="str">
        <x:v>simulado_didactico</x:v>
      </x:c>
    </x:row>
    <x:row r="118" ht="19" customHeight="1">
      <x:c r="A118" s="2" t="str">
        <x:v>SIM-E2-MP-L8-R01</x:v>
      </x:c>
      <x:c r="B118" s="2" t="n">
        <x:v>1</x:v>
      </x:c>
      <x:c r="C118" s="2" t="str">
        <x:v>MP</x:v>
      </x:c>
      <x:c r="D118" s="2" t="str">
        <x:v>Myzus persicae</x:v>
      </x:c>
      <x:c r="E118" s="2" t="str">
        <x:v>L8</x:v>
      </x:c>
      <x:c r="F118" s="2" t="n">
        <x:v>1</x:v>
      </x:c>
      <x:c r="G118" s="2" t="n">
        <x:v>32</x:v>
      </x:c>
      <x:c r="H118" s="2" t="n">
        <x:f>G118+Supuestos!$C$15</x:f>
        <x:v>33</x:v>
      </x:c>
      <x:c r="I118" s="14" t="n">
        <x:f>E2_plantas!J4+G118</x:f>
        <x:v>46206</x:v>
      </x:c>
      <x:c r="J118" s="2" t="str">
        <x:v>muerta</x:v>
      </x:c>
      <x:c r="K118" s="2" t="n">
        <x:v>0</x:v>
      </x:c>
      <x:c r="L118" s="2" t="n">
        <x:v>0</x:v>
      </x:c>
      <x:c r="M118" s="2" t="n">
        <x:f>SUM(L$86:L118)</x:f>
        <x:v>17</x:v>
      </x:c>
      <x:c r="N118" s="2" t="n">
        <x:v>0</x:v>
      </x:c>
      <x:c r="O118" s="2" t="str">
        <x:v>relleno_postmuerte</x:v>
      </x:c>
      <x:c r="P118" s="2" t="n">
        <x:v>0</x:v>
      </x:c>
      <x:c r="Q118" s="2" t="str">
        <x:v>simulado_didactico</x:v>
      </x:c>
    </x:row>
    <x:row r="119" ht="19" customHeight="1">
      <x:c r="A119" s="2" t="str">
        <x:v>SIM-E2-MP-L8-R01</x:v>
      </x:c>
      <x:c r="B119" s="2" t="n">
        <x:v>1</x:v>
      </x:c>
      <x:c r="C119" s="2" t="str">
        <x:v>MP</x:v>
      </x:c>
      <x:c r="D119" s="2" t="str">
        <x:v>Myzus persicae</x:v>
      </x:c>
      <x:c r="E119" s="2" t="str">
        <x:v>L8</x:v>
      </x:c>
      <x:c r="F119" s="2" t="n">
        <x:v>1</x:v>
      </x:c>
      <x:c r="G119" s="2" t="n">
        <x:v>33</x:v>
      </x:c>
      <x:c r="H119" s="2" t="n">
        <x:f>G119+Supuestos!$C$15</x:f>
        <x:v>34</x:v>
      </x:c>
      <x:c r="I119" s="14" t="n">
        <x:f>E2_plantas!J4+G119</x:f>
        <x:v>46207</x:v>
      </x:c>
      <x:c r="J119" s="2" t="str">
        <x:v>muerta</x:v>
      </x:c>
      <x:c r="K119" s="2" t="n">
        <x:v>0</x:v>
      </x:c>
      <x:c r="L119" s="2" t="n">
        <x:v>0</x:v>
      </x:c>
      <x:c r="M119" s="2" t="n">
        <x:f>SUM(L$86:L119)</x:f>
        <x:v>17</x:v>
      </x:c>
      <x:c r="N119" s="2" t="n">
        <x:v>0</x:v>
      </x:c>
      <x:c r="O119" s="2" t="str">
        <x:v>relleno_postmuerte</x:v>
      </x:c>
      <x:c r="P119" s="2" t="n">
        <x:v>0</x:v>
      </x:c>
      <x:c r="Q119" s="2" t="str">
        <x:v>simulado_didactico</x:v>
      </x:c>
    </x:row>
    <x:row r="120" ht="19" customHeight="1">
      <x:c r="A120" s="2" t="str">
        <x:v>SIM-E2-MP-L8-R01</x:v>
      </x:c>
      <x:c r="B120" s="2" t="n">
        <x:v>1</x:v>
      </x:c>
      <x:c r="C120" s="2" t="str">
        <x:v>MP</x:v>
      </x:c>
      <x:c r="D120" s="2" t="str">
        <x:v>Myzus persicae</x:v>
      </x:c>
      <x:c r="E120" s="2" t="str">
        <x:v>L8</x:v>
      </x:c>
      <x:c r="F120" s="2" t="n">
        <x:v>1</x:v>
      </x:c>
      <x:c r="G120" s="2" t="n">
        <x:v>34</x:v>
      </x:c>
      <x:c r="H120" s="2" t="n">
        <x:f>G120+Supuestos!$C$15</x:f>
        <x:v>35</x:v>
      </x:c>
      <x:c r="I120" s="14" t="n">
        <x:f>E2_plantas!J4+G120</x:f>
        <x:v>46208</x:v>
      </x:c>
      <x:c r="J120" s="2" t="str">
        <x:v>muerta</x:v>
      </x:c>
      <x:c r="K120" s="2" t="n">
        <x:v>0</x:v>
      </x:c>
      <x:c r="L120" s="2" t="n">
        <x:v>0</x:v>
      </x:c>
      <x:c r="M120" s="2" t="n">
        <x:f>SUM(L$86:L120)</x:f>
        <x:v>17</x:v>
      </x:c>
      <x:c r="N120" s="2" t="n">
        <x:v>0</x:v>
      </x:c>
      <x:c r="O120" s="2" t="str">
        <x:v>relleno_postmuerte</x:v>
      </x:c>
      <x:c r="P120" s="2" t="n">
        <x:v>0</x:v>
      </x:c>
      <x:c r="Q120" s="2" t="str">
        <x:v>simulado_didactico</x:v>
      </x:c>
    </x:row>
    <x:row r="121" ht="19" customHeight="1">
      <x:c r="A121" s="2" t="str">
        <x:v>SIM-E2-MP-L8-R01</x:v>
      </x:c>
      <x:c r="B121" s="2" t="n">
        <x:v>1</x:v>
      </x:c>
      <x:c r="C121" s="2" t="str">
        <x:v>MP</x:v>
      </x:c>
      <x:c r="D121" s="2" t="str">
        <x:v>Myzus persicae</x:v>
      </x:c>
      <x:c r="E121" s="2" t="str">
        <x:v>L8</x:v>
      </x:c>
      <x:c r="F121" s="2" t="n">
        <x:v>1</x:v>
      </x:c>
      <x:c r="G121" s="2" t="n">
        <x:v>35</x:v>
      </x:c>
      <x:c r="H121" s="2" t="n">
        <x:f>G121+Supuestos!$C$15</x:f>
        <x:v>36</x:v>
      </x:c>
      <x:c r="I121" s="14" t="n">
        <x:f>E2_plantas!J4+G121</x:f>
        <x:v>46209</x:v>
      </x:c>
      <x:c r="J121" s="2" t="str">
        <x:v>muerta</x:v>
      </x:c>
      <x:c r="K121" s="2" t="n">
        <x:v>0</x:v>
      </x:c>
      <x:c r="L121" s="2" t="n">
        <x:v>0</x:v>
      </x:c>
      <x:c r="M121" s="2" t="n">
        <x:f>SUM(L$86:L121)</x:f>
        <x:v>17</x:v>
      </x:c>
      <x:c r="N121" s="2" t="n">
        <x:v>0</x:v>
      </x:c>
      <x:c r="O121" s="2" t="str">
        <x:v>relleno_postmuerte</x:v>
      </x:c>
      <x:c r="P121" s="2" t="n">
        <x:v>0</x:v>
      </x:c>
      <x:c r="Q121" s="2" t="str">
        <x:v>simulado_didactico</x:v>
      </x:c>
    </x:row>
    <x:row r="122" ht="19" customHeight="1">
      <x:c r="A122" s="2" t="str">
        <x:v>SIM-E2-MP-L8-R01</x:v>
      </x:c>
      <x:c r="B122" s="2" t="n">
        <x:v>1</x:v>
      </x:c>
      <x:c r="C122" s="2" t="str">
        <x:v>MP</x:v>
      </x:c>
      <x:c r="D122" s="2" t="str">
        <x:v>Myzus persicae</x:v>
      </x:c>
      <x:c r="E122" s="2" t="str">
        <x:v>L8</x:v>
      </x:c>
      <x:c r="F122" s="2" t="n">
        <x:v>1</x:v>
      </x:c>
      <x:c r="G122" s="2" t="n">
        <x:v>36</x:v>
      </x:c>
      <x:c r="H122" s="2" t="n">
        <x:f>G122+Supuestos!$C$15</x:f>
        <x:v>37</x:v>
      </x:c>
      <x:c r="I122" s="14" t="n">
        <x:f>E2_plantas!J4+G122</x:f>
        <x:v>46210</x:v>
      </x:c>
      <x:c r="J122" s="2" t="str">
        <x:v>muerta</x:v>
      </x:c>
      <x:c r="K122" s="2" t="n">
        <x:v>0</x:v>
      </x:c>
      <x:c r="L122" s="2" t="n">
        <x:v>0</x:v>
      </x:c>
      <x:c r="M122" s="2" t="n">
        <x:f>SUM(L$86:L122)</x:f>
        <x:v>17</x:v>
      </x:c>
      <x:c r="N122" s="2" t="n">
        <x:v>0</x:v>
      </x:c>
      <x:c r="O122" s="2" t="str">
        <x:v>relleno_postmuerte</x:v>
      </x:c>
      <x:c r="P122" s="2" t="n">
        <x:v>0</x:v>
      </x:c>
      <x:c r="Q122" s="2" t="str">
        <x:v>simulado_didactico</x:v>
      </x:c>
    </x:row>
    <x:row r="123" ht="19" customHeight="1">
      <x:c r="A123" s="2" t="str">
        <x:v>SIM-E2-MP-L8-R01</x:v>
      </x:c>
      <x:c r="B123" s="2" t="n">
        <x:v>1</x:v>
      </x:c>
      <x:c r="C123" s="2" t="str">
        <x:v>MP</x:v>
      </x:c>
      <x:c r="D123" s="2" t="str">
        <x:v>Myzus persicae</x:v>
      </x:c>
      <x:c r="E123" s="2" t="str">
        <x:v>L8</x:v>
      </x:c>
      <x:c r="F123" s="2" t="n">
        <x:v>1</x:v>
      </x:c>
      <x:c r="G123" s="2" t="n">
        <x:v>37</x:v>
      </x:c>
      <x:c r="H123" s="2" t="n">
        <x:f>G123+Supuestos!$C$15</x:f>
        <x:v>38</x:v>
      </x:c>
      <x:c r="I123" s="14" t="n">
        <x:f>E2_plantas!J4+G123</x:f>
        <x:v>46211</x:v>
      </x:c>
      <x:c r="J123" s="2" t="str">
        <x:v>muerta</x:v>
      </x:c>
      <x:c r="K123" s="2" t="n">
        <x:v>0</x:v>
      </x:c>
      <x:c r="L123" s="2" t="n">
        <x:v>0</x:v>
      </x:c>
      <x:c r="M123" s="2" t="n">
        <x:f>SUM(L$86:L123)</x:f>
        <x:v>17</x:v>
      </x:c>
      <x:c r="N123" s="2" t="n">
        <x:v>0</x:v>
      </x:c>
      <x:c r="O123" s="2" t="str">
        <x:v>relleno_postmuerte</x:v>
      </x:c>
      <x:c r="P123" s="2" t="n">
        <x:v>0</x:v>
      </x:c>
      <x:c r="Q123" s="2" t="str">
        <x:v>simulado_didactico</x:v>
      </x:c>
    </x:row>
    <x:row r="124" ht="19" customHeight="1">
      <x:c r="A124" s="2" t="str">
        <x:v>SIM-E2-MP-L8-R01</x:v>
      </x:c>
      <x:c r="B124" s="2" t="n">
        <x:v>1</x:v>
      </x:c>
      <x:c r="C124" s="2" t="str">
        <x:v>MP</x:v>
      </x:c>
      <x:c r="D124" s="2" t="str">
        <x:v>Myzus persicae</x:v>
      </x:c>
      <x:c r="E124" s="2" t="str">
        <x:v>L8</x:v>
      </x:c>
      <x:c r="F124" s="2" t="n">
        <x:v>1</x:v>
      </x:c>
      <x:c r="G124" s="2" t="n">
        <x:v>38</x:v>
      </x:c>
      <x:c r="H124" s="2" t="n">
        <x:f>G124+Supuestos!$C$15</x:f>
        <x:v>39</x:v>
      </x:c>
      <x:c r="I124" s="14" t="n">
        <x:f>E2_plantas!J4+G124</x:f>
        <x:v>46212</x:v>
      </x:c>
      <x:c r="J124" s="2" t="str">
        <x:v>muerta</x:v>
      </x:c>
      <x:c r="K124" s="2" t="n">
        <x:v>0</x:v>
      </x:c>
      <x:c r="L124" s="2" t="n">
        <x:v>0</x:v>
      </x:c>
      <x:c r="M124" s="2" t="n">
        <x:f>SUM(L$86:L124)</x:f>
        <x:v>17</x:v>
      </x:c>
      <x:c r="N124" s="2" t="n">
        <x:v>0</x:v>
      </x:c>
      <x:c r="O124" s="2" t="str">
        <x:v>relleno_postmuerte</x:v>
      </x:c>
      <x:c r="P124" s="2" t="n">
        <x:v>0</x:v>
      </x:c>
      <x:c r="Q124" s="2" t="str">
        <x:v>simulado_didactico</x:v>
      </x:c>
    </x:row>
    <x:row r="125" ht="19" customHeight="1">
      <x:c r="A125" s="2" t="str">
        <x:v>SIM-E2-MP-L8-R01</x:v>
      </x:c>
      <x:c r="B125" s="2" t="n">
        <x:v>1</x:v>
      </x:c>
      <x:c r="C125" s="2" t="str">
        <x:v>MP</x:v>
      </x:c>
      <x:c r="D125" s="2" t="str">
        <x:v>Myzus persicae</x:v>
      </x:c>
      <x:c r="E125" s="2" t="str">
        <x:v>L8</x:v>
      </x:c>
      <x:c r="F125" s="2" t="n">
        <x:v>1</x:v>
      </x:c>
      <x:c r="G125" s="2" t="n">
        <x:v>39</x:v>
      </x:c>
      <x:c r="H125" s="2" t="n">
        <x:f>G125+Supuestos!$C$15</x:f>
        <x:v>40</x:v>
      </x:c>
      <x:c r="I125" s="14" t="n">
        <x:f>E2_plantas!J4+G125</x:f>
        <x:v>46213</x:v>
      </x:c>
      <x:c r="J125" s="2" t="str">
        <x:v>muerta</x:v>
      </x:c>
      <x:c r="K125" s="2" t="n">
        <x:v>0</x:v>
      </x:c>
      <x:c r="L125" s="2" t="n">
        <x:v>0</x:v>
      </x:c>
      <x:c r="M125" s="2" t="n">
        <x:f>SUM(L$86:L125)</x:f>
        <x:v>17</x:v>
      </x:c>
      <x:c r="N125" s="2" t="n">
        <x:v>0</x:v>
      </x:c>
      <x:c r="O125" s="2" t="str">
        <x:v>relleno_postmuerte</x:v>
      </x:c>
      <x:c r="P125" s="2" t="n">
        <x:v>0</x:v>
      </x:c>
      <x:c r="Q125" s="2" t="str">
        <x:v>simulado_didactico</x:v>
      </x:c>
    </x:row>
    <x:row r="126" ht="19" customHeight="1">
      <x:c r="A126" s="2" t="str">
        <x:v>SIM-E2-MP-L8-R01</x:v>
      </x:c>
      <x:c r="B126" s="2" t="n">
        <x:v>1</x:v>
      </x:c>
      <x:c r="C126" s="2" t="str">
        <x:v>MP</x:v>
      </x:c>
      <x:c r="D126" s="2" t="str">
        <x:v>Myzus persicae</x:v>
      </x:c>
      <x:c r="E126" s="2" t="str">
        <x:v>L8</x:v>
      </x:c>
      <x:c r="F126" s="2" t="n">
        <x:v>1</x:v>
      </x:c>
      <x:c r="G126" s="2" t="n">
        <x:v>40</x:v>
      </x:c>
      <x:c r="H126" s="2" t="n">
        <x:f>G126+Supuestos!$C$15</x:f>
        <x:v>41</x:v>
      </x:c>
      <x:c r="I126" s="14" t="n">
        <x:f>E2_plantas!J4+G126</x:f>
        <x:v>46214</x:v>
      </x:c>
      <x:c r="J126" s="2" t="str">
        <x:v>muerta</x:v>
      </x:c>
      <x:c r="K126" s="2" t="n">
        <x:v>0</x:v>
      </x:c>
      <x:c r="L126" s="2" t="n">
        <x:v>0</x:v>
      </x:c>
      <x:c r="M126" s="2" t="n">
        <x:f>SUM(L$86:L126)</x:f>
        <x:v>17</x:v>
      </x:c>
      <x:c r="N126" s="2" t="n">
        <x:v>0</x:v>
      </x:c>
      <x:c r="O126" s="2" t="str">
        <x:v>relleno_postmuerte</x:v>
      </x:c>
      <x:c r="P126" s="2" t="n">
        <x:v>0</x:v>
      </x:c>
      <x:c r="Q126" s="2" t="str">
        <x:v>simulado_didactico</x:v>
      </x:c>
    </x:row>
    <x:row r="127" ht="19" customHeight="1">
      <x:c r="A127" s="2" t="str">
        <x:v>SIM-E2-MP-L8-R01</x:v>
      </x:c>
      <x:c r="B127" s="2" t="n">
        <x:v>1</x:v>
      </x:c>
      <x:c r="C127" s="2" t="str">
        <x:v>MP</x:v>
      </x:c>
      <x:c r="D127" s="2" t="str">
        <x:v>Myzus persicae</x:v>
      </x:c>
      <x:c r="E127" s="2" t="str">
        <x:v>L8</x:v>
      </x:c>
      <x:c r="F127" s="2" t="n">
        <x:v>1</x:v>
      </x:c>
      <x:c r="G127" s="2" t="n">
        <x:v>41</x:v>
      </x:c>
      <x:c r="H127" s="2" t="n">
        <x:f>G127+Supuestos!$C$15</x:f>
        <x:v>42</x:v>
      </x:c>
      <x:c r="I127" s="14" t="n">
        <x:f>E2_plantas!J4+G127</x:f>
        <x:v>46215</x:v>
      </x:c>
      <x:c r="J127" s="2" t="str">
        <x:v>muerta</x:v>
      </x:c>
      <x:c r="K127" s="2" t="n">
        <x:v>0</x:v>
      </x:c>
      <x:c r="L127" s="2" t="n">
        <x:v>0</x:v>
      </x:c>
      <x:c r="M127" s="2" t="n">
        <x:f>SUM(L$86:L127)</x:f>
        <x:v>17</x:v>
      </x:c>
      <x:c r="N127" s="2" t="n">
        <x:v>0</x:v>
      </x:c>
      <x:c r="O127" s="2" t="str">
        <x:v>relleno_postmuerte</x:v>
      </x:c>
      <x:c r="P127" s="2" t="n">
        <x:v>0</x:v>
      </x:c>
      <x:c r="Q127" s="2" t="str">
        <x:v>simulado_didactico</x:v>
      </x:c>
    </x:row>
    <x:row r="128" ht="19" customHeight="1">
      <x:c r="A128" s="2" t="str">
        <x:v>SIM-E2-MP-L8-R02</x:v>
      </x:c>
      <x:c r="B128" s="2" t="n">
        <x:v>1</x:v>
      </x:c>
      <x:c r="C128" s="2" t="str">
        <x:v>MP</x:v>
      </x:c>
      <x:c r="D128" s="2" t="str">
        <x:v>Myzus persicae</x:v>
      </x:c>
      <x:c r="E128" s="2" t="str">
        <x:v>L8</x:v>
      </x:c>
      <x:c r="F128" s="2" t="n">
        <x:v>2</x:v>
      </x:c>
      <x:c r="G128" s="2" t="n">
        <x:v>0</x:v>
      </x:c>
      <x:c r="H128" s="2" t="n">
        <x:f>G128+Supuestos!$C$15</x:f>
        <x:v>1</x:v>
      </x:c>
      <x:c r="I128" s="14" t="n">
        <x:f>E2_plantas!J5+G128</x:f>
        <x:v>46174</x:v>
      </x:c>
      <x:c r="J128" s="2" t="str">
        <x:v>N1</x:v>
      </x:c>
      <x:c r="K128" s="2" t="n">
        <x:v>1</x:v>
      </x:c>
      <x:c r="L128" s="2" t="n">
        <x:v>0</x:v>
      </x:c>
      <x:c r="M128" s="2" t="n">
        <x:f>SUM(L$128:L128)</x:f>
        <x:v>0</x:v>
      </x:c>
      <x:c r="N128" s="2" t="n">
        <x:v>0</x:v>
      </x:c>
      <x:c r="O128" s="2" t="str">
        <x:v>seguimiento</x:v>
      </x:c>
      <x:c r="P128" s="2" t="n">
        <x:v>0</x:v>
      </x:c>
      <x:c r="Q128" s="2" t="str">
        <x:v>simulado_didactico</x:v>
      </x:c>
    </x:row>
    <x:row r="129" ht="19" customHeight="1">
      <x:c r="A129" s="2" t="str">
        <x:v>SIM-E2-MP-L8-R02</x:v>
      </x:c>
      <x:c r="B129" s="2" t="n">
        <x:v>1</x:v>
      </x:c>
      <x:c r="C129" s="2" t="str">
        <x:v>MP</x:v>
      </x:c>
      <x:c r="D129" s="2" t="str">
        <x:v>Myzus persicae</x:v>
      </x:c>
      <x:c r="E129" s="2" t="str">
        <x:v>L8</x:v>
      </x:c>
      <x:c r="F129" s="2" t="n">
        <x:v>2</x:v>
      </x:c>
      <x:c r="G129" s="2" t="n">
        <x:v>1</x:v>
      </x:c>
      <x:c r="H129" s="2" t="n">
        <x:f>G129+Supuestos!$C$15</x:f>
        <x:v>2</x:v>
      </x:c>
      <x:c r="I129" s="14" t="n">
        <x:f>E2_plantas!J5+G129</x:f>
        <x:v>46175</x:v>
      </x:c>
      <x:c r="J129" s="2" t="str">
        <x:v>N1</x:v>
      </x:c>
      <x:c r="K129" s="2" t="n">
        <x:v>1</x:v>
      </x:c>
      <x:c r="L129" s="2" t="n">
        <x:v>0</x:v>
      </x:c>
      <x:c r="M129" s="2" t="n">
        <x:f>SUM(L$128:L129)</x:f>
        <x:v>0</x:v>
      </x:c>
      <x:c r="N129" s="2" t="n">
        <x:v>0</x:v>
      </x:c>
      <x:c r="O129" s="2" t="str">
        <x:v>seguimiento</x:v>
      </x:c>
      <x:c r="P129" s="2" t="n">
        <x:v>0</x:v>
      </x:c>
      <x:c r="Q129" s="2" t="str">
        <x:v>simulado_didactico</x:v>
      </x:c>
    </x:row>
    <x:row r="130" ht="19" customHeight="1">
      <x:c r="A130" s="2" t="str">
        <x:v>SIM-E2-MP-L8-R02</x:v>
      </x:c>
      <x:c r="B130" s="2" t="n">
        <x:v>1</x:v>
      </x:c>
      <x:c r="C130" s="2" t="str">
        <x:v>MP</x:v>
      </x:c>
      <x:c r="D130" s="2" t="str">
        <x:v>Myzus persicae</x:v>
      </x:c>
      <x:c r="E130" s="2" t="str">
        <x:v>L8</x:v>
      </x:c>
      <x:c r="F130" s="2" t="n">
        <x:v>2</x:v>
      </x:c>
      <x:c r="G130" s="2" t="n">
        <x:v>2</x:v>
      </x:c>
      <x:c r="H130" s="2" t="n">
        <x:f>G130+Supuestos!$C$15</x:f>
        <x:v>3</x:v>
      </x:c>
      <x:c r="I130" s="14" t="n">
        <x:f>E2_plantas!J5+G130</x:f>
        <x:v>46176</x:v>
      </x:c>
      <x:c r="J130" s="2" t="str">
        <x:v>N1</x:v>
      </x:c>
      <x:c r="K130" s="2" t="n">
        <x:v>1</x:v>
      </x:c>
      <x:c r="L130" s="2" t="n">
        <x:v>0</x:v>
      </x:c>
      <x:c r="M130" s="2" t="n">
        <x:f>SUM(L$128:L130)</x:f>
        <x:v>0</x:v>
      </x:c>
      <x:c r="N130" s="2" t="n">
        <x:v>0</x:v>
      </x:c>
      <x:c r="O130" s="2" t="str">
        <x:v>seguimiento</x:v>
      </x:c>
      <x:c r="P130" s="2" t="n">
        <x:v>0</x:v>
      </x:c>
      <x:c r="Q130" s="2" t="str">
        <x:v>simulado_didactico</x:v>
      </x:c>
    </x:row>
    <x:row r="131" ht="19" customHeight="1">
      <x:c r="A131" s="2" t="str">
        <x:v>SIM-E2-MP-L8-R02</x:v>
      </x:c>
      <x:c r="B131" s="2" t="n">
        <x:v>1</x:v>
      </x:c>
      <x:c r="C131" s="2" t="str">
        <x:v>MP</x:v>
      </x:c>
      <x:c r="D131" s="2" t="str">
        <x:v>Myzus persicae</x:v>
      </x:c>
      <x:c r="E131" s="2" t="str">
        <x:v>L8</x:v>
      </x:c>
      <x:c r="F131" s="2" t="n">
        <x:v>2</x:v>
      </x:c>
      <x:c r="G131" s="2" t="n">
        <x:v>3</x:v>
      </x:c>
      <x:c r="H131" s="2" t="n">
        <x:f>G131+Supuestos!$C$15</x:f>
        <x:v>4</x:v>
      </x:c>
      <x:c r="I131" s="14" t="n">
        <x:f>E2_plantas!J5+G131</x:f>
        <x:v>46177</x:v>
      </x:c>
      <x:c r="J131" s="2" t="str">
        <x:v>N2</x:v>
      </x:c>
      <x:c r="K131" s="2" t="n">
        <x:v>1</x:v>
      </x:c>
      <x:c r="L131" s="2" t="n">
        <x:v>0</x:v>
      </x:c>
      <x:c r="M131" s="2" t="n">
        <x:f>SUM(L$128:L131)</x:f>
        <x:v>0</x:v>
      </x:c>
      <x:c r="N131" s="2" t="n">
        <x:v>0</x:v>
      </x:c>
      <x:c r="O131" s="2" t="str">
        <x:v>seguimiento</x:v>
      </x:c>
      <x:c r="P131" s="2" t="n">
        <x:v>0</x:v>
      </x:c>
      <x:c r="Q131" s="2" t="str">
        <x:v>simulado_didactico</x:v>
      </x:c>
    </x:row>
    <x:row r="132" ht="19" customHeight="1">
      <x:c r="A132" s="2" t="str">
        <x:v>SIM-E2-MP-L8-R02</x:v>
      </x:c>
      <x:c r="B132" s="2" t="n">
        <x:v>1</x:v>
      </x:c>
      <x:c r="C132" s="2" t="str">
        <x:v>MP</x:v>
      </x:c>
      <x:c r="D132" s="2" t="str">
        <x:v>Myzus persicae</x:v>
      </x:c>
      <x:c r="E132" s="2" t="str">
        <x:v>L8</x:v>
      </x:c>
      <x:c r="F132" s="2" t="n">
        <x:v>2</x:v>
      </x:c>
      <x:c r="G132" s="2" t="n">
        <x:v>4</x:v>
      </x:c>
      <x:c r="H132" s="2" t="n">
        <x:f>G132+Supuestos!$C$15</x:f>
        <x:v>5</x:v>
      </x:c>
      <x:c r="I132" s="14" t="n">
        <x:f>E2_plantas!J5+G132</x:f>
        <x:v>46178</x:v>
      </x:c>
      <x:c r="J132" s="2" t="str">
        <x:v>N2</x:v>
      </x:c>
      <x:c r="K132" s="2" t="n">
        <x:v>1</x:v>
      </x:c>
      <x:c r="L132" s="2" t="n">
        <x:v>0</x:v>
      </x:c>
      <x:c r="M132" s="2" t="n">
        <x:f>SUM(L$128:L132)</x:f>
        <x:v>0</x:v>
      </x:c>
      <x:c r="N132" s="2" t="n">
        <x:v>0</x:v>
      </x:c>
      <x:c r="O132" s="2" t="str">
        <x:v>seguimiento</x:v>
      </x:c>
      <x:c r="P132" s="2" t="n">
        <x:v>0</x:v>
      </x:c>
      <x:c r="Q132" s="2" t="str">
        <x:v>simulado_didactico</x:v>
      </x:c>
    </x:row>
    <x:row r="133" ht="19" customHeight="1">
      <x:c r="A133" s="2" t="str">
        <x:v>SIM-E2-MP-L8-R02</x:v>
      </x:c>
      <x:c r="B133" s="2" t="n">
        <x:v>1</x:v>
      </x:c>
      <x:c r="C133" s="2" t="str">
        <x:v>MP</x:v>
      </x:c>
      <x:c r="D133" s="2" t="str">
        <x:v>Myzus persicae</x:v>
      </x:c>
      <x:c r="E133" s="2" t="str">
        <x:v>L8</x:v>
      </x:c>
      <x:c r="F133" s="2" t="n">
        <x:v>2</x:v>
      </x:c>
      <x:c r="G133" s="2" t="n">
        <x:v>5</x:v>
      </x:c>
      <x:c r="H133" s="2" t="n">
        <x:f>G133+Supuestos!$C$15</x:f>
        <x:v>6</x:v>
      </x:c>
      <x:c r="I133" s="14" t="n">
        <x:f>E2_plantas!J5+G133</x:f>
        <x:v>46179</x:v>
      </x:c>
      <x:c r="J133" s="2" t="str">
        <x:v>N2</x:v>
      </x:c>
      <x:c r="K133" s="2" t="n">
        <x:v>1</x:v>
      </x:c>
      <x:c r="L133" s="2" t="n">
        <x:v>0</x:v>
      </x:c>
      <x:c r="M133" s="2" t="n">
        <x:f>SUM(L$128:L133)</x:f>
        <x:v>0</x:v>
      </x:c>
      <x:c r="N133" s="2" t="n">
        <x:v>0</x:v>
      </x:c>
      <x:c r="O133" s="2" t="str">
        <x:v>seguimiento</x:v>
      </x:c>
      <x:c r="P133" s="2" t="n">
        <x:v>0</x:v>
      </x:c>
      <x:c r="Q133" s="2" t="str">
        <x:v>simulado_didactico</x:v>
      </x:c>
    </x:row>
    <x:row r="134" ht="19" customHeight="1">
      <x:c r="A134" s="2" t="str">
        <x:v>SIM-E2-MP-L8-R02</x:v>
      </x:c>
      <x:c r="B134" s="2" t="n">
        <x:v>1</x:v>
      </x:c>
      <x:c r="C134" s="2" t="str">
        <x:v>MP</x:v>
      </x:c>
      <x:c r="D134" s="2" t="str">
        <x:v>Myzus persicae</x:v>
      </x:c>
      <x:c r="E134" s="2" t="str">
        <x:v>L8</x:v>
      </x:c>
      <x:c r="F134" s="2" t="n">
        <x:v>2</x:v>
      </x:c>
      <x:c r="G134" s="2" t="n">
        <x:v>6</x:v>
      </x:c>
      <x:c r="H134" s="2" t="n">
        <x:f>G134+Supuestos!$C$15</x:f>
        <x:v>7</x:v>
      </x:c>
      <x:c r="I134" s="14" t="n">
        <x:f>E2_plantas!J5+G134</x:f>
        <x:v>46180</x:v>
      </x:c>
      <x:c r="J134" s="2" t="str">
        <x:v>N3</x:v>
      </x:c>
      <x:c r="K134" s="2" t="n">
        <x:v>1</x:v>
      </x:c>
      <x:c r="L134" s="2" t="n">
        <x:v>0</x:v>
      </x:c>
      <x:c r="M134" s="2" t="n">
        <x:f>SUM(L$128:L134)</x:f>
        <x:v>0</x:v>
      </x:c>
      <x:c r="N134" s="2" t="n">
        <x:v>0</x:v>
      </x:c>
      <x:c r="O134" s="2" t="str">
        <x:v>seguimiento</x:v>
      </x:c>
      <x:c r="P134" s="2" t="n">
        <x:v>0</x:v>
      </x:c>
      <x:c r="Q134" s="2" t="str">
        <x:v>simulado_didactico</x:v>
      </x:c>
    </x:row>
    <x:row r="135" ht="19" customHeight="1">
      <x:c r="A135" s="2" t="str">
        <x:v>SIM-E2-MP-L8-R02</x:v>
      </x:c>
      <x:c r="B135" s="2" t="n">
        <x:v>1</x:v>
      </x:c>
      <x:c r="C135" s="2" t="str">
        <x:v>MP</x:v>
      </x:c>
      <x:c r="D135" s="2" t="str">
        <x:v>Myzus persicae</x:v>
      </x:c>
      <x:c r="E135" s="2" t="str">
        <x:v>L8</x:v>
      </x:c>
      <x:c r="F135" s="2" t="n">
        <x:v>2</x:v>
      </x:c>
      <x:c r="G135" s="2" t="n">
        <x:v>7</x:v>
      </x:c>
      <x:c r="H135" s="2" t="n">
        <x:f>G135+Supuestos!$C$15</x:f>
        <x:v>8</x:v>
      </x:c>
      <x:c r="I135" s="14" t="n">
        <x:f>E2_plantas!J5+G135</x:f>
        <x:v>46181</x:v>
      </x:c>
      <x:c r="J135" s="2" t="str">
        <x:v>N3</x:v>
      </x:c>
      <x:c r="K135" s="2" t="n">
        <x:v>1</x:v>
      </x:c>
      <x:c r="L135" s="2" t="n">
        <x:v>0</x:v>
      </x:c>
      <x:c r="M135" s="2" t="n">
        <x:f>SUM(L$128:L135)</x:f>
        <x:v>0</x:v>
      </x:c>
      <x:c r="N135" s="2" t="n">
        <x:v>0</x:v>
      </x:c>
      <x:c r="O135" s="2" t="str">
        <x:v>seguimiento</x:v>
      </x:c>
      <x:c r="P135" s="2" t="n">
        <x:v>0</x:v>
      </x:c>
      <x:c r="Q135" s="2" t="str">
        <x:v>simulado_didactico</x:v>
      </x:c>
    </x:row>
    <x:row r="136" ht="19" customHeight="1">
      <x:c r="A136" s="2" t="str">
        <x:v>SIM-E2-MP-L8-R02</x:v>
      </x:c>
      <x:c r="B136" s="2" t="n">
        <x:v>1</x:v>
      </x:c>
      <x:c r="C136" s="2" t="str">
        <x:v>MP</x:v>
      </x:c>
      <x:c r="D136" s="2" t="str">
        <x:v>Myzus persicae</x:v>
      </x:c>
      <x:c r="E136" s="2" t="str">
        <x:v>L8</x:v>
      </x:c>
      <x:c r="F136" s="2" t="n">
        <x:v>2</x:v>
      </x:c>
      <x:c r="G136" s="2" t="n">
        <x:v>8</x:v>
      </x:c>
      <x:c r="H136" s="2" t="n">
        <x:f>G136+Supuestos!$C$15</x:f>
        <x:v>9</x:v>
      </x:c>
      <x:c r="I136" s="14" t="n">
        <x:f>E2_plantas!J5+G136</x:f>
        <x:v>46182</x:v>
      </x:c>
      <x:c r="J136" s="2" t="str">
        <x:v>N4</x:v>
      </x:c>
      <x:c r="K136" s="2" t="n">
        <x:v>1</x:v>
      </x:c>
      <x:c r="L136" s="2" t="n">
        <x:v>0</x:v>
      </x:c>
      <x:c r="M136" s="2" t="n">
        <x:f>SUM(L$128:L136)</x:f>
        <x:v>0</x:v>
      </x:c>
      <x:c r="N136" s="2" t="n">
        <x:v>0</x:v>
      </x:c>
      <x:c r="O136" s="2" t="str">
        <x:v>seguimiento</x:v>
      </x:c>
      <x:c r="P136" s="2" t="n">
        <x:v>0</x:v>
      </x:c>
      <x:c r="Q136" s="2" t="str">
        <x:v>simulado_didactico</x:v>
      </x:c>
    </x:row>
    <x:row r="137" ht="19" customHeight="1">
      <x:c r="A137" s="2" t="str">
        <x:v>SIM-E2-MP-L8-R02</x:v>
      </x:c>
      <x:c r="B137" s="2" t="n">
        <x:v>1</x:v>
      </x:c>
      <x:c r="C137" s="2" t="str">
        <x:v>MP</x:v>
      </x:c>
      <x:c r="D137" s="2" t="str">
        <x:v>Myzus persicae</x:v>
      </x:c>
      <x:c r="E137" s="2" t="str">
        <x:v>L8</x:v>
      </x:c>
      <x:c r="F137" s="2" t="n">
        <x:v>2</x:v>
      </x:c>
      <x:c r="G137" s="2" t="n">
        <x:v>9</x:v>
      </x:c>
      <x:c r="H137" s="2" t="n">
        <x:f>G137+Supuestos!$C$15</x:f>
        <x:v>10</x:v>
      </x:c>
      <x:c r="I137" s="14" t="n">
        <x:f>E2_plantas!J5+G137</x:f>
        <x:v>46183</x:v>
      </x:c>
      <x:c r="J137" s="2" t="str">
        <x:v>N4</x:v>
      </x:c>
      <x:c r="K137" s="2" t="n">
        <x:v>1</x:v>
      </x:c>
      <x:c r="L137" s="2" t="n">
        <x:v>0</x:v>
      </x:c>
      <x:c r="M137" s="2" t="n">
        <x:f>SUM(L$128:L137)</x:f>
        <x:v>0</x:v>
      </x:c>
      <x:c r="N137" s="2" t="n">
        <x:v>0</x:v>
      </x:c>
      <x:c r="O137" s="2" t="str">
        <x:v>seguimiento</x:v>
      </x:c>
      <x:c r="P137" s="2" t="n">
        <x:v>0</x:v>
      </x:c>
      <x:c r="Q137" s="2" t="str">
        <x:v>simulado_didactico</x:v>
      </x:c>
    </x:row>
    <x:row r="138" ht="19" customHeight="1">
      <x:c r="A138" s="2" t="str">
        <x:v>SIM-E2-MP-L8-R02</x:v>
      </x:c>
      <x:c r="B138" s="2" t="n">
        <x:v>1</x:v>
      </x:c>
      <x:c r="C138" s="2" t="str">
        <x:v>MP</x:v>
      </x:c>
      <x:c r="D138" s="2" t="str">
        <x:v>Myzus persicae</x:v>
      </x:c>
      <x:c r="E138" s="2" t="str">
        <x:v>L8</x:v>
      </x:c>
      <x:c r="F138" s="2" t="n">
        <x:v>2</x:v>
      </x:c>
      <x:c r="G138" s="2" t="n">
        <x:v>10</x:v>
      </x:c>
      <x:c r="H138" s="2" t="n">
        <x:f>G138+Supuestos!$C$15</x:f>
        <x:v>11</x:v>
      </x:c>
      <x:c r="I138" s="14" t="n">
        <x:f>E2_plantas!J5+G138</x:f>
        <x:v>46184</x:v>
      </x:c>
      <x:c r="J138" s="2" t="str">
        <x:v>N4</x:v>
      </x:c>
      <x:c r="K138" s="2" t="n">
        <x:v>1</x:v>
      </x:c>
      <x:c r="L138" s="2" t="n">
        <x:v>0</x:v>
      </x:c>
      <x:c r="M138" s="2" t="n">
        <x:f>SUM(L$128:L138)</x:f>
        <x:v>0</x:v>
      </x:c>
      <x:c r="N138" s="2" t="n">
        <x:v>0</x:v>
      </x:c>
      <x:c r="O138" s="2" t="str">
        <x:v>seguimiento</x:v>
      </x:c>
      <x:c r="P138" s="2" t="n">
        <x:v>0</x:v>
      </x:c>
      <x:c r="Q138" s="2" t="str">
        <x:v>simulado_didactico</x:v>
      </x:c>
    </x:row>
    <x:row r="139" ht="19" customHeight="1">
      <x:c r="A139" s="2" t="str">
        <x:v>SIM-E2-MP-L8-R02</x:v>
      </x:c>
      <x:c r="B139" s="2" t="n">
        <x:v>1</x:v>
      </x:c>
      <x:c r="C139" s="2" t="str">
        <x:v>MP</x:v>
      </x:c>
      <x:c r="D139" s="2" t="str">
        <x:v>Myzus persicae</x:v>
      </x:c>
      <x:c r="E139" s="2" t="str">
        <x:v>L8</x:v>
      </x:c>
      <x:c r="F139" s="2" t="n">
        <x:v>2</x:v>
      </x:c>
      <x:c r="G139" s="2" t="n">
        <x:v>11</x:v>
      </x:c>
      <x:c r="H139" s="2" t="n">
        <x:f>G139+Supuestos!$C$15</x:f>
        <x:v>12</x:v>
      </x:c>
      <x:c r="I139" s="14" t="n">
        <x:f>E2_plantas!J5+G139</x:f>
        <x:v>46185</x:v>
      </x:c>
      <x:c r="J139" s="2" t="str">
        <x:v>adulta</x:v>
      </x:c>
      <x:c r="K139" s="2" t="n">
        <x:v>1</x:v>
      </x:c>
      <x:c r="L139" s="2" t="n">
        <x:v>0</x:v>
      </x:c>
      <x:c r="M139" s="2" t="n">
        <x:f>SUM(L$128:L139)</x:f>
        <x:v>0</x:v>
      </x:c>
      <x:c r="N139" s="2" t="n">
        <x:v>0</x:v>
      </x:c>
      <x:c r="O139" s="2" t="str">
        <x:v>seguimiento</x:v>
      </x:c>
      <x:c r="P139" s="2" t="n">
        <x:v>0</x:v>
      </x:c>
      <x:c r="Q139" s="2" t="str">
        <x:v>simulado_didactico</x:v>
      </x:c>
    </x:row>
    <x:row r="140" ht="19" customHeight="1">
      <x:c r="A140" s="2" t="str">
        <x:v>SIM-E2-MP-L8-R02</x:v>
      </x:c>
      <x:c r="B140" s="2" t="n">
        <x:v>1</x:v>
      </x:c>
      <x:c r="C140" s="2" t="str">
        <x:v>MP</x:v>
      </x:c>
      <x:c r="D140" s="2" t="str">
        <x:v>Myzus persicae</x:v>
      </x:c>
      <x:c r="E140" s="2" t="str">
        <x:v>L8</x:v>
      </x:c>
      <x:c r="F140" s="2" t="n">
        <x:v>2</x:v>
      </x:c>
      <x:c r="G140" s="2" t="n">
        <x:v>12</x:v>
      </x:c>
      <x:c r="H140" s="2" t="n">
        <x:f>G140+Supuestos!$C$15</x:f>
        <x:v>13</x:v>
      </x:c>
      <x:c r="I140" s="14" t="n">
        <x:f>E2_plantas!J5+G140</x:f>
        <x:v>46186</x:v>
      </x:c>
      <x:c r="J140" s="2" t="str">
        <x:v>adulta</x:v>
      </x:c>
      <x:c r="K140" s="2" t="n">
        <x:v>1</x:v>
      </x:c>
      <x:c r="L140" s="2" t="n">
        <x:v>0</x:v>
      </x:c>
      <x:c r="M140" s="2" t="n">
        <x:f>SUM(L$128:L140)</x:f>
        <x:v>0</x:v>
      </x:c>
      <x:c r="N140" s="2" t="n">
        <x:v>0</x:v>
      </x:c>
      <x:c r="O140" s="2" t="str">
        <x:v>seguimiento</x:v>
      </x:c>
      <x:c r="P140" s="2" t="n">
        <x:v>0</x:v>
      </x:c>
      <x:c r="Q140" s="2" t="str">
        <x:v>simulado_didactico</x:v>
      </x:c>
    </x:row>
    <x:row r="141" ht="19" customHeight="1">
      <x:c r="A141" s="2" t="str">
        <x:v>SIM-E2-MP-L8-R02</x:v>
      </x:c>
      <x:c r="B141" s="2" t="n">
        <x:v>1</x:v>
      </x:c>
      <x:c r="C141" s="2" t="str">
        <x:v>MP</x:v>
      </x:c>
      <x:c r="D141" s="2" t="str">
        <x:v>Myzus persicae</x:v>
      </x:c>
      <x:c r="E141" s="2" t="str">
        <x:v>L8</x:v>
      </x:c>
      <x:c r="F141" s="2" t="n">
        <x:v>2</x:v>
      </x:c>
      <x:c r="G141" s="2" t="n">
        <x:v>13</x:v>
      </x:c>
      <x:c r="H141" s="2" t="n">
        <x:f>G141+Supuestos!$C$15</x:f>
        <x:v>14</x:v>
      </x:c>
      <x:c r="I141" s="14" t="n">
        <x:f>E2_plantas!J5+G141</x:f>
        <x:v>46187</x:v>
      </x:c>
      <x:c r="J141" s="2" t="str">
        <x:v>adulta</x:v>
      </x:c>
      <x:c r="K141" s="2" t="n">
        <x:v>1</x:v>
      </x:c>
      <x:c r="L141" s="2" t="n">
        <x:v>0</x:v>
      </x:c>
      <x:c r="M141" s="2" t="n">
        <x:f>SUM(L$128:L141)</x:f>
        <x:v>0</x:v>
      </x:c>
      <x:c r="N141" s="2" t="n">
        <x:v>0</x:v>
      </x:c>
      <x:c r="O141" s="2" t="str">
        <x:v>seguimiento</x:v>
      </x:c>
      <x:c r="P141" s="2" t="n">
        <x:v>0</x:v>
      </x:c>
      <x:c r="Q141" s="2" t="str">
        <x:v>simulado_didactico</x:v>
      </x:c>
    </x:row>
    <x:row r="142" ht="19" customHeight="1">
      <x:c r="A142" s="2" t="str">
        <x:v>SIM-E2-MP-L8-R02</x:v>
      </x:c>
      <x:c r="B142" s="2" t="n">
        <x:v>1</x:v>
      </x:c>
      <x:c r="C142" s="2" t="str">
        <x:v>MP</x:v>
      </x:c>
      <x:c r="D142" s="2" t="str">
        <x:v>Myzus persicae</x:v>
      </x:c>
      <x:c r="E142" s="2" t="str">
        <x:v>L8</x:v>
      </x:c>
      <x:c r="F142" s="2" t="n">
        <x:v>2</x:v>
      </x:c>
      <x:c r="G142" s="2" t="n">
        <x:v>14</x:v>
      </x:c>
      <x:c r="H142" s="2" t="n">
        <x:f>G142+Supuestos!$C$15</x:f>
        <x:v>15</x:v>
      </x:c>
      <x:c r="I142" s="14" t="n">
        <x:f>E2_plantas!J5+G142</x:f>
        <x:v>46188</x:v>
      </x:c>
      <x:c r="J142" s="2" t="str">
        <x:v>adulta</x:v>
      </x:c>
      <x:c r="K142" s="2" t="n">
        <x:v>1</x:v>
      </x:c>
      <x:c r="L142" s="2" t="n">
        <x:v>1</x:v>
      </x:c>
      <x:c r="M142" s="2" t="n">
        <x:f>SUM(L$128:L142)</x:f>
        <x:v>1</x:v>
      </x:c>
      <x:c r="N142" s="2" t="n">
        <x:v>0</x:v>
      </x:c>
      <x:c r="O142" s="2" t="str">
        <x:v>seguimiento</x:v>
      </x:c>
      <x:c r="P142" s="2" t="n">
        <x:v>0</x:v>
      </x:c>
      <x:c r="Q142" s="2" t="str">
        <x:v>simulado_didactico</x:v>
      </x:c>
    </x:row>
    <x:row r="143" ht="19" customHeight="1">
      <x:c r="A143" s="2" t="str">
        <x:v>SIM-E2-MP-L8-R02</x:v>
      </x:c>
      <x:c r="B143" s="2" t="n">
        <x:v>1</x:v>
      </x:c>
      <x:c r="C143" s="2" t="str">
        <x:v>MP</x:v>
      </x:c>
      <x:c r="D143" s="2" t="str">
        <x:v>Myzus persicae</x:v>
      </x:c>
      <x:c r="E143" s="2" t="str">
        <x:v>L8</x:v>
      </x:c>
      <x:c r="F143" s="2" t="n">
        <x:v>2</x:v>
      </x:c>
      <x:c r="G143" s="2" t="n">
        <x:v>15</x:v>
      </x:c>
      <x:c r="H143" s="2" t="n">
        <x:f>G143+Supuestos!$C$15</x:f>
        <x:v>16</x:v>
      </x:c>
      <x:c r="I143" s="14" t="n">
        <x:f>E2_plantas!J5+G143</x:f>
        <x:v>46189</x:v>
      </x:c>
      <x:c r="J143" s="2" t="str">
        <x:v>adulta</x:v>
      </x:c>
      <x:c r="K143" s="2" t="n">
        <x:v>1</x:v>
      </x:c>
      <x:c r="L143" s="2" t="n">
        <x:v>2</x:v>
      </x:c>
      <x:c r="M143" s="2" t="n">
        <x:f>SUM(L$128:L143)</x:f>
        <x:v>3</x:v>
      </x:c>
      <x:c r="N143" s="2" t="n">
        <x:v>0</x:v>
      </x:c>
      <x:c r="O143" s="2" t="str">
        <x:v>seguimiento</x:v>
      </x:c>
      <x:c r="P143" s="2" t="n">
        <x:v>0</x:v>
      </x:c>
      <x:c r="Q143" s="2" t="str">
        <x:v>simulado_didactico</x:v>
      </x:c>
    </x:row>
    <x:row r="144" ht="19" customHeight="1">
      <x:c r="A144" s="2" t="str">
        <x:v>SIM-E2-MP-L8-R02</x:v>
      </x:c>
      <x:c r="B144" s="2" t="n">
        <x:v>1</x:v>
      </x:c>
      <x:c r="C144" s="2" t="str">
        <x:v>MP</x:v>
      </x:c>
      <x:c r="D144" s="2" t="str">
        <x:v>Myzus persicae</x:v>
      </x:c>
      <x:c r="E144" s="2" t="str">
        <x:v>L8</x:v>
      </x:c>
      <x:c r="F144" s="2" t="n">
        <x:v>2</x:v>
      </x:c>
      <x:c r="G144" s="2" t="n">
        <x:v>16</x:v>
      </x:c>
      <x:c r="H144" s="2" t="n">
        <x:f>G144+Supuestos!$C$15</x:f>
        <x:v>17</x:v>
      </x:c>
      <x:c r="I144" s="14" t="n">
        <x:f>E2_plantas!J5+G144</x:f>
        <x:v>46190</x:v>
      </x:c>
      <x:c r="J144" s="2" t="str">
        <x:v>adulta</x:v>
      </x:c>
      <x:c r="K144" s="2" t="n">
        <x:v>1</x:v>
      </x:c>
      <x:c r="L144" s="2" t="n">
        <x:v>0</x:v>
      </x:c>
      <x:c r="M144" s="2" t="n">
        <x:f>SUM(L$128:L144)</x:f>
        <x:v>3</x:v>
      </x:c>
      <x:c r="N144" s="2" t="n">
        <x:v>0</x:v>
      </x:c>
      <x:c r="O144" s="2" t="str">
        <x:v>seguimiento</x:v>
      </x:c>
      <x:c r="P144" s="2" t="n">
        <x:v>0</x:v>
      </x:c>
      <x:c r="Q144" s="2" t="str">
        <x:v>simulado_didactico</x:v>
      </x:c>
    </x:row>
    <x:row r="145" ht="19" customHeight="1">
      <x:c r="A145" s="2" t="str">
        <x:v>SIM-E2-MP-L8-R02</x:v>
      </x:c>
      <x:c r="B145" s="2" t="n">
        <x:v>1</x:v>
      </x:c>
      <x:c r="C145" s="2" t="str">
        <x:v>MP</x:v>
      </x:c>
      <x:c r="D145" s="2" t="str">
        <x:v>Myzus persicae</x:v>
      </x:c>
      <x:c r="E145" s="2" t="str">
        <x:v>L8</x:v>
      </x:c>
      <x:c r="F145" s="2" t="n">
        <x:v>2</x:v>
      </x:c>
      <x:c r="G145" s="2" t="n">
        <x:v>17</x:v>
      </x:c>
      <x:c r="H145" s="2" t="n">
        <x:f>G145+Supuestos!$C$15</x:f>
        <x:v>18</x:v>
      </x:c>
      <x:c r="I145" s="14" t="n">
        <x:f>E2_plantas!J5+G145</x:f>
        <x:v>46191</x:v>
      </x:c>
      <x:c r="J145" s="2" t="str">
        <x:v>adulta</x:v>
      </x:c>
      <x:c r="K145" s="2" t="n">
        <x:v>1</x:v>
      </x:c>
      <x:c r="L145" s="2" t="n">
        <x:v>3</x:v>
      </x:c>
      <x:c r="M145" s="2" t="n">
        <x:f>SUM(L$128:L145)</x:f>
        <x:v>6</x:v>
      </x:c>
      <x:c r="N145" s="2" t="n">
        <x:v>0</x:v>
      </x:c>
      <x:c r="O145" s="2" t="str">
        <x:v>seguimiento</x:v>
      </x:c>
      <x:c r="P145" s="2" t="n">
        <x:v>0</x:v>
      </x:c>
      <x:c r="Q145" s="2" t="str">
        <x:v>simulado_didactico</x:v>
      </x:c>
    </x:row>
    <x:row r="146" ht="19" customHeight="1">
      <x:c r="A146" s="2" t="str">
        <x:v>SIM-E2-MP-L8-R02</x:v>
      </x:c>
      <x:c r="B146" s="2" t="n">
        <x:v>1</x:v>
      </x:c>
      <x:c r="C146" s="2" t="str">
        <x:v>MP</x:v>
      </x:c>
      <x:c r="D146" s="2" t="str">
        <x:v>Myzus persicae</x:v>
      </x:c>
      <x:c r="E146" s="2" t="str">
        <x:v>L8</x:v>
      </x:c>
      <x:c r="F146" s="2" t="n">
        <x:v>2</x:v>
      </x:c>
      <x:c r="G146" s="2" t="n">
        <x:v>18</x:v>
      </x:c>
      <x:c r="H146" s="2" t="n">
        <x:f>G146+Supuestos!$C$15</x:f>
        <x:v>19</x:v>
      </x:c>
      <x:c r="I146" s="14" t="n">
        <x:f>E2_plantas!J5+G146</x:f>
        <x:v>46192</x:v>
      </x:c>
      <x:c r="J146" s="2" t="str">
        <x:v>adulta</x:v>
      </x:c>
      <x:c r="K146" s="2" t="n">
        <x:v>1</x:v>
      </x:c>
      <x:c r="L146" s="2" t="n">
        <x:v>0</x:v>
      </x:c>
      <x:c r="M146" s="2" t="n">
        <x:f>SUM(L$128:L146)</x:f>
        <x:v>6</x:v>
      </x:c>
      <x:c r="N146" s="2" t="n">
        <x:v>0</x:v>
      </x:c>
      <x:c r="O146" s="2" t="str">
        <x:v>seguimiento</x:v>
      </x:c>
      <x:c r="P146" s="2" t="n">
        <x:v>0</x:v>
      </x:c>
      <x:c r="Q146" s="2" t="str">
        <x:v>simulado_didactico</x:v>
      </x:c>
    </x:row>
    <x:row r="147" ht="19" customHeight="1">
      <x:c r="A147" s="2" t="str">
        <x:v>SIM-E2-MP-L8-R02</x:v>
      </x:c>
      <x:c r="B147" s="2" t="n">
        <x:v>1</x:v>
      </x:c>
      <x:c r="C147" s="2" t="str">
        <x:v>MP</x:v>
      </x:c>
      <x:c r="D147" s="2" t="str">
        <x:v>Myzus persicae</x:v>
      </x:c>
      <x:c r="E147" s="2" t="str">
        <x:v>L8</x:v>
      </x:c>
      <x:c r="F147" s="2" t="n">
        <x:v>2</x:v>
      </x:c>
      <x:c r="G147" s="2" t="n">
        <x:v>19</x:v>
      </x:c>
      <x:c r="H147" s="2" t="n">
        <x:f>G147+Supuestos!$C$15</x:f>
        <x:v>20</x:v>
      </x:c>
      <x:c r="I147" s="14" t="n">
        <x:f>E2_plantas!J5+G147</x:f>
        <x:v>46193</x:v>
      </x:c>
      <x:c r="J147" s="2" t="str">
        <x:v>adulta</x:v>
      </x:c>
      <x:c r="K147" s="2" t="n">
        <x:v>1</x:v>
      </x:c>
      <x:c r="L147" s="2" t="n">
        <x:v>2</x:v>
      </x:c>
      <x:c r="M147" s="2" t="n">
        <x:f>SUM(L$128:L147)</x:f>
        <x:v>8</x:v>
      </x:c>
      <x:c r="N147" s="2" t="n">
        <x:v>0</x:v>
      </x:c>
      <x:c r="O147" s="2" t="str">
        <x:v>seguimiento</x:v>
      </x:c>
      <x:c r="P147" s="2" t="n">
        <x:v>0</x:v>
      </x:c>
      <x:c r="Q147" s="2" t="str">
        <x:v>simulado_didactico</x:v>
      </x:c>
    </x:row>
    <x:row r="148" ht="19" customHeight="1">
      <x:c r="A148" s="2" t="str">
        <x:v>SIM-E2-MP-L8-R02</x:v>
      </x:c>
      <x:c r="B148" s="2" t="n">
        <x:v>1</x:v>
      </x:c>
      <x:c r="C148" s="2" t="str">
        <x:v>MP</x:v>
      </x:c>
      <x:c r="D148" s="2" t="str">
        <x:v>Myzus persicae</x:v>
      </x:c>
      <x:c r="E148" s="2" t="str">
        <x:v>L8</x:v>
      </x:c>
      <x:c r="F148" s="2" t="n">
        <x:v>2</x:v>
      </x:c>
      <x:c r="G148" s="2" t="n">
        <x:v>20</x:v>
      </x:c>
      <x:c r="H148" s="2" t="n">
        <x:f>G148+Supuestos!$C$15</x:f>
        <x:v>21</x:v>
      </x:c>
      <x:c r="I148" s="14" t="n">
        <x:f>E2_plantas!J5+G148</x:f>
        <x:v>46194</x:v>
      </x:c>
      <x:c r="J148" s="2" t="str">
        <x:v>adulta</x:v>
      </x:c>
      <x:c r="K148" s="2" t="n">
        <x:v>1</x:v>
      </x:c>
      <x:c r="L148" s="2" t="n">
        <x:v>4</x:v>
      </x:c>
      <x:c r="M148" s="2" t="n">
        <x:f>SUM(L$128:L148)</x:f>
        <x:v>12</x:v>
      </x:c>
      <x:c r="N148" s="2" t="n">
        <x:v>0</x:v>
      </x:c>
      <x:c r="O148" s="2" t="str">
        <x:v>seguimiento</x:v>
      </x:c>
      <x:c r="P148" s="2" t="n">
        <x:v>0</x:v>
      </x:c>
      <x:c r="Q148" s="2" t="str">
        <x:v>simulado_didactico</x:v>
      </x:c>
    </x:row>
    <x:row r="149" ht="19" customHeight="1">
      <x:c r="A149" s="2" t="str">
        <x:v>SIM-E2-MP-L8-R02</x:v>
      </x:c>
      <x:c r="B149" s="2" t="n">
        <x:v>1</x:v>
      </x:c>
      <x:c r="C149" s="2" t="str">
        <x:v>MP</x:v>
      </x:c>
      <x:c r="D149" s="2" t="str">
        <x:v>Myzus persicae</x:v>
      </x:c>
      <x:c r="E149" s="2" t="str">
        <x:v>L8</x:v>
      </x:c>
      <x:c r="F149" s="2" t="n">
        <x:v>2</x:v>
      </x:c>
      <x:c r="G149" s="2" t="n">
        <x:v>21</x:v>
      </x:c>
      <x:c r="H149" s="2" t="n">
        <x:f>G149+Supuestos!$C$15</x:f>
        <x:v>22</x:v>
      </x:c>
      <x:c r="I149" s="14" t="n">
        <x:f>E2_plantas!J5+G149</x:f>
        <x:v>46195</x:v>
      </x:c>
      <x:c r="J149" s="2" t="str">
        <x:v>adulta</x:v>
      </x:c>
      <x:c r="K149" s="2" t="n">
        <x:v>1</x:v>
      </x:c>
      <x:c r="L149" s="2" t="n">
        <x:v>2</x:v>
      </x:c>
      <x:c r="M149" s="2" t="n">
        <x:f>SUM(L$128:L149)</x:f>
        <x:v>14</x:v>
      </x:c>
      <x:c r="N149" s="2" t="n">
        <x:v>0</x:v>
      </x:c>
      <x:c r="O149" s="2" t="str">
        <x:v>seguimiento</x:v>
      </x:c>
      <x:c r="P149" s="2" t="n">
        <x:v>0</x:v>
      </x:c>
      <x:c r="Q149" s="2" t="str">
        <x:v>simulado_didactico</x:v>
      </x:c>
    </x:row>
    <x:row r="150" ht="19" customHeight="1">
      <x:c r="A150" s="2" t="str">
        <x:v>SIM-E2-MP-L8-R02</x:v>
      </x:c>
      <x:c r="B150" s="2" t="n">
        <x:v>1</x:v>
      </x:c>
      <x:c r="C150" s="2" t="str">
        <x:v>MP</x:v>
      </x:c>
      <x:c r="D150" s="2" t="str">
        <x:v>Myzus persicae</x:v>
      </x:c>
      <x:c r="E150" s="2" t="str">
        <x:v>L8</x:v>
      </x:c>
      <x:c r="F150" s="2" t="n">
        <x:v>2</x:v>
      </x:c>
      <x:c r="G150" s="2" t="n">
        <x:v>22</x:v>
      </x:c>
      <x:c r="H150" s="2" t="n">
        <x:f>G150+Supuestos!$C$15</x:f>
        <x:v>23</x:v>
      </x:c>
      <x:c r="I150" s="14" t="n">
        <x:f>E2_plantas!J5+G150</x:f>
        <x:v>46196</x:v>
      </x:c>
      <x:c r="J150" s="2" t="str">
        <x:v>adulta</x:v>
      </x:c>
      <x:c r="K150" s="2" t="n">
        <x:v>1</x:v>
      </x:c>
      <x:c r="L150" s="2" t="n">
        <x:v>1</x:v>
      </x:c>
      <x:c r="M150" s="2" t="n">
        <x:f>SUM(L$128:L150)</x:f>
        <x:v>15</x:v>
      </x:c>
      <x:c r="N150" s="2" t="n">
        <x:v>0</x:v>
      </x:c>
      <x:c r="O150" s="2" t="str">
        <x:v>seguimiento</x:v>
      </x:c>
      <x:c r="P150" s="2" t="n">
        <x:v>0</x:v>
      </x:c>
      <x:c r="Q150" s="2" t="str">
        <x:v>simulado_didactico</x:v>
      </x:c>
    </x:row>
    <x:row r="151" ht="19" customHeight="1">
      <x:c r="A151" s="2" t="str">
        <x:v>SIM-E2-MP-L8-R02</x:v>
      </x:c>
      <x:c r="B151" s="2" t="n">
        <x:v>1</x:v>
      </x:c>
      <x:c r="C151" s="2" t="str">
        <x:v>MP</x:v>
      </x:c>
      <x:c r="D151" s="2" t="str">
        <x:v>Myzus persicae</x:v>
      </x:c>
      <x:c r="E151" s="2" t="str">
        <x:v>L8</x:v>
      </x:c>
      <x:c r="F151" s="2" t="n">
        <x:v>2</x:v>
      </x:c>
      <x:c r="G151" s="2" t="n">
        <x:v>23</x:v>
      </x:c>
      <x:c r="H151" s="2" t="n">
        <x:f>G151+Supuestos!$C$15</x:f>
        <x:v>24</x:v>
      </x:c>
      <x:c r="I151" s="14" t="n">
        <x:f>E2_plantas!J5+G151</x:f>
        <x:v>46197</x:v>
      </x:c>
      <x:c r="J151" s="2" t="str">
        <x:v>adulta</x:v>
      </x:c>
      <x:c r="K151" s="2" t="n">
        <x:v>1</x:v>
      </x:c>
      <x:c r="L151" s="2" t="n">
        <x:v>2</x:v>
      </x:c>
      <x:c r="M151" s="2" t="n">
        <x:f>SUM(L$128:L151)</x:f>
        <x:v>17</x:v>
      </x:c>
      <x:c r="N151" s="2" t="n">
        <x:v>0</x:v>
      </x:c>
      <x:c r="O151" s="2" t="str">
        <x:v>seguimiento</x:v>
      </x:c>
      <x:c r="P151" s="2" t="n">
        <x:v>0</x:v>
      </x:c>
      <x:c r="Q151" s="2" t="str">
        <x:v>simulado_didactico</x:v>
      </x:c>
    </x:row>
    <x:row r="152" ht="19" customHeight="1">
      <x:c r="A152" s="2" t="str">
        <x:v>SIM-E2-MP-L8-R02</x:v>
      </x:c>
      <x:c r="B152" s="2" t="n">
        <x:v>1</x:v>
      </x:c>
      <x:c r="C152" s="2" t="str">
        <x:v>MP</x:v>
      </x:c>
      <x:c r="D152" s="2" t="str">
        <x:v>Myzus persicae</x:v>
      </x:c>
      <x:c r="E152" s="2" t="str">
        <x:v>L8</x:v>
      </x:c>
      <x:c r="F152" s="2" t="n">
        <x:v>2</x:v>
      </x:c>
      <x:c r="G152" s="2" t="n">
        <x:v>24</x:v>
      </x:c>
      <x:c r="H152" s="2" t="n">
        <x:f>G152+Supuestos!$C$15</x:f>
        <x:v>25</x:v>
      </x:c>
      <x:c r="I152" s="14" t="n">
        <x:f>E2_plantas!J5+G152</x:f>
        <x:v>46198</x:v>
      </x:c>
      <x:c r="J152" s="2" t="str">
        <x:v>adulta</x:v>
      </x:c>
      <x:c r="K152" s="2" t="n">
        <x:v>1</x:v>
      </x:c>
      <x:c r="L152" s="2" t="n">
        <x:v>0</x:v>
      </x:c>
      <x:c r="M152" s="2" t="n">
        <x:f>SUM(L$128:L152)</x:f>
        <x:v>17</x:v>
      </x:c>
      <x:c r="N152" s="2" t="n">
        <x:v>0</x:v>
      </x:c>
      <x:c r="O152" s="2" t="str">
        <x:v>seguimiento</x:v>
      </x:c>
      <x:c r="P152" s="2" t="n">
        <x:v>0</x:v>
      </x:c>
      <x:c r="Q152" s="2" t="str">
        <x:v>simulado_didactico</x:v>
      </x:c>
    </x:row>
    <x:row r="153" ht="19" customHeight="1">
      <x:c r="A153" s="2" t="str">
        <x:v>SIM-E2-MP-L8-R02</x:v>
      </x:c>
      <x:c r="B153" s="2" t="n">
        <x:v>1</x:v>
      </x:c>
      <x:c r="C153" s="2" t="str">
        <x:v>MP</x:v>
      </x:c>
      <x:c r="D153" s="2" t="str">
        <x:v>Myzus persicae</x:v>
      </x:c>
      <x:c r="E153" s="2" t="str">
        <x:v>L8</x:v>
      </x:c>
      <x:c r="F153" s="2" t="n">
        <x:v>2</x:v>
      </x:c>
      <x:c r="G153" s="2" t="n">
        <x:v>25</x:v>
      </x:c>
      <x:c r="H153" s="2" t="n">
        <x:f>G153+Supuestos!$C$15</x:f>
        <x:v>26</x:v>
      </x:c>
      <x:c r="I153" s="14" t="n">
        <x:f>E2_plantas!J5+G153</x:f>
        <x:v>46199</x:v>
      </x:c>
      <x:c r="J153" s="2" t="str">
        <x:v>adulta</x:v>
      </x:c>
      <x:c r="K153" s="2" t="n">
        <x:v>1</x:v>
      </x:c>
      <x:c r="L153" s="2" t="n">
        <x:v>0</x:v>
      </x:c>
      <x:c r="M153" s="2" t="n">
        <x:f>SUM(L$128:L153)</x:f>
        <x:v>17</x:v>
      </x:c>
      <x:c r="N153" s="2" t="n">
        <x:v>0</x:v>
      </x:c>
      <x:c r="O153" s="2" t="str">
        <x:v>seguimiento</x:v>
      </x:c>
      <x:c r="P153" s="2" t="n">
        <x:v>0</x:v>
      </x:c>
      <x:c r="Q153" s="2" t="str">
        <x:v>simulado_didactico</x:v>
      </x:c>
    </x:row>
    <x:row r="154" ht="19" customHeight="1">
      <x:c r="A154" s="2" t="str">
        <x:v>SIM-E2-MP-L8-R02</x:v>
      </x:c>
      <x:c r="B154" s="2" t="n">
        <x:v>1</x:v>
      </x:c>
      <x:c r="C154" s="2" t="str">
        <x:v>MP</x:v>
      </x:c>
      <x:c r="D154" s="2" t="str">
        <x:v>Myzus persicae</x:v>
      </x:c>
      <x:c r="E154" s="2" t="str">
        <x:v>L8</x:v>
      </x:c>
      <x:c r="F154" s="2" t="n">
        <x:v>2</x:v>
      </x:c>
      <x:c r="G154" s="2" t="n">
        <x:v>26</x:v>
      </x:c>
      <x:c r="H154" s="2" t="n">
        <x:f>G154+Supuestos!$C$15</x:f>
        <x:v>27</x:v>
      </x:c>
      <x:c r="I154" s="14" t="n">
        <x:f>E2_plantas!J5+G154</x:f>
        <x:v>46200</x:v>
      </x:c>
      <x:c r="J154" s="2" t="str">
        <x:v>adulta</x:v>
      </x:c>
      <x:c r="K154" s="2" t="n">
        <x:v>1</x:v>
      </x:c>
      <x:c r="L154" s="2" t="n">
        <x:v>0</x:v>
      </x:c>
      <x:c r="M154" s="2" t="n">
        <x:f>SUM(L$128:L154)</x:f>
        <x:v>17</x:v>
      </x:c>
      <x:c r="N154" s="2" t="n">
        <x:v>0</x:v>
      </x:c>
      <x:c r="O154" s="2" t="str">
        <x:v>seguimiento</x:v>
      </x:c>
      <x:c r="P154" s="2" t="n">
        <x:v>0</x:v>
      </x:c>
      <x:c r="Q154" s="2" t="str">
        <x:v>simulado_didactico</x:v>
      </x:c>
    </x:row>
    <x:row r="155" ht="19" customHeight="1">
      <x:c r="A155" s="2" t="str">
        <x:v>SIM-E2-MP-L8-R02</x:v>
      </x:c>
      <x:c r="B155" s="2" t="n">
        <x:v>1</x:v>
      </x:c>
      <x:c r="C155" s="2" t="str">
        <x:v>MP</x:v>
      </x:c>
      <x:c r="D155" s="2" t="str">
        <x:v>Myzus persicae</x:v>
      </x:c>
      <x:c r="E155" s="2" t="str">
        <x:v>L8</x:v>
      </x:c>
      <x:c r="F155" s="2" t="n">
        <x:v>2</x:v>
      </x:c>
      <x:c r="G155" s="2" t="n">
        <x:v>27</x:v>
      </x:c>
      <x:c r="H155" s="2" t="n">
        <x:f>G155+Supuestos!$C$15</x:f>
        <x:v>28</x:v>
      </x:c>
      <x:c r="I155" s="14" t="n">
        <x:f>E2_plantas!J5+G155</x:f>
        <x:v>46201</x:v>
      </x:c>
      <x:c r="J155" s="2" t="str">
        <x:v>muerta</x:v>
      </x:c>
      <x:c r="K155" s="2" t="n">
        <x:v>0</x:v>
      </x:c>
      <x:c r="L155" s="2" t="n">
        <x:v>0</x:v>
      </x:c>
      <x:c r="M155" s="2" t="n">
        <x:f>SUM(L$128:L155)</x:f>
        <x:v>17</x:v>
      </x:c>
      <x:c r="N155" s="2" t="n">
        <x:v>1</x:v>
      </x:c>
      <x:c r="O155" s="2" t="str">
        <x:v>muerte</x:v>
      </x:c>
      <x:c r="P155" s="2" t="n">
        <x:v>0</x:v>
      </x:c>
      <x:c r="Q155" s="2" t="str">
        <x:v>simulado_didactico</x:v>
      </x:c>
    </x:row>
    <x:row r="156" ht="19" customHeight="1">
      <x:c r="A156" s="2" t="str">
        <x:v>SIM-E2-MP-L8-R02</x:v>
      </x:c>
      <x:c r="B156" s="2" t="n">
        <x:v>1</x:v>
      </x:c>
      <x:c r="C156" s="2" t="str">
        <x:v>MP</x:v>
      </x:c>
      <x:c r="D156" s="2" t="str">
        <x:v>Myzus persicae</x:v>
      </x:c>
      <x:c r="E156" s="2" t="str">
        <x:v>L8</x:v>
      </x:c>
      <x:c r="F156" s="2" t="n">
        <x:v>2</x:v>
      </x:c>
      <x:c r="G156" s="2" t="n">
        <x:v>28</x:v>
      </x:c>
      <x:c r="H156" s="2" t="n">
        <x:f>G156+Supuestos!$C$15</x:f>
        <x:v>29</x:v>
      </x:c>
      <x:c r="I156" s="14" t="n">
        <x:f>E2_plantas!J5+G156</x:f>
        <x:v>46202</x:v>
      </x:c>
      <x:c r="J156" s="2" t="str">
        <x:v>muerta</x:v>
      </x:c>
      <x:c r="K156" s="2" t="n">
        <x:v>0</x:v>
      </x:c>
      <x:c r="L156" s="2" t="n">
        <x:v>0</x:v>
      </x:c>
      <x:c r="M156" s="2" t="n">
        <x:f>SUM(L$128:L156)</x:f>
        <x:v>17</x:v>
      </x:c>
      <x:c r="N156" s="2" t="n">
        <x:v>0</x:v>
      </x:c>
      <x:c r="O156" s="2" t="str">
        <x:v>relleno_postmuerte</x:v>
      </x:c>
      <x:c r="P156" s="2" t="n">
        <x:v>0</x:v>
      </x:c>
      <x:c r="Q156" s="2" t="str">
        <x:v>simulado_didactico</x:v>
      </x:c>
    </x:row>
    <x:row r="157" ht="19" customHeight="1">
      <x:c r="A157" s="2" t="str">
        <x:v>SIM-E2-MP-L8-R02</x:v>
      </x:c>
      <x:c r="B157" s="2" t="n">
        <x:v>1</x:v>
      </x:c>
      <x:c r="C157" s="2" t="str">
        <x:v>MP</x:v>
      </x:c>
      <x:c r="D157" s="2" t="str">
        <x:v>Myzus persicae</x:v>
      </x:c>
      <x:c r="E157" s="2" t="str">
        <x:v>L8</x:v>
      </x:c>
      <x:c r="F157" s="2" t="n">
        <x:v>2</x:v>
      </x:c>
      <x:c r="G157" s="2" t="n">
        <x:v>29</x:v>
      </x:c>
      <x:c r="H157" s="2" t="n">
        <x:f>G157+Supuestos!$C$15</x:f>
        <x:v>30</x:v>
      </x:c>
      <x:c r="I157" s="14" t="n">
        <x:f>E2_plantas!J5+G157</x:f>
        <x:v>46203</x:v>
      </x:c>
      <x:c r="J157" s="2" t="str">
        <x:v>muerta</x:v>
      </x:c>
      <x:c r="K157" s="2" t="n">
        <x:v>0</x:v>
      </x:c>
      <x:c r="L157" s="2" t="n">
        <x:v>0</x:v>
      </x:c>
      <x:c r="M157" s="2" t="n">
        <x:f>SUM(L$128:L157)</x:f>
        <x:v>17</x:v>
      </x:c>
      <x:c r="N157" s="2" t="n">
        <x:v>0</x:v>
      </x:c>
      <x:c r="O157" s="2" t="str">
        <x:v>relleno_postmuerte</x:v>
      </x:c>
      <x:c r="P157" s="2" t="n">
        <x:v>0</x:v>
      </x:c>
      <x:c r="Q157" s="2" t="str">
        <x:v>simulado_didactico</x:v>
      </x:c>
    </x:row>
    <x:row r="158" ht="19" customHeight="1">
      <x:c r="A158" s="2" t="str">
        <x:v>SIM-E2-MP-L8-R02</x:v>
      </x:c>
      <x:c r="B158" s="2" t="n">
        <x:v>1</x:v>
      </x:c>
      <x:c r="C158" s="2" t="str">
        <x:v>MP</x:v>
      </x:c>
      <x:c r="D158" s="2" t="str">
        <x:v>Myzus persicae</x:v>
      </x:c>
      <x:c r="E158" s="2" t="str">
        <x:v>L8</x:v>
      </x:c>
      <x:c r="F158" s="2" t="n">
        <x:v>2</x:v>
      </x:c>
      <x:c r="G158" s="2" t="n">
        <x:v>30</x:v>
      </x:c>
      <x:c r="H158" s="2" t="n">
        <x:f>G158+Supuestos!$C$15</x:f>
        <x:v>31</x:v>
      </x:c>
      <x:c r="I158" s="14" t="n">
        <x:f>E2_plantas!J5+G158</x:f>
        <x:v>46204</x:v>
      </x:c>
      <x:c r="J158" s="2" t="str">
        <x:v>muerta</x:v>
      </x:c>
      <x:c r="K158" s="2" t="n">
        <x:v>0</x:v>
      </x:c>
      <x:c r="L158" s="2" t="n">
        <x:v>0</x:v>
      </x:c>
      <x:c r="M158" s="2" t="n">
        <x:f>SUM(L$128:L158)</x:f>
        <x:v>17</x:v>
      </x:c>
      <x:c r="N158" s="2" t="n">
        <x:v>0</x:v>
      </x:c>
      <x:c r="O158" s="2" t="str">
        <x:v>relleno_postmuerte</x:v>
      </x:c>
      <x:c r="P158" s="2" t="n">
        <x:v>0</x:v>
      </x:c>
      <x:c r="Q158" s="2" t="str">
        <x:v>simulado_didactico</x:v>
      </x:c>
    </x:row>
    <x:row r="159" ht="19" customHeight="1">
      <x:c r="A159" s="2" t="str">
        <x:v>SIM-E2-MP-L8-R02</x:v>
      </x:c>
      <x:c r="B159" s="2" t="n">
        <x:v>1</x:v>
      </x:c>
      <x:c r="C159" s="2" t="str">
        <x:v>MP</x:v>
      </x:c>
      <x:c r="D159" s="2" t="str">
        <x:v>Myzus persicae</x:v>
      </x:c>
      <x:c r="E159" s="2" t="str">
        <x:v>L8</x:v>
      </x:c>
      <x:c r="F159" s="2" t="n">
        <x:v>2</x:v>
      </x:c>
      <x:c r="G159" s="2" t="n">
        <x:v>31</x:v>
      </x:c>
      <x:c r="H159" s="2" t="n">
        <x:f>G159+Supuestos!$C$15</x:f>
        <x:v>32</x:v>
      </x:c>
      <x:c r="I159" s="14" t="n">
        <x:f>E2_plantas!J5+G159</x:f>
        <x:v>46205</x:v>
      </x:c>
      <x:c r="J159" s="2" t="str">
        <x:v>muerta</x:v>
      </x:c>
      <x:c r="K159" s="2" t="n">
        <x:v>0</x:v>
      </x:c>
      <x:c r="L159" s="2" t="n">
        <x:v>0</x:v>
      </x:c>
      <x:c r="M159" s="2" t="n">
        <x:f>SUM(L$128:L159)</x:f>
        <x:v>17</x:v>
      </x:c>
      <x:c r="N159" s="2" t="n">
        <x:v>0</x:v>
      </x:c>
      <x:c r="O159" s="2" t="str">
        <x:v>relleno_postmuerte</x:v>
      </x:c>
      <x:c r="P159" s="2" t="n">
        <x:v>0</x:v>
      </x:c>
      <x:c r="Q159" s="2" t="str">
        <x:v>simulado_didactico</x:v>
      </x:c>
    </x:row>
    <x:row r="160" ht="19" customHeight="1">
      <x:c r="A160" s="2" t="str">
        <x:v>SIM-E2-MP-L8-R02</x:v>
      </x:c>
      <x:c r="B160" s="2" t="n">
        <x:v>1</x:v>
      </x:c>
      <x:c r="C160" s="2" t="str">
        <x:v>MP</x:v>
      </x:c>
      <x:c r="D160" s="2" t="str">
        <x:v>Myzus persicae</x:v>
      </x:c>
      <x:c r="E160" s="2" t="str">
        <x:v>L8</x:v>
      </x:c>
      <x:c r="F160" s="2" t="n">
        <x:v>2</x:v>
      </x:c>
      <x:c r="G160" s="2" t="n">
        <x:v>32</x:v>
      </x:c>
      <x:c r="H160" s="2" t="n">
        <x:f>G160+Supuestos!$C$15</x:f>
        <x:v>33</x:v>
      </x:c>
      <x:c r="I160" s="14" t="n">
        <x:f>E2_plantas!J5+G160</x:f>
        <x:v>46206</x:v>
      </x:c>
      <x:c r="J160" s="2" t="str">
        <x:v>muerta</x:v>
      </x:c>
      <x:c r="K160" s="2" t="n">
        <x:v>0</x:v>
      </x:c>
      <x:c r="L160" s="2" t="n">
        <x:v>0</x:v>
      </x:c>
      <x:c r="M160" s="2" t="n">
        <x:f>SUM(L$128:L160)</x:f>
        <x:v>17</x:v>
      </x:c>
      <x:c r="N160" s="2" t="n">
        <x:v>0</x:v>
      </x:c>
      <x:c r="O160" s="2" t="str">
        <x:v>relleno_postmuerte</x:v>
      </x:c>
      <x:c r="P160" s="2" t="n">
        <x:v>0</x:v>
      </x:c>
      <x:c r="Q160" s="2" t="str">
        <x:v>simulado_didactico</x:v>
      </x:c>
    </x:row>
    <x:row r="161" ht="19" customHeight="1">
      <x:c r="A161" s="2" t="str">
        <x:v>SIM-E2-MP-L8-R02</x:v>
      </x:c>
      <x:c r="B161" s="2" t="n">
        <x:v>1</x:v>
      </x:c>
      <x:c r="C161" s="2" t="str">
        <x:v>MP</x:v>
      </x:c>
      <x:c r="D161" s="2" t="str">
        <x:v>Myzus persicae</x:v>
      </x:c>
      <x:c r="E161" s="2" t="str">
        <x:v>L8</x:v>
      </x:c>
      <x:c r="F161" s="2" t="n">
        <x:v>2</x:v>
      </x:c>
      <x:c r="G161" s="2" t="n">
        <x:v>33</x:v>
      </x:c>
      <x:c r="H161" s="2" t="n">
        <x:f>G161+Supuestos!$C$15</x:f>
        <x:v>34</x:v>
      </x:c>
      <x:c r="I161" s="14" t="n">
        <x:f>E2_plantas!J5+G161</x:f>
        <x:v>46207</x:v>
      </x:c>
      <x:c r="J161" s="2" t="str">
        <x:v>muerta</x:v>
      </x:c>
      <x:c r="K161" s="2" t="n">
        <x:v>0</x:v>
      </x:c>
      <x:c r="L161" s="2" t="n">
        <x:v>0</x:v>
      </x:c>
      <x:c r="M161" s="2" t="n">
        <x:f>SUM(L$128:L161)</x:f>
        <x:v>17</x:v>
      </x:c>
      <x:c r="N161" s="2" t="n">
        <x:v>0</x:v>
      </x:c>
      <x:c r="O161" s="2" t="str">
        <x:v>relleno_postmuerte</x:v>
      </x:c>
      <x:c r="P161" s="2" t="n">
        <x:v>0</x:v>
      </x:c>
      <x:c r="Q161" s="2" t="str">
        <x:v>simulado_didactico</x:v>
      </x:c>
    </x:row>
    <x:row r="162" ht="19" customHeight="1">
      <x:c r="A162" s="2" t="str">
        <x:v>SIM-E2-MP-L8-R02</x:v>
      </x:c>
      <x:c r="B162" s="2" t="n">
        <x:v>1</x:v>
      </x:c>
      <x:c r="C162" s="2" t="str">
        <x:v>MP</x:v>
      </x:c>
      <x:c r="D162" s="2" t="str">
        <x:v>Myzus persicae</x:v>
      </x:c>
      <x:c r="E162" s="2" t="str">
        <x:v>L8</x:v>
      </x:c>
      <x:c r="F162" s="2" t="n">
        <x:v>2</x:v>
      </x:c>
      <x:c r="G162" s="2" t="n">
        <x:v>34</x:v>
      </x:c>
      <x:c r="H162" s="2" t="n">
        <x:f>G162+Supuestos!$C$15</x:f>
        <x:v>35</x:v>
      </x:c>
      <x:c r="I162" s="14" t="n">
        <x:f>E2_plantas!J5+G162</x:f>
        <x:v>46208</x:v>
      </x:c>
      <x:c r="J162" s="2" t="str">
        <x:v>muerta</x:v>
      </x:c>
      <x:c r="K162" s="2" t="n">
        <x:v>0</x:v>
      </x:c>
      <x:c r="L162" s="2" t="n">
        <x:v>0</x:v>
      </x:c>
      <x:c r="M162" s="2" t="n">
        <x:f>SUM(L$128:L162)</x:f>
        <x:v>17</x:v>
      </x:c>
      <x:c r="N162" s="2" t="n">
        <x:v>0</x:v>
      </x:c>
      <x:c r="O162" s="2" t="str">
        <x:v>relleno_postmuerte</x:v>
      </x:c>
      <x:c r="P162" s="2" t="n">
        <x:v>0</x:v>
      </x:c>
      <x:c r="Q162" s="2" t="str">
        <x:v>simulado_didactico</x:v>
      </x:c>
    </x:row>
    <x:row r="163" ht="19" customHeight="1">
      <x:c r="A163" s="2" t="str">
        <x:v>SIM-E2-MP-L8-R02</x:v>
      </x:c>
      <x:c r="B163" s="2" t="n">
        <x:v>1</x:v>
      </x:c>
      <x:c r="C163" s="2" t="str">
        <x:v>MP</x:v>
      </x:c>
      <x:c r="D163" s="2" t="str">
        <x:v>Myzus persicae</x:v>
      </x:c>
      <x:c r="E163" s="2" t="str">
        <x:v>L8</x:v>
      </x:c>
      <x:c r="F163" s="2" t="n">
        <x:v>2</x:v>
      </x:c>
      <x:c r="G163" s="2" t="n">
        <x:v>35</x:v>
      </x:c>
      <x:c r="H163" s="2" t="n">
        <x:f>G163+Supuestos!$C$15</x:f>
        <x:v>36</x:v>
      </x:c>
      <x:c r="I163" s="14" t="n">
        <x:f>E2_plantas!J5+G163</x:f>
        <x:v>46209</x:v>
      </x:c>
      <x:c r="J163" s="2" t="str">
        <x:v>muerta</x:v>
      </x:c>
      <x:c r="K163" s="2" t="n">
        <x:v>0</x:v>
      </x:c>
      <x:c r="L163" s="2" t="n">
        <x:v>0</x:v>
      </x:c>
      <x:c r="M163" s="2" t="n">
        <x:f>SUM(L$128:L163)</x:f>
        <x:v>17</x:v>
      </x:c>
      <x:c r="N163" s="2" t="n">
        <x:v>0</x:v>
      </x:c>
      <x:c r="O163" s="2" t="str">
        <x:v>relleno_postmuerte</x:v>
      </x:c>
      <x:c r="P163" s="2" t="n">
        <x:v>0</x:v>
      </x:c>
      <x:c r="Q163" s="2" t="str">
        <x:v>simulado_didactico</x:v>
      </x:c>
    </x:row>
    <x:row r="164" ht="19" customHeight="1">
      <x:c r="A164" s="2" t="str">
        <x:v>SIM-E2-MP-L8-R02</x:v>
      </x:c>
      <x:c r="B164" s="2" t="n">
        <x:v>1</x:v>
      </x:c>
      <x:c r="C164" s="2" t="str">
        <x:v>MP</x:v>
      </x:c>
      <x:c r="D164" s="2" t="str">
        <x:v>Myzus persicae</x:v>
      </x:c>
      <x:c r="E164" s="2" t="str">
        <x:v>L8</x:v>
      </x:c>
      <x:c r="F164" s="2" t="n">
        <x:v>2</x:v>
      </x:c>
      <x:c r="G164" s="2" t="n">
        <x:v>36</x:v>
      </x:c>
      <x:c r="H164" s="2" t="n">
        <x:f>G164+Supuestos!$C$15</x:f>
        <x:v>37</x:v>
      </x:c>
      <x:c r="I164" s="14" t="n">
        <x:f>E2_plantas!J5+G164</x:f>
        <x:v>46210</x:v>
      </x:c>
      <x:c r="J164" s="2" t="str">
        <x:v>muerta</x:v>
      </x:c>
      <x:c r="K164" s="2" t="n">
        <x:v>0</x:v>
      </x:c>
      <x:c r="L164" s="2" t="n">
        <x:v>0</x:v>
      </x:c>
      <x:c r="M164" s="2" t="n">
        <x:f>SUM(L$128:L164)</x:f>
        <x:v>17</x:v>
      </x:c>
      <x:c r="N164" s="2" t="n">
        <x:v>0</x:v>
      </x:c>
      <x:c r="O164" s="2" t="str">
        <x:v>relleno_postmuerte</x:v>
      </x:c>
      <x:c r="P164" s="2" t="n">
        <x:v>0</x:v>
      </x:c>
      <x:c r="Q164" s="2" t="str">
        <x:v>simulado_didactico</x:v>
      </x:c>
    </x:row>
    <x:row r="165" ht="19" customHeight="1">
      <x:c r="A165" s="2" t="str">
        <x:v>SIM-E2-MP-L8-R02</x:v>
      </x:c>
      <x:c r="B165" s="2" t="n">
        <x:v>1</x:v>
      </x:c>
      <x:c r="C165" s="2" t="str">
        <x:v>MP</x:v>
      </x:c>
      <x:c r="D165" s="2" t="str">
        <x:v>Myzus persicae</x:v>
      </x:c>
      <x:c r="E165" s="2" t="str">
        <x:v>L8</x:v>
      </x:c>
      <x:c r="F165" s="2" t="n">
        <x:v>2</x:v>
      </x:c>
      <x:c r="G165" s="2" t="n">
        <x:v>37</x:v>
      </x:c>
      <x:c r="H165" s="2" t="n">
        <x:f>G165+Supuestos!$C$15</x:f>
        <x:v>38</x:v>
      </x:c>
      <x:c r="I165" s="14" t="n">
        <x:f>E2_plantas!J5+G165</x:f>
        <x:v>46211</x:v>
      </x:c>
      <x:c r="J165" s="2" t="str">
        <x:v>muerta</x:v>
      </x:c>
      <x:c r="K165" s="2" t="n">
        <x:v>0</x:v>
      </x:c>
      <x:c r="L165" s="2" t="n">
        <x:v>0</x:v>
      </x:c>
      <x:c r="M165" s="2" t="n">
        <x:f>SUM(L$128:L165)</x:f>
        <x:v>17</x:v>
      </x:c>
      <x:c r="N165" s="2" t="n">
        <x:v>0</x:v>
      </x:c>
      <x:c r="O165" s="2" t="str">
        <x:v>relleno_postmuerte</x:v>
      </x:c>
      <x:c r="P165" s="2" t="n">
        <x:v>0</x:v>
      </x:c>
      <x:c r="Q165" s="2" t="str">
        <x:v>simulado_didactico</x:v>
      </x:c>
    </x:row>
    <x:row r="166" ht="19" customHeight="1">
      <x:c r="A166" s="2" t="str">
        <x:v>SIM-E2-MP-L8-R02</x:v>
      </x:c>
      <x:c r="B166" s="2" t="n">
        <x:v>1</x:v>
      </x:c>
      <x:c r="C166" s="2" t="str">
        <x:v>MP</x:v>
      </x:c>
      <x:c r="D166" s="2" t="str">
        <x:v>Myzus persicae</x:v>
      </x:c>
      <x:c r="E166" s="2" t="str">
        <x:v>L8</x:v>
      </x:c>
      <x:c r="F166" s="2" t="n">
        <x:v>2</x:v>
      </x:c>
      <x:c r="G166" s="2" t="n">
        <x:v>38</x:v>
      </x:c>
      <x:c r="H166" s="2" t="n">
        <x:f>G166+Supuestos!$C$15</x:f>
        <x:v>39</x:v>
      </x:c>
      <x:c r="I166" s="14" t="n">
        <x:f>E2_plantas!J5+G166</x:f>
        <x:v>46212</x:v>
      </x:c>
      <x:c r="J166" s="2" t="str">
        <x:v>muerta</x:v>
      </x:c>
      <x:c r="K166" s="2" t="n">
        <x:v>0</x:v>
      </x:c>
      <x:c r="L166" s="2" t="n">
        <x:v>0</x:v>
      </x:c>
      <x:c r="M166" s="2" t="n">
        <x:f>SUM(L$128:L166)</x:f>
        <x:v>17</x:v>
      </x:c>
      <x:c r="N166" s="2" t="n">
        <x:v>0</x:v>
      </x:c>
      <x:c r="O166" s="2" t="str">
        <x:v>relleno_postmuerte</x:v>
      </x:c>
      <x:c r="P166" s="2" t="n">
        <x:v>0</x:v>
      </x:c>
      <x:c r="Q166" s="2" t="str">
        <x:v>simulado_didactico</x:v>
      </x:c>
    </x:row>
    <x:row r="167" ht="19" customHeight="1">
      <x:c r="A167" s="2" t="str">
        <x:v>SIM-E2-MP-L8-R02</x:v>
      </x:c>
      <x:c r="B167" s="2" t="n">
        <x:v>1</x:v>
      </x:c>
      <x:c r="C167" s="2" t="str">
        <x:v>MP</x:v>
      </x:c>
      <x:c r="D167" s="2" t="str">
        <x:v>Myzus persicae</x:v>
      </x:c>
      <x:c r="E167" s="2" t="str">
        <x:v>L8</x:v>
      </x:c>
      <x:c r="F167" s="2" t="n">
        <x:v>2</x:v>
      </x:c>
      <x:c r="G167" s="2" t="n">
        <x:v>39</x:v>
      </x:c>
      <x:c r="H167" s="2" t="n">
        <x:f>G167+Supuestos!$C$15</x:f>
        <x:v>40</x:v>
      </x:c>
      <x:c r="I167" s="14" t="n">
        <x:f>E2_plantas!J5+G167</x:f>
        <x:v>46213</x:v>
      </x:c>
      <x:c r="J167" s="2" t="str">
        <x:v>muerta</x:v>
      </x:c>
      <x:c r="K167" s="2" t="n">
        <x:v>0</x:v>
      </x:c>
      <x:c r="L167" s="2" t="n">
        <x:v>0</x:v>
      </x:c>
      <x:c r="M167" s="2" t="n">
        <x:f>SUM(L$128:L167)</x:f>
        <x:v>17</x:v>
      </x:c>
      <x:c r="N167" s="2" t="n">
        <x:v>0</x:v>
      </x:c>
      <x:c r="O167" s="2" t="str">
        <x:v>relleno_postmuerte</x:v>
      </x:c>
      <x:c r="P167" s="2" t="n">
        <x:v>0</x:v>
      </x:c>
      <x:c r="Q167" s="2" t="str">
        <x:v>simulado_didactico</x:v>
      </x:c>
    </x:row>
    <x:row r="168" ht="19" customHeight="1">
      <x:c r="A168" s="2" t="str">
        <x:v>SIM-E2-MP-L8-R02</x:v>
      </x:c>
      <x:c r="B168" s="2" t="n">
        <x:v>1</x:v>
      </x:c>
      <x:c r="C168" s="2" t="str">
        <x:v>MP</x:v>
      </x:c>
      <x:c r="D168" s="2" t="str">
        <x:v>Myzus persicae</x:v>
      </x:c>
      <x:c r="E168" s="2" t="str">
        <x:v>L8</x:v>
      </x:c>
      <x:c r="F168" s="2" t="n">
        <x:v>2</x:v>
      </x:c>
      <x:c r="G168" s="2" t="n">
        <x:v>40</x:v>
      </x:c>
      <x:c r="H168" s="2" t="n">
        <x:f>G168+Supuestos!$C$15</x:f>
        <x:v>41</x:v>
      </x:c>
      <x:c r="I168" s="14" t="n">
        <x:f>E2_plantas!J5+G168</x:f>
        <x:v>46214</x:v>
      </x:c>
      <x:c r="J168" s="2" t="str">
        <x:v>muerta</x:v>
      </x:c>
      <x:c r="K168" s="2" t="n">
        <x:v>0</x:v>
      </x:c>
      <x:c r="L168" s="2" t="n">
        <x:v>0</x:v>
      </x:c>
      <x:c r="M168" s="2" t="n">
        <x:f>SUM(L$128:L168)</x:f>
        <x:v>17</x:v>
      </x:c>
      <x:c r="N168" s="2" t="n">
        <x:v>0</x:v>
      </x:c>
      <x:c r="O168" s="2" t="str">
        <x:v>relleno_postmuerte</x:v>
      </x:c>
      <x:c r="P168" s="2" t="n">
        <x:v>0</x:v>
      </x:c>
      <x:c r="Q168" s="2" t="str">
        <x:v>simulado_didactico</x:v>
      </x:c>
    </x:row>
    <x:row r="169" ht="19" customHeight="1">
      <x:c r="A169" s="2" t="str">
        <x:v>SIM-E2-MP-L8-R02</x:v>
      </x:c>
      <x:c r="B169" s="2" t="n">
        <x:v>1</x:v>
      </x:c>
      <x:c r="C169" s="2" t="str">
        <x:v>MP</x:v>
      </x:c>
      <x:c r="D169" s="2" t="str">
        <x:v>Myzus persicae</x:v>
      </x:c>
      <x:c r="E169" s="2" t="str">
        <x:v>L8</x:v>
      </x:c>
      <x:c r="F169" s="2" t="n">
        <x:v>2</x:v>
      </x:c>
      <x:c r="G169" s="2" t="n">
        <x:v>41</x:v>
      </x:c>
      <x:c r="H169" s="2" t="n">
        <x:f>G169+Supuestos!$C$15</x:f>
        <x:v>42</x:v>
      </x:c>
      <x:c r="I169" s="14" t="n">
        <x:f>E2_plantas!J5+G169</x:f>
        <x:v>46215</x:v>
      </x:c>
      <x:c r="J169" s="2" t="str">
        <x:v>muerta</x:v>
      </x:c>
      <x:c r="K169" s="2" t="n">
        <x:v>0</x:v>
      </x:c>
      <x:c r="L169" s="2" t="n">
        <x:v>0</x:v>
      </x:c>
      <x:c r="M169" s="2" t="n">
        <x:f>SUM(L$128:L169)</x:f>
        <x:v>17</x:v>
      </x:c>
      <x:c r="N169" s="2" t="n">
        <x:v>0</x:v>
      </x:c>
      <x:c r="O169" s="2" t="str">
        <x:v>relleno_postmuerte</x:v>
      </x:c>
      <x:c r="P169" s="2" t="n">
        <x:v>0</x:v>
      </x:c>
      <x:c r="Q169" s="2" t="str">
        <x:v>simulado_didactico</x:v>
      </x:c>
    </x:row>
    <x:row r="170" ht="19" customHeight="1">
      <x:c r="A170" s="2" t="str">
        <x:v>SIM-E2-MP-L7-R01</x:v>
      </x:c>
      <x:c r="B170" s="2" t="n">
        <x:v>1</x:v>
      </x:c>
      <x:c r="C170" s="2" t="str">
        <x:v>MP</x:v>
      </x:c>
      <x:c r="D170" s="2" t="str">
        <x:v>Myzus persicae</x:v>
      </x:c>
      <x:c r="E170" s="2" t="str">
        <x:v>L7</x:v>
      </x:c>
      <x:c r="F170" s="2" t="n">
        <x:v>1</x:v>
      </x:c>
      <x:c r="G170" s="2" t="n">
        <x:v>0</x:v>
      </x:c>
      <x:c r="H170" s="2" t="n">
        <x:f>G170+Supuestos!$C$15</x:f>
        <x:v>1</x:v>
      </x:c>
      <x:c r="I170" s="14" t="n">
        <x:f>E2_plantas!J6+G170</x:f>
        <x:v>46174</x:v>
      </x:c>
      <x:c r="J170" s="2" t="str">
        <x:v>N1</x:v>
      </x:c>
      <x:c r="K170" s="2" t="n">
        <x:v>1</x:v>
      </x:c>
      <x:c r="L170" s="2" t="n">
        <x:v>0</x:v>
      </x:c>
      <x:c r="M170" s="2" t="n">
        <x:f>SUM(L$170:L170)</x:f>
        <x:v>0</x:v>
      </x:c>
      <x:c r="N170" s="2" t="n">
        <x:v>0</x:v>
      </x:c>
      <x:c r="O170" s="2" t="str">
        <x:v>seguimiento</x:v>
      </x:c>
      <x:c r="P170" s="2" t="n">
        <x:v>0</x:v>
      </x:c>
      <x:c r="Q170" s="2" t="str">
        <x:v>simulado_didactico</x:v>
      </x:c>
    </x:row>
    <x:row r="171" ht="19" customHeight="1">
      <x:c r="A171" s="2" t="str">
        <x:v>SIM-E2-MP-L7-R01</x:v>
      </x:c>
      <x:c r="B171" s="2" t="n">
        <x:v>1</x:v>
      </x:c>
      <x:c r="C171" s="2" t="str">
        <x:v>MP</x:v>
      </x:c>
      <x:c r="D171" s="2" t="str">
        <x:v>Myzus persicae</x:v>
      </x:c>
      <x:c r="E171" s="2" t="str">
        <x:v>L7</x:v>
      </x:c>
      <x:c r="F171" s="2" t="n">
        <x:v>1</x:v>
      </x:c>
      <x:c r="G171" s="2" t="n">
        <x:v>1</x:v>
      </x:c>
      <x:c r="H171" s="2" t="n">
        <x:f>G171+Supuestos!$C$15</x:f>
        <x:v>2</x:v>
      </x:c>
      <x:c r="I171" s="14" t="n">
        <x:f>E2_plantas!J6+G171</x:f>
        <x:v>46175</x:v>
      </x:c>
      <x:c r="J171" s="2" t="str">
        <x:v>N1</x:v>
      </x:c>
      <x:c r="K171" s="2" t="n">
        <x:v>1</x:v>
      </x:c>
      <x:c r="L171" s="2" t="n">
        <x:v>0</x:v>
      </x:c>
      <x:c r="M171" s="2" t="n">
        <x:f>SUM(L$170:L171)</x:f>
        <x:v>0</x:v>
      </x:c>
      <x:c r="N171" s="2" t="n">
        <x:v>0</x:v>
      </x:c>
      <x:c r="O171" s="2" t="str">
        <x:v>seguimiento</x:v>
      </x:c>
      <x:c r="P171" s="2" t="n">
        <x:v>0</x:v>
      </x:c>
      <x:c r="Q171" s="2" t="str">
        <x:v>simulado_didactico</x:v>
      </x:c>
    </x:row>
    <x:row r="172" ht="19" customHeight="1">
      <x:c r="A172" s="2" t="str">
        <x:v>SIM-E2-MP-L7-R01</x:v>
      </x:c>
      <x:c r="B172" s="2" t="n">
        <x:v>1</x:v>
      </x:c>
      <x:c r="C172" s="2" t="str">
        <x:v>MP</x:v>
      </x:c>
      <x:c r="D172" s="2" t="str">
        <x:v>Myzus persicae</x:v>
      </x:c>
      <x:c r="E172" s="2" t="str">
        <x:v>L7</x:v>
      </x:c>
      <x:c r="F172" s="2" t="n">
        <x:v>1</x:v>
      </x:c>
      <x:c r="G172" s="2" t="n">
        <x:v>2</x:v>
      </x:c>
      <x:c r="H172" s="2" t="n">
        <x:f>G172+Supuestos!$C$15</x:f>
        <x:v>3</x:v>
      </x:c>
      <x:c r="I172" s="14" t="n">
        <x:f>E2_plantas!J6+G172</x:f>
        <x:v>46176</x:v>
      </x:c>
      <x:c r="J172" s="2" t="str">
        <x:v>N2</x:v>
      </x:c>
      <x:c r="K172" s="2" t="n">
        <x:v>1</x:v>
      </x:c>
      <x:c r="L172" s="2" t="n">
        <x:v>0</x:v>
      </x:c>
      <x:c r="M172" s="2" t="n">
        <x:f>SUM(L$170:L172)</x:f>
        <x:v>0</x:v>
      </x:c>
      <x:c r="N172" s="2" t="n">
        <x:v>0</x:v>
      </x:c>
      <x:c r="O172" s="2" t="str">
        <x:v>seguimiento</x:v>
      </x:c>
      <x:c r="P172" s="2" t="n">
        <x:v>0</x:v>
      </x:c>
      <x:c r="Q172" s="2" t="str">
        <x:v>simulado_didactico</x:v>
      </x:c>
    </x:row>
    <x:row r="173" ht="19" customHeight="1">
      <x:c r="A173" s="2" t="str">
        <x:v>SIM-E2-MP-L7-R01</x:v>
      </x:c>
      <x:c r="B173" s="2" t="n">
        <x:v>1</x:v>
      </x:c>
      <x:c r="C173" s="2" t="str">
        <x:v>MP</x:v>
      </x:c>
      <x:c r="D173" s="2" t="str">
        <x:v>Myzus persicae</x:v>
      </x:c>
      <x:c r="E173" s="2" t="str">
        <x:v>L7</x:v>
      </x:c>
      <x:c r="F173" s="2" t="n">
        <x:v>1</x:v>
      </x:c>
      <x:c r="G173" s="2" t="n">
        <x:v>3</x:v>
      </x:c>
      <x:c r="H173" s="2" t="n">
        <x:f>G173+Supuestos!$C$15</x:f>
        <x:v>4</x:v>
      </x:c>
      <x:c r="I173" s="14" t="n">
        <x:f>E2_plantas!J6+G173</x:f>
        <x:v>46177</x:v>
      </x:c>
      <x:c r="J173" s="2" t="str">
        <x:v>N3</x:v>
      </x:c>
      <x:c r="K173" s="2" t="n">
        <x:v>1</x:v>
      </x:c>
      <x:c r="L173" s="2" t="n">
        <x:v>0</x:v>
      </x:c>
      <x:c r="M173" s="2" t="n">
        <x:f>SUM(L$170:L173)</x:f>
        <x:v>0</x:v>
      </x:c>
      <x:c r="N173" s="2" t="n">
        <x:v>0</x:v>
      </x:c>
      <x:c r="O173" s="2" t="str">
        <x:v>seguimiento</x:v>
      </x:c>
      <x:c r="P173" s="2" t="n">
        <x:v>0</x:v>
      </x:c>
      <x:c r="Q173" s="2" t="str">
        <x:v>simulado_didactico</x:v>
      </x:c>
    </x:row>
    <x:row r="174" ht="19" customHeight="1">
      <x:c r="A174" s="2" t="str">
        <x:v>SIM-E2-MP-L7-R01</x:v>
      </x:c>
      <x:c r="B174" s="2" t="n">
        <x:v>1</x:v>
      </x:c>
      <x:c r="C174" s="2" t="str">
        <x:v>MP</x:v>
      </x:c>
      <x:c r="D174" s="2" t="str">
        <x:v>Myzus persicae</x:v>
      </x:c>
      <x:c r="E174" s="2" t="str">
        <x:v>L7</x:v>
      </x:c>
      <x:c r="F174" s="2" t="n">
        <x:v>1</x:v>
      </x:c>
      <x:c r="G174" s="2" t="n">
        <x:v>4</x:v>
      </x:c>
      <x:c r="H174" s="2" t="n">
        <x:f>G174+Supuestos!$C$15</x:f>
        <x:v>5</x:v>
      </x:c>
      <x:c r="I174" s="14" t="n">
        <x:f>E2_plantas!J6+G174</x:f>
        <x:v>46178</x:v>
      </x:c>
      <x:c r="J174" s="2" t="str">
        <x:v>N3</x:v>
      </x:c>
      <x:c r="K174" s="2" t="n">
        <x:v>1</x:v>
      </x:c>
      <x:c r="L174" s="2" t="n">
        <x:v>0</x:v>
      </x:c>
      <x:c r="M174" s="2" t="n">
        <x:f>SUM(L$170:L174)</x:f>
        <x:v>0</x:v>
      </x:c>
      <x:c r="N174" s="2" t="n">
        <x:v>0</x:v>
      </x:c>
      <x:c r="O174" s="2" t="str">
        <x:v>seguimiento</x:v>
      </x:c>
      <x:c r="P174" s="2" t="n">
        <x:v>0</x:v>
      </x:c>
      <x:c r="Q174" s="2" t="str">
        <x:v>simulado_didactico</x:v>
      </x:c>
    </x:row>
    <x:row r="175" ht="19" customHeight="1">
      <x:c r="A175" s="2" t="str">
        <x:v>SIM-E2-MP-L7-R01</x:v>
      </x:c>
      <x:c r="B175" s="2" t="n">
        <x:v>1</x:v>
      </x:c>
      <x:c r="C175" s="2" t="str">
        <x:v>MP</x:v>
      </x:c>
      <x:c r="D175" s="2" t="str">
        <x:v>Myzus persicae</x:v>
      </x:c>
      <x:c r="E175" s="2" t="str">
        <x:v>L7</x:v>
      </x:c>
      <x:c r="F175" s="2" t="n">
        <x:v>1</x:v>
      </x:c>
      <x:c r="G175" s="2" t="n">
        <x:v>5</x:v>
      </x:c>
      <x:c r="H175" s="2" t="n">
        <x:f>G175+Supuestos!$C$15</x:f>
        <x:v>6</x:v>
      </x:c>
      <x:c r="I175" s="14" t="n">
        <x:f>E2_plantas!J6+G175</x:f>
        <x:v>46179</x:v>
      </x:c>
      <x:c r="J175" s="2" t="str">
        <x:v>N3</x:v>
      </x:c>
      <x:c r="K175" s="2" t="n">
        <x:v>1</x:v>
      </x:c>
      <x:c r="L175" s="2" t="n">
        <x:v>0</x:v>
      </x:c>
      <x:c r="M175" s="2" t="n">
        <x:f>SUM(L$170:L175)</x:f>
        <x:v>0</x:v>
      </x:c>
      <x:c r="N175" s="2" t="n">
        <x:v>0</x:v>
      </x:c>
      <x:c r="O175" s="2" t="str">
        <x:v>seguimiento</x:v>
      </x:c>
      <x:c r="P175" s="2" t="n">
        <x:v>0</x:v>
      </x:c>
      <x:c r="Q175" s="2" t="str">
        <x:v>simulado_didactico</x:v>
      </x:c>
    </x:row>
    <x:row r="176" ht="19" customHeight="1">
      <x:c r="A176" s="2" t="str">
        <x:v>SIM-E2-MP-L7-R01</x:v>
      </x:c>
      <x:c r="B176" s="2" t="n">
        <x:v>1</x:v>
      </x:c>
      <x:c r="C176" s="2" t="str">
        <x:v>MP</x:v>
      </x:c>
      <x:c r="D176" s="2" t="str">
        <x:v>Myzus persicae</x:v>
      </x:c>
      <x:c r="E176" s="2" t="str">
        <x:v>L7</x:v>
      </x:c>
      <x:c r="F176" s="2" t="n">
        <x:v>1</x:v>
      </x:c>
      <x:c r="G176" s="2" t="n">
        <x:v>6</x:v>
      </x:c>
      <x:c r="H176" s="2" t="n">
        <x:f>G176+Supuestos!$C$15</x:f>
        <x:v>7</x:v>
      </x:c>
      <x:c r="I176" s="14" t="n">
        <x:f>E2_plantas!J6+G176</x:f>
        <x:v>46180</x:v>
      </x:c>
      <x:c r="J176" s="2" t="str">
        <x:v>N4</x:v>
      </x:c>
      <x:c r="K176" s="2" t="n">
        <x:v>1</x:v>
      </x:c>
      <x:c r="L176" s="2" t="n">
        <x:v>0</x:v>
      </x:c>
      <x:c r="M176" s="2" t="n">
        <x:f>SUM(L$170:L176)</x:f>
        <x:v>0</x:v>
      </x:c>
      <x:c r="N176" s="2" t="n">
        <x:v>0</x:v>
      </x:c>
      <x:c r="O176" s="2" t="str">
        <x:v>seguimiento</x:v>
      </x:c>
      <x:c r="P176" s="2" t="n">
        <x:v>0</x:v>
      </x:c>
      <x:c r="Q176" s="2" t="str">
        <x:v>simulado_didactico</x:v>
      </x:c>
    </x:row>
    <x:row r="177" ht="19" customHeight="1">
      <x:c r="A177" s="2" t="str">
        <x:v>SIM-E2-MP-L7-R01</x:v>
      </x:c>
      <x:c r="B177" s="2" t="n">
        <x:v>1</x:v>
      </x:c>
      <x:c r="C177" s="2" t="str">
        <x:v>MP</x:v>
      </x:c>
      <x:c r="D177" s="2" t="str">
        <x:v>Myzus persicae</x:v>
      </x:c>
      <x:c r="E177" s="2" t="str">
        <x:v>L7</x:v>
      </x:c>
      <x:c r="F177" s="2" t="n">
        <x:v>1</x:v>
      </x:c>
      <x:c r="G177" s="2" t="n">
        <x:v>7</x:v>
      </x:c>
      <x:c r="H177" s="2" t="n">
        <x:f>G177+Supuestos!$C$15</x:f>
        <x:v>8</x:v>
      </x:c>
      <x:c r="I177" s="14" t="n">
        <x:f>E2_plantas!J6+G177</x:f>
        <x:v>46181</x:v>
      </x:c>
      <x:c r="J177" s="2" t="str">
        <x:v>muerta</x:v>
      </x:c>
      <x:c r="K177" s="2" t="n">
        <x:v>0</x:v>
      </x:c>
      <x:c r="L177" s="2" t="n">
        <x:v>0</x:v>
      </x:c>
      <x:c r="M177" s="2" t="n">
        <x:f>SUM(L$170:L177)</x:f>
        <x:v>0</x:v>
      </x:c>
      <x:c r="N177" s="2" t="n">
        <x:v>1</x:v>
      </x:c>
      <x:c r="O177" s="2" t="str">
        <x:v>muerte</x:v>
      </x:c>
      <x:c r="P177" s="2" t="n">
        <x:v>0</x:v>
      </x:c>
      <x:c r="Q177" s="2" t="str">
        <x:v>simulado_didactico</x:v>
      </x:c>
    </x:row>
    <x:row r="178" ht="19" customHeight="1">
      <x:c r="A178" s="2" t="str">
        <x:v>SIM-E2-MP-L7-R01</x:v>
      </x:c>
      <x:c r="B178" s="2" t="n">
        <x:v>1</x:v>
      </x:c>
      <x:c r="C178" s="2" t="str">
        <x:v>MP</x:v>
      </x:c>
      <x:c r="D178" s="2" t="str">
        <x:v>Myzus persicae</x:v>
      </x:c>
      <x:c r="E178" s="2" t="str">
        <x:v>L7</x:v>
      </x:c>
      <x:c r="F178" s="2" t="n">
        <x:v>1</x:v>
      </x:c>
      <x:c r="G178" s="2" t="n">
        <x:v>8</x:v>
      </x:c>
      <x:c r="H178" s="2" t="n">
        <x:f>G178+Supuestos!$C$15</x:f>
        <x:v>9</x:v>
      </x:c>
      <x:c r="I178" s="14" t="n">
        <x:f>E2_plantas!J6+G178</x:f>
        <x:v>46182</x:v>
      </x:c>
      <x:c r="J178" s="2" t="str">
        <x:v>muerta</x:v>
      </x:c>
      <x:c r="K178" s="2" t="n">
        <x:v>0</x:v>
      </x:c>
      <x:c r="L178" s="2" t="n">
        <x:v>0</x:v>
      </x:c>
      <x:c r="M178" s="2" t="n">
        <x:f>SUM(L$170:L178)</x:f>
        <x:v>0</x:v>
      </x:c>
      <x:c r="N178" s="2" t="n">
        <x:v>0</x:v>
      </x:c>
      <x:c r="O178" s="2" t="str">
        <x:v>relleno_postmuerte</x:v>
      </x:c>
      <x:c r="P178" s="2" t="n">
        <x:v>0</x:v>
      </x:c>
      <x:c r="Q178" s="2" t="str">
        <x:v>simulado_didactico</x:v>
      </x:c>
    </x:row>
    <x:row r="179" ht="19" customHeight="1">
      <x:c r="A179" s="2" t="str">
        <x:v>SIM-E2-MP-L7-R01</x:v>
      </x:c>
      <x:c r="B179" s="2" t="n">
        <x:v>1</x:v>
      </x:c>
      <x:c r="C179" s="2" t="str">
        <x:v>MP</x:v>
      </x:c>
      <x:c r="D179" s="2" t="str">
        <x:v>Myzus persicae</x:v>
      </x:c>
      <x:c r="E179" s="2" t="str">
        <x:v>L7</x:v>
      </x:c>
      <x:c r="F179" s="2" t="n">
        <x:v>1</x:v>
      </x:c>
      <x:c r="G179" s="2" t="n">
        <x:v>9</x:v>
      </x:c>
      <x:c r="H179" s="2" t="n">
        <x:f>G179+Supuestos!$C$15</x:f>
        <x:v>10</x:v>
      </x:c>
      <x:c r="I179" s="14" t="n">
        <x:f>E2_plantas!J6+G179</x:f>
        <x:v>46183</x:v>
      </x:c>
      <x:c r="J179" s="2" t="str">
        <x:v>muerta</x:v>
      </x:c>
      <x:c r="K179" s="2" t="n">
        <x:v>0</x:v>
      </x:c>
      <x:c r="L179" s="2" t="n">
        <x:v>0</x:v>
      </x:c>
      <x:c r="M179" s="2" t="n">
        <x:f>SUM(L$170:L179)</x:f>
        <x:v>0</x:v>
      </x:c>
      <x:c r="N179" s="2" t="n">
        <x:v>0</x:v>
      </x:c>
      <x:c r="O179" s="2" t="str">
        <x:v>relleno_postmuerte</x:v>
      </x:c>
      <x:c r="P179" s="2" t="n">
        <x:v>0</x:v>
      </x:c>
      <x:c r="Q179" s="2" t="str">
        <x:v>simulado_didactico</x:v>
      </x:c>
    </x:row>
    <x:row r="180" ht="19" customHeight="1">
      <x:c r="A180" s="2" t="str">
        <x:v>SIM-E2-MP-L7-R01</x:v>
      </x:c>
      <x:c r="B180" s="2" t="n">
        <x:v>1</x:v>
      </x:c>
      <x:c r="C180" s="2" t="str">
        <x:v>MP</x:v>
      </x:c>
      <x:c r="D180" s="2" t="str">
        <x:v>Myzus persicae</x:v>
      </x:c>
      <x:c r="E180" s="2" t="str">
        <x:v>L7</x:v>
      </x:c>
      <x:c r="F180" s="2" t="n">
        <x:v>1</x:v>
      </x:c>
      <x:c r="G180" s="2" t="n">
        <x:v>10</x:v>
      </x:c>
      <x:c r="H180" s="2" t="n">
        <x:f>G180+Supuestos!$C$15</x:f>
        <x:v>11</x:v>
      </x:c>
      <x:c r="I180" s="14" t="n">
        <x:f>E2_plantas!J6+G180</x:f>
        <x:v>46184</x:v>
      </x:c>
      <x:c r="J180" s="2" t="str">
        <x:v>muerta</x:v>
      </x:c>
      <x:c r="K180" s="2" t="n">
        <x:v>0</x:v>
      </x:c>
      <x:c r="L180" s="2" t="n">
        <x:v>0</x:v>
      </x:c>
      <x:c r="M180" s="2" t="n">
        <x:f>SUM(L$170:L180)</x:f>
        <x:v>0</x:v>
      </x:c>
      <x:c r="N180" s="2" t="n">
        <x:v>0</x:v>
      </x:c>
      <x:c r="O180" s="2" t="str">
        <x:v>relleno_postmuerte</x:v>
      </x:c>
      <x:c r="P180" s="2" t="n">
        <x:v>0</x:v>
      </x:c>
      <x:c r="Q180" s="2" t="str">
        <x:v>simulado_didactico</x:v>
      </x:c>
    </x:row>
    <x:row r="181" ht="19" customHeight="1">
      <x:c r="A181" s="2" t="str">
        <x:v>SIM-E2-MP-L7-R01</x:v>
      </x:c>
      <x:c r="B181" s="2" t="n">
        <x:v>1</x:v>
      </x:c>
      <x:c r="C181" s="2" t="str">
        <x:v>MP</x:v>
      </x:c>
      <x:c r="D181" s="2" t="str">
        <x:v>Myzus persicae</x:v>
      </x:c>
      <x:c r="E181" s="2" t="str">
        <x:v>L7</x:v>
      </x:c>
      <x:c r="F181" s="2" t="n">
        <x:v>1</x:v>
      </x:c>
      <x:c r="G181" s="2" t="n">
        <x:v>11</x:v>
      </x:c>
      <x:c r="H181" s="2" t="n">
        <x:f>G181+Supuestos!$C$15</x:f>
        <x:v>12</x:v>
      </x:c>
      <x:c r="I181" s="14" t="n">
        <x:f>E2_plantas!J6+G181</x:f>
        <x:v>46185</x:v>
      </x:c>
      <x:c r="J181" s="2" t="str">
        <x:v>muerta</x:v>
      </x:c>
      <x:c r="K181" s="2" t="n">
        <x:v>0</x:v>
      </x:c>
      <x:c r="L181" s="2" t="n">
        <x:v>0</x:v>
      </x:c>
      <x:c r="M181" s="2" t="n">
        <x:f>SUM(L$170:L181)</x:f>
        <x:v>0</x:v>
      </x:c>
      <x:c r="N181" s="2" t="n">
        <x:v>0</x:v>
      </x:c>
      <x:c r="O181" s="2" t="str">
        <x:v>relleno_postmuerte</x:v>
      </x:c>
      <x:c r="P181" s="2" t="n">
        <x:v>0</x:v>
      </x:c>
      <x:c r="Q181" s="2" t="str">
        <x:v>simulado_didactico</x:v>
      </x:c>
    </x:row>
    <x:row r="182" ht="19" customHeight="1">
      <x:c r="A182" s="2" t="str">
        <x:v>SIM-E2-MP-L7-R01</x:v>
      </x:c>
      <x:c r="B182" s="2" t="n">
        <x:v>1</x:v>
      </x:c>
      <x:c r="C182" s="2" t="str">
        <x:v>MP</x:v>
      </x:c>
      <x:c r="D182" s="2" t="str">
        <x:v>Myzus persicae</x:v>
      </x:c>
      <x:c r="E182" s="2" t="str">
        <x:v>L7</x:v>
      </x:c>
      <x:c r="F182" s="2" t="n">
        <x:v>1</x:v>
      </x:c>
      <x:c r="G182" s="2" t="n">
        <x:v>12</x:v>
      </x:c>
      <x:c r="H182" s="2" t="n">
        <x:f>G182+Supuestos!$C$15</x:f>
        <x:v>13</x:v>
      </x:c>
      <x:c r="I182" s="14" t="n">
        <x:f>E2_plantas!J6+G182</x:f>
        <x:v>46186</x:v>
      </x:c>
      <x:c r="J182" s="2" t="str">
        <x:v>muerta</x:v>
      </x:c>
      <x:c r="K182" s="2" t="n">
        <x:v>0</x:v>
      </x:c>
      <x:c r="L182" s="2" t="n">
        <x:v>0</x:v>
      </x:c>
      <x:c r="M182" s="2" t="n">
        <x:f>SUM(L$170:L182)</x:f>
        <x:v>0</x:v>
      </x:c>
      <x:c r="N182" s="2" t="n">
        <x:v>0</x:v>
      </x:c>
      <x:c r="O182" s="2" t="str">
        <x:v>relleno_postmuerte</x:v>
      </x:c>
      <x:c r="P182" s="2" t="n">
        <x:v>0</x:v>
      </x:c>
      <x:c r="Q182" s="2" t="str">
        <x:v>simulado_didactico</x:v>
      </x:c>
    </x:row>
    <x:row r="183" ht="19" customHeight="1">
      <x:c r="A183" s="2" t="str">
        <x:v>SIM-E2-MP-L7-R01</x:v>
      </x:c>
      <x:c r="B183" s="2" t="n">
        <x:v>1</x:v>
      </x:c>
      <x:c r="C183" s="2" t="str">
        <x:v>MP</x:v>
      </x:c>
      <x:c r="D183" s="2" t="str">
        <x:v>Myzus persicae</x:v>
      </x:c>
      <x:c r="E183" s="2" t="str">
        <x:v>L7</x:v>
      </x:c>
      <x:c r="F183" s="2" t="n">
        <x:v>1</x:v>
      </x:c>
      <x:c r="G183" s="2" t="n">
        <x:v>13</x:v>
      </x:c>
      <x:c r="H183" s="2" t="n">
        <x:f>G183+Supuestos!$C$15</x:f>
        <x:v>14</x:v>
      </x:c>
      <x:c r="I183" s="14" t="n">
        <x:f>E2_plantas!J6+G183</x:f>
        <x:v>46187</x:v>
      </x:c>
      <x:c r="J183" s="2" t="str">
        <x:v>muerta</x:v>
      </x:c>
      <x:c r="K183" s="2" t="n">
        <x:v>0</x:v>
      </x:c>
      <x:c r="L183" s="2" t="n">
        <x:v>0</x:v>
      </x:c>
      <x:c r="M183" s="2" t="n">
        <x:f>SUM(L$170:L183)</x:f>
        <x:v>0</x:v>
      </x:c>
      <x:c r="N183" s="2" t="n">
        <x:v>0</x:v>
      </x:c>
      <x:c r="O183" s="2" t="str">
        <x:v>relleno_postmuerte</x:v>
      </x:c>
      <x:c r="P183" s="2" t="n">
        <x:v>0</x:v>
      </x:c>
      <x:c r="Q183" s="2" t="str">
        <x:v>simulado_didactico</x:v>
      </x:c>
    </x:row>
    <x:row r="184" ht="19" customHeight="1">
      <x:c r="A184" s="2" t="str">
        <x:v>SIM-E2-MP-L7-R01</x:v>
      </x:c>
      <x:c r="B184" s="2" t="n">
        <x:v>1</x:v>
      </x:c>
      <x:c r="C184" s="2" t="str">
        <x:v>MP</x:v>
      </x:c>
      <x:c r="D184" s="2" t="str">
        <x:v>Myzus persicae</x:v>
      </x:c>
      <x:c r="E184" s="2" t="str">
        <x:v>L7</x:v>
      </x:c>
      <x:c r="F184" s="2" t="n">
        <x:v>1</x:v>
      </x:c>
      <x:c r="G184" s="2" t="n">
        <x:v>14</x:v>
      </x:c>
      <x:c r="H184" s="2" t="n">
        <x:f>G184+Supuestos!$C$15</x:f>
        <x:v>15</x:v>
      </x:c>
      <x:c r="I184" s="14" t="n">
        <x:f>E2_plantas!J6+G184</x:f>
        <x:v>46188</x:v>
      </x:c>
      <x:c r="J184" s="2" t="str">
        <x:v>muerta</x:v>
      </x:c>
      <x:c r="K184" s="2" t="n">
        <x:v>0</x:v>
      </x:c>
      <x:c r="L184" s="2" t="n">
        <x:v>0</x:v>
      </x:c>
      <x:c r="M184" s="2" t="n">
        <x:f>SUM(L$170:L184)</x:f>
        <x:v>0</x:v>
      </x:c>
      <x:c r="N184" s="2" t="n">
        <x:v>0</x:v>
      </x:c>
      <x:c r="O184" s="2" t="str">
        <x:v>relleno_postmuerte</x:v>
      </x:c>
      <x:c r="P184" s="2" t="n">
        <x:v>0</x:v>
      </x:c>
      <x:c r="Q184" s="2" t="str">
        <x:v>simulado_didactico</x:v>
      </x:c>
    </x:row>
    <x:row r="185" ht="19" customHeight="1">
      <x:c r="A185" s="2" t="str">
        <x:v>SIM-E2-MP-L7-R01</x:v>
      </x:c>
      <x:c r="B185" s="2" t="n">
        <x:v>1</x:v>
      </x:c>
      <x:c r="C185" s="2" t="str">
        <x:v>MP</x:v>
      </x:c>
      <x:c r="D185" s="2" t="str">
        <x:v>Myzus persicae</x:v>
      </x:c>
      <x:c r="E185" s="2" t="str">
        <x:v>L7</x:v>
      </x:c>
      <x:c r="F185" s="2" t="n">
        <x:v>1</x:v>
      </x:c>
      <x:c r="G185" s="2" t="n">
        <x:v>15</x:v>
      </x:c>
      <x:c r="H185" s="2" t="n">
        <x:f>G185+Supuestos!$C$15</x:f>
        <x:v>16</x:v>
      </x:c>
      <x:c r="I185" s="14" t="n">
        <x:f>E2_plantas!J6+G185</x:f>
        <x:v>46189</x:v>
      </x:c>
      <x:c r="J185" s="2" t="str">
        <x:v>muerta</x:v>
      </x:c>
      <x:c r="K185" s="2" t="n">
        <x:v>0</x:v>
      </x:c>
      <x:c r="L185" s="2" t="n">
        <x:v>0</x:v>
      </x:c>
      <x:c r="M185" s="2" t="n">
        <x:f>SUM(L$170:L185)</x:f>
        <x:v>0</x:v>
      </x:c>
      <x:c r="N185" s="2" t="n">
        <x:v>0</x:v>
      </x:c>
      <x:c r="O185" s="2" t="str">
        <x:v>relleno_postmuerte</x:v>
      </x:c>
      <x:c r="P185" s="2" t="n">
        <x:v>0</x:v>
      </x:c>
      <x:c r="Q185" s="2" t="str">
        <x:v>simulado_didactico</x:v>
      </x:c>
    </x:row>
    <x:row r="186" ht="19" customHeight="1">
      <x:c r="A186" s="2" t="str">
        <x:v>SIM-E2-MP-L7-R01</x:v>
      </x:c>
      <x:c r="B186" s="2" t="n">
        <x:v>1</x:v>
      </x:c>
      <x:c r="C186" s="2" t="str">
        <x:v>MP</x:v>
      </x:c>
      <x:c r="D186" s="2" t="str">
        <x:v>Myzus persicae</x:v>
      </x:c>
      <x:c r="E186" s="2" t="str">
        <x:v>L7</x:v>
      </x:c>
      <x:c r="F186" s="2" t="n">
        <x:v>1</x:v>
      </x:c>
      <x:c r="G186" s="2" t="n">
        <x:v>16</x:v>
      </x:c>
      <x:c r="H186" s="2" t="n">
        <x:f>G186+Supuestos!$C$15</x:f>
        <x:v>17</x:v>
      </x:c>
      <x:c r="I186" s="14" t="n">
        <x:f>E2_plantas!J6+G186</x:f>
        <x:v>46190</x:v>
      </x:c>
      <x:c r="J186" s="2" t="str">
        <x:v>muerta</x:v>
      </x:c>
      <x:c r="K186" s="2" t="n">
        <x:v>0</x:v>
      </x:c>
      <x:c r="L186" s="2" t="n">
        <x:v>0</x:v>
      </x:c>
      <x:c r="M186" s="2" t="n">
        <x:f>SUM(L$170:L186)</x:f>
        <x:v>0</x:v>
      </x:c>
      <x:c r="N186" s="2" t="n">
        <x:v>0</x:v>
      </x:c>
      <x:c r="O186" s="2" t="str">
        <x:v>relleno_postmuerte</x:v>
      </x:c>
      <x:c r="P186" s="2" t="n">
        <x:v>0</x:v>
      </x:c>
      <x:c r="Q186" s="2" t="str">
        <x:v>simulado_didactico</x:v>
      </x:c>
    </x:row>
    <x:row r="187" ht="19" customHeight="1">
      <x:c r="A187" s="2" t="str">
        <x:v>SIM-E2-MP-L7-R01</x:v>
      </x:c>
      <x:c r="B187" s="2" t="n">
        <x:v>1</x:v>
      </x:c>
      <x:c r="C187" s="2" t="str">
        <x:v>MP</x:v>
      </x:c>
      <x:c r="D187" s="2" t="str">
        <x:v>Myzus persicae</x:v>
      </x:c>
      <x:c r="E187" s="2" t="str">
        <x:v>L7</x:v>
      </x:c>
      <x:c r="F187" s="2" t="n">
        <x:v>1</x:v>
      </x:c>
      <x:c r="G187" s="2" t="n">
        <x:v>17</x:v>
      </x:c>
      <x:c r="H187" s="2" t="n">
        <x:f>G187+Supuestos!$C$15</x:f>
        <x:v>18</x:v>
      </x:c>
      <x:c r="I187" s="14" t="n">
        <x:f>E2_plantas!J6+G187</x:f>
        <x:v>46191</x:v>
      </x:c>
      <x:c r="J187" s="2" t="str">
        <x:v>muerta</x:v>
      </x:c>
      <x:c r="K187" s="2" t="n">
        <x:v>0</x:v>
      </x:c>
      <x:c r="L187" s="2" t="n">
        <x:v>0</x:v>
      </x:c>
      <x:c r="M187" s="2" t="n">
        <x:f>SUM(L$170:L187)</x:f>
        <x:v>0</x:v>
      </x:c>
      <x:c r="N187" s="2" t="n">
        <x:v>0</x:v>
      </x:c>
      <x:c r="O187" s="2" t="str">
        <x:v>relleno_postmuerte</x:v>
      </x:c>
      <x:c r="P187" s="2" t="n">
        <x:v>0</x:v>
      </x:c>
      <x:c r="Q187" s="2" t="str">
        <x:v>simulado_didactico</x:v>
      </x:c>
    </x:row>
    <x:row r="188" ht="19" customHeight="1">
      <x:c r="A188" s="2" t="str">
        <x:v>SIM-E2-MP-L7-R01</x:v>
      </x:c>
      <x:c r="B188" s="2" t="n">
        <x:v>1</x:v>
      </x:c>
      <x:c r="C188" s="2" t="str">
        <x:v>MP</x:v>
      </x:c>
      <x:c r="D188" s="2" t="str">
        <x:v>Myzus persicae</x:v>
      </x:c>
      <x:c r="E188" s="2" t="str">
        <x:v>L7</x:v>
      </x:c>
      <x:c r="F188" s="2" t="n">
        <x:v>1</x:v>
      </x:c>
      <x:c r="G188" s="2" t="n">
        <x:v>18</x:v>
      </x:c>
      <x:c r="H188" s="2" t="n">
        <x:f>G188+Supuestos!$C$15</x:f>
        <x:v>19</x:v>
      </x:c>
      <x:c r="I188" s="14" t="n">
        <x:f>E2_plantas!J6+G188</x:f>
        <x:v>46192</x:v>
      </x:c>
      <x:c r="J188" s="2" t="str">
        <x:v>muerta</x:v>
      </x:c>
      <x:c r="K188" s="2" t="n">
        <x:v>0</x:v>
      </x:c>
      <x:c r="L188" s="2" t="n">
        <x:v>0</x:v>
      </x:c>
      <x:c r="M188" s="2" t="n">
        <x:f>SUM(L$170:L188)</x:f>
        <x:v>0</x:v>
      </x:c>
      <x:c r="N188" s="2" t="n">
        <x:v>0</x:v>
      </x:c>
      <x:c r="O188" s="2" t="str">
        <x:v>relleno_postmuerte</x:v>
      </x:c>
      <x:c r="P188" s="2" t="n">
        <x:v>0</x:v>
      </x:c>
      <x:c r="Q188" s="2" t="str">
        <x:v>simulado_didactico</x:v>
      </x:c>
    </x:row>
    <x:row r="189" ht="19" customHeight="1">
      <x:c r="A189" s="2" t="str">
        <x:v>SIM-E2-MP-L7-R01</x:v>
      </x:c>
      <x:c r="B189" s="2" t="n">
        <x:v>1</x:v>
      </x:c>
      <x:c r="C189" s="2" t="str">
        <x:v>MP</x:v>
      </x:c>
      <x:c r="D189" s="2" t="str">
        <x:v>Myzus persicae</x:v>
      </x:c>
      <x:c r="E189" s="2" t="str">
        <x:v>L7</x:v>
      </x:c>
      <x:c r="F189" s="2" t="n">
        <x:v>1</x:v>
      </x:c>
      <x:c r="G189" s="2" t="n">
        <x:v>19</x:v>
      </x:c>
      <x:c r="H189" s="2" t="n">
        <x:f>G189+Supuestos!$C$15</x:f>
        <x:v>20</x:v>
      </x:c>
      <x:c r="I189" s="14" t="n">
        <x:f>E2_plantas!J6+G189</x:f>
        <x:v>46193</x:v>
      </x:c>
      <x:c r="J189" s="2" t="str">
        <x:v>muerta</x:v>
      </x:c>
      <x:c r="K189" s="2" t="n">
        <x:v>0</x:v>
      </x:c>
      <x:c r="L189" s="2" t="n">
        <x:v>0</x:v>
      </x:c>
      <x:c r="M189" s="2" t="n">
        <x:f>SUM(L$170:L189)</x:f>
        <x:v>0</x:v>
      </x:c>
      <x:c r="N189" s="2" t="n">
        <x:v>0</x:v>
      </x:c>
      <x:c r="O189" s="2" t="str">
        <x:v>relleno_postmuerte</x:v>
      </x:c>
      <x:c r="P189" s="2" t="n">
        <x:v>0</x:v>
      </x:c>
      <x:c r="Q189" s="2" t="str">
        <x:v>simulado_didactico</x:v>
      </x:c>
    </x:row>
    <x:row r="190" ht="19" customHeight="1">
      <x:c r="A190" s="2" t="str">
        <x:v>SIM-E2-MP-L7-R01</x:v>
      </x:c>
      <x:c r="B190" s="2" t="n">
        <x:v>1</x:v>
      </x:c>
      <x:c r="C190" s="2" t="str">
        <x:v>MP</x:v>
      </x:c>
      <x:c r="D190" s="2" t="str">
        <x:v>Myzus persicae</x:v>
      </x:c>
      <x:c r="E190" s="2" t="str">
        <x:v>L7</x:v>
      </x:c>
      <x:c r="F190" s="2" t="n">
        <x:v>1</x:v>
      </x:c>
      <x:c r="G190" s="2" t="n">
        <x:v>20</x:v>
      </x:c>
      <x:c r="H190" s="2" t="n">
        <x:f>G190+Supuestos!$C$15</x:f>
        <x:v>21</x:v>
      </x:c>
      <x:c r="I190" s="14" t="n">
        <x:f>E2_plantas!J6+G190</x:f>
        <x:v>46194</x:v>
      </x:c>
      <x:c r="J190" s="2" t="str">
        <x:v>muerta</x:v>
      </x:c>
      <x:c r="K190" s="2" t="n">
        <x:v>0</x:v>
      </x:c>
      <x:c r="L190" s="2" t="n">
        <x:v>0</x:v>
      </x:c>
      <x:c r="M190" s="2" t="n">
        <x:f>SUM(L$170:L190)</x:f>
        <x:v>0</x:v>
      </x:c>
      <x:c r="N190" s="2" t="n">
        <x:v>0</x:v>
      </x:c>
      <x:c r="O190" s="2" t="str">
        <x:v>relleno_postmuerte</x:v>
      </x:c>
      <x:c r="P190" s="2" t="n">
        <x:v>0</x:v>
      </x:c>
      <x:c r="Q190" s="2" t="str">
        <x:v>simulado_didactico</x:v>
      </x:c>
    </x:row>
    <x:row r="191" ht="19" customHeight="1">
      <x:c r="A191" s="2" t="str">
        <x:v>SIM-E2-MP-L7-R01</x:v>
      </x:c>
      <x:c r="B191" s="2" t="n">
        <x:v>1</x:v>
      </x:c>
      <x:c r="C191" s="2" t="str">
        <x:v>MP</x:v>
      </x:c>
      <x:c r="D191" s="2" t="str">
        <x:v>Myzus persicae</x:v>
      </x:c>
      <x:c r="E191" s="2" t="str">
        <x:v>L7</x:v>
      </x:c>
      <x:c r="F191" s="2" t="n">
        <x:v>1</x:v>
      </x:c>
      <x:c r="G191" s="2" t="n">
        <x:v>21</x:v>
      </x:c>
      <x:c r="H191" s="2" t="n">
        <x:f>G191+Supuestos!$C$15</x:f>
        <x:v>22</x:v>
      </x:c>
      <x:c r="I191" s="14" t="n">
        <x:f>E2_plantas!J6+G191</x:f>
        <x:v>46195</x:v>
      </x:c>
      <x:c r="J191" s="2" t="str">
        <x:v>muerta</x:v>
      </x:c>
      <x:c r="K191" s="2" t="n">
        <x:v>0</x:v>
      </x:c>
      <x:c r="L191" s="2" t="n">
        <x:v>0</x:v>
      </x:c>
      <x:c r="M191" s="2" t="n">
        <x:f>SUM(L$170:L191)</x:f>
        <x:v>0</x:v>
      </x:c>
      <x:c r="N191" s="2" t="n">
        <x:v>0</x:v>
      </x:c>
      <x:c r="O191" s="2" t="str">
        <x:v>relleno_postmuerte</x:v>
      </x:c>
      <x:c r="P191" s="2" t="n">
        <x:v>0</x:v>
      </x:c>
      <x:c r="Q191" s="2" t="str">
        <x:v>simulado_didactico</x:v>
      </x:c>
    </x:row>
    <x:row r="192" ht="19" customHeight="1">
      <x:c r="A192" s="2" t="str">
        <x:v>SIM-E2-MP-L7-R01</x:v>
      </x:c>
      <x:c r="B192" s="2" t="n">
        <x:v>1</x:v>
      </x:c>
      <x:c r="C192" s="2" t="str">
        <x:v>MP</x:v>
      </x:c>
      <x:c r="D192" s="2" t="str">
        <x:v>Myzus persicae</x:v>
      </x:c>
      <x:c r="E192" s="2" t="str">
        <x:v>L7</x:v>
      </x:c>
      <x:c r="F192" s="2" t="n">
        <x:v>1</x:v>
      </x:c>
      <x:c r="G192" s="2" t="n">
        <x:v>22</x:v>
      </x:c>
      <x:c r="H192" s="2" t="n">
        <x:f>G192+Supuestos!$C$15</x:f>
        <x:v>23</x:v>
      </x:c>
      <x:c r="I192" s="14" t="n">
        <x:f>E2_plantas!J6+G192</x:f>
        <x:v>46196</x:v>
      </x:c>
      <x:c r="J192" s="2" t="str">
        <x:v>muerta</x:v>
      </x:c>
      <x:c r="K192" s="2" t="n">
        <x:v>0</x:v>
      </x:c>
      <x:c r="L192" s="2" t="n">
        <x:v>0</x:v>
      </x:c>
      <x:c r="M192" s="2" t="n">
        <x:f>SUM(L$170:L192)</x:f>
        <x:v>0</x:v>
      </x:c>
      <x:c r="N192" s="2" t="n">
        <x:v>0</x:v>
      </x:c>
      <x:c r="O192" s="2" t="str">
        <x:v>relleno_postmuerte</x:v>
      </x:c>
      <x:c r="P192" s="2" t="n">
        <x:v>0</x:v>
      </x:c>
      <x:c r="Q192" s="2" t="str">
        <x:v>simulado_didactico</x:v>
      </x:c>
    </x:row>
    <x:row r="193" ht="19" customHeight="1">
      <x:c r="A193" s="2" t="str">
        <x:v>SIM-E2-MP-L7-R01</x:v>
      </x:c>
      <x:c r="B193" s="2" t="n">
        <x:v>1</x:v>
      </x:c>
      <x:c r="C193" s="2" t="str">
        <x:v>MP</x:v>
      </x:c>
      <x:c r="D193" s="2" t="str">
        <x:v>Myzus persicae</x:v>
      </x:c>
      <x:c r="E193" s="2" t="str">
        <x:v>L7</x:v>
      </x:c>
      <x:c r="F193" s="2" t="n">
        <x:v>1</x:v>
      </x:c>
      <x:c r="G193" s="2" t="n">
        <x:v>23</x:v>
      </x:c>
      <x:c r="H193" s="2" t="n">
        <x:f>G193+Supuestos!$C$15</x:f>
        <x:v>24</x:v>
      </x:c>
      <x:c r="I193" s="14" t="n">
        <x:f>E2_plantas!J6+G193</x:f>
        <x:v>46197</x:v>
      </x:c>
      <x:c r="J193" s="2" t="str">
        <x:v>muerta</x:v>
      </x:c>
      <x:c r="K193" s="2" t="n">
        <x:v>0</x:v>
      </x:c>
      <x:c r="L193" s="2" t="n">
        <x:v>0</x:v>
      </x:c>
      <x:c r="M193" s="2" t="n">
        <x:f>SUM(L$170:L193)</x:f>
        <x:v>0</x:v>
      </x:c>
      <x:c r="N193" s="2" t="n">
        <x:v>0</x:v>
      </x:c>
      <x:c r="O193" s="2" t="str">
        <x:v>relleno_postmuerte</x:v>
      </x:c>
      <x:c r="P193" s="2" t="n">
        <x:v>0</x:v>
      </x:c>
      <x:c r="Q193" s="2" t="str">
        <x:v>simulado_didactico</x:v>
      </x:c>
    </x:row>
    <x:row r="194" ht="19" customHeight="1">
      <x:c r="A194" s="2" t="str">
        <x:v>SIM-E2-MP-L7-R01</x:v>
      </x:c>
      <x:c r="B194" s="2" t="n">
        <x:v>1</x:v>
      </x:c>
      <x:c r="C194" s="2" t="str">
        <x:v>MP</x:v>
      </x:c>
      <x:c r="D194" s="2" t="str">
        <x:v>Myzus persicae</x:v>
      </x:c>
      <x:c r="E194" s="2" t="str">
        <x:v>L7</x:v>
      </x:c>
      <x:c r="F194" s="2" t="n">
        <x:v>1</x:v>
      </x:c>
      <x:c r="G194" s="2" t="n">
        <x:v>24</x:v>
      </x:c>
      <x:c r="H194" s="2" t="n">
        <x:f>G194+Supuestos!$C$15</x:f>
        <x:v>25</x:v>
      </x:c>
      <x:c r="I194" s="14" t="n">
        <x:f>E2_plantas!J6+G194</x:f>
        <x:v>46198</x:v>
      </x:c>
      <x:c r="J194" s="2" t="str">
        <x:v>muerta</x:v>
      </x:c>
      <x:c r="K194" s="2" t="n">
        <x:v>0</x:v>
      </x:c>
      <x:c r="L194" s="2" t="n">
        <x:v>0</x:v>
      </x:c>
      <x:c r="M194" s="2" t="n">
        <x:f>SUM(L$170:L194)</x:f>
        <x:v>0</x:v>
      </x:c>
      <x:c r="N194" s="2" t="n">
        <x:v>0</x:v>
      </x:c>
      <x:c r="O194" s="2" t="str">
        <x:v>relleno_postmuerte</x:v>
      </x:c>
      <x:c r="P194" s="2" t="n">
        <x:v>0</x:v>
      </x:c>
      <x:c r="Q194" s="2" t="str">
        <x:v>simulado_didactico</x:v>
      </x:c>
    </x:row>
    <x:row r="195" ht="19" customHeight="1">
      <x:c r="A195" s="2" t="str">
        <x:v>SIM-E2-MP-L7-R01</x:v>
      </x:c>
      <x:c r="B195" s="2" t="n">
        <x:v>1</x:v>
      </x:c>
      <x:c r="C195" s="2" t="str">
        <x:v>MP</x:v>
      </x:c>
      <x:c r="D195" s="2" t="str">
        <x:v>Myzus persicae</x:v>
      </x:c>
      <x:c r="E195" s="2" t="str">
        <x:v>L7</x:v>
      </x:c>
      <x:c r="F195" s="2" t="n">
        <x:v>1</x:v>
      </x:c>
      <x:c r="G195" s="2" t="n">
        <x:v>25</x:v>
      </x:c>
      <x:c r="H195" s="2" t="n">
        <x:f>G195+Supuestos!$C$15</x:f>
        <x:v>26</x:v>
      </x:c>
      <x:c r="I195" s="14" t="n">
        <x:f>E2_plantas!J6+G195</x:f>
        <x:v>46199</x:v>
      </x:c>
      <x:c r="J195" s="2" t="str">
        <x:v>muerta</x:v>
      </x:c>
      <x:c r="K195" s="2" t="n">
        <x:v>0</x:v>
      </x:c>
      <x:c r="L195" s="2" t="n">
        <x:v>0</x:v>
      </x:c>
      <x:c r="M195" s="2" t="n">
        <x:f>SUM(L$170:L195)</x:f>
        <x:v>0</x:v>
      </x:c>
      <x:c r="N195" s="2" t="n">
        <x:v>0</x:v>
      </x:c>
      <x:c r="O195" s="2" t="str">
        <x:v>relleno_postmuerte</x:v>
      </x:c>
      <x:c r="P195" s="2" t="n">
        <x:v>0</x:v>
      </x:c>
      <x:c r="Q195" s="2" t="str">
        <x:v>simulado_didactico</x:v>
      </x:c>
    </x:row>
    <x:row r="196" ht="19" customHeight="1">
      <x:c r="A196" s="2" t="str">
        <x:v>SIM-E2-MP-L7-R01</x:v>
      </x:c>
      <x:c r="B196" s="2" t="n">
        <x:v>1</x:v>
      </x:c>
      <x:c r="C196" s="2" t="str">
        <x:v>MP</x:v>
      </x:c>
      <x:c r="D196" s="2" t="str">
        <x:v>Myzus persicae</x:v>
      </x:c>
      <x:c r="E196" s="2" t="str">
        <x:v>L7</x:v>
      </x:c>
      <x:c r="F196" s="2" t="n">
        <x:v>1</x:v>
      </x:c>
      <x:c r="G196" s="2" t="n">
        <x:v>26</x:v>
      </x:c>
      <x:c r="H196" s="2" t="n">
        <x:f>G196+Supuestos!$C$15</x:f>
        <x:v>27</x:v>
      </x:c>
      <x:c r="I196" s="14" t="n">
        <x:f>E2_plantas!J6+G196</x:f>
        <x:v>46200</x:v>
      </x:c>
      <x:c r="J196" s="2" t="str">
        <x:v>muerta</x:v>
      </x:c>
      <x:c r="K196" s="2" t="n">
        <x:v>0</x:v>
      </x:c>
      <x:c r="L196" s="2" t="n">
        <x:v>0</x:v>
      </x:c>
      <x:c r="M196" s="2" t="n">
        <x:f>SUM(L$170:L196)</x:f>
        <x:v>0</x:v>
      </x:c>
      <x:c r="N196" s="2" t="n">
        <x:v>0</x:v>
      </x:c>
      <x:c r="O196" s="2" t="str">
        <x:v>relleno_postmuerte</x:v>
      </x:c>
      <x:c r="P196" s="2" t="n">
        <x:v>0</x:v>
      </x:c>
      <x:c r="Q196" s="2" t="str">
        <x:v>simulado_didactico</x:v>
      </x:c>
    </x:row>
    <x:row r="197" ht="19" customHeight="1">
      <x:c r="A197" s="2" t="str">
        <x:v>SIM-E2-MP-L7-R01</x:v>
      </x:c>
      <x:c r="B197" s="2" t="n">
        <x:v>1</x:v>
      </x:c>
      <x:c r="C197" s="2" t="str">
        <x:v>MP</x:v>
      </x:c>
      <x:c r="D197" s="2" t="str">
        <x:v>Myzus persicae</x:v>
      </x:c>
      <x:c r="E197" s="2" t="str">
        <x:v>L7</x:v>
      </x:c>
      <x:c r="F197" s="2" t="n">
        <x:v>1</x:v>
      </x:c>
      <x:c r="G197" s="2" t="n">
        <x:v>27</x:v>
      </x:c>
      <x:c r="H197" s="2" t="n">
        <x:f>G197+Supuestos!$C$15</x:f>
        <x:v>28</x:v>
      </x:c>
      <x:c r="I197" s="14" t="n">
        <x:f>E2_plantas!J6+G197</x:f>
        <x:v>46201</x:v>
      </x:c>
      <x:c r="J197" s="2" t="str">
        <x:v>muerta</x:v>
      </x:c>
      <x:c r="K197" s="2" t="n">
        <x:v>0</x:v>
      </x:c>
      <x:c r="L197" s="2" t="n">
        <x:v>0</x:v>
      </x:c>
      <x:c r="M197" s="2" t="n">
        <x:f>SUM(L$170:L197)</x:f>
        <x:v>0</x:v>
      </x:c>
      <x:c r="N197" s="2" t="n">
        <x:v>0</x:v>
      </x:c>
      <x:c r="O197" s="2" t="str">
        <x:v>relleno_postmuerte</x:v>
      </x:c>
      <x:c r="P197" s="2" t="n">
        <x:v>0</x:v>
      </x:c>
      <x:c r="Q197" s="2" t="str">
        <x:v>simulado_didactico</x:v>
      </x:c>
    </x:row>
    <x:row r="198" ht="19" customHeight="1">
      <x:c r="A198" s="2" t="str">
        <x:v>SIM-E2-MP-L7-R01</x:v>
      </x:c>
      <x:c r="B198" s="2" t="n">
        <x:v>1</x:v>
      </x:c>
      <x:c r="C198" s="2" t="str">
        <x:v>MP</x:v>
      </x:c>
      <x:c r="D198" s="2" t="str">
        <x:v>Myzus persicae</x:v>
      </x:c>
      <x:c r="E198" s="2" t="str">
        <x:v>L7</x:v>
      </x:c>
      <x:c r="F198" s="2" t="n">
        <x:v>1</x:v>
      </x:c>
      <x:c r="G198" s="2" t="n">
        <x:v>28</x:v>
      </x:c>
      <x:c r="H198" s="2" t="n">
        <x:f>G198+Supuestos!$C$15</x:f>
        <x:v>29</x:v>
      </x:c>
      <x:c r="I198" s="14" t="n">
        <x:f>E2_plantas!J6+G198</x:f>
        <x:v>46202</x:v>
      </x:c>
      <x:c r="J198" s="2" t="str">
        <x:v>muerta</x:v>
      </x:c>
      <x:c r="K198" s="2" t="n">
        <x:v>0</x:v>
      </x:c>
      <x:c r="L198" s="2" t="n">
        <x:v>0</x:v>
      </x:c>
      <x:c r="M198" s="2" t="n">
        <x:f>SUM(L$170:L198)</x:f>
        <x:v>0</x:v>
      </x:c>
      <x:c r="N198" s="2" t="n">
        <x:v>0</x:v>
      </x:c>
      <x:c r="O198" s="2" t="str">
        <x:v>relleno_postmuerte</x:v>
      </x:c>
      <x:c r="P198" s="2" t="n">
        <x:v>0</x:v>
      </x:c>
      <x:c r="Q198" s="2" t="str">
        <x:v>simulado_didactico</x:v>
      </x:c>
    </x:row>
    <x:row r="199" ht="19" customHeight="1">
      <x:c r="A199" s="2" t="str">
        <x:v>SIM-E2-MP-L7-R01</x:v>
      </x:c>
      <x:c r="B199" s="2" t="n">
        <x:v>1</x:v>
      </x:c>
      <x:c r="C199" s="2" t="str">
        <x:v>MP</x:v>
      </x:c>
      <x:c r="D199" s="2" t="str">
        <x:v>Myzus persicae</x:v>
      </x:c>
      <x:c r="E199" s="2" t="str">
        <x:v>L7</x:v>
      </x:c>
      <x:c r="F199" s="2" t="n">
        <x:v>1</x:v>
      </x:c>
      <x:c r="G199" s="2" t="n">
        <x:v>29</x:v>
      </x:c>
      <x:c r="H199" s="2" t="n">
        <x:f>G199+Supuestos!$C$15</x:f>
        <x:v>30</x:v>
      </x:c>
      <x:c r="I199" s="14" t="n">
        <x:f>E2_plantas!J6+G199</x:f>
        <x:v>46203</x:v>
      </x:c>
      <x:c r="J199" s="2" t="str">
        <x:v>muerta</x:v>
      </x:c>
      <x:c r="K199" s="2" t="n">
        <x:v>0</x:v>
      </x:c>
      <x:c r="L199" s="2" t="n">
        <x:v>0</x:v>
      </x:c>
      <x:c r="M199" s="2" t="n">
        <x:f>SUM(L$170:L199)</x:f>
        <x:v>0</x:v>
      </x:c>
      <x:c r="N199" s="2" t="n">
        <x:v>0</x:v>
      </x:c>
      <x:c r="O199" s="2" t="str">
        <x:v>relleno_postmuerte</x:v>
      </x:c>
      <x:c r="P199" s="2" t="n">
        <x:v>0</x:v>
      </x:c>
      <x:c r="Q199" s="2" t="str">
        <x:v>simulado_didactico</x:v>
      </x:c>
    </x:row>
    <x:row r="200" ht="19" customHeight="1">
      <x:c r="A200" s="2" t="str">
        <x:v>SIM-E2-MP-L7-R01</x:v>
      </x:c>
      <x:c r="B200" s="2" t="n">
        <x:v>1</x:v>
      </x:c>
      <x:c r="C200" s="2" t="str">
        <x:v>MP</x:v>
      </x:c>
      <x:c r="D200" s="2" t="str">
        <x:v>Myzus persicae</x:v>
      </x:c>
      <x:c r="E200" s="2" t="str">
        <x:v>L7</x:v>
      </x:c>
      <x:c r="F200" s="2" t="n">
        <x:v>1</x:v>
      </x:c>
      <x:c r="G200" s="2" t="n">
        <x:v>30</x:v>
      </x:c>
      <x:c r="H200" s="2" t="n">
        <x:f>G200+Supuestos!$C$15</x:f>
        <x:v>31</x:v>
      </x:c>
      <x:c r="I200" s="14" t="n">
        <x:f>E2_plantas!J6+G200</x:f>
        <x:v>46204</x:v>
      </x:c>
      <x:c r="J200" s="2" t="str">
        <x:v>muerta</x:v>
      </x:c>
      <x:c r="K200" s="2" t="n">
        <x:v>0</x:v>
      </x:c>
      <x:c r="L200" s="2" t="n">
        <x:v>0</x:v>
      </x:c>
      <x:c r="M200" s="2" t="n">
        <x:f>SUM(L$170:L200)</x:f>
        <x:v>0</x:v>
      </x:c>
      <x:c r="N200" s="2" t="n">
        <x:v>0</x:v>
      </x:c>
      <x:c r="O200" s="2" t="str">
        <x:v>relleno_postmuerte</x:v>
      </x:c>
      <x:c r="P200" s="2" t="n">
        <x:v>0</x:v>
      </x:c>
      <x:c r="Q200" s="2" t="str">
        <x:v>simulado_didactico</x:v>
      </x:c>
    </x:row>
    <x:row r="201" ht="19" customHeight="1">
      <x:c r="A201" s="2" t="str">
        <x:v>SIM-E2-MP-L7-R01</x:v>
      </x:c>
      <x:c r="B201" s="2" t="n">
        <x:v>1</x:v>
      </x:c>
      <x:c r="C201" s="2" t="str">
        <x:v>MP</x:v>
      </x:c>
      <x:c r="D201" s="2" t="str">
        <x:v>Myzus persicae</x:v>
      </x:c>
      <x:c r="E201" s="2" t="str">
        <x:v>L7</x:v>
      </x:c>
      <x:c r="F201" s="2" t="n">
        <x:v>1</x:v>
      </x:c>
      <x:c r="G201" s="2" t="n">
        <x:v>31</x:v>
      </x:c>
      <x:c r="H201" s="2" t="n">
        <x:f>G201+Supuestos!$C$15</x:f>
        <x:v>32</x:v>
      </x:c>
      <x:c r="I201" s="14" t="n">
        <x:f>E2_plantas!J6+G201</x:f>
        <x:v>46205</x:v>
      </x:c>
      <x:c r="J201" s="2" t="str">
        <x:v>muerta</x:v>
      </x:c>
      <x:c r="K201" s="2" t="n">
        <x:v>0</x:v>
      </x:c>
      <x:c r="L201" s="2" t="n">
        <x:v>0</x:v>
      </x:c>
      <x:c r="M201" s="2" t="n">
        <x:f>SUM(L$170:L201)</x:f>
        <x:v>0</x:v>
      </x:c>
      <x:c r="N201" s="2" t="n">
        <x:v>0</x:v>
      </x:c>
      <x:c r="O201" s="2" t="str">
        <x:v>relleno_postmuerte</x:v>
      </x:c>
      <x:c r="P201" s="2" t="n">
        <x:v>0</x:v>
      </x:c>
      <x:c r="Q201" s="2" t="str">
        <x:v>simulado_didactico</x:v>
      </x:c>
    </x:row>
    <x:row r="202" ht="19" customHeight="1">
      <x:c r="A202" s="2" t="str">
        <x:v>SIM-E2-MP-L7-R01</x:v>
      </x:c>
      <x:c r="B202" s="2" t="n">
        <x:v>1</x:v>
      </x:c>
      <x:c r="C202" s="2" t="str">
        <x:v>MP</x:v>
      </x:c>
      <x:c r="D202" s="2" t="str">
        <x:v>Myzus persicae</x:v>
      </x:c>
      <x:c r="E202" s="2" t="str">
        <x:v>L7</x:v>
      </x:c>
      <x:c r="F202" s="2" t="n">
        <x:v>1</x:v>
      </x:c>
      <x:c r="G202" s="2" t="n">
        <x:v>32</x:v>
      </x:c>
      <x:c r="H202" s="2" t="n">
        <x:f>G202+Supuestos!$C$15</x:f>
        <x:v>33</x:v>
      </x:c>
      <x:c r="I202" s="14" t="n">
        <x:f>E2_plantas!J6+G202</x:f>
        <x:v>46206</x:v>
      </x:c>
      <x:c r="J202" s="2" t="str">
        <x:v>muerta</x:v>
      </x:c>
      <x:c r="K202" s="2" t="n">
        <x:v>0</x:v>
      </x:c>
      <x:c r="L202" s="2" t="n">
        <x:v>0</x:v>
      </x:c>
      <x:c r="M202" s="2" t="n">
        <x:f>SUM(L$170:L202)</x:f>
        <x:v>0</x:v>
      </x:c>
      <x:c r="N202" s="2" t="n">
        <x:v>0</x:v>
      </x:c>
      <x:c r="O202" s="2" t="str">
        <x:v>relleno_postmuerte</x:v>
      </x:c>
      <x:c r="P202" s="2" t="n">
        <x:v>0</x:v>
      </x:c>
      <x:c r="Q202" s="2" t="str">
        <x:v>simulado_didactico</x:v>
      </x:c>
    </x:row>
    <x:row r="203" ht="19" customHeight="1">
      <x:c r="A203" s="2" t="str">
        <x:v>SIM-E2-MP-L7-R01</x:v>
      </x:c>
      <x:c r="B203" s="2" t="n">
        <x:v>1</x:v>
      </x:c>
      <x:c r="C203" s="2" t="str">
        <x:v>MP</x:v>
      </x:c>
      <x:c r="D203" s="2" t="str">
        <x:v>Myzus persicae</x:v>
      </x:c>
      <x:c r="E203" s="2" t="str">
        <x:v>L7</x:v>
      </x:c>
      <x:c r="F203" s="2" t="n">
        <x:v>1</x:v>
      </x:c>
      <x:c r="G203" s="2" t="n">
        <x:v>33</x:v>
      </x:c>
      <x:c r="H203" s="2" t="n">
        <x:f>G203+Supuestos!$C$15</x:f>
        <x:v>34</x:v>
      </x:c>
      <x:c r="I203" s="14" t="n">
        <x:f>E2_plantas!J6+G203</x:f>
        <x:v>46207</x:v>
      </x:c>
      <x:c r="J203" s="2" t="str">
        <x:v>muerta</x:v>
      </x:c>
      <x:c r="K203" s="2" t="n">
        <x:v>0</x:v>
      </x:c>
      <x:c r="L203" s="2" t="n">
        <x:v>0</x:v>
      </x:c>
      <x:c r="M203" s="2" t="n">
        <x:f>SUM(L$170:L203)</x:f>
        <x:v>0</x:v>
      </x:c>
      <x:c r="N203" s="2" t="n">
        <x:v>0</x:v>
      </x:c>
      <x:c r="O203" s="2" t="str">
        <x:v>relleno_postmuerte</x:v>
      </x:c>
      <x:c r="P203" s="2" t="n">
        <x:v>0</x:v>
      </x:c>
      <x:c r="Q203" s="2" t="str">
        <x:v>simulado_didactico</x:v>
      </x:c>
    </x:row>
    <x:row r="204" ht="19" customHeight="1">
      <x:c r="A204" s="2" t="str">
        <x:v>SIM-E2-MP-L7-R01</x:v>
      </x:c>
      <x:c r="B204" s="2" t="n">
        <x:v>1</x:v>
      </x:c>
      <x:c r="C204" s="2" t="str">
        <x:v>MP</x:v>
      </x:c>
      <x:c r="D204" s="2" t="str">
        <x:v>Myzus persicae</x:v>
      </x:c>
      <x:c r="E204" s="2" t="str">
        <x:v>L7</x:v>
      </x:c>
      <x:c r="F204" s="2" t="n">
        <x:v>1</x:v>
      </x:c>
      <x:c r="G204" s="2" t="n">
        <x:v>34</x:v>
      </x:c>
      <x:c r="H204" s="2" t="n">
        <x:f>G204+Supuestos!$C$15</x:f>
        <x:v>35</x:v>
      </x:c>
      <x:c r="I204" s="14" t="n">
        <x:f>E2_plantas!J6+G204</x:f>
        <x:v>46208</x:v>
      </x:c>
      <x:c r="J204" s="2" t="str">
        <x:v>muerta</x:v>
      </x:c>
      <x:c r="K204" s="2" t="n">
        <x:v>0</x:v>
      </x:c>
      <x:c r="L204" s="2" t="n">
        <x:v>0</x:v>
      </x:c>
      <x:c r="M204" s="2" t="n">
        <x:f>SUM(L$170:L204)</x:f>
        <x:v>0</x:v>
      </x:c>
      <x:c r="N204" s="2" t="n">
        <x:v>0</x:v>
      </x:c>
      <x:c r="O204" s="2" t="str">
        <x:v>relleno_postmuerte</x:v>
      </x:c>
      <x:c r="P204" s="2" t="n">
        <x:v>0</x:v>
      </x:c>
      <x:c r="Q204" s="2" t="str">
        <x:v>simulado_didactico</x:v>
      </x:c>
    </x:row>
    <x:row r="205" ht="19" customHeight="1">
      <x:c r="A205" s="2" t="str">
        <x:v>SIM-E2-MP-L7-R01</x:v>
      </x:c>
      <x:c r="B205" s="2" t="n">
        <x:v>1</x:v>
      </x:c>
      <x:c r="C205" s="2" t="str">
        <x:v>MP</x:v>
      </x:c>
      <x:c r="D205" s="2" t="str">
        <x:v>Myzus persicae</x:v>
      </x:c>
      <x:c r="E205" s="2" t="str">
        <x:v>L7</x:v>
      </x:c>
      <x:c r="F205" s="2" t="n">
        <x:v>1</x:v>
      </x:c>
      <x:c r="G205" s="2" t="n">
        <x:v>35</x:v>
      </x:c>
      <x:c r="H205" s="2" t="n">
        <x:f>G205+Supuestos!$C$15</x:f>
        <x:v>36</x:v>
      </x:c>
      <x:c r="I205" s="14" t="n">
        <x:f>E2_plantas!J6+G205</x:f>
        <x:v>46209</x:v>
      </x:c>
      <x:c r="J205" s="2" t="str">
        <x:v>muerta</x:v>
      </x:c>
      <x:c r="K205" s="2" t="n">
        <x:v>0</x:v>
      </x:c>
      <x:c r="L205" s="2" t="n">
        <x:v>0</x:v>
      </x:c>
      <x:c r="M205" s="2" t="n">
        <x:f>SUM(L$170:L205)</x:f>
        <x:v>0</x:v>
      </x:c>
      <x:c r="N205" s="2" t="n">
        <x:v>0</x:v>
      </x:c>
      <x:c r="O205" s="2" t="str">
        <x:v>relleno_postmuerte</x:v>
      </x:c>
      <x:c r="P205" s="2" t="n">
        <x:v>0</x:v>
      </x:c>
      <x:c r="Q205" s="2" t="str">
        <x:v>simulado_didactico</x:v>
      </x:c>
    </x:row>
    <x:row r="206" ht="19" customHeight="1">
      <x:c r="A206" s="2" t="str">
        <x:v>SIM-E2-MP-L7-R01</x:v>
      </x:c>
      <x:c r="B206" s="2" t="n">
        <x:v>1</x:v>
      </x:c>
      <x:c r="C206" s="2" t="str">
        <x:v>MP</x:v>
      </x:c>
      <x:c r="D206" s="2" t="str">
        <x:v>Myzus persicae</x:v>
      </x:c>
      <x:c r="E206" s="2" t="str">
        <x:v>L7</x:v>
      </x:c>
      <x:c r="F206" s="2" t="n">
        <x:v>1</x:v>
      </x:c>
      <x:c r="G206" s="2" t="n">
        <x:v>36</x:v>
      </x:c>
      <x:c r="H206" s="2" t="n">
        <x:f>G206+Supuestos!$C$15</x:f>
        <x:v>37</x:v>
      </x:c>
      <x:c r="I206" s="14" t="n">
        <x:f>E2_plantas!J6+G206</x:f>
        <x:v>46210</x:v>
      </x:c>
      <x:c r="J206" s="2" t="str">
        <x:v>muerta</x:v>
      </x:c>
      <x:c r="K206" s="2" t="n">
        <x:v>0</x:v>
      </x:c>
      <x:c r="L206" s="2" t="n">
        <x:v>0</x:v>
      </x:c>
      <x:c r="M206" s="2" t="n">
        <x:f>SUM(L$170:L206)</x:f>
        <x:v>0</x:v>
      </x:c>
      <x:c r="N206" s="2" t="n">
        <x:v>0</x:v>
      </x:c>
      <x:c r="O206" s="2" t="str">
        <x:v>relleno_postmuerte</x:v>
      </x:c>
      <x:c r="P206" s="2" t="n">
        <x:v>0</x:v>
      </x:c>
      <x:c r="Q206" s="2" t="str">
        <x:v>simulado_didactico</x:v>
      </x:c>
    </x:row>
    <x:row r="207" ht="19" customHeight="1">
      <x:c r="A207" s="2" t="str">
        <x:v>SIM-E2-MP-L7-R01</x:v>
      </x:c>
      <x:c r="B207" s="2" t="n">
        <x:v>1</x:v>
      </x:c>
      <x:c r="C207" s="2" t="str">
        <x:v>MP</x:v>
      </x:c>
      <x:c r="D207" s="2" t="str">
        <x:v>Myzus persicae</x:v>
      </x:c>
      <x:c r="E207" s="2" t="str">
        <x:v>L7</x:v>
      </x:c>
      <x:c r="F207" s="2" t="n">
        <x:v>1</x:v>
      </x:c>
      <x:c r="G207" s="2" t="n">
        <x:v>37</x:v>
      </x:c>
      <x:c r="H207" s="2" t="n">
        <x:f>G207+Supuestos!$C$15</x:f>
        <x:v>38</x:v>
      </x:c>
      <x:c r="I207" s="14" t="n">
        <x:f>E2_plantas!J6+G207</x:f>
        <x:v>46211</x:v>
      </x:c>
      <x:c r="J207" s="2" t="str">
        <x:v>muerta</x:v>
      </x:c>
      <x:c r="K207" s="2" t="n">
        <x:v>0</x:v>
      </x:c>
      <x:c r="L207" s="2" t="n">
        <x:v>0</x:v>
      </x:c>
      <x:c r="M207" s="2" t="n">
        <x:f>SUM(L$170:L207)</x:f>
        <x:v>0</x:v>
      </x:c>
      <x:c r="N207" s="2" t="n">
        <x:v>0</x:v>
      </x:c>
      <x:c r="O207" s="2" t="str">
        <x:v>relleno_postmuerte</x:v>
      </x:c>
      <x:c r="P207" s="2" t="n">
        <x:v>0</x:v>
      </x:c>
      <x:c r="Q207" s="2" t="str">
        <x:v>simulado_didactico</x:v>
      </x:c>
    </x:row>
    <x:row r="208" ht="19" customHeight="1">
      <x:c r="A208" s="2" t="str">
        <x:v>SIM-E2-MP-L7-R01</x:v>
      </x:c>
      <x:c r="B208" s="2" t="n">
        <x:v>1</x:v>
      </x:c>
      <x:c r="C208" s="2" t="str">
        <x:v>MP</x:v>
      </x:c>
      <x:c r="D208" s="2" t="str">
        <x:v>Myzus persicae</x:v>
      </x:c>
      <x:c r="E208" s="2" t="str">
        <x:v>L7</x:v>
      </x:c>
      <x:c r="F208" s="2" t="n">
        <x:v>1</x:v>
      </x:c>
      <x:c r="G208" s="2" t="n">
        <x:v>38</x:v>
      </x:c>
      <x:c r="H208" s="2" t="n">
        <x:f>G208+Supuestos!$C$15</x:f>
        <x:v>39</x:v>
      </x:c>
      <x:c r="I208" s="14" t="n">
        <x:f>E2_plantas!J6+G208</x:f>
        <x:v>46212</x:v>
      </x:c>
      <x:c r="J208" s="2" t="str">
        <x:v>muerta</x:v>
      </x:c>
      <x:c r="K208" s="2" t="n">
        <x:v>0</x:v>
      </x:c>
      <x:c r="L208" s="2" t="n">
        <x:v>0</x:v>
      </x:c>
      <x:c r="M208" s="2" t="n">
        <x:f>SUM(L$170:L208)</x:f>
        <x:v>0</x:v>
      </x:c>
      <x:c r="N208" s="2" t="n">
        <x:v>0</x:v>
      </x:c>
      <x:c r="O208" s="2" t="str">
        <x:v>relleno_postmuerte</x:v>
      </x:c>
      <x:c r="P208" s="2" t="n">
        <x:v>0</x:v>
      </x:c>
      <x:c r="Q208" s="2" t="str">
        <x:v>simulado_didactico</x:v>
      </x:c>
    </x:row>
    <x:row r="209" ht="19" customHeight="1">
      <x:c r="A209" s="2" t="str">
        <x:v>SIM-E2-MP-L7-R01</x:v>
      </x:c>
      <x:c r="B209" s="2" t="n">
        <x:v>1</x:v>
      </x:c>
      <x:c r="C209" s="2" t="str">
        <x:v>MP</x:v>
      </x:c>
      <x:c r="D209" s="2" t="str">
        <x:v>Myzus persicae</x:v>
      </x:c>
      <x:c r="E209" s="2" t="str">
        <x:v>L7</x:v>
      </x:c>
      <x:c r="F209" s="2" t="n">
        <x:v>1</x:v>
      </x:c>
      <x:c r="G209" s="2" t="n">
        <x:v>39</x:v>
      </x:c>
      <x:c r="H209" s="2" t="n">
        <x:f>G209+Supuestos!$C$15</x:f>
        <x:v>40</x:v>
      </x:c>
      <x:c r="I209" s="14" t="n">
        <x:f>E2_plantas!J6+G209</x:f>
        <x:v>46213</x:v>
      </x:c>
      <x:c r="J209" s="2" t="str">
        <x:v>muerta</x:v>
      </x:c>
      <x:c r="K209" s="2" t="n">
        <x:v>0</x:v>
      </x:c>
      <x:c r="L209" s="2" t="n">
        <x:v>0</x:v>
      </x:c>
      <x:c r="M209" s="2" t="n">
        <x:f>SUM(L$170:L209)</x:f>
        <x:v>0</x:v>
      </x:c>
      <x:c r="N209" s="2" t="n">
        <x:v>0</x:v>
      </x:c>
      <x:c r="O209" s="2" t="str">
        <x:v>relleno_postmuerte</x:v>
      </x:c>
      <x:c r="P209" s="2" t="n">
        <x:v>0</x:v>
      </x:c>
      <x:c r="Q209" s="2" t="str">
        <x:v>simulado_didactico</x:v>
      </x:c>
    </x:row>
    <x:row r="210" ht="19" customHeight="1">
      <x:c r="A210" s="2" t="str">
        <x:v>SIM-E2-MP-L7-R01</x:v>
      </x:c>
      <x:c r="B210" s="2" t="n">
        <x:v>1</x:v>
      </x:c>
      <x:c r="C210" s="2" t="str">
        <x:v>MP</x:v>
      </x:c>
      <x:c r="D210" s="2" t="str">
        <x:v>Myzus persicae</x:v>
      </x:c>
      <x:c r="E210" s="2" t="str">
        <x:v>L7</x:v>
      </x:c>
      <x:c r="F210" s="2" t="n">
        <x:v>1</x:v>
      </x:c>
      <x:c r="G210" s="2" t="n">
        <x:v>40</x:v>
      </x:c>
      <x:c r="H210" s="2" t="n">
        <x:f>G210+Supuestos!$C$15</x:f>
        <x:v>41</x:v>
      </x:c>
      <x:c r="I210" s="14" t="n">
        <x:f>E2_plantas!J6+G210</x:f>
        <x:v>46214</x:v>
      </x:c>
      <x:c r="J210" s="2" t="str">
        <x:v>muerta</x:v>
      </x:c>
      <x:c r="K210" s="2" t="n">
        <x:v>0</x:v>
      </x:c>
      <x:c r="L210" s="2" t="n">
        <x:v>0</x:v>
      </x:c>
      <x:c r="M210" s="2" t="n">
        <x:f>SUM(L$170:L210)</x:f>
        <x:v>0</x:v>
      </x:c>
      <x:c r="N210" s="2" t="n">
        <x:v>0</x:v>
      </x:c>
      <x:c r="O210" s="2" t="str">
        <x:v>relleno_postmuerte</x:v>
      </x:c>
      <x:c r="P210" s="2" t="n">
        <x:v>0</x:v>
      </x:c>
      <x:c r="Q210" s="2" t="str">
        <x:v>simulado_didactico</x:v>
      </x:c>
    </x:row>
    <x:row r="211" ht="19" customHeight="1">
      <x:c r="A211" s="2" t="str">
        <x:v>SIM-E2-MP-L7-R01</x:v>
      </x:c>
      <x:c r="B211" s="2" t="n">
        <x:v>1</x:v>
      </x:c>
      <x:c r="C211" s="2" t="str">
        <x:v>MP</x:v>
      </x:c>
      <x:c r="D211" s="2" t="str">
        <x:v>Myzus persicae</x:v>
      </x:c>
      <x:c r="E211" s="2" t="str">
        <x:v>L7</x:v>
      </x:c>
      <x:c r="F211" s="2" t="n">
        <x:v>1</x:v>
      </x:c>
      <x:c r="G211" s="2" t="n">
        <x:v>41</x:v>
      </x:c>
      <x:c r="H211" s="2" t="n">
        <x:f>G211+Supuestos!$C$15</x:f>
        <x:v>42</x:v>
      </x:c>
      <x:c r="I211" s="14" t="n">
        <x:f>E2_plantas!J6+G211</x:f>
        <x:v>46215</x:v>
      </x:c>
      <x:c r="J211" s="2" t="str">
        <x:v>muerta</x:v>
      </x:c>
      <x:c r="K211" s="2" t="n">
        <x:v>0</x:v>
      </x:c>
      <x:c r="L211" s="2" t="n">
        <x:v>0</x:v>
      </x:c>
      <x:c r="M211" s="2" t="n">
        <x:f>SUM(L$170:L211)</x:f>
        <x:v>0</x:v>
      </x:c>
      <x:c r="N211" s="2" t="n">
        <x:v>0</x:v>
      </x:c>
      <x:c r="O211" s="2" t="str">
        <x:v>relleno_postmuerte</x:v>
      </x:c>
      <x:c r="P211" s="2" t="n">
        <x:v>0</x:v>
      </x:c>
      <x:c r="Q211" s="2" t="str">
        <x:v>simulado_didactico</x:v>
      </x:c>
    </x:row>
    <x:row r="212" ht="19" customHeight="1">
      <x:c r="A212" s="2" t="str">
        <x:v>SIM-E2-MP-L7-R02</x:v>
      </x:c>
      <x:c r="B212" s="2" t="n">
        <x:v>1</x:v>
      </x:c>
      <x:c r="C212" s="2" t="str">
        <x:v>MP</x:v>
      </x:c>
      <x:c r="D212" s="2" t="str">
        <x:v>Myzus persicae</x:v>
      </x:c>
      <x:c r="E212" s="2" t="str">
        <x:v>L7</x:v>
      </x:c>
      <x:c r="F212" s="2" t="n">
        <x:v>2</x:v>
      </x:c>
      <x:c r="G212" s="2" t="n">
        <x:v>0</x:v>
      </x:c>
      <x:c r="H212" s="2" t="n">
        <x:f>G212+Supuestos!$C$15</x:f>
        <x:v>1</x:v>
      </x:c>
      <x:c r="I212" s="14" t="n">
        <x:f>E2_plantas!J7+G212</x:f>
        <x:v>46174</x:v>
      </x:c>
      <x:c r="J212" s="2" t="str">
        <x:v>N1</x:v>
      </x:c>
      <x:c r="K212" s="2" t="n">
        <x:v>1</x:v>
      </x:c>
      <x:c r="L212" s="2" t="n">
        <x:v>0</x:v>
      </x:c>
      <x:c r="M212" s="2" t="n">
        <x:f>SUM(L$212:L212)</x:f>
        <x:v>0</x:v>
      </x:c>
      <x:c r="N212" s="2" t="n">
        <x:v>0</x:v>
      </x:c>
      <x:c r="O212" s="2" t="str">
        <x:v>seguimiento</x:v>
      </x:c>
      <x:c r="P212" s="2" t="n">
        <x:v>0</x:v>
      </x:c>
      <x:c r="Q212" s="2" t="str">
        <x:v>simulado_didactico</x:v>
      </x:c>
    </x:row>
    <x:row r="213" ht="19" customHeight="1">
      <x:c r="A213" s="2" t="str">
        <x:v>SIM-E2-MP-L7-R02</x:v>
      </x:c>
      <x:c r="B213" s="2" t="n">
        <x:v>1</x:v>
      </x:c>
      <x:c r="C213" s="2" t="str">
        <x:v>MP</x:v>
      </x:c>
      <x:c r="D213" s="2" t="str">
        <x:v>Myzus persicae</x:v>
      </x:c>
      <x:c r="E213" s="2" t="str">
        <x:v>L7</x:v>
      </x:c>
      <x:c r="F213" s="2" t="n">
        <x:v>2</x:v>
      </x:c>
      <x:c r="G213" s="2" t="n">
        <x:v>1</x:v>
      </x:c>
      <x:c r="H213" s="2" t="n">
        <x:f>G213+Supuestos!$C$15</x:f>
        <x:v>2</x:v>
      </x:c>
      <x:c r="I213" s="14" t="n">
        <x:f>E2_plantas!J7+G213</x:f>
        <x:v>46175</x:v>
      </x:c>
      <x:c r="J213" s="2" t="str">
        <x:v>N1</x:v>
      </x:c>
      <x:c r="K213" s="2" t="n">
        <x:v>1</x:v>
      </x:c>
      <x:c r="L213" s="2" t="n">
        <x:v>0</x:v>
      </x:c>
      <x:c r="M213" s="2" t="n">
        <x:f>SUM(L$212:L213)</x:f>
        <x:v>0</x:v>
      </x:c>
      <x:c r="N213" s="2" t="n">
        <x:v>0</x:v>
      </x:c>
      <x:c r="O213" s="2" t="str">
        <x:v>seguimiento</x:v>
      </x:c>
      <x:c r="P213" s="2" t="n">
        <x:v>0</x:v>
      </x:c>
      <x:c r="Q213" s="2" t="str">
        <x:v>simulado_didactico</x:v>
      </x:c>
    </x:row>
    <x:row r="214" ht="19" customHeight="1">
      <x:c r="A214" s="2" t="str">
        <x:v>SIM-E2-MP-L7-R02</x:v>
      </x:c>
      <x:c r="B214" s="2" t="n">
        <x:v>1</x:v>
      </x:c>
      <x:c r="C214" s="2" t="str">
        <x:v>MP</x:v>
      </x:c>
      <x:c r="D214" s="2" t="str">
        <x:v>Myzus persicae</x:v>
      </x:c>
      <x:c r="E214" s="2" t="str">
        <x:v>L7</x:v>
      </x:c>
      <x:c r="F214" s="2" t="n">
        <x:v>2</x:v>
      </x:c>
      <x:c r="G214" s="2" t="n">
        <x:v>2</x:v>
      </x:c>
      <x:c r="H214" s="2" t="n">
        <x:f>G214+Supuestos!$C$15</x:f>
        <x:v>3</x:v>
      </x:c>
      <x:c r="I214" s="14" t="n">
        <x:f>E2_plantas!J7+G214</x:f>
        <x:v>46176</x:v>
      </x:c>
      <x:c r="J214" s="2" t="str">
        <x:v>muerta</x:v>
      </x:c>
      <x:c r="K214" s="2" t="n">
        <x:v>0</x:v>
      </x:c>
      <x:c r="L214" s="2" t="n">
        <x:v>0</x:v>
      </x:c>
      <x:c r="M214" s="2" t="n">
        <x:f>SUM(L$212:L214)</x:f>
        <x:v>0</x:v>
      </x:c>
      <x:c r="N214" s="2" t="n">
        <x:v>1</x:v>
      </x:c>
      <x:c r="O214" s="2" t="str">
        <x:v>muerte</x:v>
      </x:c>
      <x:c r="P214" s="2" t="n">
        <x:v>0</x:v>
      </x:c>
      <x:c r="Q214" s="2" t="str">
        <x:v>simulado_didactico</x:v>
      </x:c>
    </x:row>
    <x:row r="215" ht="19" customHeight="1">
      <x:c r="A215" s="2" t="str">
        <x:v>SIM-E2-MP-L7-R02</x:v>
      </x:c>
      <x:c r="B215" s="2" t="n">
        <x:v>1</x:v>
      </x:c>
      <x:c r="C215" s="2" t="str">
        <x:v>MP</x:v>
      </x:c>
      <x:c r="D215" s="2" t="str">
        <x:v>Myzus persicae</x:v>
      </x:c>
      <x:c r="E215" s="2" t="str">
        <x:v>L7</x:v>
      </x:c>
      <x:c r="F215" s="2" t="n">
        <x:v>2</x:v>
      </x:c>
      <x:c r="G215" s="2" t="n">
        <x:v>3</x:v>
      </x:c>
      <x:c r="H215" s="2" t="n">
        <x:f>G215+Supuestos!$C$15</x:f>
        <x:v>4</x:v>
      </x:c>
      <x:c r="I215" s="14" t="n">
        <x:f>E2_plantas!J7+G215</x:f>
        <x:v>46177</x:v>
      </x:c>
      <x:c r="J215" s="2" t="str">
        <x:v>muerta</x:v>
      </x:c>
      <x:c r="K215" s="2" t="n">
        <x:v>0</x:v>
      </x:c>
      <x:c r="L215" s="2" t="n">
        <x:v>0</x:v>
      </x:c>
      <x:c r="M215" s="2" t="n">
        <x:f>SUM(L$212:L215)</x:f>
        <x:v>0</x:v>
      </x:c>
      <x:c r="N215" s="2" t="n">
        <x:v>0</x:v>
      </x:c>
      <x:c r="O215" s="2" t="str">
        <x:v>relleno_postmuerte</x:v>
      </x:c>
      <x:c r="P215" s="2" t="n">
        <x:v>0</x:v>
      </x:c>
      <x:c r="Q215" s="2" t="str">
        <x:v>simulado_didactico</x:v>
      </x:c>
    </x:row>
    <x:row r="216" ht="19" customHeight="1">
      <x:c r="A216" s="2" t="str">
        <x:v>SIM-E2-MP-L7-R02</x:v>
      </x:c>
      <x:c r="B216" s="2" t="n">
        <x:v>1</x:v>
      </x:c>
      <x:c r="C216" s="2" t="str">
        <x:v>MP</x:v>
      </x:c>
      <x:c r="D216" s="2" t="str">
        <x:v>Myzus persicae</x:v>
      </x:c>
      <x:c r="E216" s="2" t="str">
        <x:v>L7</x:v>
      </x:c>
      <x:c r="F216" s="2" t="n">
        <x:v>2</x:v>
      </x:c>
      <x:c r="G216" s="2" t="n">
        <x:v>4</x:v>
      </x:c>
      <x:c r="H216" s="2" t="n">
        <x:f>G216+Supuestos!$C$15</x:f>
        <x:v>5</x:v>
      </x:c>
      <x:c r="I216" s="14" t="n">
        <x:f>E2_plantas!J7+G216</x:f>
        <x:v>46178</x:v>
      </x:c>
      <x:c r="J216" s="2" t="str">
        <x:v>muerta</x:v>
      </x:c>
      <x:c r="K216" s="2" t="n">
        <x:v>0</x:v>
      </x:c>
      <x:c r="L216" s="2" t="n">
        <x:v>0</x:v>
      </x:c>
      <x:c r="M216" s="2" t="n">
        <x:f>SUM(L$212:L216)</x:f>
        <x:v>0</x:v>
      </x:c>
      <x:c r="N216" s="2" t="n">
        <x:v>0</x:v>
      </x:c>
      <x:c r="O216" s="2" t="str">
        <x:v>relleno_postmuerte</x:v>
      </x:c>
      <x:c r="P216" s="2" t="n">
        <x:v>0</x:v>
      </x:c>
      <x:c r="Q216" s="2" t="str">
        <x:v>simulado_didactico</x:v>
      </x:c>
    </x:row>
    <x:row r="217" ht="19" customHeight="1">
      <x:c r="A217" s="2" t="str">
        <x:v>SIM-E2-MP-L7-R02</x:v>
      </x:c>
      <x:c r="B217" s="2" t="n">
        <x:v>1</x:v>
      </x:c>
      <x:c r="C217" s="2" t="str">
        <x:v>MP</x:v>
      </x:c>
      <x:c r="D217" s="2" t="str">
        <x:v>Myzus persicae</x:v>
      </x:c>
      <x:c r="E217" s="2" t="str">
        <x:v>L7</x:v>
      </x:c>
      <x:c r="F217" s="2" t="n">
        <x:v>2</x:v>
      </x:c>
      <x:c r="G217" s="2" t="n">
        <x:v>5</x:v>
      </x:c>
      <x:c r="H217" s="2" t="n">
        <x:f>G217+Supuestos!$C$15</x:f>
        <x:v>6</x:v>
      </x:c>
      <x:c r="I217" s="14" t="n">
        <x:f>E2_plantas!J7+G217</x:f>
        <x:v>46179</x:v>
      </x:c>
      <x:c r="J217" s="2" t="str">
        <x:v>muerta</x:v>
      </x:c>
      <x:c r="K217" s="2" t="n">
        <x:v>0</x:v>
      </x:c>
      <x:c r="L217" s="2" t="n">
        <x:v>0</x:v>
      </x:c>
      <x:c r="M217" s="2" t="n">
        <x:f>SUM(L$212:L217)</x:f>
        <x:v>0</x:v>
      </x:c>
      <x:c r="N217" s="2" t="n">
        <x:v>0</x:v>
      </x:c>
      <x:c r="O217" s="2" t="str">
        <x:v>relleno_postmuerte</x:v>
      </x:c>
      <x:c r="P217" s="2" t="n">
        <x:v>0</x:v>
      </x:c>
      <x:c r="Q217" s="2" t="str">
        <x:v>simulado_didactico</x:v>
      </x:c>
    </x:row>
    <x:row r="218" ht="19" customHeight="1">
      <x:c r="A218" s="2" t="str">
        <x:v>SIM-E2-MP-L7-R02</x:v>
      </x:c>
      <x:c r="B218" s="2" t="n">
        <x:v>1</x:v>
      </x:c>
      <x:c r="C218" s="2" t="str">
        <x:v>MP</x:v>
      </x:c>
      <x:c r="D218" s="2" t="str">
        <x:v>Myzus persicae</x:v>
      </x:c>
      <x:c r="E218" s="2" t="str">
        <x:v>L7</x:v>
      </x:c>
      <x:c r="F218" s="2" t="n">
        <x:v>2</x:v>
      </x:c>
      <x:c r="G218" s="2" t="n">
        <x:v>6</x:v>
      </x:c>
      <x:c r="H218" s="2" t="n">
        <x:f>G218+Supuestos!$C$15</x:f>
        <x:v>7</x:v>
      </x:c>
      <x:c r="I218" s="14" t="n">
        <x:f>E2_plantas!J7+G218</x:f>
        <x:v>46180</x:v>
      </x:c>
      <x:c r="J218" s="2" t="str">
        <x:v>muerta</x:v>
      </x:c>
      <x:c r="K218" s="2" t="n">
        <x:v>0</x:v>
      </x:c>
      <x:c r="L218" s="2" t="n">
        <x:v>0</x:v>
      </x:c>
      <x:c r="M218" s="2" t="n">
        <x:f>SUM(L$212:L218)</x:f>
        <x:v>0</x:v>
      </x:c>
      <x:c r="N218" s="2" t="n">
        <x:v>0</x:v>
      </x:c>
      <x:c r="O218" s="2" t="str">
        <x:v>relleno_postmuerte</x:v>
      </x:c>
      <x:c r="P218" s="2" t="n">
        <x:v>0</x:v>
      </x:c>
      <x:c r="Q218" s="2" t="str">
        <x:v>simulado_didactico</x:v>
      </x:c>
    </x:row>
    <x:row r="219" ht="19" customHeight="1">
      <x:c r="A219" s="2" t="str">
        <x:v>SIM-E2-MP-L7-R02</x:v>
      </x:c>
      <x:c r="B219" s="2" t="n">
        <x:v>1</x:v>
      </x:c>
      <x:c r="C219" s="2" t="str">
        <x:v>MP</x:v>
      </x:c>
      <x:c r="D219" s="2" t="str">
        <x:v>Myzus persicae</x:v>
      </x:c>
      <x:c r="E219" s="2" t="str">
        <x:v>L7</x:v>
      </x:c>
      <x:c r="F219" s="2" t="n">
        <x:v>2</x:v>
      </x:c>
      <x:c r="G219" s="2" t="n">
        <x:v>7</x:v>
      </x:c>
      <x:c r="H219" s="2" t="n">
        <x:f>G219+Supuestos!$C$15</x:f>
        <x:v>8</x:v>
      </x:c>
      <x:c r="I219" s="14" t="n">
        <x:f>E2_plantas!J7+G219</x:f>
        <x:v>46181</x:v>
      </x:c>
      <x:c r="J219" s="2" t="str">
        <x:v>muerta</x:v>
      </x:c>
      <x:c r="K219" s="2" t="n">
        <x:v>0</x:v>
      </x:c>
      <x:c r="L219" s="2" t="n">
        <x:v>0</x:v>
      </x:c>
      <x:c r="M219" s="2" t="n">
        <x:f>SUM(L$212:L219)</x:f>
        <x:v>0</x:v>
      </x:c>
      <x:c r="N219" s="2" t="n">
        <x:v>0</x:v>
      </x:c>
      <x:c r="O219" s="2" t="str">
        <x:v>relleno_postmuerte</x:v>
      </x:c>
      <x:c r="P219" s="2" t="n">
        <x:v>0</x:v>
      </x:c>
      <x:c r="Q219" s="2" t="str">
        <x:v>simulado_didactico</x:v>
      </x:c>
    </x:row>
    <x:row r="220" ht="19" customHeight="1">
      <x:c r="A220" s="2" t="str">
        <x:v>SIM-E2-MP-L7-R02</x:v>
      </x:c>
      <x:c r="B220" s="2" t="n">
        <x:v>1</x:v>
      </x:c>
      <x:c r="C220" s="2" t="str">
        <x:v>MP</x:v>
      </x:c>
      <x:c r="D220" s="2" t="str">
        <x:v>Myzus persicae</x:v>
      </x:c>
      <x:c r="E220" s="2" t="str">
        <x:v>L7</x:v>
      </x:c>
      <x:c r="F220" s="2" t="n">
        <x:v>2</x:v>
      </x:c>
      <x:c r="G220" s="2" t="n">
        <x:v>8</x:v>
      </x:c>
      <x:c r="H220" s="2" t="n">
        <x:f>G220+Supuestos!$C$15</x:f>
        <x:v>9</x:v>
      </x:c>
      <x:c r="I220" s="14" t="n">
        <x:f>E2_plantas!J7+G220</x:f>
        <x:v>46182</x:v>
      </x:c>
      <x:c r="J220" s="2" t="str">
        <x:v>muerta</x:v>
      </x:c>
      <x:c r="K220" s="2" t="n">
        <x:v>0</x:v>
      </x:c>
      <x:c r="L220" s="2" t="n">
        <x:v>0</x:v>
      </x:c>
      <x:c r="M220" s="2" t="n">
        <x:f>SUM(L$212:L220)</x:f>
        <x:v>0</x:v>
      </x:c>
      <x:c r="N220" s="2" t="n">
        <x:v>0</x:v>
      </x:c>
      <x:c r="O220" s="2" t="str">
        <x:v>relleno_postmuerte</x:v>
      </x:c>
      <x:c r="P220" s="2" t="n">
        <x:v>0</x:v>
      </x:c>
      <x:c r="Q220" s="2" t="str">
        <x:v>simulado_didactico</x:v>
      </x:c>
    </x:row>
    <x:row r="221" ht="19" customHeight="1">
      <x:c r="A221" s="2" t="str">
        <x:v>SIM-E2-MP-L7-R02</x:v>
      </x:c>
      <x:c r="B221" s="2" t="n">
        <x:v>1</x:v>
      </x:c>
      <x:c r="C221" s="2" t="str">
        <x:v>MP</x:v>
      </x:c>
      <x:c r="D221" s="2" t="str">
        <x:v>Myzus persicae</x:v>
      </x:c>
      <x:c r="E221" s="2" t="str">
        <x:v>L7</x:v>
      </x:c>
      <x:c r="F221" s="2" t="n">
        <x:v>2</x:v>
      </x:c>
      <x:c r="G221" s="2" t="n">
        <x:v>9</x:v>
      </x:c>
      <x:c r="H221" s="2" t="n">
        <x:f>G221+Supuestos!$C$15</x:f>
        <x:v>10</x:v>
      </x:c>
      <x:c r="I221" s="14" t="n">
        <x:f>E2_plantas!J7+G221</x:f>
        <x:v>46183</x:v>
      </x:c>
      <x:c r="J221" s="2" t="str">
        <x:v>muerta</x:v>
      </x:c>
      <x:c r="K221" s="2" t="n">
        <x:v>0</x:v>
      </x:c>
      <x:c r="L221" s="2" t="n">
        <x:v>0</x:v>
      </x:c>
      <x:c r="M221" s="2" t="n">
        <x:f>SUM(L$212:L221)</x:f>
        <x:v>0</x:v>
      </x:c>
      <x:c r="N221" s="2" t="n">
        <x:v>0</x:v>
      </x:c>
      <x:c r="O221" s="2" t="str">
        <x:v>relleno_postmuerte</x:v>
      </x:c>
      <x:c r="P221" s="2" t="n">
        <x:v>0</x:v>
      </x:c>
      <x:c r="Q221" s="2" t="str">
        <x:v>simulado_didactico</x:v>
      </x:c>
    </x:row>
    <x:row r="222" ht="19" customHeight="1">
      <x:c r="A222" s="2" t="str">
        <x:v>SIM-E2-MP-L7-R02</x:v>
      </x:c>
      <x:c r="B222" s="2" t="n">
        <x:v>1</x:v>
      </x:c>
      <x:c r="C222" s="2" t="str">
        <x:v>MP</x:v>
      </x:c>
      <x:c r="D222" s="2" t="str">
        <x:v>Myzus persicae</x:v>
      </x:c>
      <x:c r="E222" s="2" t="str">
        <x:v>L7</x:v>
      </x:c>
      <x:c r="F222" s="2" t="n">
        <x:v>2</x:v>
      </x:c>
      <x:c r="G222" s="2" t="n">
        <x:v>10</x:v>
      </x:c>
      <x:c r="H222" s="2" t="n">
        <x:f>G222+Supuestos!$C$15</x:f>
        <x:v>11</x:v>
      </x:c>
      <x:c r="I222" s="14" t="n">
        <x:f>E2_plantas!J7+G222</x:f>
        <x:v>46184</x:v>
      </x:c>
      <x:c r="J222" s="2" t="str">
        <x:v>muerta</x:v>
      </x:c>
      <x:c r="K222" s="2" t="n">
        <x:v>0</x:v>
      </x:c>
      <x:c r="L222" s="2" t="n">
        <x:v>0</x:v>
      </x:c>
      <x:c r="M222" s="2" t="n">
        <x:f>SUM(L$212:L222)</x:f>
        <x:v>0</x:v>
      </x:c>
      <x:c r="N222" s="2" t="n">
        <x:v>0</x:v>
      </x:c>
      <x:c r="O222" s="2" t="str">
        <x:v>relleno_postmuerte</x:v>
      </x:c>
      <x:c r="P222" s="2" t="n">
        <x:v>0</x:v>
      </x:c>
      <x:c r="Q222" s="2" t="str">
        <x:v>simulado_didactico</x:v>
      </x:c>
    </x:row>
    <x:row r="223" ht="19" customHeight="1">
      <x:c r="A223" s="2" t="str">
        <x:v>SIM-E2-MP-L7-R02</x:v>
      </x:c>
      <x:c r="B223" s="2" t="n">
        <x:v>1</x:v>
      </x:c>
      <x:c r="C223" s="2" t="str">
        <x:v>MP</x:v>
      </x:c>
      <x:c r="D223" s="2" t="str">
        <x:v>Myzus persicae</x:v>
      </x:c>
      <x:c r="E223" s="2" t="str">
        <x:v>L7</x:v>
      </x:c>
      <x:c r="F223" s="2" t="n">
        <x:v>2</x:v>
      </x:c>
      <x:c r="G223" s="2" t="n">
        <x:v>11</x:v>
      </x:c>
      <x:c r="H223" s="2" t="n">
        <x:f>G223+Supuestos!$C$15</x:f>
        <x:v>12</x:v>
      </x:c>
      <x:c r="I223" s="14" t="n">
        <x:f>E2_plantas!J7+G223</x:f>
        <x:v>46185</x:v>
      </x:c>
      <x:c r="J223" s="2" t="str">
        <x:v>muerta</x:v>
      </x:c>
      <x:c r="K223" s="2" t="n">
        <x:v>0</x:v>
      </x:c>
      <x:c r="L223" s="2" t="n">
        <x:v>0</x:v>
      </x:c>
      <x:c r="M223" s="2" t="n">
        <x:f>SUM(L$212:L223)</x:f>
        <x:v>0</x:v>
      </x:c>
      <x:c r="N223" s="2" t="n">
        <x:v>0</x:v>
      </x:c>
      <x:c r="O223" s="2" t="str">
        <x:v>relleno_postmuerte</x:v>
      </x:c>
      <x:c r="P223" s="2" t="n">
        <x:v>0</x:v>
      </x:c>
      <x:c r="Q223" s="2" t="str">
        <x:v>simulado_didactico</x:v>
      </x:c>
    </x:row>
    <x:row r="224" ht="19" customHeight="1">
      <x:c r="A224" s="2" t="str">
        <x:v>SIM-E2-MP-L7-R02</x:v>
      </x:c>
      <x:c r="B224" s="2" t="n">
        <x:v>1</x:v>
      </x:c>
      <x:c r="C224" s="2" t="str">
        <x:v>MP</x:v>
      </x:c>
      <x:c r="D224" s="2" t="str">
        <x:v>Myzus persicae</x:v>
      </x:c>
      <x:c r="E224" s="2" t="str">
        <x:v>L7</x:v>
      </x:c>
      <x:c r="F224" s="2" t="n">
        <x:v>2</x:v>
      </x:c>
      <x:c r="G224" s="2" t="n">
        <x:v>12</x:v>
      </x:c>
      <x:c r="H224" s="2" t="n">
        <x:f>G224+Supuestos!$C$15</x:f>
        <x:v>13</x:v>
      </x:c>
      <x:c r="I224" s="14" t="n">
        <x:f>E2_plantas!J7+G224</x:f>
        <x:v>46186</x:v>
      </x:c>
      <x:c r="J224" s="2" t="str">
        <x:v>muerta</x:v>
      </x:c>
      <x:c r="K224" s="2" t="n">
        <x:v>0</x:v>
      </x:c>
      <x:c r="L224" s="2" t="n">
        <x:v>0</x:v>
      </x:c>
      <x:c r="M224" s="2" t="n">
        <x:f>SUM(L$212:L224)</x:f>
        <x:v>0</x:v>
      </x:c>
      <x:c r="N224" s="2" t="n">
        <x:v>0</x:v>
      </x:c>
      <x:c r="O224" s="2" t="str">
        <x:v>relleno_postmuerte</x:v>
      </x:c>
      <x:c r="P224" s="2" t="n">
        <x:v>0</x:v>
      </x:c>
      <x:c r="Q224" s="2" t="str">
        <x:v>simulado_didactico</x:v>
      </x:c>
    </x:row>
    <x:row r="225" ht="19" customHeight="1">
      <x:c r="A225" s="2" t="str">
        <x:v>SIM-E2-MP-L7-R02</x:v>
      </x:c>
      <x:c r="B225" s="2" t="n">
        <x:v>1</x:v>
      </x:c>
      <x:c r="C225" s="2" t="str">
        <x:v>MP</x:v>
      </x:c>
      <x:c r="D225" s="2" t="str">
        <x:v>Myzus persicae</x:v>
      </x:c>
      <x:c r="E225" s="2" t="str">
        <x:v>L7</x:v>
      </x:c>
      <x:c r="F225" s="2" t="n">
        <x:v>2</x:v>
      </x:c>
      <x:c r="G225" s="2" t="n">
        <x:v>13</x:v>
      </x:c>
      <x:c r="H225" s="2" t="n">
        <x:f>G225+Supuestos!$C$15</x:f>
        <x:v>14</x:v>
      </x:c>
      <x:c r="I225" s="14" t="n">
        <x:f>E2_plantas!J7+G225</x:f>
        <x:v>46187</x:v>
      </x:c>
      <x:c r="J225" s="2" t="str">
        <x:v>muerta</x:v>
      </x:c>
      <x:c r="K225" s="2" t="n">
        <x:v>0</x:v>
      </x:c>
      <x:c r="L225" s="2" t="n">
        <x:v>0</x:v>
      </x:c>
      <x:c r="M225" s="2" t="n">
        <x:f>SUM(L$212:L225)</x:f>
        <x:v>0</x:v>
      </x:c>
      <x:c r="N225" s="2" t="n">
        <x:v>0</x:v>
      </x:c>
      <x:c r="O225" s="2" t="str">
        <x:v>relleno_postmuerte</x:v>
      </x:c>
      <x:c r="P225" s="2" t="n">
        <x:v>0</x:v>
      </x:c>
      <x:c r="Q225" s="2" t="str">
        <x:v>simulado_didactico</x:v>
      </x:c>
    </x:row>
    <x:row r="226" ht="19" customHeight="1">
      <x:c r="A226" s="2" t="str">
        <x:v>SIM-E2-MP-L7-R02</x:v>
      </x:c>
      <x:c r="B226" s="2" t="n">
        <x:v>1</x:v>
      </x:c>
      <x:c r="C226" s="2" t="str">
        <x:v>MP</x:v>
      </x:c>
      <x:c r="D226" s="2" t="str">
        <x:v>Myzus persicae</x:v>
      </x:c>
      <x:c r="E226" s="2" t="str">
        <x:v>L7</x:v>
      </x:c>
      <x:c r="F226" s="2" t="n">
        <x:v>2</x:v>
      </x:c>
      <x:c r="G226" s="2" t="n">
        <x:v>14</x:v>
      </x:c>
      <x:c r="H226" s="2" t="n">
        <x:f>G226+Supuestos!$C$15</x:f>
        <x:v>15</x:v>
      </x:c>
      <x:c r="I226" s="14" t="n">
        <x:f>E2_plantas!J7+G226</x:f>
        <x:v>46188</x:v>
      </x:c>
      <x:c r="J226" s="2" t="str">
        <x:v>muerta</x:v>
      </x:c>
      <x:c r="K226" s="2" t="n">
        <x:v>0</x:v>
      </x:c>
      <x:c r="L226" s="2" t="n">
        <x:v>0</x:v>
      </x:c>
      <x:c r="M226" s="2" t="n">
        <x:f>SUM(L$212:L226)</x:f>
        <x:v>0</x:v>
      </x:c>
      <x:c r="N226" s="2" t="n">
        <x:v>0</x:v>
      </x:c>
      <x:c r="O226" s="2" t="str">
        <x:v>relleno_postmuerte</x:v>
      </x:c>
      <x:c r="P226" s="2" t="n">
        <x:v>0</x:v>
      </x:c>
      <x:c r="Q226" s="2" t="str">
        <x:v>simulado_didactico</x:v>
      </x:c>
    </x:row>
    <x:row r="227" ht="19" customHeight="1">
      <x:c r="A227" s="2" t="str">
        <x:v>SIM-E2-MP-L7-R02</x:v>
      </x:c>
      <x:c r="B227" s="2" t="n">
        <x:v>1</x:v>
      </x:c>
      <x:c r="C227" s="2" t="str">
        <x:v>MP</x:v>
      </x:c>
      <x:c r="D227" s="2" t="str">
        <x:v>Myzus persicae</x:v>
      </x:c>
      <x:c r="E227" s="2" t="str">
        <x:v>L7</x:v>
      </x:c>
      <x:c r="F227" s="2" t="n">
        <x:v>2</x:v>
      </x:c>
      <x:c r="G227" s="2" t="n">
        <x:v>15</x:v>
      </x:c>
      <x:c r="H227" s="2" t="n">
        <x:f>G227+Supuestos!$C$15</x:f>
        <x:v>16</x:v>
      </x:c>
      <x:c r="I227" s="14" t="n">
        <x:f>E2_plantas!J7+G227</x:f>
        <x:v>46189</x:v>
      </x:c>
      <x:c r="J227" s="2" t="str">
        <x:v>muerta</x:v>
      </x:c>
      <x:c r="K227" s="2" t="n">
        <x:v>0</x:v>
      </x:c>
      <x:c r="L227" s="2" t="n">
        <x:v>0</x:v>
      </x:c>
      <x:c r="M227" s="2" t="n">
        <x:f>SUM(L$212:L227)</x:f>
        <x:v>0</x:v>
      </x:c>
      <x:c r="N227" s="2" t="n">
        <x:v>0</x:v>
      </x:c>
      <x:c r="O227" s="2" t="str">
        <x:v>relleno_postmuerte</x:v>
      </x:c>
      <x:c r="P227" s="2" t="n">
        <x:v>0</x:v>
      </x:c>
      <x:c r="Q227" s="2" t="str">
        <x:v>simulado_didactico</x:v>
      </x:c>
    </x:row>
    <x:row r="228" ht="19" customHeight="1">
      <x:c r="A228" s="2" t="str">
        <x:v>SIM-E2-MP-L7-R02</x:v>
      </x:c>
      <x:c r="B228" s="2" t="n">
        <x:v>1</x:v>
      </x:c>
      <x:c r="C228" s="2" t="str">
        <x:v>MP</x:v>
      </x:c>
      <x:c r="D228" s="2" t="str">
        <x:v>Myzus persicae</x:v>
      </x:c>
      <x:c r="E228" s="2" t="str">
        <x:v>L7</x:v>
      </x:c>
      <x:c r="F228" s="2" t="n">
        <x:v>2</x:v>
      </x:c>
      <x:c r="G228" s="2" t="n">
        <x:v>16</x:v>
      </x:c>
      <x:c r="H228" s="2" t="n">
        <x:f>G228+Supuestos!$C$15</x:f>
        <x:v>17</x:v>
      </x:c>
      <x:c r="I228" s="14" t="n">
        <x:f>E2_plantas!J7+G228</x:f>
        <x:v>46190</x:v>
      </x:c>
      <x:c r="J228" s="2" t="str">
        <x:v>muerta</x:v>
      </x:c>
      <x:c r="K228" s="2" t="n">
        <x:v>0</x:v>
      </x:c>
      <x:c r="L228" s="2" t="n">
        <x:v>0</x:v>
      </x:c>
      <x:c r="M228" s="2" t="n">
        <x:f>SUM(L$212:L228)</x:f>
        <x:v>0</x:v>
      </x:c>
      <x:c r="N228" s="2" t="n">
        <x:v>0</x:v>
      </x:c>
      <x:c r="O228" s="2" t="str">
        <x:v>relleno_postmuerte</x:v>
      </x:c>
      <x:c r="P228" s="2" t="n">
        <x:v>0</x:v>
      </x:c>
      <x:c r="Q228" s="2" t="str">
        <x:v>simulado_didactico</x:v>
      </x:c>
    </x:row>
    <x:row r="229" ht="19" customHeight="1">
      <x:c r="A229" s="2" t="str">
        <x:v>SIM-E2-MP-L7-R02</x:v>
      </x:c>
      <x:c r="B229" s="2" t="n">
        <x:v>1</x:v>
      </x:c>
      <x:c r="C229" s="2" t="str">
        <x:v>MP</x:v>
      </x:c>
      <x:c r="D229" s="2" t="str">
        <x:v>Myzus persicae</x:v>
      </x:c>
      <x:c r="E229" s="2" t="str">
        <x:v>L7</x:v>
      </x:c>
      <x:c r="F229" s="2" t="n">
        <x:v>2</x:v>
      </x:c>
      <x:c r="G229" s="2" t="n">
        <x:v>17</x:v>
      </x:c>
      <x:c r="H229" s="2" t="n">
        <x:f>G229+Supuestos!$C$15</x:f>
        <x:v>18</x:v>
      </x:c>
      <x:c r="I229" s="14" t="n">
        <x:f>E2_plantas!J7+G229</x:f>
        <x:v>46191</x:v>
      </x:c>
      <x:c r="J229" s="2" t="str">
        <x:v>muerta</x:v>
      </x:c>
      <x:c r="K229" s="2" t="n">
        <x:v>0</x:v>
      </x:c>
      <x:c r="L229" s="2" t="n">
        <x:v>0</x:v>
      </x:c>
      <x:c r="M229" s="2" t="n">
        <x:f>SUM(L$212:L229)</x:f>
        <x:v>0</x:v>
      </x:c>
      <x:c r="N229" s="2" t="n">
        <x:v>0</x:v>
      </x:c>
      <x:c r="O229" s="2" t="str">
        <x:v>relleno_postmuerte</x:v>
      </x:c>
      <x:c r="P229" s="2" t="n">
        <x:v>0</x:v>
      </x:c>
      <x:c r="Q229" s="2" t="str">
        <x:v>simulado_didactico</x:v>
      </x:c>
    </x:row>
    <x:row r="230" ht="19" customHeight="1">
      <x:c r="A230" s="2" t="str">
        <x:v>SIM-E2-MP-L7-R02</x:v>
      </x:c>
      <x:c r="B230" s="2" t="n">
        <x:v>1</x:v>
      </x:c>
      <x:c r="C230" s="2" t="str">
        <x:v>MP</x:v>
      </x:c>
      <x:c r="D230" s="2" t="str">
        <x:v>Myzus persicae</x:v>
      </x:c>
      <x:c r="E230" s="2" t="str">
        <x:v>L7</x:v>
      </x:c>
      <x:c r="F230" s="2" t="n">
        <x:v>2</x:v>
      </x:c>
      <x:c r="G230" s="2" t="n">
        <x:v>18</x:v>
      </x:c>
      <x:c r="H230" s="2" t="n">
        <x:f>G230+Supuestos!$C$15</x:f>
        <x:v>19</x:v>
      </x:c>
      <x:c r="I230" s="14" t="n">
        <x:f>E2_plantas!J7+G230</x:f>
        <x:v>46192</x:v>
      </x:c>
      <x:c r="J230" s="2" t="str">
        <x:v>muerta</x:v>
      </x:c>
      <x:c r="K230" s="2" t="n">
        <x:v>0</x:v>
      </x:c>
      <x:c r="L230" s="2" t="n">
        <x:v>0</x:v>
      </x:c>
      <x:c r="M230" s="2" t="n">
        <x:f>SUM(L$212:L230)</x:f>
        <x:v>0</x:v>
      </x:c>
      <x:c r="N230" s="2" t="n">
        <x:v>0</x:v>
      </x:c>
      <x:c r="O230" s="2" t="str">
        <x:v>relleno_postmuerte</x:v>
      </x:c>
      <x:c r="P230" s="2" t="n">
        <x:v>0</x:v>
      </x:c>
      <x:c r="Q230" s="2" t="str">
        <x:v>simulado_didactico</x:v>
      </x:c>
    </x:row>
    <x:row r="231" ht="19" customHeight="1">
      <x:c r="A231" s="2" t="str">
        <x:v>SIM-E2-MP-L7-R02</x:v>
      </x:c>
      <x:c r="B231" s="2" t="n">
        <x:v>1</x:v>
      </x:c>
      <x:c r="C231" s="2" t="str">
        <x:v>MP</x:v>
      </x:c>
      <x:c r="D231" s="2" t="str">
        <x:v>Myzus persicae</x:v>
      </x:c>
      <x:c r="E231" s="2" t="str">
        <x:v>L7</x:v>
      </x:c>
      <x:c r="F231" s="2" t="n">
        <x:v>2</x:v>
      </x:c>
      <x:c r="G231" s="2" t="n">
        <x:v>19</x:v>
      </x:c>
      <x:c r="H231" s="2" t="n">
        <x:f>G231+Supuestos!$C$15</x:f>
        <x:v>20</x:v>
      </x:c>
      <x:c r="I231" s="14" t="n">
        <x:f>E2_plantas!J7+G231</x:f>
        <x:v>46193</x:v>
      </x:c>
      <x:c r="J231" s="2" t="str">
        <x:v>muerta</x:v>
      </x:c>
      <x:c r="K231" s="2" t="n">
        <x:v>0</x:v>
      </x:c>
      <x:c r="L231" s="2" t="n">
        <x:v>0</x:v>
      </x:c>
      <x:c r="M231" s="2" t="n">
        <x:f>SUM(L$212:L231)</x:f>
        <x:v>0</x:v>
      </x:c>
      <x:c r="N231" s="2" t="n">
        <x:v>0</x:v>
      </x:c>
      <x:c r="O231" s="2" t="str">
        <x:v>relleno_postmuerte</x:v>
      </x:c>
      <x:c r="P231" s="2" t="n">
        <x:v>0</x:v>
      </x:c>
      <x:c r="Q231" s="2" t="str">
        <x:v>simulado_didactico</x:v>
      </x:c>
    </x:row>
    <x:row r="232" ht="19" customHeight="1">
      <x:c r="A232" s="2" t="str">
        <x:v>SIM-E2-MP-L7-R02</x:v>
      </x:c>
      <x:c r="B232" s="2" t="n">
        <x:v>1</x:v>
      </x:c>
      <x:c r="C232" s="2" t="str">
        <x:v>MP</x:v>
      </x:c>
      <x:c r="D232" s="2" t="str">
        <x:v>Myzus persicae</x:v>
      </x:c>
      <x:c r="E232" s="2" t="str">
        <x:v>L7</x:v>
      </x:c>
      <x:c r="F232" s="2" t="n">
        <x:v>2</x:v>
      </x:c>
      <x:c r="G232" s="2" t="n">
        <x:v>20</x:v>
      </x:c>
      <x:c r="H232" s="2" t="n">
        <x:f>G232+Supuestos!$C$15</x:f>
        <x:v>21</x:v>
      </x:c>
      <x:c r="I232" s="14" t="n">
        <x:f>E2_plantas!J7+G232</x:f>
        <x:v>46194</x:v>
      </x:c>
      <x:c r="J232" s="2" t="str">
        <x:v>muerta</x:v>
      </x:c>
      <x:c r="K232" s="2" t="n">
        <x:v>0</x:v>
      </x:c>
      <x:c r="L232" s="2" t="n">
        <x:v>0</x:v>
      </x:c>
      <x:c r="M232" s="2" t="n">
        <x:f>SUM(L$212:L232)</x:f>
        <x:v>0</x:v>
      </x:c>
      <x:c r="N232" s="2" t="n">
        <x:v>0</x:v>
      </x:c>
      <x:c r="O232" s="2" t="str">
        <x:v>relleno_postmuerte</x:v>
      </x:c>
      <x:c r="P232" s="2" t="n">
        <x:v>0</x:v>
      </x:c>
      <x:c r="Q232" s="2" t="str">
        <x:v>simulado_didactico</x:v>
      </x:c>
    </x:row>
    <x:row r="233" ht="19" customHeight="1">
      <x:c r="A233" s="2" t="str">
        <x:v>SIM-E2-MP-L7-R02</x:v>
      </x:c>
      <x:c r="B233" s="2" t="n">
        <x:v>1</x:v>
      </x:c>
      <x:c r="C233" s="2" t="str">
        <x:v>MP</x:v>
      </x:c>
      <x:c r="D233" s="2" t="str">
        <x:v>Myzus persicae</x:v>
      </x:c>
      <x:c r="E233" s="2" t="str">
        <x:v>L7</x:v>
      </x:c>
      <x:c r="F233" s="2" t="n">
        <x:v>2</x:v>
      </x:c>
      <x:c r="G233" s="2" t="n">
        <x:v>21</x:v>
      </x:c>
      <x:c r="H233" s="2" t="n">
        <x:f>G233+Supuestos!$C$15</x:f>
        <x:v>22</x:v>
      </x:c>
      <x:c r="I233" s="14" t="n">
        <x:f>E2_plantas!J7+G233</x:f>
        <x:v>46195</x:v>
      </x:c>
      <x:c r="J233" s="2" t="str">
        <x:v>muerta</x:v>
      </x:c>
      <x:c r="K233" s="2" t="n">
        <x:v>0</x:v>
      </x:c>
      <x:c r="L233" s="2" t="n">
        <x:v>0</x:v>
      </x:c>
      <x:c r="M233" s="2" t="n">
        <x:f>SUM(L$212:L233)</x:f>
        <x:v>0</x:v>
      </x:c>
      <x:c r="N233" s="2" t="n">
        <x:v>0</x:v>
      </x:c>
      <x:c r="O233" s="2" t="str">
        <x:v>relleno_postmuerte</x:v>
      </x:c>
      <x:c r="P233" s="2" t="n">
        <x:v>0</x:v>
      </x:c>
      <x:c r="Q233" s="2" t="str">
        <x:v>simulado_didactico</x:v>
      </x:c>
    </x:row>
    <x:row r="234" ht="19" customHeight="1">
      <x:c r="A234" s="2" t="str">
        <x:v>SIM-E2-MP-L7-R02</x:v>
      </x:c>
      <x:c r="B234" s="2" t="n">
        <x:v>1</x:v>
      </x:c>
      <x:c r="C234" s="2" t="str">
        <x:v>MP</x:v>
      </x:c>
      <x:c r="D234" s="2" t="str">
        <x:v>Myzus persicae</x:v>
      </x:c>
      <x:c r="E234" s="2" t="str">
        <x:v>L7</x:v>
      </x:c>
      <x:c r="F234" s="2" t="n">
        <x:v>2</x:v>
      </x:c>
      <x:c r="G234" s="2" t="n">
        <x:v>22</x:v>
      </x:c>
      <x:c r="H234" s="2" t="n">
        <x:f>G234+Supuestos!$C$15</x:f>
        <x:v>23</x:v>
      </x:c>
      <x:c r="I234" s="14" t="n">
        <x:f>E2_plantas!J7+G234</x:f>
        <x:v>46196</x:v>
      </x:c>
      <x:c r="J234" s="2" t="str">
        <x:v>muerta</x:v>
      </x:c>
      <x:c r="K234" s="2" t="n">
        <x:v>0</x:v>
      </x:c>
      <x:c r="L234" s="2" t="n">
        <x:v>0</x:v>
      </x:c>
      <x:c r="M234" s="2" t="n">
        <x:f>SUM(L$212:L234)</x:f>
        <x:v>0</x:v>
      </x:c>
      <x:c r="N234" s="2" t="n">
        <x:v>0</x:v>
      </x:c>
      <x:c r="O234" s="2" t="str">
        <x:v>relleno_postmuerte</x:v>
      </x:c>
      <x:c r="P234" s="2" t="n">
        <x:v>0</x:v>
      </x:c>
      <x:c r="Q234" s="2" t="str">
        <x:v>simulado_didactico</x:v>
      </x:c>
    </x:row>
    <x:row r="235" ht="19" customHeight="1">
      <x:c r="A235" s="2" t="str">
        <x:v>SIM-E2-MP-L7-R02</x:v>
      </x:c>
      <x:c r="B235" s="2" t="n">
        <x:v>1</x:v>
      </x:c>
      <x:c r="C235" s="2" t="str">
        <x:v>MP</x:v>
      </x:c>
      <x:c r="D235" s="2" t="str">
        <x:v>Myzus persicae</x:v>
      </x:c>
      <x:c r="E235" s="2" t="str">
        <x:v>L7</x:v>
      </x:c>
      <x:c r="F235" s="2" t="n">
        <x:v>2</x:v>
      </x:c>
      <x:c r="G235" s="2" t="n">
        <x:v>23</x:v>
      </x:c>
      <x:c r="H235" s="2" t="n">
        <x:f>G235+Supuestos!$C$15</x:f>
        <x:v>24</x:v>
      </x:c>
      <x:c r="I235" s="14" t="n">
        <x:f>E2_plantas!J7+G235</x:f>
        <x:v>46197</x:v>
      </x:c>
      <x:c r="J235" s="2" t="str">
        <x:v>muerta</x:v>
      </x:c>
      <x:c r="K235" s="2" t="n">
        <x:v>0</x:v>
      </x:c>
      <x:c r="L235" s="2" t="n">
        <x:v>0</x:v>
      </x:c>
      <x:c r="M235" s="2" t="n">
        <x:f>SUM(L$212:L235)</x:f>
        <x:v>0</x:v>
      </x:c>
      <x:c r="N235" s="2" t="n">
        <x:v>0</x:v>
      </x:c>
      <x:c r="O235" s="2" t="str">
        <x:v>relleno_postmuerte</x:v>
      </x:c>
      <x:c r="P235" s="2" t="n">
        <x:v>0</x:v>
      </x:c>
      <x:c r="Q235" s="2" t="str">
        <x:v>simulado_didactico</x:v>
      </x:c>
    </x:row>
    <x:row r="236" ht="19" customHeight="1">
      <x:c r="A236" s="2" t="str">
        <x:v>SIM-E2-MP-L7-R02</x:v>
      </x:c>
      <x:c r="B236" s="2" t="n">
        <x:v>1</x:v>
      </x:c>
      <x:c r="C236" s="2" t="str">
        <x:v>MP</x:v>
      </x:c>
      <x:c r="D236" s="2" t="str">
        <x:v>Myzus persicae</x:v>
      </x:c>
      <x:c r="E236" s="2" t="str">
        <x:v>L7</x:v>
      </x:c>
      <x:c r="F236" s="2" t="n">
        <x:v>2</x:v>
      </x:c>
      <x:c r="G236" s="2" t="n">
        <x:v>24</x:v>
      </x:c>
      <x:c r="H236" s="2" t="n">
        <x:f>G236+Supuestos!$C$15</x:f>
        <x:v>25</x:v>
      </x:c>
      <x:c r="I236" s="14" t="n">
        <x:f>E2_plantas!J7+G236</x:f>
        <x:v>46198</x:v>
      </x:c>
      <x:c r="J236" s="2" t="str">
        <x:v>muerta</x:v>
      </x:c>
      <x:c r="K236" s="2" t="n">
        <x:v>0</x:v>
      </x:c>
      <x:c r="L236" s="2" t="n">
        <x:v>0</x:v>
      </x:c>
      <x:c r="M236" s="2" t="n">
        <x:f>SUM(L$212:L236)</x:f>
        <x:v>0</x:v>
      </x:c>
      <x:c r="N236" s="2" t="n">
        <x:v>0</x:v>
      </x:c>
      <x:c r="O236" s="2" t="str">
        <x:v>relleno_postmuerte</x:v>
      </x:c>
      <x:c r="P236" s="2" t="n">
        <x:v>0</x:v>
      </x:c>
      <x:c r="Q236" s="2" t="str">
        <x:v>simulado_didactico</x:v>
      </x:c>
    </x:row>
    <x:row r="237" ht="19" customHeight="1">
      <x:c r="A237" s="2" t="str">
        <x:v>SIM-E2-MP-L7-R02</x:v>
      </x:c>
      <x:c r="B237" s="2" t="n">
        <x:v>1</x:v>
      </x:c>
      <x:c r="C237" s="2" t="str">
        <x:v>MP</x:v>
      </x:c>
      <x:c r="D237" s="2" t="str">
        <x:v>Myzus persicae</x:v>
      </x:c>
      <x:c r="E237" s="2" t="str">
        <x:v>L7</x:v>
      </x:c>
      <x:c r="F237" s="2" t="n">
        <x:v>2</x:v>
      </x:c>
      <x:c r="G237" s="2" t="n">
        <x:v>25</x:v>
      </x:c>
      <x:c r="H237" s="2" t="n">
        <x:f>G237+Supuestos!$C$15</x:f>
        <x:v>26</x:v>
      </x:c>
      <x:c r="I237" s="14" t="n">
        <x:f>E2_plantas!J7+G237</x:f>
        <x:v>46199</x:v>
      </x:c>
      <x:c r="J237" s="2" t="str">
        <x:v>muerta</x:v>
      </x:c>
      <x:c r="K237" s="2" t="n">
        <x:v>0</x:v>
      </x:c>
      <x:c r="L237" s="2" t="n">
        <x:v>0</x:v>
      </x:c>
      <x:c r="M237" s="2" t="n">
        <x:f>SUM(L$212:L237)</x:f>
        <x:v>0</x:v>
      </x:c>
      <x:c r="N237" s="2" t="n">
        <x:v>0</x:v>
      </x:c>
      <x:c r="O237" s="2" t="str">
        <x:v>relleno_postmuerte</x:v>
      </x:c>
      <x:c r="P237" s="2" t="n">
        <x:v>0</x:v>
      </x:c>
      <x:c r="Q237" s="2" t="str">
        <x:v>simulado_didactico</x:v>
      </x:c>
    </x:row>
    <x:row r="238" ht="19" customHeight="1">
      <x:c r="A238" s="2" t="str">
        <x:v>SIM-E2-MP-L7-R02</x:v>
      </x:c>
      <x:c r="B238" s="2" t="n">
        <x:v>1</x:v>
      </x:c>
      <x:c r="C238" s="2" t="str">
        <x:v>MP</x:v>
      </x:c>
      <x:c r="D238" s="2" t="str">
        <x:v>Myzus persicae</x:v>
      </x:c>
      <x:c r="E238" s="2" t="str">
        <x:v>L7</x:v>
      </x:c>
      <x:c r="F238" s="2" t="n">
        <x:v>2</x:v>
      </x:c>
      <x:c r="G238" s="2" t="n">
        <x:v>26</x:v>
      </x:c>
      <x:c r="H238" s="2" t="n">
        <x:f>G238+Supuestos!$C$15</x:f>
        <x:v>27</x:v>
      </x:c>
      <x:c r="I238" s="14" t="n">
        <x:f>E2_plantas!J7+G238</x:f>
        <x:v>46200</x:v>
      </x:c>
      <x:c r="J238" s="2" t="str">
        <x:v>muerta</x:v>
      </x:c>
      <x:c r="K238" s="2" t="n">
        <x:v>0</x:v>
      </x:c>
      <x:c r="L238" s="2" t="n">
        <x:v>0</x:v>
      </x:c>
      <x:c r="M238" s="2" t="n">
        <x:f>SUM(L$212:L238)</x:f>
        <x:v>0</x:v>
      </x:c>
      <x:c r="N238" s="2" t="n">
        <x:v>0</x:v>
      </x:c>
      <x:c r="O238" s="2" t="str">
        <x:v>relleno_postmuerte</x:v>
      </x:c>
      <x:c r="P238" s="2" t="n">
        <x:v>0</x:v>
      </x:c>
      <x:c r="Q238" s="2" t="str">
        <x:v>simulado_didactico</x:v>
      </x:c>
    </x:row>
    <x:row r="239" ht="19" customHeight="1">
      <x:c r="A239" s="2" t="str">
        <x:v>SIM-E2-MP-L7-R02</x:v>
      </x:c>
      <x:c r="B239" s="2" t="n">
        <x:v>1</x:v>
      </x:c>
      <x:c r="C239" s="2" t="str">
        <x:v>MP</x:v>
      </x:c>
      <x:c r="D239" s="2" t="str">
        <x:v>Myzus persicae</x:v>
      </x:c>
      <x:c r="E239" s="2" t="str">
        <x:v>L7</x:v>
      </x:c>
      <x:c r="F239" s="2" t="n">
        <x:v>2</x:v>
      </x:c>
      <x:c r="G239" s="2" t="n">
        <x:v>27</x:v>
      </x:c>
      <x:c r="H239" s="2" t="n">
        <x:f>G239+Supuestos!$C$15</x:f>
        <x:v>28</x:v>
      </x:c>
      <x:c r="I239" s="14" t="n">
        <x:f>E2_plantas!J7+G239</x:f>
        <x:v>46201</x:v>
      </x:c>
      <x:c r="J239" s="2" t="str">
        <x:v>muerta</x:v>
      </x:c>
      <x:c r="K239" s="2" t="n">
        <x:v>0</x:v>
      </x:c>
      <x:c r="L239" s="2" t="n">
        <x:v>0</x:v>
      </x:c>
      <x:c r="M239" s="2" t="n">
        <x:f>SUM(L$212:L239)</x:f>
        <x:v>0</x:v>
      </x:c>
      <x:c r="N239" s="2" t="n">
        <x:v>0</x:v>
      </x:c>
      <x:c r="O239" s="2" t="str">
        <x:v>relleno_postmuerte</x:v>
      </x:c>
      <x:c r="P239" s="2" t="n">
        <x:v>0</x:v>
      </x:c>
      <x:c r="Q239" s="2" t="str">
        <x:v>simulado_didactico</x:v>
      </x:c>
    </x:row>
    <x:row r="240" ht="19" customHeight="1">
      <x:c r="A240" s="2" t="str">
        <x:v>SIM-E2-MP-L7-R02</x:v>
      </x:c>
      <x:c r="B240" s="2" t="n">
        <x:v>1</x:v>
      </x:c>
      <x:c r="C240" s="2" t="str">
        <x:v>MP</x:v>
      </x:c>
      <x:c r="D240" s="2" t="str">
        <x:v>Myzus persicae</x:v>
      </x:c>
      <x:c r="E240" s="2" t="str">
        <x:v>L7</x:v>
      </x:c>
      <x:c r="F240" s="2" t="n">
        <x:v>2</x:v>
      </x:c>
      <x:c r="G240" s="2" t="n">
        <x:v>28</x:v>
      </x:c>
      <x:c r="H240" s="2" t="n">
        <x:f>G240+Supuestos!$C$15</x:f>
        <x:v>29</x:v>
      </x:c>
      <x:c r="I240" s="14" t="n">
        <x:f>E2_plantas!J7+G240</x:f>
        <x:v>46202</x:v>
      </x:c>
      <x:c r="J240" s="2" t="str">
        <x:v>muerta</x:v>
      </x:c>
      <x:c r="K240" s="2" t="n">
        <x:v>0</x:v>
      </x:c>
      <x:c r="L240" s="2" t="n">
        <x:v>0</x:v>
      </x:c>
      <x:c r="M240" s="2" t="n">
        <x:f>SUM(L$212:L240)</x:f>
        <x:v>0</x:v>
      </x:c>
      <x:c r="N240" s="2" t="n">
        <x:v>0</x:v>
      </x:c>
      <x:c r="O240" s="2" t="str">
        <x:v>relleno_postmuerte</x:v>
      </x:c>
      <x:c r="P240" s="2" t="n">
        <x:v>0</x:v>
      </x:c>
      <x:c r="Q240" s="2" t="str">
        <x:v>simulado_didactico</x:v>
      </x:c>
    </x:row>
    <x:row r="241" ht="19" customHeight="1">
      <x:c r="A241" s="2" t="str">
        <x:v>SIM-E2-MP-L7-R02</x:v>
      </x:c>
      <x:c r="B241" s="2" t="n">
        <x:v>1</x:v>
      </x:c>
      <x:c r="C241" s="2" t="str">
        <x:v>MP</x:v>
      </x:c>
      <x:c r="D241" s="2" t="str">
        <x:v>Myzus persicae</x:v>
      </x:c>
      <x:c r="E241" s="2" t="str">
        <x:v>L7</x:v>
      </x:c>
      <x:c r="F241" s="2" t="n">
        <x:v>2</x:v>
      </x:c>
      <x:c r="G241" s="2" t="n">
        <x:v>29</x:v>
      </x:c>
      <x:c r="H241" s="2" t="n">
        <x:f>G241+Supuestos!$C$15</x:f>
        <x:v>30</x:v>
      </x:c>
      <x:c r="I241" s="14" t="n">
        <x:f>E2_plantas!J7+G241</x:f>
        <x:v>46203</x:v>
      </x:c>
      <x:c r="J241" s="2" t="str">
        <x:v>muerta</x:v>
      </x:c>
      <x:c r="K241" s="2" t="n">
        <x:v>0</x:v>
      </x:c>
      <x:c r="L241" s="2" t="n">
        <x:v>0</x:v>
      </x:c>
      <x:c r="M241" s="2" t="n">
        <x:f>SUM(L$212:L241)</x:f>
        <x:v>0</x:v>
      </x:c>
      <x:c r="N241" s="2" t="n">
        <x:v>0</x:v>
      </x:c>
      <x:c r="O241" s="2" t="str">
        <x:v>relleno_postmuerte</x:v>
      </x:c>
      <x:c r="P241" s="2" t="n">
        <x:v>0</x:v>
      </x:c>
      <x:c r="Q241" s="2" t="str">
        <x:v>simulado_didactico</x:v>
      </x:c>
    </x:row>
    <x:row r="242" ht="19" customHeight="1">
      <x:c r="A242" s="2" t="str">
        <x:v>SIM-E2-MP-L7-R02</x:v>
      </x:c>
      <x:c r="B242" s="2" t="n">
        <x:v>1</x:v>
      </x:c>
      <x:c r="C242" s="2" t="str">
        <x:v>MP</x:v>
      </x:c>
      <x:c r="D242" s="2" t="str">
        <x:v>Myzus persicae</x:v>
      </x:c>
      <x:c r="E242" s="2" t="str">
        <x:v>L7</x:v>
      </x:c>
      <x:c r="F242" s="2" t="n">
        <x:v>2</x:v>
      </x:c>
      <x:c r="G242" s="2" t="n">
        <x:v>30</x:v>
      </x:c>
      <x:c r="H242" s="2" t="n">
        <x:f>G242+Supuestos!$C$15</x:f>
        <x:v>31</x:v>
      </x:c>
      <x:c r="I242" s="14" t="n">
        <x:f>E2_plantas!J7+G242</x:f>
        <x:v>46204</x:v>
      </x:c>
      <x:c r="J242" s="2" t="str">
        <x:v>muerta</x:v>
      </x:c>
      <x:c r="K242" s="2" t="n">
        <x:v>0</x:v>
      </x:c>
      <x:c r="L242" s="2" t="n">
        <x:v>0</x:v>
      </x:c>
      <x:c r="M242" s="2" t="n">
        <x:f>SUM(L$212:L242)</x:f>
        <x:v>0</x:v>
      </x:c>
      <x:c r="N242" s="2" t="n">
        <x:v>0</x:v>
      </x:c>
      <x:c r="O242" s="2" t="str">
        <x:v>relleno_postmuerte</x:v>
      </x:c>
      <x:c r="P242" s="2" t="n">
        <x:v>0</x:v>
      </x:c>
      <x:c r="Q242" s="2" t="str">
        <x:v>simulado_didactico</x:v>
      </x:c>
    </x:row>
    <x:row r="243" ht="19" customHeight="1">
      <x:c r="A243" s="2" t="str">
        <x:v>SIM-E2-MP-L7-R02</x:v>
      </x:c>
      <x:c r="B243" s="2" t="n">
        <x:v>1</x:v>
      </x:c>
      <x:c r="C243" s="2" t="str">
        <x:v>MP</x:v>
      </x:c>
      <x:c r="D243" s="2" t="str">
        <x:v>Myzus persicae</x:v>
      </x:c>
      <x:c r="E243" s="2" t="str">
        <x:v>L7</x:v>
      </x:c>
      <x:c r="F243" s="2" t="n">
        <x:v>2</x:v>
      </x:c>
      <x:c r="G243" s="2" t="n">
        <x:v>31</x:v>
      </x:c>
      <x:c r="H243" s="2" t="n">
        <x:f>G243+Supuestos!$C$15</x:f>
        <x:v>32</x:v>
      </x:c>
      <x:c r="I243" s="14" t="n">
        <x:f>E2_plantas!J7+G243</x:f>
        <x:v>46205</x:v>
      </x:c>
      <x:c r="J243" s="2" t="str">
        <x:v>muerta</x:v>
      </x:c>
      <x:c r="K243" s="2" t="n">
        <x:v>0</x:v>
      </x:c>
      <x:c r="L243" s="2" t="n">
        <x:v>0</x:v>
      </x:c>
      <x:c r="M243" s="2" t="n">
        <x:f>SUM(L$212:L243)</x:f>
        <x:v>0</x:v>
      </x:c>
      <x:c r="N243" s="2" t="n">
        <x:v>0</x:v>
      </x:c>
      <x:c r="O243" s="2" t="str">
        <x:v>relleno_postmuerte</x:v>
      </x:c>
      <x:c r="P243" s="2" t="n">
        <x:v>0</x:v>
      </x:c>
      <x:c r="Q243" s="2" t="str">
        <x:v>simulado_didactico</x:v>
      </x:c>
    </x:row>
    <x:row r="244" ht="19" customHeight="1">
      <x:c r="A244" s="2" t="str">
        <x:v>SIM-E2-MP-L7-R02</x:v>
      </x:c>
      <x:c r="B244" s="2" t="n">
        <x:v>1</x:v>
      </x:c>
      <x:c r="C244" s="2" t="str">
        <x:v>MP</x:v>
      </x:c>
      <x:c r="D244" s="2" t="str">
        <x:v>Myzus persicae</x:v>
      </x:c>
      <x:c r="E244" s="2" t="str">
        <x:v>L7</x:v>
      </x:c>
      <x:c r="F244" s="2" t="n">
        <x:v>2</x:v>
      </x:c>
      <x:c r="G244" s="2" t="n">
        <x:v>32</x:v>
      </x:c>
      <x:c r="H244" s="2" t="n">
        <x:f>G244+Supuestos!$C$15</x:f>
        <x:v>33</x:v>
      </x:c>
      <x:c r="I244" s="14" t="n">
        <x:f>E2_plantas!J7+G244</x:f>
        <x:v>46206</x:v>
      </x:c>
      <x:c r="J244" s="2" t="str">
        <x:v>muerta</x:v>
      </x:c>
      <x:c r="K244" s="2" t="n">
        <x:v>0</x:v>
      </x:c>
      <x:c r="L244" s="2" t="n">
        <x:v>0</x:v>
      </x:c>
      <x:c r="M244" s="2" t="n">
        <x:f>SUM(L$212:L244)</x:f>
        <x:v>0</x:v>
      </x:c>
      <x:c r="N244" s="2" t="n">
        <x:v>0</x:v>
      </x:c>
      <x:c r="O244" s="2" t="str">
        <x:v>relleno_postmuerte</x:v>
      </x:c>
      <x:c r="P244" s="2" t="n">
        <x:v>0</x:v>
      </x:c>
      <x:c r="Q244" s="2" t="str">
        <x:v>simulado_didactico</x:v>
      </x:c>
    </x:row>
    <x:row r="245" ht="19" customHeight="1">
      <x:c r="A245" s="2" t="str">
        <x:v>SIM-E2-MP-L7-R02</x:v>
      </x:c>
      <x:c r="B245" s="2" t="n">
        <x:v>1</x:v>
      </x:c>
      <x:c r="C245" s="2" t="str">
        <x:v>MP</x:v>
      </x:c>
      <x:c r="D245" s="2" t="str">
        <x:v>Myzus persicae</x:v>
      </x:c>
      <x:c r="E245" s="2" t="str">
        <x:v>L7</x:v>
      </x:c>
      <x:c r="F245" s="2" t="n">
        <x:v>2</x:v>
      </x:c>
      <x:c r="G245" s="2" t="n">
        <x:v>33</x:v>
      </x:c>
      <x:c r="H245" s="2" t="n">
        <x:f>G245+Supuestos!$C$15</x:f>
        <x:v>34</x:v>
      </x:c>
      <x:c r="I245" s="14" t="n">
        <x:f>E2_plantas!J7+G245</x:f>
        <x:v>46207</x:v>
      </x:c>
      <x:c r="J245" s="2" t="str">
        <x:v>muerta</x:v>
      </x:c>
      <x:c r="K245" s="2" t="n">
        <x:v>0</x:v>
      </x:c>
      <x:c r="L245" s="2" t="n">
        <x:v>0</x:v>
      </x:c>
      <x:c r="M245" s="2" t="n">
        <x:f>SUM(L$212:L245)</x:f>
        <x:v>0</x:v>
      </x:c>
      <x:c r="N245" s="2" t="n">
        <x:v>0</x:v>
      </x:c>
      <x:c r="O245" s="2" t="str">
        <x:v>relleno_postmuerte</x:v>
      </x:c>
      <x:c r="P245" s="2" t="n">
        <x:v>0</x:v>
      </x:c>
      <x:c r="Q245" s="2" t="str">
        <x:v>simulado_didactico</x:v>
      </x:c>
    </x:row>
    <x:row r="246" ht="19" customHeight="1">
      <x:c r="A246" s="2" t="str">
        <x:v>SIM-E2-MP-L7-R02</x:v>
      </x:c>
      <x:c r="B246" s="2" t="n">
        <x:v>1</x:v>
      </x:c>
      <x:c r="C246" s="2" t="str">
        <x:v>MP</x:v>
      </x:c>
      <x:c r="D246" s="2" t="str">
        <x:v>Myzus persicae</x:v>
      </x:c>
      <x:c r="E246" s="2" t="str">
        <x:v>L7</x:v>
      </x:c>
      <x:c r="F246" s="2" t="n">
        <x:v>2</x:v>
      </x:c>
      <x:c r="G246" s="2" t="n">
        <x:v>34</x:v>
      </x:c>
      <x:c r="H246" s="2" t="n">
        <x:f>G246+Supuestos!$C$15</x:f>
        <x:v>35</x:v>
      </x:c>
      <x:c r="I246" s="14" t="n">
        <x:f>E2_plantas!J7+G246</x:f>
        <x:v>46208</x:v>
      </x:c>
      <x:c r="J246" s="2" t="str">
        <x:v>muerta</x:v>
      </x:c>
      <x:c r="K246" s="2" t="n">
        <x:v>0</x:v>
      </x:c>
      <x:c r="L246" s="2" t="n">
        <x:v>0</x:v>
      </x:c>
      <x:c r="M246" s="2" t="n">
        <x:f>SUM(L$212:L246)</x:f>
        <x:v>0</x:v>
      </x:c>
      <x:c r="N246" s="2" t="n">
        <x:v>0</x:v>
      </x:c>
      <x:c r="O246" s="2" t="str">
        <x:v>relleno_postmuerte</x:v>
      </x:c>
      <x:c r="P246" s="2" t="n">
        <x:v>0</x:v>
      </x:c>
      <x:c r="Q246" s="2" t="str">
        <x:v>simulado_didactico</x:v>
      </x:c>
    </x:row>
    <x:row r="247" ht="19" customHeight="1">
      <x:c r="A247" s="2" t="str">
        <x:v>SIM-E2-MP-L7-R02</x:v>
      </x:c>
      <x:c r="B247" s="2" t="n">
        <x:v>1</x:v>
      </x:c>
      <x:c r="C247" s="2" t="str">
        <x:v>MP</x:v>
      </x:c>
      <x:c r="D247" s="2" t="str">
        <x:v>Myzus persicae</x:v>
      </x:c>
      <x:c r="E247" s="2" t="str">
        <x:v>L7</x:v>
      </x:c>
      <x:c r="F247" s="2" t="n">
        <x:v>2</x:v>
      </x:c>
      <x:c r="G247" s="2" t="n">
        <x:v>35</x:v>
      </x:c>
      <x:c r="H247" s="2" t="n">
        <x:f>G247+Supuestos!$C$15</x:f>
        <x:v>36</x:v>
      </x:c>
      <x:c r="I247" s="14" t="n">
        <x:f>E2_plantas!J7+G247</x:f>
        <x:v>46209</x:v>
      </x:c>
      <x:c r="J247" s="2" t="str">
        <x:v>muerta</x:v>
      </x:c>
      <x:c r="K247" s="2" t="n">
        <x:v>0</x:v>
      </x:c>
      <x:c r="L247" s="2" t="n">
        <x:v>0</x:v>
      </x:c>
      <x:c r="M247" s="2" t="n">
        <x:f>SUM(L$212:L247)</x:f>
        <x:v>0</x:v>
      </x:c>
      <x:c r="N247" s="2" t="n">
        <x:v>0</x:v>
      </x:c>
      <x:c r="O247" s="2" t="str">
        <x:v>relleno_postmuerte</x:v>
      </x:c>
      <x:c r="P247" s="2" t="n">
        <x:v>0</x:v>
      </x:c>
      <x:c r="Q247" s="2" t="str">
        <x:v>simulado_didactico</x:v>
      </x:c>
    </x:row>
    <x:row r="248" ht="19" customHeight="1">
      <x:c r="A248" s="2" t="str">
        <x:v>SIM-E2-MP-L7-R02</x:v>
      </x:c>
      <x:c r="B248" s="2" t="n">
        <x:v>1</x:v>
      </x:c>
      <x:c r="C248" s="2" t="str">
        <x:v>MP</x:v>
      </x:c>
      <x:c r="D248" s="2" t="str">
        <x:v>Myzus persicae</x:v>
      </x:c>
      <x:c r="E248" s="2" t="str">
        <x:v>L7</x:v>
      </x:c>
      <x:c r="F248" s="2" t="n">
        <x:v>2</x:v>
      </x:c>
      <x:c r="G248" s="2" t="n">
        <x:v>36</x:v>
      </x:c>
      <x:c r="H248" s="2" t="n">
        <x:f>G248+Supuestos!$C$15</x:f>
        <x:v>37</x:v>
      </x:c>
      <x:c r="I248" s="14" t="n">
        <x:f>E2_plantas!J7+G248</x:f>
        <x:v>46210</x:v>
      </x:c>
      <x:c r="J248" s="2" t="str">
        <x:v>muerta</x:v>
      </x:c>
      <x:c r="K248" s="2" t="n">
        <x:v>0</x:v>
      </x:c>
      <x:c r="L248" s="2" t="n">
        <x:v>0</x:v>
      </x:c>
      <x:c r="M248" s="2" t="n">
        <x:f>SUM(L$212:L248)</x:f>
        <x:v>0</x:v>
      </x:c>
      <x:c r="N248" s="2" t="n">
        <x:v>0</x:v>
      </x:c>
      <x:c r="O248" s="2" t="str">
        <x:v>relleno_postmuerte</x:v>
      </x:c>
      <x:c r="P248" s="2" t="n">
        <x:v>0</x:v>
      </x:c>
      <x:c r="Q248" s="2" t="str">
        <x:v>simulado_didactico</x:v>
      </x:c>
    </x:row>
    <x:row r="249" ht="19" customHeight="1">
      <x:c r="A249" s="2" t="str">
        <x:v>SIM-E2-MP-L7-R02</x:v>
      </x:c>
      <x:c r="B249" s="2" t="n">
        <x:v>1</x:v>
      </x:c>
      <x:c r="C249" s="2" t="str">
        <x:v>MP</x:v>
      </x:c>
      <x:c r="D249" s="2" t="str">
        <x:v>Myzus persicae</x:v>
      </x:c>
      <x:c r="E249" s="2" t="str">
        <x:v>L7</x:v>
      </x:c>
      <x:c r="F249" s="2" t="n">
        <x:v>2</x:v>
      </x:c>
      <x:c r="G249" s="2" t="n">
        <x:v>37</x:v>
      </x:c>
      <x:c r="H249" s="2" t="n">
        <x:f>G249+Supuestos!$C$15</x:f>
        <x:v>38</x:v>
      </x:c>
      <x:c r="I249" s="14" t="n">
        <x:f>E2_plantas!J7+G249</x:f>
        <x:v>46211</x:v>
      </x:c>
      <x:c r="J249" s="2" t="str">
        <x:v>muerta</x:v>
      </x:c>
      <x:c r="K249" s="2" t="n">
        <x:v>0</x:v>
      </x:c>
      <x:c r="L249" s="2" t="n">
        <x:v>0</x:v>
      </x:c>
      <x:c r="M249" s="2" t="n">
        <x:f>SUM(L$212:L249)</x:f>
        <x:v>0</x:v>
      </x:c>
      <x:c r="N249" s="2" t="n">
        <x:v>0</x:v>
      </x:c>
      <x:c r="O249" s="2" t="str">
        <x:v>relleno_postmuerte</x:v>
      </x:c>
      <x:c r="P249" s="2" t="n">
        <x:v>0</x:v>
      </x:c>
      <x:c r="Q249" s="2" t="str">
        <x:v>simulado_didactico</x:v>
      </x:c>
    </x:row>
    <x:row r="250" ht="19" customHeight="1">
      <x:c r="A250" s="2" t="str">
        <x:v>SIM-E2-MP-L7-R02</x:v>
      </x:c>
      <x:c r="B250" s="2" t="n">
        <x:v>1</x:v>
      </x:c>
      <x:c r="C250" s="2" t="str">
        <x:v>MP</x:v>
      </x:c>
      <x:c r="D250" s="2" t="str">
        <x:v>Myzus persicae</x:v>
      </x:c>
      <x:c r="E250" s="2" t="str">
        <x:v>L7</x:v>
      </x:c>
      <x:c r="F250" s="2" t="n">
        <x:v>2</x:v>
      </x:c>
      <x:c r="G250" s="2" t="n">
        <x:v>38</x:v>
      </x:c>
      <x:c r="H250" s="2" t="n">
        <x:f>G250+Supuestos!$C$15</x:f>
        <x:v>39</x:v>
      </x:c>
      <x:c r="I250" s="14" t="n">
        <x:f>E2_plantas!J7+G250</x:f>
        <x:v>46212</x:v>
      </x:c>
      <x:c r="J250" s="2" t="str">
        <x:v>muerta</x:v>
      </x:c>
      <x:c r="K250" s="2" t="n">
        <x:v>0</x:v>
      </x:c>
      <x:c r="L250" s="2" t="n">
        <x:v>0</x:v>
      </x:c>
      <x:c r="M250" s="2" t="n">
        <x:f>SUM(L$212:L250)</x:f>
        <x:v>0</x:v>
      </x:c>
      <x:c r="N250" s="2" t="n">
        <x:v>0</x:v>
      </x:c>
      <x:c r="O250" s="2" t="str">
        <x:v>relleno_postmuerte</x:v>
      </x:c>
      <x:c r="P250" s="2" t="n">
        <x:v>0</x:v>
      </x:c>
      <x:c r="Q250" s="2" t="str">
        <x:v>simulado_didactico</x:v>
      </x:c>
    </x:row>
    <x:row r="251" ht="19" customHeight="1">
      <x:c r="A251" s="2" t="str">
        <x:v>SIM-E2-MP-L7-R02</x:v>
      </x:c>
      <x:c r="B251" s="2" t="n">
        <x:v>1</x:v>
      </x:c>
      <x:c r="C251" s="2" t="str">
        <x:v>MP</x:v>
      </x:c>
      <x:c r="D251" s="2" t="str">
        <x:v>Myzus persicae</x:v>
      </x:c>
      <x:c r="E251" s="2" t="str">
        <x:v>L7</x:v>
      </x:c>
      <x:c r="F251" s="2" t="n">
        <x:v>2</x:v>
      </x:c>
      <x:c r="G251" s="2" t="n">
        <x:v>39</x:v>
      </x:c>
      <x:c r="H251" s="2" t="n">
        <x:f>G251+Supuestos!$C$15</x:f>
        <x:v>40</x:v>
      </x:c>
      <x:c r="I251" s="14" t="n">
        <x:f>E2_plantas!J7+G251</x:f>
        <x:v>46213</x:v>
      </x:c>
      <x:c r="J251" s="2" t="str">
        <x:v>muerta</x:v>
      </x:c>
      <x:c r="K251" s="2" t="n">
        <x:v>0</x:v>
      </x:c>
      <x:c r="L251" s="2" t="n">
        <x:v>0</x:v>
      </x:c>
      <x:c r="M251" s="2" t="n">
        <x:f>SUM(L$212:L251)</x:f>
        <x:v>0</x:v>
      </x:c>
      <x:c r="N251" s="2" t="n">
        <x:v>0</x:v>
      </x:c>
      <x:c r="O251" s="2" t="str">
        <x:v>relleno_postmuerte</x:v>
      </x:c>
      <x:c r="P251" s="2" t="n">
        <x:v>0</x:v>
      </x:c>
      <x:c r="Q251" s="2" t="str">
        <x:v>simulado_didactico</x:v>
      </x:c>
    </x:row>
    <x:row r="252" ht="19" customHeight="1">
      <x:c r="A252" s="2" t="str">
        <x:v>SIM-E2-MP-L7-R02</x:v>
      </x:c>
      <x:c r="B252" s="2" t="n">
        <x:v>1</x:v>
      </x:c>
      <x:c r="C252" s="2" t="str">
        <x:v>MP</x:v>
      </x:c>
      <x:c r="D252" s="2" t="str">
        <x:v>Myzus persicae</x:v>
      </x:c>
      <x:c r="E252" s="2" t="str">
        <x:v>L7</x:v>
      </x:c>
      <x:c r="F252" s="2" t="n">
        <x:v>2</x:v>
      </x:c>
      <x:c r="G252" s="2" t="n">
        <x:v>40</x:v>
      </x:c>
      <x:c r="H252" s="2" t="n">
        <x:f>G252+Supuestos!$C$15</x:f>
        <x:v>41</x:v>
      </x:c>
      <x:c r="I252" s="14" t="n">
        <x:f>E2_plantas!J7+G252</x:f>
        <x:v>46214</x:v>
      </x:c>
      <x:c r="J252" s="2" t="str">
        <x:v>muerta</x:v>
      </x:c>
      <x:c r="K252" s="2" t="n">
        <x:v>0</x:v>
      </x:c>
      <x:c r="L252" s="2" t="n">
        <x:v>0</x:v>
      </x:c>
      <x:c r="M252" s="2" t="n">
        <x:f>SUM(L$212:L252)</x:f>
        <x:v>0</x:v>
      </x:c>
      <x:c r="N252" s="2" t="n">
        <x:v>0</x:v>
      </x:c>
      <x:c r="O252" s="2" t="str">
        <x:v>relleno_postmuerte</x:v>
      </x:c>
      <x:c r="P252" s="2" t="n">
        <x:v>0</x:v>
      </x:c>
      <x:c r="Q252" s="2" t="str">
        <x:v>simulado_didactico</x:v>
      </x:c>
    </x:row>
    <x:row r="253" ht="19" customHeight="1">
      <x:c r="A253" s="2" t="str">
        <x:v>SIM-E2-MP-L7-R02</x:v>
      </x:c>
      <x:c r="B253" s="2" t="n">
        <x:v>1</x:v>
      </x:c>
      <x:c r="C253" s="2" t="str">
        <x:v>MP</x:v>
      </x:c>
      <x:c r="D253" s="2" t="str">
        <x:v>Myzus persicae</x:v>
      </x:c>
      <x:c r="E253" s="2" t="str">
        <x:v>L7</x:v>
      </x:c>
      <x:c r="F253" s="2" t="n">
        <x:v>2</x:v>
      </x:c>
      <x:c r="G253" s="2" t="n">
        <x:v>41</x:v>
      </x:c>
      <x:c r="H253" s="2" t="n">
        <x:f>G253+Supuestos!$C$15</x:f>
        <x:v>42</x:v>
      </x:c>
      <x:c r="I253" s="14" t="n">
        <x:f>E2_plantas!J7+G253</x:f>
        <x:v>46215</x:v>
      </x:c>
      <x:c r="J253" s="2" t="str">
        <x:v>muerta</x:v>
      </x:c>
      <x:c r="K253" s="2" t="n">
        <x:v>0</x:v>
      </x:c>
      <x:c r="L253" s="2" t="n">
        <x:v>0</x:v>
      </x:c>
      <x:c r="M253" s="2" t="n">
        <x:f>SUM(L$212:L253)</x:f>
        <x:v>0</x:v>
      </x:c>
      <x:c r="N253" s="2" t="n">
        <x:v>0</x:v>
      </x:c>
      <x:c r="O253" s="2" t="str">
        <x:v>relleno_postmuerte</x:v>
      </x:c>
      <x:c r="P253" s="2" t="n">
        <x:v>0</x:v>
      </x:c>
      <x:c r="Q253" s="2" t="str">
        <x:v>simulado_didactico</x:v>
      </x:c>
    </x:row>
    <x:row r="254" ht="19" customHeight="1">
      <x:c r="A254" s="2" t="str">
        <x:v>SIM-E2-BB-L0-R01</x:v>
      </x:c>
      <x:c r="B254" s="2" t="n">
        <x:v>1</x:v>
      </x:c>
      <x:c r="C254" s="2" t="str">
        <x:v>BB</x:v>
      </x:c>
      <x:c r="D254" s="2" t="str">
        <x:v>Brevicoryne brassicae</x:v>
      </x:c>
      <x:c r="E254" s="2" t="str">
        <x:v>L0</x:v>
      </x:c>
      <x:c r="F254" s="2" t="n">
        <x:v>1</x:v>
      </x:c>
      <x:c r="G254" s="2" t="n">
        <x:v>0</x:v>
      </x:c>
      <x:c r="H254" s="2" t="n">
        <x:f>G254+Supuestos!$C$15</x:f>
        <x:v>1</x:v>
      </x:c>
      <x:c r="I254" s="14" t="n">
        <x:f>E2_plantas!J8+G254</x:f>
        <x:v>46174</x:v>
      </x:c>
      <x:c r="J254" s="2" t="str">
        <x:v>N1</x:v>
      </x:c>
      <x:c r="K254" s="2" t="n">
        <x:v>1</x:v>
      </x:c>
      <x:c r="L254" s="2" t="n">
        <x:v>0</x:v>
      </x:c>
      <x:c r="M254" s="2" t="n">
        <x:f>SUM(L$254:L254)</x:f>
        <x:v>0</x:v>
      </x:c>
      <x:c r="N254" s="2" t="n">
        <x:v>0</x:v>
      </x:c>
      <x:c r="O254" s="2" t="str">
        <x:v>seguimiento</x:v>
      </x:c>
      <x:c r="P254" s="2" t="n">
        <x:v>0</x:v>
      </x:c>
      <x:c r="Q254" s="2" t="str">
        <x:v>simulado_didactico</x:v>
      </x:c>
    </x:row>
    <x:row r="255" ht="19" customHeight="1">
      <x:c r="A255" s="2" t="str">
        <x:v>SIM-E2-BB-L0-R01</x:v>
      </x:c>
      <x:c r="B255" s="2" t="n">
        <x:v>1</x:v>
      </x:c>
      <x:c r="C255" s="2" t="str">
        <x:v>BB</x:v>
      </x:c>
      <x:c r="D255" s="2" t="str">
        <x:v>Brevicoryne brassicae</x:v>
      </x:c>
      <x:c r="E255" s="2" t="str">
        <x:v>L0</x:v>
      </x:c>
      <x:c r="F255" s="2" t="n">
        <x:v>1</x:v>
      </x:c>
      <x:c r="G255" s="2" t="n">
        <x:v>1</x:v>
      </x:c>
      <x:c r="H255" s="2" t="n">
        <x:f>G255+Supuestos!$C$15</x:f>
        <x:v>2</x:v>
      </x:c>
      <x:c r="I255" s="14" t="n">
        <x:f>E2_plantas!J8+G255</x:f>
        <x:v>46175</x:v>
      </x:c>
      <x:c r="J255" s="2" t="str">
        <x:v>N2</x:v>
      </x:c>
      <x:c r="K255" s="2" t="n">
        <x:v>1</x:v>
      </x:c>
      <x:c r="L255" s="2" t="n">
        <x:v>0</x:v>
      </x:c>
      <x:c r="M255" s="2" t="n">
        <x:f>SUM(L$254:L255)</x:f>
        <x:v>0</x:v>
      </x:c>
      <x:c r="N255" s="2" t="n">
        <x:v>0</x:v>
      </x:c>
      <x:c r="O255" s="2" t="str">
        <x:v>seguimiento</x:v>
      </x:c>
      <x:c r="P255" s="2" t="n">
        <x:v>0</x:v>
      </x:c>
      <x:c r="Q255" s="2" t="str">
        <x:v>simulado_didactico</x:v>
      </x:c>
    </x:row>
    <x:row r="256" ht="19" customHeight="1">
      <x:c r="A256" s="2" t="str">
        <x:v>SIM-E2-BB-L0-R01</x:v>
      </x:c>
      <x:c r="B256" s="2" t="n">
        <x:v>1</x:v>
      </x:c>
      <x:c r="C256" s="2" t="str">
        <x:v>BB</x:v>
      </x:c>
      <x:c r="D256" s="2" t="str">
        <x:v>Brevicoryne brassicae</x:v>
      </x:c>
      <x:c r="E256" s="2" t="str">
        <x:v>L0</x:v>
      </x:c>
      <x:c r="F256" s="2" t="n">
        <x:v>1</x:v>
      </x:c>
      <x:c r="G256" s="2" t="n">
        <x:v>2</x:v>
      </x:c>
      <x:c r="H256" s="2" t="n">
        <x:f>G256+Supuestos!$C$15</x:f>
        <x:v>3</x:v>
      </x:c>
      <x:c r="I256" s="14" t="n">
        <x:f>E2_plantas!J8+G256</x:f>
        <x:v>46176</x:v>
      </x:c>
      <x:c r="J256" s="2" t="str">
        <x:v>N2</x:v>
      </x:c>
      <x:c r="K256" s="2" t="n">
        <x:v>1</x:v>
      </x:c>
      <x:c r="L256" s="2" t="n">
        <x:v>0</x:v>
      </x:c>
      <x:c r="M256" s="2" t="n">
        <x:f>SUM(L$254:L256)</x:f>
        <x:v>0</x:v>
      </x:c>
      <x:c r="N256" s="2" t="n">
        <x:v>0</x:v>
      </x:c>
      <x:c r="O256" s="2" t="str">
        <x:v>seguimiento</x:v>
      </x:c>
      <x:c r="P256" s="2" t="n">
        <x:v>0</x:v>
      </x:c>
      <x:c r="Q256" s="2" t="str">
        <x:v>simulado_didactico</x:v>
      </x:c>
    </x:row>
    <x:row r="257" ht="19" customHeight="1">
      <x:c r="A257" s="2" t="str">
        <x:v>SIM-E2-BB-L0-R01</x:v>
      </x:c>
      <x:c r="B257" s="2" t="n">
        <x:v>1</x:v>
      </x:c>
      <x:c r="C257" s="2" t="str">
        <x:v>BB</x:v>
      </x:c>
      <x:c r="D257" s="2" t="str">
        <x:v>Brevicoryne brassicae</x:v>
      </x:c>
      <x:c r="E257" s="2" t="str">
        <x:v>L0</x:v>
      </x:c>
      <x:c r="F257" s="2" t="n">
        <x:v>1</x:v>
      </x:c>
      <x:c r="G257" s="2" t="n">
        <x:v>3</x:v>
      </x:c>
      <x:c r="H257" s="2" t="n">
        <x:f>G257+Supuestos!$C$15</x:f>
        <x:v>4</x:v>
      </x:c>
      <x:c r="I257" s="14" t="n">
        <x:f>E2_plantas!J8+G257</x:f>
        <x:v>46177</x:v>
      </x:c>
      <x:c r="J257" s="2" t="str">
        <x:v>N2</x:v>
      </x:c>
      <x:c r="K257" s="2" t="n">
        <x:v>1</x:v>
      </x:c>
      <x:c r="L257" s="2" t="n">
        <x:v>0</x:v>
      </x:c>
      <x:c r="M257" s="2" t="n">
        <x:f>SUM(L$254:L257)</x:f>
        <x:v>0</x:v>
      </x:c>
      <x:c r="N257" s="2" t="n">
        <x:v>0</x:v>
      </x:c>
      <x:c r="O257" s="2" t="str">
        <x:v>seguimiento</x:v>
      </x:c>
      <x:c r="P257" s="2" t="n">
        <x:v>0</x:v>
      </x:c>
      <x:c r="Q257" s="2" t="str">
        <x:v>simulado_didactico</x:v>
      </x:c>
    </x:row>
    <x:row r="258" ht="19" customHeight="1">
      <x:c r="A258" s="2" t="str">
        <x:v>SIM-E2-BB-L0-R01</x:v>
      </x:c>
      <x:c r="B258" s="2" t="n">
        <x:v>1</x:v>
      </x:c>
      <x:c r="C258" s="2" t="str">
        <x:v>BB</x:v>
      </x:c>
      <x:c r="D258" s="2" t="str">
        <x:v>Brevicoryne brassicae</x:v>
      </x:c>
      <x:c r="E258" s="2" t="str">
        <x:v>L0</x:v>
      </x:c>
      <x:c r="F258" s="2" t="n">
        <x:v>1</x:v>
      </x:c>
      <x:c r="G258" s="2" t="n">
        <x:v>4</x:v>
      </x:c>
      <x:c r="H258" s="2" t="n">
        <x:f>G258+Supuestos!$C$15</x:f>
        <x:v>5</x:v>
      </x:c>
      <x:c r="I258" s="14" t="n">
        <x:f>E2_plantas!J8+G258</x:f>
        <x:v>46178</x:v>
      </x:c>
      <x:c r="J258" s="2" t="str">
        <x:v>N3</x:v>
      </x:c>
      <x:c r="K258" s="2" t="n">
        <x:v>1</x:v>
      </x:c>
      <x:c r="L258" s="2" t="n">
        <x:v>0</x:v>
      </x:c>
      <x:c r="M258" s="2" t="n">
        <x:f>SUM(L$254:L258)</x:f>
        <x:v>0</x:v>
      </x:c>
      <x:c r="N258" s="2" t="n">
        <x:v>0</x:v>
      </x:c>
      <x:c r="O258" s="2" t="str">
        <x:v>seguimiento</x:v>
      </x:c>
      <x:c r="P258" s="2" t="n">
        <x:v>0</x:v>
      </x:c>
      <x:c r="Q258" s="2" t="str">
        <x:v>simulado_didactico</x:v>
      </x:c>
    </x:row>
    <x:row r="259" ht="19" customHeight="1">
      <x:c r="A259" s="2" t="str">
        <x:v>SIM-E2-BB-L0-R01</x:v>
      </x:c>
      <x:c r="B259" s="2" t="n">
        <x:v>1</x:v>
      </x:c>
      <x:c r="C259" s="2" t="str">
        <x:v>BB</x:v>
      </x:c>
      <x:c r="D259" s="2" t="str">
        <x:v>Brevicoryne brassicae</x:v>
      </x:c>
      <x:c r="E259" s="2" t="str">
        <x:v>L0</x:v>
      </x:c>
      <x:c r="F259" s="2" t="n">
        <x:v>1</x:v>
      </x:c>
      <x:c r="G259" s="2" t="n">
        <x:v>5</x:v>
      </x:c>
      <x:c r="H259" s="2" t="n">
        <x:f>G259+Supuestos!$C$15</x:f>
        <x:v>6</x:v>
      </x:c>
      <x:c r="I259" s="14" t="n">
        <x:f>E2_plantas!J8+G259</x:f>
        <x:v>46179</x:v>
      </x:c>
      <x:c r="J259" s="2" t="str">
        <x:v>N4</x:v>
      </x:c>
      <x:c r="K259" s="2" t="n">
        <x:v>1</x:v>
      </x:c>
      <x:c r="L259" s="2" t="n">
        <x:v>0</x:v>
      </x:c>
      <x:c r="M259" s="2" t="n">
        <x:f>SUM(L$254:L259)</x:f>
        <x:v>0</x:v>
      </x:c>
      <x:c r="N259" s="2" t="n">
        <x:v>0</x:v>
      </x:c>
      <x:c r="O259" s="2" t="str">
        <x:v>seguimiento</x:v>
      </x:c>
      <x:c r="P259" s="2" t="n">
        <x:v>0</x:v>
      </x:c>
      <x:c r="Q259" s="2" t="str">
        <x:v>simulado_didactico</x:v>
      </x:c>
    </x:row>
    <x:row r="260" ht="19" customHeight="1">
      <x:c r="A260" s="2" t="str">
        <x:v>SIM-E2-BB-L0-R01</x:v>
      </x:c>
      <x:c r="B260" s="2" t="n">
        <x:v>1</x:v>
      </x:c>
      <x:c r="C260" s="2" t="str">
        <x:v>BB</x:v>
      </x:c>
      <x:c r="D260" s="2" t="str">
        <x:v>Brevicoryne brassicae</x:v>
      </x:c>
      <x:c r="E260" s="2" t="str">
        <x:v>L0</x:v>
      </x:c>
      <x:c r="F260" s="2" t="n">
        <x:v>1</x:v>
      </x:c>
      <x:c r="G260" s="2" t="n">
        <x:v>6</x:v>
      </x:c>
      <x:c r="H260" s="2" t="n">
        <x:f>G260+Supuestos!$C$15</x:f>
        <x:v>7</x:v>
      </x:c>
      <x:c r="I260" s="14" t="n">
        <x:f>E2_plantas!J8+G260</x:f>
        <x:v>46180</x:v>
      </x:c>
      <x:c r="J260" s="2" t="str">
        <x:v>N4</x:v>
      </x:c>
      <x:c r="K260" s="2" t="n">
        <x:v>1</x:v>
      </x:c>
      <x:c r="L260" s="2" t="n">
        <x:v>0</x:v>
      </x:c>
      <x:c r="M260" s="2" t="n">
        <x:f>SUM(L$254:L260)</x:f>
        <x:v>0</x:v>
      </x:c>
      <x:c r="N260" s="2" t="n">
        <x:v>0</x:v>
      </x:c>
      <x:c r="O260" s="2" t="str">
        <x:v>seguimiento</x:v>
      </x:c>
      <x:c r="P260" s="2" t="n">
        <x:v>0</x:v>
      </x:c>
      <x:c r="Q260" s="2" t="str">
        <x:v>simulado_didactico</x:v>
      </x:c>
    </x:row>
    <x:row r="261" ht="19" customHeight="1">
      <x:c r="A261" s="2" t="str">
        <x:v>SIM-E2-BB-L0-R01</x:v>
      </x:c>
      <x:c r="B261" s="2" t="n">
        <x:v>1</x:v>
      </x:c>
      <x:c r="C261" s="2" t="str">
        <x:v>BB</x:v>
      </x:c>
      <x:c r="D261" s="2" t="str">
        <x:v>Brevicoryne brassicae</x:v>
      </x:c>
      <x:c r="E261" s="2" t="str">
        <x:v>L0</x:v>
      </x:c>
      <x:c r="F261" s="2" t="n">
        <x:v>1</x:v>
      </x:c>
      <x:c r="G261" s="2" t="n">
        <x:v>7</x:v>
      </x:c>
      <x:c r="H261" s="2" t="n">
        <x:f>G261+Supuestos!$C$15</x:f>
        <x:v>8</x:v>
      </x:c>
      <x:c r="I261" s="14" t="n">
        <x:f>E2_plantas!J8+G261</x:f>
        <x:v>46181</x:v>
      </x:c>
      <x:c r="J261" s="2" t="str">
        <x:v>N4</x:v>
      </x:c>
      <x:c r="K261" s="2" t="n">
        <x:v>1</x:v>
      </x:c>
      <x:c r="L261" s="2" t="n">
        <x:v>0</x:v>
      </x:c>
      <x:c r="M261" s="2" t="n">
        <x:f>SUM(L$254:L261)</x:f>
        <x:v>0</x:v>
      </x:c>
      <x:c r="N261" s="2" t="n">
        <x:v>0</x:v>
      </x:c>
      <x:c r="O261" s="2" t="str">
        <x:v>seguimiento</x:v>
      </x:c>
      <x:c r="P261" s="2" t="n">
        <x:v>0</x:v>
      </x:c>
      <x:c r="Q261" s="2" t="str">
        <x:v>simulado_didactico</x:v>
      </x:c>
    </x:row>
    <x:row r="262" ht="19" customHeight="1">
      <x:c r="A262" s="2" t="str">
        <x:v>SIM-E2-BB-L0-R01</x:v>
      </x:c>
      <x:c r="B262" s="2" t="n">
        <x:v>1</x:v>
      </x:c>
      <x:c r="C262" s="2" t="str">
        <x:v>BB</x:v>
      </x:c>
      <x:c r="D262" s="2" t="str">
        <x:v>Brevicoryne brassicae</x:v>
      </x:c>
      <x:c r="E262" s="2" t="str">
        <x:v>L0</x:v>
      </x:c>
      <x:c r="F262" s="2" t="n">
        <x:v>1</x:v>
      </x:c>
      <x:c r="G262" s="2" t="n">
        <x:v>8</x:v>
      </x:c>
      <x:c r="H262" s="2" t="n">
        <x:f>G262+Supuestos!$C$15</x:f>
        <x:v>9</x:v>
      </x:c>
      <x:c r="I262" s="14" t="n">
        <x:f>E2_plantas!J8+G262</x:f>
        <x:v>46182</x:v>
      </x:c>
      <x:c r="J262" s="2" t="str">
        <x:v>adulta</x:v>
      </x:c>
      <x:c r="K262" s="2" t="n">
        <x:v>1</x:v>
      </x:c>
      <x:c r="L262" s="2" t="n">
        <x:v>0</x:v>
      </x:c>
      <x:c r="M262" s="2" t="n">
        <x:f>SUM(L$254:L262)</x:f>
        <x:v>0</x:v>
      </x:c>
      <x:c r="N262" s="2" t="n">
        <x:v>0</x:v>
      </x:c>
      <x:c r="O262" s="2" t="str">
        <x:v>seguimiento</x:v>
      </x:c>
      <x:c r="P262" s="2" t="n">
        <x:v>0</x:v>
      </x:c>
      <x:c r="Q262" s="2" t="str">
        <x:v>simulado_didactico</x:v>
      </x:c>
    </x:row>
    <x:row r="263" ht="19" customHeight="1">
      <x:c r="A263" s="2" t="str">
        <x:v>SIM-E2-BB-L0-R01</x:v>
      </x:c>
      <x:c r="B263" s="2" t="n">
        <x:v>1</x:v>
      </x:c>
      <x:c r="C263" s="2" t="str">
        <x:v>BB</x:v>
      </x:c>
      <x:c r="D263" s="2" t="str">
        <x:v>Brevicoryne brassicae</x:v>
      </x:c>
      <x:c r="E263" s="2" t="str">
        <x:v>L0</x:v>
      </x:c>
      <x:c r="F263" s="2" t="n">
        <x:v>1</x:v>
      </x:c>
      <x:c r="G263" s="2" t="n">
        <x:v>9</x:v>
      </x:c>
      <x:c r="H263" s="2" t="n">
        <x:f>G263+Supuestos!$C$15</x:f>
        <x:v>10</x:v>
      </x:c>
      <x:c r="I263" s="14" t="n">
        <x:f>E2_plantas!J8+G263</x:f>
        <x:v>46183</x:v>
      </x:c>
      <x:c r="J263" s="2" t="str">
        <x:v>adulta</x:v>
      </x:c>
      <x:c r="K263" s="2" t="n">
        <x:v>1</x:v>
      </x:c>
      <x:c r="L263" s="2" t="n">
        <x:v>0</x:v>
      </x:c>
      <x:c r="M263" s="2" t="n">
        <x:f>SUM(L$254:L263)</x:f>
        <x:v>0</x:v>
      </x:c>
      <x:c r="N263" s="2" t="n">
        <x:v>0</x:v>
      </x:c>
      <x:c r="O263" s="2" t="str">
        <x:v>seguimiento</x:v>
      </x:c>
      <x:c r="P263" s="2" t="n">
        <x:v>0</x:v>
      </x:c>
      <x:c r="Q263" s="2" t="str">
        <x:v>simulado_didactico</x:v>
      </x:c>
    </x:row>
    <x:row r="264" ht="19" customHeight="1">
      <x:c r="A264" s="2" t="str">
        <x:v>SIM-E2-BB-L0-R01</x:v>
      </x:c>
      <x:c r="B264" s="2" t="n">
        <x:v>1</x:v>
      </x:c>
      <x:c r="C264" s="2" t="str">
        <x:v>BB</x:v>
      </x:c>
      <x:c r="D264" s="2" t="str">
        <x:v>Brevicoryne brassicae</x:v>
      </x:c>
      <x:c r="E264" s="2" t="str">
        <x:v>L0</x:v>
      </x:c>
      <x:c r="F264" s="2" t="n">
        <x:v>1</x:v>
      </x:c>
      <x:c r="G264" s="2" t="n">
        <x:v>10</x:v>
      </x:c>
      <x:c r="H264" s="2" t="n">
        <x:f>G264+Supuestos!$C$15</x:f>
        <x:v>11</x:v>
      </x:c>
      <x:c r="I264" s="14" t="n">
        <x:f>E2_plantas!J8+G264</x:f>
        <x:v>46184</x:v>
      </x:c>
      <x:c r="J264" s="2" t="str">
        <x:v>adulta</x:v>
      </x:c>
      <x:c r="K264" s="2" t="n">
        <x:v>1</x:v>
      </x:c>
      <x:c r="L264" s="2" t="n">
        <x:v>3</x:v>
      </x:c>
      <x:c r="M264" s="2" t="n">
        <x:f>SUM(L$254:L264)</x:f>
        <x:v>3</x:v>
      </x:c>
      <x:c r="N264" s="2" t="n">
        <x:v>0</x:v>
      </x:c>
      <x:c r="O264" s="2" t="str">
        <x:v>seguimiento</x:v>
      </x:c>
      <x:c r="P264" s="2" t="n">
        <x:v>0</x:v>
      </x:c>
      <x:c r="Q264" s="2" t="str">
        <x:v>simulado_didactico</x:v>
      </x:c>
    </x:row>
    <x:row r="265" ht="19" customHeight="1">
      <x:c r="A265" s="2" t="str">
        <x:v>SIM-E2-BB-L0-R01</x:v>
      </x:c>
      <x:c r="B265" s="2" t="n">
        <x:v>1</x:v>
      </x:c>
      <x:c r="C265" s="2" t="str">
        <x:v>BB</x:v>
      </x:c>
      <x:c r="D265" s="2" t="str">
        <x:v>Brevicoryne brassicae</x:v>
      </x:c>
      <x:c r="E265" s="2" t="str">
        <x:v>L0</x:v>
      </x:c>
      <x:c r="F265" s="2" t="n">
        <x:v>1</x:v>
      </x:c>
      <x:c r="G265" s="2" t="n">
        <x:v>11</x:v>
      </x:c>
      <x:c r="H265" s="2" t="n">
        <x:f>G265+Supuestos!$C$15</x:f>
        <x:v>12</x:v>
      </x:c>
      <x:c r="I265" s="14" t="n">
        <x:f>E2_plantas!J8+G265</x:f>
        <x:v>46185</x:v>
      </x:c>
      <x:c r="J265" s="2" t="str">
        <x:v>adulta</x:v>
      </x:c>
      <x:c r="K265" s="2" t="n">
        <x:v>1</x:v>
      </x:c>
      <x:c r="L265" s="2" t="n">
        <x:v>3</x:v>
      </x:c>
      <x:c r="M265" s="2" t="n">
        <x:f>SUM(L$254:L265)</x:f>
        <x:v>6</x:v>
      </x:c>
      <x:c r="N265" s="2" t="n">
        <x:v>0</x:v>
      </x:c>
      <x:c r="O265" s="2" t="str">
        <x:v>seguimiento</x:v>
      </x:c>
      <x:c r="P265" s="2" t="n">
        <x:v>0</x:v>
      </x:c>
      <x:c r="Q265" s="2" t="str">
        <x:v>simulado_didactico</x:v>
      </x:c>
    </x:row>
    <x:row r="266" ht="19" customHeight="1">
      <x:c r="A266" s="2" t="str">
        <x:v>SIM-E2-BB-L0-R01</x:v>
      </x:c>
      <x:c r="B266" s="2" t="n">
        <x:v>1</x:v>
      </x:c>
      <x:c r="C266" s="2" t="str">
        <x:v>BB</x:v>
      </x:c>
      <x:c r="D266" s="2" t="str">
        <x:v>Brevicoryne brassicae</x:v>
      </x:c>
      <x:c r="E266" s="2" t="str">
        <x:v>L0</x:v>
      </x:c>
      <x:c r="F266" s="2" t="n">
        <x:v>1</x:v>
      </x:c>
      <x:c r="G266" s="2" t="n">
        <x:v>12</x:v>
      </x:c>
      <x:c r="H266" s="2" t="n">
        <x:f>G266+Supuestos!$C$15</x:f>
        <x:v>13</x:v>
      </x:c>
      <x:c r="I266" s="14" t="n">
        <x:f>E2_plantas!J8+G266</x:f>
        <x:v>46186</x:v>
      </x:c>
      <x:c r="J266" s="2" t="str">
        <x:v>adulta</x:v>
      </x:c>
      <x:c r="K266" s="2" t="n">
        <x:v>1</x:v>
      </x:c>
      <x:c r="L266" s="2" t="n">
        <x:v>2</x:v>
      </x:c>
      <x:c r="M266" s="2" t="n">
        <x:f>SUM(L$254:L266)</x:f>
        <x:v>8</x:v>
      </x:c>
      <x:c r="N266" s="2" t="n">
        <x:v>0</x:v>
      </x:c>
      <x:c r="O266" s="2" t="str">
        <x:v>seguimiento</x:v>
      </x:c>
      <x:c r="P266" s="2" t="n">
        <x:v>0</x:v>
      </x:c>
      <x:c r="Q266" s="2" t="str">
        <x:v>simulado_didactico</x:v>
      </x:c>
    </x:row>
    <x:row r="267" ht="19" customHeight="1">
      <x:c r="A267" s="2" t="str">
        <x:v>SIM-E2-BB-L0-R01</x:v>
      </x:c>
      <x:c r="B267" s="2" t="n">
        <x:v>1</x:v>
      </x:c>
      <x:c r="C267" s="2" t="str">
        <x:v>BB</x:v>
      </x:c>
      <x:c r="D267" s="2" t="str">
        <x:v>Brevicoryne brassicae</x:v>
      </x:c>
      <x:c r="E267" s="2" t="str">
        <x:v>L0</x:v>
      </x:c>
      <x:c r="F267" s="2" t="n">
        <x:v>1</x:v>
      </x:c>
      <x:c r="G267" s="2" t="n">
        <x:v>13</x:v>
      </x:c>
      <x:c r="H267" s="2" t="n">
        <x:f>G267+Supuestos!$C$15</x:f>
        <x:v>14</x:v>
      </x:c>
      <x:c r="I267" s="14" t="n">
        <x:f>E2_plantas!J8+G267</x:f>
        <x:v>46187</x:v>
      </x:c>
      <x:c r="J267" s="2" t="str">
        <x:v>adulta</x:v>
      </x:c>
      <x:c r="K267" s="2" t="n">
        <x:v>1</x:v>
      </x:c>
      <x:c r="L267" s="2" t="n">
        <x:v>4</x:v>
      </x:c>
      <x:c r="M267" s="2" t="n">
        <x:f>SUM(L$254:L267)</x:f>
        <x:v>12</x:v>
      </x:c>
      <x:c r="N267" s="2" t="n">
        <x:v>0</x:v>
      </x:c>
      <x:c r="O267" s="2" t="str">
        <x:v>seguimiento</x:v>
      </x:c>
      <x:c r="P267" s="2" t="n">
        <x:v>0</x:v>
      </x:c>
      <x:c r="Q267" s="2" t="str">
        <x:v>simulado_didactico</x:v>
      </x:c>
    </x:row>
    <x:row r="268" ht="19" customHeight="1">
      <x:c r="A268" s="2" t="str">
        <x:v>SIM-E2-BB-L0-R01</x:v>
      </x:c>
      <x:c r="B268" s="2" t="n">
        <x:v>1</x:v>
      </x:c>
      <x:c r="C268" s="2" t="str">
        <x:v>BB</x:v>
      </x:c>
      <x:c r="D268" s="2" t="str">
        <x:v>Brevicoryne brassicae</x:v>
      </x:c>
      <x:c r="E268" s="2" t="str">
        <x:v>L0</x:v>
      </x:c>
      <x:c r="F268" s="2" t="n">
        <x:v>1</x:v>
      </x:c>
      <x:c r="G268" s="2" t="n">
        <x:v>14</x:v>
      </x:c>
      <x:c r="H268" s="2" t="n">
        <x:f>G268+Supuestos!$C$15</x:f>
        <x:v>15</x:v>
      </x:c>
      <x:c r="I268" s="14" t="n">
        <x:f>E2_plantas!J8+G268</x:f>
        <x:v>46188</x:v>
      </x:c>
      <x:c r="J268" s="2" t="str">
        <x:v>adulta</x:v>
      </x:c>
      <x:c r="K268" s="2" t="n">
        <x:v>1</x:v>
      </x:c>
      <x:c r="L268" s="2" t="n">
        <x:v>4</x:v>
      </x:c>
      <x:c r="M268" s="2" t="n">
        <x:f>SUM(L$254:L268)</x:f>
        <x:v>16</x:v>
      </x:c>
      <x:c r="N268" s="2" t="n">
        <x:v>0</x:v>
      </x:c>
      <x:c r="O268" s="2" t="str">
        <x:v>seguimiento</x:v>
      </x:c>
      <x:c r="P268" s="2" t="n">
        <x:v>0</x:v>
      </x:c>
      <x:c r="Q268" s="2" t="str">
        <x:v>simulado_didactico</x:v>
      </x:c>
    </x:row>
    <x:row r="269" ht="19" customHeight="1">
      <x:c r="A269" s="2" t="str">
        <x:v>SIM-E2-BB-L0-R01</x:v>
      </x:c>
      <x:c r="B269" s="2" t="n">
        <x:v>1</x:v>
      </x:c>
      <x:c r="C269" s="2" t="str">
        <x:v>BB</x:v>
      </x:c>
      <x:c r="D269" s="2" t="str">
        <x:v>Brevicoryne brassicae</x:v>
      </x:c>
      <x:c r="E269" s="2" t="str">
        <x:v>L0</x:v>
      </x:c>
      <x:c r="F269" s="2" t="n">
        <x:v>1</x:v>
      </x:c>
      <x:c r="G269" s="2" t="n">
        <x:v>15</x:v>
      </x:c>
      <x:c r="H269" s="2" t="n">
        <x:f>G269+Supuestos!$C$15</x:f>
        <x:v>16</x:v>
      </x:c>
      <x:c r="I269" s="14" t="n">
        <x:f>E2_plantas!J8+G269</x:f>
        <x:v>46189</x:v>
      </x:c>
      <x:c r="J269" s="2" t="str">
        <x:v>adulta</x:v>
      </x:c>
      <x:c r="K269" s="2" t="n">
        <x:v>1</x:v>
      </x:c>
      <x:c r="L269" s="2" t="n">
        <x:v>3</x:v>
      </x:c>
      <x:c r="M269" s="2" t="n">
        <x:f>SUM(L$254:L269)</x:f>
        <x:v>19</x:v>
      </x:c>
      <x:c r="N269" s="2" t="n">
        <x:v>0</x:v>
      </x:c>
      <x:c r="O269" s="2" t="str">
        <x:v>seguimiento</x:v>
      </x:c>
      <x:c r="P269" s="2" t="n">
        <x:v>0</x:v>
      </x:c>
      <x:c r="Q269" s="2" t="str">
        <x:v>simulado_didactico</x:v>
      </x:c>
    </x:row>
    <x:row r="270" ht="19" customHeight="1">
      <x:c r="A270" s="2" t="str">
        <x:v>SIM-E2-BB-L0-R01</x:v>
      </x:c>
      <x:c r="B270" s="2" t="n">
        <x:v>1</x:v>
      </x:c>
      <x:c r="C270" s="2" t="str">
        <x:v>BB</x:v>
      </x:c>
      <x:c r="D270" s="2" t="str">
        <x:v>Brevicoryne brassicae</x:v>
      </x:c>
      <x:c r="E270" s="2" t="str">
        <x:v>L0</x:v>
      </x:c>
      <x:c r="F270" s="2" t="n">
        <x:v>1</x:v>
      </x:c>
      <x:c r="G270" s="2" t="n">
        <x:v>16</x:v>
      </x:c>
      <x:c r="H270" s="2" t="n">
        <x:f>G270+Supuestos!$C$15</x:f>
        <x:v>17</x:v>
      </x:c>
      <x:c r="I270" s="14" t="n">
        <x:f>E2_plantas!J8+G270</x:f>
        <x:v>46190</x:v>
      </x:c>
      <x:c r="J270" s="2" t="str">
        <x:v>adulta</x:v>
      </x:c>
      <x:c r="K270" s="2" t="n">
        <x:v>1</x:v>
      </x:c>
      <x:c r="L270" s="2" t="n">
        <x:v>5</x:v>
      </x:c>
      <x:c r="M270" s="2" t="n">
        <x:f>SUM(L$254:L270)</x:f>
        <x:v>24</x:v>
      </x:c>
      <x:c r="N270" s="2" t="n">
        <x:v>0</x:v>
      </x:c>
      <x:c r="O270" s="2" t="str">
        <x:v>seguimiento</x:v>
      </x:c>
      <x:c r="P270" s="2" t="n">
        <x:v>0</x:v>
      </x:c>
      <x:c r="Q270" s="2" t="str">
        <x:v>simulado_didactico</x:v>
      </x:c>
    </x:row>
    <x:row r="271" ht="19" customHeight="1">
      <x:c r="A271" s="2" t="str">
        <x:v>SIM-E2-BB-L0-R01</x:v>
      </x:c>
      <x:c r="B271" s="2" t="n">
        <x:v>1</x:v>
      </x:c>
      <x:c r="C271" s="2" t="str">
        <x:v>BB</x:v>
      </x:c>
      <x:c r="D271" s="2" t="str">
        <x:v>Brevicoryne brassicae</x:v>
      </x:c>
      <x:c r="E271" s="2" t="str">
        <x:v>L0</x:v>
      </x:c>
      <x:c r="F271" s="2" t="n">
        <x:v>1</x:v>
      </x:c>
      <x:c r="G271" s="2" t="n">
        <x:v>17</x:v>
      </x:c>
      <x:c r="H271" s="2" t="n">
        <x:f>G271+Supuestos!$C$15</x:f>
        <x:v>18</x:v>
      </x:c>
      <x:c r="I271" s="14" t="n">
        <x:f>E2_plantas!J8+G271</x:f>
        <x:v>46191</x:v>
      </x:c>
      <x:c r="J271" s="2" t="str">
        <x:v>adulta</x:v>
      </x:c>
      <x:c r="K271" s="2" t="n">
        <x:v>1</x:v>
      </x:c>
      <x:c r="L271" s="2" t="n">
        <x:v>4</x:v>
      </x:c>
      <x:c r="M271" s="2" t="n">
        <x:f>SUM(L$254:L271)</x:f>
        <x:v>28</x:v>
      </x:c>
      <x:c r="N271" s="2" t="n">
        <x:v>0</x:v>
      </x:c>
      <x:c r="O271" s="2" t="str">
        <x:v>seguimiento</x:v>
      </x:c>
      <x:c r="P271" s="2" t="n">
        <x:v>0</x:v>
      </x:c>
      <x:c r="Q271" s="2" t="str">
        <x:v>simulado_didactico</x:v>
      </x:c>
    </x:row>
    <x:row r="272" ht="19" customHeight="1">
      <x:c r="A272" s="2" t="str">
        <x:v>SIM-E2-BB-L0-R01</x:v>
      </x:c>
      <x:c r="B272" s="2" t="n">
        <x:v>1</x:v>
      </x:c>
      <x:c r="C272" s="2" t="str">
        <x:v>BB</x:v>
      </x:c>
      <x:c r="D272" s="2" t="str">
        <x:v>Brevicoryne brassicae</x:v>
      </x:c>
      <x:c r="E272" s="2" t="str">
        <x:v>L0</x:v>
      </x:c>
      <x:c r="F272" s="2" t="n">
        <x:v>1</x:v>
      </x:c>
      <x:c r="G272" s="2" t="n">
        <x:v>18</x:v>
      </x:c>
      <x:c r="H272" s="2" t="n">
        <x:f>G272+Supuestos!$C$15</x:f>
        <x:v>19</x:v>
      </x:c>
      <x:c r="I272" s="14" t="n">
        <x:f>E2_plantas!J8+G272</x:f>
        <x:v>46192</x:v>
      </x:c>
      <x:c r="J272" s="2" t="str">
        <x:v>adulta</x:v>
      </x:c>
      <x:c r="K272" s="2" t="n">
        <x:v>1</x:v>
      </x:c>
      <x:c r="L272" s="2" t="n">
        <x:v>4</x:v>
      </x:c>
      <x:c r="M272" s="2" t="n">
        <x:f>SUM(L$254:L272)</x:f>
        <x:v>32</x:v>
      </x:c>
      <x:c r="N272" s="2" t="n">
        <x:v>0</x:v>
      </x:c>
      <x:c r="O272" s="2" t="str">
        <x:v>seguimiento</x:v>
      </x:c>
      <x:c r="P272" s="2" t="n">
        <x:v>0</x:v>
      </x:c>
      <x:c r="Q272" s="2" t="str">
        <x:v>simulado_didactico</x:v>
      </x:c>
    </x:row>
    <x:row r="273" ht="19" customHeight="1">
      <x:c r="A273" s="2" t="str">
        <x:v>SIM-E2-BB-L0-R01</x:v>
      </x:c>
      <x:c r="B273" s="2" t="n">
        <x:v>1</x:v>
      </x:c>
      <x:c r="C273" s="2" t="str">
        <x:v>BB</x:v>
      </x:c>
      <x:c r="D273" s="2" t="str">
        <x:v>Brevicoryne brassicae</x:v>
      </x:c>
      <x:c r="E273" s="2" t="str">
        <x:v>L0</x:v>
      </x:c>
      <x:c r="F273" s="2" t="n">
        <x:v>1</x:v>
      </x:c>
      <x:c r="G273" s="2" t="n">
        <x:v>19</x:v>
      </x:c>
      <x:c r="H273" s="2" t="n">
        <x:f>G273+Supuestos!$C$15</x:f>
        <x:v>20</x:v>
      </x:c>
      <x:c r="I273" s="14" t="n">
        <x:f>E2_plantas!J8+G273</x:f>
        <x:v>46193</x:v>
      </x:c>
      <x:c r="J273" s="2" t="str">
        <x:v>adulta</x:v>
      </x:c>
      <x:c r="K273" s="2" t="n">
        <x:v>1</x:v>
      </x:c>
      <x:c r="L273" s="2" t="n">
        <x:v>2</x:v>
      </x:c>
      <x:c r="M273" s="2" t="n">
        <x:f>SUM(L$254:L273)</x:f>
        <x:v>34</x:v>
      </x:c>
      <x:c r="N273" s="2" t="n">
        <x:v>0</x:v>
      </x:c>
      <x:c r="O273" s="2" t="str">
        <x:v>seguimiento</x:v>
      </x:c>
      <x:c r="P273" s="2" t="n">
        <x:v>0</x:v>
      </x:c>
      <x:c r="Q273" s="2" t="str">
        <x:v>simulado_didactico</x:v>
      </x:c>
    </x:row>
    <x:row r="274" ht="19" customHeight="1">
      <x:c r="A274" s="2" t="str">
        <x:v>SIM-E2-BB-L0-R01</x:v>
      </x:c>
      <x:c r="B274" s="2" t="n">
        <x:v>1</x:v>
      </x:c>
      <x:c r="C274" s="2" t="str">
        <x:v>BB</x:v>
      </x:c>
      <x:c r="D274" s="2" t="str">
        <x:v>Brevicoryne brassicae</x:v>
      </x:c>
      <x:c r="E274" s="2" t="str">
        <x:v>L0</x:v>
      </x:c>
      <x:c r="F274" s="2" t="n">
        <x:v>1</x:v>
      </x:c>
      <x:c r="G274" s="2" t="n">
        <x:v>20</x:v>
      </x:c>
      <x:c r="H274" s="2" t="n">
        <x:f>G274+Supuestos!$C$15</x:f>
        <x:v>21</x:v>
      </x:c>
      <x:c r="I274" s="14" t="n">
        <x:f>E2_plantas!J8+G274</x:f>
        <x:v>46194</x:v>
      </x:c>
      <x:c r="J274" s="2" t="str">
        <x:v>adulta</x:v>
      </x:c>
      <x:c r="K274" s="2" t="n">
        <x:v>1</x:v>
      </x:c>
      <x:c r="L274" s="2" t="n">
        <x:v>3</x:v>
      </x:c>
      <x:c r="M274" s="2" t="n">
        <x:f>SUM(L$254:L274)</x:f>
        <x:v>37</x:v>
      </x:c>
      <x:c r="N274" s="2" t="n">
        <x:v>0</x:v>
      </x:c>
      <x:c r="O274" s="2" t="str">
        <x:v>seguimiento</x:v>
      </x:c>
      <x:c r="P274" s="2" t="n">
        <x:v>0</x:v>
      </x:c>
      <x:c r="Q274" s="2" t="str">
        <x:v>simulado_didactico</x:v>
      </x:c>
    </x:row>
    <x:row r="275" ht="19" customHeight="1">
      <x:c r="A275" s="2" t="str">
        <x:v>SIM-E2-BB-L0-R01</x:v>
      </x:c>
      <x:c r="B275" s="2" t="n">
        <x:v>1</x:v>
      </x:c>
      <x:c r="C275" s="2" t="str">
        <x:v>BB</x:v>
      </x:c>
      <x:c r="D275" s="2" t="str">
        <x:v>Brevicoryne brassicae</x:v>
      </x:c>
      <x:c r="E275" s="2" t="str">
        <x:v>L0</x:v>
      </x:c>
      <x:c r="F275" s="2" t="n">
        <x:v>1</x:v>
      </x:c>
      <x:c r="G275" s="2" t="n">
        <x:v>21</x:v>
      </x:c>
      <x:c r="H275" s="2" t="n">
        <x:f>G275+Supuestos!$C$15</x:f>
        <x:v>22</x:v>
      </x:c>
      <x:c r="I275" s="14" t="n">
        <x:f>E2_plantas!J8+G275</x:f>
        <x:v>46195</x:v>
      </x:c>
      <x:c r="J275" s="2" t="str">
        <x:v>adulta</x:v>
      </x:c>
      <x:c r="K275" s="2" t="n">
        <x:v>1</x:v>
      </x:c>
      <x:c r="L275" s="2" t="n">
        <x:v>3</x:v>
      </x:c>
      <x:c r="M275" s="2" t="n">
        <x:f>SUM(L$254:L275)</x:f>
        <x:v>40</x:v>
      </x:c>
      <x:c r="N275" s="2" t="n">
        <x:v>0</x:v>
      </x:c>
      <x:c r="O275" s="2" t="str">
        <x:v>seguimiento</x:v>
      </x:c>
      <x:c r="P275" s="2" t="n">
        <x:v>0</x:v>
      </x:c>
      <x:c r="Q275" s="2" t="str">
        <x:v>simulado_didactico</x:v>
      </x:c>
    </x:row>
    <x:row r="276" ht="19" customHeight="1">
      <x:c r="A276" s="2" t="str">
        <x:v>SIM-E2-BB-L0-R01</x:v>
      </x:c>
      <x:c r="B276" s="2" t="n">
        <x:v>1</x:v>
      </x:c>
      <x:c r="C276" s="2" t="str">
        <x:v>BB</x:v>
      </x:c>
      <x:c r="D276" s="2" t="str">
        <x:v>Brevicoryne brassicae</x:v>
      </x:c>
      <x:c r="E276" s="2" t="str">
        <x:v>L0</x:v>
      </x:c>
      <x:c r="F276" s="2" t="n">
        <x:v>1</x:v>
      </x:c>
      <x:c r="G276" s="2" t="n">
        <x:v>22</x:v>
      </x:c>
      <x:c r="H276" s="2" t="n">
        <x:f>G276+Supuestos!$C$15</x:f>
        <x:v>23</x:v>
      </x:c>
      <x:c r="I276" s="14" t="n">
        <x:f>E2_plantas!J8+G276</x:f>
        <x:v>46196</x:v>
      </x:c>
      <x:c r="J276" s="2" t="str">
        <x:v>adulta</x:v>
      </x:c>
      <x:c r="K276" s="2" t="n">
        <x:v>1</x:v>
      </x:c>
      <x:c r="L276" s="2" t="n">
        <x:v>2</x:v>
      </x:c>
      <x:c r="M276" s="2" t="n">
        <x:f>SUM(L$254:L276)</x:f>
        <x:v>42</x:v>
      </x:c>
      <x:c r="N276" s="2" t="n">
        <x:v>0</x:v>
      </x:c>
      <x:c r="O276" s="2" t="str">
        <x:v>seguimiento</x:v>
      </x:c>
      <x:c r="P276" s="2" t="n">
        <x:v>0</x:v>
      </x:c>
      <x:c r="Q276" s="2" t="str">
        <x:v>simulado_didactico</x:v>
      </x:c>
    </x:row>
    <x:row r="277" ht="19" customHeight="1">
      <x:c r="A277" s="2" t="str">
        <x:v>SIM-E2-BB-L0-R01</x:v>
      </x:c>
      <x:c r="B277" s="2" t="n">
        <x:v>1</x:v>
      </x:c>
      <x:c r="C277" s="2" t="str">
        <x:v>BB</x:v>
      </x:c>
      <x:c r="D277" s="2" t="str">
        <x:v>Brevicoryne brassicae</x:v>
      </x:c>
      <x:c r="E277" s="2" t="str">
        <x:v>L0</x:v>
      </x:c>
      <x:c r="F277" s="2" t="n">
        <x:v>1</x:v>
      </x:c>
      <x:c r="G277" s="2" t="n">
        <x:v>23</x:v>
      </x:c>
      <x:c r="H277" s="2" t="n">
        <x:f>G277+Supuestos!$C$15</x:f>
        <x:v>24</x:v>
      </x:c>
      <x:c r="I277" s="14" t="n">
        <x:f>E2_plantas!J8+G277</x:f>
        <x:v>46197</x:v>
      </x:c>
      <x:c r="J277" s="2" t="str">
        <x:v>adulta</x:v>
      </x:c>
      <x:c r="K277" s="2" t="n">
        <x:v>1</x:v>
      </x:c>
      <x:c r="L277" s="2" t="n">
        <x:v>3</x:v>
      </x:c>
      <x:c r="M277" s="2" t="n">
        <x:f>SUM(L$254:L277)</x:f>
        <x:v>45</x:v>
      </x:c>
      <x:c r="N277" s="2" t="n">
        <x:v>0</x:v>
      </x:c>
      <x:c r="O277" s="2" t="str">
        <x:v>seguimiento</x:v>
      </x:c>
      <x:c r="P277" s="2" t="n">
        <x:v>0</x:v>
      </x:c>
      <x:c r="Q277" s="2" t="str">
        <x:v>simulado_didactico</x:v>
      </x:c>
    </x:row>
    <x:row r="278" ht="19" customHeight="1">
      <x:c r="A278" s="2" t="str">
        <x:v>SIM-E2-BB-L0-R01</x:v>
      </x:c>
      <x:c r="B278" s="2" t="n">
        <x:v>1</x:v>
      </x:c>
      <x:c r="C278" s="2" t="str">
        <x:v>BB</x:v>
      </x:c>
      <x:c r="D278" s="2" t="str">
        <x:v>Brevicoryne brassicae</x:v>
      </x:c>
      <x:c r="E278" s="2" t="str">
        <x:v>L0</x:v>
      </x:c>
      <x:c r="F278" s="2" t="n">
        <x:v>1</x:v>
      </x:c>
      <x:c r="G278" s="2" t="n">
        <x:v>24</x:v>
      </x:c>
      <x:c r="H278" s="2" t="n">
        <x:f>G278+Supuestos!$C$15</x:f>
        <x:v>25</x:v>
      </x:c>
      <x:c r="I278" s="14" t="n">
        <x:f>E2_plantas!J8+G278</x:f>
        <x:v>46198</x:v>
      </x:c>
      <x:c r="J278" s="2" t="str">
        <x:v>adulta</x:v>
      </x:c>
      <x:c r="K278" s="2" t="n">
        <x:v>1</x:v>
      </x:c>
      <x:c r="L278" s="2" t="n">
        <x:v>3</x:v>
      </x:c>
      <x:c r="M278" s="2" t="n">
        <x:f>SUM(L$254:L278)</x:f>
        <x:v>48</x:v>
      </x:c>
      <x:c r="N278" s="2" t="n">
        <x:v>0</x:v>
      </x:c>
      <x:c r="O278" s="2" t="str">
        <x:v>seguimiento</x:v>
      </x:c>
      <x:c r="P278" s="2" t="n">
        <x:v>0</x:v>
      </x:c>
      <x:c r="Q278" s="2" t="str">
        <x:v>simulado_didactico</x:v>
      </x:c>
    </x:row>
    <x:row r="279" ht="19" customHeight="1">
      <x:c r="A279" s="2" t="str">
        <x:v>SIM-E2-BB-L0-R01</x:v>
      </x:c>
      <x:c r="B279" s="2" t="n">
        <x:v>1</x:v>
      </x:c>
      <x:c r="C279" s="2" t="str">
        <x:v>BB</x:v>
      </x:c>
      <x:c r="D279" s="2" t="str">
        <x:v>Brevicoryne brassicae</x:v>
      </x:c>
      <x:c r="E279" s="2" t="str">
        <x:v>L0</x:v>
      </x:c>
      <x:c r="F279" s="2" t="n">
        <x:v>1</x:v>
      </x:c>
      <x:c r="G279" s="2" t="n">
        <x:v>25</x:v>
      </x:c>
      <x:c r="H279" s="2" t="n">
        <x:f>G279+Supuestos!$C$15</x:f>
        <x:v>26</x:v>
      </x:c>
      <x:c r="I279" s="14" t="n">
        <x:f>E2_plantas!J8+G279</x:f>
        <x:v>46199</x:v>
      </x:c>
      <x:c r="J279" s="2" t="str">
        <x:v>adulta</x:v>
      </x:c>
      <x:c r="K279" s="2" t="n">
        <x:v>1</x:v>
      </x:c>
      <x:c r="L279" s="2" t="n">
        <x:v>4</x:v>
      </x:c>
      <x:c r="M279" s="2" t="n">
        <x:f>SUM(L$254:L279)</x:f>
        <x:v>52</x:v>
      </x:c>
      <x:c r="N279" s="2" t="n">
        <x:v>0</x:v>
      </x:c>
      <x:c r="O279" s="2" t="str">
        <x:v>seguimiento</x:v>
      </x:c>
      <x:c r="P279" s="2" t="n">
        <x:v>0</x:v>
      </x:c>
      <x:c r="Q279" s="2" t="str">
        <x:v>simulado_didactico</x:v>
      </x:c>
    </x:row>
    <x:row r="280" ht="19" customHeight="1">
      <x:c r="A280" s="2" t="str">
        <x:v>SIM-E2-BB-L0-R01</x:v>
      </x:c>
      <x:c r="B280" s="2" t="n">
        <x:v>1</x:v>
      </x:c>
      <x:c r="C280" s="2" t="str">
        <x:v>BB</x:v>
      </x:c>
      <x:c r="D280" s="2" t="str">
        <x:v>Brevicoryne brassicae</x:v>
      </x:c>
      <x:c r="E280" s="2" t="str">
        <x:v>L0</x:v>
      </x:c>
      <x:c r="F280" s="2" t="n">
        <x:v>1</x:v>
      </x:c>
      <x:c r="G280" s="2" t="n">
        <x:v>26</x:v>
      </x:c>
      <x:c r="H280" s="2" t="n">
        <x:f>G280+Supuestos!$C$15</x:f>
        <x:v>27</x:v>
      </x:c>
      <x:c r="I280" s="14" t="n">
        <x:f>E2_plantas!J8+G280</x:f>
        <x:v>46200</x:v>
      </x:c>
      <x:c r="J280" s="2" t="str">
        <x:v>adulta</x:v>
      </x:c>
      <x:c r="K280" s="2" t="n">
        <x:v>1</x:v>
      </x:c>
      <x:c r="L280" s="2" t="n">
        <x:v>1</x:v>
      </x:c>
      <x:c r="M280" s="2" t="n">
        <x:f>SUM(L$254:L280)</x:f>
        <x:v>53</x:v>
      </x:c>
      <x:c r="N280" s="2" t="n">
        <x:v>0</x:v>
      </x:c>
      <x:c r="O280" s="2" t="str">
        <x:v>seguimiento</x:v>
      </x:c>
      <x:c r="P280" s="2" t="n">
        <x:v>0</x:v>
      </x:c>
      <x:c r="Q280" s="2" t="str">
        <x:v>simulado_didactico</x:v>
      </x:c>
    </x:row>
    <x:row r="281" ht="19" customHeight="1">
      <x:c r="A281" s="2" t="str">
        <x:v>SIM-E2-BB-L0-R01</x:v>
      </x:c>
      <x:c r="B281" s="2" t="n">
        <x:v>1</x:v>
      </x:c>
      <x:c r="C281" s="2" t="str">
        <x:v>BB</x:v>
      </x:c>
      <x:c r="D281" s="2" t="str">
        <x:v>Brevicoryne brassicae</x:v>
      </x:c>
      <x:c r="E281" s="2" t="str">
        <x:v>L0</x:v>
      </x:c>
      <x:c r="F281" s="2" t="n">
        <x:v>1</x:v>
      </x:c>
      <x:c r="G281" s="2" t="n">
        <x:v>27</x:v>
      </x:c>
      <x:c r="H281" s="2" t="n">
        <x:f>G281+Supuestos!$C$15</x:f>
        <x:v>28</x:v>
      </x:c>
      <x:c r="I281" s="14" t="n">
        <x:f>E2_plantas!J8+G281</x:f>
        <x:v>46201</x:v>
      </x:c>
      <x:c r="J281" s="2" t="str">
        <x:v>adulta</x:v>
      </x:c>
      <x:c r="K281" s="2" t="n">
        <x:v>1</x:v>
      </x:c>
      <x:c r="L281" s="2" t="n">
        <x:v>6</x:v>
      </x:c>
      <x:c r="M281" s="2" t="n">
        <x:f>SUM(L$254:L281)</x:f>
        <x:v>59</x:v>
      </x:c>
      <x:c r="N281" s="2" t="n">
        <x:v>0</x:v>
      </x:c>
      <x:c r="O281" s="2" t="str">
        <x:v>seguimiento</x:v>
      </x:c>
      <x:c r="P281" s="2" t="n">
        <x:v>0</x:v>
      </x:c>
      <x:c r="Q281" s="2" t="str">
        <x:v>simulado_didactico</x:v>
      </x:c>
    </x:row>
    <x:row r="282" ht="19" customHeight="1">
      <x:c r="A282" s="2" t="str">
        <x:v>SIM-E2-BB-L0-R01</x:v>
      </x:c>
      <x:c r="B282" s="2" t="n">
        <x:v>1</x:v>
      </x:c>
      <x:c r="C282" s="2" t="str">
        <x:v>BB</x:v>
      </x:c>
      <x:c r="D282" s="2" t="str">
        <x:v>Brevicoryne brassicae</x:v>
      </x:c>
      <x:c r="E282" s="2" t="str">
        <x:v>L0</x:v>
      </x:c>
      <x:c r="F282" s="2" t="n">
        <x:v>1</x:v>
      </x:c>
      <x:c r="G282" s="2" t="n">
        <x:v>28</x:v>
      </x:c>
      <x:c r="H282" s="2" t="n">
        <x:f>G282+Supuestos!$C$15</x:f>
        <x:v>29</x:v>
      </x:c>
      <x:c r="I282" s="14" t="n">
        <x:f>E2_plantas!J8+G282</x:f>
        <x:v>46202</x:v>
      </x:c>
      <x:c r="J282" s="2" t="str">
        <x:v>adulta</x:v>
      </x:c>
      <x:c r="K282" s="2" t="n">
        <x:v>1</x:v>
      </x:c>
      <x:c r="L282" s="2" t="n">
        <x:v>1</x:v>
      </x:c>
      <x:c r="M282" s="2" t="n">
        <x:f>SUM(L$254:L282)</x:f>
        <x:v>60</x:v>
      </x:c>
      <x:c r="N282" s="2" t="n">
        <x:v>0</x:v>
      </x:c>
      <x:c r="O282" s="2" t="str">
        <x:v>seguimiento</x:v>
      </x:c>
      <x:c r="P282" s="2" t="n">
        <x:v>0</x:v>
      </x:c>
      <x:c r="Q282" s="2" t="str">
        <x:v>simulado_didactico</x:v>
      </x:c>
    </x:row>
    <x:row r="283" ht="19" customHeight="1">
      <x:c r="A283" s="2" t="str">
        <x:v>SIM-E2-BB-L0-R01</x:v>
      </x:c>
      <x:c r="B283" s="2" t="n">
        <x:v>1</x:v>
      </x:c>
      <x:c r="C283" s="2" t="str">
        <x:v>BB</x:v>
      </x:c>
      <x:c r="D283" s="2" t="str">
        <x:v>Brevicoryne brassicae</x:v>
      </x:c>
      <x:c r="E283" s="2" t="str">
        <x:v>L0</x:v>
      </x:c>
      <x:c r="F283" s="2" t="n">
        <x:v>1</x:v>
      </x:c>
      <x:c r="G283" s="2" t="n">
        <x:v>29</x:v>
      </x:c>
      <x:c r="H283" s="2" t="n">
        <x:f>G283+Supuestos!$C$15</x:f>
        <x:v>30</x:v>
      </x:c>
      <x:c r="I283" s="14" t="n">
        <x:f>E2_plantas!J8+G283</x:f>
        <x:v>46203</x:v>
      </x:c>
      <x:c r="J283" s="2" t="str">
        <x:v>adulta</x:v>
      </x:c>
      <x:c r="K283" s="2" t="n">
        <x:v>1</x:v>
      </x:c>
      <x:c r="L283" s="2" t="n">
        <x:v>0</x:v>
      </x:c>
      <x:c r="M283" s="2" t="n">
        <x:f>SUM(L$254:L283)</x:f>
        <x:v>60</x:v>
      </x:c>
      <x:c r="N283" s="2" t="n">
        <x:v>0</x:v>
      </x:c>
      <x:c r="O283" s="2" t="str">
        <x:v>seguimiento</x:v>
      </x:c>
      <x:c r="P283" s="2" t="n">
        <x:v>0</x:v>
      </x:c>
      <x:c r="Q283" s="2" t="str">
        <x:v>simulado_didactico</x:v>
      </x:c>
    </x:row>
    <x:row r="284" ht="19" customHeight="1">
      <x:c r="A284" s="2" t="str">
        <x:v>SIM-E2-BB-L0-R01</x:v>
      </x:c>
      <x:c r="B284" s="2" t="n">
        <x:v>1</x:v>
      </x:c>
      <x:c r="C284" s="2" t="str">
        <x:v>BB</x:v>
      </x:c>
      <x:c r="D284" s="2" t="str">
        <x:v>Brevicoryne brassicae</x:v>
      </x:c>
      <x:c r="E284" s="2" t="str">
        <x:v>L0</x:v>
      </x:c>
      <x:c r="F284" s="2" t="n">
        <x:v>1</x:v>
      </x:c>
      <x:c r="G284" s="2" t="n">
        <x:v>30</x:v>
      </x:c>
      <x:c r="H284" s="2" t="n">
        <x:f>G284+Supuestos!$C$15</x:f>
        <x:v>31</x:v>
      </x:c>
      <x:c r="I284" s="14" t="n">
        <x:f>E2_plantas!J8+G284</x:f>
        <x:v>46204</x:v>
      </x:c>
      <x:c r="J284" s="2" t="str">
        <x:v>adulta</x:v>
      </x:c>
      <x:c r="K284" s="2" t="n">
        <x:v>1</x:v>
      </x:c>
      <x:c r="L284" s="2" t="n">
        <x:v>0</x:v>
      </x:c>
      <x:c r="M284" s="2" t="n">
        <x:f>SUM(L$254:L284)</x:f>
        <x:v>60</x:v>
      </x:c>
      <x:c r="N284" s="2" t="n">
        <x:v>0</x:v>
      </x:c>
      <x:c r="O284" s="2" t="str">
        <x:v>seguimiento</x:v>
      </x:c>
      <x:c r="P284" s="2" t="n">
        <x:v>0</x:v>
      </x:c>
      <x:c r="Q284" s="2" t="str">
        <x:v>simulado_didactico</x:v>
      </x:c>
    </x:row>
    <x:row r="285" ht="19" customHeight="1">
      <x:c r="A285" s="2" t="str">
        <x:v>SIM-E2-BB-L0-R01</x:v>
      </x:c>
      <x:c r="B285" s="2" t="n">
        <x:v>1</x:v>
      </x:c>
      <x:c r="C285" s="2" t="str">
        <x:v>BB</x:v>
      </x:c>
      <x:c r="D285" s="2" t="str">
        <x:v>Brevicoryne brassicae</x:v>
      </x:c>
      <x:c r="E285" s="2" t="str">
        <x:v>L0</x:v>
      </x:c>
      <x:c r="F285" s="2" t="n">
        <x:v>1</x:v>
      </x:c>
      <x:c r="G285" s="2" t="n">
        <x:v>31</x:v>
      </x:c>
      <x:c r="H285" s="2" t="n">
        <x:f>G285+Supuestos!$C$15</x:f>
        <x:v>32</x:v>
      </x:c>
      <x:c r="I285" s="14" t="n">
        <x:f>E2_plantas!J8+G285</x:f>
        <x:v>46205</x:v>
      </x:c>
      <x:c r="J285" s="2" t="str">
        <x:v>adulta</x:v>
      </x:c>
      <x:c r="K285" s="2" t="n">
        <x:v>1</x:v>
      </x:c>
      <x:c r="L285" s="2" t="n">
        <x:v>1</x:v>
      </x:c>
      <x:c r="M285" s="2" t="n">
        <x:f>SUM(L$254:L285)</x:f>
        <x:v>61</x:v>
      </x:c>
      <x:c r="N285" s="2" t="n">
        <x:v>0</x:v>
      </x:c>
      <x:c r="O285" s="2" t="str">
        <x:v>seguimiento</x:v>
      </x:c>
      <x:c r="P285" s="2" t="n">
        <x:v>0</x:v>
      </x:c>
      <x:c r="Q285" s="2" t="str">
        <x:v>simulado_didactico</x:v>
      </x:c>
    </x:row>
    <x:row r="286" ht="19" customHeight="1">
      <x:c r="A286" s="2" t="str">
        <x:v>SIM-E2-BB-L0-R01</x:v>
      </x:c>
      <x:c r="B286" s="2" t="n">
        <x:v>1</x:v>
      </x:c>
      <x:c r="C286" s="2" t="str">
        <x:v>BB</x:v>
      </x:c>
      <x:c r="D286" s="2" t="str">
        <x:v>Brevicoryne brassicae</x:v>
      </x:c>
      <x:c r="E286" s="2" t="str">
        <x:v>L0</x:v>
      </x:c>
      <x:c r="F286" s="2" t="n">
        <x:v>1</x:v>
      </x:c>
      <x:c r="G286" s="2" t="n">
        <x:v>32</x:v>
      </x:c>
      <x:c r="H286" s="2" t="n">
        <x:f>G286+Supuestos!$C$15</x:f>
        <x:v>33</x:v>
      </x:c>
      <x:c r="I286" s="14" t="n">
        <x:f>E2_plantas!J8+G286</x:f>
        <x:v>46206</x:v>
      </x:c>
      <x:c r="J286" s="2" t="str">
        <x:v>adulta</x:v>
      </x:c>
      <x:c r="K286" s="2" t="n">
        <x:v>1</x:v>
      </x:c>
      <x:c r="L286" s="2" t="n">
        <x:v>0</x:v>
      </x:c>
      <x:c r="M286" s="2" t="n">
        <x:f>SUM(L$254:L286)</x:f>
        <x:v>61</x:v>
      </x:c>
      <x:c r="N286" s="2" t="n">
        <x:v>0</x:v>
      </x:c>
      <x:c r="O286" s="2" t="str">
        <x:v>seguimiento</x:v>
      </x:c>
      <x:c r="P286" s="2" t="n">
        <x:v>0</x:v>
      </x:c>
      <x:c r="Q286" s="2" t="str">
        <x:v>simulado_didactico</x:v>
      </x:c>
    </x:row>
    <x:row r="287" ht="19" customHeight="1">
      <x:c r="A287" s="2" t="str">
        <x:v>SIM-E2-BB-L0-R01</x:v>
      </x:c>
      <x:c r="B287" s="2" t="n">
        <x:v>1</x:v>
      </x:c>
      <x:c r="C287" s="2" t="str">
        <x:v>BB</x:v>
      </x:c>
      <x:c r="D287" s="2" t="str">
        <x:v>Brevicoryne brassicae</x:v>
      </x:c>
      <x:c r="E287" s="2" t="str">
        <x:v>L0</x:v>
      </x:c>
      <x:c r="F287" s="2" t="n">
        <x:v>1</x:v>
      </x:c>
      <x:c r="G287" s="2" t="n">
        <x:v>33</x:v>
      </x:c>
      <x:c r="H287" s="2" t="n">
        <x:f>G287+Supuestos!$C$15</x:f>
        <x:v>34</x:v>
      </x:c>
      <x:c r="I287" s="14" t="n">
        <x:f>E2_plantas!J8+G287</x:f>
        <x:v>46207</x:v>
      </x:c>
      <x:c r="J287" s="2" t="str">
        <x:v>adulta</x:v>
      </x:c>
      <x:c r="K287" s="2" t="n">
        <x:v>1</x:v>
      </x:c>
      <x:c r="L287" s="2" t="n">
        <x:v>0</x:v>
      </x:c>
      <x:c r="M287" s="2" t="n">
        <x:f>SUM(L$254:L287)</x:f>
        <x:v>61</x:v>
      </x:c>
      <x:c r="N287" s="2" t="n">
        <x:v>0</x:v>
      </x:c>
      <x:c r="O287" s="2" t="str">
        <x:v>seguimiento</x:v>
      </x:c>
      <x:c r="P287" s="2" t="n">
        <x:v>0</x:v>
      </x:c>
      <x:c r="Q287" s="2" t="str">
        <x:v>simulado_didactico</x:v>
      </x:c>
    </x:row>
    <x:row r="288" ht="19" customHeight="1">
      <x:c r="A288" s="2" t="str">
        <x:v>SIM-E2-BB-L0-R01</x:v>
      </x:c>
      <x:c r="B288" s="2" t="n">
        <x:v>1</x:v>
      </x:c>
      <x:c r="C288" s="2" t="str">
        <x:v>BB</x:v>
      </x:c>
      <x:c r="D288" s="2" t="str">
        <x:v>Brevicoryne brassicae</x:v>
      </x:c>
      <x:c r="E288" s="2" t="str">
        <x:v>L0</x:v>
      </x:c>
      <x:c r="F288" s="2" t="n">
        <x:v>1</x:v>
      </x:c>
      <x:c r="G288" s="2" t="n">
        <x:v>34</x:v>
      </x:c>
      <x:c r="H288" s="2" t="n">
        <x:f>G288+Supuestos!$C$15</x:f>
        <x:v>35</x:v>
      </x:c>
      <x:c r="I288" s="14" t="n">
        <x:f>E2_plantas!J8+G288</x:f>
        <x:v>46208</x:v>
      </x:c>
      <x:c r="J288" s="2" t="str">
        <x:v>adulta</x:v>
      </x:c>
      <x:c r="K288" s="2" t="n">
        <x:v>1</x:v>
      </x:c>
      <x:c r="L288" s="2" t="n">
        <x:v>0</x:v>
      </x:c>
      <x:c r="M288" s="2" t="n">
        <x:f>SUM(L$254:L288)</x:f>
        <x:v>61</x:v>
      </x:c>
      <x:c r="N288" s="2" t="n">
        <x:v>0</x:v>
      </x:c>
      <x:c r="O288" s="2" t="str">
        <x:v>seguimiento</x:v>
      </x:c>
      <x:c r="P288" s="2" t="n">
        <x:v>0</x:v>
      </x:c>
      <x:c r="Q288" s="2" t="str">
        <x:v>simulado_didactico</x:v>
      </x:c>
    </x:row>
    <x:row r="289" ht="19" customHeight="1">
      <x:c r="A289" s="2" t="str">
        <x:v>SIM-E2-BB-L0-R01</x:v>
      </x:c>
      <x:c r="B289" s="2" t="n">
        <x:v>1</x:v>
      </x:c>
      <x:c r="C289" s="2" t="str">
        <x:v>BB</x:v>
      </x:c>
      <x:c r="D289" s="2" t="str">
        <x:v>Brevicoryne brassicae</x:v>
      </x:c>
      <x:c r="E289" s="2" t="str">
        <x:v>L0</x:v>
      </x:c>
      <x:c r="F289" s="2" t="n">
        <x:v>1</x:v>
      </x:c>
      <x:c r="G289" s="2" t="n">
        <x:v>35</x:v>
      </x:c>
      <x:c r="H289" s="2" t="n">
        <x:f>G289+Supuestos!$C$15</x:f>
        <x:v>36</x:v>
      </x:c>
      <x:c r="I289" s="14" t="n">
        <x:f>E2_plantas!J8+G289</x:f>
        <x:v>46209</x:v>
      </x:c>
      <x:c r="J289" s="2" t="str">
        <x:v>muerta</x:v>
      </x:c>
      <x:c r="K289" s="2" t="n">
        <x:v>0</x:v>
      </x:c>
      <x:c r="L289" s="2" t="n">
        <x:v>0</x:v>
      </x:c>
      <x:c r="M289" s="2" t="n">
        <x:f>SUM(L$254:L289)</x:f>
        <x:v>61</x:v>
      </x:c>
      <x:c r="N289" s="2" t="n">
        <x:v>1</x:v>
      </x:c>
      <x:c r="O289" s="2" t="str">
        <x:v>muerte</x:v>
      </x:c>
      <x:c r="P289" s="2" t="n">
        <x:v>0</x:v>
      </x:c>
      <x:c r="Q289" s="2" t="str">
        <x:v>simulado_didactico</x:v>
      </x:c>
    </x:row>
    <x:row r="290" ht="19" customHeight="1">
      <x:c r="A290" s="2" t="str">
        <x:v>SIM-E2-BB-L0-R01</x:v>
      </x:c>
      <x:c r="B290" s="2" t="n">
        <x:v>1</x:v>
      </x:c>
      <x:c r="C290" s="2" t="str">
        <x:v>BB</x:v>
      </x:c>
      <x:c r="D290" s="2" t="str">
        <x:v>Brevicoryne brassicae</x:v>
      </x:c>
      <x:c r="E290" s="2" t="str">
        <x:v>L0</x:v>
      </x:c>
      <x:c r="F290" s="2" t="n">
        <x:v>1</x:v>
      </x:c>
      <x:c r="G290" s="2" t="n">
        <x:v>36</x:v>
      </x:c>
      <x:c r="H290" s="2" t="n">
        <x:f>G290+Supuestos!$C$15</x:f>
        <x:v>37</x:v>
      </x:c>
      <x:c r="I290" s="14" t="n">
        <x:f>E2_plantas!J8+G290</x:f>
        <x:v>46210</x:v>
      </x:c>
      <x:c r="J290" s="2" t="str">
        <x:v>muerta</x:v>
      </x:c>
      <x:c r="K290" s="2" t="n">
        <x:v>0</x:v>
      </x:c>
      <x:c r="L290" s="2" t="n">
        <x:v>0</x:v>
      </x:c>
      <x:c r="M290" s="2" t="n">
        <x:f>SUM(L$254:L290)</x:f>
        <x:v>61</x:v>
      </x:c>
      <x:c r="N290" s="2" t="n">
        <x:v>0</x:v>
      </x:c>
      <x:c r="O290" s="2" t="str">
        <x:v>relleno_postmuerte</x:v>
      </x:c>
      <x:c r="P290" s="2" t="n">
        <x:v>0</x:v>
      </x:c>
      <x:c r="Q290" s="2" t="str">
        <x:v>simulado_didactico</x:v>
      </x:c>
    </x:row>
    <x:row r="291" ht="19" customHeight="1">
      <x:c r="A291" s="2" t="str">
        <x:v>SIM-E2-BB-L0-R01</x:v>
      </x:c>
      <x:c r="B291" s="2" t="n">
        <x:v>1</x:v>
      </x:c>
      <x:c r="C291" s="2" t="str">
        <x:v>BB</x:v>
      </x:c>
      <x:c r="D291" s="2" t="str">
        <x:v>Brevicoryne brassicae</x:v>
      </x:c>
      <x:c r="E291" s="2" t="str">
        <x:v>L0</x:v>
      </x:c>
      <x:c r="F291" s="2" t="n">
        <x:v>1</x:v>
      </x:c>
      <x:c r="G291" s="2" t="n">
        <x:v>37</x:v>
      </x:c>
      <x:c r="H291" s="2" t="n">
        <x:f>G291+Supuestos!$C$15</x:f>
        <x:v>38</x:v>
      </x:c>
      <x:c r="I291" s="14" t="n">
        <x:f>E2_plantas!J8+G291</x:f>
        <x:v>46211</x:v>
      </x:c>
      <x:c r="J291" s="2" t="str">
        <x:v>muerta</x:v>
      </x:c>
      <x:c r="K291" s="2" t="n">
        <x:v>0</x:v>
      </x:c>
      <x:c r="L291" s="2" t="n">
        <x:v>0</x:v>
      </x:c>
      <x:c r="M291" s="2" t="n">
        <x:f>SUM(L$254:L291)</x:f>
        <x:v>61</x:v>
      </x:c>
      <x:c r="N291" s="2" t="n">
        <x:v>0</x:v>
      </x:c>
      <x:c r="O291" s="2" t="str">
        <x:v>relleno_postmuerte</x:v>
      </x:c>
      <x:c r="P291" s="2" t="n">
        <x:v>0</x:v>
      </x:c>
      <x:c r="Q291" s="2" t="str">
        <x:v>simulado_didactico</x:v>
      </x:c>
    </x:row>
    <x:row r="292" ht="19" customHeight="1">
      <x:c r="A292" s="2" t="str">
        <x:v>SIM-E2-BB-L0-R01</x:v>
      </x:c>
      <x:c r="B292" s="2" t="n">
        <x:v>1</x:v>
      </x:c>
      <x:c r="C292" s="2" t="str">
        <x:v>BB</x:v>
      </x:c>
      <x:c r="D292" s="2" t="str">
        <x:v>Brevicoryne brassicae</x:v>
      </x:c>
      <x:c r="E292" s="2" t="str">
        <x:v>L0</x:v>
      </x:c>
      <x:c r="F292" s="2" t="n">
        <x:v>1</x:v>
      </x:c>
      <x:c r="G292" s="2" t="n">
        <x:v>38</x:v>
      </x:c>
      <x:c r="H292" s="2" t="n">
        <x:f>G292+Supuestos!$C$15</x:f>
        <x:v>39</x:v>
      </x:c>
      <x:c r="I292" s="14" t="n">
        <x:f>E2_plantas!J8+G292</x:f>
        <x:v>46212</x:v>
      </x:c>
      <x:c r="J292" s="2" t="str">
        <x:v>muerta</x:v>
      </x:c>
      <x:c r="K292" s="2" t="n">
        <x:v>0</x:v>
      </x:c>
      <x:c r="L292" s="2" t="n">
        <x:v>0</x:v>
      </x:c>
      <x:c r="M292" s="2" t="n">
        <x:f>SUM(L$254:L292)</x:f>
        <x:v>61</x:v>
      </x:c>
      <x:c r="N292" s="2" t="n">
        <x:v>0</x:v>
      </x:c>
      <x:c r="O292" s="2" t="str">
        <x:v>relleno_postmuerte</x:v>
      </x:c>
      <x:c r="P292" s="2" t="n">
        <x:v>0</x:v>
      </x:c>
      <x:c r="Q292" s="2" t="str">
        <x:v>simulado_didactico</x:v>
      </x:c>
    </x:row>
    <x:row r="293" ht="19" customHeight="1">
      <x:c r="A293" s="2" t="str">
        <x:v>SIM-E2-BB-L0-R01</x:v>
      </x:c>
      <x:c r="B293" s="2" t="n">
        <x:v>1</x:v>
      </x:c>
      <x:c r="C293" s="2" t="str">
        <x:v>BB</x:v>
      </x:c>
      <x:c r="D293" s="2" t="str">
        <x:v>Brevicoryne brassicae</x:v>
      </x:c>
      <x:c r="E293" s="2" t="str">
        <x:v>L0</x:v>
      </x:c>
      <x:c r="F293" s="2" t="n">
        <x:v>1</x:v>
      </x:c>
      <x:c r="G293" s="2" t="n">
        <x:v>39</x:v>
      </x:c>
      <x:c r="H293" s="2" t="n">
        <x:f>G293+Supuestos!$C$15</x:f>
        <x:v>40</x:v>
      </x:c>
      <x:c r="I293" s="14" t="n">
        <x:f>E2_plantas!J8+G293</x:f>
        <x:v>46213</x:v>
      </x:c>
      <x:c r="J293" s="2" t="str">
        <x:v>muerta</x:v>
      </x:c>
      <x:c r="K293" s="2" t="n">
        <x:v>0</x:v>
      </x:c>
      <x:c r="L293" s="2" t="n">
        <x:v>0</x:v>
      </x:c>
      <x:c r="M293" s="2" t="n">
        <x:f>SUM(L$254:L293)</x:f>
        <x:v>61</x:v>
      </x:c>
      <x:c r="N293" s="2" t="n">
        <x:v>0</x:v>
      </x:c>
      <x:c r="O293" s="2" t="str">
        <x:v>relleno_postmuerte</x:v>
      </x:c>
      <x:c r="P293" s="2" t="n">
        <x:v>0</x:v>
      </x:c>
      <x:c r="Q293" s="2" t="str">
        <x:v>simulado_didactico</x:v>
      </x:c>
    </x:row>
    <x:row r="294" ht="19" customHeight="1">
      <x:c r="A294" s="2" t="str">
        <x:v>SIM-E2-BB-L0-R01</x:v>
      </x:c>
      <x:c r="B294" s="2" t="n">
        <x:v>1</x:v>
      </x:c>
      <x:c r="C294" s="2" t="str">
        <x:v>BB</x:v>
      </x:c>
      <x:c r="D294" s="2" t="str">
        <x:v>Brevicoryne brassicae</x:v>
      </x:c>
      <x:c r="E294" s="2" t="str">
        <x:v>L0</x:v>
      </x:c>
      <x:c r="F294" s="2" t="n">
        <x:v>1</x:v>
      </x:c>
      <x:c r="G294" s="2" t="n">
        <x:v>40</x:v>
      </x:c>
      <x:c r="H294" s="2" t="n">
        <x:f>G294+Supuestos!$C$15</x:f>
        <x:v>41</x:v>
      </x:c>
      <x:c r="I294" s="14" t="n">
        <x:f>E2_plantas!J8+G294</x:f>
        <x:v>46214</x:v>
      </x:c>
      <x:c r="J294" s="2" t="str">
        <x:v>muerta</x:v>
      </x:c>
      <x:c r="K294" s="2" t="n">
        <x:v>0</x:v>
      </x:c>
      <x:c r="L294" s="2" t="n">
        <x:v>0</x:v>
      </x:c>
      <x:c r="M294" s="2" t="n">
        <x:f>SUM(L$254:L294)</x:f>
        <x:v>61</x:v>
      </x:c>
      <x:c r="N294" s="2" t="n">
        <x:v>0</x:v>
      </x:c>
      <x:c r="O294" s="2" t="str">
        <x:v>relleno_postmuerte</x:v>
      </x:c>
      <x:c r="P294" s="2" t="n">
        <x:v>0</x:v>
      </x:c>
      <x:c r="Q294" s="2" t="str">
        <x:v>simulado_didactico</x:v>
      </x:c>
    </x:row>
    <x:row r="295" ht="19" customHeight="1">
      <x:c r="A295" s="2" t="str">
        <x:v>SIM-E2-BB-L0-R01</x:v>
      </x:c>
      <x:c r="B295" s="2" t="n">
        <x:v>1</x:v>
      </x:c>
      <x:c r="C295" s="2" t="str">
        <x:v>BB</x:v>
      </x:c>
      <x:c r="D295" s="2" t="str">
        <x:v>Brevicoryne brassicae</x:v>
      </x:c>
      <x:c r="E295" s="2" t="str">
        <x:v>L0</x:v>
      </x:c>
      <x:c r="F295" s="2" t="n">
        <x:v>1</x:v>
      </x:c>
      <x:c r="G295" s="2" t="n">
        <x:v>41</x:v>
      </x:c>
      <x:c r="H295" s="2" t="n">
        <x:f>G295+Supuestos!$C$15</x:f>
        <x:v>42</x:v>
      </x:c>
      <x:c r="I295" s="14" t="n">
        <x:f>E2_plantas!J8+G295</x:f>
        <x:v>46215</x:v>
      </x:c>
      <x:c r="J295" s="2" t="str">
        <x:v>muerta</x:v>
      </x:c>
      <x:c r="K295" s="2" t="n">
        <x:v>0</x:v>
      </x:c>
      <x:c r="L295" s="2" t="n">
        <x:v>0</x:v>
      </x:c>
      <x:c r="M295" s="2" t="n">
        <x:f>SUM(L$254:L295)</x:f>
        <x:v>61</x:v>
      </x:c>
      <x:c r="N295" s="2" t="n">
        <x:v>0</x:v>
      </x:c>
      <x:c r="O295" s="2" t="str">
        <x:v>relleno_postmuerte</x:v>
      </x:c>
      <x:c r="P295" s="2" t="n">
        <x:v>0</x:v>
      </x:c>
      <x:c r="Q295" s="2" t="str">
        <x:v>simulado_didactico</x:v>
      </x:c>
    </x:row>
    <x:row r="296" ht="19" customHeight="1">
      <x:c r="A296" s="2" t="str">
        <x:v>SIM-E2-BB-L0-R02</x:v>
      </x:c>
      <x:c r="B296" s="2" t="n">
        <x:v>1</x:v>
      </x:c>
      <x:c r="C296" s="2" t="str">
        <x:v>BB</x:v>
      </x:c>
      <x:c r="D296" s="2" t="str">
        <x:v>Brevicoryne brassicae</x:v>
      </x:c>
      <x:c r="E296" s="2" t="str">
        <x:v>L0</x:v>
      </x:c>
      <x:c r="F296" s="2" t="n">
        <x:v>2</x:v>
      </x:c>
      <x:c r="G296" s="2" t="n">
        <x:v>0</x:v>
      </x:c>
      <x:c r="H296" s="2" t="n">
        <x:f>G296+Supuestos!$C$15</x:f>
        <x:v>1</x:v>
      </x:c>
      <x:c r="I296" s="14" t="n">
        <x:f>E2_plantas!J9+G296</x:f>
        <x:v>46174</x:v>
      </x:c>
      <x:c r="J296" s="2" t="str">
        <x:v>N1</x:v>
      </x:c>
      <x:c r="K296" s="2" t="n">
        <x:v>1</x:v>
      </x:c>
      <x:c r="L296" s="2" t="n">
        <x:v>0</x:v>
      </x:c>
      <x:c r="M296" s="2" t="n">
        <x:f>SUM(L$296:L296)</x:f>
        <x:v>0</x:v>
      </x:c>
      <x:c r="N296" s="2" t="n">
        <x:v>0</x:v>
      </x:c>
      <x:c r="O296" s="2" t="str">
        <x:v>seguimiento</x:v>
      </x:c>
      <x:c r="P296" s="2" t="n">
        <x:v>0</x:v>
      </x:c>
      <x:c r="Q296" s="2" t="str">
        <x:v>simulado_didactico</x:v>
      </x:c>
    </x:row>
    <x:row r="297" ht="19" customHeight="1">
      <x:c r="A297" s="2" t="str">
        <x:v>SIM-E2-BB-L0-R02</x:v>
      </x:c>
      <x:c r="B297" s="2" t="n">
        <x:v>1</x:v>
      </x:c>
      <x:c r="C297" s="2" t="str">
        <x:v>BB</x:v>
      </x:c>
      <x:c r="D297" s="2" t="str">
        <x:v>Brevicoryne brassicae</x:v>
      </x:c>
      <x:c r="E297" s="2" t="str">
        <x:v>L0</x:v>
      </x:c>
      <x:c r="F297" s="2" t="n">
        <x:v>2</x:v>
      </x:c>
      <x:c r="G297" s="2" t="n">
        <x:v>1</x:v>
      </x:c>
      <x:c r="H297" s="2" t="n">
        <x:f>G297+Supuestos!$C$15</x:f>
        <x:v>2</x:v>
      </x:c>
      <x:c r="I297" s="14" t="n">
        <x:f>E2_plantas!J9+G297</x:f>
        <x:v>46175</x:v>
      </x:c>
      <x:c r="J297" s="2" t="str">
        <x:v>N2</x:v>
      </x:c>
      <x:c r="K297" s="2" t="n">
        <x:v>1</x:v>
      </x:c>
      <x:c r="L297" s="2" t="n">
        <x:v>0</x:v>
      </x:c>
      <x:c r="M297" s="2" t="n">
        <x:f>SUM(L$296:L297)</x:f>
        <x:v>0</x:v>
      </x:c>
      <x:c r="N297" s="2" t="n">
        <x:v>0</x:v>
      </x:c>
      <x:c r="O297" s="2" t="str">
        <x:v>seguimiento</x:v>
      </x:c>
      <x:c r="P297" s="2" t="n">
        <x:v>0</x:v>
      </x:c>
      <x:c r="Q297" s="2" t="str">
        <x:v>simulado_didactico</x:v>
      </x:c>
    </x:row>
    <x:row r="298" ht="19" customHeight="1">
      <x:c r="A298" s="2" t="str">
        <x:v>SIM-E2-BB-L0-R02</x:v>
      </x:c>
      <x:c r="B298" s="2" t="n">
        <x:v>1</x:v>
      </x:c>
      <x:c r="C298" s="2" t="str">
        <x:v>BB</x:v>
      </x:c>
      <x:c r="D298" s="2" t="str">
        <x:v>Brevicoryne brassicae</x:v>
      </x:c>
      <x:c r="E298" s="2" t="str">
        <x:v>L0</x:v>
      </x:c>
      <x:c r="F298" s="2" t="n">
        <x:v>2</x:v>
      </x:c>
      <x:c r="G298" s="2" t="n">
        <x:v>2</x:v>
      </x:c>
      <x:c r="H298" s="2" t="n">
        <x:f>G298+Supuestos!$C$15</x:f>
        <x:v>3</x:v>
      </x:c>
      <x:c r="I298" s="14" t="n">
        <x:f>E2_plantas!J9+G298</x:f>
        <x:v>46176</x:v>
      </x:c>
      <x:c r="J298" s="2" t="str">
        <x:v>N2</x:v>
      </x:c>
      <x:c r="K298" s="2" t="n">
        <x:v>1</x:v>
      </x:c>
      <x:c r="L298" s="2" t="n">
        <x:v>0</x:v>
      </x:c>
      <x:c r="M298" s="2" t="n">
        <x:f>SUM(L$296:L298)</x:f>
        <x:v>0</x:v>
      </x:c>
      <x:c r="N298" s="2" t="n">
        <x:v>0</x:v>
      </x:c>
      <x:c r="O298" s="2" t="str">
        <x:v>seguimiento</x:v>
      </x:c>
      <x:c r="P298" s="2" t="n">
        <x:v>0</x:v>
      </x:c>
      <x:c r="Q298" s="2" t="str">
        <x:v>simulado_didactico</x:v>
      </x:c>
    </x:row>
    <x:row r="299" ht="19" customHeight="1">
      <x:c r="A299" s="2" t="str">
        <x:v>SIM-E2-BB-L0-R02</x:v>
      </x:c>
      <x:c r="B299" s="2" t="n">
        <x:v>1</x:v>
      </x:c>
      <x:c r="C299" s="2" t="str">
        <x:v>BB</x:v>
      </x:c>
      <x:c r="D299" s="2" t="str">
        <x:v>Brevicoryne brassicae</x:v>
      </x:c>
      <x:c r="E299" s="2" t="str">
        <x:v>L0</x:v>
      </x:c>
      <x:c r="F299" s="2" t="n">
        <x:v>2</x:v>
      </x:c>
      <x:c r="G299" s="2" t="n">
        <x:v>3</x:v>
      </x:c>
      <x:c r="H299" s="2" t="n">
        <x:f>G299+Supuestos!$C$15</x:f>
        <x:v>4</x:v>
      </x:c>
      <x:c r="I299" s="14" t="n">
        <x:f>E2_plantas!J9+G299</x:f>
        <x:v>46177</x:v>
      </x:c>
      <x:c r="J299" s="2" t="str">
        <x:v>N2</x:v>
      </x:c>
      <x:c r="K299" s="2" t="n">
        <x:v>1</x:v>
      </x:c>
      <x:c r="L299" s="2" t="n">
        <x:v>0</x:v>
      </x:c>
      <x:c r="M299" s="2" t="n">
        <x:f>SUM(L$296:L299)</x:f>
        <x:v>0</x:v>
      </x:c>
      <x:c r="N299" s="2" t="n">
        <x:v>0</x:v>
      </x:c>
      <x:c r="O299" s="2" t="str">
        <x:v>seguimiento</x:v>
      </x:c>
      <x:c r="P299" s="2" t="n">
        <x:v>0</x:v>
      </x:c>
      <x:c r="Q299" s="2" t="str">
        <x:v>simulado_didactico</x:v>
      </x:c>
    </x:row>
    <x:row r="300" ht="19" customHeight="1">
      <x:c r="A300" s="2" t="str">
        <x:v>SIM-E2-BB-L0-R02</x:v>
      </x:c>
      <x:c r="B300" s="2" t="n">
        <x:v>1</x:v>
      </x:c>
      <x:c r="C300" s="2" t="str">
        <x:v>BB</x:v>
      </x:c>
      <x:c r="D300" s="2" t="str">
        <x:v>Brevicoryne brassicae</x:v>
      </x:c>
      <x:c r="E300" s="2" t="str">
        <x:v>L0</x:v>
      </x:c>
      <x:c r="F300" s="2" t="n">
        <x:v>2</x:v>
      </x:c>
      <x:c r="G300" s="2" t="n">
        <x:v>4</x:v>
      </x:c>
      <x:c r="H300" s="2" t="n">
        <x:f>G300+Supuestos!$C$15</x:f>
        <x:v>5</x:v>
      </x:c>
      <x:c r="I300" s="14" t="n">
        <x:f>E2_plantas!J9+G300</x:f>
        <x:v>46178</x:v>
      </x:c>
      <x:c r="J300" s="2" t="str">
        <x:v>N3</x:v>
      </x:c>
      <x:c r="K300" s="2" t="n">
        <x:v>1</x:v>
      </x:c>
      <x:c r="L300" s="2" t="n">
        <x:v>0</x:v>
      </x:c>
      <x:c r="M300" s="2" t="n">
        <x:f>SUM(L$296:L300)</x:f>
        <x:v>0</x:v>
      </x:c>
      <x:c r="N300" s="2" t="n">
        <x:v>0</x:v>
      </x:c>
      <x:c r="O300" s="2" t="str">
        <x:v>seguimiento</x:v>
      </x:c>
      <x:c r="P300" s="2" t="n">
        <x:v>0</x:v>
      </x:c>
      <x:c r="Q300" s="2" t="str">
        <x:v>simulado_didactico</x:v>
      </x:c>
    </x:row>
    <x:row r="301" ht="19" customHeight="1">
      <x:c r="A301" s="2" t="str">
        <x:v>SIM-E2-BB-L0-R02</x:v>
      </x:c>
      <x:c r="B301" s="2" t="n">
        <x:v>1</x:v>
      </x:c>
      <x:c r="C301" s="2" t="str">
        <x:v>BB</x:v>
      </x:c>
      <x:c r="D301" s="2" t="str">
        <x:v>Brevicoryne brassicae</x:v>
      </x:c>
      <x:c r="E301" s="2" t="str">
        <x:v>L0</x:v>
      </x:c>
      <x:c r="F301" s="2" t="n">
        <x:v>2</x:v>
      </x:c>
      <x:c r="G301" s="2" t="n">
        <x:v>5</x:v>
      </x:c>
      <x:c r="H301" s="2" t="n">
        <x:f>G301+Supuestos!$C$15</x:f>
        <x:v>6</x:v>
      </x:c>
      <x:c r="I301" s="14" t="n">
        <x:f>E2_plantas!J9+G301</x:f>
        <x:v>46179</x:v>
      </x:c>
      <x:c r="J301" s="2" t="str">
        <x:v>N4</x:v>
      </x:c>
      <x:c r="K301" s="2" t="n">
        <x:v>1</x:v>
      </x:c>
      <x:c r="L301" s="2" t="n">
        <x:v>0</x:v>
      </x:c>
      <x:c r="M301" s="2" t="n">
        <x:f>SUM(L$296:L301)</x:f>
        <x:v>0</x:v>
      </x:c>
      <x:c r="N301" s="2" t="n">
        <x:v>0</x:v>
      </x:c>
      <x:c r="O301" s="2" t="str">
        <x:v>seguimiento</x:v>
      </x:c>
      <x:c r="P301" s="2" t="n">
        <x:v>0</x:v>
      </x:c>
      <x:c r="Q301" s="2" t="str">
        <x:v>simulado_didactico</x:v>
      </x:c>
    </x:row>
    <x:row r="302" ht="19" customHeight="1">
      <x:c r="A302" s="2" t="str">
        <x:v>SIM-E2-BB-L0-R02</x:v>
      </x:c>
      <x:c r="B302" s="2" t="n">
        <x:v>1</x:v>
      </x:c>
      <x:c r="C302" s="2" t="str">
        <x:v>BB</x:v>
      </x:c>
      <x:c r="D302" s="2" t="str">
        <x:v>Brevicoryne brassicae</x:v>
      </x:c>
      <x:c r="E302" s="2" t="str">
        <x:v>L0</x:v>
      </x:c>
      <x:c r="F302" s="2" t="n">
        <x:v>2</x:v>
      </x:c>
      <x:c r="G302" s="2" t="n">
        <x:v>6</x:v>
      </x:c>
      <x:c r="H302" s="2" t="n">
        <x:f>G302+Supuestos!$C$15</x:f>
        <x:v>7</x:v>
      </x:c>
      <x:c r="I302" s="14" t="n">
        <x:f>E2_plantas!J9+G302</x:f>
        <x:v>46180</x:v>
      </x:c>
      <x:c r="J302" s="2" t="str">
        <x:v>N4</x:v>
      </x:c>
      <x:c r="K302" s="2" t="n">
        <x:v>1</x:v>
      </x:c>
      <x:c r="L302" s="2" t="n">
        <x:v>0</x:v>
      </x:c>
      <x:c r="M302" s="2" t="n">
        <x:f>SUM(L$296:L302)</x:f>
        <x:v>0</x:v>
      </x:c>
      <x:c r="N302" s="2" t="n">
        <x:v>0</x:v>
      </x:c>
      <x:c r="O302" s="2" t="str">
        <x:v>seguimiento</x:v>
      </x:c>
      <x:c r="P302" s="2" t="n">
        <x:v>0</x:v>
      </x:c>
      <x:c r="Q302" s="2" t="str">
        <x:v>simulado_didactico</x:v>
      </x:c>
    </x:row>
    <x:row r="303" ht="19" customHeight="1">
      <x:c r="A303" s="2" t="str">
        <x:v>SIM-E2-BB-L0-R02</x:v>
      </x:c>
      <x:c r="B303" s="2" t="n">
        <x:v>1</x:v>
      </x:c>
      <x:c r="C303" s="2" t="str">
        <x:v>BB</x:v>
      </x:c>
      <x:c r="D303" s="2" t="str">
        <x:v>Brevicoryne brassicae</x:v>
      </x:c>
      <x:c r="E303" s="2" t="str">
        <x:v>L0</x:v>
      </x:c>
      <x:c r="F303" s="2" t="n">
        <x:v>2</x:v>
      </x:c>
      <x:c r="G303" s="2" t="n">
        <x:v>7</x:v>
      </x:c>
      <x:c r="H303" s="2" t="n">
        <x:f>G303+Supuestos!$C$15</x:f>
        <x:v>8</x:v>
      </x:c>
      <x:c r="I303" s="14" t="n">
        <x:f>E2_plantas!J9+G303</x:f>
        <x:v>46181</x:v>
      </x:c>
      <x:c r="J303" s="2" t="str">
        <x:v>adulta</x:v>
      </x:c>
      <x:c r="K303" s="2" t="n">
        <x:v>1</x:v>
      </x:c>
      <x:c r="L303" s="2" t="n">
        <x:v>0</x:v>
      </x:c>
      <x:c r="M303" s="2" t="n">
        <x:f>SUM(L$296:L303)</x:f>
        <x:v>0</x:v>
      </x:c>
      <x:c r="N303" s="2" t="n">
        <x:v>0</x:v>
      </x:c>
      <x:c r="O303" s="2" t="str">
        <x:v>seguimiento</x:v>
      </x:c>
      <x:c r="P303" s="2" t="n">
        <x:v>0</x:v>
      </x:c>
      <x:c r="Q303" s="2" t="str">
        <x:v>simulado_didactico</x:v>
      </x:c>
    </x:row>
    <x:row r="304" ht="19" customHeight="1">
      <x:c r="A304" s="2" t="str">
        <x:v>SIM-E2-BB-L0-R02</x:v>
      </x:c>
      <x:c r="B304" s="2" t="n">
        <x:v>1</x:v>
      </x:c>
      <x:c r="C304" s="2" t="str">
        <x:v>BB</x:v>
      </x:c>
      <x:c r="D304" s="2" t="str">
        <x:v>Brevicoryne brassicae</x:v>
      </x:c>
      <x:c r="E304" s="2" t="str">
        <x:v>L0</x:v>
      </x:c>
      <x:c r="F304" s="2" t="n">
        <x:v>2</x:v>
      </x:c>
      <x:c r="G304" s="2" t="n">
        <x:v>8</x:v>
      </x:c>
      <x:c r="H304" s="2" t="n">
        <x:f>G304+Supuestos!$C$15</x:f>
        <x:v>9</x:v>
      </x:c>
      <x:c r="I304" s="14" t="n">
        <x:f>E2_plantas!J9+G304</x:f>
        <x:v>46182</x:v>
      </x:c>
      <x:c r="J304" s="2" t="str">
        <x:v>adulta</x:v>
      </x:c>
      <x:c r="K304" s="2" t="n">
        <x:v>1</x:v>
      </x:c>
      <x:c r="L304" s="2" t="n">
        <x:v>0</x:v>
      </x:c>
      <x:c r="M304" s="2" t="n">
        <x:f>SUM(L$296:L304)</x:f>
        <x:v>0</x:v>
      </x:c>
      <x:c r="N304" s="2" t="n">
        <x:v>0</x:v>
      </x:c>
      <x:c r="O304" s="2" t="str">
        <x:v>seguimiento</x:v>
      </x:c>
      <x:c r="P304" s="2" t="n">
        <x:v>0</x:v>
      </x:c>
      <x:c r="Q304" s="2" t="str">
        <x:v>simulado_didactico</x:v>
      </x:c>
    </x:row>
    <x:row r="305" ht="19" customHeight="1">
      <x:c r="A305" s="2" t="str">
        <x:v>SIM-E2-BB-L0-R02</x:v>
      </x:c>
      <x:c r="B305" s="2" t="n">
        <x:v>1</x:v>
      </x:c>
      <x:c r="C305" s="2" t="str">
        <x:v>BB</x:v>
      </x:c>
      <x:c r="D305" s="2" t="str">
        <x:v>Brevicoryne brassicae</x:v>
      </x:c>
      <x:c r="E305" s="2" t="str">
        <x:v>L0</x:v>
      </x:c>
      <x:c r="F305" s="2" t="n">
        <x:v>2</x:v>
      </x:c>
      <x:c r="G305" s="2" t="n">
        <x:v>9</x:v>
      </x:c>
      <x:c r="H305" s="2" t="n">
        <x:f>G305+Supuestos!$C$15</x:f>
        <x:v>10</x:v>
      </x:c>
      <x:c r="I305" s="14" t="n">
        <x:f>E2_plantas!J9+G305</x:f>
        <x:v>46183</x:v>
      </x:c>
      <x:c r="J305" s="2" t="str">
        <x:v>adulta</x:v>
      </x:c>
      <x:c r="K305" s="2" t="n">
        <x:v>1</x:v>
      </x:c>
      <x:c r="L305" s="2" t="n">
        <x:v>1</x:v>
      </x:c>
      <x:c r="M305" s="2" t="n">
        <x:f>SUM(L$296:L305)</x:f>
        <x:v>1</x:v>
      </x:c>
      <x:c r="N305" s="2" t="n">
        <x:v>0</x:v>
      </x:c>
      <x:c r="O305" s="2" t="str">
        <x:v>seguimiento</x:v>
      </x:c>
      <x:c r="P305" s="2" t="n">
        <x:v>0</x:v>
      </x:c>
      <x:c r="Q305" s="2" t="str">
        <x:v>simulado_didactico</x:v>
      </x:c>
    </x:row>
    <x:row r="306" ht="19" customHeight="1">
      <x:c r="A306" s="2" t="str">
        <x:v>SIM-E2-BB-L0-R02</x:v>
      </x:c>
      <x:c r="B306" s="2" t="n">
        <x:v>1</x:v>
      </x:c>
      <x:c r="C306" s="2" t="str">
        <x:v>BB</x:v>
      </x:c>
      <x:c r="D306" s="2" t="str">
        <x:v>Brevicoryne brassicae</x:v>
      </x:c>
      <x:c r="E306" s="2" t="str">
        <x:v>L0</x:v>
      </x:c>
      <x:c r="F306" s="2" t="n">
        <x:v>2</x:v>
      </x:c>
      <x:c r="G306" s="2" t="n">
        <x:v>10</x:v>
      </x:c>
      <x:c r="H306" s="2" t="n">
        <x:f>G306+Supuestos!$C$15</x:f>
        <x:v>11</x:v>
      </x:c>
      <x:c r="I306" s="14" t="n">
        <x:f>E2_plantas!J9+G306</x:f>
        <x:v>46184</x:v>
      </x:c>
      <x:c r="J306" s="2" t="str">
        <x:v>adulta</x:v>
      </x:c>
      <x:c r="K306" s="2" t="n">
        <x:v>1</x:v>
      </x:c>
      <x:c r="L306" s="2" t="n">
        <x:v>6</x:v>
      </x:c>
      <x:c r="M306" s="2" t="n">
        <x:f>SUM(L$296:L306)</x:f>
        <x:v>7</x:v>
      </x:c>
      <x:c r="N306" s="2" t="n">
        <x:v>0</x:v>
      </x:c>
      <x:c r="O306" s="2" t="str">
        <x:v>seguimiento</x:v>
      </x:c>
      <x:c r="P306" s="2" t="n">
        <x:v>0</x:v>
      </x:c>
      <x:c r="Q306" s="2" t="str">
        <x:v>simulado_didactico</x:v>
      </x:c>
    </x:row>
    <x:row r="307" ht="19" customHeight="1">
      <x:c r="A307" s="2" t="str">
        <x:v>SIM-E2-BB-L0-R02</x:v>
      </x:c>
      <x:c r="B307" s="2" t="n">
        <x:v>1</x:v>
      </x:c>
      <x:c r="C307" s="2" t="str">
        <x:v>BB</x:v>
      </x:c>
      <x:c r="D307" s="2" t="str">
        <x:v>Brevicoryne brassicae</x:v>
      </x:c>
      <x:c r="E307" s="2" t="str">
        <x:v>L0</x:v>
      </x:c>
      <x:c r="F307" s="2" t="n">
        <x:v>2</x:v>
      </x:c>
      <x:c r="G307" s="2" t="n">
        <x:v>11</x:v>
      </x:c>
      <x:c r="H307" s="2" t="n">
        <x:f>G307+Supuestos!$C$15</x:f>
        <x:v>12</x:v>
      </x:c>
      <x:c r="I307" s="14" t="n">
        <x:f>E2_plantas!J9+G307</x:f>
        <x:v>46185</x:v>
      </x:c>
      <x:c r="J307" s="2" t="str">
        <x:v>adulta</x:v>
      </x:c>
      <x:c r="K307" s="2" t="n">
        <x:v>1</x:v>
      </x:c>
      <x:c r="L307" s="2" t="n">
        <x:v>3</x:v>
      </x:c>
      <x:c r="M307" s="2" t="n">
        <x:f>SUM(L$296:L307)</x:f>
        <x:v>10</x:v>
      </x:c>
      <x:c r="N307" s="2" t="n">
        <x:v>0</x:v>
      </x:c>
      <x:c r="O307" s="2" t="str">
        <x:v>seguimiento</x:v>
      </x:c>
      <x:c r="P307" s="2" t="n">
        <x:v>0</x:v>
      </x:c>
      <x:c r="Q307" s="2" t="str">
        <x:v>simulado_didactico</x:v>
      </x:c>
    </x:row>
    <x:row r="308" ht="19" customHeight="1">
      <x:c r="A308" s="2" t="str">
        <x:v>SIM-E2-BB-L0-R02</x:v>
      </x:c>
      <x:c r="B308" s="2" t="n">
        <x:v>1</x:v>
      </x:c>
      <x:c r="C308" s="2" t="str">
        <x:v>BB</x:v>
      </x:c>
      <x:c r="D308" s="2" t="str">
        <x:v>Brevicoryne brassicae</x:v>
      </x:c>
      <x:c r="E308" s="2" t="str">
        <x:v>L0</x:v>
      </x:c>
      <x:c r="F308" s="2" t="n">
        <x:v>2</x:v>
      </x:c>
      <x:c r="G308" s="2" t="n">
        <x:v>12</x:v>
      </x:c>
      <x:c r="H308" s="2" t="n">
        <x:f>G308+Supuestos!$C$15</x:f>
        <x:v>13</x:v>
      </x:c>
      <x:c r="I308" s="14" t="n">
        <x:f>E2_plantas!J9+G308</x:f>
        <x:v>46186</x:v>
      </x:c>
      <x:c r="J308" s="2" t="str">
        <x:v>adulta</x:v>
      </x:c>
      <x:c r="K308" s="2" t="n">
        <x:v>1</x:v>
      </x:c>
      <x:c r="L308" s="2" t="n">
        <x:v>4</x:v>
      </x:c>
      <x:c r="M308" s="2" t="n">
        <x:f>SUM(L$296:L308)</x:f>
        <x:v>14</x:v>
      </x:c>
      <x:c r="N308" s="2" t="n">
        <x:v>0</x:v>
      </x:c>
      <x:c r="O308" s="2" t="str">
        <x:v>seguimiento</x:v>
      </x:c>
      <x:c r="P308" s="2" t="n">
        <x:v>0</x:v>
      </x:c>
      <x:c r="Q308" s="2" t="str">
        <x:v>simulado_didactico</x:v>
      </x:c>
    </x:row>
    <x:row r="309" ht="19" customHeight="1">
      <x:c r="A309" s="2" t="str">
        <x:v>SIM-E2-BB-L0-R02</x:v>
      </x:c>
      <x:c r="B309" s="2" t="n">
        <x:v>1</x:v>
      </x:c>
      <x:c r="C309" s="2" t="str">
        <x:v>BB</x:v>
      </x:c>
      <x:c r="D309" s="2" t="str">
        <x:v>Brevicoryne brassicae</x:v>
      </x:c>
      <x:c r="E309" s="2" t="str">
        <x:v>L0</x:v>
      </x:c>
      <x:c r="F309" s="2" t="n">
        <x:v>2</x:v>
      </x:c>
      <x:c r="G309" s="2" t="n">
        <x:v>13</x:v>
      </x:c>
      <x:c r="H309" s="2" t="n">
        <x:f>G309+Supuestos!$C$15</x:f>
        <x:v>14</x:v>
      </x:c>
      <x:c r="I309" s="14" t="n">
        <x:f>E2_plantas!J9+G309</x:f>
        <x:v>46187</x:v>
      </x:c>
      <x:c r="J309" s="2" t="str">
        <x:v>adulta</x:v>
      </x:c>
      <x:c r="K309" s="2" t="n">
        <x:v>1</x:v>
      </x:c>
      <x:c r="L309" s="2" t="n">
        <x:v>4</x:v>
      </x:c>
      <x:c r="M309" s="2" t="n">
        <x:f>SUM(L$296:L309)</x:f>
        <x:v>18</x:v>
      </x:c>
      <x:c r="N309" s="2" t="n">
        <x:v>0</x:v>
      </x:c>
      <x:c r="O309" s="2" t="str">
        <x:v>seguimiento</x:v>
      </x:c>
      <x:c r="P309" s="2" t="n">
        <x:v>0</x:v>
      </x:c>
      <x:c r="Q309" s="2" t="str">
        <x:v>simulado_didactico</x:v>
      </x:c>
    </x:row>
    <x:row r="310" ht="19" customHeight="1">
      <x:c r="A310" s="2" t="str">
        <x:v>SIM-E2-BB-L0-R02</x:v>
      </x:c>
      <x:c r="B310" s="2" t="n">
        <x:v>1</x:v>
      </x:c>
      <x:c r="C310" s="2" t="str">
        <x:v>BB</x:v>
      </x:c>
      <x:c r="D310" s="2" t="str">
        <x:v>Brevicoryne brassicae</x:v>
      </x:c>
      <x:c r="E310" s="2" t="str">
        <x:v>L0</x:v>
      </x:c>
      <x:c r="F310" s="2" t="n">
        <x:v>2</x:v>
      </x:c>
      <x:c r="G310" s="2" t="n">
        <x:v>14</x:v>
      </x:c>
      <x:c r="H310" s="2" t="n">
        <x:f>G310+Supuestos!$C$15</x:f>
        <x:v>15</x:v>
      </x:c>
      <x:c r="I310" s="14" t="n">
        <x:f>E2_plantas!J9+G310</x:f>
        <x:v>46188</x:v>
      </x:c>
      <x:c r="J310" s="2" t="str">
        <x:v>adulta</x:v>
      </x:c>
      <x:c r="K310" s="2" t="n">
        <x:v>1</x:v>
      </x:c>
      <x:c r="L310" s="2" t="n">
        <x:v>3</x:v>
      </x:c>
      <x:c r="M310" s="2" t="n">
        <x:f>SUM(L$296:L310)</x:f>
        <x:v>21</x:v>
      </x:c>
      <x:c r="N310" s="2" t="n">
        <x:v>0</x:v>
      </x:c>
      <x:c r="O310" s="2" t="str">
        <x:v>seguimiento</x:v>
      </x:c>
      <x:c r="P310" s="2" t="n">
        <x:v>0</x:v>
      </x:c>
      <x:c r="Q310" s="2" t="str">
        <x:v>simulado_didactico</x:v>
      </x:c>
    </x:row>
    <x:row r="311" ht="19" customHeight="1">
      <x:c r="A311" s="2" t="str">
        <x:v>SIM-E2-BB-L0-R02</x:v>
      </x:c>
      <x:c r="B311" s="2" t="n">
        <x:v>1</x:v>
      </x:c>
      <x:c r="C311" s="2" t="str">
        <x:v>BB</x:v>
      </x:c>
      <x:c r="D311" s="2" t="str">
        <x:v>Brevicoryne brassicae</x:v>
      </x:c>
      <x:c r="E311" s="2" t="str">
        <x:v>L0</x:v>
      </x:c>
      <x:c r="F311" s="2" t="n">
        <x:v>2</x:v>
      </x:c>
      <x:c r="G311" s="2" t="n">
        <x:v>15</x:v>
      </x:c>
      <x:c r="H311" s="2" t="n">
        <x:f>G311+Supuestos!$C$15</x:f>
        <x:v>16</x:v>
      </x:c>
      <x:c r="I311" s="14" t="n">
        <x:f>E2_plantas!J9+G311</x:f>
        <x:v>46189</x:v>
      </x:c>
      <x:c r="J311" s="2" t="str">
        <x:v>adulta</x:v>
      </x:c>
      <x:c r="K311" s="2" t="n">
        <x:v>1</x:v>
      </x:c>
      <x:c r="L311" s="2" t="n">
        <x:v>0</x:v>
      </x:c>
      <x:c r="M311" s="2" t="n">
        <x:f>SUM(L$296:L311)</x:f>
        <x:v>21</x:v>
      </x:c>
      <x:c r="N311" s="2" t="n">
        <x:v>0</x:v>
      </x:c>
      <x:c r="O311" s="2" t="str">
        <x:v>seguimiento</x:v>
      </x:c>
      <x:c r="P311" s="2" t="n">
        <x:v>0</x:v>
      </x:c>
      <x:c r="Q311" s="2" t="str">
        <x:v>simulado_didactico</x:v>
      </x:c>
    </x:row>
    <x:row r="312" ht="19" customHeight="1">
      <x:c r="A312" s="2" t="str">
        <x:v>SIM-E2-BB-L0-R02</x:v>
      </x:c>
      <x:c r="B312" s="2" t="n">
        <x:v>1</x:v>
      </x:c>
      <x:c r="C312" s="2" t="str">
        <x:v>BB</x:v>
      </x:c>
      <x:c r="D312" s="2" t="str">
        <x:v>Brevicoryne brassicae</x:v>
      </x:c>
      <x:c r="E312" s="2" t="str">
        <x:v>L0</x:v>
      </x:c>
      <x:c r="F312" s="2" t="n">
        <x:v>2</x:v>
      </x:c>
      <x:c r="G312" s="2" t="n">
        <x:v>16</x:v>
      </x:c>
      <x:c r="H312" s="2" t="n">
        <x:f>G312+Supuestos!$C$15</x:f>
        <x:v>17</x:v>
      </x:c>
      <x:c r="I312" s="14" t="n">
        <x:f>E2_plantas!J9+G312</x:f>
        <x:v>46190</x:v>
      </x:c>
      <x:c r="J312" s="2" t="str">
        <x:v>adulta</x:v>
      </x:c>
      <x:c r="K312" s="2" t="n">
        <x:v>1</x:v>
      </x:c>
      <x:c r="L312" s="2" t="n">
        <x:v>5</x:v>
      </x:c>
      <x:c r="M312" s="2" t="n">
        <x:f>SUM(L$296:L312)</x:f>
        <x:v>26</x:v>
      </x:c>
      <x:c r="N312" s="2" t="n">
        <x:v>0</x:v>
      </x:c>
      <x:c r="O312" s="2" t="str">
        <x:v>seguimiento</x:v>
      </x:c>
      <x:c r="P312" s="2" t="n">
        <x:v>0</x:v>
      </x:c>
      <x:c r="Q312" s="2" t="str">
        <x:v>simulado_didactico</x:v>
      </x:c>
    </x:row>
    <x:row r="313" ht="19" customHeight="1">
      <x:c r="A313" s="2" t="str">
        <x:v>SIM-E2-BB-L0-R02</x:v>
      </x:c>
      <x:c r="B313" s="2" t="n">
        <x:v>1</x:v>
      </x:c>
      <x:c r="C313" s="2" t="str">
        <x:v>BB</x:v>
      </x:c>
      <x:c r="D313" s="2" t="str">
        <x:v>Brevicoryne brassicae</x:v>
      </x:c>
      <x:c r="E313" s="2" t="str">
        <x:v>L0</x:v>
      </x:c>
      <x:c r="F313" s="2" t="n">
        <x:v>2</x:v>
      </x:c>
      <x:c r="G313" s="2" t="n">
        <x:v>17</x:v>
      </x:c>
      <x:c r="H313" s="2" t="n">
        <x:f>G313+Supuestos!$C$15</x:f>
        <x:v>18</x:v>
      </x:c>
      <x:c r="I313" s="14" t="n">
        <x:f>E2_plantas!J9+G313</x:f>
        <x:v>46191</x:v>
      </x:c>
      <x:c r="J313" s="2" t="str">
        <x:v>adulta</x:v>
      </x:c>
      <x:c r="K313" s="2" t="n">
        <x:v>1</x:v>
      </x:c>
      <x:c r="L313" s="2" t="n">
        <x:v>1</x:v>
      </x:c>
      <x:c r="M313" s="2" t="n">
        <x:f>SUM(L$296:L313)</x:f>
        <x:v>27</x:v>
      </x:c>
      <x:c r="N313" s="2" t="n">
        <x:v>0</x:v>
      </x:c>
      <x:c r="O313" s="2" t="str">
        <x:v>seguimiento</x:v>
      </x:c>
      <x:c r="P313" s="2" t="n">
        <x:v>0</x:v>
      </x:c>
      <x:c r="Q313" s="2" t="str">
        <x:v>simulado_didactico</x:v>
      </x:c>
    </x:row>
    <x:row r="314" ht="19" customHeight="1">
      <x:c r="A314" s="2" t="str">
        <x:v>SIM-E2-BB-L0-R02</x:v>
      </x:c>
      <x:c r="B314" s="2" t="n">
        <x:v>1</x:v>
      </x:c>
      <x:c r="C314" s="2" t="str">
        <x:v>BB</x:v>
      </x:c>
      <x:c r="D314" s="2" t="str">
        <x:v>Brevicoryne brassicae</x:v>
      </x:c>
      <x:c r="E314" s="2" t="str">
        <x:v>L0</x:v>
      </x:c>
      <x:c r="F314" s="2" t="n">
        <x:v>2</x:v>
      </x:c>
      <x:c r="G314" s="2" t="n">
        <x:v>18</x:v>
      </x:c>
      <x:c r="H314" s="2" t="n">
        <x:f>G314+Supuestos!$C$15</x:f>
        <x:v>19</x:v>
      </x:c>
      <x:c r="I314" s="14" t="n">
        <x:f>E2_plantas!J9+G314</x:f>
        <x:v>46192</x:v>
      </x:c>
      <x:c r="J314" s="2" t="str">
        <x:v>adulta</x:v>
      </x:c>
      <x:c r="K314" s="2" t="n">
        <x:v>1</x:v>
      </x:c>
      <x:c r="L314" s="2" t="n">
        <x:v>4</x:v>
      </x:c>
      <x:c r="M314" s="2" t="n">
        <x:f>SUM(L$296:L314)</x:f>
        <x:v>31</x:v>
      </x:c>
      <x:c r="N314" s="2" t="n">
        <x:v>0</x:v>
      </x:c>
      <x:c r="O314" s="2" t="str">
        <x:v>seguimiento</x:v>
      </x:c>
      <x:c r="P314" s="2" t="n">
        <x:v>0</x:v>
      </x:c>
      <x:c r="Q314" s="2" t="str">
        <x:v>simulado_didactico</x:v>
      </x:c>
    </x:row>
    <x:row r="315" ht="19" customHeight="1">
      <x:c r="A315" s="2" t="str">
        <x:v>SIM-E2-BB-L0-R02</x:v>
      </x:c>
      <x:c r="B315" s="2" t="n">
        <x:v>1</x:v>
      </x:c>
      <x:c r="C315" s="2" t="str">
        <x:v>BB</x:v>
      </x:c>
      <x:c r="D315" s="2" t="str">
        <x:v>Brevicoryne brassicae</x:v>
      </x:c>
      <x:c r="E315" s="2" t="str">
        <x:v>L0</x:v>
      </x:c>
      <x:c r="F315" s="2" t="n">
        <x:v>2</x:v>
      </x:c>
      <x:c r="G315" s="2" t="n">
        <x:v>19</x:v>
      </x:c>
      <x:c r="H315" s="2" t="n">
        <x:f>G315+Supuestos!$C$15</x:f>
        <x:v>20</x:v>
      </x:c>
      <x:c r="I315" s="14" t="n">
        <x:f>E2_plantas!J9+G315</x:f>
        <x:v>46193</x:v>
      </x:c>
      <x:c r="J315" s="2" t="str">
        <x:v>adulta</x:v>
      </x:c>
      <x:c r="K315" s="2" t="n">
        <x:v>1</x:v>
      </x:c>
      <x:c r="L315" s="2" t="n">
        <x:v>4</x:v>
      </x:c>
      <x:c r="M315" s="2" t="n">
        <x:f>SUM(L$296:L315)</x:f>
        <x:v>35</x:v>
      </x:c>
      <x:c r="N315" s="2" t="n">
        <x:v>0</x:v>
      </x:c>
      <x:c r="O315" s="2" t="str">
        <x:v>seguimiento</x:v>
      </x:c>
      <x:c r="P315" s="2" t="n">
        <x:v>0</x:v>
      </x:c>
      <x:c r="Q315" s="2" t="str">
        <x:v>simulado_didactico</x:v>
      </x:c>
    </x:row>
    <x:row r="316" ht="19" customHeight="1">
      <x:c r="A316" s="2" t="str">
        <x:v>SIM-E2-BB-L0-R02</x:v>
      </x:c>
      <x:c r="B316" s="2" t="n">
        <x:v>1</x:v>
      </x:c>
      <x:c r="C316" s="2" t="str">
        <x:v>BB</x:v>
      </x:c>
      <x:c r="D316" s="2" t="str">
        <x:v>Brevicoryne brassicae</x:v>
      </x:c>
      <x:c r="E316" s="2" t="str">
        <x:v>L0</x:v>
      </x:c>
      <x:c r="F316" s="2" t="n">
        <x:v>2</x:v>
      </x:c>
      <x:c r="G316" s="2" t="n">
        <x:v>20</x:v>
      </x:c>
      <x:c r="H316" s="2" t="n">
        <x:f>G316+Supuestos!$C$15</x:f>
        <x:v>21</x:v>
      </x:c>
      <x:c r="I316" s="14" t="n">
        <x:f>E2_plantas!J9+G316</x:f>
        <x:v>46194</x:v>
      </x:c>
      <x:c r="J316" s="2" t="str">
        <x:v>adulta</x:v>
      </x:c>
      <x:c r="K316" s="2" t="n">
        <x:v>1</x:v>
      </x:c>
      <x:c r="L316" s="2" t="n">
        <x:v>6</x:v>
      </x:c>
      <x:c r="M316" s="2" t="n">
        <x:f>SUM(L$296:L316)</x:f>
        <x:v>41</x:v>
      </x:c>
      <x:c r="N316" s="2" t="n">
        <x:v>0</x:v>
      </x:c>
      <x:c r="O316" s="2" t="str">
        <x:v>seguimiento</x:v>
      </x:c>
      <x:c r="P316" s="2" t="n">
        <x:v>0</x:v>
      </x:c>
      <x:c r="Q316" s="2" t="str">
        <x:v>simulado_didactico</x:v>
      </x:c>
    </x:row>
    <x:row r="317" ht="19" customHeight="1">
      <x:c r="A317" s="2" t="str">
        <x:v>SIM-E2-BB-L0-R02</x:v>
      </x:c>
      <x:c r="B317" s="2" t="n">
        <x:v>1</x:v>
      </x:c>
      <x:c r="C317" s="2" t="str">
        <x:v>BB</x:v>
      </x:c>
      <x:c r="D317" s="2" t="str">
        <x:v>Brevicoryne brassicae</x:v>
      </x:c>
      <x:c r="E317" s="2" t="str">
        <x:v>L0</x:v>
      </x:c>
      <x:c r="F317" s="2" t="n">
        <x:v>2</x:v>
      </x:c>
      <x:c r="G317" s="2" t="n">
        <x:v>21</x:v>
      </x:c>
      <x:c r="H317" s="2" t="n">
        <x:f>G317+Supuestos!$C$15</x:f>
        <x:v>22</x:v>
      </x:c>
      <x:c r="I317" s="14" t="n">
        <x:f>E2_plantas!J9+G317</x:f>
        <x:v>46195</x:v>
      </x:c>
      <x:c r="J317" s="2" t="str">
        <x:v>adulta</x:v>
      </x:c>
      <x:c r="K317" s="2" t="n">
        <x:v>1</x:v>
      </x:c>
      <x:c r="L317" s="2" t="n">
        <x:v>4</x:v>
      </x:c>
      <x:c r="M317" s="2" t="n">
        <x:f>SUM(L$296:L317)</x:f>
        <x:v>45</x:v>
      </x:c>
      <x:c r="N317" s="2" t="n">
        <x:v>0</x:v>
      </x:c>
      <x:c r="O317" s="2" t="str">
        <x:v>seguimiento</x:v>
      </x:c>
      <x:c r="P317" s="2" t="n">
        <x:v>0</x:v>
      </x:c>
      <x:c r="Q317" s="2" t="str">
        <x:v>simulado_didactico</x:v>
      </x:c>
    </x:row>
    <x:row r="318" ht="19" customHeight="1">
      <x:c r="A318" s="2" t="str">
        <x:v>SIM-E2-BB-L0-R02</x:v>
      </x:c>
      <x:c r="B318" s="2" t="n">
        <x:v>1</x:v>
      </x:c>
      <x:c r="C318" s="2" t="str">
        <x:v>BB</x:v>
      </x:c>
      <x:c r="D318" s="2" t="str">
        <x:v>Brevicoryne brassicae</x:v>
      </x:c>
      <x:c r="E318" s="2" t="str">
        <x:v>L0</x:v>
      </x:c>
      <x:c r="F318" s="2" t="n">
        <x:v>2</x:v>
      </x:c>
      <x:c r="G318" s="2" t="n">
        <x:v>22</x:v>
      </x:c>
      <x:c r="H318" s="2" t="n">
        <x:f>G318+Supuestos!$C$15</x:f>
        <x:v>23</x:v>
      </x:c>
      <x:c r="I318" s="14" t="n">
        <x:f>E2_plantas!J9+G318</x:f>
        <x:v>46196</x:v>
      </x:c>
      <x:c r="J318" s="2" t="str">
        <x:v>adulta</x:v>
      </x:c>
      <x:c r="K318" s="2" t="n">
        <x:v>1</x:v>
      </x:c>
      <x:c r="L318" s="2" t="n">
        <x:v>1</x:v>
      </x:c>
      <x:c r="M318" s="2" t="n">
        <x:f>SUM(L$296:L318)</x:f>
        <x:v>46</x:v>
      </x:c>
      <x:c r="N318" s="2" t="n">
        <x:v>0</x:v>
      </x:c>
      <x:c r="O318" s="2" t="str">
        <x:v>seguimiento</x:v>
      </x:c>
      <x:c r="P318" s="2" t="n">
        <x:v>0</x:v>
      </x:c>
      <x:c r="Q318" s="2" t="str">
        <x:v>simulado_didactico</x:v>
      </x:c>
    </x:row>
    <x:row r="319" ht="19" customHeight="1">
      <x:c r="A319" s="2" t="str">
        <x:v>SIM-E2-BB-L0-R02</x:v>
      </x:c>
      <x:c r="B319" s="2" t="n">
        <x:v>1</x:v>
      </x:c>
      <x:c r="C319" s="2" t="str">
        <x:v>BB</x:v>
      </x:c>
      <x:c r="D319" s="2" t="str">
        <x:v>Brevicoryne brassicae</x:v>
      </x:c>
      <x:c r="E319" s="2" t="str">
        <x:v>L0</x:v>
      </x:c>
      <x:c r="F319" s="2" t="n">
        <x:v>2</x:v>
      </x:c>
      <x:c r="G319" s="2" t="n">
        <x:v>23</x:v>
      </x:c>
      <x:c r="H319" s="2" t="n">
        <x:f>G319+Supuestos!$C$15</x:f>
        <x:v>24</x:v>
      </x:c>
      <x:c r="I319" s="14" t="n">
        <x:f>E2_plantas!J9+G319</x:f>
        <x:v>46197</x:v>
      </x:c>
      <x:c r="J319" s="2" t="str">
        <x:v>adulta</x:v>
      </x:c>
      <x:c r="K319" s="2" t="n">
        <x:v>1</x:v>
      </x:c>
      <x:c r="L319" s="2" t="n">
        <x:v>2</x:v>
      </x:c>
      <x:c r="M319" s="2" t="n">
        <x:f>SUM(L$296:L319)</x:f>
        <x:v>48</x:v>
      </x:c>
      <x:c r="N319" s="2" t="n">
        <x:v>0</x:v>
      </x:c>
      <x:c r="O319" s="2" t="str">
        <x:v>seguimiento</x:v>
      </x:c>
      <x:c r="P319" s="2" t="n">
        <x:v>0</x:v>
      </x:c>
      <x:c r="Q319" s="2" t="str">
        <x:v>simulado_didactico</x:v>
      </x:c>
    </x:row>
    <x:row r="320" ht="19" customHeight="1">
      <x:c r="A320" s="2" t="str">
        <x:v>SIM-E2-BB-L0-R02</x:v>
      </x:c>
      <x:c r="B320" s="2" t="n">
        <x:v>1</x:v>
      </x:c>
      <x:c r="C320" s="2" t="str">
        <x:v>BB</x:v>
      </x:c>
      <x:c r="D320" s="2" t="str">
        <x:v>Brevicoryne brassicae</x:v>
      </x:c>
      <x:c r="E320" s="2" t="str">
        <x:v>L0</x:v>
      </x:c>
      <x:c r="F320" s="2" t="n">
        <x:v>2</x:v>
      </x:c>
      <x:c r="G320" s="2" t="n">
        <x:v>24</x:v>
      </x:c>
      <x:c r="H320" s="2" t="n">
        <x:f>G320+Supuestos!$C$15</x:f>
        <x:v>25</x:v>
      </x:c>
      <x:c r="I320" s="14" t="n">
        <x:f>E2_plantas!J9+G320</x:f>
        <x:v>46198</x:v>
      </x:c>
      <x:c r="J320" s="2" t="str">
        <x:v>adulta</x:v>
      </x:c>
      <x:c r="K320" s="2" t="n">
        <x:v>1</x:v>
      </x:c>
      <x:c r="L320" s="2" t="n">
        <x:v>5</x:v>
      </x:c>
      <x:c r="M320" s="2" t="n">
        <x:f>SUM(L$296:L320)</x:f>
        <x:v>53</x:v>
      </x:c>
      <x:c r="N320" s="2" t="n">
        <x:v>0</x:v>
      </x:c>
      <x:c r="O320" s="2" t="str">
        <x:v>seguimiento</x:v>
      </x:c>
      <x:c r="P320" s="2" t="n">
        <x:v>0</x:v>
      </x:c>
      <x:c r="Q320" s="2" t="str">
        <x:v>simulado_didactico</x:v>
      </x:c>
    </x:row>
    <x:row r="321" ht="19" customHeight="1">
      <x:c r="A321" s="2" t="str">
        <x:v>SIM-E2-BB-L0-R02</x:v>
      </x:c>
      <x:c r="B321" s="2" t="n">
        <x:v>1</x:v>
      </x:c>
      <x:c r="C321" s="2" t="str">
        <x:v>BB</x:v>
      </x:c>
      <x:c r="D321" s="2" t="str">
        <x:v>Brevicoryne brassicae</x:v>
      </x:c>
      <x:c r="E321" s="2" t="str">
        <x:v>L0</x:v>
      </x:c>
      <x:c r="F321" s="2" t="n">
        <x:v>2</x:v>
      </x:c>
      <x:c r="G321" s="2" t="n">
        <x:v>25</x:v>
      </x:c>
      <x:c r="H321" s="2" t="n">
        <x:f>G321+Supuestos!$C$15</x:f>
        <x:v>26</x:v>
      </x:c>
      <x:c r="I321" s="14" t="n">
        <x:f>E2_plantas!J9+G321</x:f>
        <x:v>46199</x:v>
      </x:c>
      <x:c r="J321" s="2" t="str">
        <x:v>adulta</x:v>
      </x:c>
      <x:c r="K321" s="2" t="n">
        <x:v>1</x:v>
      </x:c>
      <x:c r="L321" s="2" t="n">
        <x:v>1</x:v>
      </x:c>
      <x:c r="M321" s="2" t="n">
        <x:f>SUM(L$296:L321)</x:f>
        <x:v>54</x:v>
      </x:c>
      <x:c r="N321" s="2" t="n">
        <x:v>0</x:v>
      </x:c>
      <x:c r="O321" s="2" t="str">
        <x:v>seguimiento</x:v>
      </x:c>
      <x:c r="P321" s="2" t="n">
        <x:v>0</x:v>
      </x:c>
      <x:c r="Q321" s="2" t="str">
        <x:v>simulado_didactico</x:v>
      </x:c>
    </x:row>
    <x:row r="322" ht="19" customHeight="1">
      <x:c r="A322" s="2" t="str">
        <x:v>SIM-E2-BB-L0-R02</x:v>
      </x:c>
      <x:c r="B322" s="2" t="n">
        <x:v>1</x:v>
      </x:c>
      <x:c r="C322" s="2" t="str">
        <x:v>BB</x:v>
      </x:c>
      <x:c r="D322" s="2" t="str">
        <x:v>Brevicoryne brassicae</x:v>
      </x:c>
      <x:c r="E322" s="2" t="str">
        <x:v>L0</x:v>
      </x:c>
      <x:c r="F322" s="2" t="n">
        <x:v>2</x:v>
      </x:c>
      <x:c r="G322" s="2" t="n">
        <x:v>26</x:v>
      </x:c>
      <x:c r="H322" s="2" t="n">
        <x:f>G322+Supuestos!$C$15</x:f>
        <x:v>27</x:v>
      </x:c>
      <x:c r="I322" s="14" t="n">
        <x:f>E2_plantas!J9+G322</x:f>
        <x:v>46200</x:v>
      </x:c>
      <x:c r="J322" s="2" t="str">
        <x:v>adulta</x:v>
      </x:c>
      <x:c r="K322" s="2" t="n">
        <x:v>1</x:v>
      </x:c>
      <x:c r="L322" s="2" t="n">
        <x:v>1</x:v>
      </x:c>
      <x:c r="M322" s="2" t="n">
        <x:f>SUM(L$296:L322)</x:f>
        <x:v>55</x:v>
      </x:c>
      <x:c r="N322" s="2" t="n">
        <x:v>0</x:v>
      </x:c>
      <x:c r="O322" s="2" t="str">
        <x:v>seguimiento</x:v>
      </x:c>
      <x:c r="P322" s="2" t="n">
        <x:v>0</x:v>
      </x:c>
      <x:c r="Q322" s="2" t="str">
        <x:v>simulado_didactico</x:v>
      </x:c>
    </x:row>
    <x:row r="323" ht="19" customHeight="1">
      <x:c r="A323" s="2" t="str">
        <x:v>SIM-E2-BB-L0-R02</x:v>
      </x:c>
      <x:c r="B323" s="2" t="n">
        <x:v>1</x:v>
      </x:c>
      <x:c r="C323" s="2" t="str">
        <x:v>BB</x:v>
      </x:c>
      <x:c r="D323" s="2" t="str">
        <x:v>Brevicoryne brassicae</x:v>
      </x:c>
      <x:c r="E323" s="2" t="str">
        <x:v>L0</x:v>
      </x:c>
      <x:c r="F323" s="2" t="n">
        <x:v>2</x:v>
      </x:c>
      <x:c r="G323" s="2" t="n">
        <x:v>27</x:v>
      </x:c>
      <x:c r="H323" s="2" t="n">
        <x:f>G323+Supuestos!$C$15</x:f>
        <x:v>28</x:v>
      </x:c>
      <x:c r="I323" s="14" t="n">
        <x:f>E2_plantas!J9+G323</x:f>
        <x:v>46201</x:v>
      </x:c>
      <x:c r="J323" s="2" t="str">
        <x:v>adulta</x:v>
      </x:c>
      <x:c r="K323" s="2" t="n">
        <x:v>1</x:v>
      </x:c>
      <x:c r="L323" s="2" t="n">
        <x:v>2</x:v>
      </x:c>
      <x:c r="M323" s="2" t="n">
        <x:f>SUM(L$296:L323)</x:f>
        <x:v>57</x:v>
      </x:c>
      <x:c r="N323" s="2" t="n">
        <x:v>0</x:v>
      </x:c>
      <x:c r="O323" s="2" t="str">
        <x:v>seguimiento</x:v>
      </x:c>
      <x:c r="P323" s="2" t="n">
        <x:v>0</x:v>
      </x:c>
      <x:c r="Q323" s="2" t="str">
        <x:v>simulado_didactico</x:v>
      </x:c>
    </x:row>
    <x:row r="324" ht="19" customHeight="1">
      <x:c r="A324" s="2" t="str">
        <x:v>SIM-E2-BB-L0-R02</x:v>
      </x:c>
      <x:c r="B324" s="2" t="n">
        <x:v>1</x:v>
      </x:c>
      <x:c r="C324" s="2" t="str">
        <x:v>BB</x:v>
      </x:c>
      <x:c r="D324" s="2" t="str">
        <x:v>Brevicoryne brassicae</x:v>
      </x:c>
      <x:c r="E324" s="2" t="str">
        <x:v>L0</x:v>
      </x:c>
      <x:c r="F324" s="2" t="n">
        <x:v>2</x:v>
      </x:c>
      <x:c r="G324" s="2" t="n">
        <x:v>28</x:v>
      </x:c>
      <x:c r="H324" s="2" t="n">
        <x:f>G324+Supuestos!$C$15</x:f>
        <x:v>29</x:v>
      </x:c>
      <x:c r="I324" s="14" t="n">
        <x:f>E2_plantas!J9+G324</x:f>
        <x:v>46202</x:v>
      </x:c>
      <x:c r="J324" s="2" t="str">
        <x:v>adulta</x:v>
      </x:c>
      <x:c r="K324" s="2" t="n">
        <x:v>1</x:v>
      </x:c>
      <x:c r="L324" s="2" t="n">
        <x:v>0</x:v>
      </x:c>
      <x:c r="M324" s="2" t="n">
        <x:f>SUM(L$296:L324)</x:f>
        <x:v>57</x:v>
      </x:c>
      <x:c r="N324" s="2" t="n">
        <x:v>0</x:v>
      </x:c>
      <x:c r="O324" s="2" t="str">
        <x:v>seguimiento</x:v>
      </x:c>
      <x:c r="P324" s="2" t="n">
        <x:v>0</x:v>
      </x:c>
      <x:c r="Q324" s="2" t="str">
        <x:v>simulado_didactico</x:v>
      </x:c>
    </x:row>
    <x:row r="325" ht="19" customHeight="1">
      <x:c r="A325" s="2" t="str">
        <x:v>SIM-E2-BB-L0-R02</x:v>
      </x:c>
      <x:c r="B325" s="2" t="n">
        <x:v>1</x:v>
      </x:c>
      <x:c r="C325" s="2" t="str">
        <x:v>BB</x:v>
      </x:c>
      <x:c r="D325" s="2" t="str">
        <x:v>Brevicoryne brassicae</x:v>
      </x:c>
      <x:c r="E325" s="2" t="str">
        <x:v>L0</x:v>
      </x:c>
      <x:c r="F325" s="2" t="n">
        <x:v>2</x:v>
      </x:c>
      <x:c r="G325" s="2" t="n">
        <x:v>29</x:v>
      </x:c>
      <x:c r="H325" s="2" t="n">
        <x:f>G325+Supuestos!$C$15</x:f>
        <x:v>30</x:v>
      </x:c>
      <x:c r="I325" s="14" t="n">
        <x:f>E2_plantas!J9+G325</x:f>
        <x:v>46203</x:v>
      </x:c>
      <x:c r="J325" s="2" t="str">
        <x:v>adulta</x:v>
      </x:c>
      <x:c r="K325" s="2" t="n">
        <x:v>1</x:v>
      </x:c>
      <x:c r="L325" s="2" t="n">
        <x:v>0</x:v>
      </x:c>
      <x:c r="M325" s="2" t="n">
        <x:f>SUM(L$296:L325)</x:f>
        <x:v>57</x:v>
      </x:c>
      <x:c r="N325" s="2" t="n">
        <x:v>0</x:v>
      </x:c>
      <x:c r="O325" s="2" t="str">
        <x:v>seguimiento</x:v>
      </x:c>
      <x:c r="P325" s="2" t="n">
        <x:v>0</x:v>
      </x:c>
      <x:c r="Q325" s="2" t="str">
        <x:v>simulado_didactico</x:v>
      </x:c>
    </x:row>
    <x:row r="326" ht="19" customHeight="1">
      <x:c r="A326" s="2" t="str">
        <x:v>SIM-E2-BB-L0-R02</x:v>
      </x:c>
      <x:c r="B326" s="2" t="n">
        <x:v>1</x:v>
      </x:c>
      <x:c r="C326" s="2" t="str">
        <x:v>BB</x:v>
      </x:c>
      <x:c r="D326" s="2" t="str">
        <x:v>Brevicoryne brassicae</x:v>
      </x:c>
      <x:c r="E326" s="2" t="str">
        <x:v>L0</x:v>
      </x:c>
      <x:c r="F326" s="2" t="n">
        <x:v>2</x:v>
      </x:c>
      <x:c r="G326" s="2" t="n">
        <x:v>30</x:v>
      </x:c>
      <x:c r="H326" s="2" t="n">
        <x:f>G326+Supuestos!$C$15</x:f>
        <x:v>31</x:v>
      </x:c>
      <x:c r="I326" s="14" t="n">
        <x:f>E2_plantas!J9+G326</x:f>
        <x:v>46204</x:v>
      </x:c>
      <x:c r="J326" s="2" t="str">
        <x:v>adulta</x:v>
      </x:c>
      <x:c r="K326" s="2" t="n">
        <x:v>1</x:v>
      </x:c>
      <x:c r="L326" s="2" t="n">
        <x:v>0</x:v>
      </x:c>
      <x:c r="M326" s="2" t="n">
        <x:f>SUM(L$296:L326)</x:f>
        <x:v>57</x:v>
      </x:c>
      <x:c r="N326" s="2" t="n">
        <x:v>0</x:v>
      </x:c>
      <x:c r="O326" s="2" t="str">
        <x:v>seguimiento</x:v>
      </x:c>
      <x:c r="P326" s="2" t="n">
        <x:v>0</x:v>
      </x:c>
      <x:c r="Q326" s="2" t="str">
        <x:v>simulado_didactico</x:v>
      </x:c>
    </x:row>
    <x:row r="327" ht="19" customHeight="1">
      <x:c r="A327" s="2" t="str">
        <x:v>SIM-E2-BB-L0-R02</x:v>
      </x:c>
      <x:c r="B327" s="2" t="n">
        <x:v>1</x:v>
      </x:c>
      <x:c r="C327" s="2" t="str">
        <x:v>BB</x:v>
      </x:c>
      <x:c r="D327" s="2" t="str">
        <x:v>Brevicoryne brassicae</x:v>
      </x:c>
      <x:c r="E327" s="2" t="str">
        <x:v>L0</x:v>
      </x:c>
      <x:c r="F327" s="2" t="n">
        <x:v>2</x:v>
      </x:c>
      <x:c r="G327" s="2" t="n">
        <x:v>31</x:v>
      </x:c>
      <x:c r="H327" s="2" t="n">
        <x:f>G327+Supuestos!$C$15</x:f>
        <x:v>32</x:v>
      </x:c>
      <x:c r="I327" s="14" t="n">
        <x:f>E2_plantas!J9+G327</x:f>
        <x:v>46205</x:v>
      </x:c>
      <x:c r="J327" s="2" t="str">
        <x:v>muerta</x:v>
      </x:c>
      <x:c r="K327" s="2" t="n">
        <x:v>0</x:v>
      </x:c>
      <x:c r="L327" s="2" t="n">
        <x:v>0</x:v>
      </x:c>
      <x:c r="M327" s="2" t="n">
        <x:f>SUM(L$296:L327)</x:f>
        <x:v>57</x:v>
      </x:c>
      <x:c r="N327" s="2" t="n">
        <x:v>1</x:v>
      </x:c>
      <x:c r="O327" s="2" t="str">
        <x:v>muerte</x:v>
      </x:c>
      <x:c r="P327" s="2" t="n">
        <x:v>0</x:v>
      </x:c>
      <x:c r="Q327" s="2" t="str">
        <x:v>simulado_didactico</x:v>
      </x:c>
    </x:row>
    <x:row r="328" ht="19" customHeight="1">
      <x:c r="A328" s="2" t="str">
        <x:v>SIM-E2-BB-L0-R02</x:v>
      </x:c>
      <x:c r="B328" s="2" t="n">
        <x:v>1</x:v>
      </x:c>
      <x:c r="C328" s="2" t="str">
        <x:v>BB</x:v>
      </x:c>
      <x:c r="D328" s="2" t="str">
        <x:v>Brevicoryne brassicae</x:v>
      </x:c>
      <x:c r="E328" s="2" t="str">
        <x:v>L0</x:v>
      </x:c>
      <x:c r="F328" s="2" t="n">
        <x:v>2</x:v>
      </x:c>
      <x:c r="G328" s="2" t="n">
        <x:v>32</x:v>
      </x:c>
      <x:c r="H328" s="2" t="n">
        <x:f>G328+Supuestos!$C$15</x:f>
        <x:v>33</x:v>
      </x:c>
      <x:c r="I328" s="14" t="n">
        <x:f>E2_plantas!J9+G328</x:f>
        <x:v>46206</x:v>
      </x:c>
      <x:c r="J328" s="2" t="str">
        <x:v>muerta</x:v>
      </x:c>
      <x:c r="K328" s="2" t="n">
        <x:v>0</x:v>
      </x:c>
      <x:c r="L328" s="2" t="n">
        <x:v>0</x:v>
      </x:c>
      <x:c r="M328" s="2" t="n">
        <x:f>SUM(L$296:L328)</x:f>
        <x:v>57</x:v>
      </x:c>
      <x:c r="N328" s="2" t="n">
        <x:v>0</x:v>
      </x:c>
      <x:c r="O328" s="2" t="str">
        <x:v>relleno_postmuerte</x:v>
      </x:c>
      <x:c r="P328" s="2" t="n">
        <x:v>0</x:v>
      </x:c>
      <x:c r="Q328" s="2" t="str">
        <x:v>simulado_didactico</x:v>
      </x:c>
    </x:row>
    <x:row r="329" ht="19" customHeight="1">
      <x:c r="A329" s="2" t="str">
        <x:v>SIM-E2-BB-L0-R02</x:v>
      </x:c>
      <x:c r="B329" s="2" t="n">
        <x:v>1</x:v>
      </x:c>
      <x:c r="C329" s="2" t="str">
        <x:v>BB</x:v>
      </x:c>
      <x:c r="D329" s="2" t="str">
        <x:v>Brevicoryne brassicae</x:v>
      </x:c>
      <x:c r="E329" s="2" t="str">
        <x:v>L0</x:v>
      </x:c>
      <x:c r="F329" s="2" t="n">
        <x:v>2</x:v>
      </x:c>
      <x:c r="G329" s="2" t="n">
        <x:v>33</x:v>
      </x:c>
      <x:c r="H329" s="2" t="n">
        <x:f>G329+Supuestos!$C$15</x:f>
        <x:v>34</x:v>
      </x:c>
      <x:c r="I329" s="14" t="n">
        <x:f>E2_plantas!J9+G329</x:f>
        <x:v>46207</x:v>
      </x:c>
      <x:c r="J329" s="2" t="str">
        <x:v>muerta</x:v>
      </x:c>
      <x:c r="K329" s="2" t="n">
        <x:v>0</x:v>
      </x:c>
      <x:c r="L329" s="2" t="n">
        <x:v>0</x:v>
      </x:c>
      <x:c r="M329" s="2" t="n">
        <x:f>SUM(L$296:L329)</x:f>
        <x:v>57</x:v>
      </x:c>
      <x:c r="N329" s="2" t="n">
        <x:v>0</x:v>
      </x:c>
      <x:c r="O329" s="2" t="str">
        <x:v>relleno_postmuerte</x:v>
      </x:c>
      <x:c r="P329" s="2" t="n">
        <x:v>0</x:v>
      </x:c>
      <x:c r="Q329" s="2" t="str">
        <x:v>simulado_didactico</x:v>
      </x:c>
    </x:row>
    <x:row r="330" ht="19" customHeight="1">
      <x:c r="A330" s="2" t="str">
        <x:v>SIM-E2-BB-L0-R02</x:v>
      </x:c>
      <x:c r="B330" s="2" t="n">
        <x:v>1</x:v>
      </x:c>
      <x:c r="C330" s="2" t="str">
        <x:v>BB</x:v>
      </x:c>
      <x:c r="D330" s="2" t="str">
        <x:v>Brevicoryne brassicae</x:v>
      </x:c>
      <x:c r="E330" s="2" t="str">
        <x:v>L0</x:v>
      </x:c>
      <x:c r="F330" s="2" t="n">
        <x:v>2</x:v>
      </x:c>
      <x:c r="G330" s="2" t="n">
        <x:v>34</x:v>
      </x:c>
      <x:c r="H330" s="2" t="n">
        <x:f>G330+Supuestos!$C$15</x:f>
        <x:v>35</x:v>
      </x:c>
      <x:c r="I330" s="14" t="n">
        <x:f>E2_plantas!J9+G330</x:f>
        <x:v>46208</x:v>
      </x:c>
      <x:c r="J330" s="2" t="str">
        <x:v>muerta</x:v>
      </x:c>
      <x:c r="K330" s="2" t="n">
        <x:v>0</x:v>
      </x:c>
      <x:c r="L330" s="2" t="n">
        <x:v>0</x:v>
      </x:c>
      <x:c r="M330" s="2" t="n">
        <x:f>SUM(L$296:L330)</x:f>
        <x:v>57</x:v>
      </x:c>
      <x:c r="N330" s="2" t="n">
        <x:v>0</x:v>
      </x:c>
      <x:c r="O330" s="2" t="str">
        <x:v>relleno_postmuerte</x:v>
      </x:c>
      <x:c r="P330" s="2" t="n">
        <x:v>0</x:v>
      </x:c>
      <x:c r="Q330" s="2" t="str">
        <x:v>simulado_didactico</x:v>
      </x:c>
    </x:row>
    <x:row r="331" ht="19" customHeight="1">
      <x:c r="A331" s="2" t="str">
        <x:v>SIM-E2-BB-L0-R02</x:v>
      </x:c>
      <x:c r="B331" s="2" t="n">
        <x:v>1</x:v>
      </x:c>
      <x:c r="C331" s="2" t="str">
        <x:v>BB</x:v>
      </x:c>
      <x:c r="D331" s="2" t="str">
        <x:v>Brevicoryne brassicae</x:v>
      </x:c>
      <x:c r="E331" s="2" t="str">
        <x:v>L0</x:v>
      </x:c>
      <x:c r="F331" s="2" t="n">
        <x:v>2</x:v>
      </x:c>
      <x:c r="G331" s="2" t="n">
        <x:v>35</x:v>
      </x:c>
      <x:c r="H331" s="2" t="n">
        <x:f>G331+Supuestos!$C$15</x:f>
        <x:v>36</x:v>
      </x:c>
      <x:c r="I331" s="14" t="n">
        <x:f>E2_plantas!J9+G331</x:f>
        <x:v>46209</x:v>
      </x:c>
      <x:c r="J331" s="2" t="str">
        <x:v>muerta</x:v>
      </x:c>
      <x:c r="K331" s="2" t="n">
        <x:v>0</x:v>
      </x:c>
      <x:c r="L331" s="2" t="n">
        <x:v>0</x:v>
      </x:c>
      <x:c r="M331" s="2" t="n">
        <x:f>SUM(L$296:L331)</x:f>
        <x:v>57</x:v>
      </x:c>
      <x:c r="N331" s="2" t="n">
        <x:v>0</x:v>
      </x:c>
      <x:c r="O331" s="2" t="str">
        <x:v>relleno_postmuerte</x:v>
      </x:c>
      <x:c r="P331" s="2" t="n">
        <x:v>0</x:v>
      </x:c>
      <x:c r="Q331" s="2" t="str">
        <x:v>simulado_didactico</x:v>
      </x:c>
    </x:row>
    <x:row r="332" ht="19" customHeight="1">
      <x:c r="A332" s="2" t="str">
        <x:v>SIM-E2-BB-L0-R02</x:v>
      </x:c>
      <x:c r="B332" s="2" t="n">
        <x:v>1</x:v>
      </x:c>
      <x:c r="C332" s="2" t="str">
        <x:v>BB</x:v>
      </x:c>
      <x:c r="D332" s="2" t="str">
        <x:v>Brevicoryne brassicae</x:v>
      </x:c>
      <x:c r="E332" s="2" t="str">
        <x:v>L0</x:v>
      </x:c>
      <x:c r="F332" s="2" t="n">
        <x:v>2</x:v>
      </x:c>
      <x:c r="G332" s="2" t="n">
        <x:v>36</x:v>
      </x:c>
      <x:c r="H332" s="2" t="n">
        <x:f>G332+Supuestos!$C$15</x:f>
        <x:v>37</x:v>
      </x:c>
      <x:c r="I332" s="14" t="n">
        <x:f>E2_plantas!J9+G332</x:f>
        <x:v>46210</x:v>
      </x:c>
      <x:c r="J332" s="2" t="str">
        <x:v>muerta</x:v>
      </x:c>
      <x:c r="K332" s="2" t="n">
        <x:v>0</x:v>
      </x:c>
      <x:c r="L332" s="2" t="n">
        <x:v>0</x:v>
      </x:c>
      <x:c r="M332" s="2" t="n">
        <x:f>SUM(L$296:L332)</x:f>
        <x:v>57</x:v>
      </x:c>
      <x:c r="N332" s="2" t="n">
        <x:v>0</x:v>
      </x:c>
      <x:c r="O332" s="2" t="str">
        <x:v>relleno_postmuerte</x:v>
      </x:c>
      <x:c r="P332" s="2" t="n">
        <x:v>0</x:v>
      </x:c>
      <x:c r="Q332" s="2" t="str">
        <x:v>simulado_didactico</x:v>
      </x:c>
    </x:row>
    <x:row r="333" ht="19" customHeight="1">
      <x:c r="A333" s="2" t="str">
        <x:v>SIM-E2-BB-L0-R02</x:v>
      </x:c>
      <x:c r="B333" s="2" t="n">
        <x:v>1</x:v>
      </x:c>
      <x:c r="C333" s="2" t="str">
        <x:v>BB</x:v>
      </x:c>
      <x:c r="D333" s="2" t="str">
        <x:v>Brevicoryne brassicae</x:v>
      </x:c>
      <x:c r="E333" s="2" t="str">
        <x:v>L0</x:v>
      </x:c>
      <x:c r="F333" s="2" t="n">
        <x:v>2</x:v>
      </x:c>
      <x:c r="G333" s="2" t="n">
        <x:v>37</x:v>
      </x:c>
      <x:c r="H333" s="2" t="n">
        <x:f>G333+Supuestos!$C$15</x:f>
        <x:v>38</x:v>
      </x:c>
      <x:c r="I333" s="14" t="n">
        <x:f>E2_plantas!J9+G333</x:f>
        <x:v>46211</x:v>
      </x:c>
      <x:c r="J333" s="2" t="str">
        <x:v>muerta</x:v>
      </x:c>
      <x:c r="K333" s="2" t="n">
        <x:v>0</x:v>
      </x:c>
      <x:c r="L333" s="2" t="n">
        <x:v>0</x:v>
      </x:c>
      <x:c r="M333" s="2" t="n">
        <x:f>SUM(L$296:L333)</x:f>
        <x:v>57</x:v>
      </x:c>
      <x:c r="N333" s="2" t="n">
        <x:v>0</x:v>
      </x:c>
      <x:c r="O333" s="2" t="str">
        <x:v>relleno_postmuerte</x:v>
      </x:c>
      <x:c r="P333" s="2" t="n">
        <x:v>0</x:v>
      </x:c>
      <x:c r="Q333" s="2" t="str">
        <x:v>simulado_didactico</x:v>
      </x:c>
    </x:row>
    <x:row r="334" ht="19" customHeight="1">
      <x:c r="A334" s="2" t="str">
        <x:v>SIM-E2-BB-L0-R02</x:v>
      </x:c>
      <x:c r="B334" s="2" t="n">
        <x:v>1</x:v>
      </x:c>
      <x:c r="C334" s="2" t="str">
        <x:v>BB</x:v>
      </x:c>
      <x:c r="D334" s="2" t="str">
        <x:v>Brevicoryne brassicae</x:v>
      </x:c>
      <x:c r="E334" s="2" t="str">
        <x:v>L0</x:v>
      </x:c>
      <x:c r="F334" s="2" t="n">
        <x:v>2</x:v>
      </x:c>
      <x:c r="G334" s="2" t="n">
        <x:v>38</x:v>
      </x:c>
      <x:c r="H334" s="2" t="n">
        <x:f>G334+Supuestos!$C$15</x:f>
        <x:v>39</x:v>
      </x:c>
      <x:c r="I334" s="14" t="n">
        <x:f>E2_plantas!J9+G334</x:f>
        <x:v>46212</x:v>
      </x:c>
      <x:c r="J334" s="2" t="str">
        <x:v>muerta</x:v>
      </x:c>
      <x:c r="K334" s="2" t="n">
        <x:v>0</x:v>
      </x:c>
      <x:c r="L334" s="2" t="n">
        <x:v>0</x:v>
      </x:c>
      <x:c r="M334" s="2" t="n">
        <x:f>SUM(L$296:L334)</x:f>
        <x:v>57</x:v>
      </x:c>
      <x:c r="N334" s="2" t="n">
        <x:v>0</x:v>
      </x:c>
      <x:c r="O334" s="2" t="str">
        <x:v>relleno_postmuerte</x:v>
      </x:c>
      <x:c r="P334" s="2" t="n">
        <x:v>0</x:v>
      </x:c>
      <x:c r="Q334" s="2" t="str">
        <x:v>simulado_didactico</x:v>
      </x:c>
    </x:row>
    <x:row r="335" ht="19" customHeight="1">
      <x:c r="A335" s="2" t="str">
        <x:v>SIM-E2-BB-L0-R02</x:v>
      </x:c>
      <x:c r="B335" s="2" t="n">
        <x:v>1</x:v>
      </x:c>
      <x:c r="C335" s="2" t="str">
        <x:v>BB</x:v>
      </x:c>
      <x:c r="D335" s="2" t="str">
        <x:v>Brevicoryne brassicae</x:v>
      </x:c>
      <x:c r="E335" s="2" t="str">
        <x:v>L0</x:v>
      </x:c>
      <x:c r="F335" s="2" t="n">
        <x:v>2</x:v>
      </x:c>
      <x:c r="G335" s="2" t="n">
        <x:v>39</x:v>
      </x:c>
      <x:c r="H335" s="2" t="n">
        <x:f>G335+Supuestos!$C$15</x:f>
        <x:v>40</x:v>
      </x:c>
      <x:c r="I335" s="14" t="n">
        <x:f>E2_plantas!J9+G335</x:f>
        <x:v>46213</x:v>
      </x:c>
      <x:c r="J335" s="2" t="str">
        <x:v>muerta</x:v>
      </x:c>
      <x:c r="K335" s="2" t="n">
        <x:v>0</x:v>
      </x:c>
      <x:c r="L335" s="2" t="n">
        <x:v>0</x:v>
      </x:c>
      <x:c r="M335" s="2" t="n">
        <x:f>SUM(L$296:L335)</x:f>
        <x:v>57</x:v>
      </x:c>
      <x:c r="N335" s="2" t="n">
        <x:v>0</x:v>
      </x:c>
      <x:c r="O335" s="2" t="str">
        <x:v>relleno_postmuerte</x:v>
      </x:c>
      <x:c r="P335" s="2" t="n">
        <x:v>0</x:v>
      </x:c>
      <x:c r="Q335" s="2" t="str">
        <x:v>simulado_didactico</x:v>
      </x:c>
    </x:row>
    <x:row r="336" ht="19" customHeight="1">
      <x:c r="A336" s="2" t="str">
        <x:v>SIM-E2-BB-L0-R02</x:v>
      </x:c>
      <x:c r="B336" s="2" t="n">
        <x:v>1</x:v>
      </x:c>
      <x:c r="C336" s="2" t="str">
        <x:v>BB</x:v>
      </x:c>
      <x:c r="D336" s="2" t="str">
        <x:v>Brevicoryne brassicae</x:v>
      </x:c>
      <x:c r="E336" s="2" t="str">
        <x:v>L0</x:v>
      </x:c>
      <x:c r="F336" s="2" t="n">
        <x:v>2</x:v>
      </x:c>
      <x:c r="G336" s="2" t="n">
        <x:v>40</x:v>
      </x:c>
      <x:c r="H336" s="2" t="n">
        <x:f>G336+Supuestos!$C$15</x:f>
        <x:v>41</x:v>
      </x:c>
      <x:c r="I336" s="14" t="n">
        <x:f>E2_plantas!J9+G336</x:f>
        <x:v>46214</x:v>
      </x:c>
      <x:c r="J336" s="2" t="str">
        <x:v>muerta</x:v>
      </x:c>
      <x:c r="K336" s="2" t="n">
        <x:v>0</x:v>
      </x:c>
      <x:c r="L336" s="2" t="n">
        <x:v>0</x:v>
      </x:c>
      <x:c r="M336" s="2" t="n">
        <x:f>SUM(L$296:L336)</x:f>
        <x:v>57</x:v>
      </x:c>
      <x:c r="N336" s="2" t="n">
        <x:v>0</x:v>
      </x:c>
      <x:c r="O336" s="2" t="str">
        <x:v>relleno_postmuerte</x:v>
      </x:c>
      <x:c r="P336" s="2" t="n">
        <x:v>0</x:v>
      </x:c>
      <x:c r="Q336" s="2" t="str">
        <x:v>simulado_didactico</x:v>
      </x:c>
    </x:row>
    <x:row r="337" ht="19" customHeight="1">
      <x:c r="A337" s="2" t="str">
        <x:v>SIM-E2-BB-L0-R02</x:v>
      </x:c>
      <x:c r="B337" s="2" t="n">
        <x:v>1</x:v>
      </x:c>
      <x:c r="C337" s="2" t="str">
        <x:v>BB</x:v>
      </x:c>
      <x:c r="D337" s="2" t="str">
        <x:v>Brevicoryne brassicae</x:v>
      </x:c>
      <x:c r="E337" s="2" t="str">
        <x:v>L0</x:v>
      </x:c>
      <x:c r="F337" s="2" t="n">
        <x:v>2</x:v>
      </x:c>
      <x:c r="G337" s="2" t="n">
        <x:v>41</x:v>
      </x:c>
      <x:c r="H337" s="2" t="n">
        <x:f>G337+Supuestos!$C$15</x:f>
        <x:v>42</x:v>
      </x:c>
      <x:c r="I337" s="14" t="n">
        <x:f>E2_plantas!J9+G337</x:f>
        <x:v>46215</x:v>
      </x:c>
      <x:c r="J337" s="2" t="str">
        <x:v>muerta</x:v>
      </x:c>
      <x:c r="K337" s="2" t="n">
        <x:v>0</x:v>
      </x:c>
      <x:c r="L337" s="2" t="n">
        <x:v>0</x:v>
      </x:c>
      <x:c r="M337" s="2" t="n">
        <x:f>SUM(L$296:L337)</x:f>
        <x:v>57</x:v>
      </x:c>
      <x:c r="N337" s="2" t="n">
        <x:v>0</x:v>
      </x:c>
      <x:c r="O337" s="2" t="str">
        <x:v>relleno_postmuerte</x:v>
      </x:c>
      <x:c r="P337" s="2" t="n">
        <x:v>0</x:v>
      </x:c>
      <x:c r="Q337" s="2" t="str">
        <x:v>simulado_didactico</x:v>
      </x:c>
    </x:row>
    <x:row r="338" ht="19" customHeight="1">
      <x:c r="A338" s="2" t="str">
        <x:v>SIM-E2-BB-L8-R01</x:v>
      </x:c>
      <x:c r="B338" s="2" t="n">
        <x:v>1</x:v>
      </x:c>
      <x:c r="C338" s="2" t="str">
        <x:v>BB</x:v>
      </x:c>
      <x:c r="D338" s="2" t="str">
        <x:v>Brevicoryne brassicae</x:v>
      </x:c>
      <x:c r="E338" s="2" t="str">
        <x:v>L8</x:v>
      </x:c>
      <x:c r="F338" s="2" t="n">
        <x:v>1</x:v>
      </x:c>
      <x:c r="G338" s="2" t="n">
        <x:v>0</x:v>
      </x:c>
      <x:c r="H338" s="2" t="n">
        <x:f>G338+Supuestos!$C$15</x:f>
        <x:v>1</x:v>
      </x:c>
      <x:c r="I338" s="14" t="n">
        <x:f>E2_plantas!J10+G338</x:f>
        <x:v>46174</x:v>
      </x:c>
      <x:c r="J338" s="2" t="str">
        <x:v>N1</x:v>
      </x:c>
      <x:c r="K338" s="2" t="n">
        <x:v>1</x:v>
      </x:c>
      <x:c r="L338" s="2" t="n">
        <x:v>0</x:v>
      </x:c>
      <x:c r="M338" s="2" t="n">
        <x:f>SUM(L$338:L338)</x:f>
        <x:v>0</x:v>
      </x:c>
      <x:c r="N338" s="2" t="n">
        <x:v>0</x:v>
      </x:c>
      <x:c r="O338" s="2" t="str">
        <x:v>seguimiento</x:v>
      </x:c>
      <x:c r="P338" s="2" t="n">
        <x:v>0</x:v>
      </x:c>
      <x:c r="Q338" s="2" t="str">
        <x:v>simulado_didactico</x:v>
      </x:c>
    </x:row>
    <x:row r="339" ht="19" customHeight="1">
      <x:c r="A339" s="2" t="str">
        <x:v>SIM-E2-BB-L8-R01</x:v>
      </x:c>
      <x:c r="B339" s="2" t="n">
        <x:v>1</x:v>
      </x:c>
      <x:c r="C339" s="2" t="str">
        <x:v>BB</x:v>
      </x:c>
      <x:c r="D339" s="2" t="str">
        <x:v>Brevicoryne brassicae</x:v>
      </x:c>
      <x:c r="E339" s="2" t="str">
        <x:v>L8</x:v>
      </x:c>
      <x:c r="F339" s="2" t="n">
        <x:v>1</x:v>
      </x:c>
      <x:c r="G339" s="2" t="n">
        <x:v>1</x:v>
      </x:c>
      <x:c r="H339" s="2" t="n">
        <x:f>G339+Supuestos!$C$15</x:f>
        <x:v>2</x:v>
      </x:c>
      <x:c r="I339" s="14" t="n">
        <x:f>E2_plantas!J10+G339</x:f>
        <x:v>46175</x:v>
      </x:c>
      <x:c r="J339" s="2" t="str">
        <x:v>N1</x:v>
      </x:c>
      <x:c r="K339" s="2" t="n">
        <x:v>1</x:v>
      </x:c>
      <x:c r="L339" s="2" t="n">
        <x:v>0</x:v>
      </x:c>
      <x:c r="M339" s="2" t="n">
        <x:f>SUM(L$338:L339)</x:f>
        <x:v>0</x:v>
      </x:c>
      <x:c r="N339" s="2" t="n">
        <x:v>0</x:v>
      </x:c>
      <x:c r="O339" s="2" t="str">
        <x:v>seguimiento</x:v>
      </x:c>
      <x:c r="P339" s="2" t="n">
        <x:v>0</x:v>
      </x:c>
      <x:c r="Q339" s="2" t="str">
        <x:v>simulado_didactico</x:v>
      </x:c>
    </x:row>
    <x:row r="340" ht="19" customHeight="1">
      <x:c r="A340" s="2" t="str">
        <x:v>SIM-E2-BB-L8-R01</x:v>
      </x:c>
      <x:c r="B340" s="2" t="n">
        <x:v>1</x:v>
      </x:c>
      <x:c r="C340" s="2" t="str">
        <x:v>BB</x:v>
      </x:c>
      <x:c r="D340" s="2" t="str">
        <x:v>Brevicoryne brassicae</x:v>
      </x:c>
      <x:c r="E340" s="2" t="str">
        <x:v>L8</x:v>
      </x:c>
      <x:c r="F340" s="2" t="n">
        <x:v>1</x:v>
      </x:c>
      <x:c r="G340" s="2" t="n">
        <x:v>2</x:v>
      </x:c>
      <x:c r="H340" s="2" t="n">
        <x:f>G340+Supuestos!$C$15</x:f>
        <x:v>3</x:v>
      </x:c>
      <x:c r="I340" s="14" t="n">
        <x:f>E2_plantas!J10+G340</x:f>
        <x:v>46176</x:v>
      </x:c>
      <x:c r="J340" s="2" t="str">
        <x:v>N2</x:v>
      </x:c>
      <x:c r="K340" s="2" t="n">
        <x:v>1</x:v>
      </x:c>
      <x:c r="L340" s="2" t="n">
        <x:v>0</x:v>
      </x:c>
      <x:c r="M340" s="2" t="n">
        <x:f>SUM(L$338:L340)</x:f>
        <x:v>0</x:v>
      </x:c>
      <x:c r="N340" s="2" t="n">
        <x:v>0</x:v>
      </x:c>
      <x:c r="O340" s="2" t="str">
        <x:v>seguimiento</x:v>
      </x:c>
      <x:c r="P340" s="2" t="n">
        <x:v>0</x:v>
      </x:c>
      <x:c r="Q340" s="2" t="str">
        <x:v>simulado_didactico</x:v>
      </x:c>
    </x:row>
    <x:row r="341" ht="19" customHeight="1">
      <x:c r="A341" s="2" t="str">
        <x:v>SIM-E2-BB-L8-R01</x:v>
      </x:c>
      <x:c r="B341" s="2" t="n">
        <x:v>1</x:v>
      </x:c>
      <x:c r="C341" s="2" t="str">
        <x:v>BB</x:v>
      </x:c>
      <x:c r="D341" s="2" t="str">
        <x:v>Brevicoryne brassicae</x:v>
      </x:c>
      <x:c r="E341" s="2" t="str">
        <x:v>L8</x:v>
      </x:c>
      <x:c r="F341" s="2" t="n">
        <x:v>1</x:v>
      </x:c>
      <x:c r="G341" s="2" t="n">
        <x:v>3</x:v>
      </x:c>
      <x:c r="H341" s="2" t="n">
        <x:f>G341+Supuestos!$C$15</x:f>
        <x:v>4</x:v>
      </x:c>
      <x:c r="I341" s="14" t="n">
        <x:f>E2_plantas!J10+G341</x:f>
        <x:v>46177</x:v>
      </x:c>
      <x:c r="J341" s="2" t="str">
        <x:v>N2</x:v>
      </x:c>
      <x:c r="K341" s="2" t="n">
        <x:v>1</x:v>
      </x:c>
      <x:c r="L341" s="2" t="n">
        <x:v>0</x:v>
      </x:c>
      <x:c r="M341" s="2" t="n">
        <x:f>SUM(L$338:L341)</x:f>
        <x:v>0</x:v>
      </x:c>
      <x:c r="N341" s="2" t="n">
        <x:v>0</x:v>
      </x:c>
      <x:c r="O341" s="2" t="str">
        <x:v>seguimiento</x:v>
      </x:c>
      <x:c r="P341" s="2" t="n">
        <x:v>0</x:v>
      </x:c>
      <x:c r="Q341" s="2" t="str">
        <x:v>simulado_didactico</x:v>
      </x:c>
    </x:row>
    <x:row r="342" ht="19" customHeight="1">
      <x:c r="A342" s="2" t="str">
        <x:v>SIM-E2-BB-L8-R01</x:v>
      </x:c>
      <x:c r="B342" s="2" t="n">
        <x:v>1</x:v>
      </x:c>
      <x:c r="C342" s="2" t="str">
        <x:v>BB</x:v>
      </x:c>
      <x:c r="D342" s="2" t="str">
        <x:v>Brevicoryne brassicae</x:v>
      </x:c>
      <x:c r="E342" s="2" t="str">
        <x:v>L8</x:v>
      </x:c>
      <x:c r="F342" s="2" t="n">
        <x:v>1</x:v>
      </x:c>
      <x:c r="G342" s="2" t="n">
        <x:v>4</x:v>
      </x:c>
      <x:c r="H342" s="2" t="n">
        <x:f>G342+Supuestos!$C$15</x:f>
        <x:v>5</x:v>
      </x:c>
      <x:c r="I342" s="14" t="n">
        <x:f>E2_plantas!J10+G342</x:f>
        <x:v>46178</x:v>
      </x:c>
      <x:c r="J342" s="2" t="str">
        <x:v>N2</x:v>
      </x:c>
      <x:c r="K342" s="2" t="n">
        <x:v>1</x:v>
      </x:c>
      <x:c r="L342" s="2" t="n">
        <x:v>0</x:v>
      </x:c>
      <x:c r="M342" s="2" t="n">
        <x:f>SUM(L$338:L342)</x:f>
        <x:v>0</x:v>
      </x:c>
      <x:c r="N342" s="2" t="n">
        <x:v>0</x:v>
      </x:c>
      <x:c r="O342" s="2" t="str">
        <x:v>seguimiento</x:v>
      </x:c>
      <x:c r="P342" s="2" t="n">
        <x:v>0</x:v>
      </x:c>
      <x:c r="Q342" s="2" t="str">
        <x:v>simulado_didactico</x:v>
      </x:c>
    </x:row>
    <x:row r="343" ht="19" customHeight="1">
      <x:c r="A343" s="2" t="str">
        <x:v>SIM-E2-BB-L8-R01</x:v>
      </x:c>
      <x:c r="B343" s="2" t="n">
        <x:v>1</x:v>
      </x:c>
      <x:c r="C343" s="2" t="str">
        <x:v>BB</x:v>
      </x:c>
      <x:c r="D343" s="2" t="str">
        <x:v>Brevicoryne brassicae</x:v>
      </x:c>
      <x:c r="E343" s="2" t="str">
        <x:v>L8</x:v>
      </x:c>
      <x:c r="F343" s="2" t="n">
        <x:v>1</x:v>
      </x:c>
      <x:c r="G343" s="2" t="n">
        <x:v>5</x:v>
      </x:c>
      <x:c r="H343" s="2" t="n">
        <x:f>G343+Supuestos!$C$15</x:f>
        <x:v>6</x:v>
      </x:c>
      <x:c r="I343" s="14" t="n">
        <x:f>E2_plantas!J10+G343</x:f>
        <x:v>46179</x:v>
      </x:c>
      <x:c r="J343" s="2" t="str">
        <x:v>N3</x:v>
      </x:c>
      <x:c r="K343" s="2" t="n">
        <x:v>1</x:v>
      </x:c>
      <x:c r="L343" s="2" t="n">
        <x:v>0</x:v>
      </x:c>
      <x:c r="M343" s="2" t="n">
        <x:f>SUM(L$338:L343)</x:f>
        <x:v>0</x:v>
      </x:c>
      <x:c r="N343" s="2" t="n">
        <x:v>0</x:v>
      </x:c>
      <x:c r="O343" s="2" t="str">
        <x:v>seguimiento</x:v>
      </x:c>
      <x:c r="P343" s="2" t="n">
        <x:v>0</x:v>
      </x:c>
      <x:c r="Q343" s="2" t="str">
        <x:v>simulado_didactico</x:v>
      </x:c>
    </x:row>
    <x:row r="344" ht="19" customHeight="1">
      <x:c r="A344" s="2" t="str">
        <x:v>SIM-E2-BB-L8-R01</x:v>
      </x:c>
      <x:c r="B344" s="2" t="n">
        <x:v>1</x:v>
      </x:c>
      <x:c r="C344" s="2" t="str">
        <x:v>BB</x:v>
      </x:c>
      <x:c r="D344" s="2" t="str">
        <x:v>Brevicoryne brassicae</x:v>
      </x:c>
      <x:c r="E344" s="2" t="str">
        <x:v>L8</x:v>
      </x:c>
      <x:c r="F344" s="2" t="n">
        <x:v>1</x:v>
      </x:c>
      <x:c r="G344" s="2" t="n">
        <x:v>6</x:v>
      </x:c>
      <x:c r="H344" s="2" t="n">
        <x:f>G344+Supuestos!$C$15</x:f>
        <x:v>7</x:v>
      </x:c>
      <x:c r="I344" s="14" t="n">
        <x:f>E2_plantas!J10+G344</x:f>
        <x:v>46180</x:v>
      </x:c>
      <x:c r="J344" s="2" t="str">
        <x:v>N3</x:v>
      </x:c>
      <x:c r="K344" s="2" t="n">
        <x:v>1</x:v>
      </x:c>
      <x:c r="L344" s="2" t="n">
        <x:v>0</x:v>
      </x:c>
      <x:c r="M344" s="2" t="n">
        <x:f>SUM(L$338:L344)</x:f>
        <x:v>0</x:v>
      </x:c>
      <x:c r="N344" s="2" t="n">
        <x:v>0</x:v>
      </x:c>
      <x:c r="O344" s="2" t="str">
        <x:v>seguimiento</x:v>
      </x:c>
      <x:c r="P344" s="2" t="n">
        <x:v>0</x:v>
      </x:c>
      <x:c r="Q344" s="2" t="str">
        <x:v>simulado_didactico</x:v>
      </x:c>
    </x:row>
    <x:row r="345" ht="19" customHeight="1">
      <x:c r="A345" s="2" t="str">
        <x:v>SIM-E2-BB-L8-R01</x:v>
      </x:c>
      <x:c r="B345" s="2" t="n">
        <x:v>1</x:v>
      </x:c>
      <x:c r="C345" s="2" t="str">
        <x:v>BB</x:v>
      </x:c>
      <x:c r="D345" s="2" t="str">
        <x:v>Brevicoryne brassicae</x:v>
      </x:c>
      <x:c r="E345" s="2" t="str">
        <x:v>L8</x:v>
      </x:c>
      <x:c r="F345" s="2" t="n">
        <x:v>1</x:v>
      </x:c>
      <x:c r="G345" s="2" t="n">
        <x:v>7</x:v>
      </x:c>
      <x:c r="H345" s="2" t="n">
        <x:f>G345+Supuestos!$C$15</x:f>
        <x:v>8</x:v>
      </x:c>
      <x:c r="I345" s="14" t="n">
        <x:f>E2_plantas!J10+G345</x:f>
        <x:v>46181</x:v>
      </x:c>
      <x:c r="J345" s="2" t="str">
        <x:v>N3</x:v>
      </x:c>
      <x:c r="K345" s="2" t="n">
        <x:v>1</x:v>
      </x:c>
      <x:c r="L345" s="2" t="n">
        <x:v>0</x:v>
      </x:c>
      <x:c r="M345" s="2" t="n">
        <x:f>SUM(L$338:L345)</x:f>
        <x:v>0</x:v>
      </x:c>
      <x:c r="N345" s="2" t="n">
        <x:v>0</x:v>
      </x:c>
      <x:c r="O345" s="2" t="str">
        <x:v>seguimiento</x:v>
      </x:c>
      <x:c r="P345" s="2" t="n">
        <x:v>0</x:v>
      </x:c>
      <x:c r="Q345" s="2" t="str">
        <x:v>simulado_didactico</x:v>
      </x:c>
    </x:row>
    <x:row r="346" ht="19" customHeight="1">
      <x:c r="A346" s="2" t="str">
        <x:v>SIM-E2-BB-L8-R01</x:v>
      </x:c>
      <x:c r="B346" s="2" t="n">
        <x:v>1</x:v>
      </x:c>
      <x:c r="C346" s="2" t="str">
        <x:v>BB</x:v>
      </x:c>
      <x:c r="D346" s="2" t="str">
        <x:v>Brevicoryne brassicae</x:v>
      </x:c>
      <x:c r="E346" s="2" t="str">
        <x:v>L8</x:v>
      </x:c>
      <x:c r="F346" s="2" t="n">
        <x:v>1</x:v>
      </x:c>
      <x:c r="G346" s="2" t="n">
        <x:v>8</x:v>
      </x:c>
      <x:c r="H346" s="2" t="n">
        <x:f>G346+Supuestos!$C$15</x:f>
        <x:v>9</x:v>
      </x:c>
      <x:c r="I346" s="14" t="n">
        <x:f>E2_plantas!J10+G346</x:f>
        <x:v>46182</x:v>
      </x:c>
      <x:c r="J346" s="2" t="str">
        <x:v>N3</x:v>
      </x:c>
      <x:c r="K346" s="2" t="n">
        <x:v>1</x:v>
      </x:c>
      <x:c r="L346" s="2" t="n">
        <x:v>0</x:v>
      </x:c>
      <x:c r="M346" s="2" t="n">
        <x:f>SUM(L$338:L346)</x:f>
        <x:v>0</x:v>
      </x:c>
      <x:c r="N346" s="2" t="n">
        <x:v>0</x:v>
      </x:c>
      <x:c r="O346" s="2" t="str">
        <x:v>seguimiento</x:v>
      </x:c>
      <x:c r="P346" s="2" t="n">
        <x:v>0</x:v>
      </x:c>
      <x:c r="Q346" s="2" t="str">
        <x:v>simulado_didactico</x:v>
      </x:c>
    </x:row>
    <x:row r="347" ht="19" customHeight="1">
      <x:c r="A347" s="2" t="str">
        <x:v>SIM-E2-BB-L8-R01</x:v>
      </x:c>
      <x:c r="B347" s="2" t="n">
        <x:v>1</x:v>
      </x:c>
      <x:c r="C347" s="2" t="str">
        <x:v>BB</x:v>
      </x:c>
      <x:c r="D347" s="2" t="str">
        <x:v>Brevicoryne brassicae</x:v>
      </x:c>
      <x:c r="E347" s="2" t="str">
        <x:v>L8</x:v>
      </x:c>
      <x:c r="F347" s="2" t="n">
        <x:v>1</x:v>
      </x:c>
      <x:c r="G347" s="2" t="n">
        <x:v>9</x:v>
      </x:c>
      <x:c r="H347" s="2" t="n">
        <x:f>G347+Supuestos!$C$15</x:f>
        <x:v>10</x:v>
      </x:c>
      <x:c r="I347" s="14" t="n">
        <x:f>E2_plantas!J10+G347</x:f>
        <x:v>46183</x:v>
      </x:c>
      <x:c r="J347" s="2" t="str">
        <x:v>N4</x:v>
      </x:c>
      <x:c r="K347" s="2" t="n">
        <x:v>1</x:v>
      </x:c>
      <x:c r="L347" s="2" t="n">
        <x:v>0</x:v>
      </x:c>
      <x:c r="M347" s="2" t="n">
        <x:f>SUM(L$338:L347)</x:f>
        <x:v>0</x:v>
      </x:c>
      <x:c r="N347" s="2" t="n">
        <x:v>0</x:v>
      </x:c>
      <x:c r="O347" s="2" t="str">
        <x:v>seguimiento</x:v>
      </x:c>
      <x:c r="P347" s="2" t="n">
        <x:v>0</x:v>
      </x:c>
      <x:c r="Q347" s="2" t="str">
        <x:v>simulado_didactico</x:v>
      </x:c>
    </x:row>
    <x:row r="348" ht="19" customHeight="1">
      <x:c r="A348" s="2" t="str">
        <x:v>SIM-E2-BB-L8-R01</x:v>
      </x:c>
      <x:c r="B348" s="2" t="n">
        <x:v>1</x:v>
      </x:c>
      <x:c r="C348" s="2" t="str">
        <x:v>BB</x:v>
      </x:c>
      <x:c r="D348" s="2" t="str">
        <x:v>Brevicoryne brassicae</x:v>
      </x:c>
      <x:c r="E348" s="2" t="str">
        <x:v>L8</x:v>
      </x:c>
      <x:c r="F348" s="2" t="n">
        <x:v>1</x:v>
      </x:c>
      <x:c r="G348" s="2" t="n">
        <x:v>10</x:v>
      </x:c>
      <x:c r="H348" s="2" t="n">
        <x:f>G348+Supuestos!$C$15</x:f>
        <x:v>11</x:v>
      </x:c>
      <x:c r="I348" s="14" t="n">
        <x:f>E2_plantas!J10+G348</x:f>
        <x:v>46184</x:v>
      </x:c>
      <x:c r="J348" s="2" t="str">
        <x:v>N4</x:v>
      </x:c>
      <x:c r="K348" s="2" t="n">
        <x:v>1</x:v>
      </x:c>
      <x:c r="L348" s="2" t="n">
        <x:v>0</x:v>
      </x:c>
      <x:c r="M348" s="2" t="n">
        <x:f>SUM(L$338:L348)</x:f>
        <x:v>0</x:v>
      </x:c>
      <x:c r="N348" s="2" t="n">
        <x:v>0</x:v>
      </x:c>
      <x:c r="O348" s="2" t="str">
        <x:v>seguimiento</x:v>
      </x:c>
      <x:c r="P348" s="2" t="n">
        <x:v>0</x:v>
      </x:c>
      <x:c r="Q348" s="2" t="str">
        <x:v>simulado_didactico</x:v>
      </x:c>
    </x:row>
    <x:row r="349" ht="19" customHeight="1">
      <x:c r="A349" s="2" t="str">
        <x:v>SIM-E2-BB-L8-R01</x:v>
      </x:c>
      <x:c r="B349" s="2" t="n">
        <x:v>1</x:v>
      </x:c>
      <x:c r="C349" s="2" t="str">
        <x:v>BB</x:v>
      </x:c>
      <x:c r="D349" s="2" t="str">
        <x:v>Brevicoryne brassicae</x:v>
      </x:c>
      <x:c r="E349" s="2" t="str">
        <x:v>L8</x:v>
      </x:c>
      <x:c r="F349" s="2" t="n">
        <x:v>1</x:v>
      </x:c>
      <x:c r="G349" s="2" t="n">
        <x:v>11</x:v>
      </x:c>
      <x:c r="H349" s="2" t="n">
        <x:f>G349+Supuestos!$C$15</x:f>
        <x:v>12</x:v>
      </x:c>
      <x:c r="I349" s="14" t="n">
        <x:f>E2_plantas!J10+G349</x:f>
        <x:v>46185</x:v>
      </x:c>
      <x:c r="J349" s="2" t="str">
        <x:v>adulta</x:v>
      </x:c>
      <x:c r="K349" s="2" t="n">
        <x:v>1</x:v>
      </x:c>
      <x:c r="L349" s="2" t="n">
        <x:v>0</x:v>
      </x:c>
      <x:c r="M349" s="2" t="n">
        <x:f>SUM(L$338:L349)</x:f>
        <x:v>0</x:v>
      </x:c>
      <x:c r="N349" s="2" t="n">
        <x:v>0</x:v>
      </x:c>
      <x:c r="O349" s="2" t="str">
        <x:v>seguimiento</x:v>
      </x:c>
      <x:c r="P349" s="2" t="n">
        <x:v>0</x:v>
      </x:c>
      <x:c r="Q349" s="2" t="str">
        <x:v>simulado_didactico</x:v>
      </x:c>
    </x:row>
    <x:row r="350" ht="19" customHeight="1">
      <x:c r="A350" s="2" t="str">
        <x:v>SIM-E2-BB-L8-R01</x:v>
      </x:c>
      <x:c r="B350" s="2" t="n">
        <x:v>1</x:v>
      </x:c>
      <x:c r="C350" s="2" t="str">
        <x:v>BB</x:v>
      </x:c>
      <x:c r="D350" s="2" t="str">
        <x:v>Brevicoryne brassicae</x:v>
      </x:c>
      <x:c r="E350" s="2" t="str">
        <x:v>L8</x:v>
      </x:c>
      <x:c r="F350" s="2" t="n">
        <x:v>1</x:v>
      </x:c>
      <x:c r="G350" s="2" t="n">
        <x:v>12</x:v>
      </x:c>
      <x:c r="H350" s="2" t="n">
        <x:f>G350+Supuestos!$C$15</x:f>
        <x:v>13</x:v>
      </x:c>
      <x:c r="I350" s="14" t="n">
        <x:f>E2_plantas!J10+G350</x:f>
        <x:v>46186</x:v>
      </x:c>
      <x:c r="J350" s="2" t="str">
        <x:v>adulta</x:v>
      </x:c>
      <x:c r="K350" s="2" t="n">
        <x:v>1</x:v>
      </x:c>
      <x:c r="L350" s="2" t="n">
        <x:v>0</x:v>
      </x:c>
      <x:c r="M350" s="2" t="n">
        <x:f>SUM(L$338:L350)</x:f>
        <x:v>0</x:v>
      </x:c>
      <x:c r="N350" s="2" t="n">
        <x:v>0</x:v>
      </x:c>
      <x:c r="O350" s="2" t="str">
        <x:v>seguimiento</x:v>
      </x:c>
      <x:c r="P350" s="2" t="n">
        <x:v>0</x:v>
      </x:c>
      <x:c r="Q350" s="2" t="str">
        <x:v>simulado_didactico</x:v>
      </x:c>
    </x:row>
    <x:row r="351" ht="19" customHeight="1">
      <x:c r="A351" s="2" t="str">
        <x:v>SIM-E2-BB-L8-R01</x:v>
      </x:c>
      <x:c r="B351" s="2" t="n">
        <x:v>1</x:v>
      </x:c>
      <x:c r="C351" s="2" t="str">
        <x:v>BB</x:v>
      </x:c>
      <x:c r="D351" s="2" t="str">
        <x:v>Brevicoryne brassicae</x:v>
      </x:c>
      <x:c r="E351" s="2" t="str">
        <x:v>L8</x:v>
      </x:c>
      <x:c r="F351" s="2" t="n">
        <x:v>1</x:v>
      </x:c>
      <x:c r="G351" s="2" t="n">
        <x:v>13</x:v>
      </x:c>
      <x:c r="H351" s="2" t="n">
        <x:f>G351+Supuestos!$C$15</x:f>
        <x:v>14</x:v>
      </x:c>
      <x:c r="I351" s="14" t="n">
        <x:f>E2_plantas!J10+G351</x:f>
        <x:v>46187</x:v>
      </x:c>
      <x:c r="J351" s="2" t="str">
        <x:v>adulta</x:v>
      </x:c>
      <x:c r="K351" s="2" t="n">
        <x:v>1</x:v>
      </x:c>
      <x:c r="L351" s="2" t="n">
        <x:v>0</x:v>
      </x:c>
      <x:c r="M351" s="2" t="n">
        <x:f>SUM(L$338:L351)</x:f>
        <x:v>0</x:v>
      </x:c>
      <x:c r="N351" s="2" t="n">
        <x:v>0</x:v>
      </x:c>
      <x:c r="O351" s="2" t="str">
        <x:v>seguimiento</x:v>
      </x:c>
      <x:c r="P351" s="2" t="n">
        <x:v>0</x:v>
      </x:c>
      <x:c r="Q351" s="2" t="str">
        <x:v>simulado_didactico</x:v>
      </x:c>
    </x:row>
    <x:row r="352" ht="19" customHeight="1">
      <x:c r="A352" s="2" t="str">
        <x:v>SIM-E2-BB-L8-R01</x:v>
      </x:c>
      <x:c r="B352" s="2" t="n">
        <x:v>1</x:v>
      </x:c>
      <x:c r="C352" s="2" t="str">
        <x:v>BB</x:v>
      </x:c>
      <x:c r="D352" s="2" t="str">
        <x:v>Brevicoryne brassicae</x:v>
      </x:c>
      <x:c r="E352" s="2" t="str">
        <x:v>L8</x:v>
      </x:c>
      <x:c r="F352" s="2" t="n">
        <x:v>1</x:v>
      </x:c>
      <x:c r="G352" s="2" t="n">
        <x:v>14</x:v>
      </x:c>
      <x:c r="H352" s="2" t="n">
        <x:f>G352+Supuestos!$C$15</x:f>
        <x:v>15</x:v>
      </x:c>
      <x:c r="I352" s="14" t="n">
        <x:f>E2_plantas!J10+G352</x:f>
        <x:v>46188</x:v>
      </x:c>
      <x:c r="J352" s="2" t="str">
        <x:v>adulta</x:v>
      </x:c>
      <x:c r="K352" s="2" t="n">
        <x:v>1</x:v>
      </x:c>
      <x:c r="L352" s="2" t="n">
        <x:v>2</x:v>
      </x:c>
      <x:c r="M352" s="2" t="n">
        <x:f>SUM(L$338:L352)</x:f>
        <x:v>2</x:v>
      </x:c>
      <x:c r="N352" s="2" t="n">
        <x:v>0</x:v>
      </x:c>
      <x:c r="O352" s="2" t="str">
        <x:v>seguimiento</x:v>
      </x:c>
      <x:c r="P352" s="2" t="n">
        <x:v>0</x:v>
      </x:c>
      <x:c r="Q352" s="2" t="str">
        <x:v>simulado_didactico</x:v>
      </x:c>
    </x:row>
    <x:row r="353" ht="19" customHeight="1">
      <x:c r="A353" s="2" t="str">
        <x:v>SIM-E2-BB-L8-R01</x:v>
      </x:c>
      <x:c r="B353" s="2" t="n">
        <x:v>1</x:v>
      </x:c>
      <x:c r="C353" s="2" t="str">
        <x:v>BB</x:v>
      </x:c>
      <x:c r="D353" s="2" t="str">
        <x:v>Brevicoryne brassicae</x:v>
      </x:c>
      <x:c r="E353" s="2" t="str">
        <x:v>L8</x:v>
      </x:c>
      <x:c r="F353" s="2" t="n">
        <x:v>1</x:v>
      </x:c>
      <x:c r="G353" s="2" t="n">
        <x:v>15</x:v>
      </x:c>
      <x:c r="H353" s="2" t="n">
        <x:f>G353+Supuestos!$C$15</x:f>
        <x:v>16</x:v>
      </x:c>
      <x:c r="I353" s="14" t="n">
        <x:f>E2_plantas!J10+G353</x:f>
        <x:v>46189</x:v>
      </x:c>
      <x:c r="J353" s="2" t="str">
        <x:v>adulta</x:v>
      </x:c>
      <x:c r="K353" s="2" t="n">
        <x:v>1</x:v>
      </x:c>
      <x:c r="L353" s="2" t="n">
        <x:v>1</x:v>
      </x:c>
      <x:c r="M353" s="2" t="n">
        <x:f>SUM(L$338:L353)</x:f>
        <x:v>3</x:v>
      </x:c>
      <x:c r="N353" s="2" t="n">
        <x:v>0</x:v>
      </x:c>
      <x:c r="O353" s="2" t="str">
        <x:v>seguimiento</x:v>
      </x:c>
      <x:c r="P353" s="2" t="n">
        <x:v>0</x:v>
      </x:c>
      <x:c r="Q353" s="2" t="str">
        <x:v>simulado_didactico</x:v>
      </x:c>
    </x:row>
    <x:row r="354" ht="19" customHeight="1">
      <x:c r="A354" s="2" t="str">
        <x:v>SIM-E2-BB-L8-R01</x:v>
      </x:c>
      <x:c r="B354" s="2" t="n">
        <x:v>1</x:v>
      </x:c>
      <x:c r="C354" s="2" t="str">
        <x:v>BB</x:v>
      </x:c>
      <x:c r="D354" s="2" t="str">
        <x:v>Brevicoryne brassicae</x:v>
      </x:c>
      <x:c r="E354" s="2" t="str">
        <x:v>L8</x:v>
      </x:c>
      <x:c r="F354" s="2" t="n">
        <x:v>1</x:v>
      </x:c>
      <x:c r="G354" s="2" t="n">
        <x:v>16</x:v>
      </x:c>
      <x:c r="H354" s="2" t="n">
        <x:f>G354+Supuestos!$C$15</x:f>
        <x:v>17</x:v>
      </x:c>
      <x:c r="I354" s="14" t="n">
        <x:f>E2_plantas!J10+G354</x:f>
        <x:v>46190</x:v>
      </x:c>
      <x:c r="J354" s="2" t="str">
        <x:v>adulta</x:v>
      </x:c>
      <x:c r="K354" s="2" t="n">
        <x:v>1</x:v>
      </x:c>
      <x:c r="L354" s="2" t="n">
        <x:v>3</x:v>
      </x:c>
      <x:c r="M354" s="2" t="n">
        <x:f>SUM(L$338:L354)</x:f>
        <x:v>6</x:v>
      </x:c>
      <x:c r="N354" s="2" t="n">
        <x:v>0</x:v>
      </x:c>
      <x:c r="O354" s="2" t="str">
        <x:v>seguimiento</x:v>
      </x:c>
      <x:c r="P354" s="2" t="n">
        <x:v>0</x:v>
      </x:c>
      <x:c r="Q354" s="2" t="str">
        <x:v>simulado_didactico</x:v>
      </x:c>
    </x:row>
    <x:row r="355" ht="19" customHeight="1">
      <x:c r="A355" s="2" t="str">
        <x:v>SIM-E2-BB-L8-R01</x:v>
      </x:c>
      <x:c r="B355" s="2" t="n">
        <x:v>1</x:v>
      </x:c>
      <x:c r="C355" s="2" t="str">
        <x:v>BB</x:v>
      </x:c>
      <x:c r="D355" s="2" t="str">
        <x:v>Brevicoryne brassicae</x:v>
      </x:c>
      <x:c r="E355" s="2" t="str">
        <x:v>L8</x:v>
      </x:c>
      <x:c r="F355" s="2" t="n">
        <x:v>1</x:v>
      </x:c>
      <x:c r="G355" s="2" t="n">
        <x:v>17</x:v>
      </x:c>
      <x:c r="H355" s="2" t="n">
        <x:f>G355+Supuestos!$C$15</x:f>
        <x:v>18</x:v>
      </x:c>
      <x:c r="I355" s="14" t="n">
        <x:f>E2_plantas!J10+G355</x:f>
        <x:v>46191</x:v>
      </x:c>
      <x:c r="J355" s="2" t="str">
        <x:v>adulta</x:v>
      </x:c>
      <x:c r="K355" s="2" t="n">
        <x:v>1</x:v>
      </x:c>
      <x:c r="L355" s="2" t="n">
        <x:v>2</x:v>
      </x:c>
      <x:c r="M355" s="2" t="n">
        <x:f>SUM(L$338:L355)</x:f>
        <x:v>8</x:v>
      </x:c>
      <x:c r="N355" s="2" t="n">
        <x:v>0</x:v>
      </x:c>
      <x:c r="O355" s="2" t="str">
        <x:v>seguimiento</x:v>
      </x:c>
      <x:c r="P355" s="2" t="n">
        <x:v>0</x:v>
      </x:c>
      <x:c r="Q355" s="2" t="str">
        <x:v>simulado_didactico</x:v>
      </x:c>
    </x:row>
    <x:row r="356" ht="19" customHeight="1">
      <x:c r="A356" s="2" t="str">
        <x:v>SIM-E2-BB-L8-R01</x:v>
      </x:c>
      <x:c r="B356" s="2" t="n">
        <x:v>1</x:v>
      </x:c>
      <x:c r="C356" s="2" t="str">
        <x:v>BB</x:v>
      </x:c>
      <x:c r="D356" s="2" t="str">
        <x:v>Brevicoryne brassicae</x:v>
      </x:c>
      <x:c r="E356" s="2" t="str">
        <x:v>L8</x:v>
      </x:c>
      <x:c r="F356" s="2" t="n">
        <x:v>1</x:v>
      </x:c>
      <x:c r="G356" s="2" t="n">
        <x:v>18</x:v>
      </x:c>
      <x:c r="H356" s="2" t="n">
        <x:f>G356+Supuestos!$C$15</x:f>
        <x:v>19</x:v>
      </x:c>
      <x:c r="I356" s="14" t="n">
        <x:f>E2_plantas!J10+G356</x:f>
        <x:v>46192</x:v>
      </x:c>
      <x:c r="J356" s="2" t="str">
        <x:v>adulta</x:v>
      </x:c>
      <x:c r="K356" s="2" t="n">
        <x:v>1</x:v>
      </x:c>
      <x:c r="L356" s="2" t="n">
        <x:v>2</x:v>
      </x:c>
      <x:c r="M356" s="2" t="n">
        <x:f>SUM(L$338:L356)</x:f>
        <x:v>10</x:v>
      </x:c>
      <x:c r="N356" s="2" t="n">
        <x:v>0</x:v>
      </x:c>
      <x:c r="O356" s="2" t="str">
        <x:v>seguimiento</x:v>
      </x:c>
      <x:c r="P356" s="2" t="n">
        <x:v>0</x:v>
      </x:c>
      <x:c r="Q356" s="2" t="str">
        <x:v>simulado_didactico</x:v>
      </x:c>
    </x:row>
    <x:row r="357" ht="19" customHeight="1">
      <x:c r="A357" s="2" t="str">
        <x:v>SIM-E2-BB-L8-R01</x:v>
      </x:c>
      <x:c r="B357" s="2" t="n">
        <x:v>1</x:v>
      </x:c>
      <x:c r="C357" s="2" t="str">
        <x:v>BB</x:v>
      </x:c>
      <x:c r="D357" s="2" t="str">
        <x:v>Brevicoryne brassicae</x:v>
      </x:c>
      <x:c r="E357" s="2" t="str">
        <x:v>L8</x:v>
      </x:c>
      <x:c r="F357" s="2" t="n">
        <x:v>1</x:v>
      </x:c>
      <x:c r="G357" s="2" t="n">
        <x:v>19</x:v>
      </x:c>
      <x:c r="H357" s="2" t="n">
        <x:f>G357+Supuestos!$C$15</x:f>
        <x:v>20</x:v>
      </x:c>
      <x:c r="I357" s="14" t="n">
        <x:f>E2_plantas!J10+G357</x:f>
        <x:v>46193</x:v>
      </x:c>
      <x:c r="J357" s="2" t="str">
        <x:v>adulta</x:v>
      </x:c>
      <x:c r="K357" s="2" t="n">
        <x:v>1</x:v>
      </x:c>
      <x:c r="L357" s="2" t="n">
        <x:v>3</x:v>
      </x:c>
      <x:c r="M357" s="2" t="n">
        <x:f>SUM(L$338:L357)</x:f>
        <x:v>13</x:v>
      </x:c>
      <x:c r="N357" s="2" t="n">
        <x:v>0</x:v>
      </x:c>
      <x:c r="O357" s="2" t="str">
        <x:v>seguimiento</x:v>
      </x:c>
      <x:c r="P357" s="2" t="n">
        <x:v>0</x:v>
      </x:c>
      <x:c r="Q357" s="2" t="str">
        <x:v>simulado_didactico</x:v>
      </x:c>
    </x:row>
    <x:row r="358" ht="19" customHeight="1">
      <x:c r="A358" s="2" t="str">
        <x:v>SIM-E2-BB-L8-R01</x:v>
      </x:c>
      <x:c r="B358" s="2" t="n">
        <x:v>1</x:v>
      </x:c>
      <x:c r="C358" s="2" t="str">
        <x:v>BB</x:v>
      </x:c>
      <x:c r="D358" s="2" t="str">
        <x:v>Brevicoryne brassicae</x:v>
      </x:c>
      <x:c r="E358" s="2" t="str">
        <x:v>L8</x:v>
      </x:c>
      <x:c r="F358" s="2" t="n">
        <x:v>1</x:v>
      </x:c>
      <x:c r="G358" s="2" t="n">
        <x:v>20</x:v>
      </x:c>
      <x:c r="H358" s="2" t="n">
        <x:f>G358+Supuestos!$C$15</x:f>
        <x:v>21</x:v>
      </x:c>
      <x:c r="I358" s="14" t="n">
        <x:f>E2_plantas!J10+G358</x:f>
        <x:v>46194</x:v>
      </x:c>
      <x:c r="J358" s="2" t="str">
        <x:v>adulta</x:v>
      </x:c>
      <x:c r="K358" s="2" t="n">
        <x:v>1</x:v>
      </x:c>
      <x:c r="L358" s="2" t="n">
        <x:v>1</x:v>
      </x:c>
      <x:c r="M358" s="2" t="n">
        <x:f>SUM(L$338:L358)</x:f>
        <x:v>14</x:v>
      </x:c>
      <x:c r="N358" s="2" t="n">
        <x:v>0</x:v>
      </x:c>
      <x:c r="O358" s="2" t="str">
        <x:v>seguimiento</x:v>
      </x:c>
      <x:c r="P358" s="2" t="n">
        <x:v>0</x:v>
      </x:c>
      <x:c r="Q358" s="2" t="str">
        <x:v>simulado_didactico</x:v>
      </x:c>
    </x:row>
    <x:row r="359" ht="19" customHeight="1">
      <x:c r="A359" s="2" t="str">
        <x:v>SIM-E2-BB-L8-R01</x:v>
      </x:c>
      <x:c r="B359" s="2" t="n">
        <x:v>1</x:v>
      </x:c>
      <x:c r="C359" s="2" t="str">
        <x:v>BB</x:v>
      </x:c>
      <x:c r="D359" s="2" t="str">
        <x:v>Brevicoryne brassicae</x:v>
      </x:c>
      <x:c r="E359" s="2" t="str">
        <x:v>L8</x:v>
      </x:c>
      <x:c r="F359" s="2" t="n">
        <x:v>1</x:v>
      </x:c>
      <x:c r="G359" s="2" t="n">
        <x:v>21</x:v>
      </x:c>
      <x:c r="H359" s="2" t="n">
        <x:f>G359+Supuestos!$C$15</x:f>
        <x:v>22</x:v>
      </x:c>
      <x:c r="I359" s="14" t="n">
        <x:f>E2_plantas!J10+G359</x:f>
        <x:v>46195</x:v>
      </x:c>
      <x:c r="J359" s="2" t="str">
        <x:v>adulta</x:v>
      </x:c>
      <x:c r="K359" s="2" t="n">
        <x:v>1</x:v>
      </x:c>
      <x:c r="L359" s="2" t="n">
        <x:v>0</x:v>
      </x:c>
      <x:c r="M359" s="2" t="n">
        <x:f>SUM(L$338:L359)</x:f>
        <x:v>14</x:v>
      </x:c>
      <x:c r="N359" s="2" t="n">
        <x:v>0</x:v>
      </x:c>
      <x:c r="O359" s="2" t="str">
        <x:v>seguimiento</x:v>
      </x:c>
      <x:c r="P359" s="2" t="n">
        <x:v>0</x:v>
      </x:c>
      <x:c r="Q359" s="2" t="str">
        <x:v>simulado_didactico</x:v>
      </x:c>
    </x:row>
    <x:row r="360" ht="19" customHeight="1">
      <x:c r="A360" s="2" t="str">
        <x:v>SIM-E2-BB-L8-R01</x:v>
      </x:c>
      <x:c r="B360" s="2" t="n">
        <x:v>1</x:v>
      </x:c>
      <x:c r="C360" s="2" t="str">
        <x:v>BB</x:v>
      </x:c>
      <x:c r="D360" s="2" t="str">
        <x:v>Brevicoryne brassicae</x:v>
      </x:c>
      <x:c r="E360" s="2" t="str">
        <x:v>L8</x:v>
      </x:c>
      <x:c r="F360" s="2" t="n">
        <x:v>1</x:v>
      </x:c>
      <x:c r="G360" s="2" t="n">
        <x:v>22</x:v>
      </x:c>
      <x:c r="H360" s="2" t="n">
        <x:f>G360+Supuestos!$C$15</x:f>
        <x:v>23</x:v>
      </x:c>
      <x:c r="I360" s="14" t="n">
        <x:f>E2_plantas!J10+G360</x:f>
        <x:v>46196</x:v>
      </x:c>
      <x:c r="J360" s="2" t="str">
        <x:v>adulta</x:v>
      </x:c>
      <x:c r="K360" s="2" t="n">
        <x:v>1</x:v>
      </x:c>
      <x:c r="L360" s="2" t="n">
        <x:v>0</x:v>
      </x:c>
      <x:c r="M360" s="2" t="n">
        <x:f>SUM(L$338:L360)</x:f>
        <x:v>14</x:v>
      </x:c>
      <x:c r="N360" s="2" t="n">
        <x:v>0</x:v>
      </x:c>
      <x:c r="O360" s="2" t="str">
        <x:v>seguimiento</x:v>
      </x:c>
      <x:c r="P360" s="2" t="n">
        <x:v>0</x:v>
      </x:c>
      <x:c r="Q360" s="2" t="str">
        <x:v>simulado_didactico</x:v>
      </x:c>
    </x:row>
    <x:row r="361" ht="19" customHeight="1">
      <x:c r="A361" s="2" t="str">
        <x:v>SIM-E2-BB-L8-R01</x:v>
      </x:c>
      <x:c r="B361" s="2" t="n">
        <x:v>1</x:v>
      </x:c>
      <x:c r="C361" s="2" t="str">
        <x:v>BB</x:v>
      </x:c>
      <x:c r="D361" s="2" t="str">
        <x:v>Brevicoryne brassicae</x:v>
      </x:c>
      <x:c r="E361" s="2" t="str">
        <x:v>L8</x:v>
      </x:c>
      <x:c r="F361" s="2" t="n">
        <x:v>1</x:v>
      </x:c>
      <x:c r="G361" s="2" t="n">
        <x:v>23</x:v>
      </x:c>
      <x:c r="H361" s="2" t="n">
        <x:f>G361+Supuestos!$C$15</x:f>
        <x:v>24</x:v>
      </x:c>
      <x:c r="I361" s="14" t="n">
        <x:f>E2_plantas!J10+G361</x:f>
        <x:v>46197</x:v>
      </x:c>
      <x:c r="J361" s="2" t="str">
        <x:v>adulta</x:v>
      </x:c>
      <x:c r="K361" s="2" t="n">
        <x:v>1</x:v>
      </x:c>
      <x:c r="L361" s="2" t="n">
        <x:v>0</x:v>
      </x:c>
      <x:c r="M361" s="2" t="n">
        <x:f>SUM(L$338:L361)</x:f>
        <x:v>14</x:v>
      </x:c>
      <x:c r="N361" s="2" t="n">
        <x:v>0</x:v>
      </x:c>
      <x:c r="O361" s="2" t="str">
        <x:v>seguimiento</x:v>
      </x:c>
      <x:c r="P361" s="2" t="n">
        <x:v>0</x:v>
      </x:c>
      <x:c r="Q361" s="2" t="str">
        <x:v>simulado_didactico</x:v>
      </x:c>
    </x:row>
    <x:row r="362" ht="19" customHeight="1">
      <x:c r="A362" s="2" t="str">
        <x:v>SIM-E2-BB-L8-R01</x:v>
      </x:c>
      <x:c r="B362" s="2" t="n">
        <x:v>1</x:v>
      </x:c>
      <x:c r="C362" s="2" t="str">
        <x:v>BB</x:v>
      </x:c>
      <x:c r="D362" s="2" t="str">
        <x:v>Brevicoryne brassicae</x:v>
      </x:c>
      <x:c r="E362" s="2" t="str">
        <x:v>L8</x:v>
      </x:c>
      <x:c r="F362" s="2" t="n">
        <x:v>1</x:v>
      </x:c>
      <x:c r="G362" s="2" t="n">
        <x:v>24</x:v>
      </x:c>
      <x:c r="H362" s="2" t="n">
        <x:f>G362+Supuestos!$C$15</x:f>
        <x:v>25</x:v>
      </x:c>
      <x:c r="I362" s="14" t="n">
        <x:f>E2_plantas!J10+G362</x:f>
        <x:v>46198</x:v>
      </x:c>
      <x:c r="J362" s="2" t="str">
        <x:v>adulta</x:v>
      </x:c>
      <x:c r="K362" s="2" t="n">
        <x:v>1</x:v>
      </x:c>
      <x:c r="L362" s="2" t="n">
        <x:v>1</x:v>
      </x:c>
      <x:c r="M362" s="2" t="n">
        <x:f>SUM(L$338:L362)</x:f>
        <x:v>15</x:v>
      </x:c>
      <x:c r="N362" s="2" t="n">
        <x:v>0</x:v>
      </x:c>
      <x:c r="O362" s="2" t="str">
        <x:v>seguimiento</x:v>
      </x:c>
      <x:c r="P362" s="2" t="n">
        <x:v>0</x:v>
      </x:c>
      <x:c r="Q362" s="2" t="str">
        <x:v>simulado_didactico</x:v>
      </x:c>
    </x:row>
    <x:row r="363" ht="19" customHeight="1">
      <x:c r="A363" s="2" t="str">
        <x:v>SIM-E2-BB-L8-R01</x:v>
      </x:c>
      <x:c r="B363" s="2" t="n">
        <x:v>1</x:v>
      </x:c>
      <x:c r="C363" s="2" t="str">
        <x:v>BB</x:v>
      </x:c>
      <x:c r="D363" s="2" t="str">
        <x:v>Brevicoryne brassicae</x:v>
      </x:c>
      <x:c r="E363" s="2" t="str">
        <x:v>L8</x:v>
      </x:c>
      <x:c r="F363" s="2" t="n">
        <x:v>1</x:v>
      </x:c>
      <x:c r="G363" s="2" t="n">
        <x:v>25</x:v>
      </x:c>
      <x:c r="H363" s="2" t="n">
        <x:f>G363+Supuestos!$C$15</x:f>
        <x:v>26</x:v>
      </x:c>
      <x:c r="I363" s="14" t="n">
        <x:f>E2_plantas!J10+G363</x:f>
        <x:v>46199</x:v>
      </x:c>
      <x:c r="J363" s="2" t="str">
        <x:v>adulta</x:v>
      </x:c>
      <x:c r="K363" s="2" t="n">
        <x:v>1</x:v>
      </x:c>
      <x:c r="L363" s="2" t="n">
        <x:v>2</x:v>
      </x:c>
      <x:c r="M363" s="2" t="n">
        <x:f>SUM(L$338:L363)</x:f>
        <x:v>17</x:v>
      </x:c>
      <x:c r="N363" s="2" t="n">
        <x:v>0</x:v>
      </x:c>
      <x:c r="O363" s="2" t="str">
        <x:v>seguimiento</x:v>
      </x:c>
      <x:c r="P363" s="2" t="n">
        <x:v>0</x:v>
      </x:c>
      <x:c r="Q363" s="2" t="str">
        <x:v>simulado_didactico</x:v>
      </x:c>
    </x:row>
    <x:row r="364" ht="19" customHeight="1">
      <x:c r="A364" s="2" t="str">
        <x:v>SIM-E2-BB-L8-R01</x:v>
      </x:c>
      <x:c r="B364" s="2" t="n">
        <x:v>1</x:v>
      </x:c>
      <x:c r="C364" s="2" t="str">
        <x:v>BB</x:v>
      </x:c>
      <x:c r="D364" s="2" t="str">
        <x:v>Brevicoryne brassicae</x:v>
      </x:c>
      <x:c r="E364" s="2" t="str">
        <x:v>L8</x:v>
      </x:c>
      <x:c r="F364" s="2" t="n">
        <x:v>1</x:v>
      </x:c>
      <x:c r="G364" s="2" t="n">
        <x:v>26</x:v>
      </x:c>
      <x:c r="H364" s="2" t="n">
        <x:f>G364+Supuestos!$C$15</x:f>
        <x:v>27</x:v>
      </x:c>
      <x:c r="I364" s="14" t="n">
        <x:f>E2_plantas!J10+G364</x:f>
        <x:v>46200</x:v>
      </x:c>
      <x:c r="J364" s="2" t="str">
        <x:v>adulta</x:v>
      </x:c>
      <x:c r="K364" s="2" t="n">
        <x:v>1</x:v>
      </x:c>
      <x:c r="L364" s="2" t="n">
        <x:v>0</x:v>
      </x:c>
      <x:c r="M364" s="2" t="n">
        <x:f>SUM(L$338:L364)</x:f>
        <x:v>17</x:v>
      </x:c>
      <x:c r="N364" s="2" t="n">
        <x:v>0</x:v>
      </x:c>
      <x:c r="O364" s="2" t="str">
        <x:v>seguimiento</x:v>
      </x:c>
      <x:c r="P364" s="2" t="n">
        <x:v>0</x:v>
      </x:c>
      <x:c r="Q364" s="2" t="str">
        <x:v>simulado_didactico</x:v>
      </x:c>
    </x:row>
    <x:row r="365" ht="19" customHeight="1">
      <x:c r="A365" s="2" t="str">
        <x:v>SIM-E2-BB-L8-R01</x:v>
      </x:c>
      <x:c r="B365" s="2" t="n">
        <x:v>1</x:v>
      </x:c>
      <x:c r="C365" s="2" t="str">
        <x:v>BB</x:v>
      </x:c>
      <x:c r="D365" s="2" t="str">
        <x:v>Brevicoryne brassicae</x:v>
      </x:c>
      <x:c r="E365" s="2" t="str">
        <x:v>L8</x:v>
      </x:c>
      <x:c r="F365" s="2" t="n">
        <x:v>1</x:v>
      </x:c>
      <x:c r="G365" s="2" t="n">
        <x:v>27</x:v>
      </x:c>
      <x:c r="H365" s="2" t="n">
        <x:f>G365+Supuestos!$C$15</x:f>
        <x:v>28</x:v>
      </x:c>
      <x:c r="I365" s="14" t="n">
        <x:f>E2_plantas!J10+G365</x:f>
        <x:v>46201</x:v>
      </x:c>
      <x:c r="J365" s="2" t="str">
        <x:v>adulta</x:v>
      </x:c>
      <x:c r="K365" s="2" t="n">
        <x:v>1</x:v>
      </x:c>
      <x:c r="L365" s="2" t="n">
        <x:v>0</x:v>
      </x:c>
      <x:c r="M365" s="2" t="n">
        <x:f>SUM(L$338:L365)</x:f>
        <x:v>17</x:v>
      </x:c>
      <x:c r="N365" s="2" t="n">
        <x:v>0</x:v>
      </x:c>
      <x:c r="O365" s="2" t="str">
        <x:v>seguimiento</x:v>
      </x:c>
      <x:c r="P365" s="2" t="n">
        <x:v>0</x:v>
      </x:c>
      <x:c r="Q365" s="2" t="str">
        <x:v>simulado_didactico</x:v>
      </x:c>
    </x:row>
    <x:row r="366" ht="19" customHeight="1">
      <x:c r="A366" s="2" t="str">
        <x:v>SIM-E2-BB-L8-R01</x:v>
      </x:c>
      <x:c r="B366" s="2" t="n">
        <x:v>1</x:v>
      </x:c>
      <x:c r="C366" s="2" t="str">
        <x:v>BB</x:v>
      </x:c>
      <x:c r="D366" s="2" t="str">
        <x:v>Brevicoryne brassicae</x:v>
      </x:c>
      <x:c r="E366" s="2" t="str">
        <x:v>L8</x:v>
      </x:c>
      <x:c r="F366" s="2" t="n">
        <x:v>1</x:v>
      </x:c>
      <x:c r="G366" s="2" t="n">
        <x:v>28</x:v>
      </x:c>
      <x:c r="H366" s="2" t="n">
        <x:f>G366+Supuestos!$C$15</x:f>
        <x:v>29</x:v>
      </x:c>
      <x:c r="I366" s="14" t="n">
        <x:f>E2_plantas!J10+G366</x:f>
        <x:v>46202</x:v>
      </x:c>
      <x:c r="J366" s="2" t="str">
        <x:v>adulta</x:v>
      </x:c>
      <x:c r="K366" s="2" t="n">
        <x:v>1</x:v>
      </x:c>
      <x:c r="L366" s="2" t="n">
        <x:v>2</x:v>
      </x:c>
      <x:c r="M366" s="2" t="n">
        <x:f>SUM(L$338:L366)</x:f>
        <x:v>19</x:v>
      </x:c>
      <x:c r="N366" s="2" t="n">
        <x:v>0</x:v>
      </x:c>
      <x:c r="O366" s="2" t="str">
        <x:v>seguimiento</x:v>
      </x:c>
      <x:c r="P366" s="2" t="n">
        <x:v>0</x:v>
      </x:c>
      <x:c r="Q366" s="2" t="str">
        <x:v>simulado_didactico</x:v>
      </x:c>
    </x:row>
    <x:row r="367" ht="19" customHeight="1">
      <x:c r="A367" s="2" t="str">
        <x:v>SIM-E2-BB-L8-R01</x:v>
      </x:c>
      <x:c r="B367" s="2" t="n">
        <x:v>1</x:v>
      </x:c>
      <x:c r="C367" s="2" t="str">
        <x:v>BB</x:v>
      </x:c>
      <x:c r="D367" s="2" t="str">
        <x:v>Brevicoryne brassicae</x:v>
      </x:c>
      <x:c r="E367" s="2" t="str">
        <x:v>L8</x:v>
      </x:c>
      <x:c r="F367" s="2" t="n">
        <x:v>1</x:v>
      </x:c>
      <x:c r="G367" s="2" t="n">
        <x:v>29</x:v>
      </x:c>
      <x:c r="H367" s="2" t="n">
        <x:f>G367+Supuestos!$C$15</x:f>
        <x:v>30</x:v>
      </x:c>
      <x:c r="I367" s="14" t="n">
        <x:f>E2_plantas!J10+G367</x:f>
        <x:v>46203</x:v>
      </x:c>
      <x:c r="J367" s="2" t="str">
        <x:v>adulta</x:v>
      </x:c>
      <x:c r="K367" s="2" t="n">
        <x:v>1</x:v>
      </x:c>
      <x:c r="L367" s="2" t="n">
        <x:v>0</x:v>
      </x:c>
      <x:c r="M367" s="2" t="n">
        <x:f>SUM(L$338:L367)</x:f>
        <x:v>19</x:v>
      </x:c>
      <x:c r="N367" s="2" t="n">
        <x:v>0</x:v>
      </x:c>
      <x:c r="O367" s="2" t="str">
        <x:v>seguimiento</x:v>
      </x:c>
      <x:c r="P367" s="2" t="n">
        <x:v>0</x:v>
      </x:c>
      <x:c r="Q367" s="2" t="str">
        <x:v>simulado_didactico</x:v>
      </x:c>
    </x:row>
    <x:row r="368" ht="19" customHeight="1">
      <x:c r="A368" s="2" t="str">
        <x:v>SIM-E2-BB-L8-R01</x:v>
      </x:c>
      <x:c r="B368" s="2" t="n">
        <x:v>1</x:v>
      </x:c>
      <x:c r="C368" s="2" t="str">
        <x:v>BB</x:v>
      </x:c>
      <x:c r="D368" s="2" t="str">
        <x:v>Brevicoryne brassicae</x:v>
      </x:c>
      <x:c r="E368" s="2" t="str">
        <x:v>L8</x:v>
      </x:c>
      <x:c r="F368" s="2" t="n">
        <x:v>1</x:v>
      </x:c>
      <x:c r="G368" s="2" t="n">
        <x:v>30</x:v>
      </x:c>
      <x:c r="H368" s="2" t="n">
        <x:f>G368+Supuestos!$C$15</x:f>
        <x:v>31</x:v>
      </x:c>
      <x:c r="I368" s="14" t="n">
        <x:f>E2_plantas!J10+G368</x:f>
        <x:v>46204</x:v>
      </x:c>
      <x:c r="J368" s="2" t="str">
        <x:v>adulta</x:v>
      </x:c>
      <x:c r="K368" s="2" t="n">
        <x:v>1</x:v>
      </x:c>
      <x:c r="L368" s="2" t="n">
        <x:v>1</x:v>
      </x:c>
      <x:c r="M368" s="2" t="n">
        <x:f>SUM(L$338:L368)</x:f>
        <x:v>20</x:v>
      </x:c>
      <x:c r="N368" s="2" t="n">
        <x:v>0</x:v>
      </x:c>
      <x:c r="O368" s="2" t="str">
        <x:v>seguimiento</x:v>
      </x:c>
      <x:c r="P368" s="2" t="n">
        <x:v>0</x:v>
      </x:c>
      <x:c r="Q368" s="2" t="str">
        <x:v>simulado_didactico</x:v>
      </x:c>
    </x:row>
    <x:row r="369" ht="19" customHeight="1">
      <x:c r="A369" s="2" t="str">
        <x:v>SIM-E2-BB-L8-R01</x:v>
      </x:c>
      <x:c r="B369" s="2" t="n">
        <x:v>1</x:v>
      </x:c>
      <x:c r="C369" s="2" t="str">
        <x:v>BB</x:v>
      </x:c>
      <x:c r="D369" s="2" t="str">
        <x:v>Brevicoryne brassicae</x:v>
      </x:c>
      <x:c r="E369" s="2" t="str">
        <x:v>L8</x:v>
      </x:c>
      <x:c r="F369" s="2" t="n">
        <x:v>1</x:v>
      </x:c>
      <x:c r="G369" s="2" t="n">
        <x:v>31</x:v>
      </x:c>
      <x:c r="H369" s="2" t="n">
        <x:f>G369+Supuestos!$C$15</x:f>
        <x:v>32</x:v>
      </x:c>
      <x:c r="I369" s="14" t="n">
        <x:f>E2_plantas!J10+G369</x:f>
        <x:v>46205</x:v>
      </x:c>
      <x:c r="J369" s="2" t="str">
        <x:v>adulta</x:v>
      </x:c>
      <x:c r="K369" s="2" t="n">
        <x:v>1</x:v>
      </x:c>
      <x:c r="L369" s="2" t="n">
        <x:v>1</x:v>
      </x:c>
      <x:c r="M369" s="2" t="n">
        <x:f>SUM(L$338:L369)</x:f>
        <x:v>21</x:v>
      </x:c>
      <x:c r="N369" s="2" t="n">
        <x:v>0</x:v>
      </x:c>
      <x:c r="O369" s="2" t="str">
        <x:v>seguimiento</x:v>
      </x:c>
      <x:c r="P369" s="2" t="n">
        <x:v>0</x:v>
      </x:c>
      <x:c r="Q369" s="2" t="str">
        <x:v>simulado_didactico</x:v>
      </x:c>
    </x:row>
    <x:row r="370" ht="19" customHeight="1">
      <x:c r="A370" s="2" t="str">
        <x:v>SIM-E2-BB-L8-R01</x:v>
      </x:c>
      <x:c r="B370" s="2" t="n">
        <x:v>1</x:v>
      </x:c>
      <x:c r="C370" s="2" t="str">
        <x:v>BB</x:v>
      </x:c>
      <x:c r="D370" s="2" t="str">
        <x:v>Brevicoryne brassicae</x:v>
      </x:c>
      <x:c r="E370" s="2" t="str">
        <x:v>L8</x:v>
      </x:c>
      <x:c r="F370" s="2" t="n">
        <x:v>1</x:v>
      </x:c>
      <x:c r="G370" s="2" t="n">
        <x:v>32</x:v>
      </x:c>
      <x:c r="H370" s="2" t="n">
        <x:f>G370+Supuestos!$C$15</x:f>
        <x:v>33</x:v>
      </x:c>
      <x:c r="I370" s="14" t="n">
        <x:f>E2_plantas!J10+G370</x:f>
        <x:v>46206</x:v>
      </x:c>
      <x:c r="J370" s="2" t="str">
        <x:v>adulta</x:v>
      </x:c>
      <x:c r="K370" s="2" t="n">
        <x:v>1</x:v>
      </x:c>
      <x:c r="L370" s="2" t="n">
        <x:v>2</x:v>
      </x:c>
      <x:c r="M370" s="2" t="n">
        <x:f>SUM(L$338:L370)</x:f>
        <x:v>23</x:v>
      </x:c>
      <x:c r="N370" s="2" t="n">
        <x:v>0</x:v>
      </x:c>
      <x:c r="O370" s="2" t="str">
        <x:v>seguimiento</x:v>
      </x:c>
      <x:c r="P370" s="2" t="n">
        <x:v>0</x:v>
      </x:c>
      <x:c r="Q370" s="2" t="str">
        <x:v>simulado_didactico</x:v>
      </x:c>
    </x:row>
    <x:row r="371" ht="19" customHeight="1">
      <x:c r="A371" s="2" t="str">
        <x:v>SIM-E2-BB-L8-R01</x:v>
      </x:c>
      <x:c r="B371" s="2" t="n">
        <x:v>1</x:v>
      </x:c>
      <x:c r="C371" s="2" t="str">
        <x:v>BB</x:v>
      </x:c>
      <x:c r="D371" s="2" t="str">
        <x:v>Brevicoryne brassicae</x:v>
      </x:c>
      <x:c r="E371" s="2" t="str">
        <x:v>L8</x:v>
      </x:c>
      <x:c r="F371" s="2" t="n">
        <x:v>1</x:v>
      </x:c>
      <x:c r="G371" s="2" t="n">
        <x:v>33</x:v>
      </x:c>
      <x:c r="H371" s="2" t="n">
        <x:f>G371+Supuestos!$C$15</x:f>
        <x:v>34</x:v>
      </x:c>
      <x:c r="I371" s="14" t="n">
        <x:f>E2_plantas!J10+G371</x:f>
        <x:v>46207</x:v>
      </x:c>
      <x:c r="J371" s="2" t="str">
        <x:v>adulta</x:v>
      </x:c>
      <x:c r="K371" s="2" t="n">
        <x:v>1</x:v>
      </x:c>
      <x:c r="L371" s="2" t="n">
        <x:v>0</x:v>
      </x:c>
      <x:c r="M371" s="2" t="n">
        <x:f>SUM(L$338:L371)</x:f>
        <x:v>23</x:v>
      </x:c>
      <x:c r="N371" s="2" t="n">
        <x:v>0</x:v>
      </x:c>
      <x:c r="O371" s="2" t="str">
        <x:v>seguimiento</x:v>
      </x:c>
      <x:c r="P371" s="2" t="n">
        <x:v>0</x:v>
      </x:c>
      <x:c r="Q371" s="2" t="str">
        <x:v>simulado_didactico</x:v>
      </x:c>
    </x:row>
    <x:row r="372" ht="19" customHeight="1">
      <x:c r="A372" s="2" t="str">
        <x:v>SIM-E2-BB-L8-R01</x:v>
      </x:c>
      <x:c r="B372" s="2" t="n">
        <x:v>1</x:v>
      </x:c>
      <x:c r="C372" s="2" t="str">
        <x:v>BB</x:v>
      </x:c>
      <x:c r="D372" s="2" t="str">
        <x:v>Brevicoryne brassicae</x:v>
      </x:c>
      <x:c r="E372" s="2" t="str">
        <x:v>L8</x:v>
      </x:c>
      <x:c r="F372" s="2" t="n">
        <x:v>1</x:v>
      </x:c>
      <x:c r="G372" s="2" t="n">
        <x:v>34</x:v>
      </x:c>
      <x:c r="H372" s="2" t="n">
        <x:f>G372+Supuestos!$C$15</x:f>
        <x:v>35</x:v>
      </x:c>
      <x:c r="I372" s="14" t="n">
        <x:f>E2_plantas!J10+G372</x:f>
        <x:v>46208</x:v>
      </x:c>
      <x:c r="J372" s="2" t="str">
        <x:v>adulta</x:v>
      </x:c>
      <x:c r="K372" s="2" t="n">
        <x:v>1</x:v>
      </x:c>
      <x:c r="L372" s="2" t="n">
        <x:v>0</x:v>
      </x:c>
      <x:c r="M372" s="2" t="n">
        <x:f>SUM(L$338:L372)</x:f>
        <x:v>23</x:v>
      </x:c>
      <x:c r="N372" s="2" t="n">
        <x:v>0</x:v>
      </x:c>
      <x:c r="O372" s="2" t="str">
        <x:v>seguimiento</x:v>
      </x:c>
      <x:c r="P372" s="2" t="n">
        <x:v>0</x:v>
      </x:c>
      <x:c r="Q372" s="2" t="str">
        <x:v>simulado_didactico</x:v>
      </x:c>
    </x:row>
    <x:row r="373" ht="19" customHeight="1">
      <x:c r="A373" s="2" t="str">
        <x:v>SIM-E2-BB-L8-R01</x:v>
      </x:c>
      <x:c r="B373" s="2" t="n">
        <x:v>1</x:v>
      </x:c>
      <x:c r="C373" s="2" t="str">
        <x:v>BB</x:v>
      </x:c>
      <x:c r="D373" s="2" t="str">
        <x:v>Brevicoryne brassicae</x:v>
      </x:c>
      <x:c r="E373" s="2" t="str">
        <x:v>L8</x:v>
      </x:c>
      <x:c r="F373" s="2" t="n">
        <x:v>1</x:v>
      </x:c>
      <x:c r="G373" s="2" t="n">
        <x:v>35</x:v>
      </x:c>
      <x:c r="H373" s="2" t="n">
        <x:f>G373+Supuestos!$C$15</x:f>
        <x:v>36</x:v>
      </x:c>
      <x:c r="I373" s="14" t="n">
        <x:f>E2_plantas!J10+G373</x:f>
        <x:v>46209</x:v>
      </x:c>
      <x:c r="J373" s="2" t="str">
        <x:v>muerta</x:v>
      </x:c>
      <x:c r="K373" s="2" t="n">
        <x:v>0</x:v>
      </x:c>
      <x:c r="L373" s="2" t="n">
        <x:v>0</x:v>
      </x:c>
      <x:c r="M373" s="2" t="n">
        <x:f>SUM(L$338:L373)</x:f>
        <x:v>23</x:v>
      </x:c>
      <x:c r="N373" s="2" t="n">
        <x:v>1</x:v>
      </x:c>
      <x:c r="O373" s="2" t="str">
        <x:v>muerte</x:v>
      </x:c>
      <x:c r="P373" s="2" t="n">
        <x:v>0</x:v>
      </x:c>
      <x:c r="Q373" s="2" t="str">
        <x:v>simulado_didactico</x:v>
      </x:c>
    </x:row>
    <x:row r="374" ht="19" customHeight="1">
      <x:c r="A374" s="2" t="str">
        <x:v>SIM-E2-BB-L8-R01</x:v>
      </x:c>
      <x:c r="B374" s="2" t="n">
        <x:v>1</x:v>
      </x:c>
      <x:c r="C374" s="2" t="str">
        <x:v>BB</x:v>
      </x:c>
      <x:c r="D374" s="2" t="str">
        <x:v>Brevicoryne brassicae</x:v>
      </x:c>
      <x:c r="E374" s="2" t="str">
        <x:v>L8</x:v>
      </x:c>
      <x:c r="F374" s="2" t="n">
        <x:v>1</x:v>
      </x:c>
      <x:c r="G374" s="2" t="n">
        <x:v>36</x:v>
      </x:c>
      <x:c r="H374" s="2" t="n">
        <x:f>G374+Supuestos!$C$15</x:f>
        <x:v>37</x:v>
      </x:c>
      <x:c r="I374" s="14" t="n">
        <x:f>E2_plantas!J10+G374</x:f>
        <x:v>46210</x:v>
      </x:c>
      <x:c r="J374" s="2" t="str">
        <x:v>muerta</x:v>
      </x:c>
      <x:c r="K374" s="2" t="n">
        <x:v>0</x:v>
      </x:c>
      <x:c r="L374" s="2" t="n">
        <x:v>0</x:v>
      </x:c>
      <x:c r="M374" s="2" t="n">
        <x:f>SUM(L$338:L374)</x:f>
        <x:v>23</x:v>
      </x:c>
      <x:c r="N374" s="2" t="n">
        <x:v>0</x:v>
      </x:c>
      <x:c r="O374" s="2" t="str">
        <x:v>relleno_postmuerte</x:v>
      </x:c>
      <x:c r="P374" s="2" t="n">
        <x:v>0</x:v>
      </x:c>
      <x:c r="Q374" s="2" t="str">
        <x:v>simulado_didactico</x:v>
      </x:c>
    </x:row>
    <x:row r="375" ht="19" customHeight="1">
      <x:c r="A375" s="2" t="str">
        <x:v>SIM-E2-BB-L8-R01</x:v>
      </x:c>
      <x:c r="B375" s="2" t="n">
        <x:v>1</x:v>
      </x:c>
      <x:c r="C375" s="2" t="str">
        <x:v>BB</x:v>
      </x:c>
      <x:c r="D375" s="2" t="str">
        <x:v>Brevicoryne brassicae</x:v>
      </x:c>
      <x:c r="E375" s="2" t="str">
        <x:v>L8</x:v>
      </x:c>
      <x:c r="F375" s="2" t="n">
        <x:v>1</x:v>
      </x:c>
      <x:c r="G375" s="2" t="n">
        <x:v>37</x:v>
      </x:c>
      <x:c r="H375" s="2" t="n">
        <x:f>G375+Supuestos!$C$15</x:f>
        <x:v>38</x:v>
      </x:c>
      <x:c r="I375" s="14" t="n">
        <x:f>E2_plantas!J10+G375</x:f>
        <x:v>46211</x:v>
      </x:c>
      <x:c r="J375" s="2" t="str">
        <x:v>muerta</x:v>
      </x:c>
      <x:c r="K375" s="2" t="n">
        <x:v>0</x:v>
      </x:c>
      <x:c r="L375" s="2" t="n">
        <x:v>0</x:v>
      </x:c>
      <x:c r="M375" s="2" t="n">
        <x:f>SUM(L$338:L375)</x:f>
        <x:v>23</x:v>
      </x:c>
      <x:c r="N375" s="2" t="n">
        <x:v>0</x:v>
      </x:c>
      <x:c r="O375" s="2" t="str">
        <x:v>relleno_postmuerte</x:v>
      </x:c>
      <x:c r="P375" s="2" t="n">
        <x:v>0</x:v>
      </x:c>
      <x:c r="Q375" s="2" t="str">
        <x:v>simulado_didactico</x:v>
      </x:c>
    </x:row>
    <x:row r="376" ht="19" customHeight="1">
      <x:c r="A376" s="2" t="str">
        <x:v>SIM-E2-BB-L8-R01</x:v>
      </x:c>
      <x:c r="B376" s="2" t="n">
        <x:v>1</x:v>
      </x:c>
      <x:c r="C376" s="2" t="str">
        <x:v>BB</x:v>
      </x:c>
      <x:c r="D376" s="2" t="str">
        <x:v>Brevicoryne brassicae</x:v>
      </x:c>
      <x:c r="E376" s="2" t="str">
        <x:v>L8</x:v>
      </x:c>
      <x:c r="F376" s="2" t="n">
        <x:v>1</x:v>
      </x:c>
      <x:c r="G376" s="2" t="n">
        <x:v>38</x:v>
      </x:c>
      <x:c r="H376" s="2" t="n">
        <x:f>G376+Supuestos!$C$15</x:f>
        <x:v>39</x:v>
      </x:c>
      <x:c r="I376" s="14" t="n">
        <x:f>E2_plantas!J10+G376</x:f>
        <x:v>46212</x:v>
      </x:c>
      <x:c r="J376" s="2" t="str">
        <x:v>muerta</x:v>
      </x:c>
      <x:c r="K376" s="2" t="n">
        <x:v>0</x:v>
      </x:c>
      <x:c r="L376" s="2" t="n">
        <x:v>0</x:v>
      </x:c>
      <x:c r="M376" s="2" t="n">
        <x:f>SUM(L$338:L376)</x:f>
        <x:v>23</x:v>
      </x:c>
      <x:c r="N376" s="2" t="n">
        <x:v>0</x:v>
      </x:c>
      <x:c r="O376" s="2" t="str">
        <x:v>relleno_postmuerte</x:v>
      </x:c>
      <x:c r="P376" s="2" t="n">
        <x:v>0</x:v>
      </x:c>
      <x:c r="Q376" s="2" t="str">
        <x:v>simulado_didactico</x:v>
      </x:c>
    </x:row>
    <x:row r="377" ht="19" customHeight="1">
      <x:c r="A377" s="2" t="str">
        <x:v>SIM-E2-BB-L8-R01</x:v>
      </x:c>
      <x:c r="B377" s="2" t="n">
        <x:v>1</x:v>
      </x:c>
      <x:c r="C377" s="2" t="str">
        <x:v>BB</x:v>
      </x:c>
      <x:c r="D377" s="2" t="str">
        <x:v>Brevicoryne brassicae</x:v>
      </x:c>
      <x:c r="E377" s="2" t="str">
        <x:v>L8</x:v>
      </x:c>
      <x:c r="F377" s="2" t="n">
        <x:v>1</x:v>
      </x:c>
      <x:c r="G377" s="2" t="n">
        <x:v>39</x:v>
      </x:c>
      <x:c r="H377" s="2" t="n">
        <x:f>G377+Supuestos!$C$15</x:f>
        <x:v>40</x:v>
      </x:c>
      <x:c r="I377" s="14" t="n">
        <x:f>E2_plantas!J10+G377</x:f>
        <x:v>46213</x:v>
      </x:c>
      <x:c r="J377" s="2" t="str">
        <x:v>muerta</x:v>
      </x:c>
      <x:c r="K377" s="2" t="n">
        <x:v>0</x:v>
      </x:c>
      <x:c r="L377" s="2" t="n">
        <x:v>0</x:v>
      </x:c>
      <x:c r="M377" s="2" t="n">
        <x:f>SUM(L$338:L377)</x:f>
        <x:v>23</x:v>
      </x:c>
      <x:c r="N377" s="2" t="n">
        <x:v>0</x:v>
      </x:c>
      <x:c r="O377" s="2" t="str">
        <x:v>relleno_postmuerte</x:v>
      </x:c>
      <x:c r="P377" s="2" t="n">
        <x:v>0</x:v>
      </x:c>
      <x:c r="Q377" s="2" t="str">
        <x:v>simulado_didactico</x:v>
      </x:c>
    </x:row>
    <x:row r="378" ht="19" customHeight="1">
      <x:c r="A378" s="2" t="str">
        <x:v>SIM-E2-BB-L8-R01</x:v>
      </x:c>
      <x:c r="B378" s="2" t="n">
        <x:v>1</x:v>
      </x:c>
      <x:c r="C378" s="2" t="str">
        <x:v>BB</x:v>
      </x:c>
      <x:c r="D378" s="2" t="str">
        <x:v>Brevicoryne brassicae</x:v>
      </x:c>
      <x:c r="E378" s="2" t="str">
        <x:v>L8</x:v>
      </x:c>
      <x:c r="F378" s="2" t="n">
        <x:v>1</x:v>
      </x:c>
      <x:c r="G378" s="2" t="n">
        <x:v>40</x:v>
      </x:c>
      <x:c r="H378" s="2" t="n">
        <x:f>G378+Supuestos!$C$15</x:f>
        <x:v>41</x:v>
      </x:c>
      <x:c r="I378" s="14" t="n">
        <x:f>E2_plantas!J10+G378</x:f>
        <x:v>46214</x:v>
      </x:c>
      <x:c r="J378" s="2" t="str">
        <x:v>muerta</x:v>
      </x:c>
      <x:c r="K378" s="2" t="n">
        <x:v>0</x:v>
      </x:c>
      <x:c r="L378" s="2" t="n">
        <x:v>0</x:v>
      </x:c>
      <x:c r="M378" s="2" t="n">
        <x:f>SUM(L$338:L378)</x:f>
        <x:v>23</x:v>
      </x:c>
      <x:c r="N378" s="2" t="n">
        <x:v>0</x:v>
      </x:c>
      <x:c r="O378" s="2" t="str">
        <x:v>relleno_postmuerte</x:v>
      </x:c>
      <x:c r="P378" s="2" t="n">
        <x:v>0</x:v>
      </x:c>
      <x:c r="Q378" s="2" t="str">
        <x:v>simulado_didactico</x:v>
      </x:c>
    </x:row>
    <x:row r="379" ht="19" customHeight="1">
      <x:c r="A379" s="2" t="str">
        <x:v>SIM-E2-BB-L8-R01</x:v>
      </x:c>
      <x:c r="B379" s="2" t="n">
        <x:v>1</x:v>
      </x:c>
      <x:c r="C379" s="2" t="str">
        <x:v>BB</x:v>
      </x:c>
      <x:c r="D379" s="2" t="str">
        <x:v>Brevicoryne brassicae</x:v>
      </x:c>
      <x:c r="E379" s="2" t="str">
        <x:v>L8</x:v>
      </x:c>
      <x:c r="F379" s="2" t="n">
        <x:v>1</x:v>
      </x:c>
      <x:c r="G379" s="2" t="n">
        <x:v>41</x:v>
      </x:c>
      <x:c r="H379" s="2" t="n">
        <x:f>G379+Supuestos!$C$15</x:f>
        <x:v>42</x:v>
      </x:c>
      <x:c r="I379" s="14" t="n">
        <x:f>E2_plantas!J10+G379</x:f>
        <x:v>46215</x:v>
      </x:c>
      <x:c r="J379" s="2" t="str">
        <x:v>muerta</x:v>
      </x:c>
      <x:c r="K379" s="2" t="n">
        <x:v>0</x:v>
      </x:c>
      <x:c r="L379" s="2" t="n">
        <x:v>0</x:v>
      </x:c>
      <x:c r="M379" s="2" t="n">
        <x:f>SUM(L$338:L379)</x:f>
        <x:v>23</x:v>
      </x:c>
      <x:c r="N379" s="2" t="n">
        <x:v>0</x:v>
      </x:c>
      <x:c r="O379" s="2" t="str">
        <x:v>relleno_postmuerte</x:v>
      </x:c>
      <x:c r="P379" s="2" t="n">
        <x:v>0</x:v>
      </x:c>
      <x:c r="Q379" s="2" t="str">
        <x:v>simulado_didactico</x:v>
      </x:c>
    </x:row>
    <x:row r="380" ht="19" customHeight="1">
      <x:c r="A380" s="2" t="str">
        <x:v>SIM-E2-BB-L8-R02</x:v>
      </x:c>
      <x:c r="B380" s="2" t="n">
        <x:v>1</x:v>
      </x:c>
      <x:c r="C380" s="2" t="str">
        <x:v>BB</x:v>
      </x:c>
      <x:c r="D380" s="2" t="str">
        <x:v>Brevicoryne brassicae</x:v>
      </x:c>
      <x:c r="E380" s="2" t="str">
        <x:v>L8</x:v>
      </x:c>
      <x:c r="F380" s="2" t="n">
        <x:v>2</x:v>
      </x:c>
      <x:c r="G380" s="2" t="n">
        <x:v>0</x:v>
      </x:c>
      <x:c r="H380" s="2" t="n">
        <x:f>G380+Supuestos!$C$15</x:f>
        <x:v>1</x:v>
      </x:c>
      <x:c r="I380" s="14" t="n">
        <x:f>E2_plantas!J11+G380</x:f>
        <x:v>46174</x:v>
      </x:c>
      <x:c r="J380" s="2" t="str">
        <x:v>N1</x:v>
      </x:c>
      <x:c r="K380" s="2" t="n">
        <x:v>1</x:v>
      </x:c>
      <x:c r="L380" s="2" t="n">
        <x:v>0</x:v>
      </x:c>
      <x:c r="M380" s="2" t="n">
        <x:f>SUM(L$380:L380)</x:f>
        <x:v>0</x:v>
      </x:c>
      <x:c r="N380" s="2" t="n">
        <x:v>0</x:v>
      </x:c>
      <x:c r="O380" s="2" t="str">
        <x:v>seguimiento</x:v>
      </x:c>
      <x:c r="P380" s="2" t="n">
        <x:v>0</x:v>
      </x:c>
      <x:c r="Q380" s="2" t="str">
        <x:v>simulado_didactico</x:v>
      </x:c>
    </x:row>
    <x:row r="381" ht="19" customHeight="1">
      <x:c r="A381" s="2" t="str">
        <x:v>SIM-E2-BB-L8-R02</x:v>
      </x:c>
      <x:c r="B381" s="2" t="n">
        <x:v>1</x:v>
      </x:c>
      <x:c r="C381" s="2" t="str">
        <x:v>BB</x:v>
      </x:c>
      <x:c r="D381" s="2" t="str">
        <x:v>Brevicoryne brassicae</x:v>
      </x:c>
      <x:c r="E381" s="2" t="str">
        <x:v>L8</x:v>
      </x:c>
      <x:c r="F381" s="2" t="n">
        <x:v>2</x:v>
      </x:c>
      <x:c r="G381" s="2" t="n">
        <x:v>1</x:v>
      </x:c>
      <x:c r="H381" s="2" t="n">
        <x:f>G381+Supuestos!$C$15</x:f>
        <x:v>2</x:v>
      </x:c>
      <x:c r="I381" s="14" t="n">
        <x:f>E2_plantas!J11+G381</x:f>
        <x:v>46175</x:v>
      </x:c>
      <x:c r="J381" s="2" t="str">
        <x:v>N2</x:v>
      </x:c>
      <x:c r="K381" s="2" t="n">
        <x:v>1</x:v>
      </x:c>
      <x:c r="L381" s="2" t="n">
        <x:v>0</x:v>
      </x:c>
      <x:c r="M381" s="2" t="n">
        <x:f>SUM(L$380:L381)</x:f>
        <x:v>0</x:v>
      </x:c>
      <x:c r="N381" s="2" t="n">
        <x:v>0</x:v>
      </x:c>
      <x:c r="O381" s="2" t="str">
        <x:v>seguimiento</x:v>
      </x:c>
      <x:c r="P381" s="2" t="n">
        <x:v>0</x:v>
      </x:c>
      <x:c r="Q381" s="2" t="str">
        <x:v>simulado_didactico</x:v>
      </x:c>
    </x:row>
    <x:row r="382" ht="19" customHeight="1">
      <x:c r="A382" s="2" t="str">
        <x:v>SIM-E2-BB-L8-R02</x:v>
      </x:c>
      <x:c r="B382" s="2" t="n">
        <x:v>1</x:v>
      </x:c>
      <x:c r="C382" s="2" t="str">
        <x:v>BB</x:v>
      </x:c>
      <x:c r="D382" s="2" t="str">
        <x:v>Brevicoryne brassicae</x:v>
      </x:c>
      <x:c r="E382" s="2" t="str">
        <x:v>L8</x:v>
      </x:c>
      <x:c r="F382" s="2" t="n">
        <x:v>2</x:v>
      </x:c>
      <x:c r="G382" s="2" t="n">
        <x:v>2</x:v>
      </x:c>
      <x:c r="H382" s="2" t="n">
        <x:f>G382+Supuestos!$C$15</x:f>
        <x:v>3</x:v>
      </x:c>
      <x:c r="I382" s="14" t="n">
        <x:f>E2_plantas!J11+G382</x:f>
        <x:v>46176</x:v>
      </x:c>
      <x:c r="J382" s="2" t="str">
        <x:v>N2</x:v>
      </x:c>
      <x:c r="K382" s="2" t="n">
        <x:v>1</x:v>
      </x:c>
      <x:c r="L382" s="2" t="n">
        <x:v>0</x:v>
      </x:c>
      <x:c r="M382" s="2" t="n">
        <x:f>SUM(L$380:L382)</x:f>
        <x:v>0</x:v>
      </x:c>
      <x:c r="N382" s="2" t="n">
        <x:v>0</x:v>
      </x:c>
      <x:c r="O382" s="2" t="str">
        <x:v>seguimiento</x:v>
      </x:c>
      <x:c r="P382" s="2" t="n">
        <x:v>0</x:v>
      </x:c>
      <x:c r="Q382" s="2" t="str">
        <x:v>simulado_didactico</x:v>
      </x:c>
    </x:row>
    <x:row r="383" ht="19" customHeight="1">
      <x:c r="A383" s="2" t="str">
        <x:v>SIM-E2-BB-L8-R02</x:v>
      </x:c>
      <x:c r="B383" s="2" t="n">
        <x:v>1</x:v>
      </x:c>
      <x:c r="C383" s="2" t="str">
        <x:v>BB</x:v>
      </x:c>
      <x:c r="D383" s="2" t="str">
        <x:v>Brevicoryne brassicae</x:v>
      </x:c>
      <x:c r="E383" s="2" t="str">
        <x:v>L8</x:v>
      </x:c>
      <x:c r="F383" s="2" t="n">
        <x:v>2</x:v>
      </x:c>
      <x:c r="G383" s="2" t="n">
        <x:v>3</x:v>
      </x:c>
      <x:c r="H383" s="2" t="n">
        <x:f>G383+Supuestos!$C$15</x:f>
        <x:v>4</x:v>
      </x:c>
      <x:c r="I383" s="14" t="n">
        <x:f>E2_plantas!J11+G383</x:f>
        <x:v>46177</x:v>
      </x:c>
      <x:c r="J383" s="2" t="str">
        <x:v>N3</x:v>
      </x:c>
      <x:c r="K383" s="2" t="n">
        <x:v>1</x:v>
      </x:c>
      <x:c r="L383" s="2" t="n">
        <x:v>0</x:v>
      </x:c>
      <x:c r="M383" s="2" t="n">
        <x:f>SUM(L$380:L383)</x:f>
        <x:v>0</x:v>
      </x:c>
      <x:c r="N383" s="2" t="n">
        <x:v>0</x:v>
      </x:c>
      <x:c r="O383" s="2" t="str">
        <x:v>seguimiento</x:v>
      </x:c>
      <x:c r="P383" s="2" t="n">
        <x:v>0</x:v>
      </x:c>
      <x:c r="Q383" s="2" t="str">
        <x:v>simulado_didactico</x:v>
      </x:c>
    </x:row>
    <x:row r="384" ht="19" customHeight="1">
      <x:c r="A384" s="2" t="str">
        <x:v>SIM-E2-BB-L8-R02</x:v>
      </x:c>
      <x:c r="B384" s="2" t="n">
        <x:v>1</x:v>
      </x:c>
      <x:c r="C384" s="2" t="str">
        <x:v>BB</x:v>
      </x:c>
      <x:c r="D384" s="2" t="str">
        <x:v>Brevicoryne brassicae</x:v>
      </x:c>
      <x:c r="E384" s="2" t="str">
        <x:v>L8</x:v>
      </x:c>
      <x:c r="F384" s="2" t="n">
        <x:v>2</x:v>
      </x:c>
      <x:c r="G384" s="2" t="n">
        <x:v>4</x:v>
      </x:c>
      <x:c r="H384" s="2" t="n">
        <x:f>G384+Supuestos!$C$15</x:f>
        <x:v>5</x:v>
      </x:c>
      <x:c r="I384" s="14" t="n">
        <x:f>E2_plantas!J11+G384</x:f>
        <x:v>46178</x:v>
      </x:c>
      <x:c r="J384" s="2" t="str">
        <x:v>N4</x:v>
      </x:c>
      <x:c r="K384" s="2" t="n">
        <x:v>1</x:v>
      </x:c>
      <x:c r="L384" s="2" t="n">
        <x:v>0</x:v>
      </x:c>
      <x:c r="M384" s="2" t="n">
        <x:f>SUM(L$380:L384)</x:f>
        <x:v>0</x:v>
      </x:c>
      <x:c r="N384" s="2" t="n">
        <x:v>0</x:v>
      </x:c>
      <x:c r="O384" s="2" t="str">
        <x:v>seguimiento</x:v>
      </x:c>
      <x:c r="P384" s="2" t="n">
        <x:v>0</x:v>
      </x:c>
      <x:c r="Q384" s="2" t="str">
        <x:v>simulado_didactico</x:v>
      </x:c>
    </x:row>
    <x:row r="385" ht="19" customHeight="1">
      <x:c r="A385" s="2" t="str">
        <x:v>SIM-E2-BB-L8-R02</x:v>
      </x:c>
      <x:c r="B385" s="2" t="n">
        <x:v>1</x:v>
      </x:c>
      <x:c r="C385" s="2" t="str">
        <x:v>BB</x:v>
      </x:c>
      <x:c r="D385" s="2" t="str">
        <x:v>Brevicoryne brassicae</x:v>
      </x:c>
      <x:c r="E385" s="2" t="str">
        <x:v>L8</x:v>
      </x:c>
      <x:c r="F385" s="2" t="n">
        <x:v>2</x:v>
      </x:c>
      <x:c r="G385" s="2" t="n">
        <x:v>5</x:v>
      </x:c>
      <x:c r="H385" s="2" t="n">
        <x:f>G385+Supuestos!$C$15</x:f>
        <x:v>6</x:v>
      </x:c>
      <x:c r="I385" s="14" t="n">
        <x:f>E2_plantas!J11+G385</x:f>
        <x:v>46179</x:v>
      </x:c>
      <x:c r="J385" s="2" t="str">
        <x:v>N4</x:v>
      </x:c>
      <x:c r="K385" s="2" t="n">
        <x:v>1</x:v>
      </x:c>
      <x:c r="L385" s="2" t="n">
        <x:v>0</x:v>
      </x:c>
      <x:c r="M385" s="2" t="n">
        <x:f>SUM(L$380:L385)</x:f>
        <x:v>0</x:v>
      </x:c>
      <x:c r="N385" s="2" t="n">
        <x:v>0</x:v>
      </x:c>
      <x:c r="O385" s="2" t="str">
        <x:v>seguimiento</x:v>
      </x:c>
      <x:c r="P385" s="2" t="n">
        <x:v>0</x:v>
      </x:c>
      <x:c r="Q385" s="2" t="str">
        <x:v>simulado_didactico</x:v>
      </x:c>
    </x:row>
    <x:row r="386" ht="19" customHeight="1">
      <x:c r="A386" s="2" t="str">
        <x:v>SIM-E2-BB-L8-R02</x:v>
      </x:c>
      <x:c r="B386" s="2" t="n">
        <x:v>1</x:v>
      </x:c>
      <x:c r="C386" s="2" t="str">
        <x:v>BB</x:v>
      </x:c>
      <x:c r="D386" s="2" t="str">
        <x:v>Brevicoryne brassicae</x:v>
      </x:c>
      <x:c r="E386" s="2" t="str">
        <x:v>L8</x:v>
      </x:c>
      <x:c r="F386" s="2" t="n">
        <x:v>2</x:v>
      </x:c>
      <x:c r="G386" s="2" t="n">
        <x:v>6</x:v>
      </x:c>
      <x:c r="H386" s="2" t="n">
        <x:f>G386+Supuestos!$C$15</x:f>
        <x:v>7</x:v>
      </x:c>
      <x:c r="I386" s="14" t="n">
        <x:f>E2_plantas!J11+G386</x:f>
        <x:v>46180</x:v>
      </x:c>
      <x:c r="J386" s="2" t="str">
        <x:v>N4</x:v>
      </x:c>
      <x:c r="K386" s="2" t="n">
        <x:v>1</x:v>
      </x:c>
      <x:c r="L386" s="2" t="n">
        <x:v>0</x:v>
      </x:c>
      <x:c r="M386" s="2" t="n">
        <x:f>SUM(L$380:L386)</x:f>
        <x:v>0</x:v>
      </x:c>
      <x:c r="N386" s="2" t="n">
        <x:v>0</x:v>
      </x:c>
      <x:c r="O386" s="2" t="str">
        <x:v>seguimiento</x:v>
      </x:c>
      <x:c r="P386" s="2" t="n">
        <x:v>0</x:v>
      </x:c>
      <x:c r="Q386" s="2" t="str">
        <x:v>simulado_didactico</x:v>
      </x:c>
    </x:row>
    <x:row r="387" ht="19" customHeight="1">
      <x:c r="A387" s="2" t="str">
        <x:v>SIM-E2-BB-L8-R02</x:v>
      </x:c>
      <x:c r="B387" s="2" t="n">
        <x:v>1</x:v>
      </x:c>
      <x:c r="C387" s="2" t="str">
        <x:v>BB</x:v>
      </x:c>
      <x:c r="D387" s="2" t="str">
        <x:v>Brevicoryne brassicae</x:v>
      </x:c>
      <x:c r="E387" s="2" t="str">
        <x:v>L8</x:v>
      </x:c>
      <x:c r="F387" s="2" t="n">
        <x:v>2</x:v>
      </x:c>
      <x:c r="G387" s="2" t="n">
        <x:v>7</x:v>
      </x:c>
      <x:c r="H387" s="2" t="n">
        <x:f>G387+Supuestos!$C$15</x:f>
        <x:v>8</x:v>
      </x:c>
      <x:c r="I387" s="14" t="n">
        <x:f>E2_plantas!J11+G387</x:f>
        <x:v>46181</x:v>
      </x:c>
      <x:c r="J387" s="2" t="str">
        <x:v>N4</x:v>
      </x:c>
      <x:c r="K387" s="2" t="n">
        <x:v>1</x:v>
      </x:c>
      <x:c r="L387" s="2" t="n">
        <x:v>0</x:v>
      </x:c>
      <x:c r="M387" s="2" t="n">
        <x:f>SUM(L$380:L387)</x:f>
        <x:v>0</x:v>
      </x:c>
      <x:c r="N387" s="2" t="n">
        <x:v>0</x:v>
      </x:c>
      <x:c r="O387" s="2" t="str">
        <x:v>seguimiento</x:v>
      </x:c>
      <x:c r="P387" s="2" t="n">
        <x:v>0</x:v>
      </x:c>
      <x:c r="Q387" s="2" t="str">
        <x:v>simulado_didactico</x:v>
      </x:c>
    </x:row>
    <x:row r="388" ht="19" customHeight="1">
      <x:c r="A388" s="2" t="str">
        <x:v>SIM-E2-BB-L8-R02</x:v>
      </x:c>
      <x:c r="B388" s="2" t="n">
        <x:v>1</x:v>
      </x:c>
      <x:c r="C388" s="2" t="str">
        <x:v>BB</x:v>
      </x:c>
      <x:c r="D388" s="2" t="str">
        <x:v>Brevicoryne brassicae</x:v>
      </x:c>
      <x:c r="E388" s="2" t="str">
        <x:v>L8</x:v>
      </x:c>
      <x:c r="F388" s="2" t="n">
        <x:v>2</x:v>
      </x:c>
      <x:c r="G388" s="2" t="n">
        <x:v>8</x:v>
      </x:c>
      <x:c r="H388" s="2" t="n">
        <x:f>G388+Supuestos!$C$15</x:f>
        <x:v>9</x:v>
      </x:c>
      <x:c r="I388" s="14" t="n">
        <x:f>E2_plantas!J11+G388</x:f>
        <x:v>46182</x:v>
      </x:c>
      <x:c r="J388" s="2" t="str">
        <x:v>adulta</x:v>
      </x:c>
      <x:c r="K388" s="2" t="n">
        <x:v>1</x:v>
      </x:c>
      <x:c r="L388" s="2" t="n">
        <x:v>0</x:v>
      </x:c>
      <x:c r="M388" s="2" t="n">
        <x:f>SUM(L$380:L388)</x:f>
        <x:v>0</x:v>
      </x:c>
      <x:c r="N388" s="2" t="n">
        <x:v>0</x:v>
      </x:c>
      <x:c r="O388" s="2" t="str">
        <x:v>seguimiento</x:v>
      </x:c>
      <x:c r="P388" s="2" t="n">
        <x:v>0</x:v>
      </x:c>
      <x:c r="Q388" s="2" t="str">
        <x:v>simulado_didactico</x:v>
      </x:c>
    </x:row>
    <x:row r="389" ht="19" customHeight="1">
      <x:c r="A389" s="2" t="str">
        <x:v>SIM-E2-BB-L8-R02</x:v>
      </x:c>
      <x:c r="B389" s="2" t="n">
        <x:v>1</x:v>
      </x:c>
      <x:c r="C389" s="2" t="str">
        <x:v>BB</x:v>
      </x:c>
      <x:c r="D389" s="2" t="str">
        <x:v>Brevicoryne brassicae</x:v>
      </x:c>
      <x:c r="E389" s="2" t="str">
        <x:v>L8</x:v>
      </x:c>
      <x:c r="F389" s="2" t="n">
        <x:v>2</x:v>
      </x:c>
      <x:c r="G389" s="2" t="n">
        <x:v>9</x:v>
      </x:c>
      <x:c r="H389" s="2" t="n">
        <x:f>G389+Supuestos!$C$15</x:f>
        <x:v>10</x:v>
      </x:c>
      <x:c r="I389" s="14" t="n">
        <x:f>E2_plantas!J11+G389</x:f>
        <x:v>46183</x:v>
      </x:c>
      <x:c r="J389" s="2" t="str">
        <x:v>adulta</x:v>
      </x:c>
      <x:c r="K389" s="2" t="n">
        <x:v>1</x:v>
      </x:c>
      <x:c r="L389" s="2" t="n">
        <x:v>0</x:v>
      </x:c>
      <x:c r="M389" s="2" t="n">
        <x:f>SUM(L$380:L389)</x:f>
        <x:v>0</x:v>
      </x:c>
      <x:c r="N389" s="2" t="n">
        <x:v>0</x:v>
      </x:c>
      <x:c r="O389" s="2" t="str">
        <x:v>seguimiento</x:v>
      </x:c>
      <x:c r="P389" s="2" t="n">
        <x:v>0</x:v>
      </x:c>
      <x:c r="Q389" s="2" t="str">
        <x:v>simulado_didactico</x:v>
      </x:c>
    </x:row>
    <x:row r="390" ht="19" customHeight="1">
      <x:c r="A390" s="2" t="str">
        <x:v>SIM-E2-BB-L8-R02</x:v>
      </x:c>
      <x:c r="B390" s="2" t="n">
        <x:v>1</x:v>
      </x:c>
      <x:c r="C390" s="2" t="str">
        <x:v>BB</x:v>
      </x:c>
      <x:c r="D390" s="2" t="str">
        <x:v>Brevicoryne brassicae</x:v>
      </x:c>
      <x:c r="E390" s="2" t="str">
        <x:v>L8</x:v>
      </x:c>
      <x:c r="F390" s="2" t="n">
        <x:v>2</x:v>
      </x:c>
      <x:c r="G390" s="2" t="n">
        <x:v>10</x:v>
      </x:c>
      <x:c r="H390" s="2" t="n">
        <x:f>G390+Supuestos!$C$15</x:f>
        <x:v>11</x:v>
      </x:c>
      <x:c r="I390" s="14" t="n">
        <x:f>E2_plantas!J11+G390</x:f>
        <x:v>46184</x:v>
      </x:c>
      <x:c r="J390" s="2" t="str">
        <x:v>adulta</x:v>
      </x:c>
      <x:c r="K390" s="2" t="n">
        <x:v>1</x:v>
      </x:c>
      <x:c r="L390" s="2" t="n">
        <x:v>7</x:v>
      </x:c>
      <x:c r="M390" s="2" t="n">
        <x:f>SUM(L$380:L390)</x:f>
        <x:v>7</x:v>
      </x:c>
      <x:c r="N390" s="2" t="n">
        <x:v>0</x:v>
      </x:c>
      <x:c r="O390" s="2" t="str">
        <x:v>seguimiento</x:v>
      </x:c>
      <x:c r="P390" s="2" t="n">
        <x:v>0</x:v>
      </x:c>
      <x:c r="Q390" s="2" t="str">
        <x:v>simulado_didactico</x:v>
      </x:c>
    </x:row>
    <x:row r="391" ht="19" customHeight="1">
      <x:c r="A391" s="2" t="str">
        <x:v>SIM-E2-BB-L8-R02</x:v>
      </x:c>
      <x:c r="B391" s="2" t="n">
        <x:v>1</x:v>
      </x:c>
      <x:c r="C391" s="2" t="str">
        <x:v>BB</x:v>
      </x:c>
      <x:c r="D391" s="2" t="str">
        <x:v>Brevicoryne brassicae</x:v>
      </x:c>
      <x:c r="E391" s="2" t="str">
        <x:v>L8</x:v>
      </x:c>
      <x:c r="F391" s="2" t="n">
        <x:v>2</x:v>
      </x:c>
      <x:c r="G391" s="2" t="n">
        <x:v>11</x:v>
      </x:c>
      <x:c r="H391" s="2" t="n">
        <x:f>G391+Supuestos!$C$15</x:f>
        <x:v>12</x:v>
      </x:c>
      <x:c r="I391" s="14" t="n">
        <x:f>E2_plantas!J11+G391</x:f>
        <x:v>46185</x:v>
      </x:c>
      <x:c r="J391" s="2" t="str">
        <x:v>adulta</x:v>
      </x:c>
      <x:c r="K391" s="2" t="n">
        <x:v>1</x:v>
      </x:c>
      <x:c r="L391" s="2" t="n">
        <x:v>0</x:v>
      </x:c>
      <x:c r="M391" s="2" t="n">
        <x:f>SUM(L$380:L391)</x:f>
        <x:v>7</x:v>
      </x:c>
      <x:c r="N391" s="2" t="n">
        <x:v>0</x:v>
      </x:c>
      <x:c r="O391" s="2" t="str">
        <x:v>seguimiento</x:v>
      </x:c>
      <x:c r="P391" s="2" t="n">
        <x:v>0</x:v>
      </x:c>
      <x:c r="Q391" s="2" t="str">
        <x:v>simulado_didactico</x:v>
      </x:c>
    </x:row>
    <x:row r="392" ht="19" customHeight="1">
      <x:c r="A392" s="2" t="str">
        <x:v>SIM-E2-BB-L8-R02</x:v>
      </x:c>
      <x:c r="B392" s="2" t="n">
        <x:v>1</x:v>
      </x:c>
      <x:c r="C392" s="2" t="str">
        <x:v>BB</x:v>
      </x:c>
      <x:c r="D392" s="2" t="str">
        <x:v>Brevicoryne brassicae</x:v>
      </x:c>
      <x:c r="E392" s="2" t="str">
        <x:v>L8</x:v>
      </x:c>
      <x:c r="F392" s="2" t="n">
        <x:v>2</x:v>
      </x:c>
      <x:c r="G392" s="2" t="n">
        <x:v>12</x:v>
      </x:c>
      <x:c r="H392" s="2" t="n">
        <x:f>G392+Supuestos!$C$15</x:f>
        <x:v>13</x:v>
      </x:c>
      <x:c r="I392" s="14" t="n">
        <x:f>E2_plantas!J11+G392</x:f>
        <x:v>46186</x:v>
      </x:c>
      <x:c r="J392" s="2" t="str">
        <x:v>adulta</x:v>
      </x:c>
      <x:c r="K392" s="2" t="n">
        <x:v>1</x:v>
      </x:c>
      <x:c r="L392" s="2" t="n">
        <x:v>3</x:v>
      </x:c>
      <x:c r="M392" s="2" t="n">
        <x:f>SUM(L$380:L392)</x:f>
        <x:v>10</x:v>
      </x:c>
      <x:c r="N392" s="2" t="n">
        <x:v>0</x:v>
      </x:c>
      <x:c r="O392" s="2" t="str">
        <x:v>seguimiento</x:v>
      </x:c>
      <x:c r="P392" s="2" t="n">
        <x:v>0</x:v>
      </x:c>
      <x:c r="Q392" s="2" t="str">
        <x:v>simulado_didactico</x:v>
      </x:c>
    </x:row>
    <x:row r="393" ht="19" customHeight="1">
      <x:c r="A393" s="2" t="str">
        <x:v>SIM-E2-BB-L8-R02</x:v>
      </x:c>
      <x:c r="B393" s="2" t="n">
        <x:v>1</x:v>
      </x:c>
      <x:c r="C393" s="2" t="str">
        <x:v>BB</x:v>
      </x:c>
      <x:c r="D393" s="2" t="str">
        <x:v>Brevicoryne brassicae</x:v>
      </x:c>
      <x:c r="E393" s="2" t="str">
        <x:v>L8</x:v>
      </x:c>
      <x:c r="F393" s="2" t="n">
        <x:v>2</x:v>
      </x:c>
      <x:c r="G393" s="2" t="n">
        <x:v>13</x:v>
      </x:c>
      <x:c r="H393" s="2" t="n">
        <x:f>G393+Supuestos!$C$15</x:f>
        <x:v>14</x:v>
      </x:c>
      <x:c r="I393" s="14" t="n">
        <x:f>E2_plantas!J11+G393</x:f>
        <x:v>46187</x:v>
      </x:c>
      <x:c r="J393" s="2" t="str">
        <x:v>adulta</x:v>
      </x:c>
      <x:c r="K393" s="2" t="n">
        <x:v>1</x:v>
      </x:c>
      <x:c r="L393" s="2" t="n">
        <x:v>0</x:v>
      </x:c>
      <x:c r="M393" s="2" t="n">
        <x:f>SUM(L$380:L393)</x:f>
        <x:v>10</x:v>
      </x:c>
      <x:c r="N393" s="2" t="n">
        <x:v>0</x:v>
      </x:c>
      <x:c r="O393" s="2" t="str">
        <x:v>seguimiento</x:v>
      </x:c>
      <x:c r="P393" s="2" t="n">
        <x:v>0</x:v>
      </x:c>
      <x:c r="Q393" s="2" t="str">
        <x:v>simulado_didactico</x:v>
      </x:c>
    </x:row>
    <x:row r="394" ht="19" customHeight="1">
      <x:c r="A394" s="2" t="str">
        <x:v>SIM-E2-BB-L8-R02</x:v>
      </x:c>
      <x:c r="B394" s="2" t="n">
        <x:v>1</x:v>
      </x:c>
      <x:c r="C394" s="2" t="str">
        <x:v>BB</x:v>
      </x:c>
      <x:c r="D394" s="2" t="str">
        <x:v>Brevicoryne brassicae</x:v>
      </x:c>
      <x:c r="E394" s="2" t="str">
        <x:v>L8</x:v>
      </x:c>
      <x:c r="F394" s="2" t="n">
        <x:v>2</x:v>
      </x:c>
      <x:c r="G394" s="2" t="n">
        <x:v>14</x:v>
      </x:c>
      <x:c r="H394" s="2" t="n">
        <x:f>G394+Supuestos!$C$15</x:f>
        <x:v>15</x:v>
      </x:c>
      <x:c r="I394" s="14" t="n">
        <x:f>E2_plantas!J11+G394</x:f>
        <x:v>46188</x:v>
      </x:c>
      <x:c r="J394" s="2" t="str">
        <x:v>adulta</x:v>
      </x:c>
      <x:c r="K394" s="2" t="n">
        <x:v>1</x:v>
      </x:c>
      <x:c r="L394" s="2" t="n">
        <x:v>2</x:v>
      </x:c>
      <x:c r="M394" s="2" t="n">
        <x:f>SUM(L$380:L394)</x:f>
        <x:v>12</x:v>
      </x:c>
      <x:c r="N394" s="2" t="n">
        <x:v>0</x:v>
      </x:c>
      <x:c r="O394" s="2" t="str">
        <x:v>seguimiento</x:v>
      </x:c>
      <x:c r="P394" s="2" t="n">
        <x:v>0</x:v>
      </x:c>
      <x:c r="Q394" s="2" t="str">
        <x:v>simulado_didactico</x:v>
      </x:c>
    </x:row>
    <x:row r="395" ht="19" customHeight="1">
      <x:c r="A395" s="2" t="str">
        <x:v>SIM-E2-BB-L8-R02</x:v>
      </x:c>
      <x:c r="B395" s="2" t="n">
        <x:v>1</x:v>
      </x:c>
      <x:c r="C395" s="2" t="str">
        <x:v>BB</x:v>
      </x:c>
      <x:c r="D395" s="2" t="str">
        <x:v>Brevicoryne brassicae</x:v>
      </x:c>
      <x:c r="E395" s="2" t="str">
        <x:v>L8</x:v>
      </x:c>
      <x:c r="F395" s="2" t="n">
        <x:v>2</x:v>
      </x:c>
      <x:c r="G395" s="2" t="n">
        <x:v>15</x:v>
      </x:c>
      <x:c r="H395" s="2" t="n">
        <x:f>G395+Supuestos!$C$15</x:f>
        <x:v>16</x:v>
      </x:c>
      <x:c r="I395" s="14" t="n">
        <x:f>E2_plantas!J11+G395</x:f>
        <x:v>46189</x:v>
      </x:c>
      <x:c r="J395" s="2" t="str">
        <x:v>adulta</x:v>
      </x:c>
      <x:c r="K395" s="2" t="n">
        <x:v>1</x:v>
      </x:c>
      <x:c r="L395" s="2" t="n">
        <x:v>1</x:v>
      </x:c>
      <x:c r="M395" s="2" t="n">
        <x:f>SUM(L$380:L395)</x:f>
        <x:v>13</x:v>
      </x:c>
      <x:c r="N395" s="2" t="n">
        <x:v>0</x:v>
      </x:c>
      <x:c r="O395" s="2" t="str">
        <x:v>seguimiento</x:v>
      </x:c>
      <x:c r="P395" s="2" t="n">
        <x:v>0</x:v>
      </x:c>
      <x:c r="Q395" s="2" t="str">
        <x:v>simulado_didactico</x:v>
      </x:c>
    </x:row>
    <x:row r="396" ht="19" customHeight="1">
      <x:c r="A396" s="2" t="str">
        <x:v>SIM-E2-BB-L8-R02</x:v>
      </x:c>
      <x:c r="B396" s="2" t="n">
        <x:v>1</x:v>
      </x:c>
      <x:c r="C396" s="2" t="str">
        <x:v>BB</x:v>
      </x:c>
      <x:c r="D396" s="2" t="str">
        <x:v>Brevicoryne brassicae</x:v>
      </x:c>
      <x:c r="E396" s="2" t="str">
        <x:v>L8</x:v>
      </x:c>
      <x:c r="F396" s="2" t="n">
        <x:v>2</x:v>
      </x:c>
      <x:c r="G396" s="2" t="n">
        <x:v>16</x:v>
      </x:c>
      <x:c r="H396" s="2" t="n">
        <x:f>G396+Supuestos!$C$15</x:f>
        <x:v>17</x:v>
      </x:c>
      <x:c r="I396" s="14" t="n">
        <x:f>E2_plantas!J11+G396</x:f>
        <x:v>46190</x:v>
      </x:c>
      <x:c r="J396" s="2" t="str">
        <x:v>adulta</x:v>
      </x:c>
      <x:c r="K396" s="2" t="n">
        <x:v>1</x:v>
      </x:c>
      <x:c r="L396" s="2" t="n">
        <x:v>3</x:v>
      </x:c>
      <x:c r="M396" s="2" t="n">
        <x:f>SUM(L$380:L396)</x:f>
        <x:v>16</x:v>
      </x:c>
      <x:c r="N396" s="2" t="n">
        <x:v>0</x:v>
      </x:c>
      <x:c r="O396" s="2" t="str">
        <x:v>seguimiento</x:v>
      </x:c>
      <x:c r="P396" s="2" t="n">
        <x:v>0</x:v>
      </x:c>
      <x:c r="Q396" s="2" t="str">
        <x:v>simulado_didactico</x:v>
      </x:c>
    </x:row>
    <x:row r="397" ht="19" customHeight="1">
      <x:c r="A397" s="2" t="str">
        <x:v>SIM-E2-BB-L8-R02</x:v>
      </x:c>
      <x:c r="B397" s="2" t="n">
        <x:v>1</x:v>
      </x:c>
      <x:c r="C397" s="2" t="str">
        <x:v>BB</x:v>
      </x:c>
      <x:c r="D397" s="2" t="str">
        <x:v>Brevicoryne brassicae</x:v>
      </x:c>
      <x:c r="E397" s="2" t="str">
        <x:v>L8</x:v>
      </x:c>
      <x:c r="F397" s="2" t="n">
        <x:v>2</x:v>
      </x:c>
      <x:c r="G397" s="2" t="n">
        <x:v>17</x:v>
      </x:c>
      <x:c r="H397" s="2" t="n">
        <x:f>G397+Supuestos!$C$15</x:f>
        <x:v>18</x:v>
      </x:c>
      <x:c r="I397" s="14" t="n">
        <x:f>E2_plantas!J11+G397</x:f>
        <x:v>46191</x:v>
      </x:c>
      <x:c r="J397" s="2" t="str">
        <x:v>adulta</x:v>
      </x:c>
      <x:c r="K397" s="2" t="n">
        <x:v>1</x:v>
      </x:c>
      <x:c r="L397" s="2" t="n">
        <x:v>0</x:v>
      </x:c>
      <x:c r="M397" s="2" t="n">
        <x:f>SUM(L$380:L397)</x:f>
        <x:v>16</x:v>
      </x:c>
      <x:c r="N397" s="2" t="n">
        <x:v>0</x:v>
      </x:c>
      <x:c r="O397" s="2" t="str">
        <x:v>seguimiento</x:v>
      </x:c>
      <x:c r="P397" s="2" t="n">
        <x:v>0</x:v>
      </x:c>
      <x:c r="Q397" s="2" t="str">
        <x:v>simulado_didactico</x:v>
      </x:c>
    </x:row>
    <x:row r="398" ht="19" customHeight="1">
      <x:c r="A398" s="2" t="str">
        <x:v>SIM-E2-BB-L8-R02</x:v>
      </x:c>
      <x:c r="B398" s="2" t="n">
        <x:v>1</x:v>
      </x:c>
      <x:c r="C398" s="2" t="str">
        <x:v>BB</x:v>
      </x:c>
      <x:c r="D398" s="2" t="str">
        <x:v>Brevicoryne brassicae</x:v>
      </x:c>
      <x:c r="E398" s="2" t="str">
        <x:v>L8</x:v>
      </x:c>
      <x:c r="F398" s="2" t="n">
        <x:v>2</x:v>
      </x:c>
      <x:c r="G398" s="2" t="n">
        <x:v>18</x:v>
      </x:c>
      <x:c r="H398" s="2" t="n">
        <x:f>G398+Supuestos!$C$15</x:f>
        <x:v>19</x:v>
      </x:c>
      <x:c r="I398" s="14" t="n">
        <x:f>E2_plantas!J11+G398</x:f>
        <x:v>46192</x:v>
      </x:c>
      <x:c r="J398" s="2" t="str">
        <x:v>adulta</x:v>
      </x:c>
      <x:c r="K398" s="2" t="n">
        <x:v>1</x:v>
      </x:c>
      <x:c r="L398" s="2" t="n">
        <x:v>1</x:v>
      </x:c>
      <x:c r="M398" s="2" t="n">
        <x:f>SUM(L$380:L398)</x:f>
        <x:v>17</x:v>
      </x:c>
      <x:c r="N398" s="2" t="n">
        <x:v>0</x:v>
      </x:c>
      <x:c r="O398" s="2" t="str">
        <x:v>seguimiento</x:v>
      </x:c>
      <x:c r="P398" s="2" t="n">
        <x:v>0</x:v>
      </x:c>
      <x:c r="Q398" s="2" t="str">
        <x:v>simulado_didactico</x:v>
      </x:c>
    </x:row>
    <x:row r="399" ht="19" customHeight="1">
      <x:c r="A399" s="2" t="str">
        <x:v>SIM-E2-BB-L8-R02</x:v>
      </x:c>
      <x:c r="B399" s="2" t="n">
        <x:v>1</x:v>
      </x:c>
      <x:c r="C399" s="2" t="str">
        <x:v>BB</x:v>
      </x:c>
      <x:c r="D399" s="2" t="str">
        <x:v>Brevicoryne brassicae</x:v>
      </x:c>
      <x:c r="E399" s="2" t="str">
        <x:v>L8</x:v>
      </x:c>
      <x:c r="F399" s="2" t="n">
        <x:v>2</x:v>
      </x:c>
      <x:c r="G399" s="2" t="n">
        <x:v>19</x:v>
      </x:c>
      <x:c r="H399" s="2" t="n">
        <x:f>G399+Supuestos!$C$15</x:f>
        <x:v>20</x:v>
      </x:c>
      <x:c r="I399" s="14" t="n">
        <x:f>E2_plantas!J11+G399</x:f>
        <x:v>46193</x:v>
      </x:c>
      <x:c r="J399" s="2" t="str">
        <x:v>adulta</x:v>
      </x:c>
      <x:c r="K399" s="2" t="n">
        <x:v>1</x:v>
      </x:c>
      <x:c r="L399" s="2" t="n">
        <x:v>1</x:v>
      </x:c>
      <x:c r="M399" s="2" t="n">
        <x:f>SUM(L$380:L399)</x:f>
        <x:v>18</x:v>
      </x:c>
      <x:c r="N399" s="2" t="n">
        <x:v>0</x:v>
      </x:c>
      <x:c r="O399" s="2" t="str">
        <x:v>seguimiento</x:v>
      </x:c>
      <x:c r="P399" s="2" t="n">
        <x:v>0</x:v>
      </x:c>
      <x:c r="Q399" s="2" t="str">
        <x:v>simulado_didactico</x:v>
      </x:c>
    </x:row>
    <x:row r="400" ht="19" customHeight="1">
      <x:c r="A400" s="2" t="str">
        <x:v>SIM-E2-BB-L8-R02</x:v>
      </x:c>
      <x:c r="B400" s="2" t="n">
        <x:v>1</x:v>
      </x:c>
      <x:c r="C400" s="2" t="str">
        <x:v>BB</x:v>
      </x:c>
      <x:c r="D400" s="2" t="str">
        <x:v>Brevicoryne brassicae</x:v>
      </x:c>
      <x:c r="E400" s="2" t="str">
        <x:v>L8</x:v>
      </x:c>
      <x:c r="F400" s="2" t="n">
        <x:v>2</x:v>
      </x:c>
      <x:c r="G400" s="2" t="n">
        <x:v>20</x:v>
      </x:c>
      <x:c r="H400" s="2" t="n">
        <x:f>G400+Supuestos!$C$15</x:f>
        <x:v>21</x:v>
      </x:c>
      <x:c r="I400" s="14" t="n">
        <x:f>E2_plantas!J11+G400</x:f>
        <x:v>46194</x:v>
      </x:c>
      <x:c r="J400" s="2" t="str">
        <x:v>adulta</x:v>
      </x:c>
      <x:c r="K400" s="2" t="n">
        <x:v>1</x:v>
      </x:c>
      <x:c r="L400" s="2" t="n">
        <x:v>1</x:v>
      </x:c>
      <x:c r="M400" s="2" t="n">
        <x:f>SUM(L$380:L400)</x:f>
        <x:v>19</x:v>
      </x:c>
      <x:c r="N400" s="2" t="n">
        <x:v>0</x:v>
      </x:c>
      <x:c r="O400" s="2" t="str">
        <x:v>seguimiento</x:v>
      </x:c>
      <x:c r="P400" s="2" t="n">
        <x:v>0</x:v>
      </x:c>
      <x:c r="Q400" s="2" t="str">
        <x:v>simulado_didactico</x:v>
      </x:c>
    </x:row>
    <x:row r="401" ht="19" customHeight="1">
      <x:c r="A401" s="2" t="str">
        <x:v>SIM-E2-BB-L8-R02</x:v>
      </x:c>
      <x:c r="B401" s="2" t="n">
        <x:v>1</x:v>
      </x:c>
      <x:c r="C401" s="2" t="str">
        <x:v>BB</x:v>
      </x:c>
      <x:c r="D401" s="2" t="str">
        <x:v>Brevicoryne brassicae</x:v>
      </x:c>
      <x:c r="E401" s="2" t="str">
        <x:v>L8</x:v>
      </x:c>
      <x:c r="F401" s="2" t="n">
        <x:v>2</x:v>
      </x:c>
      <x:c r="G401" s="2" t="n">
        <x:v>21</x:v>
      </x:c>
      <x:c r="H401" s="2" t="n">
        <x:f>G401+Supuestos!$C$15</x:f>
        <x:v>22</x:v>
      </x:c>
      <x:c r="I401" s="14" t="n">
        <x:f>E2_plantas!J11+G401</x:f>
        <x:v>46195</x:v>
      </x:c>
      <x:c r="J401" s="2" t="str">
        <x:v>adulta</x:v>
      </x:c>
      <x:c r="K401" s="2" t="n">
        <x:v>1</x:v>
      </x:c>
      <x:c r="L401" s="2" t="n">
        <x:v>0</x:v>
      </x:c>
      <x:c r="M401" s="2" t="n">
        <x:f>SUM(L$380:L401)</x:f>
        <x:v>19</x:v>
      </x:c>
      <x:c r="N401" s="2" t="n">
        <x:v>0</x:v>
      </x:c>
      <x:c r="O401" s="2" t="str">
        <x:v>seguimiento</x:v>
      </x:c>
      <x:c r="P401" s="2" t="n">
        <x:v>0</x:v>
      </x:c>
      <x:c r="Q401" s="2" t="str">
        <x:v>simulado_didactico</x:v>
      </x:c>
    </x:row>
    <x:row r="402" ht="19" customHeight="1">
      <x:c r="A402" s="2" t="str">
        <x:v>SIM-E2-BB-L8-R02</x:v>
      </x:c>
      <x:c r="B402" s="2" t="n">
        <x:v>1</x:v>
      </x:c>
      <x:c r="C402" s="2" t="str">
        <x:v>BB</x:v>
      </x:c>
      <x:c r="D402" s="2" t="str">
        <x:v>Brevicoryne brassicae</x:v>
      </x:c>
      <x:c r="E402" s="2" t="str">
        <x:v>L8</x:v>
      </x:c>
      <x:c r="F402" s="2" t="n">
        <x:v>2</x:v>
      </x:c>
      <x:c r="G402" s="2" t="n">
        <x:v>22</x:v>
      </x:c>
      <x:c r="H402" s="2" t="n">
        <x:f>G402+Supuestos!$C$15</x:f>
        <x:v>23</x:v>
      </x:c>
      <x:c r="I402" s="14" t="n">
        <x:f>E2_plantas!J11+G402</x:f>
        <x:v>46196</x:v>
      </x:c>
      <x:c r="J402" s="2" t="str">
        <x:v>adulta</x:v>
      </x:c>
      <x:c r="K402" s="2" t="n">
        <x:v>1</x:v>
      </x:c>
      <x:c r="L402" s="2" t="n">
        <x:v>0</x:v>
      </x:c>
      <x:c r="M402" s="2" t="n">
        <x:f>SUM(L$380:L402)</x:f>
        <x:v>19</x:v>
      </x:c>
      <x:c r="N402" s="2" t="n">
        <x:v>0</x:v>
      </x:c>
      <x:c r="O402" s="2" t="str">
        <x:v>seguimiento</x:v>
      </x:c>
      <x:c r="P402" s="2" t="n">
        <x:v>0</x:v>
      </x:c>
      <x:c r="Q402" s="2" t="str">
        <x:v>simulado_didactico</x:v>
      </x:c>
    </x:row>
    <x:row r="403" ht="19" customHeight="1">
      <x:c r="A403" s="2" t="str">
        <x:v>SIM-E2-BB-L8-R02</x:v>
      </x:c>
      <x:c r="B403" s="2" t="n">
        <x:v>1</x:v>
      </x:c>
      <x:c r="C403" s="2" t="str">
        <x:v>BB</x:v>
      </x:c>
      <x:c r="D403" s="2" t="str">
        <x:v>Brevicoryne brassicae</x:v>
      </x:c>
      <x:c r="E403" s="2" t="str">
        <x:v>L8</x:v>
      </x:c>
      <x:c r="F403" s="2" t="n">
        <x:v>2</x:v>
      </x:c>
      <x:c r="G403" s="2" t="n">
        <x:v>23</x:v>
      </x:c>
      <x:c r="H403" s="2" t="n">
        <x:f>G403+Supuestos!$C$15</x:f>
        <x:v>24</x:v>
      </x:c>
      <x:c r="I403" s="14" t="n">
        <x:f>E2_plantas!J11+G403</x:f>
        <x:v>46197</x:v>
      </x:c>
      <x:c r="J403" s="2" t="str">
        <x:v>adulta</x:v>
      </x:c>
      <x:c r="K403" s="2" t="n">
        <x:v>1</x:v>
      </x:c>
      <x:c r="L403" s="2" t="n">
        <x:v>1</x:v>
      </x:c>
      <x:c r="M403" s="2" t="n">
        <x:f>SUM(L$380:L403)</x:f>
        <x:v>20</x:v>
      </x:c>
      <x:c r="N403" s="2" t="n">
        <x:v>0</x:v>
      </x:c>
      <x:c r="O403" s="2" t="str">
        <x:v>seguimiento</x:v>
      </x:c>
      <x:c r="P403" s="2" t="n">
        <x:v>0</x:v>
      </x:c>
      <x:c r="Q403" s="2" t="str">
        <x:v>simulado_didactico</x:v>
      </x:c>
    </x:row>
    <x:row r="404" ht="19" customHeight="1">
      <x:c r="A404" s="2" t="str">
        <x:v>SIM-E2-BB-L8-R02</x:v>
      </x:c>
      <x:c r="B404" s="2" t="n">
        <x:v>1</x:v>
      </x:c>
      <x:c r="C404" s="2" t="str">
        <x:v>BB</x:v>
      </x:c>
      <x:c r="D404" s="2" t="str">
        <x:v>Brevicoryne brassicae</x:v>
      </x:c>
      <x:c r="E404" s="2" t="str">
        <x:v>L8</x:v>
      </x:c>
      <x:c r="F404" s="2" t="n">
        <x:v>2</x:v>
      </x:c>
      <x:c r="G404" s="2" t="n">
        <x:v>24</x:v>
      </x:c>
      <x:c r="H404" s="2" t="n">
        <x:f>G404+Supuestos!$C$15</x:f>
        <x:v>25</x:v>
      </x:c>
      <x:c r="I404" s="14" t="n">
        <x:f>E2_plantas!J11+G404</x:f>
        <x:v>46198</x:v>
      </x:c>
      <x:c r="J404" s="2" t="str">
        <x:v>adulta</x:v>
      </x:c>
      <x:c r="K404" s="2" t="n">
        <x:v>1</x:v>
      </x:c>
      <x:c r="L404" s="2" t="n">
        <x:v>1</x:v>
      </x:c>
      <x:c r="M404" s="2" t="n">
        <x:f>SUM(L$380:L404)</x:f>
        <x:v>21</x:v>
      </x:c>
      <x:c r="N404" s="2" t="n">
        <x:v>0</x:v>
      </x:c>
      <x:c r="O404" s="2" t="str">
        <x:v>seguimiento</x:v>
      </x:c>
      <x:c r="P404" s="2" t="n">
        <x:v>0</x:v>
      </x:c>
      <x:c r="Q404" s="2" t="str">
        <x:v>simulado_didactico</x:v>
      </x:c>
    </x:row>
    <x:row r="405" ht="19" customHeight="1">
      <x:c r="A405" s="2" t="str">
        <x:v>SIM-E2-BB-L8-R02</x:v>
      </x:c>
      <x:c r="B405" s="2" t="n">
        <x:v>1</x:v>
      </x:c>
      <x:c r="C405" s="2" t="str">
        <x:v>BB</x:v>
      </x:c>
      <x:c r="D405" s="2" t="str">
        <x:v>Brevicoryne brassicae</x:v>
      </x:c>
      <x:c r="E405" s="2" t="str">
        <x:v>L8</x:v>
      </x:c>
      <x:c r="F405" s="2" t="n">
        <x:v>2</x:v>
      </x:c>
      <x:c r="G405" s="2" t="n">
        <x:v>25</x:v>
      </x:c>
      <x:c r="H405" s="2" t="n">
        <x:f>G405+Supuestos!$C$15</x:f>
        <x:v>26</x:v>
      </x:c>
      <x:c r="I405" s="14" t="n">
        <x:f>E2_plantas!J11+G405</x:f>
        <x:v>46199</x:v>
      </x:c>
      <x:c r="J405" s="2" t="str">
        <x:v>adulta</x:v>
      </x:c>
      <x:c r="K405" s="2" t="n">
        <x:v>1</x:v>
      </x:c>
      <x:c r="L405" s="2" t="n">
        <x:v>0</x:v>
      </x:c>
      <x:c r="M405" s="2" t="n">
        <x:f>SUM(L$380:L405)</x:f>
        <x:v>21</x:v>
      </x:c>
      <x:c r="N405" s="2" t="n">
        <x:v>0</x:v>
      </x:c>
      <x:c r="O405" s="2" t="str">
        <x:v>seguimiento</x:v>
      </x:c>
      <x:c r="P405" s="2" t="n">
        <x:v>0</x:v>
      </x:c>
      <x:c r="Q405" s="2" t="str">
        <x:v>simulado_didactico</x:v>
      </x:c>
    </x:row>
    <x:row r="406" ht="19" customHeight="1">
      <x:c r="A406" s="2" t="str">
        <x:v>SIM-E2-BB-L8-R02</x:v>
      </x:c>
      <x:c r="B406" s="2" t="n">
        <x:v>1</x:v>
      </x:c>
      <x:c r="C406" s="2" t="str">
        <x:v>BB</x:v>
      </x:c>
      <x:c r="D406" s="2" t="str">
        <x:v>Brevicoryne brassicae</x:v>
      </x:c>
      <x:c r="E406" s="2" t="str">
        <x:v>L8</x:v>
      </x:c>
      <x:c r="F406" s="2" t="n">
        <x:v>2</x:v>
      </x:c>
      <x:c r="G406" s="2" t="n">
        <x:v>26</x:v>
      </x:c>
      <x:c r="H406" s="2" t="n">
        <x:f>G406+Supuestos!$C$15</x:f>
        <x:v>27</x:v>
      </x:c>
      <x:c r="I406" s="14" t="n">
        <x:f>E2_plantas!J11+G406</x:f>
        <x:v>46200</x:v>
      </x:c>
      <x:c r="J406" s="2" t="str">
        <x:v>adulta</x:v>
      </x:c>
      <x:c r="K406" s="2" t="n">
        <x:v>1</x:v>
      </x:c>
      <x:c r="L406" s="2" t="n">
        <x:v>2</x:v>
      </x:c>
      <x:c r="M406" s="2" t="n">
        <x:f>SUM(L$380:L406)</x:f>
        <x:v>23</x:v>
      </x:c>
      <x:c r="N406" s="2" t="n">
        <x:v>0</x:v>
      </x:c>
      <x:c r="O406" s="2" t="str">
        <x:v>seguimiento</x:v>
      </x:c>
      <x:c r="P406" s="2" t="n">
        <x:v>0</x:v>
      </x:c>
      <x:c r="Q406" s="2" t="str">
        <x:v>simulado_didactico</x:v>
      </x:c>
    </x:row>
    <x:row r="407" ht="19" customHeight="1">
      <x:c r="A407" s="2" t="str">
        <x:v>SIM-E2-BB-L8-R02</x:v>
      </x:c>
      <x:c r="B407" s="2" t="n">
        <x:v>1</x:v>
      </x:c>
      <x:c r="C407" s="2" t="str">
        <x:v>BB</x:v>
      </x:c>
      <x:c r="D407" s="2" t="str">
        <x:v>Brevicoryne brassicae</x:v>
      </x:c>
      <x:c r="E407" s="2" t="str">
        <x:v>L8</x:v>
      </x:c>
      <x:c r="F407" s="2" t="n">
        <x:v>2</x:v>
      </x:c>
      <x:c r="G407" s="2" t="n">
        <x:v>27</x:v>
      </x:c>
      <x:c r="H407" s="2" t="n">
        <x:f>G407+Supuestos!$C$15</x:f>
        <x:v>28</x:v>
      </x:c>
      <x:c r="I407" s="14" t="n">
        <x:f>E2_plantas!J11+G407</x:f>
        <x:v>46201</x:v>
      </x:c>
      <x:c r="J407" s="2" t="str">
        <x:v>adulta</x:v>
      </x:c>
      <x:c r="K407" s="2" t="n">
        <x:v>1</x:v>
      </x:c>
      <x:c r="L407" s="2" t="n">
        <x:v>0</x:v>
      </x:c>
      <x:c r="M407" s="2" t="n">
        <x:f>SUM(L$380:L407)</x:f>
        <x:v>23</x:v>
      </x:c>
      <x:c r="N407" s="2" t="n">
        <x:v>0</x:v>
      </x:c>
      <x:c r="O407" s="2" t="str">
        <x:v>seguimiento</x:v>
      </x:c>
      <x:c r="P407" s="2" t="n">
        <x:v>0</x:v>
      </x:c>
      <x:c r="Q407" s="2" t="str">
        <x:v>simulado_didactico</x:v>
      </x:c>
    </x:row>
    <x:row r="408" ht="19" customHeight="1">
      <x:c r="A408" s="2" t="str">
        <x:v>SIM-E2-BB-L8-R02</x:v>
      </x:c>
      <x:c r="B408" s="2" t="n">
        <x:v>1</x:v>
      </x:c>
      <x:c r="C408" s="2" t="str">
        <x:v>BB</x:v>
      </x:c>
      <x:c r="D408" s="2" t="str">
        <x:v>Brevicoryne brassicae</x:v>
      </x:c>
      <x:c r="E408" s="2" t="str">
        <x:v>L8</x:v>
      </x:c>
      <x:c r="F408" s="2" t="n">
        <x:v>2</x:v>
      </x:c>
      <x:c r="G408" s="2" t="n">
        <x:v>28</x:v>
      </x:c>
      <x:c r="H408" s="2" t="n">
        <x:f>G408+Supuestos!$C$15</x:f>
        <x:v>29</x:v>
      </x:c>
      <x:c r="I408" s="14" t="n">
        <x:f>E2_plantas!J11+G408</x:f>
        <x:v>46202</x:v>
      </x:c>
      <x:c r="J408" s="2" t="str">
        <x:v>adulta</x:v>
      </x:c>
      <x:c r="K408" s="2" t="n">
        <x:v>1</x:v>
      </x:c>
      <x:c r="L408" s="2" t="n">
        <x:v>0</x:v>
      </x:c>
      <x:c r="M408" s="2" t="n">
        <x:f>SUM(L$380:L408)</x:f>
        <x:v>23</x:v>
      </x:c>
      <x:c r="N408" s="2" t="n">
        <x:v>0</x:v>
      </x:c>
      <x:c r="O408" s="2" t="str">
        <x:v>seguimiento</x:v>
      </x:c>
      <x:c r="P408" s="2" t="n">
        <x:v>0</x:v>
      </x:c>
      <x:c r="Q408" s="2" t="str">
        <x:v>simulado_didactico</x:v>
      </x:c>
    </x:row>
    <x:row r="409" ht="19" customHeight="1">
      <x:c r="A409" s="2" t="str">
        <x:v>SIM-E2-BB-L8-R02</x:v>
      </x:c>
      <x:c r="B409" s="2" t="n">
        <x:v>1</x:v>
      </x:c>
      <x:c r="C409" s="2" t="str">
        <x:v>BB</x:v>
      </x:c>
      <x:c r="D409" s="2" t="str">
        <x:v>Brevicoryne brassicae</x:v>
      </x:c>
      <x:c r="E409" s="2" t="str">
        <x:v>L8</x:v>
      </x:c>
      <x:c r="F409" s="2" t="n">
        <x:v>2</x:v>
      </x:c>
      <x:c r="G409" s="2" t="n">
        <x:v>29</x:v>
      </x:c>
      <x:c r="H409" s="2" t="n">
        <x:f>G409+Supuestos!$C$15</x:f>
        <x:v>30</x:v>
      </x:c>
      <x:c r="I409" s="14" t="n">
        <x:f>E2_plantas!J11+G409</x:f>
        <x:v>46203</x:v>
      </x:c>
      <x:c r="J409" s="2" t="str">
        <x:v>muerta</x:v>
      </x:c>
      <x:c r="K409" s="2" t="n">
        <x:v>0</x:v>
      </x:c>
      <x:c r="L409" s="2" t="n">
        <x:v>0</x:v>
      </x:c>
      <x:c r="M409" s="2" t="n">
        <x:f>SUM(L$380:L409)</x:f>
        <x:v>23</x:v>
      </x:c>
      <x:c r="N409" s="2" t="n">
        <x:v>1</x:v>
      </x:c>
      <x:c r="O409" s="2" t="str">
        <x:v>muerte</x:v>
      </x:c>
      <x:c r="P409" s="2" t="n">
        <x:v>0</x:v>
      </x:c>
      <x:c r="Q409" s="2" t="str">
        <x:v>simulado_didactico</x:v>
      </x:c>
    </x:row>
    <x:row r="410" ht="19" customHeight="1">
      <x:c r="A410" s="2" t="str">
        <x:v>SIM-E2-BB-L8-R02</x:v>
      </x:c>
      <x:c r="B410" s="2" t="n">
        <x:v>1</x:v>
      </x:c>
      <x:c r="C410" s="2" t="str">
        <x:v>BB</x:v>
      </x:c>
      <x:c r="D410" s="2" t="str">
        <x:v>Brevicoryne brassicae</x:v>
      </x:c>
      <x:c r="E410" s="2" t="str">
        <x:v>L8</x:v>
      </x:c>
      <x:c r="F410" s="2" t="n">
        <x:v>2</x:v>
      </x:c>
      <x:c r="G410" s="2" t="n">
        <x:v>30</x:v>
      </x:c>
      <x:c r="H410" s="2" t="n">
        <x:f>G410+Supuestos!$C$15</x:f>
        <x:v>31</x:v>
      </x:c>
      <x:c r="I410" s="14" t="n">
        <x:f>E2_plantas!J11+G410</x:f>
        <x:v>46204</x:v>
      </x:c>
      <x:c r="J410" s="2" t="str">
        <x:v>muerta</x:v>
      </x:c>
      <x:c r="K410" s="2" t="n">
        <x:v>0</x:v>
      </x:c>
      <x:c r="L410" s="2" t="n">
        <x:v>0</x:v>
      </x:c>
      <x:c r="M410" s="2" t="n">
        <x:f>SUM(L$380:L410)</x:f>
        <x:v>23</x:v>
      </x:c>
      <x:c r="N410" s="2" t="n">
        <x:v>0</x:v>
      </x:c>
      <x:c r="O410" s="2" t="str">
        <x:v>relleno_postmuerte</x:v>
      </x:c>
      <x:c r="P410" s="2" t="n">
        <x:v>0</x:v>
      </x:c>
      <x:c r="Q410" s="2" t="str">
        <x:v>simulado_didactico</x:v>
      </x:c>
    </x:row>
    <x:row r="411" ht="19" customHeight="1">
      <x:c r="A411" s="2" t="str">
        <x:v>SIM-E2-BB-L8-R02</x:v>
      </x:c>
      <x:c r="B411" s="2" t="n">
        <x:v>1</x:v>
      </x:c>
      <x:c r="C411" s="2" t="str">
        <x:v>BB</x:v>
      </x:c>
      <x:c r="D411" s="2" t="str">
        <x:v>Brevicoryne brassicae</x:v>
      </x:c>
      <x:c r="E411" s="2" t="str">
        <x:v>L8</x:v>
      </x:c>
      <x:c r="F411" s="2" t="n">
        <x:v>2</x:v>
      </x:c>
      <x:c r="G411" s="2" t="n">
        <x:v>31</x:v>
      </x:c>
      <x:c r="H411" s="2" t="n">
        <x:f>G411+Supuestos!$C$15</x:f>
        <x:v>32</x:v>
      </x:c>
      <x:c r="I411" s="14" t="n">
        <x:f>E2_plantas!J11+G411</x:f>
        <x:v>46205</x:v>
      </x:c>
      <x:c r="J411" s="2" t="str">
        <x:v>muerta</x:v>
      </x:c>
      <x:c r="K411" s="2" t="n">
        <x:v>0</x:v>
      </x:c>
      <x:c r="L411" s="2" t="n">
        <x:v>0</x:v>
      </x:c>
      <x:c r="M411" s="2" t="n">
        <x:f>SUM(L$380:L411)</x:f>
        <x:v>23</x:v>
      </x:c>
      <x:c r="N411" s="2" t="n">
        <x:v>0</x:v>
      </x:c>
      <x:c r="O411" s="2" t="str">
        <x:v>relleno_postmuerte</x:v>
      </x:c>
      <x:c r="P411" s="2" t="n">
        <x:v>0</x:v>
      </x:c>
      <x:c r="Q411" s="2" t="str">
        <x:v>simulado_didactico</x:v>
      </x:c>
    </x:row>
    <x:row r="412" ht="19" customHeight="1">
      <x:c r="A412" s="2" t="str">
        <x:v>SIM-E2-BB-L8-R02</x:v>
      </x:c>
      <x:c r="B412" s="2" t="n">
        <x:v>1</x:v>
      </x:c>
      <x:c r="C412" s="2" t="str">
        <x:v>BB</x:v>
      </x:c>
      <x:c r="D412" s="2" t="str">
        <x:v>Brevicoryne brassicae</x:v>
      </x:c>
      <x:c r="E412" s="2" t="str">
        <x:v>L8</x:v>
      </x:c>
      <x:c r="F412" s="2" t="n">
        <x:v>2</x:v>
      </x:c>
      <x:c r="G412" s="2" t="n">
        <x:v>32</x:v>
      </x:c>
      <x:c r="H412" s="2" t="n">
        <x:f>G412+Supuestos!$C$15</x:f>
        <x:v>33</x:v>
      </x:c>
      <x:c r="I412" s="14" t="n">
        <x:f>E2_plantas!J11+G412</x:f>
        <x:v>46206</x:v>
      </x:c>
      <x:c r="J412" s="2" t="str">
        <x:v>muerta</x:v>
      </x:c>
      <x:c r="K412" s="2" t="n">
        <x:v>0</x:v>
      </x:c>
      <x:c r="L412" s="2" t="n">
        <x:v>0</x:v>
      </x:c>
      <x:c r="M412" s="2" t="n">
        <x:f>SUM(L$380:L412)</x:f>
        <x:v>23</x:v>
      </x:c>
      <x:c r="N412" s="2" t="n">
        <x:v>0</x:v>
      </x:c>
      <x:c r="O412" s="2" t="str">
        <x:v>relleno_postmuerte</x:v>
      </x:c>
      <x:c r="P412" s="2" t="n">
        <x:v>0</x:v>
      </x:c>
      <x:c r="Q412" s="2" t="str">
        <x:v>simulado_didactico</x:v>
      </x:c>
    </x:row>
    <x:row r="413" ht="19" customHeight="1">
      <x:c r="A413" s="2" t="str">
        <x:v>SIM-E2-BB-L8-R02</x:v>
      </x:c>
      <x:c r="B413" s="2" t="n">
        <x:v>1</x:v>
      </x:c>
      <x:c r="C413" s="2" t="str">
        <x:v>BB</x:v>
      </x:c>
      <x:c r="D413" s="2" t="str">
        <x:v>Brevicoryne brassicae</x:v>
      </x:c>
      <x:c r="E413" s="2" t="str">
        <x:v>L8</x:v>
      </x:c>
      <x:c r="F413" s="2" t="n">
        <x:v>2</x:v>
      </x:c>
      <x:c r="G413" s="2" t="n">
        <x:v>33</x:v>
      </x:c>
      <x:c r="H413" s="2" t="n">
        <x:f>G413+Supuestos!$C$15</x:f>
        <x:v>34</x:v>
      </x:c>
      <x:c r="I413" s="14" t="n">
        <x:f>E2_plantas!J11+G413</x:f>
        <x:v>46207</x:v>
      </x:c>
      <x:c r="J413" s="2" t="str">
        <x:v>muerta</x:v>
      </x:c>
      <x:c r="K413" s="2" t="n">
        <x:v>0</x:v>
      </x:c>
      <x:c r="L413" s="2" t="n">
        <x:v>0</x:v>
      </x:c>
      <x:c r="M413" s="2" t="n">
        <x:f>SUM(L$380:L413)</x:f>
        <x:v>23</x:v>
      </x:c>
      <x:c r="N413" s="2" t="n">
        <x:v>0</x:v>
      </x:c>
      <x:c r="O413" s="2" t="str">
        <x:v>relleno_postmuerte</x:v>
      </x:c>
      <x:c r="P413" s="2" t="n">
        <x:v>0</x:v>
      </x:c>
      <x:c r="Q413" s="2" t="str">
        <x:v>simulado_didactico</x:v>
      </x:c>
    </x:row>
    <x:row r="414" ht="19" customHeight="1">
      <x:c r="A414" s="2" t="str">
        <x:v>SIM-E2-BB-L8-R02</x:v>
      </x:c>
      <x:c r="B414" s="2" t="n">
        <x:v>1</x:v>
      </x:c>
      <x:c r="C414" s="2" t="str">
        <x:v>BB</x:v>
      </x:c>
      <x:c r="D414" s="2" t="str">
        <x:v>Brevicoryne brassicae</x:v>
      </x:c>
      <x:c r="E414" s="2" t="str">
        <x:v>L8</x:v>
      </x:c>
      <x:c r="F414" s="2" t="n">
        <x:v>2</x:v>
      </x:c>
      <x:c r="G414" s="2" t="n">
        <x:v>34</x:v>
      </x:c>
      <x:c r="H414" s="2" t="n">
        <x:f>G414+Supuestos!$C$15</x:f>
        <x:v>35</x:v>
      </x:c>
      <x:c r="I414" s="14" t="n">
        <x:f>E2_plantas!J11+G414</x:f>
        <x:v>46208</x:v>
      </x:c>
      <x:c r="J414" s="2" t="str">
        <x:v>muerta</x:v>
      </x:c>
      <x:c r="K414" s="2" t="n">
        <x:v>0</x:v>
      </x:c>
      <x:c r="L414" s="2" t="n">
        <x:v>0</x:v>
      </x:c>
      <x:c r="M414" s="2" t="n">
        <x:f>SUM(L$380:L414)</x:f>
        <x:v>23</x:v>
      </x:c>
      <x:c r="N414" s="2" t="n">
        <x:v>0</x:v>
      </x:c>
      <x:c r="O414" s="2" t="str">
        <x:v>relleno_postmuerte</x:v>
      </x:c>
      <x:c r="P414" s="2" t="n">
        <x:v>0</x:v>
      </x:c>
      <x:c r="Q414" s="2" t="str">
        <x:v>simulado_didactico</x:v>
      </x:c>
    </x:row>
    <x:row r="415" ht="19" customHeight="1">
      <x:c r="A415" s="2" t="str">
        <x:v>SIM-E2-BB-L8-R02</x:v>
      </x:c>
      <x:c r="B415" s="2" t="n">
        <x:v>1</x:v>
      </x:c>
      <x:c r="C415" s="2" t="str">
        <x:v>BB</x:v>
      </x:c>
      <x:c r="D415" s="2" t="str">
        <x:v>Brevicoryne brassicae</x:v>
      </x:c>
      <x:c r="E415" s="2" t="str">
        <x:v>L8</x:v>
      </x:c>
      <x:c r="F415" s="2" t="n">
        <x:v>2</x:v>
      </x:c>
      <x:c r="G415" s="2" t="n">
        <x:v>35</x:v>
      </x:c>
      <x:c r="H415" s="2" t="n">
        <x:f>G415+Supuestos!$C$15</x:f>
        <x:v>36</x:v>
      </x:c>
      <x:c r="I415" s="14" t="n">
        <x:f>E2_plantas!J11+G415</x:f>
        <x:v>46209</x:v>
      </x:c>
      <x:c r="J415" s="2" t="str">
        <x:v>muerta</x:v>
      </x:c>
      <x:c r="K415" s="2" t="n">
        <x:v>0</x:v>
      </x:c>
      <x:c r="L415" s="2" t="n">
        <x:v>0</x:v>
      </x:c>
      <x:c r="M415" s="2" t="n">
        <x:f>SUM(L$380:L415)</x:f>
        <x:v>23</x:v>
      </x:c>
      <x:c r="N415" s="2" t="n">
        <x:v>0</x:v>
      </x:c>
      <x:c r="O415" s="2" t="str">
        <x:v>relleno_postmuerte</x:v>
      </x:c>
      <x:c r="P415" s="2" t="n">
        <x:v>0</x:v>
      </x:c>
      <x:c r="Q415" s="2" t="str">
        <x:v>simulado_didactico</x:v>
      </x:c>
    </x:row>
    <x:row r="416" ht="19" customHeight="1">
      <x:c r="A416" s="2" t="str">
        <x:v>SIM-E2-BB-L8-R02</x:v>
      </x:c>
      <x:c r="B416" s="2" t="n">
        <x:v>1</x:v>
      </x:c>
      <x:c r="C416" s="2" t="str">
        <x:v>BB</x:v>
      </x:c>
      <x:c r="D416" s="2" t="str">
        <x:v>Brevicoryne brassicae</x:v>
      </x:c>
      <x:c r="E416" s="2" t="str">
        <x:v>L8</x:v>
      </x:c>
      <x:c r="F416" s="2" t="n">
        <x:v>2</x:v>
      </x:c>
      <x:c r="G416" s="2" t="n">
        <x:v>36</x:v>
      </x:c>
      <x:c r="H416" s="2" t="n">
        <x:f>G416+Supuestos!$C$15</x:f>
        <x:v>37</x:v>
      </x:c>
      <x:c r="I416" s="14" t="n">
        <x:f>E2_plantas!J11+G416</x:f>
        <x:v>46210</x:v>
      </x:c>
      <x:c r="J416" s="2" t="str">
        <x:v>muerta</x:v>
      </x:c>
      <x:c r="K416" s="2" t="n">
        <x:v>0</x:v>
      </x:c>
      <x:c r="L416" s="2" t="n">
        <x:v>0</x:v>
      </x:c>
      <x:c r="M416" s="2" t="n">
        <x:f>SUM(L$380:L416)</x:f>
        <x:v>23</x:v>
      </x:c>
      <x:c r="N416" s="2" t="n">
        <x:v>0</x:v>
      </x:c>
      <x:c r="O416" s="2" t="str">
        <x:v>relleno_postmuerte</x:v>
      </x:c>
      <x:c r="P416" s="2" t="n">
        <x:v>0</x:v>
      </x:c>
      <x:c r="Q416" s="2" t="str">
        <x:v>simulado_didactico</x:v>
      </x:c>
    </x:row>
    <x:row r="417" ht="19" customHeight="1">
      <x:c r="A417" s="2" t="str">
        <x:v>SIM-E2-BB-L8-R02</x:v>
      </x:c>
      <x:c r="B417" s="2" t="n">
        <x:v>1</x:v>
      </x:c>
      <x:c r="C417" s="2" t="str">
        <x:v>BB</x:v>
      </x:c>
      <x:c r="D417" s="2" t="str">
        <x:v>Brevicoryne brassicae</x:v>
      </x:c>
      <x:c r="E417" s="2" t="str">
        <x:v>L8</x:v>
      </x:c>
      <x:c r="F417" s="2" t="n">
        <x:v>2</x:v>
      </x:c>
      <x:c r="G417" s="2" t="n">
        <x:v>37</x:v>
      </x:c>
      <x:c r="H417" s="2" t="n">
        <x:f>G417+Supuestos!$C$15</x:f>
        <x:v>38</x:v>
      </x:c>
      <x:c r="I417" s="14" t="n">
        <x:f>E2_plantas!J11+G417</x:f>
        <x:v>46211</x:v>
      </x:c>
      <x:c r="J417" s="2" t="str">
        <x:v>muerta</x:v>
      </x:c>
      <x:c r="K417" s="2" t="n">
        <x:v>0</x:v>
      </x:c>
      <x:c r="L417" s="2" t="n">
        <x:v>0</x:v>
      </x:c>
      <x:c r="M417" s="2" t="n">
        <x:f>SUM(L$380:L417)</x:f>
        <x:v>23</x:v>
      </x:c>
      <x:c r="N417" s="2" t="n">
        <x:v>0</x:v>
      </x:c>
      <x:c r="O417" s="2" t="str">
        <x:v>relleno_postmuerte</x:v>
      </x:c>
      <x:c r="P417" s="2" t="n">
        <x:v>0</x:v>
      </x:c>
      <x:c r="Q417" s="2" t="str">
        <x:v>simulado_didactico</x:v>
      </x:c>
    </x:row>
    <x:row r="418" ht="19" customHeight="1">
      <x:c r="A418" s="2" t="str">
        <x:v>SIM-E2-BB-L8-R02</x:v>
      </x:c>
      <x:c r="B418" s="2" t="n">
        <x:v>1</x:v>
      </x:c>
      <x:c r="C418" s="2" t="str">
        <x:v>BB</x:v>
      </x:c>
      <x:c r="D418" s="2" t="str">
        <x:v>Brevicoryne brassicae</x:v>
      </x:c>
      <x:c r="E418" s="2" t="str">
        <x:v>L8</x:v>
      </x:c>
      <x:c r="F418" s="2" t="n">
        <x:v>2</x:v>
      </x:c>
      <x:c r="G418" s="2" t="n">
        <x:v>38</x:v>
      </x:c>
      <x:c r="H418" s="2" t="n">
        <x:f>G418+Supuestos!$C$15</x:f>
        <x:v>39</x:v>
      </x:c>
      <x:c r="I418" s="14" t="n">
        <x:f>E2_plantas!J11+G418</x:f>
        <x:v>46212</x:v>
      </x:c>
      <x:c r="J418" s="2" t="str">
        <x:v>muerta</x:v>
      </x:c>
      <x:c r="K418" s="2" t="n">
        <x:v>0</x:v>
      </x:c>
      <x:c r="L418" s="2" t="n">
        <x:v>0</x:v>
      </x:c>
      <x:c r="M418" s="2" t="n">
        <x:f>SUM(L$380:L418)</x:f>
        <x:v>23</x:v>
      </x:c>
      <x:c r="N418" s="2" t="n">
        <x:v>0</x:v>
      </x:c>
      <x:c r="O418" s="2" t="str">
        <x:v>relleno_postmuerte</x:v>
      </x:c>
      <x:c r="P418" s="2" t="n">
        <x:v>0</x:v>
      </x:c>
      <x:c r="Q418" s="2" t="str">
        <x:v>simulado_didactico</x:v>
      </x:c>
    </x:row>
    <x:row r="419" ht="19" customHeight="1">
      <x:c r="A419" s="2" t="str">
        <x:v>SIM-E2-BB-L8-R02</x:v>
      </x:c>
      <x:c r="B419" s="2" t="n">
        <x:v>1</x:v>
      </x:c>
      <x:c r="C419" s="2" t="str">
        <x:v>BB</x:v>
      </x:c>
      <x:c r="D419" s="2" t="str">
        <x:v>Brevicoryne brassicae</x:v>
      </x:c>
      <x:c r="E419" s="2" t="str">
        <x:v>L8</x:v>
      </x:c>
      <x:c r="F419" s="2" t="n">
        <x:v>2</x:v>
      </x:c>
      <x:c r="G419" s="2" t="n">
        <x:v>39</x:v>
      </x:c>
      <x:c r="H419" s="2" t="n">
        <x:f>G419+Supuestos!$C$15</x:f>
        <x:v>40</x:v>
      </x:c>
      <x:c r="I419" s="14" t="n">
        <x:f>E2_plantas!J11+G419</x:f>
        <x:v>46213</x:v>
      </x:c>
      <x:c r="J419" s="2" t="str">
        <x:v>muerta</x:v>
      </x:c>
      <x:c r="K419" s="2" t="n">
        <x:v>0</x:v>
      </x:c>
      <x:c r="L419" s="2" t="n">
        <x:v>0</x:v>
      </x:c>
      <x:c r="M419" s="2" t="n">
        <x:f>SUM(L$380:L419)</x:f>
        <x:v>23</x:v>
      </x:c>
      <x:c r="N419" s="2" t="n">
        <x:v>0</x:v>
      </x:c>
      <x:c r="O419" s="2" t="str">
        <x:v>relleno_postmuerte</x:v>
      </x:c>
      <x:c r="P419" s="2" t="n">
        <x:v>0</x:v>
      </x:c>
      <x:c r="Q419" s="2" t="str">
        <x:v>simulado_didactico</x:v>
      </x:c>
    </x:row>
    <x:row r="420" ht="19" customHeight="1">
      <x:c r="A420" s="2" t="str">
        <x:v>SIM-E2-BB-L8-R02</x:v>
      </x:c>
      <x:c r="B420" s="2" t="n">
        <x:v>1</x:v>
      </x:c>
      <x:c r="C420" s="2" t="str">
        <x:v>BB</x:v>
      </x:c>
      <x:c r="D420" s="2" t="str">
        <x:v>Brevicoryne brassicae</x:v>
      </x:c>
      <x:c r="E420" s="2" t="str">
        <x:v>L8</x:v>
      </x:c>
      <x:c r="F420" s="2" t="n">
        <x:v>2</x:v>
      </x:c>
      <x:c r="G420" s="2" t="n">
        <x:v>40</x:v>
      </x:c>
      <x:c r="H420" s="2" t="n">
        <x:f>G420+Supuestos!$C$15</x:f>
        <x:v>41</x:v>
      </x:c>
      <x:c r="I420" s="14" t="n">
        <x:f>E2_plantas!J11+G420</x:f>
        <x:v>46214</x:v>
      </x:c>
      <x:c r="J420" s="2" t="str">
        <x:v>muerta</x:v>
      </x:c>
      <x:c r="K420" s="2" t="n">
        <x:v>0</x:v>
      </x:c>
      <x:c r="L420" s="2" t="n">
        <x:v>0</x:v>
      </x:c>
      <x:c r="M420" s="2" t="n">
        <x:f>SUM(L$380:L420)</x:f>
        <x:v>23</x:v>
      </x:c>
      <x:c r="N420" s="2" t="n">
        <x:v>0</x:v>
      </x:c>
      <x:c r="O420" s="2" t="str">
        <x:v>relleno_postmuerte</x:v>
      </x:c>
      <x:c r="P420" s="2" t="n">
        <x:v>0</x:v>
      </x:c>
      <x:c r="Q420" s="2" t="str">
        <x:v>simulado_didactico</x:v>
      </x:c>
    </x:row>
    <x:row r="421" ht="19" customHeight="1">
      <x:c r="A421" s="2" t="str">
        <x:v>SIM-E2-BB-L8-R02</x:v>
      </x:c>
      <x:c r="B421" s="2" t="n">
        <x:v>1</x:v>
      </x:c>
      <x:c r="C421" s="2" t="str">
        <x:v>BB</x:v>
      </x:c>
      <x:c r="D421" s="2" t="str">
        <x:v>Brevicoryne brassicae</x:v>
      </x:c>
      <x:c r="E421" s="2" t="str">
        <x:v>L8</x:v>
      </x:c>
      <x:c r="F421" s="2" t="n">
        <x:v>2</x:v>
      </x:c>
      <x:c r="G421" s="2" t="n">
        <x:v>41</x:v>
      </x:c>
      <x:c r="H421" s="2" t="n">
        <x:f>G421+Supuestos!$C$15</x:f>
        <x:v>42</x:v>
      </x:c>
      <x:c r="I421" s="14" t="n">
        <x:f>E2_plantas!J11+G421</x:f>
        <x:v>46215</x:v>
      </x:c>
      <x:c r="J421" s="2" t="str">
        <x:v>muerta</x:v>
      </x:c>
      <x:c r="K421" s="2" t="n">
        <x:v>0</x:v>
      </x:c>
      <x:c r="L421" s="2" t="n">
        <x:v>0</x:v>
      </x:c>
      <x:c r="M421" s="2" t="n">
        <x:f>SUM(L$380:L421)</x:f>
        <x:v>23</x:v>
      </x:c>
      <x:c r="N421" s="2" t="n">
        <x:v>0</x:v>
      </x:c>
      <x:c r="O421" s="2" t="str">
        <x:v>relleno_postmuerte</x:v>
      </x:c>
      <x:c r="P421" s="2" t="n">
        <x:v>0</x:v>
      </x:c>
      <x:c r="Q421" s="2" t="str">
        <x:v>simulado_didactico</x:v>
      </x:c>
    </x:row>
    <x:row r="422" ht="19" customHeight="1">
      <x:c r="A422" s="2" t="str">
        <x:v>SIM-E2-BB-L7-R01</x:v>
      </x:c>
      <x:c r="B422" s="2" t="n">
        <x:v>1</x:v>
      </x:c>
      <x:c r="C422" s="2" t="str">
        <x:v>BB</x:v>
      </x:c>
      <x:c r="D422" s="2" t="str">
        <x:v>Brevicoryne brassicae</x:v>
      </x:c>
      <x:c r="E422" s="2" t="str">
        <x:v>L7</x:v>
      </x:c>
      <x:c r="F422" s="2" t="n">
        <x:v>1</x:v>
      </x:c>
      <x:c r="G422" s="2" t="n">
        <x:v>0</x:v>
      </x:c>
      <x:c r="H422" s="2" t="n">
        <x:f>G422+Supuestos!$C$15</x:f>
        <x:v>1</x:v>
      </x:c>
      <x:c r="I422" s="14" t="n">
        <x:f>E2_plantas!J12+G422</x:f>
        <x:v>46174</x:v>
      </x:c>
      <x:c r="J422" s="2" t="str">
        <x:v>N1</x:v>
      </x:c>
      <x:c r="K422" s="2" t="n">
        <x:v>1</x:v>
      </x:c>
      <x:c r="L422" s="2" t="n">
        <x:v>0</x:v>
      </x:c>
      <x:c r="M422" s="2" t="n">
        <x:f>SUM(L$422:L422)</x:f>
        <x:v>0</x:v>
      </x:c>
      <x:c r="N422" s="2" t="n">
        <x:v>0</x:v>
      </x:c>
      <x:c r="O422" s="2" t="str">
        <x:v>seguimiento</x:v>
      </x:c>
      <x:c r="P422" s="2" t="n">
        <x:v>0</x:v>
      </x:c>
      <x:c r="Q422" s="2" t="str">
        <x:v>simulado_didactico</x:v>
      </x:c>
    </x:row>
    <x:row r="423" ht="19" customHeight="1">
      <x:c r="A423" s="2" t="str">
        <x:v>SIM-E2-BB-L7-R01</x:v>
      </x:c>
      <x:c r="B423" s="2" t="n">
        <x:v>1</x:v>
      </x:c>
      <x:c r="C423" s="2" t="str">
        <x:v>BB</x:v>
      </x:c>
      <x:c r="D423" s="2" t="str">
        <x:v>Brevicoryne brassicae</x:v>
      </x:c>
      <x:c r="E423" s="2" t="str">
        <x:v>L7</x:v>
      </x:c>
      <x:c r="F423" s="2" t="n">
        <x:v>1</x:v>
      </x:c>
      <x:c r="G423" s="2" t="n">
        <x:v>1</x:v>
      </x:c>
      <x:c r="H423" s="2" t="n">
        <x:f>G423+Supuestos!$C$15</x:f>
        <x:v>2</x:v>
      </x:c>
      <x:c r="I423" s="14" t="n">
        <x:f>E2_plantas!J12+G423</x:f>
        <x:v>46175</x:v>
      </x:c>
      <x:c r="J423" s="2" t="str">
        <x:v>N1</x:v>
      </x:c>
      <x:c r="K423" s="2" t="n">
        <x:v>1</x:v>
      </x:c>
      <x:c r="L423" s="2" t="n">
        <x:v>0</x:v>
      </x:c>
      <x:c r="M423" s="2" t="n">
        <x:f>SUM(L$422:L423)</x:f>
        <x:v>0</x:v>
      </x:c>
      <x:c r="N423" s="2" t="n">
        <x:v>0</x:v>
      </x:c>
      <x:c r="O423" s="2" t="str">
        <x:v>seguimiento</x:v>
      </x:c>
      <x:c r="P423" s="2" t="n">
        <x:v>0</x:v>
      </x:c>
      <x:c r="Q423" s="2" t="str">
        <x:v>simulado_didactico</x:v>
      </x:c>
    </x:row>
    <x:row r="424" ht="19" customHeight="1">
      <x:c r="A424" s="2" t="str">
        <x:v>SIM-E2-BB-L7-R01</x:v>
      </x:c>
      <x:c r="B424" s="2" t="n">
        <x:v>1</x:v>
      </x:c>
      <x:c r="C424" s="2" t="str">
        <x:v>BB</x:v>
      </x:c>
      <x:c r="D424" s="2" t="str">
        <x:v>Brevicoryne brassicae</x:v>
      </x:c>
      <x:c r="E424" s="2" t="str">
        <x:v>L7</x:v>
      </x:c>
      <x:c r="F424" s="2" t="n">
        <x:v>1</x:v>
      </x:c>
      <x:c r="G424" s="2" t="n">
        <x:v>2</x:v>
      </x:c>
      <x:c r="H424" s="2" t="n">
        <x:f>G424+Supuestos!$C$15</x:f>
        <x:v>3</x:v>
      </x:c>
      <x:c r="I424" s="14" t="n">
        <x:f>E2_plantas!J12+G424</x:f>
        <x:v>46176</x:v>
      </x:c>
      <x:c r="J424" s="2" t="str">
        <x:v>N2</x:v>
      </x:c>
      <x:c r="K424" s="2" t="n">
        <x:v>1</x:v>
      </x:c>
      <x:c r="L424" s="2" t="n">
        <x:v>0</x:v>
      </x:c>
      <x:c r="M424" s="2" t="n">
        <x:f>SUM(L$422:L424)</x:f>
        <x:v>0</x:v>
      </x:c>
      <x:c r="N424" s="2" t="n">
        <x:v>0</x:v>
      </x:c>
      <x:c r="O424" s="2" t="str">
        <x:v>seguimiento</x:v>
      </x:c>
      <x:c r="P424" s="2" t="n">
        <x:v>0</x:v>
      </x:c>
      <x:c r="Q424" s="2" t="str">
        <x:v>simulado_didactico</x:v>
      </x:c>
    </x:row>
    <x:row r="425" ht="19" customHeight="1">
      <x:c r="A425" s="2" t="str">
        <x:v>SIM-E2-BB-L7-R01</x:v>
      </x:c>
      <x:c r="B425" s="2" t="n">
        <x:v>1</x:v>
      </x:c>
      <x:c r="C425" s="2" t="str">
        <x:v>BB</x:v>
      </x:c>
      <x:c r="D425" s="2" t="str">
        <x:v>Brevicoryne brassicae</x:v>
      </x:c>
      <x:c r="E425" s="2" t="str">
        <x:v>L7</x:v>
      </x:c>
      <x:c r="F425" s="2" t="n">
        <x:v>1</x:v>
      </x:c>
      <x:c r="G425" s="2" t="n">
        <x:v>3</x:v>
      </x:c>
      <x:c r="H425" s="2" t="n">
        <x:f>G425+Supuestos!$C$15</x:f>
        <x:v>4</x:v>
      </x:c>
      <x:c r="I425" s="14" t="n">
        <x:f>E2_plantas!J12+G425</x:f>
        <x:v>46177</x:v>
      </x:c>
      <x:c r="J425" s="2" t="str">
        <x:v>N2</x:v>
      </x:c>
      <x:c r="K425" s="2" t="n">
        <x:v>1</x:v>
      </x:c>
      <x:c r="L425" s="2" t="n">
        <x:v>0</x:v>
      </x:c>
      <x:c r="M425" s="2" t="n">
        <x:f>SUM(L$422:L425)</x:f>
        <x:v>0</x:v>
      </x:c>
      <x:c r="N425" s="2" t="n">
        <x:v>0</x:v>
      </x:c>
      <x:c r="O425" s="2" t="str">
        <x:v>seguimiento</x:v>
      </x:c>
      <x:c r="P425" s="2" t="n">
        <x:v>0</x:v>
      </x:c>
      <x:c r="Q425" s="2" t="str">
        <x:v>simulado_didactico</x:v>
      </x:c>
    </x:row>
    <x:row r="426" ht="19" customHeight="1">
      <x:c r="A426" s="2" t="str">
        <x:v>SIM-E2-BB-L7-R01</x:v>
      </x:c>
      <x:c r="B426" s="2" t="n">
        <x:v>1</x:v>
      </x:c>
      <x:c r="C426" s="2" t="str">
        <x:v>BB</x:v>
      </x:c>
      <x:c r="D426" s="2" t="str">
        <x:v>Brevicoryne brassicae</x:v>
      </x:c>
      <x:c r="E426" s="2" t="str">
        <x:v>L7</x:v>
      </x:c>
      <x:c r="F426" s="2" t="n">
        <x:v>1</x:v>
      </x:c>
      <x:c r="G426" s="2" t="n">
        <x:v>4</x:v>
      </x:c>
      <x:c r="H426" s="2" t="n">
        <x:f>G426+Supuestos!$C$15</x:f>
        <x:v>5</x:v>
      </x:c>
      <x:c r="I426" s="14" t="n">
        <x:f>E2_plantas!J12+G426</x:f>
        <x:v>46178</x:v>
      </x:c>
      <x:c r="J426" s="2" t="str">
        <x:v>muerta</x:v>
      </x:c>
      <x:c r="K426" s="2" t="n">
        <x:v>0</x:v>
      </x:c>
      <x:c r="L426" s="2" t="n">
        <x:v>0</x:v>
      </x:c>
      <x:c r="M426" s="2" t="n">
        <x:f>SUM(L$422:L426)</x:f>
        <x:v>0</x:v>
      </x:c>
      <x:c r="N426" s="2" t="n">
        <x:v>1</x:v>
      </x:c>
      <x:c r="O426" s="2" t="str">
        <x:v>muerte</x:v>
      </x:c>
      <x:c r="P426" s="2" t="n">
        <x:v>0</x:v>
      </x:c>
      <x:c r="Q426" s="2" t="str">
        <x:v>simulado_didactico</x:v>
      </x:c>
    </x:row>
    <x:row r="427" ht="19" customHeight="1">
      <x:c r="A427" s="2" t="str">
        <x:v>SIM-E2-BB-L7-R01</x:v>
      </x:c>
      <x:c r="B427" s="2" t="n">
        <x:v>1</x:v>
      </x:c>
      <x:c r="C427" s="2" t="str">
        <x:v>BB</x:v>
      </x:c>
      <x:c r="D427" s="2" t="str">
        <x:v>Brevicoryne brassicae</x:v>
      </x:c>
      <x:c r="E427" s="2" t="str">
        <x:v>L7</x:v>
      </x:c>
      <x:c r="F427" s="2" t="n">
        <x:v>1</x:v>
      </x:c>
      <x:c r="G427" s="2" t="n">
        <x:v>5</x:v>
      </x:c>
      <x:c r="H427" s="2" t="n">
        <x:f>G427+Supuestos!$C$15</x:f>
        <x:v>6</x:v>
      </x:c>
      <x:c r="I427" s="14" t="n">
        <x:f>E2_plantas!J12+G427</x:f>
        <x:v>46179</x:v>
      </x:c>
      <x:c r="J427" s="2" t="str">
        <x:v>muerta</x:v>
      </x:c>
      <x:c r="K427" s="2" t="n">
        <x:v>0</x:v>
      </x:c>
      <x:c r="L427" s="2" t="n">
        <x:v>0</x:v>
      </x:c>
      <x:c r="M427" s="2" t="n">
        <x:f>SUM(L$422:L427)</x:f>
        <x:v>0</x:v>
      </x:c>
      <x:c r="N427" s="2" t="n">
        <x:v>0</x:v>
      </x:c>
      <x:c r="O427" s="2" t="str">
        <x:v>relleno_postmuerte</x:v>
      </x:c>
      <x:c r="P427" s="2" t="n">
        <x:v>0</x:v>
      </x:c>
      <x:c r="Q427" s="2" t="str">
        <x:v>simulado_didactico</x:v>
      </x:c>
    </x:row>
    <x:row r="428" ht="19" customHeight="1">
      <x:c r="A428" s="2" t="str">
        <x:v>SIM-E2-BB-L7-R01</x:v>
      </x:c>
      <x:c r="B428" s="2" t="n">
        <x:v>1</x:v>
      </x:c>
      <x:c r="C428" s="2" t="str">
        <x:v>BB</x:v>
      </x:c>
      <x:c r="D428" s="2" t="str">
        <x:v>Brevicoryne brassicae</x:v>
      </x:c>
      <x:c r="E428" s="2" t="str">
        <x:v>L7</x:v>
      </x:c>
      <x:c r="F428" s="2" t="n">
        <x:v>1</x:v>
      </x:c>
      <x:c r="G428" s="2" t="n">
        <x:v>6</x:v>
      </x:c>
      <x:c r="H428" s="2" t="n">
        <x:f>G428+Supuestos!$C$15</x:f>
        <x:v>7</x:v>
      </x:c>
      <x:c r="I428" s="14" t="n">
        <x:f>E2_plantas!J12+G428</x:f>
        <x:v>46180</x:v>
      </x:c>
      <x:c r="J428" s="2" t="str">
        <x:v>muerta</x:v>
      </x:c>
      <x:c r="K428" s="2" t="n">
        <x:v>0</x:v>
      </x:c>
      <x:c r="L428" s="2" t="n">
        <x:v>0</x:v>
      </x:c>
      <x:c r="M428" s="2" t="n">
        <x:f>SUM(L$422:L428)</x:f>
        <x:v>0</x:v>
      </x:c>
      <x:c r="N428" s="2" t="n">
        <x:v>0</x:v>
      </x:c>
      <x:c r="O428" s="2" t="str">
        <x:v>relleno_postmuerte</x:v>
      </x:c>
      <x:c r="P428" s="2" t="n">
        <x:v>0</x:v>
      </x:c>
      <x:c r="Q428" s="2" t="str">
        <x:v>simulado_didactico</x:v>
      </x:c>
    </x:row>
    <x:row r="429" ht="19" customHeight="1">
      <x:c r="A429" s="2" t="str">
        <x:v>SIM-E2-BB-L7-R01</x:v>
      </x:c>
      <x:c r="B429" s="2" t="n">
        <x:v>1</x:v>
      </x:c>
      <x:c r="C429" s="2" t="str">
        <x:v>BB</x:v>
      </x:c>
      <x:c r="D429" s="2" t="str">
        <x:v>Brevicoryne brassicae</x:v>
      </x:c>
      <x:c r="E429" s="2" t="str">
        <x:v>L7</x:v>
      </x:c>
      <x:c r="F429" s="2" t="n">
        <x:v>1</x:v>
      </x:c>
      <x:c r="G429" s="2" t="n">
        <x:v>7</x:v>
      </x:c>
      <x:c r="H429" s="2" t="n">
        <x:f>G429+Supuestos!$C$15</x:f>
        <x:v>8</x:v>
      </x:c>
      <x:c r="I429" s="14" t="n">
        <x:f>E2_plantas!J12+G429</x:f>
        <x:v>46181</x:v>
      </x:c>
      <x:c r="J429" s="2" t="str">
        <x:v>muerta</x:v>
      </x:c>
      <x:c r="K429" s="2" t="n">
        <x:v>0</x:v>
      </x:c>
      <x:c r="L429" s="2" t="n">
        <x:v>0</x:v>
      </x:c>
      <x:c r="M429" s="2" t="n">
        <x:f>SUM(L$422:L429)</x:f>
        <x:v>0</x:v>
      </x:c>
      <x:c r="N429" s="2" t="n">
        <x:v>0</x:v>
      </x:c>
      <x:c r="O429" s="2" t="str">
        <x:v>relleno_postmuerte</x:v>
      </x:c>
      <x:c r="P429" s="2" t="n">
        <x:v>0</x:v>
      </x:c>
      <x:c r="Q429" s="2" t="str">
        <x:v>simulado_didactico</x:v>
      </x:c>
    </x:row>
    <x:row r="430" ht="19" customHeight="1">
      <x:c r="A430" s="2" t="str">
        <x:v>SIM-E2-BB-L7-R01</x:v>
      </x:c>
      <x:c r="B430" s="2" t="n">
        <x:v>1</x:v>
      </x:c>
      <x:c r="C430" s="2" t="str">
        <x:v>BB</x:v>
      </x:c>
      <x:c r="D430" s="2" t="str">
        <x:v>Brevicoryne brassicae</x:v>
      </x:c>
      <x:c r="E430" s="2" t="str">
        <x:v>L7</x:v>
      </x:c>
      <x:c r="F430" s="2" t="n">
        <x:v>1</x:v>
      </x:c>
      <x:c r="G430" s="2" t="n">
        <x:v>8</x:v>
      </x:c>
      <x:c r="H430" s="2" t="n">
        <x:f>G430+Supuestos!$C$15</x:f>
        <x:v>9</x:v>
      </x:c>
      <x:c r="I430" s="14" t="n">
        <x:f>E2_plantas!J12+G430</x:f>
        <x:v>46182</x:v>
      </x:c>
      <x:c r="J430" s="2" t="str">
        <x:v>muerta</x:v>
      </x:c>
      <x:c r="K430" s="2" t="n">
        <x:v>0</x:v>
      </x:c>
      <x:c r="L430" s="2" t="n">
        <x:v>0</x:v>
      </x:c>
      <x:c r="M430" s="2" t="n">
        <x:f>SUM(L$422:L430)</x:f>
        <x:v>0</x:v>
      </x:c>
      <x:c r="N430" s="2" t="n">
        <x:v>0</x:v>
      </x:c>
      <x:c r="O430" s="2" t="str">
        <x:v>relleno_postmuerte</x:v>
      </x:c>
      <x:c r="P430" s="2" t="n">
        <x:v>0</x:v>
      </x:c>
      <x:c r="Q430" s="2" t="str">
        <x:v>simulado_didactico</x:v>
      </x:c>
    </x:row>
    <x:row r="431" ht="19" customHeight="1">
      <x:c r="A431" s="2" t="str">
        <x:v>SIM-E2-BB-L7-R01</x:v>
      </x:c>
      <x:c r="B431" s="2" t="n">
        <x:v>1</x:v>
      </x:c>
      <x:c r="C431" s="2" t="str">
        <x:v>BB</x:v>
      </x:c>
      <x:c r="D431" s="2" t="str">
        <x:v>Brevicoryne brassicae</x:v>
      </x:c>
      <x:c r="E431" s="2" t="str">
        <x:v>L7</x:v>
      </x:c>
      <x:c r="F431" s="2" t="n">
        <x:v>1</x:v>
      </x:c>
      <x:c r="G431" s="2" t="n">
        <x:v>9</x:v>
      </x:c>
      <x:c r="H431" s="2" t="n">
        <x:f>G431+Supuestos!$C$15</x:f>
        <x:v>10</x:v>
      </x:c>
      <x:c r="I431" s="14" t="n">
        <x:f>E2_plantas!J12+G431</x:f>
        <x:v>46183</x:v>
      </x:c>
      <x:c r="J431" s="2" t="str">
        <x:v>muerta</x:v>
      </x:c>
      <x:c r="K431" s="2" t="n">
        <x:v>0</x:v>
      </x:c>
      <x:c r="L431" s="2" t="n">
        <x:v>0</x:v>
      </x:c>
      <x:c r="M431" s="2" t="n">
        <x:f>SUM(L$422:L431)</x:f>
        <x:v>0</x:v>
      </x:c>
      <x:c r="N431" s="2" t="n">
        <x:v>0</x:v>
      </x:c>
      <x:c r="O431" s="2" t="str">
        <x:v>relleno_postmuerte</x:v>
      </x:c>
      <x:c r="P431" s="2" t="n">
        <x:v>0</x:v>
      </x:c>
      <x:c r="Q431" s="2" t="str">
        <x:v>simulado_didactico</x:v>
      </x:c>
    </x:row>
    <x:row r="432" ht="19" customHeight="1">
      <x:c r="A432" s="2" t="str">
        <x:v>SIM-E2-BB-L7-R01</x:v>
      </x:c>
      <x:c r="B432" s="2" t="n">
        <x:v>1</x:v>
      </x:c>
      <x:c r="C432" s="2" t="str">
        <x:v>BB</x:v>
      </x:c>
      <x:c r="D432" s="2" t="str">
        <x:v>Brevicoryne brassicae</x:v>
      </x:c>
      <x:c r="E432" s="2" t="str">
        <x:v>L7</x:v>
      </x:c>
      <x:c r="F432" s="2" t="n">
        <x:v>1</x:v>
      </x:c>
      <x:c r="G432" s="2" t="n">
        <x:v>10</x:v>
      </x:c>
      <x:c r="H432" s="2" t="n">
        <x:f>G432+Supuestos!$C$15</x:f>
        <x:v>11</x:v>
      </x:c>
      <x:c r="I432" s="14" t="n">
        <x:f>E2_plantas!J12+G432</x:f>
        <x:v>46184</x:v>
      </x:c>
      <x:c r="J432" s="2" t="str">
        <x:v>muerta</x:v>
      </x:c>
      <x:c r="K432" s="2" t="n">
        <x:v>0</x:v>
      </x:c>
      <x:c r="L432" s="2" t="n">
        <x:v>0</x:v>
      </x:c>
      <x:c r="M432" s="2" t="n">
        <x:f>SUM(L$422:L432)</x:f>
        <x:v>0</x:v>
      </x:c>
      <x:c r="N432" s="2" t="n">
        <x:v>0</x:v>
      </x:c>
      <x:c r="O432" s="2" t="str">
        <x:v>relleno_postmuerte</x:v>
      </x:c>
      <x:c r="P432" s="2" t="n">
        <x:v>0</x:v>
      </x:c>
      <x:c r="Q432" s="2" t="str">
        <x:v>simulado_didactico</x:v>
      </x:c>
    </x:row>
    <x:row r="433" ht="19" customHeight="1">
      <x:c r="A433" s="2" t="str">
        <x:v>SIM-E2-BB-L7-R01</x:v>
      </x:c>
      <x:c r="B433" s="2" t="n">
        <x:v>1</x:v>
      </x:c>
      <x:c r="C433" s="2" t="str">
        <x:v>BB</x:v>
      </x:c>
      <x:c r="D433" s="2" t="str">
        <x:v>Brevicoryne brassicae</x:v>
      </x:c>
      <x:c r="E433" s="2" t="str">
        <x:v>L7</x:v>
      </x:c>
      <x:c r="F433" s="2" t="n">
        <x:v>1</x:v>
      </x:c>
      <x:c r="G433" s="2" t="n">
        <x:v>11</x:v>
      </x:c>
      <x:c r="H433" s="2" t="n">
        <x:f>G433+Supuestos!$C$15</x:f>
        <x:v>12</x:v>
      </x:c>
      <x:c r="I433" s="14" t="n">
        <x:f>E2_plantas!J12+G433</x:f>
        <x:v>46185</x:v>
      </x:c>
      <x:c r="J433" s="2" t="str">
        <x:v>muerta</x:v>
      </x:c>
      <x:c r="K433" s="2" t="n">
        <x:v>0</x:v>
      </x:c>
      <x:c r="L433" s="2" t="n">
        <x:v>0</x:v>
      </x:c>
      <x:c r="M433" s="2" t="n">
        <x:f>SUM(L$422:L433)</x:f>
        <x:v>0</x:v>
      </x:c>
      <x:c r="N433" s="2" t="n">
        <x:v>0</x:v>
      </x:c>
      <x:c r="O433" s="2" t="str">
        <x:v>relleno_postmuerte</x:v>
      </x:c>
      <x:c r="P433" s="2" t="n">
        <x:v>0</x:v>
      </x:c>
      <x:c r="Q433" s="2" t="str">
        <x:v>simulado_didactico</x:v>
      </x:c>
    </x:row>
    <x:row r="434" ht="19" customHeight="1">
      <x:c r="A434" s="2" t="str">
        <x:v>SIM-E2-BB-L7-R01</x:v>
      </x:c>
      <x:c r="B434" s="2" t="n">
        <x:v>1</x:v>
      </x:c>
      <x:c r="C434" s="2" t="str">
        <x:v>BB</x:v>
      </x:c>
      <x:c r="D434" s="2" t="str">
        <x:v>Brevicoryne brassicae</x:v>
      </x:c>
      <x:c r="E434" s="2" t="str">
        <x:v>L7</x:v>
      </x:c>
      <x:c r="F434" s="2" t="n">
        <x:v>1</x:v>
      </x:c>
      <x:c r="G434" s="2" t="n">
        <x:v>12</x:v>
      </x:c>
      <x:c r="H434" s="2" t="n">
        <x:f>G434+Supuestos!$C$15</x:f>
        <x:v>13</x:v>
      </x:c>
      <x:c r="I434" s="14" t="n">
        <x:f>E2_plantas!J12+G434</x:f>
        <x:v>46186</x:v>
      </x:c>
      <x:c r="J434" s="2" t="str">
        <x:v>muerta</x:v>
      </x:c>
      <x:c r="K434" s="2" t="n">
        <x:v>0</x:v>
      </x:c>
      <x:c r="L434" s="2" t="n">
        <x:v>0</x:v>
      </x:c>
      <x:c r="M434" s="2" t="n">
        <x:f>SUM(L$422:L434)</x:f>
        <x:v>0</x:v>
      </x:c>
      <x:c r="N434" s="2" t="n">
        <x:v>0</x:v>
      </x:c>
      <x:c r="O434" s="2" t="str">
        <x:v>relleno_postmuerte</x:v>
      </x:c>
      <x:c r="P434" s="2" t="n">
        <x:v>0</x:v>
      </x:c>
      <x:c r="Q434" s="2" t="str">
        <x:v>simulado_didactico</x:v>
      </x:c>
    </x:row>
    <x:row r="435" ht="19" customHeight="1">
      <x:c r="A435" s="2" t="str">
        <x:v>SIM-E2-BB-L7-R01</x:v>
      </x:c>
      <x:c r="B435" s="2" t="n">
        <x:v>1</x:v>
      </x:c>
      <x:c r="C435" s="2" t="str">
        <x:v>BB</x:v>
      </x:c>
      <x:c r="D435" s="2" t="str">
        <x:v>Brevicoryne brassicae</x:v>
      </x:c>
      <x:c r="E435" s="2" t="str">
        <x:v>L7</x:v>
      </x:c>
      <x:c r="F435" s="2" t="n">
        <x:v>1</x:v>
      </x:c>
      <x:c r="G435" s="2" t="n">
        <x:v>13</x:v>
      </x:c>
      <x:c r="H435" s="2" t="n">
        <x:f>G435+Supuestos!$C$15</x:f>
        <x:v>14</x:v>
      </x:c>
      <x:c r="I435" s="14" t="n">
        <x:f>E2_plantas!J12+G435</x:f>
        <x:v>46187</x:v>
      </x:c>
      <x:c r="J435" s="2" t="str">
        <x:v>muerta</x:v>
      </x:c>
      <x:c r="K435" s="2" t="n">
        <x:v>0</x:v>
      </x:c>
      <x:c r="L435" s="2" t="n">
        <x:v>0</x:v>
      </x:c>
      <x:c r="M435" s="2" t="n">
        <x:f>SUM(L$422:L435)</x:f>
        <x:v>0</x:v>
      </x:c>
      <x:c r="N435" s="2" t="n">
        <x:v>0</x:v>
      </x:c>
      <x:c r="O435" s="2" t="str">
        <x:v>relleno_postmuerte</x:v>
      </x:c>
      <x:c r="P435" s="2" t="n">
        <x:v>0</x:v>
      </x:c>
      <x:c r="Q435" s="2" t="str">
        <x:v>simulado_didactico</x:v>
      </x:c>
    </x:row>
    <x:row r="436" ht="19" customHeight="1">
      <x:c r="A436" s="2" t="str">
        <x:v>SIM-E2-BB-L7-R01</x:v>
      </x:c>
      <x:c r="B436" s="2" t="n">
        <x:v>1</x:v>
      </x:c>
      <x:c r="C436" s="2" t="str">
        <x:v>BB</x:v>
      </x:c>
      <x:c r="D436" s="2" t="str">
        <x:v>Brevicoryne brassicae</x:v>
      </x:c>
      <x:c r="E436" s="2" t="str">
        <x:v>L7</x:v>
      </x:c>
      <x:c r="F436" s="2" t="n">
        <x:v>1</x:v>
      </x:c>
      <x:c r="G436" s="2" t="n">
        <x:v>14</x:v>
      </x:c>
      <x:c r="H436" s="2" t="n">
        <x:f>G436+Supuestos!$C$15</x:f>
        <x:v>15</x:v>
      </x:c>
      <x:c r="I436" s="14" t="n">
        <x:f>E2_plantas!J12+G436</x:f>
        <x:v>46188</x:v>
      </x:c>
      <x:c r="J436" s="2" t="str">
        <x:v>muerta</x:v>
      </x:c>
      <x:c r="K436" s="2" t="n">
        <x:v>0</x:v>
      </x:c>
      <x:c r="L436" s="2" t="n">
        <x:v>0</x:v>
      </x:c>
      <x:c r="M436" s="2" t="n">
        <x:f>SUM(L$422:L436)</x:f>
        <x:v>0</x:v>
      </x:c>
      <x:c r="N436" s="2" t="n">
        <x:v>0</x:v>
      </x:c>
      <x:c r="O436" s="2" t="str">
        <x:v>relleno_postmuerte</x:v>
      </x:c>
      <x:c r="P436" s="2" t="n">
        <x:v>0</x:v>
      </x:c>
      <x:c r="Q436" s="2" t="str">
        <x:v>simulado_didactico</x:v>
      </x:c>
    </x:row>
    <x:row r="437" ht="19" customHeight="1">
      <x:c r="A437" s="2" t="str">
        <x:v>SIM-E2-BB-L7-R01</x:v>
      </x:c>
      <x:c r="B437" s="2" t="n">
        <x:v>1</x:v>
      </x:c>
      <x:c r="C437" s="2" t="str">
        <x:v>BB</x:v>
      </x:c>
      <x:c r="D437" s="2" t="str">
        <x:v>Brevicoryne brassicae</x:v>
      </x:c>
      <x:c r="E437" s="2" t="str">
        <x:v>L7</x:v>
      </x:c>
      <x:c r="F437" s="2" t="n">
        <x:v>1</x:v>
      </x:c>
      <x:c r="G437" s="2" t="n">
        <x:v>15</x:v>
      </x:c>
      <x:c r="H437" s="2" t="n">
        <x:f>G437+Supuestos!$C$15</x:f>
        <x:v>16</x:v>
      </x:c>
      <x:c r="I437" s="14" t="n">
        <x:f>E2_plantas!J12+G437</x:f>
        <x:v>46189</x:v>
      </x:c>
      <x:c r="J437" s="2" t="str">
        <x:v>muerta</x:v>
      </x:c>
      <x:c r="K437" s="2" t="n">
        <x:v>0</x:v>
      </x:c>
      <x:c r="L437" s="2" t="n">
        <x:v>0</x:v>
      </x:c>
      <x:c r="M437" s="2" t="n">
        <x:f>SUM(L$422:L437)</x:f>
        <x:v>0</x:v>
      </x:c>
      <x:c r="N437" s="2" t="n">
        <x:v>0</x:v>
      </x:c>
      <x:c r="O437" s="2" t="str">
        <x:v>relleno_postmuerte</x:v>
      </x:c>
      <x:c r="P437" s="2" t="n">
        <x:v>0</x:v>
      </x:c>
      <x:c r="Q437" s="2" t="str">
        <x:v>simulado_didactico</x:v>
      </x:c>
    </x:row>
    <x:row r="438" ht="19" customHeight="1">
      <x:c r="A438" s="2" t="str">
        <x:v>SIM-E2-BB-L7-R01</x:v>
      </x:c>
      <x:c r="B438" s="2" t="n">
        <x:v>1</x:v>
      </x:c>
      <x:c r="C438" s="2" t="str">
        <x:v>BB</x:v>
      </x:c>
      <x:c r="D438" s="2" t="str">
        <x:v>Brevicoryne brassicae</x:v>
      </x:c>
      <x:c r="E438" s="2" t="str">
        <x:v>L7</x:v>
      </x:c>
      <x:c r="F438" s="2" t="n">
        <x:v>1</x:v>
      </x:c>
      <x:c r="G438" s="2" t="n">
        <x:v>16</x:v>
      </x:c>
      <x:c r="H438" s="2" t="n">
        <x:f>G438+Supuestos!$C$15</x:f>
        <x:v>17</x:v>
      </x:c>
      <x:c r="I438" s="14" t="n">
        <x:f>E2_plantas!J12+G438</x:f>
        <x:v>46190</x:v>
      </x:c>
      <x:c r="J438" s="2" t="str">
        <x:v>muerta</x:v>
      </x:c>
      <x:c r="K438" s="2" t="n">
        <x:v>0</x:v>
      </x:c>
      <x:c r="L438" s="2" t="n">
        <x:v>0</x:v>
      </x:c>
      <x:c r="M438" s="2" t="n">
        <x:f>SUM(L$422:L438)</x:f>
        <x:v>0</x:v>
      </x:c>
      <x:c r="N438" s="2" t="n">
        <x:v>0</x:v>
      </x:c>
      <x:c r="O438" s="2" t="str">
        <x:v>relleno_postmuerte</x:v>
      </x:c>
      <x:c r="P438" s="2" t="n">
        <x:v>0</x:v>
      </x:c>
      <x:c r="Q438" s="2" t="str">
        <x:v>simulado_didactico</x:v>
      </x:c>
    </x:row>
    <x:row r="439" ht="19" customHeight="1">
      <x:c r="A439" s="2" t="str">
        <x:v>SIM-E2-BB-L7-R01</x:v>
      </x:c>
      <x:c r="B439" s="2" t="n">
        <x:v>1</x:v>
      </x:c>
      <x:c r="C439" s="2" t="str">
        <x:v>BB</x:v>
      </x:c>
      <x:c r="D439" s="2" t="str">
        <x:v>Brevicoryne brassicae</x:v>
      </x:c>
      <x:c r="E439" s="2" t="str">
        <x:v>L7</x:v>
      </x:c>
      <x:c r="F439" s="2" t="n">
        <x:v>1</x:v>
      </x:c>
      <x:c r="G439" s="2" t="n">
        <x:v>17</x:v>
      </x:c>
      <x:c r="H439" s="2" t="n">
        <x:f>G439+Supuestos!$C$15</x:f>
        <x:v>18</x:v>
      </x:c>
      <x:c r="I439" s="14" t="n">
        <x:f>E2_plantas!J12+G439</x:f>
        <x:v>46191</x:v>
      </x:c>
      <x:c r="J439" s="2" t="str">
        <x:v>muerta</x:v>
      </x:c>
      <x:c r="K439" s="2" t="n">
        <x:v>0</x:v>
      </x:c>
      <x:c r="L439" s="2" t="n">
        <x:v>0</x:v>
      </x:c>
      <x:c r="M439" s="2" t="n">
        <x:f>SUM(L$422:L439)</x:f>
        <x:v>0</x:v>
      </x:c>
      <x:c r="N439" s="2" t="n">
        <x:v>0</x:v>
      </x:c>
      <x:c r="O439" s="2" t="str">
        <x:v>relleno_postmuerte</x:v>
      </x:c>
      <x:c r="P439" s="2" t="n">
        <x:v>0</x:v>
      </x:c>
      <x:c r="Q439" s="2" t="str">
        <x:v>simulado_didactico</x:v>
      </x:c>
    </x:row>
    <x:row r="440" ht="19" customHeight="1">
      <x:c r="A440" s="2" t="str">
        <x:v>SIM-E2-BB-L7-R01</x:v>
      </x:c>
      <x:c r="B440" s="2" t="n">
        <x:v>1</x:v>
      </x:c>
      <x:c r="C440" s="2" t="str">
        <x:v>BB</x:v>
      </x:c>
      <x:c r="D440" s="2" t="str">
        <x:v>Brevicoryne brassicae</x:v>
      </x:c>
      <x:c r="E440" s="2" t="str">
        <x:v>L7</x:v>
      </x:c>
      <x:c r="F440" s="2" t="n">
        <x:v>1</x:v>
      </x:c>
      <x:c r="G440" s="2" t="n">
        <x:v>18</x:v>
      </x:c>
      <x:c r="H440" s="2" t="n">
        <x:f>G440+Supuestos!$C$15</x:f>
        <x:v>19</x:v>
      </x:c>
      <x:c r="I440" s="14" t="n">
        <x:f>E2_plantas!J12+G440</x:f>
        <x:v>46192</x:v>
      </x:c>
      <x:c r="J440" s="2" t="str">
        <x:v>muerta</x:v>
      </x:c>
      <x:c r="K440" s="2" t="n">
        <x:v>0</x:v>
      </x:c>
      <x:c r="L440" s="2" t="n">
        <x:v>0</x:v>
      </x:c>
      <x:c r="M440" s="2" t="n">
        <x:f>SUM(L$422:L440)</x:f>
        <x:v>0</x:v>
      </x:c>
      <x:c r="N440" s="2" t="n">
        <x:v>0</x:v>
      </x:c>
      <x:c r="O440" s="2" t="str">
        <x:v>relleno_postmuerte</x:v>
      </x:c>
      <x:c r="P440" s="2" t="n">
        <x:v>0</x:v>
      </x:c>
      <x:c r="Q440" s="2" t="str">
        <x:v>simulado_didactico</x:v>
      </x:c>
    </x:row>
    <x:row r="441" ht="19" customHeight="1">
      <x:c r="A441" s="2" t="str">
        <x:v>SIM-E2-BB-L7-R01</x:v>
      </x:c>
      <x:c r="B441" s="2" t="n">
        <x:v>1</x:v>
      </x:c>
      <x:c r="C441" s="2" t="str">
        <x:v>BB</x:v>
      </x:c>
      <x:c r="D441" s="2" t="str">
        <x:v>Brevicoryne brassicae</x:v>
      </x:c>
      <x:c r="E441" s="2" t="str">
        <x:v>L7</x:v>
      </x:c>
      <x:c r="F441" s="2" t="n">
        <x:v>1</x:v>
      </x:c>
      <x:c r="G441" s="2" t="n">
        <x:v>19</x:v>
      </x:c>
      <x:c r="H441" s="2" t="n">
        <x:f>G441+Supuestos!$C$15</x:f>
        <x:v>20</x:v>
      </x:c>
      <x:c r="I441" s="14" t="n">
        <x:f>E2_plantas!J12+G441</x:f>
        <x:v>46193</x:v>
      </x:c>
      <x:c r="J441" s="2" t="str">
        <x:v>muerta</x:v>
      </x:c>
      <x:c r="K441" s="2" t="n">
        <x:v>0</x:v>
      </x:c>
      <x:c r="L441" s="2" t="n">
        <x:v>0</x:v>
      </x:c>
      <x:c r="M441" s="2" t="n">
        <x:f>SUM(L$422:L441)</x:f>
        <x:v>0</x:v>
      </x:c>
      <x:c r="N441" s="2" t="n">
        <x:v>0</x:v>
      </x:c>
      <x:c r="O441" s="2" t="str">
        <x:v>relleno_postmuerte</x:v>
      </x:c>
      <x:c r="P441" s="2" t="n">
        <x:v>0</x:v>
      </x:c>
      <x:c r="Q441" s="2" t="str">
        <x:v>simulado_didactico</x:v>
      </x:c>
    </x:row>
    <x:row r="442" ht="19" customHeight="1">
      <x:c r="A442" s="2" t="str">
        <x:v>SIM-E2-BB-L7-R01</x:v>
      </x:c>
      <x:c r="B442" s="2" t="n">
        <x:v>1</x:v>
      </x:c>
      <x:c r="C442" s="2" t="str">
        <x:v>BB</x:v>
      </x:c>
      <x:c r="D442" s="2" t="str">
        <x:v>Brevicoryne brassicae</x:v>
      </x:c>
      <x:c r="E442" s="2" t="str">
        <x:v>L7</x:v>
      </x:c>
      <x:c r="F442" s="2" t="n">
        <x:v>1</x:v>
      </x:c>
      <x:c r="G442" s="2" t="n">
        <x:v>20</x:v>
      </x:c>
      <x:c r="H442" s="2" t="n">
        <x:f>G442+Supuestos!$C$15</x:f>
        <x:v>21</x:v>
      </x:c>
      <x:c r="I442" s="14" t="n">
        <x:f>E2_plantas!J12+G442</x:f>
        <x:v>46194</x:v>
      </x:c>
      <x:c r="J442" s="2" t="str">
        <x:v>muerta</x:v>
      </x:c>
      <x:c r="K442" s="2" t="n">
        <x:v>0</x:v>
      </x:c>
      <x:c r="L442" s="2" t="n">
        <x:v>0</x:v>
      </x:c>
      <x:c r="M442" s="2" t="n">
        <x:f>SUM(L$422:L442)</x:f>
        <x:v>0</x:v>
      </x:c>
      <x:c r="N442" s="2" t="n">
        <x:v>0</x:v>
      </x:c>
      <x:c r="O442" s="2" t="str">
        <x:v>relleno_postmuerte</x:v>
      </x:c>
      <x:c r="P442" s="2" t="n">
        <x:v>0</x:v>
      </x:c>
      <x:c r="Q442" s="2" t="str">
        <x:v>simulado_didactico</x:v>
      </x:c>
    </x:row>
    <x:row r="443" ht="19" customHeight="1">
      <x:c r="A443" s="2" t="str">
        <x:v>SIM-E2-BB-L7-R01</x:v>
      </x:c>
      <x:c r="B443" s="2" t="n">
        <x:v>1</x:v>
      </x:c>
      <x:c r="C443" s="2" t="str">
        <x:v>BB</x:v>
      </x:c>
      <x:c r="D443" s="2" t="str">
        <x:v>Brevicoryne brassicae</x:v>
      </x:c>
      <x:c r="E443" s="2" t="str">
        <x:v>L7</x:v>
      </x:c>
      <x:c r="F443" s="2" t="n">
        <x:v>1</x:v>
      </x:c>
      <x:c r="G443" s="2" t="n">
        <x:v>21</x:v>
      </x:c>
      <x:c r="H443" s="2" t="n">
        <x:f>G443+Supuestos!$C$15</x:f>
        <x:v>22</x:v>
      </x:c>
      <x:c r="I443" s="14" t="n">
        <x:f>E2_plantas!J12+G443</x:f>
        <x:v>46195</x:v>
      </x:c>
      <x:c r="J443" s="2" t="str">
        <x:v>muerta</x:v>
      </x:c>
      <x:c r="K443" s="2" t="n">
        <x:v>0</x:v>
      </x:c>
      <x:c r="L443" s="2" t="n">
        <x:v>0</x:v>
      </x:c>
      <x:c r="M443" s="2" t="n">
        <x:f>SUM(L$422:L443)</x:f>
        <x:v>0</x:v>
      </x:c>
      <x:c r="N443" s="2" t="n">
        <x:v>0</x:v>
      </x:c>
      <x:c r="O443" s="2" t="str">
        <x:v>relleno_postmuerte</x:v>
      </x:c>
      <x:c r="P443" s="2" t="n">
        <x:v>0</x:v>
      </x:c>
      <x:c r="Q443" s="2" t="str">
        <x:v>simulado_didactico</x:v>
      </x:c>
    </x:row>
    <x:row r="444" ht="19" customHeight="1">
      <x:c r="A444" s="2" t="str">
        <x:v>SIM-E2-BB-L7-R01</x:v>
      </x:c>
      <x:c r="B444" s="2" t="n">
        <x:v>1</x:v>
      </x:c>
      <x:c r="C444" s="2" t="str">
        <x:v>BB</x:v>
      </x:c>
      <x:c r="D444" s="2" t="str">
        <x:v>Brevicoryne brassicae</x:v>
      </x:c>
      <x:c r="E444" s="2" t="str">
        <x:v>L7</x:v>
      </x:c>
      <x:c r="F444" s="2" t="n">
        <x:v>1</x:v>
      </x:c>
      <x:c r="G444" s="2" t="n">
        <x:v>22</x:v>
      </x:c>
      <x:c r="H444" s="2" t="n">
        <x:f>G444+Supuestos!$C$15</x:f>
        <x:v>23</x:v>
      </x:c>
      <x:c r="I444" s="14" t="n">
        <x:f>E2_plantas!J12+G444</x:f>
        <x:v>46196</x:v>
      </x:c>
      <x:c r="J444" s="2" t="str">
        <x:v>muerta</x:v>
      </x:c>
      <x:c r="K444" s="2" t="n">
        <x:v>0</x:v>
      </x:c>
      <x:c r="L444" s="2" t="n">
        <x:v>0</x:v>
      </x:c>
      <x:c r="M444" s="2" t="n">
        <x:f>SUM(L$422:L444)</x:f>
        <x:v>0</x:v>
      </x:c>
      <x:c r="N444" s="2" t="n">
        <x:v>0</x:v>
      </x:c>
      <x:c r="O444" s="2" t="str">
        <x:v>relleno_postmuerte</x:v>
      </x:c>
      <x:c r="P444" s="2" t="n">
        <x:v>0</x:v>
      </x:c>
      <x:c r="Q444" s="2" t="str">
        <x:v>simulado_didactico</x:v>
      </x:c>
    </x:row>
    <x:row r="445" ht="19" customHeight="1">
      <x:c r="A445" s="2" t="str">
        <x:v>SIM-E2-BB-L7-R01</x:v>
      </x:c>
      <x:c r="B445" s="2" t="n">
        <x:v>1</x:v>
      </x:c>
      <x:c r="C445" s="2" t="str">
        <x:v>BB</x:v>
      </x:c>
      <x:c r="D445" s="2" t="str">
        <x:v>Brevicoryne brassicae</x:v>
      </x:c>
      <x:c r="E445" s="2" t="str">
        <x:v>L7</x:v>
      </x:c>
      <x:c r="F445" s="2" t="n">
        <x:v>1</x:v>
      </x:c>
      <x:c r="G445" s="2" t="n">
        <x:v>23</x:v>
      </x:c>
      <x:c r="H445" s="2" t="n">
        <x:f>G445+Supuestos!$C$15</x:f>
        <x:v>24</x:v>
      </x:c>
      <x:c r="I445" s="14" t="n">
        <x:f>E2_plantas!J12+G445</x:f>
        <x:v>46197</x:v>
      </x:c>
      <x:c r="J445" s="2" t="str">
        <x:v>muerta</x:v>
      </x:c>
      <x:c r="K445" s="2" t="n">
        <x:v>0</x:v>
      </x:c>
      <x:c r="L445" s="2" t="n">
        <x:v>0</x:v>
      </x:c>
      <x:c r="M445" s="2" t="n">
        <x:f>SUM(L$422:L445)</x:f>
        <x:v>0</x:v>
      </x:c>
      <x:c r="N445" s="2" t="n">
        <x:v>0</x:v>
      </x:c>
      <x:c r="O445" s="2" t="str">
        <x:v>relleno_postmuerte</x:v>
      </x:c>
      <x:c r="P445" s="2" t="n">
        <x:v>0</x:v>
      </x:c>
      <x:c r="Q445" s="2" t="str">
        <x:v>simulado_didactico</x:v>
      </x:c>
    </x:row>
    <x:row r="446" ht="19" customHeight="1">
      <x:c r="A446" s="2" t="str">
        <x:v>SIM-E2-BB-L7-R01</x:v>
      </x:c>
      <x:c r="B446" s="2" t="n">
        <x:v>1</x:v>
      </x:c>
      <x:c r="C446" s="2" t="str">
        <x:v>BB</x:v>
      </x:c>
      <x:c r="D446" s="2" t="str">
        <x:v>Brevicoryne brassicae</x:v>
      </x:c>
      <x:c r="E446" s="2" t="str">
        <x:v>L7</x:v>
      </x:c>
      <x:c r="F446" s="2" t="n">
        <x:v>1</x:v>
      </x:c>
      <x:c r="G446" s="2" t="n">
        <x:v>24</x:v>
      </x:c>
      <x:c r="H446" s="2" t="n">
        <x:f>G446+Supuestos!$C$15</x:f>
        <x:v>25</x:v>
      </x:c>
      <x:c r="I446" s="14" t="n">
        <x:f>E2_plantas!J12+G446</x:f>
        <x:v>46198</x:v>
      </x:c>
      <x:c r="J446" s="2" t="str">
        <x:v>muerta</x:v>
      </x:c>
      <x:c r="K446" s="2" t="n">
        <x:v>0</x:v>
      </x:c>
      <x:c r="L446" s="2" t="n">
        <x:v>0</x:v>
      </x:c>
      <x:c r="M446" s="2" t="n">
        <x:f>SUM(L$422:L446)</x:f>
        <x:v>0</x:v>
      </x:c>
      <x:c r="N446" s="2" t="n">
        <x:v>0</x:v>
      </x:c>
      <x:c r="O446" s="2" t="str">
        <x:v>relleno_postmuerte</x:v>
      </x:c>
      <x:c r="P446" s="2" t="n">
        <x:v>0</x:v>
      </x:c>
      <x:c r="Q446" s="2" t="str">
        <x:v>simulado_didactico</x:v>
      </x:c>
    </x:row>
    <x:row r="447" ht="19" customHeight="1">
      <x:c r="A447" s="2" t="str">
        <x:v>SIM-E2-BB-L7-R01</x:v>
      </x:c>
      <x:c r="B447" s="2" t="n">
        <x:v>1</x:v>
      </x:c>
      <x:c r="C447" s="2" t="str">
        <x:v>BB</x:v>
      </x:c>
      <x:c r="D447" s="2" t="str">
        <x:v>Brevicoryne brassicae</x:v>
      </x:c>
      <x:c r="E447" s="2" t="str">
        <x:v>L7</x:v>
      </x:c>
      <x:c r="F447" s="2" t="n">
        <x:v>1</x:v>
      </x:c>
      <x:c r="G447" s="2" t="n">
        <x:v>25</x:v>
      </x:c>
      <x:c r="H447" s="2" t="n">
        <x:f>G447+Supuestos!$C$15</x:f>
        <x:v>26</x:v>
      </x:c>
      <x:c r="I447" s="14" t="n">
        <x:f>E2_plantas!J12+G447</x:f>
        <x:v>46199</x:v>
      </x:c>
      <x:c r="J447" s="2" t="str">
        <x:v>muerta</x:v>
      </x:c>
      <x:c r="K447" s="2" t="n">
        <x:v>0</x:v>
      </x:c>
      <x:c r="L447" s="2" t="n">
        <x:v>0</x:v>
      </x:c>
      <x:c r="M447" s="2" t="n">
        <x:f>SUM(L$422:L447)</x:f>
        <x:v>0</x:v>
      </x:c>
      <x:c r="N447" s="2" t="n">
        <x:v>0</x:v>
      </x:c>
      <x:c r="O447" s="2" t="str">
        <x:v>relleno_postmuerte</x:v>
      </x:c>
      <x:c r="P447" s="2" t="n">
        <x:v>0</x:v>
      </x:c>
      <x:c r="Q447" s="2" t="str">
        <x:v>simulado_didactico</x:v>
      </x:c>
    </x:row>
    <x:row r="448" ht="19" customHeight="1">
      <x:c r="A448" s="2" t="str">
        <x:v>SIM-E2-BB-L7-R01</x:v>
      </x:c>
      <x:c r="B448" s="2" t="n">
        <x:v>1</x:v>
      </x:c>
      <x:c r="C448" s="2" t="str">
        <x:v>BB</x:v>
      </x:c>
      <x:c r="D448" s="2" t="str">
        <x:v>Brevicoryne brassicae</x:v>
      </x:c>
      <x:c r="E448" s="2" t="str">
        <x:v>L7</x:v>
      </x:c>
      <x:c r="F448" s="2" t="n">
        <x:v>1</x:v>
      </x:c>
      <x:c r="G448" s="2" t="n">
        <x:v>26</x:v>
      </x:c>
      <x:c r="H448" s="2" t="n">
        <x:f>G448+Supuestos!$C$15</x:f>
        <x:v>27</x:v>
      </x:c>
      <x:c r="I448" s="14" t="n">
        <x:f>E2_plantas!J12+G448</x:f>
        <x:v>46200</x:v>
      </x:c>
      <x:c r="J448" s="2" t="str">
        <x:v>muerta</x:v>
      </x:c>
      <x:c r="K448" s="2" t="n">
        <x:v>0</x:v>
      </x:c>
      <x:c r="L448" s="2" t="n">
        <x:v>0</x:v>
      </x:c>
      <x:c r="M448" s="2" t="n">
        <x:f>SUM(L$422:L448)</x:f>
        <x:v>0</x:v>
      </x:c>
      <x:c r="N448" s="2" t="n">
        <x:v>0</x:v>
      </x:c>
      <x:c r="O448" s="2" t="str">
        <x:v>relleno_postmuerte</x:v>
      </x:c>
      <x:c r="P448" s="2" t="n">
        <x:v>0</x:v>
      </x:c>
      <x:c r="Q448" s="2" t="str">
        <x:v>simulado_didactico</x:v>
      </x:c>
    </x:row>
    <x:row r="449" ht="19" customHeight="1">
      <x:c r="A449" s="2" t="str">
        <x:v>SIM-E2-BB-L7-R01</x:v>
      </x:c>
      <x:c r="B449" s="2" t="n">
        <x:v>1</x:v>
      </x:c>
      <x:c r="C449" s="2" t="str">
        <x:v>BB</x:v>
      </x:c>
      <x:c r="D449" s="2" t="str">
        <x:v>Brevicoryne brassicae</x:v>
      </x:c>
      <x:c r="E449" s="2" t="str">
        <x:v>L7</x:v>
      </x:c>
      <x:c r="F449" s="2" t="n">
        <x:v>1</x:v>
      </x:c>
      <x:c r="G449" s="2" t="n">
        <x:v>27</x:v>
      </x:c>
      <x:c r="H449" s="2" t="n">
        <x:f>G449+Supuestos!$C$15</x:f>
        <x:v>28</x:v>
      </x:c>
      <x:c r="I449" s="14" t="n">
        <x:f>E2_plantas!J12+G449</x:f>
        <x:v>46201</x:v>
      </x:c>
      <x:c r="J449" s="2" t="str">
        <x:v>muerta</x:v>
      </x:c>
      <x:c r="K449" s="2" t="n">
        <x:v>0</x:v>
      </x:c>
      <x:c r="L449" s="2" t="n">
        <x:v>0</x:v>
      </x:c>
      <x:c r="M449" s="2" t="n">
        <x:f>SUM(L$422:L449)</x:f>
        <x:v>0</x:v>
      </x:c>
      <x:c r="N449" s="2" t="n">
        <x:v>0</x:v>
      </x:c>
      <x:c r="O449" s="2" t="str">
        <x:v>relleno_postmuerte</x:v>
      </x:c>
      <x:c r="P449" s="2" t="n">
        <x:v>0</x:v>
      </x:c>
      <x:c r="Q449" s="2" t="str">
        <x:v>simulado_didactico</x:v>
      </x:c>
    </x:row>
    <x:row r="450" ht="19" customHeight="1">
      <x:c r="A450" s="2" t="str">
        <x:v>SIM-E2-BB-L7-R01</x:v>
      </x:c>
      <x:c r="B450" s="2" t="n">
        <x:v>1</x:v>
      </x:c>
      <x:c r="C450" s="2" t="str">
        <x:v>BB</x:v>
      </x:c>
      <x:c r="D450" s="2" t="str">
        <x:v>Brevicoryne brassicae</x:v>
      </x:c>
      <x:c r="E450" s="2" t="str">
        <x:v>L7</x:v>
      </x:c>
      <x:c r="F450" s="2" t="n">
        <x:v>1</x:v>
      </x:c>
      <x:c r="G450" s="2" t="n">
        <x:v>28</x:v>
      </x:c>
      <x:c r="H450" s="2" t="n">
        <x:f>G450+Supuestos!$C$15</x:f>
        <x:v>29</x:v>
      </x:c>
      <x:c r="I450" s="14" t="n">
        <x:f>E2_plantas!J12+G450</x:f>
        <x:v>46202</x:v>
      </x:c>
      <x:c r="J450" s="2" t="str">
        <x:v>muerta</x:v>
      </x:c>
      <x:c r="K450" s="2" t="n">
        <x:v>0</x:v>
      </x:c>
      <x:c r="L450" s="2" t="n">
        <x:v>0</x:v>
      </x:c>
      <x:c r="M450" s="2" t="n">
        <x:f>SUM(L$422:L450)</x:f>
        <x:v>0</x:v>
      </x:c>
      <x:c r="N450" s="2" t="n">
        <x:v>0</x:v>
      </x:c>
      <x:c r="O450" s="2" t="str">
        <x:v>relleno_postmuerte</x:v>
      </x:c>
      <x:c r="P450" s="2" t="n">
        <x:v>0</x:v>
      </x:c>
      <x:c r="Q450" s="2" t="str">
        <x:v>simulado_didactico</x:v>
      </x:c>
    </x:row>
    <x:row r="451" ht="19" customHeight="1">
      <x:c r="A451" s="2" t="str">
        <x:v>SIM-E2-BB-L7-R01</x:v>
      </x:c>
      <x:c r="B451" s="2" t="n">
        <x:v>1</x:v>
      </x:c>
      <x:c r="C451" s="2" t="str">
        <x:v>BB</x:v>
      </x:c>
      <x:c r="D451" s="2" t="str">
        <x:v>Brevicoryne brassicae</x:v>
      </x:c>
      <x:c r="E451" s="2" t="str">
        <x:v>L7</x:v>
      </x:c>
      <x:c r="F451" s="2" t="n">
        <x:v>1</x:v>
      </x:c>
      <x:c r="G451" s="2" t="n">
        <x:v>29</x:v>
      </x:c>
      <x:c r="H451" s="2" t="n">
        <x:f>G451+Supuestos!$C$15</x:f>
        <x:v>30</x:v>
      </x:c>
      <x:c r="I451" s="14" t="n">
        <x:f>E2_plantas!J12+G451</x:f>
        <x:v>46203</x:v>
      </x:c>
      <x:c r="J451" s="2" t="str">
        <x:v>muerta</x:v>
      </x:c>
      <x:c r="K451" s="2" t="n">
        <x:v>0</x:v>
      </x:c>
      <x:c r="L451" s="2" t="n">
        <x:v>0</x:v>
      </x:c>
      <x:c r="M451" s="2" t="n">
        <x:f>SUM(L$422:L451)</x:f>
        <x:v>0</x:v>
      </x:c>
      <x:c r="N451" s="2" t="n">
        <x:v>0</x:v>
      </x:c>
      <x:c r="O451" s="2" t="str">
        <x:v>relleno_postmuerte</x:v>
      </x:c>
      <x:c r="P451" s="2" t="n">
        <x:v>0</x:v>
      </x:c>
      <x:c r="Q451" s="2" t="str">
        <x:v>simulado_didactico</x:v>
      </x:c>
    </x:row>
    <x:row r="452" ht="19" customHeight="1">
      <x:c r="A452" s="2" t="str">
        <x:v>SIM-E2-BB-L7-R01</x:v>
      </x:c>
      <x:c r="B452" s="2" t="n">
        <x:v>1</x:v>
      </x:c>
      <x:c r="C452" s="2" t="str">
        <x:v>BB</x:v>
      </x:c>
      <x:c r="D452" s="2" t="str">
        <x:v>Brevicoryne brassicae</x:v>
      </x:c>
      <x:c r="E452" s="2" t="str">
        <x:v>L7</x:v>
      </x:c>
      <x:c r="F452" s="2" t="n">
        <x:v>1</x:v>
      </x:c>
      <x:c r="G452" s="2" t="n">
        <x:v>30</x:v>
      </x:c>
      <x:c r="H452" s="2" t="n">
        <x:f>G452+Supuestos!$C$15</x:f>
        <x:v>31</x:v>
      </x:c>
      <x:c r="I452" s="14" t="n">
        <x:f>E2_plantas!J12+G452</x:f>
        <x:v>46204</x:v>
      </x:c>
      <x:c r="J452" s="2" t="str">
        <x:v>muerta</x:v>
      </x:c>
      <x:c r="K452" s="2" t="n">
        <x:v>0</x:v>
      </x:c>
      <x:c r="L452" s="2" t="n">
        <x:v>0</x:v>
      </x:c>
      <x:c r="M452" s="2" t="n">
        <x:f>SUM(L$422:L452)</x:f>
        <x:v>0</x:v>
      </x:c>
      <x:c r="N452" s="2" t="n">
        <x:v>0</x:v>
      </x:c>
      <x:c r="O452" s="2" t="str">
        <x:v>relleno_postmuerte</x:v>
      </x:c>
      <x:c r="P452" s="2" t="n">
        <x:v>0</x:v>
      </x:c>
      <x:c r="Q452" s="2" t="str">
        <x:v>simulado_didactico</x:v>
      </x:c>
    </x:row>
    <x:row r="453" ht="19" customHeight="1">
      <x:c r="A453" s="2" t="str">
        <x:v>SIM-E2-BB-L7-R01</x:v>
      </x:c>
      <x:c r="B453" s="2" t="n">
        <x:v>1</x:v>
      </x:c>
      <x:c r="C453" s="2" t="str">
        <x:v>BB</x:v>
      </x:c>
      <x:c r="D453" s="2" t="str">
        <x:v>Brevicoryne brassicae</x:v>
      </x:c>
      <x:c r="E453" s="2" t="str">
        <x:v>L7</x:v>
      </x:c>
      <x:c r="F453" s="2" t="n">
        <x:v>1</x:v>
      </x:c>
      <x:c r="G453" s="2" t="n">
        <x:v>31</x:v>
      </x:c>
      <x:c r="H453" s="2" t="n">
        <x:f>G453+Supuestos!$C$15</x:f>
        <x:v>32</x:v>
      </x:c>
      <x:c r="I453" s="14" t="n">
        <x:f>E2_plantas!J12+G453</x:f>
        <x:v>46205</x:v>
      </x:c>
      <x:c r="J453" s="2" t="str">
        <x:v>muerta</x:v>
      </x:c>
      <x:c r="K453" s="2" t="n">
        <x:v>0</x:v>
      </x:c>
      <x:c r="L453" s="2" t="n">
        <x:v>0</x:v>
      </x:c>
      <x:c r="M453" s="2" t="n">
        <x:f>SUM(L$422:L453)</x:f>
        <x:v>0</x:v>
      </x:c>
      <x:c r="N453" s="2" t="n">
        <x:v>0</x:v>
      </x:c>
      <x:c r="O453" s="2" t="str">
        <x:v>relleno_postmuerte</x:v>
      </x:c>
      <x:c r="P453" s="2" t="n">
        <x:v>0</x:v>
      </x:c>
      <x:c r="Q453" s="2" t="str">
        <x:v>simulado_didactico</x:v>
      </x:c>
    </x:row>
    <x:row r="454" ht="19" customHeight="1">
      <x:c r="A454" s="2" t="str">
        <x:v>SIM-E2-BB-L7-R01</x:v>
      </x:c>
      <x:c r="B454" s="2" t="n">
        <x:v>1</x:v>
      </x:c>
      <x:c r="C454" s="2" t="str">
        <x:v>BB</x:v>
      </x:c>
      <x:c r="D454" s="2" t="str">
        <x:v>Brevicoryne brassicae</x:v>
      </x:c>
      <x:c r="E454" s="2" t="str">
        <x:v>L7</x:v>
      </x:c>
      <x:c r="F454" s="2" t="n">
        <x:v>1</x:v>
      </x:c>
      <x:c r="G454" s="2" t="n">
        <x:v>32</x:v>
      </x:c>
      <x:c r="H454" s="2" t="n">
        <x:f>G454+Supuestos!$C$15</x:f>
        <x:v>33</x:v>
      </x:c>
      <x:c r="I454" s="14" t="n">
        <x:f>E2_plantas!J12+G454</x:f>
        <x:v>46206</x:v>
      </x:c>
      <x:c r="J454" s="2" t="str">
        <x:v>muerta</x:v>
      </x:c>
      <x:c r="K454" s="2" t="n">
        <x:v>0</x:v>
      </x:c>
      <x:c r="L454" s="2" t="n">
        <x:v>0</x:v>
      </x:c>
      <x:c r="M454" s="2" t="n">
        <x:f>SUM(L$422:L454)</x:f>
        <x:v>0</x:v>
      </x:c>
      <x:c r="N454" s="2" t="n">
        <x:v>0</x:v>
      </x:c>
      <x:c r="O454" s="2" t="str">
        <x:v>relleno_postmuerte</x:v>
      </x:c>
      <x:c r="P454" s="2" t="n">
        <x:v>0</x:v>
      </x:c>
      <x:c r="Q454" s="2" t="str">
        <x:v>simulado_didactico</x:v>
      </x:c>
    </x:row>
    <x:row r="455" ht="19" customHeight="1">
      <x:c r="A455" s="2" t="str">
        <x:v>SIM-E2-BB-L7-R01</x:v>
      </x:c>
      <x:c r="B455" s="2" t="n">
        <x:v>1</x:v>
      </x:c>
      <x:c r="C455" s="2" t="str">
        <x:v>BB</x:v>
      </x:c>
      <x:c r="D455" s="2" t="str">
        <x:v>Brevicoryne brassicae</x:v>
      </x:c>
      <x:c r="E455" s="2" t="str">
        <x:v>L7</x:v>
      </x:c>
      <x:c r="F455" s="2" t="n">
        <x:v>1</x:v>
      </x:c>
      <x:c r="G455" s="2" t="n">
        <x:v>33</x:v>
      </x:c>
      <x:c r="H455" s="2" t="n">
        <x:f>G455+Supuestos!$C$15</x:f>
        <x:v>34</x:v>
      </x:c>
      <x:c r="I455" s="14" t="n">
        <x:f>E2_plantas!J12+G455</x:f>
        <x:v>46207</x:v>
      </x:c>
      <x:c r="J455" s="2" t="str">
        <x:v>muerta</x:v>
      </x:c>
      <x:c r="K455" s="2" t="n">
        <x:v>0</x:v>
      </x:c>
      <x:c r="L455" s="2" t="n">
        <x:v>0</x:v>
      </x:c>
      <x:c r="M455" s="2" t="n">
        <x:f>SUM(L$422:L455)</x:f>
        <x:v>0</x:v>
      </x:c>
      <x:c r="N455" s="2" t="n">
        <x:v>0</x:v>
      </x:c>
      <x:c r="O455" s="2" t="str">
        <x:v>relleno_postmuerte</x:v>
      </x:c>
      <x:c r="P455" s="2" t="n">
        <x:v>0</x:v>
      </x:c>
      <x:c r="Q455" s="2" t="str">
        <x:v>simulado_didactico</x:v>
      </x:c>
    </x:row>
    <x:row r="456" ht="19" customHeight="1">
      <x:c r="A456" s="2" t="str">
        <x:v>SIM-E2-BB-L7-R01</x:v>
      </x:c>
      <x:c r="B456" s="2" t="n">
        <x:v>1</x:v>
      </x:c>
      <x:c r="C456" s="2" t="str">
        <x:v>BB</x:v>
      </x:c>
      <x:c r="D456" s="2" t="str">
        <x:v>Brevicoryne brassicae</x:v>
      </x:c>
      <x:c r="E456" s="2" t="str">
        <x:v>L7</x:v>
      </x:c>
      <x:c r="F456" s="2" t="n">
        <x:v>1</x:v>
      </x:c>
      <x:c r="G456" s="2" t="n">
        <x:v>34</x:v>
      </x:c>
      <x:c r="H456" s="2" t="n">
        <x:f>G456+Supuestos!$C$15</x:f>
        <x:v>35</x:v>
      </x:c>
      <x:c r="I456" s="14" t="n">
        <x:f>E2_plantas!J12+G456</x:f>
        <x:v>46208</x:v>
      </x:c>
      <x:c r="J456" s="2" t="str">
        <x:v>muerta</x:v>
      </x:c>
      <x:c r="K456" s="2" t="n">
        <x:v>0</x:v>
      </x:c>
      <x:c r="L456" s="2" t="n">
        <x:v>0</x:v>
      </x:c>
      <x:c r="M456" s="2" t="n">
        <x:f>SUM(L$422:L456)</x:f>
        <x:v>0</x:v>
      </x:c>
      <x:c r="N456" s="2" t="n">
        <x:v>0</x:v>
      </x:c>
      <x:c r="O456" s="2" t="str">
        <x:v>relleno_postmuerte</x:v>
      </x:c>
      <x:c r="P456" s="2" t="n">
        <x:v>0</x:v>
      </x:c>
      <x:c r="Q456" s="2" t="str">
        <x:v>simulado_didactico</x:v>
      </x:c>
    </x:row>
    <x:row r="457" ht="19" customHeight="1">
      <x:c r="A457" s="2" t="str">
        <x:v>SIM-E2-BB-L7-R01</x:v>
      </x:c>
      <x:c r="B457" s="2" t="n">
        <x:v>1</x:v>
      </x:c>
      <x:c r="C457" s="2" t="str">
        <x:v>BB</x:v>
      </x:c>
      <x:c r="D457" s="2" t="str">
        <x:v>Brevicoryne brassicae</x:v>
      </x:c>
      <x:c r="E457" s="2" t="str">
        <x:v>L7</x:v>
      </x:c>
      <x:c r="F457" s="2" t="n">
        <x:v>1</x:v>
      </x:c>
      <x:c r="G457" s="2" t="n">
        <x:v>35</x:v>
      </x:c>
      <x:c r="H457" s="2" t="n">
        <x:f>G457+Supuestos!$C$15</x:f>
        <x:v>36</x:v>
      </x:c>
      <x:c r="I457" s="14" t="n">
        <x:f>E2_plantas!J12+G457</x:f>
        <x:v>46209</x:v>
      </x:c>
      <x:c r="J457" s="2" t="str">
        <x:v>muerta</x:v>
      </x:c>
      <x:c r="K457" s="2" t="n">
        <x:v>0</x:v>
      </x:c>
      <x:c r="L457" s="2" t="n">
        <x:v>0</x:v>
      </x:c>
      <x:c r="M457" s="2" t="n">
        <x:f>SUM(L$422:L457)</x:f>
        <x:v>0</x:v>
      </x:c>
      <x:c r="N457" s="2" t="n">
        <x:v>0</x:v>
      </x:c>
      <x:c r="O457" s="2" t="str">
        <x:v>relleno_postmuerte</x:v>
      </x:c>
      <x:c r="P457" s="2" t="n">
        <x:v>0</x:v>
      </x:c>
      <x:c r="Q457" s="2" t="str">
        <x:v>simulado_didactico</x:v>
      </x:c>
    </x:row>
    <x:row r="458" ht="19" customHeight="1">
      <x:c r="A458" s="2" t="str">
        <x:v>SIM-E2-BB-L7-R01</x:v>
      </x:c>
      <x:c r="B458" s="2" t="n">
        <x:v>1</x:v>
      </x:c>
      <x:c r="C458" s="2" t="str">
        <x:v>BB</x:v>
      </x:c>
      <x:c r="D458" s="2" t="str">
        <x:v>Brevicoryne brassicae</x:v>
      </x:c>
      <x:c r="E458" s="2" t="str">
        <x:v>L7</x:v>
      </x:c>
      <x:c r="F458" s="2" t="n">
        <x:v>1</x:v>
      </x:c>
      <x:c r="G458" s="2" t="n">
        <x:v>36</x:v>
      </x:c>
      <x:c r="H458" s="2" t="n">
        <x:f>G458+Supuestos!$C$15</x:f>
        <x:v>37</x:v>
      </x:c>
      <x:c r="I458" s="14" t="n">
        <x:f>E2_plantas!J12+G458</x:f>
        <x:v>46210</x:v>
      </x:c>
      <x:c r="J458" s="2" t="str">
        <x:v>muerta</x:v>
      </x:c>
      <x:c r="K458" s="2" t="n">
        <x:v>0</x:v>
      </x:c>
      <x:c r="L458" s="2" t="n">
        <x:v>0</x:v>
      </x:c>
      <x:c r="M458" s="2" t="n">
        <x:f>SUM(L$422:L458)</x:f>
        <x:v>0</x:v>
      </x:c>
      <x:c r="N458" s="2" t="n">
        <x:v>0</x:v>
      </x:c>
      <x:c r="O458" s="2" t="str">
        <x:v>relleno_postmuerte</x:v>
      </x:c>
      <x:c r="P458" s="2" t="n">
        <x:v>0</x:v>
      </x:c>
      <x:c r="Q458" s="2" t="str">
        <x:v>simulado_didactico</x:v>
      </x:c>
    </x:row>
    <x:row r="459" ht="19" customHeight="1">
      <x:c r="A459" s="2" t="str">
        <x:v>SIM-E2-BB-L7-R01</x:v>
      </x:c>
      <x:c r="B459" s="2" t="n">
        <x:v>1</x:v>
      </x:c>
      <x:c r="C459" s="2" t="str">
        <x:v>BB</x:v>
      </x:c>
      <x:c r="D459" s="2" t="str">
        <x:v>Brevicoryne brassicae</x:v>
      </x:c>
      <x:c r="E459" s="2" t="str">
        <x:v>L7</x:v>
      </x:c>
      <x:c r="F459" s="2" t="n">
        <x:v>1</x:v>
      </x:c>
      <x:c r="G459" s="2" t="n">
        <x:v>37</x:v>
      </x:c>
      <x:c r="H459" s="2" t="n">
        <x:f>G459+Supuestos!$C$15</x:f>
        <x:v>38</x:v>
      </x:c>
      <x:c r="I459" s="14" t="n">
        <x:f>E2_plantas!J12+G459</x:f>
        <x:v>46211</x:v>
      </x:c>
      <x:c r="J459" s="2" t="str">
        <x:v>muerta</x:v>
      </x:c>
      <x:c r="K459" s="2" t="n">
        <x:v>0</x:v>
      </x:c>
      <x:c r="L459" s="2" t="n">
        <x:v>0</x:v>
      </x:c>
      <x:c r="M459" s="2" t="n">
        <x:f>SUM(L$422:L459)</x:f>
        <x:v>0</x:v>
      </x:c>
      <x:c r="N459" s="2" t="n">
        <x:v>0</x:v>
      </x:c>
      <x:c r="O459" s="2" t="str">
        <x:v>relleno_postmuerte</x:v>
      </x:c>
      <x:c r="P459" s="2" t="n">
        <x:v>0</x:v>
      </x:c>
      <x:c r="Q459" s="2" t="str">
        <x:v>simulado_didactico</x:v>
      </x:c>
    </x:row>
    <x:row r="460" ht="19" customHeight="1">
      <x:c r="A460" s="2" t="str">
        <x:v>SIM-E2-BB-L7-R01</x:v>
      </x:c>
      <x:c r="B460" s="2" t="n">
        <x:v>1</x:v>
      </x:c>
      <x:c r="C460" s="2" t="str">
        <x:v>BB</x:v>
      </x:c>
      <x:c r="D460" s="2" t="str">
        <x:v>Brevicoryne brassicae</x:v>
      </x:c>
      <x:c r="E460" s="2" t="str">
        <x:v>L7</x:v>
      </x:c>
      <x:c r="F460" s="2" t="n">
        <x:v>1</x:v>
      </x:c>
      <x:c r="G460" s="2" t="n">
        <x:v>38</x:v>
      </x:c>
      <x:c r="H460" s="2" t="n">
        <x:f>G460+Supuestos!$C$15</x:f>
        <x:v>39</x:v>
      </x:c>
      <x:c r="I460" s="14" t="n">
        <x:f>E2_plantas!J12+G460</x:f>
        <x:v>46212</x:v>
      </x:c>
      <x:c r="J460" s="2" t="str">
        <x:v>muerta</x:v>
      </x:c>
      <x:c r="K460" s="2" t="n">
        <x:v>0</x:v>
      </x:c>
      <x:c r="L460" s="2" t="n">
        <x:v>0</x:v>
      </x:c>
      <x:c r="M460" s="2" t="n">
        <x:f>SUM(L$422:L460)</x:f>
        <x:v>0</x:v>
      </x:c>
      <x:c r="N460" s="2" t="n">
        <x:v>0</x:v>
      </x:c>
      <x:c r="O460" s="2" t="str">
        <x:v>relleno_postmuerte</x:v>
      </x:c>
      <x:c r="P460" s="2" t="n">
        <x:v>0</x:v>
      </x:c>
      <x:c r="Q460" s="2" t="str">
        <x:v>simulado_didactico</x:v>
      </x:c>
    </x:row>
    <x:row r="461" ht="19" customHeight="1">
      <x:c r="A461" s="2" t="str">
        <x:v>SIM-E2-BB-L7-R01</x:v>
      </x:c>
      <x:c r="B461" s="2" t="n">
        <x:v>1</x:v>
      </x:c>
      <x:c r="C461" s="2" t="str">
        <x:v>BB</x:v>
      </x:c>
      <x:c r="D461" s="2" t="str">
        <x:v>Brevicoryne brassicae</x:v>
      </x:c>
      <x:c r="E461" s="2" t="str">
        <x:v>L7</x:v>
      </x:c>
      <x:c r="F461" s="2" t="n">
        <x:v>1</x:v>
      </x:c>
      <x:c r="G461" s="2" t="n">
        <x:v>39</x:v>
      </x:c>
      <x:c r="H461" s="2" t="n">
        <x:f>G461+Supuestos!$C$15</x:f>
        <x:v>40</x:v>
      </x:c>
      <x:c r="I461" s="14" t="n">
        <x:f>E2_plantas!J12+G461</x:f>
        <x:v>46213</x:v>
      </x:c>
      <x:c r="J461" s="2" t="str">
        <x:v>muerta</x:v>
      </x:c>
      <x:c r="K461" s="2" t="n">
        <x:v>0</x:v>
      </x:c>
      <x:c r="L461" s="2" t="n">
        <x:v>0</x:v>
      </x:c>
      <x:c r="M461" s="2" t="n">
        <x:f>SUM(L$422:L461)</x:f>
        <x:v>0</x:v>
      </x:c>
      <x:c r="N461" s="2" t="n">
        <x:v>0</x:v>
      </x:c>
      <x:c r="O461" s="2" t="str">
        <x:v>relleno_postmuerte</x:v>
      </x:c>
      <x:c r="P461" s="2" t="n">
        <x:v>0</x:v>
      </x:c>
      <x:c r="Q461" s="2" t="str">
        <x:v>simulado_didactico</x:v>
      </x:c>
    </x:row>
    <x:row r="462" ht="19" customHeight="1">
      <x:c r="A462" s="2" t="str">
        <x:v>SIM-E2-BB-L7-R01</x:v>
      </x:c>
      <x:c r="B462" s="2" t="n">
        <x:v>1</x:v>
      </x:c>
      <x:c r="C462" s="2" t="str">
        <x:v>BB</x:v>
      </x:c>
      <x:c r="D462" s="2" t="str">
        <x:v>Brevicoryne brassicae</x:v>
      </x:c>
      <x:c r="E462" s="2" t="str">
        <x:v>L7</x:v>
      </x:c>
      <x:c r="F462" s="2" t="n">
        <x:v>1</x:v>
      </x:c>
      <x:c r="G462" s="2" t="n">
        <x:v>40</x:v>
      </x:c>
      <x:c r="H462" s="2" t="n">
        <x:f>G462+Supuestos!$C$15</x:f>
        <x:v>41</x:v>
      </x:c>
      <x:c r="I462" s="14" t="n">
        <x:f>E2_plantas!J12+G462</x:f>
        <x:v>46214</x:v>
      </x:c>
      <x:c r="J462" s="2" t="str">
        <x:v>muerta</x:v>
      </x:c>
      <x:c r="K462" s="2" t="n">
        <x:v>0</x:v>
      </x:c>
      <x:c r="L462" s="2" t="n">
        <x:v>0</x:v>
      </x:c>
      <x:c r="M462" s="2" t="n">
        <x:f>SUM(L$422:L462)</x:f>
        <x:v>0</x:v>
      </x:c>
      <x:c r="N462" s="2" t="n">
        <x:v>0</x:v>
      </x:c>
      <x:c r="O462" s="2" t="str">
        <x:v>relleno_postmuerte</x:v>
      </x:c>
      <x:c r="P462" s="2" t="n">
        <x:v>0</x:v>
      </x:c>
      <x:c r="Q462" s="2" t="str">
        <x:v>simulado_didactico</x:v>
      </x:c>
    </x:row>
    <x:row r="463" ht="19" customHeight="1">
      <x:c r="A463" s="2" t="str">
        <x:v>SIM-E2-BB-L7-R01</x:v>
      </x:c>
      <x:c r="B463" s="2" t="n">
        <x:v>1</x:v>
      </x:c>
      <x:c r="C463" s="2" t="str">
        <x:v>BB</x:v>
      </x:c>
      <x:c r="D463" s="2" t="str">
        <x:v>Brevicoryne brassicae</x:v>
      </x:c>
      <x:c r="E463" s="2" t="str">
        <x:v>L7</x:v>
      </x:c>
      <x:c r="F463" s="2" t="n">
        <x:v>1</x:v>
      </x:c>
      <x:c r="G463" s="2" t="n">
        <x:v>41</x:v>
      </x:c>
      <x:c r="H463" s="2" t="n">
        <x:f>G463+Supuestos!$C$15</x:f>
        <x:v>42</x:v>
      </x:c>
      <x:c r="I463" s="14" t="n">
        <x:f>E2_plantas!J12+G463</x:f>
        <x:v>46215</x:v>
      </x:c>
      <x:c r="J463" s="2" t="str">
        <x:v>muerta</x:v>
      </x:c>
      <x:c r="K463" s="2" t="n">
        <x:v>0</x:v>
      </x:c>
      <x:c r="L463" s="2" t="n">
        <x:v>0</x:v>
      </x:c>
      <x:c r="M463" s="2" t="n">
        <x:f>SUM(L$422:L463)</x:f>
        <x:v>0</x:v>
      </x:c>
      <x:c r="N463" s="2" t="n">
        <x:v>0</x:v>
      </x:c>
      <x:c r="O463" s="2" t="str">
        <x:v>relleno_postmuerte</x:v>
      </x:c>
      <x:c r="P463" s="2" t="n">
        <x:v>0</x:v>
      </x:c>
      <x:c r="Q463" s="2" t="str">
        <x:v>simulado_didactico</x:v>
      </x:c>
    </x:row>
    <x:row r="464" ht="19" customHeight="1">
      <x:c r="A464" s="2" t="str">
        <x:v>SIM-E2-BB-L7-R02</x:v>
      </x:c>
      <x:c r="B464" s="2" t="n">
        <x:v>1</x:v>
      </x:c>
      <x:c r="C464" s="2" t="str">
        <x:v>BB</x:v>
      </x:c>
      <x:c r="D464" s="2" t="str">
        <x:v>Brevicoryne brassicae</x:v>
      </x:c>
      <x:c r="E464" s="2" t="str">
        <x:v>L7</x:v>
      </x:c>
      <x:c r="F464" s="2" t="n">
        <x:v>2</x:v>
      </x:c>
      <x:c r="G464" s="2" t="n">
        <x:v>0</x:v>
      </x:c>
      <x:c r="H464" s="2" t="n">
        <x:f>G464+Supuestos!$C$15</x:f>
        <x:v>1</x:v>
      </x:c>
      <x:c r="I464" s="14" t="n">
        <x:f>E2_plantas!J13+G464</x:f>
        <x:v>46174</x:v>
      </x:c>
      <x:c r="J464" s="2" t="str">
        <x:v>N1</x:v>
      </x:c>
      <x:c r="K464" s="2" t="n">
        <x:v>1</x:v>
      </x:c>
      <x:c r="L464" s="2" t="n">
        <x:v>0</x:v>
      </x:c>
      <x:c r="M464" s="2" t="n">
        <x:f>SUM(L$464:L464)</x:f>
        <x:v>0</x:v>
      </x:c>
      <x:c r="N464" s="2" t="n">
        <x:v>0</x:v>
      </x:c>
      <x:c r="O464" s="2" t="str">
        <x:v>seguimiento</x:v>
      </x:c>
      <x:c r="P464" s="2" t="n">
        <x:v>0</x:v>
      </x:c>
      <x:c r="Q464" s="2" t="str">
        <x:v>simulado_didactico</x:v>
      </x:c>
    </x:row>
    <x:row r="465" ht="19" customHeight="1">
      <x:c r="A465" s="2" t="str">
        <x:v>SIM-E2-BB-L7-R02</x:v>
      </x:c>
      <x:c r="B465" s="2" t="n">
        <x:v>1</x:v>
      </x:c>
      <x:c r="C465" s="2" t="str">
        <x:v>BB</x:v>
      </x:c>
      <x:c r="D465" s="2" t="str">
        <x:v>Brevicoryne brassicae</x:v>
      </x:c>
      <x:c r="E465" s="2" t="str">
        <x:v>L7</x:v>
      </x:c>
      <x:c r="F465" s="2" t="n">
        <x:v>2</x:v>
      </x:c>
      <x:c r="G465" s="2" t="n">
        <x:v>1</x:v>
      </x:c>
      <x:c r="H465" s="2" t="n">
        <x:f>G465+Supuestos!$C$15</x:f>
        <x:v>2</x:v>
      </x:c>
      <x:c r="I465" s="14" t="n">
        <x:f>E2_plantas!J13+G465</x:f>
        <x:v>46175</x:v>
      </x:c>
      <x:c r="J465" s="2" t="str">
        <x:v>N1</x:v>
      </x:c>
      <x:c r="K465" s="2" t="n">
        <x:v>1</x:v>
      </x:c>
      <x:c r="L465" s="2" t="n">
        <x:v>0</x:v>
      </x:c>
      <x:c r="M465" s="2" t="n">
        <x:f>SUM(L$464:L465)</x:f>
        <x:v>0</x:v>
      </x:c>
      <x:c r="N465" s="2" t="n">
        <x:v>0</x:v>
      </x:c>
      <x:c r="O465" s="2" t="str">
        <x:v>seguimiento</x:v>
      </x:c>
      <x:c r="P465" s="2" t="n">
        <x:v>0</x:v>
      </x:c>
      <x:c r="Q465" s="2" t="str">
        <x:v>simulado_didactico</x:v>
      </x:c>
    </x:row>
    <x:row r="466" ht="19" customHeight="1">
      <x:c r="A466" s="2" t="str">
        <x:v>SIM-E2-BB-L7-R02</x:v>
      </x:c>
      <x:c r="B466" s="2" t="n">
        <x:v>1</x:v>
      </x:c>
      <x:c r="C466" s="2" t="str">
        <x:v>BB</x:v>
      </x:c>
      <x:c r="D466" s="2" t="str">
        <x:v>Brevicoryne brassicae</x:v>
      </x:c>
      <x:c r="E466" s="2" t="str">
        <x:v>L7</x:v>
      </x:c>
      <x:c r="F466" s="2" t="n">
        <x:v>2</x:v>
      </x:c>
      <x:c r="G466" s="2" t="n">
        <x:v>2</x:v>
      </x:c>
      <x:c r="H466" s="2" t="n">
        <x:f>G466+Supuestos!$C$15</x:f>
        <x:v>3</x:v>
      </x:c>
      <x:c r="I466" s="14" t="n">
        <x:f>E2_plantas!J13+G466</x:f>
        <x:v>46176</x:v>
      </x:c>
      <x:c r="J466" s="2" t="str">
        <x:v>N1</x:v>
      </x:c>
      <x:c r="K466" s="2" t="n">
        <x:v>1</x:v>
      </x:c>
      <x:c r="L466" s="2" t="n">
        <x:v>0</x:v>
      </x:c>
      <x:c r="M466" s="2" t="n">
        <x:f>SUM(L$464:L466)</x:f>
        <x:v>0</x:v>
      </x:c>
      <x:c r="N466" s="2" t="n">
        <x:v>0</x:v>
      </x:c>
      <x:c r="O466" s="2" t="str">
        <x:v>seguimiento</x:v>
      </x:c>
      <x:c r="P466" s="2" t="n">
        <x:v>0</x:v>
      </x:c>
      <x:c r="Q466" s="2" t="str">
        <x:v>simulado_didactico</x:v>
      </x:c>
    </x:row>
    <x:row r="467" ht="19" customHeight="1">
      <x:c r="A467" s="2" t="str">
        <x:v>SIM-E2-BB-L7-R02</x:v>
      </x:c>
      <x:c r="B467" s="2" t="n">
        <x:v>1</x:v>
      </x:c>
      <x:c r="C467" s="2" t="str">
        <x:v>BB</x:v>
      </x:c>
      <x:c r="D467" s="2" t="str">
        <x:v>Brevicoryne brassicae</x:v>
      </x:c>
      <x:c r="E467" s="2" t="str">
        <x:v>L7</x:v>
      </x:c>
      <x:c r="F467" s="2" t="n">
        <x:v>2</x:v>
      </x:c>
      <x:c r="G467" s="2" t="n">
        <x:v>3</x:v>
      </x:c>
      <x:c r="H467" s="2" t="n">
        <x:f>G467+Supuestos!$C$15</x:f>
        <x:v>4</x:v>
      </x:c>
      <x:c r="I467" s="14" t="n">
        <x:f>E2_plantas!J13+G467</x:f>
        <x:v>46177</x:v>
      </x:c>
      <x:c r="J467" s="2" t="str">
        <x:v>N2</x:v>
      </x:c>
      <x:c r="K467" s="2" t="n">
        <x:v>1</x:v>
      </x:c>
      <x:c r="L467" s="2" t="n">
        <x:v>0</x:v>
      </x:c>
      <x:c r="M467" s="2" t="n">
        <x:f>SUM(L$464:L467)</x:f>
        <x:v>0</x:v>
      </x:c>
      <x:c r="N467" s="2" t="n">
        <x:v>0</x:v>
      </x:c>
      <x:c r="O467" s="2" t="str">
        <x:v>seguimiento</x:v>
      </x:c>
      <x:c r="P467" s="2" t="n">
        <x:v>0</x:v>
      </x:c>
      <x:c r="Q467" s="2" t="str">
        <x:v>simulado_didactico</x:v>
      </x:c>
    </x:row>
    <x:row r="468" ht="19" customHeight="1">
      <x:c r="A468" s="2" t="str">
        <x:v>SIM-E2-BB-L7-R02</x:v>
      </x:c>
      <x:c r="B468" s="2" t="n">
        <x:v>1</x:v>
      </x:c>
      <x:c r="C468" s="2" t="str">
        <x:v>BB</x:v>
      </x:c>
      <x:c r="D468" s="2" t="str">
        <x:v>Brevicoryne brassicae</x:v>
      </x:c>
      <x:c r="E468" s="2" t="str">
        <x:v>L7</x:v>
      </x:c>
      <x:c r="F468" s="2" t="n">
        <x:v>2</x:v>
      </x:c>
      <x:c r="G468" s="2" t="n">
        <x:v>4</x:v>
      </x:c>
      <x:c r="H468" s="2" t="n">
        <x:f>G468+Supuestos!$C$15</x:f>
        <x:v>5</x:v>
      </x:c>
      <x:c r="I468" s="14" t="n">
        <x:f>E2_plantas!J13+G468</x:f>
        <x:v>46178</x:v>
      </x:c>
      <x:c r="J468" s="2" t="str">
        <x:v>N3</x:v>
      </x:c>
      <x:c r="K468" s="2" t="n">
        <x:v>1</x:v>
      </x:c>
      <x:c r="L468" s="2" t="n">
        <x:v>0</x:v>
      </x:c>
      <x:c r="M468" s="2" t="n">
        <x:f>SUM(L$464:L468)</x:f>
        <x:v>0</x:v>
      </x:c>
      <x:c r="N468" s="2" t="n">
        <x:v>0</x:v>
      </x:c>
      <x:c r="O468" s="2" t="str">
        <x:v>seguimiento</x:v>
      </x:c>
      <x:c r="P468" s="2" t="n">
        <x:v>0</x:v>
      </x:c>
      <x:c r="Q468" s="2" t="str">
        <x:v>simulado_didactico</x:v>
      </x:c>
    </x:row>
    <x:row r="469" ht="19" customHeight="1">
      <x:c r="A469" s="2" t="str">
        <x:v>SIM-E2-BB-L7-R02</x:v>
      </x:c>
      <x:c r="B469" s="2" t="n">
        <x:v>1</x:v>
      </x:c>
      <x:c r="C469" s="2" t="str">
        <x:v>BB</x:v>
      </x:c>
      <x:c r="D469" s="2" t="str">
        <x:v>Brevicoryne brassicae</x:v>
      </x:c>
      <x:c r="E469" s="2" t="str">
        <x:v>L7</x:v>
      </x:c>
      <x:c r="F469" s="2" t="n">
        <x:v>2</x:v>
      </x:c>
      <x:c r="G469" s="2" t="n">
        <x:v>5</x:v>
      </x:c>
      <x:c r="H469" s="2" t="n">
        <x:f>G469+Supuestos!$C$15</x:f>
        <x:v>6</x:v>
      </x:c>
      <x:c r="I469" s="14" t="n">
        <x:f>E2_plantas!J13+G469</x:f>
        <x:v>46179</x:v>
      </x:c>
      <x:c r="J469" s="2" t="str">
        <x:v>N3</x:v>
      </x:c>
      <x:c r="K469" s="2" t="n">
        <x:v>1</x:v>
      </x:c>
      <x:c r="L469" s="2" t="n">
        <x:v>0</x:v>
      </x:c>
      <x:c r="M469" s="2" t="n">
        <x:f>SUM(L$464:L469)</x:f>
        <x:v>0</x:v>
      </x:c>
      <x:c r="N469" s="2" t="n">
        <x:v>0</x:v>
      </x:c>
      <x:c r="O469" s="2" t="str">
        <x:v>seguimiento</x:v>
      </x:c>
      <x:c r="P469" s="2" t="n">
        <x:v>0</x:v>
      </x:c>
      <x:c r="Q469" s="2" t="str">
        <x:v>simulado_didactico</x:v>
      </x:c>
    </x:row>
    <x:row r="470" ht="19" customHeight="1">
      <x:c r="A470" s="2" t="str">
        <x:v>SIM-E2-BB-L7-R02</x:v>
      </x:c>
      <x:c r="B470" s="2" t="n">
        <x:v>1</x:v>
      </x:c>
      <x:c r="C470" s="2" t="str">
        <x:v>BB</x:v>
      </x:c>
      <x:c r="D470" s="2" t="str">
        <x:v>Brevicoryne brassicae</x:v>
      </x:c>
      <x:c r="E470" s="2" t="str">
        <x:v>L7</x:v>
      </x:c>
      <x:c r="F470" s="2" t="n">
        <x:v>2</x:v>
      </x:c>
      <x:c r="G470" s="2" t="n">
        <x:v>6</x:v>
      </x:c>
      <x:c r="H470" s="2" t="n">
        <x:f>G470+Supuestos!$C$15</x:f>
        <x:v>7</x:v>
      </x:c>
      <x:c r="I470" s="14" t="n">
        <x:f>E2_plantas!J13+G470</x:f>
        <x:v>46180</x:v>
      </x:c>
      <x:c r="J470" s="2" t="str">
        <x:v>N3</x:v>
      </x:c>
      <x:c r="K470" s="2" t="n">
        <x:v>1</x:v>
      </x:c>
      <x:c r="L470" s="2" t="n">
        <x:v>0</x:v>
      </x:c>
      <x:c r="M470" s="2" t="n">
        <x:f>SUM(L$464:L470)</x:f>
        <x:v>0</x:v>
      </x:c>
      <x:c r="N470" s="2" t="n">
        <x:v>0</x:v>
      </x:c>
      <x:c r="O470" s="2" t="str">
        <x:v>seguimiento</x:v>
      </x:c>
      <x:c r="P470" s="2" t="n">
        <x:v>0</x:v>
      </x:c>
      <x:c r="Q470" s="2" t="str">
        <x:v>simulado_didactico</x:v>
      </x:c>
    </x:row>
    <x:row r="471" ht="19" customHeight="1">
      <x:c r="A471" s="2" t="str">
        <x:v>SIM-E2-BB-L7-R02</x:v>
      </x:c>
      <x:c r="B471" s="2" t="n">
        <x:v>1</x:v>
      </x:c>
      <x:c r="C471" s="2" t="str">
        <x:v>BB</x:v>
      </x:c>
      <x:c r="D471" s="2" t="str">
        <x:v>Brevicoryne brassicae</x:v>
      </x:c>
      <x:c r="E471" s="2" t="str">
        <x:v>L7</x:v>
      </x:c>
      <x:c r="F471" s="2" t="n">
        <x:v>2</x:v>
      </x:c>
      <x:c r="G471" s="2" t="n">
        <x:v>7</x:v>
      </x:c>
      <x:c r="H471" s="2" t="n">
        <x:f>G471+Supuestos!$C$15</x:f>
        <x:v>8</x:v>
      </x:c>
      <x:c r="I471" s="14" t="n">
        <x:f>E2_plantas!J13+G471</x:f>
        <x:v>46181</x:v>
      </x:c>
      <x:c r="J471" s="2" t="str">
        <x:v>N3</x:v>
      </x:c>
      <x:c r="K471" s="2" t="n">
        <x:v>1</x:v>
      </x:c>
      <x:c r="L471" s="2" t="n">
        <x:v>0</x:v>
      </x:c>
      <x:c r="M471" s="2" t="n">
        <x:f>SUM(L$464:L471)</x:f>
        <x:v>0</x:v>
      </x:c>
      <x:c r="N471" s="2" t="n">
        <x:v>0</x:v>
      </x:c>
      <x:c r="O471" s="2" t="str">
        <x:v>seguimiento</x:v>
      </x:c>
      <x:c r="P471" s="2" t="n">
        <x:v>0</x:v>
      </x:c>
      <x:c r="Q471" s="2" t="str">
        <x:v>simulado_didactico</x:v>
      </x:c>
    </x:row>
    <x:row r="472" ht="19" customHeight="1">
      <x:c r="A472" s="2" t="str">
        <x:v>SIM-E2-BB-L7-R02</x:v>
      </x:c>
      <x:c r="B472" s="2" t="n">
        <x:v>1</x:v>
      </x:c>
      <x:c r="C472" s="2" t="str">
        <x:v>BB</x:v>
      </x:c>
      <x:c r="D472" s="2" t="str">
        <x:v>Brevicoryne brassicae</x:v>
      </x:c>
      <x:c r="E472" s="2" t="str">
        <x:v>L7</x:v>
      </x:c>
      <x:c r="F472" s="2" t="n">
        <x:v>2</x:v>
      </x:c>
      <x:c r="G472" s="2" t="n">
        <x:v>8</x:v>
      </x:c>
      <x:c r="H472" s="2" t="n">
        <x:f>G472+Supuestos!$C$15</x:f>
        <x:v>9</x:v>
      </x:c>
      <x:c r="I472" s="14" t="n">
        <x:f>E2_plantas!J13+G472</x:f>
        <x:v>46182</x:v>
      </x:c>
      <x:c r="J472" s="2" t="str">
        <x:v>N4</x:v>
      </x:c>
      <x:c r="K472" s="2" t="n">
        <x:v>1</x:v>
      </x:c>
      <x:c r="L472" s="2" t="n">
        <x:v>0</x:v>
      </x:c>
      <x:c r="M472" s="2" t="n">
        <x:f>SUM(L$464:L472)</x:f>
        <x:v>0</x:v>
      </x:c>
      <x:c r="N472" s="2" t="n">
        <x:v>0</x:v>
      </x:c>
      <x:c r="O472" s="2" t="str">
        <x:v>seguimiento</x:v>
      </x:c>
      <x:c r="P472" s="2" t="n">
        <x:v>0</x:v>
      </x:c>
      <x:c r="Q472" s="2" t="str">
        <x:v>simulado_didactico</x:v>
      </x:c>
    </x:row>
    <x:row r="473" ht="19" customHeight="1">
      <x:c r="A473" s="2" t="str">
        <x:v>SIM-E2-BB-L7-R02</x:v>
      </x:c>
      <x:c r="B473" s="2" t="n">
        <x:v>1</x:v>
      </x:c>
      <x:c r="C473" s="2" t="str">
        <x:v>BB</x:v>
      </x:c>
      <x:c r="D473" s="2" t="str">
        <x:v>Brevicoryne brassicae</x:v>
      </x:c>
      <x:c r="E473" s="2" t="str">
        <x:v>L7</x:v>
      </x:c>
      <x:c r="F473" s="2" t="n">
        <x:v>2</x:v>
      </x:c>
      <x:c r="G473" s="2" t="n">
        <x:v>9</x:v>
      </x:c>
      <x:c r="H473" s="2" t="n">
        <x:f>G473+Supuestos!$C$15</x:f>
        <x:v>10</x:v>
      </x:c>
      <x:c r="I473" s="14" t="n">
        <x:f>E2_plantas!J13+G473</x:f>
        <x:v>46183</x:v>
      </x:c>
      <x:c r="J473" s="2" t="str">
        <x:v>N4</x:v>
      </x:c>
      <x:c r="K473" s="2" t="n">
        <x:v>1</x:v>
      </x:c>
      <x:c r="L473" s="2" t="n">
        <x:v>0</x:v>
      </x:c>
      <x:c r="M473" s="2" t="n">
        <x:f>SUM(L$464:L473)</x:f>
        <x:v>0</x:v>
      </x:c>
      <x:c r="N473" s="2" t="n">
        <x:v>0</x:v>
      </x:c>
      <x:c r="O473" s="2" t="str">
        <x:v>seguimiento</x:v>
      </x:c>
      <x:c r="P473" s="2" t="n">
        <x:v>0</x:v>
      </x:c>
      <x:c r="Q473" s="2" t="str">
        <x:v>simulado_didactico</x:v>
      </x:c>
    </x:row>
    <x:row r="474" ht="19" customHeight="1">
      <x:c r="A474" s="2" t="str">
        <x:v>SIM-E2-BB-L7-R02</x:v>
      </x:c>
      <x:c r="B474" s="2" t="n">
        <x:v>1</x:v>
      </x:c>
      <x:c r="C474" s="2" t="str">
        <x:v>BB</x:v>
      </x:c>
      <x:c r="D474" s="2" t="str">
        <x:v>Brevicoryne brassicae</x:v>
      </x:c>
      <x:c r="E474" s="2" t="str">
        <x:v>L7</x:v>
      </x:c>
      <x:c r="F474" s="2" t="n">
        <x:v>2</x:v>
      </x:c>
      <x:c r="G474" s="2" t="n">
        <x:v>10</x:v>
      </x:c>
      <x:c r="H474" s="2" t="n">
        <x:f>G474+Supuestos!$C$15</x:f>
        <x:v>11</x:v>
      </x:c>
      <x:c r="I474" s="14" t="n">
        <x:f>E2_plantas!J13+G474</x:f>
        <x:v>46184</x:v>
      </x:c>
      <x:c r="J474" s="2" t="str">
        <x:v>N4</x:v>
      </x:c>
      <x:c r="K474" s="2" t="n">
        <x:v>1</x:v>
      </x:c>
      <x:c r="L474" s="2" t="n">
        <x:v>0</x:v>
      </x:c>
      <x:c r="M474" s="2" t="n">
        <x:f>SUM(L$464:L474)</x:f>
        <x:v>0</x:v>
      </x:c>
      <x:c r="N474" s="2" t="n">
        <x:v>0</x:v>
      </x:c>
      <x:c r="O474" s="2" t="str">
        <x:v>seguimiento</x:v>
      </x:c>
      <x:c r="P474" s="2" t="n">
        <x:v>0</x:v>
      </x:c>
      <x:c r="Q474" s="2" t="str">
        <x:v>simulado_didactico</x:v>
      </x:c>
    </x:row>
    <x:row r="475" ht="19" customHeight="1">
      <x:c r="A475" s="2" t="str">
        <x:v>SIM-E2-BB-L7-R02</x:v>
      </x:c>
      <x:c r="B475" s="2" t="n">
        <x:v>1</x:v>
      </x:c>
      <x:c r="C475" s="2" t="str">
        <x:v>BB</x:v>
      </x:c>
      <x:c r="D475" s="2" t="str">
        <x:v>Brevicoryne brassicae</x:v>
      </x:c>
      <x:c r="E475" s="2" t="str">
        <x:v>L7</x:v>
      </x:c>
      <x:c r="F475" s="2" t="n">
        <x:v>2</x:v>
      </x:c>
      <x:c r="G475" s="2" t="n">
        <x:v>11</x:v>
      </x:c>
      <x:c r="H475" s="2" t="n">
        <x:f>G475+Supuestos!$C$15</x:f>
        <x:v>12</x:v>
      </x:c>
      <x:c r="I475" s="14" t="n">
        <x:f>E2_plantas!J13+G475</x:f>
        <x:v>46185</x:v>
      </x:c>
      <x:c r="J475" s="2" t="str">
        <x:v>adulta</x:v>
      </x:c>
      <x:c r="K475" s="2" t="n">
        <x:v>1</x:v>
      </x:c>
      <x:c r="L475" s="2" t="n">
        <x:v>0</x:v>
      </x:c>
      <x:c r="M475" s="2" t="n">
        <x:f>SUM(L$464:L475)</x:f>
        <x:v>0</x:v>
      </x:c>
      <x:c r="N475" s="2" t="n">
        <x:v>0</x:v>
      </x:c>
      <x:c r="O475" s="2" t="str">
        <x:v>seguimiento</x:v>
      </x:c>
      <x:c r="P475" s="2" t="n">
        <x:v>0</x:v>
      </x:c>
      <x:c r="Q475" s="2" t="str">
        <x:v>simulado_didactico</x:v>
      </x:c>
    </x:row>
    <x:row r="476" ht="19" customHeight="1">
      <x:c r="A476" s="2" t="str">
        <x:v>SIM-E2-BB-L7-R02</x:v>
      </x:c>
      <x:c r="B476" s="2" t="n">
        <x:v>1</x:v>
      </x:c>
      <x:c r="C476" s="2" t="str">
        <x:v>BB</x:v>
      </x:c>
      <x:c r="D476" s="2" t="str">
        <x:v>Brevicoryne brassicae</x:v>
      </x:c>
      <x:c r="E476" s="2" t="str">
        <x:v>L7</x:v>
      </x:c>
      <x:c r="F476" s="2" t="n">
        <x:v>2</x:v>
      </x:c>
      <x:c r="G476" s="2" t="n">
        <x:v>12</x:v>
      </x:c>
      <x:c r="H476" s="2" t="n">
        <x:f>G476+Supuestos!$C$15</x:f>
        <x:v>13</x:v>
      </x:c>
      <x:c r="I476" s="14" t="n">
        <x:f>E2_plantas!J13+G476</x:f>
        <x:v>46186</x:v>
      </x:c>
      <x:c r="J476" s="2" t="str">
        <x:v>adulta</x:v>
      </x:c>
      <x:c r="K476" s="2" t="n">
        <x:v>1</x:v>
      </x:c>
      <x:c r="L476" s="2" t="n">
        <x:v>0</x:v>
      </x:c>
      <x:c r="M476" s="2" t="n">
        <x:f>SUM(L$464:L476)</x:f>
        <x:v>0</x:v>
      </x:c>
      <x:c r="N476" s="2" t="n">
        <x:v>0</x:v>
      </x:c>
      <x:c r="O476" s="2" t="str">
        <x:v>seguimiento</x:v>
      </x:c>
      <x:c r="P476" s="2" t="n">
        <x:v>0</x:v>
      </x:c>
      <x:c r="Q476" s="2" t="str">
        <x:v>simulado_didactico</x:v>
      </x:c>
    </x:row>
    <x:row r="477" ht="19" customHeight="1">
      <x:c r="A477" s="2" t="str">
        <x:v>SIM-E2-BB-L7-R02</x:v>
      </x:c>
      <x:c r="B477" s="2" t="n">
        <x:v>1</x:v>
      </x:c>
      <x:c r="C477" s="2" t="str">
        <x:v>BB</x:v>
      </x:c>
      <x:c r="D477" s="2" t="str">
        <x:v>Brevicoryne brassicae</x:v>
      </x:c>
      <x:c r="E477" s="2" t="str">
        <x:v>L7</x:v>
      </x:c>
      <x:c r="F477" s="2" t="n">
        <x:v>2</x:v>
      </x:c>
      <x:c r="G477" s="2" t="n">
        <x:v>13</x:v>
      </x:c>
      <x:c r="H477" s="2" t="n">
        <x:f>G477+Supuestos!$C$15</x:f>
        <x:v>14</x:v>
      </x:c>
      <x:c r="I477" s="14" t="n">
        <x:f>E2_plantas!J13+G477</x:f>
        <x:v>46187</x:v>
      </x:c>
      <x:c r="J477" s="2" t="str">
        <x:v>adulta</x:v>
      </x:c>
      <x:c r="K477" s="2" t="n">
        <x:v>1</x:v>
      </x:c>
      <x:c r="L477" s="2" t="n">
        <x:v>1</x:v>
      </x:c>
      <x:c r="M477" s="2" t="n">
        <x:f>SUM(L$464:L477)</x:f>
        <x:v>1</x:v>
      </x:c>
      <x:c r="N477" s="2" t="n">
        <x:v>0</x:v>
      </x:c>
      <x:c r="O477" s="2" t="str">
        <x:v>seguimiento</x:v>
      </x:c>
      <x:c r="P477" s="2" t="n">
        <x:v>0</x:v>
      </x:c>
      <x:c r="Q477" s="2" t="str">
        <x:v>simulado_didactico</x:v>
      </x:c>
    </x:row>
    <x:row r="478" ht="19" customHeight="1">
      <x:c r="A478" s="2" t="str">
        <x:v>SIM-E2-BB-L7-R02</x:v>
      </x:c>
      <x:c r="B478" s="2" t="n">
        <x:v>1</x:v>
      </x:c>
      <x:c r="C478" s="2" t="str">
        <x:v>BB</x:v>
      </x:c>
      <x:c r="D478" s="2" t="str">
        <x:v>Brevicoryne brassicae</x:v>
      </x:c>
      <x:c r="E478" s="2" t="str">
        <x:v>L7</x:v>
      </x:c>
      <x:c r="F478" s="2" t="n">
        <x:v>2</x:v>
      </x:c>
      <x:c r="G478" s="2" t="n">
        <x:v>14</x:v>
      </x:c>
      <x:c r="H478" s="2" t="n">
        <x:f>G478+Supuestos!$C$15</x:f>
        <x:v>15</x:v>
      </x:c>
      <x:c r="I478" s="14" t="n">
        <x:f>E2_plantas!J13+G478</x:f>
        <x:v>46188</x:v>
      </x:c>
      <x:c r="J478" s="2" t="str">
        <x:v>adulta</x:v>
      </x:c>
      <x:c r="K478" s="2" t="n">
        <x:v>1</x:v>
      </x:c>
      <x:c r="L478" s="2" t="n">
        <x:v>4</x:v>
      </x:c>
      <x:c r="M478" s="2" t="n">
        <x:f>SUM(L$464:L478)</x:f>
        <x:v>5</x:v>
      </x:c>
      <x:c r="N478" s="2" t="n">
        <x:v>0</x:v>
      </x:c>
      <x:c r="O478" s="2" t="str">
        <x:v>seguimiento</x:v>
      </x:c>
      <x:c r="P478" s="2" t="n">
        <x:v>0</x:v>
      </x:c>
      <x:c r="Q478" s="2" t="str">
        <x:v>simulado_didactico</x:v>
      </x:c>
    </x:row>
    <x:row r="479" ht="19" customHeight="1">
      <x:c r="A479" s="2" t="str">
        <x:v>SIM-E2-BB-L7-R02</x:v>
      </x:c>
      <x:c r="B479" s="2" t="n">
        <x:v>1</x:v>
      </x:c>
      <x:c r="C479" s="2" t="str">
        <x:v>BB</x:v>
      </x:c>
      <x:c r="D479" s="2" t="str">
        <x:v>Brevicoryne brassicae</x:v>
      </x:c>
      <x:c r="E479" s="2" t="str">
        <x:v>L7</x:v>
      </x:c>
      <x:c r="F479" s="2" t="n">
        <x:v>2</x:v>
      </x:c>
      <x:c r="G479" s="2" t="n">
        <x:v>15</x:v>
      </x:c>
      <x:c r="H479" s="2" t="n">
        <x:f>G479+Supuestos!$C$15</x:f>
        <x:v>16</x:v>
      </x:c>
      <x:c r="I479" s="14" t="n">
        <x:f>E2_plantas!J13+G479</x:f>
        <x:v>46189</x:v>
      </x:c>
      <x:c r="J479" s="2" t="str">
        <x:v>adulta</x:v>
      </x:c>
      <x:c r="K479" s="2" t="n">
        <x:v>1</x:v>
      </x:c>
      <x:c r="L479" s="2" t="n">
        <x:v>1</x:v>
      </x:c>
      <x:c r="M479" s="2" t="n">
        <x:f>SUM(L$464:L479)</x:f>
        <x:v>6</x:v>
      </x:c>
      <x:c r="N479" s="2" t="n">
        <x:v>0</x:v>
      </x:c>
      <x:c r="O479" s="2" t="str">
        <x:v>seguimiento</x:v>
      </x:c>
      <x:c r="P479" s="2" t="n">
        <x:v>0</x:v>
      </x:c>
      <x:c r="Q479" s="2" t="str">
        <x:v>simulado_didactico</x:v>
      </x:c>
    </x:row>
    <x:row r="480" ht="19" customHeight="1">
      <x:c r="A480" s="2" t="str">
        <x:v>SIM-E2-BB-L7-R02</x:v>
      </x:c>
      <x:c r="B480" s="2" t="n">
        <x:v>1</x:v>
      </x:c>
      <x:c r="C480" s="2" t="str">
        <x:v>BB</x:v>
      </x:c>
      <x:c r="D480" s="2" t="str">
        <x:v>Brevicoryne brassicae</x:v>
      </x:c>
      <x:c r="E480" s="2" t="str">
        <x:v>L7</x:v>
      </x:c>
      <x:c r="F480" s="2" t="n">
        <x:v>2</x:v>
      </x:c>
      <x:c r="G480" s="2" t="n">
        <x:v>16</x:v>
      </x:c>
      <x:c r="H480" s="2" t="n">
        <x:f>G480+Supuestos!$C$15</x:f>
        <x:v>17</x:v>
      </x:c>
      <x:c r="I480" s="14" t="n">
        <x:f>E2_plantas!J13+G480</x:f>
        <x:v>46190</x:v>
      </x:c>
      <x:c r="J480" s="2" t="str">
        <x:v>adulta</x:v>
      </x:c>
      <x:c r="K480" s="2" t="n">
        <x:v>1</x:v>
      </x:c>
      <x:c r="L480" s="2" t="n">
        <x:v>1</x:v>
      </x:c>
      <x:c r="M480" s="2" t="n">
        <x:f>SUM(L$464:L480)</x:f>
        <x:v>7</x:v>
      </x:c>
      <x:c r="N480" s="2" t="n">
        <x:v>0</x:v>
      </x:c>
      <x:c r="O480" s="2" t="str">
        <x:v>seguimiento</x:v>
      </x:c>
      <x:c r="P480" s="2" t="n">
        <x:v>0</x:v>
      </x:c>
      <x:c r="Q480" s="2" t="str">
        <x:v>simulado_didactico</x:v>
      </x:c>
    </x:row>
    <x:row r="481" ht="19" customHeight="1">
      <x:c r="A481" s="2" t="str">
        <x:v>SIM-E2-BB-L7-R02</x:v>
      </x:c>
      <x:c r="B481" s="2" t="n">
        <x:v>1</x:v>
      </x:c>
      <x:c r="C481" s="2" t="str">
        <x:v>BB</x:v>
      </x:c>
      <x:c r="D481" s="2" t="str">
        <x:v>Brevicoryne brassicae</x:v>
      </x:c>
      <x:c r="E481" s="2" t="str">
        <x:v>L7</x:v>
      </x:c>
      <x:c r="F481" s="2" t="n">
        <x:v>2</x:v>
      </x:c>
      <x:c r="G481" s="2" t="n">
        <x:v>17</x:v>
      </x:c>
      <x:c r="H481" s="2" t="n">
        <x:f>G481+Supuestos!$C$15</x:f>
        <x:v>18</x:v>
      </x:c>
      <x:c r="I481" s="14" t="n">
        <x:f>E2_plantas!J13+G481</x:f>
        <x:v>46191</x:v>
      </x:c>
      <x:c r="J481" s="2" t="str">
        <x:v>adulta</x:v>
      </x:c>
      <x:c r="K481" s="2" t="n">
        <x:v>1</x:v>
      </x:c>
      <x:c r="L481" s="2" t="n">
        <x:v>2</x:v>
      </x:c>
      <x:c r="M481" s="2" t="n">
        <x:f>SUM(L$464:L481)</x:f>
        <x:v>9</x:v>
      </x:c>
      <x:c r="N481" s="2" t="n">
        <x:v>0</x:v>
      </x:c>
      <x:c r="O481" s="2" t="str">
        <x:v>seguimiento</x:v>
      </x:c>
      <x:c r="P481" s="2" t="n">
        <x:v>0</x:v>
      </x:c>
      <x:c r="Q481" s="2" t="str">
        <x:v>simulado_didactico</x:v>
      </x:c>
    </x:row>
    <x:row r="482" ht="19" customHeight="1">
      <x:c r="A482" s="2" t="str">
        <x:v>SIM-E2-BB-L7-R02</x:v>
      </x:c>
      <x:c r="B482" s="2" t="n">
        <x:v>1</x:v>
      </x:c>
      <x:c r="C482" s="2" t="str">
        <x:v>BB</x:v>
      </x:c>
      <x:c r="D482" s="2" t="str">
        <x:v>Brevicoryne brassicae</x:v>
      </x:c>
      <x:c r="E482" s="2" t="str">
        <x:v>L7</x:v>
      </x:c>
      <x:c r="F482" s="2" t="n">
        <x:v>2</x:v>
      </x:c>
      <x:c r="G482" s="2" t="n">
        <x:v>18</x:v>
      </x:c>
      <x:c r="H482" s="2" t="n">
        <x:f>G482+Supuestos!$C$15</x:f>
        <x:v>19</x:v>
      </x:c>
      <x:c r="I482" s="14" t="n">
        <x:f>E2_plantas!J13+G482</x:f>
        <x:v>46192</x:v>
      </x:c>
      <x:c r="J482" s="2" t="str">
        <x:v>adulta</x:v>
      </x:c>
      <x:c r="K482" s="2" t="n">
        <x:v>1</x:v>
      </x:c>
      <x:c r="L482" s="2" t="n">
        <x:v>1</x:v>
      </x:c>
      <x:c r="M482" s="2" t="n">
        <x:f>SUM(L$464:L482)</x:f>
        <x:v>10</x:v>
      </x:c>
      <x:c r="N482" s="2" t="n">
        <x:v>0</x:v>
      </x:c>
      <x:c r="O482" s="2" t="str">
        <x:v>seguimiento</x:v>
      </x:c>
      <x:c r="P482" s="2" t="n">
        <x:v>0</x:v>
      </x:c>
      <x:c r="Q482" s="2" t="str">
        <x:v>simulado_didactico</x:v>
      </x:c>
    </x:row>
    <x:row r="483" ht="19" customHeight="1">
      <x:c r="A483" s="2" t="str">
        <x:v>SIM-E2-BB-L7-R02</x:v>
      </x:c>
      <x:c r="B483" s="2" t="n">
        <x:v>1</x:v>
      </x:c>
      <x:c r="C483" s="2" t="str">
        <x:v>BB</x:v>
      </x:c>
      <x:c r="D483" s="2" t="str">
        <x:v>Brevicoryne brassicae</x:v>
      </x:c>
      <x:c r="E483" s="2" t="str">
        <x:v>L7</x:v>
      </x:c>
      <x:c r="F483" s="2" t="n">
        <x:v>2</x:v>
      </x:c>
      <x:c r="G483" s="2" t="n">
        <x:v>19</x:v>
      </x:c>
      <x:c r="H483" s="2" t="n">
        <x:f>G483+Supuestos!$C$15</x:f>
        <x:v>20</x:v>
      </x:c>
      <x:c r="I483" s="14" t="n">
        <x:f>E2_plantas!J13+G483</x:f>
        <x:v>46193</x:v>
      </x:c>
      <x:c r="J483" s="2" t="str">
        <x:v>adulta</x:v>
      </x:c>
      <x:c r="K483" s="2" t="n">
        <x:v>1</x:v>
      </x:c>
      <x:c r="L483" s="2" t="n">
        <x:v>2</x:v>
      </x:c>
      <x:c r="M483" s="2" t="n">
        <x:f>SUM(L$464:L483)</x:f>
        <x:v>12</x:v>
      </x:c>
      <x:c r="N483" s="2" t="n">
        <x:v>0</x:v>
      </x:c>
      <x:c r="O483" s="2" t="str">
        <x:v>seguimiento</x:v>
      </x:c>
      <x:c r="P483" s="2" t="n">
        <x:v>0</x:v>
      </x:c>
      <x:c r="Q483" s="2" t="str">
        <x:v>simulado_didactico</x:v>
      </x:c>
    </x:row>
    <x:row r="484" ht="19" customHeight="1">
      <x:c r="A484" s="2" t="str">
        <x:v>SIM-E2-BB-L7-R02</x:v>
      </x:c>
      <x:c r="B484" s="2" t="n">
        <x:v>1</x:v>
      </x:c>
      <x:c r="C484" s="2" t="str">
        <x:v>BB</x:v>
      </x:c>
      <x:c r="D484" s="2" t="str">
        <x:v>Brevicoryne brassicae</x:v>
      </x:c>
      <x:c r="E484" s="2" t="str">
        <x:v>L7</x:v>
      </x:c>
      <x:c r="F484" s="2" t="n">
        <x:v>2</x:v>
      </x:c>
      <x:c r="G484" s="2" t="n">
        <x:v>20</x:v>
      </x:c>
      <x:c r="H484" s="2" t="n">
        <x:f>G484+Supuestos!$C$15</x:f>
        <x:v>21</x:v>
      </x:c>
      <x:c r="I484" s="14" t="n">
        <x:f>E2_plantas!J13+G484</x:f>
        <x:v>46194</x:v>
      </x:c>
      <x:c r="J484" s="2" t="str">
        <x:v>adulta</x:v>
      </x:c>
      <x:c r="K484" s="2" t="n">
        <x:v>1</x:v>
      </x:c>
      <x:c r="L484" s="2" t="n">
        <x:v>3</x:v>
      </x:c>
      <x:c r="M484" s="2" t="n">
        <x:f>SUM(L$464:L484)</x:f>
        <x:v>15</x:v>
      </x:c>
      <x:c r="N484" s="2" t="n">
        <x:v>0</x:v>
      </x:c>
      <x:c r="O484" s="2" t="str">
        <x:v>seguimiento</x:v>
      </x:c>
      <x:c r="P484" s="2" t="n">
        <x:v>0</x:v>
      </x:c>
      <x:c r="Q484" s="2" t="str">
        <x:v>simulado_didactico</x:v>
      </x:c>
    </x:row>
    <x:row r="485" ht="19" customHeight="1">
      <x:c r="A485" s="2" t="str">
        <x:v>SIM-E2-BB-L7-R02</x:v>
      </x:c>
      <x:c r="B485" s="2" t="n">
        <x:v>1</x:v>
      </x:c>
      <x:c r="C485" s="2" t="str">
        <x:v>BB</x:v>
      </x:c>
      <x:c r="D485" s="2" t="str">
        <x:v>Brevicoryne brassicae</x:v>
      </x:c>
      <x:c r="E485" s="2" t="str">
        <x:v>L7</x:v>
      </x:c>
      <x:c r="F485" s="2" t="n">
        <x:v>2</x:v>
      </x:c>
      <x:c r="G485" s="2" t="n">
        <x:v>21</x:v>
      </x:c>
      <x:c r="H485" s="2" t="n">
        <x:f>G485+Supuestos!$C$15</x:f>
        <x:v>22</x:v>
      </x:c>
      <x:c r="I485" s="14" t="n">
        <x:f>E2_plantas!J13+G485</x:f>
        <x:v>46195</x:v>
      </x:c>
      <x:c r="J485" s="2" t="str">
        <x:v>adulta</x:v>
      </x:c>
      <x:c r="K485" s="2" t="n">
        <x:v>1</x:v>
      </x:c>
      <x:c r="L485" s="2" t="n">
        <x:v>3</x:v>
      </x:c>
      <x:c r="M485" s="2" t="n">
        <x:f>SUM(L$464:L485)</x:f>
        <x:v>18</x:v>
      </x:c>
      <x:c r="N485" s="2" t="n">
        <x:v>0</x:v>
      </x:c>
      <x:c r="O485" s="2" t="str">
        <x:v>seguimiento</x:v>
      </x:c>
      <x:c r="P485" s="2" t="n">
        <x:v>0</x:v>
      </x:c>
      <x:c r="Q485" s="2" t="str">
        <x:v>simulado_didactico</x:v>
      </x:c>
    </x:row>
    <x:row r="486" ht="19" customHeight="1">
      <x:c r="A486" s="2" t="str">
        <x:v>SIM-E2-BB-L7-R02</x:v>
      </x:c>
      <x:c r="B486" s="2" t="n">
        <x:v>1</x:v>
      </x:c>
      <x:c r="C486" s="2" t="str">
        <x:v>BB</x:v>
      </x:c>
      <x:c r="D486" s="2" t="str">
        <x:v>Brevicoryne brassicae</x:v>
      </x:c>
      <x:c r="E486" s="2" t="str">
        <x:v>L7</x:v>
      </x:c>
      <x:c r="F486" s="2" t="n">
        <x:v>2</x:v>
      </x:c>
      <x:c r="G486" s="2" t="n">
        <x:v>22</x:v>
      </x:c>
      <x:c r="H486" s="2" t="n">
        <x:f>G486+Supuestos!$C$15</x:f>
        <x:v>23</x:v>
      </x:c>
      <x:c r="I486" s="14" t="n">
        <x:f>E2_plantas!J13+G486</x:f>
        <x:v>46196</x:v>
      </x:c>
      <x:c r="J486" s="2" t="str">
        <x:v>adulta</x:v>
      </x:c>
      <x:c r="K486" s="2" t="n">
        <x:v>1</x:v>
      </x:c>
      <x:c r="L486" s="2" t="n">
        <x:v>1</x:v>
      </x:c>
      <x:c r="M486" s="2" t="n">
        <x:f>SUM(L$464:L486)</x:f>
        <x:v>19</x:v>
      </x:c>
      <x:c r="N486" s="2" t="n">
        <x:v>0</x:v>
      </x:c>
      <x:c r="O486" s="2" t="str">
        <x:v>seguimiento</x:v>
      </x:c>
      <x:c r="P486" s="2" t="n">
        <x:v>0</x:v>
      </x:c>
      <x:c r="Q486" s="2" t="str">
        <x:v>simulado_didactico</x:v>
      </x:c>
    </x:row>
    <x:row r="487" ht="19" customHeight="1">
      <x:c r="A487" s="2" t="str">
        <x:v>SIM-E2-BB-L7-R02</x:v>
      </x:c>
      <x:c r="B487" s="2" t="n">
        <x:v>1</x:v>
      </x:c>
      <x:c r="C487" s="2" t="str">
        <x:v>BB</x:v>
      </x:c>
      <x:c r="D487" s="2" t="str">
        <x:v>Brevicoryne brassicae</x:v>
      </x:c>
      <x:c r="E487" s="2" t="str">
        <x:v>L7</x:v>
      </x:c>
      <x:c r="F487" s="2" t="n">
        <x:v>2</x:v>
      </x:c>
      <x:c r="G487" s="2" t="n">
        <x:v>23</x:v>
      </x:c>
      <x:c r="H487" s="2" t="n">
        <x:f>G487+Supuestos!$C$15</x:f>
        <x:v>24</x:v>
      </x:c>
      <x:c r="I487" s="14" t="n">
        <x:f>E2_plantas!J13+G487</x:f>
        <x:v>46197</x:v>
      </x:c>
      <x:c r="J487" s="2" t="str">
        <x:v>adulta</x:v>
      </x:c>
      <x:c r="K487" s="2" t="n">
        <x:v>1</x:v>
      </x:c>
      <x:c r="L487" s="2" t="n">
        <x:v>3</x:v>
      </x:c>
      <x:c r="M487" s="2" t="n">
        <x:f>SUM(L$464:L487)</x:f>
        <x:v>22</x:v>
      </x:c>
      <x:c r="N487" s="2" t="n">
        <x:v>0</x:v>
      </x:c>
      <x:c r="O487" s="2" t="str">
        <x:v>seguimiento</x:v>
      </x:c>
      <x:c r="P487" s="2" t="n">
        <x:v>0</x:v>
      </x:c>
      <x:c r="Q487" s="2" t="str">
        <x:v>simulado_didactico</x:v>
      </x:c>
    </x:row>
    <x:row r="488" ht="19" customHeight="1">
      <x:c r="A488" s="2" t="str">
        <x:v>SIM-E2-BB-L7-R02</x:v>
      </x:c>
      <x:c r="B488" s="2" t="n">
        <x:v>1</x:v>
      </x:c>
      <x:c r="C488" s="2" t="str">
        <x:v>BB</x:v>
      </x:c>
      <x:c r="D488" s="2" t="str">
        <x:v>Brevicoryne brassicae</x:v>
      </x:c>
      <x:c r="E488" s="2" t="str">
        <x:v>L7</x:v>
      </x:c>
      <x:c r="F488" s="2" t="n">
        <x:v>2</x:v>
      </x:c>
      <x:c r="G488" s="2" t="n">
        <x:v>24</x:v>
      </x:c>
      <x:c r="H488" s="2" t="n">
        <x:f>G488+Supuestos!$C$15</x:f>
        <x:v>25</x:v>
      </x:c>
      <x:c r="I488" s="14" t="n">
        <x:f>E2_plantas!J13+G488</x:f>
        <x:v>46198</x:v>
      </x:c>
      <x:c r="J488" s="2" t="str">
        <x:v>adulta</x:v>
      </x:c>
      <x:c r="K488" s="2" t="n">
        <x:v>1</x:v>
      </x:c>
      <x:c r="L488" s="2" t="n">
        <x:v>1</x:v>
      </x:c>
      <x:c r="M488" s="2" t="n">
        <x:f>SUM(L$464:L488)</x:f>
        <x:v>23</x:v>
      </x:c>
      <x:c r="N488" s="2" t="n">
        <x:v>0</x:v>
      </x:c>
      <x:c r="O488" s="2" t="str">
        <x:v>seguimiento</x:v>
      </x:c>
      <x:c r="P488" s="2" t="n">
        <x:v>0</x:v>
      </x:c>
      <x:c r="Q488" s="2" t="str">
        <x:v>simulado_didactico</x:v>
      </x:c>
    </x:row>
    <x:row r="489" ht="19" customHeight="1">
      <x:c r="A489" s="2" t="str">
        <x:v>SIM-E2-BB-L7-R02</x:v>
      </x:c>
      <x:c r="B489" s="2" t="n">
        <x:v>1</x:v>
      </x:c>
      <x:c r="C489" s="2" t="str">
        <x:v>BB</x:v>
      </x:c>
      <x:c r="D489" s="2" t="str">
        <x:v>Brevicoryne brassicae</x:v>
      </x:c>
      <x:c r="E489" s="2" t="str">
        <x:v>L7</x:v>
      </x:c>
      <x:c r="F489" s="2" t="n">
        <x:v>2</x:v>
      </x:c>
      <x:c r="G489" s="2" t="n">
        <x:v>25</x:v>
      </x:c>
      <x:c r="H489" s="2" t="n">
        <x:f>G489+Supuestos!$C$15</x:f>
        <x:v>26</x:v>
      </x:c>
      <x:c r="I489" s="14" t="n">
        <x:f>E2_plantas!J13+G489</x:f>
        <x:v>46199</x:v>
      </x:c>
      <x:c r="J489" s="2" t="str">
        <x:v>adulta</x:v>
      </x:c>
      <x:c r="K489" s="2" t="n">
        <x:v>1</x:v>
      </x:c>
      <x:c r="L489" s="2" t="n">
        <x:v>2</x:v>
      </x:c>
      <x:c r="M489" s="2" t="n">
        <x:f>SUM(L$464:L489)</x:f>
        <x:v>25</x:v>
      </x:c>
      <x:c r="N489" s="2" t="n">
        <x:v>0</x:v>
      </x:c>
      <x:c r="O489" s="2" t="str">
        <x:v>seguimiento</x:v>
      </x:c>
      <x:c r="P489" s="2" t="n">
        <x:v>0</x:v>
      </x:c>
      <x:c r="Q489" s="2" t="str">
        <x:v>simulado_didactico</x:v>
      </x:c>
    </x:row>
    <x:row r="490" ht="19" customHeight="1">
      <x:c r="A490" s="2" t="str">
        <x:v>SIM-E2-BB-L7-R02</x:v>
      </x:c>
      <x:c r="B490" s="2" t="n">
        <x:v>1</x:v>
      </x:c>
      <x:c r="C490" s="2" t="str">
        <x:v>BB</x:v>
      </x:c>
      <x:c r="D490" s="2" t="str">
        <x:v>Brevicoryne brassicae</x:v>
      </x:c>
      <x:c r="E490" s="2" t="str">
        <x:v>L7</x:v>
      </x:c>
      <x:c r="F490" s="2" t="n">
        <x:v>2</x:v>
      </x:c>
      <x:c r="G490" s="2" t="n">
        <x:v>26</x:v>
      </x:c>
      <x:c r="H490" s="2" t="n">
        <x:f>G490+Supuestos!$C$15</x:f>
        <x:v>27</x:v>
      </x:c>
      <x:c r="I490" s="14" t="n">
        <x:f>E2_plantas!J13+G490</x:f>
        <x:v>46200</x:v>
      </x:c>
      <x:c r="J490" s="2" t="str">
        <x:v>adulta</x:v>
      </x:c>
      <x:c r="K490" s="2" t="n">
        <x:v>1</x:v>
      </x:c>
      <x:c r="L490" s="2" t="n">
        <x:v>5</x:v>
      </x:c>
      <x:c r="M490" s="2" t="n">
        <x:f>SUM(L$464:L490)</x:f>
        <x:v>30</x:v>
      </x:c>
      <x:c r="N490" s="2" t="n">
        <x:v>0</x:v>
      </x:c>
      <x:c r="O490" s="2" t="str">
        <x:v>seguimiento</x:v>
      </x:c>
      <x:c r="P490" s="2" t="n">
        <x:v>0</x:v>
      </x:c>
      <x:c r="Q490" s="2" t="str">
        <x:v>simulado_didactico</x:v>
      </x:c>
    </x:row>
    <x:row r="491" ht="19" customHeight="1">
      <x:c r="A491" s="2" t="str">
        <x:v>SIM-E2-BB-L7-R02</x:v>
      </x:c>
      <x:c r="B491" s="2" t="n">
        <x:v>1</x:v>
      </x:c>
      <x:c r="C491" s="2" t="str">
        <x:v>BB</x:v>
      </x:c>
      <x:c r="D491" s="2" t="str">
        <x:v>Brevicoryne brassicae</x:v>
      </x:c>
      <x:c r="E491" s="2" t="str">
        <x:v>L7</x:v>
      </x:c>
      <x:c r="F491" s="2" t="n">
        <x:v>2</x:v>
      </x:c>
      <x:c r="G491" s="2" t="n">
        <x:v>27</x:v>
      </x:c>
      <x:c r="H491" s="2" t="n">
        <x:f>G491+Supuestos!$C$15</x:f>
        <x:v>28</x:v>
      </x:c>
      <x:c r="I491" s="14" t="n">
        <x:f>E2_plantas!J13+G491</x:f>
        <x:v>46201</x:v>
      </x:c>
      <x:c r="J491" s="2" t="str">
        <x:v>adulta</x:v>
      </x:c>
      <x:c r="K491" s="2" t="n">
        <x:v>1</x:v>
      </x:c>
      <x:c r="L491" s="2" t="n">
        <x:v>1</x:v>
      </x:c>
      <x:c r="M491" s="2" t="n">
        <x:f>SUM(L$464:L491)</x:f>
        <x:v>31</x:v>
      </x:c>
      <x:c r="N491" s="2" t="n">
        <x:v>0</x:v>
      </x:c>
      <x:c r="O491" s="2" t="str">
        <x:v>seguimiento</x:v>
      </x:c>
      <x:c r="P491" s="2" t="n">
        <x:v>0</x:v>
      </x:c>
      <x:c r="Q491" s="2" t="str">
        <x:v>simulado_didactico</x:v>
      </x:c>
    </x:row>
    <x:row r="492" ht="19" customHeight="1">
      <x:c r="A492" s="2" t="str">
        <x:v>SIM-E2-BB-L7-R02</x:v>
      </x:c>
      <x:c r="B492" s="2" t="n">
        <x:v>1</x:v>
      </x:c>
      <x:c r="C492" s="2" t="str">
        <x:v>BB</x:v>
      </x:c>
      <x:c r="D492" s="2" t="str">
        <x:v>Brevicoryne brassicae</x:v>
      </x:c>
      <x:c r="E492" s="2" t="str">
        <x:v>L7</x:v>
      </x:c>
      <x:c r="F492" s="2" t="n">
        <x:v>2</x:v>
      </x:c>
      <x:c r="G492" s="2" t="n">
        <x:v>28</x:v>
      </x:c>
      <x:c r="H492" s="2" t="n">
        <x:f>G492+Supuestos!$C$15</x:f>
        <x:v>29</x:v>
      </x:c>
      <x:c r="I492" s="14" t="n">
        <x:f>E2_plantas!J13+G492</x:f>
        <x:v>46202</x:v>
      </x:c>
      <x:c r="J492" s="2" t="str">
        <x:v>adulta</x:v>
      </x:c>
      <x:c r="K492" s="2" t="n">
        <x:v>1</x:v>
      </x:c>
      <x:c r="L492" s="2" t="n">
        <x:v>0</x:v>
      </x:c>
      <x:c r="M492" s="2" t="n">
        <x:f>SUM(L$464:L492)</x:f>
        <x:v>31</x:v>
      </x:c>
      <x:c r="N492" s="2" t="n">
        <x:v>0</x:v>
      </x:c>
      <x:c r="O492" s="2" t="str">
        <x:v>seguimiento</x:v>
      </x:c>
      <x:c r="P492" s="2" t="n">
        <x:v>0</x:v>
      </x:c>
      <x:c r="Q492" s="2" t="str">
        <x:v>simulado_didactico</x:v>
      </x:c>
    </x:row>
    <x:row r="493" ht="19" customHeight="1">
      <x:c r="A493" s="2" t="str">
        <x:v>SIM-E2-BB-L7-R02</x:v>
      </x:c>
      <x:c r="B493" s="2" t="n">
        <x:v>1</x:v>
      </x:c>
      <x:c r="C493" s="2" t="str">
        <x:v>BB</x:v>
      </x:c>
      <x:c r="D493" s="2" t="str">
        <x:v>Brevicoryne brassicae</x:v>
      </x:c>
      <x:c r="E493" s="2" t="str">
        <x:v>L7</x:v>
      </x:c>
      <x:c r="F493" s="2" t="n">
        <x:v>2</x:v>
      </x:c>
      <x:c r="G493" s="2" t="n">
        <x:v>29</x:v>
      </x:c>
      <x:c r="H493" s="2" t="n">
        <x:f>G493+Supuestos!$C$15</x:f>
        <x:v>30</x:v>
      </x:c>
      <x:c r="I493" s="14" t="n">
        <x:f>E2_plantas!J13+G493</x:f>
        <x:v>46203</x:v>
      </x:c>
      <x:c r="J493" s="2" t="str">
        <x:v>adulta</x:v>
      </x:c>
      <x:c r="K493" s="2" t="n">
        <x:v>1</x:v>
      </x:c>
      <x:c r="L493" s="2" t="n">
        <x:v>0</x:v>
      </x:c>
      <x:c r="M493" s="2" t="n">
        <x:f>SUM(L$464:L493)</x:f>
        <x:v>31</x:v>
      </x:c>
      <x:c r="N493" s="2" t="n">
        <x:v>0</x:v>
      </x:c>
      <x:c r="O493" s="2" t="str">
        <x:v>seguimiento</x:v>
      </x:c>
      <x:c r="P493" s="2" t="n">
        <x:v>0</x:v>
      </x:c>
      <x:c r="Q493" s="2" t="str">
        <x:v>simulado_didactico</x:v>
      </x:c>
    </x:row>
    <x:row r="494" ht="19" customHeight="1">
      <x:c r="A494" s="2" t="str">
        <x:v>SIM-E2-BB-L7-R02</x:v>
      </x:c>
      <x:c r="B494" s="2" t="n">
        <x:v>1</x:v>
      </x:c>
      <x:c r="C494" s="2" t="str">
        <x:v>BB</x:v>
      </x:c>
      <x:c r="D494" s="2" t="str">
        <x:v>Brevicoryne brassicae</x:v>
      </x:c>
      <x:c r="E494" s="2" t="str">
        <x:v>L7</x:v>
      </x:c>
      <x:c r="F494" s="2" t="n">
        <x:v>2</x:v>
      </x:c>
      <x:c r="G494" s="2" t="n">
        <x:v>30</x:v>
      </x:c>
      <x:c r="H494" s="2" t="n">
        <x:f>G494+Supuestos!$C$15</x:f>
        <x:v>31</x:v>
      </x:c>
      <x:c r="I494" s="14" t="n">
        <x:f>E2_plantas!J13+G494</x:f>
        <x:v>46204</x:v>
      </x:c>
      <x:c r="J494" s="2" t="str">
        <x:v>adulta</x:v>
      </x:c>
      <x:c r="K494" s="2" t="n">
        <x:v>1</x:v>
      </x:c>
      <x:c r="L494" s="2" t="n">
        <x:v>0</x:v>
      </x:c>
      <x:c r="M494" s="2" t="n">
        <x:f>SUM(L$464:L494)</x:f>
        <x:v>31</x:v>
      </x:c>
      <x:c r="N494" s="2" t="n">
        <x:v>0</x:v>
      </x:c>
      <x:c r="O494" s="2" t="str">
        <x:v>seguimiento</x:v>
      </x:c>
      <x:c r="P494" s="2" t="n">
        <x:v>0</x:v>
      </x:c>
      <x:c r="Q494" s="2" t="str">
        <x:v>simulado_didactico</x:v>
      </x:c>
    </x:row>
    <x:row r="495" ht="19" customHeight="1">
      <x:c r="A495" s="2" t="str">
        <x:v>SIM-E2-BB-L7-R02</x:v>
      </x:c>
      <x:c r="B495" s="2" t="n">
        <x:v>1</x:v>
      </x:c>
      <x:c r="C495" s="2" t="str">
        <x:v>BB</x:v>
      </x:c>
      <x:c r="D495" s="2" t="str">
        <x:v>Brevicoryne brassicae</x:v>
      </x:c>
      <x:c r="E495" s="2" t="str">
        <x:v>L7</x:v>
      </x:c>
      <x:c r="F495" s="2" t="n">
        <x:v>2</x:v>
      </x:c>
      <x:c r="G495" s="2" t="n">
        <x:v>31</x:v>
      </x:c>
      <x:c r="H495" s="2" t="n">
        <x:f>G495+Supuestos!$C$15</x:f>
        <x:v>32</x:v>
      </x:c>
      <x:c r="I495" s="14" t="n">
        <x:f>E2_plantas!J13+G495</x:f>
        <x:v>46205</x:v>
      </x:c>
      <x:c r="J495" s="2" t="str">
        <x:v>muerta</x:v>
      </x:c>
      <x:c r="K495" s="2" t="n">
        <x:v>0</x:v>
      </x:c>
      <x:c r="L495" s="2" t="n">
        <x:v>0</x:v>
      </x:c>
      <x:c r="M495" s="2" t="n">
        <x:f>SUM(L$464:L495)</x:f>
        <x:v>31</x:v>
      </x:c>
      <x:c r="N495" s="2" t="n">
        <x:v>1</x:v>
      </x:c>
      <x:c r="O495" s="2" t="str">
        <x:v>muerte</x:v>
      </x:c>
      <x:c r="P495" s="2" t="n">
        <x:v>0</x:v>
      </x:c>
      <x:c r="Q495" s="2" t="str">
        <x:v>simulado_didactico</x:v>
      </x:c>
    </x:row>
    <x:row r="496" ht="19" customHeight="1">
      <x:c r="A496" s="2" t="str">
        <x:v>SIM-E2-BB-L7-R02</x:v>
      </x:c>
      <x:c r="B496" s="2" t="n">
        <x:v>1</x:v>
      </x:c>
      <x:c r="C496" s="2" t="str">
        <x:v>BB</x:v>
      </x:c>
      <x:c r="D496" s="2" t="str">
        <x:v>Brevicoryne brassicae</x:v>
      </x:c>
      <x:c r="E496" s="2" t="str">
        <x:v>L7</x:v>
      </x:c>
      <x:c r="F496" s="2" t="n">
        <x:v>2</x:v>
      </x:c>
      <x:c r="G496" s="2" t="n">
        <x:v>32</x:v>
      </x:c>
      <x:c r="H496" s="2" t="n">
        <x:f>G496+Supuestos!$C$15</x:f>
        <x:v>33</x:v>
      </x:c>
      <x:c r="I496" s="14" t="n">
        <x:f>E2_plantas!J13+G496</x:f>
        <x:v>46206</x:v>
      </x:c>
      <x:c r="J496" s="2" t="str">
        <x:v>muerta</x:v>
      </x:c>
      <x:c r="K496" s="2" t="n">
        <x:v>0</x:v>
      </x:c>
      <x:c r="L496" s="2" t="n">
        <x:v>0</x:v>
      </x:c>
      <x:c r="M496" s="2" t="n">
        <x:f>SUM(L$464:L496)</x:f>
        <x:v>31</x:v>
      </x:c>
      <x:c r="N496" s="2" t="n">
        <x:v>0</x:v>
      </x:c>
      <x:c r="O496" s="2" t="str">
        <x:v>relleno_postmuerte</x:v>
      </x:c>
      <x:c r="P496" s="2" t="n">
        <x:v>0</x:v>
      </x:c>
      <x:c r="Q496" s="2" t="str">
        <x:v>simulado_didactico</x:v>
      </x:c>
    </x:row>
    <x:row r="497" ht="19" customHeight="1">
      <x:c r="A497" s="2" t="str">
        <x:v>SIM-E2-BB-L7-R02</x:v>
      </x:c>
      <x:c r="B497" s="2" t="n">
        <x:v>1</x:v>
      </x:c>
      <x:c r="C497" s="2" t="str">
        <x:v>BB</x:v>
      </x:c>
      <x:c r="D497" s="2" t="str">
        <x:v>Brevicoryne brassicae</x:v>
      </x:c>
      <x:c r="E497" s="2" t="str">
        <x:v>L7</x:v>
      </x:c>
      <x:c r="F497" s="2" t="n">
        <x:v>2</x:v>
      </x:c>
      <x:c r="G497" s="2" t="n">
        <x:v>33</x:v>
      </x:c>
      <x:c r="H497" s="2" t="n">
        <x:f>G497+Supuestos!$C$15</x:f>
        <x:v>34</x:v>
      </x:c>
      <x:c r="I497" s="14" t="n">
        <x:f>E2_plantas!J13+G497</x:f>
        <x:v>46207</x:v>
      </x:c>
      <x:c r="J497" s="2" t="str">
        <x:v>muerta</x:v>
      </x:c>
      <x:c r="K497" s="2" t="n">
        <x:v>0</x:v>
      </x:c>
      <x:c r="L497" s="2" t="n">
        <x:v>0</x:v>
      </x:c>
      <x:c r="M497" s="2" t="n">
        <x:f>SUM(L$464:L497)</x:f>
        <x:v>31</x:v>
      </x:c>
      <x:c r="N497" s="2" t="n">
        <x:v>0</x:v>
      </x:c>
      <x:c r="O497" s="2" t="str">
        <x:v>relleno_postmuerte</x:v>
      </x:c>
      <x:c r="P497" s="2" t="n">
        <x:v>0</x:v>
      </x:c>
      <x:c r="Q497" s="2" t="str">
        <x:v>simulado_didactico</x:v>
      </x:c>
    </x:row>
    <x:row r="498" ht="19" customHeight="1">
      <x:c r="A498" s="2" t="str">
        <x:v>SIM-E2-BB-L7-R02</x:v>
      </x:c>
      <x:c r="B498" s="2" t="n">
        <x:v>1</x:v>
      </x:c>
      <x:c r="C498" s="2" t="str">
        <x:v>BB</x:v>
      </x:c>
      <x:c r="D498" s="2" t="str">
        <x:v>Brevicoryne brassicae</x:v>
      </x:c>
      <x:c r="E498" s="2" t="str">
        <x:v>L7</x:v>
      </x:c>
      <x:c r="F498" s="2" t="n">
        <x:v>2</x:v>
      </x:c>
      <x:c r="G498" s="2" t="n">
        <x:v>34</x:v>
      </x:c>
      <x:c r="H498" s="2" t="n">
        <x:f>G498+Supuestos!$C$15</x:f>
        <x:v>35</x:v>
      </x:c>
      <x:c r="I498" s="14" t="n">
        <x:f>E2_plantas!J13+G498</x:f>
        <x:v>46208</x:v>
      </x:c>
      <x:c r="J498" s="2" t="str">
        <x:v>muerta</x:v>
      </x:c>
      <x:c r="K498" s="2" t="n">
        <x:v>0</x:v>
      </x:c>
      <x:c r="L498" s="2" t="n">
        <x:v>0</x:v>
      </x:c>
      <x:c r="M498" s="2" t="n">
        <x:f>SUM(L$464:L498)</x:f>
        <x:v>31</x:v>
      </x:c>
      <x:c r="N498" s="2" t="n">
        <x:v>0</x:v>
      </x:c>
      <x:c r="O498" s="2" t="str">
        <x:v>relleno_postmuerte</x:v>
      </x:c>
      <x:c r="P498" s="2" t="n">
        <x:v>0</x:v>
      </x:c>
      <x:c r="Q498" s="2" t="str">
        <x:v>simulado_didactico</x:v>
      </x:c>
    </x:row>
    <x:row r="499" ht="19" customHeight="1">
      <x:c r="A499" s="2" t="str">
        <x:v>SIM-E2-BB-L7-R02</x:v>
      </x:c>
      <x:c r="B499" s="2" t="n">
        <x:v>1</x:v>
      </x:c>
      <x:c r="C499" s="2" t="str">
        <x:v>BB</x:v>
      </x:c>
      <x:c r="D499" s="2" t="str">
        <x:v>Brevicoryne brassicae</x:v>
      </x:c>
      <x:c r="E499" s="2" t="str">
        <x:v>L7</x:v>
      </x:c>
      <x:c r="F499" s="2" t="n">
        <x:v>2</x:v>
      </x:c>
      <x:c r="G499" s="2" t="n">
        <x:v>35</x:v>
      </x:c>
      <x:c r="H499" s="2" t="n">
        <x:f>G499+Supuestos!$C$15</x:f>
        <x:v>36</x:v>
      </x:c>
      <x:c r="I499" s="14" t="n">
        <x:f>E2_plantas!J13+G499</x:f>
        <x:v>46209</x:v>
      </x:c>
      <x:c r="J499" s="2" t="str">
        <x:v>muerta</x:v>
      </x:c>
      <x:c r="K499" s="2" t="n">
        <x:v>0</x:v>
      </x:c>
      <x:c r="L499" s="2" t="n">
        <x:v>0</x:v>
      </x:c>
      <x:c r="M499" s="2" t="n">
        <x:f>SUM(L$464:L499)</x:f>
        <x:v>31</x:v>
      </x:c>
      <x:c r="N499" s="2" t="n">
        <x:v>0</x:v>
      </x:c>
      <x:c r="O499" s="2" t="str">
        <x:v>relleno_postmuerte</x:v>
      </x:c>
      <x:c r="P499" s="2" t="n">
        <x:v>0</x:v>
      </x:c>
      <x:c r="Q499" s="2" t="str">
        <x:v>simulado_didactico</x:v>
      </x:c>
    </x:row>
    <x:row r="500" ht="19" customHeight="1">
      <x:c r="A500" s="2" t="str">
        <x:v>SIM-E2-BB-L7-R02</x:v>
      </x:c>
      <x:c r="B500" s="2" t="n">
        <x:v>1</x:v>
      </x:c>
      <x:c r="C500" s="2" t="str">
        <x:v>BB</x:v>
      </x:c>
      <x:c r="D500" s="2" t="str">
        <x:v>Brevicoryne brassicae</x:v>
      </x:c>
      <x:c r="E500" s="2" t="str">
        <x:v>L7</x:v>
      </x:c>
      <x:c r="F500" s="2" t="n">
        <x:v>2</x:v>
      </x:c>
      <x:c r="G500" s="2" t="n">
        <x:v>36</x:v>
      </x:c>
      <x:c r="H500" s="2" t="n">
        <x:f>G500+Supuestos!$C$15</x:f>
        <x:v>37</x:v>
      </x:c>
      <x:c r="I500" s="14" t="n">
        <x:f>E2_plantas!J13+G500</x:f>
        <x:v>46210</x:v>
      </x:c>
      <x:c r="J500" s="2" t="str">
        <x:v>muerta</x:v>
      </x:c>
      <x:c r="K500" s="2" t="n">
        <x:v>0</x:v>
      </x:c>
      <x:c r="L500" s="2" t="n">
        <x:v>0</x:v>
      </x:c>
      <x:c r="M500" s="2" t="n">
        <x:f>SUM(L$464:L500)</x:f>
        <x:v>31</x:v>
      </x:c>
      <x:c r="N500" s="2" t="n">
        <x:v>0</x:v>
      </x:c>
      <x:c r="O500" s="2" t="str">
        <x:v>relleno_postmuerte</x:v>
      </x:c>
      <x:c r="P500" s="2" t="n">
        <x:v>0</x:v>
      </x:c>
      <x:c r="Q500" s="2" t="str">
        <x:v>simulado_didactico</x:v>
      </x:c>
    </x:row>
    <x:row r="501" ht="19" customHeight="1">
      <x:c r="A501" s="2" t="str">
        <x:v>SIM-E2-BB-L7-R02</x:v>
      </x:c>
      <x:c r="B501" s="2" t="n">
        <x:v>1</x:v>
      </x:c>
      <x:c r="C501" s="2" t="str">
        <x:v>BB</x:v>
      </x:c>
      <x:c r="D501" s="2" t="str">
        <x:v>Brevicoryne brassicae</x:v>
      </x:c>
      <x:c r="E501" s="2" t="str">
        <x:v>L7</x:v>
      </x:c>
      <x:c r="F501" s="2" t="n">
        <x:v>2</x:v>
      </x:c>
      <x:c r="G501" s="2" t="n">
        <x:v>37</x:v>
      </x:c>
      <x:c r="H501" s="2" t="n">
        <x:f>G501+Supuestos!$C$15</x:f>
        <x:v>38</x:v>
      </x:c>
      <x:c r="I501" s="14" t="n">
        <x:f>E2_plantas!J13+G501</x:f>
        <x:v>46211</x:v>
      </x:c>
      <x:c r="J501" s="2" t="str">
        <x:v>muerta</x:v>
      </x:c>
      <x:c r="K501" s="2" t="n">
        <x:v>0</x:v>
      </x:c>
      <x:c r="L501" s="2" t="n">
        <x:v>0</x:v>
      </x:c>
      <x:c r="M501" s="2" t="n">
        <x:f>SUM(L$464:L501)</x:f>
        <x:v>31</x:v>
      </x:c>
      <x:c r="N501" s="2" t="n">
        <x:v>0</x:v>
      </x:c>
      <x:c r="O501" s="2" t="str">
        <x:v>relleno_postmuerte</x:v>
      </x:c>
      <x:c r="P501" s="2" t="n">
        <x:v>0</x:v>
      </x:c>
      <x:c r="Q501" s="2" t="str">
        <x:v>simulado_didactico</x:v>
      </x:c>
    </x:row>
    <x:row r="502" ht="19" customHeight="1">
      <x:c r="A502" s="2" t="str">
        <x:v>SIM-E2-BB-L7-R02</x:v>
      </x:c>
      <x:c r="B502" s="2" t="n">
        <x:v>1</x:v>
      </x:c>
      <x:c r="C502" s="2" t="str">
        <x:v>BB</x:v>
      </x:c>
      <x:c r="D502" s="2" t="str">
        <x:v>Brevicoryne brassicae</x:v>
      </x:c>
      <x:c r="E502" s="2" t="str">
        <x:v>L7</x:v>
      </x:c>
      <x:c r="F502" s="2" t="n">
        <x:v>2</x:v>
      </x:c>
      <x:c r="G502" s="2" t="n">
        <x:v>38</x:v>
      </x:c>
      <x:c r="H502" s="2" t="n">
        <x:f>G502+Supuestos!$C$15</x:f>
        <x:v>39</x:v>
      </x:c>
      <x:c r="I502" s="14" t="n">
        <x:f>E2_plantas!J13+G502</x:f>
        <x:v>46212</x:v>
      </x:c>
      <x:c r="J502" s="2" t="str">
        <x:v>muerta</x:v>
      </x:c>
      <x:c r="K502" s="2" t="n">
        <x:v>0</x:v>
      </x:c>
      <x:c r="L502" s="2" t="n">
        <x:v>0</x:v>
      </x:c>
      <x:c r="M502" s="2" t="n">
        <x:f>SUM(L$464:L502)</x:f>
        <x:v>31</x:v>
      </x:c>
      <x:c r="N502" s="2" t="n">
        <x:v>0</x:v>
      </x:c>
      <x:c r="O502" s="2" t="str">
        <x:v>relleno_postmuerte</x:v>
      </x:c>
      <x:c r="P502" s="2" t="n">
        <x:v>0</x:v>
      </x:c>
      <x:c r="Q502" s="2" t="str">
        <x:v>simulado_didactico</x:v>
      </x:c>
    </x:row>
    <x:row r="503" ht="19" customHeight="1">
      <x:c r="A503" s="2" t="str">
        <x:v>SIM-E2-BB-L7-R02</x:v>
      </x:c>
      <x:c r="B503" s="2" t="n">
        <x:v>1</x:v>
      </x:c>
      <x:c r="C503" s="2" t="str">
        <x:v>BB</x:v>
      </x:c>
      <x:c r="D503" s="2" t="str">
        <x:v>Brevicoryne brassicae</x:v>
      </x:c>
      <x:c r="E503" s="2" t="str">
        <x:v>L7</x:v>
      </x:c>
      <x:c r="F503" s="2" t="n">
        <x:v>2</x:v>
      </x:c>
      <x:c r="G503" s="2" t="n">
        <x:v>39</x:v>
      </x:c>
      <x:c r="H503" s="2" t="n">
        <x:f>G503+Supuestos!$C$15</x:f>
        <x:v>40</x:v>
      </x:c>
      <x:c r="I503" s="14" t="n">
        <x:f>E2_plantas!J13+G503</x:f>
        <x:v>46213</x:v>
      </x:c>
      <x:c r="J503" s="2" t="str">
        <x:v>muerta</x:v>
      </x:c>
      <x:c r="K503" s="2" t="n">
        <x:v>0</x:v>
      </x:c>
      <x:c r="L503" s="2" t="n">
        <x:v>0</x:v>
      </x:c>
      <x:c r="M503" s="2" t="n">
        <x:f>SUM(L$464:L503)</x:f>
        <x:v>31</x:v>
      </x:c>
      <x:c r="N503" s="2" t="n">
        <x:v>0</x:v>
      </x:c>
      <x:c r="O503" s="2" t="str">
        <x:v>relleno_postmuerte</x:v>
      </x:c>
      <x:c r="P503" s="2" t="n">
        <x:v>0</x:v>
      </x:c>
      <x:c r="Q503" s="2" t="str">
        <x:v>simulado_didactico</x:v>
      </x:c>
    </x:row>
    <x:row r="504" ht="19" customHeight="1">
      <x:c r="A504" s="2" t="str">
        <x:v>SIM-E2-BB-L7-R02</x:v>
      </x:c>
      <x:c r="B504" s="2" t="n">
        <x:v>1</x:v>
      </x:c>
      <x:c r="C504" s="2" t="str">
        <x:v>BB</x:v>
      </x:c>
      <x:c r="D504" s="2" t="str">
        <x:v>Brevicoryne brassicae</x:v>
      </x:c>
      <x:c r="E504" s="2" t="str">
        <x:v>L7</x:v>
      </x:c>
      <x:c r="F504" s="2" t="n">
        <x:v>2</x:v>
      </x:c>
      <x:c r="G504" s="2" t="n">
        <x:v>40</x:v>
      </x:c>
      <x:c r="H504" s="2" t="n">
        <x:f>G504+Supuestos!$C$15</x:f>
        <x:v>41</x:v>
      </x:c>
      <x:c r="I504" s="14" t="n">
        <x:f>E2_plantas!J13+G504</x:f>
        <x:v>46214</x:v>
      </x:c>
      <x:c r="J504" s="2" t="str">
        <x:v>muerta</x:v>
      </x:c>
      <x:c r="K504" s="2" t="n">
        <x:v>0</x:v>
      </x:c>
      <x:c r="L504" s="2" t="n">
        <x:v>0</x:v>
      </x:c>
      <x:c r="M504" s="2" t="n">
        <x:f>SUM(L$464:L504)</x:f>
        <x:v>31</x:v>
      </x:c>
      <x:c r="N504" s="2" t="n">
        <x:v>0</x:v>
      </x:c>
      <x:c r="O504" s="2" t="str">
        <x:v>relleno_postmuerte</x:v>
      </x:c>
      <x:c r="P504" s="2" t="n">
        <x:v>0</x:v>
      </x:c>
      <x:c r="Q504" s="2" t="str">
        <x:v>simulado_didactico</x:v>
      </x:c>
    </x:row>
    <x:row r="505" ht="19" customHeight="1">
      <x:c r="A505" s="2" t="str">
        <x:v>SIM-E2-BB-L7-R02</x:v>
      </x:c>
      <x:c r="B505" s="2" t="n">
        <x:v>1</x:v>
      </x:c>
      <x:c r="C505" s="2" t="str">
        <x:v>BB</x:v>
      </x:c>
      <x:c r="D505" s="2" t="str">
        <x:v>Brevicoryne brassicae</x:v>
      </x:c>
      <x:c r="E505" s="2" t="str">
        <x:v>L7</x:v>
      </x:c>
      <x:c r="F505" s="2" t="n">
        <x:v>2</x:v>
      </x:c>
      <x:c r="G505" s="2" t="n">
        <x:v>41</x:v>
      </x:c>
      <x:c r="H505" s="2" t="n">
        <x:f>G505+Supuestos!$C$15</x:f>
        <x:v>42</x:v>
      </x:c>
      <x:c r="I505" s="14" t="n">
        <x:f>E2_plantas!J13+G505</x:f>
        <x:v>46215</x:v>
      </x:c>
      <x:c r="J505" s="2" t="str">
        <x:v>muerta</x:v>
      </x:c>
      <x:c r="K505" s="2" t="n">
        <x:v>0</x:v>
      </x:c>
      <x:c r="L505" s="2" t="n">
        <x:v>0</x:v>
      </x:c>
      <x:c r="M505" s="2" t="n">
        <x:f>SUM(L$464:L505)</x:f>
        <x:v>31</x:v>
      </x:c>
      <x:c r="N505" s="2" t="n">
        <x:v>0</x:v>
      </x:c>
      <x:c r="O505" s="2" t="str">
        <x:v>relleno_postmuerte</x:v>
      </x:c>
      <x:c r="P505" s="2" t="n">
        <x:v>0</x:v>
      </x:c>
      <x:c r="Q505" s="2" t="str">
        <x:v>simulado_didactico</x:v>
      </x:c>
    </x:row>
    <x:row r="506" ht="19" customHeight="1">
      <x:c r="A506" s="2" t="str">
        <x:v>SIM-E2-MP-L0-R03</x:v>
      </x:c>
      <x:c r="B506" s="2" t="n">
        <x:v>2</x:v>
      </x:c>
      <x:c r="C506" s="2" t="str">
        <x:v>MP</x:v>
      </x:c>
      <x:c r="D506" s="2" t="str">
        <x:v>Myzus persicae</x:v>
      </x:c>
      <x:c r="E506" s="2" t="str">
        <x:v>L0</x:v>
      </x:c>
      <x:c r="F506" s="2" t="n">
        <x:v>3</x:v>
      </x:c>
      <x:c r="G506" s="2" t="n">
        <x:v>0</x:v>
      </x:c>
      <x:c r="H506" s="2" t="n">
        <x:f>G506+Supuestos!$C$15</x:f>
        <x:v>1</x:v>
      </x:c>
      <x:c r="I506" s="14" t="n">
        <x:f>E2_plantas!J14+G506</x:f>
        <x:v>46181</x:v>
      </x:c>
      <x:c r="J506" s="2" t="str">
        <x:v>N1</x:v>
      </x:c>
      <x:c r="K506" s="2" t="n">
        <x:v>1</x:v>
      </x:c>
      <x:c r="L506" s="2" t="n">
        <x:v>0</x:v>
      </x:c>
      <x:c r="M506" s="2" t="n">
        <x:f>SUM(L$506:L506)</x:f>
        <x:v>0</x:v>
      </x:c>
      <x:c r="N506" s="2" t="n">
        <x:v>0</x:v>
      </x:c>
      <x:c r="O506" s="2" t="str">
        <x:v>seguimiento</x:v>
      </x:c>
      <x:c r="P506" s="2" t="n">
        <x:v>0</x:v>
      </x:c>
      <x:c r="Q506" s="2" t="str">
        <x:v>simulado_didactico</x:v>
      </x:c>
    </x:row>
    <x:row r="507" ht="19" customHeight="1">
      <x:c r="A507" s="2" t="str">
        <x:v>SIM-E2-MP-L0-R03</x:v>
      </x:c>
      <x:c r="B507" s="2" t="n">
        <x:v>2</x:v>
      </x:c>
      <x:c r="C507" s="2" t="str">
        <x:v>MP</x:v>
      </x:c>
      <x:c r="D507" s="2" t="str">
        <x:v>Myzus persicae</x:v>
      </x:c>
      <x:c r="E507" s="2" t="str">
        <x:v>L0</x:v>
      </x:c>
      <x:c r="F507" s="2" t="n">
        <x:v>3</x:v>
      </x:c>
      <x:c r="G507" s="2" t="n">
        <x:v>1</x:v>
      </x:c>
      <x:c r="H507" s="2" t="n">
        <x:f>G507+Supuestos!$C$15</x:f>
        <x:v>2</x:v>
      </x:c>
      <x:c r="I507" s="14" t="n">
        <x:f>E2_plantas!J14+G507</x:f>
        <x:v>46182</x:v>
      </x:c>
      <x:c r="J507" s="2" t="str">
        <x:v>N2</x:v>
      </x:c>
      <x:c r="K507" s="2" t="n">
        <x:v>1</x:v>
      </x:c>
      <x:c r="L507" s="2" t="n">
        <x:v>0</x:v>
      </x:c>
      <x:c r="M507" s="2" t="n">
        <x:f>SUM(L$506:L507)</x:f>
        <x:v>0</x:v>
      </x:c>
      <x:c r="N507" s="2" t="n">
        <x:v>0</x:v>
      </x:c>
      <x:c r="O507" s="2" t="str">
        <x:v>seguimiento</x:v>
      </x:c>
      <x:c r="P507" s="2" t="n">
        <x:v>0</x:v>
      </x:c>
      <x:c r="Q507" s="2" t="str">
        <x:v>simulado_didactico</x:v>
      </x:c>
    </x:row>
    <x:row r="508" ht="19" customHeight="1">
      <x:c r="A508" s="2" t="str">
        <x:v>SIM-E2-MP-L0-R03</x:v>
      </x:c>
      <x:c r="B508" s="2" t="n">
        <x:v>2</x:v>
      </x:c>
      <x:c r="C508" s="2" t="str">
        <x:v>MP</x:v>
      </x:c>
      <x:c r="D508" s="2" t="str">
        <x:v>Myzus persicae</x:v>
      </x:c>
      <x:c r="E508" s="2" t="str">
        <x:v>L0</x:v>
      </x:c>
      <x:c r="F508" s="2" t="n">
        <x:v>3</x:v>
      </x:c>
      <x:c r="G508" s="2" t="n">
        <x:v>2</x:v>
      </x:c>
      <x:c r="H508" s="2" t="n">
        <x:f>G508+Supuestos!$C$15</x:f>
        <x:v>3</x:v>
      </x:c>
      <x:c r="I508" s="14" t="n">
        <x:f>E2_plantas!J14+G508</x:f>
        <x:v>46183</x:v>
      </x:c>
      <x:c r="J508" s="2" t="str">
        <x:v>N2</x:v>
      </x:c>
      <x:c r="K508" s="2" t="n">
        <x:v>1</x:v>
      </x:c>
      <x:c r="L508" s="2" t="n">
        <x:v>0</x:v>
      </x:c>
      <x:c r="M508" s="2" t="n">
        <x:f>SUM(L$506:L508)</x:f>
        <x:v>0</x:v>
      </x:c>
      <x:c r="N508" s="2" t="n">
        <x:v>0</x:v>
      </x:c>
      <x:c r="O508" s="2" t="str">
        <x:v>seguimiento</x:v>
      </x:c>
      <x:c r="P508" s="2" t="n">
        <x:v>0</x:v>
      </x:c>
      <x:c r="Q508" s="2" t="str">
        <x:v>simulado_didactico</x:v>
      </x:c>
    </x:row>
    <x:row r="509" ht="19" customHeight="1">
      <x:c r="A509" s="2" t="str">
        <x:v>SIM-E2-MP-L0-R03</x:v>
      </x:c>
      <x:c r="B509" s="2" t="n">
        <x:v>2</x:v>
      </x:c>
      <x:c r="C509" s="2" t="str">
        <x:v>MP</x:v>
      </x:c>
      <x:c r="D509" s="2" t="str">
        <x:v>Myzus persicae</x:v>
      </x:c>
      <x:c r="E509" s="2" t="str">
        <x:v>L0</x:v>
      </x:c>
      <x:c r="F509" s="2" t="n">
        <x:v>3</x:v>
      </x:c>
      <x:c r="G509" s="2" t="n">
        <x:v>3</x:v>
      </x:c>
      <x:c r="H509" s="2" t="n">
        <x:f>G509+Supuestos!$C$15</x:f>
        <x:v>4</x:v>
      </x:c>
      <x:c r="I509" s="14" t="n">
        <x:f>E2_plantas!J14+G509</x:f>
        <x:v>46184</x:v>
      </x:c>
      <x:c r="J509" s="2" t="str">
        <x:v>N3</x:v>
      </x:c>
      <x:c r="K509" s="2" t="n">
        <x:v>1</x:v>
      </x:c>
      <x:c r="L509" s="2" t="n">
        <x:v>0</x:v>
      </x:c>
      <x:c r="M509" s="2" t="n">
        <x:f>SUM(L$506:L509)</x:f>
        <x:v>0</x:v>
      </x:c>
      <x:c r="N509" s="2" t="n">
        <x:v>0</x:v>
      </x:c>
      <x:c r="O509" s="2" t="str">
        <x:v>seguimiento</x:v>
      </x:c>
      <x:c r="P509" s="2" t="n">
        <x:v>0</x:v>
      </x:c>
      <x:c r="Q509" s="2" t="str">
        <x:v>simulado_didactico</x:v>
      </x:c>
    </x:row>
    <x:row r="510" ht="19" customHeight="1">
      <x:c r="A510" s="2" t="str">
        <x:v>SIM-E2-MP-L0-R03</x:v>
      </x:c>
      <x:c r="B510" s="2" t="n">
        <x:v>2</x:v>
      </x:c>
      <x:c r="C510" s="2" t="str">
        <x:v>MP</x:v>
      </x:c>
      <x:c r="D510" s="2" t="str">
        <x:v>Myzus persicae</x:v>
      </x:c>
      <x:c r="E510" s="2" t="str">
        <x:v>L0</x:v>
      </x:c>
      <x:c r="F510" s="2" t="n">
        <x:v>3</x:v>
      </x:c>
      <x:c r="G510" s="2" t="n">
        <x:v>4</x:v>
      </x:c>
      <x:c r="H510" s="2" t="n">
        <x:f>G510+Supuestos!$C$15</x:f>
        <x:v>5</x:v>
      </x:c>
      <x:c r="I510" s="14" t="n">
        <x:f>E2_plantas!J14+G510</x:f>
        <x:v>46185</x:v>
      </x:c>
      <x:c r="J510" s="2" t="str">
        <x:v>N3</x:v>
      </x:c>
      <x:c r="K510" s="2" t="n">
        <x:v>1</x:v>
      </x:c>
      <x:c r="L510" s="2" t="n">
        <x:v>0</x:v>
      </x:c>
      <x:c r="M510" s="2" t="n">
        <x:f>SUM(L$506:L510)</x:f>
        <x:v>0</x:v>
      </x:c>
      <x:c r="N510" s="2" t="n">
        <x:v>0</x:v>
      </x:c>
      <x:c r="O510" s="2" t="str">
        <x:v>seguimiento</x:v>
      </x:c>
      <x:c r="P510" s="2" t="n">
        <x:v>0</x:v>
      </x:c>
      <x:c r="Q510" s="2" t="str">
        <x:v>simulado_didactico</x:v>
      </x:c>
    </x:row>
    <x:row r="511" ht="19" customHeight="1">
      <x:c r="A511" s="2" t="str">
        <x:v>SIM-E2-MP-L0-R03</x:v>
      </x:c>
      <x:c r="B511" s="2" t="n">
        <x:v>2</x:v>
      </x:c>
      <x:c r="C511" s="2" t="str">
        <x:v>MP</x:v>
      </x:c>
      <x:c r="D511" s="2" t="str">
        <x:v>Myzus persicae</x:v>
      </x:c>
      <x:c r="E511" s="2" t="str">
        <x:v>L0</x:v>
      </x:c>
      <x:c r="F511" s="2" t="n">
        <x:v>3</x:v>
      </x:c>
      <x:c r="G511" s="2" t="n">
        <x:v>5</x:v>
      </x:c>
      <x:c r="H511" s="2" t="n">
        <x:f>G511+Supuestos!$C$15</x:f>
        <x:v>6</x:v>
      </x:c>
      <x:c r="I511" s="14" t="n">
        <x:f>E2_plantas!J14+G511</x:f>
        <x:v>46186</x:v>
      </x:c>
      <x:c r="J511" s="2" t="str">
        <x:v>N3</x:v>
      </x:c>
      <x:c r="K511" s="2" t="n">
        <x:v>1</x:v>
      </x:c>
      <x:c r="L511" s="2" t="n">
        <x:v>0</x:v>
      </x:c>
      <x:c r="M511" s="2" t="n">
        <x:f>SUM(L$506:L511)</x:f>
        <x:v>0</x:v>
      </x:c>
      <x:c r="N511" s="2" t="n">
        <x:v>0</x:v>
      </x:c>
      <x:c r="O511" s="2" t="str">
        <x:v>seguimiento</x:v>
      </x:c>
      <x:c r="P511" s="2" t="n">
        <x:v>0</x:v>
      </x:c>
      <x:c r="Q511" s="2" t="str">
        <x:v>simulado_didactico</x:v>
      </x:c>
    </x:row>
    <x:row r="512" ht="19" customHeight="1">
      <x:c r="A512" s="2" t="str">
        <x:v>SIM-E2-MP-L0-R03</x:v>
      </x:c>
      <x:c r="B512" s="2" t="n">
        <x:v>2</x:v>
      </x:c>
      <x:c r="C512" s="2" t="str">
        <x:v>MP</x:v>
      </x:c>
      <x:c r="D512" s="2" t="str">
        <x:v>Myzus persicae</x:v>
      </x:c>
      <x:c r="E512" s="2" t="str">
        <x:v>L0</x:v>
      </x:c>
      <x:c r="F512" s="2" t="n">
        <x:v>3</x:v>
      </x:c>
      <x:c r="G512" s="2" t="n">
        <x:v>6</x:v>
      </x:c>
      <x:c r="H512" s="2" t="n">
        <x:f>G512+Supuestos!$C$15</x:f>
        <x:v>7</x:v>
      </x:c>
      <x:c r="I512" s="14" t="n">
        <x:f>E2_plantas!J14+G512</x:f>
        <x:v>46187</x:v>
      </x:c>
      <x:c r="J512" s="2" t="str">
        <x:v>N4</x:v>
      </x:c>
      <x:c r="K512" s="2" t="n">
        <x:v>1</x:v>
      </x:c>
      <x:c r="L512" s="2" t="n">
        <x:v>0</x:v>
      </x:c>
      <x:c r="M512" s="2" t="n">
        <x:f>SUM(L$506:L512)</x:f>
        <x:v>0</x:v>
      </x:c>
      <x:c r="N512" s="2" t="n">
        <x:v>0</x:v>
      </x:c>
      <x:c r="O512" s="2" t="str">
        <x:v>seguimiento</x:v>
      </x:c>
      <x:c r="P512" s="2" t="n">
        <x:v>0</x:v>
      </x:c>
      <x:c r="Q512" s="2" t="str">
        <x:v>simulado_didactico</x:v>
      </x:c>
    </x:row>
    <x:row r="513" ht="19" customHeight="1">
      <x:c r="A513" s="2" t="str">
        <x:v>SIM-E2-MP-L0-R03</x:v>
      </x:c>
      <x:c r="B513" s="2" t="n">
        <x:v>2</x:v>
      </x:c>
      <x:c r="C513" s="2" t="str">
        <x:v>MP</x:v>
      </x:c>
      <x:c r="D513" s="2" t="str">
        <x:v>Myzus persicae</x:v>
      </x:c>
      <x:c r="E513" s="2" t="str">
        <x:v>L0</x:v>
      </x:c>
      <x:c r="F513" s="2" t="n">
        <x:v>3</x:v>
      </x:c>
      <x:c r="G513" s="2" t="n">
        <x:v>7</x:v>
      </x:c>
      <x:c r="H513" s="2" t="n">
        <x:f>G513+Supuestos!$C$15</x:f>
        <x:v>8</x:v>
      </x:c>
      <x:c r="I513" s="14" t="n">
        <x:f>E2_plantas!J14+G513</x:f>
        <x:v>46188</x:v>
      </x:c>
      <x:c r="J513" s="2" t="str">
        <x:v>N4</x:v>
      </x:c>
      <x:c r="K513" s="2" t="n">
        <x:v>1</x:v>
      </x:c>
      <x:c r="L513" s="2" t="n">
        <x:v>0</x:v>
      </x:c>
      <x:c r="M513" s="2" t="n">
        <x:f>SUM(L$506:L513)</x:f>
        <x:v>0</x:v>
      </x:c>
      <x:c r="N513" s="2" t="n">
        <x:v>0</x:v>
      </x:c>
      <x:c r="O513" s="2" t="str">
        <x:v>seguimiento</x:v>
      </x:c>
      <x:c r="P513" s="2" t="n">
        <x:v>0</x:v>
      </x:c>
      <x:c r="Q513" s="2" t="str">
        <x:v>simulado_didactico</x:v>
      </x:c>
    </x:row>
    <x:row r="514" ht="19" customHeight="1">
      <x:c r="A514" s="2" t="str">
        <x:v>SIM-E2-MP-L0-R03</x:v>
      </x:c>
      <x:c r="B514" s="2" t="n">
        <x:v>2</x:v>
      </x:c>
      <x:c r="C514" s="2" t="str">
        <x:v>MP</x:v>
      </x:c>
      <x:c r="D514" s="2" t="str">
        <x:v>Myzus persicae</x:v>
      </x:c>
      <x:c r="E514" s="2" t="str">
        <x:v>L0</x:v>
      </x:c>
      <x:c r="F514" s="2" t="n">
        <x:v>3</x:v>
      </x:c>
      <x:c r="G514" s="2" t="n">
        <x:v>8</x:v>
      </x:c>
      <x:c r="H514" s="2" t="n">
        <x:f>G514+Supuestos!$C$15</x:f>
        <x:v>9</x:v>
      </x:c>
      <x:c r="I514" s="14" t="n">
        <x:f>E2_plantas!J14+G514</x:f>
        <x:v>46189</x:v>
      </x:c>
      <x:c r="J514" s="2" t="str">
        <x:v>adulta</x:v>
      </x:c>
      <x:c r="K514" s="2" t="n">
        <x:v>1</x:v>
      </x:c>
      <x:c r="L514" s="2" t="n">
        <x:v>0</x:v>
      </x:c>
      <x:c r="M514" s="2" t="n">
        <x:f>SUM(L$506:L514)</x:f>
        <x:v>0</x:v>
      </x:c>
      <x:c r="N514" s="2" t="n">
        <x:v>0</x:v>
      </x:c>
      <x:c r="O514" s="2" t="str">
        <x:v>seguimiento</x:v>
      </x:c>
      <x:c r="P514" s="2" t="n">
        <x:v>0</x:v>
      </x:c>
      <x:c r="Q514" s="2" t="str">
        <x:v>simulado_didactico</x:v>
      </x:c>
    </x:row>
    <x:row r="515" ht="19" customHeight="1">
      <x:c r="A515" s="2" t="str">
        <x:v>SIM-E2-MP-L0-R03</x:v>
      </x:c>
      <x:c r="B515" s="2" t="n">
        <x:v>2</x:v>
      </x:c>
      <x:c r="C515" s="2" t="str">
        <x:v>MP</x:v>
      </x:c>
      <x:c r="D515" s="2" t="str">
        <x:v>Myzus persicae</x:v>
      </x:c>
      <x:c r="E515" s="2" t="str">
        <x:v>L0</x:v>
      </x:c>
      <x:c r="F515" s="2" t="n">
        <x:v>3</x:v>
      </x:c>
      <x:c r="G515" s="2" t="n">
        <x:v>9</x:v>
      </x:c>
      <x:c r="H515" s="2" t="n">
        <x:f>G515+Supuestos!$C$15</x:f>
        <x:v>10</x:v>
      </x:c>
      <x:c r="I515" s="14" t="n">
        <x:f>E2_plantas!J14+G515</x:f>
        <x:v>46190</x:v>
      </x:c>
      <x:c r="J515" s="2" t="str">
        <x:v>adulta</x:v>
      </x:c>
      <x:c r="K515" s="2" t="n">
        <x:v>1</x:v>
      </x:c>
      <x:c r="L515" s="2" t="n">
        <x:v>1</x:v>
      </x:c>
      <x:c r="M515" s="2" t="n">
        <x:f>SUM(L$506:L515)</x:f>
        <x:v>1</x:v>
      </x:c>
      <x:c r="N515" s="2" t="n">
        <x:v>0</x:v>
      </x:c>
      <x:c r="O515" s="2" t="str">
        <x:v>seguimiento</x:v>
      </x:c>
      <x:c r="P515" s="2" t="n">
        <x:v>0</x:v>
      </x:c>
      <x:c r="Q515" s="2" t="str">
        <x:v>simulado_didactico</x:v>
      </x:c>
    </x:row>
    <x:row r="516" ht="19" customHeight="1">
      <x:c r="A516" s="2" t="str">
        <x:v>SIM-E2-MP-L0-R03</x:v>
      </x:c>
      <x:c r="B516" s="2" t="n">
        <x:v>2</x:v>
      </x:c>
      <x:c r="C516" s="2" t="str">
        <x:v>MP</x:v>
      </x:c>
      <x:c r="D516" s="2" t="str">
        <x:v>Myzus persicae</x:v>
      </x:c>
      <x:c r="E516" s="2" t="str">
        <x:v>L0</x:v>
      </x:c>
      <x:c r="F516" s="2" t="n">
        <x:v>3</x:v>
      </x:c>
      <x:c r="G516" s="2" t="n">
        <x:v>10</x:v>
      </x:c>
      <x:c r="H516" s="2" t="n">
        <x:f>G516+Supuestos!$C$15</x:f>
        <x:v>11</x:v>
      </x:c>
      <x:c r="I516" s="14" t="n">
        <x:f>E2_plantas!J14+G516</x:f>
        <x:v>46191</x:v>
      </x:c>
      <x:c r="J516" s="2" t="str">
        <x:v>adulta</x:v>
      </x:c>
      <x:c r="K516" s="2" t="n">
        <x:v>1</x:v>
      </x:c>
      <x:c r="L516" s="2" t="n">
        <x:v>8</x:v>
      </x:c>
      <x:c r="M516" s="2" t="n">
        <x:f>SUM(L$506:L516)</x:f>
        <x:v>9</x:v>
      </x:c>
      <x:c r="N516" s="2" t="n">
        <x:v>0</x:v>
      </x:c>
      <x:c r="O516" s="2" t="str">
        <x:v>seguimiento</x:v>
      </x:c>
      <x:c r="P516" s="2" t="n">
        <x:v>0</x:v>
      </x:c>
      <x:c r="Q516" s="2" t="str">
        <x:v>simulado_didactico</x:v>
      </x:c>
    </x:row>
    <x:row r="517" ht="19" customHeight="1">
      <x:c r="A517" s="2" t="str">
        <x:v>SIM-E2-MP-L0-R03</x:v>
      </x:c>
      <x:c r="B517" s="2" t="n">
        <x:v>2</x:v>
      </x:c>
      <x:c r="C517" s="2" t="str">
        <x:v>MP</x:v>
      </x:c>
      <x:c r="D517" s="2" t="str">
        <x:v>Myzus persicae</x:v>
      </x:c>
      <x:c r="E517" s="2" t="str">
        <x:v>L0</x:v>
      </x:c>
      <x:c r="F517" s="2" t="n">
        <x:v>3</x:v>
      </x:c>
      <x:c r="G517" s="2" t="n">
        <x:v>11</x:v>
      </x:c>
      <x:c r="H517" s="2" t="n">
        <x:f>G517+Supuestos!$C$15</x:f>
        <x:v>12</x:v>
      </x:c>
      <x:c r="I517" s="14" t="n">
        <x:f>E2_plantas!J14+G517</x:f>
        <x:v>46192</x:v>
      </x:c>
      <x:c r="J517" s="2" t="str">
        <x:v>adulta</x:v>
      </x:c>
      <x:c r="K517" s="2" t="n">
        <x:v>1</x:v>
      </x:c>
      <x:c r="L517" s="2" t="n">
        <x:v>2</x:v>
      </x:c>
      <x:c r="M517" s="2" t="n">
        <x:f>SUM(L$506:L517)</x:f>
        <x:v>11</x:v>
      </x:c>
      <x:c r="N517" s="2" t="n">
        <x:v>0</x:v>
      </x:c>
      <x:c r="O517" s="2" t="str">
        <x:v>seguimiento</x:v>
      </x:c>
      <x:c r="P517" s="2" t="n">
        <x:v>0</x:v>
      </x:c>
      <x:c r="Q517" s="2" t="str">
        <x:v>simulado_didactico</x:v>
      </x:c>
    </x:row>
    <x:row r="518" ht="19" customHeight="1">
      <x:c r="A518" s="2" t="str">
        <x:v>SIM-E2-MP-L0-R03</x:v>
      </x:c>
      <x:c r="B518" s="2" t="n">
        <x:v>2</x:v>
      </x:c>
      <x:c r="C518" s="2" t="str">
        <x:v>MP</x:v>
      </x:c>
      <x:c r="D518" s="2" t="str">
        <x:v>Myzus persicae</x:v>
      </x:c>
      <x:c r="E518" s="2" t="str">
        <x:v>L0</x:v>
      </x:c>
      <x:c r="F518" s="2" t="n">
        <x:v>3</x:v>
      </x:c>
      <x:c r="G518" s="2" t="n">
        <x:v>12</x:v>
      </x:c>
      <x:c r="H518" s="2" t="n">
        <x:f>G518+Supuestos!$C$15</x:f>
        <x:v>13</x:v>
      </x:c>
      <x:c r="I518" s="14" t="n">
        <x:f>E2_plantas!J14+G518</x:f>
        <x:v>46193</x:v>
      </x:c>
      <x:c r="J518" s="2" t="str">
        <x:v>adulta</x:v>
      </x:c>
      <x:c r="K518" s="2" t="n">
        <x:v>1</x:v>
      </x:c>
      <x:c r="L518" s="2" t="n">
        <x:v>3</x:v>
      </x:c>
      <x:c r="M518" s="2" t="n">
        <x:f>SUM(L$506:L518)</x:f>
        <x:v>14</x:v>
      </x:c>
      <x:c r="N518" s="2" t="n">
        <x:v>0</x:v>
      </x:c>
      <x:c r="O518" s="2" t="str">
        <x:v>seguimiento</x:v>
      </x:c>
      <x:c r="P518" s="2" t="n">
        <x:v>0</x:v>
      </x:c>
      <x:c r="Q518" s="2" t="str">
        <x:v>simulado_didactico</x:v>
      </x:c>
    </x:row>
    <x:row r="519" ht="19" customHeight="1">
      <x:c r="A519" s="2" t="str">
        <x:v>SIM-E2-MP-L0-R03</x:v>
      </x:c>
      <x:c r="B519" s="2" t="n">
        <x:v>2</x:v>
      </x:c>
      <x:c r="C519" s="2" t="str">
        <x:v>MP</x:v>
      </x:c>
      <x:c r="D519" s="2" t="str">
        <x:v>Myzus persicae</x:v>
      </x:c>
      <x:c r="E519" s="2" t="str">
        <x:v>L0</x:v>
      </x:c>
      <x:c r="F519" s="2" t="n">
        <x:v>3</x:v>
      </x:c>
      <x:c r="G519" s="2" t="n">
        <x:v>13</x:v>
      </x:c>
      <x:c r="H519" s="2" t="n">
        <x:f>G519+Supuestos!$C$15</x:f>
        <x:v>14</x:v>
      </x:c>
      <x:c r="I519" s="14" t="n">
        <x:f>E2_plantas!J14+G519</x:f>
        <x:v>46194</x:v>
      </x:c>
      <x:c r="J519" s="2" t="str">
        <x:v>adulta</x:v>
      </x:c>
      <x:c r="K519" s="2" t="n">
        <x:v>1</x:v>
      </x:c>
      <x:c r="L519" s="2" t="n">
        <x:v>3</x:v>
      </x:c>
      <x:c r="M519" s="2" t="n">
        <x:f>SUM(L$506:L519)</x:f>
        <x:v>17</x:v>
      </x:c>
      <x:c r="N519" s="2" t="n">
        <x:v>0</x:v>
      </x:c>
      <x:c r="O519" s="2" t="str">
        <x:v>seguimiento</x:v>
      </x:c>
      <x:c r="P519" s="2" t="n">
        <x:v>0</x:v>
      </x:c>
      <x:c r="Q519" s="2" t="str">
        <x:v>simulado_didactico</x:v>
      </x:c>
    </x:row>
    <x:row r="520" ht="19" customHeight="1">
      <x:c r="A520" s="2" t="str">
        <x:v>SIM-E2-MP-L0-R03</x:v>
      </x:c>
      <x:c r="B520" s="2" t="n">
        <x:v>2</x:v>
      </x:c>
      <x:c r="C520" s="2" t="str">
        <x:v>MP</x:v>
      </x:c>
      <x:c r="D520" s="2" t="str">
        <x:v>Myzus persicae</x:v>
      </x:c>
      <x:c r="E520" s="2" t="str">
        <x:v>L0</x:v>
      </x:c>
      <x:c r="F520" s="2" t="n">
        <x:v>3</x:v>
      </x:c>
      <x:c r="G520" s="2" t="n">
        <x:v>14</x:v>
      </x:c>
      <x:c r="H520" s="2" t="n">
        <x:f>G520+Supuestos!$C$15</x:f>
        <x:v>15</x:v>
      </x:c>
      <x:c r="I520" s="14" t="n">
        <x:f>E2_plantas!J14+G520</x:f>
        <x:v>46195</x:v>
      </x:c>
      <x:c r="J520" s="2" t="str">
        <x:v>adulta</x:v>
      </x:c>
      <x:c r="K520" s="2" t="n">
        <x:v>1</x:v>
      </x:c>
      <x:c r="L520" s="2" t="n">
        <x:v>2</x:v>
      </x:c>
      <x:c r="M520" s="2" t="n">
        <x:f>SUM(L$506:L520)</x:f>
        <x:v>19</x:v>
      </x:c>
      <x:c r="N520" s="2" t="n">
        <x:v>0</x:v>
      </x:c>
      <x:c r="O520" s="2" t="str">
        <x:v>seguimiento</x:v>
      </x:c>
      <x:c r="P520" s="2" t="n">
        <x:v>0</x:v>
      </x:c>
      <x:c r="Q520" s="2" t="str">
        <x:v>simulado_didactico</x:v>
      </x:c>
    </x:row>
    <x:row r="521" ht="19" customHeight="1">
      <x:c r="A521" s="2" t="str">
        <x:v>SIM-E2-MP-L0-R03</x:v>
      </x:c>
      <x:c r="B521" s="2" t="n">
        <x:v>2</x:v>
      </x:c>
      <x:c r="C521" s="2" t="str">
        <x:v>MP</x:v>
      </x:c>
      <x:c r="D521" s="2" t="str">
        <x:v>Myzus persicae</x:v>
      </x:c>
      <x:c r="E521" s="2" t="str">
        <x:v>L0</x:v>
      </x:c>
      <x:c r="F521" s="2" t="n">
        <x:v>3</x:v>
      </x:c>
      <x:c r="G521" s="2" t="n">
        <x:v>15</x:v>
      </x:c>
      <x:c r="H521" s="2" t="n">
        <x:f>G521+Supuestos!$C$15</x:f>
        <x:v>16</x:v>
      </x:c>
      <x:c r="I521" s="14" t="n">
        <x:f>E2_plantas!J14+G521</x:f>
        <x:v>46196</x:v>
      </x:c>
      <x:c r="J521" s="2" t="str">
        <x:v>adulta</x:v>
      </x:c>
      <x:c r="K521" s="2" t="n">
        <x:v>1</x:v>
      </x:c>
      <x:c r="L521" s="2" t="n">
        <x:v>2</x:v>
      </x:c>
      <x:c r="M521" s="2" t="n">
        <x:f>SUM(L$506:L521)</x:f>
        <x:v>21</x:v>
      </x:c>
      <x:c r="N521" s="2" t="n">
        <x:v>0</x:v>
      </x:c>
      <x:c r="O521" s="2" t="str">
        <x:v>seguimiento</x:v>
      </x:c>
      <x:c r="P521" s="2" t="n">
        <x:v>0</x:v>
      </x:c>
      <x:c r="Q521" s="2" t="str">
        <x:v>simulado_didactico</x:v>
      </x:c>
    </x:row>
    <x:row r="522" ht="19" customHeight="1">
      <x:c r="A522" s="2" t="str">
        <x:v>SIM-E2-MP-L0-R03</x:v>
      </x:c>
      <x:c r="B522" s="2" t="n">
        <x:v>2</x:v>
      </x:c>
      <x:c r="C522" s="2" t="str">
        <x:v>MP</x:v>
      </x:c>
      <x:c r="D522" s="2" t="str">
        <x:v>Myzus persicae</x:v>
      </x:c>
      <x:c r="E522" s="2" t="str">
        <x:v>L0</x:v>
      </x:c>
      <x:c r="F522" s="2" t="n">
        <x:v>3</x:v>
      </x:c>
      <x:c r="G522" s="2" t="n">
        <x:v>16</x:v>
      </x:c>
      <x:c r="H522" s="2" t="n">
        <x:f>G522+Supuestos!$C$15</x:f>
        <x:v>17</x:v>
      </x:c>
      <x:c r="I522" s="14" t="n">
        <x:f>E2_plantas!J14+G522</x:f>
        <x:v>46197</x:v>
      </x:c>
      <x:c r="J522" s="2" t="str">
        <x:v>adulta</x:v>
      </x:c>
      <x:c r="K522" s="2" t="n">
        <x:v>1</x:v>
      </x:c>
      <x:c r="L522" s="2" t="n">
        <x:v>3</x:v>
      </x:c>
      <x:c r="M522" s="2" t="n">
        <x:f>SUM(L$506:L522)</x:f>
        <x:v>24</x:v>
      </x:c>
      <x:c r="N522" s="2" t="n">
        <x:v>0</x:v>
      </x:c>
      <x:c r="O522" s="2" t="str">
        <x:v>seguimiento</x:v>
      </x:c>
      <x:c r="P522" s="2" t="n">
        <x:v>0</x:v>
      </x:c>
      <x:c r="Q522" s="2" t="str">
        <x:v>simulado_didactico</x:v>
      </x:c>
    </x:row>
    <x:row r="523" ht="19" customHeight="1">
      <x:c r="A523" s="2" t="str">
        <x:v>SIM-E2-MP-L0-R03</x:v>
      </x:c>
      <x:c r="B523" s="2" t="n">
        <x:v>2</x:v>
      </x:c>
      <x:c r="C523" s="2" t="str">
        <x:v>MP</x:v>
      </x:c>
      <x:c r="D523" s="2" t="str">
        <x:v>Myzus persicae</x:v>
      </x:c>
      <x:c r="E523" s="2" t="str">
        <x:v>L0</x:v>
      </x:c>
      <x:c r="F523" s="2" t="n">
        <x:v>3</x:v>
      </x:c>
      <x:c r="G523" s="2" t="n">
        <x:v>17</x:v>
      </x:c>
      <x:c r="H523" s="2" t="n">
        <x:f>G523+Supuestos!$C$15</x:f>
        <x:v>18</x:v>
      </x:c>
      <x:c r="I523" s="14" t="n">
        <x:f>E2_plantas!J14+G523</x:f>
        <x:v>46198</x:v>
      </x:c>
      <x:c r="J523" s="2" t="str">
        <x:v>adulta</x:v>
      </x:c>
      <x:c r="K523" s="2" t="n">
        <x:v>1</x:v>
      </x:c>
      <x:c r="L523" s="2" t="n">
        <x:v>3</x:v>
      </x:c>
      <x:c r="M523" s="2" t="n">
        <x:f>SUM(L$506:L523)</x:f>
        <x:v>27</x:v>
      </x:c>
      <x:c r="N523" s="2" t="n">
        <x:v>0</x:v>
      </x:c>
      <x:c r="O523" s="2" t="str">
        <x:v>seguimiento</x:v>
      </x:c>
      <x:c r="P523" s="2" t="n">
        <x:v>0</x:v>
      </x:c>
      <x:c r="Q523" s="2" t="str">
        <x:v>simulado_didactico</x:v>
      </x:c>
    </x:row>
    <x:row r="524" ht="19" customHeight="1">
      <x:c r="A524" s="2" t="str">
        <x:v>SIM-E2-MP-L0-R03</x:v>
      </x:c>
      <x:c r="B524" s="2" t="n">
        <x:v>2</x:v>
      </x:c>
      <x:c r="C524" s="2" t="str">
        <x:v>MP</x:v>
      </x:c>
      <x:c r="D524" s="2" t="str">
        <x:v>Myzus persicae</x:v>
      </x:c>
      <x:c r="E524" s="2" t="str">
        <x:v>L0</x:v>
      </x:c>
      <x:c r="F524" s="2" t="n">
        <x:v>3</x:v>
      </x:c>
      <x:c r="G524" s="2" t="n">
        <x:v>18</x:v>
      </x:c>
      <x:c r="H524" s="2" t="n">
        <x:f>G524+Supuestos!$C$15</x:f>
        <x:v>19</x:v>
      </x:c>
      <x:c r="I524" s="14" t="n">
        <x:f>E2_plantas!J14+G524</x:f>
        <x:v>46199</x:v>
      </x:c>
      <x:c r="J524" s="2" t="str">
        <x:v>adulta</x:v>
      </x:c>
      <x:c r="K524" s="2" t="n">
        <x:v>1</x:v>
      </x:c>
      <x:c r="L524" s="2" t="n">
        <x:v>4</x:v>
      </x:c>
      <x:c r="M524" s="2" t="n">
        <x:f>SUM(L$506:L524)</x:f>
        <x:v>31</x:v>
      </x:c>
      <x:c r="N524" s="2" t="n">
        <x:v>0</x:v>
      </x:c>
      <x:c r="O524" s="2" t="str">
        <x:v>seguimiento</x:v>
      </x:c>
      <x:c r="P524" s="2" t="n">
        <x:v>0</x:v>
      </x:c>
      <x:c r="Q524" s="2" t="str">
        <x:v>simulado_didactico</x:v>
      </x:c>
    </x:row>
    <x:row r="525" ht="19" customHeight="1">
      <x:c r="A525" s="2" t="str">
        <x:v>SIM-E2-MP-L0-R03</x:v>
      </x:c>
      <x:c r="B525" s="2" t="n">
        <x:v>2</x:v>
      </x:c>
      <x:c r="C525" s="2" t="str">
        <x:v>MP</x:v>
      </x:c>
      <x:c r="D525" s="2" t="str">
        <x:v>Myzus persicae</x:v>
      </x:c>
      <x:c r="E525" s="2" t="str">
        <x:v>L0</x:v>
      </x:c>
      <x:c r="F525" s="2" t="n">
        <x:v>3</x:v>
      </x:c>
      <x:c r="G525" s="2" t="n">
        <x:v>19</x:v>
      </x:c>
      <x:c r="H525" s="2" t="n">
        <x:f>G525+Supuestos!$C$15</x:f>
        <x:v>20</x:v>
      </x:c>
      <x:c r="I525" s="14" t="n">
        <x:f>E2_plantas!J14+G525</x:f>
        <x:v>46200</x:v>
      </x:c>
      <x:c r="J525" s="2" t="str">
        <x:v>adulta</x:v>
      </x:c>
      <x:c r="K525" s="2" t="n">
        <x:v>1</x:v>
      </x:c>
      <x:c r="L525" s="2" t="n">
        <x:v>2</x:v>
      </x:c>
      <x:c r="M525" s="2" t="n">
        <x:f>SUM(L$506:L525)</x:f>
        <x:v>33</x:v>
      </x:c>
      <x:c r="N525" s="2" t="n">
        <x:v>0</x:v>
      </x:c>
      <x:c r="O525" s="2" t="str">
        <x:v>seguimiento</x:v>
      </x:c>
      <x:c r="P525" s="2" t="n">
        <x:v>0</x:v>
      </x:c>
      <x:c r="Q525" s="2" t="str">
        <x:v>simulado_didactico</x:v>
      </x:c>
    </x:row>
    <x:row r="526" ht="19" customHeight="1">
      <x:c r="A526" s="2" t="str">
        <x:v>SIM-E2-MP-L0-R03</x:v>
      </x:c>
      <x:c r="B526" s="2" t="n">
        <x:v>2</x:v>
      </x:c>
      <x:c r="C526" s="2" t="str">
        <x:v>MP</x:v>
      </x:c>
      <x:c r="D526" s="2" t="str">
        <x:v>Myzus persicae</x:v>
      </x:c>
      <x:c r="E526" s="2" t="str">
        <x:v>L0</x:v>
      </x:c>
      <x:c r="F526" s="2" t="n">
        <x:v>3</x:v>
      </x:c>
      <x:c r="G526" s="2" t="n">
        <x:v>20</x:v>
      </x:c>
      <x:c r="H526" s="2" t="n">
        <x:f>G526+Supuestos!$C$15</x:f>
        <x:v>21</x:v>
      </x:c>
      <x:c r="I526" s="14" t="n">
        <x:f>E2_plantas!J14+G526</x:f>
        <x:v>46201</x:v>
      </x:c>
      <x:c r="J526" s="2" t="str">
        <x:v>adulta</x:v>
      </x:c>
      <x:c r="K526" s="2" t="n">
        <x:v>1</x:v>
      </x:c>
      <x:c r="L526" s="2" t="n">
        <x:v>2</x:v>
      </x:c>
      <x:c r="M526" s="2" t="n">
        <x:f>SUM(L$506:L526)</x:f>
        <x:v>35</x:v>
      </x:c>
      <x:c r="N526" s="2" t="n">
        <x:v>0</x:v>
      </x:c>
      <x:c r="O526" s="2" t="str">
        <x:v>seguimiento</x:v>
      </x:c>
      <x:c r="P526" s="2" t="n">
        <x:v>0</x:v>
      </x:c>
      <x:c r="Q526" s="2" t="str">
        <x:v>simulado_didactico</x:v>
      </x:c>
    </x:row>
    <x:row r="527" ht="19" customHeight="1">
      <x:c r="A527" s="2" t="str">
        <x:v>SIM-E2-MP-L0-R03</x:v>
      </x:c>
      <x:c r="B527" s="2" t="n">
        <x:v>2</x:v>
      </x:c>
      <x:c r="C527" s="2" t="str">
        <x:v>MP</x:v>
      </x:c>
      <x:c r="D527" s="2" t="str">
        <x:v>Myzus persicae</x:v>
      </x:c>
      <x:c r="E527" s="2" t="str">
        <x:v>L0</x:v>
      </x:c>
      <x:c r="F527" s="2" t="n">
        <x:v>3</x:v>
      </x:c>
      <x:c r="G527" s="2" t="n">
        <x:v>21</x:v>
      </x:c>
      <x:c r="H527" s="2" t="n">
        <x:f>G527+Supuestos!$C$15</x:f>
        <x:v>22</x:v>
      </x:c>
      <x:c r="I527" s="14" t="n">
        <x:f>E2_plantas!J14+G527</x:f>
        <x:v>46202</x:v>
      </x:c>
      <x:c r="J527" s="2" t="str">
        <x:v>adulta</x:v>
      </x:c>
      <x:c r="K527" s="2" t="n">
        <x:v>1</x:v>
      </x:c>
      <x:c r="L527" s="2" t="n">
        <x:v>8</x:v>
      </x:c>
      <x:c r="M527" s="2" t="n">
        <x:f>SUM(L$506:L527)</x:f>
        <x:v>43</x:v>
      </x:c>
      <x:c r="N527" s="2" t="n">
        <x:v>0</x:v>
      </x:c>
      <x:c r="O527" s="2" t="str">
        <x:v>seguimiento</x:v>
      </x:c>
      <x:c r="P527" s="2" t="n">
        <x:v>0</x:v>
      </x:c>
      <x:c r="Q527" s="2" t="str">
        <x:v>simulado_didactico</x:v>
      </x:c>
    </x:row>
    <x:row r="528" ht="19" customHeight="1">
      <x:c r="A528" s="2" t="str">
        <x:v>SIM-E2-MP-L0-R03</x:v>
      </x:c>
      <x:c r="B528" s="2" t="n">
        <x:v>2</x:v>
      </x:c>
      <x:c r="C528" s="2" t="str">
        <x:v>MP</x:v>
      </x:c>
      <x:c r="D528" s="2" t="str">
        <x:v>Myzus persicae</x:v>
      </x:c>
      <x:c r="E528" s="2" t="str">
        <x:v>L0</x:v>
      </x:c>
      <x:c r="F528" s="2" t="n">
        <x:v>3</x:v>
      </x:c>
      <x:c r="G528" s="2" t="n">
        <x:v>22</x:v>
      </x:c>
      <x:c r="H528" s="2" t="n">
        <x:f>G528+Supuestos!$C$15</x:f>
        <x:v>23</x:v>
      </x:c>
      <x:c r="I528" s="14" t="n">
        <x:f>E2_plantas!J14+G528</x:f>
        <x:v>46203</x:v>
      </x:c>
      <x:c r="J528" s="2" t="str">
        <x:v>adulta</x:v>
      </x:c>
      <x:c r="K528" s="2" t="n">
        <x:v>1</x:v>
      </x:c>
      <x:c r="L528" s="2" t="n">
        <x:v>1</x:v>
      </x:c>
      <x:c r="M528" s="2" t="n">
        <x:f>SUM(L$506:L528)</x:f>
        <x:v>44</x:v>
      </x:c>
      <x:c r="N528" s="2" t="n">
        <x:v>0</x:v>
      </x:c>
      <x:c r="O528" s="2" t="str">
        <x:v>seguimiento</x:v>
      </x:c>
      <x:c r="P528" s="2" t="n">
        <x:v>0</x:v>
      </x:c>
      <x:c r="Q528" s="2" t="str">
        <x:v>simulado_didactico</x:v>
      </x:c>
    </x:row>
    <x:row r="529" ht="19" customHeight="1">
      <x:c r="A529" s="2" t="str">
        <x:v>SIM-E2-MP-L0-R03</x:v>
      </x:c>
      <x:c r="B529" s="2" t="n">
        <x:v>2</x:v>
      </x:c>
      <x:c r="C529" s="2" t="str">
        <x:v>MP</x:v>
      </x:c>
      <x:c r="D529" s="2" t="str">
        <x:v>Myzus persicae</x:v>
      </x:c>
      <x:c r="E529" s="2" t="str">
        <x:v>L0</x:v>
      </x:c>
      <x:c r="F529" s="2" t="n">
        <x:v>3</x:v>
      </x:c>
      <x:c r="G529" s="2" t="n">
        <x:v>23</x:v>
      </x:c>
      <x:c r="H529" s="2" t="n">
        <x:f>G529+Supuestos!$C$15</x:f>
        <x:v>24</x:v>
      </x:c>
      <x:c r="I529" s="14" t="n">
        <x:f>E2_plantas!J14+G529</x:f>
        <x:v>46204</x:v>
      </x:c>
      <x:c r="J529" s="2" t="str">
        <x:v>adulta</x:v>
      </x:c>
      <x:c r="K529" s="2" t="n">
        <x:v>1</x:v>
      </x:c>
      <x:c r="L529" s="2" t="n">
        <x:v>1</x:v>
      </x:c>
      <x:c r="M529" s="2" t="n">
        <x:f>SUM(L$506:L529)</x:f>
        <x:v>45</x:v>
      </x:c>
      <x:c r="N529" s="2" t="n">
        <x:v>0</x:v>
      </x:c>
      <x:c r="O529" s="2" t="str">
        <x:v>seguimiento</x:v>
      </x:c>
      <x:c r="P529" s="2" t="n">
        <x:v>0</x:v>
      </x:c>
      <x:c r="Q529" s="2" t="str">
        <x:v>simulado_didactico</x:v>
      </x:c>
    </x:row>
    <x:row r="530" ht="19" customHeight="1">
      <x:c r="A530" s="2" t="str">
        <x:v>SIM-E2-MP-L0-R03</x:v>
      </x:c>
      <x:c r="B530" s="2" t="n">
        <x:v>2</x:v>
      </x:c>
      <x:c r="C530" s="2" t="str">
        <x:v>MP</x:v>
      </x:c>
      <x:c r="D530" s="2" t="str">
        <x:v>Myzus persicae</x:v>
      </x:c>
      <x:c r="E530" s="2" t="str">
        <x:v>L0</x:v>
      </x:c>
      <x:c r="F530" s="2" t="n">
        <x:v>3</x:v>
      </x:c>
      <x:c r="G530" s="2" t="n">
        <x:v>24</x:v>
      </x:c>
      <x:c r="H530" s="2" t="n">
        <x:f>G530+Supuestos!$C$15</x:f>
        <x:v>25</x:v>
      </x:c>
      <x:c r="I530" s="14" t="n">
        <x:f>E2_plantas!J14+G530</x:f>
        <x:v>46205</x:v>
      </x:c>
      <x:c r="J530" s="2" t="str">
        <x:v>adulta</x:v>
      </x:c>
      <x:c r="K530" s="2" t="n">
        <x:v>1</x:v>
      </x:c>
      <x:c r="L530" s="2" t="n">
        <x:v>2</x:v>
      </x:c>
      <x:c r="M530" s="2" t="n">
        <x:f>SUM(L$506:L530)</x:f>
        <x:v>47</x:v>
      </x:c>
      <x:c r="N530" s="2" t="n">
        <x:v>0</x:v>
      </x:c>
      <x:c r="O530" s="2" t="str">
        <x:v>seguimiento</x:v>
      </x:c>
      <x:c r="P530" s="2" t="n">
        <x:v>0</x:v>
      </x:c>
      <x:c r="Q530" s="2" t="str">
        <x:v>simulado_didactico</x:v>
      </x:c>
    </x:row>
    <x:row r="531" ht="19" customHeight="1">
      <x:c r="A531" s="2" t="str">
        <x:v>SIM-E2-MP-L0-R03</x:v>
      </x:c>
      <x:c r="B531" s="2" t="n">
        <x:v>2</x:v>
      </x:c>
      <x:c r="C531" s="2" t="str">
        <x:v>MP</x:v>
      </x:c>
      <x:c r="D531" s="2" t="str">
        <x:v>Myzus persicae</x:v>
      </x:c>
      <x:c r="E531" s="2" t="str">
        <x:v>L0</x:v>
      </x:c>
      <x:c r="F531" s="2" t="n">
        <x:v>3</x:v>
      </x:c>
      <x:c r="G531" s="2" t="n">
        <x:v>25</x:v>
      </x:c>
      <x:c r="H531" s="2" t="n">
        <x:f>G531+Supuestos!$C$15</x:f>
        <x:v>26</x:v>
      </x:c>
      <x:c r="I531" s="14" t="n">
        <x:f>E2_plantas!J14+G531</x:f>
        <x:v>46206</x:v>
      </x:c>
      <x:c r="J531" s="2" t="str">
        <x:v>adulta</x:v>
      </x:c>
      <x:c r="K531" s="2" t="n">
        <x:v>1</x:v>
      </x:c>
      <x:c r="L531" s="2" t="n">
        <x:v>2</x:v>
      </x:c>
      <x:c r="M531" s="2" t="n">
        <x:f>SUM(L$506:L531)</x:f>
        <x:v>49</x:v>
      </x:c>
      <x:c r="N531" s="2" t="n">
        <x:v>0</x:v>
      </x:c>
      <x:c r="O531" s="2" t="str">
        <x:v>seguimiento</x:v>
      </x:c>
      <x:c r="P531" s="2" t="n">
        <x:v>0</x:v>
      </x:c>
      <x:c r="Q531" s="2" t="str">
        <x:v>simulado_didactico</x:v>
      </x:c>
    </x:row>
    <x:row r="532" ht="19" customHeight="1">
      <x:c r="A532" s="2" t="str">
        <x:v>SIM-E2-MP-L0-R03</x:v>
      </x:c>
      <x:c r="B532" s="2" t="n">
        <x:v>2</x:v>
      </x:c>
      <x:c r="C532" s="2" t="str">
        <x:v>MP</x:v>
      </x:c>
      <x:c r="D532" s="2" t="str">
        <x:v>Myzus persicae</x:v>
      </x:c>
      <x:c r="E532" s="2" t="str">
        <x:v>L0</x:v>
      </x:c>
      <x:c r="F532" s="2" t="n">
        <x:v>3</x:v>
      </x:c>
      <x:c r="G532" s="2" t="n">
        <x:v>26</x:v>
      </x:c>
      <x:c r="H532" s="2" t="n">
        <x:f>G532+Supuestos!$C$15</x:f>
        <x:v>27</x:v>
      </x:c>
      <x:c r="I532" s="14" t="n">
        <x:f>E2_plantas!J14+G532</x:f>
        <x:v>46207</x:v>
      </x:c>
      <x:c r="J532" s="2" t="str">
        <x:v>adulta</x:v>
      </x:c>
      <x:c r="K532" s="2" t="n">
        <x:v>1</x:v>
      </x:c>
      <x:c r="L532" s="2" t="n">
        <x:v>2</x:v>
      </x:c>
      <x:c r="M532" s="2" t="n">
        <x:f>SUM(L$506:L532)</x:f>
        <x:v>51</x:v>
      </x:c>
      <x:c r="N532" s="2" t="n">
        <x:v>0</x:v>
      </x:c>
      <x:c r="O532" s="2" t="str">
        <x:v>seguimiento</x:v>
      </x:c>
      <x:c r="P532" s="2" t="n">
        <x:v>0</x:v>
      </x:c>
      <x:c r="Q532" s="2" t="str">
        <x:v>simulado_didactico</x:v>
      </x:c>
    </x:row>
    <x:row r="533" ht="19" customHeight="1">
      <x:c r="A533" s="2" t="str">
        <x:v>SIM-E2-MP-L0-R03</x:v>
      </x:c>
      <x:c r="B533" s="2" t="n">
        <x:v>2</x:v>
      </x:c>
      <x:c r="C533" s="2" t="str">
        <x:v>MP</x:v>
      </x:c>
      <x:c r="D533" s="2" t="str">
        <x:v>Myzus persicae</x:v>
      </x:c>
      <x:c r="E533" s="2" t="str">
        <x:v>L0</x:v>
      </x:c>
      <x:c r="F533" s="2" t="n">
        <x:v>3</x:v>
      </x:c>
      <x:c r="G533" s="2" t="n">
        <x:v>27</x:v>
      </x:c>
      <x:c r="H533" s="2" t="n">
        <x:f>G533+Supuestos!$C$15</x:f>
        <x:v>28</x:v>
      </x:c>
      <x:c r="I533" s="14" t="n">
        <x:f>E2_plantas!J14+G533</x:f>
        <x:v>46208</x:v>
      </x:c>
      <x:c r="J533" s="2" t="str">
        <x:v>adulta</x:v>
      </x:c>
      <x:c r="K533" s="2" t="n">
        <x:v>1</x:v>
      </x:c>
      <x:c r="L533" s="2" t="n">
        <x:v>2</x:v>
      </x:c>
      <x:c r="M533" s="2" t="n">
        <x:f>SUM(L$506:L533)</x:f>
        <x:v>53</x:v>
      </x:c>
      <x:c r="N533" s="2" t="n">
        <x:v>0</x:v>
      </x:c>
      <x:c r="O533" s="2" t="str">
        <x:v>seguimiento</x:v>
      </x:c>
      <x:c r="P533" s="2" t="n">
        <x:v>0</x:v>
      </x:c>
      <x:c r="Q533" s="2" t="str">
        <x:v>simulado_didactico</x:v>
      </x:c>
    </x:row>
    <x:row r="534" ht="19" customHeight="1">
      <x:c r="A534" s="2" t="str">
        <x:v>SIM-E2-MP-L0-R03</x:v>
      </x:c>
      <x:c r="B534" s="2" t="n">
        <x:v>2</x:v>
      </x:c>
      <x:c r="C534" s="2" t="str">
        <x:v>MP</x:v>
      </x:c>
      <x:c r="D534" s="2" t="str">
        <x:v>Myzus persicae</x:v>
      </x:c>
      <x:c r="E534" s="2" t="str">
        <x:v>L0</x:v>
      </x:c>
      <x:c r="F534" s="2" t="n">
        <x:v>3</x:v>
      </x:c>
      <x:c r="G534" s="2" t="n">
        <x:v>28</x:v>
      </x:c>
      <x:c r="H534" s="2" t="n">
        <x:f>G534+Supuestos!$C$15</x:f>
        <x:v>29</x:v>
      </x:c>
      <x:c r="I534" s="14" t="n">
        <x:f>E2_plantas!J14+G534</x:f>
        <x:v>46209</x:v>
      </x:c>
      <x:c r="J534" s="2" t="str">
        <x:v>adulta</x:v>
      </x:c>
      <x:c r="K534" s="2" t="n">
        <x:v>1</x:v>
      </x:c>
      <x:c r="L534" s="2" t="n">
        <x:v>0</x:v>
      </x:c>
      <x:c r="M534" s="2" t="n">
        <x:f>SUM(L$506:L534)</x:f>
        <x:v>53</x:v>
      </x:c>
      <x:c r="N534" s="2" t="n">
        <x:v>0</x:v>
      </x:c>
      <x:c r="O534" s="2" t="str">
        <x:v>seguimiento</x:v>
      </x:c>
      <x:c r="P534" s="2" t="n">
        <x:v>0</x:v>
      </x:c>
      <x:c r="Q534" s="2" t="str">
        <x:v>simulado_didactico</x:v>
      </x:c>
    </x:row>
    <x:row r="535" ht="19" customHeight="1">
      <x:c r="A535" s="2" t="str">
        <x:v>SIM-E2-MP-L0-R03</x:v>
      </x:c>
      <x:c r="B535" s="2" t="n">
        <x:v>2</x:v>
      </x:c>
      <x:c r="C535" s="2" t="str">
        <x:v>MP</x:v>
      </x:c>
      <x:c r="D535" s="2" t="str">
        <x:v>Myzus persicae</x:v>
      </x:c>
      <x:c r="E535" s="2" t="str">
        <x:v>L0</x:v>
      </x:c>
      <x:c r="F535" s="2" t="n">
        <x:v>3</x:v>
      </x:c>
      <x:c r="G535" s="2" t="n">
        <x:v>29</x:v>
      </x:c>
      <x:c r="H535" s="2" t="n">
        <x:f>G535+Supuestos!$C$15</x:f>
        <x:v>30</x:v>
      </x:c>
      <x:c r="I535" s="14" t="n">
        <x:f>E2_plantas!J14+G535</x:f>
        <x:v>46210</x:v>
      </x:c>
      <x:c r="J535" s="2" t="str">
        <x:v>adulta</x:v>
      </x:c>
      <x:c r="K535" s="2" t="n">
        <x:v>1</x:v>
      </x:c>
      <x:c r="L535" s="2" t="n">
        <x:v>1</x:v>
      </x:c>
      <x:c r="M535" s="2" t="n">
        <x:f>SUM(L$506:L535)</x:f>
        <x:v>54</x:v>
      </x:c>
      <x:c r="N535" s="2" t="n">
        <x:v>0</x:v>
      </x:c>
      <x:c r="O535" s="2" t="str">
        <x:v>seguimiento</x:v>
      </x:c>
      <x:c r="P535" s="2" t="n">
        <x:v>0</x:v>
      </x:c>
      <x:c r="Q535" s="2" t="str">
        <x:v>simulado_didactico</x:v>
      </x:c>
    </x:row>
    <x:row r="536" ht="19" customHeight="1">
      <x:c r="A536" s="2" t="str">
        <x:v>SIM-E2-MP-L0-R03</x:v>
      </x:c>
      <x:c r="B536" s="2" t="n">
        <x:v>2</x:v>
      </x:c>
      <x:c r="C536" s="2" t="str">
        <x:v>MP</x:v>
      </x:c>
      <x:c r="D536" s="2" t="str">
        <x:v>Myzus persicae</x:v>
      </x:c>
      <x:c r="E536" s="2" t="str">
        <x:v>L0</x:v>
      </x:c>
      <x:c r="F536" s="2" t="n">
        <x:v>3</x:v>
      </x:c>
      <x:c r="G536" s="2" t="n">
        <x:v>30</x:v>
      </x:c>
      <x:c r="H536" s="2" t="n">
        <x:f>G536+Supuestos!$C$15</x:f>
        <x:v>31</x:v>
      </x:c>
      <x:c r="I536" s="14" t="n">
        <x:f>E2_plantas!J14+G536</x:f>
        <x:v>46211</x:v>
      </x:c>
      <x:c r="J536" s="2" t="str">
        <x:v>adulta</x:v>
      </x:c>
      <x:c r="K536" s="2" t="n">
        <x:v>1</x:v>
      </x:c>
      <x:c r="L536" s="2" t="n">
        <x:v>1</x:v>
      </x:c>
      <x:c r="M536" s="2" t="n">
        <x:f>SUM(L$506:L536)</x:f>
        <x:v>55</x:v>
      </x:c>
      <x:c r="N536" s="2" t="n">
        <x:v>0</x:v>
      </x:c>
      <x:c r="O536" s="2" t="str">
        <x:v>seguimiento</x:v>
      </x:c>
      <x:c r="P536" s="2" t="n">
        <x:v>0</x:v>
      </x:c>
      <x:c r="Q536" s="2" t="str">
        <x:v>simulado_didactico</x:v>
      </x:c>
    </x:row>
    <x:row r="537" ht="19" customHeight="1">
      <x:c r="A537" s="2" t="str">
        <x:v>SIM-E2-MP-L0-R03</x:v>
      </x:c>
      <x:c r="B537" s="2" t="n">
        <x:v>2</x:v>
      </x:c>
      <x:c r="C537" s="2" t="str">
        <x:v>MP</x:v>
      </x:c>
      <x:c r="D537" s="2" t="str">
        <x:v>Myzus persicae</x:v>
      </x:c>
      <x:c r="E537" s="2" t="str">
        <x:v>L0</x:v>
      </x:c>
      <x:c r="F537" s="2" t="n">
        <x:v>3</x:v>
      </x:c>
      <x:c r="G537" s="2" t="n">
        <x:v>31</x:v>
      </x:c>
      <x:c r="H537" s="2" t="n">
        <x:f>G537+Supuestos!$C$15</x:f>
        <x:v>32</x:v>
      </x:c>
      <x:c r="I537" s="14" t="n">
        <x:f>E2_plantas!J14+G537</x:f>
        <x:v>46212</x:v>
      </x:c>
      <x:c r="J537" s="2" t="str">
        <x:v>adulta</x:v>
      </x:c>
      <x:c r="K537" s="2" t="n">
        <x:v>1</x:v>
      </x:c>
      <x:c r="L537" s="2" t="n">
        <x:v>0</x:v>
      </x:c>
      <x:c r="M537" s="2" t="n">
        <x:f>SUM(L$506:L537)</x:f>
        <x:v>55</x:v>
      </x:c>
      <x:c r="N537" s="2" t="n">
        <x:v>0</x:v>
      </x:c>
      <x:c r="O537" s="2" t="str">
        <x:v>seguimiento</x:v>
      </x:c>
      <x:c r="P537" s="2" t="n">
        <x:v>0</x:v>
      </x:c>
      <x:c r="Q537" s="2" t="str">
        <x:v>simulado_didactico</x:v>
      </x:c>
    </x:row>
    <x:row r="538" ht="19" customHeight="1">
      <x:c r="A538" s="2" t="str">
        <x:v>SIM-E2-MP-L0-R03</x:v>
      </x:c>
      <x:c r="B538" s="2" t="n">
        <x:v>2</x:v>
      </x:c>
      <x:c r="C538" s="2" t="str">
        <x:v>MP</x:v>
      </x:c>
      <x:c r="D538" s="2" t="str">
        <x:v>Myzus persicae</x:v>
      </x:c>
      <x:c r="E538" s="2" t="str">
        <x:v>L0</x:v>
      </x:c>
      <x:c r="F538" s="2" t="n">
        <x:v>3</x:v>
      </x:c>
      <x:c r="G538" s="2" t="n">
        <x:v>32</x:v>
      </x:c>
      <x:c r="H538" s="2" t="n">
        <x:f>G538+Supuestos!$C$15</x:f>
        <x:v>33</x:v>
      </x:c>
      <x:c r="I538" s="14" t="n">
        <x:f>E2_plantas!J14+G538</x:f>
        <x:v>46213</x:v>
      </x:c>
      <x:c r="J538" s="2" t="str">
        <x:v>adulta</x:v>
      </x:c>
      <x:c r="K538" s="2" t="n">
        <x:v>1</x:v>
      </x:c>
      <x:c r="L538" s="2" t="n">
        <x:v>0</x:v>
      </x:c>
      <x:c r="M538" s="2" t="n">
        <x:f>SUM(L$506:L538)</x:f>
        <x:v>55</x:v>
      </x:c>
      <x:c r="N538" s="2" t="n">
        <x:v>0</x:v>
      </x:c>
      <x:c r="O538" s="2" t="str">
        <x:v>seguimiento</x:v>
      </x:c>
      <x:c r="P538" s="2" t="n">
        <x:v>0</x:v>
      </x:c>
      <x:c r="Q538" s="2" t="str">
        <x:v>simulado_didactico</x:v>
      </x:c>
    </x:row>
    <x:row r="539" ht="19" customHeight="1">
      <x:c r="A539" s="2" t="str">
        <x:v>SIM-E2-MP-L0-R03</x:v>
      </x:c>
      <x:c r="B539" s="2" t="n">
        <x:v>2</x:v>
      </x:c>
      <x:c r="C539" s="2" t="str">
        <x:v>MP</x:v>
      </x:c>
      <x:c r="D539" s="2" t="str">
        <x:v>Myzus persicae</x:v>
      </x:c>
      <x:c r="E539" s="2" t="str">
        <x:v>L0</x:v>
      </x:c>
      <x:c r="F539" s="2" t="n">
        <x:v>3</x:v>
      </x:c>
      <x:c r="G539" s="2" t="n">
        <x:v>33</x:v>
      </x:c>
      <x:c r="H539" s="2" t="n">
        <x:f>G539+Supuestos!$C$15</x:f>
        <x:v>34</x:v>
      </x:c>
      <x:c r="I539" s="14" t="n">
        <x:f>E2_plantas!J14+G539</x:f>
        <x:v>46214</x:v>
      </x:c>
      <x:c r="J539" s="2" t="str">
        <x:v>muerta</x:v>
      </x:c>
      <x:c r="K539" s="2" t="n">
        <x:v>0</x:v>
      </x:c>
      <x:c r="L539" s="2" t="n">
        <x:v>0</x:v>
      </x:c>
      <x:c r="M539" s="2" t="n">
        <x:f>SUM(L$506:L539)</x:f>
        <x:v>55</x:v>
      </x:c>
      <x:c r="N539" s="2" t="n">
        <x:v>1</x:v>
      </x:c>
      <x:c r="O539" s="2" t="str">
        <x:v>muerte</x:v>
      </x:c>
      <x:c r="P539" s="2" t="n">
        <x:v>0</x:v>
      </x:c>
      <x:c r="Q539" s="2" t="str">
        <x:v>simulado_didactico</x:v>
      </x:c>
    </x:row>
    <x:row r="540" ht="19" customHeight="1">
      <x:c r="A540" s="2" t="str">
        <x:v>SIM-E2-MP-L0-R03</x:v>
      </x:c>
      <x:c r="B540" s="2" t="n">
        <x:v>2</x:v>
      </x:c>
      <x:c r="C540" s="2" t="str">
        <x:v>MP</x:v>
      </x:c>
      <x:c r="D540" s="2" t="str">
        <x:v>Myzus persicae</x:v>
      </x:c>
      <x:c r="E540" s="2" t="str">
        <x:v>L0</x:v>
      </x:c>
      <x:c r="F540" s="2" t="n">
        <x:v>3</x:v>
      </x:c>
      <x:c r="G540" s="2" t="n">
        <x:v>34</x:v>
      </x:c>
      <x:c r="H540" s="2" t="n">
        <x:f>G540+Supuestos!$C$15</x:f>
        <x:v>35</x:v>
      </x:c>
      <x:c r="I540" s="14" t="n">
        <x:f>E2_plantas!J14+G540</x:f>
        <x:v>46215</x:v>
      </x:c>
      <x:c r="J540" s="2" t="str">
        <x:v>muerta</x:v>
      </x:c>
      <x:c r="K540" s="2" t="n">
        <x:v>0</x:v>
      </x:c>
      <x:c r="L540" s="2" t="n">
        <x:v>0</x:v>
      </x:c>
      <x:c r="M540" s="2" t="n">
        <x:f>SUM(L$506:L540)</x:f>
        <x:v>55</x:v>
      </x:c>
      <x:c r="N540" s="2" t="n">
        <x:v>0</x:v>
      </x:c>
      <x:c r="O540" s="2" t="str">
        <x:v>relleno_postmuerte</x:v>
      </x:c>
      <x:c r="P540" s="2" t="n">
        <x:v>0</x:v>
      </x:c>
      <x:c r="Q540" s="2" t="str">
        <x:v>simulado_didactico</x:v>
      </x:c>
    </x:row>
    <x:row r="541" ht="19" customHeight="1">
      <x:c r="A541" s="2" t="str">
        <x:v>SIM-E2-MP-L0-R03</x:v>
      </x:c>
      <x:c r="B541" s="2" t="n">
        <x:v>2</x:v>
      </x:c>
      <x:c r="C541" s="2" t="str">
        <x:v>MP</x:v>
      </x:c>
      <x:c r="D541" s="2" t="str">
        <x:v>Myzus persicae</x:v>
      </x:c>
      <x:c r="E541" s="2" t="str">
        <x:v>L0</x:v>
      </x:c>
      <x:c r="F541" s="2" t="n">
        <x:v>3</x:v>
      </x:c>
      <x:c r="G541" s="2" t="n">
        <x:v>35</x:v>
      </x:c>
      <x:c r="H541" s="2" t="n">
        <x:f>G541+Supuestos!$C$15</x:f>
        <x:v>36</x:v>
      </x:c>
      <x:c r="I541" s="14" t="n">
        <x:f>E2_plantas!J14+G541</x:f>
        <x:v>46216</x:v>
      </x:c>
      <x:c r="J541" s="2" t="str">
        <x:v>muerta</x:v>
      </x:c>
      <x:c r="K541" s="2" t="n">
        <x:v>0</x:v>
      </x:c>
      <x:c r="L541" s="2" t="n">
        <x:v>0</x:v>
      </x:c>
      <x:c r="M541" s="2" t="n">
        <x:f>SUM(L$506:L541)</x:f>
        <x:v>55</x:v>
      </x:c>
      <x:c r="N541" s="2" t="n">
        <x:v>0</x:v>
      </x:c>
      <x:c r="O541" s="2" t="str">
        <x:v>relleno_postmuerte</x:v>
      </x:c>
      <x:c r="P541" s="2" t="n">
        <x:v>0</x:v>
      </x:c>
      <x:c r="Q541" s="2" t="str">
        <x:v>simulado_didactico</x:v>
      </x:c>
    </x:row>
    <x:row r="542" ht="19" customHeight="1">
      <x:c r="A542" s="2" t="str">
        <x:v>SIM-E2-MP-L0-R03</x:v>
      </x:c>
      <x:c r="B542" s="2" t="n">
        <x:v>2</x:v>
      </x:c>
      <x:c r="C542" s="2" t="str">
        <x:v>MP</x:v>
      </x:c>
      <x:c r="D542" s="2" t="str">
        <x:v>Myzus persicae</x:v>
      </x:c>
      <x:c r="E542" s="2" t="str">
        <x:v>L0</x:v>
      </x:c>
      <x:c r="F542" s="2" t="n">
        <x:v>3</x:v>
      </x:c>
      <x:c r="G542" s="2" t="n">
        <x:v>36</x:v>
      </x:c>
      <x:c r="H542" s="2" t="n">
        <x:f>G542+Supuestos!$C$15</x:f>
        <x:v>37</x:v>
      </x:c>
      <x:c r="I542" s="14" t="n">
        <x:f>E2_plantas!J14+G542</x:f>
        <x:v>46217</x:v>
      </x:c>
      <x:c r="J542" s="2" t="str">
        <x:v>muerta</x:v>
      </x:c>
      <x:c r="K542" s="2" t="n">
        <x:v>0</x:v>
      </x:c>
      <x:c r="L542" s="2" t="n">
        <x:v>0</x:v>
      </x:c>
      <x:c r="M542" s="2" t="n">
        <x:f>SUM(L$506:L542)</x:f>
        <x:v>55</x:v>
      </x:c>
      <x:c r="N542" s="2" t="n">
        <x:v>0</x:v>
      </x:c>
      <x:c r="O542" s="2" t="str">
        <x:v>relleno_postmuerte</x:v>
      </x:c>
      <x:c r="P542" s="2" t="n">
        <x:v>0</x:v>
      </x:c>
      <x:c r="Q542" s="2" t="str">
        <x:v>simulado_didactico</x:v>
      </x:c>
    </x:row>
    <x:row r="543" ht="19" customHeight="1">
      <x:c r="A543" s="2" t="str">
        <x:v>SIM-E2-MP-L0-R03</x:v>
      </x:c>
      <x:c r="B543" s="2" t="n">
        <x:v>2</x:v>
      </x:c>
      <x:c r="C543" s="2" t="str">
        <x:v>MP</x:v>
      </x:c>
      <x:c r="D543" s="2" t="str">
        <x:v>Myzus persicae</x:v>
      </x:c>
      <x:c r="E543" s="2" t="str">
        <x:v>L0</x:v>
      </x:c>
      <x:c r="F543" s="2" t="n">
        <x:v>3</x:v>
      </x:c>
      <x:c r="G543" s="2" t="n">
        <x:v>37</x:v>
      </x:c>
      <x:c r="H543" s="2" t="n">
        <x:f>G543+Supuestos!$C$15</x:f>
        <x:v>38</x:v>
      </x:c>
      <x:c r="I543" s="14" t="n">
        <x:f>E2_plantas!J14+G543</x:f>
        <x:v>46218</x:v>
      </x:c>
      <x:c r="J543" s="2" t="str">
        <x:v>muerta</x:v>
      </x:c>
      <x:c r="K543" s="2" t="n">
        <x:v>0</x:v>
      </x:c>
      <x:c r="L543" s="2" t="n">
        <x:v>0</x:v>
      </x:c>
      <x:c r="M543" s="2" t="n">
        <x:f>SUM(L$506:L543)</x:f>
        <x:v>55</x:v>
      </x:c>
      <x:c r="N543" s="2" t="n">
        <x:v>0</x:v>
      </x:c>
      <x:c r="O543" s="2" t="str">
        <x:v>relleno_postmuerte</x:v>
      </x:c>
      <x:c r="P543" s="2" t="n">
        <x:v>0</x:v>
      </x:c>
      <x:c r="Q543" s="2" t="str">
        <x:v>simulado_didactico</x:v>
      </x:c>
    </x:row>
    <x:row r="544" ht="19" customHeight="1">
      <x:c r="A544" s="2" t="str">
        <x:v>SIM-E2-MP-L0-R03</x:v>
      </x:c>
      <x:c r="B544" s="2" t="n">
        <x:v>2</x:v>
      </x:c>
      <x:c r="C544" s="2" t="str">
        <x:v>MP</x:v>
      </x:c>
      <x:c r="D544" s="2" t="str">
        <x:v>Myzus persicae</x:v>
      </x:c>
      <x:c r="E544" s="2" t="str">
        <x:v>L0</x:v>
      </x:c>
      <x:c r="F544" s="2" t="n">
        <x:v>3</x:v>
      </x:c>
      <x:c r="G544" s="2" t="n">
        <x:v>38</x:v>
      </x:c>
      <x:c r="H544" s="2" t="n">
        <x:f>G544+Supuestos!$C$15</x:f>
        <x:v>39</x:v>
      </x:c>
      <x:c r="I544" s="14" t="n">
        <x:f>E2_plantas!J14+G544</x:f>
        <x:v>46219</x:v>
      </x:c>
      <x:c r="J544" s="2" t="str">
        <x:v>muerta</x:v>
      </x:c>
      <x:c r="K544" s="2" t="n">
        <x:v>0</x:v>
      </x:c>
      <x:c r="L544" s="2" t="n">
        <x:v>0</x:v>
      </x:c>
      <x:c r="M544" s="2" t="n">
        <x:f>SUM(L$506:L544)</x:f>
        <x:v>55</x:v>
      </x:c>
      <x:c r="N544" s="2" t="n">
        <x:v>0</x:v>
      </x:c>
      <x:c r="O544" s="2" t="str">
        <x:v>relleno_postmuerte</x:v>
      </x:c>
      <x:c r="P544" s="2" t="n">
        <x:v>0</x:v>
      </x:c>
      <x:c r="Q544" s="2" t="str">
        <x:v>simulado_didactico</x:v>
      </x:c>
    </x:row>
    <x:row r="545" ht="19" customHeight="1">
      <x:c r="A545" s="2" t="str">
        <x:v>SIM-E2-MP-L0-R03</x:v>
      </x:c>
      <x:c r="B545" s="2" t="n">
        <x:v>2</x:v>
      </x:c>
      <x:c r="C545" s="2" t="str">
        <x:v>MP</x:v>
      </x:c>
      <x:c r="D545" s="2" t="str">
        <x:v>Myzus persicae</x:v>
      </x:c>
      <x:c r="E545" s="2" t="str">
        <x:v>L0</x:v>
      </x:c>
      <x:c r="F545" s="2" t="n">
        <x:v>3</x:v>
      </x:c>
      <x:c r="G545" s="2" t="n">
        <x:v>39</x:v>
      </x:c>
      <x:c r="H545" s="2" t="n">
        <x:f>G545+Supuestos!$C$15</x:f>
        <x:v>40</x:v>
      </x:c>
      <x:c r="I545" s="14" t="n">
        <x:f>E2_plantas!J14+G545</x:f>
        <x:v>46220</x:v>
      </x:c>
      <x:c r="J545" s="2" t="str">
        <x:v>muerta</x:v>
      </x:c>
      <x:c r="K545" s="2" t="n">
        <x:v>0</x:v>
      </x:c>
      <x:c r="L545" s="2" t="n">
        <x:v>0</x:v>
      </x:c>
      <x:c r="M545" s="2" t="n">
        <x:f>SUM(L$506:L545)</x:f>
        <x:v>55</x:v>
      </x:c>
      <x:c r="N545" s="2" t="n">
        <x:v>0</x:v>
      </x:c>
      <x:c r="O545" s="2" t="str">
        <x:v>relleno_postmuerte</x:v>
      </x:c>
      <x:c r="P545" s="2" t="n">
        <x:v>0</x:v>
      </x:c>
      <x:c r="Q545" s="2" t="str">
        <x:v>simulado_didactico</x:v>
      </x:c>
    </x:row>
    <x:row r="546" ht="19" customHeight="1">
      <x:c r="A546" s="2" t="str">
        <x:v>SIM-E2-MP-L0-R03</x:v>
      </x:c>
      <x:c r="B546" s="2" t="n">
        <x:v>2</x:v>
      </x:c>
      <x:c r="C546" s="2" t="str">
        <x:v>MP</x:v>
      </x:c>
      <x:c r="D546" s="2" t="str">
        <x:v>Myzus persicae</x:v>
      </x:c>
      <x:c r="E546" s="2" t="str">
        <x:v>L0</x:v>
      </x:c>
      <x:c r="F546" s="2" t="n">
        <x:v>3</x:v>
      </x:c>
      <x:c r="G546" s="2" t="n">
        <x:v>40</x:v>
      </x:c>
      <x:c r="H546" s="2" t="n">
        <x:f>G546+Supuestos!$C$15</x:f>
        <x:v>41</x:v>
      </x:c>
      <x:c r="I546" s="14" t="n">
        <x:f>E2_plantas!J14+G546</x:f>
        <x:v>46221</x:v>
      </x:c>
      <x:c r="J546" s="2" t="str">
        <x:v>muerta</x:v>
      </x:c>
      <x:c r="K546" s="2" t="n">
        <x:v>0</x:v>
      </x:c>
      <x:c r="L546" s="2" t="n">
        <x:v>0</x:v>
      </x:c>
      <x:c r="M546" s="2" t="n">
        <x:f>SUM(L$506:L546)</x:f>
        <x:v>55</x:v>
      </x:c>
      <x:c r="N546" s="2" t="n">
        <x:v>0</x:v>
      </x:c>
      <x:c r="O546" s="2" t="str">
        <x:v>relleno_postmuerte</x:v>
      </x:c>
      <x:c r="P546" s="2" t="n">
        <x:v>0</x:v>
      </x:c>
      <x:c r="Q546" s="2" t="str">
        <x:v>simulado_didactico</x:v>
      </x:c>
    </x:row>
    <x:row r="547" ht="19" customHeight="1">
      <x:c r="A547" s="2" t="str">
        <x:v>SIM-E2-MP-L0-R03</x:v>
      </x:c>
      <x:c r="B547" s="2" t="n">
        <x:v>2</x:v>
      </x:c>
      <x:c r="C547" s="2" t="str">
        <x:v>MP</x:v>
      </x:c>
      <x:c r="D547" s="2" t="str">
        <x:v>Myzus persicae</x:v>
      </x:c>
      <x:c r="E547" s="2" t="str">
        <x:v>L0</x:v>
      </x:c>
      <x:c r="F547" s="2" t="n">
        <x:v>3</x:v>
      </x:c>
      <x:c r="G547" s="2" t="n">
        <x:v>41</x:v>
      </x:c>
      <x:c r="H547" s="2" t="n">
        <x:f>G547+Supuestos!$C$15</x:f>
        <x:v>42</x:v>
      </x:c>
      <x:c r="I547" s="14" t="n">
        <x:f>E2_plantas!J14+G547</x:f>
        <x:v>46222</x:v>
      </x:c>
      <x:c r="J547" s="2" t="str">
        <x:v>muerta</x:v>
      </x:c>
      <x:c r="K547" s="2" t="n">
        <x:v>0</x:v>
      </x:c>
      <x:c r="L547" s="2" t="n">
        <x:v>0</x:v>
      </x:c>
      <x:c r="M547" s="2" t="n">
        <x:f>SUM(L$506:L547)</x:f>
        <x:v>55</x:v>
      </x:c>
      <x:c r="N547" s="2" t="n">
        <x:v>0</x:v>
      </x:c>
      <x:c r="O547" s="2" t="str">
        <x:v>relleno_postmuerte</x:v>
      </x:c>
      <x:c r="P547" s="2" t="n">
        <x:v>0</x:v>
      </x:c>
      <x:c r="Q547" s="2" t="str">
        <x:v>simulado_didactico</x:v>
      </x:c>
    </x:row>
    <x:row r="548" ht="19" customHeight="1">
      <x:c r="A548" s="2" t="str">
        <x:v>SIM-E2-MP-L0-R04</x:v>
      </x:c>
      <x:c r="B548" s="2" t="n">
        <x:v>2</x:v>
      </x:c>
      <x:c r="C548" s="2" t="str">
        <x:v>MP</x:v>
      </x:c>
      <x:c r="D548" s="2" t="str">
        <x:v>Myzus persicae</x:v>
      </x:c>
      <x:c r="E548" s="2" t="str">
        <x:v>L0</x:v>
      </x:c>
      <x:c r="F548" s="2" t="n">
        <x:v>4</x:v>
      </x:c>
      <x:c r="G548" s="2" t="n">
        <x:v>0</x:v>
      </x:c>
      <x:c r="H548" s="2" t="n">
        <x:f>G548+Supuestos!$C$15</x:f>
        <x:v>1</x:v>
      </x:c>
      <x:c r="I548" s="14" t="n">
        <x:f>E2_plantas!J15+G548</x:f>
        <x:v>46181</x:v>
      </x:c>
      <x:c r="J548" s="2" t="str">
        <x:v>N1</x:v>
      </x:c>
      <x:c r="K548" s="2" t="n">
        <x:v>1</x:v>
      </x:c>
      <x:c r="L548" s="2" t="n">
        <x:v>0</x:v>
      </x:c>
      <x:c r="M548" s="2" t="n">
        <x:f>SUM(L$548:L548)</x:f>
        <x:v>0</x:v>
      </x:c>
      <x:c r="N548" s="2" t="n">
        <x:v>0</x:v>
      </x:c>
      <x:c r="O548" s="2" t="str">
        <x:v>seguimiento</x:v>
      </x:c>
      <x:c r="P548" s="2" t="n">
        <x:v>0</x:v>
      </x:c>
      <x:c r="Q548" s="2" t="str">
        <x:v>simulado_didactico</x:v>
      </x:c>
    </x:row>
    <x:row r="549" ht="19" customHeight="1">
      <x:c r="A549" s="2" t="str">
        <x:v>SIM-E2-MP-L0-R04</x:v>
      </x:c>
      <x:c r="B549" s="2" t="n">
        <x:v>2</x:v>
      </x:c>
      <x:c r="C549" s="2" t="str">
        <x:v>MP</x:v>
      </x:c>
      <x:c r="D549" s="2" t="str">
        <x:v>Myzus persicae</x:v>
      </x:c>
      <x:c r="E549" s="2" t="str">
        <x:v>L0</x:v>
      </x:c>
      <x:c r="F549" s="2" t="n">
        <x:v>4</x:v>
      </x:c>
      <x:c r="G549" s="2" t="n">
        <x:v>1</x:v>
      </x:c>
      <x:c r="H549" s="2" t="n">
        <x:f>G549+Supuestos!$C$15</x:f>
        <x:v>2</x:v>
      </x:c>
      <x:c r="I549" s="14" t="n">
        <x:f>E2_plantas!J15+G549</x:f>
        <x:v>46182</x:v>
      </x:c>
      <x:c r="J549" s="2" t="str">
        <x:v>N1</x:v>
      </x:c>
      <x:c r="K549" s="2" t="n">
        <x:v>1</x:v>
      </x:c>
      <x:c r="L549" s="2" t="n">
        <x:v>0</x:v>
      </x:c>
      <x:c r="M549" s="2" t="n">
        <x:f>SUM(L$548:L549)</x:f>
        <x:v>0</x:v>
      </x:c>
      <x:c r="N549" s="2" t="n">
        <x:v>0</x:v>
      </x:c>
      <x:c r="O549" s="2" t="str">
        <x:v>seguimiento</x:v>
      </x:c>
      <x:c r="P549" s="2" t="n">
        <x:v>0</x:v>
      </x:c>
      <x:c r="Q549" s="2" t="str">
        <x:v>simulado_didactico</x:v>
      </x:c>
    </x:row>
    <x:row r="550" ht="19" customHeight="1">
      <x:c r="A550" s="2" t="str">
        <x:v>SIM-E2-MP-L0-R04</x:v>
      </x:c>
      <x:c r="B550" s="2" t="n">
        <x:v>2</x:v>
      </x:c>
      <x:c r="C550" s="2" t="str">
        <x:v>MP</x:v>
      </x:c>
      <x:c r="D550" s="2" t="str">
        <x:v>Myzus persicae</x:v>
      </x:c>
      <x:c r="E550" s="2" t="str">
        <x:v>L0</x:v>
      </x:c>
      <x:c r="F550" s="2" t="n">
        <x:v>4</x:v>
      </x:c>
      <x:c r="G550" s="2" t="n">
        <x:v>2</x:v>
      </x:c>
      <x:c r="H550" s="2" t="n">
        <x:f>G550+Supuestos!$C$15</x:f>
        <x:v>3</x:v>
      </x:c>
      <x:c r="I550" s="14" t="n">
        <x:f>E2_plantas!J15+G550</x:f>
        <x:v>46183</x:v>
      </x:c>
      <x:c r="J550" s="2" t="str">
        <x:v>N2</x:v>
      </x:c>
      <x:c r="K550" s="2" t="n">
        <x:v>1</x:v>
      </x:c>
      <x:c r="L550" s="2" t="n">
        <x:v>0</x:v>
      </x:c>
      <x:c r="M550" s="2" t="n">
        <x:f>SUM(L$548:L550)</x:f>
        <x:v>0</x:v>
      </x:c>
      <x:c r="N550" s="2" t="n">
        <x:v>0</x:v>
      </x:c>
      <x:c r="O550" s="2" t="str">
        <x:v>seguimiento</x:v>
      </x:c>
      <x:c r="P550" s="2" t="n">
        <x:v>0</x:v>
      </x:c>
      <x:c r="Q550" s="2" t="str">
        <x:v>simulado_didactico</x:v>
      </x:c>
    </x:row>
    <x:row r="551" ht="19" customHeight="1">
      <x:c r="A551" s="2" t="str">
        <x:v>SIM-E2-MP-L0-R04</x:v>
      </x:c>
      <x:c r="B551" s="2" t="n">
        <x:v>2</x:v>
      </x:c>
      <x:c r="C551" s="2" t="str">
        <x:v>MP</x:v>
      </x:c>
      <x:c r="D551" s="2" t="str">
        <x:v>Myzus persicae</x:v>
      </x:c>
      <x:c r="E551" s="2" t="str">
        <x:v>L0</x:v>
      </x:c>
      <x:c r="F551" s="2" t="n">
        <x:v>4</x:v>
      </x:c>
      <x:c r="G551" s="2" t="n">
        <x:v>3</x:v>
      </x:c>
      <x:c r="H551" s="2" t="n">
        <x:f>G551+Supuestos!$C$15</x:f>
        <x:v>4</x:v>
      </x:c>
      <x:c r="I551" s="14" t="n">
        <x:f>E2_plantas!J15+G551</x:f>
        <x:v>46184</x:v>
      </x:c>
      <x:c r="J551" s="2" t="str">
        <x:v>N2</x:v>
      </x:c>
      <x:c r="K551" s="2" t="n">
        <x:v>1</x:v>
      </x:c>
      <x:c r="L551" s="2" t="n">
        <x:v>0</x:v>
      </x:c>
      <x:c r="M551" s="2" t="n">
        <x:f>SUM(L$548:L551)</x:f>
        <x:v>0</x:v>
      </x:c>
      <x:c r="N551" s="2" t="n">
        <x:v>0</x:v>
      </x:c>
      <x:c r="O551" s="2" t="str">
        <x:v>seguimiento</x:v>
      </x:c>
      <x:c r="P551" s="2" t="n">
        <x:v>0</x:v>
      </x:c>
      <x:c r="Q551" s="2" t="str">
        <x:v>simulado_didactico</x:v>
      </x:c>
    </x:row>
    <x:row r="552" ht="19" customHeight="1">
      <x:c r="A552" s="2" t="str">
        <x:v>SIM-E2-MP-L0-R04</x:v>
      </x:c>
      <x:c r="B552" s="2" t="n">
        <x:v>2</x:v>
      </x:c>
      <x:c r="C552" s="2" t="str">
        <x:v>MP</x:v>
      </x:c>
      <x:c r="D552" s="2" t="str">
        <x:v>Myzus persicae</x:v>
      </x:c>
      <x:c r="E552" s="2" t="str">
        <x:v>L0</x:v>
      </x:c>
      <x:c r="F552" s="2" t="n">
        <x:v>4</x:v>
      </x:c>
      <x:c r="G552" s="2" t="n">
        <x:v>4</x:v>
      </x:c>
      <x:c r="H552" s="2" t="n">
        <x:f>G552+Supuestos!$C$15</x:f>
        <x:v>5</x:v>
      </x:c>
      <x:c r="I552" s="14" t="n">
        <x:f>E2_plantas!J15+G552</x:f>
        <x:v>46185</x:v>
      </x:c>
      <x:c r="J552" s="2" t="str">
        <x:v>N3</x:v>
      </x:c>
      <x:c r="K552" s="2" t="n">
        <x:v>1</x:v>
      </x:c>
      <x:c r="L552" s="2" t="n">
        <x:v>0</x:v>
      </x:c>
      <x:c r="M552" s="2" t="n">
        <x:f>SUM(L$548:L552)</x:f>
        <x:v>0</x:v>
      </x:c>
      <x:c r="N552" s="2" t="n">
        <x:v>0</x:v>
      </x:c>
      <x:c r="O552" s="2" t="str">
        <x:v>seguimiento</x:v>
      </x:c>
      <x:c r="P552" s="2" t="n">
        <x:v>0</x:v>
      </x:c>
      <x:c r="Q552" s="2" t="str">
        <x:v>simulado_didactico</x:v>
      </x:c>
    </x:row>
    <x:row r="553" ht="19" customHeight="1">
      <x:c r="A553" s="2" t="str">
        <x:v>SIM-E2-MP-L0-R04</x:v>
      </x:c>
      <x:c r="B553" s="2" t="n">
        <x:v>2</x:v>
      </x:c>
      <x:c r="C553" s="2" t="str">
        <x:v>MP</x:v>
      </x:c>
      <x:c r="D553" s="2" t="str">
        <x:v>Myzus persicae</x:v>
      </x:c>
      <x:c r="E553" s="2" t="str">
        <x:v>L0</x:v>
      </x:c>
      <x:c r="F553" s="2" t="n">
        <x:v>4</x:v>
      </x:c>
      <x:c r="G553" s="2" t="n">
        <x:v>5</x:v>
      </x:c>
      <x:c r="H553" s="2" t="n">
        <x:f>G553+Supuestos!$C$15</x:f>
        <x:v>6</x:v>
      </x:c>
      <x:c r="I553" s="14" t="n">
        <x:f>E2_plantas!J15+G553</x:f>
        <x:v>46186</x:v>
      </x:c>
      <x:c r="J553" s="2" t="str">
        <x:v>N3</x:v>
      </x:c>
      <x:c r="K553" s="2" t="n">
        <x:v>1</x:v>
      </x:c>
      <x:c r="L553" s="2" t="n">
        <x:v>0</x:v>
      </x:c>
      <x:c r="M553" s="2" t="n">
        <x:f>SUM(L$548:L553)</x:f>
        <x:v>0</x:v>
      </x:c>
      <x:c r="N553" s="2" t="n">
        <x:v>0</x:v>
      </x:c>
      <x:c r="O553" s="2" t="str">
        <x:v>seguimiento</x:v>
      </x:c>
      <x:c r="P553" s="2" t="n">
        <x:v>0</x:v>
      </x:c>
      <x:c r="Q553" s="2" t="str">
        <x:v>simulado_didactico</x:v>
      </x:c>
    </x:row>
    <x:row r="554" ht="19" customHeight="1">
      <x:c r="A554" s="2" t="str">
        <x:v>SIM-E2-MP-L0-R04</x:v>
      </x:c>
      <x:c r="B554" s="2" t="n">
        <x:v>2</x:v>
      </x:c>
      <x:c r="C554" s="2" t="str">
        <x:v>MP</x:v>
      </x:c>
      <x:c r="D554" s="2" t="str">
        <x:v>Myzus persicae</x:v>
      </x:c>
      <x:c r="E554" s="2" t="str">
        <x:v>L0</x:v>
      </x:c>
      <x:c r="F554" s="2" t="n">
        <x:v>4</x:v>
      </x:c>
      <x:c r="G554" s="2" t="n">
        <x:v>6</x:v>
      </x:c>
      <x:c r="H554" s="2" t="n">
        <x:f>G554+Supuestos!$C$15</x:f>
        <x:v>7</x:v>
      </x:c>
      <x:c r="I554" s="14" t="n">
        <x:f>E2_plantas!J15+G554</x:f>
        <x:v>46187</x:v>
      </x:c>
      <x:c r="J554" s="2" t="str">
        <x:v>N3</x:v>
      </x:c>
      <x:c r="K554" s="2" t="n">
        <x:v>1</x:v>
      </x:c>
      <x:c r="L554" s="2" t="n">
        <x:v>0</x:v>
      </x:c>
      <x:c r="M554" s="2" t="n">
        <x:f>SUM(L$548:L554)</x:f>
        <x:v>0</x:v>
      </x:c>
      <x:c r="N554" s="2" t="n">
        <x:v>0</x:v>
      </x:c>
      <x:c r="O554" s="2" t="str">
        <x:v>seguimiento</x:v>
      </x:c>
      <x:c r="P554" s="2" t="n">
        <x:v>0</x:v>
      </x:c>
      <x:c r="Q554" s="2" t="str">
        <x:v>simulado_didactico</x:v>
      </x:c>
    </x:row>
    <x:row r="555" ht="19" customHeight="1">
      <x:c r="A555" s="2" t="str">
        <x:v>SIM-E2-MP-L0-R04</x:v>
      </x:c>
      <x:c r="B555" s="2" t="n">
        <x:v>2</x:v>
      </x:c>
      <x:c r="C555" s="2" t="str">
        <x:v>MP</x:v>
      </x:c>
      <x:c r="D555" s="2" t="str">
        <x:v>Myzus persicae</x:v>
      </x:c>
      <x:c r="E555" s="2" t="str">
        <x:v>L0</x:v>
      </x:c>
      <x:c r="F555" s="2" t="n">
        <x:v>4</x:v>
      </x:c>
      <x:c r="G555" s="2" t="n">
        <x:v>7</x:v>
      </x:c>
      <x:c r="H555" s="2" t="n">
        <x:f>G555+Supuestos!$C$15</x:f>
        <x:v>8</x:v>
      </x:c>
      <x:c r="I555" s="14" t="n">
        <x:f>E2_plantas!J15+G555</x:f>
        <x:v>46188</x:v>
      </x:c>
      <x:c r="J555" s="2" t="str">
        <x:v>N4</x:v>
      </x:c>
      <x:c r="K555" s="2" t="n">
        <x:v>1</x:v>
      </x:c>
      <x:c r="L555" s="2" t="n">
        <x:v>0</x:v>
      </x:c>
      <x:c r="M555" s="2" t="n">
        <x:f>SUM(L$548:L555)</x:f>
        <x:v>0</x:v>
      </x:c>
      <x:c r="N555" s="2" t="n">
        <x:v>0</x:v>
      </x:c>
      <x:c r="O555" s="2" t="str">
        <x:v>seguimiento</x:v>
      </x:c>
      <x:c r="P555" s="2" t="n">
        <x:v>0</x:v>
      </x:c>
      <x:c r="Q555" s="2" t="str">
        <x:v>simulado_didactico</x:v>
      </x:c>
    </x:row>
    <x:row r="556" ht="19" customHeight="1">
      <x:c r="A556" s="2" t="str">
        <x:v>SIM-E2-MP-L0-R04</x:v>
      </x:c>
      <x:c r="B556" s="2" t="n">
        <x:v>2</x:v>
      </x:c>
      <x:c r="C556" s="2" t="str">
        <x:v>MP</x:v>
      </x:c>
      <x:c r="D556" s="2" t="str">
        <x:v>Myzus persicae</x:v>
      </x:c>
      <x:c r="E556" s="2" t="str">
        <x:v>L0</x:v>
      </x:c>
      <x:c r="F556" s="2" t="n">
        <x:v>4</x:v>
      </x:c>
      <x:c r="G556" s="2" t="n">
        <x:v>8</x:v>
      </x:c>
      <x:c r="H556" s="2" t="n">
        <x:f>G556+Supuestos!$C$15</x:f>
        <x:v>9</x:v>
      </x:c>
      <x:c r="I556" s="14" t="n">
        <x:f>E2_plantas!J15+G556</x:f>
        <x:v>46189</x:v>
      </x:c>
      <x:c r="J556" s="2" t="str">
        <x:v>adulta</x:v>
      </x:c>
      <x:c r="K556" s="2" t="n">
        <x:v>1</x:v>
      </x:c>
      <x:c r="L556" s="2" t="n">
        <x:v>0</x:v>
      </x:c>
      <x:c r="M556" s="2" t="n">
        <x:f>SUM(L$548:L556)</x:f>
        <x:v>0</x:v>
      </x:c>
      <x:c r="N556" s="2" t="n">
        <x:v>0</x:v>
      </x:c>
      <x:c r="O556" s="2" t="str">
        <x:v>seguimiento</x:v>
      </x:c>
      <x:c r="P556" s="2" t="n">
        <x:v>0</x:v>
      </x:c>
      <x:c r="Q556" s="2" t="str">
        <x:v>simulado_didactico</x:v>
      </x:c>
    </x:row>
    <x:row r="557" ht="19" customHeight="1">
      <x:c r="A557" s="2" t="str">
        <x:v>SIM-E2-MP-L0-R04</x:v>
      </x:c>
      <x:c r="B557" s="2" t="n">
        <x:v>2</x:v>
      </x:c>
      <x:c r="C557" s="2" t="str">
        <x:v>MP</x:v>
      </x:c>
      <x:c r="D557" s="2" t="str">
        <x:v>Myzus persicae</x:v>
      </x:c>
      <x:c r="E557" s="2" t="str">
        <x:v>L0</x:v>
      </x:c>
      <x:c r="F557" s="2" t="n">
        <x:v>4</x:v>
      </x:c>
      <x:c r="G557" s="2" t="n">
        <x:v>9</x:v>
      </x:c>
      <x:c r="H557" s="2" t="n">
        <x:f>G557+Supuestos!$C$15</x:f>
        <x:v>10</x:v>
      </x:c>
      <x:c r="I557" s="14" t="n">
        <x:f>E2_plantas!J15+G557</x:f>
        <x:v>46190</x:v>
      </x:c>
      <x:c r="J557" s="2" t="str">
        <x:v>adulta</x:v>
      </x:c>
      <x:c r="K557" s="2" t="n">
        <x:v>1</x:v>
      </x:c>
      <x:c r="L557" s="2" t="n">
        <x:v>0</x:v>
      </x:c>
      <x:c r="M557" s="2" t="n">
        <x:f>SUM(L$548:L557)</x:f>
        <x:v>0</x:v>
      </x:c>
      <x:c r="N557" s="2" t="n">
        <x:v>0</x:v>
      </x:c>
      <x:c r="O557" s="2" t="str">
        <x:v>seguimiento</x:v>
      </x:c>
      <x:c r="P557" s="2" t="n">
        <x:v>0</x:v>
      </x:c>
      <x:c r="Q557" s="2" t="str">
        <x:v>simulado_didactico</x:v>
      </x:c>
    </x:row>
    <x:row r="558" ht="19" customHeight="1">
      <x:c r="A558" s="2" t="str">
        <x:v>SIM-E2-MP-L0-R04</x:v>
      </x:c>
      <x:c r="B558" s="2" t="n">
        <x:v>2</x:v>
      </x:c>
      <x:c r="C558" s="2" t="str">
        <x:v>MP</x:v>
      </x:c>
      <x:c r="D558" s="2" t="str">
        <x:v>Myzus persicae</x:v>
      </x:c>
      <x:c r="E558" s="2" t="str">
        <x:v>L0</x:v>
      </x:c>
      <x:c r="F558" s="2" t="n">
        <x:v>4</x:v>
      </x:c>
      <x:c r="G558" s="2" t="n">
        <x:v>10</x:v>
      </x:c>
      <x:c r="H558" s="2" t="n">
        <x:f>G558+Supuestos!$C$15</x:f>
        <x:v>11</x:v>
      </x:c>
      <x:c r="I558" s="14" t="n">
        <x:f>E2_plantas!J15+G558</x:f>
        <x:v>46191</x:v>
      </x:c>
      <x:c r="J558" s="2" t="str">
        <x:v>adulta</x:v>
      </x:c>
      <x:c r="K558" s="2" t="n">
        <x:v>1</x:v>
      </x:c>
      <x:c r="L558" s="2" t="n">
        <x:v>1</x:v>
      </x:c>
      <x:c r="M558" s="2" t="n">
        <x:f>SUM(L$548:L558)</x:f>
        <x:v>1</x:v>
      </x:c>
      <x:c r="N558" s="2" t="n">
        <x:v>0</x:v>
      </x:c>
      <x:c r="O558" s="2" t="str">
        <x:v>seguimiento</x:v>
      </x:c>
      <x:c r="P558" s="2" t="n">
        <x:v>0</x:v>
      </x:c>
      <x:c r="Q558" s="2" t="str">
        <x:v>simulado_didactico</x:v>
      </x:c>
    </x:row>
    <x:row r="559" ht="19" customHeight="1">
      <x:c r="A559" s="2" t="str">
        <x:v>SIM-E2-MP-L0-R04</x:v>
      </x:c>
      <x:c r="B559" s="2" t="n">
        <x:v>2</x:v>
      </x:c>
      <x:c r="C559" s="2" t="str">
        <x:v>MP</x:v>
      </x:c>
      <x:c r="D559" s="2" t="str">
        <x:v>Myzus persicae</x:v>
      </x:c>
      <x:c r="E559" s="2" t="str">
        <x:v>L0</x:v>
      </x:c>
      <x:c r="F559" s="2" t="n">
        <x:v>4</x:v>
      </x:c>
      <x:c r="G559" s="2" t="n">
        <x:v>11</x:v>
      </x:c>
      <x:c r="H559" s="2" t="n">
        <x:f>G559+Supuestos!$C$15</x:f>
        <x:v>12</x:v>
      </x:c>
      <x:c r="I559" s="14" t="n">
        <x:f>E2_plantas!J15+G559</x:f>
        <x:v>46192</x:v>
      </x:c>
      <x:c r="J559" s="2" t="str">
        <x:v>adulta</x:v>
      </x:c>
      <x:c r="K559" s="2" t="n">
        <x:v>1</x:v>
      </x:c>
      <x:c r="L559" s="2" t="n">
        <x:v>3</x:v>
      </x:c>
      <x:c r="M559" s="2" t="n">
        <x:f>SUM(L$548:L559)</x:f>
        <x:v>4</x:v>
      </x:c>
      <x:c r="N559" s="2" t="n">
        <x:v>0</x:v>
      </x:c>
      <x:c r="O559" s="2" t="str">
        <x:v>seguimiento</x:v>
      </x:c>
      <x:c r="P559" s="2" t="n">
        <x:v>0</x:v>
      </x:c>
      <x:c r="Q559" s="2" t="str">
        <x:v>simulado_didactico</x:v>
      </x:c>
    </x:row>
    <x:row r="560" ht="19" customHeight="1">
      <x:c r="A560" s="2" t="str">
        <x:v>SIM-E2-MP-L0-R04</x:v>
      </x:c>
      <x:c r="B560" s="2" t="n">
        <x:v>2</x:v>
      </x:c>
      <x:c r="C560" s="2" t="str">
        <x:v>MP</x:v>
      </x:c>
      <x:c r="D560" s="2" t="str">
        <x:v>Myzus persicae</x:v>
      </x:c>
      <x:c r="E560" s="2" t="str">
        <x:v>L0</x:v>
      </x:c>
      <x:c r="F560" s="2" t="n">
        <x:v>4</x:v>
      </x:c>
      <x:c r="G560" s="2" t="n">
        <x:v>12</x:v>
      </x:c>
      <x:c r="H560" s="2" t="n">
        <x:f>G560+Supuestos!$C$15</x:f>
        <x:v>13</x:v>
      </x:c>
      <x:c r="I560" s="14" t="n">
        <x:f>E2_plantas!J15+G560</x:f>
        <x:v>46193</x:v>
      </x:c>
      <x:c r="J560" s="2" t="str">
        <x:v>adulta</x:v>
      </x:c>
      <x:c r="K560" s="2" t="n">
        <x:v>1</x:v>
      </x:c>
      <x:c r="L560" s="2" t="n">
        <x:v>5</x:v>
      </x:c>
      <x:c r="M560" s="2" t="n">
        <x:f>SUM(L$548:L560)</x:f>
        <x:v>9</x:v>
      </x:c>
      <x:c r="N560" s="2" t="n">
        <x:v>0</x:v>
      </x:c>
      <x:c r="O560" s="2" t="str">
        <x:v>seguimiento</x:v>
      </x:c>
      <x:c r="P560" s="2" t="n">
        <x:v>0</x:v>
      </x:c>
      <x:c r="Q560" s="2" t="str">
        <x:v>simulado_didactico</x:v>
      </x:c>
    </x:row>
    <x:row r="561" ht="19" customHeight="1">
      <x:c r="A561" s="2" t="str">
        <x:v>SIM-E2-MP-L0-R04</x:v>
      </x:c>
      <x:c r="B561" s="2" t="n">
        <x:v>2</x:v>
      </x:c>
      <x:c r="C561" s="2" t="str">
        <x:v>MP</x:v>
      </x:c>
      <x:c r="D561" s="2" t="str">
        <x:v>Myzus persicae</x:v>
      </x:c>
      <x:c r="E561" s="2" t="str">
        <x:v>L0</x:v>
      </x:c>
      <x:c r="F561" s="2" t="n">
        <x:v>4</x:v>
      </x:c>
      <x:c r="G561" s="2" t="n">
        <x:v>13</x:v>
      </x:c>
      <x:c r="H561" s="2" t="n">
        <x:f>G561+Supuestos!$C$15</x:f>
        <x:v>14</x:v>
      </x:c>
      <x:c r="I561" s="14" t="n">
        <x:f>E2_plantas!J15+G561</x:f>
        <x:v>46194</x:v>
      </x:c>
      <x:c r="J561" s="2" t="str">
        <x:v>adulta</x:v>
      </x:c>
      <x:c r="K561" s="2" t="n">
        <x:v>1</x:v>
      </x:c>
      <x:c r="L561" s="2" t="n">
        <x:v>2</x:v>
      </x:c>
      <x:c r="M561" s="2" t="n">
        <x:f>SUM(L$548:L561)</x:f>
        <x:v>11</x:v>
      </x:c>
      <x:c r="N561" s="2" t="n">
        <x:v>0</x:v>
      </x:c>
      <x:c r="O561" s="2" t="str">
        <x:v>seguimiento</x:v>
      </x:c>
      <x:c r="P561" s="2" t="n">
        <x:v>0</x:v>
      </x:c>
      <x:c r="Q561" s="2" t="str">
        <x:v>simulado_didactico</x:v>
      </x:c>
    </x:row>
    <x:row r="562" ht="19" customHeight="1">
      <x:c r="A562" s="2" t="str">
        <x:v>SIM-E2-MP-L0-R04</x:v>
      </x:c>
      <x:c r="B562" s="2" t="n">
        <x:v>2</x:v>
      </x:c>
      <x:c r="C562" s="2" t="str">
        <x:v>MP</x:v>
      </x:c>
      <x:c r="D562" s="2" t="str">
        <x:v>Myzus persicae</x:v>
      </x:c>
      <x:c r="E562" s="2" t="str">
        <x:v>L0</x:v>
      </x:c>
      <x:c r="F562" s="2" t="n">
        <x:v>4</x:v>
      </x:c>
      <x:c r="G562" s="2" t="n">
        <x:v>14</x:v>
      </x:c>
      <x:c r="H562" s="2" t="n">
        <x:f>G562+Supuestos!$C$15</x:f>
        <x:v>15</x:v>
      </x:c>
      <x:c r="I562" s="14" t="n">
        <x:f>E2_plantas!J15+G562</x:f>
        <x:v>46195</x:v>
      </x:c>
      <x:c r="J562" s="2" t="str">
        <x:v>adulta</x:v>
      </x:c>
      <x:c r="K562" s="2" t="n">
        <x:v>1</x:v>
      </x:c>
      <x:c r="L562" s="2" t="n">
        <x:v>2</x:v>
      </x:c>
      <x:c r="M562" s="2" t="n">
        <x:f>SUM(L$548:L562)</x:f>
        <x:v>13</x:v>
      </x:c>
      <x:c r="N562" s="2" t="n">
        <x:v>0</x:v>
      </x:c>
      <x:c r="O562" s="2" t="str">
        <x:v>seguimiento</x:v>
      </x:c>
      <x:c r="P562" s="2" t="n">
        <x:v>0</x:v>
      </x:c>
      <x:c r="Q562" s="2" t="str">
        <x:v>simulado_didactico</x:v>
      </x:c>
    </x:row>
    <x:row r="563" ht="19" customHeight="1">
      <x:c r="A563" s="2" t="str">
        <x:v>SIM-E2-MP-L0-R04</x:v>
      </x:c>
      <x:c r="B563" s="2" t="n">
        <x:v>2</x:v>
      </x:c>
      <x:c r="C563" s="2" t="str">
        <x:v>MP</x:v>
      </x:c>
      <x:c r="D563" s="2" t="str">
        <x:v>Myzus persicae</x:v>
      </x:c>
      <x:c r="E563" s="2" t="str">
        <x:v>L0</x:v>
      </x:c>
      <x:c r="F563" s="2" t="n">
        <x:v>4</x:v>
      </x:c>
      <x:c r="G563" s="2" t="n">
        <x:v>15</x:v>
      </x:c>
      <x:c r="H563" s="2" t="n">
        <x:f>G563+Supuestos!$C$15</x:f>
        <x:v>16</x:v>
      </x:c>
      <x:c r="I563" s="14" t="n">
        <x:f>E2_plantas!J15+G563</x:f>
        <x:v>46196</x:v>
      </x:c>
      <x:c r="J563" s="2" t="str">
        <x:v>adulta</x:v>
      </x:c>
      <x:c r="K563" s="2" t="n">
        <x:v>1</x:v>
      </x:c>
      <x:c r="L563" s="2" t="n">
        <x:v>6</x:v>
      </x:c>
      <x:c r="M563" s="2" t="n">
        <x:f>SUM(L$548:L563)</x:f>
        <x:v>19</x:v>
      </x:c>
      <x:c r="N563" s="2" t="n">
        <x:v>0</x:v>
      </x:c>
      <x:c r="O563" s="2" t="str">
        <x:v>seguimiento</x:v>
      </x:c>
      <x:c r="P563" s="2" t="n">
        <x:v>0</x:v>
      </x:c>
      <x:c r="Q563" s="2" t="str">
        <x:v>simulado_didactico</x:v>
      </x:c>
    </x:row>
    <x:row r="564" ht="19" customHeight="1">
      <x:c r="A564" s="2" t="str">
        <x:v>SIM-E2-MP-L0-R04</x:v>
      </x:c>
      <x:c r="B564" s="2" t="n">
        <x:v>2</x:v>
      </x:c>
      <x:c r="C564" s="2" t="str">
        <x:v>MP</x:v>
      </x:c>
      <x:c r="D564" s="2" t="str">
        <x:v>Myzus persicae</x:v>
      </x:c>
      <x:c r="E564" s="2" t="str">
        <x:v>L0</x:v>
      </x:c>
      <x:c r="F564" s="2" t="n">
        <x:v>4</x:v>
      </x:c>
      <x:c r="G564" s="2" t="n">
        <x:v>16</x:v>
      </x:c>
      <x:c r="H564" s="2" t="n">
        <x:f>G564+Supuestos!$C$15</x:f>
        <x:v>17</x:v>
      </x:c>
      <x:c r="I564" s="14" t="n">
        <x:f>E2_plantas!J15+G564</x:f>
        <x:v>46197</x:v>
      </x:c>
      <x:c r="J564" s="2" t="str">
        <x:v>adulta</x:v>
      </x:c>
      <x:c r="K564" s="2" t="n">
        <x:v>1</x:v>
      </x:c>
      <x:c r="L564" s="2" t="n">
        <x:v>1</x:v>
      </x:c>
      <x:c r="M564" s="2" t="n">
        <x:f>SUM(L$548:L564)</x:f>
        <x:v>20</x:v>
      </x:c>
      <x:c r="N564" s="2" t="n">
        <x:v>0</x:v>
      </x:c>
      <x:c r="O564" s="2" t="str">
        <x:v>seguimiento</x:v>
      </x:c>
      <x:c r="P564" s="2" t="n">
        <x:v>0</x:v>
      </x:c>
      <x:c r="Q564" s="2" t="str">
        <x:v>simulado_didactico</x:v>
      </x:c>
    </x:row>
    <x:row r="565" ht="19" customHeight="1">
      <x:c r="A565" s="2" t="str">
        <x:v>SIM-E2-MP-L0-R04</x:v>
      </x:c>
      <x:c r="B565" s="2" t="n">
        <x:v>2</x:v>
      </x:c>
      <x:c r="C565" s="2" t="str">
        <x:v>MP</x:v>
      </x:c>
      <x:c r="D565" s="2" t="str">
        <x:v>Myzus persicae</x:v>
      </x:c>
      <x:c r="E565" s="2" t="str">
        <x:v>L0</x:v>
      </x:c>
      <x:c r="F565" s="2" t="n">
        <x:v>4</x:v>
      </x:c>
      <x:c r="G565" s="2" t="n">
        <x:v>17</x:v>
      </x:c>
      <x:c r="H565" s="2" t="n">
        <x:f>G565+Supuestos!$C$15</x:f>
        <x:v>18</x:v>
      </x:c>
      <x:c r="I565" s="14" t="n">
        <x:f>E2_plantas!J15+G565</x:f>
        <x:v>46198</x:v>
      </x:c>
      <x:c r="J565" s="2" t="str">
        <x:v>adulta</x:v>
      </x:c>
      <x:c r="K565" s="2" t="n">
        <x:v>1</x:v>
      </x:c>
      <x:c r="L565" s="2" t="n">
        <x:v>6</x:v>
      </x:c>
      <x:c r="M565" s="2" t="n">
        <x:f>SUM(L$548:L565)</x:f>
        <x:v>26</x:v>
      </x:c>
      <x:c r="N565" s="2" t="n">
        <x:v>0</x:v>
      </x:c>
      <x:c r="O565" s="2" t="str">
        <x:v>seguimiento</x:v>
      </x:c>
      <x:c r="P565" s="2" t="n">
        <x:v>0</x:v>
      </x:c>
      <x:c r="Q565" s="2" t="str">
        <x:v>simulado_didactico</x:v>
      </x:c>
    </x:row>
    <x:row r="566" ht="19" customHeight="1">
      <x:c r="A566" s="2" t="str">
        <x:v>SIM-E2-MP-L0-R04</x:v>
      </x:c>
      <x:c r="B566" s="2" t="n">
        <x:v>2</x:v>
      </x:c>
      <x:c r="C566" s="2" t="str">
        <x:v>MP</x:v>
      </x:c>
      <x:c r="D566" s="2" t="str">
        <x:v>Myzus persicae</x:v>
      </x:c>
      <x:c r="E566" s="2" t="str">
        <x:v>L0</x:v>
      </x:c>
      <x:c r="F566" s="2" t="n">
        <x:v>4</x:v>
      </x:c>
      <x:c r="G566" s="2" t="n">
        <x:v>18</x:v>
      </x:c>
      <x:c r="H566" s="2" t="n">
        <x:f>G566+Supuestos!$C$15</x:f>
        <x:v>19</x:v>
      </x:c>
      <x:c r="I566" s="14" t="n">
        <x:f>E2_plantas!J15+G566</x:f>
        <x:v>46199</x:v>
      </x:c>
      <x:c r="J566" s="2" t="str">
        <x:v>adulta</x:v>
      </x:c>
      <x:c r="K566" s="2" t="n">
        <x:v>1</x:v>
      </x:c>
      <x:c r="L566" s="2" t="n">
        <x:v>5</x:v>
      </x:c>
      <x:c r="M566" s="2" t="n">
        <x:f>SUM(L$548:L566)</x:f>
        <x:v>31</x:v>
      </x:c>
      <x:c r="N566" s="2" t="n">
        <x:v>0</x:v>
      </x:c>
      <x:c r="O566" s="2" t="str">
        <x:v>seguimiento</x:v>
      </x:c>
      <x:c r="P566" s="2" t="n">
        <x:v>0</x:v>
      </x:c>
      <x:c r="Q566" s="2" t="str">
        <x:v>simulado_didactico</x:v>
      </x:c>
    </x:row>
    <x:row r="567" ht="19" customHeight="1">
      <x:c r="A567" s="2" t="str">
        <x:v>SIM-E2-MP-L0-R04</x:v>
      </x:c>
      <x:c r="B567" s="2" t="n">
        <x:v>2</x:v>
      </x:c>
      <x:c r="C567" s="2" t="str">
        <x:v>MP</x:v>
      </x:c>
      <x:c r="D567" s="2" t="str">
        <x:v>Myzus persicae</x:v>
      </x:c>
      <x:c r="E567" s="2" t="str">
        <x:v>L0</x:v>
      </x:c>
      <x:c r="F567" s="2" t="n">
        <x:v>4</x:v>
      </x:c>
      <x:c r="G567" s="2" t="n">
        <x:v>19</x:v>
      </x:c>
      <x:c r="H567" s="2" t="n">
        <x:f>G567+Supuestos!$C$15</x:f>
        <x:v>20</x:v>
      </x:c>
      <x:c r="I567" s="14" t="n">
        <x:f>E2_plantas!J15+G567</x:f>
        <x:v>46200</x:v>
      </x:c>
      <x:c r="J567" s="2" t="str">
        <x:v>adulta</x:v>
      </x:c>
      <x:c r="K567" s="2" t="n">
        <x:v>1</x:v>
      </x:c>
      <x:c r="L567" s="2" t="n">
        <x:v>3</x:v>
      </x:c>
      <x:c r="M567" s="2" t="n">
        <x:f>SUM(L$548:L567)</x:f>
        <x:v>34</x:v>
      </x:c>
      <x:c r="N567" s="2" t="n">
        <x:v>0</x:v>
      </x:c>
      <x:c r="O567" s="2" t="str">
        <x:v>seguimiento</x:v>
      </x:c>
      <x:c r="P567" s="2" t="n">
        <x:v>0</x:v>
      </x:c>
      <x:c r="Q567" s="2" t="str">
        <x:v>simulado_didactico</x:v>
      </x:c>
    </x:row>
    <x:row r="568" ht="19" customHeight="1">
      <x:c r="A568" s="2" t="str">
        <x:v>SIM-E2-MP-L0-R04</x:v>
      </x:c>
      <x:c r="B568" s="2" t="n">
        <x:v>2</x:v>
      </x:c>
      <x:c r="C568" s="2" t="str">
        <x:v>MP</x:v>
      </x:c>
      <x:c r="D568" s="2" t="str">
        <x:v>Myzus persicae</x:v>
      </x:c>
      <x:c r="E568" s="2" t="str">
        <x:v>L0</x:v>
      </x:c>
      <x:c r="F568" s="2" t="n">
        <x:v>4</x:v>
      </x:c>
      <x:c r="G568" s="2" t="n">
        <x:v>20</x:v>
      </x:c>
      <x:c r="H568" s="2" t="n">
        <x:f>G568+Supuestos!$C$15</x:f>
        <x:v>21</x:v>
      </x:c>
      <x:c r="I568" s="14" t="n">
        <x:f>E2_plantas!J15+G568</x:f>
        <x:v>46201</x:v>
      </x:c>
      <x:c r="J568" s="2" t="str">
        <x:v>adulta</x:v>
      </x:c>
      <x:c r="K568" s="2" t="n">
        <x:v>1</x:v>
      </x:c>
      <x:c r="L568" s="2" t="n">
        <x:v>5</x:v>
      </x:c>
      <x:c r="M568" s="2" t="n">
        <x:f>SUM(L$548:L568)</x:f>
        <x:v>39</x:v>
      </x:c>
      <x:c r="N568" s="2" t="n">
        <x:v>0</x:v>
      </x:c>
      <x:c r="O568" s="2" t="str">
        <x:v>seguimiento</x:v>
      </x:c>
      <x:c r="P568" s="2" t="n">
        <x:v>0</x:v>
      </x:c>
      <x:c r="Q568" s="2" t="str">
        <x:v>simulado_didactico</x:v>
      </x:c>
    </x:row>
    <x:row r="569" ht="19" customHeight="1">
      <x:c r="A569" s="2" t="str">
        <x:v>SIM-E2-MP-L0-R04</x:v>
      </x:c>
      <x:c r="B569" s="2" t="n">
        <x:v>2</x:v>
      </x:c>
      <x:c r="C569" s="2" t="str">
        <x:v>MP</x:v>
      </x:c>
      <x:c r="D569" s="2" t="str">
        <x:v>Myzus persicae</x:v>
      </x:c>
      <x:c r="E569" s="2" t="str">
        <x:v>L0</x:v>
      </x:c>
      <x:c r="F569" s="2" t="n">
        <x:v>4</x:v>
      </x:c>
      <x:c r="G569" s="2" t="n">
        <x:v>21</x:v>
      </x:c>
      <x:c r="H569" s="2" t="n">
        <x:f>G569+Supuestos!$C$15</x:f>
        <x:v>22</x:v>
      </x:c>
      <x:c r="I569" s="14" t="n">
        <x:f>E2_plantas!J15+G569</x:f>
        <x:v>46202</x:v>
      </x:c>
      <x:c r="J569" s="2" t="str">
        <x:v>adulta</x:v>
      </x:c>
      <x:c r="K569" s="2" t="n">
        <x:v>1</x:v>
      </x:c>
      <x:c r="L569" s="2" t="n">
        <x:v>6</x:v>
      </x:c>
      <x:c r="M569" s="2" t="n">
        <x:f>SUM(L$548:L569)</x:f>
        <x:v>45</x:v>
      </x:c>
      <x:c r="N569" s="2" t="n">
        <x:v>0</x:v>
      </x:c>
      <x:c r="O569" s="2" t="str">
        <x:v>seguimiento</x:v>
      </x:c>
      <x:c r="P569" s="2" t="n">
        <x:v>0</x:v>
      </x:c>
      <x:c r="Q569" s="2" t="str">
        <x:v>simulado_didactico</x:v>
      </x:c>
    </x:row>
    <x:row r="570" ht="19" customHeight="1">
      <x:c r="A570" s="2" t="str">
        <x:v>SIM-E2-MP-L0-R04</x:v>
      </x:c>
      <x:c r="B570" s="2" t="n">
        <x:v>2</x:v>
      </x:c>
      <x:c r="C570" s="2" t="str">
        <x:v>MP</x:v>
      </x:c>
      <x:c r="D570" s="2" t="str">
        <x:v>Myzus persicae</x:v>
      </x:c>
      <x:c r="E570" s="2" t="str">
        <x:v>L0</x:v>
      </x:c>
      <x:c r="F570" s="2" t="n">
        <x:v>4</x:v>
      </x:c>
      <x:c r="G570" s="2" t="n">
        <x:v>22</x:v>
      </x:c>
      <x:c r="H570" s="2" t="n">
        <x:f>G570+Supuestos!$C$15</x:f>
        <x:v>23</x:v>
      </x:c>
      <x:c r="I570" s="14" t="n">
        <x:f>E2_plantas!J15+G570</x:f>
        <x:v>46203</x:v>
      </x:c>
      <x:c r="J570" s="2" t="str">
        <x:v>adulta</x:v>
      </x:c>
      <x:c r="K570" s="2" t="n">
        <x:v>1</x:v>
      </x:c>
      <x:c r="L570" s="2" t="n">
        <x:v>4</x:v>
      </x:c>
      <x:c r="M570" s="2" t="n">
        <x:f>SUM(L$548:L570)</x:f>
        <x:v>49</x:v>
      </x:c>
      <x:c r="N570" s="2" t="n">
        <x:v>0</x:v>
      </x:c>
      <x:c r="O570" s="2" t="str">
        <x:v>seguimiento</x:v>
      </x:c>
      <x:c r="P570" s="2" t="n">
        <x:v>0</x:v>
      </x:c>
      <x:c r="Q570" s="2" t="str">
        <x:v>simulado_didactico</x:v>
      </x:c>
    </x:row>
    <x:row r="571" ht="19" customHeight="1">
      <x:c r="A571" s="2" t="str">
        <x:v>SIM-E2-MP-L0-R04</x:v>
      </x:c>
      <x:c r="B571" s="2" t="n">
        <x:v>2</x:v>
      </x:c>
      <x:c r="C571" s="2" t="str">
        <x:v>MP</x:v>
      </x:c>
      <x:c r="D571" s="2" t="str">
        <x:v>Myzus persicae</x:v>
      </x:c>
      <x:c r="E571" s="2" t="str">
        <x:v>L0</x:v>
      </x:c>
      <x:c r="F571" s="2" t="n">
        <x:v>4</x:v>
      </x:c>
      <x:c r="G571" s="2" t="n">
        <x:v>23</x:v>
      </x:c>
      <x:c r="H571" s="2" t="n">
        <x:f>G571+Supuestos!$C$15</x:f>
        <x:v>24</x:v>
      </x:c>
      <x:c r="I571" s="14" t="n">
        <x:f>E2_plantas!J15+G571</x:f>
        <x:v>46204</x:v>
      </x:c>
      <x:c r="J571" s="2" t="str">
        <x:v>adulta</x:v>
      </x:c>
      <x:c r="K571" s="2" t="n">
        <x:v>1</x:v>
      </x:c>
      <x:c r="L571" s="2" t="n">
        <x:v>0</x:v>
      </x:c>
      <x:c r="M571" s="2" t="n">
        <x:f>SUM(L$548:L571)</x:f>
        <x:v>49</x:v>
      </x:c>
      <x:c r="N571" s="2" t="n">
        <x:v>0</x:v>
      </x:c>
      <x:c r="O571" s="2" t="str">
        <x:v>seguimiento</x:v>
      </x:c>
      <x:c r="P571" s="2" t="n">
        <x:v>0</x:v>
      </x:c>
      <x:c r="Q571" s="2" t="str">
        <x:v>simulado_didactico</x:v>
      </x:c>
    </x:row>
    <x:row r="572" ht="19" customHeight="1">
      <x:c r="A572" s="2" t="str">
        <x:v>SIM-E2-MP-L0-R04</x:v>
      </x:c>
      <x:c r="B572" s="2" t="n">
        <x:v>2</x:v>
      </x:c>
      <x:c r="C572" s="2" t="str">
        <x:v>MP</x:v>
      </x:c>
      <x:c r="D572" s="2" t="str">
        <x:v>Myzus persicae</x:v>
      </x:c>
      <x:c r="E572" s="2" t="str">
        <x:v>L0</x:v>
      </x:c>
      <x:c r="F572" s="2" t="n">
        <x:v>4</x:v>
      </x:c>
      <x:c r="G572" s="2" t="n">
        <x:v>24</x:v>
      </x:c>
      <x:c r="H572" s="2" t="n">
        <x:f>G572+Supuestos!$C$15</x:f>
        <x:v>25</x:v>
      </x:c>
      <x:c r="I572" s="14" t="n">
        <x:f>E2_plantas!J15+G572</x:f>
        <x:v>46205</x:v>
      </x:c>
      <x:c r="J572" s="2" t="str">
        <x:v>adulta</x:v>
      </x:c>
      <x:c r="K572" s="2" t="n">
        <x:v>1</x:v>
      </x:c>
      <x:c r="L572" s="2" t="n">
        <x:v>2</x:v>
      </x:c>
      <x:c r="M572" s="2" t="n">
        <x:f>SUM(L$548:L572)</x:f>
        <x:v>51</x:v>
      </x:c>
      <x:c r="N572" s="2" t="n">
        <x:v>0</x:v>
      </x:c>
      <x:c r="O572" s="2" t="str">
        <x:v>seguimiento</x:v>
      </x:c>
      <x:c r="P572" s="2" t="n">
        <x:v>0</x:v>
      </x:c>
      <x:c r="Q572" s="2" t="str">
        <x:v>simulado_didactico</x:v>
      </x:c>
    </x:row>
    <x:row r="573" ht="19" customHeight="1">
      <x:c r="A573" s="2" t="str">
        <x:v>SIM-E2-MP-L0-R04</x:v>
      </x:c>
      <x:c r="B573" s="2" t="n">
        <x:v>2</x:v>
      </x:c>
      <x:c r="C573" s="2" t="str">
        <x:v>MP</x:v>
      </x:c>
      <x:c r="D573" s="2" t="str">
        <x:v>Myzus persicae</x:v>
      </x:c>
      <x:c r="E573" s="2" t="str">
        <x:v>L0</x:v>
      </x:c>
      <x:c r="F573" s="2" t="n">
        <x:v>4</x:v>
      </x:c>
      <x:c r="G573" s="2" t="n">
        <x:v>25</x:v>
      </x:c>
      <x:c r="H573" s="2" t="n">
        <x:f>G573+Supuestos!$C$15</x:f>
        <x:v>26</x:v>
      </x:c>
      <x:c r="I573" s="14" t="n">
        <x:f>E2_plantas!J15+G573</x:f>
        <x:v>46206</x:v>
      </x:c>
      <x:c r="J573" s="2" t="str">
        <x:v>adulta</x:v>
      </x:c>
      <x:c r="K573" s="2" t="n">
        <x:v>1</x:v>
      </x:c>
      <x:c r="L573" s="2" t="n">
        <x:v>0</x:v>
      </x:c>
      <x:c r="M573" s="2" t="n">
        <x:f>SUM(L$548:L573)</x:f>
        <x:v>51</x:v>
      </x:c>
      <x:c r="N573" s="2" t="n">
        <x:v>0</x:v>
      </x:c>
      <x:c r="O573" s="2" t="str">
        <x:v>seguimiento</x:v>
      </x:c>
      <x:c r="P573" s="2" t="n">
        <x:v>0</x:v>
      </x:c>
      <x:c r="Q573" s="2" t="str">
        <x:v>simulado_didactico</x:v>
      </x:c>
    </x:row>
    <x:row r="574" ht="19" customHeight="1">
      <x:c r="A574" s="2" t="str">
        <x:v>SIM-E2-MP-L0-R04</x:v>
      </x:c>
      <x:c r="B574" s="2" t="n">
        <x:v>2</x:v>
      </x:c>
      <x:c r="C574" s="2" t="str">
        <x:v>MP</x:v>
      </x:c>
      <x:c r="D574" s="2" t="str">
        <x:v>Myzus persicae</x:v>
      </x:c>
      <x:c r="E574" s="2" t="str">
        <x:v>L0</x:v>
      </x:c>
      <x:c r="F574" s="2" t="n">
        <x:v>4</x:v>
      </x:c>
      <x:c r="G574" s="2" t="n">
        <x:v>26</x:v>
      </x:c>
      <x:c r="H574" s="2" t="n">
        <x:f>G574+Supuestos!$C$15</x:f>
        <x:v>27</x:v>
      </x:c>
      <x:c r="I574" s="14" t="n">
        <x:f>E2_plantas!J15+G574</x:f>
        <x:v>46207</x:v>
      </x:c>
      <x:c r="J574" s="2" t="str">
        <x:v>adulta</x:v>
      </x:c>
      <x:c r="K574" s="2" t="n">
        <x:v>1</x:v>
      </x:c>
      <x:c r="L574" s="2" t="n">
        <x:v>0</x:v>
      </x:c>
      <x:c r="M574" s="2" t="n">
        <x:f>SUM(L$548:L574)</x:f>
        <x:v>51</x:v>
      </x:c>
      <x:c r="N574" s="2" t="n">
        <x:v>0</x:v>
      </x:c>
      <x:c r="O574" s="2" t="str">
        <x:v>seguimiento</x:v>
      </x:c>
      <x:c r="P574" s="2" t="n">
        <x:v>0</x:v>
      </x:c>
      <x:c r="Q574" s="2" t="str">
        <x:v>simulado_didactico</x:v>
      </x:c>
    </x:row>
    <x:row r="575" ht="19" customHeight="1">
      <x:c r="A575" s="2" t="str">
        <x:v>SIM-E2-MP-L0-R04</x:v>
      </x:c>
      <x:c r="B575" s="2" t="n">
        <x:v>2</x:v>
      </x:c>
      <x:c r="C575" s="2" t="str">
        <x:v>MP</x:v>
      </x:c>
      <x:c r="D575" s="2" t="str">
        <x:v>Myzus persicae</x:v>
      </x:c>
      <x:c r="E575" s="2" t="str">
        <x:v>L0</x:v>
      </x:c>
      <x:c r="F575" s="2" t="n">
        <x:v>4</x:v>
      </x:c>
      <x:c r="G575" s="2" t="n">
        <x:v>27</x:v>
      </x:c>
      <x:c r="H575" s="2" t="n">
        <x:f>G575+Supuestos!$C$15</x:f>
        <x:v>28</x:v>
      </x:c>
      <x:c r="I575" s="14" t="n">
        <x:f>E2_plantas!J15+G575</x:f>
        <x:v>46208</x:v>
      </x:c>
      <x:c r="J575" s="2" t="str">
        <x:v>adulta</x:v>
      </x:c>
      <x:c r="K575" s="2" t="n">
        <x:v>1</x:v>
      </x:c>
      <x:c r="L575" s="2" t="n">
        <x:v>0</x:v>
      </x:c>
      <x:c r="M575" s="2" t="n">
        <x:f>SUM(L$548:L575)</x:f>
        <x:v>51</x:v>
      </x:c>
      <x:c r="N575" s="2" t="n">
        <x:v>0</x:v>
      </x:c>
      <x:c r="O575" s="2" t="str">
        <x:v>seguimiento</x:v>
      </x:c>
      <x:c r="P575" s="2" t="n">
        <x:v>0</x:v>
      </x:c>
      <x:c r="Q575" s="2" t="str">
        <x:v>simulado_didactico</x:v>
      </x:c>
    </x:row>
    <x:row r="576" ht="19" customHeight="1">
      <x:c r="A576" s="2" t="str">
        <x:v>SIM-E2-MP-L0-R04</x:v>
      </x:c>
      <x:c r="B576" s="2" t="n">
        <x:v>2</x:v>
      </x:c>
      <x:c r="C576" s="2" t="str">
        <x:v>MP</x:v>
      </x:c>
      <x:c r="D576" s="2" t="str">
        <x:v>Myzus persicae</x:v>
      </x:c>
      <x:c r="E576" s="2" t="str">
        <x:v>L0</x:v>
      </x:c>
      <x:c r="F576" s="2" t="n">
        <x:v>4</x:v>
      </x:c>
      <x:c r="G576" s="2" t="n">
        <x:v>28</x:v>
      </x:c>
      <x:c r="H576" s="2" t="n">
        <x:f>G576+Supuestos!$C$15</x:f>
        <x:v>29</x:v>
      </x:c>
      <x:c r="I576" s="14" t="n">
        <x:f>E2_plantas!J15+G576</x:f>
        <x:v>46209</x:v>
      </x:c>
      <x:c r="J576" s="2" t="str">
        <x:v>muerta</x:v>
      </x:c>
      <x:c r="K576" s="2" t="n">
        <x:v>0</x:v>
      </x:c>
      <x:c r="L576" s="2" t="n">
        <x:v>0</x:v>
      </x:c>
      <x:c r="M576" s="2" t="n">
        <x:f>SUM(L$548:L576)</x:f>
        <x:v>51</x:v>
      </x:c>
      <x:c r="N576" s="2" t="n">
        <x:v>1</x:v>
      </x:c>
      <x:c r="O576" s="2" t="str">
        <x:v>muerte</x:v>
      </x:c>
      <x:c r="P576" s="2" t="n">
        <x:v>0</x:v>
      </x:c>
      <x:c r="Q576" s="2" t="str">
        <x:v>simulado_didactico</x:v>
      </x:c>
    </x:row>
    <x:row r="577" ht="19" customHeight="1">
      <x:c r="A577" s="2" t="str">
        <x:v>SIM-E2-MP-L0-R04</x:v>
      </x:c>
      <x:c r="B577" s="2" t="n">
        <x:v>2</x:v>
      </x:c>
      <x:c r="C577" s="2" t="str">
        <x:v>MP</x:v>
      </x:c>
      <x:c r="D577" s="2" t="str">
        <x:v>Myzus persicae</x:v>
      </x:c>
      <x:c r="E577" s="2" t="str">
        <x:v>L0</x:v>
      </x:c>
      <x:c r="F577" s="2" t="n">
        <x:v>4</x:v>
      </x:c>
      <x:c r="G577" s="2" t="n">
        <x:v>29</x:v>
      </x:c>
      <x:c r="H577" s="2" t="n">
        <x:f>G577+Supuestos!$C$15</x:f>
        <x:v>30</x:v>
      </x:c>
      <x:c r="I577" s="14" t="n">
        <x:f>E2_plantas!J15+G577</x:f>
        <x:v>46210</x:v>
      </x:c>
      <x:c r="J577" s="2" t="str">
        <x:v>muerta</x:v>
      </x:c>
      <x:c r="K577" s="2" t="n">
        <x:v>0</x:v>
      </x:c>
      <x:c r="L577" s="2" t="n">
        <x:v>0</x:v>
      </x:c>
      <x:c r="M577" s="2" t="n">
        <x:f>SUM(L$548:L577)</x:f>
        <x:v>51</x:v>
      </x:c>
      <x:c r="N577" s="2" t="n">
        <x:v>0</x:v>
      </x:c>
      <x:c r="O577" s="2" t="str">
        <x:v>relleno_postmuerte</x:v>
      </x:c>
      <x:c r="P577" s="2" t="n">
        <x:v>0</x:v>
      </x:c>
      <x:c r="Q577" s="2" t="str">
        <x:v>simulado_didactico</x:v>
      </x:c>
    </x:row>
    <x:row r="578" ht="19" customHeight="1">
      <x:c r="A578" s="2" t="str">
        <x:v>SIM-E2-MP-L0-R04</x:v>
      </x:c>
      <x:c r="B578" s="2" t="n">
        <x:v>2</x:v>
      </x:c>
      <x:c r="C578" s="2" t="str">
        <x:v>MP</x:v>
      </x:c>
      <x:c r="D578" s="2" t="str">
        <x:v>Myzus persicae</x:v>
      </x:c>
      <x:c r="E578" s="2" t="str">
        <x:v>L0</x:v>
      </x:c>
      <x:c r="F578" s="2" t="n">
        <x:v>4</x:v>
      </x:c>
      <x:c r="G578" s="2" t="n">
        <x:v>30</x:v>
      </x:c>
      <x:c r="H578" s="2" t="n">
        <x:f>G578+Supuestos!$C$15</x:f>
        <x:v>31</x:v>
      </x:c>
      <x:c r="I578" s="14" t="n">
        <x:f>E2_plantas!J15+G578</x:f>
        <x:v>46211</x:v>
      </x:c>
      <x:c r="J578" s="2" t="str">
        <x:v>muerta</x:v>
      </x:c>
      <x:c r="K578" s="2" t="n">
        <x:v>0</x:v>
      </x:c>
      <x:c r="L578" s="2" t="n">
        <x:v>0</x:v>
      </x:c>
      <x:c r="M578" s="2" t="n">
        <x:f>SUM(L$548:L578)</x:f>
        <x:v>51</x:v>
      </x:c>
      <x:c r="N578" s="2" t="n">
        <x:v>0</x:v>
      </x:c>
      <x:c r="O578" s="2" t="str">
        <x:v>relleno_postmuerte</x:v>
      </x:c>
      <x:c r="P578" s="2" t="n">
        <x:v>0</x:v>
      </x:c>
      <x:c r="Q578" s="2" t="str">
        <x:v>simulado_didactico</x:v>
      </x:c>
    </x:row>
    <x:row r="579" ht="19" customHeight="1">
      <x:c r="A579" s="2" t="str">
        <x:v>SIM-E2-MP-L0-R04</x:v>
      </x:c>
      <x:c r="B579" s="2" t="n">
        <x:v>2</x:v>
      </x:c>
      <x:c r="C579" s="2" t="str">
        <x:v>MP</x:v>
      </x:c>
      <x:c r="D579" s="2" t="str">
        <x:v>Myzus persicae</x:v>
      </x:c>
      <x:c r="E579" s="2" t="str">
        <x:v>L0</x:v>
      </x:c>
      <x:c r="F579" s="2" t="n">
        <x:v>4</x:v>
      </x:c>
      <x:c r="G579" s="2" t="n">
        <x:v>31</x:v>
      </x:c>
      <x:c r="H579" s="2" t="n">
        <x:f>G579+Supuestos!$C$15</x:f>
        <x:v>32</x:v>
      </x:c>
      <x:c r="I579" s="14" t="n">
        <x:f>E2_plantas!J15+G579</x:f>
        <x:v>46212</x:v>
      </x:c>
      <x:c r="J579" s="2" t="str">
        <x:v>muerta</x:v>
      </x:c>
      <x:c r="K579" s="2" t="n">
        <x:v>0</x:v>
      </x:c>
      <x:c r="L579" s="2" t="n">
        <x:v>0</x:v>
      </x:c>
      <x:c r="M579" s="2" t="n">
        <x:f>SUM(L$548:L579)</x:f>
        <x:v>51</x:v>
      </x:c>
      <x:c r="N579" s="2" t="n">
        <x:v>0</x:v>
      </x:c>
      <x:c r="O579" s="2" t="str">
        <x:v>relleno_postmuerte</x:v>
      </x:c>
      <x:c r="P579" s="2" t="n">
        <x:v>0</x:v>
      </x:c>
      <x:c r="Q579" s="2" t="str">
        <x:v>simulado_didactico</x:v>
      </x:c>
    </x:row>
    <x:row r="580" ht="19" customHeight="1">
      <x:c r="A580" s="2" t="str">
        <x:v>SIM-E2-MP-L0-R04</x:v>
      </x:c>
      <x:c r="B580" s="2" t="n">
        <x:v>2</x:v>
      </x:c>
      <x:c r="C580" s="2" t="str">
        <x:v>MP</x:v>
      </x:c>
      <x:c r="D580" s="2" t="str">
        <x:v>Myzus persicae</x:v>
      </x:c>
      <x:c r="E580" s="2" t="str">
        <x:v>L0</x:v>
      </x:c>
      <x:c r="F580" s="2" t="n">
        <x:v>4</x:v>
      </x:c>
      <x:c r="G580" s="2" t="n">
        <x:v>32</x:v>
      </x:c>
      <x:c r="H580" s="2" t="n">
        <x:f>G580+Supuestos!$C$15</x:f>
        <x:v>33</x:v>
      </x:c>
      <x:c r="I580" s="14" t="n">
        <x:f>E2_plantas!J15+G580</x:f>
        <x:v>46213</x:v>
      </x:c>
      <x:c r="J580" s="2" t="str">
        <x:v>muerta</x:v>
      </x:c>
      <x:c r="K580" s="2" t="n">
        <x:v>0</x:v>
      </x:c>
      <x:c r="L580" s="2" t="n">
        <x:v>0</x:v>
      </x:c>
      <x:c r="M580" s="2" t="n">
        <x:f>SUM(L$548:L580)</x:f>
        <x:v>51</x:v>
      </x:c>
      <x:c r="N580" s="2" t="n">
        <x:v>0</x:v>
      </x:c>
      <x:c r="O580" s="2" t="str">
        <x:v>relleno_postmuerte</x:v>
      </x:c>
      <x:c r="P580" s="2" t="n">
        <x:v>0</x:v>
      </x:c>
      <x:c r="Q580" s="2" t="str">
        <x:v>simulado_didactico</x:v>
      </x:c>
    </x:row>
    <x:row r="581" ht="19" customHeight="1">
      <x:c r="A581" s="2" t="str">
        <x:v>SIM-E2-MP-L0-R04</x:v>
      </x:c>
      <x:c r="B581" s="2" t="n">
        <x:v>2</x:v>
      </x:c>
      <x:c r="C581" s="2" t="str">
        <x:v>MP</x:v>
      </x:c>
      <x:c r="D581" s="2" t="str">
        <x:v>Myzus persicae</x:v>
      </x:c>
      <x:c r="E581" s="2" t="str">
        <x:v>L0</x:v>
      </x:c>
      <x:c r="F581" s="2" t="n">
        <x:v>4</x:v>
      </x:c>
      <x:c r="G581" s="2" t="n">
        <x:v>33</x:v>
      </x:c>
      <x:c r="H581" s="2" t="n">
        <x:f>G581+Supuestos!$C$15</x:f>
        <x:v>34</x:v>
      </x:c>
      <x:c r="I581" s="14" t="n">
        <x:f>E2_plantas!J15+G581</x:f>
        <x:v>46214</x:v>
      </x:c>
      <x:c r="J581" s="2" t="str">
        <x:v>muerta</x:v>
      </x:c>
      <x:c r="K581" s="2" t="n">
        <x:v>0</x:v>
      </x:c>
      <x:c r="L581" s="2" t="n">
        <x:v>0</x:v>
      </x:c>
      <x:c r="M581" s="2" t="n">
        <x:f>SUM(L$548:L581)</x:f>
        <x:v>51</x:v>
      </x:c>
      <x:c r="N581" s="2" t="n">
        <x:v>0</x:v>
      </x:c>
      <x:c r="O581" s="2" t="str">
        <x:v>relleno_postmuerte</x:v>
      </x:c>
      <x:c r="P581" s="2" t="n">
        <x:v>0</x:v>
      </x:c>
      <x:c r="Q581" s="2" t="str">
        <x:v>simulado_didactico</x:v>
      </x:c>
    </x:row>
    <x:row r="582" ht="19" customHeight="1">
      <x:c r="A582" s="2" t="str">
        <x:v>SIM-E2-MP-L0-R04</x:v>
      </x:c>
      <x:c r="B582" s="2" t="n">
        <x:v>2</x:v>
      </x:c>
      <x:c r="C582" s="2" t="str">
        <x:v>MP</x:v>
      </x:c>
      <x:c r="D582" s="2" t="str">
        <x:v>Myzus persicae</x:v>
      </x:c>
      <x:c r="E582" s="2" t="str">
        <x:v>L0</x:v>
      </x:c>
      <x:c r="F582" s="2" t="n">
        <x:v>4</x:v>
      </x:c>
      <x:c r="G582" s="2" t="n">
        <x:v>34</x:v>
      </x:c>
      <x:c r="H582" s="2" t="n">
        <x:f>G582+Supuestos!$C$15</x:f>
        <x:v>35</x:v>
      </x:c>
      <x:c r="I582" s="14" t="n">
        <x:f>E2_plantas!J15+G582</x:f>
        <x:v>46215</x:v>
      </x:c>
      <x:c r="J582" s="2" t="str">
        <x:v>muerta</x:v>
      </x:c>
      <x:c r="K582" s="2" t="n">
        <x:v>0</x:v>
      </x:c>
      <x:c r="L582" s="2" t="n">
        <x:v>0</x:v>
      </x:c>
      <x:c r="M582" s="2" t="n">
        <x:f>SUM(L$548:L582)</x:f>
        <x:v>51</x:v>
      </x:c>
      <x:c r="N582" s="2" t="n">
        <x:v>0</x:v>
      </x:c>
      <x:c r="O582" s="2" t="str">
        <x:v>relleno_postmuerte</x:v>
      </x:c>
      <x:c r="P582" s="2" t="n">
        <x:v>0</x:v>
      </x:c>
      <x:c r="Q582" s="2" t="str">
        <x:v>simulado_didactico</x:v>
      </x:c>
    </x:row>
    <x:row r="583" ht="19" customHeight="1">
      <x:c r="A583" s="2" t="str">
        <x:v>SIM-E2-MP-L0-R04</x:v>
      </x:c>
      <x:c r="B583" s="2" t="n">
        <x:v>2</x:v>
      </x:c>
      <x:c r="C583" s="2" t="str">
        <x:v>MP</x:v>
      </x:c>
      <x:c r="D583" s="2" t="str">
        <x:v>Myzus persicae</x:v>
      </x:c>
      <x:c r="E583" s="2" t="str">
        <x:v>L0</x:v>
      </x:c>
      <x:c r="F583" s="2" t="n">
        <x:v>4</x:v>
      </x:c>
      <x:c r="G583" s="2" t="n">
        <x:v>35</x:v>
      </x:c>
      <x:c r="H583" s="2" t="n">
        <x:f>G583+Supuestos!$C$15</x:f>
        <x:v>36</x:v>
      </x:c>
      <x:c r="I583" s="14" t="n">
        <x:f>E2_plantas!J15+G583</x:f>
        <x:v>46216</x:v>
      </x:c>
      <x:c r="J583" s="2" t="str">
        <x:v>muerta</x:v>
      </x:c>
      <x:c r="K583" s="2" t="n">
        <x:v>0</x:v>
      </x:c>
      <x:c r="L583" s="2" t="n">
        <x:v>0</x:v>
      </x:c>
      <x:c r="M583" s="2" t="n">
        <x:f>SUM(L$548:L583)</x:f>
        <x:v>51</x:v>
      </x:c>
      <x:c r="N583" s="2" t="n">
        <x:v>0</x:v>
      </x:c>
      <x:c r="O583" s="2" t="str">
        <x:v>relleno_postmuerte</x:v>
      </x:c>
      <x:c r="P583" s="2" t="n">
        <x:v>0</x:v>
      </x:c>
      <x:c r="Q583" s="2" t="str">
        <x:v>simulado_didactico</x:v>
      </x:c>
    </x:row>
    <x:row r="584" ht="19" customHeight="1">
      <x:c r="A584" s="2" t="str">
        <x:v>SIM-E2-MP-L0-R04</x:v>
      </x:c>
      <x:c r="B584" s="2" t="n">
        <x:v>2</x:v>
      </x:c>
      <x:c r="C584" s="2" t="str">
        <x:v>MP</x:v>
      </x:c>
      <x:c r="D584" s="2" t="str">
        <x:v>Myzus persicae</x:v>
      </x:c>
      <x:c r="E584" s="2" t="str">
        <x:v>L0</x:v>
      </x:c>
      <x:c r="F584" s="2" t="n">
        <x:v>4</x:v>
      </x:c>
      <x:c r="G584" s="2" t="n">
        <x:v>36</x:v>
      </x:c>
      <x:c r="H584" s="2" t="n">
        <x:f>G584+Supuestos!$C$15</x:f>
        <x:v>37</x:v>
      </x:c>
      <x:c r="I584" s="14" t="n">
        <x:f>E2_plantas!J15+G584</x:f>
        <x:v>46217</x:v>
      </x:c>
      <x:c r="J584" s="2" t="str">
        <x:v>muerta</x:v>
      </x:c>
      <x:c r="K584" s="2" t="n">
        <x:v>0</x:v>
      </x:c>
      <x:c r="L584" s="2" t="n">
        <x:v>0</x:v>
      </x:c>
      <x:c r="M584" s="2" t="n">
        <x:f>SUM(L$548:L584)</x:f>
        <x:v>51</x:v>
      </x:c>
      <x:c r="N584" s="2" t="n">
        <x:v>0</x:v>
      </x:c>
      <x:c r="O584" s="2" t="str">
        <x:v>relleno_postmuerte</x:v>
      </x:c>
      <x:c r="P584" s="2" t="n">
        <x:v>0</x:v>
      </x:c>
      <x:c r="Q584" s="2" t="str">
        <x:v>simulado_didactico</x:v>
      </x:c>
    </x:row>
    <x:row r="585" ht="19" customHeight="1">
      <x:c r="A585" s="2" t="str">
        <x:v>SIM-E2-MP-L0-R04</x:v>
      </x:c>
      <x:c r="B585" s="2" t="n">
        <x:v>2</x:v>
      </x:c>
      <x:c r="C585" s="2" t="str">
        <x:v>MP</x:v>
      </x:c>
      <x:c r="D585" s="2" t="str">
        <x:v>Myzus persicae</x:v>
      </x:c>
      <x:c r="E585" s="2" t="str">
        <x:v>L0</x:v>
      </x:c>
      <x:c r="F585" s="2" t="n">
        <x:v>4</x:v>
      </x:c>
      <x:c r="G585" s="2" t="n">
        <x:v>37</x:v>
      </x:c>
      <x:c r="H585" s="2" t="n">
        <x:f>G585+Supuestos!$C$15</x:f>
        <x:v>38</x:v>
      </x:c>
      <x:c r="I585" s="14" t="n">
        <x:f>E2_plantas!J15+G585</x:f>
        <x:v>46218</x:v>
      </x:c>
      <x:c r="J585" s="2" t="str">
        <x:v>muerta</x:v>
      </x:c>
      <x:c r="K585" s="2" t="n">
        <x:v>0</x:v>
      </x:c>
      <x:c r="L585" s="2" t="n">
        <x:v>0</x:v>
      </x:c>
      <x:c r="M585" s="2" t="n">
        <x:f>SUM(L$548:L585)</x:f>
        <x:v>51</x:v>
      </x:c>
      <x:c r="N585" s="2" t="n">
        <x:v>0</x:v>
      </x:c>
      <x:c r="O585" s="2" t="str">
        <x:v>relleno_postmuerte</x:v>
      </x:c>
      <x:c r="P585" s="2" t="n">
        <x:v>0</x:v>
      </x:c>
      <x:c r="Q585" s="2" t="str">
        <x:v>simulado_didactico</x:v>
      </x:c>
    </x:row>
    <x:row r="586" ht="19" customHeight="1">
      <x:c r="A586" s="2" t="str">
        <x:v>SIM-E2-MP-L0-R04</x:v>
      </x:c>
      <x:c r="B586" s="2" t="n">
        <x:v>2</x:v>
      </x:c>
      <x:c r="C586" s="2" t="str">
        <x:v>MP</x:v>
      </x:c>
      <x:c r="D586" s="2" t="str">
        <x:v>Myzus persicae</x:v>
      </x:c>
      <x:c r="E586" s="2" t="str">
        <x:v>L0</x:v>
      </x:c>
      <x:c r="F586" s="2" t="n">
        <x:v>4</x:v>
      </x:c>
      <x:c r="G586" s="2" t="n">
        <x:v>38</x:v>
      </x:c>
      <x:c r="H586" s="2" t="n">
        <x:f>G586+Supuestos!$C$15</x:f>
        <x:v>39</x:v>
      </x:c>
      <x:c r="I586" s="14" t="n">
        <x:f>E2_plantas!J15+G586</x:f>
        <x:v>46219</x:v>
      </x:c>
      <x:c r="J586" s="2" t="str">
        <x:v>muerta</x:v>
      </x:c>
      <x:c r="K586" s="2" t="n">
        <x:v>0</x:v>
      </x:c>
      <x:c r="L586" s="2" t="n">
        <x:v>0</x:v>
      </x:c>
      <x:c r="M586" s="2" t="n">
        <x:f>SUM(L$548:L586)</x:f>
        <x:v>51</x:v>
      </x:c>
      <x:c r="N586" s="2" t="n">
        <x:v>0</x:v>
      </x:c>
      <x:c r="O586" s="2" t="str">
        <x:v>relleno_postmuerte</x:v>
      </x:c>
      <x:c r="P586" s="2" t="n">
        <x:v>0</x:v>
      </x:c>
      <x:c r="Q586" s="2" t="str">
        <x:v>simulado_didactico</x:v>
      </x:c>
    </x:row>
    <x:row r="587" ht="19" customHeight="1">
      <x:c r="A587" s="2" t="str">
        <x:v>SIM-E2-MP-L0-R04</x:v>
      </x:c>
      <x:c r="B587" s="2" t="n">
        <x:v>2</x:v>
      </x:c>
      <x:c r="C587" s="2" t="str">
        <x:v>MP</x:v>
      </x:c>
      <x:c r="D587" s="2" t="str">
        <x:v>Myzus persicae</x:v>
      </x:c>
      <x:c r="E587" s="2" t="str">
        <x:v>L0</x:v>
      </x:c>
      <x:c r="F587" s="2" t="n">
        <x:v>4</x:v>
      </x:c>
      <x:c r="G587" s="2" t="n">
        <x:v>39</x:v>
      </x:c>
      <x:c r="H587" s="2" t="n">
        <x:f>G587+Supuestos!$C$15</x:f>
        <x:v>40</x:v>
      </x:c>
      <x:c r="I587" s="14" t="n">
        <x:f>E2_plantas!J15+G587</x:f>
        <x:v>46220</x:v>
      </x:c>
      <x:c r="J587" s="2" t="str">
        <x:v>muerta</x:v>
      </x:c>
      <x:c r="K587" s="2" t="n">
        <x:v>0</x:v>
      </x:c>
      <x:c r="L587" s="2" t="n">
        <x:v>0</x:v>
      </x:c>
      <x:c r="M587" s="2" t="n">
        <x:f>SUM(L$548:L587)</x:f>
        <x:v>51</x:v>
      </x:c>
      <x:c r="N587" s="2" t="n">
        <x:v>0</x:v>
      </x:c>
      <x:c r="O587" s="2" t="str">
        <x:v>relleno_postmuerte</x:v>
      </x:c>
      <x:c r="P587" s="2" t="n">
        <x:v>0</x:v>
      </x:c>
      <x:c r="Q587" s="2" t="str">
        <x:v>simulado_didactico</x:v>
      </x:c>
    </x:row>
    <x:row r="588" ht="19" customHeight="1">
      <x:c r="A588" s="2" t="str">
        <x:v>SIM-E2-MP-L0-R04</x:v>
      </x:c>
      <x:c r="B588" s="2" t="n">
        <x:v>2</x:v>
      </x:c>
      <x:c r="C588" s="2" t="str">
        <x:v>MP</x:v>
      </x:c>
      <x:c r="D588" s="2" t="str">
        <x:v>Myzus persicae</x:v>
      </x:c>
      <x:c r="E588" s="2" t="str">
        <x:v>L0</x:v>
      </x:c>
      <x:c r="F588" s="2" t="n">
        <x:v>4</x:v>
      </x:c>
      <x:c r="G588" s="2" t="n">
        <x:v>40</x:v>
      </x:c>
      <x:c r="H588" s="2" t="n">
        <x:f>G588+Supuestos!$C$15</x:f>
        <x:v>41</x:v>
      </x:c>
      <x:c r="I588" s="14" t="n">
        <x:f>E2_plantas!J15+G588</x:f>
        <x:v>46221</x:v>
      </x:c>
      <x:c r="J588" s="2" t="str">
        <x:v>muerta</x:v>
      </x:c>
      <x:c r="K588" s="2" t="n">
        <x:v>0</x:v>
      </x:c>
      <x:c r="L588" s="2" t="n">
        <x:v>0</x:v>
      </x:c>
      <x:c r="M588" s="2" t="n">
        <x:f>SUM(L$548:L588)</x:f>
        <x:v>51</x:v>
      </x:c>
      <x:c r="N588" s="2" t="n">
        <x:v>0</x:v>
      </x:c>
      <x:c r="O588" s="2" t="str">
        <x:v>relleno_postmuerte</x:v>
      </x:c>
      <x:c r="P588" s="2" t="n">
        <x:v>0</x:v>
      </x:c>
      <x:c r="Q588" s="2" t="str">
        <x:v>simulado_didactico</x:v>
      </x:c>
    </x:row>
    <x:row r="589" ht="19" customHeight="1">
      <x:c r="A589" s="2" t="str">
        <x:v>SIM-E2-MP-L0-R04</x:v>
      </x:c>
      <x:c r="B589" s="2" t="n">
        <x:v>2</x:v>
      </x:c>
      <x:c r="C589" s="2" t="str">
        <x:v>MP</x:v>
      </x:c>
      <x:c r="D589" s="2" t="str">
        <x:v>Myzus persicae</x:v>
      </x:c>
      <x:c r="E589" s="2" t="str">
        <x:v>L0</x:v>
      </x:c>
      <x:c r="F589" s="2" t="n">
        <x:v>4</x:v>
      </x:c>
      <x:c r="G589" s="2" t="n">
        <x:v>41</x:v>
      </x:c>
      <x:c r="H589" s="2" t="n">
        <x:f>G589+Supuestos!$C$15</x:f>
        <x:v>42</x:v>
      </x:c>
      <x:c r="I589" s="14" t="n">
        <x:f>E2_plantas!J15+G589</x:f>
        <x:v>46222</x:v>
      </x:c>
      <x:c r="J589" s="2" t="str">
        <x:v>muerta</x:v>
      </x:c>
      <x:c r="K589" s="2" t="n">
        <x:v>0</x:v>
      </x:c>
      <x:c r="L589" s="2" t="n">
        <x:v>0</x:v>
      </x:c>
      <x:c r="M589" s="2" t="n">
        <x:f>SUM(L$548:L589)</x:f>
        <x:v>51</x:v>
      </x:c>
      <x:c r="N589" s="2" t="n">
        <x:v>0</x:v>
      </x:c>
      <x:c r="O589" s="2" t="str">
        <x:v>relleno_postmuerte</x:v>
      </x:c>
      <x:c r="P589" s="2" t="n">
        <x:v>0</x:v>
      </x:c>
      <x:c r="Q589" s="2" t="str">
        <x:v>simulado_didactico</x:v>
      </x:c>
    </x:row>
    <x:row r="590" ht="19" customHeight="1">
      <x:c r="A590" s="2" t="str">
        <x:v>SIM-E2-MP-L8-R03</x:v>
      </x:c>
      <x:c r="B590" s="2" t="n">
        <x:v>2</x:v>
      </x:c>
      <x:c r="C590" s="2" t="str">
        <x:v>MP</x:v>
      </x:c>
      <x:c r="D590" s="2" t="str">
        <x:v>Myzus persicae</x:v>
      </x:c>
      <x:c r="E590" s="2" t="str">
        <x:v>L8</x:v>
      </x:c>
      <x:c r="F590" s="2" t="n">
        <x:v>3</x:v>
      </x:c>
      <x:c r="G590" s="2" t="n">
        <x:v>0</x:v>
      </x:c>
      <x:c r="H590" s="2" t="n">
        <x:f>G590+Supuestos!$C$15</x:f>
        <x:v>1</x:v>
      </x:c>
      <x:c r="I590" s="14" t="n">
        <x:f>E2_plantas!J16+G590</x:f>
        <x:v>46181</x:v>
      </x:c>
      <x:c r="J590" s="2" t="str">
        <x:v>N1</x:v>
      </x:c>
      <x:c r="K590" s="2" t="n">
        <x:v>1</x:v>
      </x:c>
      <x:c r="L590" s="2" t="n">
        <x:v>0</x:v>
      </x:c>
      <x:c r="M590" s="2" t="n">
        <x:f>SUM(L$590:L590)</x:f>
        <x:v>0</x:v>
      </x:c>
      <x:c r="N590" s="2" t="n">
        <x:v>0</x:v>
      </x:c>
      <x:c r="O590" s="2" t="str">
        <x:v>seguimiento</x:v>
      </x:c>
      <x:c r="P590" s="2" t="n">
        <x:v>0</x:v>
      </x:c>
      <x:c r="Q590" s="2" t="str">
        <x:v>simulado_didactico</x:v>
      </x:c>
    </x:row>
    <x:row r="591" ht="19" customHeight="1">
      <x:c r="A591" s="2" t="str">
        <x:v>SIM-E2-MP-L8-R03</x:v>
      </x:c>
      <x:c r="B591" s="2" t="n">
        <x:v>2</x:v>
      </x:c>
      <x:c r="C591" s="2" t="str">
        <x:v>MP</x:v>
      </x:c>
      <x:c r="D591" s="2" t="str">
        <x:v>Myzus persicae</x:v>
      </x:c>
      <x:c r="E591" s="2" t="str">
        <x:v>L8</x:v>
      </x:c>
      <x:c r="F591" s="2" t="n">
        <x:v>3</x:v>
      </x:c>
      <x:c r="G591" s="2" t="n">
        <x:v>1</x:v>
      </x:c>
      <x:c r="H591" s="2" t="n">
        <x:f>G591+Supuestos!$C$15</x:f>
        <x:v>2</x:v>
      </x:c>
      <x:c r="I591" s="14" t="n">
        <x:f>E2_plantas!J16+G591</x:f>
        <x:v>46182</x:v>
      </x:c>
      <x:c r="J591" s="2" t="str">
        <x:v>N1</x:v>
      </x:c>
      <x:c r="K591" s="2" t="n">
        <x:v>1</x:v>
      </x:c>
      <x:c r="L591" s="2" t="n">
        <x:v>0</x:v>
      </x:c>
      <x:c r="M591" s="2" t="n">
        <x:f>SUM(L$590:L591)</x:f>
        <x:v>0</x:v>
      </x:c>
      <x:c r="N591" s="2" t="n">
        <x:v>0</x:v>
      </x:c>
      <x:c r="O591" s="2" t="str">
        <x:v>seguimiento</x:v>
      </x:c>
      <x:c r="P591" s="2" t="n">
        <x:v>0</x:v>
      </x:c>
      <x:c r="Q591" s="2" t="str">
        <x:v>simulado_didactico</x:v>
      </x:c>
    </x:row>
    <x:row r="592" ht="19" customHeight="1">
      <x:c r="A592" s="2" t="str">
        <x:v>SIM-E2-MP-L8-R03</x:v>
      </x:c>
      <x:c r="B592" s="2" t="n">
        <x:v>2</x:v>
      </x:c>
      <x:c r="C592" s="2" t="str">
        <x:v>MP</x:v>
      </x:c>
      <x:c r="D592" s="2" t="str">
        <x:v>Myzus persicae</x:v>
      </x:c>
      <x:c r="E592" s="2" t="str">
        <x:v>L8</x:v>
      </x:c>
      <x:c r="F592" s="2" t="n">
        <x:v>3</x:v>
      </x:c>
      <x:c r="G592" s="2" t="n">
        <x:v>2</x:v>
      </x:c>
      <x:c r="H592" s="2" t="n">
        <x:f>G592+Supuestos!$C$15</x:f>
        <x:v>3</x:v>
      </x:c>
      <x:c r="I592" s="14" t="n">
        <x:f>E2_plantas!J16+G592</x:f>
        <x:v>46183</x:v>
      </x:c>
      <x:c r="J592" s="2" t="str">
        <x:v>N1</x:v>
      </x:c>
      <x:c r="K592" s="2" t="n">
        <x:v>1</x:v>
      </x:c>
      <x:c r="L592" s="2" t="n">
        <x:v>0</x:v>
      </x:c>
      <x:c r="M592" s="2" t="n">
        <x:f>SUM(L$590:L592)</x:f>
        <x:v>0</x:v>
      </x:c>
      <x:c r="N592" s="2" t="n">
        <x:v>0</x:v>
      </x:c>
      <x:c r="O592" s="2" t="str">
        <x:v>seguimiento</x:v>
      </x:c>
      <x:c r="P592" s="2" t="n">
        <x:v>0</x:v>
      </x:c>
      <x:c r="Q592" s="2" t="str">
        <x:v>simulado_didactico</x:v>
      </x:c>
    </x:row>
    <x:row r="593" ht="19" customHeight="1">
      <x:c r="A593" s="2" t="str">
        <x:v>SIM-E2-MP-L8-R03</x:v>
      </x:c>
      <x:c r="B593" s="2" t="n">
        <x:v>2</x:v>
      </x:c>
      <x:c r="C593" s="2" t="str">
        <x:v>MP</x:v>
      </x:c>
      <x:c r="D593" s="2" t="str">
        <x:v>Myzus persicae</x:v>
      </x:c>
      <x:c r="E593" s="2" t="str">
        <x:v>L8</x:v>
      </x:c>
      <x:c r="F593" s="2" t="n">
        <x:v>3</x:v>
      </x:c>
      <x:c r="G593" s="2" t="n">
        <x:v>3</x:v>
      </x:c>
      <x:c r="H593" s="2" t="n">
        <x:f>G593+Supuestos!$C$15</x:f>
        <x:v>4</x:v>
      </x:c>
      <x:c r="I593" s="14" t="n">
        <x:f>E2_plantas!J16+G593</x:f>
        <x:v>46184</x:v>
      </x:c>
      <x:c r="J593" s="2" t="str">
        <x:v>N1</x:v>
      </x:c>
      <x:c r="K593" s="2" t="n">
        <x:v>1</x:v>
      </x:c>
      <x:c r="L593" s="2" t="n">
        <x:v>0</x:v>
      </x:c>
      <x:c r="M593" s="2" t="n">
        <x:f>SUM(L$590:L593)</x:f>
        <x:v>0</x:v>
      </x:c>
      <x:c r="N593" s="2" t="n">
        <x:v>0</x:v>
      </x:c>
      <x:c r="O593" s="2" t="str">
        <x:v>seguimiento</x:v>
      </x:c>
      <x:c r="P593" s="2" t="n">
        <x:v>0</x:v>
      </x:c>
      <x:c r="Q593" s="2" t="str">
        <x:v>simulado_didactico</x:v>
      </x:c>
    </x:row>
    <x:row r="594" ht="19" customHeight="1">
      <x:c r="A594" s="2" t="str">
        <x:v>SIM-E2-MP-L8-R03</x:v>
      </x:c>
      <x:c r="B594" s="2" t="n">
        <x:v>2</x:v>
      </x:c>
      <x:c r="C594" s="2" t="str">
        <x:v>MP</x:v>
      </x:c>
      <x:c r="D594" s="2" t="str">
        <x:v>Myzus persicae</x:v>
      </x:c>
      <x:c r="E594" s="2" t="str">
        <x:v>L8</x:v>
      </x:c>
      <x:c r="F594" s="2" t="n">
        <x:v>3</x:v>
      </x:c>
      <x:c r="G594" s="2" t="n">
        <x:v>4</x:v>
      </x:c>
      <x:c r="H594" s="2" t="n">
        <x:f>G594+Supuestos!$C$15</x:f>
        <x:v>5</x:v>
      </x:c>
      <x:c r="I594" s="14" t="n">
        <x:f>E2_plantas!J16+G594</x:f>
        <x:v>46185</x:v>
      </x:c>
      <x:c r="J594" s="2" t="str">
        <x:v>N2</x:v>
      </x:c>
      <x:c r="K594" s="2" t="n">
        <x:v>1</x:v>
      </x:c>
      <x:c r="L594" s="2" t="n">
        <x:v>0</x:v>
      </x:c>
      <x:c r="M594" s="2" t="n">
        <x:f>SUM(L$590:L594)</x:f>
        <x:v>0</x:v>
      </x:c>
      <x:c r="N594" s="2" t="n">
        <x:v>0</x:v>
      </x:c>
      <x:c r="O594" s="2" t="str">
        <x:v>seguimiento</x:v>
      </x:c>
      <x:c r="P594" s="2" t="n">
        <x:v>0</x:v>
      </x:c>
      <x:c r="Q594" s="2" t="str">
        <x:v>simulado_didactico</x:v>
      </x:c>
    </x:row>
    <x:row r="595" ht="19" customHeight="1">
      <x:c r="A595" s="2" t="str">
        <x:v>SIM-E2-MP-L8-R03</x:v>
      </x:c>
      <x:c r="B595" s="2" t="n">
        <x:v>2</x:v>
      </x:c>
      <x:c r="C595" s="2" t="str">
        <x:v>MP</x:v>
      </x:c>
      <x:c r="D595" s="2" t="str">
        <x:v>Myzus persicae</x:v>
      </x:c>
      <x:c r="E595" s="2" t="str">
        <x:v>L8</x:v>
      </x:c>
      <x:c r="F595" s="2" t="n">
        <x:v>3</x:v>
      </x:c>
      <x:c r="G595" s="2" t="n">
        <x:v>5</x:v>
      </x:c>
      <x:c r="H595" s="2" t="n">
        <x:f>G595+Supuestos!$C$15</x:f>
        <x:v>6</x:v>
      </x:c>
      <x:c r="I595" s="14" t="n">
        <x:f>E2_plantas!J16+G595</x:f>
        <x:v>46186</x:v>
      </x:c>
      <x:c r="J595" s="2" t="str">
        <x:v>N3</x:v>
      </x:c>
      <x:c r="K595" s="2" t="n">
        <x:v>1</x:v>
      </x:c>
      <x:c r="L595" s="2" t="n">
        <x:v>0</x:v>
      </x:c>
      <x:c r="M595" s="2" t="n">
        <x:f>SUM(L$590:L595)</x:f>
        <x:v>0</x:v>
      </x:c>
      <x:c r="N595" s="2" t="n">
        <x:v>0</x:v>
      </x:c>
      <x:c r="O595" s="2" t="str">
        <x:v>seguimiento</x:v>
      </x:c>
      <x:c r="P595" s="2" t="n">
        <x:v>0</x:v>
      </x:c>
      <x:c r="Q595" s="2" t="str">
        <x:v>simulado_didactico</x:v>
      </x:c>
    </x:row>
    <x:row r="596" ht="19" customHeight="1">
      <x:c r="A596" s="2" t="str">
        <x:v>SIM-E2-MP-L8-R03</x:v>
      </x:c>
      <x:c r="B596" s="2" t="n">
        <x:v>2</x:v>
      </x:c>
      <x:c r="C596" s="2" t="str">
        <x:v>MP</x:v>
      </x:c>
      <x:c r="D596" s="2" t="str">
        <x:v>Myzus persicae</x:v>
      </x:c>
      <x:c r="E596" s="2" t="str">
        <x:v>L8</x:v>
      </x:c>
      <x:c r="F596" s="2" t="n">
        <x:v>3</x:v>
      </x:c>
      <x:c r="G596" s="2" t="n">
        <x:v>6</x:v>
      </x:c>
      <x:c r="H596" s="2" t="n">
        <x:f>G596+Supuestos!$C$15</x:f>
        <x:v>7</x:v>
      </x:c>
      <x:c r="I596" s="14" t="n">
        <x:f>E2_plantas!J16+G596</x:f>
        <x:v>46187</x:v>
      </x:c>
      <x:c r="J596" s="2" t="str">
        <x:v>N3</x:v>
      </x:c>
      <x:c r="K596" s="2" t="n">
        <x:v>1</x:v>
      </x:c>
      <x:c r="L596" s="2" t="n">
        <x:v>0</x:v>
      </x:c>
      <x:c r="M596" s="2" t="n">
        <x:f>SUM(L$590:L596)</x:f>
        <x:v>0</x:v>
      </x:c>
      <x:c r="N596" s="2" t="n">
        <x:v>0</x:v>
      </x:c>
      <x:c r="O596" s="2" t="str">
        <x:v>seguimiento</x:v>
      </x:c>
      <x:c r="P596" s="2" t="n">
        <x:v>0</x:v>
      </x:c>
      <x:c r="Q596" s="2" t="str">
        <x:v>simulado_didactico</x:v>
      </x:c>
    </x:row>
    <x:row r="597" ht="19" customHeight="1">
      <x:c r="A597" s="2" t="str">
        <x:v>SIM-E2-MP-L8-R03</x:v>
      </x:c>
      <x:c r="B597" s="2" t="n">
        <x:v>2</x:v>
      </x:c>
      <x:c r="C597" s="2" t="str">
        <x:v>MP</x:v>
      </x:c>
      <x:c r="D597" s="2" t="str">
        <x:v>Myzus persicae</x:v>
      </x:c>
      <x:c r="E597" s="2" t="str">
        <x:v>L8</x:v>
      </x:c>
      <x:c r="F597" s="2" t="n">
        <x:v>3</x:v>
      </x:c>
      <x:c r="G597" s="2" t="n">
        <x:v>7</x:v>
      </x:c>
      <x:c r="H597" s="2" t="n">
        <x:f>G597+Supuestos!$C$15</x:f>
        <x:v>8</x:v>
      </x:c>
      <x:c r="I597" s="14" t="n">
        <x:f>E2_plantas!J16+G597</x:f>
        <x:v>46188</x:v>
      </x:c>
      <x:c r="J597" s="2" t="str">
        <x:v>N3</x:v>
      </x:c>
      <x:c r="K597" s="2" t="n">
        <x:v>1</x:v>
      </x:c>
      <x:c r="L597" s="2" t="n">
        <x:v>0</x:v>
      </x:c>
      <x:c r="M597" s="2" t="n">
        <x:f>SUM(L$590:L597)</x:f>
        <x:v>0</x:v>
      </x:c>
      <x:c r="N597" s="2" t="n">
        <x:v>0</x:v>
      </x:c>
      <x:c r="O597" s="2" t="str">
        <x:v>seguimiento</x:v>
      </x:c>
      <x:c r="P597" s="2" t="n">
        <x:v>0</x:v>
      </x:c>
      <x:c r="Q597" s="2" t="str">
        <x:v>simulado_didactico</x:v>
      </x:c>
    </x:row>
    <x:row r="598" ht="19" customHeight="1">
      <x:c r="A598" s="2" t="str">
        <x:v>SIM-E2-MP-L8-R03</x:v>
      </x:c>
      <x:c r="B598" s="2" t="n">
        <x:v>2</x:v>
      </x:c>
      <x:c r="C598" s="2" t="str">
        <x:v>MP</x:v>
      </x:c>
      <x:c r="D598" s="2" t="str">
        <x:v>Myzus persicae</x:v>
      </x:c>
      <x:c r="E598" s="2" t="str">
        <x:v>L8</x:v>
      </x:c>
      <x:c r="F598" s="2" t="n">
        <x:v>3</x:v>
      </x:c>
      <x:c r="G598" s="2" t="n">
        <x:v>8</x:v>
      </x:c>
      <x:c r="H598" s="2" t="n">
        <x:f>G598+Supuestos!$C$15</x:f>
        <x:v>9</x:v>
      </x:c>
      <x:c r="I598" s="14" t="n">
        <x:f>E2_plantas!J16+G598</x:f>
        <x:v>46189</x:v>
      </x:c>
      <x:c r="J598" s="2" t="str">
        <x:v>N4</x:v>
      </x:c>
      <x:c r="K598" s="2" t="n">
        <x:v>1</x:v>
      </x:c>
      <x:c r="L598" s="2" t="n">
        <x:v>0</x:v>
      </x:c>
      <x:c r="M598" s="2" t="n">
        <x:f>SUM(L$590:L598)</x:f>
        <x:v>0</x:v>
      </x:c>
      <x:c r="N598" s="2" t="n">
        <x:v>0</x:v>
      </x:c>
      <x:c r="O598" s="2" t="str">
        <x:v>seguimiento</x:v>
      </x:c>
      <x:c r="P598" s="2" t="n">
        <x:v>0</x:v>
      </x:c>
      <x:c r="Q598" s="2" t="str">
        <x:v>simulado_didactico</x:v>
      </x:c>
    </x:row>
    <x:row r="599" ht="19" customHeight="1">
      <x:c r="A599" s="2" t="str">
        <x:v>SIM-E2-MP-L8-R03</x:v>
      </x:c>
      <x:c r="B599" s="2" t="n">
        <x:v>2</x:v>
      </x:c>
      <x:c r="C599" s="2" t="str">
        <x:v>MP</x:v>
      </x:c>
      <x:c r="D599" s="2" t="str">
        <x:v>Myzus persicae</x:v>
      </x:c>
      <x:c r="E599" s="2" t="str">
        <x:v>L8</x:v>
      </x:c>
      <x:c r="F599" s="2" t="n">
        <x:v>3</x:v>
      </x:c>
      <x:c r="G599" s="2" t="n">
        <x:v>9</x:v>
      </x:c>
      <x:c r="H599" s="2" t="n">
        <x:f>G599+Supuestos!$C$15</x:f>
        <x:v>10</x:v>
      </x:c>
      <x:c r="I599" s="14" t="n">
        <x:f>E2_plantas!J16+G599</x:f>
        <x:v>46190</x:v>
      </x:c>
      <x:c r="J599" s="2" t="str">
        <x:v>adulta</x:v>
      </x:c>
      <x:c r="K599" s="2" t="n">
        <x:v>1</x:v>
      </x:c>
      <x:c r="L599" s="2" t="n">
        <x:v>0</x:v>
      </x:c>
      <x:c r="M599" s="2" t="n">
        <x:f>SUM(L$590:L599)</x:f>
        <x:v>0</x:v>
      </x:c>
      <x:c r="N599" s="2" t="n">
        <x:v>0</x:v>
      </x:c>
      <x:c r="O599" s="2" t="str">
        <x:v>seguimiento</x:v>
      </x:c>
      <x:c r="P599" s="2" t="n">
        <x:v>0</x:v>
      </x:c>
      <x:c r="Q599" s="2" t="str">
        <x:v>simulado_didactico</x:v>
      </x:c>
    </x:row>
    <x:row r="600" ht="19" customHeight="1">
      <x:c r="A600" s="2" t="str">
        <x:v>SIM-E2-MP-L8-R03</x:v>
      </x:c>
      <x:c r="B600" s="2" t="n">
        <x:v>2</x:v>
      </x:c>
      <x:c r="C600" s="2" t="str">
        <x:v>MP</x:v>
      </x:c>
      <x:c r="D600" s="2" t="str">
        <x:v>Myzus persicae</x:v>
      </x:c>
      <x:c r="E600" s="2" t="str">
        <x:v>L8</x:v>
      </x:c>
      <x:c r="F600" s="2" t="n">
        <x:v>3</x:v>
      </x:c>
      <x:c r="G600" s="2" t="n">
        <x:v>10</x:v>
      </x:c>
      <x:c r="H600" s="2" t="n">
        <x:f>G600+Supuestos!$C$15</x:f>
        <x:v>11</x:v>
      </x:c>
      <x:c r="I600" s="14" t="n">
        <x:f>E2_plantas!J16+G600</x:f>
        <x:v>46191</x:v>
      </x:c>
      <x:c r="J600" s="2" t="str">
        <x:v>adulta</x:v>
      </x:c>
      <x:c r="K600" s="2" t="n">
        <x:v>1</x:v>
      </x:c>
      <x:c r="L600" s="2" t="n">
        <x:v>0</x:v>
      </x:c>
      <x:c r="M600" s="2" t="n">
        <x:f>SUM(L$590:L600)</x:f>
        <x:v>0</x:v>
      </x:c>
      <x:c r="N600" s="2" t="n">
        <x:v>0</x:v>
      </x:c>
      <x:c r="O600" s="2" t="str">
        <x:v>seguimiento</x:v>
      </x:c>
      <x:c r="P600" s="2" t="n">
        <x:v>0</x:v>
      </x:c>
      <x:c r="Q600" s="2" t="str">
        <x:v>simulado_didactico</x:v>
      </x:c>
    </x:row>
    <x:row r="601" ht="19" customHeight="1">
      <x:c r="A601" s="2" t="str">
        <x:v>SIM-E2-MP-L8-R03</x:v>
      </x:c>
      <x:c r="B601" s="2" t="n">
        <x:v>2</x:v>
      </x:c>
      <x:c r="C601" s="2" t="str">
        <x:v>MP</x:v>
      </x:c>
      <x:c r="D601" s="2" t="str">
        <x:v>Myzus persicae</x:v>
      </x:c>
      <x:c r="E601" s="2" t="str">
        <x:v>L8</x:v>
      </x:c>
      <x:c r="F601" s="2" t="n">
        <x:v>3</x:v>
      </x:c>
      <x:c r="G601" s="2" t="n">
        <x:v>11</x:v>
      </x:c>
      <x:c r="H601" s="2" t="n">
        <x:f>G601+Supuestos!$C$15</x:f>
        <x:v>12</x:v>
      </x:c>
      <x:c r="I601" s="14" t="n">
        <x:f>E2_plantas!J16+G601</x:f>
        <x:v>46192</x:v>
      </x:c>
      <x:c r="J601" s="2" t="str">
        <x:v>adulta</x:v>
      </x:c>
      <x:c r="K601" s="2" t="n">
        <x:v>1</x:v>
      </x:c>
      <x:c r="L601" s="2" t="n">
        <x:v>0</x:v>
      </x:c>
      <x:c r="M601" s="2" t="n">
        <x:f>SUM(L$590:L601)</x:f>
        <x:v>0</x:v>
      </x:c>
      <x:c r="N601" s="2" t="n">
        <x:v>0</x:v>
      </x:c>
      <x:c r="O601" s="2" t="str">
        <x:v>seguimiento</x:v>
      </x:c>
      <x:c r="P601" s="2" t="n">
        <x:v>0</x:v>
      </x:c>
      <x:c r="Q601" s="2" t="str">
        <x:v>simulado_didactico</x:v>
      </x:c>
    </x:row>
    <x:row r="602" ht="19" customHeight="1">
      <x:c r="A602" s="2" t="str">
        <x:v>SIM-E2-MP-L8-R03</x:v>
      </x:c>
      <x:c r="B602" s="2" t="n">
        <x:v>2</x:v>
      </x:c>
      <x:c r="C602" s="2" t="str">
        <x:v>MP</x:v>
      </x:c>
      <x:c r="D602" s="2" t="str">
        <x:v>Myzus persicae</x:v>
      </x:c>
      <x:c r="E602" s="2" t="str">
        <x:v>L8</x:v>
      </x:c>
      <x:c r="F602" s="2" t="n">
        <x:v>3</x:v>
      </x:c>
      <x:c r="G602" s="2" t="n">
        <x:v>12</x:v>
      </x:c>
      <x:c r="H602" s="2" t="n">
        <x:f>G602+Supuestos!$C$15</x:f>
        <x:v>13</x:v>
      </x:c>
      <x:c r="I602" s="14" t="n">
        <x:f>E2_plantas!J16+G602</x:f>
        <x:v>46193</x:v>
      </x:c>
      <x:c r="J602" s="2" t="str">
        <x:v>adulta</x:v>
      </x:c>
      <x:c r="K602" s="2" t="n">
        <x:v>1</x:v>
      </x:c>
      <x:c r="L602" s="2" t="n">
        <x:v>1</x:v>
      </x:c>
      <x:c r="M602" s="2" t="n">
        <x:f>SUM(L$590:L602)</x:f>
        <x:v>1</x:v>
      </x:c>
      <x:c r="N602" s="2" t="n">
        <x:v>0</x:v>
      </x:c>
      <x:c r="O602" s="2" t="str">
        <x:v>seguimiento</x:v>
      </x:c>
      <x:c r="P602" s="2" t="n">
        <x:v>0</x:v>
      </x:c>
      <x:c r="Q602" s="2" t="str">
        <x:v>simulado_didactico</x:v>
      </x:c>
    </x:row>
    <x:row r="603" ht="19" customHeight="1">
      <x:c r="A603" s="2" t="str">
        <x:v>SIM-E2-MP-L8-R03</x:v>
      </x:c>
      <x:c r="B603" s="2" t="n">
        <x:v>2</x:v>
      </x:c>
      <x:c r="C603" s="2" t="str">
        <x:v>MP</x:v>
      </x:c>
      <x:c r="D603" s="2" t="str">
        <x:v>Myzus persicae</x:v>
      </x:c>
      <x:c r="E603" s="2" t="str">
        <x:v>L8</x:v>
      </x:c>
      <x:c r="F603" s="2" t="n">
        <x:v>3</x:v>
      </x:c>
      <x:c r="G603" s="2" t="n">
        <x:v>13</x:v>
      </x:c>
      <x:c r="H603" s="2" t="n">
        <x:f>G603+Supuestos!$C$15</x:f>
        <x:v>14</x:v>
      </x:c>
      <x:c r="I603" s="14" t="n">
        <x:f>E2_plantas!J16+G603</x:f>
        <x:v>46194</x:v>
      </x:c>
      <x:c r="J603" s="2" t="str">
        <x:v>adulta</x:v>
      </x:c>
      <x:c r="K603" s="2" t="n">
        <x:v>1</x:v>
      </x:c>
      <x:c r="L603" s="2" t="n">
        <x:v>3</x:v>
      </x:c>
      <x:c r="M603" s="2" t="n">
        <x:f>SUM(L$590:L603)</x:f>
        <x:v>4</x:v>
      </x:c>
      <x:c r="N603" s="2" t="n">
        <x:v>0</x:v>
      </x:c>
      <x:c r="O603" s="2" t="str">
        <x:v>seguimiento</x:v>
      </x:c>
      <x:c r="P603" s="2" t="n">
        <x:v>0</x:v>
      </x:c>
      <x:c r="Q603" s="2" t="str">
        <x:v>simulado_didactico</x:v>
      </x:c>
    </x:row>
    <x:row r="604" ht="19" customHeight="1">
      <x:c r="A604" s="2" t="str">
        <x:v>SIM-E2-MP-L8-R03</x:v>
      </x:c>
      <x:c r="B604" s="2" t="n">
        <x:v>2</x:v>
      </x:c>
      <x:c r="C604" s="2" t="str">
        <x:v>MP</x:v>
      </x:c>
      <x:c r="D604" s="2" t="str">
        <x:v>Myzus persicae</x:v>
      </x:c>
      <x:c r="E604" s="2" t="str">
        <x:v>L8</x:v>
      </x:c>
      <x:c r="F604" s="2" t="n">
        <x:v>3</x:v>
      </x:c>
      <x:c r="G604" s="2" t="n">
        <x:v>14</x:v>
      </x:c>
      <x:c r="H604" s="2" t="n">
        <x:f>G604+Supuestos!$C$15</x:f>
        <x:v>15</x:v>
      </x:c>
      <x:c r="I604" s="14" t="n">
        <x:f>E2_plantas!J16+G604</x:f>
        <x:v>46195</x:v>
      </x:c>
      <x:c r="J604" s="2" t="str">
        <x:v>adulta</x:v>
      </x:c>
      <x:c r="K604" s="2" t="n">
        <x:v>1</x:v>
      </x:c>
      <x:c r="L604" s="2" t="n">
        <x:v>2</x:v>
      </x:c>
      <x:c r="M604" s="2" t="n">
        <x:f>SUM(L$590:L604)</x:f>
        <x:v>6</x:v>
      </x:c>
      <x:c r="N604" s="2" t="n">
        <x:v>0</x:v>
      </x:c>
      <x:c r="O604" s="2" t="str">
        <x:v>seguimiento</x:v>
      </x:c>
      <x:c r="P604" s="2" t="n">
        <x:v>0</x:v>
      </x:c>
      <x:c r="Q604" s="2" t="str">
        <x:v>simulado_didactico</x:v>
      </x:c>
    </x:row>
    <x:row r="605" ht="19" customHeight="1">
      <x:c r="A605" s="2" t="str">
        <x:v>SIM-E2-MP-L8-R03</x:v>
      </x:c>
      <x:c r="B605" s="2" t="n">
        <x:v>2</x:v>
      </x:c>
      <x:c r="C605" s="2" t="str">
        <x:v>MP</x:v>
      </x:c>
      <x:c r="D605" s="2" t="str">
        <x:v>Myzus persicae</x:v>
      </x:c>
      <x:c r="E605" s="2" t="str">
        <x:v>L8</x:v>
      </x:c>
      <x:c r="F605" s="2" t="n">
        <x:v>3</x:v>
      </x:c>
      <x:c r="G605" s="2" t="n">
        <x:v>15</x:v>
      </x:c>
      <x:c r="H605" s="2" t="n">
        <x:f>G605+Supuestos!$C$15</x:f>
        <x:v>16</x:v>
      </x:c>
      <x:c r="I605" s="14" t="n">
        <x:f>E2_plantas!J16+G605</x:f>
        <x:v>46196</x:v>
      </x:c>
      <x:c r="J605" s="2" t="str">
        <x:v>adulta</x:v>
      </x:c>
      <x:c r="K605" s="2" t="n">
        <x:v>1</x:v>
      </x:c>
      <x:c r="L605" s="2" t="n">
        <x:v>3</x:v>
      </x:c>
      <x:c r="M605" s="2" t="n">
        <x:f>SUM(L$590:L605)</x:f>
        <x:v>9</x:v>
      </x:c>
      <x:c r="N605" s="2" t="n">
        <x:v>0</x:v>
      </x:c>
      <x:c r="O605" s="2" t="str">
        <x:v>seguimiento</x:v>
      </x:c>
      <x:c r="P605" s="2" t="n">
        <x:v>0</x:v>
      </x:c>
      <x:c r="Q605" s="2" t="str">
        <x:v>simulado_didactico</x:v>
      </x:c>
    </x:row>
    <x:row r="606" ht="19" customHeight="1">
      <x:c r="A606" s="2" t="str">
        <x:v>SIM-E2-MP-L8-R03</x:v>
      </x:c>
      <x:c r="B606" s="2" t="n">
        <x:v>2</x:v>
      </x:c>
      <x:c r="C606" s="2" t="str">
        <x:v>MP</x:v>
      </x:c>
      <x:c r="D606" s="2" t="str">
        <x:v>Myzus persicae</x:v>
      </x:c>
      <x:c r="E606" s="2" t="str">
        <x:v>L8</x:v>
      </x:c>
      <x:c r="F606" s="2" t="n">
        <x:v>3</x:v>
      </x:c>
      <x:c r="G606" s="2" t="n">
        <x:v>16</x:v>
      </x:c>
      <x:c r="H606" s="2" t="n">
        <x:f>G606+Supuestos!$C$15</x:f>
        <x:v>17</x:v>
      </x:c>
      <x:c r="I606" s="14" t="n">
        <x:f>E2_plantas!J16+G606</x:f>
        <x:v>46197</x:v>
      </x:c>
      <x:c r="J606" s="2" t="str">
        <x:v>adulta</x:v>
      </x:c>
      <x:c r="K606" s="2" t="n">
        <x:v>1</x:v>
      </x:c>
      <x:c r="L606" s="2" t="n">
        <x:v>5</x:v>
      </x:c>
      <x:c r="M606" s="2" t="n">
        <x:f>SUM(L$590:L606)</x:f>
        <x:v>14</x:v>
      </x:c>
      <x:c r="N606" s="2" t="n">
        <x:v>0</x:v>
      </x:c>
      <x:c r="O606" s="2" t="str">
        <x:v>seguimiento</x:v>
      </x:c>
      <x:c r="P606" s="2" t="n">
        <x:v>0</x:v>
      </x:c>
      <x:c r="Q606" s="2" t="str">
        <x:v>simulado_didactico</x:v>
      </x:c>
    </x:row>
    <x:row r="607" ht="19" customHeight="1">
      <x:c r="A607" s="2" t="str">
        <x:v>SIM-E2-MP-L8-R03</x:v>
      </x:c>
      <x:c r="B607" s="2" t="n">
        <x:v>2</x:v>
      </x:c>
      <x:c r="C607" s="2" t="str">
        <x:v>MP</x:v>
      </x:c>
      <x:c r="D607" s="2" t="str">
        <x:v>Myzus persicae</x:v>
      </x:c>
      <x:c r="E607" s="2" t="str">
        <x:v>L8</x:v>
      </x:c>
      <x:c r="F607" s="2" t="n">
        <x:v>3</x:v>
      </x:c>
      <x:c r="G607" s="2" t="n">
        <x:v>17</x:v>
      </x:c>
      <x:c r="H607" s="2" t="n">
        <x:f>G607+Supuestos!$C$15</x:f>
        <x:v>18</x:v>
      </x:c>
      <x:c r="I607" s="14" t="n">
        <x:f>E2_plantas!J16+G607</x:f>
        <x:v>46198</x:v>
      </x:c>
      <x:c r="J607" s="2" t="str">
        <x:v>adulta</x:v>
      </x:c>
      <x:c r="K607" s="2" t="n">
        <x:v>1</x:v>
      </x:c>
      <x:c r="L607" s="2" t="n">
        <x:v>4</x:v>
      </x:c>
      <x:c r="M607" s="2" t="n">
        <x:f>SUM(L$590:L607)</x:f>
        <x:v>18</x:v>
      </x:c>
      <x:c r="N607" s="2" t="n">
        <x:v>0</x:v>
      </x:c>
      <x:c r="O607" s="2" t="str">
        <x:v>seguimiento</x:v>
      </x:c>
      <x:c r="P607" s="2" t="n">
        <x:v>0</x:v>
      </x:c>
      <x:c r="Q607" s="2" t="str">
        <x:v>simulado_didactico</x:v>
      </x:c>
    </x:row>
    <x:row r="608" ht="19" customHeight="1">
      <x:c r="A608" s="2" t="str">
        <x:v>SIM-E2-MP-L8-R03</x:v>
      </x:c>
      <x:c r="B608" s="2" t="n">
        <x:v>2</x:v>
      </x:c>
      <x:c r="C608" s="2" t="str">
        <x:v>MP</x:v>
      </x:c>
      <x:c r="D608" s="2" t="str">
        <x:v>Myzus persicae</x:v>
      </x:c>
      <x:c r="E608" s="2" t="str">
        <x:v>L8</x:v>
      </x:c>
      <x:c r="F608" s="2" t="n">
        <x:v>3</x:v>
      </x:c>
      <x:c r="G608" s="2" t="n">
        <x:v>18</x:v>
      </x:c>
      <x:c r="H608" s="2" t="n">
        <x:f>G608+Supuestos!$C$15</x:f>
        <x:v>19</x:v>
      </x:c>
      <x:c r="I608" s="14" t="n">
        <x:f>E2_plantas!J16+G608</x:f>
        <x:v>46199</x:v>
      </x:c>
      <x:c r="J608" s="2" t="str">
        <x:v>adulta</x:v>
      </x:c>
      <x:c r="K608" s="2" t="n">
        <x:v>1</x:v>
      </x:c>
      <x:c r="L608" s="2" t="n">
        <x:v>2</x:v>
      </x:c>
      <x:c r="M608" s="2" t="n">
        <x:f>SUM(L$590:L608)</x:f>
        <x:v>20</x:v>
      </x:c>
      <x:c r="N608" s="2" t="n">
        <x:v>0</x:v>
      </x:c>
      <x:c r="O608" s="2" t="str">
        <x:v>seguimiento</x:v>
      </x:c>
      <x:c r="P608" s="2" t="n">
        <x:v>0</x:v>
      </x:c>
      <x:c r="Q608" s="2" t="str">
        <x:v>simulado_didactico</x:v>
      </x:c>
    </x:row>
    <x:row r="609" ht="19" customHeight="1">
      <x:c r="A609" s="2" t="str">
        <x:v>SIM-E2-MP-L8-R03</x:v>
      </x:c>
      <x:c r="B609" s="2" t="n">
        <x:v>2</x:v>
      </x:c>
      <x:c r="C609" s="2" t="str">
        <x:v>MP</x:v>
      </x:c>
      <x:c r="D609" s="2" t="str">
        <x:v>Myzus persicae</x:v>
      </x:c>
      <x:c r="E609" s="2" t="str">
        <x:v>L8</x:v>
      </x:c>
      <x:c r="F609" s="2" t="n">
        <x:v>3</x:v>
      </x:c>
      <x:c r="G609" s="2" t="n">
        <x:v>19</x:v>
      </x:c>
      <x:c r="H609" s="2" t="n">
        <x:f>G609+Supuestos!$C$15</x:f>
        <x:v>20</x:v>
      </x:c>
      <x:c r="I609" s="14" t="n">
        <x:f>E2_plantas!J16+G609</x:f>
        <x:v>46200</x:v>
      </x:c>
      <x:c r="J609" s="2" t="str">
        <x:v>adulta</x:v>
      </x:c>
      <x:c r="K609" s="2" t="n">
        <x:v>1</x:v>
      </x:c>
      <x:c r="L609" s="2" t="n">
        <x:v>9</x:v>
      </x:c>
      <x:c r="M609" s="2" t="n">
        <x:f>SUM(L$590:L609)</x:f>
        <x:v>29</x:v>
      </x:c>
      <x:c r="N609" s="2" t="n">
        <x:v>0</x:v>
      </x:c>
      <x:c r="O609" s="2" t="str">
        <x:v>seguimiento</x:v>
      </x:c>
      <x:c r="P609" s="2" t="n">
        <x:v>0</x:v>
      </x:c>
      <x:c r="Q609" s="2" t="str">
        <x:v>simulado_didactico</x:v>
      </x:c>
    </x:row>
    <x:row r="610" ht="19" customHeight="1">
      <x:c r="A610" s="2" t="str">
        <x:v>SIM-E2-MP-L8-R03</x:v>
      </x:c>
      <x:c r="B610" s="2" t="n">
        <x:v>2</x:v>
      </x:c>
      <x:c r="C610" s="2" t="str">
        <x:v>MP</x:v>
      </x:c>
      <x:c r="D610" s="2" t="str">
        <x:v>Myzus persicae</x:v>
      </x:c>
      <x:c r="E610" s="2" t="str">
        <x:v>L8</x:v>
      </x:c>
      <x:c r="F610" s="2" t="n">
        <x:v>3</x:v>
      </x:c>
      <x:c r="G610" s="2" t="n">
        <x:v>20</x:v>
      </x:c>
      <x:c r="H610" s="2" t="n">
        <x:f>G610+Supuestos!$C$15</x:f>
        <x:v>21</x:v>
      </x:c>
      <x:c r="I610" s="14" t="n">
        <x:f>E2_plantas!J16+G610</x:f>
        <x:v>46201</x:v>
      </x:c>
      <x:c r="J610" s="2" t="str">
        <x:v>adulta</x:v>
      </x:c>
      <x:c r="K610" s="2" t="n">
        <x:v>1</x:v>
      </x:c>
      <x:c r="L610" s="2" t="n">
        <x:v>7</x:v>
      </x:c>
      <x:c r="M610" s="2" t="n">
        <x:f>SUM(L$590:L610)</x:f>
        <x:v>36</x:v>
      </x:c>
      <x:c r="N610" s="2" t="n">
        <x:v>0</x:v>
      </x:c>
      <x:c r="O610" s="2" t="str">
        <x:v>seguimiento</x:v>
      </x:c>
      <x:c r="P610" s="2" t="n">
        <x:v>0</x:v>
      </x:c>
      <x:c r="Q610" s="2" t="str">
        <x:v>simulado_didactico</x:v>
      </x:c>
    </x:row>
    <x:row r="611" ht="19" customHeight="1">
      <x:c r="A611" s="2" t="str">
        <x:v>SIM-E2-MP-L8-R03</x:v>
      </x:c>
      <x:c r="B611" s="2" t="n">
        <x:v>2</x:v>
      </x:c>
      <x:c r="C611" s="2" t="str">
        <x:v>MP</x:v>
      </x:c>
      <x:c r="D611" s="2" t="str">
        <x:v>Myzus persicae</x:v>
      </x:c>
      <x:c r="E611" s="2" t="str">
        <x:v>L8</x:v>
      </x:c>
      <x:c r="F611" s="2" t="n">
        <x:v>3</x:v>
      </x:c>
      <x:c r="G611" s="2" t="n">
        <x:v>21</x:v>
      </x:c>
      <x:c r="H611" s="2" t="n">
        <x:f>G611+Supuestos!$C$15</x:f>
        <x:v>22</x:v>
      </x:c>
      <x:c r="I611" s="14" t="n">
        <x:f>E2_plantas!J16+G611</x:f>
        <x:v>46202</x:v>
      </x:c>
      <x:c r="J611" s="2" t="str">
        <x:v>adulta</x:v>
      </x:c>
      <x:c r="K611" s="2" t="n">
        <x:v>1</x:v>
      </x:c>
      <x:c r="L611" s="2" t="n">
        <x:v>1</x:v>
      </x:c>
      <x:c r="M611" s="2" t="n">
        <x:f>SUM(L$590:L611)</x:f>
        <x:v>37</x:v>
      </x:c>
      <x:c r="N611" s="2" t="n">
        <x:v>0</x:v>
      </x:c>
      <x:c r="O611" s="2" t="str">
        <x:v>seguimiento</x:v>
      </x:c>
      <x:c r="P611" s="2" t="n">
        <x:v>0</x:v>
      </x:c>
      <x:c r="Q611" s="2" t="str">
        <x:v>simulado_didactico</x:v>
      </x:c>
    </x:row>
    <x:row r="612" ht="19" customHeight="1">
      <x:c r="A612" s="2" t="str">
        <x:v>SIM-E2-MP-L8-R03</x:v>
      </x:c>
      <x:c r="B612" s="2" t="n">
        <x:v>2</x:v>
      </x:c>
      <x:c r="C612" s="2" t="str">
        <x:v>MP</x:v>
      </x:c>
      <x:c r="D612" s="2" t="str">
        <x:v>Myzus persicae</x:v>
      </x:c>
      <x:c r="E612" s="2" t="str">
        <x:v>L8</x:v>
      </x:c>
      <x:c r="F612" s="2" t="n">
        <x:v>3</x:v>
      </x:c>
      <x:c r="G612" s="2" t="n">
        <x:v>22</x:v>
      </x:c>
      <x:c r="H612" s="2" t="n">
        <x:f>G612+Supuestos!$C$15</x:f>
        <x:v>23</x:v>
      </x:c>
      <x:c r="I612" s="14" t="n">
        <x:f>E2_plantas!J16+G612</x:f>
        <x:v>46203</x:v>
      </x:c>
      <x:c r="J612" s="2" t="str">
        <x:v>adulta</x:v>
      </x:c>
      <x:c r="K612" s="2" t="n">
        <x:v>1</x:v>
      </x:c>
      <x:c r="L612" s="2" t="n">
        <x:v>1</x:v>
      </x:c>
      <x:c r="M612" s="2" t="n">
        <x:f>SUM(L$590:L612)</x:f>
        <x:v>38</x:v>
      </x:c>
      <x:c r="N612" s="2" t="n">
        <x:v>0</x:v>
      </x:c>
      <x:c r="O612" s="2" t="str">
        <x:v>seguimiento</x:v>
      </x:c>
      <x:c r="P612" s="2" t="n">
        <x:v>0</x:v>
      </x:c>
      <x:c r="Q612" s="2" t="str">
        <x:v>simulado_didactico</x:v>
      </x:c>
    </x:row>
    <x:row r="613" ht="19" customHeight="1">
      <x:c r="A613" s="2" t="str">
        <x:v>SIM-E2-MP-L8-R03</x:v>
      </x:c>
      <x:c r="B613" s="2" t="n">
        <x:v>2</x:v>
      </x:c>
      <x:c r="C613" s="2" t="str">
        <x:v>MP</x:v>
      </x:c>
      <x:c r="D613" s="2" t="str">
        <x:v>Myzus persicae</x:v>
      </x:c>
      <x:c r="E613" s="2" t="str">
        <x:v>L8</x:v>
      </x:c>
      <x:c r="F613" s="2" t="n">
        <x:v>3</x:v>
      </x:c>
      <x:c r="G613" s="2" t="n">
        <x:v>23</x:v>
      </x:c>
      <x:c r="H613" s="2" t="n">
        <x:f>G613+Supuestos!$C$15</x:f>
        <x:v>24</x:v>
      </x:c>
      <x:c r="I613" s="14" t="n">
        <x:f>E2_plantas!J16+G613</x:f>
        <x:v>46204</x:v>
      </x:c>
      <x:c r="J613" s="2" t="str">
        <x:v>adulta</x:v>
      </x:c>
      <x:c r="K613" s="2" t="n">
        <x:v>1</x:v>
      </x:c>
      <x:c r="L613" s="2" t="n">
        <x:v>3</x:v>
      </x:c>
      <x:c r="M613" s="2" t="n">
        <x:f>SUM(L$590:L613)</x:f>
        <x:v>41</x:v>
      </x:c>
      <x:c r="N613" s="2" t="n">
        <x:v>0</x:v>
      </x:c>
      <x:c r="O613" s="2" t="str">
        <x:v>seguimiento</x:v>
      </x:c>
      <x:c r="P613" s="2" t="n">
        <x:v>0</x:v>
      </x:c>
      <x:c r="Q613" s="2" t="str">
        <x:v>simulado_didactico</x:v>
      </x:c>
    </x:row>
    <x:row r="614" ht="19" customHeight="1">
      <x:c r="A614" s="2" t="str">
        <x:v>SIM-E2-MP-L8-R03</x:v>
      </x:c>
      <x:c r="B614" s="2" t="n">
        <x:v>2</x:v>
      </x:c>
      <x:c r="C614" s="2" t="str">
        <x:v>MP</x:v>
      </x:c>
      <x:c r="D614" s="2" t="str">
        <x:v>Myzus persicae</x:v>
      </x:c>
      <x:c r="E614" s="2" t="str">
        <x:v>L8</x:v>
      </x:c>
      <x:c r="F614" s="2" t="n">
        <x:v>3</x:v>
      </x:c>
      <x:c r="G614" s="2" t="n">
        <x:v>24</x:v>
      </x:c>
      <x:c r="H614" s="2" t="n">
        <x:f>G614+Supuestos!$C$15</x:f>
        <x:v>25</x:v>
      </x:c>
      <x:c r="I614" s="14" t="n">
        <x:f>E2_plantas!J16+G614</x:f>
        <x:v>46205</x:v>
      </x:c>
      <x:c r="J614" s="2" t="str">
        <x:v>adulta</x:v>
      </x:c>
      <x:c r="K614" s="2" t="n">
        <x:v>1</x:v>
      </x:c>
      <x:c r="L614" s="2" t="n">
        <x:v>3</x:v>
      </x:c>
      <x:c r="M614" s="2" t="n">
        <x:f>SUM(L$590:L614)</x:f>
        <x:v>44</x:v>
      </x:c>
      <x:c r="N614" s="2" t="n">
        <x:v>0</x:v>
      </x:c>
      <x:c r="O614" s="2" t="str">
        <x:v>seguimiento</x:v>
      </x:c>
      <x:c r="P614" s="2" t="n">
        <x:v>0</x:v>
      </x:c>
      <x:c r="Q614" s="2" t="str">
        <x:v>simulado_didactico</x:v>
      </x:c>
    </x:row>
    <x:row r="615" ht="19" customHeight="1">
      <x:c r="A615" s="2" t="str">
        <x:v>SIM-E2-MP-L8-R03</x:v>
      </x:c>
      <x:c r="B615" s="2" t="n">
        <x:v>2</x:v>
      </x:c>
      <x:c r="C615" s="2" t="str">
        <x:v>MP</x:v>
      </x:c>
      <x:c r="D615" s="2" t="str">
        <x:v>Myzus persicae</x:v>
      </x:c>
      <x:c r="E615" s="2" t="str">
        <x:v>L8</x:v>
      </x:c>
      <x:c r="F615" s="2" t="n">
        <x:v>3</x:v>
      </x:c>
      <x:c r="G615" s="2" t="n">
        <x:v>25</x:v>
      </x:c>
      <x:c r="H615" s="2" t="n">
        <x:f>G615+Supuestos!$C$15</x:f>
        <x:v>26</x:v>
      </x:c>
      <x:c r="I615" s="14" t="n">
        <x:f>E2_plantas!J16+G615</x:f>
        <x:v>46206</x:v>
      </x:c>
      <x:c r="J615" s="2" t="str">
        <x:v>adulta</x:v>
      </x:c>
      <x:c r="K615" s="2" t="n">
        <x:v>1</x:v>
      </x:c>
      <x:c r="L615" s="2" t="n">
        <x:v>4</x:v>
      </x:c>
      <x:c r="M615" s="2" t="n">
        <x:f>SUM(L$590:L615)</x:f>
        <x:v>48</x:v>
      </x:c>
      <x:c r="N615" s="2" t="n">
        <x:v>0</x:v>
      </x:c>
      <x:c r="O615" s="2" t="str">
        <x:v>seguimiento</x:v>
      </x:c>
      <x:c r="P615" s="2" t="n">
        <x:v>0</x:v>
      </x:c>
      <x:c r="Q615" s="2" t="str">
        <x:v>simulado_didactico</x:v>
      </x:c>
    </x:row>
    <x:row r="616" ht="19" customHeight="1">
      <x:c r="A616" s="2" t="str">
        <x:v>SIM-E2-MP-L8-R03</x:v>
      </x:c>
      <x:c r="B616" s="2" t="n">
        <x:v>2</x:v>
      </x:c>
      <x:c r="C616" s="2" t="str">
        <x:v>MP</x:v>
      </x:c>
      <x:c r="D616" s="2" t="str">
        <x:v>Myzus persicae</x:v>
      </x:c>
      <x:c r="E616" s="2" t="str">
        <x:v>L8</x:v>
      </x:c>
      <x:c r="F616" s="2" t="n">
        <x:v>3</x:v>
      </x:c>
      <x:c r="G616" s="2" t="n">
        <x:v>26</x:v>
      </x:c>
      <x:c r="H616" s="2" t="n">
        <x:f>G616+Supuestos!$C$15</x:f>
        <x:v>27</x:v>
      </x:c>
      <x:c r="I616" s="14" t="n">
        <x:f>E2_plantas!J16+G616</x:f>
        <x:v>46207</x:v>
      </x:c>
      <x:c r="J616" s="2" t="str">
        <x:v>adulta</x:v>
      </x:c>
      <x:c r="K616" s="2" t="n">
        <x:v>1</x:v>
      </x:c>
      <x:c r="L616" s="2" t="n">
        <x:v>1</x:v>
      </x:c>
      <x:c r="M616" s="2" t="n">
        <x:f>SUM(L$590:L616)</x:f>
        <x:v>49</x:v>
      </x:c>
      <x:c r="N616" s="2" t="n">
        <x:v>0</x:v>
      </x:c>
      <x:c r="O616" s="2" t="str">
        <x:v>seguimiento</x:v>
      </x:c>
      <x:c r="P616" s="2" t="n">
        <x:v>0</x:v>
      </x:c>
      <x:c r="Q616" s="2" t="str">
        <x:v>simulado_didactico</x:v>
      </x:c>
    </x:row>
    <x:row r="617" ht="19" customHeight="1">
      <x:c r="A617" s="2" t="str">
        <x:v>SIM-E2-MP-L8-R03</x:v>
      </x:c>
      <x:c r="B617" s="2" t="n">
        <x:v>2</x:v>
      </x:c>
      <x:c r="C617" s="2" t="str">
        <x:v>MP</x:v>
      </x:c>
      <x:c r="D617" s="2" t="str">
        <x:v>Myzus persicae</x:v>
      </x:c>
      <x:c r="E617" s="2" t="str">
        <x:v>L8</x:v>
      </x:c>
      <x:c r="F617" s="2" t="n">
        <x:v>3</x:v>
      </x:c>
      <x:c r="G617" s="2" t="n">
        <x:v>27</x:v>
      </x:c>
      <x:c r="H617" s="2" t="n">
        <x:f>G617+Supuestos!$C$15</x:f>
        <x:v>28</x:v>
      </x:c>
      <x:c r="I617" s="14" t="n">
        <x:f>E2_plantas!J16+G617</x:f>
        <x:v>46208</x:v>
      </x:c>
      <x:c r="J617" s="2" t="str">
        <x:v>adulta</x:v>
      </x:c>
      <x:c r="K617" s="2" t="n">
        <x:v>1</x:v>
      </x:c>
      <x:c r="L617" s="2" t="n">
        <x:v>0</x:v>
      </x:c>
      <x:c r="M617" s="2" t="n">
        <x:f>SUM(L$590:L617)</x:f>
        <x:v>49</x:v>
      </x:c>
      <x:c r="N617" s="2" t="n">
        <x:v>0</x:v>
      </x:c>
      <x:c r="O617" s="2" t="str">
        <x:v>seguimiento</x:v>
      </x:c>
      <x:c r="P617" s="2" t="n">
        <x:v>0</x:v>
      </x:c>
      <x:c r="Q617" s="2" t="str">
        <x:v>simulado_didactico</x:v>
      </x:c>
    </x:row>
    <x:row r="618" ht="19" customHeight="1">
      <x:c r="A618" s="2" t="str">
        <x:v>SIM-E2-MP-L8-R03</x:v>
      </x:c>
      <x:c r="B618" s="2" t="n">
        <x:v>2</x:v>
      </x:c>
      <x:c r="C618" s="2" t="str">
        <x:v>MP</x:v>
      </x:c>
      <x:c r="D618" s="2" t="str">
        <x:v>Myzus persicae</x:v>
      </x:c>
      <x:c r="E618" s="2" t="str">
        <x:v>L8</x:v>
      </x:c>
      <x:c r="F618" s="2" t="n">
        <x:v>3</x:v>
      </x:c>
      <x:c r="G618" s="2" t="n">
        <x:v>28</x:v>
      </x:c>
      <x:c r="H618" s="2" t="n">
        <x:f>G618+Supuestos!$C$15</x:f>
        <x:v>29</x:v>
      </x:c>
      <x:c r="I618" s="14" t="n">
        <x:f>E2_plantas!J16+G618</x:f>
        <x:v>46209</x:v>
      </x:c>
      <x:c r="J618" s="2" t="str">
        <x:v>adulta</x:v>
      </x:c>
      <x:c r="K618" s="2" t="n">
        <x:v>1</x:v>
      </x:c>
      <x:c r="L618" s="2" t="n">
        <x:v>0</x:v>
      </x:c>
      <x:c r="M618" s="2" t="n">
        <x:f>SUM(L$590:L618)</x:f>
        <x:v>49</x:v>
      </x:c>
      <x:c r="N618" s="2" t="n">
        <x:v>0</x:v>
      </x:c>
      <x:c r="O618" s="2" t="str">
        <x:v>seguimiento</x:v>
      </x:c>
      <x:c r="P618" s="2" t="n">
        <x:v>0</x:v>
      </x:c>
      <x:c r="Q618" s="2" t="str">
        <x:v>simulado_didactico</x:v>
      </x:c>
    </x:row>
    <x:row r="619" ht="19" customHeight="1">
      <x:c r="A619" s="2" t="str">
        <x:v>SIM-E2-MP-L8-R03</x:v>
      </x:c>
      <x:c r="B619" s="2" t="n">
        <x:v>2</x:v>
      </x:c>
      <x:c r="C619" s="2" t="str">
        <x:v>MP</x:v>
      </x:c>
      <x:c r="D619" s="2" t="str">
        <x:v>Myzus persicae</x:v>
      </x:c>
      <x:c r="E619" s="2" t="str">
        <x:v>L8</x:v>
      </x:c>
      <x:c r="F619" s="2" t="n">
        <x:v>3</x:v>
      </x:c>
      <x:c r="G619" s="2" t="n">
        <x:v>29</x:v>
      </x:c>
      <x:c r="H619" s="2" t="n">
        <x:f>G619+Supuestos!$C$15</x:f>
        <x:v>30</x:v>
      </x:c>
      <x:c r="I619" s="14" t="n">
        <x:f>E2_plantas!J16+G619</x:f>
        <x:v>46210</x:v>
      </x:c>
      <x:c r="J619" s="2" t="str">
        <x:v>adulta</x:v>
      </x:c>
      <x:c r="K619" s="2" t="n">
        <x:v>1</x:v>
      </x:c>
      <x:c r="L619" s="2" t="n">
        <x:v>0</x:v>
      </x:c>
      <x:c r="M619" s="2" t="n">
        <x:f>SUM(L$590:L619)</x:f>
        <x:v>49</x:v>
      </x:c>
      <x:c r="N619" s="2" t="n">
        <x:v>0</x:v>
      </x:c>
      <x:c r="O619" s="2" t="str">
        <x:v>seguimiento</x:v>
      </x:c>
      <x:c r="P619" s="2" t="n">
        <x:v>0</x:v>
      </x:c>
      <x:c r="Q619" s="2" t="str">
        <x:v>simulado_didactico</x:v>
      </x:c>
    </x:row>
    <x:row r="620" ht="19" customHeight="1">
      <x:c r="A620" s="2" t="str">
        <x:v>SIM-E2-MP-L8-R03</x:v>
      </x:c>
      <x:c r="B620" s="2" t="n">
        <x:v>2</x:v>
      </x:c>
      <x:c r="C620" s="2" t="str">
        <x:v>MP</x:v>
      </x:c>
      <x:c r="D620" s="2" t="str">
        <x:v>Myzus persicae</x:v>
      </x:c>
      <x:c r="E620" s="2" t="str">
        <x:v>L8</x:v>
      </x:c>
      <x:c r="F620" s="2" t="n">
        <x:v>3</x:v>
      </x:c>
      <x:c r="G620" s="2" t="n">
        <x:v>30</x:v>
      </x:c>
      <x:c r="H620" s="2" t="n">
        <x:f>G620+Supuestos!$C$15</x:f>
        <x:v>31</x:v>
      </x:c>
      <x:c r="I620" s="14" t="n">
        <x:f>E2_plantas!J16+G620</x:f>
        <x:v>46211</x:v>
      </x:c>
      <x:c r="J620" s="2" t="str">
        <x:v>muerta</x:v>
      </x:c>
      <x:c r="K620" s="2" t="n">
        <x:v>0</x:v>
      </x:c>
      <x:c r="L620" s="2" t="n">
        <x:v>0</x:v>
      </x:c>
      <x:c r="M620" s="2" t="n">
        <x:f>SUM(L$590:L620)</x:f>
        <x:v>49</x:v>
      </x:c>
      <x:c r="N620" s="2" t="n">
        <x:v>1</x:v>
      </x:c>
      <x:c r="O620" s="2" t="str">
        <x:v>muerte</x:v>
      </x:c>
      <x:c r="P620" s="2" t="n">
        <x:v>0</x:v>
      </x:c>
      <x:c r="Q620" s="2" t="str">
        <x:v>simulado_didactico</x:v>
      </x:c>
    </x:row>
    <x:row r="621" ht="19" customHeight="1">
      <x:c r="A621" s="2" t="str">
        <x:v>SIM-E2-MP-L8-R03</x:v>
      </x:c>
      <x:c r="B621" s="2" t="n">
        <x:v>2</x:v>
      </x:c>
      <x:c r="C621" s="2" t="str">
        <x:v>MP</x:v>
      </x:c>
      <x:c r="D621" s="2" t="str">
        <x:v>Myzus persicae</x:v>
      </x:c>
      <x:c r="E621" s="2" t="str">
        <x:v>L8</x:v>
      </x:c>
      <x:c r="F621" s="2" t="n">
        <x:v>3</x:v>
      </x:c>
      <x:c r="G621" s="2" t="n">
        <x:v>31</x:v>
      </x:c>
      <x:c r="H621" s="2" t="n">
        <x:f>G621+Supuestos!$C$15</x:f>
        <x:v>32</x:v>
      </x:c>
      <x:c r="I621" s="14" t="n">
        <x:f>E2_plantas!J16+G621</x:f>
        <x:v>46212</x:v>
      </x:c>
      <x:c r="J621" s="2" t="str">
        <x:v>muerta</x:v>
      </x:c>
      <x:c r="K621" s="2" t="n">
        <x:v>0</x:v>
      </x:c>
      <x:c r="L621" s="2" t="n">
        <x:v>0</x:v>
      </x:c>
      <x:c r="M621" s="2" t="n">
        <x:f>SUM(L$590:L621)</x:f>
        <x:v>49</x:v>
      </x:c>
      <x:c r="N621" s="2" t="n">
        <x:v>0</x:v>
      </x:c>
      <x:c r="O621" s="2" t="str">
        <x:v>relleno_postmuerte</x:v>
      </x:c>
      <x:c r="P621" s="2" t="n">
        <x:v>0</x:v>
      </x:c>
      <x:c r="Q621" s="2" t="str">
        <x:v>simulado_didactico</x:v>
      </x:c>
    </x:row>
    <x:row r="622" ht="19" customHeight="1">
      <x:c r="A622" s="2" t="str">
        <x:v>SIM-E2-MP-L8-R03</x:v>
      </x:c>
      <x:c r="B622" s="2" t="n">
        <x:v>2</x:v>
      </x:c>
      <x:c r="C622" s="2" t="str">
        <x:v>MP</x:v>
      </x:c>
      <x:c r="D622" s="2" t="str">
        <x:v>Myzus persicae</x:v>
      </x:c>
      <x:c r="E622" s="2" t="str">
        <x:v>L8</x:v>
      </x:c>
      <x:c r="F622" s="2" t="n">
        <x:v>3</x:v>
      </x:c>
      <x:c r="G622" s="2" t="n">
        <x:v>32</x:v>
      </x:c>
      <x:c r="H622" s="2" t="n">
        <x:f>G622+Supuestos!$C$15</x:f>
        <x:v>33</x:v>
      </x:c>
      <x:c r="I622" s="14" t="n">
        <x:f>E2_plantas!J16+G622</x:f>
        <x:v>46213</x:v>
      </x:c>
      <x:c r="J622" s="2" t="str">
        <x:v>muerta</x:v>
      </x:c>
      <x:c r="K622" s="2" t="n">
        <x:v>0</x:v>
      </x:c>
      <x:c r="L622" s="2" t="n">
        <x:v>0</x:v>
      </x:c>
      <x:c r="M622" s="2" t="n">
        <x:f>SUM(L$590:L622)</x:f>
        <x:v>49</x:v>
      </x:c>
      <x:c r="N622" s="2" t="n">
        <x:v>0</x:v>
      </x:c>
      <x:c r="O622" s="2" t="str">
        <x:v>relleno_postmuerte</x:v>
      </x:c>
      <x:c r="P622" s="2" t="n">
        <x:v>0</x:v>
      </x:c>
      <x:c r="Q622" s="2" t="str">
        <x:v>simulado_didactico</x:v>
      </x:c>
    </x:row>
    <x:row r="623" ht="19" customHeight="1">
      <x:c r="A623" s="2" t="str">
        <x:v>SIM-E2-MP-L8-R03</x:v>
      </x:c>
      <x:c r="B623" s="2" t="n">
        <x:v>2</x:v>
      </x:c>
      <x:c r="C623" s="2" t="str">
        <x:v>MP</x:v>
      </x:c>
      <x:c r="D623" s="2" t="str">
        <x:v>Myzus persicae</x:v>
      </x:c>
      <x:c r="E623" s="2" t="str">
        <x:v>L8</x:v>
      </x:c>
      <x:c r="F623" s="2" t="n">
        <x:v>3</x:v>
      </x:c>
      <x:c r="G623" s="2" t="n">
        <x:v>33</x:v>
      </x:c>
      <x:c r="H623" s="2" t="n">
        <x:f>G623+Supuestos!$C$15</x:f>
        <x:v>34</x:v>
      </x:c>
      <x:c r="I623" s="14" t="n">
        <x:f>E2_plantas!J16+G623</x:f>
        <x:v>46214</x:v>
      </x:c>
      <x:c r="J623" s="2" t="str">
        <x:v>muerta</x:v>
      </x:c>
      <x:c r="K623" s="2" t="n">
        <x:v>0</x:v>
      </x:c>
      <x:c r="L623" s="2" t="n">
        <x:v>0</x:v>
      </x:c>
      <x:c r="M623" s="2" t="n">
        <x:f>SUM(L$590:L623)</x:f>
        <x:v>49</x:v>
      </x:c>
      <x:c r="N623" s="2" t="n">
        <x:v>0</x:v>
      </x:c>
      <x:c r="O623" s="2" t="str">
        <x:v>relleno_postmuerte</x:v>
      </x:c>
      <x:c r="P623" s="2" t="n">
        <x:v>0</x:v>
      </x:c>
      <x:c r="Q623" s="2" t="str">
        <x:v>simulado_didactico</x:v>
      </x:c>
    </x:row>
    <x:row r="624" ht="19" customHeight="1">
      <x:c r="A624" s="2" t="str">
        <x:v>SIM-E2-MP-L8-R03</x:v>
      </x:c>
      <x:c r="B624" s="2" t="n">
        <x:v>2</x:v>
      </x:c>
      <x:c r="C624" s="2" t="str">
        <x:v>MP</x:v>
      </x:c>
      <x:c r="D624" s="2" t="str">
        <x:v>Myzus persicae</x:v>
      </x:c>
      <x:c r="E624" s="2" t="str">
        <x:v>L8</x:v>
      </x:c>
      <x:c r="F624" s="2" t="n">
        <x:v>3</x:v>
      </x:c>
      <x:c r="G624" s="2" t="n">
        <x:v>34</x:v>
      </x:c>
      <x:c r="H624" s="2" t="n">
        <x:f>G624+Supuestos!$C$15</x:f>
        <x:v>35</x:v>
      </x:c>
      <x:c r="I624" s="14" t="n">
        <x:f>E2_plantas!J16+G624</x:f>
        <x:v>46215</x:v>
      </x:c>
      <x:c r="J624" s="2" t="str">
        <x:v>muerta</x:v>
      </x:c>
      <x:c r="K624" s="2" t="n">
        <x:v>0</x:v>
      </x:c>
      <x:c r="L624" s="2" t="n">
        <x:v>0</x:v>
      </x:c>
      <x:c r="M624" s="2" t="n">
        <x:f>SUM(L$590:L624)</x:f>
        <x:v>49</x:v>
      </x:c>
      <x:c r="N624" s="2" t="n">
        <x:v>0</x:v>
      </x:c>
      <x:c r="O624" s="2" t="str">
        <x:v>relleno_postmuerte</x:v>
      </x:c>
      <x:c r="P624" s="2" t="n">
        <x:v>0</x:v>
      </x:c>
      <x:c r="Q624" s="2" t="str">
        <x:v>simulado_didactico</x:v>
      </x:c>
    </x:row>
    <x:row r="625" ht="19" customHeight="1">
      <x:c r="A625" s="2" t="str">
        <x:v>SIM-E2-MP-L8-R03</x:v>
      </x:c>
      <x:c r="B625" s="2" t="n">
        <x:v>2</x:v>
      </x:c>
      <x:c r="C625" s="2" t="str">
        <x:v>MP</x:v>
      </x:c>
      <x:c r="D625" s="2" t="str">
        <x:v>Myzus persicae</x:v>
      </x:c>
      <x:c r="E625" s="2" t="str">
        <x:v>L8</x:v>
      </x:c>
      <x:c r="F625" s="2" t="n">
        <x:v>3</x:v>
      </x:c>
      <x:c r="G625" s="2" t="n">
        <x:v>35</x:v>
      </x:c>
      <x:c r="H625" s="2" t="n">
        <x:f>G625+Supuestos!$C$15</x:f>
        <x:v>36</x:v>
      </x:c>
      <x:c r="I625" s="14" t="n">
        <x:f>E2_plantas!J16+G625</x:f>
        <x:v>46216</x:v>
      </x:c>
      <x:c r="J625" s="2" t="str">
        <x:v>muerta</x:v>
      </x:c>
      <x:c r="K625" s="2" t="n">
        <x:v>0</x:v>
      </x:c>
      <x:c r="L625" s="2" t="n">
        <x:v>0</x:v>
      </x:c>
      <x:c r="M625" s="2" t="n">
        <x:f>SUM(L$590:L625)</x:f>
        <x:v>49</x:v>
      </x:c>
      <x:c r="N625" s="2" t="n">
        <x:v>0</x:v>
      </x:c>
      <x:c r="O625" s="2" t="str">
        <x:v>relleno_postmuerte</x:v>
      </x:c>
      <x:c r="P625" s="2" t="n">
        <x:v>0</x:v>
      </x:c>
      <x:c r="Q625" s="2" t="str">
        <x:v>simulado_didactico</x:v>
      </x:c>
    </x:row>
    <x:row r="626" ht="19" customHeight="1">
      <x:c r="A626" s="2" t="str">
        <x:v>SIM-E2-MP-L8-R03</x:v>
      </x:c>
      <x:c r="B626" s="2" t="n">
        <x:v>2</x:v>
      </x:c>
      <x:c r="C626" s="2" t="str">
        <x:v>MP</x:v>
      </x:c>
      <x:c r="D626" s="2" t="str">
        <x:v>Myzus persicae</x:v>
      </x:c>
      <x:c r="E626" s="2" t="str">
        <x:v>L8</x:v>
      </x:c>
      <x:c r="F626" s="2" t="n">
        <x:v>3</x:v>
      </x:c>
      <x:c r="G626" s="2" t="n">
        <x:v>36</x:v>
      </x:c>
      <x:c r="H626" s="2" t="n">
        <x:f>G626+Supuestos!$C$15</x:f>
        <x:v>37</x:v>
      </x:c>
      <x:c r="I626" s="14" t="n">
        <x:f>E2_plantas!J16+G626</x:f>
        <x:v>46217</x:v>
      </x:c>
      <x:c r="J626" s="2" t="str">
        <x:v>muerta</x:v>
      </x:c>
      <x:c r="K626" s="2" t="n">
        <x:v>0</x:v>
      </x:c>
      <x:c r="L626" s="2" t="n">
        <x:v>0</x:v>
      </x:c>
      <x:c r="M626" s="2" t="n">
        <x:f>SUM(L$590:L626)</x:f>
        <x:v>49</x:v>
      </x:c>
      <x:c r="N626" s="2" t="n">
        <x:v>0</x:v>
      </x:c>
      <x:c r="O626" s="2" t="str">
        <x:v>relleno_postmuerte</x:v>
      </x:c>
      <x:c r="P626" s="2" t="n">
        <x:v>0</x:v>
      </x:c>
      <x:c r="Q626" s="2" t="str">
        <x:v>simulado_didactico</x:v>
      </x:c>
    </x:row>
    <x:row r="627" ht="19" customHeight="1">
      <x:c r="A627" s="2" t="str">
        <x:v>SIM-E2-MP-L8-R03</x:v>
      </x:c>
      <x:c r="B627" s="2" t="n">
        <x:v>2</x:v>
      </x:c>
      <x:c r="C627" s="2" t="str">
        <x:v>MP</x:v>
      </x:c>
      <x:c r="D627" s="2" t="str">
        <x:v>Myzus persicae</x:v>
      </x:c>
      <x:c r="E627" s="2" t="str">
        <x:v>L8</x:v>
      </x:c>
      <x:c r="F627" s="2" t="n">
        <x:v>3</x:v>
      </x:c>
      <x:c r="G627" s="2" t="n">
        <x:v>37</x:v>
      </x:c>
      <x:c r="H627" s="2" t="n">
        <x:f>G627+Supuestos!$C$15</x:f>
        <x:v>38</x:v>
      </x:c>
      <x:c r="I627" s="14" t="n">
        <x:f>E2_plantas!J16+G627</x:f>
        <x:v>46218</x:v>
      </x:c>
      <x:c r="J627" s="2" t="str">
        <x:v>muerta</x:v>
      </x:c>
      <x:c r="K627" s="2" t="n">
        <x:v>0</x:v>
      </x:c>
      <x:c r="L627" s="2" t="n">
        <x:v>0</x:v>
      </x:c>
      <x:c r="M627" s="2" t="n">
        <x:f>SUM(L$590:L627)</x:f>
        <x:v>49</x:v>
      </x:c>
      <x:c r="N627" s="2" t="n">
        <x:v>0</x:v>
      </x:c>
      <x:c r="O627" s="2" t="str">
        <x:v>relleno_postmuerte</x:v>
      </x:c>
      <x:c r="P627" s="2" t="n">
        <x:v>0</x:v>
      </x:c>
      <x:c r="Q627" s="2" t="str">
        <x:v>simulado_didactico</x:v>
      </x:c>
    </x:row>
    <x:row r="628" ht="19" customHeight="1">
      <x:c r="A628" s="2" t="str">
        <x:v>SIM-E2-MP-L8-R03</x:v>
      </x:c>
      <x:c r="B628" s="2" t="n">
        <x:v>2</x:v>
      </x:c>
      <x:c r="C628" s="2" t="str">
        <x:v>MP</x:v>
      </x:c>
      <x:c r="D628" s="2" t="str">
        <x:v>Myzus persicae</x:v>
      </x:c>
      <x:c r="E628" s="2" t="str">
        <x:v>L8</x:v>
      </x:c>
      <x:c r="F628" s="2" t="n">
        <x:v>3</x:v>
      </x:c>
      <x:c r="G628" s="2" t="n">
        <x:v>38</x:v>
      </x:c>
      <x:c r="H628" s="2" t="n">
        <x:f>G628+Supuestos!$C$15</x:f>
        <x:v>39</x:v>
      </x:c>
      <x:c r="I628" s="14" t="n">
        <x:f>E2_plantas!J16+G628</x:f>
        <x:v>46219</x:v>
      </x:c>
      <x:c r="J628" s="2" t="str">
        <x:v>muerta</x:v>
      </x:c>
      <x:c r="K628" s="2" t="n">
        <x:v>0</x:v>
      </x:c>
      <x:c r="L628" s="2" t="n">
        <x:v>0</x:v>
      </x:c>
      <x:c r="M628" s="2" t="n">
        <x:f>SUM(L$590:L628)</x:f>
        <x:v>49</x:v>
      </x:c>
      <x:c r="N628" s="2" t="n">
        <x:v>0</x:v>
      </x:c>
      <x:c r="O628" s="2" t="str">
        <x:v>relleno_postmuerte</x:v>
      </x:c>
      <x:c r="P628" s="2" t="n">
        <x:v>0</x:v>
      </x:c>
      <x:c r="Q628" s="2" t="str">
        <x:v>simulado_didactico</x:v>
      </x:c>
    </x:row>
    <x:row r="629" ht="19" customHeight="1">
      <x:c r="A629" s="2" t="str">
        <x:v>SIM-E2-MP-L8-R03</x:v>
      </x:c>
      <x:c r="B629" s="2" t="n">
        <x:v>2</x:v>
      </x:c>
      <x:c r="C629" s="2" t="str">
        <x:v>MP</x:v>
      </x:c>
      <x:c r="D629" s="2" t="str">
        <x:v>Myzus persicae</x:v>
      </x:c>
      <x:c r="E629" s="2" t="str">
        <x:v>L8</x:v>
      </x:c>
      <x:c r="F629" s="2" t="n">
        <x:v>3</x:v>
      </x:c>
      <x:c r="G629" s="2" t="n">
        <x:v>39</x:v>
      </x:c>
      <x:c r="H629" s="2" t="n">
        <x:f>G629+Supuestos!$C$15</x:f>
        <x:v>40</x:v>
      </x:c>
      <x:c r="I629" s="14" t="n">
        <x:f>E2_plantas!J16+G629</x:f>
        <x:v>46220</x:v>
      </x:c>
      <x:c r="J629" s="2" t="str">
        <x:v>muerta</x:v>
      </x:c>
      <x:c r="K629" s="2" t="n">
        <x:v>0</x:v>
      </x:c>
      <x:c r="L629" s="2" t="n">
        <x:v>0</x:v>
      </x:c>
      <x:c r="M629" s="2" t="n">
        <x:f>SUM(L$590:L629)</x:f>
        <x:v>49</x:v>
      </x:c>
      <x:c r="N629" s="2" t="n">
        <x:v>0</x:v>
      </x:c>
      <x:c r="O629" s="2" t="str">
        <x:v>relleno_postmuerte</x:v>
      </x:c>
      <x:c r="P629" s="2" t="n">
        <x:v>0</x:v>
      </x:c>
      <x:c r="Q629" s="2" t="str">
        <x:v>simulado_didactico</x:v>
      </x:c>
    </x:row>
    <x:row r="630" ht="19" customHeight="1">
      <x:c r="A630" s="2" t="str">
        <x:v>SIM-E2-MP-L8-R03</x:v>
      </x:c>
      <x:c r="B630" s="2" t="n">
        <x:v>2</x:v>
      </x:c>
      <x:c r="C630" s="2" t="str">
        <x:v>MP</x:v>
      </x:c>
      <x:c r="D630" s="2" t="str">
        <x:v>Myzus persicae</x:v>
      </x:c>
      <x:c r="E630" s="2" t="str">
        <x:v>L8</x:v>
      </x:c>
      <x:c r="F630" s="2" t="n">
        <x:v>3</x:v>
      </x:c>
      <x:c r="G630" s="2" t="n">
        <x:v>40</x:v>
      </x:c>
      <x:c r="H630" s="2" t="n">
        <x:f>G630+Supuestos!$C$15</x:f>
        <x:v>41</x:v>
      </x:c>
      <x:c r="I630" s="14" t="n">
        <x:f>E2_plantas!J16+G630</x:f>
        <x:v>46221</x:v>
      </x:c>
      <x:c r="J630" s="2" t="str">
        <x:v>muerta</x:v>
      </x:c>
      <x:c r="K630" s="2" t="n">
        <x:v>0</x:v>
      </x:c>
      <x:c r="L630" s="2" t="n">
        <x:v>0</x:v>
      </x:c>
      <x:c r="M630" s="2" t="n">
        <x:f>SUM(L$590:L630)</x:f>
        <x:v>49</x:v>
      </x:c>
      <x:c r="N630" s="2" t="n">
        <x:v>0</x:v>
      </x:c>
      <x:c r="O630" s="2" t="str">
        <x:v>relleno_postmuerte</x:v>
      </x:c>
      <x:c r="P630" s="2" t="n">
        <x:v>0</x:v>
      </x:c>
      <x:c r="Q630" s="2" t="str">
        <x:v>simulado_didactico</x:v>
      </x:c>
    </x:row>
    <x:row r="631" ht="19" customHeight="1">
      <x:c r="A631" s="2" t="str">
        <x:v>SIM-E2-MP-L8-R03</x:v>
      </x:c>
      <x:c r="B631" s="2" t="n">
        <x:v>2</x:v>
      </x:c>
      <x:c r="C631" s="2" t="str">
        <x:v>MP</x:v>
      </x:c>
      <x:c r="D631" s="2" t="str">
        <x:v>Myzus persicae</x:v>
      </x:c>
      <x:c r="E631" s="2" t="str">
        <x:v>L8</x:v>
      </x:c>
      <x:c r="F631" s="2" t="n">
        <x:v>3</x:v>
      </x:c>
      <x:c r="G631" s="2" t="n">
        <x:v>41</x:v>
      </x:c>
      <x:c r="H631" s="2" t="n">
        <x:f>G631+Supuestos!$C$15</x:f>
        <x:v>42</x:v>
      </x:c>
      <x:c r="I631" s="14" t="n">
        <x:f>E2_plantas!J16+G631</x:f>
        <x:v>46222</x:v>
      </x:c>
      <x:c r="J631" s="2" t="str">
        <x:v>muerta</x:v>
      </x:c>
      <x:c r="K631" s="2" t="n">
        <x:v>0</x:v>
      </x:c>
      <x:c r="L631" s="2" t="n">
        <x:v>0</x:v>
      </x:c>
      <x:c r="M631" s="2" t="n">
        <x:f>SUM(L$590:L631)</x:f>
        <x:v>49</x:v>
      </x:c>
      <x:c r="N631" s="2" t="n">
        <x:v>0</x:v>
      </x:c>
      <x:c r="O631" s="2" t="str">
        <x:v>relleno_postmuerte</x:v>
      </x:c>
      <x:c r="P631" s="2" t="n">
        <x:v>0</x:v>
      </x:c>
      <x:c r="Q631" s="2" t="str">
        <x:v>simulado_didactico</x:v>
      </x:c>
    </x:row>
    <x:row r="632" ht="19" customHeight="1">
      <x:c r="A632" s="2" t="str">
        <x:v>SIM-E2-MP-L8-R04</x:v>
      </x:c>
      <x:c r="B632" s="2" t="n">
        <x:v>2</x:v>
      </x:c>
      <x:c r="C632" s="2" t="str">
        <x:v>MP</x:v>
      </x:c>
      <x:c r="D632" s="2" t="str">
        <x:v>Myzus persicae</x:v>
      </x:c>
      <x:c r="E632" s="2" t="str">
        <x:v>L8</x:v>
      </x:c>
      <x:c r="F632" s="2" t="n">
        <x:v>4</x:v>
      </x:c>
      <x:c r="G632" s="2" t="n">
        <x:v>0</x:v>
      </x:c>
      <x:c r="H632" s="2" t="n">
        <x:f>G632+Supuestos!$C$15</x:f>
        <x:v>1</x:v>
      </x:c>
      <x:c r="I632" s="14" t="n">
        <x:f>E2_plantas!J17+G632</x:f>
        <x:v>46181</x:v>
      </x:c>
      <x:c r="J632" s="2" t="str">
        <x:v>N1</x:v>
      </x:c>
      <x:c r="K632" s="2" t="n">
        <x:v>1</x:v>
      </x:c>
      <x:c r="L632" s="2" t="n">
        <x:v>0</x:v>
      </x:c>
      <x:c r="M632" s="2" t="n">
        <x:f>SUM(L$632:L632)</x:f>
        <x:v>0</x:v>
      </x:c>
      <x:c r="N632" s="2" t="n">
        <x:v>0</x:v>
      </x:c>
      <x:c r="O632" s="2" t="str">
        <x:v>seguimiento</x:v>
      </x:c>
      <x:c r="P632" s="2" t="n">
        <x:v>0</x:v>
      </x:c>
      <x:c r="Q632" s="2" t="str">
        <x:v>simulado_didactico</x:v>
      </x:c>
    </x:row>
    <x:row r="633" ht="19" customHeight="1">
      <x:c r="A633" s="2" t="str">
        <x:v>SIM-E2-MP-L8-R04</x:v>
      </x:c>
      <x:c r="B633" s="2" t="n">
        <x:v>2</x:v>
      </x:c>
      <x:c r="C633" s="2" t="str">
        <x:v>MP</x:v>
      </x:c>
      <x:c r="D633" s="2" t="str">
        <x:v>Myzus persicae</x:v>
      </x:c>
      <x:c r="E633" s="2" t="str">
        <x:v>L8</x:v>
      </x:c>
      <x:c r="F633" s="2" t="n">
        <x:v>4</x:v>
      </x:c>
      <x:c r="G633" s="2" t="n">
        <x:v>1</x:v>
      </x:c>
      <x:c r="H633" s="2" t="n">
        <x:f>G633+Supuestos!$C$15</x:f>
        <x:v>2</x:v>
      </x:c>
      <x:c r="I633" s="14" t="n">
        <x:f>E2_plantas!J17+G633</x:f>
        <x:v>46182</x:v>
      </x:c>
      <x:c r="J633" s="2" t="str">
        <x:v>N1</x:v>
      </x:c>
      <x:c r="K633" s="2" t="n">
        <x:v>1</x:v>
      </x:c>
      <x:c r="L633" s="2" t="n">
        <x:v>0</x:v>
      </x:c>
      <x:c r="M633" s="2" t="n">
        <x:f>SUM(L$632:L633)</x:f>
        <x:v>0</x:v>
      </x:c>
      <x:c r="N633" s="2" t="n">
        <x:v>0</x:v>
      </x:c>
      <x:c r="O633" s="2" t="str">
        <x:v>seguimiento</x:v>
      </x:c>
      <x:c r="P633" s="2" t="n">
        <x:v>0</x:v>
      </x:c>
      <x:c r="Q633" s="2" t="str">
        <x:v>simulado_didactico</x:v>
      </x:c>
    </x:row>
    <x:row r="634" ht="19" customHeight="1">
      <x:c r="A634" s="2" t="str">
        <x:v>SIM-E2-MP-L8-R04</x:v>
      </x:c>
      <x:c r="B634" s="2" t="n">
        <x:v>2</x:v>
      </x:c>
      <x:c r="C634" s="2" t="str">
        <x:v>MP</x:v>
      </x:c>
      <x:c r="D634" s="2" t="str">
        <x:v>Myzus persicae</x:v>
      </x:c>
      <x:c r="E634" s="2" t="str">
        <x:v>L8</x:v>
      </x:c>
      <x:c r="F634" s="2" t="n">
        <x:v>4</x:v>
      </x:c>
      <x:c r="G634" s="2" t="n">
        <x:v>2</x:v>
      </x:c>
      <x:c r="H634" s="2" t="n">
        <x:f>G634+Supuestos!$C$15</x:f>
        <x:v>3</x:v>
      </x:c>
      <x:c r="I634" s="14" t="n">
        <x:f>E2_plantas!J17+G634</x:f>
        <x:v>46183</x:v>
      </x:c>
      <x:c r="J634" s="2" t="str">
        <x:v>N1</x:v>
      </x:c>
      <x:c r="K634" s="2" t="n">
        <x:v>1</x:v>
      </x:c>
      <x:c r="L634" s="2" t="n">
        <x:v>0</x:v>
      </x:c>
      <x:c r="M634" s="2" t="n">
        <x:f>SUM(L$632:L634)</x:f>
        <x:v>0</x:v>
      </x:c>
      <x:c r="N634" s="2" t="n">
        <x:v>0</x:v>
      </x:c>
      <x:c r="O634" s="2" t="str">
        <x:v>seguimiento</x:v>
      </x:c>
      <x:c r="P634" s="2" t="n">
        <x:v>0</x:v>
      </x:c>
      <x:c r="Q634" s="2" t="str">
        <x:v>simulado_didactico</x:v>
      </x:c>
    </x:row>
    <x:row r="635" ht="19" customHeight="1">
      <x:c r="A635" s="2" t="str">
        <x:v>SIM-E2-MP-L8-R04</x:v>
      </x:c>
      <x:c r="B635" s="2" t="n">
        <x:v>2</x:v>
      </x:c>
      <x:c r="C635" s="2" t="str">
        <x:v>MP</x:v>
      </x:c>
      <x:c r="D635" s="2" t="str">
        <x:v>Myzus persicae</x:v>
      </x:c>
      <x:c r="E635" s="2" t="str">
        <x:v>L8</x:v>
      </x:c>
      <x:c r="F635" s="2" t="n">
        <x:v>4</x:v>
      </x:c>
      <x:c r="G635" s="2" t="n">
        <x:v>3</x:v>
      </x:c>
      <x:c r="H635" s="2" t="n">
        <x:f>G635+Supuestos!$C$15</x:f>
        <x:v>4</x:v>
      </x:c>
      <x:c r="I635" s="14" t="n">
        <x:f>E2_plantas!J17+G635</x:f>
        <x:v>46184</x:v>
      </x:c>
      <x:c r="J635" s="2" t="str">
        <x:v>N2</x:v>
      </x:c>
      <x:c r="K635" s="2" t="n">
        <x:v>1</x:v>
      </x:c>
      <x:c r="L635" s="2" t="n">
        <x:v>0</x:v>
      </x:c>
      <x:c r="M635" s="2" t="n">
        <x:f>SUM(L$632:L635)</x:f>
        <x:v>0</x:v>
      </x:c>
      <x:c r="N635" s="2" t="n">
        <x:v>0</x:v>
      </x:c>
      <x:c r="O635" s="2" t="str">
        <x:v>seguimiento</x:v>
      </x:c>
      <x:c r="P635" s="2" t="n">
        <x:v>0</x:v>
      </x:c>
      <x:c r="Q635" s="2" t="str">
        <x:v>simulado_didactico</x:v>
      </x:c>
    </x:row>
    <x:row r="636" ht="19" customHeight="1">
      <x:c r="A636" s="2" t="str">
        <x:v>SIM-E2-MP-L8-R04</x:v>
      </x:c>
      <x:c r="B636" s="2" t="n">
        <x:v>2</x:v>
      </x:c>
      <x:c r="C636" s="2" t="str">
        <x:v>MP</x:v>
      </x:c>
      <x:c r="D636" s="2" t="str">
        <x:v>Myzus persicae</x:v>
      </x:c>
      <x:c r="E636" s="2" t="str">
        <x:v>L8</x:v>
      </x:c>
      <x:c r="F636" s="2" t="n">
        <x:v>4</x:v>
      </x:c>
      <x:c r="G636" s="2" t="n">
        <x:v>4</x:v>
      </x:c>
      <x:c r="H636" s="2" t="n">
        <x:f>G636+Supuestos!$C$15</x:f>
        <x:v>5</x:v>
      </x:c>
      <x:c r="I636" s="14" t="n">
        <x:f>E2_plantas!J17+G636</x:f>
        <x:v>46185</x:v>
      </x:c>
      <x:c r="J636" s="2" t="str">
        <x:v>N3</x:v>
      </x:c>
      <x:c r="K636" s="2" t="n">
        <x:v>1</x:v>
      </x:c>
      <x:c r="L636" s="2" t="n">
        <x:v>0</x:v>
      </x:c>
      <x:c r="M636" s="2" t="n">
        <x:f>SUM(L$632:L636)</x:f>
        <x:v>0</x:v>
      </x:c>
      <x:c r="N636" s="2" t="n">
        <x:v>0</x:v>
      </x:c>
      <x:c r="O636" s="2" t="str">
        <x:v>seguimiento</x:v>
      </x:c>
      <x:c r="P636" s="2" t="n">
        <x:v>0</x:v>
      </x:c>
      <x:c r="Q636" s="2" t="str">
        <x:v>simulado_didactico</x:v>
      </x:c>
    </x:row>
    <x:row r="637" ht="19" customHeight="1">
      <x:c r="A637" s="2" t="str">
        <x:v>SIM-E2-MP-L8-R04</x:v>
      </x:c>
      <x:c r="B637" s="2" t="n">
        <x:v>2</x:v>
      </x:c>
      <x:c r="C637" s="2" t="str">
        <x:v>MP</x:v>
      </x:c>
      <x:c r="D637" s="2" t="str">
        <x:v>Myzus persicae</x:v>
      </x:c>
      <x:c r="E637" s="2" t="str">
        <x:v>L8</x:v>
      </x:c>
      <x:c r="F637" s="2" t="n">
        <x:v>4</x:v>
      </x:c>
      <x:c r="G637" s="2" t="n">
        <x:v>5</x:v>
      </x:c>
      <x:c r="H637" s="2" t="n">
        <x:f>G637+Supuestos!$C$15</x:f>
        <x:v>6</x:v>
      </x:c>
      <x:c r="I637" s="14" t="n">
        <x:f>E2_plantas!J17+G637</x:f>
        <x:v>46186</x:v>
      </x:c>
      <x:c r="J637" s="2" t="str">
        <x:v>N4</x:v>
      </x:c>
      <x:c r="K637" s="2" t="n">
        <x:v>1</x:v>
      </x:c>
      <x:c r="L637" s="2" t="n">
        <x:v>0</x:v>
      </x:c>
      <x:c r="M637" s="2" t="n">
        <x:f>SUM(L$632:L637)</x:f>
        <x:v>0</x:v>
      </x:c>
      <x:c r="N637" s="2" t="n">
        <x:v>0</x:v>
      </x:c>
      <x:c r="O637" s="2" t="str">
        <x:v>seguimiento</x:v>
      </x:c>
      <x:c r="P637" s="2" t="n">
        <x:v>0</x:v>
      </x:c>
      <x:c r="Q637" s="2" t="str">
        <x:v>simulado_didactico</x:v>
      </x:c>
    </x:row>
    <x:row r="638" ht="19" customHeight="1">
      <x:c r="A638" s="2" t="str">
        <x:v>SIM-E2-MP-L8-R04</x:v>
      </x:c>
      <x:c r="B638" s="2" t="n">
        <x:v>2</x:v>
      </x:c>
      <x:c r="C638" s="2" t="str">
        <x:v>MP</x:v>
      </x:c>
      <x:c r="D638" s="2" t="str">
        <x:v>Myzus persicae</x:v>
      </x:c>
      <x:c r="E638" s="2" t="str">
        <x:v>L8</x:v>
      </x:c>
      <x:c r="F638" s="2" t="n">
        <x:v>4</x:v>
      </x:c>
      <x:c r="G638" s="2" t="n">
        <x:v>6</x:v>
      </x:c>
      <x:c r="H638" s="2" t="n">
        <x:f>G638+Supuestos!$C$15</x:f>
        <x:v>7</x:v>
      </x:c>
      <x:c r="I638" s="14" t="n">
        <x:f>E2_plantas!J17+G638</x:f>
        <x:v>46187</x:v>
      </x:c>
      <x:c r="J638" s="2" t="str">
        <x:v>N4</x:v>
      </x:c>
      <x:c r="K638" s="2" t="n">
        <x:v>1</x:v>
      </x:c>
      <x:c r="L638" s="2" t="n">
        <x:v>0</x:v>
      </x:c>
      <x:c r="M638" s="2" t="n">
        <x:f>SUM(L$632:L638)</x:f>
        <x:v>0</x:v>
      </x:c>
      <x:c r="N638" s="2" t="n">
        <x:v>0</x:v>
      </x:c>
      <x:c r="O638" s="2" t="str">
        <x:v>seguimiento</x:v>
      </x:c>
      <x:c r="P638" s="2" t="n">
        <x:v>0</x:v>
      </x:c>
      <x:c r="Q638" s="2" t="str">
        <x:v>simulado_didactico</x:v>
      </x:c>
    </x:row>
    <x:row r="639" ht="19" customHeight="1">
      <x:c r="A639" s="2" t="str">
        <x:v>SIM-E2-MP-L8-R04</x:v>
      </x:c>
      <x:c r="B639" s="2" t="n">
        <x:v>2</x:v>
      </x:c>
      <x:c r="C639" s="2" t="str">
        <x:v>MP</x:v>
      </x:c>
      <x:c r="D639" s="2" t="str">
        <x:v>Myzus persicae</x:v>
      </x:c>
      <x:c r="E639" s="2" t="str">
        <x:v>L8</x:v>
      </x:c>
      <x:c r="F639" s="2" t="n">
        <x:v>4</x:v>
      </x:c>
      <x:c r="G639" s="2" t="n">
        <x:v>7</x:v>
      </x:c>
      <x:c r="H639" s="2" t="n">
        <x:f>G639+Supuestos!$C$15</x:f>
        <x:v>8</x:v>
      </x:c>
      <x:c r="I639" s="14" t="n">
        <x:f>E2_plantas!J17+G639</x:f>
        <x:v>46188</x:v>
      </x:c>
      <x:c r="J639" s="2" t="str">
        <x:v>N4</x:v>
      </x:c>
      <x:c r="K639" s="2" t="n">
        <x:v>1</x:v>
      </x:c>
      <x:c r="L639" s="2" t="n">
        <x:v>0</x:v>
      </x:c>
      <x:c r="M639" s="2" t="n">
        <x:f>SUM(L$632:L639)</x:f>
        <x:v>0</x:v>
      </x:c>
      <x:c r="N639" s="2" t="n">
        <x:v>0</x:v>
      </x:c>
      <x:c r="O639" s="2" t="str">
        <x:v>seguimiento</x:v>
      </x:c>
      <x:c r="P639" s="2" t="n">
        <x:v>0</x:v>
      </x:c>
      <x:c r="Q639" s="2" t="str">
        <x:v>simulado_didactico</x:v>
      </x:c>
    </x:row>
    <x:row r="640" ht="19" customHeight="1">
      <x:c r="A640" s="2" t="str">
        <x:v>SIM-E2-MP-L8-R04</x:v>
      </x:c>
      <x:c r="B640" s="2" t="n">
        <x:v>2</x:v>
      </x:c>
      <x:c r="C640" s="2" t="str">
        <x:v>MP</x:v>
      </x:c>
      <x:c r="D640" s="2" t="str">
        <x:v>Myzus persicae</x:v>
      </x:c>
      <x:c r="E640" s="2" t="str">
        <x:v>L8</x:v>
      </x:c>
      <x:c r="F640" s="2" t="n">
        <x:v>4</x:v>
      </x:c>
      <x:c r="G640" s="2" t="n">
        <x:v>8</x:v>
      </x:c>
      <x:c r="H640" s="2" t="n">
        <x:f>G640+Supuestos!$C$15</x:f>
        <x:v>9</x:v>
      </x:c>
      <x:c r="I640" s="14" t="n">
        <x:f>E2_plantas!J17+G640</x:f>
        <x:v>46189</x:v>
      </x:c>
      <x:c r="J640" s="2" t="str">
        <x:v>N4</x:v>
      </x:c>
      <x:c r="K640" s="2" t="n">
        <x:v>1</x:v>
      </x:c>
      <x:c r="L640" s="2" t="n">
        <x:v>0</x:v>
      </x:c>
      <x:c r="M640" s="2" t="n">
        <x:f>SUM(L$632:L640)</x:f>
        <x:v>0</x:v>
      </x:c>
      <x:c r="N640" s="2" t="n">
        <x:v>0</x:v>
      </x:c>
      <x:c r="O640" s="2" t="str">
        <x:v>seguimiento</x:v>
      </x:c>
      <x:c r="P640" s="2" t="n">
        <x:v>0</x:v>
      </x:c>
      <x:c r="Q640" s="2" t="str">
        <x:v>simulado_didactico</x:v>
      </x:c>
    </x:row>
    <x:row r="641" ht="19" customHeight="1">
      <x:c r="A641" s="2" t="str">
        <x:v>SIM-E2-MP-L8-R04</x:v>
      </x:c>
      <x:c r="B641" s="2" t="n">
        <x:v>2</x:v>
      </x:c>
      <x:c r="C641" s="2" t="str">
        <x:v>MP</x:v>
      </x:c>
      <x:c r="D641" s="2" t="str">
        <x:v>Myzus persicae</x:v>
      </x:c>
      <x:c r="E641" s="2" t="str">
        <x:v>L8</x:v>
      </x:c>
      <x:c r="F641" s="2" t="n">
        <x:v>4</x:v>
      </x:c>
      <x:c r="G641" s="2" t="n">
        <x:v>9</x:v>
      </x:c>
      <x:c r="H641" s="2" t="n">
        <x:f>G641+Supuestos!$C$15</x:f>
        <x:v>10</x:v>
      </x:c>
      <x:c r="I641" s="14" t="n">
        <x:f>E2_plantas!J17+G641</x:f>
        <x:v>46190</x:v>
      </x:c>
      <x:c r="J641" s="2" t="str">
        <x:v>adulta</x:v>
      </x:c>
      <x:c r="K641" s="2" t="n">
        <x:v>1</x:v>
      </x:c>
      <x:c r="L641" s="2" t="n">
        <x:v>0</x:v>
      </x:c>
      <x:c r="M641" s="2" t="n">
        <x:f>SUM(L$632:L641)</x:f>
        <x:v>0</x:v>
      </x:c>
      <x:c r="N641" s="2" t="n">
        <x:v>0</x:v>
      </x:c>
      <x:c r="O641" s="2" t="str">
        <x:v>seguimiento</x:v>
      </x:c>
      <x:c r="P641" s="2" t="n">
        <x:v>0</x:v>
      </x:c>
      <x:c r="Q641" s="2" t="str">
        <x:v>simulado_didactico</x:v>
      </x:c>
    </x:row>
    <x:row r="642" ht="19" customHeight="1">
      <x:c r="A642" s="2" t="str">
        <x:v>SIM-E2-MP-L8-R04</x:v>
      </x:c>
      <x:c r="B642" s="2" t="n">
        <x:v>2</x:v>
      </x:c>
      <x:c r="C642" s="2" t="str">
        <x:v>MP</x:v>
      </x:c>
      <x:c r="D642" s="2" t="str">
        <x:v>Myzus persicae</x:v>
      </x:c>
      <x:c r="E642" s="2" t="str">
        <x:v>L8</x:v>
      </x:c>
      <x:c r="F642" s="2" t="n">
        <x:v>4</x:v>
      </x:c>
      <x:c r="G642" s="2" t="n">
        <x:v>10</x:v>
      </x:c>
      <x:c r="H642" s="2" t="n">
        <x:f>G642+Supuestos!$C$15</x:f>
        <x:v>11</x:v>
      </x:c>
      <x:c r="I642" s="14" t="n">
        <x:f>E2_plantas!J17+G642</x:f>
        <x:v>46191</x:v>
      </x:c>
      <x:c r="J642" s="2" t="str">
        <x:v>adulta</x:v>
      </x:c>
      <x:c r="K642" s="2" t="n">
        <x:v>1</x:v>
      </x:c>
      <x:c r="L642" s="2" t="n">
        <x:v>0</x:v>
      </x:c>
      <x:c r="M642" s="2" t="n">
        <x:f>SUM(L$632:L642)</x:f>
        <x:v>0</x:v>
      </x:c>
      <x:c r="N642" s="2" t="n">
        <x:v>0</x:v>
      </x:c>
      <x:c r="O642" s="2" t="str">
        <x:v>seguimiento</x:v>
      </x:c>
      <x:c r="P642" s="2" t="n">
        <x:v>0</x:v>
      </x:c>
      <x:c r="Q642" s="2" t="str">
        <x:v>simulado_didactico</x:v>
      </x:c>
    </x:row>
    <x:row r="643" ht="19" customHeight="1">
      <x:c r="A643" s="2" t="str">
        <x:v>SIM-E2-MP-L8-R04</x:v>
      </x:c>
      <x:c r="B643" s="2" t="n">
        <x:v>2</x:v>
      </x:c>
      <x:c r="C643" s="2" t="str">
        <x:v>MP</x:v>
      </x:c>
      <x:c r="D643" s="2" t="str">
        <x:v>Myzus persicae</x:v>
      </x:c>
      <x:c r="E643" s="2" t="str">
        <x:v>L8</x:v>
      </x:c>
      <x:c r="F643" s="2" t="n">
        <x:v>4</x:v>
      </x:c>
      <x:c r="G643" s="2" t="n">
        <x:v>11</x:v>
      </x:c>
      <x:c r="H643" s="2" t="n">
        <x:f>G643+Supuestos!$C$15</x:f>
        <x:v>12</x:v>
      </x:c>
      <x:c r="I643" s="14" t="n">
        <x:f>E2_plantas!J17+G643</x:f>
        <x:v>46192</x:v>
      </x:c>
      <x:c r="J643" s="2" t="str">
        <x:v>adulta</x:v>
      </x:c>
      <x:c r="K643" s="2" t="n">
        <x:v>1</x:v>
      </x:c>
      <x:c r="L643" s="2" t="n">
        <x:v>0</x:v>
      </x:c>
      <x:c r="M643" s="2" t="n">
        <x:f>SUM(L$632:L643)</x:f>
        <x:v>0</x:v>
      </x:c>
      <x:c r="N643" s="2" t="n">
        <x:v>0</x:v>
      </x:c>
      <x:c r="O643" s="2" t="str">
        <x:v>seguimiento</x:v>
      </x:c>
      <x:c r="P643" s="2" t="n">
        <x:v>0</x:v>
      </x:c>
      <x:c r="Q643" s="2" t="str">
        <x:v>simulado_didactico</x:v>
      </x:c>
    </x:row>
    <x:row r="644" ht="19" customHeight="1">
      <x:c r="A644" s="2" t="str">
        <x:v>SIM-E2-MP-L8-R04</x:v>
      </x:c>
      <x:c r="B644" s="2" t="n">
        <x:v>2</x:v>
      </x:c>
      <x:c r="C644" s="2" t="str">
        <x:v>MP</x:v>
      </x:c>
      <x:c r="D644" s="2" t="str">
        <x:v>Myzus persicae</x:v>
      </x:c>
      <x:c r="E644" s="2" t="str">
        <x:v>L8</x:v>
      </x:c>
      <x:c r="F644" s="2" t="n">
        <x:v>4</x:v>
      </x:c>
      <x:c r="G644" s="2" t="n">
        <x:v>12</x:v>
      </x:c>
      <x:c r="H644" s="2" t="n">
        <x:f>G644+Supuestos!$C$15</x:f>
        <x:v>13</x:v>
      </x:c>
      <x:c r="I644" s="14" t="n">
        <x:f>E2_plantas!J17+G644</x:f>
        <x:v>46193</x:v>
      </x:c>
      <x:c r="J644" s="2" t="str">
        <x:v>adulta</x:v>
      </x:c>
      <x:c r="K644" s="2" t="n">
        <x:v>1</x:v>
      </x:c>
      <x:c r="L644" s="2" t="n">
        <x:v>1</x:v>
      </x:c>
      <x:c r="M644" s="2" t="n">
        <x:f>SUM(L$632:L644)</x:f>
        <x:v>1</x:v>
      </x:c>
      <x:c r="N644" s="2" t="n">
        <x:v>0</x:v>
      </x:c>
      <x:c r="O644" s="2" t="str">
        <x:v>seguimiento</x:v>
      </x:c>
      <x:c r="P644" s="2" t="n">
        <x:v>0</x:v>
      </x:c>
      <x:c r="Q644" s="2" t="str">
        <x:v>simulado_didactico</x:v>
      </x:c>
    </x:row>
    <x:row r="645" ht="19" customHeight="1">
      <x:c r="A645" s="2" t="str">
        <x:v>SIM-E2-MP-L8-R04</x:v>
      </x:c>
      <x:c r="B645" s="2" t="n">
        <x:v>2</x:v>
      </x:c>
      <x:c r="C645" s="2" t="str">
        <x:v>MP</x:v>
      </x:c>
      <x:c r="D645" s="2" t="str">
        <x:v>Myzus persicae</x:v>
      </x:c>
      <x:c r="E645" s="2" t="str">
        <x:v>L8</x:v>
      </x:c>
      <x:c r="F645" s="2" t="n">
        <x:v>4</x:v>
      </x:c>
      <x:c r="G645" s="2" t="n">
        <x:v>13</x:v>
      </x:c>
      <x:c r="H645" s="2" t="n">
        <x:f>G645+Supuestos!$C$15</x:f>
        <x:v>14</x:v>
      </x:c>
      <x:c r="I645" s="14" t="n">
        <x:f>E2_plantas!J17+G645</x:f>
        <x:v>46194</x:v>
      </x:c>
      <x:c r="J645" s="2" t="str">
        <x:v>adulta</x:v>
      </x:c>
      <x:c r="K645" s="2" t="n">
        <x:v>1</x:v>
      </x:c>
      <x:c r="L645" s="2" t="n">
        <x:v>4</x:v>
      </x:c>
      <x:c r="M645" s="2" t="n">
        <x:f>SUM(L$632:L645)</x:f>
        <x:v>5</x:v>
      </x:c>
      <x:c r="N645" s="2" t="n">
        <x:v>0</x:v>
      </x:c>
      <x:c r="O645" s="2" t="str">
        <x:v>seguimiento</x:v>
      </x:c>
      <x:c r="P645" s="2" t="n">
        <x:v>0</x:v>
      </x:c>
      <x:c r="Q645" s="2" t="str">
        <x:v>simulado_didactico</x:v>
      </x:c>
    </x:row>
    <x:row r="646" ht="19" customHeight="1">
      <x:c r="A646" s="2" t="str">
        <x:v>SIM-E2-MP-L8-R04</x:v>
      </x:c>
      <x:c r="B646" s="2" t="n">
        <x:v>2</x:v>
      </x:c>
      <x:c r="C646" s="2" t="str">
        <x:v>MP</x:v>
      </x:c>
      <x:c r="D646" s="2" t="str">
        <x:v>Myzus persicae</x:v>
      </x:c>
      <x:c r="E646" s="2" t="str">
        <x:v>L8</x:v>
      </x:c>
      <x:c r="F646" s="2" t="n">
        <x:v>4</x:v>
      </x:c>
      <x:c r="G646" s="2" t="n">
        <x:v>14</x:v>
      </x:c>
      <x:c r="H646" s="2" t="n">
        <x:f>G646+Supuestos!$C$15</x:f>
        <x:v>15</x:v>
      </x:c>
      <x:c r="I646" s="14" t="n">
        <x:f>E2_plantas!J17+G646</x:f>
        <x:v>46195</x:v>
      </x:c>
      <x:c r="J646" s="2" t="str">
        <x:v>adulta</x:v>
      </x:c>
      <x:c r="K646" s="2" t="n">
        <x:v>1</x:v>
      </x:c>
      <x:c r="L646" s="2" t="n">
        <x:v>5</x:v>
      </x:c>
      <x:c r="M646" s="2" t="n">
        <x:f>SUM(L$632:L646)</x:f>
        <x:v>10</x:v>
      </x:c>
      <x:c r="N646" s="2" t="n">
        <x:v>0</x:v>
      </x:c>
      <x:c r="O646" s="2" t="str">
        <x:v>seguimiento</x:v>
      </x:c>
      <x:c r="P646" s="2" t="n">
        <x:v>0</x:v>
      </x:c>
      <x:c r="Q646" s="2" t="str">
        <x:v>simulado_didactico</x:v>
      </x:c>
    </x:row>
    <x:row r="647" ht="19" customHeight="1">
      <x:c r="A647" s="2" t="str">
        <x:v>SIM-E2-MP-L8-R04</x:v>
      </x:c>
      <x:c r="B647" s="2" t="n">
        <x:v>2</x:v>
      </x:c>
      <x:c r="C647" s="2" t="str">
        <x:v>MP</x:v>
      </x:c>
      <x:c r="D647" s="2" t="str">
        <x:v>Myzus persicae</x:v>
      </x:c>
      <x:c r="E647" s="2" t="str">
        <x:v>L8</x:v>
      </x:c>
      <x:c r="F647" s="2" t="n">
        <x:v>4</x:v>
      </x:c>
      <x:c r="G647" s="2" t="n">
        <x:v>15</x:v>
      </x:c>
      <x:c r="H647" s="2" t="n">
        <x:f>G647+Supuestos!$C$15</x:f>
        <x:v>16</x:v>
      </x:c>
      <x:c r="I647" s="14" t="n">
        <x:f>E2_plantas!J17+G647</x:f>
        <x:v>46196</x:v>
      </x:c>
      <x:c r="J647" s="2" t="str">
        <x:v>adulta</x:v>
      </x:c>
      <x:c r="K647" s="2" t="n">
        <x:v>1</x:v>
      </x:c>
      <x:c r="L647" s="2" t="n">
        <x:v>0</x:v>
      </x:c>
      <x:c r="M647" s="2" t="n">
        <x:f>SUM(L$632:L647)</x:f>
        <x:v>10</x:v>
      </x:c>
      <x:c r="N647" s="2" t="n">
        <x:v>0</x:v>
      </x:c>
      <x:c r="O647" s="2" t="str">
        <x:v>seguimiento</x:v>
      </x:c>
      <x:c r="P647" s="2" t="n">
        <x:v>0</x:v>
      </x:c>
      <x:c r="Q647" s="2" t="str">
        <x:v>simulado_didactico</x:v>
      </x:c>
    </x:row>
    <x:row r="648" ht="19" customHeight="1">
      <x:c r="A648" s="2" t="str">
        <x:v>SIM-E2-MP-L8-R04</x:v>
      </x:c>
      <x:c r="B648" s="2" t="n">
        <x:v>2</x:v>
      </x:c>
      <x:c r="C648" s="2" t="str">
        <x:v>MP</x:v>
      </x:c>
      <x:c r="D648" s="2" t="str">
        <x:v>Myzus persicae</x:v>
      </x:c>
      <x:c r="E648" s="2" t="str">
        <x:v>L8</x:v>
      </x:c>
      <x:c r="F648" s="2" t="n">
        <x:v>4</x:v>
      </x:c>
      <x:c r="G648" s="2" t="n">
        <x:v>16</x:v>
      </x:c>
      <x:c r="H648" s="2" t="n">
        <x:f>G648+Supuestos!$C$15</x:f>
        <x:v>17</x:v>
      </x:c>
      <x:c r="I648" s="14" t="n">
        <x:f>E2_plantas!J17+G648</x:f>
        <x:v>46197</x:v>
      </x:c>
      <x:c r="J648" s="2" t="str">
        <x:v>adulta</x:v>
      </x:c>
      <x:c r="K648" s="2" t="n">
        <x:v>1</x:v>
      </x:c>
      <x:c r="L648" s="2" t="n">
        <x:v>0</x:v>
      </x:c>
      <x:c r="M648" s="2" t="n">
        <x:f>SUM(L$632:L648)</x:f>
        <x:v>10</x:v>
      </x:c>
      <x:c r="N648" s="2" t="n">
        <x:v>0</x:v>
      </x:c>
      <x:c r="O648" s="2" t="str">
        <x:v>seguimiento</x:v>
      </x:c>
      <x:c r="P648" s="2" t="n">
        <x:v>0</x:v>
      </x:c>
      <x:c r="Q648" s="2" t="str">
        <x:v>simulado_didactico</x:v>
      </x:c>
    </x:row>
    <x:row r="649" ht="19" customHeight="1">
      <x:c r="A649" s="2" t="str">
        <x:v>SIM-E2-MP-L8-R04</x:v>
      </x:c>
      <x:c r="B649" s="2" t="n">
        <x:v>2</x:v>
      </x:c>
      <x:c r="C649" s="2" t="str">
        <x:v>MP</x:v>
      </x:c>
      <x:c r="D649" s="2" t="str">
        <x:v>Myzus persicae</x:v>
      </x:c>
      <x:c r="E649" s="2" t="str">
        <x:v>L8</x:v>
      </x:c>
      <x:c r="F649" s="2" t="n">
        <x:v>4</x:v>
      </x:c>
      <x:c r="G649" s="2" t="n">
        <x:v>17</x:v>
      </x:c>
      <x:c r="H649" s="2" t="n">
        <x:f>G649+Supuestos!$C$15</x:f>
        <x:v>18</x:v>
      </x:c>
      <x:c r="I649" s="14" t="n">
        <x:f>E2_plantas!J17+G649</x:f>
        <x:v>46198</x:v>
      </x:c>
      <x:c r="J649" s="2" t="str">
        <x:v>adulta</x:v>
      </x:c>
      <x:c r="K649" s="2" t="n">
        <x:v>1</x:v>
      </x:c>
      <x:c r="L649" s="2" t="n">
        <x:v>4</x:v>
      </x:c>
      <x:c r="M649" s="2" t="n">
        <x:f>SUM(L$632:L649)</x:f>
        <x:v>14</x:v>
      </x:c>
      <x:c r="N649" s="2" t="n">
        <x:v>0</x:v>
      </x:c>
      <x:c r="O649" s="2" t="str">
        <x:v>seguimiento</x:v>
      </x:c>
      <x:c r="P649" s="2" t="n">
        <x:v>0</x:v>
      </x:c>
      <x:c r="Q649" s="2" t="str">
        <x:v>simulado_didactico</x:v>
      </x:c>
    </x:row>
    <x:row r="650" ht="19" customHeight="1">
      <x:c r="A650" s="2" t="str">
        <x:v>SIM-E2-MP-L8-R04</x:v>
      </x:c>
      <x:c r="B650" s="2" t="n">
        <x:v>2</x:v>
      </x:c>
      <x:c r="C650" s="2" t="str">
        <x:v>MP</x:v>
      </x:c>
      <x:c r="D650" s="2" t="str">
        <x:v>Myzus persicae</x:v>
      </x:c>
      <x:c r="E650" s="2" t="str">
        <x:v>L8</x:v>
      </x:c>
      <x:c r="F650" s="2" t="n">
        <x:v>4</x:v>
      </x:c>
      <x:c r="G650" s="2" t="n">
        <x:v>18</x:v>
      </x:c>
      <x:c r="H650" s="2" t="n">
        <x:f>G650+Supuestos!$C$15</x:f>
        <x:v>19</x:v>
      </x:c>
      <x:c r="I650" s="14" t="n">
        <x:f>E2_plantas!J17+G650</x:f>
        <x:v>46199</x:v>
      </x:c>
      <x:c r="J650" s="2" t="str">
        <x:v>adulta</x:v>
      </x:c>
      <x:c r="K650" s="2" t="n">
        <x:v>1</x:v>
      </x:c>
      <x:c r="L650" s="2" t="n">
        <x:v>4</x:v>
      </x:c>
      <x:c r="M650" s="2" t="n">
        <x:f>SUM(L$632:L650)</x:f>
        <x:v>18</x:v>
      </x:c>
      <x:c r="N650" s="2" t="n">
        <x:v>0</x:v>
      </x:c>
      <x:c r="O650" s="2" t="str">
        <x:v>seguimiento</x:v>
      </x:c>
      <x:c r="P650" s="2" t="n">
        <x:v>0</x:v>
      </x:c>
      <x:c r="Q650" s="2" t="str">
        <x:v>simulado_didactico</x:v>
      </x:c>
    </x:row>
    <x:row r="651" ht="19" customHeight="1">
      <x:c r="A651" s="2" t="str">
        <x:v>SIM-E2-MP-L8-R04</x:v>
      </x:c>
      <x:c r="B651" s="2" t="n">
        <x:v>2</x:v>
      </x:c>
      <x:c r="C651" s="2" t="str">
        <x:v>MP</x:v>
      </x:c>
      <x:c r="D651" s="2" t="str">
        <x:v>Myzus persicae</x:v>
      </x:c>
      <x:c r="E651" s="2" t="str">
        <x:v>L8</x:v>
      </x:c>
      <x:c r="F651" s="2" t="n">
        <x:v>4</x:v>
      </x:c>
      <x:c r="G651" s="2" t="n">
        <x:v>19</x:v>
      </x:c>
      <x:c r="H651" s="2" t="n">
        <x:f>G651+Supuestos!$C$15</x:f>
        <x:v>20</x:v>
      </x:c>
      <x:c r="I651" s="14" t="n">
        <x:f>E2_plantas!J17+G651</x:f>
        <x:v>46200</x:v>
      </x:c>
      <x:c r="J651" s="2" t="str">
        <x:v>adulta</x:v>
      </x:c>
      <x:c r="K651" s="2" t="n">
        <x:v>1</x:v>
      </x:c>
      <x:c r="L651" s="2" t="n">
        <x:v>2</x:v>
      </x:c>
      <x:c r="M651" s="2" t="n">
        <x:f>SUM(L$632:L651)</x:f>
        <x:v>20</x:v>
      </x:c>
      <x:c r="N651" s="2" t="n">
        <x:v>0</x:v>
      </x:c>
      <x:c r="O651" s="2" t="str">
        <x:v>seguimiento</x:v>
      </x:c>
      <x:c r="P651" s="2" t="n">
        <x:v>0</x:v>
      </x:c>
      <x:c r="Q651" s="2" t="str">
        <x:v>simulado_didactico</x:v>
      </x:c>
    </x:row>
    <x:row r="652" ht="19" customHeight="1">
      <x:c r="A652" s="2" t="str">
        <x:v>SIM-E2-MP-L8-R04</x:v>
      </x:c>
      <x:c r="B652" s="2" t="n">
        <x:v>2</x:v>
      </x:c>
      <x:c r="C652" s="2" t="str">
        <x:v>MP</x:v>
      </x:c>
      <x:c r="D652" s="2" t="str">
        <x:v>Myzus persicae</x:v>
      </x:c>
      <x:c r="E652" s="2" t="str">
        <x:v>L8</x:v>
      </x:c>
      <x:c r="F652" s="2" t="n">
        <x:v>4</x:v>
      </x:c>
      <x:c r="G652" s="2" t="n">
        <x:v>20</x:v>
      </x:c>
      <x:c r="H652" s="2" t="n">
        <x:f>G652+Supuestos!$C$15</x:f>
        <x:v>21</x:v>
      </x:c>
      <x:c r="I652" s="14" t="n">
        <x:f>E2_plantas!J17+G652</x:f>
        <x:v>46201</x:v>
      </x:c>
      <x:c r="J652" s="2" t="str">
        <x:v>adulta</x:v>
      </x:c>
      <x:c r="K652" s="2" t="n">
        <x:v>1</x:v>
      </x:c>
      <x:c r="L652" s="2" t="n">
        <x:v>2</x:v>
      </x:c>
      <x:c r="M652" s="2" t="n">
        <x:f>SUM(L$632:L652)</x:f>
        <x:v>22</x:v>
      </x:c>
      <x:c r="N652" s="2" t="n">
        <x:v>0</x:v>
      </x:c>
      <x:c r="O652" s="2" t="str">
        <x:v>seguimiento</x:v>
      </x:c>
      <x:c r="P652" s="2" t="n">
        <x:v>0</x:v>
      </x:c>
      <x:c r="Q652" s="2" t="str">
        <x:v>simulado_didactico</x:v>
      </x:c>
    </x:row>
    <x:row r="653" ht="19" customHeight="1">
      <x:c r="A653" s="2" t="str">
        <x:v>SIM-E2-MP-L8-R04</x:v>
      </x:c>
      <x:c r="B653" s="2" t="n">
        <x:v>2</x:v>
      </x:c>
      <x:c r="C653" s="2" t="str">
        <x:v>MP</x:v>
      </x:c>
      <x:c r="D653" s="2" t="str">
        <x:v>Myzus persicae</x:v>
      </x:c>
      <x:c r="E653" s="2" t="str">
        <x:v>L8</x:v>
      </x:c>
      <x:c r="F653" s="2" t="n">
        <x:v>4</x:v>
      </x:c>
      <x:c r="G653" s="2" t="n">
        <x:v>21</x:v>
      </x:c>
      <x:c r="H653" s="2" t="n">
        <x:f>G653+Supuestos!$C$15</x:f>
        <x:v>22</x:v>
      </x:c>
      <x:c r="I653" s="14" t="n">
        <x:f>E2_plantas!J17+G653</x:f>
        <x:v>46202</x:v>
      </x:c>
      <x:c r="J653" s="2" t="str">
        <x:v>adulta</x:v>
      </x:c>
      <x:c r="K653" s="2" t="n">
        <x:v>1</x:v>
      </x:c>
      <x:c r="L653" s="2" t="n">
        <x:v>2</x:v>
      </x:c>
      <x:c r="M653" s="2" t="n">
        <x:f>SUM(L$632:L653)</x:f>
        <x:v>24</x:v>
      </x:c>
      <x:c r="N653" s="2" t="n">
        <x:v>0</x:v>
      </x:c>
      <x:c r="O653" s="2" t="str">
        <x:v>seguimiento</x:v>
      </x:c>
      <x:c r="P653" s="2" t="n">
        <x:v>0</x:v>
      </x:c>
      <x:c r="Q653" s="2" t="str">
        <x:v>simulado_didactico</x:v>
      </x:c>
    </x:row>
    <x:row r="654" ht="19" customHeight="1">
      <x:c r="A654" s="2" t="str">
        <x:v>SIM-E2-MP-L8-R04</x:v>
      </x:c>
      <x:c r="B654" s="2" t="n">
        <x:v>2</x:v>
      </x:c>
      <x:c r="C654" s="2" t="str">
        <x:v>MP</x:v>
      </x:c>
      <x:c r="D654" s="2" t="str">
        <x:v>Myzus persicae</x:v>
      </x:c>
      <x:c r="E654" s="2" t="str">
        <x:v>L8</x:v>
      </x:c>
      <x:c r="F654" s="2" t="n">
        <x:v>4</x:v>
      </x:c>
      <x:c r="G654" s="2" t="n">
        <x:v>22</x:v>
      </x:c>
      <x:c r="H654" s="2" t="n">
        <x:f>G654+Supuestos!$C$15</x:f>
        <x:v>23</x:v>
      </x:c>
      <x:c r="I654" s="14" t="n">
        <x:f>E2_plantas!J17+G654</x:f>
        <x:v>46203</x:v>
      </x:c>
      <x:c r="J654" s="2" t="str">
        <x:v>adulta</x:v>
      </x:c>
      <x:c r="K654" s="2" t="n">
        <x:v>1</x:v>
      </x:c>
      <x:c r="L654" s="2" t="n">
        <x:v>1</x:v>
      </x:c>
      <x:c r="M654" s="2" t="n">
        <x:f>SUM(L$632:L654)</x:f>
        <x:v>25</x:v>
      </x:c>
      <x:c r="N654" s="2" t="n">
        <x:v>0</x:v>
      </x:c>
      <x:c r="O654" s="2" t="str">
        <x:v>seguimiento</x:v>
      </x:c>
      <x:c r="P654" s="2" t="n">
        <x:v>0</x:v>
      </x:c>
      <x:c r="Q654" s="2" t="str">
        <x:v>simulado_didactico</x:v>
      </x:c>
    </x:row>
    <x:row r="655" ht="19" customHeight="1">
      <x:c r="A655" s="2" t="str">
        <x:v>SIM-E2-MP-L8-R04</x:v>
      </x:c>
      <x:c r="B655" s="2" t="n">
        <x:v>2</x:v>
      </x:c>
      <x:c r="C655" s="2" t="str">
        <x:v>MP</x:v>
      </x:c>
      <x:c r="D655" s="2" t="str">
        <x:v>Myzus persicae</x:v>
      </x:c>
      <x:c r="E655" s="2" t="str">
        <x:v>L8</x:v>
      </x:c>
      <x:c r="F655" s="2" t="n">
        <x:v>4</x:v>
      </x:c>
      <x:c r="G655" s="2" t="n">
        <x:v>23</x:v>
      </x:c>
      <x:c r="H655" s="2" t="n">
        <x:f>G655+Supuestos!$C$15</x:f>
        <x:v>24</x:v>
      </x:c>
      <x:c r="I655" s="14" t="n">
        <x:f>E2_plantas!J17+G655</x:f>
        <x:v>46204</x:v>
      </x:c>
      <x:c r="J655" s="2" t="str">
        <x:v>adulta</x:v>
      </x:c>
      <x:c r="K655" s="2" t="n">
        <x:v>1</x:v>
      </x:c>
      <x:c r="L655" s="2" t="n">
        <x:v>0</x:v>
      </x:c>
      <x:c r="M655" s="2" t="n">
        <x:f>SUM(L$632:L655)</x:f>
        <x:v>25</x:v>
      </x:c>
      <x:c r="N655" s="2" t="n">
        <x:v>0</x:v>
      </x:c>
      <x:c r="O655" s="2" t="str">
        <x:v>seguimiento</x:v>
      </x:c>
      <x:c r="P655" s="2" t="n">
        <x:v>0</x:v>
      </x:c>
      <x:c r="Q655" s="2" t="str">
        <x:v>simulado_didactico</x:v>
      </x:c>
    </x:row>
    <x:row r="656" ht="19" customHeight="1">
      <x:c r="A656" s="2" t="str">
        <x:v>SIM-E2-MP-L8-R04</x:v>
      </x:c>
      <x:c r="B656" s="2" t="n">
        <x:v>2</x:v>
      </x:c>
      <x:c r="C656" s="2" t="str">
        <x:v>MP</x:v>
      </x:c>
      <x:c r="D656" s="2" t="str">
        <x:v>Myzus persicae</x:v>
      </x:c>
      <x:c r="E656" s="2" t="str">
        <x:v>L8</x:v>
      </x:c>
      <x:c r="F656" s="2" t="n">
        <x:v>4</x:v>
      </x:c>
      <x:c r="G656" s="2" t="n">
        <x:v>24</x:v>
      </x:c>
      <x:c r="H656" s="2" t="n">
        <x:f>G656+Supuestos!$C$15</x:f>
        <x:v>25</x:v>
      </x:c>
      <x:c r="I656" s="14" t="n">
        <x:f>E2_plantas!J17+G656</x:f>
        <x:v>46205</x:v>
      </x:c>
      <x:c r="J656" s="2" t="str">
        <x:v>adulta</x:v>
      </x:c>
      <x:c r="K656" s="2" t="n">
        <x:v>1</x:v>
      </x:c>
      <x:c r="L656" s="2" t="n">
        <x:v>0</x:v>
      </x:c>
      <x:c r="M656" s="2" t="n">
        <x:f>SUM(L$632:L656)</x:f>
        <x:v>25</x:v>
      </x:c>
      <x:c r="N656" s="2" t="n">
        <x:v>0</x:v>
      </x:c>
      <x:c r="O656" s="2" t="str">
        <x:v>seguimiento</x:v>
      </x:c>
      <x:c r="P656" s="2" t="n">
        <x:v>0</x:v>
      </x:c>
      <x:c r="Q656" s="2" t="str">
        <x:v>simulado_didactico</x:v>
      </x:c>
    </x:row>
    <x:row r="657" ht="19" customHeight="1">
      <x:c r="A657" s="2" t="str">
        <x:v>SIM-E2-MP-L8-R04</x:v>
      </x:c>
      <x:c r="B657" s="2" t="n">
        <x:v>2</x:v>
      </x:c>
      <x:c r="C657" s="2" t="str">
        <x:v>MP</x:v>
      </x:c>
      <x:c r="D657" s="2" t="str">
        <x:v>Myzus persicae</x:v>
      </x:c>
      <x:c r="E657" s="2" t="str">
        <x:v>L8</x:v>
      </x:c>
      <x:c r="F657" s="2" t="n">
        <x:v>4</x:v>
      </x:c>
      <x:c r="G657" s="2" t="n">
        <x:v>25</x:v>
      </x:c>
      <x:c r="H657" s="2" t="n">
        <x:f>G657+Supuestos!$C$15</x:f>
        <x:v>26</x:v>
      </x:c>
      <x:c r="I657" s="14" t="n">
        <x:f>E2_plantas!J17+G657</x:f>
        <x:v>46206</x:v>
      </x:c>
      <x:c r="J657" s="2" t="str">
        <x:v>muerta</x:v>
      </x:c>
      <x:c r="K657" s="2" t="n">
        <x:v>0</x:v>
      </x:c>
      <x:c r="L657" s="2" t="n">
        <x:v>0</x:v>
      </x:c>
      <x:c r="M657" s="2" t="n">
        <x:f>SUM(L$632:L657)</x:f>
        <x:v>25</x:v>
      </x:c>
      <x:c r="N657" s="2" t="n">
        <x:v>1</x:v>
      </x:c>
      <x:c r="O657" s="2" t="str">
        <x:v>muerte</x:v>
      </x:c>
      <x:c r="P657" s="2" t="n">
        <x:v>0</x:v>
      </x:c>
      <x:c r="Q657" s="2" t="str">
        <x:v>simulado_didactico</x:v>
      </x:c>
    </x:row>
    <x:row r="658" ht="19" customHeight="1">
      <x:c r="A658" s="2" t="str">
        <x:v>SIM-E2-MP-L8-R04</x:v>
      </x:c>
      <x:c r="B658" s="2" t="n">
        <x:v>2</x:v>
      </x:c>
      <x:c r="C658" s="2" t="str">
        <x:v>MP</x:v>
      </x:c>
      <x:c r="D658" s="2" t="str">
        <x:v>Myzus persicae</x:v>
      </x:c>
      <x:c r="E658" s="2" t="str">
        <x:v>L8</x:v>
      </x:c>
      <x:c r="F658" s="2" t="n">
        <x:v>4</x:v>
      </x:c>
      <x:c r="G658" s="2" t="n">
        <x:v>26</x:v>
      </x:c>
      <x:c r="H658" s="2" t="n">
        <x:f>G658+Supuestos!$C$15</x:f>
        <x:v>27</x:v>
      </x:c>
      <x:c r="I658" s="14" t="n">
        <x:f>E2_plantas!J17+G658</x:f>
        <x:v>46207</x:v>
      </x:c>
      <x:c r="J658" s="2" t="str">
        <x:v>muerta</x:v>
      </x:c>
      <x:c r="K658" s="2" t="n">
        <x:v>0</x:v>
      </x:c>
      <x:c r="L658" s="2" t="n">
        <x:v>0</x:v>
      </x:c>
      <x:c r="M658" s="2" t="n">
        <x:f>SUM(L$632:L658)</x:f>
        <x:v>25</x:v>
      </x:c>
      <x:c r="N658" s="2" t="n">
        <x:v>0</x:v>
      </x:c>
      <x:c r="O658" s="2" t="str">
        <x:v>relleno_postmuerte</x:v>
      </x:c>
      <x:c r="P658" s="2" t="n">
        <x:v>0</x:v>
      </x:c>
      <x:c r="Q658" s="2" t="str">
        <x:v>simulado_didactico</x:v>
      </x:c>
    </x:row>
    <x:row r="659" ht="19" customHeight="1">
      <x:c r="A659" s="2" t="str">
        <x:v>SIM-E2-MP-L8-R04</x:v>
      </x:c>
      <x:c r="B659" s="2" t="n">
        <x:v>2</x:v>
      </x:c>
      <x:c r="C659" s="2" t="str">
        <x:v>MP</x:v>
      </x:c>
      <x:c r="D659" s="2" t="str">
        <x:v>Myzus persicae</x:v>
      </x:c>
      <x:c r="E659" s="2" t="str">
        <x:v>L8</x:v>
      </x:c>
      <x:c r="F659" s="2" t="n">
        <x:v>4</x:v>
      </x:c>
      <x:c r="G659" s="2" t="n">
        <x:v>27</x:v>
      </x:c>
      <x:c r="H659" s="2" t="n">
        <x:f>G659+Supuestos!$C$15</x:f>
        <x:v>28</x:v>
      </x:c>
      <x:c r="I659" s="14" t="n">
        <x:f>E2_plantas!J17+G659</x:f>
        <x:v>46208</x:v>
      </x:c>
      <x:c r="J659" s="2" t="str">
        <x:v>muerta</x:v>
      </x:c>
      <x:c r="K659" s="2" t="n">
        <x:v>0</x:v>
      </x:c>
      <x:c r="L659" s="2" t="n">
        <x:v>0</x:v>
      </x:c>
      <x:c r="M659" s="2" t="n">
        <x:f>SUM(L$632:L659)</x:f>
        <x:v>25</x:v>
      </x:c>
      <x:c r="N659" s="2" t="n">
        <x:v>0</x:v>
      </x:c>
      <x:c r="O659" s="2" t="str">
        <x:v>relleno_postmuerte</x:v>
      </x:c>
      <x:c r="P659" s="2" t="n">
        <x:v>0</x:v>
      </x:c>
      <x:c r="Q659" s="2" t="str">
        <x:v>simulado_didactico</x:v>
      </x:c>
    </x:row>
    <x:row r="660" ht="19" customHeight="1">
      <x:c r="A660" s="2" t="str">
        <x:v>SIM-E2-MP-L8-R04</x:v>
      </x:c>
      <x:c r="B660" s="2" t="n">
        <x:v>2</x:v>
      </x:c>
      <x:c r="C660" s="2" t="str">
        <x:v>MP</x:v>
      </x:c>
      <x:c r="D660" s="2" t="str">
        <x:v>Myzus persicae</x:v>
      </x:c>
      <x:c r="E660" s="2" t="str">
        <x:v>L8</x:v>
      </x:c>
      <x:c r="F660" s="2" t="n">
        <x:v>4</x:v>
      </x:c>
      <x:c r="G660" s="2" t="n">
        <x:v>28</x:v>
      </x:c>
      <x:c r="H660" s="2" t="n">
        <x:f>G660+Supuestos!$C$15</x:f>
        <x:v>29</x:v>
      </x:c>
      <x:c r="I660" s="14" t="n">
        <x:f>E2_plantas!J17+G660</x:f>
        <x:v>46209</x:v>
      </x:c>
      <x:c r="J660" s="2" t="str">
        <x:v>muerta</x:v>
      </x:c>
      <x:c r="K660" s="2" t="n">
        <x:v>0</x:v>
      </x:c>
      <x:c r="L660" s="2" t="n">
        <x:v>0</x:v>
      </x:c>
      <x:c r="M660" s="2" t="n">
        <x:f>SUM(L$632:L660)</x:f>
        <x:v>25</x:v>
      </x:c>
      <x:c r="N660" s="2" t="n">
        <x:v>0</x:v>
      </x:c>
      <x:c r="O660" s="2" t="str">
        <x:v>relleno_postmuerte</x:v>
      </x:c>
      <x:c r="P660" s="2" t="n">
        <x:v>0</x:v>
      </x:c>
      <x:c r="Q660" s="2" t="str">
        <x:v>simulado_didactico</x:v>
      </x:c>
    </x:row>
    <x:row r="661" ht="19" customHeight="1">
      <x:c r="A661" s="2" t="str">
        <x:v>SIM-E2-MP-L8-R04</x:v>
      </x:c>
      <x:c r="B661" s="2" t="n">
        <x:v>2</x:v>
      </x:c>
      <x:c r="C661" s="2" t="str">
        <x:v>MP</x:v>
      </x:c>
      <x:c r="D661" s="2" t="str">
        <x:v>Myzus persicae</x:v>
      </x:c>
      <x:c r="E661" s="2" t="str">
        <x:v>L8</x:v>
      </x:c>
      <x:c r="F661" s="2" t="n">
        <x:v>4</x:v>
      </x:c>
      <x:c r="G661" s="2" t="n">
        <x:v>29</x:v>
      </x:c>
      <x:c r="H661" s="2" t="n">
        <x:f>G661+Supuestos!$C$15</x:f>
        <x:v>30</x:v>
      </x:c>
      <x:c r="I661" s="14" t="n">
        <x:f>E2_plantas!J17+G661</x:f>
        <x:v>46210</x:v>
      </x:c>
      <x:c r="J661" s="2" t="str">
        <x:v>muerta</x:v>
      </x:c>
      <x:c r="K661" s="2" t="n">
        <x:v>0</x:v>
      </x:c>
      <x:c r="L661" s="2" t="n">
        <x:v>0</x:v>
      </x:c>
      <x:c r="M661" s="2" t="n">
        <x:f>SUM(L$632:L661)</x:f>
        <x:v>25</x:v>
      </x:c>
      <x:c r="N661" s="2" t="n">
        <x:v>0</x:v>
      </x:c>
      <x:c r="O661" s="2" t="str">
        <x:v>relleno_postmuerte</x:v>
      </x:c>
      <x:c r="P661" s="2" t="n">
        <x:v>0</x:v>
      </x:c>
      <x:c r="Q661" s="2" t="str">
        <x:v>simulado_didactico</x:v>
      </x:c>
    </x:row>
    <x:row r="662" ht="19" customHeight="1">
      <x:c r="A662" s="2" t="str">
        <x:v>SIM-E2-MP-L8-R04</x:v>
      </x:c>
      <x:c r="B662" s="2" t="n">
        <x:v>2</x:v>
      </x:c>
      <x:c r="C662" s="2" t="str">
        <x:v>MP</x:v>
      </x:c>
      <x:c r="D662" s="2" t="str">
        <x:v>Myzus persicae</x:v>
      </x:c>
      <x:c r="E662" s="2" t="str">
        <x:v>L8</x:v>
      </x:c>
      <x:c r="F662" s="2" t="n">
        <x:v>4</x:v>
      </x:c>
      <x:c r="G662" s="2" t="n">
        <x:v>30</x:v>
      </x:c>
      <x:c r="H662" s="2" t="n">
        <x:f>G662+Supuestos!$C$15</x:f>
        <x:v>31</x:v>
      </x:c>
      <x:c r="I662" s="14" t="n">
        <x:f>E2_plantas!J17+G662</x:f>
        <x:v>46211</x:v>
      </x:c>
      <x:c r="J662" s="2" t="str">
        <x:v>muerta</x:v>
      </x:c>
      <x:c r="K662" s="2" t="n">
        <x:v>0</x:v>
      </x:c>
      <x:c r="L662" s="2" t="n">
        <x:v>0</x:v>
      </x:c>
      <x:c r="M662" s="2" t="n">
        <x:f>SUM(L$632:L662)</x:f>
        <x:v>25</x:v>
      </x:c>
      <x:c r="N662" s="2" t="n">
        <x:v>0</x:v>
      </x:c>
      <x:c r="O662" s="2" t="str">
        <x:v>relleno_postmuerte</x:v>
      </x:c>
      <x:c r="P662" s="2" t="n">
        <x:v>0</x:v>
      </x:c>
      <x:c r="Q662" s="2" t="str">
        <x:v>simulado_didactico</x:v>
      </x:c>
    </x:row>
    <x:row r="663" ht="19" customHeight="1">
      <x:c r="A663" s="2" t="str">
        <x:v>SIM-E2-MP-L8-R04</x:v>
      </x:c>
      <x:c r="B663" s="2" t="n">
        <x:v>2</x:v>
      </x:c>
      <x:c r="C663" s="2" t="str">
        <x:v>MP</x:v>
      </x:c>
      <x:c r="D663" s="2" t="str">
        <x:v>Myzus persicae</x:v>
      </x:c>
      <x:c r="E663" s="2" t="str">
        <x:v>L8</x:v>
      </x:c>
      <x:c r="F663" s="2" t="n">
        <x:v>4</x:v>
      </x:c>
      <x:c r="G663" s="2" t="n">
        <x:v>31</x:v>
      </x:c>
      <x:c r="H663" s="2" t="n">
        <x:f>G663+Supuestos!$C$15</x:f>
        <x:v>32</x:v>
      </x:c>
      <x:c r="I663" s="14" t="n">
        <x:f>E2_plantas!J17+G663</x:f>
        <x:v>46212</x:v>
      </x:c>
      <x:c r="J663" s="2" t="str">
        <x:v>muerta</x:v>
      </x:c>
      <x:c r="K663" s="2" t="n">
        <x:v>0</x:v>
      </x:c>
      <x:c r="L663" s="2" t="n">
        <x:v>0</x:v>
      </x:c>
      <x:c r="M663" s="2" t="n">
        <x:f>SUM(L$632:L663)</x:f>
        <x:v>25</x:v>
      </x:c>
      <x:c r="N663" s="2" t="n">
        <x:v>0</x:v>
      </x:c>
      <x:c r="O663" s="2" t="str">
        <x:v>relleno_postmuerte</x:v>
      </x:c>
      <x:c r="P663" s="2" t="n">
        <x:v>0</x:v>
      </x:c>
      <x:c r="Q663" s="2" t="str">
        <x:v>simulado_didactico</x:v>
      </x:c>
    </x:row>
    <x:row r="664" ht="19" customHeight="1">
      <x:c r="A664" s="2" t="str">
        <x:v>SIM-E2-MP-L8-R04</x:v>
      </x:c>
      <x:c r="B664" s="2" t="n">
        <x:v>2</x:v>
      </x:c>
      <x:c r="C664" s="2" t="str">
        <x:v>MP</x:v>
      </x:c>
      <x:c r="D664" s="2" t="str">
        <x:v>Myzus persicae</x:v>
      </x:c>
      <x:c r="E664" s="2" t="str">
        <x:v>L8</x:v>
      </x:c>
      <x:c r="F664" s="2" t="n">
        <x:v>4</x:v>
      </x:c>
      <x:c r="G664" s="2" t="n">
        <x:v>32</x:v>
      </x:c>
      <x:c r="H664" s="2" t="n">
        <x:f>G664+Supuestos!$C$15</x:f>
        <x:v>33</x:v>
      </x:c>
      <x:c r="I664" s="14" t="n">
        <x:f>E2_plantas!J17+G664</x:f>
        <x:v>46213</x:v>
      </x:c>
      <x:c r="J664" s="2" t="str">
        <x:v>muerta</x:v>
      </x:c>
      <x:c r="K664" s="2" t="n">
        <x:v>0</x:v>
      </x:c>
      <x:c r="L664" s="2" t="n">
        <x:v>0</x:v>
      </x:c>
      <x:c r="M664" s="2" t="n">
        <x:f>SUM(L$632:L664)</x:f>
        <x:v>25</x:v>
      </x:c>
      <x:c r="N664" s="2" t="n">
        <x:v>0</x:v>
      </x:c>
      <x:c r="O664" s="2" t="str">
        <x:v>relleno_postmuerte</x:v>
      </x:c>
      <x:c r="P664" s="2" t="n">
        <x:v>0</x:v>
      </x:c>
      <x:c r="Q664" s="2" t="str">
        <x:v>simulado_didactico</x:v>
      </x:c>
    </x:row>
    <x:row r="665" ht="19" customHeight="1">
      <x:c r="A665" s="2" t="str">
        <x:v>SIM-E2-MP-L8-R04</x:v>
      </x:c>
      <x:c r="B665" s="2" t="n">
        <x:v>2</x:v>
      </x:c>
      <x:c r="C665" s="2" t="str">
        <x:v>MP</x:v>
      </x:c>
      <x:c r="D665" s="2" t="str">
        <x:v>Myzus persicae</x:v>
      </x:c>
      <x:c r="E665" s="2" t="str">
        <x:v>L8</x:v>
      </x:c>
      <x:c r="F665" s="2" t="n">
        <x:v>4</x:v>
      </x:c>
      <x:c r="G665" s="2" t="n">
        <x:v>33</x:v>
      </x:c>
      <x:c r="H665" s="2" t="n">
        <x:f>G665+Supuestos!$C$15</x:f>
        <x:v>34</x:v>
      </x:c>
      <x:c r="I665" s="14" t="n">
        <x:f>E2_plantas!J17+G665</x:f>
        <x:v>46214</x:v>
      </x:c>
      <x:c r="J665" s="2" t="str">
        <x:v>muerta</x:v>
      </x:c>
      <x:c r="K665" s="2" t="n">
        <x:v>0</x:v>
      </x:c>
      <x:c r="L665" s="2" t="n">
        <x:v>0</x:v>
      </x:c>
      <x:c r="M665" s="2" t="n">
        <x:f>SUM(L$632:L665)</x:f>
        <x:v>25</x:v>
      </x:c>
      <x:c r="N665" s="2" t="n">
        <x:v>0</x:v>
      </x:c>
      <x:c r="O665" s="2" t="str">
        <x:v>relleno_postmuerte</x:v>
      </x:c>
      <x:c r="P665" s="2" t="n">
        <x:v>0</x:v>
      </x:c>
      <x:c r="Q665" s="2" t="str">
        <x:v>simulado_didactico</x:v>
      </x:c>
    </x:row>
    <x:row r="666" ht="19" customHeight="1">
      <x:c r="A666" s="2" t="str">
        <x:v>SIM-E2-MP-L8-R04</x:v>
      </x:c>
      <x:c r="B666" s="2" t="n">
        <x:v>2</x:v>
      </x:c>
      <x:c r="C666" s="2" t="str">
        <x:v>MP</x:v>
      </x:c>
      <x:c r="D666" s="2" t="str">
        <x:v>Myzus persicae</x:v>
      </x:c>
      <x:c r="E666" s="2" t="str">
        <x:v>L8</x:v>
      </x:c>
      <x:c r="F666" s="2" t="n">
        <x:v>4</x:v>
      </x:c>
      <x:c r="G666" s="2" t="n">
        <x:v>34</x:v>
      </x:c>
      <x:c r="H666" s="2" t="n">
        <x:f>G666+Supuestos!$C$15</x:f>
        <x:v>35</x:v>
      </x:c>
      <x:c r="I666" s="14" t="n">
        <x:f>E2_plantas!J17+G666</x:f>
        <x:v>46215</x:v>
      </x:c>
      <x:c r="J666" s="2" t="str">
        <x:v>muerta</x:v>
      </x:c>
      <x:c r="K666" s="2" t="n">
        <x:v>0</x:v>
      </x:c>
      <x:c r="L666" s="2" t="n">
        <x:v>0</x:v>
      </x:c>
      <x:c r="M666" s="2" t="n">
        <x:f>SUM(L$632:L666)</x:f>
        <x:v>25</x:v>
      </x:c>
      <x:c r="N666" s="2" t="n">
        <x:v>0</x:v>
      </x:c>
      <x:c r="O666" s="2" t="str">
        <x:v>relleno_postmuerte</x:v>
      </x:c>
      <x:c r="P666" s="2" t="n">
        <x:v>0</x:v>
      </x:c>
      <x:c r="Q666" s="2" t="str">
        <x:v>simulado_didactico</x:v>
      </x:c>
    </x:row>
    <x:row r="667" ht="19" customHeight="1">
      <x:c r="A667" s="2" t="str">
        <x:v>SIM-E2-MP-L8-R04</x:v>
      </x:c>
      <x:c r="B667" s="2" t="n">
        <x:v>2</x:v>
      </x:c>
      <x:c r="C667" s="2" t="str">
        <x:v>MP</x:v>
      </x:c>
      <x:c r="D667" s="2" t="str">
        <x:v>Myzus persicae</x:v>
      </x:c>
      <x:c r="E667" s="2" t="str">
        <x:v>L8</x:v>
      </x:c>
      <x:c r="F667" s="2" t="n">
        <x:v>4</x:v>
      </x:c>
      <x:c r="G667" s="2" t="n">
        <x:v>35</x:v>
      </x:c>
      <x:c r="H667" s="2" t="n">
        <x:f>G667+Supuestos!$C$15</x:f>
        <x:v>36</x:v>
      </x:c>
      <x:c r="I667" s="14" t="n">
        <x:f>E2_plantas!J17+G667</x:f>
        <x:v>46216</x:v>
      </x:c>
      <x:c r="J667" s="2" t="str">
        <x:v>muerta</x:v>
      </x:c>
      <x:c r="K667" s="2" t="n">
        <x:v>0</x:v>
      </x:c>
      <x:c r="L667" s="2" t="n">
        <x:v>0</x:v>
      </x:c>
      <x:c r="M667" s="2" t="n">
        <x:f>SUM(L$632:L667)</x:f>
        <x:v>25</x:v>
      </x:c>
      <x:c r="N667" s="2" t="n">
        <x:v>0</x:v>
      </x:c>
      <x:c r="O667" s="2" t="str">
        <x:v>relleno_postmuerte</x:v>
      </x:c>
      <x:c r="P667" s="2" t="n">
        <x:v>0</x:v>
      </x:c>
      <x:c r="Q667" s="2" t="str">
        <x:v>simulado_didactico</x:v>
      </x:c>
    </x:row>
    <x:row r="668" ht="19" customHeight="1">
      <x:c r="A668" s="2" t="str">
        <x:v>SIM-E2-MP-L8-R04</x:v>
      </x:c>
      <x:c r="B668" s="2" t="n">
        <x:v>2</x:v>
      </x:c>
      <x:c r="C668" s="2" t="str">
        <x:v>MP</x:v>
      </x:c>
      <x:c r="D668" s="2" t="str">
        <x:v>Myzus persicae</x:v>
      </x:c>
      <x:c r="E668" s="2" t="str">
        <x:v>L8</x:v>
      </x:c>
      <x:c r="F668" s="2" t="n">
        <x:v>4</x:v>
      </x:c>
      <x:c r="G668" s="2" t="n">
        <x:v>36</x:v>
      </x:c>
      <x:c r="H668" s="2" t="n">
        <x:f>G668+Supuestos!$C$15</x:f>
        <x:v>37</x:v>
      </x:c>
      <x:c r="I668" s="14" t="n">
        <x:f>E2_plantas!J17+G668</x:f>
        <x:v>46217</x:v>
      </x:c>
      <x:c r="J668" s="2" t="str">
        <x:v>muerta</x:v>
      </x:c>
      <x:c r="K668" s="2" t="n">
        <x:v>0</x:v>
      </x:c>
      <x:c r="L668" s="2" t="n">
        <x:v>0</x:v>
      </x:c>
      <x:c r="M668" s="2" t="n">
        <x:f>SUM(L$632:L668)</x:f>
        <x:v>25</x:v>
      </x:c>
      <x:c r="N668" s="2" t="n">
        <x:v>0</x:v>
      </x:c>
      <x:c r="O668" s="2" t="str">
        <x:v>relleno_postmuerte</x:v>
      </x:c>
      <x:c r="P668" s="2" t="n">
        <x:v>0</x:v>
      </x:c>
      <x:c r="Q668" s="2" t="str">
        <x:v>simulado_didactico</x:v>
      </x:c>
    </x:row>
    <x:row r="669" ht="19" customHeight="1">
      <x:c r="A669" s="2" t="str">
        <x:v>SIM-E2-MP-L8-R04</x:v>
      </x:c>
      <x:c r="B669" s="2" t="n">
        <x:v>2</x:v>
      </x:c>
      <x:c r="C669" s="2" t="str">
        <x:v>MP</x:v>
      </x:c>
      <x:c r="D669" s="2" t="str">
        <x:v>Myzus persicae</x:v>
      </x:c>
      <x:c r="E669" s="2" t="str">
        <x:v>L8</x:v>
      </x:c>
      <x:c r="F669" s="2" t="n">
        <x:v>4</x:v>
      </x:c>
      <x:c r="G669" s="2" t="n">
        <x:v>37</x:v>
      </x:c>
      <x:c r="H669" s="2" t="n">
        <x:f>G669+Supuestos!$C$15</x:f>
        <x:v>38</x:v>
      </x:c>
      <x:c r="I669" s="14" t="n">
        <x:f>E2_plantas!J17+G669</x:f>
        <x:v>46218</x:v>
      </x:c>
      <x:c r="J669" s="2" t="str">
        <x:v>muerta</x:v>
      </x:c>
      <x:c r="K669" s="2" t="n">
        <x:v>0</x:v>
      </x:c>
      <x:c r="L669" s="2" t="n">
        <x:v>0</x:v>
      </x:c>
      <x:c r="M669" s="2" t="n">
        <x:f>SUM(L$632:L669)</x:f>
        <x:v>25</x:v>
      </x:c>
      <x:c r="N669" s="2" t="n">
        <x:v>0</x:v>
      </x:c>
      <x:c r="O669" s="2" t="str">
        <x:v>relleno_postmuerte</x:v>
      </x:c>
      <x:c r="P669" s="2" t="n">
        <x:v>0</x:v>
      </x:c>
      <x:c r="Q669" s="2" t="str">
        <x:v>simulado_didactico</x:v>
      </x:c>
    </x:row>
    <x:row r="670" ht="19" customHeight="1">
      <x:c r="A670" s="2" t="str">
        <x:v>SIM-E2-MP-L8-R04</x:v>
      </x:c>
      <x:c r="B670" s="2" t="n">
        <x:v>2</x:v>
      </x:c>
      <x:c r="C670" s="2" t="str">
        <x:v>MP</x:v>
      </x:c>
      <x:c r="D670" s="2" t="str">
        <x:v>Myzus persicae</x:v>
      </x:c>
      <x:c r="E670" s="2" t="str">
        <x:v>L8</x:v>
      </x:c>
      <x:c r="F670" s="2" t="n">
        <x:v>4</x:v>
      </x:c>
      <x:c r="G670" s="2" t="n">
        <x:v>38</x:v>
      </x:c>
      <x:c r="H670" s="2" t="n">
        <x:f>G670+Supuestos!$C$15</x:f>
        <x:v>39</x:v>
      </x:c>
      <x:c r="I670" s="14" t="n">
        <x:f>E2_plantas!J17+G670</x:f>
        <x:v>46219</x:v>
      </x:c>
      <x:c r="J670" s="2" t="str">
        <x:v>muerta</x:v>
      </x:c>
      <x:c r="K670" s="2" t="n">
        <x:v>0</x:v>
      </x:c>
      <x:c r="L670" s="2" t="n">
        <x:v>0</x:v>
      </x:c>
      <x:c r="M670" s="2" t="n">
        <x:f>SUM(L$632:L670)</x:f>
        <x:v>25</x:v>
      </x:c>
      <x:c r="N670" s="2" t="n">
        <x:v>0</x:v>
      </x:c>
      <x:c r="O670" s="2" t="str">
        <x:v>relleno_postmuerte</x:v>
      </x:c>
      <x:c r="P670" s="2" t="n">
        <x:v>0</x:v>
      </x:c>
      <x:c r="Q670" s="2" t="str">
        <x:v>simulado_didactico</x:v>
      </x:c>
    </x:row>
    <x:row r="671" ht="19" customHeight="1">
      <x:c r="A671" s="2" t="str">
        <x:v>SIM-E2-MP-L8-R04</x:v>
      </x:c>
      <x:c r="B671" s="2" t="n">
        <x:v>2</x:v>
      </x:c>
      <x:c r="C671" s="2" t="str">
        <x:v>MP</x:v>
      </x:c>
      <x:c r="D671" s="2" t="str">
        <x:v>Myzus persicae</x:v>
      </x:c>
      <x:c r="E671" s="2" t="str">
        <x:v>L8</x:v>
      </x:c>
      <x:c r="F671" s="2" t="n">
        <x:v>4</x:v>
      </x:c>
      <x:c r="G671" s="2" t="n">
        <x:v>39</x:v>
      </x:c>
      <x:c r="H671" s="2" t="n">
        <x:f>G671+Supuestos!$C$15</x:f>
        <x:v>40</x:v>
      </x:c>
      <x:c r="I671" s="14" t="n">
        <x:f>E2_plantas!J17+G671</x:f>
        <x:v>46220</x:v>
      </x:c>
      <x:c r="J671" s="2" t="str">
        <x:v>muerta</x:v>
      </x:c>
      <x:c r="K671" s="2" t="n">
        <x:v>0</x:v>
      </x:c>
      <x:c r="L671" s="2" t="n">
        <x:v>0</x:v>
      </x:c>
      <x:c r="M671" s="2" t="n">
        <x:f>SUM(L$632:L671)</x:f>
        <x:v>25</x:v>
      </x:c>
      <x:c r="N671" s="2" t="n">
        <x:v>0</x:v>
      </x:c>
      <x:c r="O671" s="2" t="str">
        <x:v>relleno_postmuerte</x:v>
      </x:c>
      <x:c r="P671" s="2" t="n">
        <x:v>0</x:v>
      </x:c>
      <x:c r="Q671" s="2" t="str">
        <x:v>simulado_didactico</x:v>
      </x:c>
    </x:row>
    <x:row r="672" ht="19" customHeight="1">
      <x:c r="A672" s="2" t="str">
        <x:v>SIM-E2-MP-L8-R04</x:v>
      </x:c>
      <x:c r="B672" s="2" t="n">
        <x:v>2</x:v>
      </x:c>
      <x:c r="C672" s="2" t="str">
        <x:v>MP</x:v>
      </x:c>
      <x:c r="D672" s="2" t="str">
        <x:v>Myzus persicae</x:v>
      </x:c>
      <x:c r="E672" s="2" t="str">
        <x:v>L8</x:v>
      </x:c>
      <x:c r="F672" s="2" t="n">
        <x:v>4</x:v>
      </x:c>
      <x:c r="G672" s="2" t="n">
        <x:v>40</x:v>
      </x:c>
      <x:c r="H672" s="2" t="n">
        <x:f>G672+Supuestos!$C$15</x:f>
        <x:v>41</x:v>
      </x:c>
      <x:c r="I672" s="14" t="n">
        <x:f>E2_plantas!J17+G672</x:f>
        <x:v>46221</x:v>
      </x:c>
      <x:c r="J672" s="2" t="str">
        <x:v>muerta</x:v>
      </x:c>
      <x:c r="K672" s="2" t="n">
        <x:v>0</x:v>
      </x:c>
      <x:c r="L672" s="2" t="n">
        <x:v>0</x:v>
      </x:c>
      <x:c r="M672" s="2" t="n">
        <x:f>SUM(L$632:L672)</x:f>
        <x:v>25</x:v>
      </x:c>
      <x:c r="N672" s="2" t="n">
        <x:v>0</x:v>
      </x:c>
      <x:c r="O672" s="2" t="str">
        <x:v>relleno_postmuerte</x:v>
      </x:c>
      <x:c r="P672" s="2" t="n">
        <x:v>0</x:v>
      </x:c>
      <x:c r="Q672" s="2" t="str">
        <x:v>simulado_didactico</x:v>
      </x:c>
    </x:row>
    <x:row r="673" ht="19" customHeight="1">
      <x:c r="A673" s="2" t="str">
        <x:v>SIM-E2-MP-L8-R04</x:v>
      </x:c>
      <x:c r="B673" s="2" t="n">
        <x:v>2</x:v>
      </x:c>
      <x:c r="C673" s="2" t="str">
        <x:v>MP</x:v>
      </x:c>
      <x:c r="D673" s="2" t="str">
        <x:v>Myzus persicae</x:v>
      </x:c>
      <x:c r="E673" s="2" t="str">
        <x:v>L8</x:v>
      </x:c>
      <x:c r="F673" s="2" t="n">
        <x:v>4</x:v>
      </x:c>
      <x:c r="G673" s="2" t="n">
        <x:v>41</x:v>
      </x:c>
      <x:c r="H673" s="2" t="n">
        <x:f>G673+Supuestos!$C$15</x:f>
        <x:v>42</x:v>
      </x:c>
      <x:c r="I673" s="14" t="n">
        <x:f>E2_plantas!J17+G673</x:f>
        <x:v>46222</x:v>
      </x:c>
      <x:c r="J673" s="2" t="str">
        <x:v>muerta</x:v>
      </x:c>
      <x:c r="K673" s="2" t="n">
        <x:v>0</x:v>
      </x:c>
      <x:c r="L673" s="2" t="n">
        <x:v>0</x:v>
      </x:c>
      <x:c r="M673" s="2" t="n">
        <x:f>SUM(L$632:L673)</x:f>
        <x:v>25</x:v>
      </x:c>
      <x:c r="N673" s="2" t="n">
        <x:v>0</x:v>
      </x:c>
      <x:c r="O673" s="2" t="str">
        <x:v>relleno_postmuerte</x:v>
      </x:c>
      <x:c r="P673" s="2" t="n">
        <x:v>0</x:v>
      </x:c>
      <x:c r="Q673" s="2" t="str">
        <x:v>simulado_didactico</x:v>
      </x:c>
    </x:row>
    <x:row r="674" ht="19" customHeight="1">
      <x:c r="A674" s="2" t="str">
        <x:v>SIM-E2-MP-L7-R03</x:v>
      </x:c>
      <x:c r="B674" s="2" t="n">
        <x:v>2</x:v>
      </x:c>
      <x:c r="C674" s="2" t="str">
        <x:v>MP</x:v>
      </x:c>
      <x:c r="D674" s="2" t="str">
        <x:v>Myzus persicae</x:v>
      </x:c>
      <x:c r="E674" s="2" t="str">
        <x:v>L7</x:v>
      </x:c>
      <x:c r="F674" s="2" t="n">
        <x:v>3</x:v>
      </x:c>
      <x:c r="G674" s="2" t="n">
        <x:v>0</x:v>
      </x:c>
      <x:c r="H674" s="2" t="n">
        <x:f>G674+Supuestos!$C$15</x:f>
        <x:v>1</x:v>
      </x:c>
      <x:c r="I674" s="14" t="n">
        <x:f>E2_plantas!J18+G674</x:f>
        <x:v>46181</x:v>
      </x:c>
      <x:c r="J674" s="2" t="str">
        <x:v>N1</x:v>
      </x:c>
      <x:c r="K674" s="2" t="n">
        <x:v>1</x:v>
      </x:c>
      <x:c r="L674" s="2" t="n">
        <x:v>0</x:v>
      </x:c>
      <x:c r="M674" s="2" t="n">
        <x:f>SUM(L$674:L674)</x:f>
        <x:v>0</x:v>
      </x:c>
      <x:c r="N674" s="2" t="n">
        <x:v>0</x:v>
      </x:c>
      <x:c r="O674" s="2" t="str">
        <x:v>seguimiento</x:v>
      </x:c>
      <x:c r="P674" s="2" t="n">
        <x:v>0</x:v>
      </x:c>
      <x:c r="Q674" s="2" t="str">
        <x:v>simulado_didactico</x:v>
      </x:c>
    </x:row>
    <x:row r="675" ht="19" customHeight="1">
      <x:c r="A675" s="2" t="str">
        <x:v>SIM-E2-MP-L7-R03</x:v>
      </x:c>
      <x:c r="B675" s="2" t="n">
        <x:v>2</x:v>
      </x:c>
      <x:c r="C675" s="2" t="str">
        <x:v>MP</x:v>
      </x:c>
      <x:c r="D675" s="2" t="str">
        <x:v>Myzus persicae</x:v>
      </x:c>
      <x:c r="E675" s="2" t="str">
        <x:v>L7</x:v>
      </x:c>
      <x:c r="F675" s="2" t="n">
        <x:v>3</x:v>
      </x:c>
      <x:c r="G675" s="2" t="n">
        <x:v>1</x:v>
      </x:c>
      <x:c r="H675" s="2" t="n">
        <x:f>G675+Supuestos!$C$15</x:f>
        <x:v>2</x:v>
      </x:c>
      <x:c r="I675" s="14" t="n">
        <x:f>E2_plantas!J18+G675</x:f>
        <x:v>46182</x:v>
      </x:c>
      <x:c r="J675" s="2" t="str">
        <x:v>N1</x:v>
      </x:c>
      <x:c r="K675" s="2" t="n">
        <x:v>1</x:v>
      </x:c>
      <x:c r="L675" s="2" t="n">
        <x:v>0</x:v>
      </x:c>
      <x:c r="M675" s="2" t="n">
        <x:f>SUM(L$674:L675)</x:f>
        <x:v>0</x:v>
      </x:c>
      <x:c r="N675" s="2" t="n">
        <x:v>0</x:v>
      </x:c>
      <x:c r="O675" s="2" t="str">
        <x:v>seguimiento</x:v>
      </x:c>
      <x:c r="P675" s="2" t="n">
        <x:v>0</x:v>
      </x:c>
      <x:c r="Q675" s="2" t="str">
        <x:v>simulado_didactico</x:v>
      </x:c>
    </x:row>
    <x:row r="676" ht="19" customHeight="1">
      <x:c r="A676" s="2" t="str">
        <x:v>SIM-E2-MP-L7-R03</x:v>
      </x:c>
      <x:c r="B676" s="2" t="n">
        <x:v>2</x:v>
      </x:c>
      <x:c r="C676" s="2" t="str">
        <x:v>MP</x:v>
      </x:c>
      <x:c r="D676" s="2" t="str">
        <x:v>Myzus persicae</x:v>
      </x:c>
      <x:c r="E676" s="2" t="str">
        <x:v>L7</x:v>
      </x:c>
      <x:c r="F676" s="2" t="n">
        <x:v>3</x:v>
      </x:c>
      <x:c r="G676" s="2" t="n">
        <x:v>2</x:v>
      </x:c>
      <x:c r="H676" s="2" t="n">
        <x:f>G676+Supuestos!$C$15</x:f>
        <x:v>3</x:v>
      </x:c>
      <x:c r="I676" s="14" t="n">
        <x:f>E2_plantas!J18+G676</x:f>
        <x:v>46183</x:v>
      </x:c>
      <x:c r="J676" s="2" t="str">
        <x:v>N1</x:v>
      </x:c>
      <x:c r="K676" s="2" t="n">
        <x:v>1</x:v>
      </x:c>
      <x:c r="L676" s="2" t="n">
        <x:v>0</x:v>
      </x:c>
      <x:c r="M676" s="2" t="n">
        <x:f>SUM(L$674:L676)</x:f>
        <x:v>0</x:v>
      </x:c>
      <x:c r="N676" s="2" t="n">
        <x:v>0</x:v>
      </x:c>
      <x:c r="O676" s="2" t="str">
        <x:v>seguimiento</x:v>
      </x:c>
      <x:c r="P676" s="2" t="n">
        <x:v>0</x:v>
      </x:c>
      <x:c r="Q676" s="2" t="str">
        <x:v>simulado_didactico</x:v>
      </x:c>
    </x:row>
    <x:row r="677" ht="19" customHeight="1">
      <x:c r="A677" s="2" t="str">
        <x:v>SIM-E2-MP-L7-R03</x:v>
      </x:c>
      <x:c r="B677" s="2" t="n">
        <x:v>2</x:v>
      </x:c>
      <x:c r="C677" s="2" t="str">
        <x:v>MP</x:v>
      </x:c>
      <x:c r="D677" s="2" t="str">
        <x:v>Myzus persicae</x:v>
      </x:c>
      <x:c r="E677" s="2" t="str">
        <x:v>L7</x:v>
      </x:c>
      <x:c r="F677" s="2" t="n">
        <x:v>3</x:v>
      </x:c>
      <x:c r="G677" s="2" t="n">
        <x:v>3</x:v>
      </x:c>
      <x:c r="H677" s="2" t="n">
        <x:f>G677+Supuestos!$C$15</x:f>
        <x:v>4</x:v>
      </x:c>
      <x:c r="I677" s="14" t="n">
        <x:f>E2_plantas!J18+G677</x:f>
        <x:v>46184</x:v>
      </x:c>
      <x:c r="J677" s="2" t="str">
        <x:v>N2</x:v>
      </x:c>
      <x:c r="K677" s="2" t="n">
        <x:v>1</x:v>
      </x:c>
      <x:c r="L677" s="2" t="n">
        <x:v>0</x:v>
      </x:c>
      <x:c r="M677" s="2" t="n">
        <x:f>SUM(L$674:L677)</x:f>
        <x:v>0</x:v>
      </x:c>
      <x:c r="N677" s="2" t="n">
        <x:v>0</x:v>
      </x:c>
      <x:c r="O677" s="2" t="str">
        <x:v>seguimiento</x:v>
      </x:c>
      <x:c r="P677" s="2" t="n">
        <x:v>0</x:v>
      </x:c>
      <x:c r="Q677" s="2" t="str">
        <x:v>simulado_didactico</x:v>
      </x:c>
    </x:row>
    <x:row r="678" ht="19" customHeight="1">
      <x:c r="A678" s="2" t="str">
        <x:v>SIM-E2-MP-L7-R03</x:v>
      </x:c>
      <x:c r="B678" s="2" t="n">
        <x:v>2</x:v>
      </x:c>
      <x:c r="C678" s="2" t="str">
        <x:v>MP</x:v>
      </x:c>
      <x:c r="D678" s="2" t="str">
        <x:v>Myzus persicae</x:v>
      </x:c>
      <x:c r="E678" s="2" t="str">
        <x:v>L7</x:v>
      </x:c>
      <x:c r="F678" s="2" t="n">
        <x:v>3</x:v>
      </x:c>
      <x:c r="G678" s="2" t="n">
        <x:v>4</x:v>
      </x:c>
      <x:c r="H678" s="2" t="n">
        <x:f>G678+Supuestos!$C$15</x:f>
        <x:v>5</x:v>
      </x:c>
      <x:c r="I678" s="14" t="n">
        <x:f>E2_plantas!J18+G678</x:f>
        <x:v>46185</x:v>
      </x:c>
      <x:c r="J678" s="2" t="str">
        <x:v>N2</x:v>
      </x:c>
      <x:c r="K678" s="2" t="n">
        <x:v>1</x:v>
      </x:c>
      <x:c r="L678" s="2" t="n">
        <x:v>0</x:v>
      </x:c>
      <x:c r="M678" s="2" t="n">
        <x:f>SUM(L$674:L678)</x:f>
        <x:v>0</x:v>
      </x:c>
      <x:c r="N678" s="2" t="n">
        <x:v>0</x:v>
      </x:c>
      <x:c r="O678" s="2" t="str">
        <x:v>seguimiento</x:v>
      </x:c>
      <x:c r="P678" s="2" t="n">
        <x:v>0</x:v>
      </x:c>
      <x:c r="Q678" s="2" t="str">
        <x:v>simulado_didactico</x:v>
      </x:c>
    </x:row>
    <x:row r="679" ht="19" customHeight="1">
      <x:c r="A679" s="2" t="str">
        <x:v>SIM-E2-MP-L7-R03</x:v>
      </x:c>
      <x:c r="B679" s="2" t="n">
        <x:v>2</x:v>
      </x:c>
      <x:c r="C679" s="2" t="str">
        <x:v>MP</x:v>
      </x:c>
      <x:c r="D679" s="2" t="str">
        <x:v>Myzus persicae</x:v>
      </x:c>
      <x:c r="E679" s="2" t="str">
        <x:v>L7</x:v>
      </x:c>
      <x:c r="F679" s="2" t="n">
        <x:v>3</x:v>
      </x:c>
      <x:c r="G679" s="2" t="n">
        <x:v>5</x:v>
      </x:c>
      <x:c r="H679" s="2" t="n">
        <x:f>G679+Supuestos!$C$15</x:f>
        <x:v>6</x:v>
      </x:c>
      <x:c r="I679" s="14" t="n">
        <x:f>E2_plantas!J18+G679</x:f>
        <x:v>46186</x:v>
      </x:c>
      <x:c r="J679" s="2" t="str">
        <x:v>N3</x:v>
      </x:c>
      <x:c r="K679" s="2" t="n">
        <x:v>1</x:v>
      </x:c>
      <x:c r="L679" s="2" t="n">
        <x:v>0</x:v>
      </x:c>
      <x:c r="M679" s="2" t="n">
        <x:f>SUM(L$674:L679)</x:f>
        <x:v>0</x:v>
      </x:c>
      <x:c r="N679" s="2" t="n">
        <x:v>0</x:v>
      </x:c>
      <x:c r="O679" s="2" t="str">
        <x:v>seguimiento</x:v>
      </x:c>
      <x:c r="P679" s="2" t="n">
        <x:v>0</x:v>
      </x:c>
      <x:c r="Q679" s="2" t="str">
        <x:v>simulado_didactico</x:v>
      </x:c>
    </x:row>
    <x:row r="680" ht="19" customHeight="1">
      <x:c r="A680" s="2" t="str">
        <x:v>SIM-E2-MP-L7-R03</x:v>
      </x:c>
      <x:c r="B680" s="2" t="n">
        <x:v>2</x:v>
      </x:c>
      <x:c r="C680" s="2" t="str">
        <x:v>MP</x:v>
      </x:c>
      <x:c r="D680" s="2" t="str">
        <x:v>Myzus persicae</x:v>
      </x:c>
      <x:c r="E680" s="2" t="str">
        <x:v>L7</x:v>
      </x:c>
      <x:c r="F680" s="2" t="n">
        <x:v>3</x:v>
      </x:c>
      <x:c r="G680" s="2" t="n">
        <x:v>6</x:v>
      </x:c>
      <x:c r="H680" s="2" t="n">
        <x:f>G680+Supuestos!$C$15</x:f>
        <x:v>7</x:v>
      </x:c>
      <x:c r="I680" s="14" t="n">
        <x:f>E2_plantas!J18+G680</x:f>
        <x:v>46187</x:v>
      </x:c>
      <x:c r="J680" s="2" t="str">
        <x:v>N3</x:v>
      </x:c>
      <x:c r="K680" s="2" t="n">
        <x:v>1</x:v>
      </x:c>
      <x:c r="L680" s="2" t="n">
        <x:v>0</x:v>
      </x:c>
      <x:c r="M680" s="2" t="n">
        <x:f>SUM(L$674:L680)</x:f>
        <x:v>0</x:v>
      </x:c>
      <x:c r="N680" s="2" t="n">
        <x:v>0</x:v>
      </x:c>
      <x:c r="O680" s="2" t="str">
        <x:v>seguimiento</x:v>
      </x:c>
      <x:c r="P680" s="2" t="n">
        <x:v>0</x:v>
      </x:c>
      <x:c r="Q680" s="2" t="str">
        <x:v>simulado_didactico</x:v>
      </x:c>
    </x:row>
    <x:row r="681" ht="19" customHeight="1">
      <x:c r="A681" s="2" t="str">
        <x:v>SIM-E2-MP-L7-R03</x:v>
      </x:c>
      <x:c r="B681" s="2" t="n">
        <x:v>2</x:v>
      </x:c>
      <x:c r="C681" s="2" t="str">
        <x:v>MP</x:v>
      </x:c>
      <x:c r="D681" s="2" t="str">
        <x:v>Myzus persicae</x:v>
      </x:c>
      <x:c r="E681" s="2" t="str">
        <x:v>L7</x:v>
      </x:c>
      <x:c r="F681" s="2" t="n">
        <x:v>3</x:v>
      </x:c>
      <x:c r="G681" s="2" t="n">
        <x:v>7</x:v>
      </x:c>
      <x:c r="H681" s="2" t="n">
        <x:f>G681+Supuestos!$C$15</x:f>
        <x:v>8</x:v>
      </x:c>
      <x:c r="I681" s="14" t="n">
        <x:f>E2_plantas!J18+G681</x:f>
        <x:v>46188</x:v>
      </x:c>
      <x:c r="J681" s="2" t="str">
        <x:v>muerta</x:v>
      </x:c>
      <x:c r="K681" s="2" t="n">
        <x:v>0</x:v>
      </x:c>
      <x:c r="L681" s="2" t="n">
        <x:v>0</x:v>
      </x:c>
      <x:c r="M681" s="2" t="n">
        <x:f>SUM(L$674:L681)</x:f>
        <x:v>0</x:v>
      </x:c>
      <x:c r="N681" s="2" t="n">
        <x:v>1</x:v>
      </x:c>
      <x:c r="O681" s="2" t="str">
        <x:v>muerte</x:v>
      </x:c>
      <x:c r="P681" s="2" t="n">
        <x:v>0</x:v>
      </x:c>
      <x:c r="Q681" s="2" t="str">
        <x:v>simulado_didactico</x:v>
      </x:c>
    </x:row>
    <x:row r="682" ht="19" customHeight="1">
      <x:c r="A682" s="2" t="str">
        <x:v>SIM-E2-MP-L7-R03</x:v>
      </x:c>
      <x:c r="B682" s="2" t="n">
        <x:v>2</x:v>
      </x:c>
      <x:c r="C682" s="2" t="str">
        <x:v>MP</x:v>
      </x:c>
      <x:c r="D682" s="2" t="str">
        <x:v>Myzus persicae</x:v>
      </x:c>
      <x:c r="E682" s="2" t="str">
        <x:v>L7</x:v>
      </x:c>
      <x:c r="F682" s="2" t="n">
        <x:v>3</x:v>
      </x:c>
      <x:c r="G682" s="2" t="n">
        <x:v>8</x:v>
      </x:c>
      <x:c r="H682" s="2" t="n">
        <x:f>G682+Supuestos!$C$15</x:f>
        <x:v>9</x:v>
      </x:c>
      <x:c r="I682" s="14" t="n">
        <x:f>E2_plantas!J18+G682</x:f>
        <x:v>46189</x:v>
      </x:c>
      <x:c r="J682" s="2" t="str">
        <x:v>muerta</x:v>
      </x:c>
      <x:c r="K682" s="2" t="n">
        <x:v>0</x:v>
      </x:c>
      <x:c r="L682" s="2" t="n">
        <x:v>0</x:v>
      </x:c>
      <x:c r="M682" s="2" t="n">
        <x:f>SUM(L$674:L682)</x:f>
        <x:v>0</x:v>
      </x:c>
      <x:c r="N682" s="2" t="n">
        <x:v>0</x:v>
      </x:c>
      <x:c r="O682" s="2" t="str">
        <x:v>relleno_postmuerte</x:v>
      </x:c>
      <x:c r="P682" s="2" t="n">
        <x:v>0</x:v>
      </x:c>
      <x:c r="Q682" s="2" t="str">
        <x:v>simulado_didactico</x:v>
      </x:c>
    </x:row>
    <x:row r="683" ht="19" customHeight="1">
      <x:c r="A683" s="2" t="str">
        <x:v>SIM-E2-MP-L7-R03</x:v>
      </x:c>
      <x:c r="B683" s="2" t="n">
        <x:v>2</x:v>
      </x:c>
      <x:c r="C683" s="2" t="str">
        <x:v>MP</x:v>
      </x:c>
      <x:c r="D683" s="2" t="str">
        <x:v>Myzus persicae</x:v>
      </x:c>
      <x:c r="E683" s="2" t="str">
        <x:v>L7</x:v>
      </x:c>
      <x:c r="F683" s="2" t="n">
        <x:v>3</x:v>
      </x:c>
      <x:c r="G683" s="2" t="n">
        <x:v>9</x:v>
      </x:c>
      <x:c r="H683" s="2" t="n">
        <x:f>G683+Supuestos!$C$15</x:f>
        <x:v>10</x:v>
      </x:c>
      <x:c r="I683" s="14" t="n">
        <x:f>E2_plantas!J18+G683</x:f>
        <x:v>46190</x:v>
      </x:c>
      <x:c r="J683" s="2" t="str">
        <x:v>muerta</x:v>
      </x:c>
      <x:c r="K683" s="2" t="n">
        <x:v>0</x:v>
      </x:c>
      <x:c r="L683" s="2" t="n">
        <x:v>0</x:v>
      </x:c>
      <x:c r="M683" s="2" t="n">
        <x:f>SUM(L$674:L683)</x:f>
        <x:v>0</x:v>
      </x:c>
      <x:c r="N683" s="2" t="n">
        <x:v>0</x:v>
      </x:c>
      <x:c r="O683" s="2" t="str">
        <x:v>relleno_postmuerte</x:v>
      </x:c>
      <x:c r="P683" s="2" t="n">
        <x:v>0</x:v>
      </x:c>
      <x:c r="Q683" s="2" t="str">
        <x:v>simulado_didactico</x:v>
      </x:c>
    </x:row>
    <x:row r="684" ht="19" customHeight="1">
      <x:c r="A684" s="2" t="str">
        <x:v>SIM-E2-MP-L7-R03</x:v>
      </x:c>
      <x:c r="B684" s="2" t="n">
        <x:v>2</x:v>
      </x:c>
      <x:c r="C684" s="2" t="str">
        <x:v>MP</x:v>
      </x:c>
      <x:c r="D684" s="2" t="str">
        <x:v>Myzus persicae</x:v>
      </x:c>
      <x:c r="E684" s="2" t="str">
        <x:v>L7</x:v>
      </x:c>
      <x:c r="F684" s="2" t="n">
        <x:v>3</x:v>
      </x:c>
      <x:c r="G684" s="2" t="n">
        <x:v>10</x:v>
      </x:c>
      <x:c r="H684" s="2" t="n">
        <x:f>G684+Supuestos!$C$15</x:f>
        <x:v>11</x:v>
      </x:c>
      <x:c r="I684" s="14" t="n">
        <x:f>E2_plantas!J18+G684</x:f>
        <x:v>46191</x:v>
      </x:c>
      <x:c r="J684" s="2" t="str">
        <x:v>muerta</x:v>
      </x:c>
      <x:c r="K684" s="2" t="n">
        <x:v>0</x:v>
      </x:c>
      <x:c r="L684" s="2" t="n">
        <x:v>0</x:v>
      </x:c>
      <x:c r="M684" s="2" t="n">
        <x:f>SUM(L$674:L684)</x:f>
        <x:v>0</x:v>
      </x:c>
      <x:c r="N684" s="2" t="n">
        <x:v>0</x:v>
      </x:c>
      <x:c r="O684" s="2" t="str">
        <x:v>relleno_postmuerte</x:v>
      </x:c>
      <x:c r="P684" s="2" t="n">
        <x:v>0</x:v>
      </x:c>
      <x:c r="Q684" s="2" t="str">
        <x:v>simulado_didactico</x:v>
      </x:c>
    </x:row>
    <x:row r="685" ht="19" customHeight="1">
      <x:c r="A685" s="2" t="str">
        <x:v>SIM-E2-MP-L7-R03</x:v>
      </x:c>
      <x:c r="B685" s="2" t="n">
        <x:v>2</x:v>
      </x:c>
      <x:c r="C685" s="2" t="str">
        <x:v>MP</x:v>
      </x:c>
      <x:c r="D685" s="2" t="str">
        <x:v>Myzus persicae</x:v>
      </x:c>
      <x:c r="E685" s="2" t="str">
        <x:v>L7</x:v>
      </x:c>
      <x:c r="F685" s="2" t="n">
        <x:v>3</x:v>
      </x:c>
      <x:c r="G685" s="2" t="n">
        <x:v>11</x:v>
      </x:c>
      <x:c r="H685" s="2" t="n">
        <x:f>G685+Supuestos!$C$15</x:f>
        <x:v>12</x:v>
      </x:c>
      <x:c r="I685" s="14" t="n">
        <x:f>E2_plantas!J18+G685</x:f>
        <x:v>46192</x:v>
      </x:c>
      <x:c r="J685" s="2" t="str">
        <x:v>muerta</x:v>
      </x:c>
      <x:c r="K685" s="2" t="n">
        <x:v>0</x:v>
      </x:c>
      <x:c r="L685" s="2" t="n">
        <x:v>0</x:v>
      </x:c>
      <x:c r="M685" s="2" t="n">
        <x:f>SUM(L$674:L685)</x:f>
        <x:v>0</x:v>
      </x:c>
      <x:c r="N685" s="2" t="n">
        <x:v>0</x:v>
      </x:c>
      <x:c r="O685" s="2" t="str">
        <x:v>relleno_postmuerte</x:v>
      </x:c>
      <x:c r="P685" s="2" t="n">
        <x:v>0</x:v>
      </x:c>
      <x:c r="Q685" s="2" t="str">
        <x:v>simulado_didactico</x:v>
      </x:c>
    </x:row>
    <x:row r="686" ht="19" customHeight="1">
      <x:c r="A686" s="2" t="str">
        <x:v>SIM-E2-MP-L7-R03</x:v>
      </x:c>
      <x:c r="B686" s="2" t="n">
        <x:v>2</x:v>
      </x:c>
      <x:c r="C686" s="2" t="str">
        <x:v>MP</x:v>
      </x:c>
      <x:c r="D686" s="2" t="str">
        <x:v>Myzus persicae</x:v>
      </x:c>
      <x:c r="E686" s="2" t="str">
        <x:v>L7</x:v>
      </x:c>
      <x:c r="F686" s="2" t="n">
        <x:v>3</x:v>
      </x:c>
      <x:c r="G686" s="2" t="n">
        <x:v>12</x:v>
      </x:c>
      <x:c r="H686" s="2" t="n">
        <x:f>G686+Supuestos!$C$15</x:f>
        <x:v>13</x:v>
      </x:c>
      <x:c r="I686" s="14" t="n">
        <x:f>E2_plantas!J18+G686</x:f>
        <x:v>46193</x:v>
      </x:c>
      <x:c r="J686" s="2" t="str">
        <x:v>muerta</x:v>
      </x:c>
      <x:c r="K686" s="2" t="n">
        <x:v>0</x:v>
      </x:c>
      <x:c r="L686" s="2" t="n">
        <x:v>0</x:v>
      </x:c>
      <x:c r="M686" s="2" t="n">
        <x:f>SUM(L$674:L686)</x:f>
        <x:v>0</x:v>
      </x:c>
      <x:c r="N686" s="2" t="n">
        <x:v>0</x:v>
      </x:c>
      <x:c r="O686" s="2" t="str">
        <x:v>relleno_postmuerte</x:v>
      </x:c>
      <x:c r="P686" s="2" t="n">
        <x:v>0</x:v>
      </x:c>
      <x:c r="Q686" s="2" t="str">
        <x:v>simulado_didactico</x:v>
      </x:c>
    </x:row>
    <x:row r="687" ht="19" customHeight="1">
      <x:c r="A687" s="2" t="str">
        <x:v>SIM-E2-MP-L7-R03</x:v>
      </x:c>
      <x:c r="B687" s="2" t="n">
        <x:v>2</x:v>
      </x:c>
      <x:c r="C687" s="2" t="str">
        <x:v>MP</x:v>
      </x:c>
      <x:c r="D687" s="2" t="str">
        <x:v>Myzus persicae</x:v>
      </x:c>
      <x:c r="E687" s="2" t="str">
        <x:v>L7</x:v>
      </x:c>
      <x:c r="F687" s="2" t="n">
        <x:v>3</x:v>
      </x:c>
      <x:c r="G687" s="2" t="n">
        <x:v>13</x:v>
      </x:c>
      <x:c r="H687" s="2" t="n">
        <x:f>G687+Supuestos!$C$15</x:f>
        <x:v>14</x:v>
      </x:c>
      <x:c r="I687" s="14" t="n">
        <x:f>E2_plantas!J18+G687</x:f>
        <x:v>46194</x:v>
      </x:c>
      <x:c r="J687" s="2" t="str">
        <x:v>muerta</x:v>
      </x:c>
      <x:c r="K687" s="2" t="n">
        <x:v>0</x:v>
      </x:c>
      <x:c r="L687" s="2" t="n">
        <x:v>0</x:v>
      </x:c>
      <x:c r="M687" s="2" t="n">
        <x:f>SUM(L$674:L687)</x:f>
        <x:v>0</x:v>
      </x:c>
      <x:c r="N687" s="2" t="n">
        <x:v>0</x:v>
      </x:c>
      <x:c r="O687" s="2" t="str">
        <x:v>relleno_postmuerte</x:v>
      </x:c>
      <x:c r="P687" s="2" t="n">
        <x:v>0</x:v>
      </x:c>
      <x:c r="Q687" s="2" t="str">
        <x:v>simulado_didactico</x:v>
      </x:c>
    </x:row>
    <x:row r="688" ht="19" customHeight="1">
      <x:c r="A688" s="2" t="str">
        <x:v>SIM-E2-MP-L7-R03</x:v>
      </x:c>
      <x:c r="B688" s="2" t="n">
        <x:v>2</x:v>
      </x:c>
      <x:c r="C688" s="2" t="str">
        <x:v>MP</x:v>
      </x:c>
      <x:c r="D688" s="2" t="str">
        <x:v>Myzus persicae</x:v>
      </x:c>
      <x:c r="E688" s="2" t="str">
        <x:v>L7</x:v>
      </x:c>
      <x:c r="F688" s="2" t="n">
        <x:v>3</x:v>
      </x:c>
      <x:c r="G688" s="2" t="n">
        <x:v>14</x:v>
      </x:c>
      <x:c r="H688" s="2" t="n">
        <x:f>G688+Supuestos!$C$15</x:f>
        <x:v>15</x:v>
      </x:c>
      <x:c r="I688" s="14" t="n">
        <x:f>E2_plantas!J18+G688</x:f>
        <x:v>46195</x:v>
      </x:c>
      <x:c r="J688" s="2" t="str">
        <x:v>muerta</x:v>
      </x:c>
      <x:c r="K688" s="2" t="n">
        <x:v>0</x:v>
      </x:c>
      <x:c r="L688" s="2" t="n">
        <x:v>0</x:v>
      </x:c>
      <x:c r="M688" s="2" t="n">
        <x:f>SUM(L$674:L688)</x:f>
        <x:v>0</x:v>
      </x:c>
      <x:c r="N688" s="2" t="n">
        <x:v>0</x:v>
      </x:c>
      <x:c r="O688" s="2" t="str">
        <x:v>relleno_postmuerte</x:v>
      </x:c>
      <x:c r="P688" s="2" t="n">
        <x:v>0</x:v>
      </x:c>
      <x:c r="Q688" s="2" t="str">
        <x:v>simulado_didactico</x:v>
      </x:c>
    </x:row>
    <x:row r="689" ht="19" customHeight="1">
      <x:c r="A689" s="2" t="str">
        <x:v>SIM-E2-MP-L7-R03</x:v>
      </x:c>
      <x:c r="B689" s="2" t="n">
        <x:v>2</x:v>
      </x:c>
      <x:c r="C689" s="2" t="str">
        <x:v>MP</x:v>
      </x:c>
      <x:c r="D689" s="2" t="str">
        <x:v>Myzus persicae</x:v>
      </x:c>
      <x:c r="E689" s="2" t="str">
        <x:v>L7</x:v>
      </x:c>
      <x:c r="F689" s="2" t="n">
        <x:v>3</x:v>
      </x:c>
      <x:c r="G689" s="2" t="n">
        <x:v>15</x:v>
      </x:c>
      <x:c r="H689" s="2" t="n">
        <x:f>G689+Supuestos!$C$15</x:f>
        <x:v>16</x:v>
      </x:c>
      <x:c r="I689" s="14" t="n">
        <x:f>E2_plantas!J18+G689</x:f>
        <x:v>46196</x:v>
      </x:c>
      <x:c r="J689" s="2" t="str">
        <x:v>muerta</x:v>
      </x:c>
      <x:c r="K689" s="2" t="n">
        <x:v>0</x:v>
      </x:c>
      <x:c r="L689" s="2" t="n">
        <x:v>0</x:v>
      </x:c>
      <x:c r="M689" s="2" t="n">
        <x:f>SUM(L$674:L689)</x:f>
        <x:v>0</x:v>
      </x:c>
      <x:c r="N689" s="2" t="n">
        <x:v>0</x:v>
      </x:c>
      <x:c r="O689" s="2" t="str">
        <x:v>relleno_postmuerte</x:v>
      </x:c>
      <x:c r="P689" s="2" t="n">
        <x:v>0</x:v>
      </x:c>
      <x:c r="Q689" s="2" t="str">
        <x:v>simulado_didactico</x:v>
      </x:c>
    </x:row>
    <x:row r="690" ht="19" customHeight="1">
      <x:c r="A690" s="2" t="str">
        <x:v>SIM-E2-MP-L7-R03</x:v>
      </x:c>
      <x:c r="B690" s="2" t="n">
        <x:v>2</x:v>
      </x:c>
      <x:c r="C690" s="2" t="str">
        <x:v>MP</x:v>
      </x:c>
      <x:c r="D690" s="2" t="str">
        <x:v>Myzus persicae</x:v>
      </x:c>
      <x:c r="E690" s="2" t="str">
        <x:v>L7</x:v>
      </x:c>
      <x:c r="F690" s="2" t="n">
        <x:v>3</x:v>
      </x:c>
      <x:c r="G690" s="2" t="n">
        <x:v>16</x:v>
      </x:c>
      <x:c r="H690" s="2" t="n">
        <x:f>G690+Supuestos!$C$15</x:f>
        <x:v>17</x:v>
      </x:c>
      <x:c r="I690" s="14" t="n">
        <x:f>E2_plantas!J18+G690</x:f>
        <x:v>46197</x:v>
      </x:c>
      <x:c r="J690" s="2" t="str">
        <x:v>muerta</x:v>
      </x:c>
      <x:c r="K690" s="2" t="n">
        <x:v>0</x:v>
      </x:c>
      <x:c r="L690" s="2" t="n">
        <x:v>0</x:v>
      </x:c>
      <x:c r="M690" s="2" t="n">
        <x:f>SUM(L$674:L690)</x:f>
        <x:v>0</x:v>
      </x:c>
      <x:c r="N690" s="2" t="n">
        <x:v>0</x:v>
      </x:c>
      <x:c r="O690" s="2" t="str">
        <x:v>relleno_postmuerte</x:v>
      </x:c>
      <x:c r="P690" s="2" t="n">
        <x:v>0</x:v>
      </x:c>
      <x:c r="Q690" s="2" t="str">
        <x:v>simulado_didactico</x:v>
      </x:c>
    </x:row>
    <x:row r="691" ht="19" customHeight="1">
      <x:c r="A691" s="2" t="str">
        <x:v>SIM-E2-MP-L7-R03</x:v>
      </x:c>
      <x:c r="B691" s="2" t="n">
        <x:v>2</x:v>
      </x:c>
      <x:c r="C691" s="2" t="str">
        <x:v>MP</x:v>
      </x:c>
      <x:c r="D691" s="2" t="str">
        <x:v>Myzus persicae</x:v>
      </x:c>
      <x:c r="E691" s="2" t="str">
        <x:v>L7</x:v>
      </x:c>
      <x:c r="F691" s="2" t="n">
        <x:v>3</x:v>
      </x:c>
      <x:c r="G691" s="2" t="n">
        <x:v>17</x:v>
      </x:c>
      <x:c r="H691" s="2" t="n">
        <x:f>G691+Supuestos!$C$15</x:f>
        <x:v>18</x:v>
      </x:c>
      <x:c r="I691" s="14" t="n">
        <x:f>E2_plantas!J18+G691</x:f>
        <x:v>46198</x:v>
      </x:c>
      <x:c r="J691" s="2" t="str">
        <x:v>muerta</x:v>
      </x:c>
      <x:c r="K691" s="2" t="n">
        <x:v>0</x:v>
      </x:c>
      <x:c r="L691" s="2" t="n">
        <x:v>0</x:v>
      </x:c>
      <x:c r="M691" s="2" t="n">
        <x:f>SUM(L$674:L691)</x:f>
        <x:v>0</x:v>
      </x:c>
      <x:c r="N691" s="2" t="n">
        <x:v>0</x:v>
      </x:c>
      <x:c r="O691" s="2" t="str">
        <x:v>relleno_postmuerte</x:v>
      </x:c>
      <x:c r="P691" s="2" t="n">
        <x:v>0</x:v>
      </x:c>
      <x:c r="Q691" s="2" t="str">
        <x:v>simulado_didactico</x:v>
      </x:c>
    </x:row>
    <x:row r="692" ht="19" customHeight="1">
      <x:c r="A692" s="2" t="str">
        <x:v>SIM-E2-MP-L7-R03</x:v>
      </x:c>
      <x:c r="B692" s="2" t="n">
        <x:v>2</x:v>
      </x:c>
      <x:c r="C692" s="2" t="str">
        <x:v>MP</x:v>
      </x:c>
      <x:c r="D692" s="2" t="str">
        <x:v>Myzus persicae</x:v>
      </x:c>
      <x:c r="E692" s="2" t="str">
        <x:v>L7</x:v>
      </x:c>
      <x:c r="F692" s="2" t="n">
        <x:v>3</x:v>
      </x:c>
      <x:c r="G692" s="2" t="n">
        <x:v>18</x:v>
      </x:c>
      <x:c r="H692" s="2" t="n">
        <x:f>G692+Supuestos!$C$15</x:f>
        <x:v>19</x:v>
      </x:c>
      <x:c r="I692" s="14" t="n">
        <x:f>E2_plantas!J18+G692</x:f>
        <x:v>46199</x:v>
      </x:c>
      <x:c r="J692" s="2" t="str">
        <x:v>muerta</x:v>
      </x:c>
      <x:c r="K692" s="2" t="n">
        <x:v>0</x:v>
      </x:c>
      <x:c r="L692" s="2" t="n">
        <x:v>0</x:v>
      </x:c>
      <x:c r="M692" s="2" t="n">
        <x:f>SUM(L$674:L692)</x:f>
        <x:v>0</x:v>
      </x:c>
      <x:c r="N692" s="2" t="n">
        <x:v>0</x:v>
      </x:c>
      <x:c r="O692" s="2" t="str">
        <x:v>relleno_postmuerte</x:v>
      </x:c>
      <x:c r="P692" s="2" t="n">
        <x:v>0</x:v>
      </x:c>
      <x:c r="Q692" s="2" t="str">
        <x:v>simulado_didactico</x:v>
      </x:c>
    </x:row>
    <x:row r="693" ht="19" customHeight="1">
      <x:c r="A693" s="2" t="str">
        <x:v>SIM-E2-MP-L7-R03</x:v>
      </x:c>
      <x:c r="B693" s="2" t="n">
        <x:v>2</x:v>
      </x:c>
      <x:c r="C693" s="2" t="str">
        <x:v>MP</x:v>
      </x:c>
      <x:c r="D693" s="2" t="str">
        <x:v>Myzus persicae</x:v>
      </x:c>
      <x:c r="E693" s="2" t="str">
        <x:v>L7</x:v>
      </x:c>
      <x:c r="F693" s="2" t="n">
        <x:v>3</x:v>
      </x:c>
      <x:c r="G693" s="2" t="n">
        <x:v>19</x:v>
      </x:c>
      <x:c r="H693" s="2" t="n">
        <x:f>G693+Supuestos!$C$15</x:f>
        <x:v>20</x:v>
      </x:c>
      <x:c r="I693" s="14" t="n">
        <x:f>E2_plantas!J18+G693</x:f>
        <x:v>46200</x:v>
      </x:c>
      <x:c r="J693" s="2" t="str">
        <x:v>muerta</x:v>
      </x:c>
      <x:c r="K693" s="2" t="n">
        <x:v>0</x:v>
      </x:c>
      <x:c r="L693" s="2" t="n">
        <x:v>0</x:v>
      </x:c>
      <x:c r="M693" s="2" t="n">
        <x:f>SUM(L$674:L693)</x:f>
        <x:v>0</x:v>
      </x:c>
      <x:c r="N693" s="2" t="n">
        <x:v>0</x:v>
      </x:c>
      <x:c r="O693" s="2" t="str">
        <x:v>relleno_postmuerte</x:v>
      </x:c>
      <x:c r="P693" s="2" t="n">
        <x:v>0</x:v>
      </x:c>
      <x:c r="Q693" s="2" t="str">
        <x:v>simulado_didactico</x:v>
      </x:c>
    </x:row>
    <x:row r="694" ht="19" customHeight="1">
      <x:c r="A694" s="2" t="str">
        <x:v>SIM-E2-MP-L7-R03</x:v>
      </x:c>
      <x:c r="B694" s="2" t="n">
        <x:v>2</x:v>
      </x:c>
      <x:c r="C694" s="2" t="str">
        <x:v>MP</x:v>
      </x:c>
      <x:c r="D694" s="2" t="str">
        <x:v>Myzus persicae</x:v>
      </x:c>
      <x:c r="E694" s="2" t="str">
        <x:v>L7</x:v>
      </x:c>
      <x:c r="F694" s="2" t="n">
        <x:v>3</x:v>
      </x:c>
      <x:c r="G694" s="2" t="n">
        <x:v>20</x:v>
      </x:c>
      <x:c r="H694" s="2" t="n">
        <x:f>G694+Supuestos!$C$15</x:f>
        <x:v>21</x:v>
      </x:c>
      <x:c r="I694" s="14" t="n">
        <x:f>E2_plantas!J18+G694</x:f>
        <x:v>46201</x:v>
      </x:c>
      <x:c r="J694" s="2" t="str">
        <x:v>muerta</x:v>
      </x:c>
      <x:c r="K694" s="2" t="n">
        <x:v>0</x:v>
      </x:c>
      <x:c r="L694" s="2" t="n">
        <x:v>0</x:v>
      </x:c>
      <x:c r="M694" s="2" t="n">
        <x:f>SUM(L$674:L694)</x:f>
        <x:v>0</x:v>
      </x:c>
      <x:c r="N694" s="2" t="n">
        <x:v>0</x:v>
      </x:c>
      <x:c r="O694" s="2" t="str">
        <x:v>relleno_postmuerte</x:v>
      </x:c>
      <x:c r="P694" s="2" t="n">
        <x:v>0</x:v>
      </x:c>
      <x:c r="Q694" s="2" t="str">
        <x:v>simulado_didactico</x:v>
      </x:c>
    </x:row>
    <x:row r="695" ht="19" customHeight="1">
      <x:c r="A695" s="2" t="str">
        <x:v>SIM-E2-MP-L7-R03</x:v>
      </x:c>
      <x:c r="B695" s="2" t="n">
        <x:v>2</x:v>
      </x:c>
      <x:c r="C695" s="2" t="str">
        <x:v>MP</x:v>
      </x:c>
      <x:c r="D695" s="2" t="str">
        <x:v>Myzus persicae</x:v>
      </x:c>
      <x:c r="E695" s="2" t="str">
        <x:v>L7</x:v>
      </x:c>
      <x:c r="F695" s="2" t="n">
        <x:v>3</x:v>
      </x:c>
      <x:c r="G695" s="2" t="n">
        <x:v>21</x:v>
      </x:c>
      <x:c r="H695" s="2" t="n">
        <x:f>G695+Supuestos!$C$15</x:f>
        <x:v>22</x:v>
      </x:c>
      <x:c r="I695" s="14" t="n">
        <x:f>E2_plantas!J18+G695</x:f>
        <x:v>46202</x:v>
      </x:c>
      <x:c r="J695" s="2" t="str">
        <x:v>muerta</x:v>
      </x:c>
      <x:c r="K695" s="2" t="n">
        <x:v>0</x:v>
      </x:c>
      <x:c r="L695" s="2" t="n">
        <x:v>0</x:v>
      </x:c>
      <x:c r="M695" s="2" t="n">
        <x:f>SUM(L$674:L695)</x:f>
        <x:v>0</x:v>
      </x:c>
      <x:c r="N695" s="2" t="n">
        <x:v>0</x:v>
      </x:c>
      <x:c r="O695" s="2" t="str">
        <x:v>relleno_postmuerte</x:v>
      </x:c>
      <x:c r="P695" s="2" t="n">
        <x:v>0</x:v>
      </x:c>
      <x:c r="Q695" s="2" t="str">
        <x:v>simulado_didactico</x:v>
      </x:c>
    </x:row>
    <x:row r="696" ht="19" customHeight="1">
      <x:c r="A696" s="2" t="str">
        <x:v>SIM-E2-MP-L7-R03</x:v>
      </x:c>
      <x:c r="B696" s="2" t="n">
        <x:v>2</x:v>
      </x:c>
      <x:c r="C696" s="2" t="str">
        <x:v>MP</x:v>
      </x:c>
      <x:c r="D696" s="2" t="str">
        <x:v>Myzus persicae</x:v>
      </x:c>
      <x:c r="E696" s="2" t="str">
        <x:v>L7</x:v>
      </x:c>
      <x:c r="F696" s="2" t="n">
        <x:v>3</x:v>
      </x:c>
      <x:c r="G696" s="2" t="n">
        <x:v>22</x:v>
      </x:c>
      <x:c r="H696" s="2" t="n">
        <x:f>G696+Supuestos!$C$15</x:f>
        <x:v>23</x:v>
      </x:c>
      <x:c r="I696" s="14" t="n">
        <x:f>E2_plantas!J18+G696</x:f>
        <x:v>46203</x:v>
      </x:c>
      <x:c r="J696" s="2" t="str">
        <x:v>muerta</x:v>
      </x:c>
      <x:c r="K696" s="2" t="n">
        <x:v>0</x:v>
      </x:c>
      <x:c r="L696" s="2" t="n">
        <x:v>0</x:v>
      </x:c>
      <x:c r="M696" s="2" t="n">
        <x:f>SUM(L$674:L696)</x:f>
        <x:v>0</x:v>
      </x:c>
      <x:c r="N696" s="2" t="n">
        <x:v>0</x:v>
      </x:c>
      <x:c r="O696" s="2" t="str">
        <x:v>relleno_postmuerte</x:v>
      </x:c>
      <x:c r="P696" s="2" t="n">
        <x:v>0</x:v>
      </x:c>
      <x:c r="Q696" s="2" t="str">
        <x:v>simulado_didactico</x:v>
      </x:c>
    </x:row>
    <x:row r="697" ht="19" customHeight="1">
      <x:c r="A697" s="2" t="str">
        <x:v>SIM-E2-MP-L7-R03</x:v>
      </x:c>
      <x:c r="B697" s="2" t="n">
        <x:v>2</x:v>
      </x:c>
      <x:c r="C697" s="2" t="str">
        <x:v>MP</x:v>
      </x:c>
      <x:c r="D697" s="2" t="str">
        <x:v>Myzus persicae</x:v>
      </x:c>
      <x:c r="E697" s="2" t="str">
        <x:v>L7</x:v>
      </x:c>
      <x:c r="F697" s="2" t="n">
        <x:v>3</x:v>
      </x:c>
      <x:c r="G697" s="2" t="n">
        <x:v>23</x:v>
      </x:c>
      <x:c r="H697" s="2" t="n">
        <x:f>G697+Supuestos!$C$15</x:f>
        <x:v>24</x:v>
      </x:c>
      <x:c r="I697" s="14" t="n">
        <x:f>E2_plantas!J18+G697</x:f>
        <x:v>46204</x:v>
      </x:c>
      <x:c r="J697" s="2" t="str">
        <x:v>muerta</x:v>
      </x:c>
      <x:c r="K697" s="2" t="n">
        <x:v>0</x:v>
      </x:c>
      <x:c r="L697" s="2" t="n">
        <x:v>0</x:v>
      </x:c>
      <x:c r="M697" s="2" t="n">
        <x:f>SUM(L$674:L697)</x:f>
        <x:v>0</x:v>
      </x:c>
      <x:c r="N697" s="2" t="n">
        <x:v>0</x:v>
      </x:c>
      <x:c r="O697" s="2" t="str">
        <x:v>relleno_postmuerte</x:v>
      </x:c>
      <x:c r="P697" s="2" t="n">
        <x:v>0</x:v>
      </x:c>
      <x:c r="Q697" s="2" t="str">
        <x:v>simulado_didactico</x:v>
      </x:c>
    </x:row>
    <x:row r="698" ht="19" customHeight="1">
      <x:c r="A698" s="2" t="str">
        <x:v>SIM-E2-MP-L7-R03</x:v>
      </x:c>
      <x:c r="B698" s="2" t="n">
        <x:v>2</x:v>
      </x:c>
      <x:c r="C698" s="2" t="str">
        <x:v>MP</x:v>
      </x:c>
      <x:c r="D698" s="2" t="str">
        <x:v>Myzus persicae</x:v>
      </x:c>
      <x:c r="E698" s="2" t="str">
        <x:v>L7</x:v>
      </x:c>
      <x:c r="F698" s="2" t="n">
        <x:v>3</x:v>
      </x:c>
      <x:c r="G698" s="2" t="n">
        <x:v>24</x:v>
      </x:c>
      <x:c r="H698" s="2" t="n">
        <x:f>G698+Supuestos!$C$15</x:f>
        <x:v>25</x:v>
      </x:c>
      <x:c r="I698" s="14" t="n">
        <x:f>E2_plantas!J18+G698</x:f>
        <x:v>46205</x:v>
      </x:c>
      <x:c r="J698" s="2" t="str">
        <x:v>muerta</x:v>
      </x:c>
      <x:c r="K698" s="2" t="n">
        <x:v>0</x:v>
      </x:c>
      <x:c r="L698" s="2" t="n">
        <x:v>0</x:v>
      </x:c>
      <x:c r="M698" s="2" t="n">
        <x:f>SUM(L$674:L698)</x:f>
        <x:v>0</x:v>
      </x:c>
      <x:c r="N698" s="2" t="n">
        <x:v>0</x:v>
      </x:c>
      <x:c r="O698" s="2" t="str">
        <x:v>relleno_postmuerte</x:v>
      </x:c>
      <x:c r="P698" s="2" t="n">
        <x:v>0</x:v>
      </x:c>
      <x:c r="Q698" s="2" t="str">
        <x:v>simulado_didactico</x:v>
      </x:c>
    </x:row>
    <x:row r="699" ht="19" customHeight="1">
      <x:c r="A699" s="2" t="str">
        <x:v>SIM-E2-MP-L7-R03</x:v>
      </x:c>
      <x:c r="B699" s="2" t="n">
        <x:v>2</x:v>
      </x:c>
      <x:c r="C699" s="2" t="str">
        <x:v>MP</x:v>
      </x:c>
      <x:c r="D699" s="2" t="str">
        <x:v>Myzus persicae</x:v>
      </x:c>
      <x:c r="E699" s="2" t="str">
        <x:v>L7</x:v>
      </x:c>
      <x:c r="F699" s="2" t="n">
        <x:v>3</x:v>
      </x:c>
      <x:c r="G699" s="2" t="n">
        <x:v>25</x:v>
      </x:c>
      <x:c r="H699" s="2" t="n">
        <x:f>G699+Supuestos!$C$15</x:f>
        <x:v>26</x:v>
      </x:c>
      <x:c r="I699" s="14" t="n">
        <x:f>E2_plantas!J18+G699</x:f>
        <x:v>46206</x:v>
      </x:c>
      <x:c r="J699" s="2" t="str">
        <x:v>muerta</x:v>
      </x:c>
      <x:c r="K699" s="2" t="n">
        <x:v>0</x:v>
      </x:c>
      <x:c r="L699" s="2" t="n">
        <x:v>0</x:v>
      </x:c>
      <x:c r="M699" s="2" t="n">
        <x:f>SUM(L$674:L699)</x:f>
        <x:v>0</x:v>
      </x:c>
      <x:c r="N699" s="2" t="n">
        <x:v>0</x:v>
      </x:c>
      <x:c r="O699" s="2" t="str">
        <x:v>relleno_postmuerte</x:v>
      </x:c>
      <x:c r="P699" s="2" t="n">
        <x:v>0</x:v>
      </x:c>
      <x:c r="Q699" s="2" t="str">
        <x:v>simulado_didactico</x:v>
      </x:c>
    </x:row>
    <x:row r="700" ht="19" customHeight="1">
      <x:c r="A700" s="2" t="str">
        <x:v>SIM-E2-MP-L7-R03</x:v>
      </x:c>
      <x:c r="B700" s="2" t="n">
        <x:v>2</x:v>
      </x:c>
      <x:c r="C700" s="2" t="str">
        <x:v>MP</x:v>
      </x:c>
      <x:c r="D700" s="2" t="str">
        <x:v>Myzus persicae</x:v>
      </x:c>
      <x:c r="E700" s="2" t="str">
        <x:v>L7</x:v>
      </x:c>
      <x:c r="F700" s="2" t="n">
        <x:v>3</x:v>
      </x:c>
      <x:c r="G700" s="2" t="n">
        <x:v>26</x:v>
      </x:c>
      <x:c r="H700" s="2" t="n">
        <x:f>G700+Supuestos!$C$15</x:f>
        <x:v>27</x:v>
      </x:c>
      <x:c r="I700" s="14" t="n">
        <x:f>E2_plantas!J18+G700</x:f>
        <x:v>46207</x:v>
      </x:c>
      <x:c r="J700" s="2" t="str">
        <x:v>muerta</x:v>
      </x:c>
      <x:c r="K700" s="2" t="n">
        <x:v>0</x:v>
      </x:c>
      <x:c r="L700" s="2" t="n">
        <x:v>0</x:v>
      </x:c>
      <x:c r="M700" s="2" t="n">
        <x:f>SUM(L$674:L700)</x:f>
        <x:v>0</x:v>
      </x:c>
      <x:c r="N700" s="2" t="n">
        <x:v>0</x:v>
      </x:c>
      <x:c r="O700" s="2" t="str">
        <x:v>relleno_postmuerte</x:v>
      </x:c>
      <x:c r="P700" s="2" t="n">
        <x:v>0</x:v>
      </x:c>
      <x:c r="Q700" s="2" t="str">
        <x:v>simulado_didactico</x:v>
      </x:c>
    </x:row>
    <x:row r="701" ht="19" customHeight="1">
      <x:c r="A701" s="2" t="str">
        <x:v>SIM-E2-MP-L7-R03</x:v>
      </x:c>
      <x:c r="B701" s="2" t="n">
        <x:v>2</x:v>
      </x:c>
      <x:c r="C701" s="2" t="str">
        <x:v>MP</x:v>
      </x:c>
      <x:c r="D701" s="2" t="str">
        <x:v>Myzus persicae</x:v>
      </x:c>
      <x:c r="E701" s="2" t="str">
        <x:v>L7</x:v>
      </x:c>
      <x:c r="F701" s="2" t="n">
        <x:v>3</x:v>
      </x:c>
      <x:c r="G701" s="2" t="n">
        <x:v>27</x:v>
      </x:c>
      <x:c r="H701" s="2" t="n">
        <x:f>G701+Supuestos!$C$15</x:f>
        <x:v>28</x:v>
      </x:c>
      <x:c r="I701" s="14" t="n">
        <x:f>E2_plantas!J18+G701</x:f>
        <x:v>46208</x:v>
      </x:c>
      <x:c r="J701" s="2" t="str">
        <x:v>muerta</x:v>
      </x:c>
      <x:c r="K701" s="2" t="n">
        <x:v>0</x:v>
      </x:c>
      <x:c r="L701" s="2" t="n">
        <x:v>0</x:v>
      </x:c>
      <x:c r="M701" s="2" t="n">
        <x:f>SUM(L$674:L701)</x:f>
        <x:v>0</x:v>
      </x:c>
      <x:c r="N701" s="2" t="n">
        <x:v>0</x:v>
      </x:c>
      <x:c r="O701" s="2" t="str">
        <x:v>relleno_postmuerte</x:v>
      </x:c>
      <x:c r="P701" s="2" t="n">
        <x:v>0</x:v>
      </x:c>
      <x:c r="Q701" s="2" t="str">
        <x:v>simulado_didactico</x:v>
      </x:c>
    </x:row>
    <x:row r="702" ht="19" customHeight="1">
      <x:c r="A702" s="2" t="str">
        <x:v>SIM-E2-MP-L7-R03</x:v>
      </x:c>
      <x:c r="B702" s="2" t="n">
        <x:v>2</x:v>
      </x:c>
      <x:c r="C702" s="2" t="str">
        <x:v>MP</x:v>
      </x:c>
      <x:c r="D702" s="2" t="str">
        <x:v>Myzus persicae</x:v>
      </x:c>
      <x:c r="E702" s="2" t="str">
        <x:v>L7</x:v>
      </x:c>
      <x:c r="F702" s="2" t="n">
        <x:v>3</x:v>
      </x:c>
      <x:c r="G702" s="2" t="n">
        <x:v>28</x:v>
      </x:c>
      <x:c r="H702" s="2" t="n">
        <x:f>G702+Supuestos!$C$15</x:f>
        <x:v>29</x:v>
      </x:c>
      <x:c r="I702" s="14" t="n">
        <x:f>E2_plantas!J18+G702</x:f>
        <x:v>46209</x:v>
      </x:c>
      <x:c r="J702" s="2" t="str">
        <x:v>muerta</x:v>
      </x:c>
      <x:c r="K702" s="2" t="n">
        <x:v>0</x:v>
      </x:c>
      <x:c r="L702" s="2" t="n">
        <x:v>0</x:v>
      </x:c>
      <x:c r="M702" s="2" t="n">
        <x:f>SUM(L$674:L702)</x:f>
        <x:v>0</x:v>
      </x:c>
      <x:c r="N702" s="2" t="n">
        <x:v>0</x:v>
      </x:c>
      <x:c r="O702" s="2" t="str">
        <x:v>relleno_postmuerte</x:v>
      </x:c>
      <x:c r="P702" s="2" t="n">
        <x:v>0</x:v>
      </x:c>
      <x:c r="Q702" s="2" t="str">
        <x:v>simulado_didactico</x:v>
      </x:c>
    </x:row>
    <x:row r="703" ht="19" customHeight="1">
      <x:c r="A703" s="2" t="str">
        <x:v>SIM-E2-MP-L7-R03</x:v>
      </x:c>
      <x:c r="B703" s="2" t="n">
        <x:v>2</x:v>
      </x:c>
      <x:c r="C703" s="2" t="str">
        <x:v>MP</x:v>
      </x:c>
      <x:c r="D703" s="2" t="str">
        <x:v>Myzus persicae</x:v>
      </x:c>
      <x:c r="E703" s="2" t="str">
        <x:v>L7</x:v>
      </x:c>
      <x:c r="F703" s="2" t="n">
        <x:v>3</x:v>
      </x:c>
      <x:c r="G703" s="2" t="n">
        <x:v>29</x:v>
      </x:c>
      <x:c r="H703" s="2" t="n">
        <x:f>G703+Supuestos!$C$15</x:f>
        <x:v>30</x:v>
      </x:c>
      <x:c r="I703" s="14" t="n">
        <x:f>E2_plantas!J18+G703</x:f>
        <x:v>46210</x:v>
      </x:c>
      <x:c r="J703" s="2" t="str">
        <x:v>muerta</x:v>
      </x:c>
      <x:c r="K703" s="2" t="n">
        <x:v>0</x:v>
      </x:c>
      <x:c r="L703" s="2" t="n">
        <x:v>0</x:v>
      </x:c>
      <x:c r="M703" s="2" t="n">
        <x:f>SUM(L$674:L703)</x:f>
        <x:v>0</x:v>
      </x:c>
      <x:c r="N703" s="2" t="n">
        <x:v>0</x:v>
      </x:c>
      <x:c r="O703" s="2" t="str">
        <x:v>relleno_postmuerte</x:v>
      </x:c>
      <x:c r="P703" s="2" t="n">
        <x:v>0</x:v>
      </x:c>
      <x:c r="Q703" s="2" t="str">
        <x:v>simulado_didactico</x:v>
      </x:c>
    </x:row>
    <x:row r="704" ht="19" customHeight="1">
      <x:c r="A704" s="2" t="str">
        <x:v>SIM-E2-MP-L7-R03</x:v>
      </x:c>
      <x:c r="B704" s="2" t="n">
        <x:v>2</x:v>
      </x:c>
      <x:c r="C704" s="2" t="str">
        <x:v>MP</x:v>
      </x:c>
      <x:c r="D704" s="2" t="str">
        <x:v>Myzus persicae</x:v>
      </x:c>
      <x:c r="E704" s="2" t="str">
        <x:v>L7</x:v>
      </x:c>
      <x:c r="F704" s="2" t="n">
        <x:v>3</x:v>
      </x:c>
      <x:c r="G704" s="2" t="n">
        <x:v>30</x:v>
      </x:c>
      <x:c r="H704" s="2" t="n">
        <x:f>G704+Supuestos!$C$15</x:f>
        <x:v>31</x:v>
      </x:c>
      <x:c r="I704" s="14" t="n">
        <x:f>E2_plantas!J18+G704</x:f>
        <x:v>46211</x:v>
      </x:c>
      <x:c r="J704" s="2" t="str">
        <x:v>muerta</x:v>
      </x:c>
      <x:c r="K704" s="2" t="n">
        <x:v>0</x:v>
      </x:c>
      <x:c r="L704" s="2" t="n">
        <x:v>0</x:v>
      </x:c>
      <x:c r="M704" s="2" t="n">
        <x:f>SUM(L$674:L704)</x:f>
        <x:v>0</x:v>
      </x:c>
      <x:c r="N704" s="2" t="n">
        <x:v>0</x:v>
      </x:c>
      <x:c r="O704" s="2" t="str">
        <x:v>relleno_postmuerte</x:v>
      </x:c>
      <x:c r="P704" s="2" t="n">
        <x:v>0</x:v>
      </x:c>
      <x:c r="Q704" s="2" t="str">
        <x:v>simulado_didactico</x:v>
      </x:c>
    </x:row>
    <x:row r="705" ht="19" customHeight="1">
      <x:c r="A705" s="2" t="str">
        <x:v>SIM-E2-MP-L7-R03</x:v>
      </x:c>
      <x:c r="B705" s="2" t="n">
        <x:v>2</x:v>
      </x:c>
      <x:c r="C705" s="2" t="str">
        <x:v>MP</x:v>
      </x:c>
      <x:c r="D705" s="2" t="str">
        <x:v>Myzus persicae</x:v>
      </x:c>
      <x:c r="E705" s="2" t="str">
        <x:v>L7</x:v>
      </x:c>
      <x:c r="F705" s="2" t="n">
        <x:v>3</x:v>
      </x:c>
      <x:c r="G705" s="2" t="n">
        <x:v>31</x:v>
      </x:c>
      <x:c r="H705" s="2" t="n">
        <x:f>G705+Supuestos!$C$15</x:f>
        <x:v>32</x:v>
      </x:c>
      <x:c r="I705" s="14" t="n">
        <x:f>E2_plantas!J18+G705</x:f>
        <x:v>46212</x:v>
      </x:c>
      <x:c r="J705" s="2" t="str">
        <x:v>muerta</x:v>
      </x:c>
      <x:c r="K705" s="2" t="n">
        <x:v>0</x:v>
      </x:c>
      <x:c r="L705" s="2" t="n">
        <x:v>0</x:v>
      </x:c>
      <x:c r="M705" s="2" t="n">
        <x:f>SUM(L$674:L705)</x:f>
        <x:v>0</x:v>
      </x:c>
      <x:c r="N705" s="2" t="n">
        <x:v>0</x:v>
      </x:c>
      <x:c r="O705" s="2" t="str">
        <x:v>relleno_postmuerte</x:v>
      </x:c>
      <x:c r="P705" s="2" t="n">
        <x:v>0</x:v>
      </x:c>
      <x:c r="Q705" s="2" t="str">
        <x:v>simulado_didactico</x:v>
      </x:c>
    </x:row>
    <x:row r="706" ht="19" customHeight="1">
      <x:c r="A706" s="2" t="str">
        <x:v>SIM-E2-MP-L7-R03</x:v>
      </x:c>
      <x:c r="B706" s="2" t="n">
        <x:v>2</x:v>
      </x:c>
      <x:c r="C706" s="2" t="str">
        <x:v>MP</x:v>
      </x:c>
      <x:c r="D706" s="2" t="str">
        <x:v>Myzus persicae</x:v>
      </x:c>
      <x:c r="E706" s="2" t="str">
        <x:v>L7</x:v>
      </x:c>
      <x:c r="F706" s="2" t="n">
        <x:v>3</x:v>
      </x:c>
      <x:c r="G706" s="2" t="n">
        <x:v>32</x:v>
      </x:c>
      <x:c r="H706" s="2" t="n">
        <x:f>G706+Supuestos!$C$15</x:f>
        <x:v>33</x:v>
      </x:c>
      <x:c r="I706" s="14" t="n">
        <x:f>E2_plantas!J18+G706</x:f>
        <x:v>46213</x:v>
      </x:c>
      <x:c r="J706" s="2" t="str">
        <x:v>muerta</x:v>
      </x:c>
      <x:c r="K706" s="2" t="n">
        <x:v>0</x:v>
      </x:c>
      <x:c r="L706" s="2" t="n">
        <x:v>0</x:v>
      </x:c>
      <x:c r="M706" s="2" t="n">
        <x:f>SUM(L$674:L706)</x:f>
        <x:v>0</x:v>
      </x:c>
      <x:c r="N706" s="2" t="n">
        <x:v>0</x:v>
      </x:c>
      <x:c r="O706" s="2" t="str">
        <x:v>relleno_postmuerte</x:v>
      </x:c>
      <x:c r="P706" s="2" t="n">
        <x:v>0</x:v>
      </x:c>
      <x:c r="Q706" s="2" t="str">
        <x:v>simulado_didactico</x:v>
      </x:c>
    </x:row>
    <x:row r="707" ht="19" customHeight="1">
      <x:c r="A707" s="2" t="str">
        <x:v>SIM-E2-MP-L7-R03</x:v>
      </x:c>
      <x:c r="B707" s="2" t="n">
        <x:v>2</x:v>
      </x:c>
      <x:c r="C707" s="2" t="str">
        <x:v>MP</x:v>
      </x:c>
      <x:c r="D707" s="2" t="str">
        <x:v>Myzus persicae</x:v>
      </x:c>
      <x:c r="E707" s="2" t="str">
        <x:v>L7</x:v>
      </x:c>
      <x:c r="F707" s="2" t="n">
        <x:v>3</x:v>
      </x:c>
      <x:c r="G707" s="2" t="n">
        <x:v>33</x:v>
      </x:c>
      <x:c r="H707" s="2" t="n">
        <x:f>G707+Supuestos!$C$15</x:f>
        <x:v>34</x:v>
      </x:c>
      <x:c r="I707" s="14" t="n">
        <x:f>E2_plantas!J18+G707</x:f>
        <x:v>46214</x:v>
      </x:c>
      <x:c r="J707" s="2" t="str">
        <x:v>muerta</x:v>
      </x:c>
      <x:c r="K707" s="2" t="n">
        <x:v>0</x:v>
      </x:c>
      <x:c r="L707" s="2" t="n">
        <x:v>0</x:v>
      </x:c>
      <x:c r="M707" s="2" t="n">
        <x:f>SUM(L$674:L707)</x:f>
        <x:v>0</x:v>
      </x:c>
      <x:c r="N707" s="2" t="n">
        <x:v>0</x:v>
      </x:c>
      <x:c r="O707" s="2" t="str">
        <x:v>relleno_postmuerte</x:v>
      </x:c>
      <x:c r="P707" s="2" t="n">
        <x:v>0</x:v>
      </x:c>
      <x:c r="Q707" s="2" t="str">
        <x:v>simulado_didactico</x:v>
      </x:c>
    </x:row>
    <x:row r="708" ht="19" customHeight="1">
      <x:c r="A708" s="2" t="str">
        <x:v>SIM-E2-MP-L7-R03</x:v>
      </x:c>
      <x:c r="B708" s="2" t="n">
        <x:v>2</x:v>
      </x:c>
      <x:c r="C708" s="2" t="str">
        <x:v>MP</x:v>
      </x:c>
      <x:c r="D708" s="2" t="str">
        <x:v>Myzus persicae</x:v>
      </x:c>
      <x:c r="E708" s="2" t="str">
        <x:v>L7</x:v>
      </x:c>
      <x:c r="F708" s="2" t="n">
        <x:v>3</x:v>
      </x:c>
      <x:c r="G708" s="2" t="n">
        <x:v>34</x:v>
      </x:c>
      <x:c r="H708" s="2" t="n">
        <x:f>G708+Supuestos!$C$15</x:f>
        <x:v>35</x:v>
      </x:c>
      <x:c r="I708" s="14" t="n">
        <x:f>E2_plantas!J18+G708</x:f>
        <x:v>46215</x:v>
      </x:c>
      <x:c r="J708" s="2" t="str">
        <x:v>muerta</x:v>
      </x:c>
      <x:c r="K708" s="2" t="n">
        <x:v>0</x:v>
      </x:c>
      <x:c r="L708" s="2" t="n">
        <x:v>0</x:v>
      </x:c>
      <x:c r="M708" s="2" t="n">
        <x:f>SUM(L$674:L708)</x:f>
        <x:v>0</x:v>
      </x:c>
      <x:c r="N708" s="2" t="n">
        <x:v>0</x:v>
      </x:c>
      <x:c r="O708" s="2" t="str">
        <x:v>relleno_postmuerte</x:v>
      </x:c>
      <x:c r="P708" s="2" t="n">
        <x:v>0</x:v>
      </x:c>
      <x:c r="Q708" s="2" t="str">
        <x:v>simulado_didactico</x:v>
      </x:c>
    </x:row>
    <x:row r="709" ht="19" customHeight="1">
      <x:c r="A709" s="2" t="str">
        <x:v>SIM-E2-MP-L7-R03</x:v>
      </x:c>
      <x:c r="B709" s="2" t="n">
        <x:v>2</x:v>
      </x:c>
      <x:c r="C709" s="2" t="str">
        <x:v>MP</x:v>
      </x:c>
      <x:c r="D709" s="2" t="str">
        <x:v>Myzus persicae</x:v>
      </x:c>
      <x:c r="E709" s="2" t="str">
        <x:v>L7</x:v>
      </x:c>
      <x:c r="F709" s="2" t="n">
        <x:v>3</x:v>
      </x:c>
      <x:c r="G709" s="2" t="n">
        <x:v>35</x:v>
      </x:c>
      <x:c r="H709" s="2" t="n">
        <x:f>G709+Supuestos!$C$15</x:f>
        <x:v>36</x:v>
      </x:c>
      <x:c r="I709" s="14" t="n">
        <x:f>E2_plantas!J18+G709</x:f>
        <x:v>46216</x:v>
      </x:c>
      <x:c r="J709" s="2" t="str">
        <x:v>muerta</x:v>
      </x:c>
      <x:c r="K709" s="2" t="n">
        <x:v>0</x:v>
      </x:c>
      <x:c r="L709" s="2" t="n">
        <x:v>0</x:v>
      </x:c>
      <x:c r="M709" s="2" t="n">
        <x:f>SUM(L$674:L709)</x:f>
        <x:v>0</x:v>
      </x:c>
      <x:c r="N709" s="2" t="n">
        <x:v>0</x:v>
      </x:c>
      <x:c r="O709" s="2" t="str">
        <x:v>relleno_postmuerte</x:v>
      </x:c>
      <x:c r="P709" s="2" t="n">
        <x:v>0</x:v>
      </x:c>
      <x:c r="Q709" s="2" t="str">
        <x:v>simulado_didactico</x:v>
      </x:c>
    </x:row>
    <x:row r="710" ht="19" customHeight="1">
      <x:c r="A710" s="2" t="str">
        <x:v>SIM-E2-MP-L7-R03</x:v>
      </x:c>
      <x:c r="B710" s="2" t="n">
        <x:v>2</x:v>
      </x:c>
      <x:c r="C710" s="2" t="str">
        <x:v>MP</x:v>
      </x:c>
      <x:c r="D710" s="2" t="str">
        <x:v>Myzus persicae</x:v>
      </x:c>
      <x:c r="E710" s="2" t="str">
        <x:v>L7</x:v>
      </x:c>
      <x:c r="F710" s="2" t="n">
        <x:v>3</x:v>
      </x:c>
      <x:c r="G710" s="2" t="n">
        <x:v>36</x:v>
      </x:c>
      <x:c r="H710" s="2" t="n">
        <x:f>G710+Supuestos!$C$15</x:f>
        <x:v>37</x:v>
      </x:c>
      <x:c r="I710" s="14" t="n">
        <x:f>E2_plantas!J18+G710</x:f>
        <x:v>46217</x:v>
      </x:c>
      <x:c r="J710" s="2" t="str">
        <x:v>muerta</x:v>
      </x:c>
      <x:c r="K710" s="2" t="n">
        <x:v>0</x:v>
      </x:c>
      <x:c r="L710" s="2" t="n">
        <x:v>0</x:v>
      </x:c>
      <x:c r="M710" s="2" t="n">
        <x:f>SUM(L$674:L710)</x:f>
        <x:v>0</x:v>
      </x:c>
      <x:c r="N710" s="2" t="n">
        <x:v>0</x:v>
      </x:c>
      <x:c r="O710" s="2" t="str">
        <x:v>relleno_postmuerte</x:v>
      </x:c>
      <x:c r="P710" s="2" t="n">
        <x:v>0</x:v>
      </x:c>
      <x:c r="Q710" s="2" t="str">
        <x:v>simulado_didactico</x:v>
      </x:c>
    </x:row>
    <x:row r="711" ht="19" customHeight="1">
      <x:c r="A711" s="2" t="str">
        <x:v>SIM-E2-MP-L7-R03</x:v>
      </x:c>
      <x:c r="B711" s="2" t="n">
        <x:v>2</x:v>
      </x:c>
      <x:c r="C711" s="2" t="str">
        <x:v>MP</x:v>
      </x:c>
      <x:c r="D711" s="2" t="str">
        <x:v>Myzus persicae</x:v>
      </x:c>
      <x:c r="E711" s="2" t="str">
        <x:v>L7</x:v>
      </x:c>
      <x:c r="F711" s="2" t="n">
        <x:v>3</x:v>
      </x:c>
      <x:c r="G711" s="2" t="n">
        <x:v>37</x:v>
      </x:c>
      <x:c r="H711" s="2" t="n">
        <x:f>G711+Supuestos!$C$15</x:f>
        <x:v>38</x:v>
      </x:c>
      <x:c r="I711" s="14" t="n">
        <x:f>E2_plantas!J18+G711</x:f>
        <x:v>46218</x:v>
      </x:c>
      <x:c r="J711" s="2" t="str">
        <x:v>muerta</x:v>
      </x:c>
      <x:c r="K711" s="2" t="n">
        <x:v>0</x:v>
      </x:c>
      <x:c r="L711" s="2" t="n">
        <x:v>0</x:v>
      </x:c>
      <x:c r="M711" s="2" t="n">
        <x:f>SUM(L$674:L711)</x:f>
        <x:v>0</x:v>
      </x:c>
      <x:c r="N711" s="2" t="n">
        <x:v>0</x:v>
      </x:c>
      <x:c r="O711" s="2" t="str">
        <x:v>relleno_postmuerte</x:v>
      </x:c>
      <x:c r="P711" s="2" t="n">
        <x:v>0</x:v>
      </x:c>
      <x:c r="Q711" s="2" t="str">
        <x:v>simulado_didactico</x:v>
      </x:c>
    </x:row>
    <x:row r="712" ht="19" customHeight="1">
      <x:c r="A712" s="2" t="str">
        <x:v>SIM-E2-MP-L7-R03</x:v>
      </x:c>
      <x:c r="B712" s="2" t="n">
        <x:v>2</x:v>
      </x:c>
      <x:c r="C712" s="2" t="str">
        <x:v>MP</x:v>
      </x:c>
      <x:c r="D712" s="2" t="str">
        <x:v>Myzus persicae</x:v>
      </x:c>
      <x:c r="E712" s="2" t="str">
        <x:v>L7</x:v>
      </x:c>
      <x:c r="F712" s="2" t="n">
        <x:v>3</x:v>
      </x:c>
      <x:c r="G712" s="2" t="n">
        <x:v>38</x:v>
      </x:c>
      <x:c r="H712" s="2" t="n">
        <x:f>G712+Supuestos!$C$15</x:f>
        <x:v>39</x:v>
      </x:c>
      <x:c r="I712" s="14" t="n">
        <x:f>E2_plantas!J18+G712</x:f>
        <x:v>46219</x:v>
      </x:c>
      <x:c r="J712" s="2" t="str">
        <x:v>muerta</x:v>
      </x:c>
      <x:c r="K712" s="2" t="n">
        <x:v>0</x:v>
      </x:c>
      <x:c r="L712" s="2" t="n">
        <x:v>0</x:v>
      </x:c>
      <x:c r="M712" s="2" t="n">
        <x:f>SUM(L$674:L712)</x:f>
        <x:v>0</x:v>
      </x:c>
      <x:c r="N712" s="2" t="n">
        <x:v>0</x:v>
      </x:c>
      <x:c r="O712" s="2" t="str">
        <x:v>relleno_postmuerte</x:v>
      </x:c>
      <x:c r="P712" s="2" t="n">
        <x:v>0</x:v>
      </x:c>
      <x:c r="Q712" s="2" t="str">
        <x:v>simulado_didactico</x:v>
      </x:c>
    </x:row>
    <x:row r="713" ht="19" customHeight="1">
      <x:c r="A713" s="2" t="str">
        <x:v>SIM-E2-MP-L7-R03</x:v>
      </x:c>
      <x:c r="B713" s="2" t="n">
        <x:v>2</x:v>
      </x:c>
      <x:c r="C713" s="2" t="str">
        <x:v>MP</x:v>
      </x:c>
      <x:c r="D713" s="2" t="str">
        <x:v>Myzus persicae</x:v>
      </x:c>
      <x:c r="E713" s="2" t="str">
        <x:v>L7</x:v>
      </x:c>
      <x:c r="F713" s="2" t="n">
        <x:v>3</x:v>
      </x:c>
      <x:c r="G713" s="2" t="n">
        <x:v>39</x:v>
      </x:c>
      <x:c r="H713" s="2" t="n">
        <x:f>G713+Supuestos!$C$15</x:f>
        <x:v>40</x:v>
      </x:c>
      <x:c r="I713" s="14" t="n">
        <x:f>E2_plantas!J18+G713</x:f>
        <x:v>46220</x:v>
      </x:c>
      <x:c r="J713" s="2" t="str">
        <x:v>muerta</x:v>
      </x:c>
      <x:c r="K713" s="2" t="n">
        <x:v>0</x:v>
      </x:c>
      <x:c r="L713" s="2" t="n">
        <x:v>0</x:v>
      </x:c>
      <x:c r="M713" s="2" t="n">
        <x:f>SUM(L$674:L713)</x:f>
        <x:v>0</x:v>
      </x:c>
      <x:c r="N713" s="2" t="n">
        <x:v>0</x:v>
      </x:c>
      <x:c r="O713" s="2" t="str">
        <x:v>relleno_postmuerte</x:v>
      </x:c>
      <x:c r="P713" s="2" t="n">
        <x:v>0</x:v>
      </x:c>
      <x:c r="Q713" s="2" t="str">
        <x:v>simulado_didactico</x:v>
      </x:c>
    </x:row>
    <x:row r="714" ht="19" customHeight="1">
      <x:c r="A714" s="2" t="str">
        <x:v>SIM-E2-MP-L7-R03</x:v>
      </x:c>
      <x:c r="B714" s="2" t="n">
        <x:v>2</x:v>
      </x:c>
      <x:c r="C714" s="2" t="str">
        <x:v>MP</x:v>
      </x:c>
      <x:c r="D714" s="2" t="str">
        <x:v>Myzus persicae</x:v>
      </x:c>
      <x:c r="E714" s="2" t="str">
        <x:v>L7</x:v>
      </x:c>
      <x:c r="F714" s="2" t="n">
        <x:v>3</x:v>
      </x:c>
      <x:c r="G714" s="2" t="n">
        <x:v>40</x:v>
      </x:c>
      <x:c r="H714" s="2" t="n">
        <x:f>G714+Supuestos!$C$15</x:f>
        <x:v>41</x:v>
      </x:c>
      <x:c r="I714" s="14" t="n">
        <x:f>E2_plantas!J18+G714</x:f>
        <x:v>46221</x:v>
      </x:c>
      <x:c r="J714" s="2" t="str">
        <x:v>muerta</x:v>
      </x:c>
      <x:c r="K714" s="2" t="n">
        <x:v>0</x:v>
      </x:c>
      <x:c r="L714" s="2" t="n">
        <x:v>0</x:v>
      </x:c>
      <x:c r="M714" s="2" t="n">
        <x:f>SUM(L$674:L714)</x:f>
        <x:v>0</x:v>
      </x:c>
      <x:c r="N714" s="2" t="n">
        <x:v>0</x:v>
      </x:c>
      <x:c r="O714" s="2" t="str">
        <x:v>relleno_postmuerte</x:v>
      </x:c>
      <x:c r="P714" s="2" t="n">
        <x:v>0</x:v>
      </x:c>
      <x:c r="Q714" s="2" t="str">
        <x:v>simulado_didactico</x:v>
      </x:c>
    </x:row>
    <x:row r="715" ht="19" customHeight="1">
      <x:c r="A715" s="2" t="str">
        <x:v>SIM-E2-MP-L7-R03</x:v>
      </x:c>
      <x:c r="B715" s="2" t="n">
        <x:v>2</x:v>
      </x:c>
      <x:c r="C715" s="2" t="str">
        <x:v>MP</x:v>
      </x:c>
      <x:c r="D715" s="2" t="str">
        <x:v>Myzus persicae</x:v>
      </x:c>
      <x:c r="E715" s="2" t="str">
        <x:v>L7</x:v>
      </x:c>
      <x:c r="F715" s="2" t="n">
        <x:v>3</x:v>
      </x:c>
      <x:c r="G715" s="2" t="n">
        <x:v>41</x:v>
      </x:c>
      <x:c r="H715" s="2" t="n">
        <x:f>G715+Supuestos!$C$15</x:f>
        <x:v>42</x:v>
      </x:c>
      <x:c r="I715" s="14" t="n">
        <x:f>E2_plantas!J18+G715</x:f>
        <x:v>46222</x:v>
      </x:c>
      <x:c r="J715" s="2" t="str">
        <x:v>muerta</x:v>
      </x:c>
      <x:c r="K715" s="2" t="n">
        <x:v>0</x:v>
      </x:c>
      <x:c r="L715" s="2" t="n">
        <x:v>0</x:v>
      </x:c>
      <x:c r="M715" s="2" t="n">
        <x:f>SUM(L$674:L715)</x:f>
        <x:v>0</x:v>
      </x:c>
      <x:c r="N715" s="2" t="n">
        <x:v>0</x:v>
      </x:c>
      <x:c r="O715" s="2" t="str">
        <x:v>relleno_postmuerte</x:v>
      </x:c>
      <x:c r="P715" s="2" t="n">
        <x:v>0</x:v>
      </x:c>
      <x:c r="Q715" s="2" t="str">
        <x:v>simulado_didactico</x:v>
      </x:c>
    </x:row>
    <x:row r="716" ht="19" customHeight="1">
      <x:c r="A716" s="2" t="str">
        <x:v>SIM-E2-MP-L7-R04</x:v>
      </x:c>
      <x:c r="B716" s="2" t="n">
        <x:v>2</x:v>
      </x:c>
      <x:c r="C716" s="2" t="str">
        <x:v>MP</x:v>
      </x:c>
      <x:c r="D716" s="2" t="str">
        <x:v>Myzus persicae</x:v>
      </x:c>
      <x:c r="E716" s="2" t="str">
        <x:v>L7</x:v>
      </x:c>
      <x:c r="F716" s="2" t="n">
        <x:v>4</x:v>
      </x:c>
      <x:c r="G716" s="2" t="n">
        <x:v>0</x:v>
      </x:c>
      <x:c r="H716" s="2" t="n">
        <x:f>G716+Supuestos!$C$15</x:f>
        <x:v>1</x:v>
      </x:c>
      <x:c r="I716" s="14" t="n">
        <x:f>E2_plantas!J19+G716</x:f>
        <x:v>46181</x:v>
      </x:c>
      <x:c r="J716" s="2" t="str">
        <x:v>N1</x:v>
      </x:c>
      <x:c r="K716" s="2" t="n">
        <x:v>1</x:v>
      </x:c>
      <x:c r="L716" s="2" t="n">
        <x:v>0</x:v>
      </x:c>
      <x:c r="M716" s="2" t="n">
        <x:f>SUM(L$716:L716)</x:f>
        <x:v>0</x:v>
      </x:c>
      <x:c r="N716" s="2" t="n">
        <x:v>0</x:v>
      </x:c>
      <x:c r="O716" s="2" t="str">
        <x:v>seguimiento</x:v>
      </x:c>
      <x:c r="P716" s="2" t="n">
        <x:v>0</x:v>
      </x:c>
      <x:c r="Q716" s="2" t="str">
        <x:v>simulado_didactico</x:v>
      </x:c>
    </x:row>
    <x:row r="717" ht="19" customHeight="1">
      <x:c r="A717" s="2" t="str">
        <x:v>SIM-E2-MP-L7-R04</x:v>
      </x:c>
      <x:c r="B717" s="2" t="n">
        <x:v>2</x:v>
      </x:c>
      <x:c r="C717" s="2" t="str">
        <x:v>MP</x:v>
      </x:c>
      <x:c r="D717" s="2" t="str">
        <x:v>Myzus persicae</x:v>
      </x:c>
      <x:c r="E717" s="2" t="str">
        <x:v>L7</x:v>
      </x:c>
      <x:c r="F717" s="2" t="n">
        <x:v>4</x:v>
      </x:c>
      <x:c r="G717" s="2" t="n">
        <x:v>1</x:v>
      </x:c>
      <x:c r="H717" s="2" t="n">
        <x:f>G717+Supuestos!$C$15</x:f>
        <x:v>2</x:v>
      </x:c>
      <x:c r="I717" s="14" t="n">
        <x:f>E2_plantas!J19+G717</x:f>
        <x:v>46182</x:v>
      </x:c>
      <x:c r="J717" s="2" t="str">
        <x:v>N1</x:v>
      </x:c>
      <x:c r="K717" s="2" t="n">
        <x:v>1</x:v>
      </x:c>
      <x:c r="L717" s="2" t="n">
        <x:v>0</x:v>
      </x:c>
      <x:c r="M717" s="2" t="n">
        <x:f>SUM(L$716:L717)</x:f>
        <x:v>0</x:v>
      </x:c>
      <x:c r="N717" s="2" t="n">
        <x:v>0</x:v>
      </x:c>
      <x:c r="O717" s="2" t="str">
        <x:v>seguimiento</x:v>
      </x:c>
      <x:c r="P717" s="2" t="n">
        <x:v>0</x:v>
      </x:c>
      <x:c r="Q717" s="2" t="str">
        <x:v>simulado_didactico</x:v>
      </x:c>
    </x:row>
    <x:row r="718" ht="19" customHeight="1">
      <x:c r="A718" s="2" t="str">
        <x:v>SIM-E2-MP-L7-R04</x:v>
      </x:c>
      <x:c r="B718" s="2" t="n">
        <x:v>2</x:v>
      </x:c>
      <x:c r="C718" s="2" t="str">
        <x:v>MP</x:v>
      </x:c>
      <x:c r="D718" s="2" t="str">
        <x:v>Myzus persicae</x:v>
      </x:c>
      <x:c r="E718" s="2" t="str">
        <x:v>L7</x:v>
      </x:c>
      <x:c r="F718" s="2" t="n">
        <x:v>4</x:v>
      </x:c>
      <x:c r="G718" s="2" t="n">
        <x:v>2</x:v>
      </x:c>
      <x:c r="H718" s="2" t="n">
        <x:f>G718+Supuestos!$C$15</x:f>
        <x:v>3</x:v>
      </x:c>
      <x:c r="I718" s="14" t="n">
        <x:f>E2_plantas!J19+G718</x:f>
        <x:v>46183</x:v>
      </x:c>
      <x:c r="J718" s="2" t="str">
        <x:v>N2</x:v>
      </x:c>
      <x:c r="K718" s="2" t="n">
        <x:v>1</x:v>
      </x:c>
      <x:c r="L718" s="2" t="n">
        <x:v>0</x:v>
      </x:c>
      <x:c r="M718" s="2" t="n">
        <x:f>SUM(L$716:L718)</x:f>
        <x:v>0</x:v>
      </x:c>
      <x:c r="N718" s="2" t="n">
        <x:v>0</x:v>
      </x:c>
      <x:c r="O718" s="2" t="str">
        <x:v>seguimiento</x:v>
      </x:c>
      <x:c r="P718" s="2" t="n">
        <x:v>0</x:v>
      </x:c>
      <x:c r="Q718" s="2" t="str">
        <x:v>simulado_didactico</x:v>
      </x:c>
    </x:row>
    <x:row r="719" ht="19" customHeight="1">
      <x:c r="A719" s="2" t="str">
        <x:v>SIM-E2-MP-L7-R04</x:v>
      </x:c>
      <x:c r="B719" s="2" t="n">
        <x:v>2</x:v>
      </x:c>
      <x:c r="C719" s="2" t="str">
        <x:v>MP</x:v>
      </x:c>
      <x:c r="D719" s="2" t="str">
        <x:v>Myzus persicae</x:v>
      </x:c>
      <x:c r="E719" s="2" t="str">
        <x:v>L7</x:v>
      </x:c>
      <x:c r="F719" s="2" t="n">
        <x:v>4</x:v>
      </x:c>
      <x:c r="G719" s="2" t="n">
        <x:v>3</x:v>
      </x:c>
      <x:c r="H719" s="2" t="n">
        <x:f>G719+Supuestos!$C$15</x:f>
        <x:v>4</x:v>
      </x:c>
      <x:c r="I719" s="14" t="n">
        <x:f>E2_plantas!J19+G719</x:f>
        <x:v>46184</x:v>
      </x:c>
      <x:c r="J719" s="2" t="str">
        <x:v>N2</x:v>
      </x:c>
      <x:c r="K719" s="2" t="n">
        <x:v>1</x:v>
      </x:c>
      <x:c r="L719" s="2" t="n">
        <x:v>0</x:v>
      </x:c>
      <x:c r="M719" s="2" t="n">
        <x:f>SUM(L$716:L719)</x:f>
        <x:v>0</x:v>
      </x:c>
      <x:c r="N719" s="2" t="n">
        <x:v>0</x:v>
      </x:c>
      <x:c r="O719" s="2" t="str">
        <x:v>seguimiento</x:v>
      </x:c>
      <x:c r="P719" s="2" t="n">
        <x:v>0</x:v>
      </x:c>
      <x:c r="Q719" s="2" t="str">
        <x:v>simulado_didactico</x:v>
      </x:c>
    </x:row>
    <x:row r="720" ht="19" customHeight="1">
      <x:c r="A720" s="2" t="str">
        <x:v>SIM-E2-MP-L7-R04</x:v>
      </x:c>
      <x:c r="B720" s="2" t="n">
        <x:v>2</x:v>
      </x:c>
      <x:c r="C720" s="2" t="str">
        <x:v>MP</x:v>
      </x:c>
      <x:c r="D720" s="2" t="str">
        <x:v>Myzus persicae</x:v>
      </x:c>
      <x:c r="E720" s="2" t="str">
        <x:v>L7</x:v>
      </x:c>
      <x:c r="F720" s="2" t="n">
        <x:v>4</x:v>
      </x:c>
      <x:c r="G720" s="2" t="n">
        <x:v>4</x:v>
      </x:c>
      <x:c r="H720" s="2" t="n">
        <x:f>G720+Supuestos!$C$15</x:f>
        <x:v>5</x:v>
      </x:c>
      <x:c r="I720" s="14" t="n">
        <x:f>E2_plantas!J19+G720</x:f>
        <x:v>46185</x:v>
      </x:c>
      <x:c r="J720" s="2" t="str">
        <x:v>N2</x:v>
      </x:c>
      <x:c r="K720" s="2" t="n">
        <x:v>1</x:v>
      </x:c>
      <x:c r="L720" s="2" t="n">
        <x:v>0</x:v>
      </x:c>
      <x:c r="M720" s="2" t="n">
        <x:f>SUM(L$716:L720)</x:f>
        <x:v>0</x:v>
      </x:c>
      <x:c r="N720" s="2" t="n">
        <x:v>0</x:v>
      </x:c>
      <x:c r="O720" s="2" t="str">
        <x:v>seguimiento</x:v>
      </x:c>
      <x:c r="P720" s="2" t="n">
        <x:v>0</x:v>
      </x:c>
      <x:c r="Q720" s="2" t="str">
        <x:v>simulado_didactico</x:v>
      </x:c>
    </x:row>
    <x:row r="721" ht="19" customHeight="1">
      <x:c r="A721" s="2" t="str">
        <x:v>SIM-E2-MP-L7-R04</x:v>
      </x:c>
      <x:c r="B721" s="2" t="n">
        <x:v>2</x:v>
      </x:c>
      <x:c r="C721" s="2" t="str">
        <x:v>MP</x:v>
      </x:c>
      <x:c r="D721" s="2" t="str">
        <x:v>Myzus persicae</x:v>
      </x:c>
      <x:c r="E721" s="2" t="str">
        <x:v>L7</x:v>
      </x:c>
      <x:c r="F721" s="2" t="n">
        <x:v>4</x:v>
      </x:c>
      <x:c r="G721" s="2" t="n">
        <x:v>5</x:v>
      </x:c>
      <x:c r="H721" s="2" t="n">
        <x:f>G721+Supuestos!$C$15</x:f>
        <x:v>6</x:v>
      </x:c>
      <x:c r="I721" s="14" t="n">
        <x:f>E2_plantas!J19+G721</x:f>
        <x:v>46186</x:v>
      </x:c>
      <x:c r="J721" s="2" t="str">
        <x:v>N2</x:v>
      </x:c>
      <x:c r="K721" s="2" t="n">
        <x:v>1</x:v>
      </x:c>
      <x:c r="L721" s="2" t="n">
        <x:v>0</x:v>
      </x:c>
      <x:c r="M721" s="2" t="n">
        <x:f>SUM(L$716:L721)</x:f>
        <x:v>0</x:v>
      </x:c>
      <x:c r="N721" s="2" t="n">
        <x:v>0</x:v>
      </x:c>
      <x:c r="O721" s="2" t="str">
        <x:v>seguimiento</x:v>
      </x:c>
      <x:c r="P721" s="2" t="n">
        <x:v>0</x:v>
      </x:c>
      <x:c r="Q721" s="2" t="str">
        <x:v>simulado_didactico</x:v>
      </x:c>
    </x:row>
    <x:row r="722" ht="19" customHeight="1">
      <x:c r="A722" s="2" t="str">
        <x:v>SIM-E2-MP-L7-R04</x:v>
      </x:c>
      <x:c r="B722" s="2" t="n">
        <x:v>2</x:v>
      </x:c>
      <x:c r="C722" s="2" t="str">
        <x:v>MP</x:v>
      </x:c>
      <x:c r="D722" s="2" t="str">
        <x:v>Myzus persicae</x:v>
      </x:c>
      <x:c r="E722" s="2" t="str">
        <x:v>L7</x:v>
      </x:c>
      <x:c r="F722" s="2" t="n">
        <x:v>4</x:v>
      </x:c>
      <x:c r="G722" s="2" t="n">
        <x:v>6</x:v>
      </x:c>
      <x:c r="H722" s="2" t="n">
        <x:f>G722+Supuestos!$C$15</x:f>
        <x:v>7</x:v>
      </x:c>
      <x:c r="I722" s="14" t="n">
        <x:f>E2_plantas!J19+G722</x:f>
        <x:v>46187</x:v>
      </x:c>
      <x:c r="J722" s="2" t="str">
        <x:v>N3</x:v>
      </x:c>
      <x:c r="K722" s="2" t="n">
        <x:v>1</x:v>
      </x:c>
      <x:c r="L722" s="2" t="n">
        <x:v>0</x:v>
      </x:c>
      <x:c r="M722" s="2" t="n">
        <x:f>SUM(L$716:L722)</x:f>
        <x:v>0</x:v>
      </x:c>
      <x:c r="N722" s="2" t="n">
        <x:v>0</x:v>
      </x:c>
      <x:c r="O722" s="2" t="str">
        <x:v>seguimiento</x:v>
      </x:c>
      <x:c r="P722" s="2" t="n">
        <x:v>0</x:v>
      </x:c>
      <x:c r="Q722" s="2" t="str">
        <x:v>simulado_didactico</x:v>
      </x:c>
    </x:row>
    <x:row r="723" ht="19" customHeight="1">
      <x:c r="A723" s="2" t="str">
        <x:v>SIM-E2-MP-L7-R04</x:v>
      </x:c>
      <x:c r="B723" s="2" t="n">
        <x:v>2</x:v>
      </x:c>
      <x:c r="C723" s="2" t="str">
        <x:v>MP</x:v>
      </x:c>
      <x:c r="D723" s="2" t="str">
        <x:v>Myzus persicae</x:v>
      </x:c>
      <x:c r="E723" s="2" t="str">
        <x:v>L7</x:v>
      </x:c>
      <x:c r="F723" s="2" t="n">
        <x:v>4</x:v>
      </x:c>
      <x:c r="G723" s="2" t="n">
        <x:v>7</x:v>
      </x:c>
      <x:c r="H723" s="2" t="n">
        <x:f>G723+Supuestos!$C$15</x:f>
        <x:v>8</x:v>
      </x:c>
      <x:c r="I723" s="14" t="n">
        <x:f>E2_plantas!J19+G723</x:f>
        <x:v>46188</x:v>
      </x:c>
      <x:c r="J723" s="2" t="str">
        <x:v>N4</x:v>
      </x:c>
      <x:c r="K723" s="2" t="n">
        <x:v>1</x:v>
      </x:c>
      <x:c r="L723" s="2" t="n">
        <x:v>0</x:v>
      </x:c>
      <x:c r="M723" s="2" t="n">
        <x:f>SUM(L$716:L723)</x:f>
        <x:v>0</x:v>
      </x:c>
      <x:c r="N723" s="2" t="n">
        <x:v>0</x:v>
      </x:c>
      <x:c r="O723" s="2" t="str">
        <x:v>seguimiento</x:v>
      </x:c>
      <x:c r="P723" s="2" t="n">
        <x:v>0</x:v>
      </x:c>
      <x:c r="Q723" s="2" t="str">
        <x:v>simulado_didactico</x:v>
      </x:c>
    </x:row>
    <x:row r="724" ht="19" customHeight="1">
      <x:c r="A724" s="2" t="str">
        <x:v>SIM-E2-MP-L7-R04</x:v>
      </x:c>
      <x:c r="B724" s="2" t="n">
        <x:v>2</x:v>
      </x:c>
      <x:c r="C724" s="2" t="str">
        <x:v>MP</x:v>
      </x:c>
      <x:c r="D724" s="2" t="str">
        <x:v>Myzus persicae</x:v>
      </x:c>
      <x:c r="E724" s="2" t="str">
        <x:v>L7</x:v>
      </x:c>
      <x:c r="F724" s="2" t="n">
        <x:v>4</x:v>
      </x:c>
      <x:c r="G724" s="2" t="n">
        <x:v>8</x:v>
      </x:c>
      <x:c r="H724" s="2" t="n">
        <x:f>G724+Supuestos!$C$15</x:f>
        <x:v>9</x:v>
      </x:c>
      <x:c r="I724" s="14" t="n">
        <x:f>E2_plantas!J19+G724</x:f>
        <x:v>46189</x:v>
      </x:c>
      <x:c r="J724" s="2" t="str">
        <x:v>N4</x:v>
      </x:c>
      <x:c r="K724" s="2" t="n">
        <x:v>1</x:v>
      </x:c>
      <x:c r="L724" s="2" t="n">
        <x:v>0</x:v>
      </x:c>
      <x:c r="M724" s="2" t="n">
        <x:f>SUM(L$716:L724)</x:f>
        <x:v>0</x:v>
      </x:c>
      <x:c r="N724" s="2" t="n">
        <x:v>0</x:v>
      </x:c>
      <x:c r="O724" s="2" t="str">
        <x:v>seguimiento</x:v>
      </x:c>
      <x:c r="P724" s="2" t="n">
        <x:v>0</x:v>
      </x:c>
      <x:c r="Q724" s="2" t="str">
        <x:v>simulado_didactico</x:v>
      </x:c>
    </x:row>
    <x:row r="725" ht="19" customHeight="1">
      <x:c r="A725" s="2" t="str">
        <x:v>SIM-E2-MP-L7-R04</x:v>
      </x:c>
      <x:c r="B725" s="2" t="n">
        <x:v>2</x:v>
      </x:c>
      <x:c r="C725" s="2" t="str">
        <x:v>MP</x:v>
      </x:c>
      <x:c r="D725" s="2" t="str">
        <x:v>Myzus persicae</x:v>
      </x:c>
      <x:c r="E725" s="2" t="str">
        <x:v>L7</x:v>
      </x:c>
      <x:c r="F725" s="2" t="n">
        <x:v>4</x:v>
      </x:c>
      <x:c r="G725" s="2" t="n">
        <x:v>9</x:v>
      </x:c>
      <x:c r="H725" s="2" t="n">
        <x:f>G725+Supuestos!$C$15</x:f>
        <x:v>10</x:v>
      </x:c>
      <x:c r="I725" s="14" t="n">
        <x:f>E2_plantas!J19+G725</x:f>
        <x:v>46190</x:v>
      </x:c>
      <x:c r="J725" s="2" t="str">
        <x:v>N4</x:v>
      </x:c>
      <x:c r="K725" s="2" t="n">
        <x:v>1</x:v>
      </x:c>
      <x:c r="L725" s="2" t="n">
        <x:v>0</x:v>
      </x:c>
      <x:c r="M725" s="2" t="n">
        <x:f>SUM(L$716:L725)</x:f>
        <x:v>0</x:v>
      </x:c>
      <x:c r="N725" s="2" t="n">
        <x:v>0</x:v>
      </x:c>
      <x:c r="O725" s="2" t="str">
        <x:v>seguimiento</x:v>
      </x:c>
      <x:c r="P725" s="2" t="n">
        <x:v>0</x:v>
      </x:c>
      <x:c r="Q725" s="2" t="str">
        <x:v>simulado_didactico</x:v>
      </x:c>
    </x:row>
    <x:row r="726" ht="19" customHeight="1">
      <x:c r="A726" s="2" t="str">
        <x:v>SIM-E2-MP-L7-R04</x:v>
      </x:c>
      <x:c r="B726" s="2" t="n">
        <x:v>2</x:v>
      </x:c>
      <x:c r="C726" s="2" t="str">
        <x:v>MP</x:v>
      </x:c>
      <x:c r="D726" s="2" t="str">
        <x:v>Myzus persicae</x:v>
      </x:c>
      <x:c r="E726" s="2" t="str">
        <x:v>L7</x:v>
      </x:c>
      <x:c r="F726" s="2" t="n">
        <x:v>4</x:v>
      </x:c>
      <x:c r="G726" s="2" t="n">
        <x:v>10</x:v>
      </x:c>
      <x:c r="H726" s="2" t="n">
        <x:f>G726+Supuestos!$C$15</x:f>
        <x:v>11</x:v>
      </x:c>
      <x:c r="I726" s="14" t="n">
        <x:f>E2_plantas!J19+G726</x:f>
        <x:v>46191</x:v>
      </x:c>
      <x:c r="J726" s="2" t="str">
        <x:v>N4</x:v>
      </x:c>
      <x:c r="K726" s="2" t="n">
        <x:v>1</x:v>
      </x:c>
      <x:c r="L726" s="2" t="n">
        <x:v>0</x:v>
      </x:c>
      <x:c r="M726" s="2" t="n">
        <x:f>SUM(L$716:L726)</x:f>
        <x:v>0</x:v>
      </x:c>
      <x:c r="N726" s="2" t="n">
        <x:v>0</x:v>
      </x:c>
      <x:c r="O726" s="2" t="str">
        <x:v>seguimiento</x:v>
      </x:c>
      <x:c r="P726" s="2" t="n">
        <x:v>0</x:v>
      </x:c>
      <x:c r="Q726" s="2" t="str">
        <x:v>simulado_didactico</x:v>
      </x:c>
    </x:row>
    <x:row r="727" ht="19" customHeight="1">
      <x:c r="A727" s="2" t="str">
        <x:v>SIM-E2-MP-L7-R04</x:v>
      </x:c>
      <x:c r="B727" s="2" t="n">
        <x:v>2</x:v>
      </x:c>
      <x:c r="C727" s="2" t="str">
        <x:v>MP</x:v>
      </x:c>
      <x:c r="D727" s="2" t="str">
        <x:v>Myzus persicae</x:v>
      </x:c>
      <x:c r="E727" s="2" t="str">
        <x:v>L7</x:v>
      </x:c>
      <x:c r="F727" s="2" t="n">
        <x:v>4</x:v>
      </x:c>
      <x:c r="G727" s="2" t="n">
        <x:v>11</x:v>
      </x:c>
      <x:c r="H727" s="2" t="n">
        <x:f>G727+Supuestos!$C$15</x:f>
        <x:v>12</x:v>
      </x:c>
      <x:c r="I727" s="14" t="n">
        <x:f>E2_plantas!J19+G727</x:f>
        <x:v>46192</x:v>
      </x:c>
      <x:c r="J727" s="2" t="str">
        <x:v>adulta</x:v>
      </x:c>
      <x:c r="K727" s="2" t="n">
        <x:v>1</x:v>
      </x:c>
      <x:c r="L727" s="2" t="n">
        <x:v>0</x:v>
      </x:c>
      <x:c r="M727" s="2" t="n">
        <x:f>SUM(L$716:L727)</x:f>
        <x:v>0</x:v>
      </x:c>
      <x:c r="N727" s="2" t="n">
        <x:v>0</x:v>
      </x:c>
      <x:c r="O727" s="2" t="str">
        <x:v>seguimiento</x:v>
      </x:c>
      <x:c r="P727" s="2" t="n">
        <x:v>0</x:v>
      </x:c>
      <x:c r="Q727" s="2" t="str">
        <x:v>simulado_didactico</x:v>
      </x:c>
    </x:row>
    <x:row r="728" ht="19" customHeight="1">
      <x:c r="A728" s="2" t="str">
        <x:v>SIM-E2-MP-L7-R04</x:v>
      </x:c>
      <x:c r="B728" s="2" t="n">
        <x:v>2</x:v>
      </x:c>
      <x:c r="C728" s="2" t="str">
        <x:v>MP</x:v>
      </x:c>
      <x:c r="D728" s="2" t="str">
        <x:v>Myzus persicae</x:v>
      </x:c>
      <x:c r="E728" s="2" t="str">
        <x:v>L7</x:v>
      </x:c>
      <x:c r="F728" s="2" t="n">
        <x:v>4</x:v>
      </x:c>
      <x:c r="G728" s="2" t="n">
        <x:v>12</x:v>
      </x:c>
      <x:c r="H728" s="2" t="n">
        <x:f>G728+Supuestos!$C$15</x:f>
        <x:v>13</x:v>
      </x:c>
      <x:c r="I728" s="14" t="n">
        <x:f>E2_plantas!J19+G728</x:f>
        <x:v>46193</x:v>
      </x:c>
      <x:c r="J728" s="2" t="str">
        <x:v>adulta</x:v>
      </x:c>
      <x:c r="K728" s="2" t="n">
        <x:v>1</x:v>
      </x:c>
      <x:c r="L728" s="2" t="n">
        <x:v>0</x:v>
      </x:c>
      <x:c r="M728" s="2" t="n">
        <x:f>SUM(L$716:L728)</x:f>
        <x:v>0</x:v>
      </x:c>
      <x:c r="N728" s="2" t="n">
        <x:v>0</x:v>
      </x:c>
      <x:c r="O728" s="2" t="str">
        <x:v>seguimiento</x:v>
      </x:c>
      <x:c r="P728" s="2" t="n">
        <x:v>0</x:v>
      </x:c>
      <x:c r="Q728" s="2" t="str">
        <x:v>simulado_didactico</x:v>
      </x:c>
    </x:row>
    <x:row r="729" ht="19" customHeight="1">
      <x:c r="A729" s="2" t="str">
        <x:v>SIM-E2-MP-L7-R04</x:v>
      </x:c>
      <x:c r="B729" s="2" t="n">
        <x:v>2</x:v>
      </x:c>
      <x:c r="C729" s="2" t="str">
        <x:v>MP</x:v>
      </x:c>
      <x:c r="D729" s="2" t="str">
        <x:v>Myzus persicae</x:v>
      </x:c>
      <x:c r="E729" s="2" t="str">
        <x:v>L7</x:v>
      </x:c>
      <x:c r="F729" s="2" t="n">
        <x:v>4</x:v>
      </x:c>
      <x:c r="G729" s="2" t="n">
        <x:v>13</x:v>
      </x:c>
      <x:c r="H729" s="2" t="n">
        <x:f>G729+Supuestos!$C$15</x:f>
        <x:v>14</x:v>
      </x:c>
      <x:c r="I729" s="14" t="n">
        <x:f>E2_plantas!J19+G729</x:f>
        <x:v>46194</x:v>
      </x:c>
      <x:c r="J729" s="2" t="str">
        <x:v>adulta</x:v>
      </x:c>
      <x:c r="K729" s="2" t="n">
        <x:v>1</x:v>
      </x:c>
      <x:c r="L729" s="2" t="n">
        <x:v>0</x:v>
      </x:c>
      <x:c r="M729" s="2" t="n">
        <x:f>SUM(L$716:L729)</x:f>
        <x:v>0</x:v>
      </x:c>
      <x:c r="N729" s="2" t="n">
        <x:v>0</x:v>
      </x:c>
      <x:c r="O729" s="2" t="str">
        <x:v>seguimiento</x:v>
      </x:c>
      <x:c r="P729" s="2" t="n">
        <x:v>0</x:v>
      </x:c>
      <x:c r="Q729" s="2" t="str">
        <x:v>simulado_didactico</x:v>
      </x:c>
    </x:row>
    <x:row r="730" ht="19" customHeight="1">
      <x:c r="A730" s="2" t="str">
        <x:v>SIM-E2-MP-L7-R04</x:v>
      </x:c>
      <x:c r="B730" s="2" t="n">
        <x:v>2</x:v>
      </x:c>
      <x:c r="C730" s="2" t="str">
        <x:v>MP</x:v>
      </x:c>
      <x:c r="D730" s="2" t="str">
        <x:v>Myzus persicae</x:v>
      </x:c>
      <x:c r="E730" s="2" t="str">
        <x:v>L7</x:v>
      </x:c>
      <x:c r="F730" s="2" t="n">
        <x:v>4</x:v>
      </x:c>
      <x:c r="G730" s="2" t="n">
        <x:v>14</x:v>
      </x:c>
      <x:c r="H730" s="2" t="n">
        <x:f>G730+Supuestos!$C$15</x:f>
        <x:v>15</x:v>
      </x:c>
      <x:c r="I730" s="14" t="n">
        <x:f>E2_plantas!J19+G730</x:f>
        <x:v>46195</x:v>
      </x:c>
      <x:c r="J730" s="2" t="str">
        <x:v>adulta</x:v>
      </x:c>
      <x:c r="K730" s="2" t="n">
        <x:v>1</x:v>
      </x:c>
      <x:c r="L730" s="2" t="n">
        <x:v>1</x:v>
      </x:c>
      <x:c r="M730" s="2" t="n">
        <x:f>SUM(L$716:L730)</x:f>
        <x:v>1</x:v>
      </x:c>
      <x:c r="N730" s="2" t="n">
        <x:v>0</x:v>
      </x:c>
      <x:c r="O730" s="2" t="str">
        <x:v>seguimiento</x:v>
      </x:c>
      <x:c r="P730" s="2" t="n">
        <x:v>0</x:v>
      </x:c>
      <x:c r="Q730" s="2" t="str">
        <x:v>simulado_didactico</x:v>
      </x:c>
    </x:row>
    <x:row r="731" ht="19" customHeight="1">
      <x:c r="A731" s="2" t="str">
        <x:v>SIM-E2-MP-L7-R04</x:v>
      </x:c>
      <x:c r="B731" s="2" t="n">
        <x:v>2</x:v>
      </x:c>
      <x:c r="C731" s="2" t="str">
        <x:v>MP</x:v>
      </x:c>
      <x:c r="D731" s="2" t="str">
        <x:v>Myzus persicae</x:v>
      </x:c>
      <x:c r="E731" s="2" t="str">
        <x:v>L7</x:v>
      </x:c>
      <x:c r="F731" s="2" t="n">
        <x:v>4</x:v>
      </x:c>
      <x:c r="G731" s="2" t="n">
        <x:v>15</x:v>
      </x:c>
      <x:c r="H731" s="2" t="n">
        <x:f>G731+Supuestos!$C$15</x:f>
        <x:v>16</x:v>
      </x:c>
      <x:c r="I731" s="14" t="n">
        <x:f>E2_plantas!J19+G731</x:f>
        <x:v>46196</x:v>
      </x:c>
      <x:c r="J731" s="2" t="str">
        <x:v>adulta</x:v>
      </x:c>
      <x:c r="K731" s="2" t="n">
        <x:v>1</x:v>
      </x:c>
      <x:c r="L731" s="2" t="n">
        <x:v>4</x:v>
      </x:c>
      <x:c r="M731" s="2" t="n">
        <x:f>SUM(L$716:L731)</x:f>
        <x:v>5</x:v>
      </x:c>
      <x:c r="N731" s="2" t="n">
        <x:v>0</x:v>
      </x:c>
      <x:c r="O731" s="2" t="str">
        <x:v>seguimiento</x:v>
      </x:c>
      <x:c r="P731" s="2" t="n">
        <x:v>0</x:v>
      </x:c>
      <x:c r="Q731" s="2" t="str">
        <x:v>simulado_didactico</x:v>
      </x:c>
    </x:row>
    <x:row r="732" ht="19" customHeight="1">
      <x:c r="A732" s="2" t="str">
        <x:v>SIM-E2-MP-L7-R04</x:v>
      </x:c>
      <x:c r="B732" s="2" t="n">
        <x:v>2</x:v>
      </x:c>
      <x:c r="C732" s="2" t="str">
        <x:v>MP</x:v>
      </x:c>
      <x:c r="D732" s="2" t="str">
        <x:v>Myzus persicae</x:v>
      </x:c>
      <x:c r="E732" s="2" t="str">
        <x:v>L7</x:v>
      </x:c>
      <x:c r="F732" s="2" t="n">
        <x:v>4</x:v>
      </x:c>
      <x:c r="G732" s="2" t="n">
        <x:v>16</x:v>
      </x:c>
      <x:c r="H732" s="2" t="n">
        <x:f>G732+Supuestos!$C$15</x:f>
        <x:v>17</x:v>
      </x:c>
      <x:c r="I732" s="14" t="n">
        <x:f>E2_plantas!J19+G732</x:f>
        <x:v>46197</x:v>
      </x:c>
      <x:c r="J732" s="2" t="str">
        <x:v>adulta</x:v>
      </x:c>
      <x:c r="K732" s="2" t="n">
        <x:v>1</x:v>
      </x:c>
      <x:c r="L732" s="2" t="n">
        <x:v>2</x:v>
      </x:c>
      <x:c r="M732" s="2" t="n">
        <x:f>SUM(L$716:L732)</x:f>
        <x:v>7</x:v>
      </x:c>
      <x:c r="N732" s="2" t="n">
        <x:v>0</x:v>
      </x:c>
      <x:c r="O732" s="2" t="str">
        <x:v>seguimiento</x:v>
      </x:c>
      <x:c r="P732" s="2" t="n">
        <x:v>0</x:v>
      </x:c>
      <x:c r="Q732" s="2" t="str">
        <x:v>simulado_didactico</x:v>
      </x:c>
    </x:row>
    <x:row r="733" ht="19" customHeight="1">
      <x:c r="A733" s="2" t="str">
        <x:v>SIM-E2-MP-L7-R04</x:v>
      </x:c>
      <x:c r="B733" s="2" t="n">
        <x:v>2</x:v>
      </x:c>
      <x:c r="C733" s="2" t="str">
        <x:v>MP</x:v>
      </x:c>
      <x:c r="D733" s="2" t="str">
        <x:v>Myzus persicae</x:v>
      </x:c>
      <x:c r="E733" s="2" t="str">
        <x:v>L7</x:v>
      </x:c>
      <x:c r="F733" s="2" t="n">
        <x:v>4</x:v>
      </x:c>
      <x:c r="G733" s="2" t="n">
        <x:v>17</x:v>
      </x:c>
      <x:c r="H733" s="2" t="n">
        <x:f>G733+Supuestos!$C$15</x:f>
        <x:v>18</x:v>
      </x:c>
      <x:c r="I733" s="14" t="n">
        <x:f>E2_plantas!J19+G733</x:f>
        <x:v>46198</x:v>
      </x:c>
      <x:c r="J733" s="2" t="str">
        <x:v>adulta</x:v>
      </x:c>
      <x:c r="K733" s="2" t="n">
        <x:v>1</x:v>
      </x:c>
      <x:c r="L733" s="2" t="n">
        <x:v>8</x:v>
      </x:c>
      <x:c r="M733" s="2" t="n">
        <x:f>SUM(L$716:L733)</x:f>
        <x:v>15</x:v>
      </x:c>
      <x:c r="N733" s="2" t="n">
        <x:v>0</x:v>
      </x:c>
      <x:c r="O733" s="2" t="str">
        <x:v>seguimiento</x:v>
      </x:c>
      <x:c r="P733" s="2" t="n">
        <x:v>0</x:v>
      </x:c>
      <x:c r="Q733" s="2" t="str">
        <x:v>simulado_didactico</x:v>
      </x:c>
    </x:row>
    <x:row r="734" ht="19" customHeight="1">
      <x:c r="A734" s="2" t="str">
        <x:v>SIM-E2-MP-L7-R04</x:v>
      </x:c>
      <x:c r="B734" s="2" t="n">
        <x:v>2</x:v>
      </x:c>
      <x:c r="C734" s="2" t="str">
        <x:v>MP</x:v>
      </x:c>
      <x:c r="D734" s="2" t="str">
        <x:v>Myzus persicae</x:v>
      </x:c>
      <x:c r="E734" s="2" t="str">
        <x:v>L7</x:v>
      </x:c>
      <x:c r="F734" s="2" t="n">
        <x:v>4</x:v>
      </x:c>
      <x:c r="G734" s="2" t="n">
        <x:v>18</x:v>
      </x:c>
      <x:c r="H734" s="2" t="n">
        <x:f>G734+Supuestos!$C$15</x:f>
        <x:v>19</x:v>
      </x:c>
      <x:c r="I734" s="14" t="n">
        <x:f>E2_plantas!J19+G734</x:f>
        <x:v>46199</x:v>
      </x:c>
      <x:c r="J734" s="2" t="str">
        <x:v>adulta</x:v>
      </x:c>
      <x:c r="K734" s="2" t="n">
        <x:v>1</x:v>
      </x:c>
      <x:c r="L734" s="2" t="n">
        <x:v>3</x:v>
      </x:c>
      <x:c r="M734" s="2" t="n">
        <x:f>SUM(L$716:L734)</x:f>
        <x:v>18</x:v>
      </x:c>
      <x:c r="N734" s="2" t="n">
        <x:v>0</x:v>
      </x:c>
      <x:c r="O734" s="2" t="str">
        <x:v>seguimiento</x:v>
      </x:c>
      <x:c r="P734" s="2" t="n">
        <x:v>0</x:v>
      </x:c>
      <x:c r="Q734" s="2" t="str">
        <x:v>simulado_didactico</x:v>
      </x:c>
    </x:row>
    <x:row r="735" ht="19" customHeight="1">
      <x:c r="A735" s="2" t="str">
        <x:v>SIM-E2-MP-L7-R04</x:v>
      </x:c>
      <x:c r="B735" s="2" t="n">
        <x:v>2</x:v>
      </x:c>
      <x:c r="C735" s="2" t="str">
        <x:v>MP</x:v>
      </x:c>
      <x:c r="D735" s="2" t="str">
        <x:v>Myzus persicae</x:v>
      </x:c>
      <x:c r="E735" s="2" t="str">
        <x:v>L7</x:v>
      </x:c>
      <x:c r="F735" s="2" t="n">
        <x:v>4</x:v>
      </x:c>
      <x:c r="G735" s="2" t="n">
        <x:v>19</x:v>
      </x:c>
      <x:c r="H735" s="2" t="n">
        <x:f>G735+Supuestos!$C$15</x:f>
        <x:v>20</x:v>
      </x:c>
      <x:c r="I735" s="14" t="n">
        <x:f>E2_plantas!J19+G735</x:f>
        <x:v>46200</x:v>
      </x:c>
      <x:c r="J735" s="2" t="str">
        <x:v>adulta</x:v>
      </x:c>
      <x:c r="K735" s="2" t="n">
        <x:v>1</x:v>
      </x:c>
      <x:c r="L735" s="2" t="n">
        <x:v>2</x:v>
      </x:c>
      <x:c r="M735" s="2" t="n">
        <x:f>SUM(L$716:L735)</x:f>
        <x:v>20</x:v>
      </x:c>
      <x:c r="N735" s="2" t="n">
        <x:v>0</x:v>
      </x:c>
      <x:c r="O735" s="2" t="str">
        <x:v>seguimiento</x:v>
      </x:c>
      <x:c r="P735" s="2" t="n">
        <x:v>0</x:v>
      </x:c>
      <x:c r="Q735" s="2" t="str">
        <x:v>simulado_didactico</x:v>
      </x:c>
    </x:row>
    <x:row r="736" ht="19" customHeight="1">
      <x:c r="A736" s="2" t="str">
        <x:v>SIM-E2-MP-L7-R04</x:v>
      </x:c>
      <x:c r="B736" s="2" t="n">
        <x:v>2</x:v>
      </x:c>
      <x:c r="C736" s="2" t="str">
        <x:v>MP</x:v>
      </x:c>
      <x:c r="D736" s="2" t="str">
        <x:v>Myzus persicae</x:v>
      </x:c>
      <x:c r="E736" s="2" t="str">
        <x:v>L7</x:v>
      </x:c>
      <x:c r="F736" s="2" t="n">
        <x:v>4</x:v>
      </x:c>
      <x:c r="G736" s="2" t="n">
        <x:v>20</x:v>
      </x:c>
      <x:c r="H736" s="2" t="n">
        <x:f>G736+Supuestos!$C$15</x:f>
        <x:v>21</x:v>
      </x:c>
      <x:c r="I736" s="14" t="n">
        <x:f>E2_plantas!J19+G736</x:f>
        <x:v>46201</x:v>
      </x:c>
      <x:c r="J736" s="2" t="str">
        <x:v>adulta</x:v>
      </x:c>
      <x:c r="K736" s="2" t="n">
        <x:v>1</x:v>
      </x:c>
      <x:c r="L736" s="2" t="n">
        <x:v>1</x:v>
      </x:c>
      <x:c r="M736" s="2" t="n">
        <x:f>SUM(L$716:L736)</x:f>
        <x:v>21</x:v>
      </x:c>
      <x:c r="N736" s="2" t="n">
        <x:v>0</x:v>
      </x:c>
      <x:c r="O736" s="2" t="str">
        <x:v>seguimiento</x:v>
      </x:c>
      <x:c r="P736" s="2" t="n">
        <x:v>0</x:v>
      </x:c>
      <x:c r="Q736" s="2" t="str">
        <x:v>simulado_didactico</x:v>
      </x:c>
    </x:row>
    <x:row r="737" ht="19" customHeight="1">
      <x:c r="A737" s="2" t="str">
        <x:v>SIM-E2-MP-L7-R04</x:v>
      </x:c>
      <x:c r="B737" s="2" t="n">
        <x:v>2</x:v>
      </x:c>
      <x:c r="C737" s="2" t="str">
        <x:v>MP</x:v>
      </x:c>
      <x:c r="D737" s="2" t="str">
        <x:v>Myzus persicae</x:v>
      </x:c>
      <x:c r="E737" s="2" t="str">
        <x:v>L7</x:v>
      </x:c>
      <x:c r="F737" s="2" t="n">
        <x:v>4</x:v>
      </x:c>
      <x:c r="G737" s="2" t="n">
        <x:v>21</x:v>
      </x:c>
      <x:c r="H737" s="2" t="n">
        <x:f>G737+Supuestos!$C$15</x:f>
        <x:v>22</x:v>
      </x:c>
      <x:c r="I737" s="14" t="n">
        <x:f>E2_plantas!J19+G737</x:f>
        <x:v>46202</x:v>
      </x:c>
      <x:c r="J737" s="2" t="str">
        <x:v>adulta</x:v>
      </x:c>
      <x:c r="K737" s="2" t="n">
        <x:v>1</x:v>
      </x:c>
      <x:c r="L737" s="2" t="n">
        <x:v>1</x:v>
      </x:c>
      <x:c r="M737" s="2" t="n">
        <x:f>SUM(L$716:L737)</x:f>
        <x:v>22</x:v>
      </x:c>
      <x:c r="N737" s="2" t="n">
        <x:v>0</x:v>
      </x:c>
      <x:c r="O737" s="2" t="str">
        <x:v>seguimiento</x:v>
      </x:c>
      <x:c r="P737" s="2" t="n">
        <x:v>0</x:v>
      </x:c>
      <x:c r="Q737" s="2" t="str">
        <x:v>simulado_didactico</x:v>
      </x:c>
    </x:row>
    <x:row r="738" ht="19" customHeight="1">
      <x:c r="A738" s="2" t="str">
        <x:v>SIM-E2-MP-L7-R04</x:v>
      </x:c>
      <x:c r="B738" s="2" t="n">
        <x:v>2</x:v>
      </x:c>
      <x:c r="C738" s="2" t="str">
        <x:v>MP</x:v>
      </x:c>
      <x:c r="D738" s="2" t="str">
        <x:v>Myzus persicae</x:v>
      </x:c>
      <x:c r="E738" s="2" t="str">
        <x:v>L7</x:v>
      </x:c>
      <x:c r="F738" s="2" t="n">
        <x:v>4</x:v>
      </x:c>
      <x:c r="G738" s="2" t="n">
        <x:v>22</x:v>
      </x:c>
      <x:c r="H738" s="2" t="n">
        <x:f>G738+Supuestos!$C$15</x:f>
        <x:v>23</x:v>
      </x:c>
      <x:c r="I738" s="14" t="n">
        <x:f>E2_plantas!J19+G738</x:f>
        <x:v>46203</x:v>
      </x:c>
      <x:c r="J738" s="2" t="str">
        <x:v>adulta</x:v>
      </x:c>
      <x:c r="K738" s="2" t="n">
        <x:v>1</x:v>
      </x:c>
      <x:c r="L738" s="2" t="n">
        <x:v>5</x:v>
      </x:c>
      <x:c r="M738" s="2" t="n">
        <x:f>SUM(L$716:L738)</x:f>
        <x:v>27</x:v>
      </x:c>
      <x:c r="N738" s="2" t="n">
        <x:v>0</x:v>
      </x:c>
      <x:c r="O738" s="2" t="str">
        <x:v>seguimiento</x:v>
      </x:c>
      <x:c r="P738" s="2" t="n">
        <x:v>0</x:v>
      </x:c>
      <x:c r="Q738" s="2" t="str">
        <x:v>simulado_didactico</x:v>
      </x:c>
    </x:row>
    <x:row r="739" ht="19" customHeight="1">
      <x:c r="A739" s="2" t="str">
        <x:v>SIM-E2-MP-L7-R04</x:v>
      </x:c>
      <x:c r="B739" s="2" t="n">
        <x:v>2</x:v>
      </x:c>
      <x:c r="C739" s="2" t="str">
        <x:v>MP</x:v>
      </x:c>
      <x:c r="D739" s="2" t="str">
        <x:v>Myzus persicae</x:v>
      </x:c>
      <x:c r="E739" s="2" t="str">
        <x:v>L7</x:v>
      </x:c>
      <x:c r="F739" s="2" t="n">
        <x:v>4</x:v>
      </x:c>
      <x:c r="G739" s="2" t="n">
        <x:v>23</x:v>
      </x:c>
      <x:c r="H739" s="2" t="n">
        <x:f>G739+Supuestos!$C$15</x:f>
        <x:v>24</x:v>
      </x:c>
      <x:c r="I739" s="14" t="n">
        <x:f>E2_plantas!J19+G739</x:f>
        <x:v>46204</x:v>
      </x:c>
      <x:c r="J739" s="2" t="str">
        <x:v>adulta</x:v>
      </x:c>
      <x:c r="K739" s="2" t="n">
        <x:v>1</x:v>
      </x:c>
      <x:c r="L739" s="2" t="n">
        <x:v>4</x:v>
      </x:c>
      <x:c r="M739" s="2" t="n">
        <x:f>SUM(L$716:L739)</x:f>
        <x:v>31</x:v>
      </x:c>
      <x:c r="N739" s="2" t="n">
        <x:v>0</x:v>
      </x:c>
      <x:c r="O739" s="2" t="str">
        <x:v>seguimiento</x:v>
      </x:c>
      <x:c r="P739" s="2" t="n">
        <x:v>0</x:v>
      </x:c>
      <x:c r="Q739" s="2" t="str">
        <x:v>simulado_didactico</x:v>
      </x:c>
    </x:row>
    <x:row r="740" ht="19" customHeight="1">
      <x:c r="A740" s="2" t="str">
        <x:v>SIM-E2-MP-L7-R04</x:v>
      </x:c>
      <x:c r="B740" s="2" t="n">
        <x:v>2</x:v>
      </x:c>
      <x:c r="C740" s="2" t="str">
        <x:v>MP</x:v>
      </x:c>
      <x:c r="D740" s="2" t="str">
        <x:v>Myzus persicae</x:v>
      </x:c>
      <x:c r="E740" s="2" t="str">
        <x:v>L7</x:v>
      </x:c>
      <x:c r="F740" s="2" t="n">
        <x:v>4</x:v>
      </x:c>
      <x:c r="G740" s="2" t="n">
        <x:v>24</x:v>
      </x:c>
      <x:c r="H740" s="2" t="n">
        <x:f>G740+Supuestos!$C$15</x:f>
        <x:v>25</x:v>
      </x:c>
      <x:c r="I740" s="14" t="n">
        <x:f>E2_plantas!J19+G740</x:f>
        <x:v>46205</x:v>
      </x:c>
      <x:c r="J740" s="2" t="str">
        <x:v>adulta</x:v>
      </x:c>
      <x:c r="K740" s="2" t="n">
        <x:v>1</x:v>
      </x:c>
      <x:c r="L740" s="2" t="n">
        <x:v>2</x:v>
      </x:c>
      <x:c r="M740" s="2" t="n">
        <x:f>SUM(L$716:L740)</x:f>
        <x:v>33</x:v>
      </x:c>
      <x:c r="N740" s="2" t="n">
        <x:v>0</x:v>
      </x:c>
      <x:c r="O740" s="2" t="str">
        <x:v>seguimiento</x:v>
      </x:c>
      <x:c r="P740" s="2" t="n">
        <x:v>0</x:v>
      </x:c>
      <x:c r="Q740" s="2" t="str">
        <x:v>simulado_didactico</x:v>
      </x:c>
    </x:row>
    <x:row r="741" ht="19" customHeight="1">
      <x:c r="A741" s="2" t="str">
        <x:v>SIM-E2-MP-L7-R04</x:v>
      </x:c>
      <x:c r="B741" s="2" t="n">
        <x:v>2</x:v>
      </x:c>
      <x:c r="C741" s="2" t="str">
        <x:v>MP</x:v>
      </x:c>
      <x:c r="D741" s="2" t="str">
        <x:v>Myzus persicae</x:v>
      </x:c>
      <x:c r="E741" s="2" t="str">
        <x:v>L7</x:v>
      </x:c>
      <x:c r="F741" s="2" t="n">
        <x:v>4</x:v>
      </x:c>
      <x:c r="G741" s="2" t="n">
        <x:v>25</x:v>
      </x:c>
      <x:c r="H741" s="2" t="n">
        <x:f>G741+Supuestos!$C$15</x:f>
        <x:v>26</x:v>
      </x:c>
      <x:c r="I741" s="14" t="n">
        <x:f>E2_plantas!J19+G741</x:f>
        <x:v>46206</x:v>
      </x:c>
      <x:c r="J741" s="2" t="str">
        <x:v>adulta</x:v>
      </x:c>
      <x:c r="K741" s="2" t="n">
        <x:v>1</x:v>
      </x:c>
      <x:c r="L741" s="2" t="n">
        <x:v>7</x:v>
      </x:c>
      <x:c r="M741" s="2" t="n">
        <x:f>SUM(L$716:L741)</x:f>
        <x:v>40</x:v>
      </x:c>
      <x:c r="N741" s="2" t="n">
        <x:v>0</x:v>
      </x:c>
      <x:c r="O741" s="2" t="str">
        <x:v>seguimiento</x:v>
      </x:c>
      <x:c r="P741" s="2" t="n">
        <x:v>0</x:v>
      </x:c>
      <x:c r="Q741" s="2" t="str">
        <x:v>simulado_didactico</x:v>
      </x:c>
    </x:row>
    <x:row r="742" ht="19" customHeight="1">
      <x:c r="A742" s="2" t="str">
        <x:v>SIM-E2-MP-L7-R04</x:v>
      </x:c>
      <x:c r="B742" s="2" t="n">
        <x:v>2</x:v>
      </x:c>
      <x:c r="C742" s="2" t="str">
        <x:v>MP</x:v>
      </x:c>
      <x:c r="D742" s="2" t="str">
        <x:v>Myzus persicae</x:v>
      </x:c>
      <x:c r="E742" s="2" t="str">
        <x:v>L7</x:v>
      </x:c>
      <x:c r="F742" s="2" t="n">
        <x:v>4</x:v>
      </x:c>
      <x:c r="G742" s="2" t="n">
        <x:v>26</x:v>
      </x:c>
      <x:c r="H742" s="2" t="n">
        <x:f>G742+Supuestos!$C$15</x:f>
        <x:v>27</x:v>
      </x:c>
      <x:c r="I742" s="14" t="n">
        <x:f>E2_plantas!J19+G742</x:f>
        <x:v>46207</x:v>
      </x:c>
      <x:c r="J742" s="2" t="str">
        <x:v>adulta</x:v>
      </x:c>
      <x:c r="K742" s="2" t="n">
        <x:v>1</x:v>
      </x:c>
      <x:c r="L742" s="2" t="n">
        <x:v>2</x:v>
      </x:c>
      <x:c r="M742" s="2" t="n">
        <x:f>SUM(L$716:L742)</x:f>
        <x:v>42</x:v>
      </x:c>
      <x:c r="N742" s="2" t="n">
        <x:v>0</x:v>
      </x:c>
      <x:c r="O742" s="2" t="str">
        <x:v>seguimiento</x:v>
      </x:c>
      <x:c r="P742" s="2" t="n">
        <x:v>0</x:v>
      </x:c>
      <x:c r="Q742" s="2" t="str">
        <x:v>simulado_didactico</x:v>
      </x:c>
    </x:row>
    <x:row r="743" ht="19" customHeight="1">
      <x:c r="A743" s="2" t="str">
        <x:v>SIM-E2-MP-L7-R04</x:v>
      </x:c>
      <x:c r="B743" s="2" t="n">
        <x:v>2</x:v>
      </x:c>
      <x:c r="C743" s="2" t="str">
        <x:v>MP</x:v>
      </x:c>
      <x:c r="D743" s="2" t="str">
        <x:v>Myzus persicae</x:v>
      </x:c>
      <x:c r="E743" s="2" t="str">
        <x:v>L7</x:v>
      </x:c>
      <x:c r="F743" s="2" t="n">
        <x:v>4</x:v>
      </x:c>
      <x:c r="G743" s="2" t="n">
        <x:v>27</x:v>
      </x:c>
      <x:c r="H743" s="2" t="n">
        <x:f>G743+Supuestos!$C$15</x:f>
        <x:v>28</x:v>
      </x:c>
      <x:c r="I743" s="14" t="n">
        <x:f>E2_plantas!J19+G743</x:f>
        <x:v>46208</x:v>
      </x:c>
      <x:c r="J743" s="2" t="str">
        <x:v>adulta</x:v>
      </x:c>
      <x:c r="K743" s="2" t="n">
        <x:v>1</x:v>
      </x:c>
      <x:c r="L743" s="2" t="n">
        <x:v>0</x:v>
      </x:c>
      <x:c r="M743" s="2" t="n">
        <x:f>SUM(L$716:L743)</x:f>
        <x:v>42</x:v>
      </x:c>
      <x:c r="N743" s="2" t="n">
        <x:v>0</x:v>
      </x:c>
      <x:c r="O743" s="2" t="str">
        <x:v>seguimiento</x:v>
      </x:c>
      <x:c r="P743" s="2" t="n">
        <x:v>0</x:v>
      </x:c>
      <x:c r="Q743" s="2" t="str">
        <x:v>simulado_didactico</x:v>
      </x:c>
    </x:row>
    <x:row r="744" ht="19" customHeight="1">
      <x:c r="A744" s="2" t="str">
        <x:v>SIM-E2-MP-L7-R04</x:v>
      </x:c>
      <x:c r="B744" s="2" t="n">
        <x:v>2</x:v>
      </x:c>
      <x:c r="C744" s="2" t="str">
        <x:v>MP</x:v>
      </x:c>
      <x:c r="D744" s="2" t="str">
        <x:v>Myzus persicae</x:v>
      </x:c>
      <x:c r="E744" s="2" t="str">
        <x:v>L7</x:v>
      </x:c>
      <x:c r="F744" s="2" t="n">
        <x:v>4</x:v>
      </x:c>
      <x:c r="G744" s="2" t="n">
        <x:v>28</x:v>
      </x:c>
      <x:c r="H744" s="2" t="n">
        <x:f>G744+Supuestos!$C$15</x:f>
        <x:v>29</x:v>
      </x:c>
      <x:c r="I744" s="14" t="n">
        <x:f>E2_plantas!J19+G744</x:f>
        <x:v>46209</x:v>
      </x:c>
      <x:c r="J744" s="2" t="str">
        <x:v>adulta</x:v>
      </x:c>
      <x:c r="K744" s="2" t="n">
        <x:v>1</x:v>
      </x:c>
      <x:c r="L744" s="2" t="n">
        <x:v>0</x:v>
      </x:c>
      <x:c r="M744" s="2" t="n">
        <x:f>SUM(L$716:L744)</x:f>
        <x:v>42</x:v>
      </x:c>
      <x:c r="N744" s="2" t="n">
        <x:v>0</x:v>
      </x:c>
      <x:c r="O744" s="2" t="str">
        <x:v>seguimiento</x:v>
      </x:c>
      <x:c r="P744" s="2" t="n">
        <x:v>0</x:v>
      </x:c>
      <x:c r="Q744" s="2" t="str">
        <x:v>simulado_didactico</x:v>
      </x:c>
    </x:row>
    <x:row r="745" ht="19" customHeight="1">
      <x:c r="A745" s="2" t="str">
        <x:v>SIM-E2-MP-L7-R04</x:v>
      </x:c>
      <x:c r="B745" s="2" t="n">
        <x:v>2</x:v>
      </x:c>
      <x:c r="C745" s="2" t="str">
        <x:v>MP</x:v>
      </x:c>
      <x:c r="D745" s="2" t="str">
        <x:v>Myzus persicae</x:v>
      </x:c>
      <x:c r="E745" s="2" t="str">
        <x:v>L7</x:v>
      </x:c>
      <x:c r="F745" s="2" t="n">
        <x:v>4</x:v>
      </x:c>
      <x:c r="G745" s="2" t="n">
        <x:v>29</x:v>
      </x:c>
      <x:c r="H745" s="2" t="n">
        <x:f>G745+Supuestos!$C$15</x:f>
        <x:v>30</x:v>
      </x:c>
      <x:c r="I745" s="14" t="n">
        <x:f>E2_plantas!J19+G745</x:f>
        <x:v>46210</x:v>
      </x:c>
      <x:c r="J745" s="2" t="str">
        <x:v>adulta</x:v>
      </x:c>
      <x:c r="K745" s="2" t="n">
        <x:v>1</x:v>
      </x:c>
      <x:c r="L745" s="2" t="n">
        <x:v>0</x:v>
      </x:c>
      <x:c r="M745" s="2" t="n">
        <x:f>SUM(L$716:L745)</x:f>
        <x:v>42</x:v>
      </x:c>
      <x:c r="N745" s="2" t="n">
        <x:v>0</x:v>
      </x:c>
      <x:c r="O745" s="2" t="str">
        <x:v>seguimiento</x:v>
      </x:c>
      <x:c r="P745" s="2" t="n">
        <x:v>0</x:v>
      </x:c>
      <x:c r="Q745" s="2" t="str">
        <x:v>simulado_didactico</x:v>
      </x:c>
    </x:row>
    <x:row r="746" ht="19" customHeight="1">
      <x:c r="A746" s="2" t="str">
        <x:v>SIM-E2-MP-L7-R04</x:v>
      </x:c>
      <x:c r="B746" s="2" t="n">
        <x:v>2</x:v>
      </x:c>
      <x:c r="C746" s="2" t="str">
        <x:v>MP</x:v>
      </x:c>
      <x:c r="D746" s="2" t="str">
        <x:v>Myzus persicae</x:v>
      </x:c>
      <x:c r="E746" s="2" t="str">
        <x:v>L7</x:v>
      </x:c>
      <x:c r="F746" s="2" t="n">
        <x:v>4</x:v>
      </x:c>
      <x:c r="G746" s="2" t="n">
        <x:v>30</x:v>
      </x:c>
      <x:c r="H746" s="2" t="n">
        <x:f>G746+Supuestos!$C$15</x:f>
        <x:v>31</x:v>
      </x:c>
      <x:c r="I746" s="14" t="n">
        <x:f>E2_plantas!J19+G746</x:f>
        <x:v>46211</x:v>
      </x:c>
      <x:c r="J746" s="2" t="str">
        <x:v>muerta</x:v>
      </x:c>
      <x:c r="K746" s="2" t="n">
        <x:v>0</x:v>
      </x:c>
      <x:c r="L746" s="2" t="n">
        <x:v>0</x:v>
      </x:c>
      <x:c r="M746" s="2" t="n">
        <x:f>SUM(L$716:L746)</x:f>
        <x:v>42</x:v>
      </x:c>
      <x:c r="N746" s="2" t="n">
        <x:v>1</x:v>
      </x:c>
      <x:c r="O746" s="2" t="str">
        <x:v>muerte</x:v>
      </x:c>
      <x:c r="P746" s="2" t="n">
        <x:v>0</x:v>
      </x:c>
      <x:c r="Q746" s="2" t="str">
        <x:v>simulado_didactico</x:v>
      </x:c>
    </x:row>
    <x:row r="747" ht="19" customHeight="1">
      <x:c r="A747" s="2" t="str">
        <x:v>SIM-E2-MP-L7-R04</x:v>
      </x:c>
      <x:c r="B747" s="2" t="n">
        <x:v>2</x:v>
      </x:c>
      <x:c r="C747" s="2" t="str">
        <x:v>MP</x:v>
      </x:c>
      <x:c r="D747" s="2" t="str">
        <x:v>Myzus persicae</x:v>
      </x:c>
      <x:c r="E747" s="2" t="str">
        <x:v>L7</x:v>
      </x:c>
      <x:c r="F747" s="2" t="n">
        <x:v>4</x:v>
      </x:c>
      <x:c r="G747" s="2" t="n">
        <x:v>31</x:v>
      </x:c>
      <x:c r="H747" s="2" t="n">
        <x:f>G747+Supuestos!$C$15</x:f>
        <x:v>32</x:v>
      </x:c>
      <x:c r="I747" s="14" t="n">
        <x:f>E2_plantas!J19+G747</x:f>
        <x:v>46212</x:v>
      </x:c>
      <x:c r="J747" s="2" t="str">
        <x:v>muerta</x:v>
      </x:c>
      <x:c r="K747" s="2" t="n">
        <x:v>0</x:v>
      </x:c>
      <x:c r="L747" s="2" t="n">
        <x:v>0</x:v>
      </x:c>
      <x:c r="M747" s="2" t="n">
        <x:f>SUM(L$716:L747)</x:f>
        <x:v>42</x:v>
      </x:c>
      <x:c r="N747" s="2" t="n">
        <x:v>0</x:v>
      </x:c>
      <x:c r="O747" s="2" t="str">
        <x:v>relleno_postmuerte</x:v>
      </x:c>
      <x:c r="P747" s="2" t="n">
        <x:v>0</x:v>
      </x:c>
      <x:c r="Q747" s="2" t="str">
        <x:v>simulado_didactico</x:v>
      </x:c>
    </x:row>
    <x:row r="748" ht="19" customHeight="1">
      <x:c r="A748" s="2" t="str">
        <x:v>SIM-E2-MP-L7-R04</x:v>
      </x:c>
      <x:c r="B748" s="2" t="n">
        <x:v>2</x:v>
      </x:c>
      <x:c r="C748" s="2" t="str">
        <x:v>MP</x:v>
      </x:c>
      <x:c r="D748" s="2" t="str">
        <x:v>Myzus persicae</x:v>
      </x:c>
      <x:c r="E748" s="2" t="str">
        <x:v>L7</x:v>
      </x:c>
      <x:c r="F748" s="2" t="n">
        <x:v>4</x:v>
      </x:c>
      <x:c r="G748" s="2" t="n">
        <x:v>32</x:v>
      </x:c>
      <x:c r="H748" s="2" t="n">
        <x:f>G748+Supuestos!$C$15</x:f>
        <x:v>33</x:v>
      </x:c>
      <x:c r="I748" s="14" t="n">
        <x:f>E2_plantas!J19+G748</x:f>
        <x:v>46213</x:v>
      </x:c>
      <x:c r="J748" s="2" t="str">
        <x:v>muerta</x:v>
      </x:c>
      <x:c r="K748" s="2" t="n">
        <x:v>0</x:v>
      </x:c>
      <x:c r="L748" s="2" t="n">
        <x:v>0</x:v>
      </x:c>
      <x:c r="M748" s="2" t="n">
        <x:f>SUM(L$716:L748)</x:f>
        <x:v>42</x:v>
      </x:c>
      <x:c r="N748" s="2" t="n">
        <x:v>0</x:v>
      </x:c>
      <x:c r="O748" s="2" t="str">
        <x:v>relleno_postmuerte</x:v>
      </x:c>
      <x:c r="P748" s="2" t="n">
        <x:v>0</x:v>
      </x:c>
      <x:c r="Q748" s="2" t="str">
        <x:v>simulado_didactico</x:v>
      </x:c>
    </x:row>
    <x:row r="749" ht="19" customHeight="1">
      <x:c r="A749" s="2" t="str">
        <x:v>SIM-E2-MP-L7-R04</x:v>
      </x:c>
      <x:c r="B749" s="2" t="n">
        <x:v>2</x:v>
      </x:c>
      <x:c r="C749" s="2" t="str">
        <x:v>MP</x:v>
      </x:c>
      <x:c r="D749" s="2" t="str">
        <x:v>Myzus persicae</x:v>
      </x:c>
      <x:c r="E749" s="2" t="str">
        <x:v>L7</x:v>
      </x:c>
      <x:c r="F749" s="2" t="n">
        <x:v>4</x:v>
      </x:c>
      <x:c r="G749" s="2" t="n">
        <x:v>33</x:v>
      </x:c>
      <x:c r="H749" s="2" t="n">
        <x:f>G749+Supuestos!$C$15</x:f>
        <x:v>34</x:v>
      </x:c>
      <x:c r="I749" s="14" t="n">
        <x:f>E2_plantas!J19+G749</x:f>
        <x:v>46214</x:v>
      </x:c>
      <x:c r="J749" s="2" t="str">
        <x:v>muerta</x:v>
      </x:c>
      <x:c r="K749" s="2" t="n">
        <x:v>0</x:v>
      </x:c>
      <x:c r="L749" s="2" t="n">
        <x:v>0</x:v>
      </x:c>
      <x:c r="M749" s="2" t="n">
        <x:f>SUM(L$716:L749)</x:f>
        <x:v>42</x:v>
      </x:c>
      <x:c r="N749" s="2" t="n">
        <x:v>0</x:v>
      </x:c>
      <x:c r="O749" s="2" t="str">
        <x:v>relleno_postmuerte</x:v>
      </x:c>
      <x:c r="P749" s="2" t="n">
        <x:v>0</x:v>
      </x:c>
      <x:c r="Q749" s="2" t="str">
        <x:v>simulado_didactico</x:v>
      </x:c>
    </x:row>
    <x:row r="750" ht="19" customHeight="1">
      <x:c r="A750" s="2" t="str">
        <x:v>SIM-E2-MP-L7-R04</x:v>
      </x:c>
      <x:c r="B750" s="2" t="n">
        <x:v>2</x:v>
      </x:c>
      <x:c r="C750" s="2" t="str">
        <x:v>MP</x:v>
      </x:c>
      <x:c r="D750" s="2" t="str">
        <x:v>Myzus persicae</x:v>
      </x:c>
      <x:c r="E750" s="2" t="str">
        <x:v>L7</x:v>
      </x:c>
      <x:c r="F750" s="2" t="n">
        <x:v>4</x:v>
      </x:c>
      <x:c r="G750" s="2" t="n">
        <x:v>34</x:v>
      </x:c>
      <x:c r="H750" s="2" t="n">
        <x:f>G750+Supuestos!$C$15</x:f>
        <x:v>35</x:v>
      </x:c>
      <x:c r="I750" s="14" t="n">
        <x:f>E2_plantas!J19+G750</x:f>
        <x:v>46215</x:v>
      </x:c>
      <x:c r="J750" s="2" t="str">
        <x:v>muerta</x:v>
      </x:c>
      <x:c r="K750" s="2" t="n">
        <x:v>0</x:v>
      </x:c>
      <x:c r="L750" s="2" t="n">
        <x:v>0</x:v>
      </x:c>
      <x:c r="M750" s="2" t="n">
        <x:f>SUM(L$716:L750)</x:f>
        <x:v>42</x:v>
      </x:c>
      <x:c r="N750" s="2" t="n">
        <x:v>0</x:v>
      </x:c>
      <x:c r="O750" s="2" t="str">
        <x:v>relleno_postmuerte</x:v>
      </x:c>
      <x:c r="P750" s="2" t="n">
        <x:v>0</x:v>
      </x:c>
      <x:c r="Q750" s="2" t="str">
        <x:v>simulado_didactico</x:v>
      </x:c>
    </x:row>
    <x:row r="751" ht="19" customHeight="1">
      <x:c r="A751" s="2" t="str">
        <x:v>SIM-E2-MP-L7-R04</x:v>
      </x:c>
      <x:c r="B751" s="2" t="n">
        <x:v>2</x:v>
      </x:c>
      <x:c r="C751" s="2" t="str">
        <x:v>MP</x:v>
      </x:c>
      <x:c r="D751" s="2" t="str">
        <x:v>Myzus persicae</x:v>
      </x:c>
      <x:c r="E751" s="2" t="str">
        <x:v>L7</x:v>
      </x:c>
      <x:c r="F751" s="2" t="n">
        <x:v>4</x:v>
      </x:c>
      <x:c r="G751" s="2" t="n">
        <x:v>35</x:v>
      </x:c>
      <x:c r="H751" s="2" t="n">
        <x:f>G751+Supuestos!$C$15</x:f>
        <x:v>36</x:v>
      </x:c>
      <x:c r="I751" s="14" t="n">
        <x:f>E2_plantas!J19+G751</x:f>
        <x:v>46216</x:v>
      </x:c>
      <x:c r="J751" s="2" t="str">
        <x:v>muerta</x:v>
      </x:c>
      <x:c r="K751" s="2" t="n">
        <x:v>0</x:v>
      </x:c>
      <x:c r="L751" s="2" t="n">
        <x:v>0</x:v>
      </x:c>
      <x:c r="M751" s="2" t="n">
        <x:f>SUM(L$716:L751)</x:f>
        <x:v>42</x:v>
      </x:c>
      <x:c r="N751" s="2" t="n">
        <x:v>0</x:v>
      </x:c>
      <x:c r="O751" s="2" t="str">
        <x:v>relleno_postmuerte</x:v>
      </x:c>
      <x:c r="P751" s="2" t="n">
        <x:v>0</x:v>
      </x:c>
      <x:c r="Q751" s="2" t="str">
        <x:v>simulado_didactico</x:v>
      </x:c>
    </x:row>
    <x:row r="752" ht="19" customHeight="1">
      <x:c r="A752" s="2" t="str">
        <x:v>SIM-E2-MP-L7-R04</x:v>
      </x:c>
      <x:c r="B752" s="2" t="n">
        <x:v>2</x:v>
      </x:c>
      <x:c r="C752" s="2" t="str">
        <x:v>MP</x:v>
      </x:c>
      <x:c r="D752" s="2" t="str">
        <x:v>Myzus persicae</x:v>
      </x:c>
      <x:c r="E752" s="2" t="str">
        <x:v>L7</x:v>
      </x:c>
      <x:c r="F752" s="2" t="n">
        <x:v>4</x:v>
      </x:c>
      <x:c r="G752" s="2" t="n">
        <x:v>36</x:v>
      </x:c>
      <x:c r="H752" s="2" t="n">
        <x:f>G752+Supuestos!$C$15</x:f>
        <x:v>37</x:v>
      </x:c>
      <x:c r="I752" s="14" t="n">
        <x:f>E2_plantas!J19+G752</x:f>
        <x:v>46217</x:v>
      </x:c>
      <x:c r="J752" s="2" t="str">
        <x:v>muerta</x:v>
      </x:c>
      <x:c r="K752" s="2" t="n">
        <x:v>0</x:v>
      </x:c>
      <x:c r="L752" s="2" t="n">
        <x:v>0</x:v>
      </x:c>
      <x:c r="M752" s="2" t="n">
        <x:f>SUM(L$716:L752)</x:f>
        <x:v>42</x:v>
      </x:c>
      <x:c r="N752" s="2" t="n">
        <x:v>0</x:v>
      </x:c>
      <x:c r="O752" s="2" t="str">
        <x:v>relleno_postmuerte</x:v>
      </x:c>
      <x:c r="P752" s="2" t="n">
        <x:v>0</x:v>
      </x:c>
      <x:c r="Q752" s="2" t="str">
        <x:v>simulado_didactico</x:v>
      </x:c>
    </x:row>
    <x:row r="753" ht="19" customHeight="1">
      <x:c r="A753" s="2" t="str">
        <x:v>SIM-E2-MP-L7-R04</x:v>
      </x:c>
      <x:c r="B753" s="2" t="n">
        <x:v>2</x:v>
      </x:c>
      <x:c r="C753" s="2" t="str">
        <x:v>MP</x:v>
      </x:c>
      <x:c r="D753" s="2" t="str">
        <x:v>Myzus persicae</x:v>
      </x:c>
      <x:c r="E753" s="2" t="str">
        <x:v>L7</x:v>
      </x:c>
      <x:c r="F753" s="2" t="n">
        <x:v>4</x:v>
      </x:c>
      <x:c r="G753" s="2" t="n">
        <x:v>37</x:v>
      </x:c>
      <x:c r="H753" s="2" t="n">
        <x:f>G753+Supuestos!$C$15</x:f>
        <x:v>38</x:v>
      </x:c>
      <x:c r="I753" s="14" t="n">
        <x:f>E2_plantas!J19+G753</x:f>
        <x:v>46218</x:v>
      </x:c>
      <x:c r="J753" s="2" t="str">
        <x:v>muerta</x:v>
      </x:c>
      <x:c r="K753" s="2" t="n">
        <x:v>0</x:v>
      </x:c>
      <x:c r="L753" s="2" t="n">
        <x:v>0</x:v>
      </x:c>
      <x:c r="M753" s="2" t="n">
        <x:f>SUM(L$716:L753)</x:f>
        <x:v>42</x:v>
      </x:c>
      <x:c r="N753" s="2" t="n">
        <x:v>0</x:v>
      </x:c>
      <x:c r="O753" s="2" t="str">
        <x:v>relleno_postmuerte</x:v>
      </x:c>
      <x:c r="P753" s="2" t="n">
        <x:v>0</x:v>
      </x:c>
      <x:c r="Q753" s="2" t="str">
        <x:v>simulado_didactico</x:v>
      </x:c>
    </x:row>
    <x:row r="754" ht="19" customHeight="1">
      <x:c r="A754" s="2" t="str">
        <x:v>SIM-E2-MP-L7-R04</x:v>
      </x:c>
      <x:c r="B754" s="2" t="n">
        <x:v>2</x:v>
      </x:c>
      <x:c r="C754" s="2" t="str">
        <x:v>MP</x:v>
      </x:c>
      <x:c r="D754" s="2" t="str">
        <x:v>Myzus persicae</x:v>
      </x:c>
      <x:c r="E754" s="2" t="str">
        <x:v>L7</x:v>
      </x:c>
      <x:c r="F754" s="2" t="n">
        <x:v>4</x:v>
      </x:c>
      <x:c r="G754" s="2" t="n">
        <x:v>38</x:v>
      </x:c>
      <x:c r="H754" s="2" t="n">
        <x:f>G754+Supuestos!$C$15</x:f>
        <x:v>39</x:v>
      </x:c>
      <x:c r="I754" s="14" t="n">
        <x:f>E2_plantas!J19+G754</x:f>
        <x:v>46219</x:v>
      </x:c>
      <x:c r="J754" s="2" t="str">
        <x:v>muerta</x:v>
      </x:c>
      <x:c r="K754" s="2" t="n">
        <x:v>0</x:v>
      </x:c>
      <x:c r="L754" s="2" t="n">
        <x:v>0</x:v>
      </x:c>
      <x:c r="M754" s="2" t="n">
        <x:f>SUM(L$716:L754)</x:f>
        <x:v>42</x:v>
      </x:c>
      <x:c r="N754" s="2" t="n">
        <x:v>0</x:v>
      </x:c>
      <x:c r="O754" s="2" t="str">
        <x:v>relleno_postmuerte</x:v>
      </x:c>
      <x:c r="P754" s="2" t="n">
        <x:v>0</x:v>
      </x:c>
      <x:c r="Q754" s="2" t="str">
        <x:v>simulado_didactico</x:v>
      </x:c>
    </x:row>
    <x:row r="755" ht="19" customHeight="1">
      <x:c r="A755" s="2" t="str">
        <x:v>SIM-E2-MP-L7-R04</x:v>
      </x:c>
      <x:c r="B755" s="2" t="n">
        <x:v>2</x:v>
      </x:c>
      <x:c r="C755" s="2" t="str">
        <x:v>MP</x:v>
      </x:c>
      <x:c r="D755" s="2" t="str">
        <x:v>Myzus persicae</x:v>
      </x:c>
      <x:c r="E755" s="2" t="str">
        <x:v>L7</x:v>
      </x:c>
      <x:c r="F755" s="2" t="n">
        <x:v>4</x:v>
      </x:c>
      <x:c r="G755" s="2" t="n">
        <x:v>39</x:v>
      </x:c>
      <x:c r="H755" s="2" t="n">
        <x:f>G755+Supuestos!$C$15</x:f>
        <x:v>40</x:v>
      </x:c>
      <x:c r="I755" s="14" t="n">
        <x:f>E2_plantas!J19+G755</x:f>
        <x:v>46220</x:v>
      </x:c>
      <x:c r="J755" s="2" t="str">
        <x:v>muerta</x:v>
      </x:c>
      <x:c r="K755" s="2" t="n">
        <x:v>0</x:v>
      </x:c>
      <x:c r="L755" s="2" t="n">
        <x:v>0</x:v>
      </x:c>
      <x:c r="M755" s="2" t="n">
        <x:f>SUM(L$716:L755)</x:f>
        <x:v>42</x:v>
      </x:c>
      <x:c r="N755" s="2" t="n">
        <x:v>0</x:v>
      </x:c>
      <x:c r="O755" s="2" t="str">
        <x:v>relleno_postmuerte</x:v>
      </x:c>
      <x:c r="P755" s="2" t="n">
        <x:v>0</x:v>
      </x:c>
      <x:c r="Q755" s="2" t="str">
        <x:v>simulado_didactico</x:v>
      </x:c>
    </x:row>
    <x:row r="756" ht="19" customHeight="1">
      <x:c r="A756" s="2" t="str">
        <x:v>SIM-E2-MP-L7-R04</x:v>
      </x:c>
      <x:c r="B756" s="2" t="n">
        <x:v>2</x:v>
      </x:c>
      <x:c r="C756" s="2" t="str">
        <x:v>MP</x:v>
      </x:c>
      <x:c r="D756" s="2" t="str">
        <x:v>Myzus persicae</x:v>
      </x:c>
      <x:c r="E756" s="2" t="str">
        <x:v>L7</x:v>
      </x:c>
      <x:c r="F756" s="2" t="n">
        <x:v>4</x:v>
      </x:c>
      <x:c r="G756" s="2" t="n">
        <x:v>40</x:v>
      </x:c>
      <x:c r="H756" s="2" t="n">
        <x:f>G756+Supuestos!$C$15</x:f>
        <x:v>41</x:v>
      </x:c>
      <x:c r="I756" s="14" t="n">
        <x:f>E2_plantas!J19+G756</x:f>
        <x:v>46221</x:v>
      </x:c>
      <x:c r="J756" s="2" t="str">
        <x:v>muerta</x:v>
      </x:c>
      <x:c r="K756" s="2" t="n">
        <x:v>0</x:v>
      </x:c>
      <x:c r="L756" s="2" t="n">
        <x:v>0</x:v>
      </x:c>
      <x:c r="M756" s="2" t="n">
        <x:f>SUM(L$716:L756)</x:f>
        <x:v>42</x:v>
      </x:c>
      <x:c r="N756" s="2" t="n">
        <x:v>0</x:v>
      </x:c>
      <x:c r="O756" s="2" t="str">
        <x:v>relleno_postmuerte</x:v>
      </x:c>
      <x:c r="P756" s="2" t="n">
        <x:v>0</x:v>
      </x:c>
      <x:c r="Q756" s="2" t="str">
        <x:v>simulado_didactico</x:v>
      </x:c>
    </x:row>
    <x:row r="757" ht="19" customHeight="1">
      <x:c r="A757" s="2" t="str">
        <x:v>SIM-E2-MP-L7-R04</x:v>
      </x:c>
      <x:c r="B757" s="2" t="n">
        <x:v>2</x:v>
      </x:c>
      <x:c r="C757" s="2" t="str">
        <x:v>MP</x:v>
      </x:c>
      <x:c r="D757" s="2" t="str">
        <x:v>Myzus persicae</x:v>
      </x:c>
      <x:c r="E757" s="2" t="str">
        <x:v>L7</x:v>
      </x:c>
      <x:c r="F757" s="2" t="n">
        <x:v>4</x:v>
      </x:c>
      <x:c r="G757" s="2" t="n">
        <x:v>41</x:v>
      </x:c>
      <x:c r="H757" s="2" t="n">
        <x:f>G757+Supuestos!$C$15</x:f>
        <x:v>42</x:v>
      </x:c>
      <x:c r="I757" s="14" t="n">
        <x:f>E2_plantas!J19+G757</x:f>
        <x:v>46222</x:v>
      </x:c>
      <x:c r="J757" s="2" t="str">
        <x:v>muerta</x:v>
      </x:c>
      <x:c r="K757" s="2" t="n">
        <x:v>0</x:v>
      </x:c>
      <x:c r="L757" s="2" t="n">
        <x:v>0</x:v>
      </x:c>
      <x:c r="M757" s="2" t="n">
        <x:f>SUM(L$716:L757)</x:f>
        <x:v>42</x:v>
      </x:c>
      <x:c r="N757" s="2" t="n">
        <x:v>0</x:v>
      </x:c>
      <x:c r="O757" s="2" t="str">
        <x:v>relleno_postmuerte</x:v>
      </x:c>
      <x:c r="P757" s="2" t="n">
        <x:v>0</x:v>
      </x:c>
      <x:c r="Q757" s="2" t="str">
        <x:v>simulado_didactico</x:v>
      </x:c>
    </x:row>
    <x:row r="758" ht="19" customHeight="1">
      <x:c r="A758" s="2" t="str">
        <x:v>SIM-E2-BB-L0-R03</x:v>
      </x:c>
      <x:c r="B758" s="2" t="n">
        <x:v>2</x:v>
      </x:c>
      <x:c r="C758" s="2" t="str">
        <x:v>BB</x:v>
      </x:c>
      <x:c r="D758" s="2" t="str">
        <x:v>Brevicoryne brassicae</x:v>
      </x:c>
      <x:c r="E758" s="2" t="str">
        <x:v>L0</x:v>
      </x:c>
      <x:c r="F758" s="2" t="n">
        <x:v>3</x:v>
      </x:c>
      <x:c r="G758" s="2" t="n">
        <x:v>0</x:v>
      </x:c>
      <x:c r="H758" s="2" t="n">
        <x:f>G758+Supuestos!$C$15</x:f>
        <x:v>1</x:v>
      </x:c>
      <x:c r="I758" s="14" t="n">
        <x:f>E2_plantas!J20+G758</x:f>
        <x:v>46181</x:v>
      </x:c>
      <x:c r="J758" s="2" t="str">
        <x:v>N1</x:v>
      </x:c>
      <x:c r="K758" s="2" t="n">
        <x:v>1</x:v>
      </x:c>
      <x:c r="L758" s="2" t="n">
        <x:v>0</x:v>
      </x:c>
      <x:c r="M758" s="2" t="n">
        <x:f>SUM(L$758:L758)</x:f>
        <x:v>0</x:v>
      </x:c>
      <x:c r="N758" s="2" t="n">
        <x:v>0</x:v>
      </x:c>
      <x:c r="O758" s="2" t="str">
        <x:v>seguimiento</x:v>
      </x:c>
      <x:c r="P758" s="2" t="n">
        <x:v>0</x:v>
      </x:c>
      <x:c r="Q758" s="2" t="str">
        <x:v>simulado_didactico</x:v>
      </x:c>
    </x:row>
    <x:row r="759" ht="19" customHeight="1">
      <x:c r="A759" s="2" t="str">
        <x:v>SIM-E2-BB-L0-R03</x:v>
      </x:c>
      <x:c r="B759" s="2" t="n">
        <x:v>2</x:v>
      </x:c>
      <x:c r="C759" s="2" t="str">
        <x:v>BB</x:v>
      </x:c>
      <x:c r="D759" s="2" t="str">
        <x:v>Brevicoryne brassicae</x:v>
      </x:c>
      <x:c r="E759" s="2" t="str">
        <x:v>L0</x:v>
      </x:c>
      <x:c r="F759" s="2" t="n">
        <x:v>3</x:v>
      </x:c>
      <x:c r="G759" s="2" t="n">
        <x:v>1</x:v>
      </x:c>
      <x:c r="H759" s="2" t="n">
        <x:f>G759+Supuestos!$C$15</x:f>
        <x:v>2</x:v>
      </x:c>
      <x:c r="I759" s="14" t="n">
        <x:f>E2_plantas!J20+G759</x:f>
        <x:v>46182</x:v>
      </x:c>
      <x:c r="J759" s="2" t="str">
        <x:v>N2</x:v>
      </x:c>
      <x:c r="K759" s="2" t="n">
        <x:v>1</x:v>
      </x:c>
      <x:c r="L759" s="2" t="n">
        <x:v>0</x:v>
      </x:c>
      <x:c r="M759" s="2" t="n">
        <x:f>SUM(L$758:L759)</x:f>
        <x:v>0</x:v>
      </x:c>
      <x:c r="N759" s="2" t="n">
        <x:v>0</x:v>
      </x:c>
      <x:c r="O759" s="2" t="str">
        <x:v>seguimiento</x:v>
      </x:c>
      <x:c r="P759" s="2" t="n">
        <x:v>0</x:v>
      </x:c>
      <x:c r="Q759" s="2" t="str">
        <x:v>simulado_didactico</x:v>
      </x:c>
    </x:row>
    <x:row r="760" ht="19" customHeight="1">
      <x:c r="A760" s="2" t="str">
        <x:v>SIM-E2-BB-L0-R03</x:v>
      </x:c>
      <x:c r="B760" s="2" t="n">
        <x:v>2</x:v>
      </x:c>
      <x:c r="C760" s="2" t="str">
        <x:v>BB</x:v>
      </x:c>
      <x:c r="D760" s="2" t="str">
        <x:v>Brevicoryne brassicae</x:v>
      </x:c>
      <x:c r="E760" s="2" t="str">
        <x:v>L0</x:v>
      </x:c>
      <x:c r="F760" s="2" t="n">
        <x:v>3</x:v>
      </x:c>
      <x:c r="G760" s="2" t="n">
        <x:v>2</x:v>
      </x:c>
      <x:c r="H760" s="2" t="n">
        <x:f>G760+Supuestos!$C$15</x:f>
        <x:v>3</x:v>
      </x:c>
      <x:c r="I760" s="14" t="n">
        <x:f>E2_plantas!J20+G760</x:f>
        <x:v>46183</x:v>
      </x:c>
      <x:c r="J760" s="2" t="str">
        <x:v>N3</x:v>
      </x:c>
      <x:c r="K760" s="2" t="n">
        <x:v>1</x:v>
      </x:c>
      <x:c r="L760" s="2" t="n">
        <x:v>0</x:v>
      </x:c>
      <x:c r="M760" s="2" t="n">
        <x:f>SUM(L$758:L760)</x:f>
        <x:v>0</x:v>
      </x:c>
      <x:c r="N760" s="2" t="n">
        <x:v>0</x:v>
      </x:c>
      <x:c r="O760" s="2" t="str">
        <x:v>seguimiento</x:v>
      </x:c>
      <x:c r="P760" s="2" t="n">
        <x:v>0</x:v>
      </x:c>
      <x:c r="Q760" s="2" t="str">
        <x:v>simulado_didactico</x:v>
      </x:c>
    </x:row>
    <x:row r="761" ht="19" customHeight="1">
      <x:c r="A761" s="2" t="str">
        <x:v>SIM-E2-BB-L0-R03</x:v>
      </x:c>
      <x:c r="B761" s="2" t="n">
        <x:v>2</x:v>
      </x:c>
      <x:c r="C761" s="2" t="str">
        <x:v>BB</x:v>
      </x:c>
      <x:c r="D761" s="2" t="str">
        <x:v>Brevicoryne brassicae</x:v>
      </x:c>
      <x:c r="E761" s="2" t="str">
        <x:v>L0</x:v>
      </x:c>
      <x:c r="F761" s="2" t="n">
        <x:v>3</x:v>
      </x:c>
      <x:c r="G761" s="2" t="n">
        <x:v>3</x:v>
      </x:c>
      <x:c r="H761" s="2" t="n">
        <x:f>G761+Supuestos!$C$15</x:f>
        <x:v>4</x:v>
      </x:c>
      <x:c r="I761" s="14" t="n">
        <x:f>E2_plantas!J20+G761</x:f>
        <x:v>46184</x:v>
      </x:c>
      <x:c r="J761" s="2" t="str">
        <x:v>N3</x:v>
      </x:c>
      <x:c r="K761" s="2" t="n">
        <x:v>1</x:v>
      </x:c>
      <x:c r="L761" s="2" t="n">
        <x:v>0</x:v>
      </x:c>
      <x:c r="M761" s="2" t="n">
        <x:f>SUM(L$758:L761)</x:f>
        <x:v>0</x:v>
      </x:c>
      <x:c r="N761" s="2" t="n">
        <x:v>0</x:v>
      </x:c>
      <x:c r="O761" s="2" t="str">
        <x:v>seguimiento</x:v>
      </x:c>
      <x:c r="P761" s="2" t="n">
        <x:v>0</x:v>
      </x:c>
      <x:c r="Q761" s="2" t="str">
        <x:v>simulado_didactico</x:v>
      </x:c>
    </x:row>
    <x:row r="762" ht="19" customHeight="1">
      <x:c r="A762" s="2" t="str">
        <x:v>SIM-E2-BB-L0-R03</x:v>
      </x:c>
      <x:c r="B762" s="2" t="n">
        <x:v>2</x:v>
      </x:c>
      <x:c r="C762" s="2" t="str">
        <x:v>BB</x:v>
      </x:c>
      <x:c r="D762" s="2" t="str">
        <x:v>Brevicoryne brassicae</x:v>
      </x:c>
      <x:c r="E762" s="2" t="str">
        <x:v>L0</x:v>
      </x:c>
      <x:c r="F762" s="2" t="n">
        <x:v>3</x:v>
      </x:c>
      <x:c r="G762" s="2" t="n">
        <x:v>4</x:v>
      </x:c>
      <x:c r="H762" s="2" t="n">
        <x:f>G762+Supuestos!$C$15</x:f>
        <x:v>5</x:v>
      </x:c>
      <x:c r="I762" s="14" t="n">
        <x:f>E2_plantas!J20+G762</x:f>
        <x:v>46185</x:v>
      </x:c>
      <x:c r="J762" s="2" t="str">
        <x:v>N3</x:v>
      </x:c>
      <x:c r="K762" s="2" t="n">
        <x:v>1</x:v>
      </x:c>
      <x:c r="L762" s="2" t="n">
        <x:v>0</x:v>
      </x:c>
      <x:c r="M762" s="2" t="n">
        <x:f>SUM(L$758:L762)</x:f>
        <x:v>0</x:v>
      </x:c>
      <x:c r="N762" s="2" t="n">
        <x:v>0</x:v>
      </x:c>
      <x:c r="O762" s="2" t="str">
        <x:v>seguimiento</x:v>
      </x:c>
      <x:c r="P762" s="2" t="n">
        <x:v>0</x:v>
      </x:c>
      <x:c r="Q762" s="2" t="str">
        <x:v>simulado_didactico</x:v>
      </x:c>
    </x:row>
    <x:row r="763" ht="19" customHeight="1">
      <x:c r="A763" s="2" t="str">
        <x:v>SIM-E2-BB-L0-R03</x:v>
      </x:c>
      <x:c r="B763" s="2" t="n">
        <x:v>2</x:v>
      </x:c>
      <x:c r="C763" s="2" t="str">
        <x:v>BB</x:v>
      </x:c>
      <x:c r="D763" s="2" t="str">
        <x:v>Brevicoryne brassicae</x:v>
      </x:c>
      <x:c r="E763" s="2" t="str">
        <x:v>L0</x:v>
      </x:c>
      <x:c r="F763" s="2" t="n">
        <x:v>3</x:v>
      </x:c>
      <x:c r="G763" s="2" t="n">
        <x:v>5</x:v>
      </x:c>
      <x:c r="H763" s="2" t="n">
        <x:f>G763+Supuestos!$C$15</x:f>
        <x:v>6</x:v>
      </x:c>
      <x:c r="I763" s="14" t="n">
        <x:f>E2_plantas!J20+G763</x:f>
        <x:v>46186</x:v>
      </x:c>
      <x:c r="J763" s="2" t="str">
        <x:v>N4</x:v>
      </x:c>
      <x:c r="K763" s="2" t="n">
        <x:v>1</x:v>
      </x:c>
      <x:c r="L763" s="2" t="n">
        <x:v>0</x:v>
      </x:c>
      <x:c r="M763" s="2" t="n">
        <x:f>SUM(L$758:L763)</x:f>
        <x:v>0</x:v>
      </x:c>
      <x:c r="N763" s="2" t="n">
        <x:v>0</x:v>
      </x:c>
      <x:c r="O763" s="2" t="str">
        <x:v>seguimiento</x:v>
      </x:c>
      <x:c r="P763" s="2" t="n">
        <x:v>0</x:v>
      </x:c>
      <x:c r="Q763" s="2" t="str">
        <x:v>simulado_didactico</x:v>
      </x:c>
    </x:row>
    <x:row r="764" ht="19" customHeight="1">
      <x:c r="A764" s="2" t="str">
        <x:v>SIM-E2-BB-L0-R03</x:v>
      </x:c>
      <x:c r="B764" s="2" t="n">
        <x:v>2</x:v>
      </x:c>
      <x:c r="C764" s="2" t="str">
        <x:v>BB</x:v>
      </x:c>
      <x:c r="D764" s="2" t="str">
        <x:v>Brevicoryne brassicae</x:v>
      </x:c>
      <x:c r="E764" s="2" t="str">
        <x:v>L0</x:v>
      </x:c>
      <x:c r="F764" s="2" t="n">
        <x:v>3</x:v>
      </x:c>
      <x:c r="G764" s="2" t="n">
        <x:v>6</x:v>
      </x:c>
      <x:c r="H764" s="2" t="n">
        <x:f>G764+Supuestos!$C$15</x:f>
        <x:v>7</x:v>
      </x:c>
      <x:c r="I764" s="14" t="n">
        <x:f>E2_plantas!J20+G764</x:f>
        <x:v>46187</x:v>
      </x:c>
      <x:c r="J764" s="2" t="str">
        <x:v>N4</x:v>
      </x:c>
      <x:c r="K764" s="2" t="n">
        <x:v>1</x:v>
      </x:c>
      <x:c r="L764" s="2" t="n">
        <x:v>0</x:v>
      </x:c>
      <x:c r="M764" s="2" t="n">
        <x:f>SUM(L$758:L764)</x:f>
        <x:v>0</x:v>
      </x:c>
      <x:c r="N764" s="2" t="n">
        <x:v>0</x:v>
      </x:c>
      <x:c r="O764" s="2" t="str">
        <x:v>seguimiento</x:v>
      </x:c>
      <x:c r="P764" s="2" t="n">
        <x:v>0</x:v>
      </x:c>
      <x:c r="Q764" s="2" t="str">
        <x:v>simulado_didactico</x:v>
      </x:c>
    </x:row>
    <x:row r="765" ht="19" customHeight="1">
      <x:c r="A765" s="2" t="str">
        <x:v>SIM-E2-BB-L0-R03</x:v>
      </x:c>
      <x:c r="B765" s="2" t="n">
        <x:v>2</x:v>
      </x:c>
      <x:c r="C765" s="2" t="str">
        <x:v>BB</x:v>
      </x:c>
      <x:c r="D765" s="2" t="str">
        <x:v>Brevicoryne brassicae</x:v>
      </x:c>
      <x:c r="E765" s="2" t="str">
        <x:v>L0</x:v>
      </x:c>
      <x:c r="F765" s="2" t="n">
        <x:v>3</x:v>
      </x:c>
      <x:c r="G765" s="2" t="n">
        <x:v>7</x:v>
      </x:c>
      <x:c r="H765" s="2" t="n">
        <x:f>G765+Supuestos!$C$15</x:f>
        <x:v>8</x:v>
      </x:c>
      <x:c r="I765" s="14" t="n">
        <x:f>E2_plantas!J20+G765</x:f>
        <x:v>46188</x:v>
      </x:c>
      <x:c r="J765" s="2" t="str">
        <x:v>adulta</x:v>
      </x:c>
      <x:c r="K765" s="2" t="n">
        <x:v>1</x:v>
      </x:c>
      <x:c r="L765" s="2" t="n">
        <x:v>0</x:v>
      </x:c>
      <x:c r="M765" s="2" t="n">
        <x:f>SUM(L$758:L765)</x:f>
        <x:v>0</x:v>
      </x:c>
      <x:c r="N765" s="2" t="n">
        <x:v>0</x:v>
      </x:c>
      <x:c r="O765" s="2" t="str">
        <x:v>seguimiento</x:v>
      </x:c>
      <x:c r="P765" s="2" t="n">
        <x:v>0</x:v>
      </x:c>
      <x:c r="Q765" s="2" t="str">
        <x:v>simulado_didactico</x:v>
      </x:c>
    </x:row>
    <x:row r="766" ht="19" customHeight="1">
      <x:c r="A766" s="2" t="str">
        <x:v>SIM-E2-BB-L0-R03</x:v>
      </x:c>
      <x:c r="B766" s="2" t="n">
        <x:v>2</x:v>
      </x:c>
      <x:c r="C766" s="2" t="str">
        <x:v>BB</x:v>
      </x:c>
      <x:c r="D766" s="2" t="str">
        <x:v>Brevicoryne brassicae</x:v>
      </x:c>
      <x:c r="E766" s="2" t="str">
        <x:v>L0</x:v>
      </x:c>
      <x:c r="F766" s="2" t="n">
        <x:v>3</x:v>
      </x:c>
      <x:c r="G766" s="2" t="n">
        <x:v>8</x:v>
      </x:c>
      <x:c r="H766" s="2" t="n">
        <x:f>G766+Supuestos!$C$15</x:f>
        <x:v>9</x:v>
      </x:c>
      <x:c r="I766" s="14" t="n">
        <x:f>E2_plantas!J20+G766</x:f>
        <x:v>46189</x:v>
      </x:c>
      <x:c r="J766" s="2" t="str">
        <x:v>adulta</x:v>
      </x:c>
      <x:c r="K766" s="2" t="n">
        <x:v>1</x:v>
      </x:c>
      <x:c r="L766" s="2" t="n">
        <x:v>9</x:v>
      </x:c>
      <x:c r="M766" s="2" t="n">
        <x:f>SUM(L$758:L766)</x:f>
        <x:v>9</x:v>
      </x:c>
      <x:c r="N766" s="2" t="n">
        <x:v>0</x:v>
      </x:c>
      <x:c r="O766" s="2" t="str">
        <x:v>seguimiento</x:v>
      </x:c>
      <x:c r="P766" s="2" t="n">
        <x:v>0</x:v>
      </x:c>
      <x:c r="Q766" s="2" t="str">
        <x:v>simulado_didactico</x:v>
      </x:c>
    </x:row>
    <x:row r="767" ht="19" customHeight="1">
      <x:c r="A767" s="2" t="str">
        <x:v>SIM-E2-BB-L0-R03</x:v>
      </x:c>
      <x:c r="B767" s="2" t="n">
        <x:v>2</x:v>
      </x:c>
      <x:c r="C767" s="2" t="str">
        <x:v>BB</x:v>
      </x:c>
      <x:c r="D767" s="2" t="str">
        <x:v>Brevicoryne brassicae</x:v>
      </x:c>
      <x:c r="E767" s="2" t="str">
        <x:v>L0</x:v>
      </x:c>
      <x:c r="F767" s="2" t="n">
        <x:v>3</x:v>
      </x:c>
      <x:c r="G767" s="2" t="n">
        <x:v>9</x:v>
      </x:c>
      <x:c r="H767" s="2" t="n">
        <x:f>G767+Supuestos!$C$15</x:f>
        <x:v>10</x:v>
      </x:c>
      <x:c r="I767" s="14" t="n">
        <x:f>E2_plantas!J20+G767</x:f>
        <x:v>46190</x:v>
      </x:c>
      <x:c r="J767" s="2" t="str">
        <x:v>adulta</x:v>
      </x:c>
      <x:c r="K767" s="2" t="n">
        <x:v>1</x:v>
      </x:c>
      <x:c r="L767" s="2" t="n">
        <x:v>1</x:v>
      </x:c>
      <x:c r="M767" s="2" t="n">
        <x:f>SUM(L$758:L767)</x:f>
        <x:v>10</x:v>
      </x:c>
      <x:c r="N767" s="2" t="n">
        <x:v>0</x:v>
      </x:c>
      <x:c r="O767" s="2" t="str">
        <x:v>seguimiento</x:v>
      </x:c>
      <x:c r="P767" s="2" t="n">
        <x:v>0</x:v>
      </x:c>
      <x:c r="Q767" s="2" t="str">
        <x:v>simulado_didactico</x:v>
      </x:c>
    </x:row>
    <x:row r="768" ht="19" customHeight="1">
      <x:c r="A768" s="2" t="str">
        <x:v>SIM-E2-BB-L0-R03</x:v>
      </x:c>
      <x:c r="B768" s="2" t="n">
        <x:v>2</x:v>
      </x:c>
      <x:c r="C768" s="2" t="str">
        <x:v>BB</x:v>
      </x:c>
      <x:c r="D768" s="2" t="str">
        <x:v>Brevicoryne brassicae</x:v>
      </x:c>
      <x:c r="E768" s="2" t="str">
        <x:v>L0</x:v>
      </x:c>
      <x:c r="F768" s="2" t="n">
        <x:v>3</x:v>
      </x:c>
      <x:c r="G768" s="2" t="n">
        <x:v>10</x:v>
      </x:c>
      <x:c r="H768" s="2" t="n">
        <x:f>G768+Supuestos!$C$15</x:f>
        <x:v>11</x:v>
      </x:c>
      <x:c r="I768" s="14" t="n">
        <x:f>E2_plantas!J20+G768</x:f>
        <x:v>46191</x:v>
      </x:c>
      <x:c r="J768" s="2" t="str">
        <x:v>adulta</x:v>
      </x:c>
      <x:c r="K768" s="2" t="n">
        <x:v>1</x:v>
      </x:c>
      <x:c r="L768" s="2" t="n">
        <x:v>4</x:v>
      </x:c>
      <x:c r="M768" s="2" t="n">
        <x:f>SUM(L$758:L768)</x:f>
        <x:v>14</x:v>
      </x:c>
      <x:c r="N768" s="2" t="n">
        <x:v>0</x:v>
      </x:c>
      <x:c r="O768" s="2" t="str">
        <x:v>seguimiento</x:v>
      </x:c>
      <x:c r="P768" s="2" t="n">
        <x:v>0</x:v>
      </x:c>
      <x:c r="Q768" s="2" t="str">
        <x:v>simulado_didactico</x:v>
      </x:c>
    </x:row>
    <x:row r="769" ht="19" customHeight="1">
      <x:c r="A769" s="2" t="str">
        <x:v>SIM-E2-BB-L0-R03</x:v>
      </x:c>
      <x:c r="B769" s="2" t="n">
        <x:v>2</x:v>
      </x:c>
      <x:c r="C769" s="2" t="str">
        <x:v>BB</x:v>
      </x:c>
      <x:c r="D769" s="2" t="str">
        <x:v>Brevicoryne brassicae</x:v>
      </x:c>
      <x:c r="E769" s="2" t="str">
        <x:v>L0</x:v>
      </x:c>
      <x:c r="F769" s="2" t="n">
        <x:v>3</x:v>
      </x:c>
      <x:c r="G769" s="2" t="n">
        <x:v>11</x:v>
      </x:c>
      <x:c r="H769" s="2" t="n">
        <x:f>G769+Supuestos!$C$15</x:f>
        <x:v>12</x:v>
      </x:c>
      <x:c r="I769" s="14" t="n">
        <x:f>E2_plantas!J20+G769</x:f>
        <x:v>46192</x:v>
      </x:c>
      <x:c r="J769" s="2" t="str">
        <x:v>adulta</x:v>
      </x:c>
      <x:c r="K769" s="2" t="n">
        <x:v>1</x:v>
      </x:c>
      <x:c r="L769" s="2" t="n">
        <x:v>3</x:v>
      </x:c>
      <x:c r="M769" s="2" t="n">
        <x:f>SUM(L$758:L769)</x:f>
        <x:v>17</x:v>
      </x:c>
      <x:c r="N769" s="2" t="n">
        <x:v>0</x:v>
      </x:c>
      <x:c r="O769" s="2" t="str">
        <x:v>seguimiento</x:v>
      </x:c>
      <x:c r="P769" s="2" t="n">
        <x:v>0</x:v>
      </x:c>
      <x:c r="Q769" s="2" t="str">
        <x:v>simulado_didactico</x:v>
      </x:c>
    </x:row>
    <x:row r="770" ht="19" customHeight="1">
      <x:c r="A770" s="2" t="str">
        <x:v>SIM-E2-BB-L0-R03</x:v>
      </x:c>
      <x:c r="B770" s="2" t="n">
        <x:v>2</x:v>
      </x:c>
      <x:c r="C770" s="2" t="str">
        <x:v>BB</x:v>
      </x:c>
      <x:c r="D770" s="2" t="str">
        <x:v>Brevicoryne brassicae</x:v>
      </x:c>
      <x:c r="E770" s="2" t="str">
        <x:v>L0</x:v>
      </x:c>
      <x:c r="F770" s="2" t="n">
        <x:v>3</x:v>
      </x:c>
      <x:c r="G770" s="2" t="n">
        <x:v>12</x:v>
      </x:c>
      <x:c r="H770" s="2" t="n">
        <x:f>G770+Supuestos!$C$15</x:f>
        <x:v>13</x:v>
      </x:c>
      <x:c r="I770" s="14" t="n">
        <x:f>E2_plantas!J20+G770</x:f>
        <x:v>46193</x:v>
      </x:c>
      <x:c r="J770" s="2" t="str">
        <x:v>adulta</x:v>
      </x:c>
      <x:c r="K770" s="2" t="n">
        <x:v>1</x:v>
      </x:c>
      <x:c r="L770" s="2" t="n">
        <x:v>2</x:v>
      </x:c>
      <x:c r="M770" s="2" t="n">
        <x:f>SUM(L$758:L770)</x:f>
        <x:v>19</x:v>
      </x:c>
      <x:c r="N770" s="2" t="n">
        <x:v>0</x:v>
      </x:c>
      <x:c r="O770" s="2" t="str">
        <x:v>seguimiento</x:v>
      </x:c>
      <x:c r="P770" s="2" t="n">
        <x:v>0</x:v>
      </x:c>
      <x:c r="Q770" s="2" t="str">
        <x:v>simulado_didactico</x:v>
      </x:c>
    </x:row>
    <x:row r="771" ht="19" customHeight="1">
      <x:c r="A771" s="2" t="str">
        <x:v>SIM-E2-BB-L0-R03</x:v>
      </x:c>
      <x:c r="B771" s="2" t="n">
        <x:v>2</x:v>
      </x:c>
      <x:c r="C771" s="2" t="str">
        <x:v>BB</x:v>
      </x:c>
      <x:c r="D771" s="2" t="str">
        <x:v>Brevicoryne brassicae</x:v>
      </x:c>
      <x:c r="E771" s="2" t="str">
        <x:v>L0</x:v>
      </x:c>
      <x:c r="F771" s="2" t="n">
        <x:v>3</x:v>
      </x:c>
      <x:c r="G771" s="2" t="n">
        <x:v>13</x:v>
      </x:c>
      <x:c r="H771" s="2" t="n">
        <x:f>G771+Supuestos!$C$15</x:f>
        <x:v>14</x:v>
      </x:c>
      <x:c r="I771" s="14" t="n">
        <x:f>E2_plantas!J20+G771</x:f>
        <x:v>46194</x:v>
      </x:c>
      <x:c r="J771" s="2" t="str">
        <x:v>adulta</x:v>
      </x:c>
      <x:c r="K771" s="2" t="n">
        <x:v>1</x:v>
      </x:c>
      <x:c r="L771" s="2" t="n">
        <x:v>1</x:v>
      </x:c>
      <x:c r="M771" s="2" t="n">
        <x:f>SUM(L$758:L771)</x:f>
        <x:v>20</x:v>
      </x:c>
      <x:c r="N771" s="2" t="n">
        <x:v>0</x:v>
      </x:c>
      <x:c r="O771" s="2" t="str">
        <x:v>seguimiento</x:v>
      </x:c>
      <x:c r="P771" s="2" t="n">
        <x:v>0</x:v>
      </x:c>
      <x:c r="Q771" s="2" t="str">
        <x:v>simulado_didactico</x:v>
      </x:c>
    </x:row>
    <x:row r="772" ht="19" customHeight="1">
      <x:c r="A772" s="2" t="str">
        <x:v>SIM-E2-BB-L0-R03</x:v>
      </x:c>
      <x:c r="B772" s="2" t="n">
        <x:v>2</x:v>
      </x:c>
      <x:c r="C772" s="2" t="str">
        <x:v>BB</x:v>
      </x:c>
      <x:c r="D772" s="2" t="str">
        <x:v>Brevicoryne brassicae</x:v>
      </x:c>
      <x:c r="E772" s="2" t="str">
        <x:v>L0</x:v>
      </x:c>
      <x:c r="F772" s="2" t="n">
        <x:v>3</x:v>
      </x:c>
      <x:c r="G772" s="2" t="n">
        <x:v>14</x:v>
      </x:c>
      <x:c r="H772" s="2" t="n">
        <x:f>G772+Supuestos!$C$15</x:f>
        <x:v>15</x:v>
      </x:c>
      <x:c r="I772" s="14" t="n">
        <x:f>E2_plantas!J20+G772</x:f>
        <x:v>46195</x:v>
      </x:c>
      <x:c r="J772" s="2" t="str">
        <x:v>adulta</x:v>
      </x:c>
      <x:c r="K772" s="2" t="n">
        <x:v>1</x:v>
      </x:c>
      <x:c r="L772" s="2" t="n">
        <x:v>7</x:v>
      </x:c>
      <x:c r="M772" s="2" t="n">
        <x:f>SUM(L$758:L772)</x:f>
        <x:v>27</x:v>
      </x:c>
      <x:c r="N772" s="2" t="n">
        <x:v>0</x:v>
      </x:c>
      <x:c r="O772" s="2" t="str">
        <x:v>seguimiento</x:v>
      </x:c>
      <x:c r="P772" s="2" t="n">
        <x:v>0</x:v>
      </x:c>
      <x:c r="Q772" s="2" t="str">
        <x:v>simulado_didactico</x:v>
      </x:c>
    </x:row>
    <x:row r="773" ht="19" customHeight="1">
      <x:c r="A773" s="2" t="str">
        <x:v>SIM-E2-BB-L0-R03</x:v>
      </x:c>
      <x:c r="B773" s="2" t="n">
        <x:v>2</x:v>
      </x:c>
      <x:c r="C773" s="2" t="str">
        <x:v>BB</x:v>
      </x:c>
      <x:c r="D773" s="2" t="str">
        <x:v>Brevicoryne brassicae</x:v>
      </x:c>
      <x:c r="E773" s="2" t="str">
        <x:v>L0</x:v>
      </x:c>
      <x:c r="F773" s="2" t="n">
        <x:v>3</x:v>
      </x:c>
      <x:c r="G773" s="2" t="n">
        <x:v>15</x:v>
      </x:c>
      <x:c r="H773" s="2" t="n">
        <x:f>G773+Supuestos!$C$15</x:f>
        <x:v>16</x:v>
      </x:c>
      <x:c r="I773" s="14" t="n">
        <x:f>E2_plantas!J20+G773</x:f>
        <x:v>46196</x:v>
      </x:c>
      <x:c r="J773" s="2" t="str">
        <x:v>adulta</x:v>
      </x:c>
      <x:c r="K773" s="2" t="n">
        <x:v>1</x:v>
      </x:c>
      <x:c r="L773" s="2" t="n">
        <x:v>6</x:v>
      </x:c>
      <x:c r="M773" s="2" t="n">
        <x:f>SUM(L$758:L773)</x:f>
        <x:v>33</x:v>
      </x:c>
      <x:c r="N773" s="2" t="n">
        <x:v>0</x:v>
      </x:c>
      <x:c r="O773" s="2" t="str">
        <x:v>seguimiento</x:v>
      </x:c>
      <x:c r="P773" s="2" t="n">
        <x:v>0</x:v>
      </x:c>
      <x:c r="Q773" s="2" t="str">
        <x:v>simulado_didactico</x:v>
      </x:c>
    </x:row>
    <x:row r="774" ht="19" customHeight="1">
      <x:c r="A774" s="2" t="str">
        <x:v>SIM-E2-BB-L0-R03</x:v>
      </x:c>
      <x:c r="B774" s="2" t="n">
        <x:v>2</x:v>
      </x:c>
      <x:c r="C774" s="2" t="str">
        <x:v>BB</x:v>
      </x:c>
      <x:c r="D774" s="2" t="str">
        <x:v>Brevicoryne brassicae</x:v>
      </x:c>
      <x:c r="E774" s="2" t="str">
        <x:v>L0</x:v>
      </x:c>
      <x:c r="F774" s="2" t="n">
        <x:v>3</x:v>
      </x:c>
      <x:c r="G774" s="2" t="n">
        <x:v>16</x:v>
      </x:c>
      <x:c r="H774" s="2" t="n">
        <x:f>G774+Supuestos!$C$15</x:f>
        <x:v>17</x:v>
      </x:c>
      <x:c r="I774" s="14" t="n">
        <x:f>E2_plantas!J20+G774</x:f>
        <x:v>46197</x:v>
      </x:c>
      <x:c r="J774" s="2" t="str">
        <x:v>adulta</x:v>
      </x:c>
      <x:c r="K774" s="2" t="n">
        <x:v>1</x:v>
      </x:c>
      <x:c r="L774" s="2" t="n">
        <x:v>2</x:v>
      </x:c>
      <x:c r="M774" s="2" t="n">
        <x:f>SUM(L$758:L774)</x:f>
        <x:v>35</x:v>
      </x:c>
      <x:c r="N774" s="2" t="n">
        <x:v>0</x:v>
      </x:c>
      <x:c r="O774" s="2" t="str">
        <x:v>seguimiento</x:v>
      </x:c>
      <x:c r="P774" s="2" t="n">
        <x:v>0</x:v>
      </x:c>
      <x:c r="Q774" s="2" t="str">
        <x:v>simulado_didactico</x:v>
      </x:c>
    </x:row>
    <x:row r="775" ht="19" customHeight="1">
      <x:c r="A775" s="2" t="str">
        <x:v>SIM-E2-BB-L0-R03</x:v>
      </x:c>
      <x:c r="B775" s="2" t="n">
        <x:v>2</x:v>
      </x:c>
      <x:c r="C775" s="2" t="str">
        <x:v>BB</x:v>
      </x:c>
      <x:c r="D775" s="2" t="str">
        <x:v>Brevicoryne brassicae</x:v>
      </x:c>
      <x:c r="E775" s="2" t="str">
        <x:v>L0</x:v>
      </x:c>
      <x:c r="F775" s="2" t="n">
        <x:v>3</x:v>
      </x:c>
      <x:c r="G775" s="2" t="n">
        <x:v>17</x:v>
      </x:c>
      <x:c r="H775" s="2" t="n">
        <x:f>G775+Supuestos!$C$15</x:f>
        <x:v>18</x:v>
      </x:c>
      <x:c r="I775" s="14" t="n">
        <x:f>E2_plantas!J20+G775</x:f>
        <x:v>46198</x:v>
      </x:c>
      <x:c r="J775" s="2" t="str">
        <x:v>adulta</x:v>
      </x:c>
      <x:c r="K775" s="2" t="n">
        <x:v>1</x:v>
      </x:c>
      <x:c r="L775" s="2" t="n">
        <x:v>3</x:v>
      </x:c>
      <x:c r="M775" s="2" t="n">
        <x:f>SUM(L$758:L775)</x:f>
        <x:v>38</x:v>
      </x:c>
      <x:c r="N775" s="2" t="n">
        <x:v>0</x:v>
      </x:c>
      <x:c r="O775" s="2" t="str">
        <x:v>seguimiento</x:v>
      </x:c>
      <x:c r="P775" s="2" t="n">
        <x:v>0</x:v>
      </x:c>
      <x:c r="Q775" s="2" t="str">
        <x:v>simulado_didactico</x:v>
      </x:c>
    </x:row>
    <x:row r="776" ht="19" customHeight="1">
      <x:c r="A776" s="2" t="str">
        <x:v>SIM-E2-BB-L0-R03</x:v>
      </x:c>
      <x:c r="B776" s="2" t="n">
        <x:v>2</x:v>
      </x:c>
      <x:c r="C776" s="2" t="str">
        <x:v>BB</x:v>
      </x:c>
      <x:c r="D776" s="2" t="str">
        <x:v>Brevicoryne brassicae</x:v>
      </x:c>
      <x:c r="E776" s="2" t="str">
        <x:v>L0</x:v>
      </x:c>
      <x:c r="F776" s="2" t="n">
        <x:v>3</x:v>
      </x:c>
      <x:c r="G776" s="2" t="n">
        <x:v>18</x:v>
      </x:c>
      <x:c r="H776" s="2" t="n">
        <x:f>G776+Supuestos!$C$15</x:f>
        <x:v>19</x:v>
      </x:c>
      <x:c r="I776" s="14" t="n">
        <x:f>E2_plantas!J20+G776</x:f>
        <x:v>46199</x:v>
      </x:c>
      <x:c r="J776" s="2" t="str">
        <x:v>adulta</x:v>
      </x:c>
      <x:c r="K776" s="2" t="n">
        <x:v>1</x:v>
      </x:c>
      <x:c r="L776" s="2" t="n">
        <x:v>3</x:v>
      </x:c>
      <x:c r="M776" s="2" t="n">
        <x:f>SUM(L$758:L776)</x:f>
        <x:v>41</x:v>
      </x:c>
      <x:c r="N776" s="2" t="n">
        <x:v>0</x:v>
      </x:c>
      <x:c r="O776" s="2" t="str">
        <x:v>seguimiento</x:v>
      </x:c>
      <x:c r="P776" s="2" t="n">
        <x:v>0</x:v>
      </x:c>
      <x:c r="Q776" s="2" t="str">
        <x:v>simulado_didactico</x:v>
      </x:c>
    </x:row>
    <x:row r="777" ht="19" customHeight="1">
      <x:c r="A777" s="2" t="str">
        <x:v>SIM-E2-BB-L0-R03</x:v>
      </x:c>
      <x:c r="B777" s="2" t="n">
        <x:v>2</x:v>
      </x:c>
      <x:c r="C777" s="2" t="str">
        <x:v>BB</x:v>
      </x:c>
      <x:c r="D777" s="2" t="str">
        <x:v>Brevicoryne brassicae</x:v>
      </x:c>
      <x:c r="E777" s="2" t="str">
        <x:v>L0</x:v>
      </x:c>
      <x:c r="F777" s="2" t="n">
        <x:v>3</x:v>
      </x:c>
      <x:c r="G777" s="2" t="n">
        <x:v>19</x:v>
      </x:c>
      <x:c r="H777" s="2" t="n">
        <x:f>G777+Supuestos!$C$15</x:f>
        <x:v>20</x:v>
      </x:c>
      <x:c r="I777" s="14" t="n">
        <x:f>E2_plantas!J20+G777</x:f>
        <x:v>46200</x:v>
      </x:c>
      <x:c r="J777" s="2" t="str">
        <x:v>adulta</x:v>
      </x:c>
      <x:c r="K777" s="2" t="n">
        <x:v>1</x:v>
      </x:c>
      <x:c r="L777" s="2" t="n">
        <x:v>4</x:v>
      </x:c>
      <x:c r="M777" s="2" t="n">
        <x:f>SUM(L$758:L777)</x:f>
        <x:v>45</x:v>
      </x:c>
      <x:c r="N777" s="2" t="n">
        <x:v>0</x:v>
      </x:c>
      <x:c r="O777" s="2" t="str">
        <x:v>seguimiento</x:v>
      </x:c>
      <x:c r="P777" s="2" t="n">
        <x:v>0</x:v>
      </x:c>
      <x:c r="Q777" s="2" t="str">
        <x:v>simulado_didactico</x:v>
      </x:c>
    </x:row>
    <x:row r="778" ht="19" customHeight="1">
      <x:c r="A778" s="2" t="str">
        <x:v>SIM-E2-BB-L0-R03</x:v>
      </x:c>
      <x:c r="B778" s="2" t="n">
        <x:v>2</x:v>
      </x:c>
      <x:c r="C778" s="2" t="str">
        <x:v>BB</x:v>
      </x:c>
      <x:c r="D778" s="2" t="str">
        <x:v>Brevicoryne brassicae</x:v>
      </x:c>
      <x:c r="E778" s="2" t="str">
        <x:v>L0</x:v>
      </x:c>
      <x:c r="F778" s="2" t="n">
        <x:v>3</x:v>
      </x:c>
      <x:c r="G778" s="2" t="n">
        <x:v>20</x:v>
      </x:c>
      <x:c r="H778" s="2" t="n">
        <x:f>G778+Supuestos!$C$15</x:f>
        <x:v>21</x:v>
      </x:c>
      <x:c r="I778" s="14" t="n">
        <x:f>E2_plantas!J20+G778</x:f>
        <x:v>46201</x:v>
      </x:c>
      <x:c r="J778" s="2" t="str">
        <x:v>adulta</x:v>
      </x:c>
      <x:c r="K778" s="2" t="n">
        <x:v>1</x:v>
      </x:c>
      <x:c r="L778" s="2" t="n">
        <x:v>5</x:v>
      </x:c>
      <x:c r="M778" s="2" t="n">
        <x:f>SUM(L$758:L778)</x:f>
        <x:v>50</x:v>
      </x:c>
      <x:c r="N778" s="2" t="n">
        <x:v>0</x:v>
      </x:c>
      <x:c r="O778" s="2" t="str">
        <x:v>seguimiento</x:v>
      </x:c>
      <x:c r="P778" s="2" t="n">
        <x:v>0</x:v>
      </x:c>
      <x:c r="Q778" s="2" t="str">
        <x:v>simulado_didactico</x:v>
      </x:c>
    </x:row>
    <x:row r="779" ht="19" customHeight="1">
      <x:c r="A779" s="2" t="str">
        <x:v>SIM-E2-BB-L0-R03</x:v>
      </x:c>
      <x:c r="B779" s="2" t="n">
        <x:v>2</x:v>
      </x:c>
      <x:c r="C779" s="2" t="str">
        <x:v>BB</x:v>
      </x:c>
      <x:c r="D779" s="2" t="str">
        <x:v>Brevicoryne brassicae</x:v>
      </x:c>
      <x:c r="E779" s="2" t="str">
        <x:v>L0</x:v>
      </x:c>
      <x:c r="F779" s="2" t="n">
        <x:v>3</x:v>
      </x:c>
      <x:c r="G779" s="2" t="n">
        <x:v>21</x:v>
      </x:c>
      <x:c r="H779" s="2" t="n">
        <x:f>G779+Supuestos!$C$15</x:f>
        <x:v>22</x:v>
      </x:c>
      <x:c r="I779" s="14" t="n">
        <x:f>E2_plantas!J20+G779</x:f>
        <x:v>46202</x:v>
      </x:c>
      <x:c r="J779" s="2" t="str">
        <x:v>adulta</x:v>
      </x:c>
      <x:c r="K779" s="2" t="n">
        <x:v>1</x:v>
      </x:c>
      <x:c r="L779" s="2" t="n">
        <x:v>2</x:v>
      </x:c>
      <x:c r="M779" s="2" t="n">
        <x:f>SUM(L$758:L779)</x:f>
        <x:v>52</x:v>
      </x:c>
      <x:c r="N779" s="2" t="n">
        <x:v>0</x:v>
      </x:c>
      <x:c r="O779" s="2" t="str">
        <x:v>seguimiento</x:v>
      </x:c>
      <x:c r="P779" s="2" t="n">
        <x:v>0</x:v>
      </x:c>
      <x:c r="Q779" s="2" t="str">
        <x:v>simulado_didactico</x:v>
      </x:c>
    </x:row>
    <x:row r="780" ht="19" customHeight="1">
      <x:c r="A780" s="2" t="str">
        <x:v>SIM-E2-BB-L0-R03</x:v>
      </x:c>
      <x:c r="B780" s="2" t="n">
        <x:v>2</x:v>
      </x:c>
      <x:c r="C780" s="2" t="str">
        <x:v>BB</x:v>
      </x:c>
      <x:c r="D780" s="2" t="str">
        <x:v>Brevicoryne brassicae</x:v>
      </x:c>
      <x:c r="E780" s="2" t="str">
        <x:v>L0</x:v>
      </x:c>
      <x:c r="F780" s="2" t="n">
        <x:v>3</x:v>
      </x:c>
      <x:c r="G780" s="2" t="n">
        <x:v>22</x:v>
      </x:c>
      <x:c r="H780" s="2" t="n">
        <x:f>G780+Supuestos!$C$15</x:f>
        <x:v>23</x:v>
      </x:c>
      <x:c r="I780" s="14" t="n">
        <x:f>E2_plantas!J20+G780</x:f>
        <x:v>46203</x:v>
      </x:c>
      <x:c r="J780" s="2" t="str">
        <x:v>adulta</x:v>
      </x:c>
      <x:c r="K780" s="2" t="n">
        <x:v>1</x:v>
      </x:c>
      <x:c r="L780" s="2" t="n">
        <x:v>0</x:v>
      </x:c>
      <x:c r="M780" s="2" t="n">
        <x:f>SUM(L$758:L780)</x:f>
        <x:v>52</x:v>
      </x:c>
      <x:c r="N780" s="2" t="n">
        <x:v>0</x:v>
      </x:c>
      <x:c r="O780" s="2" t="str">
        <x:v>seguimiento</x:v>
      </x:c>
      <x:c r="P780" s="2" t="n">
        <x:v>0</x:v>
      </x:c>
      <x:c r="Q780" s="2" t="str">
        <x:v>simulado_didactico</x:v>
      </x:c>
    </x:row>
    <x:row r="781" ht="19" customHeight="1">
      <x:c r="A781" s="2" t="str">
        <x:v>SIM-E2-BB-L0-R03</x:v>
      </x:c>
      <x:c r="B781" s="2" t="n">
        <x:v>2</x:v>
      </x:c>
      <x:c r="C781" s="2" t="str">
        <x:v>BB</x:v>
      </x:c>
      <x:c r="D781" s="2" t="str">
        <x:v>Brevicoryne brassicae</x:v>
      </x:c>
      <x:c r="E781" s="2" t="str">
        <x:v>L0</x:v>
      </x:c>
      <x:c r="F781" s="2" t="n">
        <x:v>3</x:v>
      </x:c>
      <x:c r="G781" s="2" t="n">
        <x:v>23</x:v>
      </x:c>
      <x:c r="H781" s="2" t="n">
        <x:f>G781+Supuestos!$C$15</x:f>
        <x:v>24</x:v>
      </x:c>
      <x:c r="I781" s="14" t="n">
        <x:f>E2_plantas!J20+G781</x:f>
        <x:v>46204</x:v>
      </x:c>
      <x:c r="J781" s="2" t="str">
        <x:v>adulta</x:v>
      </x:c>
      <x:c r="K781" s="2" t="n">
        <x:v>1</x:v>
      </x:c>
      <x:c r="L781" s="2" t="n">
        <x:v>1</x:v>
      </x:c>
      <x:c r="M781" s="2" t="n">
        <x:f>SUM(L$758:L781)</x:f>
        <x:v>53</x:v>
      </x:c>
      <x:c r="N781" s="2" t="n">
        <x:v>0</x:v>
      </x:c>
      <x:c r="O781" s="2" t="str">
        <x:v>seguimiento</x:v>
      </x:c>
      <x:c r="P781" s="2" t="n">
        <x:v>0</x:v>
      </x:c>
      <x:c r="Q781" s="2" t="str">
        <x:v>simulado_didactico</x:v>
      </x:c>
    </x:row>
    <x:row r="782" ht="19" customHeight="1">
      <x:c r="A782" s="2" t="str">
        <x:v>SIM-E2-BB-L0-R03</x:v>
      </x:c>
      <x:c r="B782" s="2" t="n">
        <x:v>2</x:v>
      </x:c>
      <x:c r="C782" s="2" t="str">
        <x:v>BB</x:v>
      </x:c>
      <x:c r="D782" s="2" t="str">
        <x:v>Brevicoryne brassicae</x:v>
      </x:c>
      <x:c r="E782" s="2" t="str">
        <x:v>L0</x:v>
      </x:c>
      <x:c r="F782" s="2" t="n">
        <x:v>3</x:v>
      </x:c>
      <x:c r="G782" s="2" t="n">
        <x:v>24</x:v>
      </x:c>
      <x:c r="H782" s="2" t="n">
        <x:f>G782+Supuestos!$C$15</x:f>
        <x:v>25</x:v>
      </x:c>
      <x:c r="I782" s="14" t="n">
        <x:f>E2_plantas!J20+G782</x:f>
        <x:v>46205</x:v>
      </x:c>
      <x:c r="J782" s="2" t="str">
        <x:v>adulta</x:v>
      </x:c>
      <x:c r="K782" s="2" t="n">
        <x:v>1</x:v>
      </x:c>
      <x:c r="L782" s="2" t="n">
        <x:v>3</x:v>
      </x:c>
      <x:c r="M782" s="2" t="n">
        <x:f>SUM(L$758:L782)</x:f>
        <x:v>56</x:v>
      </x:c>
      <x:c r="N782" s="2" t="n">
        <x:v>0</x:v>
      </x:c>
      <x:c r="O782" s="2" t="str">
        <x:v>seguimiento</x:v>
      </x:c>
      <x:c r="P782" s="2" t="n">
        <x:v>0</x:v>
      </x:c>
      <x:c r="Q782" s="2" t="str">
        <x:v>simulado_didactico</x:v>
      </x:c>
    </x:row>
    <x:row r="783" ht="19" customHeight="1">
      <x:c r="A783" s="2" t="str">
        <x:v>SIM-E2-BB-L0-R03</x:v>
      </x:c>
      <x:c r="B783" s="2" t="n">
        <x:v>2</x:v>
      </x:c>
      <x:c r="C783" s="2" t="str">
        <x:v>BB</x:v>
      </x:c>
      <x:c r="D783" s="2" t="str">
        <x:v>Brevicoryne brassicae</x:v>
      </x:c>
      <x:c r="E783" s="2" t="str">
        <x:v>L0</x:v>
      </x:c>
      <x:c r="F783" s="2" t="n">
        <x:v>3</x:v>
      </x:c>
      <x:c r="G783" s="2" t="n">
        <x:v>25</x:v>
      </x:c>
      <x:c r="H783" s="2" t="n">
        <x:f>G783+Supuestos!$C$15</x:f>
        <x:v>26</x:v>
      </x:c>
      <x:c r="I783" s="14" t="n">
        <x:f>E2_plantas!J20+G783</x:f>
        <x:v>46206</x:v>
      </x:c>
      <x:c r="J783" s="2" t="str">
        <x:v>adulta</x:v>
      </x:c>
      <x:c r="K783" s="2" t="n">
        <x:v>1</x:v>
      </x:c>
      <x:c r="L783" s="2" t="n">
        <x:v>0</x:v>
      </x:c>
      <x:c r="M783" s="2" t="n">
        <x:f>SUM(L$758:L783)</x:f>
        <x:v>56</x:v>
      </x:c>
      <x:c r="N783" s="2" t="n">
        <x:v>0</x:v>
      </x:c>
      <x:c r="O783" s="2" t="str">
        <x:v>seguimiento</x:v>
      </x:c>
      <x:c r="P783" s="2" t="n">
        <x:v>0</x:v>
      </x:c>
      <x:c r="Q783" s="2" t="str">
        <x:v>simulado_didactico</x:v>
      </x:c>
    </x:row>
    <x:row r="784" ht="19" customHeight="1">
      <x:c r="A784" s="2" t="str">
        <x:v>SIM-E2-BB-L0-R03</x:v>
      </x:c>
      <x:c r="B784" s="2" t="n">
        <x:v>2</x:v>
      </x:c>
      <x:c r="C784" s="2" t="str">
        <x:v>BB</x:v>
      </x:c>
      <x:c r="D784" s="2" t="str">
        <x:v>Brevicoryne brassicae</x:v>
      </x:c>
      <x:c r="E784" s="2" t="str">
        <x:v>L0</x:v>
      </x:c>
      <x:c r="F784" s="2" t="n">
        <x:v>3</x:v>
      </x:c>
      <x:c r="G784" s="2" t="n">
        <x:v>26</x:v>
      </x:c>
      <x:c r="H784" s="2" t="n">
        <x:f>G784+Supuestos!$C$15</x:f>
        <x:v>27</x:v>
      </x:c>
      <x:c r="I784" s="14" t="n">
        <x:f>E2_plantas!J20+G784</x:f>
        <x:v>46207</x:v>
      </x:c>
      <x:c r="J784" s="2" t="str">
        <x:v>adulta</x:v>
      </x:c>
      <x:c r="K784" s="2" t="n">
        <x:v>1</x:v>
      </x:c>
      <x:c r="L784" s="2" t="n">
        <x:v>0</x:v>
      </x:c>
      <x:c r="M784" s="2" t="n">
        <x:f>SUM(L$758:L784)</x:f>
        <x:v>56</x:v>
      </x:c>
      <x:c r="N784" s="2" t="n">
        <x:v>0</x:v>
      </x:c>
      <x:c r="O784" s="2" t="str">
        <x:v>seguimiento</x:v>
      </x:c>
      <x:c r="P784" s="2" t="n">
        <x:v>0</x:v>
      </x:c>
      <x:c r="Q784" s="2" t="str">
        <x:v>simulado_didactico</x:v>
      </x:c>
    </x:row>
    <x:row r="785" ht="19" customHeight="1">
      <x:c r="A785" s="2" t="str">
        <x:v>SIM-E2-BB-L0-R03</x:v>
      </x:c>
      <x:c r="B785" s="2" t="n">
        <x:v>2</x:v>
      </x:c>
      <x:c r="C785" s="2" t="str">
        <x:v>BB</x:v>
      </x:c>
      <x:c r="D785" s="2" t="str">
        <x:v>Brevicoryne brassicae</x:v>
      </x:c>
      <x:c r="E785" s="2" t="str">
        <x:v>L0</x:v>
      </x:c>
      <x:c r="F785" s="2" t="n">
        <x:v>3</x:v>
      </x:c>
      <x:c r="G785" s="2" t="n">
        <x:v>27</x:v>
      </x:c>
      <x:c r="H785" s="2" t="n">
        <x:f>G785+Supuestos!$C$15</x:f>
        <x:v>28</x:v>
      </x:c>
      <x:c r="I785" s="14" t="n">
        <x:f>E2_plantas!J20+G785</x:f>
        <x:v>46208</x:v>
      </x:c>
      <x:c r="J785" s="2" t="str">
        <x:v>muerta</x:v>
      </x:c>
      <x:c r="K785" s="2" t="n">
        <x:v>0</x:v>
      </x:c>
      <x:c r="L785" s="2" t="n">
        <x:v>0</x:v>
      </x:c>
      <x:c r="M785" s="2" t="n">
        <x:f>SUM(L$758:L785)</x:f>
        <x:v>56</x:v>
      </x:c>
      <x:c r="N785" s="2" t="n">
        <x:v>1</x:v>
      </x:c>
      <x:c r="O785" s="2" t="str">
        <x:v>muerte</x:v>
      </x:c>
      <x:c r="P785" s="2" t="n">
        <x:v>0</x:v>
      </x:c>
      <x:c r="Q785" s="2" t="str">
        <x:v>simulado_didactico</x:v>
      </x:c>
    </x:row>
    <x:row r="786" ht="19" customHeight="1">
      <x:c r="A786" s="2" t="str">
        <x:v>SIM-E2-BB-L0-R03</x:v>
      </x:c>
      <x:c r="B786" s="2" t="n">
        <x:v>2</x:v>
      </x:c>
      <x:c r="C786" s="2" t="str">
        <x:v>BB</x:v>
      </x:c>
      <x:c r="D786" s="2" t="str">
        <x:v>Brevicoryne brassicae</x:v>
      </x:c>
      <x:c r="E786" s="2" t="str">
        <x:v>L0</x:v>
      </x:c>
      <x:c r="F786" s="2" t="n">
        <x:v>3</x:v>
      </x:c>
      <x:c r="G786" s="2" t="n">
        <x:v>28</x:v>
      </x:c>
      <x:c r="H786" s="2" t="n">
        <x:f>G786+Supuestos!$C$15</x:f>
        <x:v>29</x:v>
      </x:c>
      <x:c r="I786" s="14" t="n">
        <x:f>E2_plantas!J20+G786</x:f>
        <x:v>46209</x:v>
      </x:c>
      <x:c r="J786" s="2" t="str">
        <x:v>muerta</x:v>
      </x:c>
      <x:c r="K786" s="2" t="n">
        <x:v>0</x:v>
      </x:c>
      <x:c r="L786" s="2" t="n">
        <x:v>0</x:v>
      </x:c>
      <x:c r="M786" s="2" t="n">
        <x:f>SUM(L$758:L786)</x:f>
        <x:v>56</x:v>
      </x:c>
      <x:c r="N786" s="2" t="n">
        <x:v>0</x:v>
      </x:c>
      <x:c r="O786" s="2" t="str">
        <x:v>relleno_postmuerte</x:v>
      </x:c>
      <x:c r="P786" s="2" t="n">
        <x:v>0</x:v>
      </x:c>
      <x:c r="Q786" s="2" t="str">
        <x:v>simulado_didactico</x:v>
      </x:c>
    </x:row>
    <x:row r="787" ht="19" customHeight="1">
      <x:c r="A787" s="2" t="str">
        <x:v>SIM-E2-BB-L0-R03</x:v>
      </x:c>
      <x:c r="B787" s="2" t="n">
        <x:v>2</x:v>
      </x:c>
      <x:c r="C787" s="2" t="str">
        <x:v>BB</x:v>
      </x:c>
      <x:c r="D787" s="2" t="str">
        <x:v>Brevicoryne brassicae</x:v>
      </x:c>
      <x:c r="E787" s="2" t="str">
        <x:v>L0</x:v>
      </x:c>
      <x:c r="F787" s="2" t="n">
        <x:v>3</x:v>
      </x:c>
      <x:c r="G787" s="2" t="n">
        <x:v>29</x:v>
      </x:c>
      <x:c r="H787" s="2" t="n">
        <x:f>G787+Supuestos!$C$15</x:f>
        <x:v>30</x:v>
      </x:c>
      <x:c r="I787" s="14" t="n">
        <x:f>E2_plantas!J20+G787</x:f>
        <x:v>46210</x:v>
      </x:c>
      <x:c r="J787" s="2" t="str">
        <x:v>muerta</x:v>
      </x:c>
      <x:c r="K787" s="2" t="n">
        <x:v>0</x:v>
      </x:c>
      <x:c r="L787" s="2" t="n">
        <x:v>0</x:v>
      </x:c>
      <x:c r="M787" s="2" t="n">
        <x:f>SUM(L$758:L787)</x:f>
        <x:v>56</x:v>
      </x:c>
      <x:c r="N787" s="2" t="n">
        <x:v>0</x:v>
      </x:c>
      <x:c r="O787" s="2" t="str">
        <x:v>relleno_postmuerte</x:v>
      </x:c>
      <x:c r="P787" s="2" t="n">
        <x:v>0</x:v>
      </x:c>
      <x:c r="Q787" s="2" t="str">
        <x:v>simulado_didactico</x:v>
      </x:c>
    </x:row>
    <x:row r="788" ht="19" customHeight="1">
      <x:c r="A788" s="2" t="str">
        <x:v>SIM-E2-BB-L0-R03</x:v>
      </x:c>
      <x:c r="B788" s="2" t="n">
        <x:v>2</x:v>
      </x:c>
      <x:c r="C788" s="2" t="str">
        <x:v>BB</x:v>
      </x:c>
      <x:c r="D788" s="2" t="str">
        <x:v>Brevicoryne brassicae</x:v>
      </x:c>
      <x:c r="E788" s="2" t="str">
        <x:v>L0</x:v>
      </x:c>
      <x:c r="F788" s="2" t="n">
        <x:v>3</x:v>
      </x:c>
      <x:c r="G788" s="2" t="n">
        <x:v>30</x:v>
      </x:c>
      <x:c r="H788" s="2" t="n">
        <x:f>G788+Supuestos!$C$15</x:f>
        <x:v>31</x:v>
      </x:c>
      <x:c r="I788" s="14" t="n">
        <x:f>E2_plantas!J20+G788</x:f>
        <x:v>46211</x:v>
      </x:c>
      <x:c r="J788" s="2" t="str">
        <x:v>muerta</x:v>
      </x:c>
      <x:c r="K788" s="2" t="n">
        <x:v>0</x:v>
      </x:c>
      <x:c r="L788" s="2" t="n">
        <x:v>0</x:v>
      </x:c>
      <x:c r="M788" s="2" t="n">
        <x:f>SUM(L$758:L788)</x:f>
        <x:v>56</x:v>
      </x:c>
      <x:c r="N788" s="2" t="n">
        <x:v>0</x:v>
      </x:c>
      <x:c r="O788" s="2" t="str">
        <x:v>relleno_postmuerte</x:v>
      </x:c>
      <x:c r="P788" s="2" t="n">
        <x:v>0</x:v>
      </x:c>
      <x:c r="Q788" s="2" t="str">
        <x:v>simulado_didactico</x:v>
      </x:c>
    </x:row>
    <x:row r="789" ht="19" customHeight="1">
      <x:c r="A789" s="2" t="str">
        <x:v>SIM-E2-BB-L0-R03</x:v>
      </x:c>
      <x:c r="B789" s="2" t="n">
        <x:v>2</x:v>
      </x:c>
      <x:c r="C789" s="2" t="str">
        <x:v>BB</x:v>
      </x:c>
      <x:c r="D789" s="2" t="str">
        <x:v>Brevicoryne brassicae</x:v>
      </x:c>
      <x:c r="E789" s="2" t="str">
        <x:v>L0</x:v>
      </x:c>
      <x:c r="F789" s="2" t="n">
        <x:v>3</x:v>
      </x:c>
      <x:c r="G789" s="2" t="n">
        <x:v>31</x:v>
      </x:c>
      <x:c r="H789" s="2" t="n">
        <x:f>G789+Supuestos!$C$15</x:f>
        <x:v>32</x:v>
      </x:c>
      <x:c r="I789" s="14" t="n">
        <x:f>E2_plantas!J20+G789</x:f>
        <x:v>46212</x:v>
      </x:c>
      <x:c r="J789" s="2" t="str">
        <x:v>muerta</x:v>
      </x:c>
      <x:c r="K789" s="2" t="n">
        <x:v>0</x:v>
      </x:c>
      <x:c r="L789" s="2" t="n">
        <x:v>0</x:v>
      </x:c>
      <x:c r="M789" s="2" t="n">
        <x:f>SUM(L$758:L789)</x:f>
        <x:v>56</x:v>
      </x:c>
      <x:c r="N789" s="2" t="n">
        <x:v>0</x:v>
      </x:c>
      <x:c r="O789" s="2" t="str">
        <x:v>relleno_postmuerte</x:v>
      </x:c>
      <x:c r="P789" s="2" t="n">
        <x:v>0</x:v>
      </x:c>
      <x:c r="Q789" s="2" t="str">
        <x:v>simulado_didactico</x:v>
      </x:c>
    </x:row>
    <x:row r="790" ht="19" customHeight="1">
      <x:c r="A790" s="2" t="str">
        <x:v>SIM-E2-BB-L0-R03</x:v>
      </x:c>
      <x:c r="B790" s="2" t="n">
        <x:v>2</x:v>
      </x:c>
      <x:c r="C790" s="2" t="str">
        <x:v>BB</x:v>
      </x:c>
      <x:c r="D790" s="2" t="str">
        <x:v>Brevicoryne brassicae</x:v>
      </x:c>
      <x:c r="E790" s="2" t="str">
        <x:v>L0</x:v>
      </x:c>
      <x:c r="F790" s="2" t="n">
        <x:v>3</x:v>
      </x:c>
      <x:c r="G790" s="2" t="n">
        <x:v>32</x:v>
      </x:c>
      <x:c r="H790" s="2" t="n">
        <x:f>G790+Supuestos!$C$15</x:f>
        <x:v>33</x:v>
      </x:c>
      <x:c r="I790" s="14" t="n">
        <x:f>E2_plantas!J20+G790</x:f>
        <x:v>46213</x:v>
      </x:c>
      <x:c r="J790" s="2" t="str">
        <x:v>muerta</x:v>
      </x:c>
      <x:c r="K790" s="2" t="n">
        <x:v>0</x:v>
      </x:c>
      <x:c r="L790" s="2" t="n">
        <x:v>0</x:v>
      </x:c>
      <x:c r="M790" s="2" t="n">
        <x:f>SUM(L$758:L790)</x:f>
        <x:v>56</x:v>
      </x:c>
      <x:c r="N790" s="2" t="n">
        <x:v>0</x:v>
      </x:c>
      <x:c r="O790" s="2" t="str">
        <x:v>relleno_postmuerte</x:v>
      </x:c>
      <x:c r="P790" s="2" t="n">
        <x:v>0</x:v>
      </x:c>
      <x:c r="Q790" s="2" t="str">
        <x:v>simulado_didactico</x:v>
      </x:c>
    </x:row>
    <x:row r="791" ht="19" customHeight="1">
      <x:c r="A791" s="2" t="str">
        <x:v>SIM-E2-BB-L0-R03</x:v>
      </x:c>
      <x:c r="B791" s="2" t="n">
        <x:v>2</x:v>
      </x:c>
      <x:c r="C791" s="2" t="str">
        <x:v>BB</x:v>
      </x:c>
      <x:c r="D791" s="2" t="str">
        <x:v>Brevicoryne brassicae</x:v>
      </x:c>
      <x:c r="E791" s="2" t="str">
        <x:v>L0</x:v>
      </x:c>
      <x:c r="F791" s="2" t="n">
        <x:v>3</x:v>
      </x:c>
      <x:c r="G791" s="2" t="n">
        <x:v>33</x:v>
      </x:c>
      <x:c r="H791" s="2" t="n">
        <x:f>G791+Supuestos!$C$15</x:f>
        <x:v>34</x:v>
      </x:c>
      <x:c r="I791" s="14" t="n">
        <x:f>E2_plantas!J20+G791</x:f>
        <x:v>46214</x:v>
      </x:c>
      <x:c r="J791" s="2" t="str">
        <x:v>muerta</x:v>
      </x:c>
      <x:c r="K791" s="2" t="n">
        <x:v>0</x:v>
      </x:c>
      <x:c r="L791" s="2" t="n">
        <x:v>0</x:v>
      </x:c>
      <x:c r="M791" s="2" t="n">
        <x:f>SUM(L$758:L791)</x:f>
        <x:v>56</x:v>
      </x:c>
      <x:c r="N791" s="2" t="n">
        <x:v>0</x:v>
      </x:c>
      <x:c r="O791" s="2" t="str">
        <x:v>relleno_postmuerte</x:v>
      </x:c>
      <x:c r="P791" s="2" t="n">
        <x:v>0</x:v>
      </x:c>
      <x:c r="Q791" s="2" t="str">
        <x:v>simulado_didactico</x:v>
      </x:c>
    </x:row>
    <x:row r="792" ht="19" customHeight="1">
      <x:c r="A792" s="2" t="str">
        <x:v>SIM-E2-BB-L0-R03</x:v>
      </x:c>
      <x:c r="B792" s="2" t="n">
        <x:v>2</x:v>
      </x:c>
      <x:c r="C792" s="2" t="str">
        <x:v>BB</x:v>
      </x:c>
      <x:c r="D792" s="2" t="str">
        <x:v>Brevicoryne brassicae</x:v>
      </x:c>
      <x:c r="E792" s="2" t="str">
        <x:v>L0</x:v>
      </x:c>
      <x:c r="F792" s="2" t="n">
        <x:v>3</x:v>
      </x:c>
      <x:c r="G792" s="2" t="n">
        <x:v>34</x:v>
      </x:c>
      <x:c r="H792" s="2" t="n">
        <x:f>G792+Supuestos!$C$15</x:f>
        <x:v>35</x:v>
      </x:c>
      <x:c r="I792" s="14" t="n">
        <x:f>E2_plantas!J20+G792</x:f>
        <x:v>46215</x:v>
      </x:c>
      <x:c r="J792" s="2" t="str">
        <x:v>muerta</x:v>
      </x:c>
      <x:c r="K792" s="2" t="n">
        <x:v>0</x:v>
      </x:c>
      <x:c r="L792" s="2" t="n">
        <x:v>0</x:v>
      </x:c>
      <x:c r="M792" s="2" t="n">
        <x:f>SUM(L$758:L792)</x:f>
        <x:v>56</x:v>
      </x:c>
      <x:c r="N792" s="2" t="n">
        <x:v>0</x:v>
      </x:c>
      <x:c r="O792" s="2" t="str">
        <x:v>relleno_postmuerte</x:v>
      </x:c>
      <x:c r="P792" s="2" t="n">
        <x:v>0</x:v>
      </x:c>
      <x:c r="Q792" s="2" t="str">
        <x:v>simulado_didactico</x:v>
      </x:c>
    </x:row>
    <x:row r="793" ht="19" customHeight="1">
      <x:c r="A793" s="2" t="str">
        <x:v>SIM-E2-BB-L0-R03</x:v>
      </x:c>
      <x:c r="B793" s="2" t="n">
        <x:v>2</x:v>
      </x:c>
      <x:c r="C793" s="2" t="str">
        <x:v>BB</x:v>
      </x:c>
      <x:c r="D793" s="2" t="str">
        <x:v>Brevicoryne brassicae</x:v>
      </x:c>
      <x:c r="E793" s="2" t="str">
        <x:v>L0</x:v>
      </x:c>
      <x:c r="F793" s="2" t="n">
        <x:v>3</x:v>
      </x:c>
      <x:c r="G793" s="2" t="n">
        <x:v>35</x:v>
      </x:c>
      <x:c r="H793" s="2" t="n">
        <x:f>G793+Supuestos!$C$15</x:f>
        <x:v>36</x:v>
      </x:c>
      <x:c r="I793" s="14" t="n">
        <x:f>E2_plantas!J20+G793</x:f>
        <x:v>46216</x:v>
      </x:c>
      <x:c r="J793" s="2" t="str">
        <x:v>muerta</x:v>
      </x:c>
      <x:c r="K793" s="2" t="n">
        <x:v>0</x:v>
      </x:c>
      <x:c r="L793" s="2" t="n">
        <x:v>0</x:v>
      </x:c>
      <x:c r="M793" s="2" t="n">
        <x:f>SUM(L$758:L793)</x:f>
        <x:v>56</x:v>
      </x:c>
      <x:c r="N793" s="2" t="n">
        <x:v>0</x:v>
      </x:c>
      <x:c r="O793" s="2" t="str">
        <x:v>relleno_postmuerte</x:v>
      </x:c>
      <x:c r="P793" s="2" t="n">
        <x:v>0</x:v>
      </x:c>
      <x:c r="Q793" s="2" t="str">
        <x:v>simulado_didactico</x:v>
      </x:c>
    </x:row>
    <x:row r="794" ht="19" customHeight="1">
      <x:c r="A794" s="2" t="str">
        <x:v>SIM-E2-BB-L0-R03</x:v>
      </x:c>
      <x:c r="B794" s="2" t="n">
        <x:v>2</x:v>
      </x:c>
      <x:c r="C794" s="2" t="str">
        <x:v>BB</x:v>
      </x:c>
      <x:c r="D794" s="2" t="str">
        <x:v>Brevicoryne brassicae</x:v>
      </x:c>
      <x:c r="E794" s="2" t="str">
        <x:v>L0</x:v>
      </x:c>
      <x:c r="F794" s="2" t="n">
        <x:v>3</x:v>
      </x:c>
      <x:c r="G794" s="2" t="n">
        <x:v>36</x:v>
      </x:c>
      <x:c r="H794" s="2" t="n">
        <x:f>G794+Supuestos!$C$15</x:f>
        <x:v>37</x:v>
      </x:c>
      <x:c r="I794" s="14" t="n">
        <x:f>E2_plantas!J20+G794</x:f>
        <x:v>46217</x:v>
      </x:c>
      <x:c r="J794" s="2" t="str">
        <x:v>muerta</x:v>
      </x:c>
      <x:c r="K794" s="2" t="n">
        <x:v>0</x:v>
      </x:c>
      <x:c r="L794" s="2" t="n">
        <x:v>0</x:v>
      </x:c>
      <x:c r="M794" s="2" t="n">
        <x:f>SUM(L$758:L794)</x:f>
        <x:v>56</x:v>
      </x:c>
      <x:c r="N794" s="2" t="n">
        <x:v>0</x:v>
      </x:c>
      <x:c r="O794" s="2" t="str">
        <x:v>relleno_postmuerte</x:v>
      </x:c>
      <x:c r="P794" s="2" t="n">
        <x:v>0</x:v>
      </x:c>
      <x:c r="Q794" s="2" t="str">
        <x:v>simulado_didactico</x:v>
      </x:c>
    </x:row>
    <x:row r="795" ht="19" customHeight="1">
      <x:c r="A795" s="2" t="str">
        <x:v>SIM-E2-BB-L0-R03</x:v>
      </x:c>
      <x:c r="B795" s="2" t="n">
        <x:v>2</x:v>
      </x:c>
      <x:c r="C795" s="2" t="str">
        <x:v>BB</x:v>
      </x:c>
      <x:c r="D795" s="2" t="str">
        <x:v>Brevicoryne brassicae</x:v>
      </x:c>
      <x:c r="E795" s="2" t="str">
        <x:v>L0</x:v>
      </x:c>
      <x:c r="F795" s="2" t="n">
        <x:v>3</x:v>
      </x:c>
      <x:c r="G795" s="2" t="n">
        <x:v>37</x:v>
      </x:c>
      <x:c r="H795" s="2" t="n">
        <x:f>G795+Supuestos!$C$15</x:f>
        <x:v>38</x:v>
      </x:c>
      <x:c r="I795" s="14" t="n">
        <x:f>E2_plantas!J20+G795</x:f>
        <x:v>46218</x:v>
      </x:c>
      <x:c r="J795" s="2" t="str">
        <x:v>muerta</x:v>
      </x:c>
      <x:c r="K795" s="2" t="n">
        <x:v>0</x:v>
      </x:c>
      <x:c r="L795" s="2" t="n">
        <x:v>0</x:v>
      </x:c>
      <x:c r="M795" s="2" t="n">
        <x:f>SUM(L$758:L795)</x:f>
        <x:v>56</x:v>
      </x:c>
      <x:c r="N795" s="2" t="n">
        <x:v>0</x:v>
      </x:c>
      <x:c r="O795" s="2" t="str">
        <x:v>relleno_postmuerte</x:v>
      </x:c>
      <x:c r="P795" s="2" t="n">
        <x:v>0</x:v>
      </x:c>
      <x:c r="Q795" s="2" t="str">
        <x:v>simulado_didactico</x:v>
      </x:c>
    </x:row>
    <x:row r="796" ht="19" customHeight="1">
      <x:c r="A796" s="2" t="str">
        <x:v>SIM-E2-BB-L0-R03</x:v>
      </x:c>
      <x:c r="B796" s="2" t="n">
        <x:v>2</x:v>
      </x:c>
      <x:c r="C796" s="2" t="str">
        <x:v>BB</x:v>
      </x:c>
      <x:c r="D796" s="2" t="str">
        <x:v>Brevicoryne brassicae</x:v>
      </x:c>
      <x:c r="E796" s="2" t="str">
        <x:v>L0</x:v>
      </x:c>
      <x:c r="F796" s="2" t="n">
        <x:v>3</x:v>
      </x:c>
      <x:c r="G796" s="2" t="n">
        <x:v>38</x:v>
      </x:c>
      <x:c r="H796" s="2" t="n">
        <x:f>G796+Supuestos!$C$15</x:f>
        <x:v>39</x:v>
      </x:c>
      <x:c r="I796" s="14" t="n">
        <x:f>E2_plantas!J20+G796</x:f>
        <x:v>46219</x:v>
      </x:c>
      <x:c r="J796" s="2" t="str">
        <x:v>muerta</x:v>
      </x:c>
      <x:c r="K796" s="2" t="n">
        <x:v>0</x:v>
      </x:c>
      <x:c r="L796" s="2" t="n">
        <x:v>0</x:v>
      </x:c>
      <x:c r="M796" s="2" t="n">
        <x:f>SUM(L$758:L796)</x:f>
        <x:v>56</x:v>
      </x:c>
      <x:c r="N796" s="2" t="n">
        <x:v>0</x:v>
      </x:c>
      <x:c r="O796" s="2" t="str">
        <x:v>relleno_postmuerte</x:v>
      </x:c>
      <x:c r="P796" s="2" t="n">
        <x:v>0</x:v>
      </x:c>
      <x:c r="Q796" s="2" t="str">
        <x:v>simulado_didactico</x:v>
      </x:c>
    </x:row>
    <x:row r="797" ht="19" customHeight="1">
      <x:c r="A797" s="2" t="str">
        <x:v>SIM-E2-BB-L0-R03</x:v>
      </x:c>
      <x:c r="B797" s="2" t="n">
        <x:v>2</x:v>
      </x:c>
      <x:c r="C797" s="2" t="str">
        <x:v>BB</x:v>
      </x:c>
      <x:c r="D797" s="2" t="str">
        <x:v>Brevicoryne brassicae</x:v>
      </x:c>
      <x:c r="E797" s="2" t="str">
        <x:v>L0</x:v>
      </x:c>
      <x:c r="F797" s="2" t="n">
        <x:v>3</x:v>
      </x:c>
      <x:c r="G797" s="2" t="n">
        <x:v>39</x:v>
      </x:c>
      <x:c r="H797" s="2" t="n">
        <x:f>G797+Supuestos!$C$15</x:f>
        <x:v>40</x:v>
      </x:c>
      <x:c r="I797" s="14" t="n">
        <x:f>E2_plantas!J20+G797</x:f>
        <x:v>46220</x:v>
      </x:c>
      <x:c r="J797" s="2" t="str">
        <x:v>muerta</x:v>
      </x:c>
      <x:c r="K797" s="2" t="n">
        <x:v>0</x:v>
      </x:c>
      <x:c r="L797" s="2" t="n">
        <x:v>0</x:v>
      </x:c>
      <x:c r="M797" s="2" t="n">
        <x:f>SUM(L$758:L797)</x:f>
        <x:v>56</x:v>
      </x:c>
      <x:c r="N797" s="2" t="n">
        <x:v>0</x:v>
      </x:c>
      <x:c r="O797" s="2" t="str">
        <x:v>relleno_postmuerte</x:v>
      </x:c>
      <x:c r="P797" s="2" t="n">
        <x:v>0</x:v>
      </x:c>
      <x:c r="Q797" s="2" t="str">
        <x:v>simulado_didactico</x:v>
      </x:c>
    </x:row>
    <x:row r="798" ht="19" customHeight="1">
      <x:c r="A798" s="2" t="str">
        <x:v>SIM-E2-BB-L0-R03</x:v>
      </x:c>
      <x:c r="B798" s="2" t="n">
        <x:v>2</x:v>
      </x:c>
      <x:c r="C798" s="2" t="str">
        <x:v>BB</x:v>
      </x:c>
      <x:c r="D798" s="2" t="str">
        <x:v>Brevicoryne brassicae</x:v>
      </x:c>
      <x:c r="E798" s="2" t="str">
        <x:v>L0</x:v>
      </x:c>
      <x:c r="F798" s="2" t="n">
        <x:v>3</x:v>
      </x:c>
      <x:c r="G798" s="2" t="n">
        <x:v>40</x:v>
      </x:c>
      <x:c r="H798" s="2" t="n">
        <x:f>G798+Supuestos!$C$15</x:f>
        <x:v>41</x:v>
      </x:c>
      <x:c r="I798" s="14" t="n">
        <x:f>E2_plantas!J20+G798</x:f>
        <x:v>46221</x:v>
      </x:c>
      <x:c r="J798" s="2" t="str">
        <x:v>muerta</x:v>
      </x:c>
      <x:c r="K798" s="2" t="n">
        <x:v>0</x:v>
      </x:c>
      <x:c r="L798" s="2" t="n">
        <x:v>0</x:v>
      </x:c>
      <x:c r="M798" s="2" t="n">
        <x:f>SUM(L$758:L798)</x:f>
        <x:v>56</x:v>
      </x:c>
      <x:c r="N798" s="2" t="n">
        <x:v>0</x:v>
      </x:c>
      <x:c r="O798" s="2" t="str">
        <x:v>relleno_postmuerte</x:v>
      </x:c>
      <x:c r="P798" s="2" t="n">
        <x:v>0</x:v>
      </x:c>
      <x:c r="Q798" s="2" t="str">
        <x:v>simulado_didactico</x:v>
      </x:c>
    </x:row>
    <x:row r="799" ht="19" customHeight="1">
      <x:c r="A799" s="2" t="str">
        <x:v>SIM-E2-BB-L0-R03</x:v>
      </x:c>
      <x:c r="B799" s="2" t="n">
        <x:v>2</x:v>
      </x:c>
      <x:c r="C799" s="2" t="str">
        <x:v>BB</x:v>
      </x:c>
      <x:c r="D799" s="2" t="str">
        <x:v>Brevicoryne brassicae</x:v>
      </x:c>
      <x:c r="E799" s="2" t="str">
        <x:v>L0</x:v>
      </x:c>
      <x:c r="F799" s="2" t="n">
        <x:v>3</x:v>
      </x:c>
      <x:c r="G799" s="2" t="n">
        <x:v>41</x:v>
      </x:c>
      <x:c r="H799" s="2" t="n">
        <x:f>G799+Supuestos!$C$15</x:f>
        <x:v>42</x:v>
      </x:c>
      <x:c r="I799" s="14" t="n">
        <x:f>E2_plantas!J20+G799</x:f>
        <x:v>46222</x:v>
      </x:c>
      <x:c r="J799" s="2" t="str">
        <x:v>muerta</x:v>
      </x:c>
      <x:c r="K799" s="2" t="n">
        <x:v>0</x:v>
      </x:c>
      <x:c r="L799" s="2" t="n">
        <x:v>0</x:v>
      </x:c>
      <x:c r="M799" s="2" t="n">
        <x:f>SUM(L$758:L799)</x:f>
        <x:v>56</x:v>
      </x:c>
      <x:c r="N799" s="2" t="n">
        <x:v>0</x:v>
      </x:c>
      <x:c r="O799" s="2" t="str">
        <x:v>relleno_postmuerte</x:v>
      </x:c>
      <x:c r="P799" s="2" t="n">
        <x:v>0</x:v>
      </x:c>
      <x:c r="Q799" s="2" t="str">
        <x:v>simulado_didactico</x:v>
      </x:c>
    </x:row>
    <x:row r="800" ht="19" customHeight="1">
      <x:c r="A800" s="2" t="str">
        <x:v>SIM-E2-BB-L0-R04</x:v>
      </x:c>
      <x:c r="B800" s="2" t="n">
        <x:v>2</x:v>
      </x:c>
      <x:c r="C800" s="2" t="str">
        <x:v>BB</x:v>
      </x:c>
      <x:c r="D800" s="2" t="str">
        <x:v>Brevicoryne brassicae</x:v>
      </x:c>
      <x:c r="E800" s="2" t="str">
        <x:v>L0</x:v>
      </x:c>
      <x:c r="F800" s="2" t="n">
        <x:v>4</x:v>
      </x:c>
      <x:c r="G800" s="2" t="n">
        <x:v>0</x:v>
      </x:c>
      <x:c r="H800" s="2" t="n">
        <x:f>G800+Supuestos!$C$15</x:f>
        <x:v>1</x:v>
      </x:c>
      <x:c r="I800" s="14" t="n">
        <x:f>E2_plantas!J21+G800</x:f>
        <x:v>46181</x:v>
      </x:c>
      <x:c r="J800" s="2" t="str">
        <x:v>N1</x:v>
      </x:c>
      <x:c r="K800" s="2" t="n">
        <x:v>1</x:v>
      </x:c>
      <x:c r="L800" s="2" t="n">
        <x:v>0</x:v>
      </x:c>
      <x:c r="M800" s="2" t="n">
        <x:f>SUM(L$800:L800)</x:f>
        <x:v>0</x:v>
      </x:c>
      <x:c r="N800" s="2" t="n">
        <x:v>0</x:v>
      </x:c>
      <x:c r="O800" s="2" t="str">
        <x:v>seguimiento</x:v>
      </x:c>
      <x:c r="P800" s="2" t="n">
        <x:v>0</x:v>
      </x:c>
      <x:c r="Q800" s="2" t="str">
        <x:v>simulado_didactico</x:v>
      </x:c>
    </x:row>
    <x:row r="801" ht="19" customHeight="1">
      <x:c r="A801" s="2" t="str">
        <x:v>SIM-E2-BB-L0-R04</x:v>
      </x:c>
      <x:c r="B801" s="2" t="n">
        <x:v>2</x:v>
      </x:c>
      <x:c r="C801" s="2" t="str">
        <x:v>BB</x:v>
      </x:c>
      <x:c r="D801" s="2" t="str">
        <x:v>Brevicoryne brassicae</x:v>
      </x:c>
      <x:c r="E801" s="2" t="str">
        <x:v>L0</x:v>
      </x:c>
      <x:c r="F801" s="2" t="n">
        <x:v>4</x:v>
      </x:c>
      <x:c r="G801" s="2" t="n">
        <x:v>1</x:v>
      </x:c>
      <x:c r="H801" s="2" t="n">
        <x:f>G801+Supuestos!$C$15</x:f>
        <x:v>2</x:v>
      </x:c>
      <x:c r="I801" s="14" t="n">
        <x:f>E2_plantas!J21+G801</x:f>
        <x:v>46182</x:v>
      </x:c>
      <x:c r="J801" s="2" t="str">
        <x:v>N1</x:v>
      </x:c>
      <x:c r="K801" s="2" t="n">
        <x:v>1</x:v>
      </x:c>
      <x:c r="L801" s="2" t="n">
        <x:v>0</x:v>
      </x:c>
      <x:c r="M801" s="2" t="n">
        <x:f>SUM(L$800:L801)</x:f>
        <x:v>0</x:v>
      </x:c>
      <x:c r="N801" s="2" t="n">
        <x:v>0</x:v>
      </x:c>
      <x:c r="O801" s="2" t="str">
        <x:v>seguimiento</x:v>
      </x:c>
      <x:c r="P801" s="2" t="n">
        <x:v>0</x:v>
      </x:c>
      <x:c r="Q801" s="2" t="str">
        <x:v>simulado_didactico</x:v>
      </x:c>
    </x:row>
    <x:row r="802" ht="19" customHeight="1">
      <x:c r="A802" s="2" t="str">
        <x:v>SIM-E2-BB-L0-R04</x:v>
      </x:c>
      <x:c r="B802" s="2" t="n">
        <x:v>2</x:v>
      </x:c>
      <x:c r="C802" s="2" t="str">
        <x:v>BB</x:v>
      </x:c>
      <x:c r="D802" s="2" t="str">
        <x:v>Brevicoryne brassicae</x:v>
      </x:c>
      <x:c r="E802" s="2" t="str">
        <x:v>L0</x:v>
      </x:c>
      <x:c r="F802" s="2" t="n">
        <x:v>4</x:v>
      </x:c>
      <x:c r="G802" s="2" t="n">
        <x:v>2</x:v>
      </x:c>
      <x:c r="H802" s="2" t="n">
        <x:f>G802+Supuestos!$C$15</x:f>
        <x:v>3</x:v>
      </x:c>
      <x:c r="I802" s="14" t="n">
        <x:f>E2_plantas!J21+G802</x:f>
        <x:v>46183</x:v>
      </x:c>
      <x:c r="J802" s="2" t="str">
        <x:v>N2</x:v>
      </x:c>
      <x:c r="K802" s="2" t="n">
        <x:v>1</x:v>
      </x:c>
      <x:c r="L802" s="2" t="n">
        <x:v>0</x:v>
      </x:c>
      <x:c r="M802" s="2" t="n">
        <x:f>SUM(L$800:L802)</x:f>
        <x:v>0</x:v>
      </x:c>
      <x:c r="N802" s="2" t="n">
        <x:v>0</x:v>
      </x:c>
      <x:c r="O802" s="2" t="str">
        <x:v>seguimiento</x:v>
      </x:c>
      <x:c r="P802" s="2" t="n">
        <x:v>0</x:v>
      </x:c>
      <x:c r="Q802" s="2" t="str">
        <x:v>simulado_didactico</x:v>
      </x:c>
    </x:row>
    <x:row r="803" ht="19" customHeight="1">
      <x:c r="A803" s="2" t="str">
        <x:v>SIM-E2-BB-L0-R04</x:v>
      </x:c>
      <x:c r="B803" s="2" t="n">
        <x:v>2</x:v>
      </x:c>
      <x:c r="C803" s="2" t="str">
        <x:v>BB</x:v>
      </x:c>
      <x:c r="D803" s="2" t="str">
        <x:v>Brevicoryne brassicae</x:v>
      </x:c>
      <x:c r="E803" s="2" t="str">
        <x:v>L0</x:v>
      </x:c>
      <x:c r="F803" s="2" t="n">
        <x:v>4</x:v>
      </x:c>
      <x:c r="G803" s="2" t="n">
        <x:v>3</x:v>
      </x:c>
      <x:c r="H803" s="2" t="n">
        <x:f>G803+Supuestos!$C$15</x:f>
        <x:v>4</x:v>
      </x:c>
      <x:c r="I803" s="14" t="n">
        <x:f>E2_plantas!J21+G803</x:f>
        <x:v>46184</x:v>
      </x:c>
      <x:c r="J803" s="2" t="str">
        <x:v>N3</x:v>
      </x:c>
      <x:c r="K803" s="2" t="n">
        <x:v>1</x:v>
      </x:c>
      <x:c r="L803" s="2" t="n">
        <x:v>0</x:v>
      </x:c>
      <x:c r="M803" s="2" t="n">
        <x:f>SUM(L$800:L803)</x:f>
        <x:v>0</x:v>
      </x:c>
      <x:c r="N803" s="2" t="n">
        <x:v>0</x:v>
      </x:c>
      <x:c r="O803" s="2" t="str">
        <x:v>seguimiento</x:v>
      </x:c>
      <x:c r="P803" s="2" t="n">
        <x:v>0</x:v>
      </x:c>
      <x:c r="Q803" s="2" t="str">
        <x:v>simulado_didactico</x:v>
      </x:c>
    </x:row>
    <x:row r="804" ht="19" customHeight="1">
      <x:c r="A804" s="2" t="str">
        <x:v>SIM-E2-BB-L0-R04</x:v>
      </x:c>
      <x:c r="B804" s="2" t="n">
        <x:v>2</x:v>
      </x:c>
      <x:c r="C804" s="2" t="str">
        <x:v>BB</x:v>
      </x:c>
      <x:c r="D804" s="2" t="str">
        <x:v>Brevicoryne brassicae</x:v>
      </x:c>
      <x:c r="E804" s="2" t="str">
        <x:v>L0</x:v>
      </x:c>
      <x:c r="F804" s="2" t="n">
        <x:v>4</x:v>
      </x:c>
      <x:c r="G804" s="2" t="n">
        <x:v>4</x:v>
      </x:c>
      <x:c r="H804" s="2" t="n">
        <x:f>G804+Supuestos!$C$15</x:f>
        <x:v>5</x:v>
      </x:c>
      <x:c r="I804" s="14" t="n">
        <x:f>E2_plantas!J21+G804</x:f>
        <x:v>46185</x:v>
      </x:c>
      <x:c r="J804" s="2" t="str">
        <x:v>N3</x:v>
      </x:c>
      <x:c r="K804" s="2" t="n">
        <x:v>1</x:v>
      </x:c>
      <x:c r="L804" s="2" t="n">
        <x:v>0</x:v>
      </x:c>
      <x:c r="M804" s="2" t="n">
        <x:f>SUM(L$800:L804)</x:f>
        <x:v>0</x:v>
      </x:c>
      <x:c r="N804" s="2" t="n">
        <x:v>0</x:v>
      </x:c>
      <x:c r="O804" s="2" t="str">
        <x:v>seguimiento</x:v>
      </x:c>
      <x:c r="P804" s="2" t="n">
        <x:v>0</x:v>
      </x:c>
      <x:c r="Q804" s="2" t="str">
        <x:v>simulado_didactico</x:v>
      </x:c>
    </x:row>
    <x:row r="805" ht="19" customHeight="1">
      <x:c r="A805" s="2" t="str">
        <x:v>SIM-E2-BB-L0-R04</x:v>
      </x:c>
      <x:c r="B805" s="2" t="n">
        <x:v>2</x:v>
      </x:c>
      <x:c r="C805" s="2" t="str">
        <x:v>BB</x:v>
      </x:c>
      <x:c r="D805" s="2" t="str">
        <x:v>Brevicoryne brassicae</x:v>
      </x:c>
      <x:c r="E805" s="2" t="str">
        <x:v>L0</x:v>
      </x:c>
      <x:c r="F805" s="2" t="n">
        <x:v>4</x:v>
      </x:c>
      <x:c r="G805" s="2" t="n">
        <x:v>5</x:v>
      </x:c>
      <x:c r="H805" s="2" t="n">
        <x:f>G805+Supuestos!$C$15</x:f>
        <x:v>6</x:v>
      </x:c>
      <x:c r="I805" s="14" t="n">
        <x:f>E2_plantas!J21+G805</x:f>
        <x:v>46186</x:v>
      </x:c>
      <x:c r="J805" s="2" t="str">
        <x:v>N3</x:v>
      </x:c>
      <x:c r="K805" s="2" t="n">
        <x:v>1</x:v>
      </x:c>
      <x:c r="L805" s="2" t="n">
        <x:v>0</x:v>
      </x:c>
      <x:c r="M805" s="2" t="n">
        <x:f>SUM(L$800:L805)</x:f>
        <x:v>0</x:v>
      </x:c>
      <x:c r="N805" s="2" t="n">
        <x:v>0</x:v>
      </x:c>
      <x:c r="O805" s="2" t="str">
        <x:v>seguimiento</x:v>
      </x:c>
      <x:c r="P805" s="2" t="n">
        <x:v>0</x:v>
      </x:c>
      <x:c r="Q805" s="2" t="str">
        <x:v>simulado_didactico</x:v>
      </x:c>
    </x:row>
    <x:row r="806" ht="19" customHeight="1">
      <x:c r="A806" s="2" t="str">
        <x:v>SIM-E2-BB-L0-R04</x:v>
      </x:c>
      <x:c r="B806" s="2" t="n">
        <x:v>2</x:v>
      </x:c>
      <x:c r="C806" s="2" t="str">
        <x:v>BB</x:v>
      </x:c>
      <x:c r="D806" s="2" t="str">
        <x:v>Brevicoryne brassicae</x:v>
      </x:c>
      <x:c r="E806" s="2" t="str">
        <x:v>L0</x:v>
      </x:c>
      <x:c r="F806" s="2" t="n">
        <x:v>4</x:v>
      </x:c>
      <x:c r="G806" s="2" t="n">
        <x:v>6</x:v>
      </x:c>
      <x:c r="H806" s="2" t="n">
        <x:f>G806+Supuestos!$C$15</x:f>
        <x:v>7</x:v>
      </x:c>
      <x:c r="I806" s="14" t="n">
        <x:f>E2_plantas!J21+G806</x:f>
        <x:v>46187</x:v>
      </x:c>
      <x:c r="J806" s="2" t="str">
        <x:v>muerta</x:v>
      </x:c>
      <x:c r="K806" s="2" t="n">
        <x:v>0</x:v>
      </x:c>
      <x:c r="L806" s="2" t="n">
        <x:v>0</x:v>
      </x:c>
      <x:c r="M806" s="2" t="n">
        <x:f>SUM(L$800:L806)</x:f>
        <x:v>0</x:v>
      </x:c>
      <x:c r="N806" s="2" t="n">
        <x:v>1</x:v>
      </x:c>
      <x:c r="O806" s="2" t="str">
        <x:v>muerte</x:v>
      </x:c>
      <x:c r="P806" s="2" t="n">
        <x:v>0</x:v>
      </x:c>
      <x:c r="Q806" s="2" t="str">
        <x:v>simulado_didactico</x:v>
      </x:c>
    </x:row>
    <x:row r="807" ht="19" customHeight="1">
      <x:c r="A807" s="2" t="str">
        <x:v>SIM-E2-BB-L0-R04</x:v>
      </x:c>
      <x:c r="B807" s="2" t="n">
        <x:v>2</x:v>
      </x:c>
      <x:c r="C807" s="2" t="str">
        <x:v>BB</x:v>
      </x:c>
      <x:c r="D807" s="2" t="str">
        <x:v>Brevicoryne brassicae</x:v>
      </x:c>
      <x:c r="E807" s="2" t="str">
        <x:v>L0</x:v>
      </x:c>
      <x:c r="F807" s="2" t="n">
        <x:v>4</x:v>
      </x:c>
      <x:c r="G807" s="2" t="n">
        <x:v>7</x:v>
      </x:c>
      <x:c r="H807" s="2" t="n">
        <x:f>G807+Supuestos!$C$15</x:f>
        <x:v>8</x:v>
      </x:c>
      <x:c r="I807" s="14" t="n">
        <x:f>E2_plantas!J21+G807</x:f>
        <x:v>46188</x:v>
      </x:c>
      <x:c r="J807" s="2" t="str">
        <x:v>muerta</x:v>
      </x:c>
      <x:c r="K807" s="2" t="n">
        <x:v>0</x:v>
      </x:c>
      <x:c r="L807" s="2" t="n">
        <x:v>0</x:v>
      </x:c>
      <x:c r="M807" s="2" t="n">
        <x:f>SUM(L$800:L807)</x:f>
        <x:v>0</x:v>
      </x:c>
      <x:c r="N807" s="2" t="n">
        <x:v>0</x:v>
      </x:c>
      <x:c r="O807" s="2" t="str">
        <x:v>relleno_postmuerte</x:v>
      </x:c>
      <x:c r="P807" s="2" t="n">
        <x:v>0</x:v>
      </x:c>
      <x:c r="Q807" s="2" t="str">
        <x:v>simulado_didactico</x:v>
      </x:c>
    </x:row>
    <x:row r="808" ht="19" customHeight="1">
      <x:c r="A808" s="2" t="str">
        <x:v>SIM-E2-BB-L0-R04</x:v>
      </x:c>
      <x:c r="B808" s="2" t="n">
        <x:v>2</x:v>
      </x:c>
      <x:c r="C808" s="2" t="str">
        <x:v>BB</x:v>
      </x:c>
      <x:c r="D808" s="2" t="str">
        <x:v>Brevicoryne brassicae</x:v>
      </x:c>
      <x:c r="E808" s="2" t="str">
        <x:v>L0</x:v>
      </x:c>
      <x:c r="F808" s="2" t="n">
        <x:v>4</x:v>
      </x:c>
      <x:c r="G808" s="2" t="n">
        <x:v>8</x:v>
      </x:c>
      <x:c r="H808" s="2" t="n">
        <x:f>G808+Supuestos!$C$15</x:f>
        <x:v>9</x:v>
      </x:c>
      <x:c r="I808" s="14" t="n">
        <x:f>E2_plantas!J21+G808</x:f>
        <x:v>46189</x:v>
      </x:c>
      <x:c r="J808" s="2" t="str">
        <x:v>muerta</x:v>
      </x:c>
      <x:c r="K808" s="2" t="n">
        <x:v>0</x:v>
      </x:c>
      <x:c r="L808" s="2" t="n">
        <x:v>0</x:v>
      </x:c>
      <x:c r="M808" s="2" t="n">
        <x:f>SUM(L$800:L808)</x:f>
        <x:v>0</x:v>
      </x:c>
      <x:c r="N808" s="2" t="n">
        <x:v>0</x:v>
      </x:c>
      <x:c r="O808" s="2" t="str">
        <x:v>relleno_postmuerte</x:v>
      </x:c>
      <x:c r="P808" s="2" t="n">
        <x:v>0</x:v>
      </x:c>
      <x:c r="Q808" s="2" t="str">
        <x:v>simulado_didactico</x:v>
      </x:c>
    </x:row>
    <x:row r="809" ht="19" customHeight="1">
      <x:c r="A809" s="2" t="str">
        <x:v>SIM-E2-BB-L0-R04</x:v>
      </x:c>
      <x:c r="B809" s="2" t="n">
        <x:v>2</x:v>
      </x:c>
      <x:c r="C809" s="2" t="str">
        <x:v>BB</x:v>
      </x:c>
      <x:c r="D809" s="2" t="str">
        <x:v>Brevicoryne brassicae</x:v>
      </x:c>
      <x:c r="E809" s="2" t="str">
        <x:v>L0</x:v>
      </x:c>
      <x:c r="F809" s="2" t="n">
        <x:v>4</x:v>
      </x:c>
      <x:c r="G809" s="2" t="n">
        <x:v>9</x:v>
      </x:c>
      <x:c r="H809" s="2" t="n">
        <x:f>G809+Supuestos!$C$15</x:f>
        <x:v>10</x:v>
      </x:c>
      <x:c r="I809" s="14" t="n">
        <x:f>E2_plantas!J21+G809</x:f>
        <x:v>46190</x:v>
      </x:c>
      <x:c r="J809" s="2" t="str">
        <x:v>muerta</x:v>
      </x:c>
      <x:c r="K809" s="2" t="n">
        <x:v>0</x:v>
      </x:c>
      <x:c r="L809" s="2" t="n">
        <x:v>0</x:v>
      </x:c>
      <x:c r="M809" s="2" t="n">
        <x:f>SUM(L$800:L809)</x:f>
        <x:v>0</x:v>
      </x:c>
      <x:c r="N809" s="2" t="n">
        <x:v>0</x:v>
      </x:c>
      <x:c r="O809" s="2" t="str">
        <x:v>relleno_postmuerte</x:v>
      </x:c>
      <x:c r="P809" s="2" t="n">
        <x:v>0</x:v>
      </x:c>
      <x:c r="Q809" s="2" t="str">
        <x:v>simulado_didactico</x:v>
      </x:c>
    </x:row>
    <x:row r="810" ht="19" customHeight="1">
      <x:c r="A810" s="2" t="str">
        <x:v>SIM-E2-BB-L0-R04</x:v>
      </x:c>
      <x:c r="B810" s="2" t="n">
        <x:v>2</x:v>
      </x:c>
      <x:c r="C810" s="2" t="str">
        <x:v>BB</x:v>
      </x:c>
      <x:c r="D810" s="2" t="str">
        <x:v>Brevicoryne brassicae</x:v>
      </x:c>
      <x:c r="E810" s="2" t="str">
        <x:v>L0</x:v>
      </x:c>
      <x:c r="F810" s="2" t="n">
        <x:v>4</x:v>
      </x:c>
      <x:c r="G810" s="2" t="n">
        <x:v>10</x:v>
      </x:c>
      <x:c r="H810" s="2" t="n">
        <x:f>G810+Supuestos!$C$15</x:f>
        <x:v>11</x:v>
      </x:c>
      <x:c r="I810" s="14" t="n">
        <x:f>E2_plantas!J21+G810</x:f>
        <x:v>46191</x:v>
      </x:c>
      <x:c r="J810" s="2" t="str">
        <x:v>muerta</x:v>
      </x:c>
      <x:c r="K810" s="2" t="n">
        <x:v>0</x:v>
      </x:c>
      <x:c r="L810" s="2" t="n">
        <x:v>0</x:v>
      </x:c>
      <x:c r="M810" s="2" t="n">
        <x:f>SUM(L$800:L810)</x:f>
        <x:v>0</x:v>
      </x:c>
      <x:c r="N810" s="2" t="n">
        <x:v>0</x:v>
      </x:c>
      <x:c r="O810" s="2" t="str">
        <x:v>relleno_postmuerte</x:v>
      </x:c>
      <x:c r="P810" s="2" t="n">
        <x:v>0</x:v>
      </x:c>
      <x:c r="Q810" s="2" t="str">
        <x:v>simulado_didactico</x:v>
      </x:c>
    </x:row>
    <x:row r="811" ht="19" customHeight="1">
      <x:c r="A811" s="2" t="str">
        <x:v>SIM-E2-BB-L0-R04</x:v>
      </x:c>
      <x:c r="B811" s="2" t="n">
        <x:v>2</x:v>
      </x:c>
      <x:c r="C811" s="2" t="str">
        <x:v>BB</x:v>
      </x:c>
      <x:c r="D811" s="2" t="str">
        <x:v>Brevicoryne brassicae</x:v>
      </x:c>
      <x:c r="E811" s="2" t="str">
        <x:v>L0</x:v>
      </x:c>
      <x:c r="F811" s="2" t="n">
        <x:v>4</x:v>
      </x:c>
      <x:c r="G811" s="2" t="n">
        <x:v>11</x:v>
      </x:c>
      <x:c r="H811" s="2" t="n">
        <x:f>G811+Supuestos!$C$15</x:f>
        <x:v>12</x:v>
      </x:c>
      <x:c r="I811" s="14" t="n">
        <x:f>E2_plantas!J21+G811</x:f>
        <x:v>46192</x:v>
      </x:c>
      <x:c r="J811" s="2" t="str">
        <x:v>muerta</x:v>
      </x:c>
      <x:c r="K811" s="2" t="n">
        <x:v>0</x:v>
      </x:c>
      <x:c r="L811" s="2" t="n">
        <x:v>0</x:v>
      </x:c>
      <x:c r="M811" s="2" t="n">
        <x:f>SUM(L$800:L811)</x:f>
        <x:v>0</x:v>
      </x:c>
      <x:c r="N811" s="2" t="n">
        <x:v>0</x:v>
      </x:c>
      <x:c r="O811" s="2" t="str">
        <x:v>relleno_postmuerte</x:v>
      </x:c>
      <x:c r="P811" s="2" t="n">
        <x:v>0</x:v>
      </x:c>
      <x:c r="Q811" s="2" t="str">
        <x:v>simulado_didactico</x:v>
      </x:c>
    </x:row>
    <x:row r="812" ht="19" customHeight="1">
      <x:c r="A812" s="2" t="str">
        <x:v>SIM-E2-BB-L0-R04</x:v>
      </x:c>
      <x:c r="B812" s="2" t="n">
        <x:v>2</x:v>
      </x:c>
      <x:c r="C812" s="2" t="str">
        <x:v>BB</x:v>
      </x:c>
      <x:c r="D812" s="2" t="str">
        <x:v>Brevicoryne brassicae</x:v>
      </x:c>
      <x:c r="E812" s="2" t="str">
        <x:v>L0</x:v>
      </x:c>
      <x:c r="F812" s="2" t="n">
        <x:v>4</x:v>
      </x:c>
      <x:c r="G812" s="2" t="n">
        <x:v>12</x:v>
      </x:c>
      <x:c r="H812" s="2" t="n">
        <x:f>G812+Supuestos!$C$15</x:f>
        <x:v>13</x:v>
      </x:c>
      <x:c r="I812" s="14" t="n">
        <x:f>E2_plantas!J21+G812</x:f>
        <x:v>46193</x:v>
      </x:c>
      <x:c r="J812" s="2" t="str">
        <x:v>muerta</x:v>
      </x:c>
      <x:c r="K812" s="2" t="n">
        <x:v>0</x:v>
      </x:c>
      <x:c r="L812" s="2" t="n">
        <x:v>0</x:v>
      </x:c>
      <x:c r="M812" s="2" t="n">
        <x:f>SUM(L$800:L812)</x:f>
        <x:v>0</x:v>
      </x:c>
      <x:c r="N812" s="2" t="n">
        <x:v>0</x:v>
      </x:c>
      <x:c r="O812" s="2" t="str">
        <x:v>relleno_postmuerte</x:v>
      </x:c>
      <x:c r="P812" s="2" t="n">
        <x:v>0</x:v>
      </x:c>
      <x:c r="Q812" s="2" t="str">
        <x:v>simulado_didactico</x:v>
      </x:c>
    </x:row>
    <x:row r="813" ht="19" customHeight="1">
      <x:c r="A813" s="2" t="str">
        <x:v>SIM-E2-BB-L0-R04</x:v>
      </x:c>
      <x:c r="B813" s="2" t="n">
        <x:v>2</x:v>
      </x:c>
      <x:c r="C813" s="2" t="str">
        <x:v>BB</x:v>
      </x:c>
      <x:c r="D813" s="2" t="str">
        <x:v>Brevicoryne brassicae</x:v>
      </x:c>
      <x:c r="E813" s="2" t="str">
        <x:v>L0</x:v>
      </x:c>
      <x:c r="F813" s="2" t="n">
        <x:v>4</x:v>
      </x:c>
      <x:c r="G813" s="2" t="n">
        <x:v>13</x:v>
      </x:c>
      <x:c r="H813" s="2" t="n">
        <x:f>G813+Supuestos!$C$15</x:f>
        <x:v>14</x:v>
      </x:c>
      <x:c r="I813" s="14" t="n">
        <x:f>E2_plantas!J21+G813</x:f>
        <x:v>46194</x:v>
      </x:c>
      <x:c r="J813" s="2" t="str">
        <x:v>muerta</x:v>
      </x:c>
      <x:c r="K813" s="2" t="n">
        <x:v>0</x:v>
      </x:c>
      <x:c r="L813" s="2" t="n">
        <x:v>0</x:v>
      </x:c>
      <x:c r="M813" s="2" t="n">
        <x:f>SUM(L$800:L813)</x:f>
        <x:v>0</x:v>
      </x:c>
      <x:c r="N813" s="2" t="n">
        <x:v>0</x:v>
      </x:c>
      <x:c r="O813" s="2" t="str">
        <x:v>relleno_postmuerte</x:v>
      </x:c>
      <x:c r="P813" s="2" t="n">
        <x:v>0</x:v>
      </x:c>
      <x:c r="Q813" s="2" t="str">
        <x:v>simulado_didactico</x:v>
      </x:c>
    </x:row>
    <x:row r="814" ht="19" customHeight="1">
      <x:c r="A814" s="2" t="str">
        <x:v>SIM-E2-BB-L0-R04</x:v>
      </x:c>
      <x:c r="B814" s="2" t="n">
        <x:v>2</x:v>
      </x:c>
      <x:c r="C814" s="2" t="str">
        <x:v>BB</x:v>
      </x:c>
      <x:c r="D814" s="2" t="str">
        <x:v>Brevicoryne brassicae</x:v>
      </x:c>
      <x:c r="E814" s="2" t="str">
        <x:v>L0</x:v>
      </x:c>
      <x:c r="F814" s="2" t="n">
        <x:v>4</x:v>
      </x:c>
      <x:c r="G814" s="2" t="n">
        <x:v>14</x:v>
      </x:c>
      <x:c r="H814" s="2" t="n">
        <x:f>G814+Supuestos!$C$15</x:f>
        <x:v>15</x:v>
      </x:c>
      <x:c r="I814" s="14" t="n">
        <x:f>E2_plantas!J21+G814</x:f>
        <x:v>46195</x:v>
      </x:c>
      <x:c r="J814" s="2" t="str">
        <x:v>muerta</x:v>
      </x:c>
      <x:c r="K814" s="2" t="n">
        <x:v>0</x:v>
      </x:c>
      <x:c r="L814" s="2" t="n">
        <x:v>0</x:v>
      </x:c>
      <x:c r="M814" s="2" t="n">
        <x:f>SUM(L$800:L814)</x:f>
        <x:v>0</x:v>
      </x:c>
      <x:c r="N814" s="2" t="n">
        <x:v>0</x:v>
      </x:c>
      <x:c r="O814" s="2" t="str">
        <x:v>relleno_postmuerte</x:v>
      </x:c>
      <x:c r="P814" s="2" t="n">
        <x:v>0</x:v>
      </x:c>
      <x:c r="Q814" s="2" t="str">
        <x:v>simulado_didactico</x:v>
      </x:c>
    </x:row>
    <x:row r="815" ht="19" customHeight="1">
      <x:c r="A815" s="2" t="str">
        <x:v>SIM-E2-BB-L0-R04</x:v>
      </x:c>
      <x:c r="B815" s="2" t="n">
        <x:v>2</x:v>
      </x:c>
      <x:c r="C815" s="2" t="str">
        <x:v>BB</x:v>
      </x:c>
      <x:c r="D815" s="2" t="str">
        <x:v>Brevicoryne brassicae</x:v>
      </x:c>
      <x:c r="E815" s="2" t="str">
        <x:v>L0</x:v>
      </x:c>
      <x:c r="F815" s="2" t="n">
        <x:v>4</x:v>
      </x:c>
      <x:c r="G815" s="2" t="n">
        <x:v>15</x:v>
      </x:c>
      <x:c r="H815" s="2" t="n">
        <x:f>G815+Supuestos!$C$15</x:f>
        <x:v>16</x:v>
      </x:c>
      <x:c r="I815" s="14" t="n">
        <x:f>E2_plantas!J21+G815</x:f>
        <x:v>46196</x:v>
      </x:c>
      <x:c r="J815" s="2" t="str">
        <x:v>muerta</x:v>
      </x:c>
      <x:c r="K815" s="2" t="n">
        <x:v>0</x:v>
      </x:c>
      <x:c r="L815" s="2" t="n">
        <x:v>0</x:v>
      </x:c>
      <x:c r="M815" s="2" t="n">
        <x:f>SUM(L$800:L815)</x:f>
        <x:v>0</x:v>
      </x:c>
      <x:c r="N815" s="2" t="n">
        <x:v>0</x:v>
      </x:c>
      <x:c r="O815" s="2" t="str">
        <x:v>relleno_postmuerte</x:v>
      </x:c>
      <x:c r="P815" s="2" t="n">
        <x:v>0</x:v>
      </x:c>
      <x:c r="Q815" s="2" t="str">
        <x:v>simulado_didactico</x:v>
      </x:c>
    </x:row>
    <x:row r="816" ht="19" customHeight="1">
      <x:c r="A816" s="2" t="str">
        <x:v>SIM-E2-BB-L0-R04</x:v>
      </x:c>
      <x:c r="B816" s="2" t="n">
        <x:v>2</x:v>
      </x:c>
      <x:c r="C816" s="2" t="str">
        <x:v>BB</x:v>
      </x:c>
      <x:c r="D816" s="2" t="str">
        <x:v>Brevicoryne brassicae</x:v>
      </x:c>
      <x:c r="E816" s="2" t="str">
        <x:v>L0</x:v>
      </x:c>
      <x:c r="F816" s="2" t="n">
        <x:v>4</x:v>
      </x:c>
      <x:c r="G816" s="2" t="n">
        <x:v>16</x:v>
      </x:c>
      <x:c r="H816" s="2" t="n">
        <x:f>G816+Supuestos!$C$15</x:f>
        <x:v>17</x:v>
      </x:c>
      <x:c r="I816" s="14" t="n">
        <x:f>E2_plantas!J21+G816</x:f>
        <x:v>46197</x:v>
      </x:c>
      <x:c r="J816" s="2" t="str">
        <x:v>muerta</x:v>
      </x:c>
      <x:c r="K816" s="2" t="n">
        <x:v>0</x:v>
      </x:c>
      <x:c r="L816" s="2" t="n">
        <x:v>0</x:v>
      </x:c>
      <x:c r="M816" s="2" t="n">
        <x:f>SUM(L$800:L816)</x:f>
        <x:v>0</x:v>
      </x:c>
      <x:c r="N816" s="2" t="n">
        <x:v>0</x:v>
      </x:c>
      <x:c r="O816" s="2" t="str">
        <x:v>relleno_postmuerte</x:v>
      </x:c>
      <x:c r="P816" s="2" t="n">
        <x:v>0</x:v>
      </x:c>
      <x:c r="Q816" s="2" t="str">
        <x:v>simulado_didactico</x:v>
      </x:c>
    </x:row>
    <x:row r="817" ht="19" customHeight="1">
      <x:c r="A817" s="2" t="str">
        <x:v>SIM-E2-BB-L0-R04</x:v>
      </x:c>
      <x:c r="B817" s="2" t="n">
        <x:v>2</x:v>
      </x:c>
      <x:c r="C817" s="2" t="str">
        <x:v>BB</x:v>
      </x:c>
      <x:c r="D817" s="2" t="str">
        <x:v>Brevicoryne brassicae</x:v>
      </x:c>
      <x:c r="E817" s="2" t="str">
        <x:v>L0</x:v>
      </x:c>
      <x:c r="F817" s="2" t="n">
        <x:v>4</x:v>
      </x:c>
      <x:c r="G817" s="2" t="n">
        <x:v>17</x:v>
      </x:c>
      <x:c r="H817" s="2" t="n">
        <x:f>G817+Supuestos!$C$15</x:f>
        <x:v>18</x:v>
      </x:c>
      <x:c r="I817" s="14" t="n">
        <x:f>E2_plantas!J21+G817</x:f>
        <x:v>46198</x:v>
      </x:c>
      <x:c r="J817" s="2" t="str">
        <x:v>muerta</x:v>
      </x:c>
      <x:c r="K817" s="2" t="n">
        <x:v>0</x:v>
      </x:c>
      <x:c r="L817" s="2" t="n">
        <x:v>0</x:v>
      </x:c>
      <x:c r="M817" s="2" t="n">
        <x:f>SUM(L$800:L817)</x:f>
        <x:v>0</x:v>
      </x:c>
      <x:c r="N817" s="2" t="n">
        <x:v>0</x:v>
      </x:c>
      <x:c r="O817" s="2" t="str">
        <x:v>relleno_postmuerte</x:v>
      </x:c>
      <x:c r="P817" s="2" t="n">
        <x:v>0</x:v>
      </x:c>
      <x:c r="Q817" s="2" t="str">
        <x:v>simulado_didactico</x:v>
      </x:c>
    </x:row>
    <x:row r="818" ht="19" customHeight="1">
      <x:c r="A818" s="2" t="str">
        <x:v>SIM-E2-BB-L0-R04</x:v>
      </x:c>
      <x:c r="B818" s="2" t="n">
        <x:v>2</x:v>
      </x:c>
      <x:c r="C818" s="2" t="str">
        <x:v>BB</x:v>
      </x:c>
      <x:c r="D818" s="2" t="str">
        <x:v>Brevicoryne brassicae</x:v>
      </x:c>
      <x:c r="E818" s="2" t="str">
        <x:v>L0</x:v>
      </x:c>
      <x:c r="F818" s="2" t="n">
        <x:v>4</x:v>
      </x:c>
      <x:c r="G818" s="2" t="n">
        <x:v>18</x:v>
      </x:c>
      <x:c r="H818" s="2" t="n">
        <x:f>G818+Supuestos!$C$15</x:f>
        <x:v>19</x:v>
      </x:c>
      <x:c r="I818" s="14" t="n">
        <x:f>E2_plantas!J21+G818</x:f>
        <x:v>46199</x:v>
      </x:c>
      <x:c r="J818" s="2" t="str">
        <x:v>muerta</x:v>
      </x:c>
      <x:c r="K818" s="2" t="n">
        <x:v>0</x:v>
      </x:c>
      <x:c r="L818" s="2" t="n">
        <x:v>0</x:v>
      </x:c>
      <x:c r="M818" s="2" t="n">
        <x:f>SUM(L$800:L818)</x:f>
        <x:v>0</x:v>
      </x:c>
      <x:c r="N818" s="2" t="n">
        <x:v>0</x:v>
      </x:c>
      <x:c r="O818" s="2" t="str">
        <x:v>relleno_postmuerte</x:v>
      </x:c>
      <x:c r="P818" s="2" t="n">
        <x:v>0</x:v>
      </x:c>
      <x:c r="Q818" s="2" t="str">
        <x:v>simulado_didactico</x:v>
      </x:c>
    </x:row>
    <x:row r="819" ht="19" customHeight="1">
      <x:c r="A819" s="2" t="str">
        <x:v>SIM-E2-BB-L0-R04</x:v>
      </x:c>
      <x:c r="B819" s="2" t="n">
        <x:v>2</x:v>
      </x:c>
      <x:c r="C819" s="2" t="str">
        <x:v>BB</x:v>
      </x:c>
      <x:c r="D819" s="2" t="str">
        <x:v>Brevicoryne brassicae</x:v>
      </x:c>
      <x:c r="E819" s="2" t="str">
        <x:v>L0</x:v>
      </x:c>
      <x:c r="F819" s="2" t="n">
        <x:v>4</x:v>
      </x:c>
      <x:c r="G819" s="2" t="n">
        <x:v>19</x:v>
      </x:c>
      <x:c r="H819" s="2" t="n">
        <x:f>G819+Supuestos!$C$15</x:f>
        <x:v>20</x:v>
      </x:c>
      <x:c r="I819" s="14" t="n">
        <x:f>E2_plantas!J21+G819</x:f>
        <x:v>46200</x:v>
      </x:c>
      <x:c r="J819" s="2" t="str">
        <x:v>muerta</x:v>
      </x:c>
      <x:c r="K819" s="2" t="n">
        <x:v>0</x:v>
      </x:c>
      <x:c r="L819" s="2" t="n">
        <x:v>0</x:v>
      </x:c>
      <x:c r="M819" s="2" t="n">
        <x:f>SUM(L$800:L819)</x:f>
        <x:v>0</x:v>
      </x:c>
      <x:c r="N819" s="2" t="n">
        <x:v>0</x:v>
      </x:c>
      <x:c r="O819" s="2" t="str">
        <x:v>relleno_postmuerte</x:v>
      </x:c>
      <x:c r="P819" s="2" t="n">
        <x:v>0</x:v>
      </x:c>
      <x:c r="Q819" s="2" t="str">
        <x:v>simulado_didactico</x:v>
      </x:c>
    </x:row>
    <x:row r="820" ht="19" customHeight="1">
      <x:c r="A820" s="2" t="str">
        <x:v>SIM-E2-BB-L0-R04</x:v>
      </x:c>
      <x:c r="B820" s="2" t="n">
        <x:v>2</x:v>
      </x:c>
      <x:c r="C820" s="2" t="str">
        <x:v>BB</x:v>
      </x:c>
      <x:c r="D820" s="2" t="str">
        <x:v>Brevicoryne brassicae</x:v>
      </x:c>
      <x:c r="E820" s="2" t="str">
        <x:v>L0</x:v>
      </x:c>
      <x:c r="F820" s="2" t="n">
        <x:v>4</x:v>
      </x:c>
      <x:c r="G820" s="2" t="n">
        <x:v>20</x:v>
      </x:c>
      <x:c r="H820" s="2" t="n">
        <x:f>G820+Supuestos!$C$15</x:f>
        <x:v>21</x:v>
      </x:c>
      <x:c r="I820" s="14" t="n">
        <x:f>E2_plantas!J21+G820</x:f>
        <x:v>46201</x:v>
      </x:c>
      <x:c r="J820" s="2" t="str">
        <x:v>muerta</x:v>
      </x:c>
      <x:c r="K820" s="2" t="n">
        <x:v>0</x:v>
      </x:c>
      <x:c r="L820" s="2" t="n">
        <x:v>0</x:v>
      </x:c>
      <x:c r="M820" s="2" t="n">
        <x:f>SUM(L$800:L820)</x:f>
        <x:v>0</x:v>
      </x:c>
      <x:c r="N820" s="2" t="n">
        <x:v>0</x:v>
      </x:c>
      <x:c r="O820" s="2" t="str">
        <x:v>relleno_postmuerte</x:v>
      </x:c>
      <x:c r="P820" s="2" t="n">
        <x:v>0</x:v>
      </x:c>
      <x:c r="Q820" s="2" t="str">
        <x:v>simulado_didactico</x:v>
      </x:c>
    </x:row>
    <x:row r="821" ht="19" customHeight="1">
      <x:c r="A821" s="2" t="str">
        <x:v>SIM-E2-BB-L0-R04</x:v>
      </x:c>
      <x:c r="B821" s="2" t="n">
        <x:v>2</x:v>
      </x:c>
      <x:c r="C821" s="2" t="str">
        <x:v>BB</x:v>
      </x:c>
      <x:c r="D821" s="2" t="str">
        <x:v>Brevicoryne brassicae</x:v>
      </x:c>
      <x:c r="E821" s="2" t="str">
        <x:v>L0</x:v>
      </x:c>
      <x:c r="F821" s="2" t="n">
        <x:v>4</x:v>
      </x:c>
      <x:c r="G821" s="2" t="n">
        <x:v>21</x:v>
      </x:c>
      <x:c r="H821" s="2" t="n">
        <x:f>G821+Supuestos!$C$15</x:f>
        <x:v>22</x:v>
      </x:c>
      <x:c r="I821" s="14" t="n">
        <x:f>E2_plantas!J21+G821</x:f>
        <x:v>46202</x:v>
      </x:c>
      <x:c r="J821" s="2" t="str">
        <x:v>muerta</x:v>
      </x:c>
      <x:c r="K821" s="2" t="n">
        <x:v>0</x:v>
      </x:c>
      <x:c r="L821" s="2" t="n">
        <x:v>0</x:v>
      </x:c>
      <x:c r="M821" s="2" t="n">
        <x:f>SUM(L$800:L821)</x:f>
        <x:v>0</x:v>
      </x:c>
      <x:c r="N821" s="2" t="n">
        <x:v>0</x:v>
      </x:c>
      <x:c r="O821" s="2" t="str">
        <x:v>relleno_postmuerte</x:v>
      </x:c>
      <x:c r="P821" s="2" t="n">
        <x:v>0</x:v>
      </x:c>
      <x:c r="Q821" s="2" t="str">
        <x:v>simulado_didactico</x:v>
      </x:c>
    </x:row>
    <x:row r="822" ht="19" customHeight="1">
      <x:c r="A822" s="2" t="str">
        <x:v>SIM-E2-BB-L0-R04</x:v>
      </x:c>
      <x:c r="B822" s="2" t="n">
        <x:v>2</x:v>
      </x:c>
      <x:c r="C822" s="2" t="str">
        <x:v>BB</x:v>
      </x:c>
      <x:c r="D822" s="2" t="str">
        <x:v>Brevicoryne brassicae</x:v>
      </x:c>
      <x:c r="E822" s="2" t="str">
        <x:v>L0</x:v>
      </x:c>
      <x:c r="F822" s="2" t="n">
        <x:v>4</x:v>
      </x:c>
      <x:c r="G822" s="2" t="n">
        <x:v>22</x:v>
      </x:c>
      <x:c r="H822" s="2" t="n">
        <x:f>G822+Supuestos!$C$15</x:f>
        <x:v>23</x:v>
      </x:c>
      <x:c r="I822" s="14" t="n">
        <x:f>E2_plantas!J21+G822</x:f>
        <x:v>46203</x:v>
      </x:c>
      <x:c r="J822" s="2" t="str">
        <x:v>muerta</x:v>
      </x:c>
      <x:c r="K822" s="2" t="n">
        <x:v>0</x:v>
      </x:c>
      <x:c r="L822" s="2" t="n">
        <x:v>0</x:v>
      </x:c>
      <x:c r="M822" s="2" t="n">
        <x:f>SUM(L$800:L822)</x:f>
        <x:v>0</x:v>
      </x:c>
      <x:c r="N822" s="2" t="n">
        <x:v>0</x:v>
      </x:c>
      <x:c r="O822" s="2" t="str">
        <x:v>relleno_postmuerte</x:v>
      </x:c>
      <x:c r="P822" s="2" t="n">
        <x:v>0</x:v>
      </x:c>
      <x:c r="Q822" s="2" t="str">
        <x:v>simulado_didactico</x:v>
      </x:c>
    </x:row>
    <x:row r="823" ht="19" customHeight="1">
      <x:c r="A823" s="2" t="str">
        <x:v>SIM-E2-BB-L0-R04</x:v>
      </x:c>
      <x:c r="B823" s="2" t="n">
        <x:v>2</x:v>
      </x:c>
      <x:c r="C823" s="2" t="str">
        <x:v>BB</x:v>
      </x:c>
      <x:c r="D823" s="2" t="str">
        <x:v>Brevicoryne brassicae</x:v>
      </x:c>
      <x:c r="E823" s="2" t="str">
        <x:v>L0</x:v>
      </x:c>
      <x:c r="F823" s="2" t="n">
        <x:v>4</x:v>
      </x:c>
      <x:c r="G823" s="2" t="n">
        <x:v>23</x:v>
      </x:c>
      <x:c r="H823" s="2" t="n">
        <x:f>G823+Supuestos!$C$15</x:f>
        <x:v>24</x:v>
      </x:c>
      <x:c r="I823" s="14" t="n">
        <x:f>E2_plantas!J21+G823</x:f>
        <x:v>46204</x:v>
      </x:c>
      <x:c r="J823" s="2" t="str">
        <x:v>muerta</x:v>
      </x:c>
      <x:c r="K823" s="2" t="n">
        <x:v>0</x:v>
      </x:c>
      <x:c r="L823" s="2" t="n">
        <x:v>0</x:v>
      </x:c>
      <x:c r="M823" s="2" t="n">
        <x:f>SUM(L$800:L823)</x:f>
        <x:v>0</x:v>
      </x:c>
      <x:c r="N823" s="2" t="n">
        <x:v>0</x:v>
      </x:c>
      <x:c r="O823" s="2" t="str">
        <x:v>relleno_postmuerte</x:v>
      </x:c>
      <x:c r="P823" s="2" t="n">
        <x:v>0</x:v>
      </x:c>
      <x:c r="Q823" s="2" t="str">
        <x:v>simulado_didactico</x:v>
      </x:c>
    </x:row>
    <x:row r="824" ht="19" customHeight="1">
      <x:c r="A824" s="2" t="str">
        <x:v>SIM-E2-BB-L0-R04</x:v>
      </x:c>
      <x:c r="B824" s="2" t="n">
        <x:v>2</x:v>
      </x:c>
      <x:c r="C824" s="2" t="str">
        <x:v>BB</x:v>
      </x:c>
      <x:c r="D824" s="2" t="str">
        <x:v>Brevicoryne brassicae</x:v>
      </x:c>
      <x:c r="E824" s="2" t="str">
        <x:v>L0</x:v>
      </x:c>
      <x:c r="F824" s="2" t="n">
        <x:v>4</x:v>
      </x:c>
      <x:c r="G824" s="2" t="n">
        <x:v>24</x:v>
      </x:c>
      <x:c r="H824" s="2" t="n">
        <x:f>G824+Supuestos!$C$15</x:f>
        <x:v>25</x:v>
      </x:c>
      <x:c r="I824" s="14" t="n">
        <x:f>E2_plantas!J21+G824</x:f>
        <x:v>46205</x:v>
      </x:c>
      <x:c r="J824" s="2" t="str">
        <x:v>muerta</x:v>
      </x:c>
      <x:c r="K824" s="2" t="n">
        <x:v>0</x:v>
      </x:c>
      <x:c r="L824" s="2" t="n">
        <x:v>0</x:v>
      </x:c>
      <x:c r="M824" s="2" t="n">
        <x:f>SUM(L$800:L824)</x:f>
        <x:v>0</x:v>
      </x:c>
      <x:c r="N824" s="2" t="n">
        <x:v>0</x:v>
      </x:c>
      <x:c r="O824" s="2" t="str">
        <x:v>relleno_postmuerte</x:v>
      </x:c>
      <x:c r="P824" s="2" t="n">
        <x:v>0</x:v>
      </x:c>
      <x:c r="Q824" s="2" t="str">
        <x:v>simulado_didactico</x:v>
      </x:c>
    </x:row>
    <x:row r="825" ht="19" customHeight="1">
      <x:c r="A825" s="2" t="str">
        <x:v>SIM-E2-BB-L0-R04</x:v>
      </x:c>
      <x:c r="B825" s="2" t="n">
        <x:v>2</x:v>
      </x:c>
      <x:c r="C825" s="2" t="str">
        <x:v>BB</x:v>
      </x:c>
      <x:c r="D825" s="2" t="str">
        <x:v>Brevicoryne brassicae</x:v>
      </x:c>
      <x:c r="E825" s="2" t="str">
        <x:v>L0</x:v>
      </x:c>
      <x:c r="F825" s="2" t="n">
        <x:v>4</x:v>
      </x:c>
      <x:c r="G825" s="2" t="n">
        <x:v>25</x:v>
      </x:c>
      <x:c r="H825" s="2" t="n">
        <x:f>G825+Supuestos!$C$15</x:f>
        <x:v>26</x:v>
      </x:c>
      <x:c r="I825" s="14" t="n">
        <x:f>E2_plantas!J21+G825</x:f>
        <x:v>46206</x:v>
      </x:c>
      <x:c r="J825" s="2" t="str">
        <x:v>muerta</x:v>
      </x:c>
      <x:c r="K825" s="2" t="n">
        <x:v>0</x:v>
      </x:c>
      <x:c r="L825" s="2" t="n">
        <x:v>0</x:v>
      </x:c>
      <x:c r="M825" s="2" t="n">
        <x:f>SUM(L$800:L825)</x:f>
        <x:v>0</x:v>
      </x:c>
      <x:c r="N825" s="2" t="n">
        <x:v>0</x:v>
      </x:c>
      <x:c r="O825" s="2" t="str">
        <x:v>relleno_postmuerte</x:v>
      </x:c>
      <x:c r="P825" s="2" t="n">
        <x:v>0</x:v>
      </x:c>
      <x:c r="Q825" s="2" t="str">
        <x:v>simulado_didactico</x:v>
      </x:c>
    </x:row>
    <x:row r="826" ht="19" customHeight="1">
      <x:c r="A826" s="2" t="str">
        <x:v>SIM-E2-BB-L0-R04</x:v>
      </x:c>
      <x:c r="B826" s="2" t="n">
        <x:v>2</x:v>
      </x:c>
      <x:c r="C826" s="2" t="str">
        <x:v>BB</x:v>
      </x:c>
      <x:c r="D826" s="2" t="str">
        <x:v>Brevicoryne brassicae</x:v>
      </x:c>
      <x:c r="E826" s="2" t="str">
        <x:v>L0</x:v>
      </x:c>
      <x:c r="F826" s="2" t="n">
        <x:v>4</x:v>
      </x:c>
      <x:c r="G826" s="2" t="n">
        <x:v>26</x:v>
      </x:c>
      <x:c r="H826" s="2" t="n">
        <x:f>G826+Supuestos!$C$15</x:f>
        <x:v>27</x:v>
      </x:c>
      <x:c r="I826" s="14" t="n">
        <x:f>E2_plantas!J21+G826</x:f>
        <x:v>46207</x:v>
      </x:c>
      <x:c r="J826" s="2" t="str">
        <x:v>muerta</x:v>
      </x:c>
      <x:c r="K826" s="2" t="n">
        <x:v>0</x:v>
      </x:c>
      <x:c r="L826" s="2" t="n">
        <x:v>0</x:v>
      </x:c>
      <x:c r="M826" s="2" t="n">
        <x:f>SUM(L$800:L826)</x:f>
        <x:v>0</x:v>
      </x:c>
      <x:c r="N826" s="2" t="n">
        <x:v>0</x:v>
      </x:c>
      <x:c r="O826" s="2" t="str">
        <x:v>relleno_postmuerte</x:v>
      </x:c>
      <x:c r="P826" s="2" t="n">
        <x:v>0</x:v>
      </x:c>
      <x:c r="Q826" s="2" t="str">
        <x:v>simulado_didactico</x:v>
      </x:c>
    </x:row>
    <x:row r="827" ht="19" customHeight="1">
      <x:c r="A827" s="2" t="str">
        <x:v>SIM-E2-BB-L0-R04</x:v>
      </x:c>
      <x:c r="B827" s="2" t="n">
        <x:v>2</x:v>
      </x:c>
      <x:c r="C827" s="2" t="str">
        <x:v>BB</x:v>
      </x:c>
      <x:c r="D827" s="2" t="str">
        <x:v>Brevicoryne brassicae</x:v>
      </x:c>
      <x:c r="E827" s="2" t="str">
        <x:v>L0</x:v>
      </x:c>
      <x:c r="F827" s="2" t="n">
        <x:v>4</x:v>
      </x:c>
      <x:c r="G827" s="2" t="n">
        <x:v>27</x:v>
      </x:c>
      <x:c r="H827" s="2" t="n">
        <x:f>G827+Supuestos!$C$15</x:f>
        <x:v>28</x:v>
      </x:c>
      <x:c r="I827" s="14" t="n">
        <x:f>E2_plantas!J21+G827</x:f>
        <x:v>46208</x:v>
      </x:c>
      <x:c r="J827" s="2" t="str">
        <x:v>muerta</x:v>
      </x:c>
      <x:c r="K827" s="2" t="n">
        <x:v>0</x:v>
      </x:c>
      <x:c r="L827" s="2" t="n">
        <x:v>0</x:v>
      </x:c>
      <x:c r="M827" s="2" t="n">
        <x:f>SUM(L$800:L827)</x:f>
        <x:v>0</x:v>
      </x:c>
      <x:c r="N827" s="2" t="n">
        <x:v>0</x:v>
      </x:c>
      <x:c r="O827" s="2" t="str">
        <x:v>relleno_postmuerte</x:v>
      </x:c>
      <x:c r="P827" s="2" t="n">
        <x:v>0</x:v>
      </x:c>
      <x:c r="Q827" s="2" t="str">
        <x:v>simulado_didactico</x:v>
      </x:c>
    </x:row>
    <x:row r="828" ht="19" customHeight="1">
      <x:c r="A828" s="2" t="str">
        <x:v>SIM-E2-BB-L0-R04</x:v>
      </x:c>
      <x:c r="B828" s="2" t="n">
        <x:v>2</x:v>
      </x:c>
      <x:c r="C828" s="2" t="str">
        <x:v>BB</x:v>
      </x:c>
      <x:c r="D828" s="2" t="str">
        <x:v>Brevicoryne brassicae</x:v>
      </x:c>
      <x:c r="E828" s="2" t="str">
        <x:v>L0</x:v>
      </x:c>
      <x:c r="F828" s="2" t="n">
        <x:v>4</x:v>
      </x:c>
      <x:c r="G828" s="2" t="n">
        <x:v>28</x:v>
      </x:c>
      <x:c r="H828" s="2" t="n">
        <x:f>G828+Supuestos!$C$15</x:f>
        <x:v>29</x:v>
      </x:c>
      <x:c r="I828" s="14" t="n">
        <x:f>E2_plantas!J21+G828</x:f>
        <x:v>46209</x:v>
      </x:c>
      <x:c r="J828" s="2" t="str">
        <x:v>muerta</x:v>
      </x:c>
      <x:c r="K828" s="2" t="n">
        <x:v>0</x:v>
      </x:c>
      <x:c r="L828" s="2" t="n">
        <x:v>0</x:v>
      </x:c>
      <x:c r="M828" s="2" t="n">
        <x:f>SUM(L$800:L828)</x:f>
        <x:v>0</x:v>
      </x:c>
      <x:c r="N828" s="2" t="n">
        <x:v>0</x:v>
      </x:c>
      <x:c r="O828" s="2" t="str">
        <x:v>relleno_postmuerte</x:v>
      </x:c>
      <x:c r="P828" s="2" t="n">
        <x:v>0</x:v>
      </x:c>
      <x:c r="Q828" s="2" t="str">
        <x:v>simulado_didactico</x:v>
      </x:c>
    </x:row>
    <x:row r="829" ht="19" customHeight="1">
      <x:c r="A829" s="2" t="str">
        <x:v>SIM-E2-BB-L0-R04</x:v>
      </x:c>
      <x:c r="B829" s="2" t="n">
        <x:v>2</x:v>
      </x:c>
      <x:c r="C829" s="2" t="str">
        <x:v>BB</x:v>
      </x:c>
      <x:c r="D829" s="2" t="str">
        <x:v>Brevicoryne brassicae</x:v>
      </x:c>
      <x:c r="E829" s="2" t="str">
        <x:v>L0</x:v>
      </x:c>
      <x:c r="F829" s="2" t="n">
        <x:v>4</x:v>
      </x:c>
      <x:c r="G829" s="2" t="n">
        <x:v>29</x:v>
      </x:c>
      <x:c r="H829" s="2" t="n">
        <x:f>G829+Supuestos!$C$15</x:f>
        <x:v>30</x:v>
      </x:c>
      <x:c r="I829" s="14" t="n">
        <x:f>E2_plantas!J21+G829</x:f>
        <x:v>46210</x:v>
      </x:c>
      <x:c r="J829" s="2" t="str">
        <x:v>muerta</x:v>
      </x:c>
      <x:c r="K829" s="2" t="n">
        <x:v>0</x:v>
      </x:c>
      <x:c r="L829" s="2" t="n">
        <x:v>0</x:v>
      </x:c>
      <x:c r="M829" s="2" t="n">
        <x:f>SUM(L$800:L829)</x:f>
        <x:v>0</x:v>
      </x:c>
      <x:c r="N829" s="2" t="n">
        <x:v>0</x:v>
      </x:c>
      <x:c r="O829" s="2" t="str">
        <x:v>relleno_postmuerte</x:v>
      </x:c>
      <x:c r="P829" s="2" t="n">
        <x:v>0</x:v>
      </x:c>
      <x:c r="Q829" s="2" t="str">
        <x:v>simulado_didactico</x:v>
      </x:c>
    </x:row>
    <x:row r="830" ht="19" customHeight="1">
      <x:c r="A830" s="2" t="str">
        <x:v>SIM-E2-BB-L0-R04</x:v>
      </x:c>
      <x:c r="B830" s="2" t="n">
        <x:v>2</x:v>
      </x:c>
      <x:c r="C830" s="2" t="str">
        <x:v>BB</x:v>
      </x:c>
      <x:c r="D830" s="2" t="str">
        <x:v>Brevicoryne brassicae</x:v>
      </x:c>
      <x:c r="E830" s="2" t="str">
        <x:v>L0</x:v>
      </x:c>
      <x:c r="F830" s="2" t="n">
        <x:v>4</x:v>
      </x:c>
      <x:c r="G830" s="2" t="n">
        <x:v>30</x:v>
      </x:c>
      <x:c r="H830" s="2" t="n">
        <x:f>G830+Supuestos!$C$15</x:f>
        <x:v>31</x:v>
      </x:c>
      <x:c r="I830" s="14" t="n">
        <x:f>E2_plantas!J21+G830</x:f>
        <x:v>46211</x:v>
      </x:c>
      <x:c r="J830" s="2" t="str">
        <x:v>muerta</x:v>
      </x:c>
      <x:c r="K830" s="2" t="n">
        <x:v>0</x:v>
      </x:c>
      <x:c r="L830" s="2" t="n">
        <x:v>0</x:v>
      </x:c>
      <x:c r="M830" s="2" t="n">
        <x:f>SUM(L$800:L830)</x:f>
        <x:v>0</x:v>
      </x:c>
      <x:c r="N830" s="2" t="n">
        <x:v>0</x:v>
      </x:c>
      <x:c r="O830" s="2" t="str">
        <x:v>relleno_postmuerte</x:v>
      </x:c>
      <x:c r="P830" s="2" t="n">
        <x:v>0</x:v>
      </x:c>
      <x:c r="Q830" s="2" t="str">
        <x:v>simulado_didactico</x:v>
      </x:c>
    </x:row>
    <x:row r="831" ht="19" customHeight="1">
      <x:c r="A831" s="2" t="str">
        <x:v>SIM-E2-BB-L0-R04</x:v>
      </x:c>
      <x:c r="B831" s="2" t="n">
        <x:v>2</x:v>
      </x:c>
      <x:c r="C831" s="2" t="str">
        <x:v>BB</x:v>
      </x:c>
      <x:c r="D831" s="2" t="str">
        <x:v>Brevicoryne brassicae</x:v>
      </x:c>
      <x:c r="E831" s="2" t="str">
        <x:v>L0</x:v>
      </x:c>
      <x:c r="F831" s="2" t="n">
        <x:v>4</x:v>
      </x:c>
      <x:c r="G831" s="2" t="n">
        <x:v>31</x:v>
      </x:c>
      <x:c r="H831" s="2" t="n">
        <x:f>G831+Supuestos!$C$15</x:f>
        <x:v>32</x:v>
      </x:c>
      <x:c r="I831" s="14" t="n">
        <x:f>E2_plantas!J21+G831</x:f>
        <x:v>46212</x:v>
      </x:c>
      <x:c r="J831" s="2" t="str">
        <x:v>muerta</x:v>
      </x:c>
      <x:c r="K831" s="2" t="n">
        <x:v>0</x:v>
      </x:c>
      <x:c r="L831" s="2" t="n">
        <x:v>0</x:v>
      </x:c>
      <x:c r="M831" s="2" t="n">
        <x:f>SUM(L$800:L831)</x:f>
        <x:v>0</x:v>
      </x:c>
      <x:c r="N831" s="2" t="n">
        <x:v>0</x:v>
      </x:c>
      <x:c r="O831" s="2" t="str">
        <x:v>relleno_postmuerte</x:v>
      </x:c>
      <x:c r="P831" s="2" t="n">
        <x:v>0</x:v>
      </x:c>
      <x:c r="Q831" s="2" t="str">
        <x:v>simulado_didactico</x:v>
      </x:c>
    </x:row>
    <x:row r="832" ht="19" customHeight="1">
      <x:c r="A832" s="2" t="str">
        <x:v>SIM-E2-BB-L0-R04</x:v>
      </x:c>
      <x:c r="B832" s="2" t="n">
        <x:v>2</x:v>
      </x:c>
      <x:c r="C832" s="2" t="str">
        <x:v>BB</x:v>
      </x:c>
      <x:c r="D832" s="2" t="str">
        <x:v>Brevicoryne brassicae</x:v>
      </x:c>
      <x:c r="E832" s="2" t="str">
        <x:v>L0</x:v>
      </x:c>
      <x:c r="F832" s="2" t="n">
        <x:v>4</x:v>
      </x:c>
      <x:c r="G832" s="2" t="n">
        <x:v>32</x:v>
      </x:c>
      <x:c r="H832" s="2" t="n">
        <x:f>G832+Supuestos!$C$15</x:f>
        <x:v>33</x:v>
      </x:c>
      <x:c r="I832" s="14" t="n">
        <x:f>E2_plantas!J21+G832</x:f>
        <x:v>46213</x:v>
      </x:c>
      <x:c r="J832" s="2" t="str">
        <x:v>muerta</x:v>
      </x:c>
      <x:c r="K832" s="2" t="n">
        <x:v>0</x:v>
      </x:c>
      <x:c r="L832" s="2" t="n">
        <x:v>0</x:v>
      </x:c>
      <x:c r="M832" s="2" t="n">
        <x:f>SUM(L$800:L832)</x:f>
        <x:v>0</x:v>
      </x:c>
      <x:c r="N832" s="2" t="n">
        <x:v>0</x:v>
      </x:c>
      <x:c r="O832" s="2" t="str">
        <x:v>relleno_postmuerte</x:v>
      </x:c>
      <x:c r="P832" s="2" t="n">
        <x:v>0</x:v>
      </x:c>
      <x:c r="Q832" s="2" t="str">
        <x:v>simulado_didactico</x:v>
      </x:c>
    </x:row>
    <x:row r="833" ht="19" customHeight="1">
      <x:c r="A833" s="2" t="str">
        <x:v>SIM-E2-BB-L0-R04</x:v>
      </x:c>
      <x:c r="B833" s="2" t="n">
        <x:v>2</x:v>
      </x:c>
      <x:c r="C833" s="2" t="str">
        <x:v>BB</x:v>
      </x:c>
      <x:c r="D833" s="2" t="str">
        <x:v>Brevicoryne brassicae</x:v>
      </x:c>
      <x:c r="E833" s="2" t="str">
        <x:v>L0</x:v>
      </x:c>
      <x:c r="F833" s="2" t="n">
        <x:v>4</x:v>
      </x:c>
      <x:c r="G833" s="2" t="n">
        <x:v>33</x:v>
      </x:c>
      <x:c r="H833" s="2" t="n">
        <x:f>G833+Supuestos!$C$15</x:f>
        <x:v>34</x:v>
      </x:c>
      <x:c r="I833" s="14" t="n">
        <x:f>E2_plantas!J21+G833</x:f>
        <x:v>46214</x:v>
      </x:c>
      <x:c r="J833" s="2" t="str">
        <x:v>muerta</x:v>
      </x:c>
      <x:c r="K833" s="2" t="n">
        <x:v>0</x:v>
      </x:c>
      <x:c r="L833" s="2" t="n">
        <x:v>0</x:v>
      </x:c>
      <x:c r="M833" s="2" t="n">
        <x:f>SUM(L$800:L833)</x:f>
        <x:v>0</x:v>
      </x:c>
      <x:c r="N833" s="2" t="n">
        <x:v>0</x:v>
      </x:c>
      <x:c r="O833" s="2" t="str">
        <x:v>relleno_postmuerte</x:v>
      </x:c>
      <x:c r="P833" s="2" t="n">
        <x:v>0</x:v>
      </x:c>
      <x:c r="Q833" s="2" t="str">
        <x:v>simulado_didactico</x:v>
      </x:c>
    </x:row>
    <x:row r="834" ht="19" customHeight="1">
      <x:c r="A834" s="2" t="str">
        <x:v>SIM-E2-BB-L0-R04</x:v>
      </x:c>
      <x:c r="B834" s="2" t="n">
        <x:v>2</x:v>
      </x:c>
      <x:c r="C834" s="2" t="str">
        <x:v>BB</x:v>
      </x:c>
      <x:c r="D834" s="2" t="str">
        <x:v>Brevicoryne brassicae</x:v>
      </x:c>
      <x:c r="E834" s="2" t="str">
        <x:v>L0</x:v>
      </x:c>
      <x:c r="F834" s="2" t="n">
        <x:v>4</x:v>
      </x:c>
      <x:c r="G834" s="2" t="n">
        <x:v>34</x:v>
      </x:c>
      <x:c r="H834" s="2" t="n">
        <x:f>G834+Supuestos!$C$15</x:f>
        <x:v>35</x:v>
      </x:c>
      <x:c r="I834" s="14" t="n">
        <x:f>E2_plantas!J21+G834</x:f>
        <x:v>46215</x:v>
      </x:c>
      <x:c r="J834" s="2" t="str">
        <x:v>muerta</x:v>
      </x:c>
      <x:c r="K834" s="2" t="n">
        <x:v>0</x:v>
      </x:c>
      <x:c r="L834" s="2" t="n">
        <x:v>0</x:v>
      </x:c>
      <x:c r="M834" s="2" t="n">
        <x:f>SUM(L$800:L834)</x:f>
        <x:v>0</x:v>
      </x:c>
      <x:c r="N834" s="2" t="n">
        <x:v>0</x:v>
      </x:c>
      <x:c r="O834" s="2" t="str">
        <x:v>relleno_postmuerte</x:v>
      </x:c>
      <x:c r="P834" s="2" t="n">
        <x:v>0</x:v>
      </x:c>
      <x:c r="Q834" s="2" t="str">
        <x:v>simulado_didactico</x:v>
      </x:c>
    </x:row>
    <x:row r="835" ht="19" customHeight="1">
      <x:c r="A835" s="2" t="str">
        <x:v>SIM-E2-BB-L0-R04</x:v>
      </x:c>
      <x:c r="B835" s="2" t="n">
        <x:v>2</x:v>
      </x:c>
      <x:c r="C835" s="2" t="str">
        <x:v>BB</x:v>
      </x:c>
      <x:c r="D835" s="2" t="str">
        <x:v>Brevicoryne brassicae</x:v>
      </x:c>
      <x:c r="E835" s="2" t="str">
        <x:v>L0</x:v>
      </x:c>
      <x:c r="F835" s="2" t="n">
        <x:v>4</x:v>
      </x:c>
      <x:c r="G835" s="2" t="n">
        <x:v>35</x:v>
      </x:c>
      <x:c r="H835" s="2" t="n">
        <x:f>G835+Supuestos!$C$15</x:f>
        <x:v>36</x:v>
      </x:c>
      <x:c r="I835" s="14" t="n">
        <x:f>E2_plantas!J21+G835</x:f>
        <x:v>46216</x:v>
      </x:c>
      <x:c r="J835" s="2" t="str">
        <x:v>muerta</x:v>
      </x:c>
      <x:c r="K835" s="2" t="n">
        <x:v>0</x:v>
      </x:c>
      <x:c r="L835" s="2" t="n">
        <x:v>0</x:v>
      </x:c>
      <x:c r="M835" s="2" t="n">
        <x:f>SUM(L$800:L835)</x:f>
        <x:v>0</x:v>
      </x:c>
      <x:c r="N835" s="2" t="n">
        <x:v>0</x:v>
      </x:c>
      <x:c r="O835" s="2" t="str">
        <x:v>relleno_postmuerte</x:v>
      </x:c>
      <x:c r="P835" s="2" t="n">
        <x:v>0</x:v>
      </x:c>
      <x:c r="Q835" s="2" t="str">
        <x:v>simulado_didactico</x:v>
      </x:c>
    </x:row>
    <x:row r="836" ht="19" customHeight="1">
      <x:c r="A836" s="2" t="str">
        <x:v>SIM-E2-BB-L0-R04</x:v>
      </x:c>
      <x:c r="B836" s="2" t="n">
        <x:v>2</x:v>
      </x:c>
      <x:c r="C836" s="2" t="str">
        <x:v>BB</x:v>
      </x:c>
      <x:c r="D836" s="2" t="str">
        <x:v>Brevicoryne brassicae</x:v>
      </x:c>
      <x:c r="E836" s="2" t="str">
        <x:v>L0</x:v>
      </x:c>
      <x:c r="F836" s="2" t="n">
        <x:v>4</x:v>
      </x:c>
      <x:c r="G836" s="2" t="n">
        <x:v>36</x:v>
      </x:c>
      <x:c r="H836" s="2" t="n">
        <x:f>G836+Supuestos!$C$15</x:f>
        <x:v>37</x:v>
      </x:c>
      <x:c r="I836" s="14" t="n">
        <x:f>E2_plantas!J21+G836</x:f>
        <x:v>46217</x:v>
      </x:c>
      <x:c r="J836" s="2" t="str">
        <x:v>muerta</x:v>
      </x:c>
      <x:c r="K836" s="2" t="n">
        <x:v>0</x:v>
      </x:c>
      <x:c r="L836" s="2" t="n">
        <x:v>0</x:v>
      </x:c>
      <x:c r="M836" s="2" t="n">
        <x:f>SUM(L$800:L836)</x:f>
        <x:v>0</x:v>
      </x:c>
      <x:c r="N836" s="2" t="n">
        <x:v>0</x:v>
      </x:c>
      <x:c r="O836" s="2" t="str">
        <x:v>relleno_postmuerte</x:v>
      </x:c>
      <x:c r="P836" s="2" t="n">
        <x:v>0</x:v>
      </x:c>
      <x:c r="Q836" s="2" t="str">
        <x:v>simulado_didactico</x:v>
      </x:c>
    </x:row>
    <x:row r="837" ht="19" customHeight="1">
      <x:c r="A837" s="2" t="str">
        <x:v>SIM-E2-BB-L0-R04</x:v>
      </x:c>
      <x:c r="B837" s="2" t="n">
        <x:v>2</x:v>
      </x:c>
      <x:c r="C837" s="2" t="str">
        <x:v>BB</x:v>
      </x:c>
      <x:c r="D837" s="2" t="str">
        <x:v>Brevicoryne brassicae</x:v>
      </x:c>
      <x:c r="E837" s="2" t="str">
        <x:v>L0</x:v>
      </x:c>
      <x:c r="F837" s="2" t="n">
        <x:v>4</x:v>
      </x:c>
      <x:c r="G837" s="2" t="n">
        <x:v>37</x:v>
      </x:c>
      <x:c r="H837" s="2" t="n">
        <x:f>G837+Supuestos!$C$15</x:f>
        <x:v>38</x:v>
      </x:c>
      <x:c r="I837" s="14" t="n">
        <x:f>E2_plantas!J21+G837</x:f>
        <x:v>46218</x:v>
      </x:c>
      <x:c r="J837" s="2" t="str">
        <x:v>muerta</x:v>
      </x:c>
      <x:c r="K837" s="2" t="n">
        <x:v>0</x:v>
      </x:c>
      <x:c r="L837" s="2" t="n">
        <x:v>0</x:v>
      </x:c>
      <x:c r="M837" s="2" t="n">
        <x:f>SUM(L$800:L837)</x:f>
        <x:v>0</x:v>
      </x:c>
      <x:c r="N837" s="2" t="n">
        <x:v>0</x:v>
      </x:c>
      <x:c r="O837" s="2" t="str">
        <x:v>relleno_postmuerte</x:v>
      </x:c>
      <x:c r="P837" s="2" t="n">
        <x:v>0</x:v>
      </x:c>
      <x:c r="Q837" s="2" t="str">
        <x:v>simulado_didactico</x:v>
      </x:c>
    </x:row>
    <x:row r="838" ht="19" customHeight="1">
      <x:c r="A838" s="2" t="str">
        <x:v>SIM-E2-BB-L0-R04</x:v>
      </x:c>
      <x:c r="B838" s="2" t="n">
        <x:v>2</x:v>
      </x:c>
      <x:c r="C838" s="2" t="str">
        <x:v>BB</x:v>
      </x:c>
      <x:c r="D838" s="2" t="str">
        <x:v>Brevicoryne brassicae</x:v>
      </x:c>
      <x:c r="E838" s="2" t="str">
        <x:v>L0</x:v>
      </x:c>
      <x:c r="F838" s="2" t="n">
        <x:v>4</x:v>
      </x:c>
      <x:c r="G838" s="2" t="n">
        <x:v>38</x:v>
      </x:c>
      <x:c r="H838" s="2" t="n">
        <x:f>G838+Supuestos!$C$15</x:f>
        <x:v>39</x:v>
      </x:c>
      <x:c r="I838" s="14" t="n">
        <x:f>E2_plantas!J21+G838</x:f>
        <x:v>46219</x:v>
      </x:c>
      <x:c r="J838" s="2" t="str">
        <x:v>muerta</x:v>
      </x:c>
      <x:c r="K838" s="2" t="n">
        <x:v>0</x:v>
      </x:c>
      <x:c r="L838" s="2" t="n">
        <x:v>0</x:v>
      </x:c>
      <x:c r="M838" s="2" t="n">
        <x:f>SUM(L$800:L838)</x:f>
        <x:v>0</x:v>
      </x:c>
      <x:c r="N838" s="2" t="n">
        <x:v>0</x:v>
      </x:c>
      <x:c r="O838" s="2" t="str">
        <x:v>relleno_postmuerte</x:v>
      </x:c>
      <x:c r="P838" s="2" t="n">
        <x:v>0</x:v>
      </x:c>
      <x:c r="Q838" s="2" t="str">
        <x:v>simulado_didactico</x:v>
      </x:c>
    </x:row>
    <x:row r="839" ht="19" customHeight="1">
      <x:c r="A839" s="2" t="str">
        <x:v>SIM-E2-BB-L0-R04</x:v>
      </x:c>
      <x:c r="B839" s="2" t="n">
        <x:v>2</x:v>
      </x:c>
      <x:c r="C839" s="2" t="str">
        <x:v>BB</x:v>
      </x:c>
      <x:c r="D839" s="2" t="str">
        <x:v>Brevicoryne brassicae</x:v>
      </x:c>
      <x:c r="E839" s="2" t="str">
        <x:v>L0</x:v>
      </x:c>
      <x:c r="F839" s="2" t="n">
        <x:v>4</x:v>
      </x:c>
      <x:c r="G839" s="2" t="n">
        <x:v>39</x:v>
      </x:c>
      <x:c r="H839" s="2" t="n">
        <x:f>G839+Supuestos!$C$15</x:f>
        <x:v>40</x:v>
      </x:c>
      <x:c r="I839" s="14" t="n">
        <x:f>E2_plantas!J21+G839</x:f>
        <x:v>46220</x:v>
      </x:c>
      <x:c r="J839" s="2" t="str">
        <x:v>muerta</x:v>
      </x:c>
      <x:c r="K839" s="2" t="n">
        <x:v>0</x:v>
      </x:c>
      <x:c r="L839" s="2" t="n">
        <x:v>0</x:v>
      </x:c>
      <x:c r="M839" s="2" t="n">
        <x:f>SUM(L$800:L839)</x:f>
        <x:v>0</x:v>
      </x:c>
      <x:c r="N839" s="2" t="n">
        <x:v>0</x:v>
      </x:c>
      <x:c r="O839" s="2" t="str">
        <x:v>relleno_postmuerte</x:v>
      </x:c>
      <x:c r="P839" s="2" t="n">
        <x:v>0</x:v>
      </x:c>
      <x:c r="Q839" s="2" t="str">
        <x:v>simulado_didactico</x:v>
      </x:c>
    </x:row>
    <x:row r="840" ht="19" customHeight="1">
      <x:c r="A840" s="2" t="str">
        <x:v>SIM-E2-BB-L0-R04</x:v>
      </x:c>
      <x:c r="B840" s="2" t="n">
        <x:v>2</x:v>
      </x:c>
      <x:c r="C840" s="2" t="str">
        <x:v>BB</x:v>
      </x:c>
      <x:c r="D840" s="2" t="str">
        <x:v>Brevicoryne brassicae</x:v>
      </x:c>
      <x:c r="E840" s="2" t="str">
        <x:v>L0</x:v>
      </x:c>
      <x:c r="F840" s="2" t="n">
        <x:v>4</x:v>
      </x:c>
      <x:c r="G840" s="2" t="n">
        <x:v>40</x:v>
      </x:c>
      <x:c r="H840" s="2" t="n">
        <x:f>G840+Supuestos!$C$15</x:f>
        <x:v>41</x:v>
      </x:c>
      <x:c r="I840" s="14" t="n">
        <x:f>E2_plantas!J21+G840</x:f>
        <x:v>46221</x:v>
      </x:c>
      <x:c r="J840" s="2" t="str">
        <x:v>muerta</x:v>
      </x:c>
      <x:c r="K840" s="2" t="n">
        <x:v>0</x:v>
      </x:c>
      <x:c r="L840" s="2" t="n">
        <x:v>0</x:v>
      </x:c>
      <x:c r="M840" s="2" t="n">
        <x:f>SUM(L$800:L840)</x:f>
        <x:v>0</x:v>
      </x:c>
      <x:c r="N840" s="2" t="n">
        <x:v>0</x:v>
      </x:c>
      <x:c r="O840" s="2" t="str">
        <x:v>relleno_postmuerte</x:v>
      </x:c>
      <x:c r="P840" s="2" t="n">
        <x:v>0</x:v>
      </x:c>
      <x:c r="Q840" s="2" t="str">
        <x:v>simulado_didactico</x:v>
      </x:c>
    </x:row>
    <x:row r="841" ht="19" customHeight="1">
      <x:c r="A841" s="2" t="str">
        <x:v>SIM-E2-BB-L0-R04</x:v>
      </x:c>
      <x:c r="B841" s="2" t="n">
        <x:v>2</x:v>
      </x:c>
      <x:c r="C841" s="2" t="str">
        <x:v>BB</x:v>
      </x:c>
      <x:c r="D841" s="2" t="str">
        <x:v>Brevicoryne brassicae</x:v>
      </x:c>
      <x:c r="E841" s="2" t="str">
        <x:v>L0</x:v>
      </x:c>
      <x:c r="F841" s="2" t="n">
        <x:v>4</x:v>
      </x:c>
      <x:c r="G841" s="2" t="n">
        <x:v>41</x:v>
      </x:c>
      <x:c r="H841" s="2" t="n">
        <x:f>G841+Supuestos!$C$15</x:f>
        <x:v>42</x:v>
      </x:c>
      <x:c r="I841" s="14" t="n">
        <x:f>E2_plantas!J21+G841</x:f>
        <x:v>46222</x:v>
      </x:c>
      <x:c r="J841" s="2" t="str">
        <x:v>muerta</x:v>
      </x:c>
      <x:c r="K841" s="2" t="n">
        <x:v>0</x:v>
      </x:c>
      <x:c r="L841" s="2" t="n">
        <x:v>0</x:v>
      </x:c>
      <x:c r="M841" s="2" t="n">
        <x:f>SUM(L$800:L841)</x:f>
        <x:v>0</x:v>
      </x:c>
      <x:c r="N841" s="2" t="n">
        <x:v>0</x:v>
      </x:c>
      <x:c r="O841" s="2" t="str">
        <x:v>relleno_postmuerte</x:v>
      </x:c>
      <x:c r="P841" s="2" t="n">
        <x:v>0</x:v>
      </x:c>
      <x:c r="Q841" s="2" t="str">
        <x:v>simulado_didactico</x:v>
      </x:c>
    </x:row>
    <x:row r="842" ht="19" customHeight="1">
      <x:c r="A842" s="2" t="str">
        <x:v>SIM-E2-BB-L8-R03</x:v>
      </x:c>
      <x:c r="B842" s="2" t="n">
        <x:v>2</x:v>
      </x:c>
      <x:c r="C842" s="2" t="str">
        <x:v>BB</x:v>
      </x:c>
      <x:c r="D842" s="2" t="str">
        <x:v>Brevicoryne brassicae</x:v>
      </x:c>
      <x:c r="E842" s="2" t="str">
        <x:v>L8</x:v>
      </x:c>
      <x:c r="F842" s="2" t="n">
        <x:v>3</x:v>
      </x:c>
      <x:c r="G842" s="2" t="n">
        <x:v>0</x:v>
      </x:c>
      <x:c r="H842" s="2" t="n">
        <x:f>G842+Supuestos!$C$15</x:f>
        <x:v>1</x:v>
      </x:c>
      <x:c r="I842" s="14" t="n">
        <x:f>E2_plantas!J22+G842</x:f>
        <x:v>46181</x:v>
      </x:c>
      <x:c r="J842" s="2" t="str">
        <x:v>N1</x:v>
      </x:c>
      <x:c r="K842" s="2" t="n">
        <x:v>1</x:v>
      </x:c>
      <x:c r="L842" s="2" t="n">
        <x:v>0</x:v>
      </x:c>
      <x:c r="M842" s="2" t="n">
        <x:f>SUM(L$842:L842)</x:f>
        <x:v>0</x:v>
      </x:c>
      <x:c r="N842" s="2" t="n">
        <x:v>0</x:v>
      </x:c>
      <x:c r="O842" s="2" t="str">
        <x:v>seguimiento</x:v>
      </x:c>
      <x:c r="P842" s="2" t="n">
        <x:v>0</x:v>
      </x:c>
      <x:c r="Q842" s="2" t="str">
        <x:v>simulado_didactico</x:v>
      </x:c>
    </x:row>
    <x:row r="843" ht="19" customHeight="1">
      <x:c r="A843" s="2" t="str">
        <x:v>SIM-E2-BB-L8-R03</x:v>
      </x:c>
      <x:c r="B843" s="2" t="n">
        <x:v>2</x:v>
      </x:c>
      <x:c r="C843" s="2" t="str">
        <x:v>BB</x:v>
      </x:c>
      <x:c r="D843" s="2" t="str">
        <x:v>Brevicoryne brassicae</x:v>
      </x:c>
      <x:c r="E843" s="2" t="str">
        <x:v>L8</x:v>
      </x:c>
      <x:c r="F843" s="2" t="n">
        <x:v>3</x:v>
      </x:c>
      <x:c r="G843" s="2" t="n">
        <x:v>1</x:v>
      </x:c>
      <x:c r="H843" s="2" t="n">
        <x:f>G843+Supuestos!$C$15</x:f>
        <x:v>2</x:v>
      </x:c>
      <x:c r="I843" s="14" t="n">
        <x:f>E2_plantas!J22+G843</x:f>
        <x:v>46182</x:v>
      </x:c>
      <x:c r="J843" s="2" t="str">
        <x:v>N1</x:v>
      </x:c>
      <x:c r="K843" s="2" t="n">
        <x:v>1</x:v>
      </x:c>
      <x:c r="L843" s="2" t="n">
        <x:v>0</x:v>
      </x:c>
      <x:c r="M843" s="2" t="n">
        <x:f>SUM(L$842:L843)</x:f>
        <x:v>0</x:v>
      </x:c>
      <x:c r="N843" s="2" t="n">
        <x:v>0</x:v>
      </x:c>
      <x:c r="O843" s="2" t="str">
        <x:v>seguimiento</x:v>
      </x:c>
      <x:c r="P843" s="2" t="n">
        <x:v>0</x:v>
      </x:c>
      <x:c r="Q843" s="2" t="str">
        <x:v>simulado_didactico</x:v>
      </x:c>
    </x:row>
    <x:row r="844" ht="19" customHeight="1">
      <x:c r="A844" s="2" t="str">
        <x:v>SIM-E2-BB-L8-R03</x:v>
      </x:c>
      <x:c r="B844" s="2" t="n">
        <x:v>2</x:v>
      </x:c>
      <x:c r="C844" s="2" t="str">
        <x:v>BB</x:v>
      </x:c>
      <x:c r="D844" s="2" t="str">
        <x:v>Brevicoryne brassicae</x:v>
      </x:c>
      <x:c r="E844" s="2" t="str">
        <x:v>L8</x:v>
      </x:c>
      <x:c r="F844" s="2" t="n">
        <x:v>3</x:v>
      </x:c>
      <x:c r="G844" s="2" t="n">
        <x:v>2</x:v>
      </x:c>
      <x:c r="H844" s="2" t="n">
        <x:f>G844+Supuestos!$C$15</x:f>
        <x:v>3</x:v>
      </x:c>
      <x:c r="I844" s="14" t="n">
        <x:f>E2_plantas!J22+G844</x:f>
        <x:v>46183</x:v>
      </x:c>
      <x:c r="J844" s="2" t="str">
        <x:v>N2</x:v>
      </x:c>
      <x:c r="K844" s="2" t="n">
        <x:v>1</x:v>
      </x:c>
      <x:c r="L844" s="2" t="n">
        <x:v>0</x:v>
      </x:c>
      <x:c r="M844" s="2" t="n">
        <x:f>SUM(L$842:L844)</x:f>
        <x:v>0</x:v>
      </x:c>
      <x:c r="N844" s="2" t="n">
        <x:v>0</x:v>
      </x:c>
      <x:c r="O844" s="2" t="str">
        <x:v>seguimiento</x:v>
      </x:c>
      <x:c r="P844" s="2" t="n">
        <x:v>0</x:v>
      </x:c>
      <x:c r="Q844" s="2" t="str">
        <x:v>simulado_didactico</x:v>
      </x:c>
    </x:row>
    <x:row r="845" ht="19" customHeight="1">
      <x:c r="A845" s="2" t="str">
        <x:v>SIM-E2-BB-L8-R03</x:v>
      </x:c>
      <x:c r="B845" s="2" t="n">
        <x:v>2</x:v>
      </x:c>
      <x:c r="C845" s="2" t="str">
        <x:v>BB</x:v>
      </x:c>
      <x:c r="D845" s="2" t="str">
        <x:v>Brevicoryne brassicae</x:v>
      </x:c>
      <x:c r="E845" s="2" t="str">
        <x:v>L8</x:v>
      </x:c>
      <x:c r="F845" s="2" t="n">
        <x:v>3</x:v>
      </x:c>
      <x:c r="G845" s="2" t="n">
        <x:v>3</x:v>
      </x:c>
      <x:c r="H845" s="2" t="n">
        <x:f>G845+Supuestos!$C$15</x:f>
        <x:v>4</x:v>
      </x:c>
      <x:c r="I845" s="14" t="n">
        <x:f>E2_plantas!J22+G845</x:f>
        <x:v>46184</x:v>
      </x:c>
      <x:c r="J845" s="2" t="str">
        <x:v>N2</x:v>
      </x:c>
      <x:c r="K845" s="2" t="n">
        <x:v>1</x:v>
      </x:c>
      <x:c r="L845" s="2" t="n">
        <x:v>0</x:v>
      </x:c>
      <x:c r="M845" s="2" t="n">
        <x:f>SUM(L$842:L845)</x:f>
        <x:v>0</x:v>
      </x:c>
      <x:c r="N845" s="2" t="n">
        <x:v>0</x:v>
      </x:c>
      <x:c r="O845" s="2" t="str">
        <x:v>seguimiento</x:v>
      </x:c>
      <x:c r="P845" s="2" t="n">
        <x:v>0</x:v>
      </x:c>
      <x:c r="Q845" s="2" t="str">
        <x:v>simulado_didactico</x:v>
      </x:c>
    </x:row>
    <x:row r="846" ht="19" customHeight="1">
      <x:c r="A846" s="2" t="str">
        <x:v>SIM-E2-BB-L8-R03</x:v>
      </x:c>
      <x:c r="B846" s="2" t="n">
        <x:v>2</x:v>
      </x:c>
      <x:c r="C846" s="2" t="str">
        <x:v>BB</x:v>
      </x:c>
      <x:c r="D846" s="2" t="str">
        <x:v>Brevicoryne brassicae</x:v>
      </x:c>
      <x:c r="E846" s="2" t="str">
        <x:v>L8</x:v>
      </x:c>
      <x:c r="F846" s="2" t="n">
        <x:v>3</x:v>
      </x:c>
      <x:c r="G846" s="2" t="n">
        <x:v>4</x:v>
      </x:c>
      <x:c r="H846" s="2" t="n">
        <x:f>G846+Supuestos!$C$15</x:f>
        <x:v>5</x:v>
      </x:c>
      <x:c r="I846" s="14" t="n">
        <x:f>E2_plantas!J22+G846</x:f>
        <x:v>46185</x:v>
      </x:c>
      <x:c r="J846" s="2" t="str">
        <x:v>N3</x:v>
      </x:c>
      <x:c r="K846" s="2" t="n">
        <x:v>1</x:v>
      </x:c>
      <x:c r="L846" s="2" t="n">
        <x:v>0</x:v>
      </x:c>
      <x:c r="M846" s="2" t="n">
        <x:f>SUM(L$842:L846)</x:f>
        <x:v>0</x:v>
      </x:c>
      <x:c r="N846" s="2" t="n">
        <x:v>0</x:v>
      </x:c>
      <x:c r="O846" s="2" t="str">
        <x:v>seguimiento</x:v>
      </x:c>
      <x:c r="P846" s="2" t="n">
        <x:v>0</x:v>
      </x:c>
      <x:c r="Q846" s="2" t="str">
        <x:v>simulado_didactico</x:v>
      </x:c>
    </x:row>
    <x:row r="847" ht="19" customHeight="1">
      <x:c r="A847" s="2" t="str">
        <x:v>SIM-E2-BB-L8-R03</x:v>
      </x:c>
      <x:c r="B847" s="2" t="n">
        <x:v>2</x:v>
      </x:c>
      <x:c r="C847" s="2" t="str">
        <x:v>BB</x:v>
      </x:c>
      <x:c r="D847" s="2" t="str">
        <x:v>Brevicoryne brassicae</x:v>
      </x:c>
      <x:c r="E847" s="2" t="str">
        <x:v>L8</x:v>
      </x:c>
      <x:c r="F847" s="2" t="n">
        <x:v>3</x:v>
      </x:c>
      <x:c r="G847" s="2" t="n">
        <x:v>5</x:v>
      </x:c>
      <x:c r="H847" s="2" t="n">
        <x:f>G847+Supuestos!$C$15</x:f>
        <x:v>6</x:v>
      </x:c>
      <x:c r="I847" s="14" t="n">
        <x:f>E2_plantas!J22+G847</x:f>
        <x:v>46186</x:v>
      </x:c>
      <x:c r="J847" s="2" t="str">
        <x:v>N3</x:v>
      </x:c>
      <x:c r="K847" s="2" t="n">
        <x:v>1</x:v>
      </x:c>
      <x:c r="L847" s="2" t="n">
        <x:v>0</x:v>
      </x:c>
      <x:c r="M847" s="2" t="n">
        <x:f>SUM(L$842:L847)</x:f>
        <x:v>0</x:v>
      </x:c>
      <x:c r="N847" s="2" t="n">
        <x:v>0</x:v>
      </x:c>
      <x:c r="O847" s="2" t="str">
        <x:v>seguimiento</x:v>
      </x:c>
      <x:c r="P847" s="2" t="n">
        <x:v>0</x:v>
      </x:c>
      <x:c r="Q847" s="2" t="str">
        <x:v>simulado_didactico</x:v>
      </x:c>
    </x:row>
    <x:row r="848" ht="19" customHeight="1">
      <x:c r="A848" s="2" t="str">
        <x:v>SIM-E2-BB-L8-R03</x:v>
      </x:c>
      <x:c r="B848" s="2" t="n">
        <x:v>2</x:v>
      </x:c>
      <x:c r="C848" s="2" t="str">
        <x:v>BB</x:v>
      </x:c>
      <x:c r="D848" s="2" t="str">
        <x:v>Brevicoryne brassicae</x:v>
      </x:c>
      <x:c r="E848" s="2" t="str">
        <x:v>L8</x:v>
      </x:c>
      <x:c r="F848" s="2" t="n">
        <x:v>3</x:v>
      </x:c>
      <x:c r="G848" s="2" t="n">
        <x:v>6</x:v>
      </x:c>
      <x:c r="H848" s="2" t="n">
        <x:f>G848+Supuestos!$C$15</x:f>
        <x:v>7</x:v>
      </x:c>
      <x:c r="I848" s="14" t="n">
        <x:f>E2_plantas!J22+G848</x:f>
        <x:v>46187</x:v>
      </x:c>
      <x:c r="J848" s="2" t="str">
        <x:v>N3</x:v>
      </x:c>
      <x:c r="K848" s="2" t="n">
        <x:v>1</x:v>
      </x:c>
      <x:c r="L848" s="2" t="n">
        <x:v>0</x:v>
      </x:c>
      <x:c r="M848" s="2" t="n">
        <x:f>SUM(L$842:L848)</x:f>
        <x:v>0</x:v>
      </x:c>
      <x:c r="N848" s="2" t="n">
        <x:v>0</x:v>
      </x:c>
      <x:c r="O848" s="2" t="str">
        <x:v>seguimiento</x:v>
      </x:c>
      <x:c r="P848" s="2" t="n">
        <x:v>0</x:v>
      </x:c>
      <x:c r="Q848" s="2" t="str">
        <x:v>simulado_didactico</x:v>
      </x:c>
    </x:row>
    <x:row r="849" ht="19" customHeight="1">
      <x:c r="A849" s="2" t="str">
        <x:v>SIM-E2-BB-L8-R03</x:v>
      </x:c>
      <x:c r="B849" s="2" t="n">
        <x:v>2</x:v>
      </x:c>
      <x:c r="C849" s="2" t="str">
        <x:v>BB</x:v>
      </x:c>
      <x:c r="D849" s="2" t="str">
        <x:v>Brevicoryne brassicae</x:v>
      </x:c>
      <x:c r="E849" s="2" t="str">
        <x:v>L8</x:v>
      </x:c>
      <x:c r="F849" s="2" t="n">
        <x:v>3</x:v>
      </x:c>
      <x:c r="G849" s="2" t="n">
        <x:v>7</x:v>
      </x:c>
      <x:c r="H849" s="2" t="n">
        <x:f>G849+Supuestos!$C$15</x:f>
        <x:v>8</x:v>
      </x:c>
      <x:c r="I849" s="14" t="n">
        <x:f>E2_plantas!J22+G849</x:f>
        <x:v>46188</x:v>
      </x:c>
      <x:c r="J849" s="2" t="str">
        <x:v>N3</x:v>
      </x:c>
      <x:c r="K849" s="2" t="n">
        <x:v>1</x:v>
      </x:c>
      <x:c r="L849" s="2" t="n">
        <x:v>0</x:v>
      </x:c>
      <x:c r="M849" s="2" t="n">
        <x:f>SUM(L$842:L849)</x:f>
        <x:v>0</x:v>
      </x:c>
      <x:c r="N849" s="2" t="n">
        <x:v>0</x:v>
      </x:c>
      <x:c r="O849" s="2" t="str">
        <x:v>seguimiento</x:v>
      </x:c>
      <x:c r="P849" s="2" t="n">
        <x:v>0</x:v>
      </x:c>
      <x:c r="Q849" s="2" t="str">
        <x:v>simulado_didactico</x:v>
      </x:c>
    </x:row>
    <x:row r="850" ht="19" customHeight="1">
      <x:c r="A850" s="2" t="str">
        <x:v>SIM-E2-BB-L8-R03</x:v>
      </x:c>
      <x:c r="B850" s="2" t="n">
        <x:v>2</x:v>
      </x:c>
      <x:c r="C850" s="2" t="str">
        <x:v>BB</x:v>
      </x:c>
      <x:c r="D850" s="2" t="str">
        <x:v>Brevicoryne brassicae</x:v>
      </x:c>
      <x:c r="E850" s="2" t="str">
        <x:v>L8</x:v>
      </x:c>
      <x:c r="F850" s="2" t="n">
        <x:v>3</x:v>
      </x:c>
      <x:c r="G850" s="2" t="n">
        <x:v>8</x:v>
      </x:c>
      <x:c r="H850" s="2" t="n">
        <x:f>G850+Supuestos!$C$15</x:f>
        <x:v>9</x:v>
      </x:c>
      <x:c r="I850" s="14" t="n">
        <x:f>E2_plantas!J22+G850</x:f>
        <x:v>46189</x:v>
      </x:c>
      <x:c r="J850" s="2" t="str">
        <x:v>N4</x:v>
      </x:c>
      <x:c r="K850" s="2" t="n">
        <x:v>1</x:v>
      </x:c>
      <x:c r="L850" s="2" t="n">
        <x:v>0</x:v>
      </x:c>
      <x:c r="M850" s="2" t="n">
        <x:f>SUM(L$842:L850)</x:f>
        <x:v>0</x:v>
      </x:c>
      <x:c r="N850" s="2" t="n">
        <x:v>0</x:v>
      </x:c>
      <x:c r="O850" s="2" t="str">
        <x:v>seguimiento</x:v>
      </x:c>
      <x:c r="P850" s="2" t="n">
        <x:v>0</x:v>
      </x:c>
      <x:c r="Q850" s="2" t="str">
        <x:v>simulado_didactico</x:v>
      </x:c>
    </x:row>
    <x:row r="851" ht="19" customHeight="1">
      <x:c r="A851" s="2" t="str">
        <x:v>SIM-E2-BB-L8-R03</x:v>
      </x:c>
      <x:c r="B851" s="2" t="n">
        <x:v>2</x:v>
      </x:c>
      <x:c r="C851" s="2" t="str">
        <x:v>BB</x:v>
      </x:c>
      <x:c r="D851" s="2" t="str">
        <x:v>Brevicoryne brassicae</x:v>
      </x:c>
      <x:c r="E851" s="2" t="str">
        <x:v>L8</x:v>
      </x:c>
      <x:c r="F851" s="2" t="n">
        <x:v>3</x:v>
      </x:c>
      <x:c r="G851" s="2" t="n">
        <x:v>9</x:v>
      </x:c>
      <x:c r="H851" s="2" t="n">
        <x:f>G851+Supuestos!$C$15</x:f>
        <x:v>10</x:v>
      </x:c>
      <x:c r="I851" s="14" t="n">
        <x:f>E2_plantas!J22+G851</x:f>
        <x:v>46190</x:v>
      </x:c>
      <x:c r="J851" s="2" t="str">
        <x:v>adulta</x:v>
      </x:c>
      <x:c r="K851" s="2" t="n">
        <x:v>1</x:v>
      </x:c>
      <x:c r="L851" s="2" t="n">
        <x:v>0</x:v>
      </x:c>
      <x:c r="M851" s="2" t="n">
        <x:f>SUM(L$842:L851)</x:f>
        <x:v>0</x:v>
      </x:c>
      <x:c r="N851" s="2" t="n">
        <x:v>0</x:v>
      </x:c>
      <x:c r="O851" s="2" t="str">
        <x:v>seguimiento</x:v>
      </x:c>
      <x:c r="P851" s="2" t="n">
        <x:v>0</x:v>
      </x:c>
      <x:c r="Q851" s="2" t="str">
        <x:v>simulado_didactico</x:v>
      </x:c>
    </x:row>
    <x:row r="852" ht="19" customHeight="1">
      <x:c r="A852" s="2" t="str">
        <x:v>SIM-E2-BB-L8-R03</x:v>
      </x:c>
      <x:c r="B852" s="2" t="n">
        <x:v>2</x:v>
      </x:c>
      <x:c r="C852" s="2" t="str">
        <x:v>BB</x:v>
      </x:c>
      <x:c r="D852" s="2" t="str">
        <x:v>Brevicoryne brassicae</x:v>
      </x:c>
      <x:c r="E852" s="2" t="str">
        <x:v>L8</x:v>
      </x:c>
      <x:c r="F852" s="2" t="n">
        <x:v>3</x:v>
      </x:c>
      <x:c r="G852" s="2" t="n">
        <x:v>10</x:v>
      </x:c>
      <x:c r="H852" s="2" t="n">
        <x:f>G852+Supuestos!$C$15</x:f>
        <x:v>11</x:v>
      </x:c>
      <x:c r="I852" s="14" t="n">
        <x:f>E2_plantas!J22+G852</x:f>
        <x:v>46191</x:v>
      </x:c>
      <x:c r="J852" s="2" t="str">
        <x:v>adulta</x:v>
      </x:c>
      <x:c r="K852" s="2" t="n">
        <x:v>1</x:v>
      </x:c>
      <x:c r="L852" s="2" t="n">
        <x:v>0</x:v>
      </x:c>
      <x:c r="M852" s="2" t="n">
        <x:f>SUM(L$842:L852)</x:f>
        <x:v>0</x:v>
      </x:c>
      <x:c r="N852" s="2" t="n">
        <x:v>0</x:v>
      </x:c>
      <x:c r="O852" s="2" t="str">
        <x:v>seguimiento</x:v>
      </x:c>
      <x:c r="P852" s="2" t="n">
        <x:v>0</x:v>
      </x:c>
      <x:c r="Q852" s="2" t="str">
        <x:v>simulado_didactico</x:v>
      </x:c>
    </x:row>
    <x:row r="853" ht="19" customHeight="1">
      <x:c r="A853" s="2" t="str">
        <x:v>SIM-E2-BB-L8-R03</x:v>
      </x:c>
      <x:c r="B853" s="2" t="n">
        <x:v>2</x:v>
      </x:c>
      <x:c r="C853" s="2" t="str">
        <x:v>BB</x:v>
      </x:c>
      <x:c r="D853" s="2" t="str">
        <x:v>Brevicoryne brassicae</x:v>
      </x:c>
      <x:c r="E853" s="2" t="str">
        <x:v>L8</x:v>
      </x:c>
      <x:c r="F853" s="2" t="n">
        <x:v>3</x:v>
      </x:c>
      <x:c r="G853" s="2" t="n">
        <x:v>11</x:v>
      </x:c>
      <x:c r="H853" s="2" t="n">
        <x:f>G853+Supuestos!$C$15</x:f>
        <x:v>12</x:v>
      </x:c>
      <x:c r="I853" s="14" t="n">
        <x:f>E2_plantas!J22+G853</x:f>
        <x:v>46192</x:v>
      </x:c>
      <x:c r="J853" s="2" t="str">
        <x:v>adulta</x:v>
      </x:c>
      <x:c r="K853" s="2" t="n">
        <x:v>1</x:v>
      </x:c>
      <x:c r="L853" s="2" t="n">
        <x:v>1</x:v>
      </x:c>
      <x:c r="M853" s="2" t="n">
        <x:f>SUM(L$842:L853)</x:f>
        <x:v>1</x:v>
      </x:c>
      <x:c r="N853" s="2" t="n">
        <x:v>0</x:v>
      </x:c>
      <x:c r="O853" s="2" t="str">
        <x:v>seguimiento</x:v>
      </x:c>
      <x:c r="P853" s="2" t="n">
        <x:v>0</x:v>
      </x:c>
      <x:c r="Q853" s="2" t="str">
        <x:v>simulado_didactico</x:v>
      </x:c>
    </x:row>
    <x:row r="854" ht="19" customHeight="1">
      <x:c r="A854" s="2" t="str">
        <x:v>SIM-E2-BB-L8-R03</x:v>
      </x:c>
      <x:c r="B854" s="2" t="n">
        <x:v>2</x:v>
      </x:c>
      <x:c r="C854" s="2" t="str">
        <x:v>BB</x:v>
      </x:c>
      <x:c r="D854" s="2" t="str">
        <x:v>Brevicoryne brassicae</x:v>
      </x:c>
      <x:c r="E854" s="2" t="str">
        <x:v>L8</x:v>
      </x:c>
      <x:c r="F854" s="2" t="n">
        <x:v>3</x:v>
      </x:c>
      <x:c r="G854" s="2" t="n">
        <x:v>12</x:v>
      </x:c>
      <x:c r="H854" s="2" t="n">
        <x:f>G854+Supuestos!$C$15</x:f>
        <x:v>13</x:v>
      </x:c>
      <x:c r="I854" s="14" t="n">
        <x:f>E2_plantas!J22+G854</x:f>
        <x:v>46193</x:v>
      </x:c>
      <x:c r="J854" s="2" t="str">
        <x:v>adulta</x:v>
      </x:c>
      <x:c r="K854" s="2" t="n">
        <x:v>1</x:v>
      </x:c>
      <x:c r="L854" s="2" t="n">
        <x:v>4</x:v>
      </x:c>
      <x:c r="M854" s="2" t="n">
        <x:f>SUM(L$842:L854)</x:f>
        <x:v>5</x:v>
      </x:c>
      <x:c r="N854" s="2" t="n">
        <x:v>0</x:v>
      </x:c>
      <x:c r="O854" s="2" t="str">
        <x:v>seguimiento</x:v>
      </x:c>
      <x:c r="P854" s="2" t="n">
        <x:v>0</x:v>
      </x:c>
      <x:c r="Q854" s="2" t="str">
        <x:v>simulado_didactico</x:v>
      </x:c>
    </x:row>
    <x:row r="855" ht="19" customHeight="1">
      <x:c r="A855" s="2" t="str">
        <x:v>SIM-E2-BB-L8-R03</x:v>
      </x:c>
      <x:c r="B855" s="2" t="n">
        <x:v>2</x:v>
      </x:c>
      <x:c r="C855" s="2" t="str">
        <x:v>BB</x:v>
      </x:c>
      <x:c r="D855" s="2" t="str">
        <x:v>Brevicoryne brassicae</x:v>
      </x:c>
      <x:c r="E855" s="2" t="str">
        <x:v>L8</x:v>
      </x:c>
      <x:c r="F855" s="2" t="n">
        <x:v>3</x:v>
      </x:c>
      <x:c r="G855" s="2" t="n">
        <x:v>13</x:v>
      </x:c>
      <x:c r="H855" s="2" t="n">
        <x:f>G855+Supuestos!$C$15</x:f>
        <x:v>14</x:v>
      </x:c>
      <x:c r="I855" s="14" t="n">
        <x:f>E2_plantas!J22+G855</x:f>
        <x:v>46194</x:v>
      </x:c>
      <x:c r="J855" s="2" t="str">
        <x:v>adulta</x:v>
      </x:c>
      <x:c r="K855" s="2" t="n">
        <x:v>1</x:v>
      </x:c>
      <x:c r="L855" s="2" t="n">
        <x:v>2</x:v>
      </x:c>
      <x:c r="M855" s="2" t="n">
        <x:f>SUM(L$842:L855)</x:f>
        <x:v>7</x:v>
      </x:c>
      <x:c r="N855" s="2" t="n">
        <x:v>0</x:v>
      </x:c>
      <x:c r="O855" s="2" t="str">
        <x:v>seguimiento</x:v>
      </x:c>
      <x:c r="P855" s="2" t="n">
        <x:v>0</x:v>
      </x:c>
      <x:c r="Q855" s="2" t="str">
        <x:v>simulado_didactico</x:v>
      </x:c>
    </x:row>
    <x:row r="856" ht="19" customHeight="1">
      <x:c r="A856" s="2" t="str">
        <x:v>SIM-E2-BB-L8-R03</x:v>
      </x:c>
      <x:c r="B856" s="2" t="n">
        <x:v>2</x:v>
      </x:c>
      <x:c r="C856" s="2" t="str">
        <x:v>BB</x:v>
      </x:c>
      <x:c r="D856" s="2" t="str">
        <x:v>Brevicoryne brassicae</x:v>
      </x:c>
      <x:c r="E856" s="2" t="str">
        <x:v>L8</x:v>
      </x:c>
      <x:c r="F856" s="2" t="n">
        <x:v>3</x:v>
      </x:c>
      <x:c r="G856" s="2" t="n">
        <x:v>14</x:v>
      </x:c>
      <x:c r="H856" s="2" t="n">
        <x:f>G856+Supuestos!$C$15</x:f>
        <x:v>15</x:v>
      </x:c>
      <x:c r="I856" s="14" t="n">
        <x:f>E2_plantas!J22+G856</x:f>
        <x:v>46195</x:v>
      </x:c>
      <x:c r="J856" s="2" t="str">
        <x:v>adulta</x:v>
      </x:c>
      <x:c r="K856" s="2" t="n">
        <x:v>1</x:v>
      </x:c>
      <x:c r="L856" s="2" t="n">
        <x:v>0</x:v>
      </x:c>
      <x:c r="M856" s="2" t="n">
        <x:f>SUM(L$842:L856)</x:f>
        <x:v>7</x:v>
      </x:c>
      <x:c r="N856" s="2" t="n">
        <x:v>0</x:v>
      </x:c>
      <x:c r="O856" s="2" t="str">
        <x:v>seguimiento</x:v>
      </x:c>
      <x:c r="P856" s="2" t="n">
        <x:v>0</x:v>
      </x:c>
      <x:c r="Q856" s="2" t="str">
        <x:v>simulado_didactico</x:v>
      </x:c>
    </x:row>
    <x:row r="857" ht="19" customHeight="1">
      <x:c r="A857" s="2" t="str">
        <x:v>SIM-E2-BB-L8-R03</x:v>
      </x:c>
      <x:c r="B857" s="2" t="n">
        <x:v>2</x:v>
      </x:c>
      <x:c r="C857" s="2" t="str">
        <x:v>BB</x:v>
      </x:c>
      <x:c r="D857" s="2" t="str">
        <x:v>Brevicoryne brassicae</x:v>
      </x:c>
      <x:c r="E857" s="2" t="str">
        <x:v>L8</x:v>
      </x:c>
      <x:c r="F857" s="2" t="n">
        <x:v>3</x:v>
      </x:c>
      <x:c r="G857" s="2" t="n">
        <x:v>15</x:v>
      </x:c>
      <x:c r="H857" s="2" t="n">
        <x:f>G857+Supuestos!$C$15</x:f>
        <x:v>16</x:v>
      </x:c>
      <x:c r="I857" s="14" t="n">
        <x:f>E2_plantas!J22+G857</x:f>
        <x:v>46196</x:v>
      </x:c>
      <x:c r="J857" s="2" t="str">
        <x:v>adulta</x:v>
      </x:c>
      <x:c r="K857" s="2" t="n">
        <x:v>1</x:v>
      </x:c>
      <x:c r="L857" s="2" t="n">
        <x:v>3</x:v>
      </x:c>
      <x:c r="M857" s="2" t="n">
        <x:f>SUM(L$842:L857)</x:f>
        <x:v>10</x:v>
      </x:c>
      <x:c r="N857" s="2" t="n">
        <x:v>0</x:v>
      </x:c>
      <x:c r="O857" s="2" t="str">
        <x:v>seguimiento</x:v>
      </x:c>
      <x:c r="P857" s="2" t="n">
        <x:v>0</x:v>
      </x:c>
      <x:c r="Q857" s="2" t="str">
        <x:v>simulado_didactico</x:v>
      </x:c>
    </x:row>
    <x:row r="858" ht="19" customHeight="1">
      <x:c r="A858" s="2" t="str">
        <x:v>SIM-E2-BB-L8-R03</x:v>
      </x:c>
      <x:c r="B858" s="2" t="n">
        <x:v>2</x:v>
      </x:c>
      <x:c r="C858" s="2" t="str">
        <x:v>BB</x:v>
      </x:c>
      <x:c r="D858" s="2" t="str">
        <x:v>Brevicoryne brassicae</x:v>
      </x:c>
      <x:c r="E858" s="2" t="str">
        <x:v>L8</x:v>
      </x:c>
      <x:c r="F858" s="2" t="n">
        <x:v>3</x:v>
      </x:c>
      <x:c r="G858" s="2" t="n">
        <x:v>16</x:v>
      </x:c>
      <x:c r="H858" s="2" t="n">
        <x:f>G858+Supuestos!$C$15</x:f>
        <x:v>17</x:v>
      </x:c>
      <x:c r="I858" s="14" t="n">
        <x:f>E2_plantas!J22+G858</x:f>
        <x:v>46197</x:v>
      </x:c>
      <x:c r="J858" s="2" t="str">
        <x:v>adulta</x:v>
      </x:c>
      <x:c r="K858" s="2" t="n">
        <x:v>1</x:v>
      </x:c>
      <x:c r="L858" s="2" t="n">
        <x:v>2</x:v>
      </x:c>
      <x:c r="M858" s="2" t="n">
        <x:f>SUM(L$842:L858)</x:f>
        <x:v>12</x:v>
      </x:c>
      <x:c r="N858" s="2" t="n">
        <x:v>0</x:v>
      </x:c>
      <x:c r="O858" s="2" t="str">
        <x:v>seguimiento</x:v>
      </x:c>
      <x:c r="P858" s="2" t="n">
        <x:v>0</x:v>
      </x:c>
      <x:c r="Q858" s="2" t="str">
        <x:v>simulado_didactico</x:v>
      </x:c>
    </x:row>
    <x:row r="859" ht="19" customHeight="1">
      <x:c r="A859" s="2" t="str">
        <x:v>SIM-E2-BB-L8-R03</x:v>
      </x:c>
      <x:c r="B859" s="2" t="n">
        <x:v>2</x:v>
      </x:c>
      <x:c r="C859" s="2" t="str">
        <x:v>BB</x:v>
      </x:c>
      <x:c r="D859" s="2" t="str">
        <x:v>Brevicoryne brassicae</x:v>
      </x:c>
      <x:c r="E859" s="2" t="str">
        <x:v>L8</x:v>
      </x:c>
      <x:c r="F859" s="2" t="n">
        <x:v>3</x:v>
      </x:c>
      <x:c r="G859" s="2" t="n">
        <x:v>17</x:v>
      </x:c>
      <x:c r="H859" s="2" t="n">
        <x:f>G859+Supuestos!$C$15</x:f>
        <x:v>18</x:v>
      </x:c>
      <x:c r="I859" s="14" t="n">
        <x:f>E2_plantas!J22+G859</x:f>
        <x:v>46198</x:v>
      </x:c>
      <x:c r="J859" s="2" t="str">
        <x:v>adulta</x:v>
      </x:c>
      <x:c r="K859" s="2" t="n">
        <x:v>1</x:v>
      </x:c>
      <x:c r="L859" s="2" t="n">
        <x:v>2</x:v>
      </x:c>
      <x:c r="M859" s="2" t="n">
        <x:f>SUM(L$842:L859)</x:f>
        <x:v>14</x:v>
      </x:c>
      <x:c r="N859" s="2" t="n">
        <x:v>0</x:v>
      </x:c>
      <x:c r="O859" s="2" t="str">
        <x:v>seguimiento</x:v>
      </x:c>
      <x:c r="P859" s="2" t="n">
        <x:v>0</x:v>
      </x:c>
      <x:c r="Q859" s="2" t="str">
        <x:v>simulado_didactico</x:v>
      </x:c>
    </x:row>
    <x:row r="860" ht="19" customHeight="1">
      <x:c r="A860" s="2" t="str">
        <x:v>SIM-E2-BB-L8-R03</x:v>
      </x:c>
      <x:c r="B860" s="2" t="n">
        <x:v>2</x:v>
      </x:c>
      <x:c r="C860" s="2" t="str">
        <x:v>BB</x:v>
      </x:c>
      <x:c r="D860" s="2" t="str">
        <x:v>Brevicoryne brassicae</x:v>
      </x:c>
      <x:c r="E860" s="2" t="str">
        <x:v>L8</x:v>
      </x:c>
      <x:c r="F860" s="2" t="n">
        <x:v>3</x:v>
      </x:c>
      <x:c r="G860" s="2" t="n">
        <x:v>18</x:v>
      </x:c>
      <x:c r="H860" s="2" t="n">
        <x:f>G860+Supuestos!$C$15</x:f>
        <x:v>19</x:v>
      </x:c>
      <x:c r="I860" s="14" t="n">
        <x:f>E2_plantas!J22+G860</x:f>
        <x:v>46199</x:v>
      </x:c>
      <x:c r="J860" s="2" t="str">
        <x:v>adulta</x:v>
      </x:c>
      <x:c r="K860" s="2" t="n">
        <x:v>1</x:v>
      </x:c>
      <x:c r="L860" s="2" t="n">
        <x:v>3</x:v>
      </x:c>
      <x:c r="M860" s="2" t="n">
        <x:f>SUM(L$842:L860)</x:f>
        <x:v>17</x:v>
      </x:c>
      <x:c r="N860" s="2" t="n">
        <x:v>0</x:v>
      </x:c>
      <x:c r="O860" s="2" t="str">
        <x:v>seguimiento</x:v>
      </x:c>
      <x:c r="P860" s="2" t="n">
        <x:v>0</x:v>
      </x:c>
      <x:c r="Q860" s="2" t="str">
        <x:v>simulado_didactico</x:v>
      </x:c>
    </x:row>
    <x:row r="861" ht="19" customHeight="1">
      <x:c r="A861" s="2" t="str">
        <x:v>SIM-E2-BB-L8-R03</x:v>
      </x:c>
      <x:c r="B861" s="2" t="n">
        <x:v>2</x:v>
      </x:c>
      <x:c r="C861" s="2" t="str">
        <x:v>BB</x:v>
      </x:c>
      <x:c r="D861" s="2" t="str">
        <x:v>Brevicoryne brassicae</x:v>
      </x:c>
      <x:c r="E861" s="2" t="str">
        <x:v>L8</x:v>
      </x:c>
      <x:c r="F861" s="2" t="n">
        <x:v>3</x:v>
      </x:c>
      <x:c r="G861" s="2" t="n">
        <x:v>19</x:v>
      </x:c>
      <x:c r="H861" s="2" t="n">
        <x:f>G861+Supuestos!$C$15</x:f>
        <x:v>20</x:v>
      </x:c>
      <x:c r="I861" s="14" t="n">
        <x:f>E2_plantas!J22+G861</x:f>
        <x:v>46200</x:v>
      </x:c>
      <x:c r="J861" s="2" t="str">
        <x:v>adulta</x:v>
      </x:c>
      <x:c r="K861" s="2" t="n">
        <x:v>1</x:v>
      </x:c>
      <x:c r="L861" s="2" t="n">
        <x:v>1</x:v>
      </x:c>
      <x:c r="M861" s="2" t="n">
        <x:f>SUM(L$842:L861)</x:f>
        <x:v>18</x:v>
      </x:c>
      <x:c r="N861" s="2" t="n">
        <x:v>0</x:v>
      </x:c>
      <x:c r="O861" s="2" t="str">
        <x:v>seguimiento</x:v>
      </x:c>
      <x:c r="P861" s="2" t="n">
        <x:v>0</x:v>
      </x:c>
      <x:c r="Q861" s="2" t="str">
        <x:v>simulado_didactico</x:v>
      </x:c>
    </x:row>
    <x:row r="862" ht="19" customHeight="1">
      <x:c r="A862" s="2" t="str">
        <x:v>SIM-E2-BB-L8-R03</x:v>
      </x:c>
      <x:c r="B862" s="2" t="n">
        <x:v>2</x:v>
      </x:c>
      <x:c r="C862" s="2" t="str">
        <x:v>BB</x:v>
      </x:c>
      <x:c r="D862" s="2" t="str">
        <x:v>Brevicoryne brassicae</x:v>
      </x:c>
      <x:c r="E862" s="2" t="str">
        <x:v>L8</x:v>
      </x:c>
      <x:c r="F862" s="2" t="n">
        <x:v>3</x:v>
      </x:c>
      <x:c r="G862" s="2" t="n">
        <x:v>20</x:v>
      </x:c>
      <x:c r="H862" s="2" t="n">
        <x:f>G862+Supuestos!$C$15</x:f>
        <x:v>21</x:v>
      </x:c>
      <x:c r="I862" s="14" t="n">
        <x:f>E2_plantas!J22+G862</x:f>
        <x:v>46201</x:v>
      </x:c>
      <x:c r="J862" s="2" t="str">
        <x:v>adulta</x:v>
      </x:c>
      <x:c r="K862" s="2" t="n">
        <x:v>1</x:v>
      </x:c>
      <x:c r="L862" s="2" t="n">
        <x:v>0</x:v>
      </x:c>
      <x:c r="M862" s="2" t="n">
        <x:f>SUM(L$842:L862)</x:f>
        <x:v>18</x:v>
      </x:c>
      <x:c r="N862" s="2" t="n">
        <x:v>0</x:v>
      </x:c>
      <x:c r="O862" s="2" t="str">
        <x:v>seguimiento</x:v>
      </x:c>
      <x:c r="P862" s="2" t="n">
        <x:v>0</x:v>
      </x:c>
      <x:c r="Q862" s="2" t="str">
        <x:v>simulado_didactico</x:v>
      </x:c>
    </x:row>
    <x:row r="863" ht="19" customHeight="1">
      <x:c r="A863" s="2" t="str">
        <x:v>SIM-E2-BB-L8-R03</x:v>
      </x:c>
      <x:c r="B863" s="2" t="n">
        <x:v>2</x:v>
      </x:c>
      <x:c r="C863" s="2" t="str">
        <x:v>BB</x:v>
      </x:c>
      <x:c r="D863" s="2" t="str">
        <x:v>Brevicoryne brassicae</x:v>
      </x:c>
      <x:c r="E863" s="2" t="str">
        <x:v>L8</x:v>
      </x:c>
      <x:c r="F863" s="2" t="n">
        <x:v>3</x:v>
      </x:c>
      <x:c r="G863" s="2" t="n">
        <x:v>21</x:v>
      </x:c>
      <x:c r="H863" s="2" t="n">
        <x:f>G863+Supuestos!$C$15</x:f>
        <x:v>22</x:v>
      </x:c>
      <x:c r="I863" s="14" t="n">
        <x:f>E2_plantas!J22+G863</x:f>
        <x:v>46202</x:v>
      </x:c>
      <x:c r="J863" s="2" t="str">
        <x:v>adulta</x:v>
      </x:c>
      <x:c r="K863" s="2" t="n">
        <x:v>1</x:v>
      </x:c>
      <x:c r="L863" s="2" t="n">
        <x:v>0</x:v>
      </x:c>
      <x:c r="M863" s="2" t="n">
        <x:f>SUM(L$842:L863)</x:f>
        <x:v>18</x:v>
      </x:c>
      <x:c r="N863" s="2" t="n">
        <x:v>0</x:v>
      </x:c>
      <x:c r="O863" s="2" t="str">
        <x:v>seguimiento</x:v>
      </x:c>
      <x:c r="P863" s="2" t="n">
        <x:v>0</x:v>
      </x:c>
      <x:c r="Q863" s="2" t="str">
        <x:v>simulado_didactico</x:v>
      </x:c>
    </x:row>
    <x:row r="864" ht="19" customHeight="1">
      <x:c r="A864" s="2" t="str">
        <x:v>SIM-E2-BB-L8-R03</x:v>
      </x:c>
      <x:c r="B864" s="2" t="n">
        <x:v>2</x:v>
      </x:c>
      <x:c r="C864" s="2" t="str">
        <x:v>BB</x:v>
      </x:c>
      <x:c r="D864" s="2" t="str">
        <x:v>Brevicoryne brassicae</x:v>
      </x:c>
      <x:c r="E864" s="2" t="str">
        <x:v>L8</x:v>
      </x:c>
      <x:c r="F864" s="2" t="n">
        <x:v>3</x:v>
      </x:c>
      <x:c r="G864" s="2" t="n">
        <x:v>22</x:v>
      </x:c>
      <x:c r="H864" s="2" t="n">
        <x:f>G864+Supuestos!$C$15</x:f>
        <x:v>23</x:v>
      </x:c>
      <x:c r="I864" s="14" t="n">
        <x:f>E2_plantas!J22+G864</x:f>
        <x:v>46203</x:v>
      </x:c>
      <x:c r="J864" s="2" t="str">
        <x:v>adulta</x:v>
      </x:c>
      <x:c r="K864" s="2" t="n">
        <x:v>1</x:v>
      </x:c>
      <x:c r="L864" s="2" t="n">
        <x:v>0</x:v>
      </x:c>
      <x:c r="M864" s="2" t="n">
        <x:f>SUM(L$842:L864)</x:f>
        <x:v>18</x:v>
      </x:c>
      <x:c r="N864" s="2" t="n">
        <x:v>0</x:v>
      </x:c>
      <x:c r="O864" s="2" t="str">
        <x:v>seguimiento</x:v>
      </x:c>
      <x:c r="P864" s="2" t="n">
        <x:v>0</x:v>
      </x:c>
      <x:c r="Q864" s="2" t="str">
        <x:v>simulado_didactico</x:v>
      </x:c>
    </x:row>
    <x:row r="865" ht="19" customHeight="1">
      <x:c r="A865" s="2" t="str">
        <x:v>SIM-E2-BB-L8-R03</x:v>
      </x:c>
      <x:c r="B865" s="2" t="n">
        <x:v>2</x:v>
      </x:c>
      <x:c r="C865" s="2" t="str">
        <x:v>BB</x:v>
      </x:c>
      <x:c r="D865" s="2" t="str">
        <x:v>Brevicoryne brassicae</x:v>
      </x:c>
      <x:c r="E865" s="2" t="str">
        <x:v>L8</x:v>
      </x:c>
      <x:c r="F865" s="2" t="n">
        <x:v>3</x:v>
      </x:c>
      <x:c r="G865" s="2" t="n">
        <x:v>23</x:v>
      </x:c>
      <x:c r="H865" s="2" t="n">
        <x:f>G865+Supuestos!$C$15</x:f>
        <x:v>24</x:v>
      </x:c>
      <x:c r="I865" s="14" t="n">
        <x:f>E2_plantas!J22+G865</x:f>
        <x:v>46204</x:v>
      </x:c>
      <x:c r="J865" s="2" t="str">
        <x:v>adulta</x:v>
      </x:c>
      <x:c r="K865" s="2" t="n">
        <x:v>1</x:v>
      </x:c>
      <x:c r="L865" s="2" t="n">
        <x:v>0</x:v>
      </x:c>
      <x:c r="M865" s="2" t="n">
        <x:f>SUM(L$842:L865)</x:f>
        <x:v>18</x:v>
      </x:c>
      <x:c r="N865" s="2" t="n">
        <x:v>0</x:v>
      </x:c>
      <x:c r="O865" s="2" t="str">
        <x:v>seguimiento</x:v>
      </x:c>
      <x:c r="P865" s="2" t="n">
        <x:v>0</x:v>
      </x:c>
      <x:c r="Q865" s="2" t="str">
        <x:v>simulado_didactico</x:v>
      </x:c>
    </x:row>
    <x:row r="866" ht="19" customHeight="1">
      <x:c r="A866" s="2" t="str">
        <x:v>SIM-E2-BB-L8-R03</x:v>
      </x:c>
      <x:c r="B866" s="2" t="n">
        <x:v>2</x:v>
      </x:c>
      <x:c r="C866" s="2" t="str">
        <x:v>BB</x:v>
      </x:c>
      <x:c r="D866" s="2" t="str">
        <x:v>Brevicoryne brassicae</x:v>
      </x:c>
      <x:c r="E866" s="2" t="str">
        <x:v>L8</x:v>
      </x:c>
      <x:c r="F866" s="2" t="n">
        <x:v>3</x:v>
      </x:c>
      <x:c r="G866" s="2" t="n">
        <x:v>24</x:v>
      </x:c>
      <x:c r="H866" s="2" t="n">
        <x:f>G866+Supuestos!$C$15</x:f>
        <x:v>25</x:v>
      </x:c>
      <x:c r="I866" s="14" t="n">
        <x:f>E2_plantas!J22+G866</x:f>
        <x:v>46205</x:v>
      </x:c>
      <x:c r="J866" s="2" t="str">
        <x:v>muerta</x:v>
      </x:c>
      <x:c r="K866" s="2" t="n">
        <x:v>0</x:v>
      </x:c>
      <x:c r="L866" s="2" t="n">
        <x:v>0</x:v>
      </x:c>
      <x:c r="M866" s="2" t="n">
        <x:f>SUM(L$842:L866)</x:f>
        <x:v>18</x:v>
      </x:c>
      <x:c r="N866" s="2" t="n">
        <x:v>1</x:v>
      </x:c>
      <x:c r="O866" s="2" t="str">
        <x:v>muerte</x:v>
      </x:c>
      <x:c r="P866" s="2" t="n">
        <x:v>0</x:v>
      </x:c>
      <x:c r="Q866" s="2" t="str">
        <x:v>simulado_didactico</x:v>
      </x:c>
    </x:row>
    <x:row r="867" ht="19" customHeight="1">
      <x:c r="A867" s="2" t="str">
        <x:v>SIM-E2-BB-L8-R03</x:v>
      </x:c>
      <x:c r="B867" s="2" t="n">
        <x:v>2</x:v>
      </x:c>
      <x:c r="C867" s="2" t="str">
        <x:v>BB</x:v>
      </x:c>
      <x:c r="D867" s="2" t="str">
        <x:v>Brevicoryne brassicae</x:v>
      </x:c>
      <x:c r="E867" s="2" t="str">
        <x:v>L8</x:v>
      </x:c>
      <x:c r="F867" s="2" t="n">
        <x:v>3</x:v>
      </x:c>
      <x:c r="G867" s="2" t="n">
        <x:v>25</x:v>
      </x:c>
      <x:c r="H867" s="2" t="n">
        <x:f>G867+Supuestos!$C$15</x:f>
        <x:v>26</x:v>
      </x:c>
      <x:c r="I867" s="14" t="n">
        <x:f>E2_plantas!J22+G867</x:f>
        <x:v>46206</x:v>
      </x:c>
      <x:c r="J867" s="2" t="str">
        <x:v>muerta</x:v>
      </x:c>
      <x:c r="K867" s="2" t="n">
        <x:v>0</x:v>
      </x:c>
      <x:c r="L867" s="2" t="n">
        <x:v>0</x:v>
      </x:c>
      <x:c r="M867" s="2" t="n">
        <x:f>SUM(L$842:L867)</x:f>
        <x:v>18</x:v>
      </x:c>
      <x:c r="N867" s="2" t="n">
        <x:v>0</x:v>
      </x:c>
      <x:c r="O867" s="2" t="str">
        <x:v>relleno_postmuerte</x:v>
      </x:c>
      <x:c r="P867" s="2" t="n">
        <x:v>0</x:v>
      </x:c>
      <x:c r="Q867" s="2" t="str">
        <x:v>simulado_didactico</x:v>
      </x:c>
    </x:row>
    <x:row r="868" ht="19" customHeight="1">
      <x:c r="A868" s="2" t="str">
        <x:v>SIM-E2-BB-L8-R03</x:v>
      </x:c>
      <x:c r="B868" s="2" t="n">
        <x:v>2</x:v>
      </x:c>
      <x:c r="C868" s="2" t="str">
        <x:v>BB</x:v>
      </x:c>
      <x:c r="D868" s="2" t="str">
        <x:v>Brevicoryne brassicae</x:v>
      </x:c>
      <x:c r="E868" s="2" t="str">
        <x:v>L8</x:v>
      </x:c>
      <x:c r="F868" s="2" t="n">
        <x:v>3</x:v>
      </x:c>
      <x:c r="G868" s="2" t="n">
        <x:v>26</x:v>
      </x:c>
      <x:c r="H868" s="2" t="n">
        <x:f>G868+Supuestos!$C$15</x:f>
        <x:v>27</x:v>
      </x:c>
      <x:c r="I868" s="14" t="n">
        <x:f>E2_plantas!J22+G868</x:f>
        <x:v>46207</x:v>
      </x:c>
      <x:c r="J868" s="2" t="str">
        <x:v>muerta</x:v>
      </x:c>
      <x:c r="K868" s="2" t="n">
        <x:v>0</x:v>
      </x:c>
      <x:c r="L868" s="2" t="n">
        <x:v>0</x:v>
      </x:c>
      <x:c r="M868" s="2" t="n">
        <x:f>SUM(L$842:L868)</x:f>
        <x:v>18</x:v>
      </x:c>
      <x:c r="N868" s="2" t="n">
        <x:v>0</x:v>
      </x:c>
      <x:c r="O868" s="2" t="str">
        <x:v>relleno_postmuerte</x:v>
      </x:c>
      <x:c r="P868" s="2" t="n">
        <x:v>0</x:v>
      </x:c>
      <x:c r="Q868" s="2" t="str">
        <x:v>simulado_didactico</x:v>
      </x:c>
    </x:row>
    <x:row r="869" ht="19" customHeight="1">
      <x:c r="A869" s="2" t="str">
        <x:v>SIM-E2-BB-L8-R03</x:v>
      </x:c>
      <x:c r="B869" s="2" t="n">
        <x:v>2</x:v>
      </x:c>
      <x:c r="C869" s="2" t="str">
        <x:v>BB</x:v>
      </x:c>
      <x:c r="D869" s="2" t="str">
        <x:v>Brevicoryne brassicae</x:v>
      </x:c>
      <x:c r="E869" s="2" t="str">
        <x:v>L8</x:v>
      </x:c>
      <x:c r="F869" s="2" t="n">
        <x:v>3</x:v>
      </x:c>
      <x:c r="G869" s="2" t="n">
        <x:v>27</x:v>
      </x:c>
      <x:c r="H869" s="2" t="n">
        <x:f>G869+Supuestos!$C$15</x:f>
        <x:v>28</x:v>
      </x:c>
      <x:c r="I869" s="14" t="n">
        <x:f>E2_plantas!J22+G869</x:f>
        <x:v>46208</x:v>
      </x:c>
      <x:c r="J869" s="2" t="str">
        <x:v>muerta</x:v>
      </x:c>
      <x:c r="K869" s="2" t="n">
        <x:v>0</x:v>
      </x:c>
      <x:c r="L869" s="2" t="n">
        <x:v>0</x:v>
      </x:c>
      <x:c r="M869" s="2" t="n">
        <x:f>SUM(L$842:L869)</x:f>
        <x:v>18</x:v>
      </x:c>
      <x:c r="N869" s="2" t="n">
        <x:v>0</x:v>
      </x:c>
      <x:c r="O869" s="2" t="str">
        <x:v>relleno_postmuerte</x:v>
      </x:c>
      <x:c r="P869" s="2" t="n">
        <x:v>0</x:v>
      </x:c>
      <x:c r="Q869" s="2" t="str">
        <x:v>simulado_didactico</x:v>
      </x:c>
    </x:row>
    <x:row r="870" ht="19" customHeight="1">
      <x:c r="A870" s="2" t="str">
        <x:v>SIM-E2-BB-L8-R03</x:v>
      </x:c>
      <x:c r="B870" s="2" t="n">
        <x:v>2</x:v>
      </x:c>
      <x:c r="C870" s="2" t="str">
        <x:v>BB</x:v>
      </x:c>
      <x:c r="D870" s="2" t="str">
        <x:v>Brevicoryne brassicae</x:v>
      </x:c>
      <x:c r="E870" s="2" t="str">
        <x:v>L8</x:v>
      </x:c>
      <x:c r="F870" s="2" t="n">
        <x:v>3</x:v>
      </x:c>
      <x:c r="G870" s="2" t="n">
        <x:v>28</x:v>
      </x:c>
      <x:c r="H870" s="2" t="n">
        <x:f>G870+Supuestos!$C$15</x:f>
        <x:v>29</x:v>
      </x:c>
      <x:c r="I870" s="14" t="n">
        <x:f>E2_plantas!J22+G870</x:f>
        <x:v>46209</x:v>
      </x:c>
      <x:c r="J870" s="2" t="str">
        <x:v>muerta</x:v>
      </x:c>
      <x:c r="K870" s="2" t="n">
        <x:v>0</x:v>
      </x:c>
      <x:c r="L870" s="2" t="n">
        <x:v>0</x:v>
      </x:c>
      <x:c r="M870" s="2" t="n">
        <x:f>SUM(L$842:L870)</x:f>
        <x:v>18</x:v>
      </x:c>
      <x:c r="N870" s="2" t="n">
        <x:v>0</x:v>
      </x:c>
      <x:c r="O870" s="2" t="str">
        <x:v>relleno_postmuerte</x:v>
      </x:c>
      <x:c r="P870" s="2" t="n">
        <x:v>0</x:v>
      </x:c>
      <x:c r="Q870" s="2" t="str">
        <x:v>simulado_didactico</x:v>
      </x:c>
    </x:row>
    <x:row r="871" ht="19" customHeight="1">
      <x:c r="A871" s="2" t="str">
        <x:v>SIM-E2-BB-L8-R03</x:v>
      </x:c>
      <x:c r="B871" s="2" t="n">
        <x:v>2</x:v>
      </x:c>
      <x:c r="C871" s="2" t="str">
        <x:v>BB</x:v>
      </x:c>
      <x:c r="D871" s="2" t="str">
        <x:v>Brevicoryne brassicae</x:v>
      </x:c>
      <x:c r="E871" s="2" t="str">
        <x:v>L8</x:v>
      </x:c>
      <x:c r="F871" s="2" t="n">
        <x:v>3</x:v>
      </x:c>
      <x:c r="G871" s="2" t="n">
        <x:v>29</x:v>
      </x:c>
      <x:c r="H871" s="2" t="n">
        <x:f>G871+Supuestos!$C$15</x:f>
        <x:v>30</x:v>
      </x:c>
      <x:c r="I871" s="14" t="n">
        <x:f>E2_plantas!J22+G871</x:f>
        <x:v>46210</x:v>
      </x:c>
      <x:c r="J871" s="2" t="str">
        <x:v>muerta</x:v>
      </x:c>
      <x:c r="K871" s="2" t="n">
        <x:v>0</x:v>
      </x:c>
      <x:c r="L871" s="2" t="n">
        <x:v>0</x:v>
      </x:c>
      <x:c r="M871" s="2" t="n">
        <x:f>SUM(L$842:L871)</x:f>
        <x:v>18</x:v>
      </x:c>
      <x:c r="N871" s="2" t="n">
        <x:v>0</x:v>
      </x:c>
      <x:c r="O871" s="2" t="str">
        <x:v>relleno_postmuerte</x:v>
      </x:c>
      <x:c r="P871" s="2" t="n">
        <x:v>0</x:v>
      </x:c>
      <x:c r="Q871" s="2" t="str">
        <x:v>simulado_didactico</x:v>
      </x:c>
    </x:row>
    <x:row r="872" ht="19" customHeight="1">
      <x:c r="A872" s="2" t="str">
        <x:v>SIM-E2-BB-L8-R03</x:v>
      </x:c>
      <x:c r="B872" s="2" t="n">
        <x:v>2</x:v>
      </x:c>
      <x:c r="C872" s="2" t="str">
        <x:v>BB</x:v>
      </x:c>
      <x:c r="D872" s="2" t="str">
        <x:v>Brevicoryne brassicae</x:v>
      </x:c>
      <x:c r="E872" s="2" t="str">
        <x:v>L8</x:v>
      </x:c>
      <x:c r="F872" s="2" t="n">
        <x:v>3</x:v>
      </x:c>
      <x:c r="G872" s="2" t="n">
        <x:v>30</x:v>
      </x:c>
      <x:c r="H872" s="2" t="n">
        <x:f>G872+Supuestos!$C$15</x:f>
        <x:v>31</x:v>
      </x:c>
      <x:c r="I872" s="14" t="n">
        <x:f>E2_plantas!J22+G872</x:f>
        <x:v>46211</x:v>
      </x:c>
      <x:c r="J872" s="2" t="str">
        <x:v>muerta</x:v>
      </x:c>
      <x:c r="K872" s="2" t="n">
        <x:v>0</x:v>
      </x:c>
      <x:c r="L872" s="2" t="n">
        <x:v>0</x:v>
      </x:c>
      <x:c r="M872" s="2" t="n">
        <x:f>SUM(L$842:L872)</x:f>
        <x:v>18</x:v>
      </x:c>
      <x:c r="N872" s="2" t="n">
        <x:v>0</x:v>
      </x:c>
      <x:c r="O872" s="2" t="str">
        <x:v>relleno_postmuerte</x:v>
      </x:c>
      <x:c r="P872" s="2" t="n">
        <x:v>0</x:v>
      </x:c>
      <x:c r="Q872" s="2" t="str">
        <x:v>simulado_didactico</x:v>
      </x:c>
    </x:row>
    <x:row r="873" ht="19" customHeight="1">
      <x:c r="A873" s="2" t="str">
        <x:v>SIM-E2-BB-L8-R03</x:v>
      </x:c>
      <x:c r="B873" s="2" t="n">
        <x:v>2</x:v>
      </x:c>
      <x:c r="C873" s="2" t="str">
        <x:v>BB</x:v>
      </x:c>
      <x:c r="D873" s="2" t="str">
        <x:v>Brevicoryne brassicae</x:v>
      </x:c>
      <x:c r="E873" s="2" t="str">
        <x:v>L8</x:v>
      </x:c>
      <x:c r="F873" s="2" t="n">
        <x:v>3</x:v>
      </x:c>
      <x:c r="G873" s="2" t="n">
        <x:v>31</x:v>
      </x:c>
      <x:c r="H873" s="2" t="n">
        <x:f>G873+Supuestos!$C$15</x:f>
        <x:v>32</x:v>
      </x:c>
      <x:c r="I873" s="14" t="n">
        <x:f>E2_plantas!J22+G873</x:f>
        <x:v>46212</x:v>
      </x:c>
      <x:c r="J873" s="2" t="str">
        <x:v>muerta</x:v>
      </x:c>
      <x:c r="K873" s="2" t="n">
        <x:v>0</x:v>
      </x:c>
      <x:c r="L873" s="2" t="n">
        <x:v>0</x:v>
      </x:c>
      <x:c r="M873" s="2" t="n">
        <x:f>SUM(L$842:L873)</x:f>
        <x:v>18</x:v>
      </x:c>
      <x:c r="N873" s="2" t="n">
        <x:v>0</x:v>
      </x:c>
      <x:c r="O873" s="2" t="str">
        <x:v>relleno_postmuerte</x:v>
      </x:c>
      <x:c r="P873" s="2" t="n">
        <x:v>0</x:v>
      </x:c>
      <x:c r="Q873" s="2" t="str">
        <x:v>simulado_didactico</x:v>
      </x:c>
    </x:row>
    <x:row r="874" ht="19" customHeight="1">
      <x:c r="A874" s="2" t="str">
        <x:v>SIM-E2-BB-L8-R03</x:v>
      </x:c>
      <x:c r="B874" s="2" t="n">
        <x:v>2</x:v>
      </x:c>
      <x:c r="C874" s="2" t="str">
        <x:v>BB</x:v>
      </x:c>
      <x:c r="D874" s="2" t="str">
        <x:v>Brevicoryne brassicae</x:v>
      </x:c>
      <x:c r="E874" s="2" t="str">
        <x:v>L8</x:v>
      </x:c>
      <x:c r="F874" s="2" t="n">
        <x:v>3</x:v>
      </x:c>
      <x:c r="G874" s="2" t="n">
        <x:v>32</x:v>
      </x:c>
      <x:c r="H874" s="2" t="n">
        <x:f>G874+Supuestos!$C$15</x:f>
        <x:v>33</x:v>
      </x:c>
      <x:c r="I874" s="14" t="n">
        <x:f>E2_plantas!J22+G874</x:f>
        <x:v>46213</x:v>
      </x:c>
      <x:c r="J874" s="2" t="str">
        <x:v>muerta</x:v>
      </x:c>
      <x:c r="K874" s="2" t="n">
        <x:v>0</x:v>
      </x:c>
      <x:c r="L874" s="2" t="n">
        <x:v>0</x:v>
      </x:c>
      <x:c r="M874" s="2" t="n">
        <x:f>SUM(L$842:L874)</x:f>
        <x:v>18</x:v>
      </x:c>
      <x:c r="N874" s="2" t="n">
        <x:v>0</x:v>
      </x:c>
      <x:c r="O874" s="2" t="str">
        <x:v>relleno_postmuerte</x:v>
      </x:c>
      <x:c r="P874" s="2" t="n">
        <x:v>0</x:v>
      </x:c>
      <x:c r="Q874" s="2" t="str">
        <x:v>simulado_didactico</x:v>
      </x:c>
    </x:row>
    <x:row r="875" ht="19" customHeight="1">
      <x:c r="A875" s="2" t="str">
        <x:v>SIM-E2-BB-L8-R03</x:v>
      </x:c>
      <x:c r="B875" s="2" t="n">
        <x:v>2</x:v>
      </x:c>
      <x:c r="C875" s="2" t="str">
        <x:v>BB</x:v>
      </x:c>
      <x:c r="D875" s="2" t="str">
        <x:v>Brevicoryne brassicae</x:v>
      </x:c>
      <x:c r="E875" s="2" t="str">
        <x:v>L8</x:v>
      </x:c>
      <x:c r="F875" s="2" t="n">
        <x:v>3</x:v>
      </x:c>
      <x:c r="G875" s="2" t="n">
        <x:v>33</x:v>
      </x:c>
      <x:c r="H875" s="2" t="n">
        <x:f>G875+Supuestos!$C$15</x:f>
        <x:v>34</x:v>
      </x:c>
      <x:c r="I875" s="14" t="n">
        <x:f>E2_plantas!J22+G875</x:f>
        <x:v>46214</x:v>
      </x:c>
      <x:c r="J875" s="2" t="str">
        <x:v>muerta</x:v>
      </x:c>
      <x:c r="K875" s="2" t="n">
        <x:v>0</x:v>
      </x:c>
      <x:c r="L875" s="2" t="n">
        <x:v>0</x:v>
      </x:c>
      <x:c r="M875" s="2" t="n">
        <x:f>SUM(L$842:L875)</x:f>
        <x:v>18</x:v>
      </x:c>
      <x:c r="N875" s="2" t="n">
        <x:v>0</x:v>
      </x:c>
      <x:c r="O875" s="2" t="str">
        <x:v>relleno_postmuerte</x:v>
      </x:c>
      <x:c r="P875" s="2" t="n">
        <x:v>0</x:v>
      </x:c>
      <x:c r="Q875" s="2" t="str">
        <x:v>simulado_didactico</x:v>
      </x:c>
    </x:row>
    <x:row r="876" ht="19" customHeight="1">
      <x:c r="A876" s="2" t="str">
        <x:v>SIM-E2-BB-L8-R03</x:v>
      </x:c>
      <x:c r="B876" s="2" t="n">
        <x:v>2</x:v>
      </x:c>
      <x:c r="C876" s="2" t="str">
        <x:v>BB</x:v>
      </x:c>
      <x:c r="D876" s="2" t="str">
        <x:v>Brevicoryne brassicae</x:v>
      </x:c>
      <x:c r="E876" s="2" t="str">
        <x:v>L8</x:v>
      </x:c>
      <x:c r="F876" s="2" t="n">
        <x:v>3</x:v>
      </x:c>
      <x:c r="G876" s="2" t="n">
        <x:v>34</x:v>
      </x:c>
      <x:c r="H876" s="2" t="n">
        <x:f>G876+Supuestos!$C$15</x:f>
        <x:v>35</x:v>
      </x:c>
      <x:c r="I876" s="14" t="n">
        <x:f>E2_plantas!J22+G876</x:f>
        <x:v>46215</x:v>
      </x:c>
      <x:c r="J876" s="2" t="str">
        <x:v>muerta</x:v>
      </x:c>
      <x:c r="K876" s="2" t="n">
        <x:v>0</x:v>
      </x:c>
      <x:c r="L876" s="2" t="n">
        <x:v>0</x:v>
      </x:c>
      <x:c r="M876" s="2" t="n">
        <x:f>SUM(L$842:L876)</x:f>
        <x:v>18</x:v>
      </x:c>
      <x:c r="N876" s="2" t="n">
        <x:v>0</x:v>
      </x:c>
      <x:c r="O876" s="2" t="str">
        <x:v>relleno_postmuerte</x:v>
      </x:c>
      <x:c r="P876" s="2" t="n">
        <x:v>0</x:v>
      </x:c>
      <x:c r="Q876" s="2" t="str">
        <x:v>simulado_didactico</x:v>
      </x:c>
    </x:row>
    <x:row r="877" ht="19" customHeight="1">
      <x:c r="A877" s="2" t="str">
        <x:v>SIM-E2-BB-L8-R03</x:v>
      </x:c>
      <x:c r="B877" s="2" t="n">
        <x:v>2</x:v>
      </x:c>
      <x:c r="C877" s="2" t="str">
        <x:v>BB</x:v>
      </x:c>
      <x:c r="D877" s="2" t="str">
        <x:v>Brevicoryne brassicae</x:v>
      </x:c>
      <x:c r="E877" s="2" t="str">
        <x:v>L8</x:v>
      </x:c>
      <x:c r="F877" s="2" t="n">
        <x:v>3</x:v>
      </x:c>
      <x:c r="G877" s="2" t="n">
        <x:v>35</x:v>
      </x:c>
      <x:c r="H877" s="2" t="n">
        <x:f>G877+Supuestos!$C$15</x:f>
        <x:v>36</x:v>
      </x:c>
      <x:c r="I877" s="14" t="n">
        <x:f>E2_plantas!J22+G877</x:f>
        <x:v>46216</x:v>
      </x:c>
      <x:c r="J877" s="2" t="str">
        <x:v>muerta</x:v>
      </x:c>
      <x:c r="K877" s="2" t="n">
        <x:v>0</x:v>
      </x:c>
      <x:c r="L877" s="2" t="n">
        <x:v>0</x:v>
      </x:c>
      <x:c r="M877" s="2" t="n">
        <x:f>SUM(L$842:L877)</x:f>
        <x:v>18</x:v>
      </x:c>
      <x:c r="N877" s="2" t="n">
        <x:v>0</x:v>
      </x:c>
      <x:c r="O877" s="2" t="str">
        <x:v>relleno_postmuerte</x:v>
      </x:c>
      <x:c r="P877" s="2" t="n">
        <x:v>0</x:v>
      </x:c>
      <x:c r="Q877" s="2" t="str">
        <x:v>simulado_didactico</x:v>
      </x:c>
    </x:row>
    <x:row r="878" ht="19" customHeight="1">
      <x:c r="A878" s="2" t="str">
        <x:v>SIM-E2-BB-L8-R03</x:v>
      </x:c>
      <x:c r="B878" s="2" t="n">
        <x:v>2</x:v>
      </x:c>
      <x:c r="C878" s="2" t="str">
        <x:v>BB</x:v>
      </x:c>
      <x:c r="D878" s="2" t="str">
        <x:v>Brevicoryne brassicae</x:v>
      </x:c>
      <x:c r="E878" s="2" t="str">
        <x:v>L8</x:v>
      </x:c>
      <x:c r="F878" s="2" t="n">
        <x:v>3</x:v>
      </x:c>
      <x:c r="G878" s="2" t="n">
        <x:v>36</x:v>
      </x:c>
      <x:c r="H878" s="2" t="n">
        <x:f>G878+Supuestos!$C$15</x:f>
        <x:v>37</x:v>
      </x:c>
      <x:c r="I878" s="14" t="n">
        <x:f>E2_plantas!J22+G878</x:f>
        <x:v>46217</x:v>
      </x:c>
      <x:c r="J878" s="2" t="str">
        <x:v>muerta</x:v>
      </x:c>
      <x:c r="K878" s="2" t="n">
        <x:v>0</x:v>
      </x:c>
      <x:c r="L878" s="2" t="n">
        <x:v>0</x:v>
      </x:c>
      <x:c r="M878" s="2" t="n">
        <x:f>SUM(L$842:L878)</x:f>
        <x:v>18</x:v>
      </x:c>
      <x:c r="N878" s="2" t="n">
        <x:v>0</x:v>
      </x:c>
      <x:c r="O878" s="2" t="str">
        <x:v>relleno_postmuerte</x:v>
      </x:c>
      <x:c r="P878" s="2" t="n">
        <x:v>0</x:v>
      </x:c>
      <x:c r="Q878" s="2" t="str">
        <x:v>simulado_didactico</x:v>
      </x:c>
    </x:row>
    <x:row r="879" ht="19" customHeight="1">
      <x:c r="A879" s="2" t="str">
        <x:v>SIM-E2-BB-L8-R03</x:v>
      </x:c>
      <x:c r="B879" s="2" t="n">
        <x:v>2</x:v>
      </x:c>
      <x:c r="C879" s="2" t="str">
        <x:v>BB</x:v>
      </x:c>
      <x:c r="D879" s="2" t="str">
        <x:v>Brevicoryne brassicae</x:v>
      </x:c>
      <x:c r="E879" s="2" t="str">
        <x:v>L8</x:v>
      </x:c>
      <x:c r="F879" s="2" t="n">
        <x:v>3</x:v>
      </x:c>
      <x:c r="G879" s="2" t="n">
        <x:v>37</x:v>
      </x:c>
      <x:c r="H879" s="2" t="n">
        <x:f>G879+Supuestos!$C$15</x:f>
        <x:v>38</x:v>
      </x:c>
      <x:c r="I879" s="14" t="n">
        <x:f>E2_plantas!J22+G879</x:f>
        <x:v>46218</x:v>
      </x:c>
      <x:c r="J879" s="2" t="str">
        <x:v>muerta</x:v>
      </x:c>
      <x:c r="K879" s="2" t="n">
        <x:v>0</x:v>
      </x:c>
      <x:c r="L879" s="2" t="n">
        <x:v>0</x:v>
      </x:c>
      <x:c r="M879" s="2" t="n">
        <x:f>SUM(L$842:L879)</x:f>
        <x:v>18</x:v>
      </x:c>
      <x:c r="N879" s="2" t="n">
        <x:v>0</x:v>
      </x:c>
      <x:c r="O879" s="2" t="str">
        <x:v>relleno_postmuerte</x:v>
      </x:c>
      <x:c r="P879" s="2" t="n">
        <x:v>0</x:v>
      </x:c>
      <x:c r="Q879" s="2" t="str">
        <x:v>simulado_didactico</x:v>
      </x:c>
    </x:row>
    <x:row r="880" ht="19" customHeight="1">
      <x:c r="A880" s="2" t="str">
        <x:v>SIM-E2-BB-L8-R03</x:v>
      </x:c>
      <x:c r="B880" s="2" t="n">
        <x:v>2</x:v>
      </x:c>
      <x:c r="C880" s="2" t="str">
        <x:v>BB</x:v>
      </x:c>
      <x:c r="D880" s="2" t="str">
        <x:v>Brevicoryne brassicae</x:v>
      </x:c>
      <x:c r="E880" s="2" t="str">
        <x:v>L8</x:v>
      </x:c>
      <x:c r="F880" s="2" t="n">
        <x:v>3</x:v>
      </x:c>
      <x:c r="G880" s="2" t="n">
        <x:v>38</x:v>
      </x:c>
      <x:c r="H880" s="2" t="n">
        <x:f>G880+Supuestos!$C$15</x:f>
        <x:v>39</x:v>
      </x:c>
      <x:c r="I880" s="14" t="n">
        <x:f>E2_plantas!J22+G880</x:f>
        <x:v>46219</x:v>
      </x:c>
      <x:c r="J880" s="2" t="str">
        <x:v>muerta</x:v>
      </x:c>
      <x:c r="K880" s="2" t="n">
        <x:v>0</x:v>
      </x:c>
      <x:c r="L880" s="2" t="n">
        <x:v>0</x:v>
      </x:c>
      <x:c r="M880" s="2" t="n">
        <x:f>SUM(L$842:L880)</x:f>
        <x:v>18</x:v>
      </x:c>
      <x:c r="N880" s="2" t="n">
        <x:v>0</x:v>
      </x:c>
      <x:c r="O880" s="2" t="str">
        <x:v>relleno_postmuerte</x:v>
      </x:c>
      <x:c r="P880" s="2" t="n">
        <x:v>0</x:v>
      </x:c>
      <x:c r="Q880" s="2" t="str">
        <x:v>simulado_didactico</x:v>
      </x:c>
    </x:row>
    <x:row r="881" ht="19" customHeight="1">
      <x:c r="A881" s="2" t="str">
        <x:v>SIM-E2-BB-L8-R03</x:v>
      </x:c>
      <x:c r="B881" s="2" t="n">
        <x:v>2</x:v>
      </x:c>
      <x:c r="C881" s="2" t="str">
        <x:v>BB</x:v>
      </x:c>
      <x:c r="D881" s="2" t="str">
        <x:v>Brevicoryne brassicae</x:v>
      </x:c>
      <x:c r="E881" s="2" t="str">
        <x:v>L8</x:v>
      </x:c>
      <x:c r="F881" s="2" t="n">
        <x:v>3</x:v>
      </x:c>
      <x:c r="G881" s="2" t="n">
        <x:v>39</x:v>
      </x:c>
      <x:c r="H881" s="2" t="n">
        <x:f>G881+Supuestos!$C$15</x:f>
        <x:v>40</x:v>
      </x:c>
      <x:c r="I881" s="14" t="n">
        <x:f>E2_plantas!J22+G881</x:f>
        <x:v>46220</x:v>
      </x:c>
      <x:c r="J881" s="2" t="str">
        <x:v>muerta</x:v>
      </x:c>
      <x:c r="K881" s="2" t="n">
        <x:v>0</x:v>
      </x:c>
      <x:c r="L881" s="2" t="n">
        <x:v>0</x:v>
      </x:c>
      <x:c r="M881" s="2" t="n">
        <x:f>SUM(L$842:L881)</x:f>
        <x:v>18</x:v>
      </x:c>
      <x:c r="N881" s="2" t="n">
        <x:v>0</x:v>
      </x:c>
      <x:c r="O881" s="2" t="str">
        <x:v>relleno_postmuerte</x:v>
      </x:c>
      <x:c r="P881" s="2" t="n">
        <x:v>0</x:v>
      </x:c>
      <x:c r="Q881" s="2" t="str">
        <x:v>simulado_didactico</x:v>
      </x:c>
    </x:row>
    <x:row r="882" ht="19" customHeight="1">
      <x:c r="A882" s="2" t="str">
        <x:v>SIM-E2-BB-L8-R03</x:v>
      </x:c>
      <x:c r="B882" s="2" t="n">
        <x:v>2</x:v>
      </x:c>
      <x:c r="C882" s="2" t="str">
        <x:v>BB</x:v>
      </x:c>
      <x:c r="D882" s="2" t="str">
        <x:v>Brevicoryne brassicae</x:v>
      </x:c>
      <x:c r="E882" s="2" t="str">
        <x:v>L8</x:v>
      </x:c>
      <x:c r="F882" s="2" t="n">
        <x:v>3</x:v>
      </x:c>
      <x:c r="G882" s="2" t="n">
        <x:v>40</x:v>
      </x:c>
      <x:c r="H882" s="2" t="n">
        <x:f>G882+Supuestos!$C$15</x:f>
        <x:v>41</x:v>
      </x:c>
      <x:c r="I882" s="14" t="n">
        <x:f>E2_plantas!J22+G882</x:f>
        <x:v>46221</x:v>
      </x:c>
      <x:c r="J882" s="2" t="str">
        <x:v>muerta</x:v>
      </x:c>
      <x:c r="K882" s="2" t="n">
        <x:v>0</x:v>
      </x:c>
      <x:c r="L882" s="2" t="n">
        <x:v>0</x:v>
      </x:c>
      <x:c r="M882" s="2" t="n">
        <x:f>SUM(L$842:L882)</x:f>
        <x:v>18</x:v>
      </x:c>
      <x:c r="N882" s="2" t="n">
        <x:v>0</x:v>
      </x:c>
      <x:c r="O882" s="2" t="str">
        <x:v>relleno_postmuerte</x:v>
      </x:c>
      <x:c r="P882" s="2" t="n">
        <x:v>0</x:v>
      </x:c>
      <x:c r="Q882" s="2" t="str">
        <x:v>simulado_didactico</x:v>
      </x:c>
    </x:row>
    <x:row r="883" ht="19" customHeight="1">
      <x:c r="A883" s="2" t="str">
        <x:v>SIM-E2-BB-L8-R03</x:v>
      </x:c>
      <x:c r="B883" s="2" t="n">
        <x:v>2</x:v>
      </x:c>
      <x:c r="C883" s="2" t="str">
        <x:v>BB</x:v>
      </x:c>
      <x:c r="D883" s="2" t="str">
        <x:v>Brevicoryne brassicae</x:v>
      </x:c>
      <x:c r="E883" s="2" t="str">
        <x:v>L8</x:v>
      </x:c>
      <x:c r="F883" s="2" t="n">
        <x:v>3</x:v>
      </x:c>
      <x:c r="G883" s="2" t="n">
        <x:v>41</x:v>
      </x:c>
      <x:c r="H883" s="2" t="n">
        <x:f>G883+Supuestos!$C$15</x:f>
        <x:v>42</x:v>
      </x:c>
      <x:c r="I883" s="14" t="n">
        <x:f>E2_plantas!J22+G883</x:f>
        <x:v>46222</x:v>
      </x:c>
      <x:c r="J883" s="2" t="str">
        <x:v>muerta</x:v>
      </x:c>
      <x:c r="K883" s="2" t="n">
        <x:v>0</x:v>
      </x:c>
      <x:c r="L883" s="2" t="n">
        <x:v>0</x:v>
      </x:c>
      <x:c r="M883" s="2" t="n">
        <x:f>SUM(L$842:L883)</x:f>
        <x:v>18</x:v>
      </x:c>
      <x:c r="N883" s="2" t="n">
        <x:v>0</x:v>
      </x:c>
      <x:c r="O883" s="2" t="str">
        <x:v>relleno_postmuerte</x:v>
      </x:c>
      <x:c r="P883" s="2" t="n">
        <x:v>0</x:v>
      </x:c>
      <x:c r="Q883" s="2" t="str">
        <x:v>simulado_didactico</x:v>
      </x:c>
    </x:row>
    <x:row r="884" ht="19" customHeight="1">
      <x:c r="A884" s="2" t="str">
        <x:v>SIM-E2-BB-L8-R04</x:v>
      </x:c>
      <x:c r="B884" s="2" t="n">
        <x:v>2</x:v>
      </x:c>
      <x:c r="C884" s="2" t="str">
        <x:v>BB</x:v>
      </x:c>
      <x:c r="D884" s="2" t="str">
        <x:v>Brevicoryne brassicae</x:v>
      </x:c>
      <x:c r="E884" s="2" t="str">
        <x:v>L8</x:v>
      </x:c>
      <x:c r="F884" s="2" t="n">
        <x:v>4</x:v>
      </x:c>
      <x:c r="G884" s="2" t="n">
        <x:v>0</x:v>
      </x:c>
      <x:c r="H884" s="2" t="n">
        <x:f>G884+Supuestos!$C$15</x:f>
        <x:v>1</x:v>
      </x:c>
      <x:c r="I884" s="14" t="n">
        <x:f>E2_plantas!J23+G884</x:f>
        <x:v>46181</x:v>
      </x:c>
      <x:c r="J884" s="2" t="str">
        <x:v>N1</x:v>
      </x:c>
      <x:c r="K884" s="2" t="n">
        <x:v>1</x:v>
      </x:c>
      <x:c r="L884" s="2" t="n">
        <x:v>0</x:v>
      </x:c>
      <x:c r="M884" s="2" t="n">
        <x:f>SUM(L$884:L884)</x:f>
        <x:v>0</x:v>
      </x:c>
      <x:c r="N884" s="2" t="n">
        <x:v>0</x:v>
      </x:c>
      <x:c r="O884" s="2" t="str">
        <x:v>seguimiento</x:v>
      </x:c>
      <x:c r="P884" s="2" t="n">
        <x:v>0</x:v>
      </x:c>
      <x:c r="Q884" s="2" t="str">
        <x:v>simulado_didactico</x:v>
      </x:c>
    </x:row>
    <x:row r="885" ht="19" customHeight="1">
      <x:c r="A885" s="2" t="str">
        <x:v>SIM-E2-BB-L8-R04</x:v>
      </x:c>
      <x:c r="B885" s="2" t="n">
        <x:v>2</x:v>
      </x:c>
      <x:c r="C885" s="2" t="str">
        <x:v>BB</x:v>
      </x:c>
      <x:c r="D885" s="2" t="str">
        <x:v>Brevicoryne brassicae</x:v>
      </x:c>
      <x:c r="E885" s="2" t="str">
        <x:v>L8</x:v>
      </x:c>
      <x:c r="F885" s="2" t="n">
        <x:v>4</x:v>
      </x:c>
      <x:c r="G885" s="2" t="n">
        <x:v>1</x:v>
      </x:c>
      <x:c r="H885" s="2" t="n">
        <x:f>G885+Supuestos!$C$15</x:f>
        <x:v>2</x:v>
      </x:c>
      <x:c r="I885" s="14" t="n">
        <x:f>E2_plantas!J23+G885</x:f>
        <x:v>46182</x:v>
      </x:c>
      <x:c r="J885" s="2" t="str">
        <x:v>N1</x:v>
      </x:c>
      <x:c r="K885" s="2" t="n">
        <x:v>1</x:v>
      </x:c>
      <x:c r="L885" s="2" t="n">
        <x:v>0</x:v>
      </x:c>
      <x:c r="M885" s="2" t="n">
        <x:f>SUM(L$884:L885)</x:f>
        <x:v>0</x:v>
      </x:c>
      <x:c r="N885" s="2" t="n">
        <x:v>0</x:v>
      </x:c>
      <x:c r="O885" s="2" t="str">
        <x:v>seguimiento</x:v>
      </x:c>
      <x:c r="P885" s="2" t="n">
        <x:v>0</x:v>
      </x:c>
      <x:c r="Q885" s="2" t="str">
        <x:v>simulado_didactico</x:v>
      </x:c>
    </x:row>
    <x:row r="886" ht="19" customHeight="1">
      <x:c r="A886" s="2" t="str">
        <x:v>SIM-E2-BB-L8-R04</x:v>
      </x:c>
      <x:c r="B886" s="2" t="n">
        <x:v>2</x:v>
      </x:c>
      <x:c r="C886" s="2" t="str">
        <x:v>BB</x:v>
      </x:c>
      <x:c r="D886" s="2" t="str">
        <x:v>Brevicoryne brassicae</x:v>
      </x:c>
      <x:c r="E886" s="2" t="str">
        <x:v>L8</x:v>
      </x:c>
      <x:c r="F886" s="2" t="n">
        <x:v>4</x:v>
      </x:c>
      <x:c r="G886" s="2" t="n">
        <x:v>2</x:v>
      </x:c>
      <x:c r="H886" s="2" t="n">
        <x:f>G886+Supuestos!$C$15</x:f>
        <x:v>3</x:v>
      </x:c>
      <x:c r="I886" s="14" t="n">
        <x:f>E2_plantas!J23+G886</x:f>
        <x:v>46183</x:v>
      </x:c>
      <x:c r="J886" s="2" t="str">
        <x:v>N1</x:v>
      </x:c>
      <x:c r="K886" s="2" t="n">
        <x:v>1</x:v>
      </x:c>
      <x:c r="L886" s="2" t="n">
        <x:v>0</x:v>
      </x:c>
      <x:c r="M886" s="2" t="n">
        <x:f>SUM(L$884:L886)</x:f>
        <x:v>0</x:v>
      </x:c>
      <x:c r="N886" s="2" t="n">
        <x:v>0</x:v>
      </x:c>
      <x:c r="O886" s="2" t="str">
        <x:v>seguimiento</x:v>
      </x:c>
      <x:c r="P886" s="2" t="n">
        <x:v>0</x:v>
      </x:c>
      <x:c r="Q886" s="2" t="str">
        <x:v>simulado_didactico</x:v>
      </x:c>
    </x:row>
    <x:row r="887" ht="19" customHeight="1">
      <x:c r="A887" s="2" t="str">
        <x:v>SIM-E2-BB-L8-R04</x:v>
      </x:c>
      <x:c r="B887" s="2" t="n">
        <x:v>2</x:v>
      </x:c>
      <x:c r="C887" s="2" t="str">
        <x:v>BB</x:v>
      </x:c>
      <x:c r="D887" s="2" t="str">
        <x:v>Brevicoryne brassicae</x:v>
      </x:c>
      <x:c r="E887" s="2" t="str">
        <x:v>L8</x:v>
      </x:c>
      <x:c r="F887" s="2" t="n">
        <x:v>4</x:v>
      </x:c>
      <x:c r="G887" s="2" t="n">
        <x:v>3</x:v>
      </x:c>
      <x:c r="H887" s="2" t="n">
        <x:f>G887+Supuestos!$C$15</x:f>
        <x:v>4</x:v>
      </x:c>
      <x:c r="I887" s="14" t="n">
        <x:f>E2_plantas!J23+G887</x:f>
        <x:v>46184</x:v>
      </x:c>
      <x:c r="J887" s="2" t="str">
        <x:v>N2</x:v>
      </x:c>
      <x:c r="K887" s="2" t="n">
        <x:v>1</x:v>
      </x:c>
      <x:c r="L887" s="2" t="n">
        <x:v>0</x:v>
      </x:c>
      <x:c r="M887" s="2" t="n">
        <x:f>SUM(L$884:L887)</x:f>
        <x:v>0</x:v>
      </x:c>
      <x:c r="N887" s="2" t="n">
        <x:v>0</x:v>
      </x:c>
      <x:c r="O887" s="2" t="str">
        <x:v>seguimiento</x:v>
      </x:c>
      <x:c r="P887" s="2" t="n">
        <x:v>0</x:v>
      </x:c>
      <x:c r="Q887" s="2" t="str">
        <x:v>simulado_didactico</x:v>
      </x:c>
    </x:row>
    <x:row r="888" ht="19" customHeight="1">
      <x:c r="A888" s="2" t="str">
        <x:v>SIM-E2-BB-L8-R04</x:v>
      </x:c>
      <x:c r="B888" s="2" t="n">
        <x:v>2</x:v>
      </x:c>
      <x:c r="C888" s="2" t="str">
        <x:v>BB</x:v>
      </x:c>
      <x:c r="D888" s="2" t="str">
        <x:v>Brevicoryne brassicae</x:v>
      </x:c>
      <x:c r="E888" s="2" t="str">
        <x:v>L8</x:v>
      </x:c>
      <x:c r="F888" s="2" t="n">
        <x:v>4</x:v>
      </x:c>
      <x:c r="G888" s="2" t="n">
        <x:v>4</x:v>
      </x:c>
      <x:c r="H888" s="2" t="n">
        <x:f>G888+Supuestos!$C$15</x:f>
        <x:v>5</x:v>
      </x:c>
      <x:c r="I888" s="14" t="n">
        <x:f>E2_plantas!J23+G888</x:f>
        <x:v>46185</x:v>
      </x:c>
      <x:c r="J888" s="2" t="str">
        <x:v>N3</x:v>
      </x:c>
      <x:c r="K888" s="2" t="n">
        <x:v>1</x:v>
      </x:c>
      <x:c r="L888" s="2" t="n">
        <x:v>0</x:v>
      </x:c>
      <x:c r="M888" s="2" t="n">
        <x:f>SUM(L$884:L888)</x:f>
        <x:v>0</x:v>
      </x:c>
      <x:c r="N888" s="2" t="n">
        <x:v>0</x:v>
      </x:c>
      <x:c r="O888" s="2" t="str">
        <x:v>seguimiento</x:v>
      </x:c>
      <x:c r="P888" s="2" t="n">
        <x:v>0</x:v>
      </x:c>
      <x:c r="Q888" s="2" t="str">
        <x:v>simulado_didactico</x:v>
      </x:c>
    </x:row>
    <x:row r="889" ht="19" customHeight="1">
      <x:c r="A889" s="2" t="str">
        <x:v>SIM-E2-BB-L8-R04</x:v>
      </x:c>
      <x:c r="B889" s="2" t="n">
        <x:v>2</x:v>
      </x:c>
      <x:c r="C889" s="2" t="str">
        <x:v>BB</x:v>
      </x:c>
      <x:c r="D889" s="2" t="str">
        <x:v>Brevicoryne brassicae</x:v>
      </x:c>
      <x:c r="E889" s="2" t="str">
        <x:v>L8</x:v>
      </x:c>
      <x:c r="F889" s="2" t="n">
        <x:v>4</x:v>
      </x:c>
      <x:c r="G889" s="2" t="n">
        <x:v>5</x:v>
      </x:c>
      <x:c r="H889" s="2" t="n">
        <x:f>G889+Supuestos!$C$15</x:f>
        <x:v>6</x:v>
      </x:c>
      <x:c r="I889" s="14" t="n">
        <x:f>E2_plantas!J23+G889</x:f>
        <x:v>46186</x:v>
      </x:c>
      <x:c r="J889" s="2" t="str">
        <x:v>N3</x:v>
      </x:c>
      <x:c r="K889" s="2" t="n">
        <x:v>1</x:v>
      </x:c>
      <x:c r="L889" s="2" t="n">
        <x:v>0</x:v>
      </x:c>
      <x:c r="M889" s="2" t="n">
        <x:f>SUM(L$884:L889)</x:f>
        <x:v>0</x:v>
      </x:c>
      <x:c r="N889" s="2" t="n">
        <x:v>0</x:v>
      </x:c>
      <x:c r="O889" s="2" t="str">
        <x:v>seguimiento</x:v>
      </x:c>
      <x:c r="P889" s="2" t="n">
        <x:v>0</x:v>
      </x:c>
      <x:c r="Q889" s="2" t="str">
        <x:v>simulado_didactico</x:v>
      </x:c>
    </x:row>
    <x:row r="890" ht="19" customHeight="1">
      <x:c r="A890" s="2" t="str">
        <x:v>SIM-E2-BB-L8-R04</x:v>
      </x:c>
      <x:c r="B890" s="2" t="n">
        <x:v>2</x:v>
      </x:c>
      <x:c r="C890" s="2" t="str">
        <x:v>BB</x:v>
      </x:c>
      <x:c r="D890" s="2" t="str">
        <x:v>Brevicoryne brassicae</x:v>
      </x:c>
      <x:c r="E890" s="2" t="str">
        <x:v>L8</x:v>
      </x:c>
      <x:c r="F890" s="2" t="n">
        <x:v>4</x:v>
      </x:c>
      <x:c r="G890" s="2" t="n">
        <x:v>6</x:v>
      </x:c>
      <x:c r="H890" s="2" t="n">
        <x:f>G890+Supuestos!$C$15</x:f>
        <x:v>7</x:v>
      </x:c>
      <x:c r="I890" s="14" t="n">
        <x:f>E2_plantas!J23+G890</x:f>
        <x:v>46187</x:v>
      </x:c>
      <x:c r="J890" s="2" t="str">
        <x:v>N4</x:v>
      </x:c>
      <x:c r="K890" s="2" t="n">
        <x:v>1</x:v>
      </x:c>
      <x:c r="L890" s="2" t="n">
        <x:v>0</x:v>
      </x:c>
      <x:c r="M890" s="2" t="n">
        <x:f>SUM(L$884:L890)</x:f>
        <x:v>0</x:v>
      </x:c>
      <x:c r="N890" s="2" t="n">
        <x:v>0</x:v>
      </x:c>
      <x:c r="O890" s="2" t="str">
        <x:v>seguimiento</x:v>
      </x:c>
      <x:c r="P890" s="2" t="n">
        <x:v>0</x:v>
      </x:c>
      <x:c r="Q890" s="2" t="str">
        <x:v>simulado_didactico</x:v>
      </x:c>
    </x:row>
    <x:row r="891" ht="19" customHeight="1">
      <x:c r="A891" s="2" t="str">
        <x:v>SIM-E2-BB-L8-R04</x:v>
      </x:c>
      <x:c r="B891" s="2" t="n">
        <x:v>2</x:v>
      </x:c>
      <x:c r="C891" s="2" t="str">
        <x:v>BB</x:v>
      </x:c>
      <x:c r="D891" s="2" t="str">
        <x:v>Brevicoryne brassicae</x:v>
      </x:c>
      <x:c r="E891" s="2" t="str">
        <x:v>L8</x:v>
      </x:c>
      <x:c r="F891" s="2" t="n">
        <x:v>4</x:v>
      </x:c>
      <x:c r="G891" s="2" t="n">
        <x:v>7</x:v>
      </x:c>
      <x:c r="H891" s="2" t="n">
        <x:f>G891+Supuestos!$C$15</x:f>
        <x:v>8</x:v>
      </x:c>
      <x:c r="I891" s="14" t="n">
        <x:f>E2_plantas!J23+G891</x:f>
        <x:v>46188</x:v>
      </x:c>
      <x:c r="J891" s="2" t="str">
        <x:v>N4</x:v>
      </x:c>
      <x:c r="K891" s="2" t="n">
        <x:v>1</x:v>
      </x:c>
      <x:c r="L891" s="2" t="n">
        <x:v>0</x:v>
      </x:c>
      <x:c r="M891" s="2" t="n">
        <x:f>SUM(L$884:L891)</x:f>
        <x:v>0</x:v>
      </x:c>
      <x:c r="N891" s="2" t="n">
        <x:v>0</x:v>
      </x:c>
      <x:c r="O891" s="2" t="str">
        <x:v>seguimiento</x:v>
      </x:c>
      <x:c r="P891" s="2" t="n">
        <x:v>0</x:v>
      </x:c>
      <x:c r="Q891" s="2" t="str">
        <x:v>simulado_didactico</x:v>
      </x:c>
    </x:row>
    <x:row r="892" ht="19" customHeight="1">
      <x:c r="A892" s="2" t="str">
        <x:v>SIM-E2-BB-L8-R04</x:v>
      </x:c>
      <x:c r="B892" s="2" t="n">
        <x:v>2</x:v>
      </x:c>
      <x:c r="C892" s="2" t="str">
        <x:v>BB</x:v>
      </x:c>
      <x:c r="D892" s="2" t="str">
        <x:v>Brevicoryne brassicae</x:v>
      </x:c>
      <x:c r="E892" s="2" t="str">
        <x:v>L8</x:v>
      </x:c>
      <x:c r="F892" s="2" t="n">
        <x:v>4</x:v>
      </x:c>
      <x:c r="G892" s="2" t="n">
        <x:v>8</x:v>
      </x:c>
      <x:c r="H892" s="2" t="n">
        <x:f>G892+Supuestos!$C$15</x:f>
        <x:v>9</x:v>
      </x:c>
      <x:c r="I892" s="14" t="n">
        <x:f>E2_plantas!J23+G892</x:f>
        <x:v>46189</x:v>
      </x:c>
      <x:c r="J892" s="2" t="str">
        <x:v>N4</x:v>
      </x:c>
      <x:c r="K892" s="2" t="n">
        <x:v>1</x:v>
      </x:c>
      <x:c r="L892" s="2" t="n">
        <x:v>0</x:v>
      </x:c>
      <x:c r="M892" s="2" t="n">
        <x:f>SUM(L$884:L892)</x:f>
        <x:v>0</x:v>
      </x:c>
      <x:c r="N892" s="2" t="n">
        <x:v>0</x:v>
      </x:c>
      <x:c r="O892" s="2" t="str">
        <x:v>seguimiento</x:v>
      </x:c>
      <x:c r="P892" s="2" t="n">
        <x:v>0</x:v>
      </x:c>
      <x:c r="Q892" s="2" t="str">
        <x:v>simulado_didactico</x:v>
      </x:c>
    </x:row>
    <x:row r="893" ht="19" customHeight="1">
      <x:c r="A893" s="2" t="str">
        <x:v>SIM-E2-BB-L8-R04</x:v>
      </x:c>
      <x:c r="B893" s="2" t="n">
        <x:v>2</x:v>
      </x:c>
      <x:c r="C893" s="2" t="str">
        <x:v>BB</x:v>
      </x:c>
      <x:c r="D893" s="2" t="str">
        <x:v>Brevicoryne brassicae</x:v>
      </x:c>
      <x:c r="E893" s="2" t="str">
        <x:v>L8</x:v>
      </x:c>
      <x:c r="F893" s="2" t="n">
        <x:v>4</x:v>
      </x:c>
      <x:c r="G893" s="2" t="n">
        <x:v>9</x:v>
      </x:c>
      <x:c r="H893" s="2" t="n">
        <x:f>G893+Supuestos!$C$15</x:f>
        <x:v>10</x:v>
      </x:c>
      <x:c r="I893" s="14" t="n">
        <x:f>E2_plantas!J23+G893</x:f>
        <x:v>46190</x:v>
      </x:c>
      <x:c r="J893" s="2" t="str">
        <x:v>N4</x:v>
      </x:c>
      <x:c r="K893" s="2" t="n">
        <x:v>1</x:v>
      </x:c>
      <x:c r="L893" s="2" t="n">
        <x:v>0</x:v>
      </x:c>
      <x:c r="M893" s="2" t="n">
        <x:f>SUM(L$884:L893)</x:f>
        <x:v>0</x:v>
      </x:c>
      <x:c r="N893" s="2" t="n">
        <x:v>0</x:v>
      </x:c>
      <x:c r="O893" s="2" t="str">
        <x:v>seguimiento</x:v>
      </x:c>
      <x:c r="P893" s="2" t="n">
        <x:v>0</x:v>
      </x:c>
      <x:c r="Q893" s="2" t="str">
        <x:v>simulado_didactico</x:v>
      </x:c>
    </x:row>
    <x:row r="894" ht="19" customHeight="1">
      <x:c r="A894" s="2" t="str">
        <x:v>SIM-E2-BB-L8-R04</x:v>
      </x:c>
      <x:c r="B894" s="2" t="n">
        <x:v>2</x:v>
      </x:c>
      <x:c r="C894" s="2" t="str">
        <x:v>BB</x:v>
      </x:c>
      <x:c r="D894" s="2" t="str">
        <x:v>Brevicoryne brassicae</x:v>
      </x:c>
      <x:c r="E894" s="2" t="str">
        <x:v>L8</x:v>
      </x:c>
      <x:c r="F894" s="2" t="n">
        <x:v>4</x:v>
      </x:c>
      <x:c r="G894" s="2" t="n">
        <x:v>10</x:v>
      </x:c>
      <x:c r="H894" s="2" t="n">
        <x:f>G894+Supuestos!$C$15</x:f>
        <x:v>11</x:v>
      </x:c>
      <x:c r="I894" s="14" t="n">
        <x:f>E2_plantas!J23+G894</x:f>
        <x:v>46191</x:v>
      </x:c>
      <x:c r="J894" s="2" t="str">
        <x:v>adulta</x:v>
      </x:c>
      <x:c r="K894" s="2" t="n">
        <x:v>1</x:v>
      </x:c>
      <x:c r="L894" s="2" t="n">
        <x:v>0</x:v>
      </x:c>
      <x:c r="M894" s="2" t="n">
        <x:f>SUM(L$884:L894)</x:f>
        <x:v>0</x:v>
      </x:c>
      <x:c r="N894" s="2" t="n">
        <x:v>0</x:v>
      </x:c>
      <x:c r="O894" s="2" t="str">
        <x:v>seguimiento</x:v>
      </x:c>
      <x:c r="P894" s="2" t="n">
        <x:v>0</x:v>
      </x:c>
      <x:c r="Q894" s="2" t="str">
        <x:v>simulado_didactico</x:v>
      </x:c>
    </x:row>
    <x:row r="895" ht="19" customHeight="1">
      <x:c r="A895" s="2" t="str">
        <x:v>SIM-E2-BB-L8-R04</x:v>
      </x:c>
      <x:c r="B895" s="2" t="n">
        <x:v>2</x:v>
      </x:c>
      <x:c r="C895" s="2" t="str">
        <x:v>BB</x:v>
      </x:c>
      <x:c r="D895" s="2" t="str">
        <x:v>Brevicoryne brassicae</x:v>
      </x:c>
      <x:c r="E895" s="2" t="str">
        <x:v>L8</x:v>
      </x:c>
      <x:c r="F895" s="2" t="n">
        <x:v>4</x:v>
      </x:c>
      <x:c r="G895" s="2" t="n">
        <x:v>11</x:v>
      </x:c>
      <x:c r="H895" s="2" t="n">
        <x:f>G895+Supuestos!$C$15</x:f>
        <x:v>12</x:v>
      </x:c>
      <x:c r="I895" s="14" t="n">
        <x:f>E2_plantas!J23+G895</x:f>
        <x:v>46192</x:v>
      </x:c>
      <x:c r="J895" s="2" t="str">
        <x:v>adulta</x:v>
      </x:c>
      <x:c r="K895" s="2" t="n">
        <x:v>1</x:v>
      </x:c>
      <x:c r="L895" s="2" t="n">
        <x:v>0</x:v>
      </x:c>
      <x:c r="M895" s="2" t="n">
        <x:f>SUM(L$884:L895)</x:f>
        <x:v>0</x:v>
      </x:c>
      <x:c r="N895" s="2" t="n">
        <x:v>0</x:v>
      </x:c>
      <x:c r="O895" s="2" t="str">
        <x:v>seguimiento</x:v>
      </x:c>
      <x:c r="P895" s="2" t="n">
        <x:v>0</x:v>
      </x:c>
      <x:c r="Q895" s="2" t="str">
        <x:v>simulado_didactico</x:v>
      </x:c>
    </x:row>
    <x:row r="896" ht="19" customHeight="1">
      <x:c r="A896" s="2" t="str">
        <x:v>SIM-E2-BB-L8-R04</x:v>
      </x:c>
      <x:c r="B896" s="2" t="n">
        <x:v>2</x:v>
      </x:c>
      <x:c r="C896" s="2" t="str">
        <x:v>BB</x:v>
      </x:c>
      <x:c r="D896" s="2" t="str">
        <x:v>Brevicoryne brassicae</x:v>
      </x:c>
      <x:c r="E896" s="2" t="str">
        <x:v>L8</x:v>
      </x:c>
      <x:c r="F896" s="2" t="n">
        <x:v>4</x:v>
      </x:c>
      <x:c r="G896" s="2" t="n">
        <x:v>12</x:v>
      </x:c>
      <x:c r="H896" s="2" t="n">
        <x:f>G896+Supuestos!$C$15</x:f>
        <x:v>13</x:v>
      </x:c>
      <x:c r="I896" s="14" t="n">
        <x:f>E2_plantas!J23+G896</x:f>
        <x:v>46193</x:v>
      </x:c>
      <x:c r="J896" s="2" t="str">
        <x:v>adulta</x:v>
      </x:c>
      <x:c r="K896" s="2" t="n">
        <x:v>1</x:v>
      </x:c>
      <x:c r="L896" s="2" t="n">
        <x:v>0</x:v>
      </x:c>
      <x:c r="M896" s="2" t="n">
        <x:f>SUM(L$884:L896)</x:f>
        <x:v>0</x:v>
      </x:c>
      <x:c r="N896" s="2" t="n">
        <x:v>0</x:v>
      </x:c>
      <x:c r="O896" s="2" t="str">
        <x:v>seguimiento</x:v>
      </x:c>
      <x:c r="P896" s="2" t="n">
        <x:v>0</x:v>
      </x:c>
      <x:c r="Q896" s="2" t="str">
        <x:v>simulado_didactico</x:v>
      </x:c>
    </x:row>
    <x:row r="897" ht="19" customHeight="1">
      <x:c r="A897" s="2" t="str">
        <x:v>SIM-E2-BB-L8-R04</x:v>
      </x:c>
      <x:c r="B897" s="2" t="n">
        <x:v>2</x:v>
      </x:c>
      <x:c r="C897" s="2" t="str">
        <x:v>BB</x:v>
      </x:c>
      <x:c r="D897" s="2" t="str">
        <x:v>Brevicoryne brassicae</x:v>
      </x:c>
      <x:c r="E897" s="2" t="str">
        <x:v>L8</x:v>
      </x:c>
      <x:c r="F897" s="2" t="n">
        <x:v>4</x:v>
      </x:c>
      <x:c r="G897" s="2" t="n">
        <x:v>13</x:v>
      </x:c>
      <x:c r="H897" s="2" t="n">
        <x:f>G897+Supuestos!$C$15</x:f>
        <x:v>14</x:v>
      </x:c>
      <x:c r="I897" s="14" t="n">
        <x:f>E2_plantas!J23+G897</x:f>
        <x:v>46194</x:v>
      </x:c>
      <x:c r="J897" s="2" t="str">
        <x:v>adulta</x:v>
      </x:c>
      <x:c r="K897" s="2" t="n">
        <x:v>1</x:v>
      </x:c>
      <x:c r="L897" s="2" t="n">
        <x:v>3</x:v>
      </x:c>
      <x:c r="M897" s="2" t="n">
        <x:f>SUM(L$884:L897)</x:f>
        <x:v>3</x:v>
      </x:c>
      <x:c r="N897" s="2" t="n">
        <x:v>0</x:v>
      </x:c>
      <x:c r="O897" s="2" t="str">
        <x:v>seguimiento</x:v>
      </x:c>
      <x:c r="P897" s="2" t="n">
        <x:v>0</x:v>
      </x:c>
      <x:c r="Q897" s="2" t="str">
        <x:v>simulado_didactico</x:v>
      </x:c>
    </x:row>
    <x:row r="898" ht="19" customHeight="1">
      <x:c r="A898" s="2" t="str">
        <x:v>SIM-E2-BB-L8-R04</x:v>
      </x:c>
      <x:c r="B898" s="2" t="n">
        <x:v>2</x:v>
      </x:c>
      <x:c r="C898" s="2" t="str">
        <x:v>BB</x:v>
      </x:c>
      <x:c r="D898" s="2" t="str">
        <x:v>Brevicoryne brassicae</x:v>
      </x:c>
      <x:c r="E898" s="2" t="str">
        <x:v>L8</x:v>
      </x:c>
      <x:c r="F898" s="2" t="n">
        <x:v>4</x:v>
      </x:c>
      <x:c r="G898" s="2" t="n">
        <x:v>14</x:v>
      </x:c>
      <x:c r="H898" s="2" t="n">
        <x:f>G898+Supuestos!$C$15</x:f>
        <x:v>15</x:v>
      </x:c>
      <x:c r="I898" s="14" t="n">
        <x:f>E2_plantas!J23+G898</x:f>
        <x:v>46195</x:v>
      </x:c>
      <x:c r="J898" s="2" t="str">
        <x:v>adulta</x:v>
      </x:c>
      <x:c r="K898" s="2" t="n">
        <x:v>1</x:v>
      </x:c>
      <x:c r="L898" s="2" t="n">
        <x:v>3</x:v>
      </x:c>
      <x:c r="M898" s="2" t="n">
        <x:f>SUM(L$884:L898)</x:f>
        <x:v>6</x:v>
      </x:c>
      <x:c r="N898" s="2" t="n">
        <x:v>0</x:v>
      </x:c>
      <x:c r="O898" s="2" t="str">
        <x:v>seguimiento</x:v>
      </x:c>
      <x:c r="P898" s="2" t="n">
        <x:v>0</x:v>
      </x:c>
      <x:c r="Q898" s="2" t="str">
        <x:v>simulado_didactico</x:v>
      </x:c>
    </x:row>
    <x:row r="899" ht="19" customHeight="1">
      <x:c r="A899" s="2" t="str">
        <x:v>SIM-E2-BB-L8-R04</x:v>
      </x:c>
      <x:c r="B899" s="2" t="n">
        <x:v>2</x:v>
      </x:c>
      <x:c r="C899" s="2" t="str">
        <x:v>BB</x:v>
      </x:c>
      <x:c r="D899" s="2" t="str">
        <x:v>Brevicoryne brassicae</x:v>
      </x:c>
      <x:c r="E899" s="2" t="str">
        <x:v>L8</x:v>
      </x:c>
      <x:c r="F899" s="2" t="n">
        <x:v>4</x:v>
      </x:c>
      <x:c r="G899" s="2" t="n">
        <x:v>15</x:v>
      </x:c>
      <x:c r="H899" s="2" t="n">
        <x:f>G899+Supuestos!$C$15</x:f>
        <x:v>16</x:v>
      </x:c>
      <x:c r="I899" s="14" t="n">
        <x:f>E2_plantas!J23+G899</x:f>
        <x:v>46196</x:v>
      </x:c>
      <x:c r="J899" s="2" t="str">
        <x:v>adulta</x:v>
      </x:c>
      <x:c r="K899" s="2" t="n">
        <x:v>1</x:v>
      </x:c>
      <x:c r="L899" s="2" t="n">
        <x:v>7</x:v>
      </x:c>
      <x:c r="M899" s="2" t="n">
        <x:f>SUM(L$884:L899)</x:f>
        <x:v>13</x:v>
      </x:c>
      <x:c r="N899" s="2" t="n">
        <x:v>0</x:v>
      </x:c>
      <x:c r="O899" s="2" t="str">
        <x:v>seguimiento</x:v>
      </x:c>
      <x:c r="P899" s="2" t="n">
        <x:v>0</x:v>
      </x:c>
      <x:c r="Q899" s="2" t="str">
        <x:v>simulado_didactico</x:v>
      </x:c>
    </x:row>
    <x:row r="900" ht="19" customHeight="1">
      <x:c r="A900" s="2" t="str">
        <x:v>SIM-E2-BB-L8-R04</x:v>
      </x:c>
      <x:c r="B900" s="2" t="n">
        <x:v>2</x:v>
      </x:c>
      <x:c r="C900" s="2" t="str">
        <x:v>BB</x:v>
      </x:c>
      <x:c r="D900" s="2" t="str">
        <x:v>Brevicoryne brassicae</x:v>
      </x:c>
      <x:c r="E900" s="2" t="str">
        <x:v>L8</x:v>
      </x:c>
      <x:c r="F900" s="2" t="n">
        <x:v>4</x:v>
      </x:c>
      <x:c r="G900" s="2" t="n">
        <x:v>16</x:v>
      </x:c>
      <x:c r="H900" s="2" t="n">
        <x:f>G900+Supuestos!$C$15</x:f>
        <x:v>17</x:v>
      </x:c>
      <x:c r="I900" s="14" t="n">
        <x:f>E2_plantas!J23+G900</x:f>
        <x:v>46197</x:v>
      </x:c>
      <x:c r="J900" s="2" t="str">
        <x:v>adulta</x:v>
      </x:c>
      <x:c r="K900" s="2" t="n">
        <x:v>1</x:v>
      </x:c>
      <x:c r="L900" s="2" t="n">
        <x:v>5</x:v>
      </x:c>
      <x:c r="M900" s="2" t="n">
        <x:f>SUM(L$884:L900)</x:f>
        <x:v>18</x:v>
      </x:c>
      <x:c r="N900" s="2" t="n">
        <x:v>0</x:v>
      </x:c>
      <x:c r="O900" s="2" t="str">
        <x:v>seguimiento</x:v>
      </x:c>
      <x:c r="P900" s="2" t="n">
        <x:v>0</x:v>
      </x:c>
      <x:c r="Q900" s="2" t="str">
        <x:v>simulado_didactico</x:v>
      </x:c>
    </x:row>
    <x:row r="901" ht="19" customHeight="1">
      <x:c r="A901" s="2" t="str">
        <x:v>SIM-E2-BB-L8-R04</x:v>
      </x:c>
      <x:c r="B901" s="2" t="n">
        <x:v>2</x:v>
      </x:c>
      <x:c r="C901" s="2" t="str">
        <x:v>BB</x:v>
      </x:c>
      <x:c r="D901" s="2" t="str">
        <x:v>Brevicoryne brassicae</x:v>
      </x:c>
      <x:c r="E901" s="2" t="str">
        <x:v>L8</x:v>
      </x:c>
      <x:c r="F901" s="2" t="n">
        <x:v>4</x:v>
      </x:c>
      <x:c r="G901" s="2" t="n">
        <x:v>17</x:v>
      </x:c>
      <x:c r="H901" s="2" t="n">
        <x:f>G901+Supuestos!$C$15</x:f>
        <x:v>18</x:v>
      </x:c>
      <x:c r="I901" s="14" t="n">
        <x:f>E2_plantas!J23+G901</x:f>
        <x:v>46198</x:v>
      </x:c>
      <x:c r="J901" s="2" t="str">
        <x:v>adulta</x:v>
      </x:c>
      <x:c r="K901" s="2" t="n">
        <x:v>1</x:v>
      </x:c>
      <x:c r="L901" s="2" t="n">
        <x:v>0</x:v>
      </x:c>
      <x:c r="M901" s="2" t="n">
        <x:f>SUM(L$884:L901)</x:f>
        <x:v>18</x:v>
      </x:c>
      <x:c r="N901" s="2" t="n">
        <x:v>0</x:v>
      </x:c>
      <x:c r="O901" s="2" t="str">
        <x:v>seguimiento</x:v>
      </x:c>
      <x:c r="P901" s="2" t="n">
        <x:v>0</x:v>
      </x:c>
      <x:c r="Q901" s="2" t="str">
        <x:v>simulado_didactico</x:v>
      </x:c>
    </x:row>
    <x:row r="902" ht="19" customHeight="1">
      <x:c r="A902" s="2" t="str">
        <x:v>SIM-E2-BB-L8-R04</x:v>
      </x:c>
      <x:c r="B902" s="2" t="n">
        <x:v>2</x:v>
      </x:c>
      <x:c r="C902" s="2" t="str">
        <x:v>BB</x:v>
      </x:c>
      <x:c r="D902" s="2" t="str">
        <x:v>Brevicoryne brassicae</x:v>
      </x:c>
      <x:c r="E902" s="2" t="str">
        <x:v>L8</x:v>
      </x:c>
      <x:c r="F902" s="2" t="n">
        <x:v>4</x:v>
      </x:c>
      <x:c r="G902" s="2" t="n">
        <x:v>18</x:v>
      </x:c>
      <x:c r="H902" s="2" t="n">
        <x:f>G902+Supuestos!$C$15</x:f>
        <x:v>19</x:v>
      </x:c>
      <x:c r="I902" s="14" t="n">
        <x:f>E2_plantas!J23+G902</x:f>
        <x:v>46199</x:v>
      </x:c>
      <x:c r="J902" s="2" t="str">
        <x:v>adulta</x:v>
      </x:c>
      <x:c r="K902" s="2" t="n">
        <x:v>1</x:v>
      </x:c>
      <x:c r="L902" s="2" t="n">
        <x:v>5</x:v>
      </x:c>
      <x:c r="M902" s="2" t="n">
        <x:f>SUM(L$884:L902)</x:f>
        <x:v>23</x:v>
      </x:c>
      <x:c r="N902" s="2" t="n">
        <x:v>0</x:v>
      </x:c>
      <x:c r="O902" s="2" t="str">
        <x:v>seguimiento</x:v>
      </x:c>
      <x:c r="P902" s="2" t="n">
        <x:v>0</x:v>
      </x:c>
      <x:c r="Q902" s="2" t="str">
        <x:v>simulado_didactico</x:v>
      </x:c>
    </x:row>
    <x:row r="903" ht="19" customHeight="1">
      <x:c r="A903" s="2" t="str">
        <x:v>SIM-E2-BB-L8-R04</x:v>
      </x:c>
      <x:c r="B903" s="2" t="n">
        <x:v>2</x:v>
      </x:c>
      <x:c r="C903" s="2" t="str">
        <x:v>BB</x:v>
      </x:c>
      <x:c r="D903" s="2" t="str">
        <x:v>Brevicoryne brassicae</x:v>
      </x:c>
      <x:c r="E903" s="2" t="str">
        <x:v>L8</x:v>
      </x:c>
      <x:c r="F903" s="2" t="n">
        <x:v>4</x:v>
      </x:c>
      <x:c r="G903" s="2" t="n">
        <x:v>19</x:v>
      </x:c>
      <x:c r="H903" s="2" t="n">
        <x:f>G903+Supuestos!$C$15</x:f>
        <x:v>20</x:v>
      </x:c>
      <x:c r="I903" s="14" t="n">
        <x:f>E2_plantas!J23+G903</x:f>
        <x:v>46200</x:v>
      </x:c>
      <x:c r="J903" s="2" t="str">
        <x:v>adulta</x:v>
      </x:c>
      <x:c r="K903" s="2" t="n">
        <x:v>1</x:v>
      </x:c>
      <x:c r="L903" s="2" t="n">
        <x:v>3</x:v>
      </x:c>
      <x:c r="M903" s="2" t="n">
        <x:f>SUM(L$884:L903)</x:f>
        <x:v>26</x:v>
      </x:c>
      <x:c r="N903" s="2" t="n">
        <x:v>0</x:v>
      </x:c>
      <x:c r="O903" s="2" t="str">
        <x:v>seguimiento</x:v>
      </x:c>
      <x:c r="P903" s="2" t="n">
        <x:v>0</x:v>
      </x:c>
      <x:c r="Q903" s="2" t="str">
        <x:v>simulado_didactico</x:v>
      </x:c>
    </x:row>
    <x:row r="904" ht="19" customHeight="1">
      <x:c r="A904" s="2" t="str">
        <x:v>SIM-E2-BB-L8-R04</x:v>
      </x:c>
      <x:c r="B904" s="2" t="n">
        <x:v>2</x:v>
      </x:c>
      <x:c r="C904" s="2" t="str">
        <x:v>BB</x:v>
      </x:c>
      <x:c r="D904" s="2" t="str">
        <x:v>Brevicoryne brassicae</x:v>
      </x:c>
      <x:c r="E904" s="2" t="str">
        <x:v>L8</x:v>
      </x:c>
      <x:c r="F904" s="2" t="n">
        <x:v>4</x:v>
      </x:c>
      <x:c r="G904" s="2" t="n">
        <x:v>20</x:v>
      </x:c>
      <x:c r="H904" s="2" t="n">
        <x:f>G904+Supuestos!$C$15</x:f>
        <x:v>21</x:v>
      </x:c>
      <x:c r="I904" s="14" t="n">
        <x:f>E2_plantas!J23+G904</x:f>
        <x:v>46201</x:v>
      </x:c>
      <x:c r="J904" s="2" t="str">
        <x:v>adulta</x:v>
      </x:c>
      <x:c r="K904" s="2" t="n">
        <x:v>1</x:v>
      </x:c>
      <x:c r="L904" s="2" t="n">
        <x:v>0</x:v>
      </x:c>
      <x:c r="M904" s="2" t="n">
        <x:f>SUM(L$884:L904)</x:f>
        <x:v>26</x:v>
      </x:c>
      <x:c r="N904" s="2" t="n">
        <x:v>0</x:v>
      </x:c>
      <x:c r="O904" s="2" t="str">
        <x:v>seguimiento</x:v>
      </x:c>
      <x:c r="P904" s="2" t="n">
        <x:v>0</x:v>
      </x:c>
      <x:c r="Q904" s="2" t="str">
        <x:v>simulado_didactico</x:v>
      </x:c>
    </x:row>
    <x:row r="905" ht="19" customHeight="1">
      <x:c r="A905" s="2" t="str">
        <x:v>SIM-E2-BB-L8-R04</x:v>
      </x:c>
      <x:c r="B905" s="2" t="n">
        <x:v>2</x:v>
      </x:c>
      <x:c r="C905" s="2" t="str">
        <x:v>BB</x:v>
      </x:c>
      <x:c r="D905" s="2" t="str">
        <x:v>Brevicoryne brassicae</x:v>
      </x:c>
      <x:c r="E905" s="2" t="str">
        <x:v>L8</x:v>
      </x:c>
      <x:c r="F905" s="2" t="n">
        <x:v>4</x:v>
      </x:c>
      <x:c r="G905" s="2" t="n">
        <x:v>21</x:v>
      </x:c>
      <x:c r="H905" s="2" t="n">
        <x:f>G905+Supuestos!$C$15</x:f>
        <x:v>22</x:v>
      </x:c>
      <x:c r="I905" s="14" t="n">
        <x:f>E2_plantas!J23+G905</x:f>
        <x:v>46202</x:v>
      </x:c>
      <x:c r="J905" s="2" t="str">
        <x:v>adulta</x:v>
      </x:c>
      <x:c r="K905" s="2" t="n">
        <x:v>1</x:v>
      </x:c>
      <x:c r="L905" s="2" t="n">
        <x:v>2</x:v>
      </x:c>
      <x:c r="M905" s="2" t="n">
        <x:f>SUM(L$884:L905)</x:f>
        <x:v>28</x:v>
      </x:c>
      <x:c r="N905" s="2" t="n">
        <x:v>0</x:v>
      </x:c>
      <x:c r="O905" s="2" t="str">
        <x:v>seguimiento</x:v>
      </x:c>
      <x:c r="P905" s="2" t="n">
        <x:v>0</x:v>
      </x:c>
      <x:c r="Q905" s="2" t="str">
        <x:v>simulado_didactico</x:v>
      </x:c>
    </x:row>
    <x:row r="906" ht="19" customHeight="1">
      <x:c r="A906" s="2" t="str">
        <x:v>SIM-E2-BB-L8-R04</x:v>
      </x:c>
      <x:c r="B906" s="2" t="n">
        <x:v>2</x:v>
      </x:c>
      <x:c r="C906" s="2" t="str">
        <x:v>BB</x:v>
      </x:c>
      <x:c r="D906" s="2" t="str">
        <x:v>Brevicoryne brassicae</x:v>
      </x:c>
      <x:c r="E906" s="2" t="str">
        <x:v>L8</x:v>
      </x:c>
      <x:c r="F906" s="2" t="n">
        <x:v>4</x:v>
      </x:c>
      <x:c r="G906" s="2" t="n">
        <x:v>22</x:v>
      </x:c>
      <x:c r="H906" s="2" t="n">
        <x:f>G906+Supuestos!$C$15</x:f>
        <x:v>23</x:v>
      </x:c>
      <x:c r="I906" s="14" t="n">
        <x:f>E2_plantas!J23+G906</x:f>
        <x:v>46203</x:v>
      </x:c>
      <x:c r="J906" s="2" t="str">
        <x:v>adulta</x:v>
      </x:c>
      <x:c r="K906" s="2" t="n">
        <x:v>1</x:v>
      </x:c>
      <x:c r="L906" s="2" t="n">
        <x:v>4</x:v>
      </x:c>
      <x:c r="M906" s="2" t="n">
        <x:f>SUM(L$884:L906)</x:f>
        <x:v>32</x:v>
      </x:c>
      <x:c r="N906" s="2" t="n">
        <x:v>0</x:v>
      </x:c>
      <x:c r="O906" s="2" t="str">
        <x:v>seguimiento</x:v>
      </x:c>
      <x:c r="P906" s="2" t="n">
        <x:v>0</x:v>
      </x:c>
      <x:c r="Q906" s="2" t="str">
        <x:v>simulado_didactico</x:v>
      </x:c>
    </x:row>
    <x:row r="907" ht="19" customHeight="1">
      <x:c r="A907" s="2" t="str">
        <x:v>SIM-E2-BB-L8-R04</x:v>
      </x:c>
      <x:c r="B907" s="2" t="n">
        <x:v>2</x:v>
      </x:c>
      <x:c r="C907" s="2" t="str">
        <x:v>BB</x:v>
      </x:c>
      <x:c r="D907" s="2" t="str">
        <x:v>Brevicoryne brassicae</x:v>
      </x:c>
      <x:c r="E907" s="2" t="str">
        <x:v>L8</x:v>
      </x:c>
      <x:c r="F907" s="2" t="n">
        <x:v>4</x:v>
      </x:c>
      <x:c r="G907" s="2" t="n">
        <x:v>23</x:v>
      </x:c>
      <x:c r="H907" s="2" t="n">
        <x:f>G907+Supuestos!$C$15</x:f>
        <x:v>24</x:v>
      </x:c>
      <x:c r="I907" s="14" t="n">
        <x:f>E2_plantas!J23+G907</x:f>
        <x:v>46204</x:v>
      </x:c>
      <x:c r="J907" s="2" t="str">
        <x:v>adulta</x:v>
      </x:c>
      <x:c r="K907" s="2" t="n">
        <x:v>1</x:v>
      </x:c>
      <x:c r="L907" s="2" t="n">
        <x:v>2</x:v>
      </x:c>
      <x:c r="M907" s="2" t="n">
        <x:f>SUM(L$884:L907)</x:f>
        <x:v>34</x:v>
      </x:c>
      <x:c r="N907" s="2" t="n">
        <x:v>0</x:v>
      </x:c>
      <x:c r="O907" s="2" t="str">
        <x:v>seguimiento</x:v>
      </x:c>
      <x:c r="P907" s="2" t="n">
        <x:v>0</x:v>
      </x:c>
      <x:c r="Q907" s="2" t="str">
        <x:v>simulado_didactico</x:v>
      </x:c>
    </x:row>
    <x:row r="908" ht="19" customHeight="1">
      <x:c r="A908" s="2" t="str">
        <x:v>SIM-E2-BB-L8-R04</x:v>
      </x:c>
      <x:c r="B908" s="2" t="n">
        <x:v>2</x:v>
      </x:c>
      <x:c r="C908" s="2" t="str">
        <x:v>BB</x:v>
      </x:c>
      <x:c r="D908" s="2" t="str">
        <x:v>Brevicoryne brassicae</x:v>
      </x:c>
      <x:c r="E908" s="2" t="str">
        <x:v>L8</x:v>
      </x:c>
      <x:c r="F908" s="2" t="n">
        <x:v>4</x:v>
      </x:c>
      <x:c r="G908" s="2" t="n">
        <x:v>24</x:v>
      </x:c>
      <x:c r="H908" s="2" t="n">
        <x:f>G908+Supuestos!$C$15</x:f>
        <x:v>25</x:v>
      </x:c>
      <x:c r="I908" s="14" t="n">
        <x:f>E2_plantas!J23+G908</x:f>
        <x:v>46205</x:v>
      </x:c>
      <x:c r="J908" s="2" t="str">
        <x:v>adulta</x:v>
      </x:c>
      <x:c r="K908" s="2" t="n">
        <x:v>1</x:v>
      </x:c>
      <x:c r="L908" s="2" t="n">
        <x:v>1</x:v>
      </x:c>
      <x:c r="M908" s="2" t="n">
        <x:f>SUM(L$884:L908)</x:f>
        <x:v>35</x:v>
      </x:c>
      <x:c r="N908" s="2" t="n">
        <x:v>0</x:v>
      </x:c>
      <x:c r="O908" s="2" t="str">
        <x:v>seguimiento</x:v>
      </x:c>
      <x:c r="P908" s="2" t="n">
        <x:v>0</x:v>
      </x:c>
      <x:c r="Q908" s="2" t="str">
        <x:v>simulado_didactico</x:v>
      </x:c>
    </x:row>
    <x:row r="909" ht="19" customHeight="1">
      <x:c r="A909" s="2" t="str">
        <x:v>SIM-E2-BB-L8-R04</x:v>
      </x:c>
      <x:c r="B909" s="2" t="n">
        <x:v>2</x:v>
      </x:c>
      <x:c r="C909" s="2" t="str">
        <x:v>BB</x:v>
      </x:c>
      <x:c r="D909" s="2" t="str">
        <x:v>Brevicoryne brassicae</x:v>
      </x:c>
      <x:c r="E909" s="2" t="str">
        <x:v>L8</x:v>
      </x:c>
      <x:c r="F909" s="2" t="n">
        <x:v>4</x:v>
      </x:c>
      <x:c r="G909" s="2" t="n">
        <x:v>25</x:v>
      </x:c>
      <x:c r="H909" s="2" t="n">
        <x:f>G909+Supuestos!$C$15</x:f>
        <x:v>26</x:v>
      </x:c>
      <x:c r="I909" s="14" t="n">
        <x:f>E2_plantas!J23+G909</x:f>
        <x:v>46206</x:v>
      </x:c>
      <x:c r="J909" s="2" t="str">
        <x:v>adulta</x:v>
      </x:c>
      <x:c r="K909" s="2" t="n">
        <x:v>1</x:v>
      </x:c>
      <x:c r="L909" s="2" t="n">
        <x:v>2</x:v>
      </x:c>
      <x:c r="M909" s="2" t="n">
        <x:f>SUM(L$884:L909)</x:f>
        <x:v>37</x:v>
      </x:c>
      <x:c r="N909" s="2" t="n">
        <x:v>0</x:v>
      </x:c>
      <x:c r="O909" s="2" t="str">
        <x:v>seguimiento</x:v>
      </x:c>
      <x:c r="P909" s="2" t="n">
        <x:v>0</x:v>
      </x:c>
      <x:c r="Q909" s="2" t="str">
        <x:v>simulado_didactico</x:v>
      </x:c>
    </x:row>
    <x:row r="910" ht="19" customHeight="1">
      <x:c r="A910" s="2" t="str">
        <x:v>SIM-E2-BB-L8-R04</x:v>
      </x:c>
      <x:c r="B910" s="2" t="n">
        <x:v>2</x:v>
      </x:c>
      <x:c r="C910" s="2" t="str">
        <x:v>BB</x:v>
      </x:c>
      <x:c r="D910" s="2" t="str">
        <x:v>Brevicoryne brassicae</x:v>
      </x:c>
      <x:c r="E910" s="2" t="str">
        <x:v>L8</x:v>
      </x:c>
      <x:c r="F910" s="2" t="n">
        <x:v>4</x:v>
      </x:c>
      <x:c r="G910" s="2" t="n">
        <x:v>26</x:v>
      </x:c>
      <x:c r="H910" s="2" t="n">
        <x:f>G910+Supuestos!$C$15</x:f>
        <x:v>27</x:v>
      </x:c>
      <x:c r="I910" s="14" t="n">
        <x:f>E2_plantas!J23+G910</x:f>
        <x:v>46207</x:v>
      </x:c>
      <x:c r="J910" s="2" t="str">
        <x:v>adulta</x:v>
      </x:c>
      <x:c r="K910" s="2" t="n">
        <x:v>1</x:v>
      </x:c>
      <x:c r="L910" s="2" t="n">
        <x:v>0</x:v>
      </x:c>
      <x:c r="M910" s="2" t="n">
        <x:f>SUM(L$884:L910)</x:f>
        <x:v>37</x:v>
      </x:c>
      <x:c r="N910" s="2" t="n">
        <x:v>0</x:v>
      </x:c>
      <x:c r="O910" s="2" t="str">
        <x:v>seguimiento</x:v>
      </x:c>
      <x:c r="P910" s="2" t="n">
        <x:v>0</x:v>
      </x:c>
      <x:c r="Q910" s="2" t="str">
        <x:v>simulado_didactico</x:v>
      </x:c>
    </x:row>
    <x:row r="911" ht="19" customHeight="1">
      <x:c r="A911" s="2" t="str">
        <x:v>SIM-E2-BB-L8-R04</x:v>
      </x:c>
      <x:c r="B911" s="2" t="n">
        <x:v>2</x:v>
      </x:c>
      <x:c r="C911" s="2" t="str">
        <x:v>BB</x:v>
      </x:c>
      <x:c r="D911" s="2" t="str">
        <x:v>Brevicoryne brassicae</x:v>
      </x:c>
      <x:c r="E911" s="2" t="str">
        <x:v>L8</x:v>
      </x:c>
      <x:c r="F911" s="2" t="n">
        <x:v>4</x:v>
      </x:c>
      <x:c r="G911" s="2" t="n">
        <x:v>27</x:v>
      </x:c>
      <x:c r="H911" s="2" t="n">
        <x:f>G911+Supuestos!$C$15</x:f>
        <x:v>28</x:v>
      </x:c>
      <x:c r="I911" s="14" t="n">
        <x:f>E2_plantas!J23+G911</x:f>
        <x:v>46208</x:v>
      </x:c>
      <x:c r="J911" s="2" t="str">
        <x:v>muerta</x:v>
      </x:c>
      <x:c r="K911" s="2" t="n">
        <x:v>0</x:v>
      </x:c>
      <x:c r="L911" s="2" t="n">
        <x:v>0</x:v>
      </x:c>
      <x:c r="M911" s="2" t="n">
        <x:f>SUM(L$884:L911)</x:f>
        <x:v>37</x:v>
      </x:c>
      <x:c r="N911" s="2" t="n">
        <x:v>1</x:v>
      </x:c>
      <x:c r="O911" s="2" t="str">
        <x:v>muerte</x:v>
      </x:c>
      <x:c r="P911" s="2" t="n">
        <x:v>0</x:v>
      </x:c>
      <x:c r="Q911" s="2" t="str">
        <x:v>simulado_didactico</x:v>
      </x:c>
    </x:row>
    <x:row r="912" ht="19" customHeight="1">
      <x:c r="A912" s="2" t="str">
        <x:v>SIM-E2-BB-L8-R04</x:v>
      </x:c>
      <x:c r="B912" s="2" t="n">
        <x:v>2</x:v>
      </x:c>
      <x:c r="C912" s="2" t="str">
        <x:v>BB</x:v>
      </x:c>
      <x:c r="D912" s="2" t="str">
        <x:v>Brevicoryne brassicae</x:v>
      </x:c>
      <x:c r="E912" s="2" t="str">
        <x:v>L8</x:v>
      </x:c>
      <x:c r="F912" s="2" t="n">
        <x:v>4</x:v>
      </x:c>
      <x:c r="G912" s="2" t="n">
        <x:v>28</x:v>
      </x:c>
      <x:c r="H912" s="2" t="n">
        <x:f>G912+Supuestos!$C$15</x:f>
        <x:v>29</x:v>
      </x:c>
      <x:c r="I912" s="14" t="n">
        <x:f>E2_plantas!J23+G912</x:f>
        <x:v>46209</x:v>
      </x:c>
      <x:c r="J912" s="2" t="str">
        <x:v>muerta</x:v>
      </x:c>
      <x:c r="K912" s="2" t="n">
        <x:v>0</x:v>
      </x:c>
      <x:c r="L912" s="2" t="n">
        <x:v>0</x:v>
      </x:c>
      <x:c r="M912" s="2" t="n">
        <x:f>SUM(L$884:L912)</x:f>
        <x:v>37</x:v>
      </x:c>
      <x:c r="N912" s="2" t="n">
        <x:v>0</x:v>
      </x:c>
      <x:c r="O912" s="2" t="str">
        <x:v>relleno_postmuerte</x:v>
      </x:c>
      <x:c r="P912" s="2" t="n">
        <x:v>0</x:v>
      </x:c>
      <x:c r="Q912" s="2" t="str">
        <x:v>simulado_didactico</x:v>
      </x:c>
    </x:row>
    <x:row r="913" ht="19" customHeight="1">
      <x:c r="A913" s="2" t="str">
        <x:v>SIM-E2-BB-L8-R04</x:v>
      </x:c>
      <x:c r="B913" s="2" t="n">
        <x:v>2</x:v>
      </x:c>
      <x:c r="C913" s="2" t="str">
        <x:v>BB</x:v>
      </x:c>
      <x:c r="D913" s="2" t="str">
        <x:v>Brevicoryne brassicae</x:v>
      </x:c>
      <x:c r="E913" s="2" t="str">
        <x:v>L8</x:v>
      </x:c>
      <x:c r="F913" s="2" t="n">
        <x:v>4</x:v>
      </x:c>
      <x:c r="G913" s="2" t="n">
        <x:v>29</x:v>
      </x:c>
      <x:c r="H913" s="2" t="n">
        <x:f>G913+Supuestos!$C$15</x:f>
        <x:v>30</x:v>
      </x:c>
      <x:c r="I913" s="14" t="n">
        <x:f>E2_plantas!J23+G913</x:f>
        <x:v>46210</x:v>
      </x:c>
      <x:c r="J913" s="2" t="str">
        <x:v>muerta</x:v>
      </x:c>
      <x:c r="K913" s="2" t="n">
        <x:v>0</x:v>
      </x:c>
      <x:c r="L913" s="2" t="n">
        <x:v>0</x:v>
      </x:c>
      <x:c r="M913" s="2" t="n">
        <x:f>SUM(L$884:L913)</x:f>
        <x:v>37</x:v>
      </x:c>
      <x:c r="N913" s="2" t="n">
        <x:v>0</x:v>
      </x:c>
      <x:c r="O913" s="2" t="str">
        <x:v>relleno_postmuerte</x:v>
      </x:c>
      <x:c r="P913" s="2" t="n">
        <x:v>0</x:v>
      </x:c>
      <x:c r="Q913" s="2" t="str">
        <x:v>simulado_didactico</x:v>
      </x:c>
    </x:row>
    <x:row r="914" ht="19" customHeight="1">
      <x:c r="A914" s="2" t="str">
        <x:v>SIM-E2-BB-L8-R04</x:v>
      </x:c>
      <x:c r="B914" s="2" t="n">
        <x:v>2</x:v>
      </x:c>
      <x:c r="C914" s="2" t="str">
        <x:v>BB</x:v>
      </x:c>
      <x:c r="D914" s="2" t="str">
        <x:v>Brevicoryne brassicae</x:v>
      </x:c>
      <x:c r="E914" s="2" t="str">
        <x:v>L8</x:v>
      </x:c>
      <x:c r="F914" s="2" t="n">
        <x:v>4</x:v>
      </x:c>
      <x:c r="G914" s="2" t="n">
        <x:v>30</x:v>
      </x:c>
      <x:c r="H914" s="2" t="n">
        <x:f>G914+Supuestos!$C$15</x:f>
        <x:v>31</x:v>
      </x:c>
      <x:c r="I914" s="14" t="n">
        <x:f>E2_plantas!J23+G914</x:f>
        <x:v>46211</x:v>
      </x:c>
      <x:c r="J914" s="2" t="str">
        <x:v>muerta</x:v>
      </x:c>
      <x:c r="K914" s="2" t="n">
        <x:v>0</x:v>
      </x:c>
      <x:c r="L914" s="2" t="n">
        <x:v>0</x:v>
      </x:c>
      <x:c r="M914" s="2" t="n">
        <x:f>SUM(L$884:L914)</x:f>
        <x:v>37</x:v>
      </x:c>
      <x:c r="N914" s="2" t="n">
        <x:v>0</x:v>
      </x:c>
      <x:c r="O914" s="2" t="str">
        <x:v>relleno_postmuerte</x:v>
      </x:c>
      <x:c r="P914" s="2" t="n">
        <x:v>0</x:v>
      </x:c>
      <x:c r="Q914" s="2" t="str">
        <x:v>simulado_didactico</x:v>
      </x:c>
    </x:row>
    <x:row r="915" ht="19" customHeight="1">
      <x:c r="A915" s="2" t="str">
        <x:v>SIM-E2-BB-L8-R04</x:v>
      </x:c>
      <x:c r="B915" s="2" t="n">
        <x:v>2</x:v>
      </x:c>
      <x:c r="C915" s="2" t="str">
        <x:v>BB</x:v>
      </x:c>
      <x:c r="D915" s="2" t="str">
        <x:v>Brevicoryne brassicae</x:v>
      </x:c>
      <x:c r="E915" s="2" t="str">
        <x:v>L8</x:v>
      </x:c>
      <x:c r="F915" s="2" t="n">
        <x:v>4</x:v>
      </x:c>
      <x:c r="G915" s="2" t="n">
        <x:v>31</x:v>
      </x:c>
      <x:c r="H915" s="2" t="n">
        <x:f>G915+Supuestos!$C$15</x:f>
        <x:v>32</x:v>
      </x:c>
      <x:c r="I915" s="14" t="n">
        <x:f>E2_plantas!J23+G915</x:f>
        <x:v>46212</x:v>
      </x:c>
      <x:c r="J915" s="2" t="str">
        <x:v>muerta</x:v>
      </x:c>
      <x:c r="K915" s="2" t="n">
        <x:v>0</x:v>
      </x:c>
      <x:c r="L915" s="2" t="n">
        <x:v>0</x:v>
      </x:c>
      <x:c r="M915" s="2" t="n">
        <x:f>SUM(L$884:L915)</x:f>
        <x:v>37</x:v>
      </x:c>
      <x:c r="N915" s="2" t="n">
        <x:v>0</x:v>
      </x:c>
      <x:c r="O915" s="2" t="str">
        <x:v>relleno_postmuerte</x:v>
      </x:c>
      <x:c r="P915" s="2" t="n">
        <x:v>0</x:v>
      </x:c>
      <x:c r="Q915" s="2" t="str">
        <x:v>simulado_didactico</x:v>
      </x:c>
    </x:row>
    <x:row r="916" ht="19" customHeight="1">
      <x:c r="A916" s="2" t="str">
        <x:v>SIM-E2-BB-L8-R04</x:v>
      </x:c>
      <x:c r="B916" s="2" t="n">
        <x:v>2</x:v>
      </x:c>
      <x:c r="C916" s="2" t="str">
        <x:v>BB</x:v>
      </x:c>
      <x:c r="D916" s="2" t="str">
        <x:v>Brevicoryne brassicae</x:v>
      </x:c>
      <x:c r="E916" s="2" t="str">
        <x:v>L8</x:v>
      </x:c>
      <x:c r="F916" s="2" t="n">
        <x:v>4</x:v>
      </x:c>
      <x:c r="G916" s="2" t="n">
        <x:v>32</x:v>
      </x:c>
      <x:c r="H916" s="2" t="n">
        <x:f>G916+Supuestos!$C$15</x:f>
        <x:v>33</x:v>
      </x:c>
      <x:c r="I916" s="14" t="n">
        <x:f>E2_plantas!J23+G916</x:f>
        <x:v>46213</x:v>
      </x:c>
      <x:c r="J916" s="2" t="str">
        <x:v>muerta</x:v>
      </x:c>
      <x:c r="K916" s="2" t="n">
        <x:v>0</x:v>
      </x:c>
      <x:c r="L916" s="2" t="n">
        <x:v>0</x:v>
      </x:c>
      <x:c r="M916" s="2" t="n">
        <x:f>SUM(L$884:L916)</x:f>
        <x:v>37</x:v>
      </x:c>
      <x:c r="N916" s="2" t="n">
        <x:v>0</x:v>
      </x:c>
      <x:c r="O916" s="2" t="str">
        <x:v>relleno_postmuerte</x:v>
      </x:c>
      <x:c r="P916" s="2" t="n">
        <x:v>0</x:v>
      </x:c>
      <x:c r="Q916" s="2" t="str">
        <x:v>simulado_didactico</x:v>
      </x:c>
    </x:row>
    <x:row r="917" ht="19" customHeight="1">
      <x:c r="A917" s="2" t="str">
        <x:v>SIM-E2-BB-L8-R04</x:v>
      </x:c>
      <x:c r="B917" s="2" t="n">
        <x:v>2</x:v>
      </x:c>
      <x:c r="C917" s="2" t="str">
        <x:v>BB</x:v>
      </x:c>
      <x:c r="D917" s="2" t="str">
        <x:v>Brevicoryne brassicae</x:v>
      </x:c>
      <x:c r="E917" s="2" t="str">
        <x:v>L8</x:v>
      </x:c>
      <x:c r="F917" s="2" t="n">
        <x:v>4</x:v>
      </x:c>
      <x:c r="G917" s="2" t="n">
        <x:v>33</x:v>
      </x:c>
      <x:c r="H917" s="2" t="n">
        <x:f>G917+Supuestos!$C$15</x:f>
        <x:v>34</x:v>
      </x:c>
      <x:c r="I917" s="14" t="n">
        <x:f>E2_plantas!J23+G917</x:f>
        <x:v>46214</x:v>
      </x:c>
      <x:c r="J917" s="2" t="str">
        <x:v>muerta</x:v>
      </x:c>
      <x:c r="K917" s="2" t="n">
        <x:v>0</x:v>
      </x:c>
      <x:c r="L917" s="2" t="n">
        <x:v>0</x:v>
      </x:c>
      <x:c r="M917" s="2" t="n">
        <x:f>SUM(L$884:L917)</x:f>
        <x:v>37</x:v>
      </x:c>
      <x:c r="N917" s="2" t="n">
        <x:v>0</x:v>
      </x:c>
      <x:c r="O917" s="2" t="str">
        <x:v>relleno_postmuerte</x:v>
      </x:c>
      <x:c r="P917" s="2" t="n">
        <x:v>0</x:v>
      </x:c>
      <x:c r="Q917" s="2" t="str">
        <x:v>simulado_didactico</x:v>
      </x:c>
    </x:row>
    <x:row r="918" ht="19" customHeight="1">
      <x:c r="A918" s="2" t="str">
        <x:v>SIM-E2-BB-L8-R04</x:v>
      </x:c>
      <x:c r="B918" s="2" t="n">
        <x:v>2</x:v>
      </x:c>
      <x:c r="C918" s="2" t="str">
        <x:v>BB</x:v>
      </x:c>
      <x:c r="D918" s="2" t="str">
        <x:v>Brevicoryne brassicae</x:v>
      </x:c>
      <x:c r="E918" s="2" t="str">
        <x:v>L8</x:v>
      </x:c>
      <x:c r="F918" s="2" t="n">
        <x:v>4</x:v>
      </x:c>
      <x:c r="G918" s="2" t="n">
        <x:v>34</x:v>
      </x:c>
      <x:c r="H918" s="2" t="n">
        <x:f>G918+Supuestos!$C$15</x:f>
        <x:v>35</x:v>
      </x:c>
      <x:c r="I918" s="14" t="n">
        <x:f>E2_plantas!J23+G918</x:f>
        <x:v>46215</x:v>
      </x:c>
      <x:c r="J918" s="2" t="str">
        <x:v>muerta</x:v>
      </x:c>
      <x:c r="K918" s="2" t="n">
        <x:v>0</x:v>
      </x:c>
      <x:c r="L918" s="2" t="n">
        <x:v>0</x:v>
      </x:c>
      <x:c r="M918" s="2" t="n">
        <x:f>SUM(L$884:L918)</x:f>
        <x:v>37</x:v>
      </x:c>
      <x:c r="N918" s="2" t="n">
        <x:v>0</x:v>
      </x:c>
      <x:c r="O918" s="2" t="str">
        <x:v>relleno_postmuerte</x:v>
      </x:c>
      <x:c r="P918" s="2" t="n">
        <x:v>0</x:v>
      </x:c>
      <x:c r="Q918" s="2" t="str">
        <x:v>simulado_didactico</x:v>
      </x:c>
    </x:row>
    <x:row r="919" ht="19" customHeight="1">
      <x:c r="A919" s="2" t="str">
        <x:v>SIM-E2-BB-L8-R04</x:v>
      </x:c>
      <x:c r="B919" s="2" t="n">
        <x:v>2</x:v>
      </x:c>
      <x:c r="C919" s="2" t="str">
        <x:v>BB</x:v>
      </x:c>
      <x:c r="D919" s="2" t="str">
        <x:v>Brevicoryne brassicae</x:v>
      </x:c>
      <x:c r="E919" s="2" t="str">
        <x:v>L8</x:v>
      </x:c>
      <x:c r="F919" s="2" t="n">
        <x:v>4</x:v>
      </x:c>
      <x:c r="G919" s="2" t="n">
        <x:v>35</x:v>
      </x:c>
      <x:c r="H919" s="2" t="n">
        <x:f>G919+Supuestos!$C$15</x:f>
        <x:v>36</x:v>
      </x:c>
      <x:c r="I919" s="14" t="n">
        <x:f>E2_plantas!J23+G919</x:f>
        <x:v>46216</x:v>
      </x:c>
      <x:c r="J919" s="2" t="str">
        <x:v>muerta</x:v>
      </x:c>
      <x:c r="K919" s="2" t="n">
        <x:v>0</x:v>
      </x:c>
      <x:c r="L919" s="2" t="n">
        <x:v>0</x:v>
      </x:c>
      <x:c r="M919" s="2" t="n">
        <x:f>SUM(L$884:L919)</x:f>
        <x:v>37</x:v>
      </x:c>
      <x:c r="N919" s="2" t="n">
        <x:v>0</x:v>
      </x:c>
      <x:c r="O919" s="2" t="str">
        <x:v>relleno_postmuerte</x:v>
      </x:c>
      <x:c r="P919" s="2" t="n">
        <x:v>0</x:v>
      </x:c>
      <x:c r="Q919" s="2" t="str">
        <x:v>simulado_didactico</x:v>
      </x:c>
    </x:row>
    <x:row r="920" ht="19" customHeight="1">
      <x:c r="A920" s="2" t="str">
        <x:v>SIM-E2-BB-L8-R04</x:v>
      </x:c>
      <x:c r="B920" s="2" t="n">
        <x:v>2</x:v>
      </x:c>
      <x:c r="C920" s="2" t="str">
        <x:v>BB</x:v>
      </x:c>
      <x:c r="D920" s="2" t="str">
        <x:v>Brevicoryne brassicae</x:v>
      </x:c>
      <x:c r="E920" s="2" t="str">
        <x:v>L8</x:v>
      </x:c>
      <x:c r="F920" s="2" t="n">
        <x:v>4</x:v>
      </x:c>
      <x:c r="G920" s="2" t="n">
        <x:v>36</x:v>
      </x:c>
      <x:c r="H920" s="2" t="n">
        <x:f>G920+Supuestos!$C$15</x:f>
        <x:v>37</x:v>
      </x:c>
      <x:c r="I920" s="14" t="n">
        <x:f>E2_plantas!J23+G920</x:f>
        <x:v>46217</x:v>
      </x:c>
      <x:c r="J920" s="2" t="str">
        <x:v>muerta</x:v>
      </x:c>
      <x:c r="K920" s="2" t="n">
        <x:v>0</x:v>
      </x:c>
      <x:c r="L920" s="2" t="n">
        <x:v>0</x:v>
      </x:c>
      <x:c r="M920" s="2" t="n">
        <x:f>SUM(L$884:L920)</x:f>
        <x:v>37</x:v>
      </x:c>
      <x:c r="N920" s="2" t="n">
        <x:v>0</x:v>
      </x:c>
      <x:c r="O920" s="2" t="str">
        <x:v>relleno_postmuerte</x:v>
      </x:c>
      <x:c r="P920" s="2" t="n">
        <x:v>0</x:v>
      </x:c>
      <x:c r="Q920" s="2" t="str">
        <x:v>simulado_didactico</x:v>
      </x:c>
    </x:row>
    <x:row r="921" ht="19" customHeight="1">
      <x:c r="A921" s="2" t="str">
        <x:v>SIM-E2-BB-L8-R04</x:v>
      </x:c>
      <x:c r="B921" s="2" t="n">
        <x:v>2</x:v>
      </x:c>
      <x:c r="C921" s="2" t="str">
        <x:v>BB</x:v>
      </x:c>
      <x:c r="D921" s="2" t="str">
        <x:v>Brevicoryne brassicae</x:v>
      </x:c>
      <x:c r="E921" s="2" t="str">
        <x:v>L8</x:v>
      </x:c>
      <x:c r="F921" s="2" t="n">
        <x:v>4</x:v>
      </x:c>
      <x:c r="G921" s="2" t="n">
        <x:v>37</x:v>
      </x:c>
      <x:c r="H921" s="2" t="n">
        <x:f>G921+Supuestos!$C$15</x:f>
        <x:v>38</x:v>
      </x:c>
      <x:c r="I921" s="14" t="n">
        <x:f>E2_plantas!J23+G921</x:f>
        <x:v>46218</x:v>
      </x:c>
      <x:c r="J921" s="2" t="str">
        <x:v>muerta</x:v>
      </x:c>
      <x:c r="K921" s="2" t="n">
        <x:v>0</x:v>
      </x:c>
      <x:c r="L921" s="2" t="n">
        <x:v>0</x:v>
      </x:c>
      <x:c r="M921" s="2" t="n">
        <x:f>SUM(L$884:L921)</x:f>
        <x:v>37</x:v>
      </x:c>
      <x:c r="N921" s="2" t="n">
        <x:v>0</x:v>
      </x:c>
      <x:c r="O921" s="2" t="str">
        <x:v>relleno_postmuerte</x:v>
      </x:c>
      <x:c r="P921" s="2" t="n">
        <x:v>0</x:v>
      </x:c>
      <x:c r="Q921" s="2" t="str">
        <x:v>simulado_didactico</x:v>
      </x:c>
    </x:row>
    <x:row r="922" ht="19" customHeight="1">
      <x:c r="A922" s="2" t="str">
        <x:v>SIM-E2-BB-L8-R04</x:v>
      </x:c>
      <x:c r="B922" s="2" t="n">
        <x:v>2</x:v>
      </x:c>
      <x:c r="C922" s="2" t="str">
        <x:v>BB</x:v>
      </x:c>
      <x:c r="D922" s="2" t="str">
        <x:v>Brevicoryne brassicae</x:v>
      </x:c>
      <x:c r="E922" s="2" t="str">
        <x:v>L8</x:v>
      </x:c>
      <x:c r="F922" s="2" t="n">
        <x:v>4</x:v>
      </x:c>
      <x:c r="G922" s="2" t="n">
        <x:v>38</x:v>
      </x:c>
      <x:c r="H922" s="2" t="n">
        <x:f>G922+Supuestos!$C$15</x:f>
        <x:v>39</x:v>
      </x:c>
      <x:c r="I922" s="14" t="n">
        <x:f>E2_plantas!J23+G922</x:f>
        <x:v>46219</x:v>
      </x:c>
      <x:c r="J922" s="2" t="str">
        <x:v>muerta</x:v>
      </x:c>
      <x:c r="K922" s="2" t="n">
        <x:v>0</x:v>
      </x:c>
      <x:c r="L922" s="2" t="n">
        <x:v>0</x:v>
      </x:c>
      <x:c r="M922" s="2" t="n">
        <x:f>SUM(L$884:L922)</x:f>
        <x:v>37</x:v>
      </x:c>
      <x:c r="N922" s="2" t="n">
        <x:v>0</x:v>
      </x:c>
      <x:c r="O922" s="2" t="str">
        <x:v>relleno_postmuerte</x:v>
      </x:c>
      <x:c r="P922" s="2" t="n">
        <x:v>0</x:v>
      </x:c>
      <x:c r="Q922" s="2" t="str">
        <x:v>simulado_didactico</x:v>
      </x:c>
    </x:row>
    <x:row r="923" ht="19" customHeight="1">
      <x:c r="A923" s="2" t="str">
        <x:v>SIM-E2-BB-L8-R04</x:v>
      </x:c>
      <x:c r="B923" s="2" t="n">
        <x:v>2</x:v>
      </x:c>
      <x:c r="C923" s="2" t="str">
        <x:v>BB</x:v>
      </x:c>
      <x:c r="D923" s="2" t="str">
        <x:v>Brevicoryne brassicae</x:v>
      </x:c>
      <x:c r="E923" s="2" t="str">
        <x:v>L8</x:v>
      </x:c>
      <x:c r="F923" s="2" t="n">
        <x:v>4</x:v>
      </x:c>
      <x:c r="G923" s="2" t="n">
        <x:v>39</x:v>
      </x:c>
      <x:c r="H923" s="2" t="n">
        <x:f>G923+Supuestos!$C$15</x:f>
        <x:v>40</x:v>
      </x:c>
      <x:c r="I923" s="14" t="n">
        <x:f>E2_plantas!J23+G923</x:f>
        <x:v>46220</x:v>
      </x:c>
      <x:c r="J923" s="2" t="str">
        <x:v>muerta</x:v>
      </x:c>
      <x:c r="K923" s="2" t="n">
        <x:v>0</x:v>
      </x:c>
      <x:c r="L923" s="2" t="n">
        <x:v>0</x:v>
      </x:c>
      <x:c r="M923" s="2" t="n">
        <x:f>SUM(L$884:L923)</x:f>
        <x:v>37</x:v>
      </x:c>
      <x:c r="N923" s="2" t="n">
        <x:v>0</x:v>
      </x:c>
      <x:c r="O923" s="2" t="str">
        <x:v>relleno_postmuerte</x:v>
      </x:c>
      <x:c r="P923" s="2" t="n">
        <x:v>0</x:v>
      </x:c>
      <x:c r="Q923" s="2" t="str">
        <x:v>simulado_didactico</x:v>
      </x:c>
    </x:row>
    <x:row r="924" ht="19" customHeight="1">
      <x:c r="A924" s="2" t="str">
        <x:v>SIM-E2-BB-L8-R04</x:v>
      </x:c>
      <x:c r="B924" s="2" t="n">
        <x:v>2</x:v>
      </x:c>
      <x:c r="C924" s="2" t="str">
        <x:v>BB</x:v>
      </x:c>
      <x:c r="D924" s="2" t="str">
        <x:v>Brevicoryne brassicae</x:v>
      </x:c>
      <x:c r="E924" s="2" t="str">
        <x:v>L8</x:v>
      </x:c>
      <x:c r="F924" s="2" t="n">
        <x:v>4</x:v>
      </x:c>
      <x:c r="G924" s="2" t="n">
        <x:v>40</x:v>
      </x:c>
      <x:c r="H924" s="2" t="n">
        <x:f>G924+Supuestos!$C$15</x:f>
        <x:v>41</x:v>
      </x:c>
      <x:c r="I924" s="14" t="n">
        <x:f>E2_plantas!J23+G924</x:f>
        <x:v>46221</x:v>
      </x:c>
      <x:c r="J924" s="2" t="str">
        <x:v>muerta</x:v>
      </x:c>
      <x:c r="K924" s="2" t="n">
        <x:v>0</x:v>
      </x:c>
      <x:c r="L924" s="2" t="n">
        <x:v>0</x:v>
      </x:c>
      <x:c r="M924" s="2" t="n">
        <x:f>SUM(L$884:L924)</x:f>
        <x:v>37</x:v>
      </x:c>
      <x:c r="N924" s="2" t="n">
        <x:v>0</x:v>
      </x:c>
      <x:c r="O924" s="2" t="str">
        <x:v>relleno_postmuerte</x:v>
      </x:c>
      <x:c r="P924" s="2" t="n">
        <x:v>0</x:v>
      </x:c>
      <x:c r="Q924" s="2" t="str">
        <x:v>simulado_didactico</x:v>
      </x:c>
    </x:row>
    <x:row r="925" ht="19" customHeight="1">
      <x:c r="A925" s="2" t="str">
        <x:v>SIM-E2-BB-L8-R04</x:v>
      </x:c>
      <x:c r="B925" s="2" t="n">
        <x:v>2</x:v>
      </x:c>
      <x:c r="C925" s="2" t="str">
        <x:v>BB</x:v>
      </x:c>
      <x:c r="D925" s="2" t="str">
        <x:v>Brevicoryne brassicae</x:v>
      </x:c>
      <x:c r="E925" s="2" t="str">
        <x:v>L8</x:v>
      </x:c>
      <x:c r="F925" s="2" t="n">
        <x:v>4</x:v>
      </x:c>
      <x:c r="G925" s="2" t="n">
        <x:v>41</x:v>
      </x:c>
      <x:c r="H925" s="2" t="n">
        <x:f>G925+Supuestos!$C$15</x:f>
        <x:v>42</x:v>
      </x:c>
      <x:c r="I925" s="14" t="n">
        <x:f>E2_plantas!J23+G925</x:f>
        <x:v>46222</x:v>
      </x:c>
      <x:c r="J925" s="2" t="str">
        <x:v>muerta</x:v>
      </x:c>
      <x:c r="K925" s="2" t="n">
        <x:v>0</x:v>
      </x:c>
      <x:c r="L925" s="2" t="n">
        <x:v>0</x:v>
      </x:c>
      <x:c r="M925" s="2" t="n">
        <x:f>SUM(L$884:L925)</x:f>
        <x:v>37</x:v>
      </x:c>
      <x:c r="N925" s="2" t="n">
        <x:v>0</x:v>
      </x:c>
      <x:c r="O925" s="2" t="str">
        <x:v>relleno_postmuerte</x:v>
      </x:c>
      <x:c r="P925" s="2" t="n">
        <x:v>0</x:v>
      </x:c>
      <x:c r="Q925" s="2" t="str">
        <x:v>simulado_didactico</x:v>
      </x:c>
    </x:row>
    <x:row r="926" ht="19" customHeight="1">
      <x:c r="A926" s="2" t="str">
        <x:v>SIM-E2-BB-L7-R03</x:v>
      </x:c>
      <x:c r="B926" s="2" t="n">
        <x:v>2</x:v>
      </x:c>
      <x:c r="C926" s="2" t="str">
        <x:v>BB</x:v>
      </x:c>
      <x:c r="D926" s="2" t="str">
        <x:v>Brevicoryne brassicae</x:v>
      </x:c>
      <x:c r="E926" s="2" t="str">
        <x:v>L7</x:v>
      </x:c>
      <x:c r="F926" s="2" t="n">
        <x:v>3</x:v>
      </x:c>
      <x:c r="G926" s="2" t="n">
        <x:v>0</x:v>
      </x:c>
      <x:c r="H926" s="2" t="n">
        <x:f>G926+Supuestos!$C$15</x:f>
        <x:v>1</x:v>
      </x:c>
      <x:c r="I926" s="14" t="n">
        <x:f>E2_plantas!J24+G926</x:f>
        <x:v>46181</x:v>
      </x:c>
      <x:c r="J926" s="2" t="str">
        <x:v>N1</x:v>
      </x:c>
      <x:c r="K926" s="2" t="n">
        <x:v>1</x:v>
      </x:c>
      <x:c r="L926" s="2" t="n">
        <x:v>0</x:v>
      </x:c>
      <x:c r="M926" s="2" t="n">
        <x:f>SUM(L$926:L926)</x:f>
        <x:v>0</x:v>
      </x:c>
      <x:c r="N926" s="2" t="n">
        <x:v>0</x:v>
      </x:c>
      <x:c r="O926" s="2" t="str">
        <x:v>seguimiento</x:v>
      </x:c>
      <x:c r="P926" s="2" t="n">
        <x:v>0</x:v>
      </x:c>
      <x:c r="Q926" s="2" t="str">
        <x:v>simulado_didactico</x:v>
      </x:c>
    </x:row>
    <x:row r="927" ht="19" customHeight="1">
      <x:c r="A927" s="2" t="str">
        <x:v>SIM-E2-BB-L7-R03</x:v>
      </x:c>
      <x:c r="B927" s="2" t="n">
        <x:v>2</x:v>
      </x:c>
      <x:c r="C927" s="2" t="str">
        <x:v>BB</x:v>
      </x:c>
      <x:c r="D927" s="2" t="str">
        <x:v>Brevicoryne brassicae</x:v>
      </x:c>
      <x:c r="E927" s="2" t="str">
        <x:v>L7</x:v>
      </x:c>
      <x:c r="F927" s="2" t="n">
        <x:v>3</x:v>
      </x:c>
      <x:c r="G927" s="2" t="n">
        <x:v>1</x:v>
      </x:c>
      <x:c r="H927" s="2" t="n">
        <x:f>G927+Supuestos!$C$15</x:f>
        <x:v>2</x:v>
      </x:c>
      <x:c r="I927" s="14" t="n">
        <x:f>E2_plantas!J24+G927</x:f>
        <x:v>46182</x:v>
      </x:c>
      <x:c r="J927" s="2" t="str">
        <x:v>N2</x:v>
      </x:c>
      <x:c r="K927" s="2" t="n">
        <x:v>1</x:v>
      </x:c>
      <x:c r="L927" s="2" t="n">
        <x:v>0</x:v>
      </x:c>
      <x:c r="M927" s="2" t="n">
        <x:f>SUM(L$926:L927)</x:f>
        <x:v>0</x:v>
      </x:c>
      <x:c r="N927" s="2" t="n">
        <x:v>0</x:v>
      </x:c>
      <x:c r="O927" s="2" t="str">
        <x:v>seguimiento</x:v>
      </x:c>
      <x:c r="P927" s="2" t="n">
        <x:v>0</x:v>
      </x:c>
      <x:c r="Q927" s="2" t="str">
        <x:v>simulado_didactico</x:v>
      </x:c>
    </x:row>
    <x:row r="928" ht="19" customHeight="1">
      <x:c r="A928" s="2" t="str">
        <x:v>SIM-E2-BB-L7-R03</x:v>
      </x:c>
      <x:c r="B928" s="2" t="n">
        <x:v>2</x:v>
      </x:c>
      <x:c r="C928" s="2" t="str">
        <x:v>BB</x:v>
      </x:c>
      <x:c r="D928" s="2" t="str">
        <x:v>Brevicoryne brassicae</x:v>
      </x:c>
      <x:c r="E928" s="2" t="str">
        <x:v>L7</x:v>
      </x:c>
      <x:c r="F928" s="2" t="n">
        <x:v>3</x:v>
      </x:c>
      <x:c r="G928" s="2" t="n">
        <x:v>2</x:v>
      </x:c>
      <x:c r="H928" s="2" t="n">
        <x:f>G928+Supuestos!$C$15</x:f>
        <x:v>3</x:v>
      </x:c>
      <x:c r="I928" s="14" t="n">
        <x:f>E2_plantas!J24+G928</x:f>
        <x:v>46183</x:v>
      </x:c>
      <x:c r="J928" s="2" t="str">
        <x:v>N2</x:v>
      </x:c>
      <x:c r="K928" s="2" t="n">
        <x:v>1</x:v>
      </x:c>
      <x:c r="L928" s="2" t="n">
        <x:v>0</x:v>
      </x:c>
      <x:c r="M928" s="2" t="n">
        <x:f>SUM(L$926:L928)</x:f>
        <x:v>0</x:v>
      </x:c>
      <x:c r="N928" s="2" t="n">
        <x:v>0</x:v>
      </x:c>
      <x:c r="O928" s="2" t="str">
        <x:v>seguimiento</x:v>
      </x:c>
      <x:c r="P928" s="2" t="n">
        <x:v>0</x:v>
      </x:c>
      <x:c r="Q928" s="2" t="str">
        <x:v>simulado_didactico</x:v>
      </x:c>
    </x:row>
    <x:row r="929" ht="19" customHeight="1">
      <x:c r="A929" s="2" t="str">
        <x:v>SIM-E2-BB-L7-R03</x:v>
      </x:c>
      <x:c r="B929" s="2" t="n">
        <x:v>2</x:v>
      </x:c>
      <x:c r="C929" s="2" t="str">
        <x:v>BB</x:v>
      </x:c>
      <x:c r="D929" s="2" t="str">
        <x:v>Brevicoryne brassicae</x:v>
      </x:c>
      <x:c r="E929" s="2" t="str">
        <x:v>L7</x:v>
      </x:c>
      <x:c r="F929" s="2" t="n">
        <x:v>3</x:v>
      </x:c>
      <x:c r="G929" s="2" t="n">
        <x:v>3</x:v>
      </x:c>
      <x:c r="H929" s="2" t="n">
        <x:f>G929+Supuestos!$C$15</x:f>
        <x:v>4</x:v>
      </x:c>
      <x:c r="I929" s="14" t="n">
        <x:f>E2_plantas!J24+G929</x:f>
        <x:v>46184</x:v>
      </x:c>
      <x:c r="J929" s="2" t="str">
        <x:v>N3</x:v>
      </x:c>
      <x:c r="K929" s="2" t="n">
        <x:v>1</x:v>
      </x:c>
      <x:c r="L929" s="2" t="n">
        <x:v>0</x:v>
      </x:c>
      <x:c r="M929" s="2" t="n">
        <x:f>SUM(L$926:L929)</x:f>
        <x:v>0</x:v>
      </x:c>
      <x:c r="N929" s="2" t="n">
        <x:v>0</x:v>
      </x:c>
      <x:c r="O929" s="2" t="str">
        <x:v>seguimiento</x:v>
      </x:c>
      <x:c r="P929" s="2" t="n">
        <x:v>0</x:v>
      </x:c>
      <x:c r="Q929" s="2" t="str">
        <x:v>simulado_didactico</x:v>
      </x:c>
    </x:row>
    <x:row r="930" ht="19" customHeight="1">
      <x:c r="A930" s="2" t="str">
        <x:v>SIM-E2-BB-L7-R03</x:v>
      </x:c>
      <x:c r="B930" s="2" t="n">
        <x:v>2</x:v>
      </x:c>
      <x:c r="C930" s="2" t="str">
        <x:v>BB</x:v>
      </x:c>
      <x:c r="D930" s="2" t="str">
        <x:v>Brevicoryne brassicae</x:v>
      </x:c>
      <x:c r="E930" s="2" t="str">
        <x:v>L7</x:v>
      </x:c>
      <x:c r="F930" s="2" t="n">
        <x:v>3</x:v>
      </x:c>
      <x:c r="G930" s="2" t="n">
        <x:v>4</x:v>
      </x:c>
      <x:c r="H930" s="2" t="n">
        <x:f>G930+Supuestos!$C$15</x:f>
        <x:v>5</x:v>
      </x:c>
      <x:c r="I930" s="14" t="n">
        <x:f>E2_plantas!J24+G930</x:f>
        <x:v>46185</x:v>
      </x:c>
      <x:c r="J930" s="2" t="str">
        <x:v>N3</x:v>
      </x:c>
      <x:c r="K930" s="2" t="n">
        <x:v>1</x:v>
      </x:c>
      <x:c r="L930" s="2" t="n">
        <x:v>0</x:v>
      </x:c>
      <x:c r="M930" s="2" t="n">
        <x:f>SUM(L$926:L930)</x:f>
        <x:v>0</x:v>
      </x:c>
      <x:c r="N930" s="2" t="n">
        <x:v>0</x:v>
      </x:c>
      <x:c r="O930" s="2" t="str">
        <x:v>seguimiento</x:v>
      </x:c>
      <x:c r="P930" s="2" t="n">
        <x:v>0</x:v>
      </x:c>
      <x:c r="Q930" s="2" t="str">
        <x:v>simulado_didactico</x:v>
      </x:c>
    </x:row>
    <x:row r="931" ht="19" customHeight="1">
      <x:c r="A931" s="2" t="str">
        <x:v>SIM-E2-BB-L7-R03</x:v>
      </x:c>
      <x:c r="B931" s="2" t="n">
        <x:v>2</x:v>
      </x:c>
      <x:c r="C931" s="2" t="str">
        <x:v>BB</x:v>
      </x:c>
      <x:c r="D931" s="2" t="str">
        <x:v>Brevicoryne brassicae</x:v>
      </x:c>
      <x:c r="E931" s="2" t="str">
        <x:v>L7</x:v>
      </x:c>
      <x:c r="F931" s="2" t="n">
        <x:v>3</x:v>
      </x:c>
      <x:c r="G931" s="2" t="n">
        <x:v>5</x:v>
      </x:c>
      <x:c r="H931" s="2" t="n">
        <x:f>G931+Supuestos!$C$15</x:f>
        <x:v>6</x:v>
      </x:c>
      <x:c r="I931" s="14" t="n">
        <x:f>E2_plantas!J24+G931</x:f>
        <x:v>46186</x:v>
      </x:c>
      <x:c r="J931" s="2" t="str">
        <x:v>N4</x:v>
      </x:c>
      <x:c r="K931" s="2" t="n">
        <x:v>1</x:v>
      </x:c>
      <x:c r="L931" s="2" t="n">
        <x:v>0</x:v>
      </x:c>
      <x:c r="M931" s="2" t="n">
        <x:f>SUM(L$926:L931)</x:f>
        <x:v>0</x:v>
      </x:c>
      <x:c r="N931" s="2" t="n">
        <x:v>0</x:v>
      </x:c>
      <x:c r="O931" s="2" t="str">
        <x:v>seguimiento</x:v>
      </x:c>
      <x:c r="P931" s="2" t="n">
        <x:v>0</x:v>
      </x:c>
      <x:c r="Q931" s="2" t="str">
        <x:v>simulado_didactico</x:v>
      </x:c>
    </x:row>
    <x:row r="932" ht="19" customHeight="1">
      <x:c r="A932" s="2" t="str">
        <x:v>SIM-E2-BB-L7-R03</x:v>
      </x:c>
      <x:c r="B932" s="2" t="n">
        <x:v>2</x:v>
      </x:c>
      <x:c r="C932" s="2" t="str">
        <x:v>BB</x:v>
      </x:c>
      <x:c r="D932" s="2" t="str">
        <x:v>Brevicoryne brassicae</x:v>
      </x:c>
      <x:c r="E932" s="2" t="str">
        <x:v>L7</x:v>
      </x:c>
      <x:c r="F932" s="2" t="n">
        <x:v>3</x:v>
      </x:c>
      <x:c r="G932" s="2" t="n">
        <x:v>6</x:v>
      </x:c>
      <x:c r="H932" s="2" t="n">
        <x:f>G932+Supuestos!$C$15</x:f>
        <x:v>7</x:v>
      </x:c>
      <x:c r="I932" s="14" t="n">
        <x:f>E2_plantas!J24+G932</x:f>
        <x:v>46187</x:v>
      </x:c>
      <x:c r="J932" s="2" t="str">
        <x:v>N4</x:v>
      </x:c>
      <x:c r="K932" s="2" t="n">
        <x:v>1</x:v>
      </x:c>
      <x:c r="L932" s="2" t="n">
        <x:v>0</x:v>
      </x:c>
      <x:c r="M932" s="2" t="n">
        <x:f>SUM(L$926:L932)</x:f>
        <x:v>0</x:v>
      </x:c>
      <x:c r="N932" s="2" t="n">
        <x:v>0</x:v>
      </x:c>
      <x:c r="O932" s="2" t="str">
        <x:v>seguimiento</x:v>
      </x:c>
      <x:c r="P932" s="2" t="n">
        <x:v>0</x:v>
      </x:c>
      <x:c r="Q932" s="2" t="str">
        <x:v>simulado_didactico</x:v>
      </x:c>
    </x:row>
    <x:row r="933" ht="19" customHeight="1">
      <x:c r="A933" s="2" t="str">
        <x:v>SIM-E2-BB-L7-R03</x:v>
      </x:c>
      <x:c r="B933" s="2" t="n">
        <x:v>2</x:v>
      </x:c>
      <x:c r="C933" s="2" t="str">
        <x:v>BB</x:v>
      </x:c>
      <x:c r="D933" s="2" t="str">
        <x:v>Brevicoryne brassicae</x:v>
      </x:c>
      <x:c r="E933" s="2" t="str">
        <x:v>L7</x:v>
      </x:c>
      <x:c r="F933" s="2" t="n">
        <x:v>3</x:v>
      </x:c>
      <x:c r="G933" s="2" t="n">
        <x:v>7</x:v>
      </x:c>
      <x:c r="H933" s="2" t="n">
        <x:f>G933+Supuestos!$C$15</x:f>
        <x:v>8</x:v>
      </x:c>
      <x:c r="I933" s="14" t="n">
        <x:f>E2_plantas!J24+G933</x:f>
        <x:v>46188</x:v>
      </x:c>
      <x:c r="J933" s="2" t="str">
        <x:v>N4</x:v>
      </x:c>
      <x:c r="K933" s="2" t="n">
        <x:v>1</x:v>
      </x:c>
      <x:c r="L933" s="2" t="n">
        <x:v>0</x:v>
      </x:c>
      <x:c r="M933" s="2" t="n">
        <x:f>SUM(L$926:L933)</x:f>
        <x:v>0</x:v>
      </x:c>
      <x:c r="N933" s="2" t="n">
        <x:v>0</x:v>
      </x:c>
      <x:c r="O933" s="2" t="str">
        <x:v>seguimiento</x:v>
      </x:c>
      <x:c r="P933" s="2" t="n">
        <x:v>0</x:v>
      </x:c>
      <x:c r="Q933" s="2" t="str">
        <x:v>simulado_didactico</x:v>
      </x:c>
    </x:row>
    <x:row r="934" ht="19" customHeight="1">
      <x:c r="A934" s="2" t="str">
        <x:v>SIM-E2-BB-L7-R03</x:v>
      </x:c>
      <x:c r="B934" s="2" t="n">
        <x:v>2</x:v>
      </x:c>
      <x:c r="C934" s="2" t="str">
        <x:v>BB</x:v>
      </x:c>
      <x:c r="D934" s="2" t="str">
        <x:v>Brevicoryne brassicae</x:v>
      </x:c>
      <x:c r="E934" s="2" t="str">
        <x:v>L7</x:v>
      </x:c>
      <x:c r="F934" s="2" t="n">
        <x:v>3</x:v>
      </x:c>
      <x:c r="G934" s="2" t="n">
        <x:v>8</x:v>
      </x:c>
      <x:c r="H934" s="2" t="n">
        <x:f>G934+Supuestos!$C$15</x:f>
        <x:v>9</x:v>
      </x:c>
      <x:c r="I934" s="14" t="n">
        <x:f>E2_plantas!J24+G934</x:f>
        <x:v>46189</x:v>
      </x:c>
      <x:c r="J934" s="2" t="str">
        <x:v>adulta</x:v>
      </x:c>
      <x:c r="K934" s="2" t="n">
        <x:v>1</x:v>
      </x:c>
      <x:c r="L934" s="2" t="n">
        <x:v>0</x:v>
      </x:c>
      <x:c r="M934" s="2" t="n">
        <x:f>SUM(L$926:L934)</x:f>
        <x:v>0</x:v>
      </x:c>
      <x:c r="N934" s="2" t="n">
        <x:v>0</x:v>
      </x:c>
      <x:c r="O934" s="2" t="str">
        <x:v>seguimiento</x:v>
      </x:c>
      <x:c r="P934" s="2" t="n">
        <x:v>0</x:v>
      </x:c>
      <x:c r="Q934" s="2" t="str">
        <x:v>simulado_didactico</x:v>
      </x:c>
    </x:row>
    <x:row r="935" ht="19" customHeight="1">
      <x:c r="A935" s="2" t="str">
        <x:v>SIM-E2-BB-L7-R03</x:v>
      </x:c>
      <x:c r="B935" s="2" t="n">
        <x:v>2</x:v>
      </x:c>
      <x:c r="C935" s="2" t="str">
        <x:v>BB</x:v>
      </x:c>
      <x:c r="D935" s="2" t="str">
        <x:v>Brevicoryne brassicae</x:v>
      </x:c>
      <x:c r="E935" s="2" t="str">
        <x:v>L7</x:v>
      </x:c>
      <x:c r="F935" s="2" t="n">
        <x:v>3</x:v>
      </x:c>
      <x:c r="G935" s="2" t="n">
        <x:v>9</x:v>
      </x:c>
      <x:c r="H935" s="2" t="n">
        <x:f>G935+Supuestos!$C$15</x:f>
        <x:v>10</x:v>
      </x:c>
      <x:c r="I935" s="14" t="n">
        <x:f>E2_plantas!J24+G935</x:f>
        <x:v>46190</x:v>
      </x:c>
      <x:c r="J935" s="2" t="str">
        <x:v>adulta</x:v>
      </x:c>
      <x:c r="K935" s="2" t="n">
        <x:v>1</x:v>
      </x:c>
      <x:c r="L935" s="2" t="n">
        <x:v>0</x:v>
      </x:c>
      <x:c r="M935" s="2" t="n">
        <x:f>SUM(L$926:L935)</x:f>
        <x:v>0</x:v>
      </x:c>
      <x:c r="N935" s="2" t="n">
        <x:v>0</x:v>
      </x:c>
      <x:c r="O935" s="2" t="str">
        <x:v>seguimiento</x:v>
      </x:c>
      <x:c r="P935" s="2" t="n">
        <x:v>0</x:v>
      </x:c>
      <x:c r="Q935" s="2" t="str">
        <x:v>simulado_didactico</x:v>
      </x:c>
    </x:row>
    <x:row r="936" ht="19" customHeight="1">
      <x:c r="A936" s="2" t="str">
        <x:v>SIM-E2-BB-L7-R03</x:v>
      </x:c>
      <x:c r="B936" s="2" t="n">
        <x:v>2</x:v>
      </x:c>
      <x:c r="C936" s="2" t="str">
        <x:v>BB</x:v>
      </x:c>
      <x:c r="D936" s="2" t="str">
        <x:v>Brevicoryne brassicae</x:v>
      </x:c>
      <x:c r="E936" s="2" t="str">
        <x:v>L7</x:v>
      </x:c>
      <x:c r="F936" s="2" t="n">
        <x:v>3</x:v>
      </x:c>
      <x:c r="G936" s="2" t="n">
        <x:v>10</x:v>
      </x:c>
      <x:c r="H936" s="2" t="n">
        <x:f>G936+Supuestos!$C$15</x:f>
        <x:v>11</x:v>
      </x:c>
      <x:c r="I936" s="14" t="n">
        <x:f>E2_plantas!J24+G936</x:f>
        <x:v>46191</x:v>
      </x:c>
      <x:c r="J936" s="2" t="str">
        <x:v>adulta</x:v>
      </x:c>
      <x:c r="K936" s="2" t="n">
        <x:v>1</x:v>
      </x:c>
      <x:c r="L936" s="2" t="n">
        <x:v>0</x:v>
      </x:c>
      <x:c r="M936" s="2" t="n">
        <x:f>SUM(L$926:L936)</x:f>
        <x:v>0</x:v>
      </x:c>
      <x:c r="N936" s="2" t="n">
        <x:v>0</x:v>
      </x:c>
      <x:c r="O936" s="2" t="str">
        <x:v>seguimiento</x:v>
      </x:c>
      <x:c r="P936" s="2" t="n">
        <x:v>0</x:v>
      </x:c>
      <x:c r="Q936" s="2" t="str">
        <x:v>simulado_didactico</x:v>
      </x:c>
    </x:row>
    <x:row r="937" ht="19" customHeight="1">
      <x:c r="A937" s="2" t="str">
        <x:v>SIM-E2-BB-L7-R03</x:v>
      </x:c>
      <x:c r="B937" s="2" t="n">
        <x:v>2</x:v>
      </x:c>
      <x:c r="C937" s="2" t="str">
        <x:v>BB</x:v>
      </x:c>
      <x:c r="D937" s="2" t="str">
        <x:v>Brevicoryne brassicae</x:v>
      </x:c>
      <x:c r="E937" s="2" t="str">
        <x:v>L7</x:v>
      </x:c>
      <x:c r="F937" s="2" t="n">
        <x:v>3</x:v>
      </x:c>
      <x:c r="G937" s="2" t="n">
        <x:v>11</x:v>
      </x:c>
      <x:c r="H937" s="2" t="n">
        <x:f>G937+Supuestos!$C$15</x:f>
        <x:v>12</x:v>
      </x:c>
      <x:c r="I937" s="14" t="n">
        <x:f>E2_plantas!J24+G937</x:f>
        <x:v>46192</x:v>
      </x:c>
      <x:c r="J937" s="2" t="str">
        <x:v>adulta</x:v>
      </x:c>
      <x:c r="K937" s="2" t="n">
        <x:v>1</x:v>
      </x:c>
      <x:c r="L937" s="2" t="n">
        <x:v>5</x:v>
      </x:c>
      <x:c r="M937" s="2" t="n">
        <x:f>SUM(L$926:L937)</x:f>
        <x:v>5</x:v>
      </x:c>
      <x:c r="N937" s="2" t="n">
        <x:v>0</x:v>
      </x:c>
      <x:c r="O937" s="2" t="str">
        <x:v>seguimiento</x:v>
      </x:c>
      <x:c r="P937" s="2" t="n">
        <x:v>0</x:v>
      </x:c>
      <x:c r="Q937" s="2" t="str">
        <x:v>simulado_didactico</x:v>
      </x:c>
    </x:row>
    <x:row r="938" ht="19" customHeight="1">
      <x:c r="A938" s="2" t="str">
        <x:v>SIM-E2-BB-L7-R03</x:v>
      </x:c>
      <x:c r="B938" s="2" t="n">
        <x:v>2</x:v>
      </x:c>
      <x:c r="C938" s="2" t="str">
        <x:v>BB</x:v>
      </x:c>
      <x:c r="D938" s="2" t="str">
        <x:v>Brevicoryne brassicae</x:v>
      </x:c>
      <x:c r="E938" s="2" t="str">
        <x:v>L7</x:v>
      </x:c>
      <x:c r="F938" s="2" t="n">
        <x:v>3</x:v>
      </x:c>
      <x:c r="G938" s="2" t="n">
        <x:v>12</x:v>
      </x:c>
      <x:c r="H938" s="2" t="n">
        <x:f>G938+Supuestos!$C$15</x:f>
        <x:v>13</x:v>
      </x:c>
      <x:c r="I938" s="14" t="n">
        <x:f>E2_plantas!J24+G938</x:f>
        <x:v>46193</x:v>
      </x:c>
      <x:c r="J938" s="2" t="str">
        <x:v>adulta</x:v>
      </x:c>
      <x:c r="K938" s="2" t="n">
        <x:v>1</x:v>
      </x:c>
      <x:c r="L938" s="2" t="n">
        <x:v>5</x:v>
      </x:c>
      <x:c r="M938" s="2" t="n">
        <x:f>SUM(L$926:L938)</x:f>
        <x:v>10</x:v>
      </x:c>
      <x:c r="N938" s="2" t="n">
        <x:v>0</x:v>
      </x:c>
      <x:c r="O938" s="2" t="str">
        <x:v>seguimiento</x:v>
      </x:c>
      <x:c r="P938" s="2" t="n">
        <x:v>0</x:v>
      </x:c>
      <x:c r="Q938" s="2" t="str">
        <x:v>simulado_didactico</x:v>
      </x:c>
    </x:row>
    <x:row r="939" ht="19" customHeight="1">
      <x:c r="A939" s="2" t="str">
        <x:v>SIM-E2-BB-L7-R03</x:v>
      </x:c>
      <x:c r="B939" s="2" t="n">
        <x:v>2</x:v>
      </x:c>
      <x:c r="C939" s="2" t="str">
        <x:v>BB</x:v>
      </x:c>
      <x:c r="D939" s="2" t="str">
        <x:v>Brevicoryne brassicae</x:v>
      </x:c>
      <x:c r="E939" s="2" t="str">
        <x:v>L7</x:v>
      </x:c>
      <x:c r="F939" s="2" t="n">
        <x:v>3</x:v>
      </x:c>
      <x:c r="G939" s="2" t="n">
        <x:v>13</x:v>
      </x:c>
      <x:c r="H939" s="2" t="n">
        <x:f>G939+Supuestos!$C$15</x:f>
        <x:v>14</x:v>
      </x:c>
      <x:c r="I939" s="14" t="n">
        <x:f>E2_plantas!J24+G939</x:f>
        <x:v>46194</x:v>
      </x:c>
      <x:c r="J939" s="2" t="str">
        <x:v>adulta</x:v>
      </x:c>
      <x:c r="K939" s="2" t="n">
        <x:v>1</x:v>
      </x:c>
      <x:c r="L939" s="2" t="n">
        <x:v>1</x:v>
      </x:c>
      <x:c r="M939" s="2" t="n">
        <x:f>SUM(L$926:L939)</x:f>
        <x:v>11</x:v>
      </x:c>
      <x:c r="N939" s="2" t="n">
        <x:v>0</x:v>
      </x:c>
      <x:c r="O939" s="2" t="str">
        <x:v>seguimiento</x:v>
      </x:c>
      <x:c r="P939" s="2" t="n">
        <x:v>0</x:v>
      </x:c>
      <x:c r="Q939" s="2" t="str">
        <x:v>simulado_didactico</x:v>
      </x:c>
    </x:row>
    <x:row r="940" ht="19" customHeight="1">
      <x:c r="A940" s="2" t="str">
        <x:v>SIM-E2-BB-L7-R03</x:v>
      </x:c>
      <x:c r="B940" s="2" t="n">
        <x:v>2</x:v>
      </x:c>
      <x:c r="C940" s="2" t="str">
        <x:v>BB</x:v>
      </x:c>
      <x:c r="D940" s="2" t="str">
        <x:v>Brevicoryne brassicae</x:v>
      </x:c>
      <x:c r="E940" s="2" t="str">
        <x:v>L7</x:v>
      </x:c>
      <x:c r="F940" s="2" t="n">
        <x:v>3</x:v>
      </x:c>
      <x:c r="G940" s="2" t="n">
        <x:v>14</x:v>
      </x:c>
      <x:c r="H940" s="2" t="n">
        <x:f>G940+Supuestos!$C$15</x:f>
        <x:v>15</x:v>
      </x:c>
      <x:c r="I940" s="14" t="n">
        <x:f>E2_plantas!J24+G940</x:f>
        <x:v>46195</x:v>
      </x:c>
      <x:c r="J940" s="2" t="str">
        <x:v>adulta</x:v>
      </x:c>
      <x:c r="K940" s="2" t="n">
        <x:v>1</x:v>
      </x:c>
      <x:c r="L940" s="2" t="n">
        <x:v>5</x:v>
      </x:c>
      <x:c r="M940" s="2" t="n">
        <x:f>SUM(L$926:L940)</x:f>
        <x:v>16</x:v>
      </x:c>
      <x:c r="N940" s="2" t="n">
        <x:v>0</x:v>
      </x:c>
      <x:c r="O940" s="2" t="str">
        <x:v>seguimiento</x:v>
      </x:c>
      <x:c r="P940" s="2" t="n">
        <x:v>0</x:v>
      </x:c>
      <x:c r="Q940" s="2" t="str">
        <x:v>simulado_didactico</x:v>
      </x:c>
    </x:row>
    <x:row r="941" ht="19" customHeight="1">
      <x:c r="A941" s="2" t="str">
        <x:v>SIM-E2-BB-L7-R03</x:v>
      </x:c>
      <x:c r="B941" s="2" t="n">
        <x:v>2</x:v>
      </x:c>
      <x:c r="C941" s="2" t="str">
        <x:v>BB</x:v>
      </x:c>
      <x:c r="D941" s="2" t="str">
        <x:v>Brevicoryne brassicae</x:v>
      </x:c>
      <x:c r="E941" s="2" t="str">
        <x:v>L7</x:v>
      </x:c>
      <x:c r="F941" s="2" t="n">
        <x:v>3</x:v>
      </x:c>
      <x:c r="G941" s="2" t="n">
        <x:v>15</x:v>
      </x:c>
      <x:c r="H941" s="2" t="n">
        <x:f>G941+Supuestos!$C$15</x:f>
        <x:v>16</x:v>
      </x:c>
      <x:c r="I941" s="14" t="n">
        <x:f>E2_plantas!J24+G941</x:f>
        <x:v>46196</x:v>
      </x:c>
      <x:c r="J941" s="2" t="str">
        <x:v>adulta</x:v>
      </x:c>
      <x:c r="K941" s="2" t="n">
        <x:v>1</x:v>
      </x:c>
      <x:c r="L941" s="2" t="n">
        <x:v>5</x:v>
      </x:c>
      <x:c r="M941" s="2" t="n">
        <x:f>SUM(L$926:L941)</x:f>
        <x:v>21</x:v>
      </x:c>
      <x:c r="N941" s="2" t="n">
        <x:v>0</x:v>
      </x:c>
      <x:c r="O941" s="2" t="str">
        <x:v>seguimiento</x:v>
      </x:c>
      <x:c r="P941" s="2" t="n">
        <x:v>0</x:v>
      </x:c>
      <x:c r="Q941" s="2" t="str">
        <x:v>simulado_didactico</x:v>
      </x:c>
    </x:row>
    <x:row r="942" ht="19" customHeight="1">
      <x:c r="A942" s="2" t="str">
        <x:v>SIM-E2-BB-L7-R03</x:v>
      </x:c>
      <x:c r="B942" s="2" t="n">
        <x:v>2</x:v>
      </x:c>
      <x:c r="C942" s="2" t="str">
        <x:v>BB</x:v>
      </x:c>
      <x:c r="D942" s="2" t="str">
        <x:v>Brevicoryne brassicae</x:v>
      </x:c>
      <x:c r="E942" s="2" t="str">
        <x:v>L7</x:v>
      </x:c>
      <x:c r="F942" s="2" t="n">
        <x:v>3</x:v>
      </x:c>
      <x:c r="G942" s="2" t="n">
        <x:v>16</x:v>
      </x:c>
      <x:c r="H942" s="2" t="n">
        <x:f>G942+Supuestos!$C$15</x:f>
        <x:v>17</x:v>
      </x:c>
      <x:c r="I942" s="14" t="n">
        <x:f>E2_plantas!J24+G942</x:f>
        <x:v>46197</x:v>
      </x:c>
      <x:c r="J942" s="2" t="str">
        <x:v>adulta</x:v>
      </x:c>
      <x:c r="K942" s="2" t="n">
        <x:v>1</x:v>
      </x:c>
      <x:c r="L942" s="2" t="n">
        <x:v>7</x:v>
      </x:c>
      <x:c r="M942" s="2" t="n">
        <x:f>SUM(L$926:L942)</x:f>
        <x:v>28</x:v>
      </x:c>
      <x:c r="N942" s="2" t="n">
        <x:v>0</x:v>
      </x:c>
      <x:c r="O942" s="2" t="str">
        <x:v>seguimiento</x:v>
      </x:c>
      <x:c r="P942" s="2" t="n">
        <x:v>0</x:v>
      </x:c>
      <x:c r="Q942" s="2" t="str">
        <x:v>simulado_didactico</x:v>
      </x:c>
    </x:row>
    <x:row r="943" ht="19" customHeight="1">
      <x:c r="A943" s="2" t="str">
        <x:v>SIM-E2-BB-L7-R03</x:v>
      </x:c>
      <x:c r="B943" s="2" t="n">
        <x:v>2</x:v>
      </x:c>
      <x:c r="C943" s="2" t="str">
        <x:v>BB</x:v>
      </x:c>
      <x:c r="D943" s="2" t="str">
        <x:v>Brevicoryne brassicae</x:v>
      </x:c>
      <x:c r="E943" s="2" t="str">
        <x:v>L7</x:v>
      </x:c>
      <x:c r="F943" s="2" t="n">
        <x:v>3</x:v>
      </x:c>
      <x:c r="G943" s="2" t="n">
        <x:v>17</x:v>
      </x:c>
      <x:c r="H943" s="2" t="n">
        <x:f>G943+Supuestos!$C$15</x:f>
        <x:v>18</x:v>
      </x:c>
      <x:c r="I943" s="14" t="n">
        <x:f>E2_plantas!J24+G943</x:f>
        <x:v>46198</x:v>
      </x:c>
      <x:c r="J943" s="2" t="str">
        <x:v>adulta</x:v>
      </x:c>
      <x:c r="K943" s="2" t="n">
        <x:v>1</x:v>
      </x:c>
      <x:c r="L943" s="2" t="n">
        <x:v>0</x:v>
      </x:c>
      <x:c r="M943" s="2" t="n">
        <x:f>SUM(L$926:L943)</x:f>
        <x:v>28</x:v>
      </x:c>
      <x:c r="N943" s="2" t="n">
        <x:v>0</x:v>
      </x:c>
      <x:c r="O943" s="2" t="str">
        <x:v>seguimiento</x:v>
      </x:c>
      <x:c r="P943" s="2" t="n">
        <x:v>0</x:v>
      </x:c>
      <x:c r="Q943" s="2" t="str">
        <x:v>simulado_didactico</x:v>
      </x:c>
    </x:row>
    <x:row r="944" ht="19" customHeight="1">
      <x:c r="A944" s="2" t="str">
        <x:v>SIM-E2-BB-L7-R03</x:v>
      </x:c>
      <x:c r="B944" s="2" t="n">
        <x:v>2</x:v>
      </x:c>
      <x:c r="C944" s="2" t="str">
        <x:v>BB</x:v>
      </x:c>
      <x:c r="D944" s="2" t="str">
        <x:v>Brevicoryne brassicae</x:v>
      </x:c>
      <x:c r="E944" s="2" t="str">
        <x:v>L7</x:v>
      </x:c>
      <x:c r="F944" s="2" t="n">
        <x:v>3</x:v>
      </x:c>
      <x:c r="G944" s="2" t="n">
        <x:v>18</x:v>
      </x:c>
      <x:c r="H944" s="2" t="n">
        <x:f>G944+Supuestos!$C$15</x:f>
        <x:v>19</x:v>
      </x:c>
      <x:c r="I944" s="14" t="n">
        <x:f>E2_plantas!J24+G944</x:f>
        <x:v>46199</x:v>
      </x:c>
      <x:c r="J944" s="2" t="str">
        <x:v>adulta</x:v>
      </x:c>
      <x:c r="K944" s="2" t="n">
        <x:v>1</x:v>
      </x:c>
      <x:c r="L944" s="2" t="n">
        <x:v>5</x:v>
      </x:c>
      <x:c r="M944" s="2" t="n">
        <x:f>SUM(L$926:L944)</x:f>
        <x:v>33</x:v>
      </x:c>
      <x:c r="N944" s="2" t="n">
        <x:v>0</x:v>
      </x:c>
      <x:c r="O944" s="2" t="str">
        <x:v>seguimiento</x:v>
      </x:c>
      <x:c r="P944" s="2" t="n">
        <x:v>0</x:v>
      </x:c>
      <x:c r="Q944" s="2" t="str">
        <x:v>simulado_didactico</x:v>
      </x:c>
    </x:row>
    <x:row r="945" ht="19" customHeight="1">
      <x:c r="A945" s="2" t="str">
        <x:v>SIM-E2-BB-L7-R03</x:v>
      </x:c>
      <x:c r="B945" s="2" t="n">
        <x:v>2</x:v>
      </x:c>
      <x:c r="C945" s="2" t="str">
        <x:v>BB</x:v>
      </x:c>
      <x:c r="D945" s="2" t="str">
        <x:v>Brevicoryne brassicae</x:v>
      </x:c>
      <x:c r="E945" s="2" t="str">
        <x:v>L7</x:v>
      </x:c>
      <x:c r="F945" s="2" t="n">
        <x:v>3</x:v>
      </x:c>
      <x:c r="G945" s="2" t="n">
        <x:v>19</x:v>
      </x:c>
      <x:c r="H945" s="2" t="n">
        <x:f>G945+Supuestos!$C$15</x:f>
        <x:v>20</x:v>
      </x:c>
      <x:c r="I945" s="14" t="n">
        <x:f>E2_plantas!J24+G945</x:f>
        <x:v>46200</x:v>
      </x:c>
      <x:c r="J945" s="2" t="str">
        <x:v>adulta</x:v>
      </x:c>
      <x:c r="K945" s="2" t="n">
        <x:v>1</x:v>
      </x:c>
      <x:c r="L945" s="2" t="n">
        <x:v>3</x:v>
      </x:c>
      <x:c r="M945" s="2" t="n">
        <x:f>SUM(L$926:L945)</x:f>
        <x:v>36</x:v>
      </x:c>
      <x:c r="N945" s="2" t="n">
        <x:v>0</x:v>
      </x:c>
      <x:c r="O945" s="2" t="str">
        <x:v>seguimiento</x:v>
      </x:c>
      <x:c r="P945" s="2" t="n">
        <x:v>0</x:v>
      </x:c>
      <x:c r="Q945" s="2" t="str">
        <x:v>simulado_didactico</x:v>
      </x:c>
    </x:row>
    <x:row r="946" ht="19" customHeight="1">
      <x:c r="A946" s="2" t="str">
        <x:v>SIM-E2-BB-L7-R03</x:v>
      </x:c>
      <x:c r="B946" s="2" t="n">
        <x:v>2</x:v>
      </x:c>
      <x:c r="C946" s="2" t="str">
        <x:v>BB</x:v>
      </x:c>
      <x:c r="D946" s="2" t="str">
        <x:v>Brevicoryne brassicae</x:v>
      </x:c>
      <x:c r="E946" s="2" t="str">
        <x:v>L7</x:v>
      </x:c>
      <x:c r="F946" s="2" t="n">
        <x:v>3</x:v>
      </x:c>
      <x:c r="G946" s="2" t="n">
        <x:v>20</x:v>
      </x:c>
      <x:c r="H946" s="2" t="n">
        <x:f>G946+Supuestos!$C$15</x:f>
        <x:v>21</x:v>
      </x:c>
      <x:c r="I946" s="14" t="n">
        <x:f>E2_plantas!J24+G946</x:f>
        <x:v>46201</x:v>
      </x:c>
      <x:c r="J946" s="2" t="str">
        <x:v>adulta</x:v>
      </x:c>
      <x:c r="K946" s="2" t="n">
        <x:v>1</x:v>
      </x:c>
      <x:c r="L946" s="2" t="n">
        <x:v>2</x:v>
      </x:c>
      <x:c r="M946" s="2" t="n">
        <x:f>SUM(L$926:L946)</x:f>
        <x:v>38</x:v>
      </x:c>
      <x:c r="N946" s="2" t="n">
        <x:v>0</x:v>
      </x:c>
      <x:c r="O946" s="2" t="str">
        <x:v>seguimiento</x:v>
      </x:c>
      <x:c r="P946" s="2" t="n">
        <x:v>0</x:v>
      </x:c>
      <x:c r="Q946" s="2" t="str">
        <x:v>simulado_didactico</x:v>
      </x:c>
    </x:row>
    <x:row r="947" ht="19" customHeight="1">
      <x:c r="A947" s="2" t="str">
        <x:v>SIM-E2-BB-L7-R03</x:v>
      </x:c>
      <x:c r="B947" s="2" t="n">
        <x:v>2</x:v>
      </x:c>
      <x:c r="C947" s="2" t="str">
        <x:v>BB</x:v>
      </x:c>
      <x:c r="D947" s="2" t="str">
        <x:v>Brevicoryne brassicae</x:v>
      </x:c>
      <x:c r="E947" s="2" t="str">
        <x:v>L7</x:v>
      </x:c>
      <x:c r="F947" s="2" t="n">
        <x:v>3</x:v>
      </x:c>
      <x:c r="G947" s="2" t="n">
        <x:v>21</x:v>
      </x:c>
      <x:c r="H947" s="2" t="n">
        <x:f>G947+Supuestos!$C$15</x:f>
        <x:v>22</x:v>
      </x:c>
      <x:c r="I947" s="14" t="n">
        <x:f>E2_plantas!J24+G947</x:f>
        <x:v>46202</x:v>
      </x:c>
      <x:c r="J947" s="2" t="str">
        <x:v>adulta</x:v>
      </x:c>
      <x:c r="K947" s="2" t="n">
        <x:v>1</x:v>
      </x:c>
      <x:c r="L947" s="2" t="n">
        <x:v>2</x:v>
      </x:c>
      <x:c r="M947" s="2" t="n">
        <x:f>SUM(L$926:L947)</x:f>
        <x:v>40</x:v>
      </x:c>
      <x:c r="N947" s="2" t="n">
        <x:v>0</x:v>
      </x:c>
      <x:c r="O947" s="2" t="str">
        <x:v>seguimiento</x:v>
      </x:c>
      <x:c r="P947" s="2" t="n">
        <x:v>0</x:v>
      </x:c>
      <x:c r="Q947" s="2" t="str">
        <x:v>simulado_didactico</x:v>
      </x:c>
    </x:row>
    <x:row r="948" ht="19" customHeight="1">
      <x:c r="A948" s="2" t="str">
        <x:v>SIM-E2-BB-L7-R03</x:v>
      </x:c>
      <x:c r="B948" s="2" t="n">
        <x:v>2</x:v>
      </x:c>
      <x:c r="C948" s="2" t="str">
        <x:v>BB</x:v>
      </x:c>
      <x:c r="D948" s="2" t="str">
        <x:v>Brevicoryne brassicae</x:v>
      </x:c>
      <x:c r="E948" s="2" t="str">
        <x:v>L7</x:v>
      </x:c>
      <x:c r="F948" s="2" t="n">
        <x:v>3</x:v>
      </x:c>
      <x:c r="G948" s="2" t="n">
        <x:v>22</x:v>
      </x:c>
      <x:c r="H948" s="2" t="n">
        <x:f>G948+Supuestos!$C$15</x:f>
        <x:v>23</x:v>
      </x:c>
      <x:c r="I948" s="14" t="n">
        <x:f>E2_plantas!J24+G948</x:f>
        <x:v>46203</x:v>
      </x:c>
      <x:c r="J948" s="2" t="str">
        <x:v>adulta</x:v>
      </x:c>
      <x:c r="K948" s="2" t="n">
        <x:v>1</x:v>
      </x:c>
      <x:c r="L948" s="2" t="n">
        <x:v>1</x:v>
      </x:c>
      <x:c r="M948" s="2" t="n">
        <x:f>SUM(L$926:L948)</x:f>
        <x:v>41</x:v>
      </x:c>
      <x:c r="N948" s="2" t="n">
        <x:v>0</x:v>
      </x:c>
      <x:c r="O948" s="2" t="str">
        <x:v>seguimiento</x:v>
      </x:c>
      <x:c r="P948" s="2" t="n">
        <x:v>0</x:v>
      </x:c>
      <x:c r="Q948" s="2" t="str">
        <x:v>simulado_didactico</x:v>
      </x:c>
    </x:row>
    <x:row r="949" ht="19" customHeight="1">
      <x:c r="A949" s="2" t="str">
        <x:v>SIM-E2-BB-L7-R03</x:v>
      </x:c>
      <x:c r="B949" s="2" t="n">
        <x:v>2</x:v>
      </x:c>
      <x:c r="C949" s="2" t="str">
        <x:v>BB</x:v>
      </x:c>
      <x:c r="D949" s="2" t="str">
        <x:v>Brevicoryne brassicae</x:v>
      </x:c>
      <x:c r="E949" s="2" t="str">
        <x:v>L7</x:v>
      </x:c>
      <x:c r="F949" s="2" t="n">
        <x:v>3</x:v>
      </x:c>
      <x:c r="G949" s="2" t="n">
        <x:v>23</x:v>
      </x:c>
      <x:c r="H949" s="2" t="n">
        <x:f>G949+Supuestos!$C$15</x:f>
        <x:v>24</x:v>
      </x:c>
      <x:c r="I949" s="14" t="n">
        <x:f>E2_plantas!J24+G949</x:f>
        <x:v>46204</x:v>
      </x:c>
      <x:c r="J949" s="2" t="str">
        <x:v>adulta</x:v>
      </x:c>
      <x:c r="K949" s="2" t="n">
        <x:v>1</x:v>
      </x:c>
      <x:c r="L949" s="2" t="n">
        <x:v>1</x:v>
      </x:c>
      <x:c r="M949" s="2" t="n">
        <x:f>SUM(L$926:L949)</x:f>
        <x:v>42</x:v>
      </x:c>
      <x:c r="N949" s="2" t="n">
        <x:v>0</x:v>
      </x:c>
      <x:c r="O949" s="2" t="str">
        <x:v>seguimiento</x:v>
      </x:c>
      <x:c r="P949" s="2" t="n">
        <x:v>0</x:v>
      </x:c>
      <x:c r="Q949" s="2" t="str">
        <x:v>simulado_didactico</x:v>
      </x:c>
    </x:row>
    <x:row r="950" ht="19" customHeight="1">
      <x:c r="A950" s="2" t="str">
        <x:v>SIM-E2-BB-L7-R03</x:v>
      </x:c>
      <x:c r="B950" s="2" t="n">
        <x:v>2</x:v>
      </x:c>
      <x:c r="C950" s="2" t="str">
        <x:v>BB</x:v>
      </x:c>
      <x:c r="D950" s="2" t="str">
        <x:v>Brevicoryne brassicae</x:v>
      </x:c>
      <x:c r="E950" s="2" t="str">
        <x:v>L7</x:v>
      </x:c>
      <x:c r="F950" s="2" t="n">
        <x:v>3</x:v>
      </x:c>
      <x:c r="G950" s="2" t="n">
        <x:v>24</x:v>
      </x:c>
      <x:c r="H950" s="2" t="n">
        <x:f>G950+Supuestos!$C$15</x:f>
        <x:v>25</x:v>
      </x:c>
      <x:c r="I950" s="14" t="n">
        <x:f>E2_plantas!J24+G950</x:f>
        <x:v>46205</x:v>
      </x:c>
      <x:c r="J950" s="2" t="str">
        <x:v>adulta</x:v>
      </x:c>
      <x:c r="K950" s="2" t="n">
        <x:v>1</x:v>
      </x:c>
      <x:c r="L950" s="2" t="n">
        <x:v>3</x:v>
      </x:c>
      <x:c r="M950" s="2" t="n">
        <x:f>SUM(L$926:L950)</x:f>
        <x:v>45</x:v>
      </x:c>
      <x:c r="N950" s="2" t="n">
        <x:v>0</x:v>
      </x:c>
      <x:c r="O950" s="2" t="str">
        <x:v>seguimiento</x:v>
      </x:c>
      <x:c r="P950" s="2" t="n">
        <x:v>0</x:v>
      </x:c>
      <x:c r="Q950" s="2" t="str">
        <x:v>simulado_didactico</x:v>
      </x:c>
    </x:row>
    <x:row r="951" ht="19" customHeight="1">
      <x:c r="A951" s="2" t="str">
        <x:v>SIM-E2-BB-L7-R03</x:v>
      </x:c>
      <x:c r="B951" s="2" t="n">
        <x:v>2</x:v>
      </x:c>
      <x:c r="C951" s="2" t="str">
        <x:v>BB</x:v>
      </x:c>
      <x:c r="D951" s="2" t="str">
        <x:v>Brevicoryne brassicae</x:v>
      </x:c>
      <x:c r="E951" s="2" t="str">
        <x:v>L7</x:v>
      </x:c>
      <x:c r="F951" s="2" t="n">
        <x:v>3</x:v>
      </x:c>
      <x:c r="G951" s="2" t="n">
        <x:v>25</x:v>
      </x:c>
      <x:c r="H951" s="2" t="n">
        <x:f>G951+Supuestos!$C$15</x:f>
        <x:v>26</x:v>
      </x:c>
      <x:c r="I951" s="14" t="n">
        <x:f>E2_plantas!J24+G951</x:f>
        <x:v>46206</x:v>
      </x:c>
      <x:c r="J951" s="2" t="str">
        <x:v>adulta</x:v>
      </x:c>
      <x:c r="K951" s="2" t="n">
        <x:v>1</x:v>
      </x:c>
      <x:c r="L951" s="2" t="n">
        <x:v>1</x:v>
      </x:c>
      <x:c r="M951" s="2" t="n">
        <x:f>SUM(L$926:L951)</x:f>
        <x:v>46</x:v>
      </x:c>
      <x:c r="N951" s="2" t="n">
        <x:v>0</x:v>
      </x:c>
      <x:c r="O951" s="2" t="str">
        <x:v>seguimiento</x:v>
      </x:c>
      <x:c r="P951" s="2" t="n">
        <x:v>0</x:v>
      </x:c>
      <x:c r="Q951" s="2" t="str">
        <x:v>simulado_didactico</x:v>
      </x:c>
    </x:row>
    <x:row r="952" ht="19" customHeight="1">
      <x:c r="A952" s="2" t="str">
        <x:v>SIM-E2-BB-L7-R03</x:v>
      </x:c>
      <x:c r="B952" s="2" t="n">
        <x:v>2</x:v>
      </x:c>
      <x:c r="C952" s="2" t="str">
        <x:v>BB</x:v>
      </x:c>
      <x:c r="D952" s="2" t="str">
        <x:v>Brevicoryne brassicae</x:v>
      </x:c>
      <x:c r="E952" s="2" t="str">
        <x:v>L7</x:v>
      </x:c>
      <x:c r="F952" s="2" t="n">
        <x:v>3</x:v>
      </x:c>
      <x:c r="G952" s="2" t="n">
        <x:v>26</x:v>
      </x:c>
      <x:c r="H952" s="2" t="n">
        <x:f>G952+Supuestos!$C$15</x:f>
        <x:v>27</x:v>
      </x:c>
      <x:c r="I952" s="14" t="n">
        <x:f>E2_plantas!J24+G952</x:f>
        <x:v>46207</x:v>
      </x:c>
      <x:c r="J952" s="2" t="str">
        <x:v>adulta</x:v>
      </x:c>
      <x:c r="K952" s="2" t="n">
        <x:v>1</x:v>
      </x:c>
      <x:c r="L952" s="2" t="n">
        <x:v>0</x:v>
      </x:c>
      <x:c r="M952" s="2" t="n">
        <x:f>SUM(L$926:L952)</x:f>
        <x:v>46</x:v>
      </x:c>
      <x:c r="N952" s="2" t="n">
        <x:v>0</x:v>
      </x:c>
      <x:c r="O952" s="2" t="str">
        <x:v>seguimiento</x:v>
      </x:c>
      <x:c r="P952" s="2" t="n">
        <x:v>0</x:v>
      </x:c>
      <x:c r="Q952" s="2" t="str">
        <x:v>simulado_didactico</x:v>
      </x:c>
    </x:row>
    <x:row r="953" ht="19" customHeight="1">
      <x:c r="A953" s="2" t="str">
        <x:v>SIM-E2-BB-L7-R03</x:v>
      </x:c>
      <x:c r="B953" s="2" t="n">
        <x:v>2</x:v>
      </x:c>
      <x:c r="C953" s="2" t="str">
        <x:v>BB</x:v>
      </x:c>
      <x:c r="D953" s="2" t="str">
        <x:v>Brevicoryne brassicae</x:v>
      </x:c>
      <x:c r="E953" s="2" t="str">
        <x:v>L7</x:v>
      </x:c>
      <x:c r="F953" s="2" t="n">
        <x:v>3</x:v>
      </x:c>
      <x:c r="G953" s="2" t="n">
        <x:v>27</x:v>
      </x:c>
      <x:c r="H953" s="2" t="n">
        <x:f>G953+Supuestos!$C$15</x:f>
        <x:v>28</x:v>
      </x:c>
      <x:c r="I953" s="14" t="n">
        <x:f>E2_plantas!J24+G953</x:f>
        <x:v>46208</x:v>
      </x:c>
      <x:c r="J953" s="2" t="str">
        <x:v>adulta</x:v>
      </x:c>
      <x:c r="K953" s="2" t="n">
        <x:v>1</x:v>
      </x:c>
      <x:c r="L953" s="2" t="n">
        <x:v>3</x:v>
      </x:c>
      <x:c r="M953" s="2" t="n">
        <x:f>SUM(L$926:L953)</x:f>
        <x:v>49</x:v>
      </x:c>
      <x:c r="N953" s="2" t="n">
        <x:v>0</x:v>
      </x:c>
      <x:c r="O953" s="2" t="str">
        <x:v>seguimiento</x:v>
      </x:c>
      <x:c r="P953" s="2" t="n">
        <x:v>0</x:v>
      </x:c>
      <x:c r="Q953" s="2" t="str">
        <x:v>simulado_didactico</x:v>
      </x:c>
    </x:row>
    <x:row r="954" ht="19" customHeight="1">
      <x:c r="A954" s="2" t="str">
        <x:v>SIM-E2-BB-L7-R03</x:v>
      </x:c>
      <x:c r="B954" s="2" t="n">
        <x:v>2</x:v>
      </x:c>
      <x:c r="C954" s="2" t="str">
        <x:v>BB</x:v>
      </x:c>
      <x:c r="D954" s="2" t="str">
        <x:v>Brevicoryne brassicae</x:v>
      </x:c>
      <x:c r="E954" s="2" t="str">
        <x:v>L7</x:v>
      </x:c>
      <x:c r="F954" s="2" t="n">
        <x:v>3</x:v>
      </x:c>
      <x:c r="G954" s="2" t="n">
        <x:v>28</x:v>
      </x:c>
      <x:c r="H954" s="2" t="n">
        <x:f>G954+Supuestos!$C$15</x:f>
        <x:v>29</x:v>
      </x:c>
      <x:c r="I954" s="14" t="n">
        <x:f>E2_plantas!J24+G954</x:f>
        <x:v>46209</x:v>
      </x:c>
      <x:c r="J954" s="2" t="str">
        <x:v>adulta</x:v>
      </x:c>
      <x:c r="K954" s="2" t="n">
        <x:v>1</x:v>
      </x:c>
      <x:c r="L954" s="2" t="n">
        <x:v>0</x:v>
      </x:c>
      <x:c r="M954" s="2" t="n">
        <x:f>SUM(L$926:L954)</x:f>
        <x:v>49</x:v>
      </x:c>
      <x:c r="N954" s="2" t="n">
        <x:v>0</x:v>
      </x:c>
      <x:c r="O954" s="2" t="str">
        <x:v>seguimiento</x:v>
      </x:c>
      <x:c r="P954" s="2" t="n">
        <x:v>0</x:v>
      </x:c>
      <x:c r="Q954" s="2" t="str">
        <x:v>simulado_didactico</x:v>
      </x:c>
    </x:row>
    <x:row r="955" ht="19" customHeight="1">
      <x:c r="A955" s="2" t="str">
        <x:v>SIM-E2-BB-L7-R03</x:v>
      </x:c>
      <x:c r="B955" s="2" t="n">
        <x:v>2</x:v>
      </x:c>
      <x:c r="C955" s="2" t="str">
        <x:v>BB</x:v>
      </x:c>
      <x:c r="D955" s="2" t="str">
        <x:v>Brevicoryne brassicae</x:v>
      </x:c>
      <x:c r="E955" s="2" t="str">
        <x:v>L7</x:v>
      </x:c>
      <x:c r="F955" s="2" t="n">
        <x:v>3</x:v>
      </x:c>
      <x:c r="G955" s="2" t="n">
        <x:v>29</x:v>
      </x:c>
      <x:c r="H955" s="2" t="n">
        <x:f>G955+Supuestos!$C$15</x:f>
        <x:v>30</x:v>
      </x:c>
      <x:c r="I955" s="14" t="n">
        <x:f>E2_plantas!J24+G955</x:f>
        <x:v>46210</x:v>
      </x:c>
      <x:c r="J955" s="2" t="str">
        <x:v>adulta</x:v>
      </x:c>
      <x:c r="K955" s="2" t="n">
        <x:v>1</x:v>
      </x:c>
      <x:c r="L955" s="2" t="n">
        <x:v>0</x:v>
      </x:c>
      <x:c r="M955" s="2" t="n">
        <x:f>SUM(L$926:L955)</x:f>
        <x:v>49</x:v>
      </x:c>
      <x:c r="N955" s="2" t="n">
        <x:v>0</x:v>
      </x:c>
      <x:c r="O955" s="2" t="str">
        <x:v>seguimiento</x:v>
      </x:c>
      <x:c r="P955" s="2" t="n">
        <x:v>0</x:v>
      </x:c>
      <x:c r="Q955" s="2" t="str">
        <x:v>simulado_didactico</x:v>
      </x:c>
    </x:row>
    <x:row r="956" ht="19" customHeight="1">
      <x:c r="A956" s="2" t="str">
        <x:v>SIM-E2-BB-L7-R03</x:v>
      </x:c>
      <x:c r="B956" s="2" t="n">
        <x:v>2</x:v>
      </x:c>
      <x:c r="C956" s="2" t="str">
        <x:v>BB</x:v>
      </x:c>
      <x:c r="D956" s="2" t="str">
        <x:v>Brevicoryne brassicae</x:v>
      </x:c>
      <x:c r="E956" s="2" t="str">
        <x:v>L7</x:v>
      </x:c>
      <x:c r="F956" s="2" t="n">
        <x:v>3</x:v>
      </x:c>
      <x:c r="G956" s="2" t="n">
        <x:v>30</x:v>
      </x:c>
      <x:c r="H956" s="2" t="n">
        <x:f>G956+Supuestos!$C$15</x:f>
        <x:v>31</x:v>
      </x:c>
      <x:c r="I956" s="14" t="n">
        <x:f>E2_plantas!J24+G956</x:f>
        <x:v>46211</x:v>
      </x:c>
      <x:c r="J956" s="2" t="str">
        <x:v>adulta</x:v>
      </x:c>
      <x:c r="K956" s="2" t="n">
        <x:v>1</x:v>
      </x:c>
      <x:c r="L956" s="2" t="n">
        <x:v>0</x:v>
      </x:c>
      <x:c r="M956" s="2" t="n">
        <x:f>SUM(L$926:L956)</x:f>
        <x:v>49</x:v>
      </x:c>
      <x:c r="N956" s="2" t="n">
        <x:v>0</x:v>
      </x:c>
      <x:c r="O956" s="2" t="str">
        <x:v>seguimiento</x:v>
      </x:c>
      <x:c r="P956" s="2" t="n">
        <x:v>0</x:v>
      </x:c>
      <x:c r="Q956" s="2" t="str">
        <x:v>simulado_didactico</x:v>
      </x:c>
    </x:row>
    <x:row r="957" ht="19" customHeight="1">
      <x:c r="A957" s="2" t="str">
        <x:v>SIM-E2-BB-L7-R03</x:v>
      </x:c>
      <x:c r="B957" s="2" t="n">
        <x:v>2</x:v>
      </x:c>
      <x:c r="C957" s="2" t="str">
        <x:v>BB</x:v>
      </x:c>
      <x:c r="D957" s="2" t="str">
        <x:v>Brevicoryne brassicae</x:v>
      </x:c>
      <x:c r="E957" s="2" t="str">
        <x:v>L7</x:v>
      </x:c>
      <x:c r="F957" s="2" t="n">
        <x:v>3</x:v>
      </x:c>
      <x:c r="G957" s="2" t="n">
        <x:v>31</x:v>
      </x:c>
      <x:c r="H957" s="2" t="n">
        <x:f>G957+Supuestos!$C$15</x:f>
        <x:v>32</x:v>
      </x:c>
      <x:c r="I957" s="14" t="n">
        <x:f>E2_plantas!J24+G957</x:f>
        <x:v>46212</x:v>
      </x:c>
      <x:c r="J957" s="2" t="str">
        <x:v>muerta</x:v>
      </x:c>
      <x:c r="K957" s="2" t="n">
        <x:v>0</x:v>
      </x:c>
      <x:c r="L957" s="2" t="n">
        <x:v>0</x:v>
      </x:c>
      <x:c r="M957" s="2" t="n">
        <x:f>SUM(L$926:L957)</x:f>
        <x:v>49</x:v>
      </x:c>
      <x:c r="N957" s="2" t="n">
        <x:v>1</x:v>
      </x:c>
      <x:c r="O957" s="2" t="str">
        <x:v>muerte</x:v>
      </x:c>
      <x:c r="P957" s="2" t="n">
        <x:v>0</x:v>
      </x:c>
      <x:c r="Q957" s="2" t="str">
        <x:v>simulado_didactico</x:v>
      </x:c>
    </x:row>
    <x:row r="958" ht="19" customHeight="1">
      <x:c r="A958" s="2" t="str">
        <x:v>SIM-E2-BB-L7-R03</x:v>
      </x:c>
      <x:c r="B958" s="2" t="n">
        <x:v>2</x:v>
      </x:c>
      <x:c r="C958" s="2" t="str">
        <x:v>BB</x:v>
      </x:c>
      <x:c r="D958" s="2" t="str">
        <x:v>Brevicoryne brassicae</x:v>
      </x:c>
      <x:c r="E958" s="2" t="str">
        <x:v>L7</x:v>
      </x:c>
      <x:c r="F958" s="2" t="n">
        <x:v>3</x:v>
      </x:c>
      <x:c r="G958" s="2" t="n">
        <x:v>32</x:v>
      </x:c>
      <x:c r="H958" s="2" t="n">
        <x:f>G958+Supuestos!$C$15</x:f>
        <x:v>33</x:v>
      </x:c>
      <x:c r="I958" s="14" t="n">
        <x:f>E2_plantas!J24+G958</x:f>
        <x:v>46213</x:v>
      </x:c>
      <x:c r="J958" s="2" t="str">
        <x:v>muerta</x:v>
      </x:c>
      <x:c r="K958" s="2" t="n">
        <x:v>0</x:v>
      </x:c>
      <x:c r="L958" s="2" t="n">
        <x:v>0</x:v>
      </x:c>
      <x:c r="M958" s="2" t="n">
        <x:f>SUM(L$926:L958)</x:f>
        <x:v>49</x:v>
      </x:c>
      <x:c r="N958" s="2" t="n">
        <x:v>0</x:v>
      </x:c>
      <x:c r="O958" s="2" t="str">
        <x:v>relleno_postmuerte</x:v>
      </x:c>
      <x:c r="P958" s="2" t="n">
        <x:v>0</x:v>
      </x:c>
      <x:c r="Q958" s="2" t="str">
        <x:v>simulado_didactico</x:v>
      </x:c>
    </x:row>
    <x:row r="959" ht="19" customHeight="1">
      <x:c r="A959" s="2" t="str">
        <x:v>SIM-E2-BB-L7-R03</x:v>
      </x:c>
      <x:c r="B959" s="2" t="n">
        <x:v>2</x:v>
      </x:c>
      <x:c r="C959" s="2" t="str">
        <x:v>BB</x:v>
      </x:c>
      <x:c r="D959" s="2" t="str">
        <x:v>Brevicoryne brassicae</x:v>
      </x:c>
      <x:c r="E959" s="2" t="str">
        <x:v>L7</x:v>
      </x:c>
      <x:c r="F959" s="2" t="n">
        <x:v>3</x:v>
      </x:c>
      <x:c r="G959" s="2" t="n">
        <x:v>33</x:v>
      </x:c>
      <x:c r="H959" s="2" t="n">
        <x:f>G959+Supuestos!$C$15</x:f>
        <x:v>34</x:v>
      </x:c>
      <x:c r="I959" s="14" t="n">
        <x:f>E2_plantas!J24+G959</x:f>
        <x:v>46214</x:v>
      </x:c>
      <x:c r="J959" s="2" t="str">
        <x:v>muerta</x:v>
      </x:c>
      <x:c r="K959" s="2" t="n">
        <x:v>0</x:v>
      </x:c>
      <x:c r="L959" s="2" t="n">
        <x:v>0</x:v>
      </x:c>
      <x:c r="M959" s="2" t="n">
        <x:f>SUM(L$926:L959)</x:f>
        <x:v>49</x:v>
      </x:c>
      <x:c r="N959" s="2" t="n">
        <x:v>0</x:v>
      </x:c>
      <x:c r="O959" s="2" t="str">
        <x:v>relleno_postmuerte</x:v>
      </x:c>
      <x:c r="P959" s="2" t="n">
        <x:v>0</x:v>
      </x:c>
      <x:c r="Q959" s="2" t="str">
        <x:v>simulado_didactico</x:v>
      </x:c>
    </x:row>
    <x:row r="960" ht="19" customHeight="1">
      <x:c r="A960" s="2" t="str">
        <x:v>SIM-E2-BB-L7-R03</x:v>
      </x:c>
      <x:c r="B960" s="2" t="n">
        <x:v>2</x:v>
      </x:c>
      <x:c r="C960" s="2" t="str">
        <x:v>BB</x:v>
      </x:c>
      <x:c r="D960" s="2" t="str">
        <x:v>Brevicoryne brassicae</x:v>
      </x:c>
      <x:c r="E960" s="2" t="str">
        <x:v>L7</x:v>
      </x:c>
      <x:c r="F960" s="2" t="n">
        <x:v>3</x:v>
      </x:c>
      <x:c r="G960" s="2" t="n">
        <x:v>34</x:v>
      </x:c>
      <x:c r="H960" s="2" t="n">
        <x:f>G960+Supuestos!$C$15</x:f>
        <x:v>35</x:v>
      </x:c>
      <x:c r="I960" s="14" t="n">
        <x:f>E2_plantas!J24+G960</x:f>
        <x:v>46215</x:v>
      </x:c>
      <x:c r="J960" s="2" t="str">
        <x:v>muerta</x:v>
      </x:c>
      <x:c r="K960" s="2" t="n">
        <x:v>0</x:v>
      </x:c>
      <x:c r="L960" s="2" t="n">
        <x:v>0</x:v>
      </x:c>
      <x:c r="M960" s="2" t="n">
        <x:f>SUM(L$926:L960)</x:f>
        <x:v>49</x:v>
      </x:c>
      <x:c r="N960" s="2" t="n">
        <x:v>0</x:v>
      </x:c>
      <x:c r="O960" s="2" t="str">
        <x:v>relleno_postmuerte</x:v>
      </x:c>
      <x:c r="P960" s="2" t="n">
        <x:v>0</x:v>
      </x:c>
      <x:c r="Q960" s="2" t="str">
        <x:v>simulado_didactico</x:v>
      </x:c>
    </x:row>
    <x:row r="961" ht="19" customHeight="1">
      <x:c r="A961" s="2" t="str">
        <x:v>SIM-E2-BB-L7-R03</x:v>
      </x:c>
      <x:c r="B961" s="2" t="n">
        <x:v>2</x:v>
      </x:c>
      <x:c r="C961" s="2" t="str">
        <x:v>BB</x:v>
      </x:c>
      <x:c r="D961" s="2" t="str">
        <x:v>Brevicoryne brassicae</x:v>
      </x:c>
      <x:c r="E961" s="2" t="str">
        <x:v>L7</x:v>
      </x:c>
      <x:c r="F961" s="2" t="n">
        <x:v>3</x:v>
      </x:c>
      <x:c r="G961" s="2" t="n">
        <x:v>35</x:v>
      </x:c>
      <x:c r="H961" s="2" t="n">
        <x:f>G961+Supuestos!$C$15</x:f>
        <x:v>36</x:v>
      </x:c>
      <x:c r="I961" s="14" t="n">
        <x:f>E2_plantas!J24+G961</x:f>
        <x:v>46216</x:v>
      </x:c>
      <x:c r="J961" s="2" t="str">
        <x:v>muerta</x:v>
      </x:c>
      <x:c r="K961" s="2" t="n">
        <x:v>0</x:v>
      </x:c>
      <x:c r="L961" s="2" t="n">
        <x:v>0</x:v>
      </x:c>
      <x:c r="M961" s="2" t="n">
        <x:f>SUM(L$926:L961)</x:f>
        <x:v>49</x:v>
      </x:c>
      <x:c r="N961" s="2" t="n">
        <x:v>0</x:v>
      </x:c>
      <x:c r="O961" s="2" t="str">
        <x:v>relleno_postmuerte</x:v>
      </x:c>
      <x:c r="P961" s="2" t="n">
        <x:v>0</x:v>
      </x:c>
      <x:c r="Q961" s="2" t="str">
        <x:v>simulado_didactico</x:v>
      </x:c>
    </x:row>
    <x:row r="962" ht="19" customHeight="1">
      <x:c r="A962" s="2" t="str">
        <x:v>SIM-E2-BB-L7-R03</x:v>
      </x:c>
      <x:c r="B962" s="2" t="n">
        <x:v>2</x:v>
      </x:c>
      <x:c r="C962" s="2" t="str">
        <x:v>BB</x:v>
      </x:c>
      <x:c r="D962" s="2" t="str">
        <x:v>Brevicoryne brassicae</x:v>
      </x:c>
      <x:c r="E962" s="2" t="str">
        <x:v>L7</x:v>
      </x:c>
      <x:c r="F962" s="2" t="n">
        <x:v>3</x:v>
      </x:c>
      <x:c r="G962" s="2" t="n">
        <x:v>36</x:v>
      </x:c>
      <x:c r="H962" s="2" t="n">
        <x:f>G962+Supuestos!$C$15</x:f>
        <x:v>37</x:v>
      </x:c>
      <x:c r="I962" s="14" t="n">
        <x:f>E2_plantas!J24+G962</x:f>
        <x:v>46217</x:v>
      </x:c>
      <x:c r="J962" s="2" t="str">
        <x:v>muerta</x:v>
      </x:c>
      <x:c r="K962" s="2" t="n">
        <x:v>0</x:v>
      </x:c>
      <x:c r="L962" s="2" t="n">
        <x:v>0</x:v>
      </x:c>
      <x:c r="M962" s="2" t="n">
        <x:f>SUM(L$926:L962)</x:f>
        <x:v>49</x:v>
      </x:c>
      <x:c r="N962" s="2" t="n">
        <x:v>0</x:v>
      </x:c>
      <x:c r="O962" s="2" t="str">
        <x:v>relleno_postmuerte</x:v>
      </x:c>
      <x:c r="P962" s="2" t="n">
        <x:v>0</x:v>
      </x:c>
      <x:c r="Q962" s="2" t="str">
        <x:v>simulado_didactico</x:v>
      </x:c>
    </x:row>
    <x:row r="963" ht="19" customHeight="1">
      <x:c r="A963" s="2" t="str">
        <x:v>SIM-E2-BB-L7-R03</x:v>
      </x:c>
      <x:c r="B963" s="2" t="n">
        <x:v>2</x:v>
      </x:c>
      <x:c r="C963" s="2" t="str">
        <x:v>BB</x:v>
      </x:c>
      <x:c r="D963" s="2" t="str">
        <x:v>Brevicoryne brassicae</x:v>
      </x:c>
      <x:c r="E963" s="2" t="str">
        <x:v>L7</x:v>
      </x:c>
      <x:c r="F963" s="2" t="n">
        <x:v>3</x:v>
      </x:c>
      <x:c r="G963" s="2" t="n">
        <x:v>37</x:v>
      </x:c>
      <x:c r="H963" s="2" t="n">
        <x:f>G963+Supuestos!$C$15</x:f>
        <x:v>38</x:v>
      </x:c>
      <x:c r="I963" s="14" t="n">
        <x:f>E2_plantas!J24+G963</x:f>
        <x:v>46218</x:v>
      </x:c>
      <x:c r="J963" s="2" t="str">
        <x:v>muerta</x:v>
      </x:c>
      <x:c r="K963" s="2" t="n">
        <x:v>0</x:v>
      </x:c>
      <x:c r="L963" s="2" t="n">
        <x:v>0</x:v>
      </x:c>
      <x:c r="M963" s="2" t="n">
        <x:f>SUM(L$926:L963)</x:f>
        <x:v>49</x:v>
      </x:c>
      <x:c r="N963" s="2" t="n">
        <x:v>0</x:v>
      </x:c>
      <x:c r="O963" s="2" t="str">
        <x:v>relleno_postmuerte</x:v>
      </x:c>
      <x:c r="P963" s="2" t="n">
        <x:v>0</x:v>
      </x:c>
      <x:c r="Q963" s="2" t="str">
        <x:v>simulado_didactico</x:v>
      </x:c>
    </x:row>
    <x:row r="964" ht="19" customHeight="1">
      <x:c r="A964" s="2" t="str">
        <x:v>SIM-E2-BB-L7-R03</x:v>
      </x:c>
      <x:c r="B964" s="2" t="n">
        <x:v>2</x:v>
      </x:c>
      <x:c r="C964" s="2" t="str">
        <x:v>BB</x:v>
      </x:c>
      <x:c r="D964" s="2" t="str">
        <x:v>Brevicoryne brassicae</x:v>
      </x:c>
      <x:c r="E964" s="2" t="str">
        <x:v>L7</x:v>
      </x:c>
      <x:c r="F964" s="2" t="n">
        <x:v>3</x:v>
      </x:c>
      <x:c r="G964" s="2" t="n">
        <x:v>38</x:v>
      </x:c>
      <x:c r="H964" s="2" t="n">
        <x:f>G964+Supuestos!$C$15</x:f>
        <x:v>39</x:v>
      </x:c>
      <x:c r="I964" s="14" t="n">
        <x:f>E2_plantas!J24+G964</x:f>
        <x:v>46219</x:v>
      </x:c>
      <x:c r="J964" s="2" t="str">
        <x:v>muerta</x:v>
      </x:c>
      <x:c r="K964" s="2" t="n">
        <x:v>0</x:v>
      </x:c>
      <x:c r="L964" s="2" t="n">
        <x:v>0</x:v>
      </x:c>
      <x:c r="M964" s="2" t="n">
        <x:f>SUM(L$926:L964)</x:f>
        <x:v>49</x:v>
      </x:c>
      <x:c r="N964" s="2" t="n">
        <x:v>0</x:v>
      </x:c>
      <x:c r="O964" s="2" t="str">
        <x:v>relleno_postmuerte</x:v>
      </x:c>
      <x:c r="P964" s="2" t="n">
        <x:v>0</x:v>
      </x:c>
      <x:c r="Q964" s="2" t="str">
        <x:v>simulado_didactico</x:v>
      </x:c>
    </x:row>
    <x:row r="965" ht="19" customHeight="1">
      <x:c r="A965" s="2" t="str">
        <x:v>SIM-E2-BB-L7-R03</x:v>
      </x:c>
      <x:c r="B965" s="2" t="n">
        <x:v>2</x:v>
      </x:c>
      <x:c r="C965" s="2" t="str">
        <x:v>BB</x:v>
      </x:c>
      <x:c r="D965" s="2" t="str">
        <x:v>Brevicoryne brassicae</x:v>
      </x:c>
      <x:c r="E965" s="2" t="str">
        <x:v>L7</x:v>
      </x:c>
      <x:c r="F965" s="2" t="n">
        <x:v>3</x:v>
      </x:c>
      <x:c r="G965" s="2" t="n">
        <x:v>39</x:v>
      </x:c>
      <x:c r="H965" s="2" t="n">
        <x:f>G965+Supuestos!$C$15</x:f>
        <x:v>40</x:v>
      </x:c>
      <x:c r="I965" s="14" t="n">
        <x:f>E2_plantas!J24+G965</x:f>
        <x:v>46220</x:v>
      </x:c>
      <x:c r="J965" s="2" t="str">
        <x:v>muerta</x:v>
      </x:c>
      <x:c r="K965" s="2" t="n">
        <x:v>0</x:v>
      </x:c>
      <x:c r="L965" s="2" t="n">
        <x:v>0</x:v>
      </x:c>
      <x:c r="M965" s="2" t="n">
        <x:f>SUM(L$926:L965)</x:f>
        <x:v>49</x:v>
      </x:c>
      <x:c r="N965" s="2" t="n">
        <x:v>0</x:v>
      </x:c>
      <x:c r="O965" s="2" t="str">
        <x:v>relleno_postmuerte</x:v>
      </x:c>
      <x:c r="P965" s="2" t="n">
        <x:v>0</x:v>
      </x:c>
      <x:c r="Q965" s="2" t="str">
        <x:v>simulado_didactico</x:v>
      </x:c>
    </x:row>
    <x:row r="966" ht="19" customHeight="1">
      <x:c r="A966" s="2" t="str">
        <x:v>SIM-E2-BB-L7-R03</x:v>
      </x:c>
      <x:c r="B966" s="2" t="n">
        <x:v>2</x:v>
      </x:c>
      <x:c r="C966" s="2" t="str">
        <x:v>BB</x:v>
      </x:c>
      <x:c r="D966" s="2" t="str">
        <x:v>Brevicoryne brassicae</x:v>
      </x:c>
      <x:c r="E966" s="2" t="str">
        <x:v>L7</x:v>
      </x:c>
      <x:c r="F966" s="2" t="n">
        <x:v>3</x:v>
      </x:c>
      <x:c r="G966" s="2" t="n">
        <x:v>40</x:v>
      </x:c>
      <x:c r="H966" s="2" t="n">
        <x:f>G966+Supuestos!$C$15</x:f>
        <x:v>41</x:v>
      </x:c>
      <x:c r="I966" s="14" t="n">
        <x:f>E2_plantas!J24+G966</x:f>
        <x:v>46221</x:v>
      </x:c>
      <x:c r="J966" s="2" t="str">
        <x:v>muerta</x:v>
      </x:c>
      <x:c r="K966" s="2" t="n">
        <x:v>0</x:v>
      </x:c>
      <x:c r="L966" s="2" t="n">
        <x:v>0</x:v>
      </x:c>
      <x:c r="M966" s="2" t="n">
        <x:f>SUM(L$926:L966)</x:f>
        <x:v>49</x:v>
      </x:c>
      <x:c r="N966" s="2" t="n">
        <x:v>0</x:v>
      </x:c>
      <x:c r="O966" s="2" t="str">
        <x:v>relleno_postmuerte</x:v>
      </x:c>
      <x:c r="P966" s="2" t="n">
        <x:v>0</x:v>
      </x:c>
      <x:c r="Q966" s="2" t="str">
        <x:v>simulado_didactico</x:v>
      </x:c>
    </x:row>
    <x:row r="967" ht="19" customHeight="1">
      <x:c r="A967" s="2" t="str">
        <x:v>SIM-E2-BB-L7-R03</x:v>
      </x:c>
      <x:c r="B967" s="2" t="n">
        <x:v>2</x:v>
      </x:c>
      <x:c r="C967" s="2" t="str">
        <x:v>BB</x:v>
      </x:c>
      <x:c r="D967" s="2" t="str">
        <x:v>Brevicoryne brassicae</x:v>
      </x:c>
      <x:c r="E967" s="2" t="str">
        <x:v>L7</x:v>
      </x:c>
      <x:c r="F967" s="2" t="n">
        <x:v>3</x:v>
      </x:c>
      <x:c r="G967" s="2" t="n">
        <x:v>41</x:v>
      </x:c>
      <x:c r="H967" s="2" t="n">
        <x:f>G967+Supuestos!$C$15</x:f>
        <x:v>42</x:v>
      </x:c>
      <x:c r="I967" s="14" t="n">
        <x:f>E2_plantas!J24+G967</x:f>
        <x:v>46222</x:v>
      </x:c>
      <x:c r="J967" s="2" t="str">
        <x:v>muerta</x:v>
      </x:c>
      <x:c r="K967" s="2" t="n">
        <x:v>0</x:v>
      </x:c>
      <x:c r="L967" s="2" t="n">
        <x:v>0</x:v>
      </x:c>
      <x:c r="M967" s="2" t="n">
        <x:f>SUM(L$926:L967)</x:f>
        <x:v>49</x:v>
      </x:c>
      <x:c r="N967" s="2" t="n">
        <x:v>0</x:v>
      </x:c>
      <x:c r="O967" s="2" t="str">
        <x:v>relleno_postmuerte</x:v>
      </x:c>
      <x:c r="P967" s="2" t="n">
        <x:v>0</x:v>
      </x:c>
      <x:c r="Q967" s="2" t="str">
        <x:v>simulado_didactico</x:v>
      </x:c>
    </x:row>
    <x:row r="968" ht="19" customHeight="1">
      <x:c r="A968" s="2" t="str">
        <x:v>SIM-E2-BB-L7-R04</x:v>
      </x:c>
      <x:c r="B968" s="2" t="n">
        <x:v>2</x:v>
      </x:c>
      <x:c r="C968" s="2" t="str">
        <x:v>BB</x:v>
      </x:c>
      <x:c r="D968" s="2" t="str">
        <x:v>Brevicoryne brassicae</x:v>
      </x:c>
      <x:c r="E968" s="2" t="str">
        <x:v>L7</x:v>
      </x:c>
      <x:c r="F968" s="2" t="n">
        <x:v>4</x:v>
      </x:c>
      <x:c r="G968" s="2" t="n">
        <x:v>0</x:v>
      </x:c>
      <x:c r="H968" s="2" t="n">
        <x:f>G968+Supuestos!$C$15</x:f>
        <x:v>1</x:v>
      </x:c>
      <x:c r="I968" s="14" t="n">
        <x:f>E2_plantas!J25+G968</x:f>
        <x:v>46181</x:v>
      </x:c>
      <x:c r="J968" s="2" t="str">
        <x:v>N1</x:v>
      </x:c>
      <x:c r="K968" s="2" t="n">
        <x:v>1</x:v>
      </x:c>
      <x:c r="L968" s="2" t="n">
        <x:v>0</x:v>
      </x:c>
      <x:c r="M968" s="2" t="n">
        <x:f>SUM(L$968:L968)</x:f>
        <x:v>0</x:v>
      </x:c>
      <x:c r="N968" s="2" t="n">
        <x:v>0</x:v>
      </x:c>
      <x:c r="O968" s="2" t="str">
        <x:v>seguimiento</x:v>
      </x:c>
      <x:c r="P968" s="2" t="n">
        <x:v>0</x:v>
      </x:c>
      <x:c r="Q968" s="2" t="str">
        <x:v>simulado_didactico</x:v>
      </x:c>
    </x:row>
    <x:row r="969" ht="19" customHeight="1">
      <x:c r="A969" s="2" t="str">
        <x:v>SIM-E2-BB-L7-R04</x:v>
      </x:c>
      <x:c r="B969" s="2" t="n">
        <x:v>2</x:v>
      </x:c>
      <x:c r="C969" s="2" t="str">
        <x:v>BB</x:v>
      </x:c>
      <x:c r="D969" s="2" t="str">
        <x:v>Brevicoryne brassicae</x:v>
      </x:c>
      <x:c r="E969" s="2" t="str">
        <x:v>L7</x:v>
      </x:c>
      <x:c r="F969" s="2" t="n">
        <x:v>4</x:v>
      </x:c>
      <x:c r="G969" s="2" t="n">
        <x:v>1</x:v>
      </x:c>
      <x:c r="H969" s="2" t="n">
        <x:f>G969+Supuestos!$C$15</x:f>
        <x:v>2</x:v>
      </x:c>
      <x:c r="I969" s="14" t="n">
        <x:f>E2_plantas!J25+G969</x:f>
        <x:v>46182</x:v>
      </x:c>
      <x:c r="J969" s="2" t="str">
        <x:v>N2</x:v>
      </x:c>
      <x:c r="K969" s="2" t="n">
        <x:v>1</x:v>
      </x:c>
      <x:c r="L969" s="2" t="n">
        <x:v>0</x:v>
      </x:c>
      <x:c r="M969" s="2" t="n">
        <x:f>SUM(L$968:L969)</x:f>
        <x:v>0</x:v>
      </x:c>
      <x:c r="N969" s="2" t="n">
        <x:v>0</x:v>
      </x:c>
      <x:c r="O969" s="2" t="str">
        <x:v>seguimiento</x:v>
      </x:c>
      <x:c r="P969" s="2" t="n">
        <x:v>0</x:v>
      </x:c>
      <x:c r="Q969" s="2" t="str">
        <x:v>simulado_didactico</x:v>
      </x:c>
    </x:row>
    <x:row r="970" ht="19" customHeight="1">
      <x:c r="A970" s="2" t="str">
        <x:v>SIM-E2-BB-L7-R04</x:v>
      </x:c>
      <x:c r="B970" s="2" t="n">
        <x:v>2</x:v>
      </x:c>
      <x:c r="C970" s="2" t="str">
        <x:v>BB</x:v>
      </x:c>
      <x:c r="D970" s="2" t="str">
        <x:v>Brevicoryne brassicae</x:v>
      </x:c>
      <x:c r="E970" s="2" t="str">
        <x:v>L7</x:v>
      </x:c>
      <x:c r="F970" s="2" t="n">
        <x:v>4</x:v>
      </x:c>
      <x:c r="G970" s="2" t="n">
        <x:v>2</x:v>
      </x:c>
      <x:c r="H970" s="2" t="n">
        <x:f>G970+Supuestos!$C$15</x:f>
        <x:v>3</x:v>
      </x:c>
      <x:c r="I970" s="14" t="n">
        <x:f>E2_plantas!J25+G970</x:f>
        <x:v>46183</x:v>
      </x:c>
      <x:c r="J970" s="2" t="str">
        <x:v>N3</x:v>
      </x:c>
      <x:c r="K970" s="2" t="n">
        <x:v>1</x:v>
      </x:c>
      <x:c r="L970" s="2" t="n">
        <x:v>0</x:v>
      </x:c>
      <x:c r="M970" s="2" t="n">
        <x:f>SUM(L$968:L970)</x:f>
        <x:v>0</x:v>
      </x:c>
      <x:c r="N970" s="2" t="n">
        <x:v>0</x:v>
      </x:c>
      <x:c r="O970" s="2" t="str">
        <x:v>seguimiento</x:v>
      </x:c>
      <x:c r="P970" s="2" t="n">
        <x:v>0</x:v>
      </x:c>
      <x:c r="Q970" s="2" t="str">
        <x:v>simulado_didactico</x:v>
      </x:c>
    </x:row>
    <x:row r="971" ht="19" customHeight="1">
      <x:c r="A971" s="2" t="str">
        <x:v>SIM-E2-BB-L7-R04</x:v>
      </x:c>
      <x:c r="B971" s="2" t="n">
        <x:v>2</x:v>
      </x:c>
      <x:c r="C971" s="2" t="str">
        <x:v>BB</x:v>
      </x:c>
      <x:c r="D971" s="2" t="str">
        <x:v>Brevicoryne brassicae</x:v>
      </x:c>
      <x:c r="E971" s="2" t="str">
        <x:v>L7</x:v>
      </x:c>
      <x:c r="F971" s="2" t="n">
        <x:v>4</x:v>
      </x:c>
      <x:c r="G971" s="2" t="n">
        <x:v>3</x:v>
      </x:c>
      <x:c r="H971" s="2" t="n">
        <x:f>G971+Supuestos!$C$15</x:f>
        <x:v>4</x:v>
      </x:c>
      <x:c r="I971" s="14" t="n">
        <x:f>E2_plantas!J25+G971</x:f>
        <x:v>46184</x:v>
      </x:c>
      <x:c r="J971" s="2" t="str">
        <x:v>N3</x:v>
      </x:c>
      <x:c r="K971" s="2" t="n">
        <x:v>1</x:v>
      </x:c>
      <x:c r="L971" s="2" t="n">
        <x:v>0</x:v>
      </x:c>
      <x:c r="M971" s="2" t="n">
        <x:f>SUM(L$968:L971)</x:f>
        <x:v>0</x:v>
      </x:c>
      <x:c r="N971" s="2" t="n">
        <x:v>0</x:v>
      </x:c>
      <x:c r="O971" s="2" t="str">
        <x:v>seguimiento</x:v>
      </x:c>
      <x:c r="P971" s="2" t="n">
        <x:v>0</x:v>
      </x:c>
      <x:c r="Q971" s="2" t="str">
        <x:v>simulado_didactico</x:v>
      </x:c>
    </x:row>
    <x:row r="972" ht="19" customHeight="1">
      <x:c r="A972" s="2" t="str">
        <x:v>SIM-E2-BB-L7-R04</x:v>
      </x:c>
      <x:c r="B972" s="2" t="n">
        <x:v>2</x:v>
      </x:c>
      <x:c r="C972" s="2" t="str">
        <x:v>BB</x:v>
      </x:c>
      <x:c r="D972" s="2" t="str">
        <x:v>Brevicoryne brassicae</x:v>
      </x:c>
      <x:c r="E972" s="2" t="str">
        <x:v>L7</x:v>
      </x:c>
      <x:c r="F972" s="2" t="n">
        <x:v>4</x:v>
      </x:c>
      <x:c r="G972" s="2" t="n">
        <x:v>4</x:v>
      </x:c>
      <x:c r="H972" s="2" t="n">
        <x:f>G972+Supuestos!$C$15</x:f>
        <x:v>5</x:v>
      </x:c>
      <x:c r="I972" s="14" t="n">
        <x:f>E2_plantas!J25+G972</x:f>
        <x:v>46185</x:v>
      </x:c>
      <x:c r="J972" s="2" t="str">
        <x:v>N4</x:v>
      </x:c>
      <x:c r="K972" s="2" t="n">
        <x:v>1</x:v>
      </x:c>
      <x:c r="L972" s="2" t="n">
        <x:v>0</x:v>
      </x:c>
      <x:c r="M972" s="2" t="n">
        <x:f>SUM(L$968:L972)</x:f>
        <x:v>0</x:v>
      </x:c>
      <x:c r="N972" s="2" t="n">
        <x:v>0</x:v>
      </x:c>
      <x:c r="O972" s="2" t="str">
        <x:v>seguimiento</x:v>
      </x:c>
      <x:c r="P972" s="2" t="n">
        <x:v>0</x:v>
      </x:c>
      <x:c r="Q972" s="2" t="str">
        <x:v>simulado_didactico</x:v>
      </x:c>
    </x:row>
    <x:row r="973" ht="19" customHeight="1">
      <x:c r="A973" s="2" t="str">
        <x:v>SIM-E2-BB-L7-R04</x:v>
      </x:c>
      <x:c r="B973" s="2" t="n">
        <x:v>2</x:v>
      </x:c>
      <x:c r="C973" s="2" t="str">
        <x:v>BB</x:v>
      </x:c>
      <x:c r="D973" s="2" t="str">
        <x:v>Brevicoryne brassicae</x:v>
      </x:c>
      <x:c r="E973" s="2" t="str">
        <x:v>L7</x:v>
      </x:c>
      <x:c r="F973" s="2" t="n">
        <x:v>4</x:v>
      </x:c>
      <x:c r="G973" s="2" t="n">
        <x:v>5</x:v>
      </x:c>
      <x:c r="H973" s="2" t="n">
        <x:f>G973+Supuestos!$C$15</x:f>
        <x:v>6</x:v>
      </x:c>
      <x:c r="I973" s="14" t="n">
        <x:f>E2_plantas!J25+G973</x:f>
        <x:v>46186</x:v>
      </x:c>
      <x:c r="J973" s="2" t="str">
        <x:v>N4</x:v>
      </x:c>
      <x:c r="K973" s="2" t="n">
        <x:v>1</x:v>
      </x:c>
      <x:c r="L973" s="2" t="n">
        <x:v>0</x:v>
      </x:c>
      <x:c r="M973" s="2" t="n">
        <x:f>SUM(L$968:L973)</x:f>
        <x:v>0</x:v>
      </x:c>
      <x:c r="N973" s="2" t="n">
        <x:v>0</x:v>
      </x:c>
      <x:c r="O973" s="2" t="str">
        <x:v>seguimiento</x:v>
      </x:c>
      <x:c r="P973" s="2" t="n">
        <x:v>0</x:v>
      </x:c>
      <x:c r="Q973" s="2" t="str">
        <x:v>simulado_didactico</x:v>
      </x:c>
    </x:row>
    <x:row r="974" ht="19" customHeight="1">
      <x:c r="A974" s="2" t="str">
        <x:v>SIM-E2-BB-L7-R04</x:v>
      </x:c>
      <x:c r="B974" s="2" t="n">
        <x:v>2</x:v>
      </x:c>
      <x:c r="C974" s="2" t="str">
        <x:v>BB</x:v>
      </x:c>
      <x:c r="D974" s="2" t="str">
        <x:v>Brevicoryne brassicae</x:v>
      </x:c>
      <x:c r="E974" s="2" t="str">
        <x:v>L7</x:v>
      </x:c>
      <x:c r="F974" s="2" t="n">
        <x:v>4</x:v>
      </x:c>
      <x:c r="G974" s="2" t="n">
        <x:v>6</x:v>
      </x:c>
      <x:c r="H974" s="2" t="n">
        <x:f>G974+Supuestos!$C$15</x:f>
        <x:v>7</x:v>
      </x:c>
      <x:c r="I974" s="14" t="n">
        <x:f>E2_plantas!J25+G974</x:f>
        <x:v>46187</x:v>
      </x:c>
      <x:c r="J974" s="2" t="str">
        <x:v>N4</x:v>
      </x:c>
      <x:c r="K974" s="2" t="n">
        <x:v>1</x:v>
      </x:c>
      <x:c r="L974" s="2" t="n">
        <x:v>0</x:v>
      </x:c>
      <x:c r="M974" s="2" t="n">
        <x:f>SUM(L$968:L974)</x:f>
        <x:v>0</x:v>
      </x:c>
      <x:c r="N974" s="2" t="n">
        <x:v>0</x:v>
      </x:c>
      <x:c r="O974" s="2" t="str">
        <x:v>seguimiento</x:v>
      </x:c>
      <x:c r="P974" s="2" t="n">
        <x:v>0</x:v>
      </x:c>
      <x:c r="Q974" s="2" t="str">
        <x:v>simulado_didactico</x:v>
      </x:c>
    </x:row>
    <x:row r="975" ht="19" customHeight="1">
      <x:c r="A975" s="2" t="str">
        <x:v>SIM-E2-BB-L7-R04</x:v>
      </x:c>
      <x:c r="B975" s="2" t="n">
        <x:v>2</x:v>
      </x:c>
      <x:c r="C975" s="2" t="str">
        <x:v>BB</x:v>
      </x:c>
      <x:c r="D975" s="2" t="str">
        <x:v>Brevicoryne brassicae</x:v>
      </x:c>
      <x:c r="E975" s="2" t="str">
        <x:v>L7</x:v>
      </x:c>
      <x:c r="F975" s="2" t="n">
        <x:v>4</x:v>
      </x:c>
      <x:c r="G975" s="2" t="n">
        <x:v>7</x:v>
      </x:c>
      <x:c r="H975" s="2" t="n">
        <x:f>G975+Supuestos!$C$15</x:f>
        <x:v>8</x:v>
      </x:c>
      <x:c r="I975" s="14" t="n">
        <x:f>E2_plantas!J25+G975</x:f>
        <x:v>46188</x:v>
      </x:c>
      <x:c r="J975" s="2" t="str">
        <x:v>N4</x:v>
      </x:c>
      <x:c r="K975" s="2" t="n">
        <x:v>1</x:v>
      </x:c>
      <x:c r="L975" s="2" t="n">
        <x:v>0</x:v>
      </x:c>
      <x:c r="M975" s="2" t="n">
        <x:f>SUM(L$968:L975)</x:f>
        <x:v>0</x:v>
      </x:c>
      <x:c r="N975" s="2" t="n">
        <x:v>0</x:v>
      </x:c>
      <x:c r="O975" s="2" t="str">
        <x:v>seguimiento</x:v>
      </x:c>
      <x:c r="P975" s="2" t="n">
        <x:v>0</x:v>
      </x:c>
      <x:c r="Q975" s="2" t="str">
        <x:v>simulado_didactico</x:v>
      </x:c>
    </x:row>
    <x:row r="976" ht="19" customHeight="1">
      <x:c r="A976" s="2" t="str">
        <x:v>SIM-E2-BB-L7-R04</x:v>
      </x:c>
      <x:c r="B976" s="2" t="n">
        <x:v>2</x:v>
      </x:c>
      <x:c r="C976" s="2" t="str">
        <x:v>BB</x:v>
      </x:c>
      <x:c r="D976" s="2" t="str">
        <x:v>Brevicoryne brassicae</x:v>
      </x:c>
      <x:c r="E976" s="2" t="str">
        <x:v>L7</x:v>
      </x:c>
      <x:c r="F976" s="2" t="n">
        <x:v>4</x:v>
      </x:c>
      <x:c r="G976" s="2" t="n">
        <x:v>8</x:v>
      </x:c>
      <x:c r="H976" s="2" t="n">
        <x:f>G976+Supuestos!$C$15</x:f>
        <x:v>9</x:v>
      </x:c>
      <x:c r="I976" s="14" t="n">
        <x:f>E2_plantas!J25+G976</x:f>
        <x:v>46189</x:v>
      </x:c>
      <x:c r="J976" s="2" t="str">
        <x:v>adulta</x:v>
      </x:c>
      <x:c r="K976" s="2" t="n">
        <x:v>1</x:v>
      </x:c>
      <x:c r="L976" s="2" t="n">
        <x:v>0</x:v>
      </x:c>
      <x:c r="M976" s="2" t="n">
        <x:f>SUM(L$968:L976)</x:f>
        <x:v>0</x:v>
      </x:c>
      <x:c r="N976" s="2" t="n">
        <x:v>0</x:v>
      </x:c>
      <x:c r="O976" s="2" t="str">
        <x:v>seguimiento</x:v>
      </x:c>
      <x:c r="P976" s="2" t="n">
        <x:v>0</x:v>
      </x:c>
      <x:c r="Q976" s="2" t="str">
        <x:v>simulado_didactico</x:v>
      </x:c>
    </x:row>
    <x:row r="977" ht="19" customHeight="1">
      <x:c r="A977" s="2" t="str">
        <x:v>SIM-E2-BB-L7-R04</x:v>
      </x:c>
      <x:c r="B977" s="2" t="n">
        <x:v>2</x:v>
      </x:c>
      <x:c r="C977" s="2" t="str">
        <x:v>BB</x:v>
      </x:c>
      <x:c r="D977" s="2" t="str">
        <x:v>Brevicoryne brassicae</x:v>
      </x:c>
      <x:c r="E977" s="2" t="str">
        <x:v>L7</x:v>
      </x:c>
      <x:c r="F977" s="2" t="n">
        <x:v>4</x:v>
      </x:c>
      <x:c r="G977" s="2" t="n">
        <x:v>9</x:v>
      </x:c>
      <x:c r="H977" s="2" t="n">
        <x:f>G977+Supuestos!$C$15</x:f>
        <x:v>10</x:v>
      </x:c>
      <x:c r="I977" s="14" t="n">
        <x:f>E2_plantas!J25+G977</x:f>
        <x:v>46190</x:v>
      </x:c>
      <x:c r="J977" s="2" t="str">
        <x:v>adulta</x:v>
      </x:c>
      <x:c r="K977" s="2" t="n">
        <x:v>1</x:v>
      </x:c>
      <x:c r="L977" s="2" t="n">
        <x:v>0</x:v>
      </x:c>
      <x:c r="M977" s="2" t="n">
        <x:f>SUM(L$968:L977)</x:f>
        <x:v>0</x:v>
      </x:c>
      <x:c r="N977" s="2" t="n">
        <x:v>0</x:v>
      </x:c>
      <x:c r="O977" s="2" t="str">
        <x:v>seguimiento</x:v>
      </x:c>
      <x:c r="P977" s="2" t="n">
        <x:v>0</x:v>
      </x:c>
      <x:c r="Q977" s="2" t="str">
        <x:v>simulado_didactico</x:v>
      </x:c>
    </x:row>
    <x:row r="978" ht="19" customHeight="1">
      <x:c r="A978" s="2" t="str">
        <x:v>SIM-E2-BB-L7-R04</x:v>
      </x:c>
      <x:c r="B978" s="2" t="n">
        <x:v>2</x:v>
      </x:c>
      <x:c r="C978" s="2" t="str">
        <x:v>BB</x:v>
      </x:c>
      <x:c r="D978" s="2" t="str">
        <x:v>Brevicoryne brassicae</x:v>
      </x:c>
      <x:c r="E978" s="2" t="str">
        <x:v>L7</x:v>
      </x:c>
      <x:c r="F978" s="2" t="n">
        <x:v>4</x:v>
      </x:c>
      <x:c r="G978" s="2" t="n">
        <x:v>10</x:v>
      </x:c>
      <x:c r="H978" s="2" t="n">
        <x:f>G978+Supuestos!$C$15</x:f>
        <x:v>11</x:v>
      </x:c>
      <x:c r="I978" s="14" t="n">
        <x:f>E2_plantas!J25+G978</x:f>
        <x:v>46191</x:v>
      </x:c>
      <x:c r="J978" s="2" t="str">
        <x:v>adulta</x:v>
      </x:c>
      <x:c r="K978" s="2" t="n">
        <x:v>1</x:v>
      </x:c>
      <x:c r="L978" s="2" t="n">
        <x:v>1</x:v>
      </x:c>
      <x:c r="M978" s="2" t="n">
        <x:f>SUM(L$968:L978)</x:f>
        <x:v>1</x:v>
      </x:c>
      <x:c r="N978" s="2" t="n">
        <x:v>0</x:v>
      </x:c>
      <x:c r="O978" s="2" t="str">
        <x:v>seguimiento</x:v>
      </x:c>
      <x:c r="P978" s="2" t="n">
        <x:v>0</x:v>
      </x:c>
      <x:c r="Q978" s="2" t="str">
        <x:v>simulado_didactico</x:v>
      </x:c>
    </x:row>
    <x:row r="979" ht="19" customHeight="1">
      <x:c r="A979" s="2" t="str">
        <x:v>SIM-E2-BB-L7-R04</x:v>
      </x:c>
      <x:c r="B979" s="2" t="n">
        <x:v>2</x:v>
      </x:c>
      <x:c r="C979" s="2" t="str">
        <x:v>BB</x:v>
      </x:c>
      <x:c r="D979" s="2" t="str">
        <x:v>Brevicoryne brassicae</x:v>
      </x:c>
      <x:c r="E979" s="2" t="str">
        <x:v>L7</x:v>
      </x:c>
      <x:c r="F979" s="2" t="n">
        <x:v>4</x:v>
      </x:c>
      <x:c r="G979" s="2" t="n">
        <x:v>11</x:v>
      </x:c>
      <x:c r="H979" s="2" t="n">
        <x:f>G979+Supuestos!$C$15</x:f>
        <x:v>12</x:v>
      </x:c>
      <x:c r="I979" s="14" t="n">
        <x:f>E2_plantas!J25+G979</x:f>
        <x:v>46192</x:v>
      </x:c>
      <x:c r="J979" s="2" t="str">
        <x:v>adulta</x:v>
      </x:c>
      <x:c r="K979" s="2" t="n">
        <x:v>1</x:v>
      </x:c>
      <x:c r="L979" s="2" t="n">
        <x:v>3</x:v>
      </x:c>
      <x:c r="M979" s="2" t="n">
        <x:f>SUM(L$968:L979)</x:f>
        <x:v>4</x:v>
      </x:c>
      <x:c r="N979" s="2" t="n">
        <x:v>0</x:v>
      </x:c>
      <x:c r="O979" s="2" t="str">
        <x:v>seguimiento</x:v>
      </x:c>
      <x:c r="P979" s="2" t="n">
        <x:v>0</x:v>
      </x:c>
      <x:c r="Q979" s="2" t="str">
        <x:v>simulado_didactico</x:v>
      </x:c>
    </x:row>
    <x:row r="980" ht="19" customHeight="1">
      <x:c r="A980" s="2" t="str">
        <x:v>SIM-E2-BB-L7-R04</x:v>
      </x:c>
      <x:c r="B980" s="2" t="n">
        <x:v>2</x:v>
      </x:c>
      <x:c r="C980" s="2" t="str">
        <x:v>BB</x:v>
      </x:c>
      <x:c r="D980" s="2" t="str">
        <x:v>Brevicoryne brassicae</x:v>
      </x:c>
      <x:c r="E980" s="2" t="str">
        <x:v>L7</x:v>
      </x:c>
      <x:c r="F980" s="2" t="n">
        <x:v>4</x:v>
      </x:c>
      <x:c r="G980" s="2" t="n">
        <x:v>12</x:v>
      </x:c>
      <x:c r="H980" s="2" t="n">
        <x:f>G980+Supuestos!$C$15</x:f>
        <x:v>13</x:v>
      </x:c>
      <x:c r="I980" s="14" t="n">
        <x:f>E2_plantas!J25+G980</x:f>
        <x:v>46193</x:v>
      </x:c>
      <x:c r="J980" s="2" t="str">
        <x:v>adulta</x:v>
      </x:c>
      <x:c r="K980" s="2" t="n">
        <x:v>1</x:v>
      </x:c>
      <x:c r="L980" s="2" t="n">
        <x:v>3</x:v>
      </x:c>
      <x:c r="M980" s="2" t="n">
        <x:f>SUM(L$968:L980)</x:f>
        <x:v>7</x:v>
      </x:c>
      <x:c r="N980" s="2" t="n">
        <x:v>0</x:v>
      </x:c>
      <x:c r="O980" s="2" t="str">
        <x:v>seguimiento</x:v>
      </x:c>
      <x:c r="P980" s="2" t="n">
        <x:v>0</x:v>
      </x:c>
      <x:c r="Q980" s="2" t="str">
        <x:v>simulado_didactico</x:v>
      </x:c>
    </x:row>
    <x:row r="981" ht="19" customHeight="1">
      <x:c r="A981" s="2" t="str">
        <x:v>SIM-E2-BB-L7-R04</x:v>
      </x:c>
      <x:c r="B981" s="2" t="n">
        <x:v>2</x:v>
      </x:c>
      <x:c r="C981" s="2" t="str">
        <x:v>BB</x:v>
      </x:c>
      <x:c r="D981" s="2" t="str">
        <x:v>Brevicoryne brassicae</x:v>
      </x:c>
      <x:c r="E981" s="2" t="str">
        <x:v>L7</x:v>
      </x:c>
      <x:c r="F981" s="2" t="n">
        <x:v>4</x:v>
      </x:c>
      <x:c r="G981" s="2" t="n">
        <x:v>13</x:v>
      </x:c>
      <x:c r="H981" s="2" t="n">
        <x:f>G981+Supuestos!$C$15</x:f>
        <x:v>14</x:v>
      </x:c>
      <x:c r="I981" s="14" t="n">
        <x:f>E2_plantas!J25+G981</x:f>
        <x:v>46194</x:v>
      </x:c>
      <x:c r="J981" s="2" t="str">
        <x:v>adulta</x:v>
      </x:c>
      <x:c r="K981" s="2" t="n">
        <x:v>1</x:v>
      </x:c>
      <x:c r="L981" s="2" t="n">
        <x:v>2</x:v>
      </x:c>
      <x:c r="M981" s="2" t="n">
        <x:f>SUM(L$968:L981)</x:f>
        <x:v>9</x:v>
      </x:c>
      <x:c r="N981" s="2" t="n">
        <x:v>0</x:v>
      </x:c>
      <x:c r="O981" s="2" t="str">
        <x:v>seguimiento</x:v>
      </x:c>
      <x:c r="P981" s="2" t="n">
        <x:v>0</x:v>
      </x:c>
      <x:c r="Q981" s="2" t="str">
        <x:v>simulado_didactico</x:v>
      </x:c>
    </x:row>
    <x:row r="982" ht="19" customHeight="1">
      <x:c r="A982" s="2" t="str">
        <x:v>SIM-E2-BB-L7-R04</x:v>
      </x:c>
      <x:c r="B982" s="2" t="n">
        <x:v>2</x:v>
      </x:c>
      <x:c r="C982" s="2" t="str">
        <x:v>BB</x:v>
      </x:c>
      <x:c r="D982" s="2" t="str">
        <x:v>Brevicoryne brassicae</x:v>
      </x:c>
      <x:c r="E982" s="2" t="str">
        <x:v>L7</x:v>
      </x:c>
      <x:c r="F982" s="2" t="n">
        <x:v>4</x:v>
      </x:c>
      <x:c r="G982" s="2" t="n">
        <x:v>14</x:v>
      </x:c>
      <x:c r="H982" s="2" t="n">
        <x:f>G982+Supuestos!$C$15</x:f>
        <x:v>15</x:v>
      </x:c>
      <x:c r="I982" s="14" t="n">
        <x:f>E2_plantas!J25+G982</x:f>
        <x:v>46195</x:v>
      </x:c>
      <x:c r="J982" s="2" t="str">
        <x:v>adulta</x:v>
      </x:c>
      <x:c r="K982" s="2" t="n">
        <x:v>1</x:v>
      </x:c>
      <x:c r="L982" s="2" t="n">
        <x:v>1</x:v>
      </x:c>
      <x:c r="M982" s="2" t="n">
        <x:f>SUM(L$968:L982)</x:f>
        <x:v>10</x:v>
      </x:c>
      <x:c r="N982" s="2" t="n">
        <x:v>0</x:v>
      </x:c>
      <x:c r="O982" s="2" t="str">
        <x:v>seguimiento</x:v>
      </x:c>
      <x:c r="P982" s="2" t="n">
        <x:v>0</x:v>
      </x:c>
      <x:c r="Q982" s="2" t="str">
        <x:v>simulado_didactico</x:v>
      </x:c>
    </x:row>
    <x:row r="983" ht="19" customHeight="1">
      <x:c r="A983" s="2" t="str">
        <x:v>SIM-E2-BB-L7-R04</x:v>
      </x:c>
      <x:c r="B983" s="2" t="n">
        <x:v>2</x:v>
      </x:c>
      <x:c r="C983" s="2" t="str">
        <x:v>BB</x:v>
      </x:c>
      <x:c r="D983" s="2" t="str">
        <x:v>Brevicoryne brassicae</x:v>
      </x:c>
      <x:c r="E983" s="2" t="str">
        <x:v>L7</x:v>
      </x:c>
      <x:c r="F983" s="2" t="n">
        <x:v>4</x:v>
      </x:c>
      <x:c r="G983" s="2" t="n">
        <x:v>15</x:v>
      </x:c>
      <x:c r="H983" s="2" t="n">
        <x:f>G983+Supuestos!$C$15</x:f>
        <x:v>16</x:v>
      </x:c>
      <x:c r="I983" s="14" t="n">
        <x:f>E2_plantas!J25+G983</x:f>
        <x:v>46196</x:v>
      </x:c>
      <x:c r="J983" s="2" t="str">
        <x:v>adulta</x:v>
      </x:c>
      <x:c r="K983" s="2" t="n">
        <x:v>1</x:v>
      </x:c>
      <x:c r="L983" s="2" t="n">
        <x:v>1</x:v>
      </x:c>
      <x:c r="M983" s="2" t="n">
        <x:f>SUM(L$968:L983)</x:f>
        <x:v>11</x:v>
      </x:c>
      <x:c r="N983" s="2" t="n">
        <x:v>0</x:v>
      </x:c>
      <x:c r="O983" s="2" t="str">
        <x:v>seguimiento</x:v>
      </x:c>
      <x:c r="P983" s="2" t="n">
        <x:v>0</x:v>
      </x:c>
      <x:c r="Q983" s="2" t="str">
        <x:v>simulado_didactico</x:v>
      </x:c>
    </x:row>
    <x:row r="984" ht="19" customHeight="1">
      <x:c r="A984" s="2" t="str">
        <x:v>SIM-E2-BB-L7-R04</x:v>
      </x:c>
      <x:c r="B984" s="2" t="n">
        <x:v>2</x:v>
      </x:c>
      <x:c r="C984" s="2" t="str">
        <x:v>BB</x:v>
      </x:c>
      <x:c r="D984" s="2" t="str">
        <x:v>Brevicoryne brassicae</x:v>
      </x:c>
      <x:c r="E984" s="2" t="str">
        <x:v>L7</x:v>
      </x:c>
      <x:c r="F984" s="2" t="n">
        <x:v>4</x:v>
      </x:c>
      <x:c r="G984" s="2" t="n">
        <x:v>16</x:v>
      </x:c>
      <x:c r="H984" s="2" t="n">
        <x:f>G984+Supuestos!$C$15</x:f>
        <x:v>17</x:v>
      </x:c>
      <x:c r="I984" s="14" t="n">
        <x:f>E2_plantas!J25+G984</x:f>
        <x:v>46197</x:v>
      </x:c>
      <x:c r="J984" s="2" t="str">
        <x:v>adulta</x:v>
      </x:c>
      <x:c r="K984" s="2" t="n">
        <x:v>1</x:v>
      </x:c>
      <x:c r="L984" s="2" t="n">
        <x:v>5</x:v>
      </x:c>
      <x:c r="M984" s="2" t="n">
        <x:f>SUM(L$968:L984)</x:f>
        <x:v>16</x:v>
      </x:c>
      <x:c r="N984" s="2" t="n">
        <x:v>0</x:v>
      </x:c>
      <x:c r="O984" s="2" t="str">
        <x:v>seguimiento</x:v>
      </x:c>
      <x:c r="P984" s="2" t="n">
        <x:v>0</x:v>
      </x:c>
      <x:c r="Q984" s="2" t="str">
        <x:v>simulado_didactico</x:v>
      </x:c>
    </x:row>
    <x:row r="985" ht="19" customHeight="1">
      <x:c r="A985" s="2" t="str">
        <x:v>SIM-E2-BB-L7-R04</x:v>
      </x:c>
      <x:c r="B985" s="2" t="n">
        <x:v>2</x:v>
      </x:c>
      <x:c r="C985" s="2" t="str">
        <x:v>BB</x:v>
      </x:c>
      <x:c r="D985" s="2" t="str">
        <x:v>Brevicoryne brassicae</x:v>
      </x:c>
      <x:c r="E985" s="2" t="str">
        <x:v>L7</x:v>
      </x:c>
      <x:c r="F985" s="2" t="n">
        <x:v>4</x:v>
      </x:c>
      <x:c r="G985" s="2" t="n">
        <x:v>17</x:v>
      </x:c>
      <x:c r="H985" s="2" t="n">
        <x:f>G985+Supuestos!$C$15</x:f>
        <x:v>18</x:v>
      </x:c>
      <x:c r="I985" s="14" t="n">
        <x:f>E2_plantas!J25+G985</x:f>
        <x:v>46198</x:v>
      </x:c>
      <x:c r="J985" s="2" t="str">
        <x:v>adulta</x:v>
      </x:c>
      <x:c r="K985" s="2" t="n">
        <x:v>1</x:v>
      </x:c>
      <x:c r="L985" s="2" t="n">
        <x:v>2</x:v>
      </x:c>
      <x:c r="M985" s="2" t="n">
        <x:f>SUM(L$968:L985)</x:f>
        <x:v>18</x:v>
      </x:c>
      <x:c r="N985" s="2" t="n">
        <x:v>0</x:v>
      </x:c>
      <x:c r="O985" s="2" t="str">
        <x:v>seguimiento</x:v>
      </x:c>
      <x:c r="P985" s="2" t="n">
        <x:v>0</x:v>
      </x:c>
      <x:c r="Q985" s="2" t="str">
        <x:v>simulado_didactico</x:v>
      </x:c>
    </x:row>
    <x:row r="986" ht="19" customHeight="1">
      <x:c r="A986" s="2" t="str">
        <x:v>SIM-E2-BB-L7-R04</x:v>
      </x:c>
      <x:c r="B986" s="2" t="n">
        <x:v>2</x:v>
      </x:c>
      <x:c r="C986" s="2" t="str">
        <x:v>BB</x:v>
      </x:c>
      <x:c r="D986" s="2" t="str">
        <x:v>Brevicoryne brassicae</x:v>
      </x:c>
      <x:c r="E986" s="2" t="str">
        <x:v>L7</x:v>
      </x:c>
      <x:c r="F986" s="2" t="n">
        <x:v>4</x:v>
      </x:c>
      <x:c r="G986" s="2" t="n">
        <x:v>18</x:v>
      </x:c>
      <x:c r="H986" s="2" t="n">
        <x:f>G986+Supuestos!$C$15</x:f>
        <x:v>19</x:v>
      </x:c>
      <x:c r="I986" s="14" t="n">
        <x:f>E2_plantas!J25+G986</x:f>
        <x:v>46199</x:v>
      </x:c>
      <x:c r="J986" s="2" t="str">
        <x:v>adulta</x:v>
      </x:c>
      <x:c r="K986" s="2" t="n">
        <x:v>1</x:v>
      </x:c>
      <x:c r="L986" s="2" t="n">
        <x:v>1</x:v>
      </x:c>
      <x:c r="M986" s="2" t="n">
        <x:f>SUM(L$968:L986)</x:f>
        <x:v>19</x:v>
      </x:c>
      <x:c r="N986" s="2" t="n">
        <x:v>0</x:v>
      </x:c>
      <x:c r="O986" s="2" t="str">
        <x:v>seguimiento</x:v>
      </x:c>
      <x:c r="P986" s="2" t="n">
        <x:v>0</x:v>
      </x:c>
      <x:c r="Q986" s="2" t="str">
        <x:v>simulado_didactico</x:v>
      </x:c>
    </x:row>
    <x:row r="987" ht="19" customHeight="1">
      <x:c r="A987" s="2" t="str">
        <x:v>SIM-E2-BB-L7-R04</x:v>
      </x:c>
      <x:c r="B987" s="2" t="n">
        <x:v>2</x:v>
      </x:c>
      <x:c r="C987" s="2" t="str">
        <x:v>BB</x:v>
      </x:c>
      <x:c r="D987" s="2" t="str">
        <x:v>Brevicoryne brassicae</x:v>
      </x:c>
      <x:c r="E987" s="2" t="str">
        <x:v>L7</x:v>
      </x:c>
      <x:c r="F987" s="2" t="n">
        <x:v>4</x:v>
      </x:c>
      <x:c r="G987" s="2" t="n">
        <x:v>19</x:v>
      </x:c>
      <x:c r="H987" s="2" t="n">
        <x:f>G987+Supuestos!$C$15</x:f>
        <x:v>20</x:v>
      </x:c>
      <x:c r="I987" s="14" t="n">
        <x:f>E2_plantas!J25+G987</x:f>
        <x:v>46200</x:v>
      </x:c>
      <x:c r="J987" s="2" t="str">
        <x:v>adulta</x:v>
      </x:c>
      <x:c r="K987" s="2" t="n">
        <x:v>1</x:v>
      </x:c>
      <x:c r="L987" s="2" t="n">
        <x:v>2</x:v>
      </x:c>
      <x:c r="M987" s="2" t="n">
        <x:f>SUM(L$968:L987)</x:f>
        <x:v>21</x:v>
      </x:c>
      <x:c r="N987" s="2" t="n">
        <x:v>0</x:v>
      </x:c>
      <x:c r="O987" s="2" t="str">
        <x:v>seguimiento</x:v>
      </x:c>
      <x:c r="P987" s="2" t="n">
        <x:v>0</x:v>
      </x:c>
      <x:c r="Q987" s="2" t="str">
        <x:v>simulado_didactico</x:v>
      </x:c>
    </x:row>
    <x:row r="988" ht="19" customHeight="1">
      <x:c r="A988" s="2" t="str">
        <x:v>SIM-E2-BB-L7-R04</x:v>
      </x:c>
      <x:c r="B988" s="2" t="n">
        <x:v>2</x:v>
      </x:c>
      <x:c r="C988" s="2" t="str">
        <x:v>BB</x:v>
      </x:c>
      <x:c r="D988" s="2" t="str">
        <x:v>Brevicoryne brassicae</x:v>
      </x:c>
      <x:c r="E988" s="2" t="str">
        <x:v>L7</x:v>
      </x:c>
      <x:c r="F988" s="2" t="n">
        <x:v>4</x:v>
      </x:c>
      <x:c r="G988" s="2" t="n">
        <x:v>20</x:v>
      </x:c>
      <x:c r="H988" s="2" t="n">
        <x:f>G988+Supuestos!$C$15</x:f>
        <x:v>21</x:v>
      </x:c>
      <x:c r="I988" s="14" t="n">
        <x:f>E2_plantas!J25+G988</x:f>
        <x:v>46201</x:v>
      </x:c>
      <x:c r="J988" s="2" t="str">
        <x:v>adulta</x:v>
      </x:c>
      <x:c r="K988" s="2" t="n">
        <x:v>1</x:v>
      </x:c>
      <x:c r="L988" s="2" t="n">
        <x:v>4</x:v>
      </x:c>
      <x:c r="M988" s="2" t="n">
        <x:f>SUM(L$968:L988)</x:f>
        <x:v>25</x:v>
      </x:c>
      <x:c r="N988" s="2" t="n">
        <x:v>0</x:v>
      </x:c>
      <x:c r="O988" s="2" t="str">
        <x:v>seguimiento</x:v>
      </x:c>
      <x:c r="P988" s="2" t="n">
        <x:v>0</x:v>
      </x:c>
      <x:c r="Q988" s="2" t="str">
        <x:v>simulado_didactico</x:v>
      </x:c>
    </x:row>
    <x:row r="989" ht="19" customHeight="1">
      <x:c r="A989" s="2" t="str">
        <x:v>SIM-E2-BB-L7-R04</x:v>
      </x:c>
      <x:c r="B989" s="2" t="n">
        <x:v>2</x:v>
      </x:c>
      <x:c r="C989" s="2" t="str">
        <x:v>BB</x:v>
      </x:c>
      <x:c r="D989" s="2" t="str">
        <x:v>Brevicoryne brassicae</x:v>
      </x:c>
      <x:c r="E989" s="2" t="str">
        <x:v>L7</x:v>
      </x:c>
      <x:c r="F989" s="2" t="n">
        <x:v>4</x:v>
      </x:c>
      <x:c r="G989" s="2" t="n">
        <x:v>21</x:v>
      </x:c>
      <x:c r="H989" s="2" t="n">
        <x:f>G989+Supuestos!$C$15</x:f>
        <x:v>22</x:v>
      </x:c>
      <x:c r="I989" s="14" t="n">
        <x:f>E2_plantas!J25+G989</x:f>
        <x:v>46202</x:v>
      </x:c>
      <x:c r="J989" s="2" t="str">
        <x:v>adulta</x:v>
      </x:c>
      <x:c r="K989" s="2" t="n">
        <x:v>1</x:v>
      </x:c>
      <x:c r="L989" s="2" t="n">
        <x:v>4</x:v>
      </x:c>
      <x:c r="M989" s="2" t="n">
        <x:f>SUM(L$968:L989)</x:f>
        <x:v>29</x:v>
      </x:c>
      <x:c r="N989" s="2" t="n">
        <x:v>0</x:v>
      </x:c>
      <x:c r="O989" s="2" t="str">
        <x:v>seguimiento</x:v>
      </x:c>
      <x:c r="P989" s="2" t="n">
        <x:v>0</x:v>
      </x:c>
      <x:c r="Q989" s="2" t="str">
        <x:v>simulado_didactico</x:v>
      </x:c>
    </x:row>
    <x:row r="990" ht="19" customHeight="1">
      <x:c r="A990" s="2" t="str">
        <x:v>SIM-E2-BB-L7-R04</x:v>
      </x:c>
      <x:c r="B990" s="2" t="n">
        <x:v>2</x:v>
      </x:c>
      <x:c r="C990" s="2" t="str">
        <x:v>BB</x:v>
      </x:c>
      <x:c r="D990" s="2" t="str">
        <x:v>Brevicoryne brassicae</x:v>
      </x:c>
      <x:c r="E990" s="2" t="str">
        <x:v>L7</x:v>
      </x:c>
      <x:c r="F990" s="2" t="n">
        <x:v>4</x:v>
      </x:c>
      <x:c r="G990" s="2" t="n">
        <x:v>22</x:v>
      </x:c>
      <x:c r="H990" s="2" t="n">
        <x:f>G990+Supuestos!$C$15</x:f>
        <x:v>23</x:v>
      </x:c>
      <x:c r="I990" s="14" t="n">
        <x:f>E2_plantas!J25+G990</x:f>
        <x:v>46203</x:v>
      </x:c>
      <x:c r="J990" s="2" t="str">
        <x:v>adulta</x:v>
      </x:c>
      <x:c r="K990" s="2" t="n">
        <x:v>1</x:v>
      </x:c>
      <x:c r="L990" s="2" t="n">
        <x:v>1</x:v>
      </x:c>
      <x:c r="M990" s="2" t="n">
        <x:f>SUM(L$968:L990)</x:f>
        <x:v>30</x:v>
      </x:c>
      <x:c r="N990" s="2" t="n">
        <x:v>0</x:v>
      </x:c>
      <x:c r="O990" s="2" t="str">
        <x:v>seguimiento</x:v>
      </x:c>
      <x:c r="P990" s="2" t="n">
        <x:v>0</x:v>
      </x:c>
      <x:c r="Q990" s="2" t="str">
        <x:v>simulado_didactico</x:v>
      </x:c>
    </x:row>
    <x:row r="991" ht="19" customHeight="1">
      <x:c r="A991" s="2" t="str">
        <x:v>SIM-E2-BB-L7-R04</x:v>
      </x:c>
      <x:c r="B991" s="2" t="n">
        <x:v>2</x:v>
      </x:c>
      <x:c r="C991" s="2" t="str">
        <x:v>BB</x:v>
      </x:c>
      <x:c r="D991" s="2" t="str">
        <x:v>Brevicoryne brassicae</x:v>
      </x:c>
      <x:c r="E991" s="2" t="str">
        <x:v>L7</x:v>
      </x:c>
      <x:c r="F991" s="2" t="n">
        <x:v>4</x:v>
      </x:c>
      <x:c r="G991" s="2" t="n">
        <x:v>23</x:v>
      </x:c>
      <x:c r="H991" s="2" t="n">
        <x:f>G991+Supuestos!$C$15</x:f>
        <x:v>24</x:v>
      </x:c>
      <x:c r="I991" s="14" t="n">
        <x:f>E2_plantas!J25+G991</x:f>
        <x:v>46204</x:v>
      </x:c>
      <x:c r="J991" s="2" t="str">
        <x:v>adulta</x:v>
      </x:c>
      <x:c r="K991" s="2" t="n">
        <x:v>1</x:v>
      </x:c>
      <x:c r="L991" s="2" t="n">
        <x:v>1</x:v>
      </x:c>
      <x:c r="M991" s="2" t="n">
        <x:f>SUM(L$968:L991)</x:f>
        <x:v>31</x:v>
      </x:c>
      <x:c r="N991" s="2" t="n">
        <x:v>0</x:v>
      </x:c>
      <x:c r="O991" s="2" t="str">
        <x:v>seguimiento</x:v>
      </x:c>
      <x:c r="P991" s="2" t="n">
        <x:v>0</x:v>
      </x:c>
      <x:c r="Q991" s="2" t="str">
        <x:v>simulado_didactico</x:v>
      </x:c>
    </x:row>
    <x:row r="992" ht="19" customHeight="1">
      <x:c r="A992" s="2" t="str">
        <x:v>SIM-E2-BB-L7-R04</x:v>
      </x:c>
      <x:c r="B992" s="2" t="n">
        <x:v>2</x:v>
      </x:c>
      <x:c r="C992" s="2" t="str">
        <x:v>BB</x:v>
      </x:c>
      <x:c r="D992" s="2" t="str">
        <x:v>Brevicoryne brassicae</x:v>
      </x:c>
      <x:c r="E992" s="2" t="str">
        <x:v>L7</x:v>
      </x:c>
      <x:c r="F992" s="2" t="n">
        <x:v>4</x:v>
      </x:c>
      <x:c r="G992" s="2" t="n">
        <x:v>24</x:v>
      </x:c>
      <x:c r="H992" s="2" t="n">
        <x:f>G992+Supuestos!$C$15</x:f>
        <x:v>25</x:v>
      </x:c>
      <x:c r="I992" s="14" t="n">
        <x:f>E2_plantas!J25+G992</x:f>
        <x:v>46205</x:v>
      </x:c>
      <x:c r="J992" s="2" t="str">
        <x:v>adulta</x:v>
      </x:c>
      <x:c r="K992" s="2" t="n">
        <x:v>1</x:v>
      </x:c>
      <x:c r="L992" s="2" t="n">
        <x:v>1</x:v>
      </x:c>
      <x:c r="M992" s="2" t="n">
        <x:f>SUM(L$968:L992)</x:f>
        <x:v>32</x:v>
      </x:c>
      <x:c r="N992" s="2" t="n">
        <x:v>0</x:v>
      </x:c>
      <x:c r="O992" s="2" t="str">
        <x:v>seguimiento</x:v>
      </x:c>
      <x:c r="P992" s="2" t="n">
        <x:v>0</x:v>
      </x:c>
      <x:c r="Q992" s="2" t="str">
        <x:v>simulado_didactico</x:v>
      </x:c>
    </x:row>
    <x:row r="993" ht="19" customHeight="1">
      <x:c r="A993" s="2" t="str">
        <x:v>SIM-E2-BB-L7-R04</x:v>
      </x:c>
      <x:c r="B993" s="2" t="n">
        <x:v>2</x:v>
      </x:c>
      <x:c r="C993" s="2" t="str">
        <x:v>BB</x:v>
      </x:c>
      <x:c r="D993" s="2" t="str">
        <x:v>Brevicoryne brassicae</x:v>
      </x:c>
      <x:c r="E993" s="2" t="str">
        <x:v>L7</x:v>
      </x:c>
      <x:c r="F993" s="2" t="n">
        <x:v>4</x:v>
      </x:c>
      <x:c r="G993" s="2" t="n">
        <x:v>25</x:v>
      </x:c>
      <x:c r="H993" s="2" t="n">
        <x:f>G993+Supuestos!$C$15</x:f>
        <x:v>26</x:v>
      </x:c>
      <x:c r="I993" s="14" t="n">
        <x:f>E2_plantas!J25+G993</x:f>
        <x:v>46206</x:v>
      </x:c>
      <x:c r="J993" s="2" t="str">
        <x:v>adulta</x:v>
      </x:c>
      <x:c r="K993" s="2" t="n">
        <x:v>1</x:v>
      </x:c>
      <x:c r="L993" s="2" t="n">
        <x:v>1</x:v>
      </x:c>
      <x:c r="M993" s="2" t="n">
        <x:f>SUM(L$968:L993)</x:f>
        <x:v>33</x:v>
      </x:c>
      <x:c r="N993" s="2" t="n">
        <x:v>0</x:v>
      </x:c>
      <x:c r="O993" s="2" t="str">
        <x:v>seguimiento</x:v>
      </x:c>
      <x:c r="P993" s="2" t="n">
        <x:v>0</x:v>
      </x:c>
      <x:c r="Q993" s="2" t="str">
        <x:v>simulado_didactico</x:v>
      </x:c>
    </x:row>
    <x:row r="994" ht="19" customHeight="1">
      <x:c r="A994" s="2" t="str">
        <x:v>SIM-E2-BB-L7-R04</x:v>
      </x:c>
      <x:c r="B994" s="2" t="n">
        <x:v>2</x:v>
      </x:c>
      <x:c r="C994" s="2" t="str">
        <x:v>BB</x:v>
      </x:c>
      <x:c r="D994" s="2" t="str">
        <x:v>Brevicoryne brassicae</x:v>
      </x:c>
      <x:c r="E994" s="2" t="str">
        <x:v>L7</x:v>
      </x:c>
      <x:c r="F994" s="2" t="n">
        <x:v>4</x:v>
      </x:c>
      <x:c r="G994" s="2" t="n">
        <x:v>26</x:v>
      </x:c>
      <x:c r="H994" s="2" t="n">
        <x:f>G994+Supuestos!$C$15</x:f>
        <x:v>27</x:v>
      </x:c>
      <x:c r="I994" s="14" t="n">
        <x:f>E2_plantas!J25+G994</x:f>
        <x:v>46207</x:v>
      </x:c>
      <x:c r="J994" s="2" t="str">
        <x:v>adulta</x:v>
      </x:c>
      <x:c r="K994" s="2" t="n">
        <x:v>1</x:v>
      </x:c>
      <x:c r="L994" s="2" t="n">
        <x:v>2</x:v>
      </x:c>
      <x:c r="M994" s="2" t="n">
        <x:f>SUM(L$968:L994)</x:f>
        <x:v>35</x:v>
      </x:c>
      <x:c r="N994" s="2" t="n">
        <x:v>0</x:v>
      </x:c>
      <x:c r="O994" s="2" t="str">
        <x:v>seguimiento</x:v>
      </x:c>
      <x:c r="P994" s="2" t="n">
        <x:v>0</x:v>
      </x:c>
      <x:c r="Q994" s="2" t="str">
        <x:v>simulado_didactico</x:v>
      </x:c>
    </x:row>
    <x:row r="995" ht="19" customHeight="1">
      <x:c r="A995" s="2" t="str">
        <x:v>SIM-E2-BB-L7-R04</x:v>
      </x:c>
      <x:c r="B995" s="2" t="n">
        <x:v>2</x:v>
      </x:c>
      <x:c r="C995" s="2" t="str">
        <x:v>BB</x:v>
      </x:c>
      <x:c r="D995" s="2" t="str">
        <x:v>Brevicoryne brassicae</x:v>
      </x:c>
      <x:c r="E995" s="2" t="str">
        <x:v>L7</x:v>
      </x:c>
      <x:c r="F995" s="2" t="n">
        <x:v>4</x:v>
      </x:c>
      <x:c r="G995" s="2" t="n">
        <x:v>27</x:v>
      </x:c>
      <x:c r="H995" s="2" t="n">
        <x:f>G995+Supuestos!$C$15</x:f>
        <x:v>28</x:v>
      </x:c>
      <x:c r="I995" s="14" t="n">
        <x:f>E2_plantas!J25+G995</x:f>
        <x:v>46208</x:v>
      </x:c>
      <x:c r="J995" s="2" t="str">
        <x:v>adulta</x:v>
      </x:c>
      <x:c r="K995" s="2" t="n">
        <x:v>1</x:v>
      </x:c>
      <x:c r="L995" s="2" t="n">
        <x:v>0</x:v>
      </x:c>
      <x:c r="M995" s="2" t="n">
        <x:f>SUM(L$968:L995)</x:f>
        <x:v>35</x:v>
      </x:c>
      <x:c r="N995" s="2" t="n">
        <x:v>0</x:v>
      </x:c>
      <x:c r="O995" s="2" t="str">
        <x:v>seguimiento</x:v>
      </x:c>
      <x:c r="P995" s="2" t="n">
        <x:v>0</x:v>
      </x:c>
      <x:c r="Q995" s="2" t="str">
        <x:v>simulado_didactico</x:v>
      </x:c>
    </x:row>
    <x:row r="996" ht="19" customHeight="1">
      <x:c r="A996" s="2" t="str">
        <x:v>SIM-E2-BB-L7-R04</x:v>
      </x:c>
      <x:c r="B996" s="2" t="n">
        <x:v>2</x:v>
      </x:c>
      <x:c r="C996" s="2" t="str">
        <x:v>BB</x:v>
      </x:c>
      <x:c r="D996" s="2" t="str">
        <x:v>Brevicoryne brassicae</x:v>
      </x:c>
      <x:c r="E996" s="2" t="str">
        <x:v>L7</x:v>
      </x:c>
      <x:c r="F996" s="2" t="n">
        <x:v>4</x:v>
      </x:c>
      <x:c r="G996" s="2" t="n">
        <x:v>28</x:v>
      </x:c>
      <x:c r="H996" s="2" t="n">
        <x:f>G996+Supuestos!$C$15</x:f>
        <x:v>29</x:v>
      </x:c>
      <x:c r="I996" s="14" t="n">
        <x:f>E2_plantas!J25+G996</x:f>
        <x:v>46209</x:v>
      </x:c>
      <x:c r="J996" s="2" t="str">
        <x:v>adulta</x:v>
      </x:c>
      <x:c r="K996" s="2" t="n">
        <x:v>1</x:v>
      </x:c>
      <x:c r="L996" s="2" t="n">
        <x:v>0</x:v>
      </x:c>
      <x:c r="M996" s="2" t="n">
        <x:f>SUM(L$968:L996)</x:f>
        <x:v>35</x:v>
      </x:c>
      <x:c r="N996" s="2" t="n">
        <x:v>0</x:v>
      </x:c>
      <x:c r="O996" s="2" t="str">
        <x:v>seguimiento</x:v>
      </x:c>
      <x:c r="P996" s="2" t="n">
        <x:v>0</x:v>
      </x:c>
      <x:c r="Q996" s="2" t="str">
        <x:v>simulado_didactico</x:v>
      </x:c>
    </x:row>
    <x:row r="997" ht="19" customHeight="1">
      <x:c r="A997" s="2" t="str">
        <x:v>SIM-E2-BB-L7-R04</x:v>
      </x:c>
      <x:c r="B997" s="2" t="n">
        <x:v>2</x:v>
      </x:c>
      <x:c r="C997" s="2" t="str">
        <x:v>BB</x:v>
      </x:c>
      <x:c r="D997" s="2" t="str">
        <x:v>Brevicoryne brassicae</x:v>
      </x:c>
      <x:c r="E997" s="2" t="str">
        <x:v>L7</x:v>
      </x:c>
      <x:c r="F997" s="2" t="n">
        <x:v>4</x:v>
      </x:c>
      <x:c r="G997" s="2" t="n">
        <x:v>29</x:v>
      </x:c>
      <x:c r="H997" s="2" t="n">
        <x:f>G997+Supuestos!$C$15</x:f>
        <x:v>30</x:v>
      </x:c>
      <x:c r="I997" s="14" t="n">
        <x:f>E2_plantas!J25+G997</x:f>
        <x:v>46210</x:v>
      </x:c>
      <x:c r="J997" s="2" t="str">
        <x:v>adulta</x:v>
      </x:c>
      <x:c r="K997" s="2" t="n">
        <x:v>1</x:v>
      </x:c>
      <x:c r="L997" s="2" t="n">
        <x:v>0</x:v>
      </x:c>
      <x:c r="M997" s="2" t="n">
        <x:f>SUM(L$968:L997)</x:f>
        <x:v>35</x:v>
      </x:c>
      <x:c r="N997" s="2" t="n">
        <x:v>0</x:v>
      </x:c>
      <x:c r="O997" s="2" t="str">
        <x:v>seguimiento</x:v>
      </x:c>
      <x:c r="P997" s="2" t="n">
        <x:v>0</x:v>
      </x:c>
      <x:c r="Q997" s="2" t="str">
        <x:v>simulado_didactico</x:v>
      </x:c>
    </x:row>
    <x:row r="998" ht="19" customHeight="1">
      <x:c r="A998" s="2" t="str">
        <x:v>SIM-E2-BB-L7-R04</x:v>
      </x:c>
      <x:c r="B998" s="2" t="n">
        <x:v>2</x:v>
      </x:c>
      <x:c r="C998" s="2" t="str">
        <x:v>BB</x:v>
      </x:c>
      <x:c r="D998" s="2" t="str">
        <x:v>Brevicoryne brassicae</x:v>
      </x:c>
      <x:c r="E998" s="2" t="str">
        <x:v>L7</x:v>
      </x:c>
      <x:c r="F998" s="2" t="n">
        <x:v>4</x:v>
      </x:c>
      <x:c r="G998" s="2" t="n">
        <x:v>30</x:v>
      </x:c>
      <x:c r="H998" s="2" t="n">
        <x:f>G998+Supuestos!$C$15</x:f>
        <x:v>31</x:v>
      </x:c>
      <x:c r="I998" s="14" t="n">
        <x:f>E2_plantas!J25+G998</x:f>
        <x:v>46211</x:v>
      </x:c>
      <x:c r="J998" s="2" t="str">
        <x:v>muerta</x:v>
      </x:c>
      <x:c r="K998" s="2" t="n">
        <x:v>0</x:v>
      </x:c>
      <x:c r="L998" s="2" t="n">
        <x:v>0</x:v>
      </x:c>
      <x:c r="M998" s="2" t="n">
        <x:f>SUM(L$968:L998)</x:f>
        <x:v>35</x:v>
      </x:c>
      <x:c r="N998" s="2" t="n">
        <x:v>1</x:v>
      </x:c>
      <x:c r="O998" s="2" t="str">
        <x:v>muerte</x:v>
      </x:c>
      <x:c r="P998" s="2" t="n">
        <x:v>0</x:v>
      </x:c>
      <x:c r="Q998" s="2" t="str">
        <x:v>simulado_didactico</x:v>
      </x:c>
    </x:row>
    <x:row r="999" ht="19" customHeight="1">
      <x:c r="A999" s="2" t="str">
        <x:v>SIM-E2-BB-L7-R04</x:v>
      </x:c>
      <x:c r="B999" s="2" t="n">
        <x:v>2</x:v>
      </x:c>
      <x:c r="C999" s="2" t="str">
        <x:v>BB</x:v>
      </x:c>
      <x:c r="D999" s="2" t="str">
        <x:v>Brevicoryne brassicae</x:v>
      </x:c>
      <x:c r="E999" s="2" t="str">
        <x:v>L7</x:v>
      </x:c>
      <x:c r="F999" s="2" t="n">
        <x:v>4</x:v>
      </x:c>
      <x:c r="G999" s="2" t="n">
        <x:v>31</x:v>
      </x:c>
      <x:c r="H999" s="2" t="n">
        <x:f>G999+Supuestos!$C$15</x:f>
        <x:v>32</x:v>
      </x:c>
      <x:c r="I999" s="14" t="n">
        <x:f>E2_plantas!J25+G999</x:f>
        <x:v>46212</x:v>
      </x:c>
      <x:c r="J999" s="2" t="str">
        <x:v>muerta</x:v>
      </x:c>
      <x:c r="K999" s="2" t="n">
        <x:v>0</x:v>
      </x:c>
      <x:c r="L999" s="2" t="n">
        <x:v>0</x:v>
      </x:c>
      <x:c r="M999" s="2" t="n">
        <x:f>SUM(L$968:L999)</x:f>
        <x:v>35</x:v>
      </x:c>
      <x:c r="N999" s="2" t="n">
        <x:v>0</x:v>
      </x:c>
      <x:c r="O999" s="2" t="str">
        <x:v>relleno_postmuerte</x:v>
      </x:c>
      <x:c r="P999" s="2" t="n">
        <x:v>0</x:v>
      </x:c>
      <x:c r="Q999" s="2" t="str">
        <x:v>simulado_didactico</x:v>
      </x:c>
    </x:row>
    <x:row r="1000" ht="19" customHeight="1">
      <x:c r="A1000" s="2" t="str">
        <x:v>SIM-E2-BB-L7-R04</x:v>
      </x:c>
      <x:c r="B1000" s="2" t="n">
        <x:v>2</x:v>
      </x:c>
      <x:c r="C1000" s="2" t="str">
        <x:v>BB</x:v>
      </x:c>
      <x:c r="D1000" s="2" t="str">
        <x:v>Brevicoryne brassicae</x:v>
      </x:c>
      <x:c r="E1000" s="2" t="str">
        <x:v>L7</x:v>
      </x:c>
      <x:c r="F1000" s="2" t="n">
        <x:v>4</x:v>
      </x:c>
      <x:c r="G1000" s="2" t="n">
        <x:v>32</x:v>
      </x:c>
      <x:c r="H1000" s="2" t="n">
        <x:f>G1000+Supuestos!$C$15</x:f>
        <x:v>33</x:v>
      </x:c>
      <x:c r="I1000" s="14" t="n">
        <x:f>E2_plantas!J25+G1000</x:f>
        <x:v>46213</x:v>
      </x:c>
      <x:c r="J1000" s="2" t="str">
        <x:v>muerta</x:v>
      </x:c>
      <x:c r="K1000" s="2" t="n">
        <x:v>0</x:v>
      </x:c>
      <x:c r="L1000" s="2" t="n">
        <x:v>0</x:v>
      </x:c>
      <x:c r="M1000" s="2" t="n">
        <x:f>SUM(L$968:L1000)</x:f>
        <x:v>35</x:v>
      </x:c>
      <x:c r="N1000" s="2" t="n">
        <x:v>0</x:v>
      </x:c>
      <x:c r="O1000" s="2" t="str">
        <x:v>relleno_postmuerte</x:v>
      </x:c>
      <x:c r="P1000" s="2" t="n">
        <x:v>0</x:v>
      </x:c>
      <x:c r="Q1000" s="2" t="str">
        <x:v>simulado_didactico</x:v>
      </x:c>
    </x:row>
    <x:row r="1001" ht="19" customHeight="1">
      <x:c r="A1001" s="2" t="str">
        <x:v>SIM-E2-BB-L7-R04</x:v>
      </x:c>
      <x:c r="B1001" s="2" t="n">
        <x:v>2</x:v>
      </x:c>
      <x:c r="C1001" s="2" t="str">
        <x:v>BB</x:v>
      </x:c>
      <x:c r="D1001" s="2" t="str">
        <x:v>Brevicoryne brassicae</x:v>
      </x:c>
      <x:c r="E1001" s="2" t="str">
        <x:v>L7</x:v>
      </x:c>
      <x:c r="F1001" s="2" t="n">
        <x:v>4</x:v>
      </x:c>
      <x:c r="G1001" s="2" t="n">
        <x:v>33</x:v>
      </x:c>
      <x:c r="H1001" s="2" t="n">
        <x:f>G1001+Supuestos!$C$15</x:f>
        <x:v>34</x:v>
      </x:c>
      <x:c r="I1001" s="14" t="n">
        <x:f>E2_plantas!J25+G1001</x:f>
        <x:v>46214</x:v>
      </x:c>
      <x:c r="J1001" s="2" t="str">
        <x:v>muerta</x:v>
      </x:c>
      <x:c r="K1001" s="2" t="n">
        <x:v>0</x:v>
      </x:c>
      <x:c r="L1001" s="2" t="n">
        <x:v>0</x:v>
      </x:c>
      <x:c r="M1001" s="2" t="n">
        <x:f>SUM(L$968:L1001)</x:f>
        <x:v>35</x:v>
      </x:c>
      <x:c r="N1001" s="2" t="n">
        <x:v>0</x:v>
      </x:c>
      <x:c r="O1001" s="2" t="str">
        <x:v>relleno_postmuerte</x:v>
      </x:c>
      <x:c r="P1001" s="2" t="n">
        <x:v>0</x:v>
      </x:c>
      <x:c r="Q1001" s="2" t="str">
        <x:v>simulado_didactico</x:v>
      </x:c>
    </x:row>
    <x:row r="1002" ht="19" customHeight="1">
      <x:c r="A1002" s="2" t="str">
        <x:v>SIM-E2-BB-L7-R04</x:v>
      </x:c>
      <x:c r="B1002" s="2" t="n">
        <x:v>2</x:v>
      </x:c>
      <x:c r="C1002" s="2" t="str">
        <x:v>BB</x:v>
      </x:c>
      <x:c r="D1002" s="2" t="str">
        <x:v>Brevicoryne brassicae</x:v>
      </x:c>
      <x:c r="E1002" s="2" t="str">
        <x:v>L7</x:v>
      </x:c>
      <x:c r="F1002" s="2" t="n">
        <x:v>4</x:v>
      </x:c>
      <x:c r="G1002" s="2" t="n">
        <x:v>34</x:v>
      </x:c>
      <x:c r="H1002" s="2" t="n">
        <x:f>G1002+Supuestos!$C$15</x:f>
        <x:v>35</x:v>
      </x:c>
      <x:c r="I1002" s="14" t="n">
        <x:f>E2_plantas!J25+G1002</x:f>
        <x:v>46215</x:v>
      </x:c>
      <x:c r="J1002" s="2" t="str">
        <x:v>muerta</x:v>
      </x:c>
      <x:c r="K1002" s="2" t="n">
        <x:v>0</x:v>
      </x:c>
      <x:c r="L1002" s="2" t="n">
        <x:v>0</x:v>
      </x:c>
      <x:c r="M1002" s="2" t="n">
        <x:f>SUM(L$968:L1002)</x:f>
        <x:v>35</x:v>
      </x:c>
      <x:c r="N1002" s="2" t="n">
        <x:v>0</x:v>
      </x:c>
      <x:c r="O1002" s="2" t="str">
        <x:v>relleno_postmuerte</x:v>
      </x:c>
      <x:c r="P1002" s="2" t="n">
        <x:v>0</x:v>
      </x:c>
      <x:c r="Q1002" s="2" t="str">
        <x:v>simulado_didactico</x:v>
      </x:c>
    </x:row>
    <x:row r="1003" ht="19" customHeight="1">
      <x:c r="A1003" s="2" t="str">
        <x:v>SIM-E2-BB-L7-R04</x:v>
      </x:c>
      <x:c r="B1003" s="2" t="n">
        <x:v>2</x:v>
      </x:c>
      <x:c r="C1003" s="2" t="str">
        <x:v>BB</x:v>
      </x:c>
      <x:c r="D1003" s="2" t="str">
        <x:v>Brevicoryne brassicae</x:v>
      </x:c>
      <x:c r="E1003" s="2" t="str">
        <x:v>L7</x:v>
      </x:c>
      <x:c r="F1003" s="2" t="n">
        <x:v>4</x:v>
      </x:c>
      <x:c r="G1003" s="2" t="n">
        <x:v>35</x:v>
      </x:c>
      <x:c r="H1003" s="2" t="n">
        <x:f>G1003+Supuestos!$C$15</x:f>
        <x:v>36</x:v>
      </x:c>
      <x:c r="I1003" s="14" t="n">
        <x:f>E2_plantas!J25+G1003</x:f>
        <x:v>46216</x:v>
      </x:c>
      <x:c r="J1003" s="2" t="str">
        <x:v>muerta</x:v>
      </x:c>
      <x:c r="K1003" s="2" t="n">
        <x:v>0</x:v>
      </x:c>
      <x:c r="L1003" s="2" t="n">
        <x:v>0</x:v>
      </x:c>
      <x:c r="M1003" s="2" t="n">
        <x:f>SUM(L$968:L1003)</x:f>
        <x:v>35</x:v>
      </x:c>
      <x:c r="N1003" s="2" t="n">
        <x:v>0</x:v>
      </x:c>
      <x:c r="O1003" s="2" t="str">
        <x:v>relleno_postmuerte</x:v>
      </x:c>
      <x:c r="P1003" s="2" t="n">
        <x:v>0</x:v>
      </x:c>
      <x:c r="Q1003" s="2" t="str">
        <x:v>simulado_didactico</x:v>
      </x:c>
    </x:row>
    <x:row r="1004" ht="19" customHeight="1">
      <x:c r="A1004" s="2" t="str">
        <x:v>SIM-E2-BB-L7-R04</x:v>
      </x:c>
      <x:c r="B1004" s="2" t="n">
        <x:v>2</x:v>
      </x:c>
      <x:c r="C1004" s="2" t="str">
        <x:v>BB</x:v>
      </x:c>
      <x:c r="D1004" s="2" t="str">
        <x:v>Brevicoryne brassicae</x:v>
      </x:c>
      <x:c r="E1004" s="2" t="str">
        <x:v>L7</x:v>
      </x:c>
      <x:c r="F1004" s="2" t="n">
        <x:v>4</x:v>
      </x:c>
      <x:c r="G1004" s="2" t="n">
        <x:v>36</x:v>
      </x:c>
      <x:c r="H1004" s="2" t="n">
        <x:f>G1004+Supuestos!$C$15</x:f>
        <x:v>37</x:v>
      </x:c>
      <x:c r="I1004" s="14" t="n">
        <x:f>E2_plantas!J25+G1004</x:f>
        <x:v>46217</x:v>
      </x:c>
      <x:c r="J1004" s="2" t="str">
        <x:v>muerta</x:v>
      </x:c>
      <x:c r="K1004" s="2" t="n">
        <x:v>0</x:v>
      </x:c>
      <x:c r="L1004" s="2" t="n">
        <x:v>0</x:v>
      </x:c>
      <x:c r="M1004" s="2" t="n">
        <x:f>SUM(L$968:L1004)</x:f>
        <x:v>35</x:v>
      </x:c>
      <x:c r="N1004" s="2" t="n">
        <x:v>0</x:v>
      </x:c>
      <x:c r="O1004" s="2" t="str">
        <x:v>relleno_postmuerte</x:v>
      </x:c>
      <x:c r="P1004" s="2" t="n">
        <x:v>0</x:v>
      </x:c>
      <x:c r="Q1004" s="2" t="str">
        <x:v>simulado_didactico</x:v>
      </x:c>
    </x:row>
    <x:row r="1005" ht="19" customHeight="1">
      <x:c r="A1005" s="2" t="str">
        <x:v>SIM-E2-BB-L7-R04</x:v>
      </x:c>
      <x:c r="B1005" s="2" t="n">
        <x:v>2</x:v>
      </x:c>
      <x:c r="C1005" s="2" t="str">
        <x:v>BB</x:v>
      </x:c>
      <x:c r="D1005" s="2" t="str">
        <x:v>Brevicoryne brassicae</x:v>
      </x:c>
      <x:c r="E1005" s="2" t="str">
        <x:v>L7</x:v>
      </x:c>
      <x:c r="F1005" s="2" t="n">
        <x:v>4</x:v>
      </x:c>
      <x:c r="G1005" s="2" t="n">
        <x:v>37</x:v>
      </x:c>
      <x:c r="H1005" s="2" t="n">
        <x:f>G1005+Supuestos!$C$15</x:f>
        <x:v>38</x:v>
      </x:c>
      <x:c r="I1005" s="14" t="n">
        <x:f>E2_plantas!J25+G1005</x:f>
        <x:v>46218</x:v>
      </x:c>
      <x:c r="J1005" s="2" t="str">
        <x:v>muerta</x:v>
      </x:c>
      <x:c r="K1005" s="2" t="n">
        <x:v>0</x:v>
      </x:c>
      <x:c r="L1005" s="2" t="n">
        <x:v>0</x:v>
      </x:c>
      <x:c r="M1005" s="2" t="n">
        <x:f>SUM(L$968:L1005)</x:f>
        <x:v>35</x:v>
      </x:c>
      <x:c r="N1005" s="2" t="n">
        <x:v>0</x:v>
      </x:c>
      <x:c r="O1005" s="2" t="str">
        <x:v>relleno_postmuerte</x:v>
      </x:c>
      <x:c r="P1005" s="2" t="n">
        <x:v>0</x:v>
      </x:c>
      <x:c r="Q1005" s="2" t="str">
        <x:v>simulado_didactico</x:v>
      </x:c>
    </x:row>
    <x:row r="1006" ht="19" customHeight="1">
      <x:c r="A1006" s="2" t="str">
        <x:v>SIM-E2-BB-L7-R04</x:v>
      </x:c>
      <x:c r="B1006" s="2" t="n">
        <x:v>2</x:v>
      </x:c>
      <x:c r="C1006" s="2" t="str">
        <x:v>BB</x:v>
      </x:c>
      <x:c r="D1006" s="2" t="str">
        <x:v>Brevicoryne brassicae</x:v>
      </x:c>
      <x:c r="E1006" s="2" t="str">
        <x:v>L7</x:v>
      </x:c>
      <x:c r="F1006" s="2" t="n">
        <x:v>4</x:v>
      </x:c>
      <x:c r="G1006" s="2" t="n">
        <x:v>38</x:v>
      </x:c>
      <x:c r="H1006" s="2" t="n">
        <x:f>G1006+Supuestos!$C$15</x:f>
        <x:v>39</x:v>
      </x:c>
      <x:c r="I1006" s="14" t="n">
        <x:f>E2_plantas!J25+G1006</x:f>
        <x:v>46219</x:v>
      </x:c>
      <x:c r="J1006" s="2" t="str">
        <x:v>muerta</x:v>
      </x:c>
      <x:c r="K1006" s="2" t="n">
        <x:v>0</x:v>
      </x:c>
      <x:c r="L1006" s="2" t="n">
        <x:v>0</x:v>
      </x:c>
      <x:c r="M1006" s="2" t="n">
        <x:f>SUM(L$968:L1006)</x:f>
        <x:v>35</x:v>
      </x:c>
      <x:c r="N1006" s="2" t="n">
        <x:v>0</x:v>
      </x:c>
      <x:c r="O1006" s="2" t="str">
        <x:v>relleno_postmuerte</x:v>
      </x:c>
      <x:c r="P1006" s="2" t="n">
        <x:v>0</x:v>
      </x:c>
      <x:c r="Q1006" s="2" t="str">
        <x:v>simulado_didactico</x:v>
      </x:c>
    </x:row>
    <x:row r="1007" ht="19" customHeight="1">
      <x:c r="A1007" s="2" t="str">
        <x:v>SIM-E2-BB-L7-R04</x:v>
      </x:c>
      <x:c r="B1007" s="2" t="n">
        <x:v>2</x:v>
      </x:c>
      <x:c r="C1007" s="2" t="str">
        <x:v>BB</x:v>
      </x:c>
      <x:c r="D1007" s="2" t="str">
        <x:v>Brevicoryne brassicae</x:v>
      </x:c>
      <x:c r="E1007" s="2" t="str">
        <x:v>L7</x:v>
      </x:c>
      <x:c r="F1007" s="2" t="n">
        <x:v>4</x:v>
      </x:c>
      <x:c r="G1007" s="2" t="n">
        <x:v>39</x:v>
      </x:c>
      <x:c r="H1007" s="2" t="n">
        <x:f>G1007+Supuestos!$C$15</x:f>
        <x:v>40</x:v>
      </x:c>
      <x:c r="I1007" s="14" t="n">
        <x:f>E2_plantas!J25+G1007</x:f>
        <x:v>46220</x:v>
      </x:c>
      <x:c r="J1007" s="2" t="str">
        <x:v>muerta</x:v>
      </x:c>
      <x:c r="K1007" s="2" t="n">
        <x:v>0</x:v>
      </x:c>
      <x:c r="L1007" s="2" t="n">
        <x:v>0</x:v>
      </x:c>
      <x:c r="M1007" s="2" t="n">
        <x:f>SUM(L$968:L1007)</x:f>
        <x:v>35</x:v>
      </x:c>
      <x:c r="N1007" s="2" t="n">
        <x:v>0</x:v>
      </x:c>
      <x:c r="O1007" s="2" t="str">
        <x:v>relleno_postmuerte</x:v>
      </x:c>
      <x:c r="P1007" s="2" t="n">
        <x:v>0</x:v>
      </x:c>
      <x:c r="Q1007" s="2" t="str">
        <x:v>simulado_didactico</x:v>
      </x:c>
    </x:row>
    <x:row r="1008" ht="19" customHeight="1">
      <x:c r="A1008" s="2" t="str">
        <x:v>SIM-E2-BB-L7-R04</x:v>
      </x:c>
      <x:c r="B1008" s="2" t="n">
        <x:v>2</x:v>
      </x:c>
      <x:c r="C1008" s="2" t="str">
        <x:v>BB</x:v>
      </x:c>
      <x:c r="D1008" s="2" t="str">
        <x:v>Brevicoryne brassicae</x:v>
      </x:c>
      <x:c r="E1008" s="2" t="str">
        <x:v>L7</x:v>
      </x:c>
      <x:c r="F1008" s="2" t="n">
        <x:v>4</x:v>
      </x:c>
      <x:c r="G1008" s="2" t="n">
        <x:v>40</x:v>
      </x:c>
      <x:c r="H1008" s="2" t="n">
        <x:f>G1008+Supuestos!$C$15</x:f>
        <x:v>41</x:v>
      </x:c>
      <x:c r="I1008" s="14" t="n">
        <x:f>E2_plantas!J25+G1008</x:f>
        <x:v>46221</x:v>
      </x:c>
      <x:c r="J1008" s="2" t="str">
        <x:v>muerta</x:v>
      </x:c>
      <x:c r="K1008" s="2" t="n">
        <x:v>0</x:v>
      </x:c>
      <x:c r="L1008" s="2" t="n">
        <x:v>0</x:v>
      </x:c>
      <x:c r="M1008" s="2" t="n">
        <x:f>SUM(L$968:L1008)</x:f>
        <x:v>35</x:v>
      </x:c>
      <x:c r="N1008" s="2" t="n">
        <x:v>0</x:v>
      </x:c>
      <x:c r="O1008" s="2" t="str">
        <x:v>relleno_postmuerte</x:v>
      </x:c>
      <x:c r="P1008" s="2" t="n">
        <x:v>0</x:v>
      </x:c>
      <x:c r="Q1008" s="2" t="str">
        <x:v>simulado_didactico</x:v>
      </x:c>
    </x:row>
    <x:row r="1009" ht="19" customHeight="1">
      <x:c r="A1009" s="2" t="str">
        <x:v>SIM-E2-BB-L7-R04</x:v>
      </x:c>
      <x:c r="B1009" s="2" t="n">
        <x:v>2</x:v>
      </x:c>
      <x:c r="C1009" s="2" t="str">
        <x:v>BB</x:v>
      </x:c>
      <x:c r="D1009" s="2" t="str">
        <x:v>Brevicoryne brassicae</x:v>
      </x:c>
      <x:c r="E1009" s="2" t="str">
        <x:v>L7</x:v>
      </x:c>
      <x:c r="F1009" s="2" t="n">
        <x:v>4</x:v>
      </x:c>
      <x:c r="G1009" s="2" t="n">
        <x:v>41</x:v>
      </x:c>
      <x:c r="H1009" s="2" t="n">
        <x:f>G1009+Supuestos!$C$15</x:f>
        <x:v>42</x:v>
      </x:c>
      <x:c r="I1009" s="14" t="n">
        <x:f>E2_plantas!J25+G1009</x:f>
        <x:v>46222</x:v>
      </x:c>
      <x:c r="J1009" s="2" t="str">
        <x:v>muerta</x:v>
      </x:c>
      <x:c r="K1009" s="2" t="n">
        <x:v>0</x:v>
      </x:c>
      <x:c r="L1009" s="2" t="n">
        <x:v>0</x:v>
      </x:c>
      <x:c r="M1009" s="2" t="n">
        <x:f>SUM(L$968:L1009)</x:f>
        <x:v>35</x:v>
      </x:c>
      <x:c r="N1009" s="2" t="n">
        <x:v>0</x:v>
      </x:c>
      <x:c r="O1009" s="2" t="str">
        <x:v>relleno_postmuerte</x:v>
      </x:c>
      <x:c r="P1009" s="2" t="n">
        <x:v>0</x:v>
      </x:c>
      <x:c r="Q1009" s="2" t="str">
        <x:v>simulado_didactico</x:v>
      </x:c>
    </x:row>
    <x:row r="1010" ht="19" customHeight="1">
      <x:c r="A1010" s="2" t="str">
        <x:v>SIM-E2-MP-L0-R05</x:v>
      </x:c>
      <x:c r="B1010" s="2" t="n">
        <x:v>3</x:v>
      </x:c>
      <x:c r="C1010" s="2" t="str">
        <x:v>MP</x:v>
      </x:c>
      <x:c r="D1010" s="2" t="str">
        <x:v>Myzus persicae</x:v>
      </x:c>
      <x:c r="E1010" s="2" t="str">
        <x:v>L0</x:v>
      </x:c>
      <x:c r="F1010" s="2" t="n">
        <x:v>5</x:v>
      </x:c>
      <x:c r="G1010" s="2" t="n">
        <x:v>0</x:v>
      </x:c>
      <x:c r="H1010" s="2" t="n">
        <x:f>G1010+Supuestos!$C$15</x:f>
        <x:v>1</x:v>
      </x:c>
      <x:c r="I1010" s="14" t="n">
        <x:f>E2_plantas!J26+G1010</x:f>
        <x:v>46188</x:v>
      </x:c>
      <x:c r="J1010" s="2" t="str">
        <x:v>N1</x:v>
      </x:c>
      <x:c r="K1010" s="2" t="n">
        <x:v>1</x:v>
      </x:c>
      <x:c r="L1010" s="2" t="n">
        <x:v>0</x:v>
      </x:c>
      <x:c r="M1010" s="2" t="n">
        <x:f>SUM(L$1010:L1010)</x:f>
        <x:v>0</x:v>
      </x:c>
      <x:c r="N1010" s="2" t="n">
        <x:v>0</x:v>
      </x:c>
      <x:c r="O1010" s="2" t="str">
        <x:v>seguimiento</x:v>
      </x:c>
      <x:c r="P1010" s="2" t="n">
        <x:v>0</x:v>
      </x:c>
      <x:c r="Q1010" s="2" t="str">
        <x:v>simulado_didactico</x:v>
      </x:c>
    </x:row>
    <x:row r="1011" ht="19" customHeight="1">
      <x:c r="A1011" s="2" t="str">
        <x:v>SIM-E2-MP-L0-R05</x:v>
      </x:c>
      <x:c r="B1011" s="2" t="n">
        <x:v>3</x:v>
      </x:c>
      <x:c r="C1011" s="2" t="str">
        <x:v>MP</x:v>
      </x:c>
      <x:c r="D1011" s="2" t="str">
        <x:v>Myzus persicae</x:v>
      </x:c>
      <x:c r="E1011" s="2" t="str">
        <x:v>L0</x:v>
      </x:c>
      <x:c r="F1011" s="2" t="n">
        <x:v>5</x:v>
      </x:c>
      <x:c r="G1011" s="2" t="n">
        <x:v>1</x:v>
      </x:c>
      <x:c r="H1011" s="2" t="n">
        <x:f>G1011+Supuestos!$C$15</x:f>
        <x:v>2</x:v>
      </x:c>
      <x:c r="I1011" s="14" t="n">
        <x:f>E2_plantas!J26+G1011</x:f>
        <x:v>46189</x:v>
      </x:c>
      <x:c r="J1011" s="2" t="str">
        <x:v>N1</x:v>
      </x:c>
      <x:c r="K1011" s="2" t="n">
        <x:v>1</x:v>
      </x:c>
      <x:c r="L1011" s="2" t="n">
        <x:v>0</x:v>
      </x:c>
      <x:c r="M1011" s="2" t="n">
        <x:f>SUM(L$1010:L1011)</x:f>
        <x:v>0</x:v>
      </x:c>
      <x:c r="N1011" s="2" t="n">
        <x:v>0</x:v>
      </x:c>
      <x:c r="O1011" s="2" t="str">
        <x:v>seguimiento</x:v>
      </x:c>
      <x:c r="P1011" s="2" t="n">
        <x:v>0</x:v>
      </x:c>
      <x:c r="Q1011" s="2" t="str">
        <x:v>simulado_didactico</x:v>
      </x:c>
    </x:row>
    <x:row r="1012" ht="19" customHeight="1">
      <x:c r="A1012" s="2" t="str">
        <x:v>SIM-E2-MP-L0-R05</x:v>
      </x:c>
      <x:c r="B1012" s="2" t="n">
        <x:v>3</x:v>
      </x:c>
      <x:c r="C1012" s="2" t="str">
        <x:v>MP</x:v>
      </x:c>
      <x:c r="D1012" s="2" t="str">
        <x:v>Myzus persicae</x:v>
      </x:c>
      <x:c r="E1012" s="2" t="str">
        <x:v>L0</x:v>
      </x:c>
      <x:c r="F1012" s="2" t="n">
        <x:v>5</x:v>
      </x:c>
      <x:c r="G1012" s="2" t="n">
        <x:v>2</x:v>
      </x:c>
      <x:c r="H1012" s="2" t="n">
        <x:f>G1012+Supuestos!$C$15</x:f>
        <x:v>3</x:v>
      </x:c>
      <x:c r="I1012" s="14" t="n">
        <x:f>E2_plantas!J26+G1012</x:f>
        <x:v>46190</x:v>
      </x:c>
      <x:c r="J1012" s="2" t="str">
        <x:v>N1</x:v>
      </x:c>
      <x:c r="K1012" s="2" t="n">
        <x:v>1</x:v>
      </x:c>
      <x:c r="L1012" s="2" t="n">
        <x:v>0</x:v>
      </x:c>
      <x:c r="M1012" s="2" t="n">
        <x:f>SUM(L$1010:L1012)</x:f>
        <x:v>0</x:v>
      </x:c>
      <x:c r="N1012" s="2" t="n">
        <x:v>0</x:v>
      </x:c>
      <x:c r="O1012" s="2" t="str">
        <x:v>seguimiento</x:v>
      </x:c>
      <x:c r="P1012" s="2" t="n">
        <x:v>0</x:v>
      </x:c>
      <x:c r="Q1012" s="2" t="str">
        <x:v>simulado_didactico</x:v>
      </x:c>
    </x:row>
    <x:row r="1013" ht="19" customHeight="1">
      <x:c r="A1013" s="2" t="str">
        <x:v>SIM-E2-MP-L0-R05</x:v>
      </x:c>
      <x:c r="B1013" s="2" t="n">
        <x:v>3</x:v>
      </x:c>
      <x:c r="C1013" s="2" t="str">
        <x:v>MP</x:v>
      </x:c>
      <x:c r="D1013" s="2" t="str">
        <x:v>Myzus persicae</x:v>
      </x:c>
      <x:c r="E1013" s="2" t="str">
        <x:v>L0</x:v>
      </x:c>
      <x:c r="F1013" s="2" t="n">
        <x:v>5</x:v>
      </x:c>
      <x:c r="G1013" s="2" t="n">
        <x:v>3</x:v>
      </x:c>
      <x:c r="H1013" s="2" t="n">
        <x:f>G1013+Supuestos!$C$15</x:f>
        <x:v>4</x:v>
      </x:c>
      <x:c r="I1013" s="14" t="n">
        <x:f>E2_plantas!J26+G1013</x:f>
        <x:v>46191</x:v>
      </x:c>
      <x:c r="J1013" s="2" t="str">
        <x:v>N2</x:v>
      </x:c>
      <x:c r="K1013" s="2" t="n">
        <x:v>1</x:v>
      </x:c>
      <x:c r="L1013" s="2" t="n">
        <x:v>0</x:v>
      </x:c>
      <x:c r="M1013" s="2" t="n">
        <x:f>SUM(L$1010:L1013)</x:f>
        <x:v>0</x:v>
      </x:c>
      <x:c r="N1013" s="2" t="n">
        <x:v>0</x:v>
      </x:c>
      <x:c r="O1013" s="2" t="str">
        <x:v>seguimiento</x:v>
      </x:c>
      <x:c r="P1013" s="2" t="n">
        <x:v>0</x:v>
      </x:c>
      <x:c r="Q1013" s="2" t="str">
        <x:v>simulado_didactico</x:v>
      </x:c>
    </x:row>
    <x:row r="1014" ht="19" customHeight="1">
      <x:c r="A1014" s="2" t="str">
        <x:v>SIM-E2-MP-L0-R05</x:v>
      </x:c>
      <x:c r="B1014" s="2" t="n">
        <x:v>3</x:v>
      </x:c>
      <x:c r="C1014" s="2" t="str">
        <x:v>MP</x:v>
      </x:c>
      <x:c r="D1014" s="2" t="str">
        <x:v>Myzus persicae</x:v>
      </x:c>
      <x:c r="E1014" s="2" t="str">
        <x:v>L0</x:v>
      </x:c>
      <x:c r="F1014" s="2" t="n">
        <x:v>5</x:v>
      </x:c>
      <x:c r="G1014" s="2" t="n">
        <x:v>4</x:v>
      </x:c>
      <x:c r="H1014" s="2" t="n">
        <x:f>G1014+Supuestos!$C$15</x:f>
        <x:v>5</x:v>
      </x:c>
      <x:c r="I1014" s="14" t="n">
        <x:f>E2_plantas!J26+G1014</x:f>
        <x:v>46192</x:v>
      </x:c>
      <x:c r="J1014" s="2" t="str">
        <x:v>N3</x:v>
      </x:c>
      <x:c r="K1014" s="2" t="n">
        <x:v>1</x:v>
      </x:c>
      <x:c r="L1014" s="2" t="n">
        <x:v>0</x:v>
      </x:c>
      <x:c r="M1014" s="2" t="n">
        <x:f>SUM(L$1010:L1014)</x:f>
        <x:v>0</x:v>
      </x:c>
      <x:c r="N1014" s="2" t="n">
        <x:v>0</x:v>
      </x:c>
      <x:c r="O1014" s="2" t="str">
        <x:v>seguimiento</x:v>
      </x:c>
      <x:c r="P1014" s="2" t="n">
        <x:v>0</x:v>
      </x:c>
      <x:c r="Q1014" s="2" t="str">
        <x:v>simulado_didactico</x:v>
      </x:c>
    </x:row>
    <x:row r="1015" ht="19" customHeight="1">
      <x:c r="A1015" s="2" t="str">
        <x:v>SIM-E2-MP-L0-R05</x:v>
      </x:c>
      <x:c r="B1015" s="2" t="n">
        <x:v>3</x:v>
      </x:c>
      <x:c r="C1015" s="2" t="str">
        <x:v>MP</x:v>
      </x:c>
      <x:c r="D1015" s="2" t="str">
        <x:v>Myzus persicae</x:v>
      </x:c>
      <x:c r="E1015" s="2" t="str">
        <x:v>L0</x:v>
      </x:c>
      <x:c r="F1015" s="2" t="n">
        <x:v>5</x:v>
      </x:c>
      <x:c r="G1015" s="2" t="n">
        <x:v>5</x:v>
      </x:c>
      <x:c r="H1015" s="2" t="n">
        <x:f>G1015+Supuestos!$C$15</x:f>
        <x:v>6</x:v>
      </x:c>
      <x:c r="I1015" s="14" t="n">
        <x:f>E2_plantas!J26+G1015</x:f>
        <x:v>46193</x:v>
      </x:c>
      <x:c r="J1015" s="2" t="str">
        <x:v>N3</x:v>
      </x:c>
      <x:c r="K1015" s="2" t="n">
        <x:v>1</x:v>
      </x:c>
      <x:c r="L1015" s="2" t="n">
        <x:v>0</x:v>
      </x:c>
      <x:c r="M1015" s="2" t="n">
        <x:f>SUM(L$1010:L1015)</x:f>
        <x:v>0</x:v>
      </x:c>
      <x:c r="N1015" s="2" t="n">
        <x:v>0</x:v>
      </x:c>
      <x:c r="O1015" s="2" t="str">
        <x:v>seguimiento</x:v>
      </x:c>
      <x:c r="P1015" s="2" t="n">
        <x:v>0</x:v>
      </x:c>
      <x:c r="Q1015" s="2" t="str">
        <x:v>simulado_didactico</x:v>
      </x:c>
    </x:row>
    <x:row r="1016" ht="19" customHeight="1">
      <x:c r="A1016" s="2" t="str">
        <x:v>SIM-E2-MP-L0-R05</x:v>
      </x:c>
      <x:c r="B1016" s="2" t="n">
        <x:v>3</x:v>
      </x:c>
      <x:c r="C1016" s="2" t="str">
        <x:v>MP</x:v>
      </x:c>
      <x:c r="D1016" s="2" t="str">
        <x:v>Myzus persicae</x:v>
      </x:c>
      <x:c r="E1016" s="2" t="str">
        <x:v>L0</x:v>
      </x:c>
      <x:c r="F1016" s="2" t="n">
        <x:v>5</x:v>
      </x:c>
      <x:c r="G1016" s="2" t="n">
        <x:v>6</x:v>
      </x:c>
      <x:c r="H1016" s="2" t="n">
        <x:f>G1016+Supuestos!$C$15</x:f>
        <x:v>7</x:v>
      </x:c>
      <x:c r="I1016" s="14" t="n">
        <x:f>E2_plantas!J26+G1016</x:f>
        <x:v>46194</x:v>
      </x:c>
      <x:c r="J1016" s="2" t="str">
        <x:v>N4</x:v>
      </x:c>
      <x:c r="K1016" s="2" t="n">
        <x:v>1</x:v>
      </x:c>
      <x:c r="L1016" s="2" t="n">
        <x:v>0</x:v>
      </x:c>
      <x:c r="M1016" s="2" t="n">
        <x:f>SUM(L$1010:L1016)</x:f>
        <x:v>0</x:v>
      </x:c>
      <x:c r="N1016" s="2" t="n">
        <x:v>0</x:v>
      </x:c>
      <x:c r="O1016" s="2" t="str">
        <x:v>seguimiento</x:v>
      </x:c>
      <x:c r="P1016" s="2" t="n">
        <x:v>0</x:v>
      </x:c>
      <x:c r="Q1016" s="2" t="str">
        <x:v>simulado_didactico</x:v>
      </x:c>
    </x:row>
    <x:row r="1017" ht="19" customHeight="1">
      <x:c r="A1017" s="2" t="str">
        <x:v>SIM-E2-MP-L0-R05</x:v>
      </x:c>
      <x:c r="B1017" s="2" t="n">
        <x:v>3</x:v>
      </x:c>
      <x:c r="C1017" s="2" t="str">
        <x:v>MP</x:v>
      </x:c>
      <x:c r="D1017" s="2" t="str">
        <x:v>Myzus persicae</x:v>
      </x:c>
      <x:c r="E1017" s="2" t="str">
        <x:v>L0</x:v>
      </x:c>
      <x:c r="F1017" s="2" t="n">
        <x:v>5</x:v>
      </x:c>
      <x:c r="G1017" s="2" t="n">
        <x:v>7</x:v>
      </x:c>
      <x:c r="H1017" s="2" t="n">
        <x:f>G1017+Supuestos!$C$15</x:f>
        <x:v>8</x:v>
      </x:c>
      <x:c r="I1017" s="14" t="n">
        <x:f>E2_plantas!J26+G1017</x:f>
        <x:v>46195</x:v>
      </x:c>
      <x:c r="J1017" s="2" t="str">
        <x:v>adulta</x:v>
      </x:c>
      <x:c r="K1017" s="2" t="n">
        <x:v>1</x:v>
      </x:c>
      <x:c r="L1017" s="2" t="n">
        <x:v>0</x:v>
      </x:c>
      <x:c r="M1017" s="2" t="n">
        <x:f>SUM(L$1010:L1017)</x:f>
        <x:v>0</x:v>
      </x:c>
      <x:c r="N1017" s="2" t="n">
        <x:v>0</x:v>
      </x:c>
      <x:c r="O1017" s="2" t="str">
        <x:v>seguimiento</x:v>
      </x:c>
      <x:c r="P1017" s="2" t="n">
        <x:v>0</x:v>
      </x:c>
      <x:c r="Q1017" s="2" t="str">
        <x:v>simulado_didactico</x:v>
      </x:c>
    </x:row>
    <x:row r="1018" ht="19" customHeight="1">
      <x:c r="A1018" s="2" t="str">
        <x:v>SIM-E2-MP-L0-R05</x:v>
      </x:c>
      <x:c r="B1018" s="2" t="n">
        <x:v>3</x:v>
      </x:c>
      <x:c r="C1018" s="2" t="str">
        <x:v>MP</x:v>
      </x:c>
      <x:c r="D1018" s="2" t="str">
        <x:v>Myzus persicae</x:v>
      </x:c>
      <x:c r="E1018" s="2" t="str">
        <x:v>L0</x:v>
      </x:c>
      <x:c r="F1018" s="2" t="n">
        <x:v>5</x:v>
      </x:c>
      <x:c r="G1018" s="2" t="n">
        <x:v>8</x:v>
      </x:c>
      <x:c r="H1018" s="2" t="n">
        <x:f>G1018+Supuestos!$C$15</x:f>
        <x:v>9</x:v>
      </x:c>
      <x:c r="I1018" s="14" t="n">
        <x:f>E2_plantas!J26+G1018</x:f>
        <x:v>46196</x:v>
      </x:c>
      <x:c r="J1018" s="2" t="str">
        <x:v>adulta</x:v>
      </x:c>
      <x:c r="K1018" s="2" t="n">
        <x:v>1</x:v>
      </x:c>
      <x:c r="L1018" s="2" t="n">
        <x:v>6</x:v>
      </x:c>
      <x:c r="M1018" s="2" t="n">
        <x:f>SUM(L$1010:L1018)</x:f>
        <x:v>6</x:v>
      </x:c>
      <x:c r="N1018" s="2" t="n">
        <x:v>0</x:v>
      </x:c>
      <x:c r="O1018" s="2" t="str">
        <x:v>seguimiento</x:v>
      </x:c>
      <x:c r="P1018" s="2" t="n">
        <x:v>0</x:v>
      </x:c>
      <x:c r="Q1018" s="2" t="str">
        <x:v>simulado_didactico</x:v>
      </x:c>
    </x:row>
    <x:row r="1019" ht="19" customHeight="1">
      <x:c r="A1019" s="2" t="str">
        <x:v>SIM-E2-MP-L0-R05</x:v>
      </x:c>
      <x:c r="B1019" s="2" t="n">
        <x:v>3</x:v>
      </x:c>
      <x:c r="C1019" s="2" t="str">
        <x:v>MP</x:v>
      </x:c>
      <x:c r="D1019" s="2" t="str">
        <x:v>Myzus persicae</x:v>
      </x:c>
      <x:c r="E1019" s="2" t="str">
        <x:v>L0</x:v>
      </x:c>
      <x:c r="F1019" s="2" t="n">
        <x:v>5</x:v>
      </x:c>
      <x:c r="G1019" s="2" t="n">
        <x:v>9</x:v>
      </x:c>
      <x:c r="H1019" s="2" t="n">
        <x:f>G1019+Supuestos!$C$15</x:f>
        <x:v>10</x:v>
      </x:c>
      <x:c r="I1019" s="14" t="n">
        <x:f>E2_plantas!J26+G1019</x:f>
        <x:v>46197</x:v>
      </x:c>
      <x:c r="J1019" s="2" t="str">
        <x:v>adulta</x:v>
      </x:c>
      <x:c r="K1019" s="2" t="n">
        <x:v>1</x:v>
      </x:c>
      <x:c r="L1019" s="2" t="n">
        <x:v>4</x:v>
      </x:c>
      <x:c r="M1019" s="2" t="n">
        <x:f>SUM(L$1010:L1019)</x:f>
        <x:v>10</x:v>
      </x:c>
      <x:c r="N1019" s="2" t="n">
        <x:v>0</x:v>
      </x:c>
      <x:c r="O1019" s="2" t="str">
        <x:v>seguimiento</x:v>
      </x:c>
      <x:c r="P1019" s="2" t="n">
        <x:v>0</x:v>
      </x:c>
      <x:c r="Q1019" s="2" t="str">
        <x:v>simulado_didactico</x:v>
      </x:c>
    </x:row>
    <x:row r="1020" ht="19" customHeight="1">
      <x:c r="A1020" s="2" t="str">
        <x:v>SIM-E2-MP-L0-R05</x:v>
      </x:c>
      <x:c r="B1020" s="2" t="n">
        <x:v>3</x:v>
      </x:c>
      <x:c r="C1020" s="2" t="str">
        <x:v>MP</x:v>
      </x:c>
      <x:c r="D1020" s="2" t="str">
        <x:v>Myzus persicae</x:v>
      </x:c>
      <x:c r="E1020" s="2" t="str">
        <x:v>L0</x:v>
      </x:c>
      <x:c r="F1020" s="2" t="n">
        <x:v>5</x:v>
      </x:c>
      <x:c r="G1020" s="2" t="n">
        <x:v>10</x:v>
      </x:c>
      <x:c r="H1020" s="2" t="n">
        <x:f>G1020+Supuestos!$C$15</x:f>
        <x:v>11</x:v>
      </x:c>
      <x:c r="I1020" s="14" t="n">
        <x:f>E2_plantas!J26+G1020</x:f>
        <x:v>46198</x:v>
      </x:c>
      <x:c r="J1020" s="2" t="str">
        <x:v>adulta</x:v>
      </x:c>
      <x:c r="K1020" s="2" t="n">
        <x:v>1</x:v>
      </x:c>
      <x:c r="L1020" s="2" t="n">
        <x:v>6</x:v>
      </x:c>
      <x:c r="M1020" s="2" t="n">
        <x:f>SUM(L$1010:L1020)</x:f>
        <x:v>16</x:v>
      </x:c>
      <x:c r="N1020" s="2" t="n">
        <x:v>0</x:v>
      </x:c>
      <x:c r="O1020" s="2" t="str">
        <x:v>seguimiento</x:v>
      </x:c>
      <x:c r="P1020" s="2" t="n">
        <x:v>0</x:v>
      </x:c>
      <x:c r="Q1020" s="2" t="str">
        <x:v>simulado_didactico</x:v>
      </x:c>
    </x:row>
    <x:row r="1021" ht="19" customHeight="1">
      <x:c r="A1021" s="2" t="str">
        <x:v>SIM-E2-MP-L0-R05</x:v>
      </x:c>
      <x:c r="B1021" s="2" t="n">
        <x:v>3</x:v>
      </x:c>
      <x:c r="C1021" s="2" t="str">
        <x:v>MP</x:v>
      </x:c>
      <x:c r="D1021" s="2" t="str">
        <x:v>Myzus persicae</x:v>
      </x:c>
      <x:c r="E1021" s="2" t="str">
        <x:v>L0</x:v>
      </x:c>
      <x:c r="F1021" s="2" t="n">
        <x:v>5</x:v>
      </x:c>
      <x:c r="G1021" s="2" t="n">
        <x:v>11</x:v>
      </x:c>
      <x:c r="H1021" s="2" t="n">
        <x:f>G1021+Supuestos!$C$15</x:f>
        <x:v>12</x:v>
      </x:c>
      <x:c r="I1021" s="14" t="n">
        <x:f>E2_plantas!J26+G1021</x:f>
        <x:v>46199</x:v>
      </x:c>
      <x:c r="J1021" s="2" t="str">
        <x:v>adulta</x:v>
      </x:c>
      <x:c r="K1021" s="2" t="n">
        <x:v>1</x:v>
      </x:c>
      <x:c r="L1021" s="2" t="n">
        <x:v>5</x:v>
      </x:c>
      <x:c r="M1021" s="2" t="n">
        <x:f>SUM(L$1010:L1021)</x:f>
        <x:v>21</x:v>
      </x:c>
      <x:c r="N1021" s="2" t="n">
        <x:v>0</x:v>
      </x:c>
      <x:c r="O1021" s="2" t="str">
        <x:v>seguimiento</x:v>
      </x:c>
      <x:c r="P1021" s="2" t="n">
        <x:v>0</x:v>
      </x:c>
      <x:c r="Q1021" s="2" t="str">
        <x:v>simulado_didactico</x:v>
      </x:c>
    </x:row>
    <x:row r="1022" ht="19" customHeight="1">
      <x:c r="A1022" s="2" t="str">
        <x:v>SIM-E2-MP-L0-R05</x:v>
      </x:c>
      <x:c r="B1022" s="2" t="n">
        <x:v>3</x:v>
      </x:c>
      <x:c r="C1022" s="2" t="str">
        <x:v>MP</x:v>
      </x:c>
      <x:c r="D1022" s="2" t="str">
        <x:v>Myzus persicae</x:v>
      </x:c>
      <x:c r="E1022" s="2" t="str">
        <x:v>L0</x:v>
      </x:c>
      <x:c r="F1022" s="2" t="n">
        <x:v>5</x:v>
      </x:c>
      <x:c r="G1022" s="2" t="n">
        <x:v>12</x:v>
      </x:c>
      <x:c r="H1022" s="2" t="n">
        <x:f>G1022+Supuestos!$C$15</x:f>
        <x:v>13</x:v>
      </x:c>
      <x:c r="I1022" s="14" t="n">
        <x:f>E2_plantas!J26+G1022</x:f>
        <x:v>46200</x:v>
      </x:c>
      <x:c r="J1022" s="2" t="str">
        <x:v>adulta</x:v>
      </x:c>
      <x:c r="K1022" s="2" t="n">
        <x:v>1</x:v>
      </x:c>
      <x:c r="L1022" s="2" t="n">
        <x:v>4</x:v>
      </x:c>
      <x:c r="M1022" s="2" t="n">
        <x:f>SUM(L$1010:L1022)</x:f>
        <x:v>25</x:v>
      </x:c>
      <x:c r="N1022" s="2" t="n">
        <x:v>0</x:v>
      </x:c>
      <x:c r="O1022" s="2" t="str">
        <x:v>seguimiento</x:v>
      </x:c>
      <x:c r="P1022" s="2" t="n">
        <x:v>0</x:v>
      </x:c>
      <x:c r="Q1022" s="2" t="str">
        <x:v>simulado_didactico</x:v>
      </x:c>
    </x:row>
    <x:row r="1023" ht="19" customHeight="1">
      <x:c r="A1023" s="2" t="str">
        <x:v>SIM-E2-MP-L0-R05</x:v>
      </x:c>
      <x:c r="B1023" s="2" t="n">
        <x:v>3</x:v>
      </x:c>
      <x:c r="C1023" s="2" t="str">
        <x:v>MP</x:v>
      </x:c>
      <x:c r="D1023" s="2" t="str">
        <x:v>Myzus persicae</x:v>
      </x:c>
      <x:c r="E1023" s="2" t="str">
        <x:v>L0</x:v>
      </x:c>
      <x:c r="F1023" s="2" t="n">
        <x:v>5</x:v>
      </x:c>
      <x:c r="G1023" s="2" t="n">
        <x:v>13</x:v>
      </x:c>
      <x:c r="H1023" s="2" t="n">
        <x:f>G1023+Supuestos!$C$15</x:f>
        <x:v>14</x:v>
      </x:c>
      <x:c r="I1023" s="14" t="n">
        <x:f>E2_plantas!J26+G1023</x:f>
        <x:v>46201</x:v>
      </x:c>
      <x:c r="J1023" s="2" t="str">
        <x:v>adulta</x:v>
      </x:c>
      <x:c r="K1023" s="2" t="n">
        <x:v>1</x:v>
      </x:c>
      <x:c r="L1023" s="2" t="n">
        <x:v>3</x:v>
      </x:c>
      <x:c r="M1023" s="2" t="n">
        <x:f>SUM(L$1010:L1023)</x:f>
        <x:v>28</x:v>
      </x:c>
      <x:c r="N1023" s="2" t="n">
        <x:v>0</x:v>
      </x:c>
      <x:c r="O1023" s="2" t="str">
        <x:v>seguimiento</x:v>
      </x:c>
      <x:c r="P1023" s="2" t="n">
        <x:v>0</x:v>
      </x:c>
      <x:c r="Q1023" s="2" t="str">
        <x:v>simulado_didactico</x:v>
      </x:c>
    </x:row>
    <x:row r="1024" ht="19" customHeight="1">
      <x:c r="A1024" s="2" t="str">
        <x:v>SIM-E2-MP-L0-R05</x:v>
      </x:c>
      <x:c r="B1024" s="2" t="n">
        <x:v>3</x:v>
      </x:c>
      <x:c r="C1024" s="2" t="str">
        <x:v>MP</x:v>
      </x:c>
      <x:c r="D1024" s="2" t="str">
        <x:v>Myzus persicae</x:v>
      </x:c>
      <x:c r="E1024" s="2" t="str">
        <x:v>L0</x:v>
      </x:c>
      <x:c r="F1024" s="2" t="n">
        <x:v>5</x:v>
      </x:c>
      <x:c r="G1024" s="2" t="n">
        <x:v>14</x:v>
      </x:c>
      <x:c r="H1024" s="2" t="n">
        <x:f>G1024+Supuestos!$C$15</x:f>
        <x:v>15</x:v>
      </x:c>
      <x:c r="I1024" s="14" t="n">
        <x:f>E2_plantas!J26+G1024</x:f>
        <x:v>46202</x:v>
      </x:c>
      <x:c r="J1024" s="2" t="str">
        <x:v>adulta</x:v>
      </x:c>
      <x:c r="K1024" s="2" t="n">
        <x:v>1</x:v>
      </x:c>
      <x:c r="L1024" s="2" t="n">
        <x:v>7</x:v>
      </x:c>
      <x:c r="M1024" s="2" t="n">
        <x:f>SUM(L$1010:L1024)</x:f>
        <x:v>35</x:v>
      </x:c>
      <x:c r="N1024" s="2" t="n">
        <x:v>0</x:v>
      </x:c>
      <x:c r="O1024" s="2" t="str">
        <x:v>seguimiento</x:v>
      </x:c>
      <x:c r="P1024" s="2" t="n">
        <x:v>0</x:v>
      </x:c>
      <x:c r="Q1024" s="2" t="str">
        <x:v>simulado_didactico</x:v>
      </x:c>
    </x:row>
    <x:row r="1025" ht="19" customHeight="1">
      <x:c r="A1025" s="2" t="str">
        <x:v>SIM-E2-MP-L0-R05</x:v>
      </x:c>
      <x:c r="B1025" s="2" t="n">
        <x:v>3</x:v>
      </x:c>
      <x:c r="C1025" s="2" t="str">
        <x:v>MP</x:v>
      </x:c>
      <x:c r="D1025" s="2" t="str">
        <x:v>Myzus persicae</x:v>
      </x:c>
      <x:c r="E1025" s="2" t="str">
        <x:v>L0</x:v>
      </x:c>
      <x:c r="F1025" s="2" t="n">
        <x:v>5</x:v>
      </x:c>
      <x:c r="G1025" s="2" t="n">
        <x:v>15</x:v>
      </x:c>
      <x:c r="H1025" s="2" t="n">
        <x:f>G1025+Supuestos!$C$15</x:f>
        <x:v>16</x:v>
      </x:c>
      <x:c r="I1025" s="14" t="n">
        <x:f>E2_plantas!J26+G1025</x:f>
        <x:v>46203</x:v>
      </x:c>
      <x:c r="J1025" s="2" t="str">
        <x:v>adulta</x:v>
      </x:c>
      <x:c r="K1025" s="2" t="n">
        <x:v>1</x:v>
      </x:c>
      <x:c r="L1025" s="2" t="n">
        <x:v>3</x:v>
      </x:c>
      <x:c r="M1025" s="2" t="n">
        <x:f>SUM(L$1010:L1025)</x:f>
        <x:v>38</x:v>
      </x:c>
      <x:c r="N1025" s="2" t="n">
        <x:v>0</x:v>
      </x:c>
      <x:c r="O1025" s="2" t="str">
        <x:v>seguimiento</x:v>
      </x:c>
      <x:c r="P1025" s="2" t="n">
        <x:v>0</x:v>
      </x:c>
      <x:c r="Q1025" s="2" t="str">
        <x:v>simulado_didactico</x:v>
      </x:c>
    </x:row>
    <x:row r="1026" ht="19" customHeight="1">
      <x:c r="A1026" s="2" t="str">
        <x:v>SIM-E2-MP-L0-R05</x:v>
      </x:c>
      <x:c r="B1026" s="2" t="n">
        <x:v>3</x:v>
      </x:c>
      <x:c r="C1026" s="2" t="str">
        <x:v>MP</x:v>
      </x:c>
      <x:c r="D1026" s="2" t="str">
        <x:v>Myzus persicae</x:v>
      </x:c>
      <x:c r="E1026" s="2" t="str">
        <x:v>L0</x:v>
      </x:c>
      <x:c r="F1026" s="2" t="n">
        <x:v>5</x:v>
      </x:c>
      <x:c r="G1026" s="2" t="n">
        <x:v>16</x:v>
      </x:c>
      <x:c r="H1026" s="2" t="n">
        <x:f>G1026+Supuestos!$C$15</x:f>
        <x:v>17</x:v>
      </x:c>
      <x:c r="I1026" s="14" t="n">
        <x:f>E2_plantas!J26+G1026</x:f>
        <x:v>46204</x:v>
      </x:c>
      <x:c r="J1026" s="2" t="str">
        <x:v>adulta</x:v>
      </x:c>
      <x:c r="K1026" s="2" t="n">
        <x:v>1</x:v>
      </x:c>
      <x:c r="L1026" s="2" t="n">
        <x:v>2</x:v>
      </x:c>
      <x:c r="M1026" s="2" t="n">
        <x:f>SUM(L$1010:L1026)</x:f>
        <x:v>40</x:v>
      </x:c>
      <x:c r="N1026" s="2" t="n">
        <x:v>0</x:v>
      </x:c>
      <x:c r="O1026" s="2" t="str">
        <x:v>seguimiento</x:v>
      </x:c>
      <x:c r="P1026" s="2" t="n">
        <x:v>0</x:v>
      </x:c>
      <x:c r="Q1026" s="2" t="str">
        <x:v>simulado_didactico</x:v>
      </x:c>
    </x:row>
    <x:row r="1027" ht="19" customHeight="1">
      <x:c r="A1027" s="2" t="str">
        <x:v>SIM-E2-MP-L0-R05</x:v>
      </x:c>
      <x:c r="B1027" s="2" t="n">
        <x:v>3</x:v>
      </x:c>
      <x:c r="C1027" s="2" t="str">
        <x:v>MP</x:v>
      </x:c>
      <x:c r="D1027" s="2" t="str">
        <x:v>Myzus persicae</x:v>
      </x:c>
      <x:c r="E1027" s="2" t="str">
        <x:v>L0</x:v>
      </x:c>
      <x:c r="F1027" s="2" t="n">
        <x:v>5</x:v>
      </x:c>
      <x:c r="G1027" s="2" t="n">
        <x:v>17</x:v>
      </x:c>
      <x:c r="H1027" s="2" t="n">
        <x:f>G1027+Supuestos!$C$15</x:f>
        <x:v>18</x:v>
      </x:c>
      <x:c r="I1027" s="14" t="n">
        <x:f>E2_plantas!J26+G1027</x:f>
        <x:v>46205</x:v>
      </x:c>
      <x:c r="J1027" s="2" t="str">
        <x:v>adulta</x:v>
      </x:c>
      <x:c r="K1027" s="2" t="n">
        <x:v>1</x:v>
      </x:c>
      <x:c r="L1027" s="2" t="n">
        <x:v>2</x:v>
      </x:c>
      <x:c r="M1027" s="2" t="n">
        <x:f>SUM(L$1010:L1027)</x:f>
        <x:v>42</x:v>
      </x:c>
      <x:c r="N1027" s="2" t="n">
        <x:v>0</x:v>
      </x:c>
      <x:c r="O1027" s="2" t="str">
        <x:v>seguimiento</x:v>
      </x:c>
      <x:c r="P1027" s="2" t="n">
        <x:v>0</x:v>
      </x:c>
      <x:c r="Q1027" s="2" t="str">
        <x:v>simulado_didactico</x:v>
      </x:c>
    </x:row>
    <x:row r="1028" ht="19" customHeight="1">
      <x:c r="A1028" s="2" t="str">
        <x:v>SIM-E2-MP-L0-R05</x:v>
      </x:c>
      <x:c r="B1028" s="2" t="n">
        <x:v>3</x:v>
      </x:c>
      <x:c r="C1028" s="2" t="str">
        <x:v>MP</x:v>
      </x:c>
      <x:c r="D1028" s="2" t="str">
        <x:v>Myzus persicae</x:v>
      </x:c>
      <x:c r="E1028" s="2" t="str">
        <x:v>L0</x:v>
      </x:c>
      <x:c r="F1028" s="2" t="n">
        <x:v>5</x:v>
      </x:c>
      <x:c r="G1028" s="2" t="n">
        <x:v>18</x:v>
      </x:c>
      <x:c r="H1028" s="2" t="n">
        <x:f>G1028+Supuestos!$C$15</x:f>
        <x:v>19</x:v>
      </x:c>
      <x:c r="I1028" s="14" t="n">
        <x:f>E2_plantas!J26+G1028</x:f>
        <x:v>46206</x:v>
      </x:c>
      <x:c r="J1028" s="2" t="str">
        <x:v>adulta</x:v>
      </x:c>
      <x:c r="K1028" s="2" t="n">
        <x:v>1</x:v>
      </x:c>
      <x:c r="L1028" s="2" t="n">
        <x:v>3</x:v>
      </x:c>
      <x:c r="M1028" s="2" t="n">
        <x:f>SUM(L$1010:L1028)</x:f>
        <x:v>45</x:v>
      </x:c>
      <x:c r="N1028" s="2" t="n">
        <x:v>0</x:v>
      </x:c>
      <x:c r="O1028" s="2" t="str">
        <x:v>seguimiento</x:v>
      </x:c>
      <x:c r="P1028" s="2" t="n">
        <x:v>0</x:v>
      </x:c>
      <x:c r="Q1028" s="2" t="str">
        <x:v>simulado_didactico</x:v>
      </x:c>
    </x:row>
    <x:row r="1029" ht="19" customHeight="1">
      <x:c r="A1029" s="2" t="str">
        <x:v>SIM-E2-MP-L0-R05</x:v>
      </x:c>
      <x:c r="B1029" s="2" t="n">
        <x:v>3</x:v>
      </x:c>
      <x:c r="C1029" s="2" t="str">
        <x:v>MP</x:v>
      </x:c>
      <x:c r="D1029" s="2" t="str">
        <x:v>Myzus persicae</x:v>
      </x:c>
      <x:c r="E1029" s="2" t="str">
        <x:v>L0</x:v>
      </x:c>
      <x:c r="F1029" s="2" t="n">
        <x:v>5</x:v>
      </x:c>
      <x:c r="G1029" s="2" t="n">
        <x:v>19</x:v>
      </x:c>
      <x:c r="H1029" s="2" t="n">
        <x:f>G1029+Supuestos!$C$15</x:f>
        <x:v>20</x:v>
      </x:c>
      <x:c r="I1029" s="14" t="n">
        <x:f>E2_plantas!J26+G1029</x:f>
        <x:v>46207</x:v>
      </x:c>
      <x:c r="J1029" s="2" t="str">
        <x:v>adulta</x:v>
      </x:c>
      <x:c r="K1029" s="2" t="n">
        <x:v>1</x:v>
      </x:c>
      <x:c r="L1029" s="2" t="n">
        <x:v>1</x:v>
      </x:c>
      <x:c r="M1029" s="2" t="n">
        <x:f>SUM(L$1010:L1029)</x:f>
        <x:v>46</x:v>
      </x:c>
      <x:c r="N1029" s="2" t="n">
        <x:v>0</x:v>
      </x:c>
      <x:c r="O1029" s="2" t="str">
        <x:v>seguimiento</x:v>
      </x:c>
      <x:c r="P1029" s="2" t="n">
        <x:v>0</x:v>
      </x:c>
      <x:c r="Q1029" s="2" t="str">
        <x:v>simulado_didactico</x:v>
      </x:c>
    </x:row>
    <x:row r="1030" ht="19" customHeight="1">
      <x:c r="A1030" s="2" t="str">
        <x:v>SIM-E2-MP-L0-R05</x:v>
      </x:c>
      <x:c r="B1030" s="2" t="n">
        <x:v>3</x:v>
      </x:c>
      <x:c r="C1030" s="2" t="str">
        <x:v>MP</x:v>
      </x:c>
      <x:c r="D1030" s="2" t="str">
        <x:v>Myzus persicae</x:v>
      </x:c>
      <x:c r="E1030" s="2" t="str">
        <x:v>L0</x:v>
      </x:c>
      <x:c r="F1030" s="2" t="n">
        <x:v>5</x:v>
      </x:c>
      <x:c r="G1030" s="2" t="n">
        <x:v>20</x:v>
      </x:c>
      <x:c r="H1030" s="2" t="n">
        <x:f>G1030+Supuestos!$C$15</x:f>
        <x:v>21</x:v>
      </x:c>
      <x:c r="I1030" s="14" t="n">
        <x:f>E2_plantas!J26+G1030</x:f>
        <x:v>46208</x:v>
      </x:c>
      <x:c r="J1030" s="2" t="str">
        <x:v>adulta</x:v>
      </x:c>
      <x:c r="K1030" s="2" t="n">
        <x:v>1</x:v>
      </x:c>
      <x:c r="L1030" s="2" t="n">
        <x:v>0</x:v>
      </x:c>
      <x:c r="M1030" s="2" t="n">
        <x:f>SUM(L$1010:L1030)</x:f>
        <x:v>46</x:v>
      </x:c>
      <x:c r="N1030" s="2" t="n">
        <x:v>0</x:v>
      </x:c>
      <x:c r="O1030" s="2" t="str">
        <x:v>seguimiento</x:v>
      </x:c>
      <x:c r="P1030" s="2" t="n">
        <x:v>0</x:v>
      </x:c>
      <x:c r="Q1030" s="2" t="str">
        <x:v>simulado_didactico</x:v>
      </x:c>
    </x:row>
    <x:row r="1031" ht="19" customHeight="1">
      <x:c r="A1031" s="2" t="str">
        <x:v>SIM-E2-MP-L0-R05</x:v>
      </x:c>
      <x:c r="B1031" s="2" t="n">
        <x:v>3</x:v>
      </x:c>
      <x:c r="C1031" s="2" t="str">
        <x:v>MP</x:v>
      </x:c>
      <x:c r="D1031" s="2" t="str">
        <x:v>Myzus persicae</x:v>
      </x:c>
      <x:c r="E1031" s="2" t="str">
        <x:v>L0</x:v>
      </x:c>
      <x:c r="F1031" s="2" t="n">
        <x:v>5</x:v>
      </x:c>
      <x:c r="G1031" s="2" t="n">
        <x:v>21</x:v>
      </x:c>
      <x:c r="H1031" s="2" t="n">
        <x:f>G1031+Supuestos!$C$15</x:f>
        <x:v>22</x:v>
      </x:c>
      <x:c r="I1031" s="14" t="n">
        <x:f>E2_plantas!J26+G1031</x:f>
        <x:v>46209</x:v>
      </x:c>
      <x:c r="J1031" s="2" t="str">
        <x:v>adulta</x:v>
      </x:c>
      <x:c r="K1031" s="2" t="n">
        <x:v>1</x:v>
      </x:c>
      <x:c r="L1031" s="2" t="n">
        <x:v>6</x:v>
      </x:c>
      <x:c r="M1031" s="2" t="n">
        <x:f>SUM(L$1010:L1031)</x:f>
        <x:v>52</x:v>
      </x:c>
      <x:c r="N1031" s="2" t="n">
        <x:v>0</x:v>
      </x:c>
      <x:c r="O1031" s="2" t="str">
        <x:v>seguimiento</x:v>
      </x:c>
      <x:c r="P1031" s="2" t="n">
        <x:v>0</x:v>
      </x:c>
      <x:c r="Q1031" s="2" t="str">
        <x:v>simulado_didactico</x:v>
      </x:c>
    </x:row>
    <x:row r="1032" ht="19" customHeight="1">
      <x:c r="A1032" s="2" t="str">
        <x:v>SIM-E2-MP-L0-R05</x:v>
      </x:c>
      <x:c r="B1032" s="2" t="n">
        <x:v>3</x:v>
      </x:c>
      <x:c r="C1032" s="2" t="str">
        <x:v>MP</x:v>
      </x:c>
      <x:c r="D1032" s="2" t="str">
        <x:v>Myzus persicae</x:v>
      </x:c>
      <x:c r="E1032" s="2" t="str">
        <x:v>L0</x:v>
      </x:c>
      <x:c r="F1032" s="2" t="n">
        <x:v>5</x:v>
      </x:c>
      <x:c r="G1032" s="2" t="n">
        <x:v>22</x:v>
      </x:c>
      <x:c r="H1032" s="2" t="n">
        <x:f>G1032+Supuestos!$C$15</x:f>
        <x:v>23</x:v>
      </x:c>
      <x:c r="I1032" s="14" t="n">
        <x:f>E2_plantas!J26+G1032</x:f>
        <x:v>46210</x:v>
      </x:c>
      <x:c r="J1032" s="2" t="str">
        <x:v>adulta</x:v>
      </x:c>
      <x:c r="K1032" s="2" t="n">
        <x:v>1</x:v>
      </x:c>
      <x:c r="L1032" s="2" t="n">
        <x:v>2</x:v>
      </x:c>
      <x:c r="M1032" s="2" t="n">
        <x:f>SUM(L$1010:L1032)</x:f>
        <x:v>54</x:v>
      </x:c>
      <x:c r="N1032" s="2" t="n">
        <x:v>0</x:v>
      </x:c>
      <x:c r="O1032" s="2" t="str">
        <x:v>seguimiento</x:v>
      </x:c>
      <x:c r="P1032" s="2" t="n">
        <x:v>0</x:v>
      </x:c>
      <x:c r="Q1032" s="2" t="str">
        <x:v>simulado_didactico</x:v>
      </x:c>
    </x:row>
    <x:row r="1033" ht="19" customHeight="1">
      <x:c r="A1033" s="2" t="str">
        <x:v>SIM-E2-MP-L0-R05</x:v>
      </x:c>
      <x:c r="B1033" s="2" t="n">
        <x:v>3</x:v>
      </x:c>
      <x:c r="C1033" s="2" t="str">
        <x:v>MP</x:v>
      </x:c>
      <x:c r="D1033" s="2" t="str">
        <x:v>Myzus persicae</x:v>
      </x:c>
      <x:c r="E1033" s="2" t="str">
        <x:v>L0</x:v>
      </x:c>
      <x:c r="F1033" s="2" t="n">
        <x:v>5</x:v>
      </x:c>
      <x:c r="G1033" s="2" t="n">
        <x:v>23</x:v>
      </x:c>
      <x:c r="H1033" s="2" t="n">
        <x:f>G1033+Supuestos!$C$15</x:f>
        <x:v>24</x:v>
      </x:c>
      <x:c r="I1033" s="14" t="n">
        <x:f>E2_plantas!J26+G1033</x:f>
        <x:v>46211</x:v>
      </x:c>
      <x:c r="J1033" s="2" t="str">
        <x:v>adulta</x:v>
      </x:c>
      <x:c r="K1033" s="2" t="n">
        <x:v>1</x:v>
      </x:c>
      <x:c r="L1033" s="2" t="n">
        <x:v>2</x:v>
      </x:c>
      <x:c r="M1033" s="2" t="n">
        <x:f>SUM(L$1010:L1033)</x:f>
        <x:v>56</x:v>
      </x:c>
      <x:c r="N1033" s="2" t="n">
        <x:v>0</x:v>
      </x:c>
      <x:c r="O1033" s="2" t="str">
        <x:v>seguimiento</x:v>
      </x:c>
      <x:c r="P1033" s="2" t="n">
        <x:v>0</x:v>
      </x:c>
      <x:c r="Q1033" s="2" t="str">
        <x:v>simulado_didactico</x:v>
      </x:c>
    </x:row>
    <x:row r="1034" ht="19" customHeight="1">
      <x:c r="A1034" s="2" t="str">
        <x:v>SIM-E2-MP-L0-R05</x:v>
      </x:c>
      <x:c r="B1034" s="2" t="n">
        <x:v>3</x:v>
      </x:c>
      <x:c r="C1034" s="2" t="str">
        <x:v>MP</x:v>
      </x:c>
      <x:c r="D1034" s="2" t="str">
        <x:v>Myzus persicae</x:v>
      </x:c>
      <x:c r="E1034" s="2" t="str">
        <x:v>L0</x:v>
      </x:c>
      <x:c r="F1034" s="2" t="n">
        <x:v>5</x:v>
      </x:c>
      <x:c r="G1034" s="2" t="n">
        <x:v>24</x:v>
      </x:c>
      <x:c r="H1034" s="2" t="n">
        <x:f>G1034+Supuestos!$C$15</x:f>
        <x:v>25</x:v>
      </x:c>
      <x:c r="I1034" s="14" t="n">
        <x:f>E2_plantas!J26+G1034</x:f>
        <x:v>46212</x:v>
      </x:c>
      <x:c r="J1034" s="2" t="str">
        <x:v>adulta</x:v>
      </x:c>
      <x:c r="K1034" s="2" t="n">
        <x:v>1</x:v>
      </x:c>
      <x:c r="L1034" s="2" t="n">
        <x:v>2</x:v>
      </x:c>
      <x:c r="M1034" s="2" t="n">
        <x:f>SUM(L$1010:L1034)</x:f>
        <x:v>58</x:v>
      </x:c>
      <x:c r="N1034" s="2" t="n">
        <x:v>0</x:v>
      </x:c>
      <x:c r="O1034" s="2" t="str">
        <x:v>seguimiento</x:v>
      </x:c>
      <x:c r="P1034" s="2" t="n">
        <x:v>0</x:v>
      </x:c>
      <x:c r="Q1034" s="2" t="str">
        <x:v>simulado_didactico</x:v>
      </x:c>
    </x:row>
    <x:row r="1035" ht="19" customHeight="1">
      <x:c r="A1035" s="2" t="str">
        <x:v>SIM-E2-MP-L0-R05</x:v>
      </x:c>
      <x:c r="B1035" s="2" t="n">
        <x:v>3</x:v>
      </x:c>
      <x:c r="C1035" s="2" t="str">
        <x:v>MP</x:v>
      </x:c>
      <x:c r="D1035" s="2" t="str">
        <x:v>Myzus persicae</x:v>
      </x:c>
      <x:c r="E1035" s="2" t="str">
        <x:v>L0</x:v>
      </x:c>
      <x:c r="F1035" s="2" t="n">
        <x:v>5</x:v>
      </x:c>
      <x:c r="G1035" s="2" t="n">
        <x:v>25</x:v>
      </x:c>
      <x:c r="H1035" s="2" t="n">
        <x:f>G1035+Supuestos!$C$15</x:f>
        <x:v>26</x:v>
      </x:c>
      <x:c r="I1035" s="14" t="n">
        <x:f>E2_plantas!J26+G1035</x:f>
        <x:v>46213</x:v>
      </x:c>
      <x:c r="J1035" s="2" t="str">
        <x:v>adulta</x:v>
      </x:c>
      <x:c r="K1035" s="2" t="n">
        <x:v>1</x:v>
      </x:c>
      <x:c r="L1035" s="2" t="n">
        <x:v>4</x:v>
      </x:c>
      <x:c r="M1035" s="2" t="n">
        <x:f>SUM(L$1010:L1035)</x:f>
        <x:v>62</x:v>
      </x:c>
      <x:c r="N1035" s="2" t="n">
        <x:v>0</x:v>
      </x:c>
      <x:c r="O1035" s="2" t="str">
        <x:v>seguimiento</x:v>
      </x:c>
      <x:c r="P1035" s="2" t="n">
        <x:v>0</x:v>
      </x:c>
      <x:c r="Q1035" s="2" t="str">
        <x:v>simulado_didactico</x:v>
      </x:c>
    </x:row>
    <x:row r="1036" ht="19" customHeight="1">
      <x:c r="A1036" s="2" t="str">
        <x:v>SIM-E2-MP-L0-R05</x:v>
      </x:c>
      <x:c r="B1036" s="2" t="n">
        <x:v>3</x:v>
      </x:c>
      <x:c r="C1036" s="2" t="str">
        <x:v>MP</x:v>
      </x:c>
      <x:c r="D1036" s="2" t="str">
        <x:v>Myzus persicae</x:v>
      </x:c>
      <x:c r="E1036" s="2" t="str">
        <x:v>L0</x:v>
      </x:c>
      <x:c r="F1036" s="2" t="n">
        <x:v>5</x:v>
      </x:c>
      <x:c r="G1036" s="2" t="n">
        <x:v>26</x:v>
      </x:c>
      <x:c r="H1036" s="2" t="n">
        <x:f>G1036+Supuestos!$C$15</x:f>
        <x:v>27</x:v>
      </x:c>
      <x:c r="I1036" s="14" t="n">
        <x:f>E2_plantas!J26+G1036</x:f>
        <x:v>46214</x:v>
      </x:c>
      <x:c r="J1036" s="2" t="str">
        <x:v>adulta</x:v>
      </x:c>
      <x:c r="K1036" s="2" t="n">
        <x:v>1</x:v>
      </x:c>
      <x:c r="L1036" s="2" t="n">
        <x:v>0</x:v>
      </x:c>
      <x:c r="M1036" s="2" t="n">
        <x:f>SUM(L$1010:L1036)</x:f>
        <x:v>62</x:v>
      </x:c>
      <x:c r="N1036" s="2" t="n">
        <x:v>0</x:v>
      </x:c>
      <x:c r="O1036" s="2" t="str">
        <x:v>seguimiento</x:v>
      </x:c>
      <x:c r="P1036" s="2" t="n">
        <x:v>0</x:v>
      </x:c>
      <x:c r="Q1036" s="2" t="str">
        <x:v>simulado_didactico</x:v>
      </x:c>
    </x:row>
    <x:row r="1037" ht="19" customHeight="1">
      <x:c r="A1037" s="2" t="str">
        <x:v>SIM-E2-MP-L0-R05</x:v>
      </x:c>
      <x:c r="B1037" s="2" t="n">
        <x:v>3</x:v>
      </x:c>
      <x:c r="C1037" s="2" t="str">
        <x:v>MP</x:v>
      </x:c>
      <x:c r="D1037" s="2" t="str">
        <x:v>Myzus persicae</x:v>
      </x:c>
      <x:c r="E1037" s="2" t="str">
        <x:v>L0</x:v>
      </x:c>
      <x:c r="F1037" s="2" t="n">
        <x:v>5</x:v>
      </x:c>
      <x:c r="G1037" s="2" t="n">
        <x:v>27</x:v>
      </x:c>
      <x:c r="H1037" s="2" t="n">
        <x:f>G1037+Supuestos!$C$15</x:f>
        <x:v>28</x:v>
      </x:c>
      <x:c r="I1037" s="14" t="n">
        <x:f>E2_plantas!J26+G1037</x:f>
        <x:v>46215</x:v>
      </x:c>
      <x:c r="J1037" s="2" t="str">
        <x:v>adulta</x:v>
      </x:c>
      <x:c r="K1037" s="2" t="n">
        <x:v>1</x:v>
      </x:c>
      <x:c r="L1037" s="2" t="n">
        <x:v>0</x:v>
      </x:c>
      <x:c r="M1037" s="2" t="n">
        <x:f>SUM(L$1010:L1037)</x:f>
        <x:v>62</x:v>
      </x:c>
      <x:c r="N1037" s="2" t="n">
        <x:v>0</x:v>
      </x:c>
      <x:c r="O1037" s="2" t="str">
        <x:v>seguimiento</x:v>
      </x:c>
      <x:c r="P1037" s="2" t="n">
        <x:v>0</x:v>
      </x:c>
      <x:c r="Q1037" s="2" t="str">
        <x:v>simulado_didactico</x:v>
      </x:c>
    </x:row>
    <x:row r="1038" ht="19" customHeight="1">
      <x:c r="A1038" s="2" t="str">
        <x:v>SIM-E2-MP-L0-R05</x:v>
      </x:c>
      <x:c r="B1038" s="2" t="n">
        <x:v>3</x:v>
      </x:c>
      <x:c r="C1038" s="2" t="str">
        <x:v>MP</x:v>
      </x:c>
      <x:c r="D1038" s="2" t="str">
        <x:v>Myzus persicae</x:v>
      </x:c>
      <x:c r="E1038" s="2" t="str">
        <x:v>L0</x:v>
      </x:c>
      <x:c r="F1038" s="2" t="n">
        <x:v>5</x:v>
      </x:c>
      <x:c r="G1038" s="2" t="n">
        <x:v>28</x:v>
      </x:c>
      <x:c r="H1038" s="2" t="n">
        <x:f>G1038+Supuestos!$C$15</x:f>
        <x:v>29</x:v>
      </x:c>
      <x:c r="I1038" s="14" t="n">
        <x:f>E2_plantas!J26+G1038</x:f>
        <x:v>46216</x:v>
      </x:c>
      <x:c r="J1038" s="2" t="str">
        <x:v>adulta</x:v>
      </x:c>
      <x:c r="K1038" s="2" t="n">
        <x:v>1</x:v>
      </x:c>
      <x:c r="L1038" s="2" t="n">
        <x:v>2</x:v>
      </x:c>
      <x:c r="M1038" s="2" t="n">
        <x:f>SUM(L$1010:L1038)</x:f>
        <x:v>64</x:v>
      </x:c>
      <x:c r="N1038" s="2" t="n">
        <x:v>0</x:v>
      </x:c>
      <x:c r="O1038" s="2" t="str">
        <x:v>seguimiento</x:v>
      </x:c>
      <x:c r="P1038" s="2" t="n">
        <x:v>0</x:v>
      </x:c>
      <x:c r="Q1038" s="2" t="str">
        <x:v>simulado_didactico</x:v>
      </x:c>
    </x:row>
    <x:row r="1039" ht="19" customHeight="1">
      <x:c r="A1039" s="2" t="str">
        <x:v>SIM-E2-MP-L0-R05</x:v>
      </x:c>
      <x:c r="B1039" s="2" t="n">
        <x:v>3</x:v>
      </x:c>
      <x:c r="C1039" s="2" t="str">
        <x:v>MP</x:v>
      </x:c>
      <x:c r="D1039" s="2" t="str">
        <x:v>Myzus persicae</x:v>
      </x:c>
      <x:c r="E1039" s="2" t="str">
        <x:v>L0</x:v>
      </x:c>
      <x:c r="F1039" s="2" t="n">
        <x:v>5</x:v>
      </x:c>
      <x:c r="G1039" s="2" t="n">
        <x:v>29</x:v>
      </x:c>
      <x:c r="H1039" s="2" t="n">
        <x:f>G1039+Supuestos!$C$15</x:f>
        <x:v>30</x:v>
      </x:c>
      <x:c r="I1039" s="14" t="n">
        <x:f>E2_plantas!J26+G1039</x:f>
        <x:v>46217</x:v>
      </x:c>
      <x:c r="J1039" s="2" t="str">
        <x:v>adulta</x:v>
      </x:c>
      <x:c r="K1039" s="2" t="n">
        <x:v>1</x:v>
      </x:c>
      <x:c r="L1039" s="2" t="n">
        <x:v>1</x:v>
      </x:c>
      <x:c r="M1039" s="2" t="n">
        <x:f>SUM(L$1010:L1039)</x:f>
        <x:v>65</x:v>
      </x:c>
      <x:c r="N1039" s="2" t="n">
        <x:v>0</x:v>
      </x:c>
      <x:c r="O1039" s="2" t="str">
        <x:v>seguimiento</x:v>
      </x:c>
      <x:c r="P1039" s="2" t="n">
        <x:v>0</x:v>
      </x:c>
      <x:c r="Q1039" s="2" t="str">
        <x:v>simulado_didactico</x:v>
      </x:c>
    </x:row>
    <x:row r="1040" ht="19" customHeight="1">
      <x:c r="A1040" s="2" t="str">
        <x:v>SIM-E2-MP-L0-R05</x:v>
      </x:c>
      <x:c r="B1040" s="2" t="n">
        <x:v>3</x:v>
      </x:c>
      <x:c r="C1040" s="2" t="str">
        <x:v>MP</x:v>
      </x:c>
      <x:c r="D1040" s="2" t="str">
        <x:v>Myzus persicae</x:v>
      </x:c>
      <x:c r="E1040" s="2" t="str">
        <x:v>L0</x:v>
      </x:c>
      <x:c r="F1040" s="2" t="n">
        <x:v>5</x:v>
      </x:c>
      <x:c r="G1040" s="2" t="n">
        <x:v>30</x:v>
      </x:c>
      <x:c r="H1040" s="2" t="n">
        <x:f>G1040+Supuestos!$C$15</x:f>
        <x:v>31</x:v>
      </x:c>
      <x:c r="I1040" s="14" t="n">
        <x:f>E2_plantas!J26+G1040</x:f>
        <x:v>46218</x:v>
      </x:c>
      <x:c r="J1040" s="2" t="str">
        <x:v>adulta</x:v>
      </x:c>
      <x:c r="K1040" s="2" t="n">
        <x:v>1</x:v>
      </x:c>
      <x:c r="L1040" s="2" t="n">
        <x:v>0</x:v>
      </x:c>
      <x:c r="M1040" s="2" t="n">
        <x:f>SUM(L$1010:L1040)</x:f>
        <x:v>65</x:v>
      </x:c>
      <x:c r="N1040" s="2" t="n">
        <x:v>0</x:v>
      </x:c>
      <x:c r="O1040" s="2" t="str">
        <x:v>seguimiento</x:v>
      </x:c>
      <x:c r="P1040" s="2" t="n">
        <x:v>0</x:v>
      </x:c>
      <x:c r="Q1040" s="2" t="str">
        <x:v>simulado_didactico</x:v>
      </x:c>
    </x:row>
    <x:row r="1041" ht="19" customHeight="1">
      <x:c r="A1041" s="2" t="str">
        <x:v>SIM-E2-MP-L0-R05</x:v>
      </x:c>
      <x:c r="B1041" s="2" t="n">
        <x:v>3</x:v>
      </x:c>
      <x:c r="C1041" s="2" t="str">
        <x:v>MP</x:v>
      </x:c>
      <x:c r="D1041" s="2" t="str">
        <x:v>Myzus persicae</x:v>
      </x:c>
      <x:c r="E1041" s="2" t="str">
        <x:v>L0</x:v>
      </x:c>
      <x:c r="F1041" s="2" t="n">
        <x:v>5</x:v>
      </x:c>
      <x:c r="G1041" s="2" t="n">
        <x:v>31</x:v>
      </x:c>
      <x:c r="H1041" s="2" t="n">
        <x:f>G1041+Supuestos!$C$15</x:f>
        <x:v>32</x:v>
      </x:c>
      <x:c r="I1041" s="14" t="n">
        <x:f>E2_plantas!J26+G1041</x:f>
        <x:v>46219</x:v>
      </x:c>
      <x:c r="J1041" s="2" t="str">
        <x:v>adulta</x:v>
      </x:c>
      <x:c r="K1041" s="2" t="n">
        <x:v>1</x:v>
      </x:c>
      <x:c r="L1041" s="2" t="n">
        <x:v>0</x:v>
      </x:c>
      <x:c r="M1041" s="2" t="n">
        <x:f>SUM(L$1010:L1041)</x:f>
        <x:v>65</x:v>
      </x:c>
      <x:c r="N1041" s="2" t="n">
        <x:v>0</x:v>
      </x:c>
      <x:c r="O1041" s="2" t="str">
        <x:v>seguimiento</x:v>
      </x:c>
      <x:c r="P1041" s="2" t="n">
        <x:v>0</x:v>
      </x:c>
      <x:c r="Q1041" s="2" t="str">
        <x:v>simulado_didactico</x:v>
      </x:c>
    </x:row>
    <x:row r="1042" ht="19" customHeight="1">
      <x:c r="A1042" s="2" t="str">
        <x:v>SIM-E2-MP-L0-R05</x:v>
      </x:c>
      <x:c r="B1042" s="2" t="n">
        <x:v>3</x:v>
      </x:c>
      <x:c r="C1042" s="2" t="str">
        <x:v>MP</x:v>
      </x:c>
      <x:c r="D1042" s="2" t="str">
        <x:v>Myzus persicae</x:v>
      </x:c>
      <x:c r="E1042" s="2" t="str">
        <x:v>L0</x:v>
      </x:c>
      <x:c r="F1042" s="2" t="n">
        <x:v>5</x:v>
      </x:c>
      <x:c r="G1042" s="2" t="n">
        <x:v>32</x:v>
      </x:c>
      <x:c r="H1042" s="2" t="n">
        <x:f>G1042+Supuestos!$C$15</x:f>
        <x:v>33</x:v>
      </x:c>
      <x:c r="I1042" s="14" t="n">
        <x:f>E2_plantas!J26+G1042</x:f>
        <x:v>46220</x:v>
      </x:c>
      <x:c r="J1042" s="2" t="str">
        <x:v>adulta</x:v>
      </x:c>
      <x:c r="K1042" s="2" t="n">
        <x:v>1</x:v>
      </x:c>
      <x:c r="L1042" s="2" t="n">
        <x:v>0</x:v>
      </x:c>
      <x:c r="M1042" s="2" t="n">
        <x:f>SUM(L$1010:L1042)</x:f>
        <x:v>65</x:v>
      </x:c>
      <x:c r="N1042" s="2" t="n">
        <x:v>0</x:v>
      </x:c>
      <x:c r="O1042" s="2" t="str">
        <x:v>seguimiento</x:v>
      </x:c>
      <x:c r="P1042" s="2" t="n">
        <x:v>0</x:v>
      </x:c>
      <x:c r="Q1042" s="2" t="str">
        <x:v>simulado_didactico</x:v>
      </x:c>
    </x:row>
    <x:row r="1043" ht="19" customHeight="1">
      <x:c r="A1043" s="2" t="str">
        <x:v>SIM-E2-MP-L0-R05</x:v>
      </x:c>
      <x:c r="B1043" s="2" t="n">
        <x:v>3</x:v>
      </x:c>
      <x:c r="C1043" s="2" t="str">
        <x:v>MP</x:v>
      </x:c>
      <x:c r="D1043" s="2" t="str">
        <x:v>Myzus persicae</x:v>
      </x:c>
      <x:c r="E1043" s="2" t="str">
        <x:v>L0</x:v>
      </x:c>
      <x:c r="F1043" s="2" t="n">
        <x:v>5</x:v>
      </x:c>
      <x:c r="G1043" s="2" t="n">
        <x:v>33</x:v>
      </x:c>
      <x:c r="H1043" s="2" t="n">
        <x:f>G1043+Supuestos!$C$15</x:f>
        <x:v>34</x:v>
      </x:c>
      <x:c r="I1043" s="14" t="n">
        <x:f>E2_plantas!J26+G1043</x:f>
        <x:v>46221</x:v>
      </x:c>
      <x:c r="J1043" s="2" t="str">
        <x:v>adulta</x:v>
      </x:c>
      <x:c r="K1043" s="2" t="n">
        <x:v>1</x:v>
      </x:c>
      <x:c r="L1043" s="2" t="n">
        <x:v>0</x:v>
      </x:c>
      <x:c r="M1043" s="2" t="n">
        <x:f>SUM(L$1010:L1043)</x:f>
        <x:v>65</x:v>
      </x:c>
      <x:c r="N1043" s="2" t="n">
        <x:v>0</x:v>
      </x:c>
      <x:c r="O1043" s="2" t="str">
        <x:v>seguimiento</x:v>
      </x:c>
      <x:c r="P1043" s="2" t="n">
        <x:v>0</x:v>
      </x:c>
      <x:c r="Q1043" s="2" t="str">
        <x:v>simulado_didactico</x:v>
      </x:c>
    </x:row>
    <x:row r="1044" ht="19" customHeight="1">
      <x:c r="A1044" s="2" t="str">
        <x:v>SIM-E2-MP-L0-R05</x:v>
      </x:c>
      <x:c r="B1044" s="2" t="n">
        <x:v>3</x:v>
      </x:c>
      <x:c r="C1044" s="2" t="str">
        <x:v>MP</x:v>
      </x:c>
      <x:c r="D1044" s="2" t="str">
        <x:v>Myzus persicae</x:v>
      </x:c>
      <x:c r="E1044" s="2" t="str">
        <x:v>L0</x:v>
      </x:c>
      <x:c r="F1044" s="2" t="n">
        <x:v>5</x:v>
      </x:c>
      <x:c r="G1044" s="2" t="n">
        <x:v>34</x:v>
      </x:c>
      <x:c r="H1044" s="2" t="n">
        <x:f>G1044+Supuestos!$C$15</x:f>
        <x:v>35</x:v>
      </x:c>
      <x:c r="I1044" s="14" t="n">
        <x:f>E2_plantas!J26+G1044</x:f>
        <x:v>46222</x:v>
      </x:c>
      <x:c r="J1044" s="2" t="str">
        <x:v>muerta</x:v>
      </x:c>
      <x:c r="K1044" s="2" t="n">
        <x:v>0</x:v>
      </x:c>
      <x:c r="L1044" s="2" t="n">
        <x:v>0</x:v>
      </x:c>
      <x:c r="M1044" s="2" t="n">
        <x:f>SUM(L$1010:L1044)</x:f>
        <x:v>65</x:v>
      </x:c>
      <x:c r="N1044" s="2" t="n">
        <x:v>1</x:v>
      </x:c>
      <x:c r="O1044" s="2" t="str">
        <x:v>muerte</x:v>
      </x:c>
      <x:c r="P1044" s="2" t="n">
        <x:v>0</x:v>
      </x:c>
      <x:c r="Q1044" s="2" t="str">
        <x:v>simulado_didactico</x:v>
      </x:c>
    </x:row>
    <x:row r="1045" ht="19" customHeight="1">
      <x:c r="A1045" s="2" t="str">
        <x:v>SIM-E2-MP-L0-R05</x:v>
      </x:c>
      <x:c r="B1045" s="2" t="n">
        <x:v>3</x:v>
      </x:c>
      <x:c r="C1045" s="2" t="str">
        <x:v>MP</x:v>
      </x:c>
      <x:c r="D1045" s="2" t="str">
        <x:v>Myzus persicae</x:v>
      </x:c>
      <x:c r="E1045" s="2" t="str">
        <x:v>L0</x:v>
      </x:c>
      <x:c r="F1045" s="2" t="n">
        <x:v>5</x:v>
      </x:c>
      <x:c r="G1045" s="2" t="n">
        <x:v>35</x:v>
      </x:c>
      <x:c r="H1045" s="2" t="n">
        <x:f>G1045+Supuestos!$C$15</x:f>
        <x:v>36</x:v>
      </x:c>
      <x:c r="I1045" s="14" t="n">
        <x:f>E2_plantas!J26+G1045</x:f>
        <x:v>46223</x:v>
      </x:c>
      <x:c r="J1045" s="2" t="str">
        <x:v>muerta</x:v>
      </x:c>
      <x:c r="K1045" s="2" t="n">
        <x:v>0</x:v>
      </x:c>
      <x:c r="L1045" s="2" t="n">
        <x:v>0</x:v>
      </x:c>
      <x:c r="M1045" s="2" t="n">
        <x:f>SUM(L$1010:L1045)</x:f>
        <x:v>65</x:v>
      </x:c>
      <x:c r="N1045" s="2" t="n">
        <x:v>0</x:v>
      </x:c>
      <x:c r="O1045" s="2" t="str">
        <x:v>relleno_postmuerte</x:v>
      </x:c>
      <x:c r="P1045" s="2" t="n">
        <x:v>0</x:v>
      </x:c>
      <x:c r="Q1045" s="2" t="str">
        <x:v>simulado_didactico</x:v>
      </x:c>
    </x:row>
    <x:row r="1046" ht="19" customHeight="1">
      <x:c r="A1046" s="2" t="str">
        <x:v>SIM-E2-MP-L0-R05</x:v>
      </x:c>
      <x:c r="B1046" s="2" t="n">
        <x:v>3</x:v>
      </x:c>
      <x:c r="C1046" s="2" t="str">
        <x:v>MP</x:v>
      </x:c>
      <x:c r="D1046" s="2" t="str">
        <x:v>Myzus persicae</x:v>
      </x:c>
      <x:c r="E1046" s="2" t="str">
        <x:v>L0</x:v>
      </x:c>
      <x:c r="F1046" s="2" t="n">
        <x:v>5</x:v>
      </x:c>
      <x:c r="G1046" s="2" t="n">
        <x:v>36</x:v>
      </x:c>
      <x:c r="H1046" s="2" t="n">
        <x:f>G1046+Supuestos!$C$15</x:f>
        <x:v>37</x:v>
      </x:c>
      <x:c r="I1046" s="14" t="n">
        <x:f>E2_plantas!J26+G1046</x:f>
        <x:v>46224</x:v>
      </x:c>
      <x:c r="J1046" s="2" t="str">
        <x:v>muerta</x:v>
      </x:c>
      <x:c r="K1046" s="2" t="n">
        <x:v>0</x:v>
      </x:c>
      <x:c r="L1046" s="2" t="n">
        <x:v>0</x:v>
      </x:c>
      <x:c r="M1046" s="2" t="n">
        <x:f>SUM(L$1010:L1046)</x:f>
        <x:v>65</x:v>
      </x:c>
      <x:c r="N1046" s="2" t="n">
        <x:v>0</x:v>
      </x:c>
      <x:c r="O1046" s="2" t="str">
        <x:v>relleno_postmuerte</x:v>
      </x:c>
      <x:c r="P1046" s="2" t="n">
        <x:v>0</x:v>
      </x:c>
      <x:c r="Q1046" s="2" t="str">
        <x:v>simulado_didactico</x:v>
      </x:c>
    </x:row>
    <x:row r="1047" ht="19" customHeight="1">
      <x:c r="A1047" s="2" t="str">
        <x:v>SIM-E2-MP-L0-R05</x:v>
      </x:c>
      <x:c r="B1047" s="2" t="n">
        <x:v>3</x:v>
      </x:c>
      <x:c r="C1047" s="2" t="str">
        <x:v>MP</x:v>
      </x:c>
      <x:c r="D1047" s="2" t="str">
        <x:v>Myzus persicae</x:v>
      </x:c>
      <x:c r="E1047" s="2" t="str">
        <x:v>L0</x:v>
      </x:c>
      <x:c r="F1047" s="2" t="n">
        <x:v>5</x:v>
      </x:c>
      <x:c r="G1047" s="2" t="n">
        <x:v>37</x:v>
      </x:c>
      <x:c r="H1047" s="2" t="n">
        <x:f>G1047+Supuestos!$C$15</x:f>
        <x:v>38</x:v>
      </x:c>
      <x:c r="I1047" s="14" t="n">
        <x:f>E2_plantas!J26+G1047</x:f>
        <x:v>46225</x:v>
      </x:c>
      <x:c r="J1047" s="2" t="str">
        <x:v>muerta</x:v>
      </x:c>
      <x:c r="K1047" s="2" t="n">
        <x:v>0</x:v>
      </x:c>
      <x:c r="L1047" s="2" t="n">
        <x:v>0</x:v>
      </x:c>
      <x:c r="M1047" s="2" t="n">
        <x:f>SUM(L$1010:L1047)</x:f>
        <x:v>65</x:v>
      </x:c>
      <x:c r="N1047" s="2" t="n">
        <x:v>0</x:v>
      </x:c>
      <x:c r="O1047" s="2" t="str">
        <x:v>relleno_postmuerte</x:v>
      </x:c>
      <x:c r="P1047" s="2" t="n">
        <x:v>0</x:v>
      </x:c>
      <x:c r="Q1047" s="2" t="str">
        <x:v>simulado_didactico</x:v>
      </x:c>
    </x:row>
    <x:row r="1048" ht="19" customHeight="1">
      <x:c r="A1048" s="2" t="str">
        <x:v>SIM-E2-MP-L0-R05</x:v>
      </x:c>
      <x:c r="B1048" s="2" t="n">
        <x:v>3</x:v>
      </x:c>
      <x:c r="C1048" s="2" t="str">
        <x:v>MP</x:v>
      </x:c>
      <x:c r="D1048" s="2" t="str">
        <x:v>Myzus persicae</x:v>
      </x:c>
      <x:c r="E1048" s="2" t="str">
        <x:v>L0</x:v>
      </x:c>
      <x:c r="F1048" s="2" t="n">
        <x:v>5</x:v>
      </x:c>
      <x:c r="G1048" s="2" t="n">
        <x:v>38</x:v>
      </x:c>
      <x:c r="H1048" s="2" t="n">
        <x:f>G1048+Supuestos!$C$15</x:f>
        <x:v>39</x:v>
      </x:c>
      <x:c r="I1048" s="14" t="n">
        <x:f>E2_plantas!J26+G1048</x:f>
        <x:v>46226</x:v>
      </x:c>
      <x:c r="J1048" s="2" t="str">
        <x:v>muerta</x:v>
      </x:c>
      <x:c r="K1048" s="2" t="n">
        <x:v>0</x:v>
      </x:c>
      <x:c r="L1048" s="2" t="n">
        <x:v>0</x:v>
      </x:c>
      <x:c r="M1048" s="2" t="n">
        <x:f>SUM(L$1010:L1048)</x:f>
        <x:v>65</x:v>
      </x:c>
      <x:c r="N1048" s="2" t="n">
        <x:v>0</x:v>
      </x:c>
      <x:c r="O1048" s="2" t="str">
        <x:v>relleno_postmuerte</x:v>
      </x:c>
      <x:c r="P1048" s="2" t="n">
        <x:v>0</x:v>
      </x:c>
      <x:c r="Q1048" s="2" t="str">
        <x:v>simulado_didactico</x:v>
      </x:c>
    </x:row>
    <x:row r="1049" ht="19" customHeight="1">
      <x:c r="A1049" s="2" t="str">
        <x:v>SIM-E2-MP-L0-R05</x:v>
      </x:c>
      <x:c r="B1049" s="2" t="n">
        <x:v>3</x:v>
      </x:c>
      <x:c r="C1049" s="2" t="str">
        <x:v>MP</x:v>
      </x:c>
      <x:c r="D1049" s="2" t="str">
        <x:v>Myzus persicae</x:v>
      </x:c>
      <x:c r="E1049" s="2" t="str">
        <x:v>L0</x:v>
      </x:c>
      <x:c r="F1049" s="2" t="n">
        <x:v>5</x:v>
      </x:c>
      <x:c r="G1049" s="2" t="n">
        <x:v>39</x:v>
      </x:c>
      <x:c r="H1049" s="2" t="n">
        <x:f>G1049+Supuestos!$C$15</x:f>
        <x:v>40</x:v>
      </x:c>
      <x:c r="I1049" s="14" t="n">
        <x:f>E2_plantas!J26+G1049</x:f>
        <x:v>46227</x:v>
      </x:c>
      <x:c r="J1049" s="2" t="str">
        <x:v>muerta</x:v>
      </x:c>
      <x:c r="K1049" s="2" t="n">
        <x:v>0</x:v>
      </x:c>
      <x:c r="L1049" s="2" t="n">
        <x:v>0</x:v>
      </x:c>
      <x:c r="M1049" s="2" t="n">
        <x:f>SUM(L$1010:L1049)</x:f>
        <x:v>65</x:v>
      </x:c>
      <x:c r="N1049" s="2" t="n">
        <x:v>0</x:v>
      </x:c>
      <x:c r="O1049" s="2" t="str">
        <x:v>relleno_postmuerte</x:v>
      </x:c>
      <x:c r="P1049" s="2" t="n">
        <x:v>0</x:v>
      </x:c>
      <x:c r="Q1049" s="2" t="str">
        <x:v>simulado_didactico</x:v>
      </x:c>
    </x:row>
    <x:row r="1050" ht="19" customHeight="1">
      <x:c r="A1050" s="2" t="str">
        <x:v>SIM-E2-MP-L0-R05</x:v>
      </x:c>
      <x:c r="B1050" s="2" t="n">
        <x:v>3</x:v>
      </x:c>
      <x:c r="C1050" s="2" t="str">
        <x:v>MP</x:v>
      </x:c>
      <x:c r="D1050" s="2" t="str">
        <x:v>Myzus persicae</x:v>
      </x:c>
      <x:c r="E1050" s="2" t="str">
        <x:v>L0</x:v>
      </x:c>
      <x:c r="F1050" s="2" t="n">
        <x:v>5</x:v>
      </x:c>
      <x:c r="G1050" s="2" t="n">
        <x:v>40</x:v>
      </x:c>
      <x:c r="H1050" s="2" t="n">
        <x:f>G1050+Supuestos!$C$15</x:f>
        <x:v>41</x:v>
      </x:c>
      <x:c r="I1050" s="14" t="n">
        <x:f>E2_plantas!J26+G1050</x:f>
        <x:v>46228</x:v>
      </x:c>
      <x:c r="J1050" s="2" t="str">
        <x:v>muerta</x:v>
      </x:c>
      <x:c r="K1050" s="2" t="n">
        <x:v>0</x:v>
      </x:c>
      <x:c r="L1050" s="2" t="n">
        <x:v>0</x:v>
      </x:c>
      <x:c r="M1050" s="2" t="n">
        <x:f>SUM(L$1010:L1050)</x:f>
        <x:v>65</x:v>
      </x:c>
      <x:c r="N1050" s="2" t="n">
        <x:v>0</x:v>
      </x:c>
      <x:c r="O1050" s="2" t="str">
        <x:v>relleno_postmuerte</x:v>
      </x:c>
      <x:c r="P1050" s="2" t="n">
        <x:v>0</x:v>
      </x:c>
      <x:c r="Q1050" s="2" t="str">
        <x:v>simulado_didactico</x:v>
      </x:c>
    </x:row>
    <x:row r="1051" ht="19" customHeight="1">
      <x:c r="A1051" s="2" t="str">
        <x:v>SIM-E2-MP-L0-R05</x:v>
      </x:c>
      <x:c r="B1051" s="2" t="n">
        <x:v>3</x:v>
      </x:c>
      <x:c r="C1051" s="2" t="str">
        <x:v>MP</x:v>
      </x:c>
      <x:c r="D1051" s="2" t="str">
        <x:v>Myzus persicae</x:v>
      </x:c>
      <x:c r="E1051" s="2" t="str">
        <x:v>L0</x:v>
      </x:c>
      <x:c r="F1051" s="2" t="n">
        <x:v>5</x:v>
      </x:c>
      <x:c r="G1051" s="2" t="n">
        <x:v>41</x:v>
      </x:c>
      <x:c r="H1051" s="2" t="n">
        <x:f>G1051+Supuestos!$C$15</x:f>
        <x:v>42</x:v>
      </x:c>
      <x:c r="I1051" s="14" t="n">
        <x:f>E2_plantas!J26+G1051</x:f>
        <x:v>46229</x:v>
      </x:c>
      <x:c r="J1051" s="2" t="str">
        <x:v>muerta</x:v>
      </x:c>
      <x:c r="K1051" s="2" t="n">
        <x:v>0</x:v>
      </x:c>
      <x:c r="L1051" s="2" t="n">
        <x:v>0</x:v>
      </x:c>
      <x:c r="M1051" s="2" t="n">
        <x:f>SUM(L$1010:L1051)</x:f>
        <x:v>65</x:v>
      </x:c>
      <x:c r="N1051" s="2" t="n">
        <x:v>0</x:v>
      </x:c>
      <x:c r="O1051" s="2" t="str">
        <x:v>relleno_postmuerte</x:v>
      </x:c>
      <x:c r="P1051" s="2" t="n">
        <x:v>0</x:v>
      </x:c>
      <x:c r="Q1051" s="2" t="str">
        <x:v>simulado_didactico</x:v>
      </x:c>
    </x:row>
    <x:row r="1052" ht="19" customHeight="1">
      <x:c r="A1052" s="2" t="str">
        <x:v>SIM-E2-MP-L0-R06</x:v>
      </x:c>
      <x:c r="B1052" s="2" t="n">
        <x:v>3</x:v>
      </x:c>
      <x:c r="C1052" s="2" t="str">
        <x:v>MP</x:v>
      </x:c>
      <x:c r="D1052" s="2" t="str">
        <x:v>Myzus persicae</x:v>
      </x:c>
      <x:c r="E1052" s="2" t="str">
        <x:v>L0</x:v>
      </x:c>
      <x:c r="F1052" s="2" t="n">
        <x:v>6</x:v>
      </x:c>
      <x:c r="G1052" s="2" t="n">
        <x:v>0</x:v>
      </x:c>
      <x:c r="H1052" s="2" t="n">
        <x:f>G1052+Supuestos!$C$15</x:f>
        <x:v>1</x:v>
      </x:c>
      <x:c r="I1052" s="14" t="n">
        <x:f>E2_plantas!J27+G1052</x:f>
        <x:v>46188</x:v>
      </x:c>
      <x:c r="J1052" s="2" t="str">
        <x:v>N1</x:v>
      </x:c>
      <x:c r="K1052" s="2" t="n">
        <x:v>1</x:v>
      </x:c>
      <x:c r="L1052" s="2" t="n">
        <x:v>0</x:v>
      </x:c>
      <x:c r="M1052" s="2" t="n">
        <x:f>SUM(L$1052:L1052)</x:f>
        <x:v>0</x:v>
      </x:c>
      <x:c r="N1052" s="2" t="n">
        <x:v>0</x:v>
      </x:c>
      <x:c r="O1052" s="2" t="str">
        <x:v>seguimiento</x:v>
      </x:c>
      <x:c r="P1052" s="2" t="n">
        <x:v>0</x:v>
      </x:c>
      <x:c r="Q1052" s="2" t="str">
        <x:v>simulado_didactico</x:v>
      </x:c>
    </x:row>
    <x:row r="1053" ht="19" customHeight="1">
      <x:c r="A1053" s="2" t="str">
        <x:v>SIM-E2-MP-L0-R06</x:v>
      </x:c>
      <x:c r="B1053" s="2" t="n">
        <x:v>3</x:v>
      </x:c>
      <x:c r="C1053" s="2" t="str">
        <x:v>MP</x:v>
      </x:c>
      <x:c r="D1053" s="2" t="str">
        <x:v>Myzus persicae</x:v>
      </x:c>
      <x:c r="E1053" s="2" t="str">
        <x:v>L0</x:v>
      </x:c>
      <x:c r="F1053" s="2" t="n">
        <x:v>6</x:v>
      </x:c>
      <x:c r="G1053" s="2" t="n">
        <x:v>1</x:v>
      </x:c>
      <x:c r="H1053" s="2" t="n">
        <x:f>G1053+Supuestos!$C$15</x:f>
        <x:v>2</x:v>
      </x:c>
      <x:c r="I1053" s="14" t="n">
        <x:f>E2_plantas!J27+G1053</x:f>
        <x:v>46189</x:v>
      </x:c>
      <x:c r="J1053" s="2" t="str">
        <x:v>N1</x:v>
      </x:c>
      <x:c r="K1053" s="2" t="n">
        <x:v>1</x:v>
      </x:c>
      <x:c r="L1053" s="2" t="n">
        <x:v>0</x:v>
      </x:c>
      <x:c r="M1053" s="2" t="n">
        <x:f>SUM(L$1052:L1053)</x:f>
        <x:v>0</x:v>
      </x:c>
      <x:c r="N1053" s="2" t="n">
        <x:v>0</x:v>
      </x:c>
      <x:c r="O1053" s="2" t="str">
        <x:v>seguimiento</x:v>
      </x:c>
      <x:c r="P1053" s="2" t="n">
        <x:v>0</x:v>
      </x:c>
      <x:c r="Q1053" s="2" t="str">
        <x:v>simulado_didactico</x:v>
      </x:c>
    </x:row>
    <x:row r="1054" ht="19" customHeight="1">
      <x:c r="A1054" s="2" t="str">
        <x:v>SIM-E2-MP-L0-R06</x:v>
      </x:c>
      <x:c r="B1054" s="2" t="n">
        <x:v>3</x:v>
      </x:c>
      <x:c r="C1054" s="2" t="str">
        <x:v>MP</x:v>
      </x:c>
      <x:c r="D1054" s="2" t="str">
        <x:v>Myzus persicae</x:v>
      </x:c>
      <x:c r="E1054" s="2" t="str">
        <x:v>L0</x:v>
      </x:c>
      <x:c r="F1054" s="2" t="n">
        <x:v>6</x:v>
      </x:c>
      <x:c r="G1054" s="2" t="n">
        <x:v>2</x:v>
      </x:c>
      <x:c r="H1054" s="2" t="n">
        <x:f>G1054+Supuestos!$C$15</x:f>
        <x:v>3</x:v>
      </x:c>
      <x:c r="I1054" s="14" t="n">
        <x:f>E2_plantas!J27+G1054</x:f>
        <x:v>46190</x:v>
      </x:c>
      <x:c r="J1054" s="2" t="str">
        <x:v>N2</x:v>
      </x:c>
      <x:c r="K1054" s="2" t="n">
        <x:v>1</x:v>
      </x:c>
      <x:c r="L1054" s="2" t="n">
        <x:v>0</x:v>
      </x:c>
      <x:c r="M1054" s="2" t="n">
        <x:f>SUM(L$1052:L1054)</x:f>
        <x:v>0</x:v>
      </x:c>
      <x:c r="N1054" s="2" t="n">
        <x:v>0</x:v>
      </x:c>
      <x:c r="O1054" s="2" t="str">
        <x:v>seguimiento</x:v>
      </x:c>
      <x:c r="P1054" s="2" t="n">
        <x:v>0</x:v>
      </x:c>
      <x:c r="Q1054" s="2" t="str">
        <x:v>simulado_didactico</x:v>
      </x:c>
    </x:row>
    <x:row r="1055" ht="19" customHeight="1">
      <x:c r="A1055" s="2" t="str">
        <x:v>SIM-E2-MP-L0-R06</x:v>
      </x:c>
      <x:c r="B1055" s="2" t="n">
        <x:v>3</x:v>
      </x:c>
      <x:c r="C1055" s="2" t="str">
        <x:v>MP</x:v>
      </x:c>
      <x:c r="D1055" s="2" t="str">
        <x:v>Myzus persicae</x:v>
      </x:c>
      <x:c r="E1055" s="2" t="str">
        <x:v>L0</x:v>
      </x:c>
      <x:c r="F1055" s="2" t="n">
        <x:v>6</x:v>
      </x:c>
      <x:c r="G1055" s="2" t="n">
        <x:v>3</x:v>
      </x:c>
      <x:c r="H1055" s="2" t="n">
        <x:f>G1055+Supuestos!$C$15</x:f>
        <x:v>4</x:v>
      </x:c>
      <x:c r="I1055" s="14" t="n">
        <x:f>E2_plantas!J27+G1055</x:f>
        <x:v>46191</x:v>
      </x:c>
      <x:c r="J1055" s="2" t="str">
        <x:v>N2</x:v>
      </x:c>
      <x:c r="K1055" s="2" t="n">
        <x:v>1</x:v>
      </x:c>
      <x:c r="L1055" s="2" t="n">
        <x:v>0</x:v>
      </x:c>
      <x:c r="M1055" s="2" t="n">
        <x:f>SUM(L$1052:L1055)</x:f>
        <x:v>0</x:v>
      </x:c>
      <x:c r="N1055" s="2" t="n">
        <x:v>0</x:v>
      </x:c>
      <x:c r="O1055" s="2" t="str">
        <x:v>seguimiento</x:v>
      </x:c>
      <x:c r="P1055" s="2" t="n">
        <x:v>0</x:v>
      </x:c>
      <x:c r="Q1055" s="2" t="str">
        <x:v>simulado_didactico</x:v>
      </x:c>
    </x:row>
    <x:row r="1056" ht="19" customHeight="1">
      <x:c r="A1056" s="2" t="str">
        <x:v>SIM-E2-MP-L0-R06</x:v>
      </x:c>
      <x:c r="B1056" s="2" t="n">
        <x:v>3</x:v>
      </x:c>
      <x:c r="C1056" s="2" t="str">
        <x:v>MP</x:v>
      </x:c>
      <x:c r="D1056" s="2" t="str">
        <x:v>Myzus persicae</x:v>
      </x:c>
      <x:c r="E1056" s="2" t="str">
        <x:v>L0</x:v>
      </x:c>
      <x:c r="F1056" s="2" t="n">
        <x:v>6</x:v>
      </x:c>
      <x:c r="G1056" s="2" t="n">
        <x:v>4</x:v>
      </x:c>
      <x:c r="H1056" s="2" t="n">
        <x:f>G1056+Supuestos!$C$15</x:f>
        <x:v>5</x:v>
      </x:c>
      <x:c r="I1056" s="14" t="n">
        <x:f>E2_plantas!J27+G1056</x:f>
        <x:v>46192</x:v>
      </x:c>
      <x:c r="J1056" s="2" t="str">
        <x:v>N2</x:v>
      </x:c>
      <x:c r="K1056" s="2" t="n">
        <x:v>1</x:v>
      </x:c>
      <x:c r="L1056" s="2" t="n">
        <x:v>0</x:v>
      </x:c>
      <x:c r="M1056" s="2" t="n">
        <x:f>SUM(L$1052:L1056)</x:f>
        <x:v>0</x:v>
      </x:c>
      <x:c r="N1056" s="2" t="n">
        <x:v>0</x:v>
      </x:c>
      <x:c r="O1056" s="2" t="str">
        <x:v>seguimiento</x:v>
      </x:c>
      <x:c r="P1056" s="2" t="n">
        <x:v>0</x:v>
      </x:c>
      <x:c r="Q1056" s="2" t="str">
        <x:v>simulado_didactico</x:v>
      </x:c>
    </x:row>
    <x:row r="1057" ht="19" customHeight="1">
      <x:c r="A1057" s="2" t="str">
        <x:v>SIM-E2-MP-L0-R06</x:v>
      </x:c>
      <x:c r="B1057" s="2" t="n">
        <x:v>3</x:v>
      </x:c>
      <x:c r="C1057" s="2" t="str">
        <x:v>MP</x:v>
      </x:c>
      <x:c r="D1057" s="2" t="str">
        <x:v>Myzus persicae</x:v>
      </x:c>
      <x:c r="E1057" s="2" t="str">
        <x:v>L0</x:v>
      </x:c>
      <x:c r="F1057" s="2" t="n">
        <x:v>6</x:v>
      </x:c>
      <x:c r="G1057" s="2" t="n">
        <x:v>5</x:v>
      </x:c>
      <x:c r="H1057" s="2" t="n">
        <x:f>G1057+Supuestos!$C$15</x:f>
        <x:v>6</x:v>
      </x:c>
      <x:c r="I1057" s="14" t="n">
        <x:f>E2_plantas!J27+G1057</x:f>
        <x:v>46193</x:v>
      </x:c>
      <x:c r="J1057" s="2" t="str">
        <x:v>N3</x:v>
      </x:c>
      <x:c r="K1057" s="2" t="n">
        <x:v>1</x:v>
      </x:c>
      <x:c r="L1057" s="2" t="n">
        <x:v>0</x:v>
      </x:c>
      <x:c r="M1057" s="2" t="n">
        <x:f>SUM(L$1052:L1057)</x:f>
        <x:v>0</x:v>
      </x:c>
      <x:c r="N1057" s="2" t="n">
        <x:v>0</x:v>
      </x:c>
      <x:c r="O1057" s="2" t="str">
        <x:v>seguimiento</x:v>
      </x:c>
      <x:c r="P1057" s="2" t="n">
        <x:v>0</x:v>
      </x:c>
      <x:c r="Q1057" s="2" t="str">
        <x:v>simulado_didactico</x:v>
      </x:c>
    </x:row>
    <x:row r="1058" ht="19" customHeight="1">
      <x:c r="A1058" s="2" t="str">
        <x:v>SIM-E2-MP-L0-R06</x:v>
      </x:c>
      <x:c r="B1058" s="2" t="n">
        <x:v>3</x:v>
      </x:c>
      <x:c r="C1058" s="2" t="str">
        <x:v>MP</x:v>
      </x:c>
      <x:c r="D1058" s="2" t="str">
        <x:v>Myzus persicae</x:v>
      </x:c>
      <x:c r="E1058" s="2" t="str">
        <x:v>L0</x:v>
      </x:c>
      <x:c r="F1058" s="2" t="n">
        <x:v>6</x:v>
      </x:c>
      <x:c r="G1058" s="2" t="n">
        <x:v>6</x:v>
      </x:c>
      <x:c r="H1058" s="2" t="n">
        <x:f>G1058+Supuestos!$C$15</x:f>
        <x:v>7</x:v>
      </x:c>
      <x:c r="I1058" s="14" t="n">
        <x:f>E2_plantas!J27+G1058</x:f>
        <x:v>46194</x:v>
      </x:c>
      <x:c r="J1058" s="2" t="str">
        <x:v>N3</x:v>
      </x:c>
      <x:c r="K1058" s="2" t="n">
        <x:v>1</x:v>
      </x:c>
      <x:c r="L1058" s="2" t="n">
        <x:v>0</x:v>
      </x:c>
      <x:c r="M1058" s="2" t="n">
        <x:f>SUM(L$1052:L1058)</x:f>
        <x:v>0</x:v>
      </x:c>
      <x:c r="N1058" s="2" t="n">
        <x:v>0</x:v>
      </x:c>
      <x:c r="O1058" s="2" t="str">
        <x:v>seguimiento</x:v>
      </x:c>
      <x:c r="P1058" s="2" t="n">
        <x:v>0</x:v>
      </x:c>
      <x:c r="Q1058" s="2" t="str">
        <x:v>simulado_didactico</x:v>
      </x:c>
    </x:row>
    <x:row r="1059" ht="19" customHeight="1">
      <x:c r="A1059" s="2" t="str">
        <x:v>SIM-E2-MP-L0-R06</x:v>
      </x:c>
      <x:c r="B1059" s="2" t="n">
        <x:v>3</x:v>
      </x:c>
      <x:c r="C1059" s="2" t="str">
        <x:v>MP</x:v>
      </x:c>
      <x:c r="D1059" s="2" t="str">
        <x:v>Myzus persicae</x:v>
      </x:c>
      <x:c r="E1059" s="2" t="str">
        <x:v>L0</x:v>
      </x:c>
      <x:c r="F1059" s="2" t="n">
        <x:v>6</x:v>
      </x:c>
      <x:c r="G1059" s="2" t="n">
        <x:v>7</x:v>
      </x:c>
      <x:c r="H1059" s="2" t="n">
        <x:f>G1059+Supuestos!$C$15</x:f>
        <x:v>8</x:v>
      </x:c>
      <x:c r="I1059" s="14" t="n">
        <x:f>E2_plantas!J27+G1059</x:f>
        <x:v>46195</x:v>
      </x:c>
      <x:c r="J1059" s="2" t="str">
        <x:v>N4</x:v>
      </x:c>
      <x:c r="K1059" s="2" t="n">
        <x:v>1</x:v>
      </x:c>
      <x:c r="L1059" s="2" t="n">
        <x:v>0</x:v>
      </x:c>
      <x:c r="M1059" s="2" t="n">
        <x:f>SUM(L$1052:L1059)</x:f>
        <x:v>0</x:v>
      </x:c>
      <x:c r="N1059" s="2" t="n">
        <x:v>0</x:v>
      </x:c>
      <x:c r="O1059" s="2" t="str">
        <x:v>seguimiento</x:v>
      </x:c>
      <x:c r="P1059" s="2" t="n">
        <x:v>0</x:v>
      </x:c>
      <x:c r="Q1059" s="2" t="str">
        <x:v>simulado_didactico</x:v>
      </x:c>
    </x:row>
    <x:row r="1060" ht="19" customHeight="1">
      <x:c r="A1060" s="2" t="str">
        <x:v>SIM-E2-MP-L0-R06</x:v>
      </x:c>
      <x:c r="B1060" s="2" t="n">
        <x:v>3</x:v>
      </x:c>
      <x:c r="C1060" s="2" t="str">
        <x:v>MP</x:v>
      </x:c>
      <x:c r="D1060" s="2" t="str">
        <x:v>Myzus persicae</x:v>
      </x:c>
      <x:c r="E1060" s="2" t="str">
        <x:v>L0</x:v>
      </x:c>
      <x:c r="F1060" s="2" t="n">
        <x:v>6</x:v>
      </x:c>
      <x:c r="G1060" s="2" t="n">
        <x:v>8</x:v>
      </x:c>
      <x:c r="H1060" s="2" t="n">
        <x:f>G1060+Supuestos!$C$15</x:f>
        <x:v>9</x:v>
      </x:c>
      <x:c r="I1060" s="14" t="n">
        <x:f>E2_plantas!J27+G1060</x:f>
        <x:v>46196</x:v>
      </x:c>
      <x:c r="J1060" s="2" t="str">
        <x:v>N4</x:v>
      </x:c>
      <x:c r="K1060" s="2" t="n">
        <x:v>1</x:v>
      </x:c>
      <x:c r="L1060" s="2" t="n">
        <x:v>0</x:v>
      </x:c>
      <x:c r="M1060" s="2" t="n">
        <x:f>SUM(L$1052:L1060)</x:f>
        <x:v>0</x:v>
      </x:c>
      <x:c r="N1060" s="2" t="n">
        <x:v>0</x:v>
      </x:c>
      <x:c r="O1060" s="2" t="str">
        <x:v>seguimiento</x:v>
      </x:c>
      <x:c r="P1060" s="2" t="n">
        <x:v>0</x:v>
      </x:c>
      <x:c r="Q1060" s="2" t="str">
        <x:v>simulado_didactico</x:v>
      </x:c>
    </x:row>
    <x:row r="1061" ht="19" customHeight="1">
      <x:c r="A1061" s="2" t="str">
        <x:v>SIM-E2-MP-L0-R06</x:v>
      </x:c>
      <x:c r="B1061" s="2" t="n">
        <x:v>3</x:v>
      </x:c>
      <x:c r="C1061" s="2" t="str">
        <x:v>MP</x:v>
      </x:c>
      <x:c r="D1061" s="2" t="str">
        <x:v>Myzus persicae</x:v>
      </x:c>
      <x:c r="E1061" s="2" t="str">
        <x:v>L0</x:v>
      </x:c>
      <x:c r="F1061" s="2" t="n">
        <x:v>6</x:v>
      </x:c>
      <x:c r="G1061" s="2" t="n">
        <x:v>9</x:v>
      </x:c>
      <x:c r="H1061" s="2" t="n">
        <x:f>G1061+Supuestos!$C$15</x:f>
        <x:v>10</x:v>
      </x:c>
      <x:c r="I1061" s="14" t="n">
        <x:f>E2_plantas!J27+G1061</x:f>
        <x:v>46197</x:v>
      </x:c>
      <x:c r="J1061" s="2" t="str">
        <x:v>adulta</x:v>
      </x:c>
      <x:c r="K1061" s="2" t="n">
        <x:v>1</x:v>
      </x:c>
      <x:c r="L1061" s="2" t="n">
        <x:v>0</x:v>
      </x:c>
      <x:c r="M1061" s="2" t="n">
        <x:f>SUM(L$1052:L1061)</x:f>
        <x:v>0</x:v>
      </x:c>
      <x:c r="N1061" s="2" t="n">
        <x:v>0</x:v>
      </x:c>
      <x:c r="O1061" s="2" t="str">
        <x:v>seguimiento</x:v>
      </x:c>
      <x:c r="P1061" s="2" t="n">
        <x:v>0</x:v>
      </x:c>
      <x:c r="Q1061" s="2" t="str">
        <x:v>simulado_didactico</x:v>
      </x:c>
    </x:row>
    <x:row r="1062" ht="19" customHeight="1">
      <x:c r="A1062" s="2" t="str">
        <x:v>SIM-E2-MP-L0-R06</x:v>
      </x:c>
      <x:c r="B1062" s="2" t="n">
        <x:v>3</x:v>
      </x:c>
      <x:c r="C1062" s="2" t="str">
        <x:v>MP</x:v>
      </x:c>
      <x:c r="D1062" s="2" t="str">
        <x:v>Myzus persicae</x:v>
      </x:c>
      <x:c r="E1062" s="2" t="str">
        <x:v>L0</x:v>
      </x:c>
      <x:c r="F1062" s="2" t="n">
        <x:v>6</x:v>
      </x:c>
      <x:c r="G1062" s="2" t="n">
        <x:v>10</x:v>
      </x:c>
      <x:c r="H1062" s="2" t="n">
        <x:f>G1062+Supuestos!$C$15</x:f>
        <x:v>11</x:v>
      </x:c>
      <x:c r="I1062" s="14" t="n">
        <x:f>E2_plantas!J27+G1062</x:f>
        <x:v>46198</x:v>
      </x:c>
      <x:c r="J1062" s="2" t="str">
        <x:v>adulta</x:v>
      </x:c>
      <x:c r="K1062" s="2" t="n">
        <x:v>1</x:v>
      </x:c>
      <x:c r="L1062" s="2" t="n">
        <x:v>0</x:v>
      </x:c>
      <x:c r="M1062" s="2" t="n">
        <x:f>SUM(L$1052:L1062)</x:f>
        <x:v>0</x:v>
      </x:c>
      <x:c r="N1062" s="2" t="n">
        <x:v>0</x:v>
      </x:c>
      <x:c r="O1062" s="2" t="str">
        <x:v>seguimiento</x:v>
      </x:c>
      <x:c r="P1062" s="2" t="n">
        <x:v>0</x:v>
      </x:c>
      <x:c r="Q1062" s="2" t="str">
        <x:v>simulado_didactico</x:v>
      </x:c>
    </x:row>
    <x:row r="1063" ht="19" customHeight="1">
      <x:c r="A1063" s="2" t="str">
        <x:v>SIM-E2-MP-L0-R06</x:v>
      </x:c>
      <x:c r="B1063" s="2" t="n">
        <x:v>3</x:v>
      </x:c>
      <x:c r="C1063" s="2" t="str">
        <x:v>MP</x:v>
      </x:c>
      <x:c r="D1063" s="2" t="str">
        <x:v>Myzus persicae</x:v>
      </x:c>
      <x:c r="E1063" s="2" t="str">
        <x:v>L0</x:v>
      </x:c>
      <x:c r="F1063" s="2" t="n">
        <x:v>6</x:v>
      </x:c>
      <x:c r="G1063" s="2" t="n">
        <x:v>11</x:v>
      </x:c>
      <x:c r="H1063" s="2" t="n">
        <x:f>G1063+Supuestos!$C$15</x:f>
        <x:v>12</x:v>
      </x:c>
      <x:c r="I1063" s="14" t="n">
        <x:f>E2_plantas!J27+G1063</x:f>
        <x:v>46199</x:v>
      </x:c>
      <x:c r="J1063" s="2" t="str">
        <x:v>adulta</x:v>
      </x:c>
      <x:c r="K1063" s="2" t="n">
        <x:v>1</x:v>
      </x:c>
      <x:c r="L1063" s="2" t="n">
        <x:v>2</x:v>
      </x:c>
      <x:c r="M1063" s="2" t="n">
        <x:f>SUM(L$1052:L1063)</x:f>
        <x:v>2</x:v>
      </x:c>
      <x:c r="N1063" s="2" t="n">
        <x:v>0</x:v>
      </x:c>
      <x:c r="O1063" s="2" t="str">
        <x:v>seguimiento</x:v>
      </x:c>
      <x:c r="P1063" s="2" t="n">
        <x:v>0</x:v>
      </x:c>
      <x:c r="Q1063" s="2" t="str">
        <x:v>simulado_didactico</x:v>
      </x:c>
    </x:row>
    <x:row r="1064" ht="19" customHeight="1">
      <x:c r="A1064" s="2" t="str">
        <x:v>SIM-E2-MP-L0-R06</x:v>
      </x:c>
      <x:c r="B1064" s="2" t="n">
        <x:v>3</x:v>
      </x:c>
      <x:c r="C1064" s="2" t="str">
        <x:v>MP</x:v>
      </x:c>
      <x:c r="D1064" s="2" t="str">
        <x:v>Myzus persicae</x:v>
      </x:c>
      <x:c r="E1064" s="2" t="str">
        <x:v>L0</x:v>
      </x:c>
      <x:c r="F1064" s="2" t="n">
        <x:v>6</x:v>
      </x:c>
      <x:c r="G1064" s="2" t="n">
        <x:v>12</x:v>
      </x:c>
      <x:c r="H1064" s="2" t="n">
        <x:f>G1064+Supuestos!$C$15</x:f>
        <x:v>13</x:v>
      </x:c>
      <x:c r="I1064" s="14" t="n">
        <x:f>E2_plantas!J27+G1064</x:f>
        <x:v>46200</x:v>
      </x:c>
      <x:c r="J1064" s="2" t="str">
        <x:v>adulta</x:v>
      </x:c>
      <x:c r="K1064" s="2" t="n">
        <x:v>1</x:v>
      </x:c>
      <x:c r="L1064" s="2" t="n">
        <x:v>5</x:v>
      </x:c>
      <x:c r="M1064" s="2" t="n">
        <x:f>SUM(L$1052:L1064)</x:f>
        <x:v>7</x:v>
      </x:c>
      <x:c r="N1064" s="2" t="n">
        <x:v>0</x:v>
      </x:c>
      <x:c r="O1064" s="2" t="str">
        <x:v>seguimiento</x:v>
      </x:c>
      <x:c r="P1064" s="2" t="n">
        <x:v>0</x:v>
      </x:c>
      <x:c r="Q1064" s="2" t="str">
        <x:v>simulado_didactico</x:v>
      </x:c>
    </x:row>
    <x:row r="1065" ht="19" customHeight="1">
      <x:c r="A1065" s="2" t="str">
        <x:v>SIM-E2-MP-L0-R06</x:v>
      </x:c>
      <x:c r="B1065" s="2" t="n">
        <x:v>3</x:v>
      </x:c>
      <x:c r="C1065" s="2" t="str">
        <x:v>MP</x:v>
      </x:c>
      <x:c r="D1065" s="2" t="str">
        <x:v>Myzus persicae</x:v>
      </x:c>
      <x:c r="E1065" s="2" t="str">
        <x:v>L0</x:v>
      </x:c>
      <x:c r="F1065" s="2" t="n">
        <x:v>6</x:v>
      </x:c>
      <x:c r="G1065" s="2" t="n">
        <x:v>13</x:v>
      </x:c>
      <x:c r="H1065" s="2" t="n">
        <x:f>G1065+Supuestos!$C$15</x:f>
        <x:v>14</x:v>
      </x:c>
      <x:c r="I1065" s="14" t="n">
        <x:f>E2_plantas!J27+G1065</x:f>
        <x:v>46201</x:v>
      </x:c>
      <x:c r="J1065" s="2" t="str">
        <x:v>adulta</x:v>
      </x:c>
      <x:c r="K1065" s="2" t="n">
        <x:v>1</x:v>
      </x:c>
      <x:c r="L1065" s="2" t="n">
        <x:v>6</x:v>
      </x:c>
      <x:c r="M1065" s="2" t="n">
        <x:f>SUM(L$1052:L1065)</x:f>
        <x:v>13</x:v>
      </x:c>
      <x:c r="N1065" s="2" t="n">
        <x:v>0</x:v>
      </x:c>
      <x:c r="O1065" s="2" t="str">
        <x:v>seguimiento</x:v>
      </x:c>
      <x:c r="P1065" s="2" t="n">
        <x:v>0</x:v>
      </x:c>
      <x:c r="Q1065" s="2" t="str">
        <x:v>simulado_didactico</x:v>
      </x:c>
    </x:row>
    <x:row r="1066" ht="19" customHeight="1">
      <x:c r="A1066" s="2" t="str">
        <x:v>SIM-E2-MP-L0-R06</x:v>
      </x:c>
      <x:c r="B1066" s="2" t="n">
        <x:v>3</x:v>
      </x:c>
      <x:c r="C1066" s="2" t="str">
        <x:v>MP</x:v>
      </x:c>
      <x:c r="D1066" s="2" t="str">
        <x:v>Myzus persicae</x:v>
      </x:c>
      <x:c r="E1066" s="2" t="str">
        <x:v>L0</x:v>
      </x:c>
      <x:c r="F1066" s="2" t="n">
        <x:v>6</x:v>
      </x:c>
      <x:c r="G1066" s="2" t="n">
        <x:v>14</x:v>
      </x:c>
      <x:c r="H1066" s="2" t="n">
        <x:f>G1066+Supuestos!$C$15</x:f>
        <x:v>15</x:v>
      </x:c>
      <x:c r="I1066" s="14" t="n">
        <x:f>E2_plantas!J27+G1066</x:f>
        <x:v>46202</x:v>
      </x:c>
      <x:c r="J1066" s="2" t="str">
        <x:v>adulta</x:v>
      </x:c>
      <x:c r="K1066" s="2" t="n">
        <x:v>1</x:v>
      </x:c>
      <x:c r="L1066" s="2" t="n">
        <x:v>0</x:v>
      </x:c>
      <x:c r="M1066" s="2" t="n">
        <x:f>SUM(L$1052:L1066)</x:f>
        <x:v>13</x:v>
      </x:c>
      <x:c r="N1066" s="2" t="n">
        <x:v>0</x:v>
      </x:c>
      <x:c r="O1066" s="2" t="str">
        <x:v>seguimiento</x:v>
      </x:c>
      <x:c r="P1066" s="2" t="n">
        <x:v>0</x:v>
      </x:c>
      <x:c r="Q1066" s="2" t="str">
        <x:v>simulado_didactico</x:v>
      </x:c>
    </x:row>
    <x:row r="1067" ht="19" customHeight="1">
      <x:c r="A1067" s="2" t="str">
        <x:v>SIM-E2-MP-L0-R06</x:v>
      </x:c>
      <x:c r="B1067" s="2" t="n">
        <x:v>3</x:v>
      </x:c>
      <x:c r="C1067" s="2" t="str">
        <x:v>MP</x:v>
      </x:c>
      <x:c r="D1067" s="2" t="str">
        <x:v>Myzus persicae</x:v>
      </x:c>
      <x:c r="E1067" s="2" t="str">
        <x:v>L0</x:v>
      </x:c>
      <x:c r="F1067" s="2" t="n">
        <x:v>6</x:v>
      </x:c>
      <x:c r="G1067" s="2" t="n">
        <x:v>15</x:v>
      </x:c>
      <x:c r="H1067" s="2" t="n">
        <x:f>G1067+Supuestos!$C$15</x:f>
        <x:v>16</x:v>
      </x:c>
      <x:c r="I1067" s="14" t="n">
        <x:f>E2_plantas!J27+G1067</x:f>
        <x:v>46203</x:v>
      </x:c>
      <x:c r="J1067" s="2" t="str">
        <x:v>adulta</x:v>
      </x:c>
      <x:c r="K1067" s="2" t="n">
        <x:v>1</x:v>
      </x:c>
      <x:c r="L1067" s="2" t="n">
        <x:v>0</x:v>
      </x:c>
      <x:c r="M1067" s="2" t="n">
        <x:f>SUM(L$1052:L1067)</x:f>
        <x:v>13</x:v>
      </x:c>
      <x:c r="N1067" s="2" t="n">
        <x:v>0</x:v>
      </x:c>
      <x:c r="O1067" s="2" t="str">
        <x:v>seguimiento</x:v>
      </x:c>
      <x:c r="P1067" s="2" t="n">
        <x:v>0</x:v>
      </x:c>
      <x:c r="Q1067" s="2" t="str">
        <x:v>simulado_didactico</x:v>
      </x:c>
    </x:row>
    <x:row r="1068" ht="19" customHeight="1">
      <x:c r="A1068" s="2" t="str">
        <x:v>SIM-E2-MP-L0-R06</x:v>
      </x:c>
      <x:c r="B1068" s="2" t="n">
        <x:v>3</x:v>
      </x:c>
      <x:c r="C1068" s="2" t="str">
        <x:v>MP</x:v>
      </x:c>
      <x:c r="D1068" s="2" t="str">
        <x:v>Myzus persicae</x:v>
      </x:c>
      <x:c r="E1068" s="2" t="str">
        <x:v>L0</x:v>
      </x:c>
      <x:c r="F1068" s="2" t="n">
        <x:v>6</x:v>
      </x:c>
      <x:c r="G1068" s="2" t="n">
        <x:v>16</x:v>
      </x:c>
      <x:c r="H1068" s="2" t="n">
        <x:f>G1068+Supuestos!$C$15</x:f>
        <x:v>17</x:v>
      </x:c>
      <x:c r="I1068" s="14" t="n">
        <x:f>E2_plantas!J27+G1068</x:f>
        <x:v>46204</x:v>
      </x:c>
      <x:c r="J1068" s="2" t="str">
        <x:v>adulta</x:v>
      </x:c>
      <x:c r="K1068" s="2" t="n">
        <x:v>1</x:v>
      </x:c>
      <x:c r="L1068" s="2" t="n">
        <x:v>6</x:v>
      </x:c>
      <x:c r="M1068" s="2" t="n">
        <x:f>SUM(L$1052:L1068)</x:f>
        <x:v>19</x:v>
      </x:c>
      <x:c r="N1068" s="2" t="n">
        <x:v>0</x:v>
      </x:c>
      <x:c r="O1068" s="2" t="str">
        <x:v>seguimiento</x:v>
      </x:c>
      <x:c r="P1068" s="2" t="n">
        <x:v>0</x:v>
      </x:c>
      <x:c r="Q1068" s="2" t="str">
        <x:v>simulado_didactico</x:v>
      </x:c>
    </x:row>
    <x:row r="1069" ht="19" customHeight="1">
      <x:c r="A1069" s="2" t="str">
        <x:v>SIM-E2-MP-L0-R06</x:v>
      </x:c>
      <x:c r="B1069" s="2" t="n">
        <x:v>3</x:v>
      </x:c>
      <x:c r="C1069" s="2" t="str">
        <x:v>MP</x:v>
      </x:c>
      <x:c r="D1069" s="2" t="str">
        <x:v>Myzus persicae</x:v>
      </x:c>
      <x:c r="E1069" s="2" t="str">
        <x:v>L0</x:v>
      </x:c>
      <x:c r="F1069" s="2" t="n">
        <x:v>6</x:v>
      </x:c>
      <x:c r="G1069" s="2" t="n">
        <x:v>17</x:v>
      </x:c>
      <x:c r="H1069" s="2" t="n">
        <x:f>G1069+Supuestos!$C$15</x:f>
        <x:v>18</x:v>
      </x:c>
      <x:c r="I1069" s="14" t="n">
        <x:f>E2_plantas!J27+G1069</x:f>
        <x:v>46205</x:v>
      </x:c>
      <x:c r="J1069" s="2" t="str">
        <x:v>adulta</x:v>
      </x:c>
      <x:c r="K1069" s="2" t="n">
        <x:v>1</x:v>
      </x:c>
      <x:c r="L1069" s="2" t="n">
        <x:v>4</x:v>
      </x:c>
      <x:c r="M1069" s="2" t="n">
        <x:f>SUM(L$1052:L1069)</x:f>
        <x:v>23</x:v>
      </x:c>
      <x:c r="N1069" s="2" t="n">
        <x:v>0</x:v>
      </x:c>
      <x:c r="O1069" s="2" t="str">
        <x:v>seguimiento</x:v>
      </x:c>
      <x:c r="P1069" s="2" t="n">
        <x:v>0</x:v>
      </x:c>
      <x:c r="Q1069" s="2" t="str">
        <x:v>simulado_didactico</x:v>
      </x:c>
    </x:row>
    <x:row r="1070" ht="19" customHeight="1">
      <x:c r="A1070" s="2" t="str">
        <x:v>SIM-E2-MP-L0-R06</x:v>
      </x:c>
      <x:c r="B1070" s="2" t="n">
        <x:v>3</x:v>
      </x:c>
      <x:c r="C1070" s="2" t="str">
        <x:v>MP</x:v>
      </x:c>
      <x:c r="D1070" s="2" t="str">
        <x:v>Myzus persicae</x:v>
      </x:c>
      <x:c r="E1070" s="2" t="str">
        <x:v>L0</x:v>
      </x:c>
      <x:c r="F1070" s="2" t="n">
        <x:v>6</x:v>
      </x:c>
      <x:c r="G1070" s="2" t="n">
        <x:v>18</x:v>
      </x:c>
      <x:c r="H1070" s="2" t="n">
        <x:f>G1070+Supuestos!$C$15</x:f>
        <x:v>19</x:v>
      </x:c>
      <x:c r="I1070" s="14" t="n">
        <x:f>E2_plantas!J27+G1070</x:f>
        <x:v>46206</x:v>
      </x:c>
      <x:c r="J1070" s="2" t="str">
        <x:v>adulta</x:v>
      </x:c>
      <x:c r="K1070" s="2" t="n">
        <x:v>1</x:v>
      </x:c>
      <x:c r="L1070" s="2" t="n">
        <x:v>4</x:v>
      </x:c>
      <x:c r="M1070" s="2" t="n">
        <x:f>SUM(L$1052:L1070)</x:f>
        <x:v>27</x:v>
      </x:c>
      <x:c r="N1070" s="2" t="n">
        <x:v>0</x:v>
      </x:c>
      <x:c r="O1070" s="2" t="str">
        <x:v>seguimiento</x:v>
      </x:c>
      <x:c r="P1070" s="2" t="n">
        <x:v>0</x:v>
      </x:c>
      <x:c r="Q1070" s="2" t="str">
        <x:v>simulado_didactico</x:v>
      </x:c>
    </x:row>
    <x:row r="1071" ht="19" customHeight="1">
      <x:c r="A1071" s="2" t="str">
        <x:v>SIM-E2-MP-L0-R06</x:v>
      </x:c>
      <x:c r="B1071" s="2" t="n">
        <x:v>3</x:v>
      </x:c>
      <x:c r="C1071" s="2" t="str">
        <x:v>MP</x:v>
      </x:c>
      <x:c r="D1071" s="2" t="str">
        <x:v>Myzus persicae</x:v>
      </x:c>
      <x:c r="E1071" s="2" t="str">
        <x:v>L0</x:v>
      </x:c>
      <x:c r="F1071" s="2" t="n">
        <x:v>6</x:v>
      </x:c>
      <x:c r="G1071" s="2" t="n">
        <x:v>19</x:v>
      </x:c>
      <x:c r="H1071" s="2" t="n">
        <x:f>G1071+Supuestos!$C$15</x:f>
        <x:v>20</x:v>
      </x:c>
      <x:c r="I1071" s="14" t="n">
        <x:f>E2_plantas!J27+G1071</x:f>
        <x:v>46207</x:v>
      </x:c>
      <x:c r="J1071" s="2" t="str">
        <x:v>adulta</x:v>
      </x:c>
      <x:c r="K1071" s="2" t="n">
        <x:v>1</x:v>
      </x:c>
      <x:c r="L1071" s="2" t="n">
        <x:v>3</x:v>
      </x:c>
      <x:c r="M1071" s="2" t="n">
        <x:f>SUM(L$1052:L1071)</x:f>
        <x:v>30</x:v>
      </x:c>
      <x:c r="N1071" s="2" t="n">
        <x:v>0</x:v>
      </x:c>
      <x:c r="O1071" s="2" t="str">
        <x:v>seguimiento</x:v>
      </x:c>
      <x:c r="P1071" s="2" t="n">
        <x:v>0</x:v>
      </x:c>
      <x:c r="Q1071" s="2" t="str">
        <x:v>simulado_didactico</x:v>
      </x:c>
    </x:row>
    <x:row r="1072" ht="19" customHeight="1">
      <x:c r="A1072" s="2" t="str">
        <x:v>SIM-E2-MP-L0-R06</x:v>
      </x:c>
      <x:c r="B1072" s="2" t="n">
        <x:v>3</x:v>
      </x:c>
      <x:c r="C1072" s="2" t="str">
        <x:v>MP</x:v>
      </x:c>
      <x:c r="D1072" s="2" t="str">
        <x:v>Myzus persicae</x:v>
      </x:c>
      <x:c r="E1072" s="2" t="str">
        <x:v>L0</x:v>
      </x:c>
      <x:c r="F1072" s="2" t="n">
        <x:v>6</x:v>
      </x:c>
      <x:c r="G1072" s="2" t="n">
        <x:v>20</x:v>
      </x:c>
      <x:c r="H1072" s="2" t="n">
        <x:f>G1072+Supuestos!$C$15</x:f>
        <x:v>21</x:v>
      </x:c>
      <x:c r="I1072" s="14" t="n">
        <x:f>E2_plantas!J27+G1072</x:f>
        <x:v>46208</x:v>
      </x:c>
      <x:c r="J1072" s="2" t="str">
        <x:v>adulta</x:v>
      </x:c>
      <x:c r="K1072" s="2" t="n">
        <x:v>1</x:v>
      </x:c>
      <x:c r="L1072" s="2" t="n">
        <x:v>2</x:v>
      </x:c>
      <x:c r="M1072" s="2" t="n">
        <x:f>SUM(L$1052:L1072)</x:f>
        <x:v>32</x:v>
      </x:c>
      <x:c r="N1072" s="2" t="n">
        <x:v>0</x:v>
      </x:c>
      <x:c r="O1072" s="2" t="str">
        <x:v>seguimiento</x:v>
      </x:c>
      <x:c r="P1072" s="2" t="n">
        <x:v>0</x:v>
      </x:c>
      <x:c r="Q1072" s="2" t="str">
        <x:v>simulado_didactico</x:v>
      </x:c>
    </x:row>
    <x:row r="1073" ht="19" customHeight="1">
      <x:c r="A1073" s="2" t="str">
        <x:v>SIM-E2-MP-L0-R06</x:v>
      </x:c>
      <x:c r="B1073" s="2" t="n">
        <x:v>3</x:v>
      </x:c>
      <x:c r="C1073" s="2" t="str">
        <x:v>MP</x:v>
      </x:c>
      <x:c r="D1073" s="2" t="str">
        <x:v>Myzus persicae</x:v>
      </x:c>
      <x:c r="E1073" s="2" t="str">
        <x:v>L0</x:v>
      </x:c>
      <x:c r="F1073" s="2" t="n">
        <x:v>6</x:v>
      </x:c>
      <x:c r="G1073" s="2" t="n">
        <x:v>21</x:v>
      </x:c>
      <x:c r="H1073" s="2" t="n">
        <x:f>G1073+Supuestos!$C$15</x:f>
        <x:v>22</x:v>
      </x:c>
      <x:c r="I1073" s="14" t="n">
        <x:f>E2_plantas!J27+G1073</x:f>
        <x:v>46209</x:v>
      </x:c>
      <x:c r="J1073" s="2" t="str">
        <x:v>adulta</x:v>
      </x:c>
      <x:c r="K1073" s="2" t="n">
        <x:v>1</x:v>
      </x:c>
      <x:c r="L1073" s="2" t="n">
        <x:v>3</x:v>
      </x:c>
      <x:c r="M1073" s="2" t="n">
        <x:f>SUM(L$1052:L1073)</x:f>
        <x:v>35</x:v>
      </x:c>
      <x:c r="N1073" s="2" t="n">
        <x:v>0</x:v>
      </x:c>
      <x:c r="O1073" s="2" t="str">
        <x:v>seguimiento</x:v>
      </x:c>
      <x:c r="P1073" s="2" t="n">
        <x:v>0</x:v>
      </x:c>
      <x:c r="Q1073" s="2" t="str">
        <x:v>simulado_didactico</x:v>
      </x:c>
    </x:row>
    <x:row r="1074" ht="19" customHeight="1">
      <x:c r="A1074" s="2" t="str">
        <x:v>SIM-E2-MP-L0-R06</x:v>
      </x:c>
      <x:c r="B1074" s="2" t="n">
        <x:v>3</x:v>
      </x:c>
      <x:c r="C1074" s="2" t="str">
        <x:v>MP</x:v>
      </x:c>
      <x:c r="D1074" s="2" t="str">
        <x:v>Myzus persicae</x:v>
      </x:c>
      <x:c r="E1074" s="2" t="str">
        <x:v>L0</x:v>
      </x:c>
      <x:c r="F1074" s="2" t="n">
        <x:v>6</x:v>
      </x:c>
      <x:c r="G1074" s="2" t="n">
        <x:v>22</x:v>
      </x:c>
      <x:c r="H1074" s="2" t="n">
        <x:f>G1074+Supuestos!$C$15</x:f>
        <x:v>23</x:v>
      </x:c>
      <x:c r="I1074" s="14" t="n">
        <x:f>E2_plantas!J27+G1074</x:f>
        <x:v>46210</x:v>
      </x:c>
      <x:c r="J1074" s="2" t="str">
        <x:v>adulta</x:v>
      </x:c>
      <x:c r="K1074" s="2" t="n">
        <x:v>1</x:v>
      </x:c>
      <x:c r="L1074" s="2" t="n">
        <x:v>2</x:v>
      </x:c>
      <x:c r="M1074" s="2" t="n">
        <x:f>SUM(L$1052:L1074)</x:f>
        <x:v>37</x:v>
      </x:c>
      <x:c r="N1074" s="2" t="n">
        <x:v>0</x:v>
      </x:c>
      <x:c r="O1074" s="2" t="str">
        <x:v>seguimiento</x:v>
      </x:c>
      <x:c r="P1074" s="2" t="n">
        <x:v>0</x:v>
      </x:c>
      <x:c r="Q1074" s="2" t="str">
        <x:v>simulado_didactico</x:v>
      </x:c>
    </x:row>
    <x:row r="1075" ht="19" customHeight="1">
      <x:c r="A1075" s="2" t="str">
        <x:v>SIM-E2-MP-L0-R06</x:v>
      </x:c>
      <x:c r="B1075" s="2" t="n">
        <x:v>3</x:v>
      </x:c>
      <x:c r="C1075" s="2" t="str">
        <x:v>MP</x:v>
      </x:c>
      <x:c r="D1075" s="2" t="str">
        <x:v>Myzus persicae</x:v>
      </x:c>
      <x:c r="E1075" s="2" t="str">
        <x:v>L0</x:v>
      </x:c>
      <x:c r="F1075" s="2" t="n">
        <x:v>6</x:v>
      </x:c>
      <x:c r="G1075" s="2" t="n">
        <x:v>23</x:v>
      </x:c>
      <x:c r="H1075" s="2" t="n">
        <x:f>G1075+Supuestos!$C$15</x:f>
        <x:v>24</x:v>
      </x:c>
      <x:c r="I1075" s="14" t="n">
        <x:f>E2_plantas!J27+G1075</x:f>
        <x:v>46211</x:v>
      </x:c>
      <x:c r="J1075" s="2" t="str">
        <x:v>adulta</x:v>
      </x:c>
      <x:c r="K1075" s="2" t="n">
        <x:v>1</x:v>
      </x:c>
      <x:c r="L1075" s="2" t="n">
        <x:v>1</x:v>
      </x:c>
      <x:c r="M1075" s="2" t="n">
        <x:f>SUM(L$1052:L1075)</x:f>
        <x:v>38</x:v>
      </x:c>
      <x:c r="N1075" s="2" t="n">
        <x:v>0</x:v>
      </x:c>
      <x:c r="O1075" s="2" t="str">
        <x:v>seguimiento</x:v>
      </x:c>
      <x:c r="P1075" s="2" t="n">
        <x:v>0</x:v>
      </x:c>
      <x:c r="Q1075" s="2" t="str">
        <x:v>simulado_didactico</x:v>
      </x:c>
    </x:row>
    <x:row r="1076" ht="19" customHeight="1">
      <x:c r="A1076" s="2" t="str">
        <x:v>SIM-E2-MP-L0-R06</x:v>
      </x:c>
      <x:c r="B1076" s="2" t="n">
        <x:v>3</x:v>
      </x:c>
      <x:c r="C1076" s="2" t="str">
        <x:v>MP</x:v>
      </x:c>
      <x:c r="D1076" s="2" t="str">
        <x:v>Myzus persicae</x:v>
      </x:c>
      <x:c r="E1076" s="2" t="str">
        <x:v>L0</x:v>
      </x:c>
      <x:c r="F1076" s="2" t="n">
        <x:v>6</x:v>
      </x:c>
      <x:c r="G1076" s="2" t="n">
        <x:v>24</x:v>
      </x:c>
      <x:c r="H1076" s="2" t="n">
        <x:f>G1076+Supuestos!$C$15</x:f>
        <x:v>25</x:v>
      </x:c>
      <x:c r="I1076" s="14" t="n">
        <x:f>E2_plantas!J27+G1076</x:f>
        <x:v>46212</x:v>
      </x:c>
      <x:c r="J1076" s="2" t="str">
        <x:v>adulta</x:v>
      </x:c>
      <x:c r="K1076" s="2" t="n">
        <x:v>1</x:v>
      </x:c>
      <x:c r="L1076" s="2" t="n">
        <x:v>2</x:v>
      </x:c>
      <x:c r="M1076" s="2" t="n">
        <x:f>SUM(L$1052:L1076)</x:f>
        <x:v>40</x:v>
      </x:c>
      <x:c r="N1076" s="2" t="n">
        <x:v>0</x:v>
      </x:c>
      <x:c r="O1076" s="2" t="str">
        <x:v>seguimiento</x:v>
      </x:c>
      <x:c r="P1076" s="2" t="n">
        <x:v>0</x:v>
      </x:c>
      <x:c r="Q1076" s="2" t="str">
        <x:v>simulado_didactico</x:v>
      </x:c>
    </x:row>
    <x:row r="1077" ht="19" customHeight="1">
      <x:c r="A1077" s="2" t="str">
        <x:v>SIM-E2-MP-L0-R06</x:v>
      </x:c>
      <x:c r="B1077" s="2" t="n">
        <x:v>3</x:v>
      </x:c>
      <x:c r="C1077" s="2" t="str">
        <x:v>MP</x:v>
      </x:c>
      <x:c r="D1077" s="2" t="str">
        <x:v>Myzus persicae</x:v>
      </x:c>
      <x:c r="E1077" s="2" t="str">
        <x:v>L0</x:v>
      </x:c>
      <x:c r="F1077" s="2" t="n">
        <x:v>6</x:v>
      </x:c>
      <x:c r="G1077" s="2" t="n">
        <x:v>25</x:v>
      </x:c>
      <x:c r="H1077" s="2" t="n">
        <x:f>G1077+Supuestos!$C$15</x:f>
        <x:v>26</x:v>
      </x:c>
      <x:c r="I1077" s="14" t="n">
        <x:f>E2_plantas!J27+G1077</x:f>
        <x:v>46213</x:v>
      </x:c>
      <x:c r="J1077" s="2" t="str">
        <x:v>adulta</x:v>
      </x:c>
      <x:c r="K1077" s="2" t="n">
        <x:v>1</x:v>
      </x:c>
      <x:c r="L1077" s="2" t="n">
        <x:v>3</x:v>
      </x:c>
      <x:c r="M1077" s="2" t="n">
        <x:f>SUM(L$1052:L1077)</x:f>
        <x:v>43</x:v>
      </x:c>
      <x:c r="N1077" s="2" t="n">
        <x:v>0</x:v>
      </x:c>
      <x:c r="O1077" s="2" t="str">
        <x:v>seguimiento</x:v>
      </x:c>
      <x:c r="P1077" s="2" t="n">
        <x:v>0</x:v>
      </x:c>
      <x:c r="Q1077" s="2" t="str">
        <x:v>simulado_didactico</x:v>
      </x:c>
    </x:row>
    <x:row r="1078" ht="19" customHeight="1">
      <x:c r="A1078" s="2" t="str">
        <x:v>SIM-E2-MP-L0-R06</x:v>
      </x:c>
      <x:c r="B1078" s="2" t="n">
        <x:v>3</x:v>
      </x:c>
      <x:c r="C1078" s="2" t="str">
        <x:v>MP</x:v>
      </x:c>
      <x:c r="D1078" s="2" t="str">
        <x:v>Myzus persicae</x:v>
      </x:c>
      <x:c r="E1078" s="2" t="str">
        <x:v>L0</x:v>
      </x:c>
      <x:c r="F1078" s="2" t="n">
        <x:v>6</x:v>
      </x:c>
      <x:c r="G1078" s="2" t="n">
        <x:v>26</x:v>
      </x:c>
      <x:c r="H1078" s="2" t="n">
        <x:f>G1078+Supuestos!$C$15</x:f>
        <x:v>27</x:v>
      </x:c>
      <x:c r="I1078" s="14" t="n">
        <x:f>E2_plantas!J27+G1078</x:f>
        <x:v>46214</x:v>
      </x:c>
      <x:c r="J1078" s="2" t="str">
        <x:v>adulta</x:v>
      </x:c>
      <x:c r="K1078" s="2" t="n">
        <x:v>1</x:v>
      </x:c>
      <x:c r="L1078" s="2" t="n">
        <x:v>0</x:v>
      </x:c>
      <x:c r="M1078" s="2" t="n">
        <x:f>SUM(L$1052:L1078)</x:f>
        <x:v>43</x:v>
      </x:c>
      <x:c r="N1078" s="2" t="n">
        <x:v>0</x:v>
      </x:c>
      <x:c r="O1078" s="2" t="str">
        <x:v>seguimiento</x:v>
      </x:c>
      <x:c r="P1078" s="2" t="n">
        <x:v>0</x:v>
      </x:c>
      <x:c r="Q1078" s="2" t="str">
        <x:v>simulado_didactico</x:v>
      </x:c>
    </x:row>
    <x:row r="1079" ht="19" customHeight="1">
      <x:c r="A1079" s="2" t="str">
        <x:v>SIM-E2-MP-L0-R06</x:v>
      </x:c>
      <x:c r="B1079" s="2" t="n">
        <x:v>3</x:v>
      </x:c>
      <x:c r="C1079" s="2" t="str">
        <x:v>MP</x:v>
      </x:c>
      <x:c r="D1079" s="2" t="str">
        <x:v>Myzus persicae</x:v>
      </x:c>
      <x:c r="E1079" s="2" t="str">
        <x:v>L0</x:v>
      </x:c>
      <x:c r="F1079" s="2" t="n">
        <x:v>6</x:v>
      </x:c>
      <x:c r="G1079" s="2" t="n">
        <x:v>27</x:v>
      </x:c>
      <x:c r="H1079" s="2" t="n">
        <x:f>G1079+Supuestos!$C$15</x:f>
        <x:v>28</x:v>
      </x:c>
      <x:c r="I1079" s="14" t="n">
        <x:f>E2_plantas!J27+G1079</x:f>
        <x:v>46215</x:v>
      </x:c>
      <x:c r="J1079" s="2" t="str">
        <x:v>adulta</x:v>
      </x:c>
      <x:c r="K1079" s="2" t="n">
        <x:v>1</x:v>
      </x:c>
      <x:c r="L1079" s="2" t="n">
        <x:v>0</x:v>
      </x:c>
      <x:c r="M1079" s="2" t="n">
        <x:f>SUM(L$1052:L1079)</x:f>
        <x:v>43</x:v>
      </x:c>
      <x:c r="N1079" s="2" t="n">
        <x:v>0</x:v>
      </x:c>
      <x:c r="O1079" s="2" t="str">
        <x:v>seguimiento</x:v>
      </x:c>
      <x:c r="P1079" s="2" t="n">
        <x:v>0</x:v>
      </x:c>
      <x:c r="Q1079" s="2" t="str">
        <x:v>simulado_didactico</x:v>
      </x:c>
    </x:row>
    <x:row r="1080" ht="19" customHeight="1">
      <x:c r="A1080" s="2" t="str">
        <x:v>SIM-E2-MP-L0-R06</x:v>
      </x:c>
      <x:c r="B1080" s="2" t="n">
        <x:v>3</x:v>
      </x:c>
      <x:c r="C1080" s="2" t="str">
        <x:v>MP</x:v>
      </x:c>
      <x:c r="D1080" s="2" t="str">
        <x:v>Myzus persicae</x:v>
      </x:c>
      <x:c r="E1080" s="2" t="str">
        <x:v>L0</x:v>
      </x:c>
      <x:c r="F1080" s="2" t="n">
        <x:v>6</x:v>
      </x:c>
      <x:c r="G1080" s="2" t="n">
        <x:v>28</x:v>
      </x:c>
      <x:c r="H1080" s="2" t="n">
        <x:f>G1080+Supuestos!$C$15</x:f>
        <x:v>29</x:v>
      </x:c>
      <x:c r="I1080" s="14" t="n">
        <x:f>E2_plantas!J27+G1080</x:f>
        <x:v>46216</x:v>
      </x:c>
      <x:c r="J1080" s="2" t="str">
        <x:v>adulta</x:v>
      </x:c>
      <x:c r="K1080" s="2" t="n">
        <x:v>1</x:v>
      </x:c>
      <x:c r="L1080" s="2" t="n">
        <x:v>0</x:v>
      </x:c>
      <x:c r="M1080" s="2" t="n">
        <x:f>SUM(L$1052:L1080)</x:f>
        <x:v>43</x:v>
      </x:c>
      <x:c r="N1080" s="2" t="n">
        <x:v>0</x:v>
      </x:c>
      <x:c r="O1080" s="2" t="str">
        <x:v>seguimiento</x:v>
      </x:c>
      <x:c r="P1080" s="2" t="n">
        <x:v>0</x:v>
      </x:c>
      <x:c r="Q1080" s="2" t="str">
        <x:v>simulado_didactico</x:v>
      </x:c>
    </x:row>
    <x:row r="1081" ht="19" customHeight="1">
      <x:c r="A1081" s="2" t="str">
        <x:v>SIM-E2-MP-L0-R06</x:v>
      </x:c>
      <x:c r="B1081" s="2" t="n">
        <x:v>3</x:v>
      </x:c>
      <x:c r="C1081" s="2" t="str">
        <x:v>MP</x:v>
      </x:c>
      <x:c r="D1081" s="2" t="str">
        <x:v>Myzus persicae</x:v>
      </x:c>
      <x:c r="E1081" s="2" t="str">
        <x:v>L0</x:v>
      </x:c>
      <x:c r="F1081" s="2" t="n">
        <x:v>6</x:v>
      </x:c>
      <x:c r="G1081" s="2" t="n">
        <x:v>29</x:v>
      </x:c>
      <x:c r="H1081" s="2" t="n">
        <x:f>G1081+Supuestos!$C$15</x:f>
        <x:v>30</x:v>
      </x:c>
      <x:c r="I1081" s="14" t="n">
        <x:f>E2_plantas!J27+G1081</x:f>
        <x:v>46217</x:v>
      </x:c>
      <x:c r="J1081" s="2" t="str">
        <x:v>adulta</x:v>
      </x:c>
      <x:c r="K1081" s="2" t="n">
        <x:v>1</x:v>
      </x:c>
      <x:c r="L1081" s="2" t="n">
        <x:v>2</x:v>
      </x:c>
      <x:c r="M1081" s="2" t="n">
        <x:f>SUM(L$1052:L1081)</x:f>
        <x:v>45</x:v>
      </x:c>
      <x:c r="N1081" s="2" t="n">
        <x:v>0</x:v>
      </x:c>
      <x:c r="O1081" s="2" t="str">
        <x:v>seguimiento</x:v>
      </x:c>
      <x:c r="P1081" s="2" t="n">
        <x:v>0</x:v>
      </x:c>
      <x:c r="Q1081" s="2" t="str">
        <x:v>simulado_didactico</x:v>
      </x:c>
    </x:row>
    <x:row r="1082" ht="19" customHeight="1">
      <x:c r="A1082" s="2" t="str">
        <x:v>SIM-E2-MP-L0-R06</x:v>
      </x:c>
      <x:c r="B1082" s="2" t="n">
        <x:v>3</x:v>
      </x:c>
      <x:c r="C1082" s="2" t="str">
        <x:v>MP</x:v>
      </x:c>
      <x:c r="D1082" s="2" t="str">
        <x:v>Myzus persicae</x:v>
      </x:c>
      <x:c r="E1082" s="2" t="str">
        <x:v>L0</x:v>
      </x:c>
      <x:c r="F1082" s="2" t="n">
        <x:v>6</x:v>
      </x:c>
      <x:c r="G1082" s="2" t="n">
        <x:v>30</x:v>
      </x:c>
      <x:c r="H1082" s="2" t="n">
        <x:f>G1082+Supuestos!$C$15</x:f>
        <x:v>31</x:v>
      </x:c>
      <x:c r="I1082" s="14" t="n">
        <x:f>E2_plantas!J27+G1082</x:f>
        <x:v>46218</x:v>
      </x:c>
      <x:c r="J1082" s="2" t="str">
        <x:v>adulta</x:v>
      </x:c>
      <x:c r="K1082" s="2" t="n">
        <x:v>1</x:v>
      </x:c>
      <x:c r="L1082" s="2" t="n">
        <x:v>1</x:v>
      </x:c>
      <x:c r="M1082" s="2" t="n">
        <x:f>SUM(L$1052:L1082)</x:f>
        <x:v>46</x:v>
      </x:c>
      <x:c r="N1082" s="2" t="n">
        <x:v>0</x:v>
      </x:c>
      <x:c r="O1082" s="2" t="str">
        <x:v>seguimiento</x:v>
      </x:c>
      <x:c r="P1082" s="2" t="n">
        <x:v>0</x:v>
      </x:c>
      <x:c r="Q1082" s="2" t="str">
        <x:v>simulado_didactico</x:v>
      </x:c>
    </x:row>
    <x:row r="1083" ht="19" customHeight="1">
      <x:c r="A1083" s="2" t="str">
        <x:v>SIM-E2-MP-L0-R06</x:v>
      </x:c>
      <x:c r="B1083" s="2" t="n">
        <x:v>3</x:v>
      </x:c>
      <x:c r="C1083" s="2" t="str">
        <x:v>MP</x:v>
      </x:c>
      <x:c r="D1083" s="2" t="str">
        <x:v>Myzus persicae</x:v>
      </x:c>
      <x:c r="E1083" s="2" t="str">
        <x:v>L0</x:v>
      </x:c>
      <x:c r="F1083" s="2" t="n">
        <x:v>6</x:v>
      </x:c>
      <x:c r="G1083" s="2" t="n">
        <x:v>31</x:v>
      </x:c>
      <x:c r="H1083" s="2" t="n">
        <x:f>G1083+Supuestos!$C$15</x:f>
        <x:v>32</x:v>
      </x:c>
      <x:c r="I1083" s="14" t="n">
        <x:f>E2_plantas!J27+G1083</x:f>
        <x:v>46219</x:v>
      </x:c>
      <x:c r="J1083" s="2" t="str">
        <x:v>adulta</x:v>
      </x:c>
      <x:c r="K1083" s="2" t="n">
        <x:v>1</x:v>
      </x:c>
      <x:c r="L1083" s="2" t="n">
        <x:v>2</x:v>
      </x:c>
      <x:c r="M1083" s="2" t="n">
        <x:f>SUM(L$1052:L1083)</x:f>
        <x:v>48</x:v>
      </x:c>
      <x:c r="N1083" s="2" t="n">
        <x:v>0</x:v>
      </x:c>
      <x:c r="O1083" s="2" t="str">
        <x:v>seguimiento</x:v>
      </x:c>
      <x:c r="P1083" s="2" t="n">
        <x:v>0</x:v>
      </x:c>
      <x:c r="Q1083" s="2" t="str">
        <x:v>simulado_didactico</x:v>
      </x:c>
    </x:row>
    <x:row r="1084" ht="19" customHeight="1">
      <x:c r="A1084" s="2" t="str">
        <x:v>SIM-E2-MP-L0-R06</x:v>
      </x:c>
      <x:c r="B1084" s="2" t="n">
        <x:v>3</x:v>
      </x:c>
      <x:c r="C1084" s="2" t="str">
        <x:v>MP</x:v>
      </x:c>
      <x:c r="D1084" s="2" t="str">
        <x:v>Myzus persicae</x:v>
      </x:c>
      <x:c r="E1084" s="2" t="str">
        <x:v>L0</x:v>
      </x:c>
      <x:c r="F1084" s="2" t="n">
        <x:v>6</x:v>
      </x:c>
      <x:c r="G1084" s="2" t="n">
        <x:v>32</x:v>
      </x:c>
      <x:c r="H1084" s="2" t="n">
        <x:f>G1084+Supuestos!$C$15</x:f>
        <x:v>33</x:v>
      </x:c>
      <x:c r="I1084" s="14" t="n">
        <x:f>E2_plantas!J27+G1084</x:f>
        <x:v>46220</x:v>
      </x:c>
      <x:c r="J1084" s="2" t="str">
        <x:v>adulta</x:v>
      </x:c>
      <x:c r="K1084" s="2" t="n">
        <x:v>1</x:v>
      </x:c>
      <x:c r="L1084" s="2" t="n">
        <x:v>1</x:v>
      </x:c>
      <x:c r="M1084" s="2" t="n">
        <x:f>SUM(L$1052:L1084)</x:f>
        <x:v>49</x:v>
      </x:c>
      <x:c r="N1084" s="2" t="n">
        <x:v>0</x:v>
      </x:c>
      <x:c r="O1084" s="2" t="str">
        <x:v>seguimiento</x:v>
      </x:c>
      <x:c r="P1084" s="2" t="n">
        <x:v>0</x:v>
      </x:c>
      <x:c r="Q1084" s="2" t="str">
        <x:v>simulado_didactico</x:v>
      </x:c>
    </x:row>
    <x:row r="1085" ht="19" customHeight="1">
      <x:c r="A1085" s="2" t="str">
        <x:v>SIM-E2-MP-L0-R06</x:v>
      </x:c>
      <x:c r="B1085" s="2" t="n">
        <x:v>3</x:v>
      </x:c>
      <x:c r="C1085" s="2" t="str">
        <x:v>MP</x:v>
      </x:c>
      <x:c r="D1085" s="2" t="str">
        <x:v>Myzus persicae</x:v>
      </x:c>
      <x:c r="E1085" s="2" t="str">
        <x:v>L0</x:v>
      </x:c>
      <x:c r="F1085" s="2" t="n">
        <x:v>6</x:v>
      </x:c>
      <x:c r="G1085" s="2" t="n">
        <x:v>33</x:v>
      </x:c>
      <x:c r="H1085" s="2" t="n">
        <x:f>G1085+Supuestos!$C$15</x:f>
        <x:v>34</x:v>
      </x:c>
      <x:c r="I1085" s="14" t="n">
        <x:f>E2_plantas!J27+G1085</x:f>
        <x:v>46221</x:v>
      </x:c>
      <x:c r="J1085" s="2" t="str">
        <x:v>adulta</x:v>
      </x:c>
      <x:c r="K1085" s="2" t="n">
        <x:v>1</x:v>
      </x:c>
      <x:c r="L1085" s="2" t="n">
        <x:v>1</x:v>
      </x:c>
      <x:c r="M1085" s="2" t="n">
        <x:f>SUM(L$1052:L1085)</x:f>
        <x:v>50</x:v>
      </x:c>
      <x:c r="N1085" s="2" t="n">
        <x:v>0</x:v>
      </x:c>
      <x:c r="O1085" s="2" t="str">
        <x:v>seguimiento</x:v>
      </x:c>
      <x:c r="P1085" s="2" t="n">
        <x:v>0</x:v>
      </x:c>
      <x:c r="Q1085" s="2" t="str">
        <x:v>simulado_didactico</x:v>
      </x:c>
    </x:row>
    <x:row r="1086" ht="19" customHeight="1">
      <x:c r="A1086" s="2" t="str">
        <x:v>SIM-E2-MP-L0-R06</x:v>
      </x:c>
      <x:c r="B1086" s="2" t="n">
        <x:v>3</x:v>
      </x:c>
      <x:c r="C1086" s="2" t="str">
        <x:v>MP</x:v>
      </x:c>
      <x:c r="D1086" s="2" t="str">
        <x:v>Myzus persicae</x:v>
      </x:c>
      <x:c r="E1086" s="2" t="str">
        <x:v>L0</x:v>
      </x:c>
      <x:c r="F1086" s="2" t="n">
        <x:v>6</x:v>
      </x:c>
      <x:c r="G1086" s="2" t="n">
        <x:v>34</x:v>
      </x:c>
      <x:c r="H1086" s="2" t="n">
        <x:f>G1086+Supuestos!$C$15</x:f>
        <x:v>35</x:v>
      </x:c>
      <x:c r="I1086" s="14" t="n">
        <x:f>E2_plantas!J27+G1086</x:f>
        <x:v>46222</x:v>
      </x:c>
      <x:c r="J1086" s="2" t="str">
        <x:v>adulta</x:v>
      </x:c>
      <x:c r="K1086" s="2" t="n">
        <x:v>1</x:v>
      </x:c>
      <x:c r="L1086" s="2" t="n">
        <x:v>1</x:v>
      </x:c>
      <x:c r="M1086" s="2" t="n">
        <x:f>SUM(L$1052:L1086)</x:f>
        <x:v>51</x:v>
      </x:c>
      <x:c r="N1086" s="2" t="n">
        <x:v>0</x:v>
      </x:c>
      <x:c r="O1086" s="2" t="str">
        <x:v>seguimiento</x:v>
      </x:c>
      <x:c r="P1086" s="2" t="n">
        <x:v>0</x:v>
      </x:c>
      <x:c r="Q1086" s="2" t="str">
        <x:v>simulado_didactico</x:v>
      </x:c>
    </x:row>
    <x:row r="1087" ht="19" customHeight="1">
      <x:c r="A1087" s="2" t="str">
        <x:v>SIM-E2-MP-L0-R06</x:v>
      </x:c>
      <x:c r="B1087" s="2" t="n">
        <x:v>3</x:v>
      </x:c>
      <x:c r="C1087" s="2" t="str">
        <x:v>MP</x:v>
      </x:c>
      <x:c r="D1087" s="2" t="str">
        <x:v>Myzus persicae</x:v>
      </x:c>
      <x:c r="E1087" s="2" t="str">
        <x:v>L0</x:v>
      </x:c>
      <x:c r="F1087" s="2" t="n">
        <x:v>6</x:v>
      </x:c>
      <x:c r="G1087" s="2" t="n">
        <x:v>35</x:v>
      </x:c>
      <x:c r="H1087" s="2" t="n">
        <x:f>G1087+Supuestos!$C$15</x:f>
        <x:v>36</x:v>
      </x:c>
      <x:c r="I1087" s="14" t="n">
        <x:f>E2_plantas!J27+G1087</x:f>
        <x:v>46223</x:v>
      </x:c>
      <x:c r="J1087" s="2" t="str">
        <x:v>adulta</x:v>
      </x:c>
      <x:c r="K1087" s="2" t="n">
        <x:v>1</x:v>
      </x:c>
      <x:c r="L1087" s="2" t="n">
        <x:v>0</x:v>
      </x:c>
      <x:c r="M1087" s="2" t="n">
        <x:f>SUM(L$1052:L1087)</x:f>
        <x:v>51</x:v>
      </x:c>
      <x:c r="N1087" s="2" t="n">
        <x:v>0</x:v>
      </x:c>
      <x:c r="O1087" s="2" t="str">
        <x:v>seguimiento</x:v>
      </x:c>
      <x:c r="P1087" s="2" t="n">
        <x:v>0</x:v>
      </x:c>
      <x:c r="Q1087" s="2" t="str">
        <x:v>simulado_didactico</x:v>
      </x:c>
    </x:row>
    <x:row r="1088" ht="19" customHeight="1">
      <x:c r="A1088" s="2" t="str">
        <x:v>SIM-E2-MP-L0-R06</x:v>
      </x:c>
      <x:c r="B1088" s="2" t="n">
        <x:v>3</x:v>
      </x:c>
      <x:c r="C1088" s="2" t="str">
        <x:v>MP</x:v>
      </x:c>
      <x:c r="D1088" s="2" t="str">
        <x:v>Myzus persicae</x:v>
      </x:c>
      <x:c r="E1088" s="2" t="str">
        <x:v>L0</x:v>
      </x:c>
      <x:c r="F1088" s="2" t="n">
        <x:v>6</x:v>
      </x:c>
      <x:c r="G1088" s="2" t="n">
        <x:v>36</x:v>
      </x:c>
      <x:c r="H1088" s="2" t="n">
        <x:f>G1088+Supuestos!$C$15</x:f>
        <x:v>37</x:v>
      </x:c>
      <x:c r="I1088" s="14" t="n">
        <x:f>E2_plantas!J27+G1088</x:f>
        <x:v>46224</x:v>
      </x:c>
      <x:c r="J1088" s="2" t="str">
        <x:v>adulta</x:v>
      </x:c>
      <x:c r="K1088" s="2" t="n">
        <x:v>1</x:v>
      </x:c>
      <x:c r="L1088" s="2" t="n">
        <x:v>1</x:v>
      </x:c>
      <x:c r="M1088" s="2" t="n">
        <x:f>SUM(L$1052:L1088)</x:f>
        <x:v>52</x:v>
      </x:c>
      <x:c r="N1088" s="2" t="n">
        <x:v>0</x:v>
      </x:c>
      <x:c r="O1088" s="2" t="str">
        <x:v>seguimiento</x:v>
      </x:c>
      <x:c r="P1088" s="2" t="n">
        <x:v>0</x:v>
      </x:c>
      <x:c r="Q1088" s="2" t="str">
        <x:v>simulado_didactico</x:v>
      </x:c>
    </x:row>
    <x:row r="1089" ht="19" customHeight="1">
      <x:c r="A1089" s="2" t="str">
        <x:v>SIM-E2-MP-L0-R06</x:v>
      </x:c>
      <x:c r="B1089" s="2" t="n">
        <x:v>3</x:v>
      </x:c>
      <x:c r="C1089" s="2" t="str">
        <x:v>MP</x:v>
      </x:c>
      <x:c r="D1089" s="2" t="str">
        <x:v>Myzus persicae</x:v>
      </x:c>
      <x:c r="E1089" s="2" t="str">
        <x:v>L0</x:v>
      </x:c>
      <x:c r="F1089" s="2" t="n">
        <x:v>6</x:v>
      </x:c>
      <x:c r="G1089" s="2" t="n">
        <x:v>37</x:v>
      </x:c>
      <x:c r="H1089" s="2" t="n">
        <x:f>G1089+Supuestos!$C$15</x:f>
        <x:v>38</x:v>
      </x:c>
      <x:c r="I1089" s="14" t="n">
        <x:f>E2_plantas!J27+G1089</x:f>
        <x:v>46225</x:v>
      </x:c>
      <x:c r="J1089" s="2" t="str">
        <x:v>adulta</x:v>
      </x:c>
      <x:c r="K1089" s="2" t="n">
        <x:v>1</x:v>
      </x:c>
      <x:c r="L1089" s="2" t="n">
        <x:v>1</x:v>
      </x:c>
      <x:c r="M1089" s="2" t="n">
        <x:f>SUM(L$1052:L1089)</x:f>
        <x:v>53</x:v>
      </x:c>
      <x:c r="N1089" s="2" t="n">
        <x:v>0</x:v>
      </x:c>
      <x:c r="O1089" s="2" t="str">
        <x:v>seguimiento</x:v>
      </x:c>
      <x:c r="P1089" s="2" t="n">
        <x:v>0</x:v>
      </x:c>
      <x:c r="Q1089" s="2" t="str">
        <x:v>simulado_didactico</x:v>
      </x:c>
    </x:row>
    <x:row r="1090" ht="19" customHeight="1">
      <x:c r="A1090" s="2" t="str">
        <x:v>SIM-E2-MP-L0-R06</x:v>
      </x:c>
      <x:c r="B1090" s="2" t="n">
        <x:v>3</x:v>
      </x:c>
      <x:c r="C1090" s="2" t="str">
        <x:v>MP</x:v>
      </x:c>
      <x:c r="D1090" s="2" t="str">
        <x:v>Myzus persicae</x:v>
      </x:c>
      <x:c r="E1090" s="2" t="str">
        <x:v>L0</x:v>
      </x:c>
      <x:c r="F1090" s="2" t="n">
        <x:v>6</x:v>
      </x:c>
      <x:c r="G1090" s="2" t="n">
        <x:v>38</x:v>
      </x:c>
      <x:c r="H1090" s="2" t="n">
        <x:f>G1090+Supuestos!$C$15</x:f>
        <x:v>39</x:v>
      </x:c>
      <x:c r="I1090" s="14" t="n">
        <x:f>E2_plantas!J27+G1090</x:f>
        <x:v>46226</x:v>
      </x:c>
      <x:c r="J1090" s="2" t="str">
        <x:v>adulta</x:v>
      </x:c>
      <x:c r="K1090" s="2" t="n">
        <x:v>1</x:v>
      </x:c>
      <x:c r="L1090" s="2" t="n">
        <x:v>0</x:v>
      </x:c>
      <x:c r="M1090" s="2" t="n">
        <x:f>SUM(L$1052:L1090)</x:f>
        <x:v>53</x:v>
      </x:c>
      <x:c r="N1090" s="2" t="n">
        <x:v>0</x:v>
      </x:c>
      <x:c r="O1090" s="2" t="str">
        <x:v>seguimiento</x:v>
      </x:c>
      <x:c r="P1090" s="2" t="n">
        <x:v>0</x:v>
      </x:c>
      <x:c r="Q1090" s="2" t="str">
        <x:v>simulado_didactico</x:v>
      </x:c>
    </x:row>
    <x:row r="1091" ht="19" customHeight="1">
      <x:c r="A1091" s="2" t="str">
        <x:v>SIM-E2-MP-L0-R06</x:v>
      </x:c>
      <x:c r="B1091" s="2" t="n">
        <x:v>3</x:v>
      </x:c>
      <x:c r="C1091" s="2" t="str">
        <x:v>MP</x:v>
      </x:c>
      <x:c r="D1091" s="2" t="str">
        <x:v>Myzus persicae</x:v>
      </x:c>
      <x:c r="E1091" s="2" t="str">
        <x:v>L0</x:v>
      </x:c>
      <x:c r="F1091" s="2" t="n">
        <x:v>6</x:v>
      </x:c>
      <x:c r="G1091" s="2" t="n">
        <x:v>39</x:v>
      </x:c>
      <x:c r="H1091" s="2" t="n">
        <x:f>G1091+Supuestos!$C$15</x:f>
        <x:v>40</x:v>
      </x:c>
      <x:c r="I1091" s="14" t="n">
        <x:f>E2_plantas!J27+G1091</x:f>
        <x:v>46227</x:v>
      </x:c>
      <x:c r="J1091" s="2" t="str">
        <x:v>adulta</x:v>
      </x:c>
      <x:c r="K1091" s="2" t="n">
        <x:v>1</x:v>
      </x:c>
      <x:c r="L1091" s="2" t="n">
        <x:v>0</x:v>
      </x:c>
      <x:c r="M1091" s="2" t="n">
        <x:f>SUM(L$1052:L1091)</x:f>
        <x:v>53</x:v>
      </x:c>
      <x:c r="N1091" s="2" t="n">
        <x:v>0</x:v>
      </x:c>
      <x:c r="O1091" s="2" t="str">
        <x:v>seguimiento</x:v>
      </x:c>
      <x:c r="P1091" s="2" t="n">
        <x:v>0</x:v>
      </x:c>
      <x:c r="Q1091" s="2" t="str">
        <x:v>simulado_didactico</x:v>
      </x:c>
    </x:row>
    <x:row r="1092" ht="19" customHeight="1">
      <x:c r="A1092" s="2" t="str">
        <x:v>SIM-E2-MP-L0-R06</x:v>
      </x:c>
      <x:c r="B1092" s="2" t="n">
        <x:v>3</x:v>
      </x:c>
      <x:c r="C1092" s="2" t="str">
        <x:v>MP</x:v>
      </x:c>
      <x:c r="D1092" s="2" t="str">
        <x:v>Myzus persicae</x:v>
      </x:c>
      <x:c r="E1092" s="2" t="str">
        <x:v>L0</x:v>
      </x:c>
      <x:c r="F1092" s="2" t="n">
        <x:v>6</x:v>
      </x:c>
      <x:c r="G1092" s="2" t="n">
        <x:v>40</x:v>
      </x:c>
      <x:c r="H1092" s="2" t="n">
        <x:f>G1092+Supuestos!$C$15</x:f>
        <x:v>41</x:v>
      </x:c>
      <x:c r="I1092" s="14" t="n">
        <x:f>E2_plantas!J27+G1092</x:f>
        <x:v>46228</x:v>
      </x:c>
      <x:c r="J1092" s="2" t="str">
        <x:v>adulta</x:v>
      </x:c>
      <x:c r="K1092" s="2" t="n">
        <x:v>1</x:v>
      </x:c>
      <x:c r="L1092" s="2" t="n">
        <x:v>0</x:v>
      </x:c>
      <x:c r="M1092" s="2" t="n">
        <x:f>SUM(L$1052:L1092)</x:f>
        <x:v>53</x:v>
      </x:c>
      <x:c r="N1092" s="2" t="n">
        <x:v>0</x:v>
      </x:c>
      <x:c r="O1092" s="2" t="str">
        <x:v>seguimiento</x:v>
      </x:c>
      <x:c r="P1092" s="2" t="n">
        <x:v>0</x:v>
      </x:c>
      <x:c r="Q1092" s="2" t="str">
        <x:v>simulado_didactico</x:v>
      </x:c>
    </x:row>
    <x:row r="1093" ht="19" customHeight="1">
      <x:c r="A1093" s="2" t="str">
        <x:v>SIM-E2-MP-L0-R06</x:v>
      </x:c>
      <x:c r="B1093" s="2" t="n">
        <x:v>3</x:v>
      </x:c>
      <x:c r="C1093" s="2" t="str">
        <x:v>MP</x:v>
      </x:c>
      <x:c r="D1093" s="2" t="str">
        <x:v>Myzus persicae</x:v>
      </x:c>
      <x:c r="E1093" s="2" t="str">
        <x:v>L0</x:v>
      </x:c>
      <x:c r="F1093" s="2" t="n">
        <x:v>6</x:v>
      </x:c>
      <x:c r="G1093" s="2" t="n">
        <x:v>41</x:v>
      </x:c>
      <x:c r="H1093" s="2" t="n">
        <x:f>G1093+Supuestos!$C$15</x:f>
        <x:v>42</x:v>
      </x:c>
      <x:c r="I1093" s="14" t="n">
        <x:f>E2_plantas!J27+G1093</x:f>
        <x:v>46229</x:v>
      </x:c>
      <x:c r="J1093" s="2" t="str">
        <x:v>muerta</x:v>
      </x:c>
      <x:c r="K1093" s="2" t="n">
        <x:v>0</x:v>
      </x:c>
      <x:c r="L1093" s="2" t="n">
        <x:v>0</x:v>
      </x:c>
      <x:c r="M1093" s="2" t="n">
        <x:f>SUM(L$1052:L1093)</x:f>
        <x:v>53</x:v>
      </x:c>
      <x:c r="N1093" s="2" t="n">
        <x:v>1</x:v>
      </x:c>
      <x:c r="O1093" s="2" t="str">
        <x:v>muerte</x:v>
      </x:c>
      <x:c r="P1093" s="2" t="n">
        <x:v>0</x:v>
      </x:c>
      <x:c r="Q1093" s="2" t="str">
        <x:v>simulado_didactico</x:v>
      </x:c>
    </x:row>
    <x:row r="1094" ht="19" customHeight="1">
      <x:c r="A1094" s="2" t="str">
        <x:v>SIM-E2-MP-L8-R05</x:v>
      </x:c>
      <x:c r="B1094" s="2" t="n">
        <x:v>3</x:v>
      </x:c>
      <x:c r="C1094" s="2" t="str">
        <x:v>MP</x:v>
      </x:c>
      <x:c r="D1094" s="2" t="str">
        <x:v>Myzus persicae</x:v>
      </x:c>
      <x:c r="E1094" s="2" t="str">
        <x:v>L8</x:v>
      </x:c>
      <x:c r="F1094" s="2" t="n">
        <x:v>5</x:v>
      </x:c>
      <x:c r="G1094" s="2" t="n">
        <x:v>0</x:v>
      </x:c>
      <x:c r="H1094" s="2" t="n">
        <x:f>G1094+Supuestos!$C$15</x:f>
        <x:v>1</x:v>
      </x:c>
      <x:c r="I1094" s="14" t="n">
        <x:f>E2_plantas!J28+G1094</x:f>
        <x:v>46188</x:v>
      </x:c>
      <x:c r="J1094" s="2" t="str">
        <x:v>N1</x:v>
      </x:c>
      <x:c r="K1094" s="2" t="n">
        <x:v>1</x:v>
      </x:c>
      <x:c r="L1094" s="2" t="n">
        <x:v>0</x:v>
      </x:c>
      <x:c r="M1094" s="2" t="n">
        <x:f>SUM(L$1094:L1094)</x:f>
        <x:v>0</x:v>
      </x:c>
      <x:c r="N1094" s="2" t="n">
        <x:v>0</x:v>
      </x:c>
      <x:c r="O1094" s="2" t="str">
        <x:v>seguimiento</x:v>
      </x:c>
      <x:c r="P1094" s="2" t="n">
        <x:v>0</x:v>
      </x:c>
      <x:c r="Q1094" s="2" t="str">
        <x:v>simulado_didactico</x:v>
      </x:c>
    </x:row>
    <x:row r="1095" ht="19" customHeight="1">
      <x:c r="A1095" s="2" t="str">
        <x:v>SIM-E2-MP-L8-R05</x:v>
      </x:c>
      <x:c r="B1095" s="2" t="n">
        <x:v>3</x:v>
      </x:c>
      <x:c r="C1095" s="2" t="str">
        <x:v>MP</x:v>
      </x:c>
      <x:c r="D1095" s="2" t="str">
        <x:v>Myzus persicae</x:v>
      </x:c>
      <x:c r="E1095" s="2" t="str">
        <x:v>L8</x:v>
      </x:c>
      <x:c r="F1095" s="2" t="n">
        <x:v>5</x:v>
      </x:c>
      <x:c r="G1095" s="2" t="n">
        <x:v>1</x:v>
      </x:c>
      <x:c r="H1095" s="2" t="n">
        <x:f>G1095+Supuestos!$C$15</x:f>
        <x:v>2</x:v>
      </x:c>
      <x:c r="I1095" s="14" t="n">
        <x:f>E2_plantas!J28+G1095</x:f>
        <x:v>46189</x:v>
      </x:c>
      <x:c r="J1095" s="2" t="str">
        <x:v>N1</x:v>
      </x:c>
      <x:c r="K1095" s="2" t="n">
        <x:v>1</x:v>
      </x:c>
      <x:c r="L1095" s="2" t="n">
        <x:v>0</x:v>
      </x:c>
      <x:c r="M1095" s="2" t="n">
        <x:f>SUM(L$1094:L1095)</x:f>
        <x:v>0</x:v>
      </x:c>
      <x:c r="N1095" s="2" t="n">
        <x:v>0</x:v>
      </x:c>
      <x:c r="O1095" s="2" t="str">
        <x:v>seguimiento</x:v>
      </x:c>
      <x:c r="P1095" s="2" t="n">
        <x:v>0</x:v>
      </x:c>
      <x:c r="Q1095" s="2" t="str">
        <x:v>simulado_didactico</x:v>
      </x:c>
    </x:row>
    <x:row r="1096" ht="19" customHeight="1">
      <x:c r="A1096" s="2" t="str">
        <x:v>SIM-E2-MP-L8-R05</x:v>
      </x:c>
      <x:c r="B1096" s="2" t="n">
        <x:v>3</x:v>
      </x:c>
      <x:c r="C1096" s="2" t="str">
        <x:v>MP</x:v>
      </x:c>
      <x:c r="D1096" s="2" t="str">
        <x:v>Myzus persicae</x:v>
      </x:c>
      <x:c r="E1096" s="2" t="str">
        <x:v>L8</x:v>
      </x:c>
      <x:c r="F1096" s="2" t="n">
        <x:v>5</x:v>
      </x:c>
      <x:c r="G1096" s="2" t="n">
        <x:v>2</x:v>
      </x:c>
      <x:c r="H1096" s="2" t="n">
        <x:f>G1096+Supuestos!$C$15</x:f>
        <x:v>3</x:v>
      </x:c>
      <x:c r="I1096" s="14" t="n">
        <x:f>E2_plantas!J28+G1096</x:f>
        <x:v>46190</x:v>
      </x:c>
      <x:c r="J1096" s="2" t="str">
        <x:v>N2</x:v>
      </x:c>
      <x:c r="K1096" s="2" t="n">
        <x:v>1</x:v>
      </x:c>
      <x:c r="L1096" s="2" t="n">
        <x:v>0</x:v>
      </x:c>
      <x:c r="M1096" s="2" t="n">
        <x:f>SUM(L$1094:L1096)</x:f>
        <x:v>0</x:v>
      </x:c>
      <x:c r="N1096" s="2" t="n">
        <x:v>0</x:v>
      </x:c>
      <x:c r="O1096" s="2" t="str">
        <x:v>seguimiento</x:v>
      </x:c>
      <x:c r="P1096" s="2" t="n">
        <x:v>0</x:v>
      </x:c>
      <x:c r="Q1096" s="2" t="str">
        <x:v>simulado_didactico</x:v>
      </x:c>
    </x:row>
    <x:row r="1097" ht="19" customHeight="1">
      <x:c r="A1097" s="2" t="str">
        <x:v>SIM-E2-MP-L8-R05</x:v>
      </x:c>
      <x:c r="B1097" s="2" t="n">
        <x:v>3</x:v>
      </x:c>
      <x:c r="C1097" s="2" t="str">
        <x:v>MP</x:v>
      </x:c>
      <x:c r="D1097" s="2" t="str">
        <x:v>Myzus persicae</x:v>
      </x:c>
      <x:c r="E1097" s="2" t="str">
        <x:v>L8</x:v>
      </x:c>
      <x:c r="F1097" s="2" t="n">
        <x:v>5</x:v>
      </x:c>
      <x:c r="G1097" s="2" t="n">
        <x:v>3</x:v>
      </x:c>
      <x:c r="H1097" s="2" t="n">
        <x:f>G1097+Supuestos!$C$15</x:f>
        <x:v>4</x:v>
      </x:c>
      <x:c r="I1097" s="14" t="n">
        <x:f>E2_plantas!J28+G1097</x:f>
        <x:v>46191</x:v>
      </x:c>
      <x:c r="J1097" s="2" t="str">
        <x:v>N2</x:v>
      </x:c>
      <x:c r="K1097" s="2" t="n">
        <x:v>1</x:v>
      </x:c>
      <x:c r="L1097" s="2" t="n">
        <x:v>0</x:v>
      </x:c>
      <x:c r="M1097" s="2" t="n">
        <x:f>SUM(L$1094:L1097)</x:f>
        <x:v>0</x:v>
      </x:c>
      <x:c r="N1097" s="2" t="n">
        <x:v>0</x:v>
      </x:c>
      <x:c r="O1097" s="2" t="str">
        <x:v>seguimiento</x:v>
      </x:c>
      <x:c r="P1097" s="2" t="n">
        <x:v>0</x:v>
      </x:c>
      <x:c r="Q1097" s="2" t="str">
        <x:v>simulado_didactico</x:v>
      </x:c>
    </x:row>
    <x:row r="1098" ht="19" customHeight="1">
      <x:c r="A1098" s="2" t="str">
        <x:v>SIM-E2-MP-L8-R05</x:v>
      </x:c>
      <x:c r="B1098" s="2" t="n">
        <x:v>3</x:v>
      </x:c>
      <x:c r="C1098" s="2" t="str">
        <x:v>MP</x:v>
      </x:c>
      <x:c r="D1098" s="2" t="str">
        <x:v>Myzus persicae</x:v>
      </x:c>
      <x:c r="E1098" s="2" t="str">
        <x:v>L8</x:v>
      </x:c>
      <x:c r="F1098" s="2" t="n">
        <x:v>5</x:v>
      </x:c>
      <x:c r="G1098" s="2" t="n">
        <x:v>4</x:v>
      </x:c>
      <x:c r="H1098" s="2" t="n">
        <x:f>G1098+Supuestos!$C$15</x:f>
        <x:v>5</x:v>
      </x:c>
      <x:c r="I1098" s="14" t="n">
        <x:f>E2_plantas!J28+G1098</x:f>
        <x:v>46192</x:v>
      </x:c>
      <x:c r="J1098" s="2" t="str">
        <x:v>N3</x:v>
      </x:c>
      <x:c r="K1098" s="2" t="n">
        <x:v>1</x:v>
      </x:c>
      <x:c r="L1098" s="2" t="n">
        <x:v>0</x:v>
      </x:c>
      <x:c r="M1098" s="2" t="n">
        <x:f>SUM(L$1094:L1098)</x:f>
        <x:v>0</x:v>
      </x:c>
      <x:c r="N1098" s="2" t="n">
        <x:v>0</x:v>
      </x:c>
      <x:c r="O1098" s="2" t="str">
        <x:v>seguimiento</x:v>
      </x:c>
      <x:c r="P1098" s="2" t="n">
        <x:v>0</x:v>
      </x:c>
      <x:c r="Q1098" s="2" t="str">
        <x:v>simulado_didactico</x:v>
      </x:c>
    </x:row>
    <x:row r="1099" ht="19" customHeight="1">
      <x:c r="A1099" s="2" t="str">
        <x:v>SIM-E2-MP-L8-R05</x:v>
      </x:c>
      <x:c r="B1099" s="2" t="n">
        <x:v>3</x:v>
      </x:c>
      <x:c r="C1099" s="2" t="str">
        <x:v>MP</x:v>
      </x:c>
      <x:c r="D1099" s="2" t="str">
        <x:v>Myzus persicae</x:v>
      </x:c>
      <x:c r="E1099" s="2" t="str">
        <x:v>L8</x:v>
      </x:c>
      <x:c r="F1099" s="2" t="n">
        <x:v>5</x:v>
      </x:c>
      <x:c r="G1099" s="2" t="n">
        <x:v>5</x:v>
      </x:c>
      <x:c r="H1099" s="2" t="n">
        <x:f>G1099+Supuestos!$C$15</x:f>
        <x:v>6</x:v>
      </x:c>
      <x:c r="I1099" s="14" t="n">
        <x:f>E2_plantas!J28+G1099</x:f>
        <x:v>46193</x:v>
      </x:c>
      <x:c r="J1099" s="2" t="str">
        <x:v>N3</x:v>
      </x:c>
      <x:c r="K1099" s="2" t="n">
        <x:v>1</x:v>
      </x:c>
      <x:c r="L1099" s="2" t="n">
        <x:v>0</x:v>
      </x:c>
      <x:c r="M1099" s="2" t="n">
        <x:f>SUM(L$1094:L1099)</x:f>
        <x:v>0</x:v>
      </x:c>
      <x:c r="N1099" s="2" t="n">
        <x:v>0</x:v>
      </x:c>
      <x:c r="O1099" s="2" t="str">
        <x:v>seguimiento</x:v>
      </x:c>
      <x:c r="P1099" s="2" t="n">
        <x:v>0</x:v>
      </x:c>
      <x:c r="Q1099" s="2" t="str">
        <x:v>simulado_didactico</x:v>
      </x:c>
    </x:row>
    <x:row r="1100" ht="19" customHeight="1">
      <x:c r="A1100" s="2" t="str">
        <x:v>SIM-E2-MP-L8-R05</x:v>
      </x:c>
      <x:c r="B1100" s="2" t="n">
        <x:v>3</x:v>
      </x:c>
      <x:c r="C1100" s="2" t="str">
        <x:v>MP</x:v>
      </x:c>
      <x:c r="D1100" s="2" t="str">
        <x:v>Myzus persicae</x:v>
      </x:c>
      <x:c r="E1100" s="2" t="str">
        <x:v>L8</x:v>
      </x:c>
      <x:c r="F1100" s="2" t="n">
        <x:v>5</x:v>
      </x:c>
      <x:c r="G1100" s="2" t="n">
        <x:v>6</x:v>
      </x:c>
      <x:c r="H1100" s="2" t="n">
        <x:f>G1100+Supuestos!$C$15</x:f>
        <x:v>7</x:v>
      </x:c>
      <x:c r="I1100" s="14" t="n">
        <x:f>E2_plantas!J28+G1100</x:f>
        <x:v>46194</x:v>
      </x:c>
      <x:c r="J1100" s="2" t="str">
        <x:v>N4</x:v>
      </x:c>
      <x:c r="K1100" s="2" t="n">
        <x:v>1</x:v>
      </x:c>
      <x:c r="L1100" s="2" t="n">
        <x:v>0</x:v>
      </x:c>
      <x:c r="M1100" s="2" t="n">
        <x:f>SUM(L$1094:L1100)</x:f>
        <x:v>0</x:v>
      </x:c>
      <x:c r="N1100" s="2" t="n">
        <x:v>0</x:v>
      </x:c>
      <x:c r="O1100" s="2" t="str">
        <x:v>seguimiento</x:v>
      </x:c>
      <x:c r="P1100" s="2" t="n">
        <x:v>0</x:v>
      </x:c>
      <x:c r="Q1100" s="2" t="str">
        <x:v>simulado_didactico</x:v>
      </x:c>
    </x:row>
    <x:row r="1101" ht="19" customHeight="1">
      <x:c r="A1101" s="2" t="str">
        <x:v>SIM-E2-MP-L8-R05</x:v>
      </x:c>
      <x:c r="B1101" s="2" t="n">
        <x:v>3</x:v>
      </x:c>
      <x:c r="C1101" s="2" t="str">
        <x:v>MP</x:v>
      </x:c>
      <x:c r="D1101" s="2" t="str">
        <x:v>Myzus persicae</x:v>
      </x:c>
      <x:c r="E1101" s="2" t="str">
        <x:v>L8</x:v>
      </x:c>
      <x:c r="F1101" s="2" t="n">
        <x:v>5</x:v>
      </x:c>
      <x:c r="G1101" s="2" t="n">
        <x:v>7</x:v>
      </x:c>
      <x:c r="H1101" s="2" t="n">
        <x:f>G1101+Supuestos!$C$15</x:f>
        <x:v>8</x:v>
      </x:c>
      <x:c r="I1101" s="14" t="n">
        <x:f>E2_plantas!J28+G1101</x:f>
        <x:v>46195</x:v>
      </x:c>
      <x:c r="J1101" s="2" t="str">
        <x:v>N4</x:v>
      </x:c>
      <x:c r="K1101" s="2" t="n">
        <x:v>1</x:v>
      </x:c>
      <x:c r="L1101" s="2" t="n">
        <x:v>0</x:v>
      </x:c>
      <x:c r="M1101" s="2" t="n">
        <x:f>SUM(L$1094:L1101)</x:f>
        <x:v>0</x:v>
      </x:c>
      <x:c r="N1101" s="2" t="n">
        <x:v>0</x:v>
      </x:c>
      <x:c r="O1101" s="2" t="str">
        <x:v>seguimiento</x:v>
      </x:c>
      <x:c r="P1101" s="2" t="n">
        <x:v>0</x:v>
      </x:c>
      <x:c r="Q1101" s="2" t="str">
        <x:v>simulado_didactico</x:v>
      </x:c>
    </x:row>
    <x:row r="1102" ht="19" customHeight="1">
      <x:c r="A1102" s="2" t="str">
        <x:v>SIM-E2-MP-L8-R05</x:v>
      </x:c>
      <x:c r="B1102" s="2" t="n">
        <x:v>3</x:v>
      </x:c>
      <x:c r="C1102" s="2" t="str">
        <x:v>MP</x:v>
      </x:c>
      <x:c r="D1102" s="2" t="str">
        <x:v>Myzus persicae</x:v>
      </x:c>
      <x:c r="E1102" s="2" t="str">
        <x:v>L8</x:v>
      </x:c>
      <x:c r="F1102" s="2" t="n">
        <x:v>5</x:v>
      </x:c>
      <x:c r="G1102" s="2" t="n">
        <x:v>8</x:v>
      </x:c>
      <x:c r="H1102" s="2" t="n">
        <x:f>G1102+Supuestos!$C$15</x:f>
        <x:v>9</x:v>
      </x:c>
      <x:c r="I1102" s="14" t="n">
        <x:f>E2_plantas!J28+G1102</x:f>
        <x:v>46196</x:v>
      </x:c>
      <x:c r="J1102" s="2" t="str">
        <x:v>N4</x:v>
      </x:c>
      <x:c r="K1102" s="2" t="n">
        <x:v>1</x:v>
      </x:c>
      <x:c r="L1102" s="2" t="n">
        <x:v>0</x:v>
      </x:c>
      <x:c r="M1102" s="2" t="n">
        <x:f>SUM(L$1094:L1102)</x:f>
        <x:v>0</x:v>
      </x:c>
      <x:c r="N1102" s="2" t="n">
        <x:v>0</x:v>
      </x:c>
      <x:c r="O1102" s="2" t="str">
        <x:v>seguimiento</x:v>
      </x:c>
      <x:c r="P1102" s="2" t="n">
        <x:v>0</x:v>
      </x:c>
      <x:c r="Q1102" s="2" t="str">
        <x:v>simulado_didactico</x:v>
      </x:c>
    </x:row>
    <x:row r="1103" ht="19" customHeight="1">
      <x:c r="A1103" s="2" t="str">
        <x:v>SIM-E2-MP-L8-R05</x:v>
      </x:c>
      <x:c r="B1103" s="2" t="n">
        <x:v>3</x:v>
      </x:c>
      <x:c r="C1103" s="2" t="str">
        <x:v>MP</x:v>
      </x:c>
      <x:c r="D1103" s="2" t="str">
        <x:v>Myzus persicae</x:v>
      </x:c>
      <x:c r="E1103" s="2" t="str">
        <x:v>L8</x:v>
      </x:c>
      <x:c r="F1103" s="2" t="n">
        <x:v>5</x:v>
      </x:c>
      <x:c r="G1103" s="2" t="n">
        <x:v>9</x:v>
      </x:c>
      <x:c r="H1103" s="2" t="n">
        <x:f>G1103+Supuestos!$C$15</x:f>
        <x:v>10</x:v>
      </x:c>
      <x:c r="I1103" s="14" t="n">
        <x:f>E2_plantas!J28+G1103</x:f>
        <x:v>46197</x:v>
      </x:c>
      <x:c r="J1103" s="2" t="str">
        <x:v>N4</x:v>
      </x:c>
      <x:c r="K1103" s="2" t="n">
        <x:v>1</x:v>
      </x:c>
      <x:c r="L1103" s="2" t="n">
        <x:v>0</x:v>
      </x:c>
      <x:c r="M1103" s="2" t="n">
        <x:f>SUM(L$1094:L1103)</x:f>
        <x:v>0</x:v>
      </x:c>
      <x:c r="N1103" s="2" t="n">
        <x:v>0</x:v>
      </x:c>
      <x:c r="O1103" s="2" t="str">
        <x:v>seguimiento</x:v>
      </x:c>
      <x:c r="P1103" s="2" t="n">
        <x:v>0</x:v>
      </x:c>
      <x:c r="Q1103" s="2" t="str">
        <x:v>simulado_didactico</x:v>
      </x:c>
    </x:row>
    <x:row r="1104" ht="19" customHeight="1">
      <x:c r="A1104" s="2" t="str">
        <x:v>SIM-E2-MP-L8-R05</x:v>
      </x:c>
      <x:c r="B1104" s="2" t="n">
        <x:v>3</x:v>
      </x:c>
      <x:c r="C1104" s="2" t="str">
        <x:v>MP</x:v>
      </x:c>
      <x:c r="D1104" s="2" t="str">
        <x:v>Myzus persicae</x:v>
      </x:c>
      <x:c r="E1104" s="2" t="str">
        <x:v>L8</x:v>
      </x:c>
      <x:c r="F1104" s="2" t="n">
        <x:v>5</x:v>
      </x:c>
      <x:c r="G1104" s="2" t="n">
        <x:v>10</x:v>
      </x:c>
      <x:c r="H1104" s="2" t="n">
        <x:f>G1104+Supuestos!$C$15</x:f>
        <x:v>11</x:v>
      </x:c>
      <x:c r="I1104" s="14" t="n">
        <x:f>E2_plantas!J28+G1104</x:f>
        <x:v>46198</x:v>
      </x:c>
      <x:c r="J1104" s="2" t="str">
        <x:v>adulta</x:v>
      </x:c>
      <x:c r="K1104" s="2" t="n">
        <x:v>1</x:v>
      </x:c>
      <x:c r="L1104" s="2" t="n">
        <x:v>0</x:v>
      </x:c>
      <x:c r="M1104" s="2" t="n">
        <x:f>SUM(L$1094:L1104)</x:f>
        <x:v>0</x:v>
      </x:c>
      <x:c r="N1104" s="2" t="n">
        <x:v>0</x:v>
      </x:c>
      <x:c r="O1104" s="2" t="str">
        <x:v>seguimiento</x:v>
      </x:c>
      <x:c r="P1104" s="2" t="n">
        <x:v>0</x:v>
      </x:c>
      <x:c r="Q1104" s="2" t="str">
        <x:v>simulado_didactico</x:v>
      </x:c>
    </x:row>
    <x:row r="1105" ht="19" customHeight="1">
      <x:c r="A1105" s="2" t="str">
        <x:v>SIM-E2-MP-L8-R05</x:v>
      </x:c>
      <x:c r="B1105" s="2" t="n">
        <x:v>3</x:v>
      </x:c>
      <x:c r="C1105" s="2" t="str">
        <x:v>MP</x:v>
      </x:c>
      <x:c r="D1105" s="2" t="str">
        <x:v>Myzus persicae</x:v>
      </x:c>
      <x:c r="E1105" s="2" t="str">
        <x:v>L8</x:v>
      </x:c>
      <x:c r="F1105" s="2" t="n">
        <x:v>5</x:v>
      </x:c>
      <x:c r="G1105" s="2" t="n">
        <x:v>11</x:v>
      </x:c>
      <x:c r="H1105" s="2" t="n">
        <x:f>G1105+Supuestos!$C$15</x:f>
        <x:v>12</x:v>
      </x:c>
      <x:c r="I1105" s="14" t="n">
        <x:f>E2_plantas!J28+G1105</x:f>
        <x:v>46199</x:v>
      </x:c>
      <x:c r="J1105" s="2" t="str">
        <x:v>adulta</x:v>
      </x:c>
      <x:c r="K1105" s="2" t="n">
        <x:v>1</x:v>
      </x:c>
      <x:c r="L1105" s="2" t="n">
        <x:v>0</x:v>
      </x:c>
      <x:c r="M1105" s="2" t="n">
        <x:f>SUM(L$1094:L1105)</x:f>
        <x:v>0</x:v>
      </x:c>
      <x:c r="N1105" s="2" t="n">
        <x:v>0</x:v>
      </x:c>
      <x:c r="O1105" s="2" t="str">
        <x:v>seguimiento</x:v>
      </x:c>
      <x:c r="P1105" s="2" t="n">
        <x:v>0</x:v>
      </x:c>
      <x:c r="Q1105" s="2" t="str">
        <x:v>simulado_didactico</x:v>
      </x:c>
    </x:row>
    <x:row r="1106" ht="19" customHeight="1">
      <x:c r="A1106" s="2" t="str">
        <x:v>SIM-E2-MP-L8-R05</x:v>
      </x:c>
      <x:c r="B1106" s="2" t="n">
        <x:v>3</x:v>
      </x:c>
      <x:c r="C1106" s="2" t="str">
        <x:v>MP</x:v>
      </x:c>
      <x:c r="D1106" s="2" t="str">
        <x:v>Myzus persicae</x:v>
      </x:c>
      <x:c r="E1106" s="2" t="str">
        <x:v>L8</x:v>
      </x:c>
      <x:c r="F1106" s="2" t="n">
        <x:v>5</x:v>
      </x:c>
      <x:c r="G1106" s="2" t="n">
        <x:v>12</x:v>
      </x:c>
      <x:c r="H1106" s="2" t="n">
        <x:f>G1106+Supuestos!$C$15</x:f>
        <x:v>13</x:v>
      </x:c>
      <x:c r="I1106" s="14" t="n">
        <x:f>E2_plantas!J28+G1106</x:f>
        <x:v>46200</x:v>
      </x:c>
      <x:c r="J1106" s="2" t="str">
        <x:v>adulta</x:v>
      </x:c>
      <x:c r="K1106" s="2" t="n">
        <x:v>1</x:v>
      </x:c>
      <x:c r="L1106" s="2" t="n">
        <x:v>0</x:v>
      </x:c>
      <x:c r="M1106" s="2" t="n">
        <x:f>SUM(L$1094:L1106)</x:f>
        <x:v>0</x:v>
      </x:c>
      <x:c r="N1106" s="2" t="n">
        <x:v>0</x:v>
      </x:c>
      <x:c r="O1106" s="2" t="str">
        <x:v>seguimiento</x:v>
      </x:c>
      <x:c r="P1106" s="2" t="n">
        <x:v>0</x:v>
      </x:c>
      <x:c r="Q1106" s="2" t="str">
        <x:v>simulado_didactico</x:v>
      </x:c>
    </x:row>
    <x:row r="1107" ht="19" customHeight="1">
      <x:c r="A1107" s="2" t="str">
        <x:v>SIM-E2-MP-L8-R05</x:v>
      </x:c>
      <x:c r="B1107" s="2" t="n">
        <x:v>3</x:v>
      </x:c>
      <x:c r="C1107" s="2" t="str">
        <x:v>MP</x:v>
      </x:c>
      <x:c r="D1107" s="2" t="str">
        <x:v>Myzus persicae</x:v>
      </x:c>
      <x:c r="E1107" s="2" t="str">
        <x:v>L8</x:v>
      </x:c>
      <x:c r="F1107" s="2" t="n">
        <x:v>5</x:v>
      </x:c>
      <x:c r="G1107" s="2" t="n">
        <x:v>13</x:v>
      </x:c>
      <x:c r="H1107" s="2" t="n">
        <x:f>G1107+Supuestos!$C$15</x:f>
        <x:v>14</x:v>
      </x:c>
      <x:c r="I1107" s="14" t="n">
        <x:f>E2_plantas!J28+G1107</x:f>
        <x:v>46201</x:v>
      </x:c>
      <x:c r="J1107" s="2" t="str">
        <x:v>adulta</x:v>
      </x:c>
      <x:c r="K1107" s="2" t="n">
        <x:v>1</x:v>
      </x:c>
      <x:c r="L1107" s="2" t="n">
        <x:v>5</x:v>
      </x:c>
      <x:c r="M1107" s="2" t="n">
        <x:f>SUM(L$1094:L1107)</x:f>
        <x:v>5</x:v>
      </x:c>
      <x:c r="N1107" s="2" t="n">
        <x:v>0</x:v>
      </x:c>
      <x:c r="O1107" s="2" t="str">
        <x:v>seguimiento</x:v>
      </x:c>
      <x:c r="P1107" s="2" t="n">
        <x:v>0</x:v>
      </x:c>
      <x:c r="Q1107" s="2" t="str">
        <x:v>simulado_didactico</x:v>
      </x:c>
    </x:row>
    <x:row r="1108" ht="19" customHeight="1">
      <x:c r="A1108" s="2" t="str">
        <x:v>SIM-E2-MP-L8-R05</x:v>
      </x:c>
      <x:c r="B1108" s="2" t="n">
        <x:v>3</x:v>
      </x:c>
      <x:c r="C1108" s="2" t="str">
        <x:v>MP</x:v>
      </x:c>
      <x:c r="D1108" s="2" t="str">
        <x:v>Myzus persicae</x:v>
      </x:c>
      <x:c r="E1108" s="2" t="str">
        <x:v>L8</x:v>
      </x:c>
      <x:c r="F1108" s="2" t="n">
        <x:v>5</x:v>
      </x:c>
      <x:c r="G1108" s="2" t="n">
        <x:v>14</x:v>
      </x:c>
      <x:c r="H1108" s="2" t="n">
        <x:f>G1108+Supuestos!$C$15</x:f>
        <x:v>15</x:v>
      </x:c>
      <x:c r="I1108" s="14" t="n">
        <x:f>E2_plantas!J28+G1108</x:f>
        <x:v>46202</x:v>
      </x:c>
      <x:c r="J1108" s="2" t="str">
        <x:v>adulta</x:v>
      </x:c>
      <x:c r="K1108" s="2" t="n">
        <x:v>1</x:v>
      </x:c>
      <x:c r="L1108" s="2" t="n">
        <x:v>2</x:v>
      </x:c>
      <x:c r="M1108" s="2" t="n">
        <x:f>SUM(L$1094:L1108)</x:f>
        <x:v>7</x:v>
      </x:c>
      <x:c r="N1108" s="2" t="n">
        <x:v>0</x:v>
      </x:c>
      <x:c r="O1108" s="2" t="str">
        <x:v>seguimiento</x:v>
      </x:c>
      <x:c r="P1108" s="2" t="n">
        <x:v>0</x:v>
      </x:c>
      <x:c r="Q1108" s="2" t="str">
        <x:v>simulado_didactico</x:v>
      </x:c>
    </x:row>
    <x:row r="1109" ht="19" customHeight="1">
      <x:c r="A1109" s="2" t="str">
        <x:v>SIM-E2-MP-L8-R05</x:v>
      </x:c>
      <x:c r="B1109" s="2" t="n">
        <x:v>3</x:v>
      </x:c>
      <x:c r="C1109" s="2" t="str">
        <x:v>MP</x:v>
      </x:c>
      <x:c r="D1109" s="2" t="str">
        <x:v>Myzus persicae</x:v>
      </x:c>
      <x:c r="E1109" s="2" t="str">
        <x:v>L8</x:v>
      </x:c>
      <x:c r="F1109" s="2" t="n">
        <x:v>5</x:v>
      </x:c>
      <x:c r="G1109" s="2" t="n">
        <x:v>15</x:v>
      </x:c>
      <x:c r="H1109" s="2" t="n">
        <x:f>G1109+Supuestos!$C$15</x:f>
        <x:v>16</x:v>
      </x:c>
      <x:c r="I1109" s="14" t="n">
        <x:f>E2_plantas!J28+G1109</x:f>
        <x:v>46203</x:v>
      </x:c>
      <x:c r="J1109" s="2" t="str">
        <x:v>adulta</x:v>
      </x:c>
      <x:c r="K1109" s="2" t="n">
        <x:v>1</x:v>
      </x:c>
      <x:c r="L1109" s="2" t="n">
        <x:v>2</x:v>
      </x:c>
      <x:c r="M1109" s="2" t="n">
        <x:f>SUM(L$1094:L1109)</x:f>
        <x:v>9</x:v>
      </x:c>
      <x:c r="N1109" s="2" t="n">
        <x:v>0</x:v>
      </x:c>
      <x:c r="O1109" s="2" t="str">
        <x:v>seguimiento</x:v>
      </x:c>
      <x:c r="P1109" s="2" t="n">
        <x:v>0</x:v>
      </x:c>
      <x:c r="Q1109" s="2" t="str">
        <x:v>simulado_didactico</x:v>
      </x:c>
    </x:row>
    <x:row r="1110" ht="19" customHeight="1">
      <x:c r="A1110" s="2" t="str">
        <x:v>SIM-E2-MP-L8-R05</x:v>
      </x:c>
      <x:c r="B1110" s="2" t="n">
        <x:v>3</x:v>
      </x:c>
      <x:c r="C1110" s="2" t="str">
        <x:v>MP</x:v>
      </x:c>
      <x:c r="D1110" s="2" t="str">
        <x:v>Myzus persicae</x:v>
      </x:c>
      <x:c r="E1110" s="2" t="str">
        <x:v>L8</x:v>
      </x:c>
      <x:c r="F1110" s="2" t="n">
        <x:v>5</x:v>
      </x:c>
      <x:c r="G1110" s="2" t="n">
        <x:v>16</x:v>
      </x:c>
      <x:c r="H1110" s="2" t="n">
        <x:f>G1110+Supuestos!$C$15</x:f>
        <x:v>17</x:v>
      </x:c>
      <x:c r="I1110" s="14" t="n">
        <x:f>E2_plantas!J28+G1110</x:f>
        <x:v>46204</x:v>
      </x:c>
      <x:c r="J1110" s="2" t="str">
        <x:v>adulta</x:v>
      </x:c>
      <x:c r="K1110" s="2" t="n">
        <x:v>1</x:v>
      </x:c>
      <x:c r="L1110" s="2" t="n">
        <x:v>4</x:v>
      </x:c>
      <x:c r="M1110" s="2" t="n">
        <x:f>SUM(L$1094:L1110)</x:f>
        <x:v>13</x:v>
      </x:c>
      <x:c r="N1110" s="2" t="n">
        <x:v>0</x:v>
      </x:c>
      <x:c r="O1110" s="2" t="str">
        <x:v>seguimiento</x:v>
      </x:c>
      <x:c r="P1110" s="2" t="n">
        <x:v>0</x:v>
      </x:c>
      <x:c r="Q1110" s="2" t="str">
        <x:v>simulado_didactico</x:v>
      </x:c>
    </x:row>
    <x:row r="1111" ht="19" customHeight="1">
      <x:c r="A1111" s="2" t="str">
        <x:v>SIM-E2-MP-L8-R05</x:v>
      </x:c>
      <x:c r="B1111" s="2" t="n">
        <x:v>3</x:v>
      </x:c>
      <x:c r="C1111" s="2" t="str">
        <x:v>MP</x:v>
      </x:c>
      <x:c r="D1111" s="2" t="str">
        <x:v>Myzus persicae</x:v>
      </x:c>
      <x:c r="E1111" s="2" t="str">
        <x:v>L8</x:v>
      </x:c>
      <x:c r="F1111" s="2" t="n">
        <x:v>5</x:v>
      </x:c>
      <x:c r="G1111" s="2" t="n">
        <x:v>17</x:v>
      </x:c>
      <x:c r="H1111" s="2" t="n">
        <x:f>G1111+Supuestos!$C$15</x:f>
        <x:v>18</x:v>
      </x:c>
      <x:c r="I1111" s="14" t="n">
        <x:f>E2_plantas!J28+G1111</x:f>
        <x:v>46205</x:v>
      </x:c>
      <x:c r="J1111" s="2" t="str">
        <x:v>adulta</x:v>
      </x:c>
      <x:c r="K1111" s="2" t="n">
        <x:v>1</x:v>
      </x:c>
      <x:c r="L1111" s="2" t="n">
        <x:v>2</x:v>
      </x:c>
      <x:c r="M1111" s="2" t="n">
        <x:f>SUM(L$1094:L1111)</x:f>
        <x:v>15</x:v>
      </x:c>
      <x:c r="N1111" s="2" t="n">
        <x:v>0</x:v>
      </x:c>
      <x:c r="O1111" s="2" t="str">
        <x:v>seguimiento</x:v>
      </x:c>
      <x:c r="P1111" s="2" t="n">
        <x:v>0</x:v>
      </x:c>
      <x:c r="Q1111" s="2" t="str">
        <x:v>simulado_didactico</x:v>
      </x:c>
    </x:row>
    <x:row r="1112" ht="19" customHeight="1">
      <x:c r="A1112" s="2" t="str">
        <x:v>SIM-E2-MP-L8-R05</x:v>
      </x:c>
      <x:c r="B1112" s="2" t="n">
        <x:v>3</x:v>
      </x:c>
      <x:c r="C1112" s="2" t="str">
        <x:v>MP</x:v>
      </x:c>
      <x:c r="D1112" s="2" t="str">
        <x:v>Myzus persicae</x:v>
      </x:c>
      <x:c r="E1112" s="2" t="str">
        <x:v>L8</x:v>
      </x:c>
      <x:c r="F1112" s="2" t="n">
        <x:v>5</x:v>
      </x:c>
      <x:c r="G1112" s="2" t="n">
        <x:v>18</x:v>
      </x:c>
      <x:c r="H1112" s="2" t="n">
        <x:f>G1112+Supuestos!$C$15</x:f>
        <x:v>19</x:v>
      </x:c>
      <x:c r="I1112" s="14" t="n">
        <x:f>E2_plantas!J28+G1112</x:f>
        <x:v>46206</x:v>
      </x:c>
      <x:c r="J1112" s="2" t="str">
        <x:v>adulta</x:v>
      </x:c>
      <x:c r="K1112" s="2" t="n">
        <x:v>1</x:v>
      </x:c>
      <x:c r="L1112" s="2" t="n">
        <x:v>1</x:v>
      </x:c>
      <x:c r="M1112" s="2" t="n">
        <x:f>SUM(L$1094:L1112)</x:f>
        <x:v>16</x:v>
      </x:c>
      <x:c r="N1112" s="2" t="n">
        <x:v>0</x:v>
      </x:c>
      <x:c r="O1112" s="2" t="str">
        <x:v>seguimiento</x:v>
      </x:c>
      <x:c r="P1112" s="2" t="n">
        <x:v>0</x:v>
      </x:c>
      <x:c r="Q1112" s="2" t="str">
        <x:v>simulado_didactico</x:v>
      </x:c>
    </x:row>
    <x:row r="1113" ht="19" customHeight="1">
      <x:c r="A1113" s="2" t="str">
        <x:v>SIM-E2-MP-L8-R05</x:v>
      </x:c>
      <x:c r="B1113" s="2" t="n">
        <x:v>3</x:v>
      </x:c>
      <x:c r="C1113" s="2" t="str">
        <x:v>MP</x:v>
      </x:c>
      <x:c r="D1113" s="2" t="str">
        <x:v>Myzus persicae</x:v>
      </x:c>
      <x:c r="E1113" s="2" t="str">
        <x:v>L8</x:v>
      </x:c>
      <x:c r="F1113" s="2" t="n">
        <x:v>5</x:v>
      </x:c>
      <x:c r="G1113" s="2" t="n">
        <x:v>19</x:v>
      </x:c>
      <x:c r="H1113" s="2" t="n">
        <x:f>G1113+Supuestos!$C$15</x:f>
        <x:v>20</x:v>
      </x:c>
      <x:c r="I1113" s="14" t="n">
        <x:f>E2_plantas!J28+G1113</x:f>
        <x:v>46207</x:v>
      </x:c>
      <x:c r="J1113" s="2" t="str">
        <x:v>adulta</x:v>
      </x:c>
      <x:c r="K1113" s="2" t="n">
        <x:v>1</x:v>
      </x:c>
      <x:c r="L1113" s="2" t="n">
        <x:v>4</x:v>
      </x:c>
      <x:c r="M1113" s="2" t="n">
        <x:f>SUM(L$1094:L1113)</x:f>
        <x:v>20</x:v>
      </x:c>
      <x:c r="N1113" s="2" t="n">
        <x:v>0</x:v>
      </x:c>
      <x:c r="O1113" s="2" t="str">
        <x:v>seguimiento</x:v>
      </x:c>
      <x:c r="P1113" s="2" t="n">
        <x:v>0</x:v>
      </x:c>
      <x:c r="Q1113" s="2" t="str">
        <x:v>simulado_didactico</x:v>
      </x:c>
    </x:row>
    <x:row r="1114" ht="19" customHeight="1">
      <x:c r="A1114" s="2" t="str">
        <x:v>SIM-E2-MP-L8-R05</x:v>
      </x:c>
      <x:c r="B1114" s="2" t="n">
        <x:v>3</x:v>
      </x:c>
      <x:c r="C1114" s="2" t="str">
        <x:v>MP</x:v>
      </x:c>
      <x:c r="D1114" s="2" t="str">
        <x:v>Myzus persicae</x:v>
      </x:c>
      <x:c r="E1114" s="2" t="str">
        <x:v>L8</x:v>
      </x:c>
      <x:c r="F1114" s="2" t="n">
        <x:v>5</x:v>
      </x:c>
      <x:c r="G1114" s="2" t="n">
        <x:v>20</x:v>
      </x:c>
      <x:c r="H1114" s="2" t="n">
        <x:f>G1114+Supuestos!$C$15</x:f>
        <x:v>21</x:v>
      </x:c>
      <x:c r="I1114" s="14" t="n">
        <x:f>E2_plantas!J28+G1114</x:f>
        <x:v>46208</x:v>
      </x:c>
      <x:c r="J1114" s="2" t="str">
        <x:v>adulta</x:v>
      </x:c>
      <x:c r="K1114" s="2" t="n">
        <x:v>1</x:v>
      </x:c>
      <x:c r="L1114" s="2" t="n">
        <x:v>5</x:v>
      </x:c>
      <x:c r="M1114" s="2" t="n">
        <x:f>SUM(L$1094:L1114)</x:f>
        <x:v>25</x:v>
      </x:c>
      <x:c r="N1114" s="2" t="n">
        <x:v>0</x:v>
      </x:c>
      <x:c r="O1114" s="2" t="str">
        <x:v>seguimiento</x:v>
      </x:c>
      <x:c r="P1114" s="2" t="n">
        <x:v>0</x:v>
      </x:c>
      <x:c r="Q1114" s="2" t="str">
        <x:v>simulado_didactico</x:v>
      </x:c>
    </x:row>
    <x:row r="1115" ht="19" customHeight="1">
      <x:c r="A1115" s="2" t="str">
        <x:v>SIM-E2-MP-L8-R05</x:v>
      </x:c>
      <x:c r="B1115" s="2" t="n">
        <x:v>3</x:v>
      </x:c>
      <x:c r="C1115" s="2" t="str">
        <x:v>MP</x:v>
      </x:c>
      <x:c r="D1115" s="2" t="str">
        <x:v>Myzus persicae</x:v>
      </x:c>
      <x:c r="E1115" s="2" t="str">
        <x:v>L8</x:v>
      </x:c>
      <x:c r="F1115" s="2" t="n">
        <x:v>5</x:v>
      </x:c>
      <x:c r="G1115" s="2" t="n">
        <x:v>21</x:v>
      </x:c>
      <x:c r="H1115" s="2" t="n">
        <x:f>G1115+Supuestos!$C$15</x:f>
        <x:v>22</x:v>
      </x:c>
      <x:c r="I1115" s="14" t="n">
        <x:f>E2_plantas!J28+G1115</x:f>
        <x:v>46209</x:v>
      </x:c>
      <x:c r="J1115" s="2" t="str">
        <x:v>adulta</x:v>
      </x:c>
      <x:c r="K1115" s="2" t="n">
        <x:v>1</x:v>
      </x:c>
      <x:c r="L1115" s="2" t="n">
        <x:v>3</x:v>
      </x:c>
      <x:c r="M1115" s="2" t="n">
        <x:f>SUM(L$1094:L1115)</x:f>
        <x:v>28</x:v>
      </x:c>
      <x:c r="N1115" s="2" t="n">
        <x:v>0</x:v>
      </x:c>
      <x:c r="O1115" s="2" t="str">
        <x:v>seguimiento</x:v>
      </x:c>
      <x:c r="P1115" s="2" t="n">
        <x:v>0</x:v>
      </x:c>
      <x:c r="Q1115" s="2" t="str">
        <x:v>simulado_didactico</x:v>
      </x:c>
    </x:row>
    <x:row r="1116" ht="19" customHeight="1">
      <x:c r="A1116" s="2" t="str">
        <x:v>SIM-E2-MP-L8-R05</x:v>
      </x:c>
      <x:c r="B1116" s="2" t="n">
        <x:v>3</x:v>
      </x:c>
      <x:c r="C1116" s="2" t="str">
        <x:v>MP</x:v>
      </x:c>
      <x:c r="D1116" s="2" t="str">
        <x:v>Myzus persicae</x:v>
      </x:c>
      <x:c r="E1116" s="2" t="str">
        <x:v>L8</x:v>
      </x:c>
      <x:c r="F1116" s="2" t="n">
        <x:v>5</x:v>
      </x:c>
      <x:c r="G1116" s="2" t="n">
        <x:v>22</x:v>
      </x:c>
      <x:c r="H1116" s="2" t="n">
        <x:f>G1116+Supuestos!$C$15</x:f>
        <x:v>23</x:v>
      </x:c>
      <x:c r="I1116" s="14" t="n">
        <x:f>E2_plantas!J28+G1116</x:f>
        <x:v>46210</x:v>
      </x:c>
      <x:c r="J1116" s="2" t="str">
        <x:v>adulta</x:v>
      </x:c>
      <x:c r="K1116" s="2" t="n">
        <x:v>1</x:v>
      </x:c>
      <x:c r="L1116" s="2" t="n">
        <x:v>0</x:v>
      </x:c>
      <x:c r="M1116" s="2" t="n">
        <x:f>SUM(L$1094:L1116)</x:f>
        <x:v>28</x:v>
      </x:c>
      <x:c r="N1116" s="2" t="n">
        <x:v>0</x:v>
      </x:c>
      <x:c r="O1116" s="2" t="str">
        <x:v>seguimiento</x:v>
      </x:c>
      <x:c r="P1116" s="2" t="n">
        <x:v>0</x:v>
      </x:c>
      <x:c r="Q1116" s="2" t="str">
        <x:v>simulado_didactico</x:v>
      </x:c>
    </x:row>
    <x:row r="1117" ht="19" customHeight="1">
      <x:c r="A1117" s="2" t="str">
        <x:v>SIM-E2-MP-L8-R05</x:v>
      </x:c>
      <x:c r="B1117" s="2" t="n">
        <x:v>3</x:v>
      </x:c>
      <x:c r="C1117" s="2" t="str">
        <x:v>MP</x:v>
      </x:c>
      <x:c r="D1117" s="2" t="str">
        <x:v>Myzus persicae</x:v>
      </x:c>
      <x:c r="E1117" s="2" t="str">
        <x:v>L8</x:v>
      </x:c>
      <x:c r="F1117" s="2" t="n">
        <x:v>5</x:v>
      </x:c>
      <x:c r="G1117" s="2" t="n">
        <x:v>23</x:v>
      </x:c>
      <x:c r="H1117" s="2" t="n">
        <x:f>G1117+Supuestos!$C$15</x:f>
        <x:v>24</x:v>
      </x:c>
      <x:c r="I1117" s="14" t="n">
        <x:f>E2_plantas!J28+G1117</x:f>
        <x:v>46211</x:v>
      </x:c>
      <x:c r="J1117" s="2" t="str">
        <x:v>muerta</x:v>
      </x:c>
      <x:c r="K1117" s="2" t="n">
        <x:v>0</x:v>
      </x:c>
      <x:c r="L1117" s="2" t="n">
        <x:v>0</x:v>
      </x:c>
      <x:c r="M1117" s="2" t="n">
        <x:f>SUM(L$1094:L1117)</x:f>
        <x:v>28</x:v>
      </x:c>
      <x:c r="N1117" s="2" t="n">
        <x:v>1</x:v>
      </x:c>
      <x:c r="O1117" s="2" t="str">
        <x:v>muerte</x:v>
      </x:c>
      <x:c r="P1117" s="2" t="n">
        <x:v>0</x:v>
      </x:c>
      <x:c r="Q1117" s="2" t="str">
        <x:v>simulado_didactico</x:v>
      </x:c>
    </x:row>
    <x:row r="1118" ht="19" customHeight="1">
      <x:c r="A1118" s="2" t="str">
        <x:v>SIM-E2-MP-L8-R05</x:v>
      </x:c>
      <x:c r="B1118" s="2" t="n">
        <x:v>3</x:v>
      </x:c>
      <x:c r="C1118" s="2" t="str">
        <x:v>MP</x:v>
      </x:c>
      <x:c r="D1118" s="2" t="str">
        <x:v>Myzus persicae</x:v>
      </x:c>
      <x:c r="E1118" s="2" t="str">
        <x:v>L8</x:v>
      </x:c>
      <x:c r="F1118" s="2" t="n">
        <x:v>5</x:v>
      </x:c>
      <x:c r="G1118" s="2" t="n">
        <x:v>24</x:v>
      </x:c>
      <x:c r="H1118" s="2" t="n">
        <x:f>G1118+Supuestos!$C$15</x:f>
        <x:v>25</x:v>
      </x:c>
      <x:c r="I1118" s="14" t="n">
        <x:f>E2_plantas!J28+G1118</x:f>
        <x:v>46212</x:v>
      </x:c>
      <x:c r="J1118" s="2" t="str">
        <x:v>muerta</x:v>
      </x:c>
      <x:c r="K1118" s="2" t="n">
        <x:v>0</x:v>
      </x:c>
      <x:c r="L1118" s="2" t="n">
        <x:v>0</x:v>
      </x:c>
      <x:c r="M1118" s="2" t="n">
        <x:f>SUM(L$1094:L1118)</x:f>
        <x:v>28</x:v>
      </x:c>
      <x:c r="N1118" s="2" t="n">
        <x:v>0</x:v>
      </x:c>
      <x:c r="O1118" s="2" t="str">
        <x:v>relleno_postmuerte</x:v>
      </x:c>
      <x:c r="P1118" s="2" t="n">
        <x:v>0</x:v>
      </x:c>
      <x:c r="Q1118" s="2" t="str">
        <x:v>simulado_didactico</x:v>
      </x:c>
    </x:row>
    <x:row r="1119" ht="19" customHeight="1">
      <x:c r="A1119" s="2" t="str">
        <x:v>SIM-E2-MP-L8-R05</x:v>
      </x:c>
      <x:c r="B1119" s="2" t="n">
        <x:v>3</x:v>
      </x:c>
      <x:c r="C1119" s="2" t="str">
        <x:v>MP</x:v>
      </x:c>
      <x:c r="D1119" s="2" t="str">
        <x:v>Myzus persicae</x:v>
      </x:c>
      <x:c r="E1119" s="2" t="str">
        <x:v>L8</x:v>
      </x:c>
      <x:c r="F1119" s="2" t="n">
        <x:v>5</x:v>
      </x:c>
      <x:c r="G1119" s="2" t="n">
        <x:v>25</x:v>
      </x:c>
      <x:c r="H1119" s="2" t="n">
        <x:f>G1119+Supuestos!$C$15</x:f>
        <x:v>26</x:v>
      </x:c>
      <x:c r="I1119" s="14" t="n">
        <x:f>E2_plantas!J28+G1119</x:f>
        <x:v>46213</x:v>
      </x:c>
      <x:c r="J1119" s="2" t="str">
        <x:v>muerta</x:v>
      </x:c>
      <x:c r="K1119" s="2" t="n">
        <x:v>0</x:v>
      </x:c>
      <x:c r="L1119" s="2" t="n">
        <x:v>0</x:v>
      </x:c>
      <x:c r="M1119" s="2" t="n">
        <x:f>SUM(L$1094:L1119)</x:f>
        <x:v>28</x:v>
      </x:c>
      <x:c r="N1119" s="2" t="n">
        <x:v>0</x:v>
      </x:c>
      <x:c r="O1119" s="2" t="str">
        <x:v>relleno_postmuerte</x:v>
      </x:c>
      <x:c r="P1119" s="2" t="n">
        <x:v>0</x:v>
      </x:c>
      <x:c r="Q1119" s="2" t="str">
        <x:v>simulado_didactico</x:v>
      </x:c>
    </x:row>
    <x:row r="1120" ht="19" customHeight="1">
      <x:c r="A1120" s="2" t="str">
        <x:v>SIM-E2-MP-L8-R05</x:v>
      </x:c>
      <x:c r="B1120" s="2" t="n">
        <x:v>3</x:v>
      </x:c>
      <x:c r="C1120" s="2" t="str">
        <x:v>MP</x:v>
      </x:c>
      <x:c r="D1120" s="2" t="str">
        <x:v>Myzus persicae</x:v>
      </x:c>
      <x:c r="E1120" s="2" t="str">
        <x:v>L8</x:v>
      </x:c>
      <x:c r="F1120" s="2" t="n">
        <x:v>5</x:v>
      </x:c>
      <x:c r="G1120" s="2" t="n">
        <x:v>26</x:v>
      </x:c>
      <x:c r="H1120" s="2" t="n">
        <x:f>G1120+Supuestos!$C$15</x:f>
        <x:v>27</x:v>
      </x:c>
      <x:c r="I1120" s="14" t="n">
        <x:f>E2_plantas!J28+G1120</x:f>
        <x:v>46214</x:v>
      </x:c>
      <x:c r="J1120" s="2" t="str">
        <x:v>muerta</x:v>
      </x:c>
      <x:c r="K1120" s="2" t="n">
        <x:v>0</x:v>
      </x:c>
      <x:c r="L1120" s="2" t="n">
        <x:v>0</x:v>
      </x:c>
      <x:c r="M1120" s="2" t="n">
        <x:f>SUM(L$1094:L1120)</x:f>
        <x:v>28</x:v>
      </x:c>
      <x:c r="N1120" s="2" t="n">
        <x:v>0</x:v>
      </x:c>
      <x:c r="O1120" s="2" t="str">
        <x:v>relleno_postmuerte</x:v>
      </x:c>
      <x:c r="P1120" s="2" t="n">
        <x:v>0</x:v>
      </x:c>
      <x:c r="Q1120" s="2" t="str">
        <x:v>simulado_didactico</x:v>
      </x:c>
    </x:row>
    <x:row r="1121" ht="19" customHeight="1">
      <x:c r="A1121" s="2" t="str">
        <x:v>SIM-E2-MP-L8-R05</x:v>
      </x:c>
      <x:c r="B1121" s="2" t="n">
        <x:v>3</x:v>
      </x:c>
      <x:c r="C1121" s="2" t="str">
        <x:v>MP</x:v>
      </x:c>
      <x:c r="D1121" s="2" t="str">
        <x:v>Myzus persicae</x:v>
      </x:c>
      <x:c r="E1121" s="2" t="str">
        <x:v>L8</x:v>
      </x:c>
      <x:c r="F1121" s="2" t="n">
        <x:v>5</x:v>
      </x:c>
      <x:c r="G1121" s="2" t="n">
        <x:v>27</x:v>
      </x:c>
      <x:c r="H1121" s="2" t="n">
        <x:f>G1121+Supuestos!$C$15</x:f>
        <x:v>28</x:v>
      </x:c>
      <x:c r="I1121" s="14" t="n">
        <x:f>E2_plantas!J28+G1121</x:f>
        <x:v>46215</x:v>
      </x:c>
      <x:c r="J1121" s="2" t="str">
        <x:v>muerta</x:v>
      </x:c>
      <x:c r="K1121" s="2" t="n">
        <x:v>0</x:v>
      </x:c>
      <x:c r="L1121" s="2" t="n">
        <x:v>0</x:v>
      </x:c>
      <x:c r="M1121" s="2" t="n">
        <x:f>SUM(L$1094:L1121)</x:f>
        <x:v>28</x:v>
      </x:c>
      <x:c r="N1121" s="2" t="n">
        <x:v>0</x:v>
      </x:c>
      <x:c r="O1121" s="2" t="str">
        <x:v>relleno_postmuerte</x:v>
      </x:c>
      <x:c r="P1121" s="2" t="n">
        <x:v>0</x:v>
      </x:c>
      <x:c r="Q1121" s="2" t="str">
        <x:v>simulado_didactico</x:v>
      </x:c>
    </x:row>
    <x:row r="1122" ht="19" customHeight="1">
      <x:c r="A1122" s="2" t="str">
        <x:v>SIM-E2-MP-L8-R05</x:v>
      </x:c>
      <x:c r="B1122" s="2" t="n">
        <x:v>3</x:v>
      </x:c>
      <x:c r="C1122" s="2" t="str">
        <x:v>MP</x:v>
      </x:c>
      <x:c r="D1122" s="2" t="str">
        <x:v>Myzus persicae</x:v>
      </x:c>
      <x:c r="E1122" s="2" t="str">
        <x:v>L8</x:v>
      </x:c>
      <x:c r="F1122" s="2" t="n">
        <x:v>5</x:v>
      </x:c>
      <x:c r="G1122" s="2" t="n">
        <x:v>28</x:v>
      </x:c>
      <x:c r="H1122" s="2" t="n">
        <x:f>G1122+Supuestos!$C$15</x:f>
        <x:v>29</x:v>
      </x:c>
      <x:c r="I1122" s="14" t="n">
        <x:f>E2_plantas!J28+G1122</x:f>
        <x:v>46216</x:v>
      </x:c>
      <x:c r="J1122" s="2" t="str">
        <x:v>muerta</x:v>
      </x:c>
      <x:c r="K1122" s="2" t="n">
        <x:v>0</x:v>
      </x:c>
      <x:c r="L1122" s="2" t="n">
        <x:v>0</x:v>
      </x:c>
      <x:c r="M1122" s="2" t="n">
        <x:f>SUM(L$1094:L1122)</x:f>
        <x:v>28</x:v>
      </x:c>
      <x:c r="N1122" s="2" t="n">
        <x:v>0</x:v>
      </x:c>
      <x:c r="O1122" s="2" t="str">
        <x:v>relleno_postmuerte</x:v>
      </x:c>
      <x:c r="P1122" s="2" t="n">
        <x:v>0</x:v>
      </x:c>
      <x:c r="Q1122" s="2" t="str">
        <x:v>simulado_didactico</x:v>
      </x:c>
    </x:row>
    <x:row r="1123" ht="19" customHeight="1">
      <x:c r="A1123" s="2" t="str">
        <x:v>SIM-E2-MP-L8-R05</x:v>
      </x:c>
      <x:c r="B1123" s="2" t="n">
        <x:v>3</x:v>
      </x:c>
      <x:c r="C1123" s="2" t="str">
        <x:v>MP</x:v>
      </x:c>
      <x:c r="D1123" s="2" t="str">
        <x:v>Myzus persicae</x:v>
      </x:c>
      <x:c r="E1123" s="2" t="str">
        <x:v>L8</x:v>
      </x:c>
      <x:c r="F1123" s="2" t="n">
        <x:v>5</x:v>
      </x:c>
      <x:c r="G1123" s="2" t="n">
        <x:v>29</x:v>
      </x:c>
      <x:c r="H1123" s="2" t="n">
        <x:f>G1123+Supuestos!$C$15</x:f>
        <x:v>30</x:v>
      </x:c>
      <x:c r="I1123" s="14" t="n">
        <x:f>E2_plantas!J28+G1123</x:f>
        <x:v>46217</x:v>
      </x:c>
      <x:c r="J1123" s="2" t="str">
        <x:v>muerta</x:v>
      </x:c>
      <x:c r="K1123" s="2" t="n">
        <x:v>0</x:v>
      </x:c>
      <x:c r="L1123" s="2" t="n">
        <x:v>0</x:v>
      </x:c>
      <x:c r="M1123" s="2" t="n">
        <x:f>SUM(L$1094:L1123)</x:f>
        <x:v>28</x:v>
      </x:c>
      <x:c r="N1123" s="2" t="n">
        <x:v>0</x:v>
      </x:c>
      <x:c r="O1123" s="2" t="str">
        <x:v>relleno_postmuerte</x:v>
      </x:c>
      <x:c r="P1123" s="2" t="n">
        <x:v>0</x:v>
      </x:c>
      <x:c r="Q1123" s="2" t="str">
        <x:v>simulado_didactico</x:v>
      </x:c>
    </x:row>
    <x:row r="1124" ht="19" customHeight="1">
      <x:c r="A1124" s="2" t="str">
        <x:v>SIM-E2-MP-L8-R05</x:v>
      </x:c>
      <x:c r="B1124" s="2" t="n">
        <x:v>3</x:v>
      </x:c>
      <x:c r="C1124" s="2" t="str">
        <x:v>MP</x:v>
      </x:c>
      <x:c r="D1124" s="2" t="str">
        <x:v>Myzus persicae</x:v>
      </x:c>
      <x:c r="E1124" s="2" t="str">
        <x:v>L8</x:v>
      </x:c>
      <x:c r="F1124" s="2" t="n">
        <x:v>5</x:v>
      </x:c>
      <x:c r="G1124" s="2" t="n">
        <x:v>30</x:v>
      </x:c>
      <x:c r="H1124" s="2" t="n">
        <x:f>G1124+Supuestos!$C$15</x:f>
        <x:v>31</x:v>
      </x:c>
      <x:c r="I1124" s="14" t="n">
        <x:f>E2_plantas!J28+G1124</x:f>
        <x:v>46218</x:v>
      </x:c>
      <x:c r="J1124" s="2" t="str">
        <x:v>muerta</x:v>
      </x:c>
      <x:c r="K1124" s="2" t="n">
        <x:v>0</x:v>
      </x:c>
      <x:c r="L1124" s="2" t="n">
        <x:v>0</x:v>
      </x:c>
      <x:c r="M1124" s="2" t="n">
        <x:f>SUM(L$1094:L1124)</x:f>
        <x:v>28</x:v>
      </x:c>
      <x:c r="N1124" s="2" t="n">
        <x:v>0</x:v>
      </x:c>
      <x:c r="O1124" s="2" t="str">
        <x:v>relleno_postmuerte</x:v>
      </x:c>
      <x:c r="P1124" s="2" t="n">
        <x:v>0</x:v>
      </x:c>
      <x:c r="Q1124" s="2" t="str">
        <x:v>simulado_didactico</x:v>
      </x:c>
    </x:row>
    <x:row r="1125" ht="19" customHeight="1">
      <x:c r="A1125" s="2" t="str">
        <x:v>SIM-E2-MP-L8-R05</x:v>
      </x:c>
      <x:c r="B1125" s="2" t="n">
        <x:v>3</x:v>
      </x:c>
      <x:c r="C1125" s="2" t="str">
        <x:v>MP</x:v>
      </x:c>
      <x:c r="D1125" s="2" t="str">
        <x:v>Myzus persicae</x:v>
      </x:c>
      <x:c r="E1125" s="2" t="str">
        <x:v>L8</x:v>
      </x:c>
      <x:c r="F1125" s="2" t="n">
        <x:v>5</x:v>
      </x:c>
      <x:c r="G1125" s="2" t="n">
        <x:v>31</x:v>
      </x:c>
      <x:c r="H1125" s="2" t="n">
        <x:f>G1125+Supuestos!$C$15</x:f>
        <x:v>32</x:v>
      </x:c>
      <x:c r="I1125" s="14" t="n">
        <x:f>E2_plantas!J28+G1125</x:f>
        <x:v>46219</x:v>
      </x:c>
      <x:c r="J1125" s="2" t="str">
        <x:v>muerta</x:v>
      </x:c>
      <x:c r="K1125" s="2" t="n">
        <x:v>0</x:v>
      </x:c>
      <x:c r="L1125" s="2" t="n">
        <x:v>0</x:v>
      </x:c>
      <x:c r="M1125" s="2" t="n">
        <x:f>SUM(L$1094:L1125)</x:f>
        <x:v>28</x:v>
      </x:c>
      <x:c r="N1125" s="2" t="n">
        <x:v>0</x:v>
      </x:c>
      <x:c r="O1125" s="2" t="str">
        <x:v>relleno_postmuerte</x:v>
      </x:c>
      <x:c r="P1125" s="2" t="n">
        <x:v>0</x:v>
      </x:c>
      <x:c r="Q1125" s="2" t="str">
        <x:v>simulado_didactico</x:v>
      </x:c>
    </x:row>
    <x:row r="1126" ht="19" customHeight="1">
      <x:c r="A1126" s="2" t="str">
        <x:v>SIM-E2-MP-L8-R05</x:v>
      </x:c>
      <x:c r="B1126" s="2" t="n">
        <x:v>3</x:v>
      </x:c>
      <x:c r="C1126" s="2" t="str">
        <x:v>MP</x:v>
      </x:c>
      <x:c r="D1126" s="2" t="str">
        <x:v>Myzus persicae</x:v>
      </x:c>
      <x:c r="E1126" s="2" t="str">
        <x:v>L8</x:v>
      </x:c>
      <x:c r="F1126" s="2" t="n">
        <x:v>5</x:v>
      </x:c>
      <x:c r="G1126" s="2" t="n">
        <x:v>32</x:v>
      </x:c>
      <x:c r="H1126" s="2" t="n">
        <x:f>G1126+Supuestos!$C$15</x:f>
        <x:v>33</x:v>
      </x:c>
      <x:c r="I1126" s="14" t="n">
        <x:f>E2_plantas!J28+G1126</x:f>
        <x:v>46220</x:v>
      </x:c>
      <x:c r="J1126" s="2" t="str">
        <x:v>muerta</x:v>
      </x:c>
      <x:c r="K1126" s="2" t="n">
        <x:v>0</x:v>
      </x:c>
      <x:c r="L1126" s="2" t="n">
        <x:v>0</x:v>
      </x:c>
      <x:c r="M1126" s="2" t="n">
        <x:f>SUM(L$1094:L1126)</x:f>
        <x:v>28</x:v>
      </x:c>
      <x:c r="N1126" s="2" t="n">
        <x:v>0</x:v>
      </x:c>
      <x:c r="O1126" s="2" t="str">
        <x:v>relleno_postmuerte</x:v>
      </x:c>
      <x:c r="P1126" s="2" t="n">
        <x:v>0</x:v>
      </x:c>
      <x:c r="Q1126" s="2" t="str">
        <x:v>simulado_didactico</x:v>
      </x:c>
    </x:row>
    <x:row r="1127" ht="19" customHeight="1">
      <x:c r="A1127" s="2" t="str">
        <x:v>SIM-E2-MP-L8-R05</x:v>
      </x:c>
      <x:c r="B1127" s="2" t="n">
        <x:v>3</x:v>
      </x:c>
      <x:c r="C1127" s="2" t="str">
        <x:v>MP</x:v>
      </x:c>
      <x:c r="D1127" s="2" t="str">
        <x:v>Myzus persicae</x:v>
      </x:c>
      <x:c r="E1127" s="2" t="str">
        <x:v>L8</x:v>
      </x:c>
      <x:c r="F1127" s="2" t="n">
        <x:v>5</x:v>
      </x:c>
      <x:c r="G1127" s="2" t="n">
        <x:v>33</x:v>
      </x:c>
      <x:c r="H1127" s="2" t="n">
        <x:f>G1127+Supuestos!$C$15</x:f>
        <x:v>34</x:v>
      </x:c>
      <x:c r="I1127" s="14" t="n">
        <x:f>E2_plantas!J28+G1127</x:f>
        <x:v>46221</x:v>
      </x:c>
      <x:c r="J1127" s="2" t="str">
        <x:v>muerta</x:v>
      </x:c>
      <x:c r="K1127" s="2" t="n">
        <x:v>0</x:v>
      </x:c>
      <x:c r="L1127" s="2" t="n">
        <x:v>0</x:v>
      </x:c>
      <x:c r="M1127" s="2" t="n">
        <x:f>SUM(L$1094:L1127)</x:f>
        <x:v>28</x:v>
      </x:c>
      <x:c r="N1127" s="2" t="n">
        <x:v>0</x:v>
      </x:c>
      <x:c r="O1127" s="2" t="str">
        <x:v>relleno_postmuerte</x:v>
      </x:c>
      <x:c r="P1127" s="2" t="n">
        <x:v>0</x:v>
      </x:c>
      <x:c r="Q1127" s="2" t="str">
        <x:v>simulado_didactico</x:v>
      </x:c>
    </x:row>
    <x:row r="1128" ht="19" customHeight="1">
      <x:c r="A1128" s="2" t="str">
        <x:v>SIM-E2-MP-L8-R05</x:v>
      </x:c>
      <x:c r="B1128" s="2" t="n">
        <x:v>3</x:v>
      </x:c>
      <x:c r="C1128" s="2" t="str">
        <x:v>MP</x:v>
      </x:c>
      <x:c r="D1128" s="2" t="str">
        <x:v>Myzus persicae</x:v>
      </x:c>
      <x:c r="E1128" s="2" t="str">
        <x:v>L8</x:v>
      </x:c>
      <x:c r="F1128" s="2" t="n">
        <x:v>5</x:v>
      </x:c>
      <x:c r="G1128" s="2" t="n">
        <x:v>34</x:v>
      </x:c>
      <x:c r="H1128" s="2" t="n">
        <x:f>G1128+Supuestos!$C$15</x:f>
        <x:v>35</x:v>
      </x:c>
      <x:c r="I1128" s="14" t="n">
        <x:f>E2_plantas!J28+G1128</x:f>
        <x:v>46222</x:v>
      </x:c>
      <x:c r="J1128" s="2" t="str">
        <x:v>muerta</x:v>
      </x:c>
      <x:c r="K1128" s="2" t="n">
        <x:v>0</x:v>
      </x:c>
      <x:c r="L1128" s="2" t="n">
        <x:v>0</x:v>
      </x:c>
      <x:c r="M1128" s="2" t="n">
        <x:f>SUM(L$1094:L1128)</x:f>
        <x:v>28</x:v>
      </x:c>
      <x:c r="N1128" s="2" t="n">
        <x:v>0</x:v>
      </x:c>
      <x:c r="O1128" s="2" t="str">
        <x:v>relleno_postmuerte</x:v>
      </x:c>
      <x:c r="P1128" s="2" t="n">
        <x:v>0</x:v>
      </x:c>
      <x:c r="Q1128" s="2" t="str">
        <x:v>simulado_didactico</x:v>
      </x:c>
    </x:row>
    <x:row r="1129" ht="19" customHeight="1">
      <x:c r="A1129" s="2" t="str">
        <x:v>SIM-E2-MP-L8-R05</x:v>
      </x:c>
      <x:c r="B1129" s="2" t="n">
        <x:v>3</x:v>
      </x:c>
      <x:c r="C1129" s="2" t="str">
        <x:v>MP</x:v>
      </x:c>
      <x:c r="D1129" s="2" t="str">
        <x:v>Myzus persicae</x:v>
      </x:c>
      <x:c r="E1129" s="2" t="str">
        <x:v>L8</x:v>
      </x:c>
      <x:c r="F1129" s="2" t="n">
        <x:v>5</x:v>
      </x:c>
      <x:c r="G1129" s="2" t="n">
        <x:v>35</x:v>
      </x:c>
      <x:c r="H1129" s="2" t="n">
        <x:f>G1129+Supuestos!$C$15</x:f>
        <x:v>36</x:v>
      </x:c>
      <x:c r="I1129" s="14" t="n">
        <x:f>E2_plantas!J28+G1129</x:f>
        <x:v>46223</x:v>
      </x:c>
      <x:c r="J1129" s="2" t="str">
        <x:v>muerta</x:v>
      </x:c>
      <x:c r="K1129" s="2" t="n">
        <x:v>0</x:v>
      </x:c>
      <x:c r="L1129" s="2" t="n">
        <x:v>0</x:v>
      </x:c>
      <x:c r="M1129" s="2" t="n">
        <x:f>SUM(L$1094:L1129)</x:f>
        <x:v>28</x:v>
      </x:c>
      <x:c r="N1129" s="2" t="n">
        <x:v>0</x:v>
      </x:c>
      <x:c r="O1129" s="2" t="str">
        <x:v>relleno_postmuerte</x:v>
      </x:c>
      <x:c r="P1129" s="2" t="n">
        <x:v>0</x:v>
      </x:c>
      <x:c r="Q1129" s="2" t="str">
        <x:v>simulado_didactico</x:v>
      </x:c>
    </x:row>
    <x:row r="1130" ht="19" customHeight="1">
      <x:c r="A1130" s="2" t="str">
        <x:v>SIM-E2-MP-L8-R05</x:v>
      </x:c>
      <x:c r="B1130" s="2" t="n">
        <x:v>3</x:v>
      </x:c>
      <x:c r="C1130" s="2" t="str">
        <x:v>MP</x:v>
      </x:c>
      <x:c r="D1130" s="2" t="str">
        <x:v>Myzus persicae</x:v>
      </x:c>
      <x:c r="E1130" s="2" t="str">
        <x:v>L8</x:v>
      </x:c>
      <x:c r="F1130" s="2" t="n">
        <x:v>5</x:v>
      </x:c>
      <x:c r="G1130" s="2" t="n">
        <x:v>36</x:v>
      </x:c>
      <x:c r="H1130" s="2" t="n">
        <x:f>G1130+Supuestos!$C$15</x:f>
        <x:v>37</x:v>
      </x:c>
      <x:c r="I1130" s="14" t="n">
        <x:f>E2_plantas!J28+G1130</x:f>
        <x:v>46224</x:v>
      </x:c>
      <x:c r="J1130" s="2" t="str">
        <x:v>muerta</x:v>
      </x:c>
      <x:c r="K1130" s="2" t="n">
        <x:v>0</x:v>
      </x:c>
      <x:c r="L1130" s="2" t="n">
        <x:v>0</x:v>
      </x:c>
      <x:c r="M1130" s="2" t="n">
        <x:f>SUM(L$1094:L1130)</x:f>
        <x:v>28</x:v>
      </x:c>
      <x:c r="N1130" s="2" t="n">
        <x:v>0</x:v>
      </x:c>
      <x:c r="O1130" s="2" t="str">
        <x:v>relleno_postmuerte</x:v>
      </x:c>
      <x:c r="P1130" s="2" t="n">
        <x:v>0</x:v>
      </x:c>
      <x:c r="Q1130" s="2" t="str">
        <x:v>simulado_didactico</x:v>
      </x:c>
    </x:row>
    <x:row r="1131" ht="19" customHeight="1">
      <x:c r="A1131" s="2" t="str">
        <x:v>SIM-E2-MP-L8-R05</x:v>
      </x:c>
      <x:c r="B1131" s="2" t="n">
        <x:v>3</x:v>
      </x:c>
      <x:c r="C1131" s="2" t="str">
        <x:v>MP</x:v>
      </x:c>
      <x:c r="D1131" s="2" t="str">
        <x:v>Myzus persicae</x:v>
      </x:c>
      <x:c r="E1131" s="2" t="str">
        <x:v>L8</x:v>
      </x:c>
      <x:c r="F1131" s="2" t="n">
        <x:v>5</x:v>
      </x:c>
      <x:c r="G1131" s="2" t="n">
        <x:v>37</x:v>
      </x:c>
      <x:c r="H1131" s="2" t="n">
        <x:f>G1131+Supuestos!$C$15</x:f>
        <x:v>38</x:v>
      </x:c>
      <x:c r="I1131" s="14" t="n">
        <x:f>E2_plantas!J28+G1131</x:f>
        <x:v>46225</x:v>
      </x:c>
      <x:c r="J1131" s="2" t="str">
        <x:v>muerta</x:v>
      </x:c>
      <x:c r="K1131" s="2" t="n">
        <x:v>0</x:v>
      </x:c>
      <x:c r="L1131" s="2" t="n">
        <x:v>0</x:v>
      </x:c>
      <x:c r="M1131" s="2" t="n">
        <x:f>SUM(L$1094:L1131)</x:f>
        <x:v>28</x:v>
      </x:c>
      <x:c r="N1131" s="2" t="n">
        <x:v>0</x:v>
      </x:c>
      <x:c r="O1131" s="2" t="str">
        <x:v>relleno_postmuerte</x:v>
      </x:c>
      <x:c r="P1131" s="2" t="n">
        <x:v>0</x:v>
      </x:c>
      <x:c r="Q1131" s="2" t="str">
        <x:v>simulado_didactico</x:v>
      </x:c>
    </x:row>
    <x:row r="1132" ht="19" customHeight="1">
      <x:c r="A1132" s="2" t="str">
        <x:v>SIM-E2-MP-L8-R05</x:v>
      </x:c>
      <x:c r="B1132" s="2" t="n">
        <x:v>3</x:v>
      </x:c>
      <x:c r="C1132" s="2" t="str">
        <x:v>MP</x:v>
      </x:c>
      <x:c r="D1132" s="2" t="str">
        <x:v>Myzus persicae</x:v>
      </x:c>
      <x:c r="E1132" s="2" t="str">
        <x:v>L8</x:v>
      </x:c>
      <x:c r="F1132" s="2" t="n">
        <x:v>5</x:v>
      </x:c>
      <x:c r="G1132" s="2" t="n">
        <x:v>38</x:v>
      </x:c>
      <x:c r="H1132" s="2" t="n">
        <x:f>G1132+Supuestos!$C$15</x:f>
        <x:v>39</x:v>
      </x:c>
      <x:c r="I1132" s="14" t="n">
        <x:f>E2_plantas!J28+G1132</x:f>
        <x:v>46226</x:v>
      </x:c>
      <x:c r="J1132" s="2" t="str">
        <x:v>muerta</x:v>
      </x:c>
      <x:c r="K1132" s="2" t="n">
        <x:v>0</x:v>
      </x:c>
      <x:c r="L1132" s="2" t="n">
        <x:v>0</x:v>
      </x:c>
      <x:c r="M1132" s="2" t="n">
        <x:f>SUM(L$1094:L1132)</x:f>
        <x:v>28</x:v>
      </x:c>
      <x:c r="N1132" s="2" t="n">
        <x:v>0</x:v>
      </x:c>
      <x:c r="O1132" s="2" t="str">
        <x:v>relleno_postmuerte</x:v>
      </x:c>
      <x:c r="P1132" s="2" t="n">
        <x:v>0</x:v>
      </x:c>
      <x:c r="Q1132" s="2" t="str">
        <x:v>simulado_didactico</x:v>
      </x:c>
    </x:row>
    <x:row r="1133" ht="19" customHeight="1">
      <x:c r="A1133" s="2" t="str">
        <x:v>SIM-E2-MP-L8-R05</x:v>
      </x:c>
      <x:c r="B1133" s="2" t="n">
        <x:v>3</x:v>
      </x:c>
      <x:c r="C1133" s="2" t="str">
        <x:v>MP</x:v>
      </x:c>
      <x:c r="D1133" s="2" t="str">
        <x:v>Myzus persicae</x:v>
      </x:c>
      <x:c r="E1133" s="2" t="str">
        <x:v>L8</x:v>
      </x:c>
      <x:c r="F1133" s="2" t="n">
        <x:v>5</x:v>
      </x:c>
      <x:c r="G1133" s="2" t="n">
        <x:v>39</x:v>
      </x:c>
      <x:c r="H1133" s="2" t="n">
        <x:f>G1133+Supuestos!$C$15</x:f>
        <x:v>40</x:v>
      </x:c>
      <x:c r="I1133" s="14" t="n">
        <x:f>E2_plantas!J28+G1133</x:f>
        <x:v>46227</x:v>
      </x:c>
      <x:c r="J1133" s="2" t="str">
        <x:v>muerta</x:v>
      </x:c>
      <x:c r="K1133" s="2" t="n">
        <x:v>0</x:v>
      </x:c>
      <x:c r="L1133" s="2" t="n">
        <x:v>0</x:v>
      </x:c>
      <x:c r="M1133" s="2" t="n">
        <x:f>SUM(L$1094:L1133)</x:f>
        <x:v>28</x:v>
      </x:c>
      <x:c r="N1133" s="2" t="n">
        <x:v>0</x:v>
      </x:c>
      <x:c r="O1133" s="2" t="str">
        <x:v>relleno_postmuerte</x:v>
      </x:c>
      <x:c r="P1133" s="2" t="n">
        <x:v>0</x:v>
      </x:c>
      <x:c r="Q1133" s="2" t="str">
        <x:v>simulado_didactico</x:v>
      </x:c>
    </x:row>
    <x:row r="1134" ht="19" customHeight="1">
      <x:c r="A1134" s="2" t="str">
        <x:v>SIM-E2-MP-L8-R05</x:v>
      </x:c>
      <x:c r="B1134" s="2" t="n">
        <x:v>3</x:v>
      </x:c>
      <x:c r="C1134" s="2" t="str">
        <x:v>MP</x:v>
      </x:c>
      <x:c r="D1134" s="2" t="str">
        <x:v>Myzus persicae</x:v>
      </x:c>
      <x:c r="E1134" s="2" t="str">
        <x:v>L8</x:v>
      </x:c>
      <x:c r="F1134" s="2" t="n">
        <x:v>5</x:v>
      </x:c>
      <x:c r="G1134" s="2" t="n">
        <x:v>40</x:v>
      </x:c>
      <x:c r="H1134" s="2" t="n">
        <x:f>G1134+Supuestos!$C$15</x:f>
        <x:v>41</x:v>
      </x:c>
      <x:c r="I1134" s="14" t="n">
        <x:f>E2_plantas!J28+G1134</x:f>
        <x:v>46228</x:v>
      </x:c>
      <x:c r="J1134" s="2" t="str">
        <x:v>muerta</x:v>
      </x:c>
      <x:c r="K1134" s="2" t="n">
        <x:v>0</x:v>
      </x:c>
      <x:c r="L1134" s="2" t="n">
        <x:v>0</x:v>
      </x:c>
      <x:c r="M1134" s="2" t="n">
        <x:f>SUM(L$1094:L1134)</x:f>
        <x:v>28</x:v>
      </x:c>
      <x:c r="N1134" s="2" t="n">
        <x:v>0</x:v>
      </x:c>
      <x:c r="O1134" s="2" t="str">
        <x:v>relleno_postmuerte</x:v>
      </x:c>
      <x:c r="P1134" s="2" t="n">
        <x:v>0</x:v>
      </x:c>
      <x:c r="Q1134" s="2" t="str">
        <x:v>simulado_didactico</x:v>
      </x:c>
    </x:row>
    <x:row r="1135" ht="19" customHeight="1">
      <x:c r="A1135" s="2" t="str">
        <x:v>SIM-E2-MP-L8-R05</x:v>
      </x:c>
      <x:c r="B1135" s="2" t="n">
        <x:v>3</x:v>
      </x:c>
      <x:c r="C1135" s="2" t="str">
        <x:v>MP</x:v>
      </x:c>
      <x:c r="D1135" s="2" t="str">
        <x:v>Myzus persicae</x:v>
      </x:c>
      <x:c r="E1135" s="2" t="str">
        <x:v>L8</x:v>
      </x:c>
      <x:c r="F1135" s="2" t="n">
        <x:v>5</x:v>
      </x:c>
      <x:c r="G1135" s="2" t="n">
        <x:v>41</x:v>
      </x:c>
      <x:c r="H1135" s="2" t="n">
        <x:f>G1135+Supuestos!$C$15</x:f>
        <x:v>42</x:v>
      </x:c>
      <x:c r="I1135" s="14" t="n">
        <x:f>E2_plantas!J28+G1135</x:f>
        <x:v>46229</x:v>
      </x:c>
      <x:c r="J1135" s="2" t="str">
        <x:v>muerta</x:v>
      </x:c>
      <x:c r="K1135" s="2" t="n">
        <x:v>0</x:v>
      </x:c>
      <x:c r="L1135" s="2" t="n">
        <x:v>0</x:v>
      </x:c>
      <x:c r="M1135" s="2" t="n">
        <x:f>SUM(L$1094:L1135)</x:f>
        <x:v>28</x:v>
      </x:c>
      <x:c r="N1135" s="2" t="n">
        <x:v>0</x:v>
      </x:c>
      <x:c r="O1135" s="2" t="str">
        <x:v>relleno_postmuerte</x:v>
      </x:c>
      <x:c r="P1135" s="2" t="n">
        <x:v>0</x:v>
      </x:c>
      <x:c r="Q1135" s="2" t="str">
        <x:v>simulado_didactico</x:v>
      </x:c>
    </x:row>
    <x:row r="1136" ht="19" customHeight="1">
      <x:c r="A1136" s="2" t="str">
        <x:v>SIM-E2-MP-L8-R06</x:v>
      </x:c>
      <x:c r="B1136" s="2" t="n">
        <x:v>3</x:v>
      </x:c>
      <x:c r="C1136" s="2" t="str">
        <x:v>MP</x:v>
      </x:c>
      <x:c r="D1136" s="2" t="str">
        <x:v>Myzus persicae</x:v>
      </x:c>
      <x:c r="E1136" s="2" t="str">
        <x:v>L8</x:v>
      </x:c>
      <x:c r="F1136" s="2" t="n">
        <x:v>6</x:v>
      </x:c>
      <x:c r="G1136" s="2" t="n">
        <x:v>0</x:v>
      </x:c>
      <x:c r="H1136" s="2" t="n">
        <x:f>G1136+Supuestos!$C$15</x:f>
        <x:v>1</x:v>
      </x:c>
      <x:c r="I1136" s="14" t="n">
        <x:f>E2_plantas!J29+G1136</x:f>
        <x:v>46188</x:v>
      </x:c>
      <x:c r="J1136" s="2" t="str">
        <x:v>N1</x:v>
      </x:c>
      <x:c r="K1136" s="2" t="n">
        <x:v>1</x:v>
      </x:c>
      <x:c r="L1136" s="2" t="n">
        <x:v>0</x:v>
      </x:c>
      <x:c r="M1136" s="2" t="n">
        <x:f>SUM(L$1136:L1136)</x:f>
        <x:v>0</x:v>
      </x:c>
      <x:c r="N1136" s="2" t="n">
        <x:v>0</x:v>
      </x:c>
      <x:c r="O1136" s="2" t="str">
        <x:v>seguimiento</x:v>
      </x:c>
      <x:c r="P1136" s="2" t="n">
        <x:v>0</x:v>
      </x:c>
      <x:c r="Q1136" s="2" t="str">
        <x:v>simulado_didactico</x:v>
      </x:c>
    </x:row>
    <x:row r="1137" ht="19" customHeight="1">
      <x:c r="A1137" s="2" t="str">
        <x:v>SIM-E2-MP-L8-R06</x:v>
      </x:c>
      <x:c r="B1137" s="2" t="n">
        <x:v>3</x:v>
      </x:c>
      <x:c r="C1137" s="2" t="str">
        <x:v>MP</x:v>
      </x:c>
      <x:c r="D1137" s="2" t="str">
        <x:v>Myzus persicae</x:v>
      </x:c>
      <x:c r="E1137" s="2" t="str">
        <x:v>L8</x:v>
      </x:c>
      <x:c r="F1137" s="2" t="n">
        <x:v>6</x:v>
      </x:c>
      <x:c r="G1137" s="2" t="n">
        <x:v>1</x:v>
      </x:c>
      <x:c r="H1137" s="2" t="n">
        <x:f>G1137+Supuestos!$C$15</x:f>
        <x:v>2</x:v>
      </x:c>
      <x:c r="I1137" s="14" t="n">
        <x:f>E2_plantas!J29+G1137</x:f>
        <x:v>46189</x:v>
      </x:c>
      <x:c r="J1137" s="2" t="str">
        <x:v>N1</x:v>
      </x:c>
      <x:c r="K1137" s="2" t="n">
        <x:v>1</x:v>
      </x:c>
      <x:c r="L1137" s="2" t="n">
        <x:v>0</x:v>
      </x:c>
      <x:c r="M1137" s="2" t="n">
        <x:f>SUM(L$1136:L1137)</x:f>
        <x:v>0</x:v>
      </x:c>
      <x:c r="N1137" s="2" t="n">
        <x:v>0</x:v>
      </x:c>
      <x:c r="O1137" s="2" t="str">
        <x:v>seguimiento</x:v>
      </x:c>
      <x:c r="P1137" s="2" t="n">
        <x:v>0</x:v>
      </x:c>
      <x:c r="Q1137" s="2" t="str">
        <x:v>simulado_didactico</x:v>
      </x:c>
    </x:row>
    <x:row r="1138" ht="19" customHeight="1">
      <x:c r="A1138" s="2" t="str">
        <x:v>SIM-E2-MP-L8-R06</x:v>
      </x:c>
      <x:c r="B1138" s="2" t="n">
        <x:v>3</x:v>
      </x:c>
      <x:c r="C1138" s="2" t="str">
        <x:v>MP</x:v>
      </x:c>
      <x:c r="D1138" s="2" t="str">
        <x:v>Myzus persicae</x:v>
      </x:c>
      <x:c r="E1138" s="2" t="str">
        <x:v>L8</x:v>
      </x:c>
      <x:c r="F1138" s="2" t="n">
        <x:v>6</x:v>
      </x:c>
      <x:c r="G1138" s="2" t="n">
        <x:v>2</x:v>
      </x:c>
      <x:c r="H1138" s="2" t="n">
        <x:f>G1138+Supuestos!$C$15</x:f>
        <x:v>3</x:v>
      </x:c>
      <x:c r="I1138" s="14" t="n">
        <x:f>E2_plantas!J29+G1138</x:f>
        <x:v>46190</x:v>
      </x:c>
      <x:c r="J1138" s="2" t="str">
        <x:v>N2</x:v>
      </x:c>
      <x:c r="K1138" s="2" t="n">
        <x:v>1</x:v>
      </x:c>
      <x:c r="L1138" s="2" t="n">
        <x:v>0</x:v>
      </x:c>
      <x:c r="M1138" s="2" t="n">
        <x:f>SUM(L$1136:L1138)</x:f>
        <x:v>0</x:v>
      </x:c>
      <x:c r="N1138" s="2" t="n">
        <x:v>0</x:v>
      </x:c>
      <x:c r="O1138" s="2" t="str">
        <x:v>seguimiento</x:v>
      </x:c>
      <x:c r="P1138" s="2" t="n">
        <x:v>0</x:v>
      </x:c>
      <x:c r="Q1138" s="2" t="str">
        <x:v>simulado_didactico</x:v>
      </x:c>
    </x:row>
    <x:row r="1139" ht="19" customHeight="1">
      <x:c r="A1139" s="2" t="str">
        <x:v>SIM-E2-MP-L8-R06</x:v>
      </x:c>
      <x:c r="B1139" s="2" t="n">
        <x:v>3</x:v>
      </x:c>
      <x:c r="C1139" s="2" t="str">
        <x:v>MP</x:v>
      </x:c>
      <x:c r="D1139" s="2" t="str">
        <x:v>Myzus persicae</x:v>
      </x:c>
      <x:c r="E1139" s="2" t="str">
        <x:v>L8</x:v>
      </x:c>
      <x:c r="F1139" s="2" t="n">
        <x:v>6</x:v>
      </x:c>
      <x:c r="G1139" s="2" t="n">
        <x:v>3</x:v>
      </x:c>
      <x:c r="H1139" s="2" t="n">
        <x:f>G1139+Supuestos!$C$15</x:f>
        <x:v>4</x:v>
      </x:c>
      <x:c r="I1139" s="14" t="n">
        <x:f>E2_plantas!J29+G1139</x:f>
        <x:v>46191</x:v>
      </x:c>
      <x:c r="J1139" s="2" t="str">
        <x:v>N2</x:v>
      </x:c>
      <x:c r="K1139" s="2" t="n">
        <x:v>1</x:v>
      </x:c>
      <x:c r="L1139" s="2" t="n">
        <x:v>0</x:v>
      </x:c>
      <x:c r="M1139" s="2" t="n">
        <x:f>SUM(L$1136:L1139)</x:f>
        <x:v>0</x:v>
      </x:c>
      <x:c r="N1139" s="2" t="n">
        <x:v>0</x:v>
      </x:c>
      <x:c r="O1139" s="2" t="str">
        <x:v>seguimiento</x:v>
      </x:c>
      <x:c r="P1139" s="2" t="n">
        <x:v>0</x:v>
      </x:c>
      <x:c r="Q1139" s="2" t="str">
        <x:v>simulado_didactico</x:v>
      </x:c>
    </x:row>
    <x:row r="1140" ht="19" customHeight="1">
      <x:c r="A1140" s="2" t="str">
        <x:v>SIM-E2-MP-L8-R06</x:v>
      </x:c>
      <x:c r="B1140" s="2" t="n">
        <x:v>3</x:v>
      </x:c>
      <x:c r="C1140" s="2" t="str">
        <x:v>MP</x:v>
      </x:c>
      <x:c r="D1140" s="2" t="str">
        <x:v>Myzus persicae</x:v>
      </x:c>
      <x:c r="E1140" s="2" t="str">
        <x:v>L8</x:v>
      </x:c>
      <x:c r="F1140" s="2" t="n">
        <x:v>6</x:v>
      </x:c>
      <x:c r="G1140" s="2" t="n">
        <x:v>4</x:v>
      </x:c>
      <x:c r="H1140" s="2" t="n">
        <x:f>G1140+Supuestos!$C$15</x:f>
        <x:v>5</x:v>
      </x:c>
      <x:c r="I1140" s="14" t="n">
        <x:f>E2_plantas!J29+G1140</x:f>
        <x:v>46192</x:v>
      </x:c>
      <x:c r="J1140" s="2" t="str">
        <x:v>N2</x:v>
      </x:c>
      <x:c r="K1140" s="2" t="n">
        <x:v>1</x:v>
      </x:c>
      <x:c r="L1140" s="2" t="n">
        <x:v>0</x:v>
      </x:c>
      <x:c r="M1140" s="2" t="n">
        <x:f>SUM(L$1136:L1140)</x:f>
        <x:v>0</x:v>
      </x:c>
      <x:c r="N1140" s="2" t="n">
        <x:v>0</x:v>
      </x:c>
      <x:c r="O1140" s="2" t="str">
        <x:v>seguimiento</x:v>
      </x:c>
      <x:c r="P1140" s="2" t="n">
        <x:v>0</x:v>
      </x:c>
      <x:c r="Q1140" s="2" t="str">
        <x:v>simulado_didactico</x:v>
      </x:c>
    </x:row>
    <x:row r="1141" ht="19" customHeight="1">
      <x:c r="A1141" s="2" t="str">
        <x:v>SIM-E2-MP-L8-R06</x:v>
      </x:c>
      <x:c r="B1141" s="2" t="n">
        <x:v>3</x:v>
      </x:c>
      <x:c r="C1141" s="2" t="str">
        <x:v>MP</x:v>
      </x:c>
      <x:c r="D1141" s="2" t="str">
        <x:v>Myzus persicae</x:v>
      </x:c>
      <x:c r="E1141" s="2" t="str">
        <x:v>L8</x:v>
      </x:c>
      <x:c r="F1141" s="2" t="n">
        <x:v>6</x:v>
      </x:c>
      <x:c r="G1141" s="2" t="n">
        <x:v>5</x:v>
      </x:c>
      <x:c r="H1141" s="2" t="n">
        <x:f>G1141+Supuestos!$C$15</x:f>
        <x:v>6</x:v>
      </x:c>
      <x:c r="I1141" s="14" t="n">
        <x:f>E2_plantas!J29+G1141</x:f>
        <x:v>46193</x:v>
      </x:c>
      <x:c r="J1141" s="2" t="str">
        <x:v>N3</x:v>
      </x:c>
      <x:c r="K1141" s="2" t="n">
        <x:v>1</x:v>
      </x:c>
      <x:c r="L1141" s="2" t="n">
        <x:v>0</x:v>
      </x:c>
      <x:c r="M1141" s="2" t="n">
        <x:f>SUM(L$1136:L1141)</x:f>
        <x:v>0</x:v>
      </x:c>
      <x:c r="N1141" s="2" t="n">
        <x:v>0</x:v>
      </x:c>
      <x:c r="O1141" s="2" t="str">
        <x:v>seguimiento</x:v>
      </x:c>
      <x:c r="P1141" s="2" t="n">
        <x:v>0</x:v>
      </x:c>
      <x:c r="Q1141" s="2" t="str">
        <x:v>simulado_didactico</x:v>
      </x:c>
    </x:row>
    <x:row r="1142" ht="19" customHeight="1">
      <x:c r="A1142" s="2" t="str">
        <x:v>SIM-E2-MP-L8-R06</x:v>
      </x:c>
      <x:c r="B1142" s="2" t="n">
        <x:v>3</x:v>
      </x:c>
      <x:c r="C1142" s="2" t="str">
        <x:v>MP</x:v>
      </x:c>
      <x:c r="D1142" s="2" t="str">
        <x:v>Myzus persicae</x:v>
      </x:c>
      <x:c r="E1142" s="2" t="str">
        <x:v>L8</x:v>
      </x:c>
      <x:c r="F1142" s="2" t="n">
        <x:v>6</x:v>
      </x:c>
      <x:c r="G1142" s="2" t="n">
        <x:v>6</x:v>
      </x:c>
      <x:c r="H1142" s="2" t="n">
        <x:f>G1142+Supuestos!$C$15</x:f>
        <x:v>7</x:v>
      </x:c>
      <x:c r="I1142" s="14" t="n">
        <x:f>E2_plantas!J29+G1142</x:f>
        <x:v>46194</x:v>
      </x:c>
      <x:c r="J1142" s="2" t="str">
        <x:v>N3</x:v>
      </x:c>
      <x:c r="K1142" s="2" t="n">
        <x:v>1</x:v>
      </x:c>
      <x:c r="L1142" s="2" t="n">
        <x:v>0</x:v>
      </x:c>
      <x:c r="M1142" s="2" t="n">
        <x:f>SUM(L$1136:L1142)</x:f>
        <x:v>0</x:v>
      </x:c>
      <x:c r="N1142" s="2" t="n">
        <x:v>0</x:v>
      </x:c>
      <x:c r="O1142" s="2" t="str">
        <x:v>seguimiento</x:v>
      </x:c>
      <x:c r="P1142" s="2" t="n">
        <x:v>0</x:v>
      </x:c>
      <x:c r="Q1142" s="2" t="str">
        <x:v>simulado_didactico</x:v>
      </x:c>
    </x:row>
    <x:row r="1143" ht="19" customHeight="1">
      <x:c r="A1143" s="2" t="str">
        <x:v>SIM-E2-MP-L8-R06</x:v>
      </x:c>
      <x:c r="B1143" s="2" t="n">
        <x:v>3</x:v>
      </x:c>
      <x:c r="C1143" s="2" t="str">
        <x:v>MP</x:v>
      </x:c>
      <x:c r="D1143" s="2" t="str">
        <x:v>Myzus persicae</x:v>
      </x:c>
      <x:c r="E1143" s="2" t="str">
        <x:v>L8</x:v>
      </x:c>
      <x:c r="F1143" s="2" t="n">
        <x:v>6</x:v>
      </x:c>
      <x:c r="G1143" s="2" t="n">
        <x:v>7</x:v>
      </x:c>
      <x:c r="H1143" s="2" t="n">
        <x:f>G1143+Supuestos!$C$15</x:f>
        <x:v>8</x:v>
      </x:c>
      <x:c r="I1143" s="14" t="n">
        <x:f>E2_plantas!J29+G1143</x:f>
        <x:v>46195</x:v>
      </x:c>
      <x:c r="J1143" s="2" t="str">
        <x:v>N3</x:v>
      </x:c>
      <x:c r="K1143" s="2" t="n">
        <x:v>1</x:v>
      </x:c>
      <x:c r="L1143" s="2" t="n">
        <x:v>0</x:v>
      </x:c>
      <x:c r="M1143" s="2" t="n">
        <x:f>SUM(L$1136:L1143)</x:f>
        <x:v>0</x:v>
      </x:c>
      <x:c r="N1143" s="2" t="n">
        <x:v>0</x:v>
      </x:c>
      <x:c r="O1143" s="2" t="str">
        <x:v>seguimiento</x:v>
      </x:c>
      <x:c r="P1143" s="2" t="n">
        <x:v>0</x:v>
      </x:c>
      <x:c r="Q1143" s="2" t="str">
        <x:v>simulado_didactico</x:v>
      </x:c>
    </x:row>
    <x:row r="1144" ht="19" customHeight="1">
      <x:c r="A1144" s="2" t="str">
        <x:v>SIM-E2-MP-L8-R06</x:v>
      </x:c>
      <x:c r="B1144" s="2" t="n">
        <x:v>3</x:v>
      </x:c>
      <x:c r="C1144" s="2" t="str">
        <x:v>MP</x:v>
      </x:c>
      <x:c r="D1144" s="2" t="str">
        <x:v>Myzus persicae</x:v>
      </x:c>
      <x:c r="E1144" s="2" t="str">
        <x:v>L8</x:v>
      </x:c>
      <x:c r="F1144" s="2" t="n">
        <x:v>6</x:v>
      </x:c>
      <x:c r="G1144" s="2" t="n">
        <x:v>8</x:v>
      </x:c>
      <x:c r="H1144" s="2" t="n">
        <x:f>G1144+Supuestos!$C$15</x:f>
        <x:v>9</x:v>
      </x:c>
      <x:c r="I1144" s="14" t="n">
        <x:f>E2_plantas!J29+G1144</x:f>
        <x:v>46196</x:v>
      </x:c>
      <x:c r="J1144" s="2" t="str">
        <x:v>N3</x:v>
      </x:c>
      <x:c r="K1144" s="2" t="n">
        <x:v>1</x:v>
      </x:c>
      <x:c r="L1144" s="2" t="n">
        <x:v>0</x:v>
      </x:c>
      <x:c r="M1144" s="2" t="n">
        <x:f>SUM(L$1136:L1144)</x:f>
        <x:v>0</x:v>
      </x:c>
      <x:c r="N1144" s="2" t="n">
        <x:v>0</x:v>
      </x:c>
      <x:c r="O1144" s="2" t="str">
        <x:v>seguimiento</x:v>
      </x:c>
      <x:c r="P1144" s="2" t="n">
        <x:v>0</x:v>
      </x:c>
      <x:c r="Q1144" s="2" t="str">
        <x:v>simulado_didactico</x:v>
      </x:c>
    </x:row>
    <x:row r="1145" ht="19" customHeight="1">
      <x:c r="A1145" s="2" t="str">
        <x:v>SIM-E2-MP-L8-R06</x:v>
      </x:c>
      <x:c r="B1145" s="2" t="n">
        <x:v>3</x:v>
      </x:c>
      <x:c r="C1145" s="2" t="str">
        <x:v>MP</x:v>
      </x:c>
      <x:c r="D1145" s="2" t="str">
        <x:v>Myzus persicae</x:v>
      </x:c>
      <x:c r="E1145" s="2" t="str">
        <x:v>L8</x:v>
      </x:c>
      <x:c r="F1145" s="2" t="n">
        <x:v>6</x:v>
      </x:c>
      <x:c r="G1145" s="2" t="n">
        <x:v>9</x:v>
      </x:c>
      <x:c r="H1145" s="2" t="n">
        <x:f>G1145+Supuestos!$C$15</x:f>
        <x:v>10</x:v>
      </x:c>
      <x:c r="I1145" s="14" t="n">
        <x:f>E2_plantas!J29+G1145</x:f>
        <x:v>46197</x:v>
      </x:c>
      <x:c r="J1145" s="2" t="str">
        <x:v>N4</x:v>
      </x:c>
      <x:c r="K1145" s="2" t="n">
        <x:v>1</x:v>
      </x:c>
      <x:c r="L1145" s="2" t="n">
        <x:v>0</x:v>
      </x:c>
      <x:c r="M1145" s="2" t="n">
        <x:f>SUM(L$1136:L1145)</x:f>
        <x:v>0</x:v>
      </x:c>
      <x:c r="N1145" s="2" t="n">
        <x:v>0</x:v>
      </x:c>
      <x:c r="O1145" s="2" t="str">
        <x:v>seguimiento</x:v>
      </x:c>
      <x:c r="P1145" s="2" t="n">
        <x:v>0</x:v>
      </x:c>
      <x:c r="Q1145" s="2" t="str">
        <x:v>simulado_didactico</x:v>
      </x:c>
    </x:row>
    <x:row r="1146" ht="19" customHeight="1">
      <x:c r="A1146" s="2" t="str">
        <x:v>SIM-E2-MP-L8-R06</x:v>
      </x:c>
      <x:c r="B1146" s="2" t="n">
        <x:v>3</x:v>
      </x:c>
      <x:c r="C1146" s="2" t="str">
        <x:v>MP</x:v>
      </x:c>
      <x:c r="D1146" s="2" t="str">
        <x:v>Myzus persicae</x:v>
      </x:c>
      <x:c r="E1146" s="2" t="str">
        <x:v>L8</x:v>
      </x:c>
      <x:c r="F1146" s="2" t="n">
        <x:v>6</x:v>
      </x:c>
      <x:c r="G1146" s="2" t="n">
        <x:v>10</x:v>
      </x:c>
      <x:c r="H1146" s="2" t="n">
        <x:f>G1146+Supuestos!$C$15</x:f>
        <x:v>11</x:v>
      </x:c>
      <x:c r="I1146" s="14" t="n">
        <x:f>E2_plantas!J29+G1146</x:f>
        <x:v>46198</x:v>
      </x:c>
      <x:c r="J1146" s="2" t="str">
        <x:v>N4</x:v>
      </x:c>
      <x:c r="K1146" s="2" t="n">
        <x:v>1</x:v>
      </x:c>
      <x:c r="L1146" s="2" t="n">
        <x:v>0</x:v>
      </x:c>
      <x:c r="M1146" s="2" t="n">
        <x:f>SUM(L$1136:L1146)</x:f>
        <x:v>0</x:v>
      </x:c>
      <x:c r="N1146" s="2" t="n">
        <x:v>0</x:v>
      </x:c>
      <x:c r="O1146" s="2" t="str">
        <x:v>seguimiento</x:v>
      </x:c>
      <x:c r="P1146" s="2" t="n">
        <x:v>0</x:v>
      </x:c>
      <x:c r="Q1146" s="2" t="str">
        <x:v>simulado_didactico</x:v>
      </x:c>
    </x:row>
    <x:row r="1147" ht="19" customHeight="1">
      <x:c r="A1147" s="2" t="str">
        <x:v>SIM-E2-MP-L8-R06</x:v>
      </x:c>
      <x:c r="B1147" s="2" t="n">
        <x:v>3</x:v>
      </x:c>
      <x:c r="C1147" s="2" t="str">
        <x:v>MP</x:v>
      </x:c>
      <x:c r="D1147" s="2" t="str">
        <x:v>Myzus persicae</x:v>
      </x:c>
      <x:c r="E1147" s="2" t="str">
        <x:v>L8</x:v>
      </x:c>
      <x:c r="F1147" s="2" t="n">
        <x:v>6</x:v>
      </x:c>
      <x:c r="G1147" s="2" t="n">
        <x:v>11</x:v>
      </x:c>
      <x:c r="H1147" s="2" t="n">
        <x:f>G1147+Supuestos!$C$15</x:f>
        <x:v>12</x:v>
      </x:c>
      <x:c r="I1147" s="14" t="n">
        <x:f>E2_plantas!J29+G1147</x:f>
        <x:v>46199</x:v>
      </x:c>
      <x:c r="J1147" s="2" t="str">
        <x:v>adulta</x:v>
      </x:c>
      <x:c r="K1147" s="2" t="n">
        <x:v>1</x:v>
      </x:c>
      <x:c r="L1147" s="2" t="n">
        <x:v>0</x:v>
      </x:c>
      <x:c r="M1147" s="2" t="n">
        <x:f>SUM(L$1136:L1147)</x:f>
        <x:v>0</x:v>
      </x:c>
      <x:c r="N1147" s="2" t="n">
        <x:v>0</x:v>
      </x:c>
      <x:c r="O1147" s="2" t="str">
        <x:v>seguimiento</x:v>
      </x:c>
      <x:c r="P1147" s="2" t="n">
        <x:v>0</x:v>
      </x:c>
      <x:c r="Q1147" s="2" t="str">
        <x:v>simulado_didactico</x:v>
      </x:c>
    </x:row>
    <x:row r="1148" ht="19" customHeight="1">
      <x:c r="A1148" s="2" t="str">
        <x:v>SIM-E2-MP-L8-R06</x:v>
      </x:c>
      <x:c r="B1148" s="2" t="n">
        <x:v>3</x:v>
      </x:c>
      <x:c r="C1148" s="2" t="str">
        <x:v>MP</x:v>
      </x:c>
      <x:c r="D1148" s="2" t="str">
        <x:v>Myzus persicae</x:v>
      </x:c>
      <x:c r="E1148" s="2" t="str">
        <x:v>L8</x:v>
      </x:c>
      <x:c r="F1148" s="2" t="n">
        <x:v>6</x:v>
      </x:c>
      <x:c r="G1148" s="2" t="n">
        <x:v>12</x:v>
      </x:c>
      <x:c r="H1148" s="2" t="n">
        <x:f>G1148+Supuestos!$C$15</x:f>
        <x:v>13</x:v>
      </x:c>
      <x:c r="I1148" s="14" t="n">
        <x:f>E2_plantas!J29+G1148</x:f>
        <x:v>46200</x:v>
      </x:c>
      <x:c r="J1148" s="2" t="str">
        <x:v>adulta</x:v>
      </x:c>
      <x:c r="K1148" s="2" t="n">
        <x:v>1</x:v>
      </x:c>
      <x:c r="L1148" s="2" t="n">
        <x:v>5</x:v>
      </x:c>
      <x:c r="M1148" s="2" t="n">
        <x:f>SUM(L$1136:L1148)</x:f>
        <x:v>5</x:v>
      </x:c>
      <x:c r="N1148" s="2" t="n">
        <x:v>0</x:v>
      </x:c>
      <x:c r="O1148" s="2" t="str">
        <x:v>seguimiento</x:v>
      </x:c>
      <x:c r="P1148" s="2" t="n">
        <x:v>0</x:v>
      </x:c>
      <x:c r="Q1148" s="2" t="str">
        <x:v>simulado_didactico</x:v>
      </x:c>
    </x:row>
    <x:row r="1149" ht="19" customHeight="1">
      <x:c r="A1149" s="2" t="str">
        <x:v>SIM-E2-MP-L8-R06</x:v>
      </x:c>
      <x:c r="B1149" s="2" t="n">
        <x:v>3</x:v>
      </x:c>
      <x:c r="C1149" s="2" t="str">
        <x:v>MP</x:v>
      </x:c>
      <x:c r="D1149" s="2" t="str">
        <x:v>Myzus persicae</x:v>
      </x:c>
      <x:c r="E1149" s="2" t="str">
        <x:v>L8</x:v>
      </x:c>
      <x:c r="F1149" s="2" t="n">
        <x:v>6</x:v>
      </x:c>
      <x:c r="G1149" s="2" t="n">
        <x:v>13</x:v>
      </x:c>
      <x:c r="H1149" s="2" t="n">
        <x:f>G1149+Supuestos!$C$15</x:f>
        <x:v>14</x:v>
      </x:c>
      <x:c r="I1149" s="14" t="n">
        <x:f>E2_plantas!J29+G1149</x:f>
        <x:v>46201</x:v>
      </x:c>
      <x:c r="J1149" s="2" t="str">
        <x:v>adulta</x:v>
      </x:c>
      <x:c r="K1149" s="2" t="n">
        <x:v>1</x:v>
      </x:c>
      <x:c r="L1149" s="2" t="n">
        <x:v>2</x:v>
      </x:c>
      <x:c r="M1149" s="2" t="n">
        <x:f>SUM(L$1136:L1149)</x:f>
        <x:v>7</x:v>
      </x:c>
      <x:c r="N1149" s="2" t="n">
        <x:v>0</x:v>
      </x:c>
      <x:c r="O1149" s="2" t="str">
        <x:v>seguimiento</x:v>
      </x:c>
      <x:c r="P1149" s="2" t="n">
        <x:v>0</x:v>
      </x:c>
      <x:c r="Q1149" s="2" t="str">
        <x:v>simulado_didactico</x:v>
      </x:c>
    </x:row>
    <x:row r="1150" ht="19" customHeight="1">
      <x:c r="A1150" s="2" t="str">
        <x:v>SIM-E2-MP-L8-R06</x:v>
      </x:c>
      <x:c r="B1150" s="2" t="n">
        <x:v>3</x:v>
      </x:c>
      <x:c r="C1150" s="2" t="str">
        <x:v>MP</x:v>
      </x:c>
      <x:c r="D1150" s="2" t="str">
        <x:v>Myzus persicae</x:v>
      </x:c>
      <x:c r="E1150" s="2" t="str">
        <x:v>L8</x:v>
      </x:c>
      <x:c r="F1150" s="2" t="n">
        <x:v>6</x:v>
      </x:c>
      <x:c r="G1150" s="2" t="n">
        <x:v>14</x:v>
      </x:c>
      <x:c r="H1150" s="2" t="n">
        <x:f>G1150+Supuestos!$C$15</x:f>
        <x:v>15</x:v>
      </x:c>
      <x:c r="I1150" s="14" t="n">
        <x:f>E2_plantas!J29+G1150</x:f>
        <x:v>46202</x:v>
      </x:c>
      <x:c r="J1150" s="2" t="str">
        <x:v>adulta</x:v>
      </x:c>
      <x:c r="K1150" s="2" t="n">
        <x:v>1</x:v>
      </x:c>
      <x:c r="L1150" s="2" t="n">
        <x:v>0</x:v>
      </x:c>
      <x:c r="M1150" s="2" t="n">
        <x:f>SUM(L$1136:L1150)</x:f>
        <x:v>7</x:v>
      </x:c>
      <x:c r="N1150" s="2" t="n">
        <x:v>0</x:v>
      </x:c>
      <x:c r="O1150" s="2" t="str">
        <x:v>seguimiento</x:v>
      </x:c>
      <x:c r="P1150" s="2" t="n">
        <x:v>0</x:v>
      </x:c>
      <x:c r="Q1150" s="2" t="str">
        <x:v>simulado_didactico</x:v>
      </x:c>
    </x:row>
    <x:row r="1151" ht="19" customHeight="1">
      <x:c r="A1151" s="2" t="str">
        <x:v>SIM-E2-MP-L8-R06</x:v>
      </x:c>
      <x:c r="B1151" s="2" t="n">
        <x:v>3</x:v>
      </x:c>
      <x:c r="C1151" s="2" t="str">
        <x:v>MP</x:v>
      </x:c>
      <x:c r="D1151" s="2" t="str">
        <x:v>Myzus persicae</x:v>
      </x:c>
      <x:c r="E1151" s="2" t="str">
        <x:v>L8</x:v>
      </x:c>
      <x:c r="F1151" s="2" t="n">
        <x:v>6</x:v>
      </x:c>
      <x:c r="G1151" s="2" t="n">
        <x:v>15</x:v>
      </x:c>
      <x:c r="H1151" s="2" t="n">
        <x:f>G1151+Supuestos!$C$15</x:f>
        <x:v>16</x:v>
      </x:c>
      <x:c r="I1151" s="14" t="n">
        <x:f>E2_plantas!J29+G1151</x:f>
        <x:v>46203</x:v>
      </x:c>
      <x:c r="J1151" s="2" t="str">
        <x:v>adulta</x:v>
      </x:c>
      <x:c r="K1151" s="2" t="n">
        <x:v>1</x:v>
      </x:c>
      <x:c r="L1151" s="2" t="n">
        <x:v>2</x:v>
      </x:c>
      <x:c r="M1151" s="2" t="n">
        <x:f>SUM(L$1136:L1151)</x:f>
        <x:v>9</x:v>
      </x:c>
      <x:c r="N1151" s="2" t="n">
        <x:v>0</x:v>
      </x:c>
      <x:c r="O1151" s="2" t="str">
        <x:v>seguimiento</x:v>
      </x:c>
      <x:c r="P1151" s="2" t="n">
        <x:v>0</x:v>
      </x:c>
      <x:c r="Q1151" s="2" t="str">
        <x:v>simulado_didactico</x:v>
      </x:c>
    </x:row>
    <x:row r="1152" ht="19" customHeight="1">
      <x:c r="A1152" s="2" t="str">
        <x:v>SIM-E2-MP-L8-R06</x:v>
      </x:c>
      <x:c r="B1152" s="2" t="n">
        <x:v>3</x:v>
      </x:c>
      <x:c r="C1152" s="2" t="str">
        <x:v>MP</x:v>
      </x:c>
      <x:c r="D1152" s="2" t="str">
        <x:v>Myzus persicae</x:v>
      </x:c>
      <x:c r="E1152" s="2" t="str">
        <x:v>L8</x:v>
      </x:c>
      <x:c r="F1152" s="2" t="n">
        <x:v>6</x:v>
      </x:c>
      <x:c r="G1152" s="2" t="n">
        <x:v>16</x:v>
      </x:c>
      <x:c r="H1152" s="2" t="n">
        <x:f>G1152+Supuestos!$C$15</x:f>
        <x:v>17</x:v>
      </x:c>
      <x:c r="I1152" s="14" t="n">
        <x:f>E2_plantas!J29+G1152</x:f>
        <x:v>46204</x:v>
      </x:c>
      <x:c r="J1152" s="2" t="str">
        <x:v>adulta</x:v>
      </x:c>
      <x:c r="K1152" s="2" t="n">
        <x:v>1</x:v>
      </x:c>
      <x:c r="L1152" s="2" t="n">
        <x:v>1</x:v>
      </x:c>
      <x:c r="M1152" s="2" t="n">
        <x:f>SUM(L$1136:L1152)</x:f>
        <x:v>10</x:v>
      </x:c>
      <x:c r="N1152" s="2" t="n">
        <x:v>0</x:v>
      </x:c>
      <x:c r="O1152" s="2" t="str">
        <x:v>seguimiento</x:v>
      </x:c>
      <x:c r="P1152" s="2" t="n">
        <x:v>0</x:v>
      </x:c>
      <x:c r="Q1152" s="2" t="str">
        <x:v>simulado_didactico</x:v>
      </x:c>
    </x:row>
    <x:row r="1153" ht="19" customHeight="1">
      <x:c r="A1153" s="2" t="str">
        <x:v>SIM-E2-MP-L8-R06</x:v>
      </x:c>
      <x:c r="B1153" s="2" t="n">
        <x:v>3</x:v>
      </x:c>
      <x:c r="C1153" s="2" t="str">
        <x:v>MP</x:v>
      </x:c>
      <x:c r="D1153" s="2" t="str">
        <x:v>Myzus persicae</x:v>
      </x:c>
      <x:c r="E1153" s="2" t="str">
        <x:v>L8</x:v>
      </x:c>
      <x:c r="F1153" s="2" t="n">
        <x:v>6</x:v>
      </x:c>
      <x:c r="G1153" s="2" t="n">
        <x:v>17</x:v>
      </x:c>
      <x:c r="H1153" s="2" t="n">
        <x:f>G1153+Supuestos!$C$15</x:f>
        <x:v>18</x:v>
      </x:c>
      <x:c r="I1153" s="14" t="n">
        <x:f>E2_plantas!J29+G1153</x:f>
        <x:v>46205</x:v>
      </x:c>
      <x:c r="J1153" s="2" t="str">
        <x:v>adulta</x:v>
      </x:c>
      <x:c r="K1153" s="2" t="n">
        <x:v>1</x:v>
      </x:c>
      <x:c r="L1153" s="2" t="n">
        <x:v>2</x:v>
      </x:c>
      <x:c r="M1153" s="2" t="n">
        <x:f>SUM(L$1136:L1153)</x:f>
        <x:v>12</x:v>
      </x:c>
      <x:c r="N1153" s="2" t="n">
        <x:v>0</x:v>
      </x:c>
      <x:c r="O1153" s="2" t="str">
        <x:v>seguimiento</x:v>
      </x:c>
      <x:c r="P1153" s="2" t="n">
        <x:v>0</x:v>
      </x:c>
      <x:c r="Q1153" s="2" t="str">
        <x:v>simulado_didactico</x:v>
      </x:c>
    </x:row>
    <x:row r="1154" ht="19" customHeight="1">
      <x:c r="A1154" s="2" t="str">
        <x:v>SIM-E2-MP-L8-R06</x:v>
      </x:c>
      <x:c r="B1154" s="2" t="n">
        <x:v>3</x:v>
      </x:c>
      <x:c r="C1154" s="2" t="str">
        <x:v>MP</x:v>
      </x:c>
      <x:c r="D1154" s="2" t="str">
        <x:v>Myzus persicae</x:v>
      </x:c>
      <x:c r="E1154" s="2" t="str">
        <x:v>L8</x:v>
      </x:c>
      <x:c r="F1154" s="2" t="n">
        <x:v>6</x:v>
      </x:c>
      <x:c r="G1154" s="2" t="n">
        <x:v>18</x:v>
      </x:c>
      <x:c r="H1154" s="2" t="n">
        <x:f>G1154+Supuestos!$C$15</x:f>
        <x:v>19</x:v>
      </x:c>
      <x:c r="I1154" s="14" t="n">
        <x:f>E2_plantas!J29+G1154</x:f>
        <x:v>46206</x:v>
      </x:c>
      <x:c r="J1154" s="2" t="str">
        <x:v>adulta</x:v>
      </x:c>
      <x:c r="K1154" s="2" t="n">
        <x:v>1</x:v>
      </x:c>
      <x:c r="L1154" s="2" t="n">
        <x:v>3</x:v>
      </x:c>
      <x:c r="M1154" s="2" t="n">
        <x:f>SUM(L$1136:L1154)</x:f>
        <x:v>15</x:v>
      </x:c>
      <x:c r="N1154" s="2" t="n">
        <x:v>0</x:v>
      </x:c>
      <x:c r="O1154" s="2" t="str">
        <x:v>seguimiento</x:v>
      </x:c>
      <x:c r="P1154" s="2" t="n">
        <x:v>0</x:v>
      </x:c>
      <x:c r="Q1154" s="2" t="str">
        <x:v>simulado_didactico</x:v>
      </x:c>
    </x:row>
    <x:row r="1155" ht="19" customHeight="1">
      <x:c r="A1155" s="2" t="str">
        <x:v>SIM-E2-MP-L8-R06</x:v>
      </x:c>
      <x:c r="B1155" s="2" t="n">
        <x:v>3</x:v>
      </x:c>
      <x:c r="C1155" s="2" t="str">
        <x:v>MP</x:v>
      </x:c>
      <x:c r="D1155" s="2" t="str">
        <x:v>Myzus persicae</x:v>
      </x:c>
      <x:c r="E1155" s="2" t="str">
        <x:v>L8</x:v>
      </x:c>
      <x:c r="F1155" s="2" t="n">
        <x:v>6</x:v>
      </x:c>
      <x:c r="G1155" s="2" t="n">
        <x:v>19</x:v>
      </x:c>
      <x:c r="H1155" s="2" t="n">
        <x:f>G1155+Supuestos!$C$15</x:f>
        <x:v>20</x:v>
      </x:c>
      <x:c r="I1155" s="14" t="n">
        <x:f>E2_plantas!J29+G1155</x:f>
        <x:v>46207</x:v>
      </x:c>
      <x:c r="J1155" s="2" t="str">
        <x:v>adulta</x:v>
      </x:c>
      <x:c r="K1155" s="2" t="n">
        <x:v>1</x:v>
      </x:c>
      <x:c r="L1155" s="2" t="n">
        <x:v>2</x:v>
      </x:c>
      <x:c r="M1155" s="2" t="n">
        <x:f>SUM(L$1136:L1155)</x:f>
        <x:v>17</x:v>
      </x:c>
      <x:c r="N1155" s="2" t="n">
        <x:v>0</x:v>
      </x:c>
      <x:c r="O1155" s="2" t="str">
        <x:v>seguimiento</x:v>
      </x:c>
      <x:c r="P1155" s="2" t="n">
        <x:v>0</x:v>
      </x:c>
      <x:c r="Q1155" s="2" t="str">
        <x:v>simulado_didactico</x:v>
      </x:c>
    </x:row>
    <x:row r="1156" ht="19" customHeight="1">
      <x:c r="A1156" s="2" t="str">
        <x:v>SIM-E2-MP-L8-R06</x:v>
      </x:c>
      <x:c r="B1156" s="2" t="n">
        <x:v>3</x:v>
      </x:c>
      <x:c r="C1156" s="2" t="str">
        <x:v>MP</x:v>
      </x:c>
      <x:c r="D1156" s="2" t="str">
        <x:v>Myzus persicae</x:v>
      </x:c>
      <x:c r="E1156" s="2" t="str">
        <x:v>L8</x:v>
      </x:c>
      <x:c r="F1156" s="2" t="n">
        <x:v>6</x:v>
      </x:c>
      <x:c r="G1156" s="2" t="n">
        <x:v>20</x:v>
      </x:c>
      <x:c r="H1156" s="2" t="n">
        <x:f>G1156+Supuestos!$C$15</x:f>
        <x:v>21</x:v>
      </x:c>
      <x:c r="I1156" s="14" t="n">
        <x:f>E2_plantas!J29+G1156</x:f>
        <x:v>46208</x:v>
      </x:c>
      <x:c r="J1156" s="2" t="str">
        <x:v>adulta</x:v>
      </x:c>
      <x:c r="K1156" s="2" t="n">
        <x:v>1</x:v>
      </x:c>
      <x:c r="L1156" s="2" t="n">
        <x:v>2</x:v>
      </x:c>
      <x:c r="M1156" s="2" t="n">
        <x:f>SUM(L$1136:L1156)</x:f>
        <x:v>19</x:v>
      </x:c>
      <x:c r="N1156" s="2" t="n">
        <x:v>0</x:v>
      </x:c>
      <x:c r="O1156" s="2" t="str">
        <x:v>seguimiento</x:v>
      </x:c>
      <x:c r="P1156" s="2" t="n">
        <x:v>0</x:v>
      </x:c>
      <x:c r="Q1156" s="2" t="str">
        <x:v>simulado_didactico</x:v>
      </x:c>
    </x:row>
    <x:row r="1157" ht="19" customHeight="1">
      <x:c r="A1157" s="2" t="str">
        <x:v>SIM-E2-MP-L8-R06</x:v>
      </x:c>
      <x:c r="B1157" s="2" t="n">
        <x:v>3</x:v>
      </x:c>
      <x:c r="C1157" s="2" t="str">
        <x:v>MP</x:v>
      </x:c>
      <x:c r="D1157" s="2" t="str">
        <x:v>Myzus persicae</x:v>
      </x:c>
      <x:c r="E1157" s="2" t="str">
        <x:v>L8</x:v>
      </x:c>
      <x:c r="F1157" s="2" t="n">
        <x:v>6</x:v>
      </x:c>
      <x:c r="G1157" s="2" t="n">
        <x:v>21</x:v>
      </x:c>
      <x:c r="H1157" s="2" t="n">
        <x:f>G1157+Supuestos!$C$15</x:f>
        <x:v>22</x:v>
      </x:c>
      <x:c r="I1157" s="14" t="n">
        <x:f>E2_plantas!J29+G1157</x:f>
        <x:v>46209</x:v>
      </x:c>
      <x:c r="J1157" s="2" t="str">
        <x:v>adulta</x:v>
      </x:c>
      <x:c r="K1157" s="2" t="n">
        <x:v>1</x:v>
      </x:c>
      <x:c r="L1157" s="2" t="n">
        <x:v>2</x:v>
      </x:c>
      <x:c r="M1157" s="2" t="n">
        <x:f>SUM(L$1136:L1157)</x:f>
        <x:v>21</x:v>
      </x:c>
      <x:c r="N1157" s="2" t="n">
        <x:v>0</x:v>
      </x:c>
      <x:c r="O1157" s="2" t="str">
        <x:v>seguimiento</x:v>
      </x:c>
      <x:c r="P1157" s="2" t="n">
        <x:v>0</x:v>
      </x:c>
      <x:c r="Q1157" s="2" t="str">
        <x:v>simulado_didactico</x:v>
      </x:c>
    </x:row>
    <x:row r="1158" ht="19" customHeight="1">
      <x:c r="A1158" s="2" t="str">
        <x:v>SIM-E2-MP-L8-R06</x:v>
      </x:c>
      <x:c r="B1158" s="2" t="n">
        <x:v>3</x:v>
      </x:c>
      <x:c r="C1158" s="2" t="str">
        <x:v>MP</x:v>
      </x:c>
      <x:c r="D1158" s="2" t="str">
        <x:v>Myzus persicae</x:v>
      </x:c>
      <x:c r="E1158" s="2" t="str">
        <x:v>L8</x:v>
      </x:c>
      <x:c r="F1158" s="2" t="n">
        <x:v>6</x:v>
      </x:c>
      <x:c r="G1158" s="2" t="n">
        <x:v>22</x:v>
      </x:c>
      <x:c r="H1158" s="2" t="n">
        <x:f>G1158+Supuestos!$C$15</x:f>
        <x:v>23</x:v>
      </x:c>
      <x:c r="I1158" s="14" t="n">
        <x:f>E2_plantas!J29+G1158</x:f>
        <x:v>46210</x:v>
      </x:c>
      <x:c r="J1158" s="2" t="str">
        <x:v>adulta</x:v>
      </x:c>
      <x:c r="K1158" s="2" t="n">
        <x:v>1</x:v>
      </x:c>
      <x:c r="L1158" s="2" t="n">
        <x:v>3</x:v>
      </x:c>
      <x:c r="M1158" s="2" t="n">
        <x:f>SUM(L$1136:L1158)</x:f>
        <x:v>24</x:v>
      </x:c>
      <x:c r="N1158" s="2" t="n">
        <x:v>0</x:v>
      </x:c>
      <x:c r="O1158" s="2" t="str">
        <x:v>seguimiento</x:v>
      </x:c>
      <x:c r="P1158" s="2" t="n">
        <x:v>0</x:v>
      </x:c>
      <x:c r="Q1158" s="2" t="str">
        <x:v>simulado_didactico</x:v>
      </x:c>
    </x:row>
    <x:row r="1159" ht="19" customHeight="1">
      <x:c r="A1159" s="2" t="str">
        <x:v>SIM-E2-MP-L8-R06</x:v>
      </x:c>
      <x:c r="B1159" s="2" t="n">
        <x:v>3</x:v>
      </x:c>
      <x:c r="C1159" s="2" t="str">
        <x:v>MP</x:v>
      </x:c>
      <x:c r="D1159" s="2" t="str">
        <x:v>Myzus persicae</x:v>
      </x:c>
      <x:c r="E1159" s="2" t="str">
        <x:v>L8</x:v>
      </x:c>
      <x:c r="F1159" s="2" t="n">
        <x:v>6</x:v>
      </x:c>
      <x:c r="G1159" s="2" t="n">
        <x:v>23</x:v>
      </x:c>
      <x:c r="H1159" s="2" t="n">
        <x:f>G1159+Supuestos!$C$15</x:f>
        <x:v>24</x:v>
      </x:c>
      <x:c r="I1159" s="14" t="n">
        <x:f>E2_plantas!J29+G1159</x:f>
        <x:v>46211</x:v>
      </x:c>
      <x:c r="J1159" s="2" t="str">
        <x:v>adulta</x:v>
      </x:c>
      <x:c r="K1159" s="2" t="n">
        <x:v>1</x:v>
      </x:c>
      <x:c r="L1159" s="2" t="n">
        <x:v>0</x:v>
      </x:c>
      <x:c r="M1159" s="2" t="n">
        <x:f>SUM(L$1136:L1159)</x:f>
        <x:v>24</x:v>
      </x:c>
      <x:c r="N1159" s="2" t="n">
        <x:v>0</x:v>
      </x:c>
      <x:c r="O1159" s="2" t="str">
        <x:v>seguimiento</x:v>
      </x:c>
      <x:c r="P1159" s="2" t="n">
        <x:v>0</x:v>
      </x:c>
      <x:c r="Q1159" s="2" t="str">
        <x:v>simulado_didactico</x:v>
      </x:c>
    </x:row>
    <x:row r="1160" ht="19" customHeight="1">
      <x:c r="A1160" s="2" t="str">
        <x:v>SIM-E2-MP-L8-R06</x:v>
      </x:c>
      <x:c r="B1160" s="2" t="n">
        <x:v>3</x:v>
      </x:c>
      <x:c r="C1160" s="2" t="str">
        <x:v>MP</x:v>
      </x:c>
      <x:c r="D1160" s="2" t="str">
        <x:v>Myzus persicae</x:v>
      </x:c>
      <x:c r="E1160" s="2" t="str">
        <x:v>L8</x:v>
      </x:c>
      <x:c r="F1160" s="2" t="n">
        <x:v>6</x:v>
      </x:c>
      <x:c r="G1160" s="2" t="n">
        <x:v>24</x:v>
      </x:c>
      <x:c r="H1160" s="2" t="n">
        <x:f>G1160+Supuestos!$C$15</x:f>
        <x:v>25</x:v>
      </x:c>
      <x:c r="I1160" s="14" t="n">
        <x:f>E2_plantas!J29+G1160</x:f>
        <x:v>46212</x:v>
      </x:c>
      <x:c r="J1160" s="2" t="str">
        <x:v>adulta</x:v>
      </x:c>
      <x:c r="K1160" s="2" t="n">
        <x:v>1</x:v>
      </x:c>
      <x:c r="L1160" s="2" t="n">
        <x:v>5</x:v>
      </x:c>
      <x:c r="M1160" s="2" t="n">
        <x:f>SUM(L$1136:L1160)</x:f>
        <x:v>29</x:v>
      </x:c>
      <x:c r="N1160" s="2" t="n">
        <x:v>0</x:v>
      </x:c>
      <x:c r="O1160" s="2" t="str">
        <x:v>seguimiento</x:v>
      </x:c>
      <x:c r="P1160" s="2" t="n">
        <x:v>0</x:v>
      </x:c>
      <x:c r="Q1160" s="2" t="str">
        <x:v>simulado_didactico</x:v>
      </x:c>
    </x:row>
    <x:row r="1161" ht="19" customHeight="1">
      <x:c r="A1161" s="2" t="str">
        <x:v>SIM-E2-MP-L8-R06</x:v>
      </x:c>
      <x:c r="B1161" s="2" t="n">
        <x:v>3</x:v>
      </x:c>
      <x:c r="C1161" s="2" t="str">
        <x:v>MP</x:v>
      </x:c>
      <x:c r="D1161" s="2" t="str">
        <x:v>Myzus persicae</x:v>
      </x:c>
      <x:c r="E1161" s="2" t="str">
        <x:v>L8</x:v>
      </x:c>
      <x:c r="F1161" s="2" t="n">
        <x:v>6</x:v>
      </x:c>
      <x:c r="G1161" s="2" t="n">
        <x:v>25</x:v>
      </x:c>
      <x:c r="H1161" s="2" t="n">
        <x:f>G1161+Supuestos!$C$15</x:f>
        <x:v>26</x:v>
      </x:c>
      <x:c r="I1161" s="14" t="n">
        <x:f>E2_plantas!J29+G1161</x:f>
        <x:v>46213</x:v>
      </x:c>
      <x:c r="J1161" s="2" t="str">
        <x:v>adulta</x:v>
      </x:c>
      <x:c r="K1161" s="2" t="n">
        <x:v>1</x:v>
      </x:c>
      <x:c r="L1161" s="2" t="n">
        <x:v>0</x:v>
      </x:c>
      <x:c r="M1161" s="2" t="n">
        <x:f>SUM(L$1136:L1161)</x:f>
        <x:v>29</x:v>
      </x:c>
      <x:c r="N1161" s="2" t="n">
        <x:v>0</x:v>
      </x:c>
      <x:c r="O1161" s="2" t="str">
        <x:v>seguimiento</x:v>
      </x:c>
      <x:c r="P1161" s="2" t="n">
        <x:v>0</x:v>
      </x:c>
      <x:c r="Q1161" s="2" t="str">
        <x:v>simulado_didactico</x:v>
      </x:c>
    </x:row>
    <x:row r="1162" ht="19" customHeight="1">
      <x:c r="A1162" s="2" t="str">
        <x:v>SIM-E2-MP-L8-R06</x:v>
      </x:c>
      <x:c r="B1162" s="2" t="n">
        <x:v>3</x:v>
      </x:c>
      <x:c r="C1162" s="2" t="str">
        <x:v>MP</x:v>
      </x:c>
      <x:c r="D1162" s="2" t="str">
        <x:v>Myzus persicae</x:v>
      </x:c>
      <x:c r="E1162" s="2" t="str">
        <x:v>L8</x:v>
      </x:c>
      <x:c r="F1162" s="2" t="n">
        <x:v>6</x:v>
      </x:c>
      <x:c r="G1162" s="2" t="n">
        <x:v>26</x:v>
      </x:c>
      <x:c r="H1162" s="2" t="n">
        <x:f>G1162+Supuestos!$C$15</x:f>
        <x:v>27</x:v>
      </x:c>
      <x:c r="I1162" s="14" t="n">
        <x:f>E2_plantas!J29+G1162</x:f>
        <x:v>46214</x:v>
      </x:c>
      <x:c r="J1162" s="2" t="str">
        <x:v>adulta</x:v>
      </x:c>
      <x:c r="K1162" s="2" t="n">
        <x:v>1</x:v>
      </x:c>
      <x:c r="L1162" s="2" t="n">
        <x:v>0</x:v>
      </x:c>
      <x:c r="M1162" s="2" t="n">
        <x:f>SUM(L$1136:L1162)</x:f>
        <x:v>29</x:v>
      </x:c>
      <x:c r="N1162" s="2" t="n">
        <x:v>0</x:v>
      </x:c>
      <x:c r="O1162" s="2" t="str">
        <x:v>seguimiento</x:v>
      </x:c>
      <x:c r="P1162" s="2" t="n">
        <x:v>0</x:v>
      </x:c>
      <x:c r="Q1162" s="2" t="str">
        <x:v>simulado_didactico</x:v>
      </x:c>
    </x:row>
    <x:row r="1163" ht="19" customHeight="1">
      <x:c r="A1163" s="2" t="str">
        <x:v>SIM-E2-MP-L8-R06</x:v>
      </x:c>
      <x:c r="B1163" s="2" t="n">
        <x:v>3</x:v>
      </x:c>
      <x:c r="C1163" s="2" t="str">
        <x:v>MP</x:v>
      </x:c>
      <x:c r="D1163" s="2" t="str">
        <x:v>Myzus persicae</x:v>
      </x:c>
      <x:c r="E1163" s="2" t="str">
        <x:v>L8</x:v>
      </x:c>
      <x:c r="F1163" s="2" t="n">
        <x:v>6</x:v>
      </x:c>
      <x:c r="G1163" s="2" t="n">
        <x:v>27</x:v>
      </x:c>
      <x:c r="H1163" s="2" t="n">
        <x:f>G1163+Supuestos!$C$15</x:f>
        <x:v>28</x:v>
      </x:c>
      <x:c r="I1163" s="14" t="n">
        <x:f>E2_plantas!J29+G1163</x:f>
        <x:v>46215</x:v>
      </x:c>
      <x:c r="J1163" s="2" t="str">
        <x:v>muerta</x:v>
      </x:c>
      <x:c r="K1163" s="2" t="n">
        <x:v>0</x:v>
      </x:c>
      <x:c r="L1163" s="2" t="n">
        <x:v>0</x:v>
      </x:c>
      <x:c r="M1163" s="2" t="n">
        <x:f>SUM(L$1136:L1163)</x:f>
        <x:v>29</x:v>
      </x:c>
      <x:c r="N1163" s="2" t="n">
        <x:v>1</x:v>
      </x:c>
      <x:c r="O1163" s="2" t="str">
        <x:v>muerte</x:v>
      </x:c>
      <x:c r="P1163" s="2" t="n">
        <x:v>0</x:v>
      </x:c>
      <x:c r="Q1163" s="2" t="str">
        <x:v>simulado_didactico</x:v>
      </x:c>
    </x:row>
    <x:row r="1164" ht="19" customHeight="1">
      <x:c r="A1164" s="2" t="str">
        <x:v>SIM-E2-MP-L8-R06</x:v>
      </x:c>
      <x:c r="B1164" s="2" t="n">
        <x:v>3</x:v>
      </x:c>
      <x:c r="C1164" s="2" t="str">
        <x:v>MP</x:v>
      </x:c>
      <x:c r="D1164" s="2" t="str">
        <x:v>Myzus persicae</x:v>
      </x:c>
      <x:c r="E1164" s="2" t="str">
        <x:v>L8</x:v>
      </x:c>
      <x:c r="F1164" s="2" t="n">
        <x:v>6</x:v>
      </x:c>
      <x:c r="G1164" s="2" t="n">
        <x:v>28</x:v>
      </x:c>
      <x:c r="H1164" s="2" t="n">
        <x:f>G1164+Supuestos!$C$15</x:f>
        <x:v>29</x:v>
      </x:c>
      <x:c r="I1164" s="14" t="n">
        <x:f>E2_plantas!J29+G1164</x:f>
        <x:v>46216</x:v>
      </x:c>
      <x:c r="J1164" s="2" t="str">
        <x:v>muerta</x:v>
      </x:c>
      <x:c r="K1164" s="2" t="n">
        <x:v>0</x:v>
      </x:c>
      <x:c r="L1164" s="2" t="n">
        <x:v>0</x:v>
      </x:c>
      <x:c r="M1164" s="2" t="n">
        <x:f>SUM(L$1136:L1164)</x:f>
        <x:v>29</x:v>
      </x:c>
      <x:c r="N1164" s="2" t="n">
        <x:v>0</x:v>
      </x:c>
      <x:c r="O1164" s="2" t="str">
        <x:v>relleno_postmuerte</x:v>
      </x:c>
      <x:c r="P1164" s="2" t="n">
        <x:v>0</x:v>
      </x:c>
      <x:c r="Q1164" s="2" t="str">
        <x:v>simulado_didactico</x:v>
      </x:c>
    </x:row>
    <x:row r="1165" ht="19" customHeight="1">
      <x:c r="A1165" s="2" t="str">
        <x:v>SIM-E2-MP-L8-R06</x:v>
      </x:c>
      <x:c r="B1165" s="2" t="n">
        <x:v>3</x:v>
      </x:c>
      <x:c r="C1165" s="2" t="str">
        <x:v>MP</x:v>
      </x:c>
      <x:c r="D1165" s="2" t="str">
        <x:v>Myzus persicae</x:v>
      </x:c>
      <x:c r="E1165" s="2" t="str">
        <x:v>L8</x:v>
      </x:c>
      <x:c r="F1165" s="2" t="n">
        <x:v>6</x:v>
      </x:c>
      <x:c r="G1165" s="2" t="n">
        <x:v>29</x:v>
      </x:c>
      <x:c r="H1165" s="2" t="n">
        <x:f>G1165+Supuestos!$C$15</x:f>
        <x:v>30</x:v>
      </x:c>
      <x:c r="I1165" s="14" t="n">
        <x:f>E2_plantas!J29+G1165</x:f>
        <x:v>46217</x:v>
      </x:c>
      <x:c r="J1165" s="2" t="str">
        <x:v>muerta</x:v>
      </x:c>
      <x:c r="K1165" s="2" t="n">
        <x:v>0</x:v>
      </x:c>
      <x:c r="L1165" s="2" t="n">
        <x:v>0</x:v>
      </x:c>
      <x:c r="M1165" s="2" t="n">
        <x:f>SUM(L$1136:L1165)</x:f>
        <x:v>29</x:v>
      </x:c>
      <x:c r="N1165" s="2" t="n">
        <x:v>0</x:v>
      </x:c>
      <x:c r="O1165" s="2" t="str">
        <x:v>relleno_postmuerte</x:v>
      </x:c>
      <x:c r="P1165" s="2" t="n">
        <x:v>0</x:v>
      </x:c>
      <x:c r="Q1165" s="2" t="str">
        <x:v>simulado_didactico</x:v>
      </x:c>
    </x:row>
    <x:row r="1166" ht="19" customHeight="1">
      <x:c r="A1166" s="2" t="str">
        <x:v>SIM-E2-MP-L8-R06</x:v>
      </x:c>
      <x:c r="B1166" s="2" t="n">
        <x:v>3</x:v>
      </x:c>
      <x:c r="C1166" s="2" t="str">
        <x:v>MP</x:v>
      </x:c>
      <x:c r="D1166" s="2" t="str">
        <x:v>Myzus persicae</x:v>
      </x:c>
      <x:c r="E1166" s="2" t="str">
        <x:v>L8</x:v>
      </x:c>
      <x:c r="F1166" s="2" t="n">
        <x:v>6</x:v>
      </x:c>
      <x:c r="G1166" s="2" t="n">
        <x:v>30</x:v>
      </x:c>
      <x:c r="H1166" s="2" t="n">
        <x:f>G1166+Supuestos!$C$15</x:f>
        <x:v>31</x:v>
      </x:c>
      <x:c r="I1166" s="14" t="n">
        <x:f>E2_plantas!J29+G1166</x:f>
        <x:v>46218</x:v>
      </x:c>
      <x:c r="J1166" s="2" t="str">
        <x:v>muerta</x:v>
      </x:c>
      <x:c r="K1166" s="2" t="n">
        <x:v>0</x:v>
      </x:c>
      <x:c r="L1166" s="2" t="n">
        <x:v>0</x:v>
      </x:c>
      <x:c r="M1166" s="2" t="n">
        <x:f>SUM(L$1136:L1166)</x:f>
        <x:v>29</x:v>
      </x:c>
      <x:c r="N1166" s="2" t="n">
        <x:v>0</x:v>
      </x:c>
      <x:c r="O1166" s="2" t="str">
        <x:v>relleno_postmuerte</x:v>
      </x:c>
      <x:c r="P1166" s="2" t="n">
        <x:v>0</x:v>
      </x:c>
      <x:c r="Q1166" s="2" t="str">
        <x:v>simulado_didactico</x:v>
      </x:c>
    </x:row>
    <x:row r="1167" ht="19" customHeight="1">
      <x:c r="A1167" s="2" t="str">
        <x:v>SIM-E2-MP-L8-R06</x:v>
      </x:c>
      <x:c r="B1167" s="2" t="n">
        <x:v>3</x:v>
      </x:c>
      <x:c r="C1167" s="2" t="str">
        <x:v>MP</x:v>
      </x:c>
      <x:c r="D1167" s="2" t="str">
        <x:v>Myzus persicae</x:v>
      </x:c>
      <x:c r="E1167" s="2" t="str">
        <x:v>L8</x:v>
      </x:c>
      <x:c r="F1167" s="2" t="n">
        <x:v>6</x:v>
      </x:c>
      <x:c r="G1167" s="2" t="n">
        <x:v>31</x:v>
      </x:c>
      <x:c r="H1167" s="2" t="n">
        <x:f>G1167+Supuestos!$C$15</x:f>
        <x:v>32</x:v>
      </x:c>
      <x:c r="I1167" s="14" t="n">
        <x:f>E2_plantas!J29+G1167</x:f>
        <x:v>46219</x:v>
      </x:c>
      <x:c r="J1167" s="2" t="str">
        <x:v>muerta</x:v>
      </x:c>
      <x:c r="K1167" s="2" t="n">
        <x:v>0</x:v>
      </x:c>
      <x:c r="L1167" s="2" t="n">
        <x:v>0</x:v>
      </x:c>
      <x:c r="M1167" s="2" t="n">
        <x:f>SUM(L$1136:L1167)</x:f>
        <x:v>29</x:v>
      </x:c>
      <x:c r="N1167" s="2" t="n">
        <x:v>0</x:v>
      </x:c>
      <x:c r="O1167" s="2" t="str">
        <x:v>relleno_postmuerte</x:v>
      </x:c>
      <x:c r="P1167" s="2" t="n">
        <x:v>0</x:v>
      </x:c>
      <x:c r="Q1167" s="2" t="str">
        <x:v>simulado_didactico</x:v>
      </x:c>
    </x:row>
    <x:row r="1168" ht="19" customHeight="1">
      <x:c r="A1168" s="2" t="str">
        <x:v>SIM-E2-MP-L8-R06</x:v>
      </x:c>
      <x:c r="B1168" s="2" t="n">
        <x:v>3</x:v>
      </x:c>
      <x:c r="C1168" s="2" t="str">
        <x:v>MP</x:v>
      </x:c>
      <x:c r="D1168" s="2" t="str">
        <x:v>Myzus persicae</x:v>
      </x:c>
      <x:c r="E1168" s="2" t="str">
        <x:v>L8</x:v>
      </x:c>
      <x:c r="F1168" s="2" t="n">
        <x:v>6</x:v>
      </x:c>
      <x:c r="G1168" s="2" t="n">
        <x:v>32</x:v>
      </x:c>
      <x:c r="H1168" s="2" t="n">
        <x:f>G1168+Supuestos!$C$15</x:f>
        <x:v>33</x:v>
      </x:c>
      <x:c r="I1168" s="14" t="n">
        <x:f>E2_plantas!J29+G1168</x:f>
        <x:v>46220</x:v>
      </x:c>
      <x:c r="J1168" s="2" t="str">
        <x:v>muerta</x:v>
      </x:c>
      <x:c r="K1168" s="2" t="n">
        <x:v>0</x:v>
      </x:c>
      <x:c r="L1168" s="2" t="n">
        <x:v>0</x:v>
      </x:c>
      <x:c r="M1168" s="2" t="n">
        <x:f>SUM(L$1136:L1168)</x:f>
        <x:v>29</x:v>
      </x:c>
      <x:c r="N1168" s="2" t="n">
        <x:v>0</x:v>
      </x:c>
      <x:c r="O1168" s="2" t="str">
        <x:v>relleno_postmuerte</x:v>
      </x:c>
      <x:c r="P1168" s="2" t="n">
        <x:v>0</x:v>
      </x:c>
      <x:c r="Q1168" s="2" t="str">
        <x:v>simulado_didactico</x:v>
      </x:c>
    </x:row>
    <x:row r="1169" ht="19" customHeight="1">
      <x:c r="A1169" s="2" t="str">
        <x:v>SIM-E2-MP-L8-R06</x:v>
      </x:c>
      <x:c r="B1169" s="2" t="n">
        <x:v>3</x:v>
      </x:c>
      <x:c r="C1169" s="2" t="str">
        <x:v>MP</x:v>
      </x:c>
      <x:c r="D1169" s="2" t="str">
        <x:v>Myzus persicae</x:v>
      </x:c>
      <x:c r="E1169" s="2" t="str">
        <x:v>L8</x:v>
      </x:c>
      <x:c r="F1169" s="2" t="n">
        <x:v>6</x:v>
      </x:c>
      <x:c r="G1169" s="2" t="n">
        <x:v>33</x:v>
      </x:c>
      <x:c r="H1169" s="2" t="n">
        <x:f>G1169+Supuestos!$C$15</x:f>
        <x:v>34</x:v>
      </x:c>
      <x:c r="I1169" s="14" t="n">
        <x:f>E2_plantas!J29+G1169</x:f>
        <x:v>46221</x:v>
      </x:c>
      <x:c r="J1169" s="2" t="str">
        <x:v>muerta</x:v>
      </x:c>
      <x:c r="K1169" s="2" t="n">
        <x:v>0</x:v>
      </x:c>
      <x:c r="L1169" s="2" t="n">
        <x:v>0</x:v>
      </x:c>
      <x:c r="M1169" s="2" t="n">
        <x:f>SUM(L$1136:L1169)</x:f>
        <x:v>29</x:v>
      </x:c>
      <x:c r="N1169" s="2" t="n">
        <x:v>0</x:v>
      </x:c>
      <x:c r="O1169" s="2" t="str">
        <x:v>relleno_postmuerte</x:v>
      </x:c>
      <x:c r="P1169" s="2" t="n">
        <x:v>0</x:v>
      </x:c>
      <x:c r="Q1169" s="2" t="str">
        <x:v>simulado_didactico</x:v>
      </x:c>
    </x:row>
    <x:row r="1170" ht="19" customHeight="1">
      <x:c r="A1170" s="2" t="str">
        <x:v>SIM-E2-MP-L8-R06</x:v>
      </x:c>
      <x:c r="B1170" s="2" t="n">
        <x:v>3</x:v>
      </x:c>
      <x:c r="C1170" s="2" t="str">
        <x:v>MP</x:v>
      </x:c>
      <x:c r="D1170" s="2" t="str">
        <x:v>Myzus persicae</x:v>
      </x:c>
      <x:c r="E1170" s="2" t="str">
        <x:v>L8</x:v>
      </x:c>
      <x:c r="F1170" s="2" t="n">
        <x:v>6</x:v>
      </x:c>
      <x:c r="G1170" s="2" t="n">
        <x:v>34</x:v>
      </x:c>
      <x:c r="H1170" s="2" t="n">
        <x:f>G1170+Supuestos!$C$15</x:f>
        <x:v>35</x:v>
      </x:c>
      <x:c r="I1170" s="14" t="n">
        <x:f>E2_plantas!J29+G1170</x:f>
        <x:v>46222</x:v>
      </x:c>
      <x:c r="J1170" s="2" t="str">
        <x:v>muerta</x:v>
      </x:c>
      <x:c r="K1170" s="2" t="n">
        <x:v>0</x:v>
      </x:c>
      <x:c r="L1170" s="2" t="n">
        <x:v>0</x:v>
      </x:c>
      <x:c r="M1170" s="2" t="n">
        <x:f>SUM(L$1136:L1170)</x:f>
        <x:v>29</x:v>
      </x:c>
      <x:c r="N1170" s="2" t="n">
        <x:v>0</x:v>
      </x:c>
      <x:c r="O1170" s="2" t="str">
        <x:v>relleno_postmuerte</x:v>
      </x:c>
      <x:c r="P1170" s="2" t="n">
        <x:v>0</x:v>
      </x:c>
      <x:c r="Q1170" s="2" t="str">
        <x:v>simulado_didactico</x:v>
      </x:c>
    </x:row>
    <x:row r="1171" ht="19" customHeight="1">
      <x:c r="A1171" s="2" t="str">
        <x:v>SIM-E2-MP-L8-R06</x:v>
      </x:c>
      <x:c r="B1171" s="2" t="n">
        <x:v>3</x:v>
      </x:c>
      <x:c r="C1171" s="2" t="str">
        <x:v>MP</x:v>
      </x:c>
      <x:c r="D1171" s="2" t="str">
        <x:v>Myzus persicae</x:v>
      </x:c>
      <x:c r="E1171" s="2" t="str">
        <x:v>L8</x:v>
      </x:c>
      <x:c r="F1171" s="2" t="n">
        <x:v>6</x:v>
      </x:c>
      <x:c r="G1171" s="2" t="n">
        <x:v>35</x:v>
      </x:c>
      <x:c r="H1171" s="2" t="n">
        <x:f>G1171+Supuestos!$C$15</x:f>
        <x:v>36</x:v>
      </x:c>
      <x:c r="I1171" s="14" t="n">
        <x:f>E2_plantas!J29+G1171</x:f>
        <x:v>46223</x:v>
      </x:c>
      <x:c r="J1171" s="2" t="str">
        <x:v>muerta</x:v>
      </x:c>
      <x:c r="K1171" s="2" t="n">
        <x:v>0</x:v>
      </x:c>
      <x:c r="L1171" s="2" t="n">
        <x:v>0</x:v>
      </x:c>
      <x:c r="M1171" s="2" t="n">
        <x:f>SUM(L$1136:L1171)</x:f>
        <x:v>29</x:v>
      </x:c>
      <x:c r="N1171" s="2" t="n">
        <x:v>0</x:v>
      </x:c>
      <x:c r="O1171" s="2" t="str">
        <x:v>relleno_postmuerte</x:v>
      </x:c>
      <x:c r="P1171" s="2" t="n">
        <x:v>0</x:v>
      </x:c>
      <x:c r="Q1171" s="2" t="str">
        <x:v>simulado_didactico</x:v>
      </x:c>
    </x:row>
    <x:row r="1172" ht="19" customHeight="1">
      <x:c r="A1172" s="2" t="str">
        <x:v>SIM-E2-MP-L8-R06</x:v>
      </x:c>
      <x:c r="B1172" s="2" t="n">
        <x:v>3</x:v>
      </x:c>
      <x:c r="C1172" s="2" t="str">
        <x:v>MP</x:v>
      </x:c>
      <x:c r="D1172" s="2" t="str">
        <x:v>Myzus persicae</x:v>
      </x:c>
      <x:c r="E1172" s="2" t="str">
        <x:v>L8</x:v>
      </x:c>
      <x:c r="F1172" s="2" t="n">
        <x:v>6</x:v>
      </x:c>
      <x:c r="G1172" s="2" t="n">
        <x:v>36</x:v>
      </x:c>
      <x:c r="H1172" s="2" t="n">
        <x:f>G1172+Supuestos!$C$15</x:f>
        <x:v>37</x:v>
      </x:c>
      <x:c r="I1172" s="14" t="n">
        <x:f>E2_plantas!J29+G1172</x:f>
        <x:v>46224</x:v>
      </x:c>
      <x:c r="J1172" s="2" t="str">
        <x:v>muerta</x:v>
      </x:c>
      <x:c r="K1172" s="2" t="n">
        <x:v>0</x:v>
      </x:c>
      <x:c r="L1172" s="2" t="n">
        <x:v>0</x:v>
      </x:c>
      <x:c r="M1172" s="2" t="n">
        <x:f>SUM(L$1136:L1172)</x:f>
        <x:v>29</x:v>
      </x:c>
      <x:c r="N1172" s="2" t="n">
        <x:v>0</x:v>
      </x:c>
      <x:c r="O1172" s="2" t="str">
        <x:v>relleno_postmuerte</x:v>
      </x:c>
      <x:c r="P1172" s="2" t="n">
        <x:v>0</x:v>
      </x:c>
      <x:c r="Q1172" s="2" t="str">
        <x:v>simulado_didactico</x:v>
      </x:c>
    </x:row>
    <x:row r="1173" ht="19" customHeight="1">
      <x:c r="A1173" s="2" t="str">
        <x:v>SIM-E2-MP-L8-R06</x:v>
      </x:c>
      <x:c r="B1173" s="2" t="n">
        <x:v>3</x:v>
      </x:c>
      <x:c r="C1173" s="2" t="str">
        <x:v>MP</x:v>
      </x:c>
      <x:c r="D1173" s="2" t="str">
        <x:v>Myzus persicae</x:v>
      </x:c>
      <x:c r="E1173" s="2" t="str">
        <x:v>L8</x:v>
      </x:c>
      <x:c r="F1173" s="2" t="n">
        <x:v>6</x:v>
      </x:c>
      <x:c r="G1173" s="2" t="n">
        <x:v>37</x:v>
      </x:c>
      <x:c r="H1173" s="2" t="n">
        <x:f>G1173+Supuestos!$C$15</x:f>
        <x:v>38</x:v>
      </x:c>
      <x:c r="I1173" s="14" t="n">
        <x:f>E2_plantas!J29+G1173</x:f>
        <x:v>46225</x:v>
      </x:c>
      <x:c r="J1173" s="2" t="str">
        <x:v>muerta</x:v>
      </x:c>
      <x:c r="K1173" s="2" t="n">
        <x:v>0</x:v>
      </x:c>
      <x:c r="L1173" s="2" t="n">
        <x:v>0</x:v>
      </x:c>
      <x:c r="M1173" s="2" t="n">
        <x:f>SUM(L$1136:L1173)</x:f>
        <x:v>29</x:v>
      </x:c>
      <x:c r="N1173" s="2" t="n">
        <x:v>0</x:v>
      </x:c>
      <x:c r="O1173" s="2" t="str">
        <x:v>relleno_postmuerte</x:v>
      </x:c>
      <x:c r="P1173" s="2" t="n">
        <x:v>0</x:v>
      </x:c>
      <x:c r="Q1173" s="2" t="str">
        <x:v>simulado_didactico</x:v>
      </x:c>
    </x:row>
    <x:row r="1174" ht="19" customHeight="1">
      <x:c r="A1174" s="2" t="str">
        <x:v>SIM-E2-MP-L8-R06</x:v>
      </x:c>
      <x:c r="B1174" s="2" t="n">
        <x:v>3</x:v>
      </x:c>
      <x:c r="C1174" s="2" t="str">
        <x:v>MP</x:v>
      </x:c>
      <x:c r="D1174" s="2" t="str">
        <x:v>Myzus persicae</x:v>
      </x:c>
      <x:c r="E1174" s="2" t="str">
        <x:v>L8</x:v>
      </x:c>
      <x:c r="F1174" s="2" t="n">
        <x:v>6</x:v>
      </x:c>
      <x:c r="G1174" s="2" t="n">
        <x:v>38</x:v>
      </x:c>
      <x:c r="H1174" s="2" t="n">
        <x:f>G1174+Supuestos!$C$15</x:f>
        <x:v>39</x:v>
      </x:c>
      <x:c r="I1174" s="14" t="n">
        <x:f>E2_plantas!J29+G1174</x:f>
        <x:v>46226</x:v>
      </x:c>
      <x:c r="J1174" s="2" t="str">
        <x:v>muerta</x:v>
      </x:c>
      <x:c r="K1174" s="2" t="n">
        <x:v>0</x:v>
      </x:c>
      <x:c r="L1174" s="2" t="n">
        <x:v>0</x:v>
      </x:c>
      <x:c r="M1174" s="2" t="n">
        <x:f>SUM(L$1136:L1174)</x:f>
        <x:v>29</x:v>
      </x:c>
      <x:c r="N1174" s="2" t="n">
        <x:v>0</x:v>
      </x:c>
      <x:c r="O1174" s="2" t="str">
        <x:v>relleno_postmuerte</x:v>
      </x:c>
      <x:c r="P1174" s="2" t="n">
        <x:v>0</x:v>
      </x:c>
      <x:c r="Q1174" s="2" t="str">
        <x:v>simulado_didactico</x:v>
      </x:c>
    </x:row>
    <x:row r="1175" ht="19" customHeight="1">
      <x:c r="A1175" s="2" t="str">
        <x:v>SIM-E2-MP-L8-R06</x:v>
      </x:c>
      <x:c r="B1175" s="2" t="n">
        <x:v>3</x:v>
      </x:c>
      <x:c r="C1175" s="2" t="str">
        <x:v>MP</x:v>
      </x:c>
      <x:c r="D1175" s="2" t="str">
        <x:v>Myzus persicae</x:v>
      </x:c>
      <x:c r="E1175" s="2" t="str">
        <x:v>L8</x:v>
      </x:c>
      <x:c r="F1175" s="2" t="n">
        <x:v>6</x:v>
      </x:c>
      <x:c r="G1175" s="2" t="n">
        <x:v>39</x:v>
      </x:c>
      <x:c r="H1175" s="2" t="n">
        <x:f>G1175+Supuestos!$C$15</x:f>
        <x:v>40</x:v>
      </x:c>
      <x:c r="I1175" s="14" t="n">
        <x:f>E2_plantas!J29+G1175</x:f>
        <x:v>46227</x:v>
      </x:c>
      <x:c r="J1175" s="2" t="str">
        <x:v>muerta</x:v>
      </x:c>
      <x:c r="K1175" s="2" t="n">
        <x:v>0</x:v>
      </x:c>
      <x:c r="L1175" s="2" t="n">
        <x:v>0</x:v>
      </x:c>
      <x:c r="M1175" s="2" t="n">
        <x:f>SUM(L$1136:L1175)</x:f>
        <x:v>29</x:v>
      </x:c>
      <x:c r="N1175" s="2" t="n">
        <x:v>0</x:v>
      </x:c>
      <x:c r="O1175" s="2" t="str">
        <x:v>relleno_postmuerte</x:v>
      </x:c>
      <x:c r="P1175" s="2" t="n">
        <x:v>0</x:v>
      </x:c>
      <x:c r="Q1175" s="2" t="str">
        <x:v>simulado_didactico</x:v>
      </x:c>
    </x:row>
    <x:row r="1176" ht="19" customHeight="1">
      <x:c r="A1176" s="2" t="str">
        <x:v>SIM-E2-MP-L8-R06</x:v>
      </x:c>
      <x:c r="B1176" s="2" t="n">
        <x:v>3</x:v>
      </x:c>
      <x:c r="C1176" s="2" t="str">
        <x:v>MP</x:v>
      </x:c>
      <x:c r="D1176" s="2" t="str">
        <x:v>Myzus persicae</x:v>
      </x:c>
      <x:c r="E1176" s="2" t="str">
        <x:v>L8</x:v>
      </x:c>
      <x:c r="F1176" s="2" t="n">
        <x:v>6</x:v>
      </x:c>
      <x:c r="G1176" s="2" t="n">
        <x:v>40</x:v>
      </x:c>
      <x:c r="H1176" s="2" t="n">
        <x:f>G1176+Supuestos!$C$15</x:f>
        <x:v>41</x:v>
      </x:c>
      <x:c r="I1176" s="14" t="n">
        <x:f>E2_plantas!J29+G1176</x:f>
        <x:v>46228</x:v>
      </x:c>
      <x:c r="J1176" s="2" t="str">
        <x:v>muerta</x:v>
      </x:c>
      <x:c r="K1176" s="2" t="n">
        <x:v>0</x:v>
      </x:c>
      <x:c r="L1176" s="2" t="n">
        <x:v>0</x:v>
      </x:c>
      <x:c r="M1176" s="2" t="n">
        <x:f>SUM(L$1136:L1176)</x:f>
        <x:v>29</x:v>
      </x:c>
      <x:c r="N1176" s="2" t="n">
        <x:v>0</x:v>
      </x:c>
      <x:c r="O1176" s="2" t="str">
        <x:v>relleno_postmuerte</x:v>
      </x:c>
      <x:c r="P1176" s="2" t="n">
        <x:v>0</x:v>
      </x:c>
      <x:c r="Q1176" s="2" t="str">
        <x:v>simulado_didactico</x:v>
      </x:c>
    </x:row>
    <x:row r="1177" ht="19" customHeight="1">
      <x:c r="A1177" s="2" t="str">
        <x:v>SIM-E2-MP-L8-R06</x:v>
      </x:c>
      <x:c r="B1177" s="2" t="n">
        <x:v>3</x:v>
      </x:c>
      <x:c r="C1177" s="2" t="str">
        <x:v>MP</x:v>
      </x:c>
      <x:c r="D1177" s="2" t="str">
        <x:v>Myzus persicae</x:v>
      </x:c>
      <x:c r="E1177" s="2" t="str">
        <x:v>L8</x:v>
      </x:c>
      <x:c r="F1177" s="2" t="n">
        <x:v>6</x:v>
      </x:c>
      <x:c r="G1177" s="2" t="n">
        <x:v>41</x:v>
      </x:c>
      <x:c r="H1177" s="2" t="n">
        <x:f>G1177+Supuestos!$C$15</x:f>
        <x:v>42</x:v>
      </x:c>
      <x:c r="I1177" s="14" t="n">
        <x:f>E2_plantas!J29+G1177</x:f>
        <x:v>46229</x:v>
      </x:c>
      <x:c r="J1177" s="2" t="str">
        <x:v>muerta</x:v>
      </x:c>
      <x:c r="K1177" s="2" t="n">
        <x:v>0</x:v>
      </x:c>
      <x:c r="L1177" s="2" t="n">
        <x:v>0</x:v>
      </x:c>
      <x:c r="M1177" s="2" t="n">
        <x:f>SUM(L$1136:L1177)</x:f>
        <x:v>29</x:v>
      </x:c>
      <x:c r="N1177" s="2" t="n">
        <x:v>0</x:v>
      </x:c>
      <x:c r="O1177" s="2" t="str">
        <x:v>relleno_postmuerte</x:v>
      </x:c>
      <x:c r="P1177" s="2" t="n">
        <x:v>0</x:v>
      </x:c>
      <x:c r="Q1177" s="2" t="str">
        <x:v>simulado_didactico</x:v>
      </x:c>
    </x:row>
    <x:row r="1178" ht="19" customHeight="1">
      <x:c r="A1178" s="2" t="str">
        <x:v>SIM-E2-MP-L7-R05</x:v>
      </x:c>
      <x:c r="B1178" s="2" t="n">
        <x:v>3</x:v>
      </x:c>
      <x:c r="C1178" s="2" t="str">
        <x:v>MP</x:v>
      </x:c>
      <x:c r="D1178" s="2" t="str">
        <x:v>Myzus persicae</x:v>
      </x:c>
      <x:c r="E1178" s="2" t="str">
        <x:v>L7</x:v>
      </x:c>
      <x:c r="F1178" s="2" t="n">
        <x:v>5</x:v>
      </x:c>
      <x:c r="G1178" s="2" t="n">
        <x:v>0</x:v>
      </x:c>
      <x:c r="H1178" s="2" t="n">
        <x:f>G1178+Supuestos!$C$15</x:f>
        <x:v>1</x:v>
      </x:c>
      <x:c r="I1178" s="14" t="n">
        <x:f>E2_plantas!J30+G1178</x:f>
        <x:v>46188</x:v>
      </x:c>
      <x:c r="J1178" s="2" t="str">
        <x:v>N1</x:v>
      </x:c>
      <x:c r="K1178" s="2" t="n">
        <x:v>1</x:v>
      </x:c>
      <x:c r="L1178" s="2" t="n">
        <x:v>0</x:v>
      </x:c>
      <x:c r="M1178" s="2" t="n">
        <x:f>SUM(L$1178:L1178)</x:f>
        <x:v>0</x:v>
      </x:c>
      <x:c r="N1178" s="2" t="n">
        <x:v>0</x:v>
      </x:c>
      <x:c r="O1178" s="2" t="str">
        <x:v>seguimiento</x:v>
      </x:c>
      <x:c r="P1178" s="2" t="n">
        <x:v>0</x:v>
      </x:c>
      <x:c r="Q1178" s="2" t="str">
        <x:v>simulado_didactico</x:v>
      </x:c>
    </x:row>
    <x:row r="1179" ht="19" customHeight="1">
      <x:c r="A1179" s="2" t="str">
        <x:v>SIM-E2-MP-L7-R05</x:v>
      </x:c>
      <x:c r="B1179" s="2" t="n">
        <x:v>3</x:v>
      </x:c>
      <x:c r="C1179" s="2" t="str">
        <x:v>MP</x:v>
      </x:c>
      <x:c r="D1179" s="2" t="str">
        <x:v>Myzus persicae</x:v>
      </x:c>
      <x:c r="E1179" s="2" t="str">
        <x:v>L7</x:v>
      </x:c>
      <x:c r="F1179" s="2" t="n">
        <x:v>5</x:v>
      </x:c>
      <x:c r="G1179" s="2" t="n">
        <x:v>1</x:v>
      </x:c>
      <x:c r="H1179" s="2" t="n">
        <x:f>G1179+Supuestos!$C$15</x:f>
        <x:v>2</x:v>
      </x:c>
      <x:c r="I1179" s="14" t="n">
        <x:f>E2_plantas!J30+G1179</x:f>
        <x:v>46189</x:v>
      </x:c>
      <x:c r="J1179" s="2" t="str">
        <x:v>N1</x:v>
      </x:c>
      <x:c r="K1179" s="2" t="n">
        <x:v>1</x:v>
      </x:c>
      <x:c r="L1179" s="2" t="n">
        <x:v>0</x:v>
      </x:c>
      <x:c r="M1179" s="2" t="n">
        <x:f>SUM(L$1178:L1179)</x:f>
        <x:v>0</x:v>
      </x:c>
      <x:c r="N1179" s="2" t="n">
        <x:v>0</x:v>
      </x:c>
      <x:c r="O1179" s="2" t="str">
        <x:v>seguimiento</x:v>
      </x:c>
      <x:c r="P1179" s="2" t="n">
        <x:v>0</x:v>
      </x:c>
      <x:c r="Q1179" s="2" t="str">
        <x:v>simulado_didactico</x:v>
      </x:c>
    </x:row>
    <x:row r="1180" ht="19" customHeight="1">
      <x:c r="A1180" s="2" t="str">
        <x:v>SIM-E2-MP-L7-R05</x:v>
      </x:c>
      <x:c r="B1180" s="2" t="n">
        <x:v>3</x:v>
      </x:c>
      <x:c r="C1180" s="2" t="str">
        <x:v>MP</x:v>
      </x:c>
      <x:c r="D1180" s="2" t="str">
        <x:v>Myzus persicae</x:v>
      </x:c>
      <x:c r="E1180" s="2" t="str">
        <x:v>L7</x:v>
      </x:c>
      <x:c r="F1180" s="2" t="n">
        <x:v>5</x:v>
      </x:c>
      <x:c r="G1180" s="2" t="n">
        <x:v>2</x:v>
      </x:c>
      <x:c r="H1180" s="2" t="n">
        <x:f>G1180+Supuestos!$C$15</x:f>
        <x:v>3</x:v>
      </x:c>
      <x:c r="I1180" s="14" t="n">
        <x:f>E2_plantas!J30+G1180</x:f>
        <x:v>46190</x:v>
      </x:c>
      <x:c r="J1180" s="2" t="str">
        <x:v>N1</x:v>
      </x:c>
      <x:c r="K1180" s="2" t="n">
        <x:v>1</x:v>
      </x:c>
      <x:c r="L1180" s="2" t="n">
        <x:v>0</x:v>
      </x:c>
      <x:c r="M1180" s="2" t="n">
        <x:f>SUM(L$1178:L1180)</x:f>
        <x:v>0</x:v>
      </x:c>
      <x:c r="N1180" s="2" t="n">
        <x:v>0</x:v>
      </x:c>
      <x:c r="O1180" s="2" t="str">
        <x:v>seguimiento</x:v>
      </x:c>
      <x:c r="P1180" s="2" t="n">
        <x:v>0</x:v>
      </x:c>
      <x:c r="Q1180" s="2" t="str">
        <x:v>simulado_didactico</x:v>
      </x:c>
    </x:row>
    <x:row r="1181" ht="19" customHeight="1">
      <x:c r="A1181" s="2" t="str">
        <x:v>SIM-E2-MP-L7-R05</x:v>
      </x:c>
      <x:c r="B1181" s="2" t="n">
        <x:v>3</x:v>
      </x:c>
      <x:c r="C1181" s="2" t="str">
        <x:v>MP</x:v>
      </x:c>
      <x:c r="D1181" s="2" t="str">
        <x:v>Myzus persicae</x:v>
      </x:c>
      <x:c r="E1181" s="2" t="str">
        <x:v>L7</x:v>
      </x:c>
      <x:c r="F1181" s="2" t="n">
        <x:v>5</x:v>
      </x:c>
      <x:c r="G1181" s="2" t="n">
        <x:v>3</x:v>
      </x:c>
      <x:c r="H1181" s="2" t="n">
        <x:f>G1181+Supuestos!$C$15</x:f>
        <x:v>4</x:v>
      </x:c>
      <x:c r="I1181" s="14" t="n">
        <x:f>E2_plantas!J30+G1181</x:f>
        <x:v>46191</x:v>
      </x:c>
      <x:c r="J1181" s="2" t="str">
        <x:v>N2</x:v>
      </x:c>
      <x:c r="K1181" s="2" t="n">
        <x:v>1</x:v>
      </x:c>
      <x:c r="L1181" s="2" t="n">
        <x:v>0</x:v>
      </x:c>
      <x:c r="M1181" s="2" t="n">
        <x:f>SUM(L$1178:L1181)</x:f>
        <x:v>0</x:v>
      </x:c>
      <x:c r="N1181" s="2" t="n">
        <x:v>0</x:v>
      </x:c>
      <x:c r="O1181" s="2" t="str">
        <x:v>seguimiento</x:v>
      </x:c>
      <x:c r="P1181" s="2" t="n">
        <x:v>0</x:v>
      </x:c>
      <x:c r="Q1181" s="2" t="str">
        <x:v>simulado_didactico</x:v>
      </x:c>
    </x:row>
    <x:row r="1182" ht="19" customHeight="1">
      <x:c r="A1182" s="2" t="str">
        <x:v>SIM-E2-MP-L7-R05</x:v>
      </x:c>
      <x:c r="B1182" s="2" t="n">
        <x:v>3</x:v>
      </x:c>
      <x:c r="C1182" s="2" t="str">
        <x:v>MP</x:v>
      </x:c>
      <x:c r="D1182" s="2" t="str">
        <x:v>Myzus persicae</x:v>
      </x:c>
      <x:c r="E1182" s="2" t="str">
        <x:v>L7</x:v>
      </x:c>
      <x:c r="F1182" s="2" t="n">
        <x:v>5</x:v>
      </x:c>
      <x:c r="G1182" s="2" t="n">
        <x:v>4</x:v>
      </x:c>
      <x:c r="H1182" s="2" t="n">
        <x:f>G1182+Supuestos!$C$15</x:f>
        <x:v>5</x:v>
      </x:c>
      <x:c r="I1182" s="14" t="n">
        <x:f>E2_plantas!J30+G1182</x:f>
        <x:v>46192</x:v>
      </x:c>
      <x:c r="J1182" s="2" t="str">
        <x:v>N2</x:v>
      </x:c>
      <x:c r="K1182" s="2" t="n">
        <x:v>1</x:v>
      </x:c>
      <x:c r="L1182" s="2" t="n">
        <x:v>0</x:v>
      </x:c>
      <x:c r="M1182" s="2" t="n">
        <x:f>SUM(L$1178:L1182)</x:f>
        <x:v>0</x:v>
      </x:c>
      <x:c r="N1182" s="2" t="n">
        <x:v>0</x:v>
      </x:c>
      <x:c r="O1182" s="2" t="str">
        <x:v>seguimiento</x:v>
      </x:c>
      <x:c r="P1182" s="2" t="n">
        <x:v>0</x:v>
      </x:c>
      <x:c r="Q1182" s="2" t="str">
        <x:v>simulado_didactico</x:v>
      </x:c>
    </x:row>
    <x:row r="1183" ht="19" customHeight="1">
      <x:c r="A1183" s="2" t="str">
        <x:v>SIM-E2-MP-L7-R05</x:v>
      </x:c>
      <x:c r="B1183" s="2" t="n">
        <x:v>3</x:v>
      </x:c>
      <x:c r="C1183" s="2" t="str">
        <x:v>MP</x:v>
      </x:c>
      <x:c r="D1183" s="2" t="str">
        <x:v>Myzus persicae</x:v>
      </x:c>
      <x:c r="E1183" s="2" t="str">
        <x:v>L7</x:v>
      </x:c>
      <x:c r="F1183" s="2" t="n">
        <x:v>5</x:v>
      </x:c>
      <x:c r="G1183" s="2" t="n">
        <x:v>5</x:v>
      </x:c>
      <x:c r="H1183" s="2" t="n">
        <x:f>G1183+Supuestos!$C$15</x:f>
        <x:v>6</x:v>
      </x:c>
      <x:c r="I1183" s="14" t="n">
        <x:f>E2_plantas!J30+G1183</x:f>
        <x:v>46193</x:v>
      </x:c>
      <x:c r="J1183" s="2" t="str">
        <x:v>N2</x:v>
      </x:c>
      <x:c r="K1183" s="2" t="n">
        <x:v>1</x:v>
      </x:c>
      <x:c r="L1183" s="2" t="n">
        <x:v>0</x:v>
      </x:c>
      <x:c r="M1183" s="2" t="n">
        <x:f>SUM(L$1178:L1183)</x:f>
        <x:v>0</x:v>
      </x:c>
      <x:c r="N1183" s="2" t="n">
        <x:v>0</x:v>
      </x:c>
      <x:c r="O1183" s="2" t="str">
        <x:v>seguimiento</x:v>
      </x:c>
      <x:c r="P1183" s="2" t="n">
        <x:v>0</x:v>
      </x:c>
      <x:c r="Q1183" s="2" t="str">
        <x:v>simulado_didactico</x:v>
      </x:c>
    </x:row>
    <x:row r="1184" ht="19" customHeight="1">
      <x:c r="A1184" s="2" t="str">
        <x:v>SIM-E2-MP-L7-R05</x:v>
      </x:c>
      <x:c r="B1184" s="2" t="n">
        <x:v>3</x:v>
      </x:c>
      <x:c r="C1184" s="2" t="str">
        <x:v>MP</x:v>
      </x:c>
      <x:c r="D1184" s="2" t="str">
        <x:v>Myzus persicae</x:v>
      </x:c>
      <x:c r="E1184" s="2" t="str">
        <x:v>L7</x:v>
      </x:c>
      <x:c r="F1184" s="2" t="n">
        <x:v>5</x:v>
      </x:c>
      <x:c r="G1184" s="2" t="n">
        <x:v>6</x:v>
      </x:c>
      <x:c r="H1184" s="2" t="n">
        <x:f>G1184+Supuestos!$C$15</x:f>
        <x:v>7</x:v>
      </x:c>
      <x:c r="I1184" s="14" t="n">
        <x:f>E2_plantas!J30+G1184</x:f>
        <x:v>46194</x:v>
      </x:c>
      <x:c r="J1184" s="2" t="str">
        <x:v>N3</x:v>
      </x:c>
      <x:c r="K1184" s="2" t="n">
        <x:v>1</x:v>
      </x:c>
      <x:c r="L1184" s="2" t="n">
        <x:v>0</x:v>
      </x:c>
      <x:c r="M1184" s="2" t="n">
        <x:f>SUM(L$1178:L1184)</x:f>
        <x:v>0</x:v>
      </x:c>
      <x:c r="N1184" s="2" t="n">
        <x:v>0</x:v>
      </x:c>
      <x:c r="O1184" s="2" t="str">
        <x:v>seguimiento</x:v>
      </x:c>
      <x:c r="P1184" s="2" t="n">
        <x:v>0</x:v>
      </x:c>
      <x:c r="Q1184" s="2" t="str">
        <x:v>simulado_didactico</x:v>
      </x:c>
    </x:row>
    <x:row r="1185" ht="19" customHeight="1">
      <x:c r="A1185" s="2" t="str">
        <x:v>SIM-E2-MP-L7-R05</x:v>
      </x:c>
      <x:c r="B1185" s="2" t="n">
        <x:v>3</x:v>
      </x:c>
      <x:c r="C1185" s="2" t="str">
        <x:v>MP</x:v>
      </x:c>
      <x:c r="D1185" s="2" t="str">
        <x:v>Myzus persicae</x:v>
      </x:c>
      <x:c r="E1185" s="2" t="str">
        <x:v>L7</x:v>
      </x:c>
      <x:c r="F1185" s="2" t="n">
        <x:v>5</x:v>
      </x:c>
      <x:c r="G1185" s="2" t="n">
        <x:v>7</x:v>
      </x:c>
      <x:c r="H1185" s="2" t="n">
        <x:f>G1185+Supuestos!$C$15</x:f>
        <x:v>8</x:v>
      </x:c>
      <x:c r="I1185" s="14" t="n">
        <x:f>E2_plantas!J30+G1185</x:f>
        <x:v>46195</x:v>
      </x:c>
      <x:c r="J1185" s="2" t="str">
        <x:v>N4</x:v>
      </x:c>
      <x:c r="K1185" s="2" t="n">
        <x:v>1</x:v>
      </x:c>
      <x:c r="L1185" s="2" t="n">
        <x:v>0</x:v>
      </x:c>
      <x:c r="M1185" s="2" t="n">
        <x:f>SUM(L$1178:L1185)</x:f>
        <x:v>0</x:v>
      </x:c>
      <x:c r="N1185" s="2" t="n">
        <x:v>0</x:v>
      </x:c>
      <x:c r="O1185" s="2" t="str">
        <x:v>seguimiento</x:v>
      </x:c>
      <x:c r="P1185" s="2" t="n">
        <x:v>0</x:v>
      </x:c>
      <x:c r="Q1185" s="2" t="str">
        <x:v>simulado_didactico</x:v>
      </x:c>
    </x:row>
    <x:row r="1186" ht="19" customHeight="1">
      <x:c r="A1186" s="2" t="str">
        <x:v>SIM-E2-MP-L7-R05</x:v>
      </x:c>
      <x:c r="B1186" s="2" t="n">
        <x:v>3</x:v>
      </x:c>
      <x:c r="C1186" s="2" t="str">
        <x:v>MP</x:v>
      </x:c>
      <x:c r="D1186" s="2" t="str">
        <x:v>Myzus persicae</x:v>
      </x:c>
      <x:c r="E1186" s="2" t="str">
        <x:v>L7</x:v>
      </x:c>
      <x:c r="F1186" s="2" t="n">
        <x:v>5</x:v>
      </x:c>
      <x:c r="G1186" s="2" t="n">
        <x:v>8</x:v>
      </x:c>
      <x:c r="H1186" s="2" t="n">
        <x:f>G1186+Supuestos!$C$15</x:f>
        <x:v>9</x:v>
      </x:c>
      <x:c r="I1186" s="14" t="n">
        <x:f>E2_plantas!J30+G1186</x:f>
        <x:v>46196</x:v>
      </x:c>
      <x:c r="J1186" s="2" t="str">
        <x:v>adulta</x:v>
      </x:c>
      <x:c r="K1186" s="2" t="n">
        <x:v>1</x:v>
      </x:c>
      <x:c r="L1186" s="2" t="n">
        <x:v>0</x:v>
      </x:c>
      <x:c r="M1186" s="2" t="n">
        <x:f>SUM(L$1178:L1186)</x:f>
        <x:v>0</x:v>
      </x:c>
      <x:c r="N1186" s="2" t="n">
        <x:v>0</x:v>
      </x:c>
      <x:c r="O1186" s="2" t="str">
        <x:v>seguimiento</x:v>
      </x:c>
      <x:c r="P1186" s="2" t="n">
        <x:v>0</x:v>
      </x:c>
      <x:c r="Q1186" s="2" t="str">
        <x:v>simulado_didactico</x:v>
      </x:c>
    </x:row>
    <x:row r="1187" ht="19" customHeight="1">
      <x:c r="A1187" s="2" t="str">
        <x:v>SIM-E2-MP-L7-R05</x:v>
      </x:c>
      <x:c r="B1187" s="2" t="n">
        <x:v>3</x:v>
      </x:c>
      <x:c r="C1187" s="2" t="str">
        <x:v>MP</x:v>
      </x:c>
      <x:c r="D1187" s="2" t="str">
        <x:v>Myzus persicae</x:v>
      </x:c>
      <x:c r="E1187" s="2" t="str">
        <x:v>L7</x:v>
      </x:c>
      <x:c r="F1187" s="2" t="n">
        <x:v>5</x:v>
      </x:c>
      <x:c r="G1187" s="2" t="n">
        <x:v>9</x:v>
      </x:c>
      <x:c r="H1187" s="2" t="n">
        <x:f>G1187+Supuestos!$C$15</x:f>
        <x:v>10</x:v>
      </x:c>
      <x:c r="I1187" s="14" t="n">
        <x:f>E2_plantas!J30+G1187</x:f>
        <x:v>46197</x:v>
      </x:c>
      <x:c r="J1187" s="2" t="str">
        <x:v>adulta</x:v>
      </x:c>
      <x:c r="K1187" s="2" t="n">
        <x:v>1</x:v>
      </x:c>
      <x:c r="L1187" s="2" t="n">
        <x:v>1</x:v>
      </x:c>
      <x:c r="M1187" s="2" t="n">
        <x:f>SUM(L$1178:L1187)</x:f>
        <x:v>1</x:v>
      </x:c>
      <x:c r="N1187" s="2" t="n">
        <x:v>0</x:v>
      </x:c>
      <x:c r="O1187" s="2" t="str">
        <x:v>seguimiento</x:v>
      </x:c>
      <x:c r="P1187" s="2" t="n">
        <x:v>0</x:v>
      </x:c>
      <x:c r="Q1187" s="2" t="str">
        <x:v>simulado_didactico</x:v>
      </x:c>
    </x:row>
    <x:row r="1188" ht="19" customHeight="1">
      <x:c r="A1188" s="2" t="str">
        <x:v>SIM-E2-MP-L7-R05</x:v>
      </x:c>
      <x:c r="B1188" s="2" t="n">
        <x:v>3</x:v>
      </x:c>
      <x:c r="C1188" s="2" t="str">
        <x:v>MP</x:v>
      </x:c>
      <x:c r="D1188" s="2" t="str">
        <x:v>Myzus persicae</x:v>
      </x:c>
      <x:c r="E1188" s="2" t="str">
        <x:v>L7</x:v>
      </x:c>
      <x:c r="F1188" s="2" t="n">
        <x:v>5</x:v>
      </x:c>
      <x:c r="G1188" s="2" t="n">
        <x:v>10</x:v>
      </x:c>
      <x:c r="H1188" s="2" t="n">
        <x:f>G1188+Supuestos!$C$15</x:f>
        <x:v>11</x:v>
      </x:c>
      <x:c r="I1188" s="14" t="n">
        <x:f>E2_plantas!J30+G1188</x:f>
        <x:v>46198</x:v>
      </x:c>
      <x:c r="J1188" s="2" t="str">
        <x:v>adulta</x:v>
      </x:c>
      <x:c r="K1188" s="2" t="n">
        <x:v>1</x:v>
      </x:c>
      <x:c r="L1188" s="2" t="n">
        <x:v>2</x:v>
      </x:c>
      <x:c r="M1188" s="2" t="n">
        <x:f>SUM(L$1178:L1188)</x:f>
        <x:v>3</x:v>
      </x:c>
      <x:c r="N1188" s="2" t="n">
        <x:v>0</x:v>
      </x:c>
      <x:c r="O1188" s="2" t="str">
        <x:v>seguimiento</x:v>
      </x:c>
      <x:c r="P1188" s="2" t="n">
        <x:v>0</x:v>
      </x:c>
      <x:c r="Q1188" s="2" t="str">
        <x:v>simulado_didactico</x:v>
      </x:c>
    </x:row>
    <x:row r="1189" ht="19" customHeight="1">
      <x:c r="A1189" s="2" t="str">
        <x:v>SIM-E2-MP-L7-R05</x:v>
      </x:c>
      <x:c r="B1189" s="2" t="n">
        <x:v>3</x:v>
      </x:c>
      <x:c r="C1189" s="2" t="str">
        <x:v>MP</x:v>
      </x:c>
      <x:c r="D1189" s="2" t="str">
        <x:v>Myzus persicae</x:v>
      </x:c>
      <x:c r="E1189" s="2" t="str">
        <x:v>L7</x:v>
      </x:c>
      <x:c r="F1189" s="2" t="n">
        <x:v>5</x:v>
      </x:c>
      <x:c r="G1189" s="2" t="n">
        <x:v>11</x:v>
      </x:c>
      <x:c r="H1189" s="2" t="n">
        <x:f>G1189+Supuestos!$C$15</x:f>
        <x:v>12</x:v>
      </x:c>
      <x:c r="I1189" s="14" t="n">
        <x:f>E2_plantas!J30+G1189</x:f>
        <x:v>46199</x:v>
      </x:c>
      <x:c r="J1189" s="2" t="str">
        <x:v>adulta</x:v>
      </x:c>
      <x:c r="K1189" s="2" t="n">
        <x:v>1</x:v>
      </x:c>
      <x:c r="L1189" s="2" t="n">
        <x:v>2</x:v>
      </x:c>
      <x:c r="M1189" s="2" t="n">
        <x:f>SUM(L$1178:L1189)</x:f>
        <x:v>5</x:v>
      </x:c>
      <x:c r="N1189" s="2" t="n">
        <x:v>0</x:v>
      </x:c>
      <x:c r="O1189" s="2" t="str">
        <x:v>seguimiento</x:v>
      </x:c>
      <x:c r="P1189" s="2" t="n">
        <x:v>0</x:v>
      </x:c>
      <x:c r="Q1189" s="2" t="str">
        <x:v>simulado_didactico</x:v>
      </x:c>
    </x:row>
    <x:row r="1190" ht="19" customHeight="1">
      <x:c r="A1190" s="2" t="str">
        <x:v>SIM-E2-MP-L7-R05</x:v>
      </x:c>
      <x:c r="B1190" s="2" t="n">
        <x:v>3</x:v>
      </x:c>
      <x:c r="C1190" s="2" t="str">
        <x:v>MP</x:v>
      </x:c>
      <x:c r="D1190" s="2" t="str">
        <x:v>Myzus persicae</x:v>
      </x:c>
      <x:c r="E1190" s="2" t="str">
        <x:v>L7</x:v>
      </x:c>
      <x:c r="F1190" s="2" t="n">
        <x:v>5</x:v>
      </x:c>
      <x:c r="G1190" s="2" t="n">
        <x:v>12</x:v>
      </x:c>
      <x:c r="H1190" s="2" t="n">
        <x:f>G1190+Supuestos!$C$15</x:f>
        <x:v>13</x:v>
      </x:c>
      <x:c r="I1190" s="14" t="n">
        <x:f>E2_plantas!J30+G1190</x:f>
        <x:v>46200</x:v>
      </x:c>
      <x:c r="J1190" s="2" t="str">
        <x:v>adulta</x:v>
      </x:c>
      <x:c r="K1190" s="2" t="n">
        <x:v>1</x:v>
      </x:c>
      <x:c r="L1190" s="2" t="n">
        <x:v>4</x:v>
      </x:c>
      <x:c r="M1190" s="2" t="n">
        <x:f>SUM(L$1178:L1190)</x:f>
        <x:v>9</x:v>
      </x:c>
      <x:c r="N1190" s="2" t="n">
        <x:v>0</x:v>
      </x:c>
      <x:c r="O1190" s="2" t="str">
        <x:v>seguimiento</x:v>
      </x:c>
      <x:c r="P1190" s="2" t="n">
        <x:v>0</x:v>
      </x:c>
      <x:c r="Q1190" s="2" t="str">
        <x:v>simulado_didactico</x:v>
      </x:c>
    </x:row>
    <x:row r="1191" ht="19" customHeight="1">
      <x:c r="A1191" s="2" t="str">
        <x:v>SIM-E2-MP-L7-R05</x:v>
      </x:c>
      <x:c r="B1191" s="2" t="n">
        <x:v>3</x:v>
      </x:c>
      <x:c r="C1191" s="2" t="str">
        <x:v>MP</x:v>
      </x:c>
      <x:c r="D1191" s="2" t="str">
        <x:v>Myzus persicae</x:v>
      </x:c>
      <x:c r="E1191" s="2" t="str">
        <x:v>L7</x:v>
      </x:c>
      <x:c r="F1191" s="2" t="n">
        <x:v>5</x:v>
      </x:c>
      <x:c r="G1191" s="2" t="n">
        <x:v>13</x:v>
      </x:c>
      <x:c r="H1191" s="2" t="n">
        <x:f>G1191+Supuestos!$C$15</x:f>
        <x:v>14</x:v>
      </x:c>
      <x:c r="I1191" s="14" t="n">
        <x:f>E2_plantas!J30+G1191</x:f>
        <x:v>46201</x:v>
      </x:c>
      <x:c r="J1191" s="2" t="str">
        <x:v>adulta</x:v>
      </x:c>
      <x:c r="K1191" s="2" t="n">
        <x:v>1</x:v>
      </x:c>
      <x:c r="L1191" s="2" t="n">
        <x:v>3</x:v>
      </x:c>
      <x:c r="M1191" s="2" t="n">
        <x:f>SUM(L$1178:L1191)</x:f>
        <x:v>12</x:v>
      </x:c>
      <x:c r="N1191" s="2" t="n">
        <x:v>0</x:v>
      </x:c>
      <x:c r="O1191" s="2" t="str">
        <x:v>seguimiento</x:v>
      </x:c>
      <x:c r="P1191" s="2" t="n">
        <x:v>0</x:v>
      </x:c>
      <x:c r="Q1191" s="2" t="str">
        <x:v>simulado_didactico</x:v>
      </x:c>
    </x:row>
    <x:row r="1192" ht="19" customHeight="1">
      <x:c r="A1192" s="2" t="str">
        <x:v>SIM-E2-MP-L7-R05</x:v>
      </x:c>
      <x:c r="B1192" s="2" t="n">
        <x:v>3</x:v>
      </x:c>
      <x:c r="C1192" s="2" t="str">
        <x:v>MP</x:v>
      </x:c>
      <x:c r="D1192" s="2" t="str">
        <x:v>Myzus persicae</x:v>
      </x:c>
      <x:c r="E1192" s="2" t="str">
        <x:v>L7</x:v>
      </x:c>
      <x:c r="F1192" s="2" t="n">
        <x:v>5</x:v>
      </x:c>
      <x:c r="G1192" s="2" t="n">
        <x:v>14</x:v>
      </x:c>
      <x:c r="H1192" s="2" t="n">
        <x:f>G1192+Supuestos!$C$15</x:f>
        <x:v>15</x:v>
      </x:c>
      <x:c r="I1192" s="14" t="n">
        <x:f>E2_plantas!J30+G1192</x:f>
        <x:v>46202</x:v>
      </x:c>
      <x:c r="J1192" s="2" t="str">
        <x:v>adulta</x:v>
      </x:c>
      <x:c r="K1192" s="2" t="n">
        <x:v>1</x:v>
      </x:c>
      <x:c r="L1192" s="2" t="n">
        <x:v>2</x:v>
      </x:c>
      <x:c r="M1192" s="2" t="n">
        <x:f>SUM(L$1178:L1192)</x:f>
        <x:v>14</x:v>
      </x:c>
      <x:c r="N1192" s="2" t="n">
        <x:v>0</x:v>
      </x:c>
      <x:c r="O1192" s="2" t="str">
        <x:v>seguimiento</x:v>
      </x:c>
      <x:c r="P1192" s="2" t="n">
        <x:v>0</x:v>
      </x:c>
      <x:c r="Q1192" s="2" t="str">
        <x:v>simulado_didactico</x:v>
      </x:c>
    </x:row>
    <x:row r="1193" ht="19" customHeight="1">
      <x:c r="A1193" s="2" t="str">
        <x:v>SIM-E2-MP-L7-R05</x:v>
      </x:c>
      <x:c r="B1193" s="2" t="n">
        <x:v>3</x:v>
      </x:c>
      <x:c r="C1193" s="2" t="str">
        <x:v>MP</x:v>
      </x:c>
      <x:c r="D1193" s="2" t="str">
        <x:v>Myzus persicae</x:v>
      </x:c>
      <x:c r="E1193" s="2" t="str">
        <x:v>L7</x:v>
      </x:c>
      <x:c r="F1193" s="2" t="n">
        <x:v>5</x:v>
      </x:c>
      <x:c r="G1193" s="2" t="n">
        <x:v>15</x:v>
      </x:c>
      <x:c r="H1193" s="2" t="n">
        <x:f>G1193+Supuestos!$C$15</x:f>
        <x:v>16</x:v>
      </x:c>
      <x:c r="I1193" s="14" t="n">
        <x:f>E2_plantas!J30+G1193</x:f>
        <x:v>46203</x:v>
      </x:c>
      <x:c r="J1193" s="2" t="str">
        <x:v>adulta</x:v>
      </x:c>
      <x:c r="K1193" s="2" t="n">
        <x:v>1</x:v>
      </x:c>
      <x:c r="L1193" s="2" t="n">
        <x:v>1</x:v>
      </x:c>
      <x:c r="M1193" s="2" t="n">
        <x:f>SUM(L$1178:L1193)</x:f>
        <x:v>15</x:v>
      </x:c>
      <x:c r="N1193" s="2" t="n">
        <x:v>0</x:v>
      </x:c>
      <x:c r="O1193" s="2" t="str">
        <x:v>seguimiento</x:v>
      </x:c>
      <x:c r="P1193" s="2" t="n">
        <x:v>0</x:v>
      </x:c>
      <x:c r="Q1193" s="2" t="str">
        <x:v>simulado_didactico</x:v>
      </x:c>
    </x:row>
    <x:row r="1194" ht="19" customHeight="1">
      <x:c r="A1194" s="2" t="str">
        <x:v>SIM-E2-MP-L7-R05</x:v>
      </x:c>
      <x:c r="B1194" s="2" t="n">
        <x:v>3</x:v>
      </x:c>
      <x:c r="C1194" s="2" t="str">
        <x:v>MP</x:v>
      </x:c>
      <x:c r="D1194" s="2" t="str">
        <x:v>Myzus persicae</x:v>
      </x:c>
      <x:c r="E1194" s="2" t="str">
        <x:v>L7</x:v>
      </x:c>
      <x:c r="F1194" s="2" t="n">
        <x:v>5</x:v>
      </x:c>
      <x:c r="G1194" s="2" t="n">
        <x:v>16</x:v>
      </x:c>
      <x:c r="H1194" s="2" t="n">
        <x:f>G1194+Supuestos!$C$15</x:f>
        <x:v>17</x:v>
      </x:c>
      <x:c r="I1194" s="14" t="n">
        <x:f>E2_plantas!J30+G1194</x:f>
        <x:v>46204</x:v>
      </x:c>
      <x:c r="J1194" s="2" t="str">
        <x:v>adulta</x:v>
      </x:c>
      <x:c r="K1194" s="2" t="n">
        <x:v>1</x:v>
      </x:c>
      <x:c r="L1194" s="2" t="n">
        <x:v>1</x:v>
      </x:c>
      <x:c r="M1194" s="2" t="n">
        <x:f>SUM(L$1178:L1194)</x:f>
        <x:v>16</x:v>
      </x:c>
      <x:c r="N1194" s="2" t="n">
        <x:v>0</x:v>
      </x:c>
      <x:c r="O1194" s="2" t="str">
        <x:v>seguimiento</x:v>
      </x:c>
      <x:c r="P1194" s="2" t="n">
        <x:v>0</x:v>
      </x:c>
      <x:c r="Q1194" s="2" t="str">
        <x:v>simulado_didactico</x:v>
      </x:c>
    </x:row>
    <x:row r="1195" ht="19" customHeight="1">
      <x:c r="A1195" s="2" t="str">
        <x:v>SIM-E2-MP-L7-R05</x:v>
      </x:c>
      <x:c r="B1195" s="2" t="n">
        <x:v>3</x:v>
      </x:c>
      <x:c r="C1195" s="2" t="str">
        <x:v>MP</x:v>
      </x:c>
      <x:c r="D1195" s="2" t="str">
        <x:v>Myzus persicae</x:v>
      </x:c>
      <x:c r="E1195" s="2" t="str">
        <x:v>L7</x:v>
      </x:c>
      <x:c r="F1195" s="2" t="n">
        <x:v>5</x:v>
      </x:c>
      <x:c r="G1195" s="2" t="n">
        <x:v>17</x:v>
      </x:c>
      <x:c r="H1195" s="2" t="n">
        <x:f>G1195+Supuestos!$C$15</x:f>
        <x:v>18</x:v>
      </x:c>
      <x:c r="I1195" s="14" t="n">
        <x:f>E2_plantas!J30+G1195</x:f>
        <x:v>46205</x:v>
      </x:c>
      <x:c r="J1195" s="2" t="str">
        <x:v>adulta</x:v>
      </x:c>
      <x:c r="K1195" s="2" t="n">
        <x:v>1</x:v>
      </x:c>
      <x:c r="L1195" s="2" t="n">
        <x:v>4</x:v>
      </x:c>
      <x:c r="M1195" s="2" t="n">
        <x:f>SUM(L$1178:L1195)</x:f>
        <x:v>20</x:v>
      </x:c>
      <x:c r="N1195" s="2" t="n">
        <x:v>0</x:v>
      </x:c>
      <x:c r="O1195" s="2" t="str">
        <x:v>seguimiento</x:v>
      </x:c>
      <x:c r="P1195" s="2" t="n">
        <x:v>0</x:v>
      </x:c>
      <x:c r="Q1195" s="2" t="str">
        <x:v>simulado_didactico</x:v>
      </x:c>
    </x:row>
    <x:row r="1196" ht="19" customHeight="1">
      <x:c r="A1196" s="2" t="str">
        <x:v>SIM-E2-MP-L7-R05</x:v>
      </x:c>
      <x:c r="B1196" s="2" t="n">
        <x:v>3</x:v>
      </x:c>
      <x:c r="C1196" s="2" t="str">
        <x:v>MP</x:v>
      </x:c>
      <x:c r="D1196" s="2" t="str">
        <x:v>Myzus persicae</x:v>
      </x:c>
      <x:c r="E1196" s="2" t="str">
        <x:v>L7</x:v>
      </x:c>
      <x:c r="F1196" s="2" t="n">
        <x:v>5</x:v>
      </x:c>
      <x:c r="G1196" s="2" t="n">
        <x:v>18</x:v>
      </x:c>
      <x:c r="H1196" s="2" t="n">
        <x:f>G1196+Supuestos!$C$15</x:f>
        <x:v>19</x:v>
      </x:c>
      <x:c r="I1196" s="14" t="n">
        <x:f>E2_plantas!J30+G1196</x:f>
        <x:v>46206</x:v>
      </x:c>
      <x:c r="J1196" s="2" t="str">
        <x:v>adulta</x:v>
      </x:c>
      <x:c r="K1196" s="2" t="n">
        <x:v>1</x:v>
      </x:c>
      <x:c r="L1196" s="2" t="n">
        <x:v>4</x:v>
      </x:c>
      <x:c r="M1196" s="2" t="n">
        <x:f>SUM(L$1178:L1196)</x:f>
        <x:v>24</x:v>
      </x:c>
      <x:c r="N1196" s="2" t="n">
        <x:v>0</x:v>
      </x:c>
      <x:c r="O1196" s="2" t="str">
        <x:v>seguimiento</x:v>
      </x:c>
      <x:c r="P1196" s="2" t="n">
        <x:v>0</x:v>
      </x:c>
      <x:c r="Q1196" s="2" t="str">
        <x:v>simulado_didactico</x:v>
      </x:c>
    </x:row>
    <x:row r="1197" ht="19" customHeight="1">
      <x:c r="A1197" s="2" t="str">
        <x:v>SIM-E2-MP-L7-R05</x:v>
      </x:c>
      <x:c r="B1197" s="2" t="n">
        <x:v>3</x:v>
      </x:c>
      <x:c r="C1197" s="2" t="str">
        <x:v>MP</x:v>
      </x:c>
      <x:c r="D1197" s="2" t="str">
        <x:v>Myzus persicae</x:v>
      </x:c>
      <x:c r="E1197" s="2" t="str">
        <x:v>L7</x:v>
      </x:c>
      <x:c r="F1197" s="2" t="n">
        <x:v>5</x:v>
      </x:c>
      <x:c r="G1197" s="2" t="n">
        <x:v>19</x:v>
      </x:c>
      <x:c r="H1197" s="2" t="n">
        <x:f>G1197+Supuestos!$C$15</x:f>
        <x:v>20</x:v>
      </x:c>
      <x:c r="I1197" s="14" t="n">
        <x:f>E2_plantas!J30+G1197</x:f>
        <x:v>46207</x:v>
      </x:c>
      <x:c r="J1197" s="2" t="str">
        <x:v>adulta</x:v>
      </x:c>
      <x:c r="K1197" s="2" t="n">
        <x:v>1</x:v>
      </x:c>
      <x:c r="L1197" s="2" t="n">
        <x:v>2</x:v>
      </x:c>
      <x:c r="M1197" s="2" t="n">
        <x:f>SUM(L$1178:L1197)</x:f>
        <x:v>26</x:v>
      </x:c>
      <x:c r="N1197" s="2" t="n">
        <x:v>0</x:v>
      </x:c>
      <x:c r="O1197" s="2" t="str">
        <x:v>seguimiento</x:v>
      </x:c>
      <x:c r="P1197" s="2" t="n">
        <x:v>0</x:v>
      </x:c>
      <x:c r="Q1197" s="2" t="str">
        <x:v>simulado_didactico</x:v>
      </x:c>
    </x:row>
    <x:row r="1198" ht="19" customHeight="1">
      <x:c r="A1198" s="2" t="str">
        <x:v>SIM-E2-MP-L7-R05</x:v>
      </x:c>
      <x:c r="B1198" s="2" t="n">
        <x:v>3</x:v>
      </x:c>
      <x:c r="C1198" s="2" t="str">
        <x:v>MP</x:v>
      </x:c>
      <x:c r="D1198" s="2" t="str">
        <x:v>Myzus persicae</x:v>
      </x:c>
      <x:c r="E1198" s="2" t="str">
        <x:v>L7</x:v>
      </x:c>
      <x:c r="F1198" s="2" t="n">
        <x:v>5</x:v>
      </x:c>
      <x:c r="G1198" s="2" t="n">
        <x:v>20</x:v>
      </x:c>
      <x:c r="H1198" s="2" t="n">
        <x:f>G1198+Supuestos!$C$15</x:f>
        <x:v>21</x:v>
      </x:c>
      <x:c r="I1198" s="14" t="n">
        <x:f>E2_plantas!J30+G1198</x:f>
        <x:v>46208</x:v>
      </x:c>
      <x:c r="J1198" s="2" t="str">
        <x:v>adulta</x:v>
      </x:c>
      <x:c r="K1198" s="2" t="n">
        <x:v>1</x:v>
      </x:c>
      <x:c r="L1198" s="2" t="n">
        <x:v>1</x:v>
      </x:c>
      <x:c r="M1198" s="2" t="n">
        <x:f>SUM(L$1178:L1198)</x:f>
        <x:v>27</x:v>
      </x:c>
      <x:c r="N1198" s="2" t="n">
        <x:v>0</x:v>
      </x:c>
      <x:c r="O1198" s="2" t="str">
        <x:v>seguimiento</x:v>
      </x:c>
      <x:c r="P1198" s="2" t="n">
        <x:v>0</x:v>
      </x:c>
      <x:c r="Q1198" s="2" t="str">
        <x:v>simulado_didactico</x:v>
      </x:c>
    </x:row>
    <x:row r="1199" ht="19" customHeight="1">
      <x:c r="A1199" s="2" t="str">
        <x:v>SIM-E2-MP-L7-R05</x:v>
      </x:c>
      <x:c r="B1199" s="2" t="n">
        <x:v>3</x:v>
      </x:c>
      <x:c r="C1199" s="2" t="str">
        <x:v>MP</x:v>
      </x:c>
      <x:c r="D1199" s="2" t="str">
        <x:v>Myzus persicae</x:v>
      </x:c>
      <x:c r="E1199" s="2" t="str">
        <x:v>L7</x:v>
      </x:c>
      <x:c r="F1199" s="2" t="n">
        <x:v>5</x:v>
      </x:c>
      <x:c r="G1199" s="2" t="n">
        <x:v>21</x:v>
      </x:c>
      <x:c r="H1199" s="2" t="n">
        <x:f>G1199+Supuestos!$C$15</x:f>
        <x:v>22</x:v>
      </x:c>
      <x:c r="I1199" s="14" t="n">
        <x:f>E2_plantas!J30+G1199</x:f>
        <x:v>46209</x:v>
      </x:c>
      <x:c r="J1199" s="2" t="str">
        <x:v>adulta</x:v>
      </x:c>
      <x:c r="K1199" s="2" t="n">
        <x:v>1</x:v>
      </x:c>
      <x:c r="L1199" s="2" t="n">
        <x:v>0</x:v>
      </x:c>
      <x:c r="M1199" s="2" t="n">
        <x:f>SUM(L$1178:L1199)</x:f>
        <x:v>27</x:v>
      </x:c>
      <x:c r="N1199" s="2" t="n">
        <x:v>0</x:v>
      </x:c>
      <x:c r="O1199" s="2" t="str">
        <x:v>seguimiento</x:v>
      </x:c>
      <x:c r="P1199" s="2" t="n">
        <x:v>0</x:v>
      </x:c>
      <x:c r="Q1199" s="2" t="str">
        <x:v>simulado_didactico</x:v>
      </x:c>
    </x:row>
    <x:row r="1200" ht="19" customHeight="1">
      <x:c r="A1200" s="2" t="str">
        <x:v>SIM-E2-MP-L7-R05</x:v>
      </x:c>
      <x:c r="B1200" s="2" t="n">
        <x:v>3</x:v>
      </x:c>
      <x:c r="C1200" s="2" t="str">
        <x:v>MP</x:v>
      </x:c>
      <x:c r="D1200" s="2" t="str">
        <x:v>Myzus persicae</x:v>
      </x:c>
      <x:c r="E1200" s="2" t="str">
        <x:v>L7</x:v>
      </x:c>
      <x:c r="F1200" s="2" t="n">
        <x:v>5</x:v>
      </x:c>
      <x:c r="G1200" s="2" t="n">
        <x:v>22</x:v>
      </x:c>
      <x:c r="H1200" s="2" t="n">
        <x:f>G1200+Supuestos!$C$15</x:f>
        <x:v>23</x:v>
      </x:c>
      <x:c r="I1200" s="14" t="n">
        <x:f>E2_plantas!J30+G1200</x:f>
        <x:v>46210</x:v>
      </x:c>
      <x:c r="J1200" s="2" t="str">
        <x:v>adulta</x:v>
      </x:c>
      <x:c r="K1200" s="2" t="n">
        <x:v>1</x:v>
      </x:c>
      <x:c r="L1200" s="2" t="n">
        <x:v>0</x:v>
      </x:c>
      <x:c r="M1200" s="2" t="n">
        <x:f>SUM(L$1178:L1200)</x:f>
        <x:v>27</x:v>
      </x:c>
      <x:c r="N1200" s="2" t="n">
        <x:v>0</x:v>
      </x:c>
      <x:c r="O1200" s="2" t="str">
        <x:v>seguimiento</x:v>
      </x:c>
      <x:c r="P1200" s="2" t="n">
        <x:v>0</x:v>
      </x:c>
      <x:c r="Q1200" s="2" t="str">
        <x:v>simulado_didactico</x:v>
      </x:c>
    </x:row>
    <x:row r="1201" ht="19" customHeight="1">
      <x:c r="A1201" s="2" t="str">
        <x:v>SIM-E2-MP-L7-R05</x:v>
      </x:c>
      <x:c r="B1201" s="2" t="n">
        <x:v>3</x:v>
      </x:c>
      <x:c r="C1201" s="2" t="str">
        <x:v>MP</x:v>
      </x:c>
      <x:c r="D1201" s="2" t="str">
        <x:v>Myzus persicae</x:v>
      </x:c>
      <x:c r="E1201" s="2" t="str">
        <x:v>L7</x:v>
      </x:c>
      <x:c r="F1201" s="2" t="n">
        <x:v>5</x:v>
      </x:c>
      <x:c r="G1201" s="2" t="n">
        <x:v>23</x:v>
      </x:c>
      <x:c r="H1201" s="2" t="n">
        <x:f>G1201+Supuestos!$C$15</x:f>
        <x:v>24</x:v>
      </x:c>
      <x:c r="I1201" s="14" t="n">
        <x:f>E2_plantas!J30+G1201</x:f>
        <x:v>46211</x:v>
      </x:c>
      <x:c r="J1201" s="2" t="str">
        <x:v>adulta</x:v>
      </x:c>
      <x:c r="K1201" s="2" t="n">
        <x:v>1</x:v>
      </x:c>
      <x:c r="L1201" s="2" t="n">
        <x:v>0</x:v>
      </x:c>
      <x:c r="M1201" s="2" t="n">
        <x:f>SUM(L$1178:L1201)</x:f>
        <x:v>27</x:v>
      </x:c>
      <x:c r="N1201" s="2" t="n">
        <x:v>0</x:v>
      </x:c>
      <x:c r="O1201" s="2" t="str">
        <x:v>seguimiento</x:v>
      </x:c>
      <x:c r="P1201" s="2" t="n">
        <x:v>0</x:v>
      </x:c>
      <x:c r="Q1201" s="2" t="str">
        <x:v>simulado_didactico</x:v>
      </x:c>
    </x:row>
    <x:row r="1202" ht="19" customHeight="1">
      <x:c r="A1202" s="2" t="str">
        <x:v>SIM-E2-MP-L7-R05</x:v>
      </x:c>
      <x:c r="B1202" s="2" t="n">
        <x:v>3</x:v>
      </x:c>
      <x:c r="C1202" s="2" t="str">
        <x:v>MP</x:v>
      </x:c>
      <x:c r="D1202" s="2" t="str">
        <x:v>Myzus persicae</x:v>
      </x:c>
      <x:c r="E1202" s="2" t="str">
        <x:v>L7</x:v>
      </x:c>
      <x:c r="F1202" s="2" t="n">
        <x:v>5</x:v>
      </x:c>
      <x:c r="G1202" s="2" t="n">
        <x:v>24</x:v>
      </x:c>
      <x:c r="H1202" s="2" t="n">
        <x:f>G1202+Supuestos!$C$15</x:f>
        <x:v>25</x:v>
      </x:c>
      <x:c r="I1202" s="14" t="n">
        <x:f>E2_plantas!J30+G1202</x:f>
        <x:v>46212</x:v>
      </x:c>
      <x:c r="J1202" s="2" t="str">
        <x:v>muerta</x:v>
      </x:c>
      <x:c r="K1202" s="2" t="n">
        <x:v>0</x:v>
      </x:c>
      <x:c r="L1202" s="2" t="n">
        <x:v>0</x:v>
      </x:c>
      <x:c r="M1202" s="2" t="n">
        <x:f>SUM(L$1178:L1202)</x:f>
        <x:v>27</x:v>
      </x:c>
      <x:c r="N1202" s="2" t="n">
        <x:v>1</x:v>
      </x:c>
      <x:c r="O1202" s="2" t="str">
        <x:v>muerte</x:v>
      </x:c>
      <x:c r="P1202" s="2" t="n">
        <x:v>0</x:v>
      </x:c>
      <x:c r="Q1202" s="2" t="str">
        <x:v>simulado_didactico</x:v>
      </x:c>
    </x:row>
    <x:row r="1203" ht="19" customHeight="1">
      <x:c r="A1203" s="2" t="str">
        <x:v>SIM-E2-MP-L7-R05</x:v>
      </x:c>
      <x:c r="B1203" s="2" t="n">
        <x:v>3</x:v>
      </x:c>
      <x:c r="C1203" s="2" t="str">
        <x:v>MP</x:v>
      </x:c>
      <x:c r="D1203" s="2" t="str">
        <x:v>Myzus persicae</x:v>
      </x:c>
      <x:c r="E1203" s="2" t="str">
        <x:v>L7</x:v>
      </x:c>
      <x:c r="F1203" s="2" t="n">
        <x:v>5</x:v>
      </x:c>
      <x:c r="G1203" s="2" t="n">
        <x:v>25</x:v>
      </x:c>
      <x:c r="H1203" s="2" t="n">
        <x:f>G1203+Supuestos!$C$15</x:f>
        <x:v>26</x:v>
      </x:c>
      <x:c r="I1203" s="14" t="n">
        <x:f>E2_plantas!J30+G1203</x:f>
        <x:v>46213</x:v>
      </x:c>
      <x:c r="J1203" s="2" t="str">
        <x:v>muerta</x:v>
      </x:c>
      <x:c r="K1203" s="2" t="n">
        <x:v>0</x:v>
      </x:c>
      <x:c r="L1203" s="2" t="n">
        <x:v>0</x:v>
      </x:c>
      <x:c r="M1203" s="2" t="n">
        <x:f>SUM(L$1178:L1203)</x:f>
        <x:v>27</x:v>
      </x:c>
      <x:c r="N1203" s="2" t="n">
        <x:v>0</x:v>
      </x:c>
      <x:c r="O1203" s="2" t="str">
        <x:v>relleno_postmuerte</x:v>
      </x:c>
      <x:c r="P1203" s="2" t="n">
        <x:v>0</x:v>
      </x:c>
      <x:c r="Q1203" s="2" t="str">
        <x:v>simulado_didactico</x:v>
      </x:c>
    </x:row>
    <x:row r="1204" ht="19" customHeight="1">
      <x:c r="A1204" s="2" t="str">
        <x:v>SIM-E2-MP-L7-R05</x:v>
      </x:c>
      <x:c r="B1204" s="2" t="n">
        <x:v>3</x:v>
      </x:c>
      <x:c r="C1204" s="2" t="str">
        <x:v>MP</x:v>
      </x:c>
      <x:c r="D1204" s="2" t="str">
        <x:v>Myzus persicae</x:v>
      </x:c>
      <x:c r="E1204" s="2" t="str">
        <x:v>L7</x:v>
      </x:c>
      <x:c r="F1204" s="2" t="n">
        <x:v>5</x:v>
      </x:c>
      <x:c r="G1204" s="2" t="n">
        <x:v>26</x:v>
      </x:c>
      <x:c r="H1204" s="2" t="n">
        <x:f>G1204+Supuestos!$C$15</x:f>
        <x:v>27</x:v>
      </x:c>
      <x:c r="I1204" s="14" t="n">
        <x:f>E2_plantas!J30+G1204</x:f>
        <x:v>46214</x:v>
      </x:c>
      <x:c r="J1204" s="2" t="str">
        <x:v>muerta</x:v>
      </x:c>
      <x:c r="K1204" s="2" t="n">
        <x:v>0</x:v>
      </x:c>
      <x:c r="L1204" s="2" t="n">
        <x:v>0</x:v>
      </x:c>
      <x:c r="M1204" s="2" t="n">
        <x:f>SUM(L$1178:L1204)</x:f>
        <x:v>27</x:v>
      </x:c>
      <x:c r="N1204" s="2" t="n">
        <x:v>0</x:v>
      </x:c>
      <x:c r="O1204" s="2" t="str">
        <x:v>relleno_postmuerte</x:v>
      </x:c>
      <x:c r="P1204" s="2" t="n">
        <x:v>0</x:v>
      </x:c>
      <x:c r="Q1204" s="2" t="str">
        <x:v>simulado_didactico</x:v>
      </x:c>
    </x:row>
    <x:row r="1205" ht="19" customHeight="1">
      <x:c r="A1205" s="2" t="str">
        <x:v>SIM-E2-MP-L7-R05</x:v>
      </x:c>
      <x:c r="B1205" s="2" t="n">
        <x:v>3</x:v>
      </x:c>
      <x:c r="C1205" s="2" t="str">
        <x:v>MP</x:v>
      </x:c>
      <x:c r="D1205" s="2" t="str">
        <x:v>Myzus persicae</x:v>
      </x:c>
      <x:c r="E1205" s="2" t="str">
        <x:v>L7</x:v>
      </x:c>
      <x:c r="F1205" s="2" t="n">
        <x:v>5</x:v>
      </x:c>
      <x:c r="G1205" s="2" t="n">
        <x:v>27</x:v>
      </x:c>
      <x:c r="H1205" s="2" t="n">
        <x:f>G1205+Supuestos!$C$15</x:f>
        <x:v>28</x:v>
      </x:c>
      <x:c r="I1205" s="14" t="n">
        <x:f>E2_plantas!J30+G1205</x:f>
        <x:v>46215</x:v>
      </x:c>
      <x:c r="J1205" s="2" t="str">
        <x:v>muerta</x:v>
      </x:c>
      <x:c r="K1205" s="2" t="n">
        <x:v>0</x:v>
      </x:c>
      <x:c r="L1205" s="2" t="n">
        <x:v>0</x:v>
      </x:c>
      <x:c r="M1205" s="2" t="n">
        <x:f>SUM(L$1178:L1205)</x:f>
        <x:v>27</x:v>
      </x:c>
      <x:c r="N1205" s="2" t="n">
        <x:v>0</x:v>
      </x:c>
      <x:c r="O1205" s="2" t="str">
        <x:v>relleno_postmuerte</x:v>
      </x:c>
      <x:c r="P1205" s="2" t="n">
        <x:v>0</x:v>
      </x:c>
      <x:c r="Q1205" s="2" t="str">
        <x:v>simulado_didactico</x:v>
      </x:c>
    </x:row>
    <x:row r="1206" ht="19" customHeight="1">
      <x:c r="A1206" s="2" t="str">
        <x:v>SIM-E2-MP-L7-R05</x:v>
      </x:c>
      <x:c r="B1206" s="2" t="n">
        <x:v>3</x:v>
      </x:c>
      <x:c r="C1206" s="2" t="str">
        <x:v>MP</x:v>
      </x:c>
      <x:c r="D1206" s="2" t="str">
        <x:v>Myzus persicae</x:v>
      </x:c>
      <x:c r="E1206" s="2" t="str">
        <x:v>L7</x:v>
      </x:c>
      <x:c r="F1206" s="2" t="n">
        <x:v>5</x:v>
      </x:c>
      <x:c r="G1206" s="2" t="n">
        <x:v>28</x:v>
      </x:c>
      <x:c r="H1206" s="2" t="n">
        <x:f>G1206+Supuestos!$C$15</x:f>
        <x:v>29</x:v>
      </x:c>
      <x:c r="I1206" s="14" t="n">
        <x:f>E2_plantas!J30+G1206</x:f>
        <x:v>46216</x:v>
      </x:c>
      <x:c r="J1206" s="2" t="str">
        <x:v>muerta</x:v>
      </x:c>
      <x:c r="K1206" s="2" t="n">
        <x:v>0</x:v>
      </x:c>
      <x:c r="L1206" s="2" t="n">
        <x:v>0</x:v>
      </x:c>
      <x:c r="M1206" s="2" t="n">
        <x:f>SUM(L$1178:L1206)</x:f>
        <x:v>27</x:v>
      </x:c>
      <x:c r="N1206" s="2" t="n">
        <x:v>0</x:v>
      </x:c>
      <x:c r="O1206" s="2" t="str">
        <x:v>relleno_postmuerte</x:v>
      </x:c>
      <x:c r="P1206" s="2" t="n">
        <x:v>0</x:v>
      </x:c>
      <x:c r="Q1206" s="2" t="str">
        <x:v>simulado_didactico</x:v>
      </x:c>
    </x:row>
    <x:row r="1207" ht="19" customHeight="1">
      <x:c r="A1207" s="2" t="str">
        <x:v>SIM-E2-MP-L7-R05</x:v>
      </x:c>
      <x:c r="B1207" s="2" t="n">
        <x:v>3</x:v>
      </x:c>
      <x:c r="C1207" s="2" t="str">
        <x:v>MP</x:v>
      </x:c>
      <x:c r="D1207" s="2" t="str">
        <x:v>Myzus persicae</x:v>
      </x:c>
      <x:c r="E1207" s="2" t="str">
        <x:v>L7</x:v>
      </x:c>
      <x:c r="F1207" s="2" t="n">
        <x:v>5</x:v>
      </x:c>
      <x:c r="G1207" s="2" t="n">
        <x:v>29</x:v>
      </x:c>
      <x:c r="H1207" s="2" t="n">
        <x:f>G1207+Supuestos!$C$15</x:f>
        <x:v>30</x:v>
      </x:c>
      <x:c r="I1207" s="14" t="n">
        <x:f>E2_plantas!J30+G1207</x:f>
        <x:v>46217</x:v>
      </x:c>
      <x:c r="J1207" s="2" t="str">
        <x:v>muerta</x:v>
      </x:c>
      <x:c r="K1207" s="2" t="n">
        <x:v>0</x:v>
      </x:c>
      <x:c r="L1207" s="2" t="n">
        <x:v>0</x:v>
      </x:c>
      <x:c r="M1207" s="2" t="n">
        <x:f>SUM(L$1178:L1207)</x:f>
        <x:v>27</x:v>
      </x:c>
      <x:c r="N1207" s="2" t="n">
        <x:v>0</x:v>
      </x:c>
      <x:c r="O1207" s="2" t="str">
        <x:v>relleno_postmuerte</x:v>
      </x:c>
      <x:c r="P1207" s="2" t="n">
        <x:v>0</x:v>
      </x:c>
      <x:c r="Q1207" s="2" t="str">
        <x:v>simulado_didactico</x:v>
      </x:c>
    </x:row>
    <x:row r="1208" ht="19" customHeight="1">
      <x:c r="A1208" s="2" t="str">
        <x:v>SIM-E2-MP-L7-R05</x:v>
      </x:c>
      <x:c r="B1208" s="2" t="n">
        <x:v>3</x:v>
      </x:c>
      <x:c r="C1208" s="2" t="str">
        <x:v>MP</x:v>
      </x:c>
      <x:c r="D1208" s="2" t="str">
        <x:v>Myzus persicae</x:v>
      </x:c>
      <x:c r="E1208" s="2" t="str">
        <x:v>L7</x:v>
      </x:c>
      <x:c r="F1208" s="2" t="n">
        <x:v>5</x:v>
      </x:c>
      <x:c r="G1208" s="2" t="n">
        <x:v>30</x:v>
      </x:c>
      <x:c r="H1208" s="2" t="n">
        <x:f>G1208+Supuestos!$C$15</x:f>
        <x:v>31</x:v>
      </x:c>
      <x:c r="I1208" s="14" t="n">
        <x:f>E2_plantas!J30+G1208</x:f>
        <x:v>46218</x:v>
      </x:c>
      <x:c r="J1208" s="2" t="str">
        <x:v>muerta</x:v>
      </x:c>
      <x:c r="K1208" s="2" t="n">
        <x:v>0</x:v>
      </x:c>
      <x:c r="L1208" s="2" t="n">
        <x:v>0</x:v>
      </x:c>
      <x:c r="M1208" s="2" t="n">
        <x:f>SUM(L$1178:L1208)</x:f>
        <x:v>27</x:v>
      </x:c>
      <x:c r="N1208" s="2" t="n">
        <x:v>0</x:v>
      </x:c>
      <x:c r="O1208" s="2" t="str">
        <x:v>relleno_postmuerte</x:v>
      </x:c>
      <x:c r="P1208" s="2" t="n">
        <x:v>0</x:v>
      </x:c>
      <x:c r="Q1208" s="2" t="str">
        <x:v>simulado_didactico</x:v>
      </x:c>
    </x:row>
    <x:row r="1209" ht="19" customHeight="1">
      <x:c r="A1209" s="2" t="str">
        <x:v>SIM-E2-MP-L7-R05</x:v>
      </x:c>
      <x:c r="B1209" s="2" t="n">
        <x:v>3</x:v>
      </x:c>
      <x:c r="C1209" s="2" t="str">
        <x:v>MP</x:v>
      </x:c>
      <x:c r="D1209" s="2" t="str">
        <x:v>Myzus persicae</x:v>
      </x:c>
      <x:c r="E1209" s="2" t="str">
        <x:v>L7</x:v>
      </x:c>
      <x:c r="F1209" s="2" t="n">
        <x:v>5</x:v>
      </x:c>
      <x:c r="G1209" s="2" t="n">
        <x:v>31</x:v>
      </x:c>
      <x:c r="H1209" s="2" t="n">
        <x:f>G1209+Supuestos!$C$15</x:f>
        <x:v>32</x:v>
      </x:c>
      <x:c r="I1209" s="14" t="n">
        <x:f>E2_plantas!J30+G1209</x:f>
        <x:v>46219</x:v>
      </x:c>
      <x:c r="J1209" s="2" t="str">
        <x:v>muerta</x:v>
      </x:c>
      <x:c r="K1209" s="2" t="n">
        <x:v>0</x:v>
      </x:c>
      <x:c r="L1209" s="2" t="n">
        <x:v>0</x:v>
      </x:c>
      <x:c r="M1209" s="2" t="n">
        <x:f>SUM(L$1178:L1209)</x:f>
        <x:v>27</x:v>
      </x:c>
      <x:c r="N1209" s="2" t="n">
        <x:v>0</x:v>
      </x:c>
      <x:c r="O1209" s="2" t="str">
        <x:v>relleno_postmuerte</x:v>
      </x:c>
      <x:c r="P1209" s="2" t="n">
        <x:v>0</x:v>
      </x:c>
      <x:c r="Q1209" s="2" t="str">
        <x:v>simulado_didactico</x:v>
      </x:c>
    </x:row>
    <x:row r="1210" ht="19" customHeight="1">
      <x:c r="A1210" s="2" t="str">
        <x:v>SIM-E2-MP-L7-R05</x:v>
      </x:c>
      <x:c r="B1210" s="2" t="n">
        <x:v>3</x:v>
      </x:c>
      <x:c r="C1210" s="2" t="str">
        <x:v>MP</x:v>
      </x:c>
      <x:c r="D1210" s="2" t="str">
        <x:v>Myzus persicae</x:v>
      </x:c>
      <x:c r="E1210" s="2" t="str">
        <x:v>L7</x:v>
      </x:c>
      <x:c r="F1210" s="2" t="n">
        <x:v>5</x:v>
      </x:c>
      <x:c r="G1210" s="2" t="n">
        <x:v>32</x:v>
      </x:c>
      <x:c r="H1210" s="2" t="n">
        <x:f>G1210+Supuestos!$C$15</x:f>
        <x:v>33</x:v>
      </x:c>
      <x:c r="I1210" s="14" t="n">
        <x:f>E2_plantas!J30+G1210</x:f>
        <x:v>46220</x:v>
      </x:c>
      <x:c r="J1210" s="2" t="str">
        <x:v>muerta</x:v>
      </x:c>
      <x:c r="K1210" s="2" t="n">
        <x:v>0</x:v>
      </x:c>
      <x:c r="L1210" s="2" t="n">
        <x:v>0</x:v>
      </x:c>
      <x:c r="M1210" s="2" t="n">
        <x:f>SUM(L$1178:L1210)</x:f>
        <x:v>27</x:v>
      </x:c>
      <x:c r="N1210" s="2" t="n">
        <x:v>0</x:v>
      </x:c>
      <x:c r="O1210" s="2" t="str">
        <x:v>relleno_postmuerte</x:v>
      </x:c>
      <x:c r="P1210" s="2" t="n">
        <x:v>0</x:v>
      </x:c>
      <x:c r="Q1210" s="2" t="str">
        <x:v>simulado_didactico</x:v>
      </x:c>
    </x:row>
    <x:row r="1211" ht="19" customHeight="1">
      <x:c r="A1211" s="2" t="str">
        <x:v>SIM-E2-MP-L7-R05</x:v>
      </x:c>
      <x:c r="B1211" s="2" t="n">
        <x:v>3</x:v>
      </x:c>
      <x:c r="C1211" s="2" t="str">
        <x:v>MP</x:v>
      </x:c>
      <x:c r="D1211" s="2" t="str">
        <x:v>Myzus persicae</x:v>
      </x:c>
      <x:c r="E1211" s="2" t="str">
        <x:v>L7</x:v>
      </x:c>
      <x:c r="F1211" s="2" t="n">
        <x:v>5</x:v>
      </x:c>
      <x:c r="G1211" s="2" t="n">
        <x:v>33</x:v>
      </x:c>
      <x:c r="H1211" s="2" t="n">
        <x:f>G1211+Supuestos!$C$15</x:f>
        <x:v>34</x:v>
      </x:c>
      <x:c r="I1211" s="14" t="n">
        <x:f>E2_plantas!J30+G1211</x:f>
        <x:v>46221</x:v>
      </x:c>
      <x:c r="J1211" s="2" t="str">
        <x:v>muerta</x:v>
      </x:c>
      <x:c r="K1211" s="2" t="n">
        <x:v>0</x:v>
      </x:c>
      <x:c r="L1211" s="2" t="n">
        <x:v>0</x:v>
      </x:c>
      <x:c r="M1211" s="2" t="n">
        <x:f>SUM(L$1178:L1211)</x:f>
        <x:v>27</x:v>
      </x:c>
      <x:c r="N1211" s="2" t="n">
        <x:v>0</x:v>
      </x:c>
      <x:c r="O1211" s="2" t="str">
        <x:v>relleno_postmuerte</x:v>
      </x:c>
      <x:c r="P1211" s="2" t="n">
        <x:v>0</x:v>
      </x:c>
      <x:c r="Q1211" s="2" t="str">
        <x:v>simulado_didactico</x:v>
      </x:c>
    </x:row>
    <x:row r="1212" ht="19" customHeight="1">
      <x:c r="A1212" s="2" t="str">
        <x:v>SIM-E2-MP-L7-R05</x:v>
      </x:c>
      <x:c r="B1212" s="2" t="n">
        <x:v>3</x:v>
      </x:c>
      <x:c r="C1212" s="2" t="str">
        <x:v>MP</x:v>
      </x:c>
      <x:c r="D1212" s="2" t="str">
        <x:v>Myzus persicae</x:v>
      </x:c>
      <x:c r="E1212" s="2" t="str">
        <x:v>L7</x:v>
      </x:c>
      <x:c r="F1212" s="2" t="n">
        <x:v>5</x:v>
      </x:c>
      <x:c r="G1212" s="2" t="n">
        <x:v>34</x:v>
      </x:c>
      <x:c r="H1212" s="2" t="n">
        <x:f>G1212+Supuestos!$C$15</x:f>
        <x:v>35</x:v>
      </x:c>
      <x:c r="I1212" s="14" t="n">
        <x:f>E2_plantas!J30+G1212</x:f>
        <x:v>46222</x:v>
      </x:c>
      <x:c r="J1212" s="2" t="str">
        <x:v>muerta</x:v>
      </x:c>
      <x:c r="K1212" s="2" t="n">
        <x:v>0</x:v>
      </x:c>
      <x:c r="L1212" s="2" t="n">
        <x:v>0</x:v>
      </x:c>
      <x:c r="M1212" s="2" t="n">
        <x:f>SUM(L$1178:L1212)</x:f>
        <x:v>27</x:v>
      </x:c>
      <x:c r="N1212" s="2" t="n">
        <x:v>0</x:v>
      </x:c>
      <x:c r="O1212" s="2" t="str">
        <x:v>relleno_postmuerte</x:v>
      </x:c>
      <x:c r="P1212" s="2" t="n">
        <x:v>0</x:v>
      </x:c>
      <x:c r="Q1212" s="2" t="str">
        <x:v>simulado_didactico</x:v>
      </x:c>
    </x:row>
    <x:row r="1213" ht="19" customHeight="1">
      <x:c r="A1213" s="2" t="str">
        <x:v>SIM-E2-MP-L7-R05</x:v>
      </x:c>
      <x:c r="B1213" s="2" t="n">
        <x:v>3</x:v>
      </x:c>
      <x:c r="C1213" s="2" t="str">
        <x:v>MP</x:v>
      </x:c>
      <x:c r="D1213" s="2" t="str">
        <x:v>Myzus persicae</x:v>
      </x:c>
      <x:c r="E1213" s="2" t="str">
        <x:v>L7</x:v>
      </x:c>
      <x:c r="F1213" s="2" t="n">
        <x:v>5</x:v>
      </x:c>
      <x:c r="G1213" s="2" t="n">
        <x:v>35</x:v>
      </x:c>
      <x:c r="H1213" s="2" t="n">
        <x:f>G1213+Supuestos!$C$15</x:f>
        <x:v>36</x:v>
      </x:c>
      <x:c r="I1213" s="14" t="n">
        <x:f>E2_plantas!J30+G1213</x:f>
        <x:v>46223</x:v>
      </x:c>
      <x:c r="J1213" s="2" t="str">
        <x:v>muerta</x:v>
      </x:c>
      <x:c r="K1213" s="2" t="n">
        <x:v>0</x:v>
      </x:c>
      <x:c r="L1213" s="2" t="n">
        <x:v>0</x:v>
      </x:c>
      <x:c r="M1213" s="2" t="n">
        <x:f>SUM(L$1178:L1213)</x:f>
        <x:v>27</x:v>
      </x:c>
      <x:c r="N1213" s="2" t="n">
        <x:v>0</x:v>
      </x:c>
      <x:c r="O1213" s="2" t="str">
        <x:v>relleno_postmuerte</x:v>
      </x:c>
      <x:c r="P1213" s="2" t="n">
        <x:v>0</x:v>
      </x:c>
      <x:c r="Q1213" s="2" t="str">
        <x:v>simulado_didactico</x:v>
      </x:c>
    </x:row>
    <x:row r="1214" ht="19" customHeight="1">
      <x:c r="A1214" s="2" t="str">
        <x:v>SIM-E2-MP-L7-R05</x:v>
      </x:c>
      <x:c r="B1214" s="2" t="n">
        <x:v>3</x:v>
      </x:c>
      <x:c r="C1214" s="2" t="str">
        <x:v>MP</x:v>
      </x:c>
      <x:c r="D1214" s="2" t="str">
        <x:v>Myzus persicae</x:v>
      </x:c>
      <x:c r="E1214" s="2" t="str">
        <x:v>L7</x:v>
      </x:c>
      <x:c r="F1214" s="2" t="n">
        <x:v>5</x:v>
      </x:c>
      <x:c r="G1214" s="2" t="n">
        <x:v>36</x:v>
      </x:c>
      <x:c r="H1214" s="2" t="n">
        <x:f>G1214+Supuestos!$C$15</x:f>
        <x:v>37</x:v>
      </x:c>
      <x:c r="I1214" s="14" t="n">
        <x:f>E2_plantas!J30+G1214</x:f>
        <x:v>46224</x:v>
      </x:c>
      <x:c r="J1214" s="2" t="str">
        <x:v>muerta</x:v>
      </x:c>
      <x:c r="K1214" s="2" t="n">
        <x:v>0</x:v>
      </x:c>
      <x:c r="L1214" s="2" t="n">
        <x:v>0</x:v>
      </x:c>
      <x:c r="M1214" s="2" t="n">
        <x:f>SUM(L$1178:L1214)</x:f>
        <x:v>27</x:v>
      </x:c>
      <x:c r="N1214" s="2" t="n">
        <x:v>0</x:v>
      </x:c>
      <x:c r="O1214" s="2" t="str">
        <x:v>relleno_postmuerte</x:v>
      </x:c>
      <x:c r="P1214" s="2" t="n">
        <x:v>0</x:v>
      </x:c>
      <x:c r="Q1214" s="2" t="str">
        <x:v>simulado_didactico</x:v>
      </x:c>
    </x:row>
    <x:row r="1215" ht="19" customHeight="1">
      <x:c r="A1215" s="2" t="str">
        <x:v>SIM-E2-MP-L7-R05</x:v>
      </x:c>
      <x:c r="B1215" s="2" t="n">
        <x:v>3</x:v>
      </x:c>
      <x:c r="C1215" s="2" t="str">
        <x:v>MP</x:v>
      </x:c>
      <x:c r="D1215" s="2" t="str">
        <x:v>Myzus persicae</x:v>
      </x:c>
      <x:c r="E1215" s="2" t="str">
        <x:v>L7</x:v>
      </x:c>
      <x:c r="F1215" s="2" t="n">
        <x:v>5</x:v>
      </x:c>
      <x:c r="G1215" s="2" t="n">
        <x:v>37</x:v>
      </x:c>
      <x:c r="H1215" s="2" t="n">
        <x:f>G1215+Supuestos!$C$15</x:f>
        <x:v>38</x:v>
      </x:c>
      <x:c r="I1215" s="14" t="n">
        <x:f>E2_plantas!J30+G1215</x:f>
        <x:v>46225</x:v>
      </x:c>
      <x:c r="J1215" s="2" t="str">
        <x:v>muerta</x:v>
      </x:c>
      <x:c r="K1215" s="2" t="n">
        <x:v>0</x:v>
      </x:c>
      <x:c r="L1215" s="2" t="n">
        <x:v>0</x:v>
      </x:c>
      <x:c r="M1215" s="2" t="n">
        <x:f>SUM(L$1178:L1215)</x:f>
        <x:v>27</x:v>
      </x:c>
      <x:c r="N1215" s="2" t="n">
        <x:v>0</x:v>
      </x:c>
      <x:c r="O1215" s="2" t="str">
        <x:v>relleno_postmuerte</x:v>
      </x:c>
      <x:c r="P1215" s="2" t="n">
        <x:v>0</x:v>
      </x:c>
      <x:c r="Q1215" s="2" t="str">
        <x:v>simulado_didactico</x:v>
      </x:c>
    </x:row>
    <x:row r="1216" ht="19" customHeight="1">
      <x:c r="A1216" s="2" t="str">
        <x:v>SIM-E2-MP-L7-R05</x:v>
      </x:c>
      <x:c r="B1216" s="2" t="n">
        <x:v>3</x:v>
      </x:c>
      <x:c r="C1216" s="2" t="str">
        <x:v>MP</x:v>
      </x:c>
      <x:c r="D1216" s="2" t="str">
        <x:v>Myzus persicae</x:v>
      </x:c>
      <x:c r="E1216" s="2" t="str">
        <x:v>L7</x:v>
      </x:c>
      <x:c r="F1216" s="2" t="n">
        <x:v>5</x:v>
      </x:c>
      <x:c r="G1216" s="2" t="n">
        <x:v>38</x:v>
      </x:c>
      <x:c r="H1216" s="2" t="n">
        <x:f>G1216+Supuestos!$C$15</x:f>
        <x:v>39</x:v>
      </x:c>
      <x:c r="I1216" s="14" t="n">
        <x:f>E2_plantas!J30+G1216</x:f>
        <x:v>46226</x:v>
      </x:c>
      <x:c r="J1216" s="2" t="str">
        <x:v>muerta</x:v>
      </x:c>
      <x:c r="K1216" s="2" t="n">
        <x:v>0</x:v>
      </x:c>
      <x:c r="L1216" s="2" t="n">
        <x:v>0</x:v>
      </x:c>
      <x:c r="M1216" s="2" t="n">
        <x:f>SUM(L$1178:L1216)</x:f>
        <x:v>27</x:v>
      </x:c>
      <x:c r="N1216" s="2" t="n">
        <x:v>0</x:v>
      </x:c>
      <x:c r="O1216" s="2" t="str">
        <x:v>relleno_postmuerte</x:v>
      </x:c>
      <x:c r="P1216" s="2" t="n">
        <x:v>0</x:v>
      </x:c>
      <x:c r="Q1216" s="2" t="str">
        <x:v>simulado_didactico</x:v>
      </x:c>
    </x:row>
    <x:row r="1217" ht="19" customHeight="1">
      <x:c r="A1217" s="2" t="str">
        <x:v>SIM-E2-MP-L7-R05</x:v>
      </x:c>
      <x:c r="B1217" s="2" t="n">
        <x:v>3</x:v>
      </x:c>
      <x:c r="C1217" s="2" t="str">
        <x:v>MP</x:v>
      </x:c>
      <x:c r="D1217" s="2" t="str">
        <x:v>Myzus persicae</x:v>
      </x:c>
      <x:c r="E1217" s="2" t="str">
        <x:v>L7</x:v>
      </x:c>
      <x:c r="F1217" s="2" t="n">
        <x:v>5</x:v>
      </x:c>
      <x:c r="G1217" s="2" t="n">
        <x:v>39</x:v>
      </x:c>
      <x:c r="H1217" s="2" t="n">
        <x:f>G1217+Supuestos!$C$15</x:f>
        <x:v>40</x:v>
      </x:c>
      <x:c r="I1217" s="14" t="n">
        <x:f>E2_plantas!J30+G1217</x:f>
        <x:v>46227</x:v>
      </x:c>
      <x:c r="J1217" s="2" t="str">
        <x:v>muerta</x:v>
      </x:c>
      <x:c r="K1217" s="2" t="n">
        <x:v>0</x:v>
      </x:c>
      <x:c r="L1217" s="2" t="n">
        <x:v>0</x:v>
      </x:c>
      <x:c r="M1217" s="2" t="n">
        <x:f>SUM(L$1178:L1217)</x:f>
        <x:v>27</x:v>
      </x:c>
      <x:c r="N1217" s="2" t="n">
        <x:v>0</x:v>
      </x:c>
      <x:c r="O1217" s="2" t="str">
        <x:v>relleno_postmuerte</x:v>
      </x:c>
      <x:c r="P1217" s="2" t="n">
        <x:v>0</x:v>
      </x:c>
      <x:c r="Q1217" s="2" t="str">
        <x:v>simulado_didactico</x:v>
      </x:c>
    </x:row>
    <x:row r="1218" ht="19" customHeight="1">
      <x:c r="A1218" s="2" t="str">
        <x:v>SIM-E2-MP-L7-R05</x:v>
      </x:c>
      <x:c r="B1218" s="2" t="n">
        <x:v>3</x:v>
      </x:c>
      <x:c r="C1218" s="2" t="str">
        <x:v>MP</x:v>
      </x:c>
      <x:c r="D1218" s="2" t="str">
        <x:v>Myzus persicae</x:v>
      </x:c>
      <x:c r="E1218" s="2" t="str">
        <x:v>L7</x:v>
      </x:c>
      <x:c r="F1218" s="2" t="n">
        <x:v>5</x:v>
      </x:c>
      <x:c r="G1218" s="2" t="n">
        <x:v>40</x:v>
      </x:c>
      <x:c r="H1218" s="2" t="n">
        <x:f>G1218+Supuestos!$C$15</x:f>
        <x:v>41</x:v>
      </x:c>
      <x:c r="I1218" s="14" t="n">
        <x:f>E2_plantas!J30+G1218</x:f>
        <x:v>46228</x:v>
      </x:c>
      <x:c r="J1218" s="2" t="str">
        <x:v>muerta</x:v>
      </x:c>
      <x:c r="K1218" s="2" t="n">
        <x:v>0</x:v>
      </x:c>
      <x:c r="L1218" s="2" t="n">
        <x:v>0</x:v>
      </x:c>
      <x:c r="M1218" s="2" t="n">
        <x:f>SUM(L$1178:L1218)</x:f>
        <x:v>27</x:v>
      </x:c>
      <x:c r="N1218" s="2" t="n">
        <x:v>0</x:v>
      </x:c>
      <x:c r="O1218" s="2" t="str">
        <x:v>relleno_postmuerte</x:v>
      </x:c>
      <x:c r="P1218" s="2" t="n">
        <x:v>0</x:v>
      </x:c>
      <x:c r="Q1218" s="2" t="str">
        <x:v>simulado_didactico</x:v>
      </x:c>
    </x:row>
    <x:row r="1219" ht="19" customHeight="1">
      <x:c r="A1219" s="2" t="str">
        <x:v>SIM-E2-MP-L7-R05</x:v>
      </x:c>
      <x:c r="B1219" s="2" t="n">
        <x:v>3</x:v>
      </x:c>
      <x:c r="C1219" s="2" t="str">
        <x:v>MP</x:v>
      </x:c>
      <x:c r="D1219" s="2" t="str">
        <x:v>Myzus persicae</x:v>
      </x:c>
      <x:c r="E1219" s="2" t="str">
        <x:v>L7</x:v>
      </x:c>
      <x:c r="F1219" s="2" t="n">
        <x:v>5</x:v>
      </x:c>
      <x:c r="G1219" s="2" t="n">
        <x:v>41</x:v>
      </x:c>
      <x:c r="H1219" s="2" t="n">
        <x:f>G1219+Supuestos!$C$15</x:f>
        <x:v>42</x:v>
      </x:c>
      <x:c r="I1219" s="14" t="n">
        <x:f>E2_plantas!J30+G1219</x:f>
        <x:v>46229</x:v>
      </x:c>
      <x:c r="J1219" s="2" t="str">
        <x:v>muerta</x:v>
      </x:c>
      <x:c r="K1219" s="2" t="n">
        <x:v>0</x:v>
      </x:c>
      <x:c r="L1219" s="2" t="n">
        <x:v>0</x:v>
      </x:c>
      <x:c r="M1219" s="2" t="n">
        <x:f>SUM(L$1178:L1219)</x:f>
        <x:v>27</x:v>
      </x:c>
      <x:c r="N1219" s="2" t="n">
        <x:v>0</x:v>
      </x:c>
      <x:c r="O1219" s="2" t="str">
        <x:v>relleno_postmuerte</x:v>
      </x:c>
      <x:c r="P1219" s="2" t="n">
        <x:v>0</x:v>
      </x:c>
      <x:c r="Q1219" s="2" t="str">
        <x:v>simulado_didactico</x:v>
      </x:c>
    </x:row>
    <x:row r="1220" ht="19" customHeight="1">
      <x:c r="A1220" s="2" t="str">
        <x:v>SIM-E2-MP-L7-R06</x:v>
      </x:c>
      <x:c r="B1220" s="2" t="n">
        <x:v>3</x:v>
      </x:c>
      <x:c r="C1220" s="2" t="str">
        <x:v>MP</x:v>
      </x:c>
      <x:c r="D1220" s="2" t="str">
        <x:v>Myzus persicae</x:v>
      </x:c>
      <x:c r="E1220" s="2" t="str">
        <x:v>L7</x:v>
      </x:c>
      <x:c r="F1220" s="2" t="n">
        <x:v>6</x:v>
      </x:c>
      <x:c r="G1220" s="2" t="n">
        <x:v>0</x:v>
      </x:c>
      <x:c r="H1220" s="2" t="n">
        <x:f>G1220+Supuestos!$C$15</x:f>
        <x:v>1</x:v>
      </x:c>
      <x:c r="I1220" s="14" t="n">
        <x:f>E2_plantas!J31+G1220</x:f>
        <x:v>46188</x:v>
      </x:c>
      <x:c r="J1220" s="2" t="str">
        <x:v>N1</x:v>
      </x:c>
      <x:c r="K1220" s="2" t="n">
        <x:v>1</x:v>
      </x:c>
      <x:c r="L1220" s="2" t="n">
        <x:v>0</x:v>
      </x:c>
      <x:c r="M1220" s="2" t="n">
        <x:f>SUM(L$1220:L1220)</x:f>
        <x:v>0</x:v>
      </x:c>
      <x:c r="N1220" s="2" t="n">
        <x:v>0</x:v>
      </x:c>
      <x:c r="O1220" s="2" t="str">
        <x:v>seguimiento</x:v>
      </x:c>
      <x:c r="P1220" s="2" t="n">
        <x:v>0</x:v>
      </x:c>
      <x:c r="Q1220" s="2" t="str">
        <x:v>simulado_didactico</x:v>
      </x:c>
    </x:row>
    <x:row r="1221" ht="19" customHeight="1">
      <x:c r="A1221" s="2" t="str">
        <x:v>SIM-E2-MP-L7-R06</x:v>
      </x:c>
      <x:c r="B1221" s="2" t="n">
        <x:v>3</x:v>
      </x:c>
      <x:c r="C1221" s="2" t="str">
        <x:v>MP</x:v>
      </x:c>
      <x:c r="D1221" s="2" t="str">
        <x:v>Myzus persicae</x:v>
      </x:c>
      <x:c r="E1221" s="2" t="str">
        <x:v>L7</x:v>
      </x:c>
      <x:c r="F1221" s="2" t="n">
        <x:v>6</x:v>
      </x:c>
      <x:c r="G1221" s="2" t="n">
        <x:v>1</x:v>
      </x:c>
      <x:c r="H1221" s="2" t="n">
        <x:f>G1221+Supuestos!$C$15</x:f>
        <x:v>2</x:v>
      </x:c>
      <x:c r="I1221" s="14" t="n">
        <x:f>E2_plantas!J31+G1221</x:f>
        <x:v>46189</x:v>
      </x:c>
      <x:c r="J1221" s="2" t="str">
        <x:v>N1</x:v>
      </x:c>
      <x:c r="K1221" s="2" t="n">
        <x:v>1</x:v>
      </x:c>
      <x:c r="L1221" s="2" t="n">
        <x:v>0</x:v>
      </x:c>
      <x:c r="M1221" s="2" t="n">
        <x:f>SUM(L$1220:L1221)</x:f>
        <x:v>0</x:v>
      </x:c>
      <x:c r="N1221" s="2" t="n">
        <x:v>0</x:v>
      </x:c>
      <x:c r="O1221" s="2" t="str">
        <x:v>seguimiento</x:v>
      </x:c>
      <x:c r="P1221" s="2" t="n">
        <x:v>0</x:v>
      </x:c>
      <x:c r="Q1221" s="2" t="str">
        <x:v>simulado_didactico</x:v>
      </x:c>
    </x:row>
    <x:row r="1222" ht="19" customHeight="1">
      <x:c r="A1222" s="2" t="str">
        <x:v>SIM-E2-MP-L7-R06</x:v>
      </x:c>
      <x:c r="B1222" s="2" t="n">
        <x:v>3</x:v>
      </x:c>
      <x:c r="C1222" s="2" t="str">
        <x:v>MP</x:v>
      </x:c>
      <x:c r="D1222" s="2" t="str">
        <x:v>Myzus persicae</x:v>
      </x:c>
      <x:c r="E1222" s="2" t="str">
        <x:v>L7</x:v>
      </x:c>
      <x:c r="F1222" s="2" t="n">
        <x:v>6</x:v>
      </x:c>
      <x:c r="G1222" s="2" t="n">
        <x:v>2</x:v>
      </x:c>
      <x:c r="H1222" s="2" t="n">
        <x:f>G1222+Supuestos!$C$15</x:f>
        <x:v>3</x:v>
      </x:c>
      <x:c r="I1222" s="14" t="n">
        <x:f>E2_plantas!J31+G1222</x:f>
        <x:v>46190</x:v>
      </x:c>
      <x:c r="J1222" s="2" t="str">
        <x:v>N2</x:v>
      </x:c>
      <x:c r="K1222" s="2" t="n">
        <x:v>1</x:v>
      </x:c>
      <x:c r="L1222" s="2" t="n">
        <x:v>0</x:v>
      </x:c>
      <x:c r="M1222" s="2" t="n">
        <x:f>SUM(L$1220:L1222)</x:f>
        <x:v>0</x:v>
      </x:c>
      <x:c r="N1222" s="2" t="n">
        <x:v>0</x:v>
      </x:c>
      <x:c r="O1222" s="2" t="str">
        <x:v>seguimiento</x:v>
      </x:c>
      <x:c r="P1222" s="2" t="n">
        <x:v>0</x:v>
      </x:c>
      <x:c r="Q1222" s="2" t="str">
        <x:v>simulado_didactico</x:v>
      </x:c>
    </x:row>
    <x:row r="1223" ht="19" customHeight="1">
      <x:c r="A1223" s="2" t="str">
        <x:v>SIM-E2-MP-L7-R06</x:v>
      </x:c>
      <x:c r="B1223" s="2" t="n">
        <x:v>3</x:v>
      </x:c>
      <x:c r="C1223" s="2" t="str">
        <x:v>MP</x:v>
      </x:c>
      <x:c r="D1223" s="2" t="str">
        <x:v>Myzus persicae</x:v>
      </x:c>
      <x:c r="E1223" s="2" t="str">
        <x:v>L7</x:v>
      </x:c>
      <x:c r="F1223" s="2" t="n">
        <x:v>6</x:v>
      </x:c>
      <x:c r="G1223" s="2" t="n">
        <x:v>3</x:v>
      </x:c>
      <x:c r="H1223" s="2" t="n">
        <x:f>G1223+Supuestos!$C$15</x:f>
        <x:v>4</x:v>
      </x:c>
      <x:c r="I1223" s="14" t="n">
        <x:f>E2_plantas!J31+G1223</x:f>
        <x:v>46191</x:v>
      </x:c>
      <x:c r="J1223" s="2" t="str">
        <x:v>N2</x:v>
      </x:c>
      <x:c r="K1223" s="2" t="n">
        <x:v>1</x:v>
      </x:c>
      <x:c r="L1223" s="2" t="n">
        <x:v>0</x:v>
      </x:c>
      <x:c r="M1223" s="2" t="n">
        <x:f>SUM(L$1220:L1223)</x:f>
        <x:v>0</x:v>
      </x:c>
      <x:c r="N1223" s="2" t="n">
        <x:v>0</x:v>
      </x:c>
      <x:c r="O1223" s="2" t="str">
        <x:v>seguimiento</x:v>
      </x:c>
      <x:c r="P1223" s="2" t="n">
        <x:v>0</x:v>
      </x:c>
      <x:c r="Q1223" s="2" t="str">
        <x:v>simulado_didactico</x:v>
      </x:c>
    </x:row>
    <x:row r="1224" ht="19" customHeight="1">
      <x:c r="A1224" s="2" t="str">
        <x:v>SIM-E2-MP-L7-R06</x:v>
      </x:c>
      <x:c r="B1224" s="2" t="n">
        <x:v>3</x:v>
      </x:c>
      <x:c r="C1224" s="2" t="str">
        <x:v>MP</x:v>
      </x:c>
      <x:c r="D1224" s="2" t="str">
        <x:v>Myzus persicae</x:v>
      </x:c>
      <x:c r="E1224" s="2" t="str">
        <x:v>L7</x:v>
      </x:c>
      <x:c r="F1224" s="2" t="n">
        <x:v>6</x:v>
      </x:c>
      <x:c r="G1224" s="2" t="n">
        <x:v>4</x:v>
      </x:c>
      <x:c r="H1224" s="2" t="n">
        <x:f>G1224+Supuestos!$C$15</x:f>
        <x:v>5</x:v>
      </x:c>
      <x:c r="I1224" s="14" t="n">
        <x:f>E2_plantas!J31+G1224</x:f>
        <x:v>46192</x:v>
      </x:c>
      <x:c r="J1224" s="2" t="str">
        <x:v>N3</x:v>
      </x:c>
      <x:c r="K1224" s="2" t="n">
        <x:v>1</x:v>
      </x:c>
      <x:c r="L1224" s="2" t="n">
        <x:v>0</x:v>
      </x:c>
      <x:c r="M1224" s="2" t="n">
        <x:f>SUM(L$1220:L1224)</x:f>
        <x:v>0</x:v>
      </x:c>
      <x:c r="N1224" s="2" t="n">
        <x:v>0</x:v>
      </x:c>
      <x:c r="O1224" s="2" t="str">
        <x:v>seguimiento</x:v>
      </x:c>
      <x:c r="P1224" s="2" t="n">
        <x:v>0</x:v>
      </x:c>
      <x:c r="Q1224" s="2" t="str">
        <x:v>simulado_didactico</x:v>
      </x:c>
    </x:row>
    <x:row r="1225" ht="19" customHeight="1">
      <x:c r="A1225" s="2" t="str">
        <x:v>SIM-E2-MP-L7-R06</x:v>
      </x:c>
      <x:c r="B1225" s="2" t="n">
        <x:v>3</x:v>
      </x:c>
      <x:c r="C1225" s="2" t="str">
        <x:v>MP</x:v>
      </x:c>
      <x:c r="D1225" s="2" t="str">
        <x:v>Myzus persicae</x:v>
      </x:c>
      <x:c r="E1225" s="2" t="str">
        <x:v>L7</x:v>
      </x:c>
      <x:c r="F1225" s="2" t="n">
        <x:v>6</x:v>
      </x:c>
      <x:c r="G1225" s="2" t="n">
        <x:v>5</x:v>
      </x:c>
      <x:c r="H1225" s="2" t="n">
        <x:f>G1225+Supuestos!$C$15</x:f>
        <x:v>6</x:v>
      </x:c>
      <x:c r="I1225" s="14" t="n">
        <x:f>E2_plantas!J31+G1225</x:f>
        <x:v>46193</x:v>
      </x:c>
      <x:c r="J1225" s="2" t="str">
        <x:v>N3</x:v>
      </x:c>
      <x:c r="K1225" s="2" t="n">
        <x:v>1</x:v>
      </x:c>
      <x:c r="L1225" s="2" t="n">
        <x:v>0</x:v>
      </x:c>
      <x:c r="M1225" s="2" t="n">
        <x:f>SUM(L$1220:L1225)</x:f>
        <x:v>0</x:v>
      </x:c>
      <x:c r="N1225" s="2" t="n">
        <x:v>0</x:v>
      </x:c>
      <x:c r="O1225" s="2" t="str">
        <x:v>seguimiento</x:v>
      </x:c>
      <x:c r="P1225" s="2" t="n">
        <x:v>0</x:v>
      </x:c>
      <x:c r="Q1225" s="2" t="str">
        <x:v>simulado_didactico</x:v>
      </x:c>
    </x:row>
    <x:row r="1226" ht="19" customHeight="1">
      <x:c r="A1226" s="2" t="str">
        <x:v>SIM-E2-MP-L7-R06</x:v>
      </x:c>
      <x:c r="B1226" s="2" t="n">
        <x:v>3</x:v>
      </x:c>
      <x:c r="C1226" s="2" t="str">
        <x:v>MP</x:v>
      </x:c>
      <x:c r="D1226" s="2" t="str">
        <x:v>Myzus persicae</x:v>
      </x:c>
      <x:c r="E1226" s="2" t="str">
        <x:v>L7</x:v>
      </x:c>
      <x:c r="F1226" s="2" t="n">
        <x:v>6</x:v>
      </x:c>
      <x:c r="G1226" s="2" t="n">
        <x:v>6</x:v>
      </x:c>
      <x:c r="H1226" s="2" t="n">
        <x:f>G1226+Supuestos!$C$15</x:f>
        <x:v>7</x:v>
      </x:c>
      <x:c r="I1226" s="14" t="n">
        <x:f>E2_plantas!J31+G1226</x:f>
        <x:v>46194</x:v>
      </x:c>
      <x:c r="J1226" s="2" t="str">
        <x:v>N4</x:v>
      </x:c>
      <x:c r="K1226" s="2" t="n">
        <x:v>1</x:v>
      </x:c>
      <x:c r="L1226" s="2" t="n">
        <x:v>0</x:v>
      </x:c>
      <x:c r="M1226" s="2" t="n">
        <x:f>SUM(L$1220:L1226)</x:f>
        <x:v>0</x:v>
      </x:c>
      <x:c r="N1226" s="2" t="n">
        <x:v>0</x:v>
      </x:c>
      <x:c r="O1226" s="2" t="str">
        <x:v>seguimiento</x:v>
      </x:c>
      <x:c r="P1226" s="2" t="n">
        <x:v>0</x:v>
      </x:c>
      <x:c r="Q1226" s="2" t="str">
        <x:v>simulado_didactico</x:v>
      </x:c>
    </x:row>
    <x:row r="1227" ht="19" customHeight="1">
      <x:c r="A1227" s="2" t="str">
        <x:v>SIM-E2-MP-L7-R06</x:v>
      </x:c>
      <x:c r="B1227" s="2" t="n">
        <x:v>3</x:v>
      </x:c>
      <x:c r="C1227" s="2" t="str">
        <x:v>MP</x:v>
      </x:c>
      <x:c r="D1227" s="2" t="str">
        <x:v>Myzus persicae</x:v>
      </x:c>
      <x:c r="E1227" s="2" t="str">
        <x:v>L7</x:v>
      </x:c>
      <x:c r="F1227" s="2" t="n">
        <x:v>6</x:v>
      </x:c>
      <x:c r="G1227" s="2" t="n">
        <x:v>7</x:v>
      </x:c>
      <x:c r="H1227" s="2" t="n">
        <x:f>G1227+Supuestos!$C$15</x:f>
        <x:v>8</x:v>
      </x:c>
      <x:c r="I1227" s="14" t="n">
        <x:f>E2_plantas!J31+G1227</x:f>
        <x:v>46195</x:v>
      </x:c>
      <x:c r="J1227" s="2" t="str">
        <x:v>N4</x:v>
      </x:c>
      <x:c r="K1227" s="2" t="n">
        <x:v>1</x:v>
      </x:c>
      <x:c r="L1227" s="2" t="n">
        <x:v>0</x:v>
      </x:c>
      <x:c r="M1227" s="2" t="n">
        <x:f>SUM(L$1220:L1227)</x:f>
        <x:v>0</x:v>
      </x:c>
      <x:c r="N1227" s="2" t="n">
        <x:v>0</x:v>
      </x:c>
      <x:c r="O1227" s="2" t="str">
        <x:v>seguimiento</x:v>
      </x:c>
      <x:c r="P1227" s="2" t="n">
        <x:v>0</x:v>
      </x:c>
      <x:c r="Q1227" s="2" t="str">
        <x:v>simulado_didactico</x:v>
      </x:c>
    </x:row>
    <x:row r="1228" ht="19" customHeight="1">
      <x:c r="A1228" s="2" t="str">
        <x:v>SIM-E2-MP-L7-R06</x:v>
      </x:c>
      <x:c r="B1228" s="2" t="n">
        <x:v>3</x:v>
      </x:c>
      <x:c r="C1228" s="2" t="str">
        <x:v>MP</x:v>
      </x:c>
      <x:c r="D1228" s="2" t="str">
        <x:v>Myzus persicae</x:v>
      </x:c>
      <x:c r="E1228" s="2" t="str">
        <x:v>L7</x:v>
      </x:c>
      <x:c r="F1228" s="2" t="n">
        <x:v>6</x:v>
      </x:c>
      <x:c r="G1228" s="2" t="n">
        <x:v>8</x:v>
      </x:c>
      <x:c r="H1228" s="2" t="n">
        <x:f>G1228+Supuestos!$C$15</x:f>
        <x:v>9</x:v>
      </x:c>
      <x:c r="I1228" s="14" t="n">
        <x:f>E2_plantas!J31+G1228</x:f>
        <x:v>46196</x:v>
      </x:c>
      <x:c r="J1228" s="2" t="str">
        <x:v>N4</x:v>
      </x:c>
      <x:c r="K1228" s="2" t="n">
        <x:v>1</x:v>
      </x:c>
      <x:c r="L1228" s="2" t="n">
        <x:v>0</x:v>
      </x:c>
      <x:c r="M1228" s="2" t="n">
        <x:f>SUM(L$1220:L1228)</x:f>
        <x:v>0</x:v>
      </x:c>
      <x:c r="N1228" s="2" t="n">
        <x:v>0</x:v>
      </x:c>
      <x:c r="O1228" s="2" t="str">
        <x:v>seguimiento</x:v>
      </x:c>
      <x:c r="P1228" s="2" t="n">
        <x:v>0</x:v>
      </x:c>
      <x:c r="Q1228" s="2" t="str">
        <x:v>simulado_didactico</x:v>
      </x:c>
    </x:row>
    <x:row r="1229" ht="19" customHeight="1">
      <x:c r="A1229" s="2" t="str">
        <x:v>SIM-E2-MP-L7-R06</x:v>
      </x:c>
      <x:c r="B1229" s="2" t="n">
        <x:v>3</x:v>
      </x:c>
      <x:c r="C1229" s="2" t="str">
        <x:v>MP</x:v>
      </x:c>
      <x:c r="D1229" s="2" t="str">
        <x:v>Myzus persicae</x:v>
      </x:c>
      <x:c r="E1229" s="2" t="str">
        <x:v>L7</x:v>
      </x:c>
      <x:c r="F1229" s="2" t="n">
        <x:v>6</x:v>
      </x:c>
      <x:c r="G1229" s="2" t="n">
        <x:v>9</x:v>
      </x:c>
      <x:c r="H1229" s="2" t="n">
        <x:f>G1229+Supuestos!$C$15</x:f>
        <x:v>10</x:v>
      </x:c>
      <x:c r="I1229" s="14" t="n">
        <x:f>E2_plantas!J31+G1229</x:f>
        <x:v>46197</x:v>
      </x:c>
      <x:c r="J1229" s="2" t="str">
        <x:v>adulta</x:v>
      </x:c>
      <x:c r="K1229" s="2" t="n">
        <x:v>1</x:v>
      </x:c>
      <x:c r="L1229" s="2" t="n">
        <x:v>0</x:v>
      </x:c>
      <x:c r="M1229" s="2" t="n">
        <x:f>SUM(L$1220:L1229)</x:f>
        <x:v>0</x:v>
      </x:c>
      <x:c r="N1229" s="2" t="n">
        <x:v>0</x:v>
      </x:c>
      <x:c r="O1229" s="2" t="str">
        <x:v>seguimiento</x:v>
      </x:c>
      <x:c r="P1229" s="2" t="n">
        <x:v>0</x:v>
      </x:c>
      <x:c r="Q1229" s="2" t="str">
        <x:v>simulado_didactico</x:v>
      </x:c>
    </x:row>
    <x:row r="1230" ht="19" customHeight="1">
      <x:c r="A1230" s="2" t="str">
        <x:v>SIM-E2-MP-L7-R06</x:v>
      </x:c>
      <x:c r="B1230" s="2" t="n">
        <x:v>3</x:v>
      </x:c>
      <x:c r="C1230" s="2" t="str">
        <x:v>MP</x:v>
      </x:c>
      <x:c r="D1230" s="2" t="str">
        <x:v>Myzus persicae</x:v>
      </x:c>
      <x:c r="E1230" s="2" t="str">
        <x:v>L7</x:v>
      </x:c>
      <x:c r="F1230" s="2" t="n">
        <x:v>6</x:v>
      </x:c>
      <x:c r="G1230" s="2" t="n">
        <x:v>10</x:v>
      </x:c>
      <x:c r="H1230" s="2" t="n">
        <x:f>G1230+Supuestos!$C$15</x:f>
        <x:v>11</x:v>
      </x:c>
      <x:c r="I1230" s="14" t="n">
        <x:f>E2_plantas!J31+G1230</x:f>
        <x:v>46198</x:v>
      </x:c>
      <x:c r="J1230" s="2" t="str">
        <x:v>adulta</x:v>
      </x:c>
      <x:c r="K1230" s="2" t="n">
        <x:v>1</x:v>
      </x:c>
      <x:c r="L1230" s="2" t="n">
        <x:v>0</x:v>
      </x:c>
      <x:c r="M1230" s="2" t="n">
        <x:f>SUM(L$1220:L1230)</x:f>
        <x:v>0</x:v>
      </x:c>
      <x:c r="N1230" s="2" t="n">
        <x:v>0</x:v>
      </x:c>
      <x:c r="O1230" s="2" t="str">
        <x:v>seguimiento</x:v>
      </x:c>
      <x:c r="P1230" s="2" t="n">
        <x:v>0</x:v>
      </x:c>
      <x:c r="Q1230" s="2" t="str">
        <x:v>simulado_didactico</x:v>
      </x:c>
    </x:row>
    <x:row r="1231" ht="19" customHeight="1">
      <x:c r="A1231" s="2" t="str">
        <x:v>SIM-E2-MP-L7-R06</x:v>
      </x:c>
      <x:c r="B1231" s="2" t="n">
        <x:v>3</x:v>
      </x:c>
      <x:c r="C1231" s="2" t="str">
        <x:v>MP</x:v>
      </x:c>
      <x:c r="D1231" s="2" t="str">
        <x:v>Myzus persicae</x:v>
      </x:c>
      <x:c r="E1231" s="2" t="str">
        <x:v>L7</x:v>
      </x:c>
      <x:c r="F1231" s="2" t="n">
        <x:v>6</x:v>
      </x:c>
      <x:c r="G1231" s="2" t="n">
        <x:v>11</x:v>
      </x:c>
      <x:c r="H1231" s="2" t="n">
        <x:f>G1231+Supuestos!$C$15</x:f>
        <x:v>12</x:v>
      </x:c>
      <x:c r="I1231" s="14" t="n">
        <x:f>E2_plantas!J31+G1231</x:f>
        <x:v>46199</x:v>
      </x:c>
      <x:c r="J1231" s="2" t="str">
        <x:v>adulta</x:v>
      </x:c>
      <x:c r="K1231" s="2" t="n">
        <x:v>1</x:v>
      </x:c>
      <x:c r="L1231" s="2" t="n">
        <x:v>0</x:v>
      </x:c>
      <x:c r="M1231" s="2" t="n">
        <x:f>SUM(L$1220:L1231)</x:f>
        <x:v>0</x:v>
      </x:c>
      <x:c r="N1231" s="2" t="n">
        <x:v>0</x:v>
      </x:c>
      <x:c r="O1231" s="2" t="str">
        <x:v>seguimiento</x:v>
      </x:c>
      <x:c r="P1231" s="2" t="n">
        <x:v>0</x:v>
      </x:c>
      <x:c r="Q1231" s="2" t="str">
        <x:v>simulado_didactico</x:v>
      </x:c>
    </x:row>
    <x:row r="1232" ht="19" customHeight="1">
      <x:c r="A1232" s="2" t="str">
        <x:v>SIM-E2-MP-L7-R06</x:v>
      </x:c>
      <x:c r="B1232" s="2" t="n">
        <x:v>3</x:v>
      </x:c>
      <x:c r="C1232" s="2" t="str">
        <x:v>MP</x:v>
      </x:c>
      <x:c r="D1232" s="2" t="str">
        <x:v>Myzus persicae</x:v>
      </x:c>
      <x:c r="E1232" s="2" t="str">
        <x:v>L7</x:v>
      </x:c>
      <x:c r="F1232" s="2" t="n">
        <x:v>6</x:v>
      </x:c>
      <x:c r="G1232" s="2" t="n">
        <x:v>12</x:v>
      </x:c>
      <x:c r="H1232" s="2" t="n">
        <x:f>G1232+Supuestos!$C$15</x:f>
        <x:v>13</x:v>
      </x:c>
      <x:c r="I1232" s="14" t="n">
        <x:f>E2_plantas!J31+G1232</x:f>
        <x:v>46200</x:v>
      </x:c>
      <x:c r="J1232" s="2" t="str">
        <x:v>adulta</x:v>
      </x:c>
      <x:c r="K1232" s="2" t="n">
        <x:v>1</x:v>
      </x:c>
      <x:c r="L1232" s="2" t="n">
        <x:v>1</x:v>
      </x:c>
      <x:c r="M1232" s="2" t="n">
        <x:f>SUM(L$1220:L1232)</x:f>
        <x:v>1</x:v>
      </x:c>
      <x:c r="N1232" s="2" t="n">
        <x:v>0</x:v>
      </x:c>
      <x:c r="O1232" s="2" t="str">
        <x:v>seguimiento</x:v>
      </x:c>
      <x:c r="P1232" s="2" t="n">
        <x:v>0</x:v>
      </x:c>
      <x:c r="Q1232" s="2" t="str">
        <x:v>simulado_didactico</x:v>
      </x:c>
    </x:row>
    <x:row r="1233" ht="19" customHeight="1">
      <x:c r="A1233" s="2" t="str">
        <x:v>SIM-E2-MP-L7-R06</x:v>
      </x:c>
      <x:c r="B1233" s="2" t="n">
        <x:v>3</x:v>
      </x:c>
      <x:c r="C1233" s="2" t="str">
        <x:v>MP</x:v>
      </x:c>
      <x:c r="D1233" s="2" t="str">
        <x:v>Myzus persicae</x:v>
      </x:c>
      <x:c r="E1233" s="2" t="str">
        <x:v>L7</x:v>
      </x:c>
      <x:c r="F1233" s="2" t="n">
        <x:v>6</x:v>
      </x:c>
      <x:c r="G1233" s="2" t="n">
        <x:v>13</x:v>
      </x:c>
      <x:c r="H1233" s="2" t="n">
        <x:f>G1233+Supuestos!$C$15</x:f>
        <x:v>14</x:v>
      </x:c>
      <x:c r="I1233" s="14" t="n">
        <x:f>E2_plantas!J31+G1233</x:f>
        <x:v>46201</x:v>
      </x:c>
      <x:c r="J1233" s="2" t="str">
        <x:v>adulta</x:v>
      </x:c>
      <x:c r="K1233" s="2" t="n">
        <x:v>1</x:v>
      </x:c>
      <x:c r="L1233" s="2" t="n">
        <x:v>5</x:v>
      </x:c>
      <x:c r="M1233" s="2" t="n">
        <x:f>SUM(L$1220:L1233)</x:f>
        <x:v>6</x:v>
      </x:c>
      <x:c r="N1233" s="2" t="n">
        <x:v>0</x:v>
      </x:c>
      <x:c r="O1233" s="2" t="str">
        <x:v>seguimiento</x:v>
      </x:c>
      <x:c r="P1233" s="2" t="n">
        <x:v>0</x:v>
      </x:c>
      <x:c r="Q1233" s="2" t="str">
        <x:v>simulado_didactico</x:v>
      </x:c>
    </x:row>
    <x:row r="1234" ht="19" customHeight="1">
      <x:c r="A1234" s="2" t="str">
        <x:v>SIM-E2-MP-L7-R06</x:v>
      </x:c>
      <x:c r="B1234" s="2" t="n">
        <x:v>3</x:v>
      </x:c>
      <x:c r="C1234" s="2" t="str">
        <x:v>MP</x:v>
      </x:c>
      <x:c r="D1234" s="2" t="str">
        <x:v>Myzus persicae</x:v>
      </x:c>
      <x:c r="E1234" s="2" t="str">
        <x:v>L7</x:v>
      </x:c>
      <x:c r="F1234" s="2" t="n">
        <x:v>6</x:v>
      </x:c>
      <x:c r="G1234" s="2" t="n">
        <x:v>14</x:v>
      </x:c>
      <x:c r="H1234" s="2" t="n">
        <x:f>G1234+Supuestos!$C$15</x:f>
        <x:v>15</x:v>
      </x:c>
      <x:c r="I1234" s="14" t="n">
        <x:f>E2_plantas!J31+G1234</x:f>
        <x:v>46202</x:v>
      </x:c>
      <x:c r="J1234" s="2" t="str">
        <x:v>adulta</x:v>
      </x:c>
      <x:c r="K1234" s="2" t="n">
        <x:v>1</x:v>
      </x:c>
      <x:c r="L1234" s="2" t="n">
        <x:v>0</x:v>
      </x:c>
      <x:c r="M1234" s="2" t="n">
        <x:f>SUM(L$1220:L1234)</x:f>
        <x:v>6</x:v>
      </x:c>
      <x:c r="N1234" s="2" t="n">
        <x:v>0</x:v>
      </x:c>
      <x:c r="O1234" s="2" t="str">
        <x:v>seguimiento</x:v>
      </x:c>
      <x:c r="P1234" s="2" t="n">
        <x:v>0</x:v>
      </x:c>
      <x:c r="Q1234" s="2" t="str">
        <x:v>simulado_didactico</x:v>
      </x:c>
    </x:row>
    <x:row r="1235" ht="19" customHeight="1">
      <x:c r="A1235" s="2" t="str">
        <x:v>SIM-E2-MP-L7-R06</x:v>
      </x:c>
      <x:c r="B1235" s="2" t="n">
        <x:v>3</x:v>
      </x:c>
      <x:c r="C1235" s="2" t="str">
        <x:v>MP</x:v>
      </x:c>
      <x:c r="D1235" s="2" t="str">
        <x:v>Myzus persicae</x:v>
      </x:c>
      <x:c r="E1235" s="2" t="str">
        <x:v>L7</x:v>
      </x:c>
      <x:c r="F1235" s="2" t="n">
        <x:v>6</x:v>
      </x:c>
      <x:c r="G1235" s="2" t="n">
        <x:v>15</x:v>
      </x:c>
      <x:c r="H1235" s="2" t="n">
        <x:f>G1235+Supuestos!$C$15</x:f>
        <x:v>16</x:v>
      </x:c>
      <x:c r="I1235" s="14" t="n">
        <x:f>E2_plantas!J31+G1235</x:f>
        <x:v>46203</x:v>
      </x:c>
      <x:c r="J1235" s="2" t="str">
        <x:v>adulta</x:v>
      </x:c>
      <x:c r="K1235" s="2" t="n">
        <x:v>1</x:v>
      </x:c>
      <x:c r="L1235" s="2" t="n">
        <x:v>1</x:v>
      </x:c>
      <x:c r="M1235" s="2" t="n">
        <x:f>SUM(L$1220:L1235)</x:f>
        <x:v>7</x:v>
      </x:c>
      <x:c r="N1235" s="2" t="n">
        <x:v>0</x:v>
      </x:c>
      <x:c r="O1235" s="2" t="str">
        <x:v>seguimiento</x:v>
      </x:c>
      <x:c r="P1235" s="2" t="n">
        <x:v>0</x:v>
      </x:c>
      <x:c r="Q1235" s="2" t="str">
        <x:v>simulado_didactico</x:v>
      </x:c>
    </x:row>
    <x:row r="1236" ht="19" customHeight="1">
      <x:c r="A1236" s="2" t="str">
        <x:v>SIM-E2-MP-L7-R06</x:v>
      </x:c>
      <x:c r="B1236" s="2" t="n">
        <x:v>3</x:v>
      </x:c>
      <x:c r="C1236" s="2" t="str">
        <x:v>MP</x:v>
      </x:c>
      <x:c r="D1236" s="2" t="str">
        <x:v>Myzus persicae</x:v>
      </x:c>
      <x:c r="E1236" s="2" t="str">
        <x:v>L7</x:v>
      </x:c>
      <x:c r="F1236" s="2" t="n">
        <x:v>6</x:v>
      </x:c>
      <x:c r="G1236" s="2" t="n">
        <x:v>16</x:v>
      </x:c>
      <x:c r="H1236" s="2" t="n">
        <x:f>G1236+Supuestos!$C$15</x:f>
        <x:v>17</x:v>
      </x:c>
      <x:c r="I1236" s="14" t="n">
        <x:f>E2_plantas!J31+G1236</x:f>
        <x:v>46204</x:v>
      </x:c>
      <x:c r="J1236" s="2" t="str">
        <x:v>adulta</x:v>
      </x:c>
      <x:c r="K1236" s="2" t="n">
        <x:v>1</x:v>
      </x:c>
      <x:c r="L1236" s="2" t="n">
        <x:v>0</x:v>
      </x:c>
      <x:c r="M1236" s="2" t="n">
        <x:f>SUM(L$1220:L1236)</x:f>
        <x:v>7</x:v>
      </x:c>
      <x:c r="N1236" s="2" t="n">
        <x:v>0</x:v>
      </x:c>
      <x:c r="O1236" s="2" t="str">
        <x:v>seguimiento</x:v>
      </x:c>
      <x:c r="P1236" s="2" t="n">
        <x:v>0</x:v>
      </x:c>
      <x:c r="Q1236" s="2" t="str">
        <x:v>simulado_didactico</x:v>
      </x:c>
    </x:row>
    <x:row r="1237" ht="19" customHeight="1">
      <x:c r="A1237" s="2" t="str">
        <x:v>SIM-E2-MP-L7-R06</x:v>
      </x:c>
      <x:c r="B1237" s="2" t="n">
        <x:v>3</x:v>
      </x:c>
      <x:c r="C1237" s="2" t="str">
        <x:v>MP</x:v>
      </x:c>
      <x:c r="D1237" s="2" t="str">
        <x:v>Myzus persicae</x:v>
      </x:c>
      <x:c r="E1237" s="2" t="str">
        <x:v>L7</x:v>
      </x:c>
      <x:c r="F1237" s="2" t="n">
        <x:v>6</x:v>
      </x:c>
      <x:c r="G1237" s="2" t="n">
        <x:v>17</x:v>
      </x:c>
      <x:c r="H1237" s="2" t="n">
        <x:f>G1237+Supuestos!$C$15</x:f>
        <x:v>18</x:v>
      </x:c>
      <x:c r="I1237" s="14" t="n">
        <x:f>E2_plantas!J31+G1237</x:f>
        <x:v>46205</x:v>
      </x:c>
      <x:c r="J1237" s="2" t="str">
        <x:v>adulta</x:v>
      </x:c>
      <x:c r="K1237" s="2" t="n">
        <x:v>1</x:v>
      </x:c>
      <x:c r="L1237" s="2" t="n">
        <x:v>0</x:v>
      </x:c>
      <x:c r="M1237" s="2" t="n">
        <x:f>SUM(L$1220:L1237)</x:f>
        <x:v>7</x:v>
      </x:c>
      <x:c r="N1237" s="2" t="n">
        <x:v>0</x:v>
      </x:c>
      <x:c r="O1237" s="2" t="str">
        <x:v>seguimiento</x:v>
      </x:c>
      <x:c r="P1237" s="2" t="n">
        <x:v>0</x:v>
      </x:c>
      <x:c r="Q1237" s="2" t="str">
        <x:v>simulado_didactico</x:v>
      </x:c>
    </x:row>
    <x:row r="1238" ht="19" customHeight="1">
      <x:c r="A1238" s="2" t="str">
        <x:v>SIM-E2-MP-L7-R06</x:v>
      </x:c>
      <x:c r="B1238" s="2" t="n">
        <x:v>3</x:v>
      </x:c>
      <x:c r="C1238" s="2" t="str">
        <x:v>MP</x:v>
      </x:c>
      <x:c r="D1238" s="2" t="str">
        <x:v>Myzus persicae</x:v>
      </x:c>
      <x:c r="E1238" s="2" t="str">
        <x:v>L7</x:v>
      </x:c>
      <x:c r="F1238" s="2" t="n">
        <x:v>6</x:v>
      </x:c>
      <x:c r="G1238" s="2" t="n">
        <x:v>18</x:v>
      </x:c>
      <x:c r="H1238" s="2" t="n">
        <x:f>G1238+Supuestos!$C$15</x:f>
        <x:v>19</x:v>
      </x:c>
      <x:c r="I1238" s="14" t="n">
        <x:f>E2_plantas!J31+G1238</x:f>
        <x:v>46206</x:v>
      </x:c>
      <x:c r="J1238" s="2" t="str">
        <x:v>adulta</x:v>
      </x:c>
      <x:c r="K1238" s="2" t="n">
        <x:v>1</x:v>
      </x:c>
      <x:c r="L1238" s="2" t="n">
        <x:v>0</x:v>
      </x:c>
      <x:c r="M1238" s="2" t="n">
        <x:f>SUM(L$1220:L1238)</x:f>
        <x:v>7</x:v>
      </x:c>
      <x:c r="N1238" s="2" t="n">
        <x:v>0</x:v>
      </x:c>
      <x:c r="O1238" s="2" t="str">
        <x:v>seguimiento</x:v>
      </x:c>
      <x:c r="P1238" s="2" t="n">
        <x:v>0</x:v>
      </x:c>
      <x:c r="Q1238" s="2" t="str">
        <x:v>simulado_didactico</x:v>
      </x:c>
    </x:row>
    <x:row r="1239" ht="19" customHeight="1">
      <x:c r="A1239" s="2" t="str">
        <x:v>SIM-E2-MP-L7-R06</x:v>
      </x:c>
      <x:c r="B1239" s="2" t="n">
        <x:v>3</x:v>
      </x:c>
      <x:c r="C1239" s="2" t="str">
        <x:v>MP</x:v>
      </x:c>
      <x:c r="D1239" s="2" t="str">
        <x:v>Myzus persicae</x:v>
      </x:c>
      <x:c r="E1239" s="2" t="str">
        <x:v>L7</x:v>
      </x:c>
      <x:c r="F1239" s="2" t="n">
        <x:v>6</x:v>
      </x:c>
      <x:c r="G1239" s="2" t="n">
        <x:v>19</x:v>
      </x:c>
      <x:c r="H1239" s="2" t="n">
        <x:f>G1239+Supuestos!$C$15</x:f>
        <x:v>20</x:v>
      </x:c>
      <x:c r="I1239" s="14" t="n">
        <x:f>E2_plantas!J31+G1239</x:f>
        <x:v>46207</x:v>
      </x:c>
      <x:c r="J1239" s="2" t="str">
        <x:v>adulta</x:v>
      </x:c>
      <x:c r="K1239" s="2" t="n">
        <x:v>1</x:v>
      </x:c>
      <x:c r="L1239" s="2" t="n">
        <x:v>0</x:v>
      </x:c>
      <x:c r="M1239" s="2" t="n">
        <x:f>SUM(L$1220:L1239)</x:f>
        <x:v>7</x:v>
      </x:c>
      <x:c r="N1239" s="2" t="n">
        <x:v>0</x:v>
      </x:c>
      <x:c r="O1239" s="2" t="str">
        <x:v>seguimiento</x:v>
      </x:c>
      <x:c r="P1239" s="2" t="n">
        <x:v>0</x:v>
      </x:c>
      <x:c r="Q1239" s="2" t="str">
        <x:v>simulado_didactico</x:v>
      </x:c>
    </x:row>
    <x:row r="1240" ht="19" customHeight="1">
      <x:c r="A1240" s="2" t="str">
        <x:v>SIM-E2-MP-L7-R06</x:v>
      </x:c>
      <x:c r="B1240" s="2" t="n">
        <x:v>3</x:v>
      </x:c>
      <x:c r="C1240" s="2" t="str">
        <x:v>MP</x:v>
      </x:c>
      <x:c r="D1240" s="2" t="str">
        <x:v>Myzus persicae</x:v>
      </x:c>
      <x:c r="E1240" s="2" t="str">
        <x:v>L7</x:v>
      </x:c>
      <x:c r="F1240" s="2" t="n">
        <x:v>6</x:v>
      </x:c>
      <x:c r="G1240" s="2" t="n">
        <x:v>20</x:v>
      </x:c>
      <x:c r="H1240" s="2" t="n">
        <x:f>G1240+Supuestos!$C$15</x:f>
        <x:v>21</x:v>
      </x:c>
      <x:c r="I1240" s="14" t="n">
        <x:f>E2_plantas!J31+G1240</x:f>
        <x:v>46208</x:v>
      </x:c>
      <x:c r="J1240" s="2" t="str">
        <x:v>muerta</x:v>
      </x:c>
      <x:c r="K1240" s="2" t="n">
        <x:v>0</x:v>
      </x:c>
      <x:c r="L1240" s="2" t="n">
        <x:v>0</x:v>
      </x:c>
      <x:c r="M1240" s="2" t="n">
        <x:f>SUM(L$1220:L1240)</x:f>
        <x:v>7</x:v>
      </x:c>
      <x:c r="N1240" s="2" t="n">
        <x:v>1</x:v>
      </x:c>
      <x:c r="O1240" s="2" t="str">
        <x:v>muerte</x:v>
      </x:c>
      <x:c r="P1240" s="2" t="n">
        <x:v>0</x:v>
      </x:c>
      <x:c r="Q1240" s="2" t="str">
        <x:v>simulado_didactico</x:v>
      </x:c>
    </x:row>
    <x:row r="1241" ht="19" customHeight="1">
      <x:c r="A1241" s="2" t="str">
        <x:v>SIM-E2-MP-L7-R06</x:v>
      </x:c>
      <x:c r="B1241" s="2" t="n">
        <x:v>3</x:v>
      </x:c>
      <x:c r="C1241" s="2" t="str">
        <x:v>MP</x:v>
      </x:c>
      <x:c r="D1241" s="2" t="str">
        <x:v>Myzus persicae</x:v>
      </x:c>
      <x:c r="E1241" s="2" t="str">
        <x:v>L7</x:v>
      </x:c>
      <x:c r="F1241" s="2" t="n">
        <x:v>6</x:v>
      </x:c>
      <x:c r="G1241" s="2" t="n">
        <x:v>21</x:v>
      </x:c>
      <x:c r="H1241" s="2" t="n">
        <x:f>G1241+Supuestos!$C$15</x:f>
        <x:v>22</x:v>
      </x:c>
      <x:c r="I1241" s="14" t="n">
        <x:f>E2_plantas!J31+G1241</x:f>
        <x:v>46209</x:v>
      </x:c>
      <x:c r="J1241" s="2" t="str">
        <x:v>muerta</x:v>
      </x:c>
      <x:c r="K1241" s="2" t="n">
        <x:v>0</x:v>
      </x:c>
      <x:c r="L1241" s="2" t="n">
        <x:v>0</x:v>
      </x:c>
      <x:c r="M1241" s="2" t="n">
        <x:f>SUM(L$1220:L1241)</x:f>
        <x:v>7</x:v>
      </x:c>
      <x:c r="N1241" s="2" t="n">
        <x:v>0</x:v>
      </x:c>
      <x:c r="O1241" s="2" t="str">
        <x:v>relleno_postmuerte</x:v>
      </x:c>
      <x:c r="P1241" s="2" t="n">
        <x:v>0</x:v>
      </x:c>
      <x:c r="Q1241" s="2" t="str">
        <x:v>simulado_didactico</x:v>
      </x:c>
    </x:row>
    <x:row r="1242" ht="19" customHeight="1">
      <x:c r="A1242" s="2" t="str">
        <x:v>SIM-E2-MP-L7-R06</x:v>
      </x:c>
      <x:c r="B1242" s="2" t="n">
        <x:v>3</x:v>
      </x:c>
      <x:c r="C1242" s="2" t="str">
        <x:v>MP</x:v>
      </x:c>
      <x:c r="D1242" s="2" t="str">
        <x:v>Myzus persicae</x:v>
      </x:c>
      <x:c r="E1242" s="2" t="str">
        <x:v>L7</x:v>
      </x:c>
      <x:c r="F1242" s="2" t="n">
        <x:v>6</x:v>
      </x:c>
      <x:c r="G1242" s="2" t="n">
        <x:v>22</x:v>
      </x:c>
      <x:c r="H1242" s="2" t="n">
        <x:f>G1242+Supuestos!$C$15</x:f>
        <x:v>23</x:v>
      </x:c>
      <x:c r="I1242" s="14" t="n">
        <x:f>E2_plantas!J31+G1242</x:f>
        <x:v>46210</x:v>
      </x:c>
      <x:c r="J1242" s="2" t="str">
        <x:v>muerta</x:v>
      </x:c>
      <x:c r="K1242" s="2" t="n">
        <x:v>0</x:v>
      </x:c>
      <x:c r="L1242" s="2" t="n">
        <x:v>0</x:v>
      </x:c>
      <x:c r="M1242" s="2" t="n">
        <x:f>SUM(L$1220:L1242)</x:f>
        <x:v>7</x:v>
      </x:c>
      <x:c r="N1242" s="2" t="n">
        <x:v>0</x:v>
      </x:c>
      <x:c r="O1242" s="2" t="str">
        <x:v>relleno_postmuerte</x:v>
      </x:c>
      <x:c r="P1242" s="2" t="n">
        <x:v>0</x:v>
      </x:c>
      <x:c r="Q1242" s="2" t="str">
        <x:v>simulado_didactico</x:v>
      </x:c>
    </x:row>
    <x:row r="1243" ht="19" customHeight="1">
      <x:c r="A1243" s="2" t="str">
        <x:v>SIM-E2-MP-L7-R06</x:v>
      </x:c>
      <x:c r="B1243" s="2" t="n">
        <x:v>3</x:v>
      </x:c>
      <x:c r="C1243" s="2" t="str">
        <x:v>MP</x:v>
      </x:c>
      <x:c r="D1243" s="2" t="str">
        <x:v>Myzus persicae</x:v>
      </x:c>
      <x:c r="E1243" s="2" t="str">
        <x:v>L7</x:v>
      </x:c>
      <x:c r="F1243" s="2" t="n">
        <x:v>6</x:v>
      </x:c>
      <x:c r="G1243" s="2" t="n">
        <x:v>23</x:v>
      </x:c>
      <x:c r="H1243" s="2" t="n">
        <x:f>G1243+Supuestos!$C$15</x:f>
        <x:v>24</x:v>
      </x:c>
      <x:c r="I1243" s="14" t="n">
        <x:f>E2_plantas!J31+G1243</x:f>
        <x:v>46211</x:v>
      </x:c>
      <x:c r="J1243" s="2" t="str">
        <x:v>muerta</x:v>
      </x:c>
      <x:c r="K1243" s="2" t="n">
        <x:v>0</x:v>
      </x:c>
      <x:c r="L1243" s="2" t="n">
        <x:v>0</x:v>
      </x:c>
      <x:c r="M1243" s="2" t="n">
        <x:f>SUM(L$1220:L1243)</x:f>
        <x:v>7</x:v>
      </x:c>
      <x:c r="N1243" s="2" t="n">
        <x:v>0</x:v>
      </x:c>
      <x:c r="O1243" s="2" t="str">
        <x:v>relleno_postmuerte</x:v>
      </x:c>
      <x:c r="P1243" s="2" t="n">
        <x:v>0</x:v>
      </x:c>
      <x:c r="Q1243" s="2" t="str">
        <x:v>simulado_didactico</x:v>
      </x:c>
    </x:row>
    <x:row r="1244" ht="19" customHeight="1">
      <x:c r="A1244" s="2" t="str">
        <x:v>SIM-E2-MP-L7-R06</x:v>
      </x:c>
      <x:c r="B1244" s="2" t="n">
        <x:v>3</x:v>
      </x:c>
      <x:c r="C1244" s="2" t="str">
        <x:v>MP</x:v>
      </x:c>
      <x:c r="D1244" s="2" t="str">
        <x:v>Myzus persicae</x:v>
      </x:c>
      <x:c r="E1244" s="2" t="str">
        <x:v>L7</x:v>
      </x:c>
      <x:c r="F1244" s="2" t="n">
        <x:v>6</x:v>
      </x:c>
      <x:c r="G1244" s="2" t="n">
        <x:v>24</x:v>
      </x:c>
      <x:c r="H1244" s="2" t="n">
        <x:f>G1244+Supuestos!$C$15</x:f>
        <x:v>25</x:v>
      </x:c>
      <x:c r="I1244" s="14" t="n">
        <x:f>E2_plantas!J31+G1244</x:f>
        <x:v>46212</x:v>
      </x:c>
      <x:c r="J1244" s="2" t="str">
        <x:v>muerta</x:v>
      </x:c>
      <x:c r="K1244" s="2" t="n">
        <x:v>0</x:v>
      </x:c>
      <x:c r="L1244" s="2" t="n">
        <x:v>0</x:v>
      </x:c>
      <x:c r="M1244" s="2" t="n">
        <x:f>SUM(L$1220:L1244)</x:f>
        <x:v>7</x:v>
      </x:c>
      <x:c r="N1244" s="2" t="n">
        <x:v>0</x:v>
      </x:c>
      <x:c r="O1244" s="2" t="str">
        <x:v>relleno_postmuerte</x:v>
      </x:c>
      <x:c r="P1244" s="2" t="n">
        <x:v>0</x:v>
      </x:c>
      <x:c r="Q1244" s="2" t="str">
        <x:v>simulado_didactico</x:v>
      </x:c>
    </x:row>
    <x:row r="1245" ht="19" customHeight="1">
      <x:c r="A1245" s="2" t="str">
        <x:v>SIM-E2-MP-L7-R06</x:v>
      </x:c>
      <x:c r="B1245" s="2" t="n">
        <x:v>3</x:v>
      </x:c>
      <x:c r="C1245" s="2" t="str">
        <x:v>MP</x:v>
      </x:c>
      <x:c r="D1245" s="2" t="str">
        <x:v>Myzus persicae</x:v>
      </x:c>
      <x:c r="E1245" s="2" t="str">
        <x:v>L7</x:v>
      </x:c>
      <x:c r="F1245" s="2" t="n">
        <x:v>6</x:v>
      </x:c>
      <x:c r="G1245" s="2" t="n">
        <x:v>25</x:v>
      </x:c>
      <x:c r="H1245" s="2" t="n">
        <x:f>G1245+Supuestos!$C$15</x:f>
        <x:v>26</x:v>
      </x:c>
      <x:c r="I1245" s="14" t="n">
        <x:f>E2_plantas!J31+G1245</x:f>
        <x:v>46213</x:v>
      </x:c>
      <x:c r="J1245" s="2" t="str">
        <x:v>muerta</x:v>
      </x:c>
      <x:c r="K1245" s="2" t="n">
        <x:v>0</x:v>
      </x:c>
      <x:c r="L1245" s="2" t="n">
        <x:v>0</x:v>
      </x:c>
      <x:c r="M1245" s="2" t="n">
        <x:f>SUM(L$1220:L1245)</x:f>
        <x:v>7</x:v>
      </x:c>
      <x:c r="N1245" s="2" t="n">
        <x:v>0</x:v>
      </x:c>
      <x:c r="O1245" s="2" t="str">
        <x:v>relleno_postmuerte</x:v>
      </x:c>
      <x:c r="P1245" s="2" t="n">
        <x:v>0</x:v>
      </x:c>
      <x:c r="Q1245" s="2" t="str">
        <x:v>simulado_didactico</x:v>
      </x:c>
    </x:row>
    <x:row r="1246" ht="19" customHeight="1">
      <x:c r="A1246" s="2" t="str">
        <x:v>SIM-E2-MP-L7-R06</x:v>
      </x:c>
      <x:c r="B1246" s="2" t="n">
        <x:v>3</x:v>
      </x:c>
      <x:c r="C1246" s="2" t="str">
        <x:v>MP</x:v>
      </x:c>
      <x:c r="D1246" s="2" t="str">
        <x:v>Myzus persicae</x:v>
      </x:c>
      <x:c r="E1246" s="2" t="str">
        <x:v>L7</x:v>
      </x:c>
      <x:c r="F1246" s="2" t="n">
        <x:v>6</x:v>
      </x:c>
      <x:c r="G1246" s="2" t="n">
        <x:v>26</x:v>
      </x:c>
      <x:c r="H1246" s="2" t="n">
        <x:f>G1246+Supuestos!$C$15</x:f>
        <x:v>27</x:v>
      </x:c>
      <x:c r="I1246" s="14" t="n">
        <x:f>E2_plantas!J31+G1246</x:f>
        <x:v>46214</x:v>
      </x:c>
      <x:c r="J1246" s="2" t="str">
        <x:v>muerta</x:v>
      </x:c>
      <x:c r="K1246" s="2" t="n">
        <x:v>0</x:v>
      </x:c>
      <x:c r="L1246" s="2" t="n">
        <x:v>0</x:v>
      </x:c>
      <x:c r="M1246" s="2" t="n">
        <x:f>SUM(L$1220:L1246)</x:f>
        <x:v>7</x:v>
      </x:c>
      <x:c r="N1246" s="2" t="n">
        <x:v>0</x:v>
      </x:c>
      <x:c r="O1246" s="2" t="str">
        <x:v>relleno_postmuerte</x:v>
      </x:c>
      <x:c r="P1246" s="2" t="n">
        <x:v>0</x:v>
      </x:c>
      <x:c r="Q1246" s="2" t="str">
        <x:v>simulado_didactico</x:v>
      </x:c>
    </x:row>
    <x:row r="1247" ht="19" customHeight="1">
      <x:c r="A1247" s="2" t="str">
        <x:v>SIM-E2-MP-L7-R06</x:v>
      </x:c>
      <x:c r="B1247" s="2" t="n">
        <x:v>3</x:v>
      </x:c>
      <x:c r="C1247" s="2" t="str">
        <x:v>MP</x:v>
      </x:c>
      <x:c r="D1247" s="2" t="str">
        <x:v>Myzus persicae</x:v>
      </x:c>
      <x:c r="E1247" s="2" t="str">
        <x:v>L7</x:v>
      </x:c>
      <x:c r="F1247" s="2" t="n">
        <x:v>6</x:v>
      </x:c>
      <x:c r="G1247" s="2" t="n">
        <x:v>27</x:v>
      </x:c>
      <x:c r="H1247" s="2" t="n">
        <x:f>G1247+Supuestos!$C$15</x:f>
        <x:v>28</x:v>
      </x:c>
      <x:c r="I1247" s="14" t="n">
        <x:f>E2_plantas!J31+G1247</x:f>
        <x:v>46215</x:v>
      </x:c>
      <x:c r="J1247" s="2" t="str">
        <x:v>muerta</x:v>
      </x:c>
      <x:c r="K1247" s="2" t="n">
        <x:v>0</x:v>
      </x:c>
      <x:c r="L1247" s="2" t="n">
        <x:v>0</x:v>
      </x:c>
      <x:c r="M1247" s="2" t="n">
        <x:f>SUM(L$1220:L1247)</x:f>
        <x:v>7</x:v>
      </x:c>
      <x:c r="N1247" s="2" t="n">
        <x:v>0</x:v>
      </x:c>
      <x:c r="O1247" s="2" t="str">
        <x:v>relleno_postmuerte</x:v>
      </x:c>
      <x:c r="P1247" s="2" t="n">
        <x:v>0</x:v>
      </x:c>
      <x:c r="Q1247" s="2" t="str">
        <x:v>simulado_didactico</x:v>
      </x:c>
    </x:row>
    <x:row r="1248" ht="19" customHeight="1">
      <x:c r="A1248" s="2" t="str">
        <x:v>SIM-E2-MP-L7-R06</x:v>
      </x:c>
      <x:c r="B1248" s="2" t="n">
        <x:v>3</x:v>
      </x:c>
      <x:c r="C1248" s="2" t="str">
        <x:v>MP</x:v>
      </x:c>
      <x:c r="D1248" s="2" t="str">
        <x:v>Myzus persicae</x:v>
      </x:c>
      <x:c r="E1248" s="2" t="str">
        <x:v>L7</x:v>
      </x:c>
      <x:c r="F1248" s="2" t="n">
        <x:v>6</x:v>
      </x:c>
      <x:c r="G1248" s="2" t="n">
        <x:v>28</x:v>
      </x:c>
      <x:c r="H1248" s="2" t="n">
        <x:f>G1248+Supuestos!$C$15</x:f>
        <x:v>29</x:v>
      </x:c>
      <x:c r="I1248" s="14" t="n">
        <x:f>E2_plantas!J31+G1248</x:f>
        <x:v>46216</x:v>
      </x:c>
      <x:c r="J1248" s="2" t="str">
        <x:v>muerta</x:v>
      </x:c>
      <x:c r="K1248" s="2" t="n">
        <x:v>0</x:v>
      </x:c>
      <x:c r="L1248" s="2" t="n">
        <x:v>0</x:v>
      </x:c>
      <x:c r="M1248" s="2" t="n">
        <x:f>SUM(L$1220:L1248)</x:f>
        <x:v>7</x:v>
      </x:c>
      <x:c r="N1248" s="2" t="n">
        <x:v>0</x:v>
      </x:c>
      <x:c r="O1248" s="2" t="str">
        <x:v>relleno_postmuerte</x:v>
      </x:c>
      <x:c r="P1248" s="2" t="n">
        <x:v>0</x:v>
      </x:c>
      <x:c r="Q1248" s="2" t="str">
        <x:v>simulado_didactico</x:v>
      </x:c>
    </x:row>
    <x:row r="1249" ht="19" customHeight="1">
      <x:c r="A1249" s="2" t="str">
        <x:v>SIM-E2-MP-L7-R06</x:v>
      </x:c>
      <x:c r="B1249" s="2" t="n">
        <x:v>3</x:v>
      </x:c>
      <x:c r="C1249" s="2" t="str">
        <x:v>MP</x:v>
      </x:c>
      <x:c r="D1249" s="2" t="str">
        <x:v>Myzus persicae</x:v>
      </x:c>
      <x:c r="E1249" s="2" t="str">
        <x:v>L7</x:v>
      </x:c>
      <x:c r="F1249" s="2" t="n">
        <x:v>6</x:v>
      </x:c>
      <x:c r="G1249" s="2" t="n">
        <x:v>29</x:v>
      </x:c>
      <x:c r="H1249" s="2" t="n">
        <x:f>G1249+Supuestos!$C$15</x:f>
        <x:v>30</x:v>
      </x:c>
      <x:c r="I1249" s="14" t="n">
        <x:f>E2_plantas!J31+G1249</x:f>
        <x:v>46217</x:v>
      </x:c>
      <x:c r="J1249" s="2" t="str">
        <x:v>muerta</x:v>
      </x:c>
      <x:c r="K1249" s="2" t="n">
        <x:v>0</x:v>
      </x:c>
      <x:c r="L1249" s="2" t="n">
        <x:v>0</x:v>
      </x:c>
      <x:c r="M1249" s="2" t="n">
        <x:f>SUM(L$1220:L1249)</x:f>
        <x:v>7</x:v>
      </x:c>
      <x:c r="N1249" s="2" t="n">
        <x:v>0</x:v>
      </x:c>
      <x:c r="O1249" s="2" t="str">
        <x:v>relleno_postmuerte</x:v>
      </x:c>
      <x:c r="P1249" s="2" t="n">
        <x:v>0</x:v>
      </x:c>
      <x:c r="Q1249" s="2" t="str">
        <x:v>simulado_didactico</x:v>
      </x:c>
    </x:row>
    <x:row r="1250" ht="19" customHeight="1">
      <x:c r="A1250" s="2" t="str">
        <x:v>SIM-E2-MP-L7-R06</x:v>
      </x:c>
      <x:c r="B1250" s="2" t="n">
        <x:v>3</x:v>
      </x:c>
      <x:c r="C1250" s="2" t="str">
        <x:v>MP</x:v>
      </x:c>
      <x:c r="D1250" s="2" t="str">
        <x:v>Myzus persicae</x:v>
      </x:c>
      <x:c r="E1250" s="2" t="str">
        <x:v>L7</x:v>
      </x:c>
      <x:c r="F1250" s="2" t="n">
        <x:v>6</x:v>
      </x:c>
      <x:c r="G1250" s="2" t="n">
        <x:v>30</x:v>
      </x:c>
      <x:c r="H1250" s="2" t="n">
        <x:f>G1250+Supuestos!$C$15</x:f>
        <x:v>31</x:v>
      </x:c>
      <x:c r="I1250" s="14" t="n">
        <x:f>E2_plantas!J31+G1250</x:f>
        <x:v>46218</x:v>
      </x:c>
      <x:c r="J1250" s="2" t="str">
        <x:v>muerta</x:v>
      </x:c>
      <x:c r="K1250" s="2" t="n">
        <x:v>0</x:v>
      </x:c>
      <x:c r="L1250" s="2" t="n">
        <x:v>0</x:v>
      </x:c>
      <x:c r="M1250" s="2" t="n">
        <x:f>SUM(L$1220:L1250)</x:f>
        <x:v>7</x:v>
      </x:c>
      <x:c r="N1250" s="2" t="n">
        <x:v>0</x:v>
      </x:c>
      <x:c r="O1250" s="2" t="str">
        <x:v>relleno_postmuerte</x:v>
      </x:c>
      <x:c r="P1250" s="2" t="n">
        <x:v>0</x:v>
      </x:c>
      <x:c r="Q1250" s="2" t="str">
        <x:v>simulado_didactico</x:v>
      </x:c>
    </x:row>
    <x:row r="1251" ht="19" customHeight="1">
      <x:c r="A1251" s="2" t="str">
        <x:v>SIM-E2-MP-L7-R06</x:v>
      </x:c>
      <x:c r="B1251" s="2" t="n">
        <x:v>3</x:v>
      </x:c>
      <x:c r="C1251" s="2" t="str">
        <x:v>MP</x:v>
      </x:c>
      <x:c r="D1251" s="2" t="str">
        <x:v>Myzus persicae</x:v>
      </x:c>
      <x:c r="E1251" s="2" t="str">
        <x:v>L7</x:v>
      </x:c>
      <x:c r="F1251" s="2" t="n">
        <x:v>6</x:v>
      </x:c>
      <x:c r="G1251" s="2" t="n">
        <x:v>31</x:v>
      </x:c>
      <x:c r="H1251" s="2" t="n">
        <x:f>G1251+Supuestos!$C$15</x:f>
        <x:v>32</x:v>
      </x:c>
      <x:c r="I1251" s="14" t="n">
        <x:f>E2_plantas!J31+G1251</x:f>
        <x:v>46219</x:v>
      </x:c>
      <x:c r="J1251" s="2" t="str">
        <x:v>muerta</x:v>
      </x:c>
      <x:c r="K1251" s="2" t="n">
        <x:v>0</x:v>
      </x:c>
      <x:c r="L1251" s="2" t="n">
        <x:v>0</x:v>
      </x:c>
      <x:c r="M1251" s="2" t="n">
        <x:f>SUM(L$1220:L1251)</x:f>
        <x:v>7</x:v>
      </x:c>
      <x:c r="N1251" s="2" t="n">
        <x:v>0</x:v>
      </x:c>
      <x:c r="O1251" s="2" t="str">
        <x:v>relleno_postmuerte</x:v>
      </x:c>
      <x:c r="P1251" s="2" t="n">
        <x:v>0</x:v>
      </x:c>
      <x:c r="Q1251" s="2" t="str">
        <x:v>simulado_didactico</x:v>
      </x:c>
    </x:row>
    <x:row r="1252" ht="19" customHeight="1">
      <x:c r="A1252" s="2" t="str">
        <x:v>SIM-E2-MP-L7-R06</x:v>
      </x:c>
      <x:c r="B1252" s="2" t="n">
        <x:v>3</x:v>
      </x:c>
      <x:c r="C1252" s="2" t="str">
        <x:v>MP</x:v>
      </x:c>
      <x:c r="D1252" s="2" t="str">
        <x:v>Myzus persicae</x:v>
      </x:c>
      <x:c r="E1252" s="2" t="str">
        <x:v>L7</x:v>
      </x:c>
      <x:c r="F1252" s="2" t="n">
        <x:v>6</x:v>
      </x:c>
      <x:c r="G1252" s="2" t="n">
        <x:v>32</x:v>
      </x:c>
      <x:c r="H1252" s="2" t="n">
        <x:f>G1252+Supuestos!$C$15</x:f>
        <x:v>33</x:v>
      </x:c>
      <x:c r="I1252" s="14" t="n">
        <x:f>E2_plantas!J31+G1252</x:f>
        <x:v>46220</x:v>
      </x:c>
      <x:c r="J1252" s="2" t="str">
        <x:v>muerta</x:v>
      </x:c>
      <x:c r="K1252" s="2" t="n">
        <x:v>0</x:v>
      </x:c>
      <x:c r="L1252" s="2" t="n">
        <x:v>0</x:v>
      </x:c>
      <x:c r="M1252" s="2" t="n">
        <x:f>SUM(L$1220:L1252)</x:f>
        <x:v>7</x:v>
      </x:c>
      <x:c r="N1252" s="2" t="n">
        <x:v>0</x:v>
      </x:c>
      <x:c r="O1252" s="2" t="str">
        <x:v>relleno_postmuerte</x:v>
      </x:c>
      <x:c r="P1252" s="2" t="n">
        <x:v>0</x:v>
      </x:c>
      <x:c r="Q1252" s="2" t="str">
        <x:v>simulado_didactico</x:v>
      </x:c>
    </x:row>
    <x:row r="1253" ht="19" customHeight="1">
      <x:c r="A1253" s="2" t="str">
        <x:v>SIM-E2-MP-L7-R06</x:v>
      </x:c>
      <x:c r="B1253" s="2" t="n">
        <x:v>3</x:v>
      </x:c>
      <x:c r="C1253" s="2" t="str">
        <x:v>MP</x:v>
      </x:c>
      <x:c r="D1253" s="2" t="str">
        <x:v>Myzus persicae</x:v>
      </x:c>
      <x:c r="E1253" s="2" t="str">
        <x:v>L7</x:v>
      </x:c>
      <x:c r="F1253" s="2" t="n">
        <x:v>6</x:v>
      </x:c>
      <x:c r="G1253" s="2" t="n">
        <x:v>33</x:v>
      </x:c>
      <x:c r="H1253" s="2" t="n">
        <x:f>G1253+Supuestos!$C$15</x:f>
        <x:v>34</x:v>
      </x:c>
      <x:c r="I1253" s="14" t="n">
        <x:f>E2_plantas!J31+G1253</x:f>
        <x:v>46221</x:v>
      </x:c>
      <x:c r="J1253" s="2" t="str">
        <x:v>muerta</x:v>
      </x:c>
      <x:c r="K1253" s="2" t="n">
        <x:v>0</x:v>
      </x:c>
      <x:c r="L1253" s="2" t="n">
        <x:v>0</x:v>
      </x:c>
      <x:c r="M1253" s="2" t="n">
        <x:f>SUM(L$1220:L1253)</x:f>
        <x:v>7</x:v>
      </x:c>
      <x:c r="N1253" s="2" t="n">
        <x:v>0</x:v>
      </x:c>
      <x:c r="O1253" s="2" t="str">
        <x:v>relleno_postmuerte</x:v>
      </x:c>
      <x:c r="P1253" s="2" t="n">
        <x:v>0</x:v>
      </x:c>
      <x:c r="Q1253" s="2" t="str">
        <x:v>simulado_didactico</x:v>
      </x:c>
    </x:row>
    <x:row r="1254" ht="19" customHeight="1">
      <x:c r="A1254" s="2" t="str">
        <x:v>SIM-E2-MP-L7-R06</x:v>
      </x:c>
      <x:c r="B1254" s="2" t="n">
        <x:v>3</x:v>
      </x:c>
      <x:c r="C1254" s="2" t="str">
        <x:v>MP</x:v>
      </x:c>
      <x:c r="D1254" s="2" t="str">
        <x:v>Myzus persicae</x:v>
      </x:c>
      <x:c r="E1254" s="2" t="str">
        <x:v>L7</x:v>
      </x:c>
      <x:c r="F1254" s="2" t="n">
        <x:v>6</x:v>
      </x:c>
      <x:c r="G1254" s="2" t="n">
        <x:v>34</x:v>
      </x:c>
      <x:c r="H1254" s="2" t="n">
        <x:f>G1254+Supuestos!$C$15</x:f>
        <x:v>35</x:v>
      </x:c>
      <x:c r="I1254" s="14" t="n">
        <x:f>E2_plantas!J31+G1254</x:f>
        <x:v>46222</x:v>
      </x:c>
      <x:c r="J1254" s="2" t="str">
        <x:v>muerta</x:v>
      </x:c>
      <x:c r="K1254" s="2" t="n">
        <x:v>0</x:v>
      </x:c>
      <x:c r="L1254" s="2" t="n">
        <x:v>0</x:v>
      </x:c>
      <x:c r="M1254" s="2" t="n">
        <x:f>SUM(L$1220:L1254)</x:f>
        <x:v>7</x:v>
      </x:c>
      <x:c r="N1254" s="2" t="n">
        <x:v>0</x:v>
      </x:c>
      <x:c r="O1254" s="2" t="str">
        <x:v>relleno_postmuerte</x:v>
      </x:c>
      <x:c r="P1254" s="2" t="n">
        <x:v>0</x:v>
      </x:c>
      <x:c r="Q1254" s="2" t="str">
        <x:v>simulado_didactico</x:v>
      </x:c>
    </x:row>
    <x:row r="1255" ht="19" customHeight="1">
      <x:c r="A1255" s="2" t="str">
        <x:v>SIM-E2-MP-L7-R06</x:v>
      </x:c>
      <x:c r="B1255" s="2" t="n">
        <x:v>3</x:v>
      </x:c>
      <x:c r="C1255" s="2" t="str">
        <x:v>MP</x:v>
      </x:c>
      <x:c r="D1255" s="2" t="str">
        <x:v>Myzus persicae</x:v>
      </x:c>
      <x:c r="E1255" s="2" t="str">
        <x:v>L7</x:v>
      </x:c>
      <x:c r="F1255" s="2" t="n">
        <x:v>6</x:v>
      </x:c>
      <x:c r="G1255" s="2" t="n">
        <x:v>35</x:v>
      </x:c>
      <x:c r="H1255" s="2" t="n">
        <x:f>G1255+Supuestos!$C$15</x:f>
        <x:v>36</x:v>
      </x:c>
      <x:c r="I1255" s="14" t="n">
        <x:f>E2_plantas!J31+G1255</x:f>
        <x:v>46223</x:v>
      </x:c>
      <x:c r="J1255" s="2" t="str">
        <x:v>muerta</x:v>
      </x:c>
      <x:c r="K1255" s="2" t="n">
        <x:v>0</x:v>
      </x:c>
      <x:c r="L1255" s="2" t="n">
        <x:v>0</x:v>
      </x:c>
      <x:c r="M1255" s="2" t="n">
        <x:f>SUM(L$1220:L1255)</x:f>
        <x:v>7</x:v>
      </x:c>
      <x:c r="N1255" s="2" t="n">
        <x:v>0</x:v>
      </x:c>
      <x:c r="O1255" s="2" t="str">
        <x:v>relleno_postmuerte</x:v>
      </x:c>
      <x:c r="P1255" s="2" t="n">
        <x:v>0</x:v>
      </x:c>
      <x:c r="Q1255" s="2" t="str">
        <x:v>simulado_didactico</x:v>
      </x:c>
    </x:row>
    <x:row r="1256" ht="19" customHeight="1">
      <x:c r="A1256" s="2" t="str">
        <x:v>SIM-E2-MP-L7-R06</x:v>
      </x:c>
      <x:c r="B1256" s="2" t="n">
        <x:v>3</x:v>
      </x:c>
      <x:c r="C1256" s="2" t="str">
        <x:v>MP</x:v>
      </x:c>
      <x:c r="D1256" s="2" t="str">
        <x:v>Myzus persicae</x:v>
      </x:c>
      <x:c r="E1256" s="2" t="str">
        <x:v>L7</x:v>
      </x:c>
      <x:c r="F1256" s="2" t="n">
        <x:v>6</x:v>
      </x:c>
      <x:c r="G1256" s="2" t="n">
        <x:v>36</x:v>
      </x:c>
      <x:c r="H1256" s="2" t="n">
        <x:f>G1256+Supuestos!$C$15</x:f>
        <x:v>37</x:v>
      </x:c>
      <x:c r="I1256" s="14" t="n">
        <x:f>E2_plantas!J31+G1256</x:f>
        <x:v>46224</x:v>
      </x:c>
      <x:c r="J1256" s="2" t="str">
        <x:v>muerta</x:v>
      </x:c>
      <x:c r="K1256" s="2" t="n">
        <x:v>0</x:v>
      </x:c>
      <x:c r="L1256" s="2" t="n">
        <x:v>0</x:v>
      </x:c>
      <x:c r="M1256" s="2" t="n">
        <x:f>SUM(L$1220:L1256)</x:f>
        <x:v>7</x:v>
      </x:c>
      <x:c r="N1256" s="2" t="n">
        <x:v>0</x:v>
      </x:c>
      <x:c r="O1256" s="2" t="str">
        <x:v>relleno_postmuerte</x:v>
      </x:c>
      <x:c r="P1256" s="2" t="n">
        <x:v>0</x:v>
      </x:c>
      <x:c r="Q1256" s="2" t="str">
        <x:v>simulado_didactico</x:v>
      </x:c>
    </x:row>
    <x:row r="1257" ht="19" customHeight="1">
      <x:c r="A1257" s="2" t="str">
        <x:v>SIM-E2-MP-L7-R06</x:v>
      </x:c>
      <x:c r="B1257" s="2" t="n">
        <x:v>3</x:v>
      </x:c>
      <x:c r="C1257" s="2" t="str">
        <x:v>MP</x:v>
      </x:c>
      <x:c r="D1257" s="2" t="str">
        <x:v>Myzus persicae</x:v>
      </x:c>
      <x:c r="E1257" s="2" t="str">
        <x:v>L7</x:v>
      </x:c>
      <x:c r="F1257" s="2" t="n">
        <x:v>6</x:v>
      </x:c>
      <x:c r="G1257" s="2" t="n">
        <x:v>37</x:v>
      </x:c>
      <x:c r="H1257" s="2" t="n">
        <x:f>G1257+Supuestos!$C$15</x:f>
        <x:v>38</x:v>
      </x:c>
      <x:c r="I1257" s="14" t="n">
        <x:f>E2_plantas!J31+G1257</x:f>
        <x:v>46225</x:v>
      </x:c>
      <x:c r="J1257" s="2" t="str">
        <x:v>muerta</x:v>
      </x:c>
      <x:c r="K1257" s="2" t="n">
        <x:v>0</x:v>
      </x:c>
      <x:c r="L1257" s="2" t="n">
        <x:v>0</x:v>
      </x:c>
      <x:c r="M1257" s="2" t="n">
        <x:f>SUM(L$1220:L1257)</x:f>
        <x:v>7</x:v>
      </x:c>
      <x:c r="N1257" s="2" t="n">
        <x:v>0</x:v>
      </x:c>
      <x:c r="O1257" s="2" t="str">
        <x:v>relleno_postmuerte</x:v>
      </x:c>
      <x:c r="P1257" s="2" t="n">
        <x:v>0</x:v>
      </x:c>
      <x:c r="Q1257" s="2" t="str">
        <x:v>simulado_didactico</x:v>
      </x:c>
    </x:row>
    <x:row r="1258" ht="19" customHeight="1">
      <x:c r="A1258" s="2" t="str">
        <x:v>SIM-E2-MP-L7-R06</x:v>
      </x:c>
      <x:c r="B1258" s="2" t="n">
        <x:v>3</x:v>
      </x:c>
      <x:c r="C1258" s="2" t="str">
        <x:v>MP</x:v>
      </x:c>
      <x:c r="D1258" s="2" t="str">
        <x:v>Myzus persicae</x:v>
      </x:c>
      <x:c r="E1258" s="2" t="str">
        <x:v>L7</x:v>
      </x:c>
      <x:c r="F1258" s="2" t="n">
        <x:v>6</x:v>
      </x:c>
      <x:c r="G1258" s="2" t="n">
        <x:v>38</x:v>
      </x:c>
      <x:c r="H1258" s="2" t="n">
        <x:f>G1258+Supuestos!$C$15</x:f>
        <x:v>39</x:v>
      </x:c>
      <x:c r="I1258" s="14" t="n">
        <x:f>E2_plantas!J31+G1258</x:f>
        <x:v>46226</x:v>
      </x:c>
      <x:c r="J1258" s="2" t="str">
        <x:v>muerta</x:v>
      </x:c>
      <x:c r="K1258" s="2" t="n">
        <x:v>0</x:v>
      </x:c>
      <x:c r="L1258" s="2" t="n">
        <x:v>0</x:v>
      </x:c>
      <x:c r="M1258" s="2" t="n">
        <x:f>SUM(L$1220:L1258)</x:f>
        <x:v>7</x:v>
      </x:c>
      <x:c r="N1258" s="2" t="n">
        <x:v>0</x:v>
      </x:c>
      <x:c r="O1258" s="2" t="str">
        <x:v>relleno_postmuerte</x:v>
      </x:c>
      <x:c r="P1258" s="2" t="n">
        <x:v>0</x:v>
      </x:c>
      <x:c r="Q1258" s="2" t="str">
        <x:v>simulado_didactico</x:v>
      </x:c>
    </x:row>
    <x:row r="1259" ht="19" customHeight="1">
      <x:c r="A1259" s="2" t="str">
        <x:v>SIM-E2-MP-L7-R06</x:v>
      </x:c>
      <x:c r="B1259" s="2" t="n">
        <x:v>3</x:v>
      </x:c>
      <x:c r="C1259" s="2" t="str">
        <x:v>MP</x:v>
      </x:c>
      <x:c r="D1259" s="2" t="str">
        <x:v>Myzus persicae</x:v>
      </x:c>
      <x:c r="E1259" s="2" t="str">
        <x:v>L7</x:v>
      </x:c>
      <x:c r="F1259" s="2" t="n">
        <x:v>6</x:v>
      </x:c>
      <x:c r="G1259" s="2" t="n">
        <x:v>39</x:v>
      </x:c>
      <x:c r="H1259" s="2" t="n">
        <x:f>G1259+Supuestos!$C$15</x:f>
        <x:v>40</x:v>
      </x:c>
      <x:c r="I1259" s="14" t="n">
        <x:f>E2_plantas!J31+G1259</x:f>
        <x:v>46227</x:v>
      </x:c>
      <x:c r="J1259" s="2" t="str">
        <x:v>muerta</x:v>
      </x:c>
      <x:c r="K1259" s="2" t="n">
        <x:v>0</x:v>
      </x:c>
      <x:c r="L1259" s="2" t="n">
        <x:v>0</x:v>
      </x:c>
      <x:c r="M1259" s="2" t="n">
        <x:f>SUM(L$1220:L1259)</x:f>
        <x:v>7</x:v>
      </x:c>
      <x:c r="N1259" s="2" t="n">
        <x:v>0</x:v>
      </x:c>
      <x:c r="O1259" s="2" t="str">
        <x:v>relleno_postmuerte</x:v>
      </x:c>
      <x:c r="P1259" s="2" t="n">
        <x:v>0</x:v>
      </x:c>
      <x:c r="Q1259" s="2" t="str">
        <x:v>simulado_didactico</x:v>
      </x:c>
    </x:row>
    <x:row r="1260" ht="19" customHeight="1">
      <x:c r="A1260" s="2" t="str">
        <x:v>SIM-E2-MP-L7-R06</x:v>
      </x:c>
      <x:c r="B1260" s="2" t="n">
        <x:v>3</x:v>
      </x:c>
      <x:c r="C1260" s="2" t="str">
        <x:v>MP</x:v>
      </x:c>
      <x:c r="D1260" s="2" t="str">
        <x:v>Myzus persicae</x:v>
      </x:c>
      <x:c r="E1260" s="2" t="str">
        <x:v>L7</x:v>
      </x:c>
      <x:c r="F1260" s="2" t="n">
        <x:v>6</x:v>
      </x:c>
      <x:c r="G1260" s="2" t="n">
        <x:v>40</x:v>
      </x:c>
      <x:c r="H1260" s="2" t="n">
        <x:f>G1260+Supuestos!$C$15</x:f>
        <x:v>41</x:v>
      </x:c>
      <x:c r="I1260" s="14" t="n">
        <x:f>E2_plantas!J31+G1260</x:f>
        <x:v>46228</x:v>
      </x:c>
      <x:c r="J1260" s="2" t="str">
        <x:v>muerta</x:v>
      </x:c>
      <x:c r="K1260" s="2" t="n">
        <x:v>0</x:v>
      </x:c>
      <x:c r="L1260" s="2" t="n">
        <x:v>0</x:v>
      </x:c>
      <x:c r="M1260" s="2" t="n">
        <x:f>SUM(L$1220:L1260)</x:f>
        <x:v>7</x:v>
      </x:c>
      <x:c r="N1260" s="2" t="n">
        <x:v>0</x:v>
      </x:c>
      <x:c r="O1260" s="2" t="str">
        <x:v>relleno_postmuerte</x:v>
      </x:c>
      <x:c r="P1260" s="2" t="n">
        <x:v>0</x:v>
      </x:c>
      <x:c r="Q1260" s="2" t="str">
        <x:v>simulado_didactico</x:v>
      </x:c>
    </x:row>
    <x:row r="1261" ht="19" customHeight="1">
      <x:c r="A1261" s="2" t="str">
        <x:v>SIM-E2-MP-L7-R06</x:v>
      </x:c>
      <x:c r="B1261" s="2" t="n">
        <x:v>3</x:v>
      </x:c>
      <x:c r="C1261" s="2" t="str">
        <x:v>MP</x:v>
      </x:c>
      <x:c r="D1261" s="2" t="str">
        <x:v>Myzus persicae</x:v>
      </x:c>
      <x:c r="E1261" s="2" t="str">
        <x:v>L7</x:v>
      </x:c>
      <x:c r="F1261" s="2" t="n">
        <x:v>6</x:v>
      </x:c>
      <x:c r="G1261" s="2" t="n">
        <x:v>41</x:v>
      </x:c>
      <x:c r="H1261" s="2" t="n">
        <x:f>G1261+Supuestos!$C$15</x:f>
        <x:v>42</x:v>
      </x:c>
      <x:c r="I1261" s="14" t="n">
        <x:f>E2_plantas!J31+G1261</x:f>
        <x:v>46229</x:v>
      </x:c>
      <x:c r="J1261" s="2" t="str">
        <x:v>muerta</x:v>
      </x:c>
      <x:c r="K1261" s="2" t="n">
        <x:v>0</x:v>
      </x:c>
      <x:c r="L1261" s="2" t="n">
        <x:v>0</x:v>
      </x:c>
      <x:c r="M1261" s="2" t="n">
        <x:f>SUM(L$1220:L1261)</x:f>
        <x:v>7</x:v>
      </x:c>
      <x:c r="N1261" s="2" t="n">
        <x:v>0</x:v>
      </x:c>
      <x:c r="O1261" s="2" t="str">
        <x:v>relleno_postmuerte</x:v>
      </x:c>
      <x:c r="P1261" s="2" t="n">
        <x:v>0</x:v>
      </x:c>
      <x:c r="Q1261" s="2" t="str">
        <x:v>simulado_didactico</x:v>
      </x:c>
    </x:row>
    <x:row r="1262" ht="19" customHeight="1">
      <x:c r="A1262" s="2" t="str">
        <x:v>SIM-E2-BB-L0-R05</x:v>
      </x:c>
      <x:c r="B1262" s="2" t="n">
        <x:v>3</x:v>
      </x:c>
      <x:c r="C1262" s="2" t="str">
        <x:v>BB</x:v>
      </x:c>
      <x:c r="D1262" s="2" t="str">
        <x:v>Brevicoryne brassicae</x:v>
      </x:c>
      <x:c r="E1262" s="2" t="str">
        <x:v>L0</x:v>
      </x:c>
      <x:c r="F1262" s="2" t="n">
        <x:v>5</x:v>
      </x:c>
      <x:c r="G1262" s="2" t="n">
        <x:v>0</x:v>
      </x:c>
      <x:c r="H1262" s="2" t="n">
        <x:f>G1262+Supuestos!$C$15</x:f>
        <x:v>1</x:v>
      </x:c>
      <x:c r="I1262" s="14" t="n">
        <x:f>E2_plantas!J32+G1262</x:f>
        <x:v>46188</x:v>
      </x:c>
      <x:c r="J1262" s="2" t="str">
        <x:v>N1</x:v>
      </x:c>
      <x:c r="K1262" s="2" t="n">
        <x:v>1</x:v>
      </x:c>
      <x:c r="L1262" s="2" t="n">
        <x:v>0</x:v>
      </x:c>
      <x:c r="M1262" s="2" t="n">
        <x:f>SUM(L$1262:L1262)</x:f>
        <x:v>0</x:v>
      </x:c>
      <x:c r="N1262" s="2" t="n">
        <x:v>0</x:v>
      </x:c>
      <x:c r="O1262" s="2" t="str">
        <x:v>seguimiento</x:v>
      </x:c>
      <x:c r="P1262" s="2" t="n">
        <x:v>0</x:v>
      </x:c>
      <x:c r="Q1262" s="2" t="str">
        <x:v>simulado_didactico</x:v>
      </x:c>
    </x:row>
    <x:row r="1263" ht="19" customHeight="1">
      <x:c r="A1263" s="2" t="str">
        <x:v>SIM-E2-BB-L0-R05</x:v>
      </x:c>
      <x:c r="B1263" s="2" t="n">
        <x:v>3</x:v>
      </x:c>
      <x:c r="C1263" s="2" t="str">
        <x:v>BB</x:v>
      </x:c>
      <x:c r="D1263" s="2" t="str">
        <x:v>Brevicoryne brassicae</x:v>
      </x:c>
      <x:c r="E1263" s="2" t="str">
        <x:v>L0</x:v>
      </x:c>
      <x:c r="F1263" s="2" t="n">
        <x:v>5</x:v>
      </x:c>
      <x:c r="G1263" s="2" t="n">
        <x:v>1</x:v>
      </x:c>
      <x:c r="H1263" s="2" t="n">
        <x:f>G1263+Supuestos!$C$15</x:f>
        <x:v>2</x:v>
      </x:c>
      <x:c r="I1263" s="14" t="n">
        <x:f>E2_plantas!J32+G1263</x:f>
        <x:v>46189</x:v>
      </x:c>
      <x:c r="J1263" s="2" t="str">
        <x:v>N1</x:v>
      </x:c>
      <x:c r="K1263" s="2" t="n">
        <x:v>1</x:v>
      </x:c>
      <x:c r="L1263" s="2" t="n">
        <x:v>0</x:v>
      </x:c>
      <x:c r="M1263" s="2" t="n">
        <x:f>SUM(L$1262:L1263)</x:f>
        <x:v>0</x:v>
      </x:c>
      <x:c r="N1263" s="2" t="n">
        <x:v>0</x:v>
      </x:c>
      <x:c r="O1263" s="2" t="str">
        <x:v>seguimiento</x:v>
      </x:c>
      <x:c r="P1263" s="2" t="n">
        <x:v>0</x:v>
      </x:c>
      <x:c r="Q1263" s="2" t="str">
        <x:v>simulado_didactico</x:v>
      </x:c>
    </x:row>
    <x:row r="1264" ht="19" customHeight="1">
      <x:c r="A1264" s="2" t="str">
        <x:v>SIM-E2-BB-L0-R05</x:v>
      </x:c>
      <x:c r="B1264" s="2" t="n">
        <x:v>3</x:v>
      </x:c>
      <x:c r="C1264" s="2" t="str">
        <x:v>BB</x:v>
      </x:c>
      <x:c r="D1264" s="2" t="str">
        <x:v>Brevicoryne brassicae</x:v>
      </x:c>
      <x:c r="E1264" s="2" t="str">
        <x:v>L0</x:v>
      </x:c>
      <x:c r="F1264" s="2" t="n">
        <x:v>5</x:v>
      </x:c>
      <x:c r="G1264" s="2" t="n">
        <x:v>2</x:v>
      </x:c>
      <x:c r="H1264" s="2" t="n">
        <x:f>G1264+Supuestos!$C$15</x:f>
        <x:v>3</x:v>
      </x:c>
      <x:c r="I1264" s="14" t="n">
        <x:f>E2_plantas!J32+G1264</x:f>
        <x:v>46190</x:v>
      </x:c>
      <x:c r="J1264" s="2" t="str">
        <x:v>N1</x:v>
      </x:c>
      <x:c r="K1264" s="2" t="n">
        <x:v>1</x:v>
      </x:c>
      <x:c r="L1264" s="2" t="n">
        <x:v>0</x:v>
      </x:c>
      <x:c r="M1264" s="2" t="n">
        <x:f>SUM(L$1262:L1264)</x:f>
        <x:v>0</x:v>
      </x:c>
      <x:c r="N1264" s="2" t="n">
        <x:v>0</x:v>
      </x:c>
      <x:c r="O1264" s="2" t="str">
        <x:v>seguimiento</x:v>
      </x:c>
      <x:c r="P1264" s="2" t="n">
        <x:v>0</x:v>
      </x:c>
      <x:c r="Q1264" s="2" t="str">
        <x:v>simulado_didactico</x:v>
      </x:c>
    </x:row>
    <x:row r="1265" ht="19" customHeight="1">
      <x:c r="A1265" s="2" t="str">
        <x:v>SIM-E2-BB-L0-R05</x:v>
      </x:c>
      <x:c r="B1265" s="2" t="n">
        <x:v>3</x:v>
      </x:c>
      <x:c r="C1265" s="2" t="str">
        <x:v>BB</x:v>
      </x:c>
      <x:c r="D1265" s="2" t="str">
        <x:v>Brevicoryne brassicae</x:v>
      </x:c>
      <x:c r="E1265" s="2" t="str">
        <x:v>L0</x:v>
      </x:c>
      <x:c r="F1265" s="2" t="n">
        <x:v>5</x:v>
      </x:c>
      <x:c r="G1265" s="2" t="n">
        <x:v>3</x:v>
      </x:c>
      <x:c r="H1265" s="2" t="n">
        <x:f>G1265+Supuestos!$C$15</x:f>
        <x:v>4</x:v>
      </x:c>
      <x:c r="I1265" s="14" t="n">
        <x:f>E2_plantas!J32+G1265</x:f>
        <x:v>46191</x:v>
      </x:c>
      <x:c r="J1265" s="2" t="str">
        <x:v>N2</x:v>
      </x:c>
      <x:c r="K1265" s="2" t="n">
        <x:v>1</x:v>
      </x:c>
      <x:c r="L1265" s="2" t="n">
        <x:v>0</x:v>
      </x:c>
      <x:c r="M1265" s="2" t="n">
        <x:f>SUM(L$1262:L1265)</x:f>
        <x:v>0</x:v>
      </x:c>
      <x:c r="N1265" s="2" t="n">
        <x:v>0</x:v>
      </x:c>
      <x:c r="O1265" s="2" t="str">
        <x:v>seguimiento</x:v>
      </x:c>
      <x:c r="P1265" s="2" t="n">
        <x:v>0</x:v>
      </x:c>
      <x:c r="Q1265" s="2" t="str">
        <x:v>simulado_didactico</x:v>
      </x:c>
    </x:row>
    <x:row r="1266" ht="19" customHeight="1">
      <x:c r="A1266" s="2" t="str">
        <x:v>SIM-E2-BB-L0-R05</x:v>
      </x:c>
      <x:c r="B1266" s="2" t="n">
        <x:v>3</x:v>
      </x:c>
      <x:c r="C1266" s="2" t="str">
        <x:v>BB</x:v>
      </x:c>
      <x:c r="D1266" s="2" t="str">
        <x:v>Brevicoryne brassicae</x:v>
      </x:c>
      <x:c r="E1266" s="2" t="str">
        <x:v>L0</x:v>
      </x:c>
      <x:c r="F1266" s="2" t="n">
        <x:v>5</x:v>
      </x:c>
      <x:c r="G1266" s="2" t="n">
        <x:v>4</x:v>
      </x:c>
      <x:c r="H1266" s="2" t="n">
        <x:f>G1266+Supuestos!$C$15</x:f>
        <x:v>5</x:v>
      </x:c>
      <x:c r="I1266" s="14" t="n">
        <x:f>E2_plantas!J32+G1266</x:f>
        <x:v>46192</x:v>
      </x:c>
      <x:c r="J1266" s="2" t="str">
        <x:v>N2</x:v>
      </x:c>
      <x:c r="K1266" s="2" t="n">
        <x:v>1</x:v>
      </x:c>
      <x:c r="L1266" s="2" t="n">
        <x:v>0</x:v>
      </x:c>
      <x:c r="M1266" s="2" t="n">
        <x:f>SUM(L$1262:L1266)</x:f>
        <x:v>0</x:v>
      </x:c>
      <x:c r="N1266" s="2" t="n">
        <x:v>0</x:v>
      </x:c>
      <x:c r="O1266" s="2" t="str">
        <x:v>seguimiento</x:v>
      </x:c>
      <x:c r="P1266" s="2" t="n">
        <x:v>0</x:v>
      </x:c>
      <x:c r="Q1266" s="2" t="str">
        <x:v>simulado_didactico</x:v>
      </x:c>
    </x:row>
    <x:row r="1267" ht="19" customHeight="1">
      <x:c r="A1267" s="2" t="str">
        <x:v>SIM-E2-BB-L0-R05</x:v>
      </x:c>
      <x:c r="B1267" s="2" t="n">
        <x:v>3</x:v>
      </x:c>
      <x:c r="C1267" s="2" t="str">
        <x:v>BB</x:v>
      </x:c>
      <x:c r="D1267" s="2" t="str">
        <x:v>Brevicoryne brassicae</x:v>
      </x:c>
      <x:c r="E1267" s="2" t="str">
        <x:v>L0</x:v>
      </x:c>
      <x:c r="F1267" s="2" t="n">
        <x:v>5</x:v>
      </x:c>
      <x:c r="G1267" s="2" t="n">
        <x:v>5</x:v>
      </x:c>
      <x:c r="H1267" s="2" t="n">
        <x:f>G1267+Supuestos!$C$15</x:f>
        <x:v>6</x:v>
      </x:c>
      <x:c r="I1267" s="14" t="n">
        <x:f>E2_plantas!J32+G1267</x:f>
        <x:v>46193</x:v>
      </x:c>
      <x:c r="J1267" s="2" t="str">
        <x:v>N3</x:v>
      </x:c>
      <x:c r="K1267" s="2" t="n">
        <x:v>1</x:v>
      </x:c>
      <x:c r="L1267" s="2" t="n">
        <x:v>0</x:v>
      </x:c>
      <x:c r="M1267" s="2" t="n">
        <x:f>SUM(L$1262:L1267)</x:f>
        <x:v>0</x:v>
      </x:c>
      <x:c r="N1267" s="2" t="n">
        <x:v>0</x:v>
      </x:c>
      <x:c r="O1267" s="2" t="str">
        <x:v>seguimiento</x:v>
      </x:c>
      <x:c r="P1267" s="2" t="n">
        <x:v>0</x:v>
      </x:c>
      <x:c r="Q1267" s="2" t="str">
        <x:v>simulado_didactico</x:v>
      </x:c>
    </x:row>
    <x:row r="1268" ht="19" customHeight="1">
      <x:c r="A1268" s="2" t="str">
        <x:v>SIM-E2-BB-L0-R05</x:v>
      </x:c>
      <x:c r="B1268" s="2" t="n">
        <x:v>3</x:v>
      </x:c>
      <x:c r="C1268" s="2" t="str">
        <x:v>BB</x:v>
      </x:c>
      <x:c r="D1268" s="2" t="str">
        <x:v>Brevicoryne brassicae</x:v>
      </x:c>
      <x:c r="E1268" s="2" t="str">
        <x:v>L0</x:v>
      </x:c>
      <x:c r="F1268" s="2" t="n">
        <x:v>5</x:v>
      </x:c>
      <x:c r="G1268" s="2" t="n">
        <x:v>6</x:v>
      </x:c>
      <x:c r="H1268" s="2" t="n">
        <x:f>G1268+Supuestos!$C$15</x:f>
        <x:v>7</x:v>
      </x:c>
      <x:c r="I1268" s="14" t="n">
        <x:f>E2_plantas!J32+G1268</x:f>
        <x:v>46194</x:v>
      </x:c>
      <x:c r="J1268" s="2" t="str">
        <x:v>N4</x:v>
      </x:c>
      <x:c r="K1268" s="2" t="n">
        <x:v>1</x:v>
      </x:c>
      <x:c r="L1268" s="2" t="n">
        <x:v>0</x:v>
      </x:c>
      <x:c r="M1268" s="2" t="n">
        <x:f>SUM(L$1262:L1268)</x:f>
        <x:v>0</x:v>
      </x:c>
      <x:c r="N1268" s="2" t="n">
        <x:v>0</x:v>
      </x:c>
      <x:c r="O1268" s="2" t="str">
        <x:v>seguimiento</x:v>
      </x:c>
      <x:c r="P1268" s="2" t="n">
        <x:v>0</x:v>
      </x:c>
      <x:c r="Q1268" s="2" t="str">
        <x:v>simulado_didactico</x:v>
      </x:c>
    </x:row>
    <x:row r="1269" ht="19" customHeight="1">
      <x:c r="A1269" s="2" t="str">
        <x:v>SIM-E2-BB-L0-R05</x:v>
      </x:c>
      <x:c r="B1269" s="2" t="n">
        <x:v>3</x:v>
      </x:c>
      <x:c r="C1269" s="2" t="str">
        <x:v>BB</x:v>
      </x:c>
      <x:c r="D1269" s="2" t="str">
        <x:v>Brevicoryne brassicae</x:v>
      </x:c>
      <x:c r="E1269" s="2" t="str">
        <x:v>L0</x:v>
      </x:c>
      <x:c r="F1269" s="2" t="n">
        <x:v>5</x:v>
      </x:c>
      <x:c r="G1269" s="2" t="n">
        <x:v>7</x:v>
      </x:c>
      <x:c r="H1269" s="2" t="n">
        <x:f>G1269+Supuestos!$C$15</x:f>
        <x:v>8</x:v>
      </x:c>
      <x:c r="I1269" s="14" t="n">
        <x:f>E2_plantas!J32+G1269</x:f>
        <x:v>46195</x:v>
      </x:c>
      <x:c r="J1269" s="2" t="str">
        <x:v>N4</x:v>
      </x:c>
      <x:c r="K1269" s="2" t="n">
        <x:v>1</x:v>
      </x:c>
      <x:c r="L1269" s="2" t="n">
        <x:v>0</x:v>
      </x:c>
      <x:c r="M1269" s="2" t="n">
        <x:f>SUM(L$1262:L1269)</x:f>
        <x:v>0</x:v>
      </x:c>
      <x:c r="N1269" s="2" t="n">
        <x:v>0</x:v>
      </x:c>
      <x:c r="O1269" s="2" t="str">
        <x:v>seguimiento</x:v>
      </x:c>
      <x:c r="P1269" s="2" t="n">
        <x:v>0</x:v>
      </x:c>
      <x:c r="Q1269" s="2" t="str">
        <x:v>simulado_didactico</x:v>
      </x:c>
    </x:row>
    <x:row r="1270" ht="19" customHeight="1">
      <x:c r="A1270" s="2" t="str">
        <x:v>SIM-E2-BB-L0-R05</x:v>
      </x:c>
      <x:c r="B1270" s="2" t="n">
        <x:v>3</x:v>
      </x:c>
      <x:c r="C1270" s="2" t="str">
        <x:v>BB</x:v>
      </x:c>
      <x:c r="D1270" s="2" t="str">
        <x:v>Brevicoryne brassicae</x:v>
      </x:c>
      <x:c r="E1270" s="2" t="str">
        <x:v>L0</x:v>
      </x:c>
      <x:c r="F1270" s="2" t="n">
        <x:v>5</x:v>
      </x:c>
      <x:c r="G1270" s="2" t="n">
        <x:v>8</x:v>
      </x:c>
      <x:c r="H1270" s="2" t="n">
        <x:f>G1270+Supuestos!$C$15</x:f>
        <x:v>9</x:v>
      </x:c>
      <x:c r="I1270" s="14" t="n">
        <x:f>E2_plantas!J32+G1270</x:f>
        <x:v>46196</x:v>
      </x:c>
      <x:c r="J1270" s="2" t="str">
        <x:v>adulta</x:v>
      </x:c>
      <x:c r="K1270" s="2" t="n">
        <x:v>1</x:v>
      </x:c>
      <x:c r="L1270" s="2" t="n">
        <x:v>0</x:v>
      </x:c>
      <x:c r="M1270" s="2" t="n">
        <x:f>SUM(L$1262:L1270)</x:f>
        <x:v>0</x:v>
      </x:c>
      <x:c r="N1270" s="2" t="n">
        <x:v>0</x:v>
      </x:c>
      <x:c r="O1270" s="2" t="str">
        <x:v>seguimiento</x:v>
      </x:c>
      <x:c r="P1270" s="2" t="n">
        <x:v>0</x:v>
      </x:c>
      <x:c r="Q1270" s="2" t="str">
        <x:v>simulado_didactico</x:v>
      </x:c>
    </x:row>
    <x:row r="1271" ht="19" customHeight="1">
      <x:c r="A1271" s="2" t="str">
        <x:v>SIM-E2-BB-L0-R05</x:v>
      </x:c>
      <x:c r="B1271" s="2" t="n">
        <x:v>3</x:v>
      </x:c>
      <x:c r="C1271" s="2" t="str">
        <x:v>BB</x:v>
      </x:c>
      <x:c r="D1271" s="2" t="str">
        <x:v>Brevicoryne brassicae</x:v>
      </x:c>
      <x:c r="E1271" s="2" t="str">
        <x:v>L0</x:v>
      </x:c>
      <x:c r="F1271" s="2" t="n">
        <x:v>5</x:v>
      </x:c>
      <x:c r="G1271" s="2" t="n">
        <x:v>9</x:v>
      </x:c>
      <x:c r="H1271" s="2" t="n">
        <x:f>G1271+Supuestos!$C$15</x:f>
        <x:v>10</x:v>
      </x:c>
      <x:c r="I1271" s="14" t="n">
        <x:f>E2_plantas!J32+G1271</x:f>
        <x:v>46197</x:v>
      </x:c>
      <x:c r="J1271" s="2" t="str">
        <x:v>adulta</x:v>
      </x:c>
      <x:c r="K1271" s="2" t="n">
        <x:v>1</x:v>
      </x:c>
      <x:c r="L1271" s="2" t="n">
        <x:v>4</x:v>
      </x:c>
      <x:c r="M1271" s="2" t="n">
        <x:f>SUM(L$1262:L1271)</x:f>
        <x:v>4</x:v>
      </x:c>
      <x:c r="N1271" s="2" t="n">
        <x:v>0</x:v>
      </x:c>
      <x:c r="O1271" s="2" t="str">
        <x:v>seguimiento</x:v>
      </x:c>
      <x:c r="P1271" s="2" t="n">
        <x:v>0</x:v>
      </x:c>
      <x:c r="Q1271" s="2" t="str">
        <x:v>simulado_didactico</x:v>
      </x:c>
    </x:row>
    <x:row r="1272" ht="19" customHeight="1">
      <x:c r="A1272" s="2" t="str">
        <x:v>SIM-E2-BB-L0-R05</x:v>
      </x:c>
      <x:c r="B1272" s="2" t="n">
        <x:v>3</x:v>
      </x:c>
      <x:c r="C1272" s="2" t="str">
        <x:v>BB</x:v>
      </x:c>
      <x:c r="D1272" s="2" t="str">
        <x:v>Brevicoryne brassicae</x:v>
      </x:c>
      <x:c r="E1272" s="2" t="str">
        <x:v>L0</x:v>
      </x:c>
      <x:c r="F1272" s="2" t="n">
        <x:v>5</x:v>
      </x:c>
      <x:c r="G1272" s="2" t="n">
        <x:v>10</x:v>
      </x:c>
      <x:c r="H1272" s="2" t="n">
        <x:f>G1272+Supuestos!$C$15</x:f>
        <x:v>11</x:v>
      </x:c>
      <x:c r="I1272" s="14" t="n">
        <x:f>E2_plantas!J32+G1272</x:f>
        <x:v>46198</x:v>
      </x:c>
      <x:c r="J1272" s="2" t="str">
        <x:v>adulta</x:v>
      </x:c>
      <x:c r="K1272" s="2" t="n">
        <x:v>1</x:v>
      </x:c>
      <x:c r="L1272" s="2" t="n">
        <x:v>3</x:v>
      </x:c>
      <x:c r="M1272" s="2" t="n">
        <x:f>SUM(L$1262:L1272)</x:f>
        <x:v>7</x:v>
      </x:c>
      <x:c r="N1272" s="2" t="n">
        <x:v>0</x:v>
      </x:c>
      <x:c r="O1272" s="2" t="str">
        <x:v>seguimiento</x:v>
      </x:c>
      <x:c r="P1272" s="2" t="n">
        <x:v>0</x:v>
      </x:c>
      <x:c r="Q1272" s="2" t="str">
        <x:v>simulado_didactico</x:v>
      </x:c>
    </x:row>
    <x:row r="1273" ht="19" customHeight="1">
      <x:c r="A1273" s="2" t="str">
        <x:v>SIM-E2-BB-L0-R05</x:v>
      </x:c>
      <x:c r="B1273" s="2" t="n">
        <x:v>3</x:v>
      </x:c>
      <x:c r="C1273" s="2" t="str">
        <x:v>BB</x:v>
      </x:c>
      <x:c r="D1273" s="2" t="str">
        <x:v>Brevicoryne brassicae</x:v>
      </x:c>
      <x:c r="E1273" s="2" t="str">
        <x:v>L0</x:v>
      </x:c>
      <x:c r="F1273" s="2" t="n">
        <x:v>5</x:v>
      </x:c>
      <x:c r="G1273" s="2" t="n">
        <x:v>11</x:v>
      </x:c>
      <x:c r="H1273" s="2" t="n">
        <x:f>G1273+Supuestos!$C$15</x:f>
        <x:v>12</x:v>
      </x:c>
      <x:c r="I1273" s="14" t="n">
        <x:f>E2_plantas!J32+G1273</x:f>
        <x:v>46199</x:v>
      </x:c>
      <x:c r="J1273" s="2" t="str">
        <x:v>adulta</x:v>
      </x:c>
      <x:c r="K1273" s="2" t="n">
        <x:v>1</x:v>
      </x:c>
      <x:c r="L1273" s="2" t="n">
        <x:v>6</x:v>
      </x:c>
      <x:c r="M1273" s="2" t="n">
        <x:f>SUM(L$1262:L1273)</x:f>
        <x:v>13</x:v>
      </x:c>
      <x:c r="N1273" s="2" t="n">
        <x:v>0</x:v>
      </x:c>
      <x:c r="O1273" s="2" t="str">
        <x:v>seguimiento</x:v>
      </x:c>
      <x:c r="P1273" s="2" t="n">
        <x:v>0</x:v>
      </x:c>
      <x:c r="Q1273" s="2" t="str">
        <x:v>simulado_didactico</x:v>
      </x:c>
    </x:row>
    <x:row r="1274" ht="19" customHeight="1">
      <x:c r="A1274" s="2" t="str">
        <x:v>SIM-E2-BB-L0-R05</x:v>
      </x:c>
      <x:c r="B1274" s="2" t="n">
        <x:v>3</x:v>
      </x:c>
      <x:c r="C1274" s="2" t="str">
        <x:v>BB</x:v>
      </x:c>
      <x:c r="D1274" s="2" t="str">
        <x:v>Brevicoryne brassicae</x:v>
      </x:c>
      <x:c r="E1274" s="2" t="str">
        <x:v>L0</x:v>
      </x:c>
      <x:c r="F1274" s="2" t="n">
        <x:v>5</x:v>
      </x:c>
      <x:c r="G1274" s="2" t="n">
        <x:v>12</x:v>
      </x:c>
      <x:c r="H1274" s="2" t="n">
        <x:f>G1274+Supuestos!$C$15</x:f>
        <x:v>13</x:v>
      </x:c>
      <x:c r="I1274" s="14" t="n">
        <x:f>E2_plantas!J32+G1274</x:f>
        <x:v>46200</x:v>
      </x:c>
      <x:c r="J1274" s="2" t="str">
        <x:v>adulta</x:v>
      </x:c>
      <x:c r="K1274" s="2" t="n">
        <x:v>1</x:v>
      </x:c>
      <x:c r="L1274" s="2" t="n">
        <x:v>1</x:v>
      </x:c>
      <x:c r="M1274" s="2" t="n">
        <x:f>SUM(L$1262:L1274)</x:f>
        <x:v>14</x:v>
      </x:c>
      <x:c r="N1274" s="2" t="n">
        <x:v>0</x:v>
      </x:c>
      <x:c r="O1274" s="2" t="str">
        <x:v>seguimiento</x:v>
      </x:c>
      <x:c r="P1274" s="2" t="n">
        <x:v>0</x:v>
      </x:c>
      <x:c r="Q1274" s="2" t="str">
        <x:v>simulado_didactico</x:v>
      </x:c>
    </x:row>
    <x:row r="1275" ht="19" customHeight="1">
      <x:c r="A1275" s="2" t="str">
        <x:v>SIM-E2-BB-L0-R05</x:v>
      </x:c>
      <x:c r="B1275" s="2" t="n">
        <x:v>3</x:v>
      </x:c>
      <x:c r="C1275" s="2" t="str">
        <x:v>BB</x:v>
      </x:c>
      <x:c r="D1275" s="2" t="str">
        <x:v>Brevicoryne brassicae</x:v>
      </x:c>
      <x:c r="E1275" s="2" t="str">
        <x:v>L0</x:v>
      </x:c>
      <x:c r="F1275" s="2" t="n">
        <x:v>5</x:v>
      </x:c>
      <x:c r="G1275" s="2" t="n">
        <x:v>13</x:v>
      </x:c>
      <x:c r="H1275" s="2" t="n">
        <x:f>G1275+Supuestos!$C$15</x:f>
        <x:v>14</x:v>
      </x:c>
      <x:c r="I1275" s="14" t="n">
        <x:f>E2_plantas!J32+G1275</x:f>
        <x:v>46201</x:v>
      </x:c>
      <x:c r="J1275" s="2" t="str">
        <x:v>adulta</x:v>
      </x:c>
      <x:c r="K1275" s="2" t="n">
        <x:v>1</x:v>
      </x:c>
      <x:c r="L1275" s="2" t="n">
        <x:v>13</x:v>
      </x:c>
      <x:c r="M1275" s="2" t="n">
        <x:f>SUM(L$1262:L1275)</x:f>
        <x:v>27</x:v>
      </x:c>
      <x:c r="N1275" s="2" t="n">
        <x:v>0</x:v>
      </x:c>
      <x:c r="O1275" s="2" t="str">
        <x:v>seguimiento</x:v>
      </x:c>
      <x:c r="P1275" s="2" t="n">
        <x:v>0</x:v>
      </x:c>
      <x:c r="Q1275" s="2" t="str">
        <x:v>simulado_didactico</x:v>
      </x:c>
    </x:row>
    <x:row r="1276" ht="19" customHeight="1">
      <x:c r="A1276" s="2" t="str">
        <x:v>SIM-E2-BB-L0-R05</x:v>
      </x:c>
      <x:c r="B1276" s="2" t="n">
        <x:v>3</x:v>
      </x:c>
      <x:c r="C1276" s="2" t="str">
        <x:v>BB</x:v>
      </x:c>
      <x:c r="D1276" s="2" t="str">
        <x:v>Brevicoryne brassicae</x:v>
      </x:c>
      <x:c r="E1276" s="2" t="str">
        <x:v>L0</x:v>
      </x:c>
      <x:c r="F1276" s="2" t="n">
        <x:v>5</x:v>
      </x:c>
      <x:c r="G1276" s="2" t="n">
        <x:v>14</x:v>
      </x:c>
      <x:c r="H1276" s="2" t="n">
        <x:f>G1276+Supuestos!$C$15</x:f>
        <x:v>15</x:v>
      </x:c>
      <x:c r="I1276" s="14" t="n">
        <x:f>E2_plantas!J32+G1276</x:f>
        <x:v>46202</x:v>
      </x:c>
      <x:c r="J1276" s="2" t="str">
        <x:v>adulta</x:v>
      </x:c>
      <x:c r="K1276" s="2" t="n">
        <x:v>1</x:v>
      </x:c>
      <x:c r="L1276" s="2" t="n">
        <x:v>4</x:v>
      </x:c>
      <x:c r="M1276" s="2" t="n">
        <x:f>SUM(L$1262:L1276)</x:f>
        <x:v>31</x:v>
      </x:c>
      <x:c r="N1276" s="2" t="n">
        <x:v>0</x:v>
      </x:c>
      <x:c r="O1276" s="2" t="str">
        <x:v>seguimiento</x:v>
      </x:c>
      <x:c r="P1276" s="2" t="n">
        <x:v>0</x:v>
      </x:c>
      <x:c r="Q1276" s="2" t="str">
        <x:v>simulado_didactico</x:v>
      </x:c>
    </x:row>
    <x:row r="1277" ht="19" customHeight="1">
      <x:c r="A1277" s="2" t="str">
        <x:v>SIM-E2-BB-L0-R05</x:v>
      </x:c>
      <x:c r="B1277" s="2" t="n">
        <x:v>3</x:v>
      </x:c>
      <x:c r="C1277" s="2" t="str">
        <x:v>BB</x:v>
      </x:c>
      <x:c r="D1277" s="2" t="str">
        <x:v>Brevicoryne brassicae</x:v>
      </x:c>
      <x:c r="E1277" s="2" t="str">
        <x:v>L0</x:v>
      </x:c>
      <x:c r="F1277" s="2" t="n">
        <x:v>5</x:v>
      </x:c>
      <x:c r="G1277" s="2" t="n">
        <x:v>15</x:v>
      </x:c>
      <x:c r="H1277" s="2" t="n">
        <x:f>G1277+Supuestos!$C$15</x:f>
        <x:v>16</x:v>
      </x:c>
      <x:c r="I1277" s="14" t="n">
        <x:f>E2_plantas!J32+G1277</x:f>
        <x:v>46203</x:v>
      </x:c>
      <x:c r="J1277" s="2" t="str">
        <x:v>adulta</x:v>
      </x:c>
      <x:c r="K1277" s="2" t="n">
        <x:v>1</x:v>
      </x:c>
      <x:c r="L1277" s="2" t="n">
        <x:v>9</x:v>
      </x:c>
      <x:c r="M1277" s="2" t="n">
        <x:f>SUM(L$1262:L1277)</x:f>
        <x:v>40</x:v>
      </x:c>
      <x:c r="N1277" s="2" t="n">
        <x:v>0</x:v>
      </x:c>
      <x:c r="O1277" s="2" t="str">
        <x:v>seguimiento</x:v>
      </x:c>
      <x:c r="P1277" s="2" t="n">
        <x:v>0</x:v>
      </x:c>
      <x:c r="Q1277" s="2" t="str">
        <x:v>simulado_didactico</x:v>
      </x:c>
    </x:row>
    <x:row r="1278" ht="19" customHeight="1">
      <x:c r="A1278" s="2" t="str">
        <x:v>SIM-E2-BB-L0-R05</x:v>
      </x:c>
      <x:c r="B1278" s="2" t="n">
        <x:v>3</x:v>
      </x:c>
      <x:c r="C1278" s="2" t="str">
        <x:v>BB</x:v>
      </x:c>
      <x:c r="D1278" s="2" t="str">
        <x:v>Brevicoryne brassicae</x:v>
      </x:c>
      <x:c r="E1278" s="2" t="str">
        <x:v>L0</x:v>
      </x:c>
      <x:c r="F1278" s="2" t="n">
        <x:v>5</x:v>
      </x:c>
      <x:c r="G1278" s="2" t="n">
        <x:v>16</x:v>
      </x:c>
      <x:c r="H1278" s="2" t="n">
        <x:f>G1278+Supuestos!$C$15</x:f>
        <x:v>17</x:v>
      </x:c>
      <x:c r="I1278" s="14" t="n">
        <x:f>E2_plantas!J32+G1278</x:f>
        <x:v>46204</x:v>
      </x:c>
      <x:c r="J1278" s="2" t="str">
        <x:v>adulta</x:v>
      </x:c>
      <x:c r="K1278" s="2" t="n">
        <x:v>1</x:v>
      </x:c>
      <x:c r="L1278" s="2" t="n">
        <x:v>3</x:v>
      </x:c>
      <x:c r="M1278" s="2" t="n">
        <x:f>SUM(L$1262:L1278)</x:f>
        <x:v>43</x:v>
      </x:c>
      <x:c r="N1278" s="2" t="n">
        <x:v>0</x:v>
      </x:c>
      <x:c r="O1278" s="2" t="str">
        <x:v>seguimiento</x:v>
      </x:c>
      <x:c r="P1278" s="2" t="n">
        <x:v>0</x:v>
      </x:c>
      <x:c r="Q1278" s="2" t="str">
        <x:v>simulado_didactico</x:v>
      </x:c>
    </x:row>
    <x:row r="1279" ht="19" customHeight="1">
      <x:c r="A1279" s="2" t="str">
        <x:v>SIM-E2-BB-L0-R05</x:v>
      </x:c>
      <x:c r="B1279" s="2" t="n">
        <x:v>3</x:v>
      </x:c>
      <x:c r="C1279" s="2" t="str">
        <x:v>BB</x:v>
      </x:c>
      <x:c r="D1279" s="2" t="str">
        <x:v>Brevicoryne brassicae</x:v>
      </x:c>
      <x:c r="E1279" s="2" t="str">
        <x:v>L0</x:v>
      </x:c>
      <x:c r="F1279" s="2" t="n">
        <x:v>5</x:v>
      </x:c>
      <x:c r="G1279" s="2" t="n">
        <x:v>17</x:v>
      </x:c>
      <x:c r="H1279" s="2" t="n">
        <x:f>G1279+Supuestos!$C$15</x:f>
        <x:v>18</x:v>
      </x:c>
      <x:c r="I1279" s="14" t="n">
        <x:f>E2_plantas!J32+G1279</x:f>
        <x:v>46205</x:v>
      </x:c>
      <x:c r="J1279" s="2" t="str">
        <x:v>adulta</x:v>
      </x:c>
      <x:c r="K1279" s="2" t="n">
        <x:v>1</x:v>
      </x:c>
      <x:c r="L1279" s="2" t="n">
        <x:v>3</x:v>
      </x:c>
      <x:c r="M1279" s="2" t="n">
        <x:f>SUM(L$1262:L1279)</x:f>
        <x:v>46</x:v>
      </x:c>
      <x:c r="N1279" s="2" t="n">
        <x:v>0</x:v>
      </x:c>
      <x:c r="O1279" s="2" t="str">
        <x:v>seguimiento</x:v>
      </x:c>
      <x:c r="P1279" s="2" t="n">
        <x:v>0</x:v>
      </x:c>
      <x:c r="Q1279" s="2" t="str">
        <x:v>simulado_didactico</x:v>
      </x:c>
    </x:row>
    <x:row r="1280" ht="19" customHeight="1">
      <x:c r="A1280" s="2" t="str">
        <x:v>SIM-E2-BB-L0-R05</x:v>
      </x:c>
      <x:c r="B1280" s="2" t="n">
        <x:v>3</x:v>
      </x:c>
      <x:c r="C1280" s="2" t="str">
        <x:v>BB</x:v>
      </x:c>
      <x:c r="D1280" s="2" t="str">
        <x:v>Brevicoryne brassicae</x:v>
      </x:c>
      <x:c r="E1280" s="2" t="str">
        <x:v>L0</x:v>
      </x:c>
      <x:c r="F1280" s="2" t="n">
        <x:v>5</x:v>
      </x:c>
      <x:c r="G1280" s="2" t="n">
        <x:v>18</x:v>
      </x:c>
      <x:c r="H1280" s="2" t="n">
        <x:f>G1280+Supuestos!$C$15</x:f>
        <x:v>19</x:v>
      </x:c>
      <x:c r="I1280" s="14" t="n">
        <x:f>E2_plantas!J32+G1280</x:f>
        <x:v>46206</x:v>
      </x:c>
      <x:c r="J1280" s="2" t="str">
        <x:v>adulta</x:v>
      </x:c>
      <x:c r="K1280" s="2" t="n">
        <x:v>1</x:v>
      </x:c>
      <x:c r="L1280" s="2" t="n">
        <x:v>7</x:v>
      </x:c>
      <x:c r="M1280" s="2" t="n">
        <x:f>SUM(L$1262:L1280)</x:f>
        <x:v>53</x:v>
      </x:c>
      <x:c r="N1280" s="2" t="n">
        <x:v>0</x:v>
      </x:c>
      <x:c r="O1280" s="2" t="str">
        <x:v>seguimiento</x:v>
      </x:c>
      <x:c r="P1280" s="2" t="n">
        <x:v>0</x:v>
      </x:c>
      <x:c r="Q1280" s="2" t="str">
        <x:v>simulado_didactico</x:v>
      </x:c>
    </x:row>
    <x:row r="1281" ht="19" customHeight="1">
      <x:c r="A1281" s="2" t="str">
        <x:v>SIM-E2-BB-L0-R05</x:v>
      </x:c>
      <x:c r="B1281" s="2" t="n">
        <x:v>3</x:v>
      </x:c>
      <x:c r="C1281" s="2" t="str">
        <x:v>BB</x:v>
      </x:c>
      <x:c r="D1281" s="2" t="str">
        <x:v>Brevicoryne brassicae</x:v>
      </x:c>
      <x:c r="E1281" s="2" t="str">
        <x:v>L0</x:v>
      </x:c>
      <x:c r="F1281" s="2" t="n">
        <x:v>5</x:v>
      </x:c>
      <x:c r="G1281" s="2" t="n">
        <x:v>19</x:v>
      </x:c>
      <x:c r="H1281" s="2" t="n">
        <x:f>G1281+Supuestos!$C$15</x:f>
        <x:v>20</x:v>
      </x:c>
      <x:c r="I1281" s="14" t="n">
        <x:f>E2_plantas!J32+G1281</x:f>
        <x:v>46207</x:v>
      </x:c>
      <x:c r="J1281" s="2" t="str">
        <x:v>adulta</x:v>
      </x:c>
      <x:c r="K1281" s="2" t="n">
        <x:v>1</x:v>
      </x:c>
      <x:c r="L1281" s="2" t="n">
        <x:v>3</x:v>
      </x:c>
      <x:c r="M1281" s="2" t="n">
        <x:f>SUM(L$1262:L1281)</x:f>
        <x:v>56</x:v>
      </x:c>
      <x:c r="N1281" s="2" t="n">
        <x:v>0</x:v>
      </x:c>
      <x:c r="O1281" s="2" t="str">
        <x:v>seguimiento</x:v>
      </x:c>
      <x:c r="P1281" s="2" t="n">
        <x:v>0</x:v>
      </x:c>
      <x:c r="Q1281" s="2" t="str">
        <x:v>simulado_didactico</x:v>
      </x:c>
    </x:row>
    <x:row r="1282" ht="19" customHeight="1">
      <x:c r="A1282" s="2" t="str">
        <x:v>SIM-E2-BB-L0-R05</x:v>
      </x:c>
      <x:c r="B1282" s="2" t="n">
        <x:v>3</x:v>
      </x:c>
      <x:c r="C1282" s="2" t="str">
        <x:v>BB</x:v>
      </x:c>
      <x:c r="D1282" s="2" t="str">
        <x:v>Brevicoryne brassicae</x:v>
      </x:c>
      <x:c r="E1282" s="2" t="str">
        <x:v>L0</x:v>
      </x:c>
      <x:c r="F1282" s="2" t="n">
        <x:v>5</x:v>
      </x:c>
      <x:c r="G1282" s="2" t="n">
        <x:v>20</x:v>
      </x:c>
      <x:c r="H1282" s="2" t="n">
        <x:f>G1282+Supuestos!$C$15</x:f>
        <x:v>21</x:v>
      </x:c>
      <x:c r="I1282" s="14" t="n">
        <x:f>E2_plantas!J32+G1282</x:f>
        <x:v>46208</x:v>
      </x:c>
      <x:c r="J1282" s="2" t="str">
        <x:v>adulta</x:v>
      </x:c>
      <x:c r="K1282" s="2" t="n">
        <x:v>1</x:v>
      </x:c>
      <x:c r="L1282" s="2" t="n">
        <x:v>5</x:v>
      </x:c>
      <x:c r="M1282" s="2" t="n">
        <x:f>SUM(L$1262:L1282)</x:f>
        <x:v>61</x:v>
      </x:c>
      <x:c r="N1282" s="2" t="n">
        <x:v>0</x:v>
      </x:c>
      <x:c r="O1282" s="2" t="str">
        <x:v>seguimiento</x:v>
      </x:c>
      <x:c r="P1282" s="2" t="n">
        <x:v>0</x:v>
      </x:c>
      <x:c r="Q1282" s="2" t="str">
        <x:v>simulado_didactico</x:v>
      </x:c>
    </x:row>
    <x:row r="1283" ht="19" customHeight="1">
      <x:c r="A1283" s="2" t="str">
        <x:v>SIM-E2-BB-L0-R05</x:v>
      </x:c>
      <x:c r="B1283" s="2" t="n">
        <x:v>3</x:v>
      </x:c>
      <x:c r="C1283" s="2" t="str">
        <x:v>BB</x:v>
      </x:c>
      <x:c r="D1283" s="2" t="str">
        <x:v>Brevicoryne brassicae</x:v>
      </x:c>
      <x:c r="E1283" s="2" t="str">
        <x:v>L0</x:v>
      </x:c>
      <x:c r="F1283" s="2" t="n">
        <x:v>5</x:v>
      </x:c>
      <x:c r="G1283" s="2" t="n">
        <x:v>21</x:v>
      </x:c>
      <x:c r="H1283" s="2" t="n">
        <x:f>G1283+Supuestos!$C$15</x:f>
        <x:v>22</x:v>
      </x:c>
      <x:c r="I1283" s="14" t="n">
        <x:f>E2_plantas!J32+G1283</x:f>
        <x:v>46209</x:v>
      </x:c>
      <x:c r="J1283" s="2" t="str">
        <x:v>adulta</x:v>
      </x:c>
      <x:c r="K1283" s="2" t="n">
        <x:v>1</x:v>
      </x:c>
      <x:c r="L1283" s="2" t="n">
        <x:v>3</x:v>
      </x:c>
      <x:c r="M1283" s="2" t="n">
        <x:f>SUM(L$1262:L1283)</x:f>
        <x:v>64</x:v>
      </x:c>
      <x:c r="N1283" s="2" t="n">
        <x:v>0</x:v>
      </x:c>
      <x:c r="O1283" s="2" t="str">
        <x:v>seguimiento</x:v>
      </x:c>
      <x:c r="P1283" s="2" t="n">
        <x:v>0</x:v>
      </x:c>
      <x:c r="Q1283" s="2" t="str">
        <x:v>simulado_didactico</x:v>
      </x:c>
    </x:row>
    <x:row r="1284" ht="19" customHeight="1">
      <x:c r="A1284" s="2" t="str">
        <x:v>SIM-E2-BB-L0-R05</x:v>
      </x:c>
      <x:c r="B1284" s="2" t="n">
        <x:v>3</x:v>
      </x:c>
      <x:c r="C1284" s="2" t="str">
        <x:v>BB</x:v>
      </x:c>
      <x:c r="D1284" s="2" t="str">
        <x:v>Brevicoryne brassicae</x:v>
      </x:c>
      <x:c r="E1284" s="2" t="str">
        <x:v>L0</x:v>
      </x:c>
      <x:c r="F1284" s="2" t="n">
        <x:v>5</x:v>
      </x:c>
      <x:c r="G1284" s="2" t="n">
        <x:v>22</x:v>
      </x:c>
      <x:c r="H1284" s="2" t="n">
        <x:f>G1284+Supuestos!$C$15</x:f>
        <x:v>23</x:v>
      </x:c>
      <x:c r="I1284" s="14" t="n">
        <x:f>E2_plantas!J32+G1284</x:f>
        <x:v>46210</x:v>
      </x:c>
      <x:c r="J1284" s="2" t="str">
        <x:v>adulta</x:v>
      </x:c>
      <x:c r="K1284" s="2" t="n">
        <x:v>1</x:v>
      </x:c>
      <x:c r="L1284" s="2" t="n">
        <x:v>4</x:v>
      </x:c>
      <x:c r="M1284" s="2" t="n">
        <x:f>SUM(L$1262:L1284)</x:f>
        <x:v>68</x:v>
      </x:c>
      <x:c r="N1284" s="2" t="n">
        <x:v>0</x:v>
      </x:c>
      <x:c r="O1284" s="2" t="str">
        <x:v>seguimiento</x:v>
      </x:c>
      <x:c r="P1284" s="2" t="n">
        <x:v>0</x:v>
      </x:c>
      <x:c r="Q1284" s="2" t="str">
        <x:v>simulado_didactico</x:v>
      </x:c>
    </x:row>
    <x:row r="1285" ht="19" customHeight="1">
      <x:c r="A1285" s="2" t="str">
        <x:v>SIM-E2-BB-L0-R05</x:v>
      </x:c>
      <x:c r="B1285" s="2" t="n">
        <x:v>3</x:v>
      </x:c>
      <x:c r="C1285" s="2" t="str">
        <x:v>BB</x:v>
      </x:c>
      <x:c r="D1285" s="2" t="str">
        <x:v>Brevicoryne brassicae</x:v>
      </x:c>
      <x:c r="E1285" s="2" t="str">
        <x:v>L0</x:v>
      </x:c>
      <x:c r="F1285" s="2" t="n">
        <x:v>5</x:v>
      </x:c>
      <x:c r="G1285" s="2" t="n">
        <x:v>23</x:v>
      </x:c>
      <x:c r="H1285" s="2" t="n">
        <x:f>G1285+Supuestos!$C$15</x:f>
        <x:v>24</x:v>
      </x:c>
      <x:c r="I1285" s="14" t="n">
        <x:f>E2_plantas!J32+G1285</x:f>
        <x:v>46211</x:v>
      </x:c>
      <x:c r="J1285" s="2" t="str">
        <x:v>adulta</x:v>
      </x:c>
      <x:c r="K1285" s="2" t="n">
        <x:v>1</x:v>
      </x:c>
      <x:c r="L1285" s="2" t="n">
        <x:v>3</x:v>
      </x:c>
      <x:c r="M1285" s="2" t="n">
        <x:f>SUM(L$1262:L1285)</x:f>
        <x:v>71</x:v>
      </x:c>
      <x:c r="N1285" s="2" t="n">
        <x:v>0</x:v>
      </x:c>
      <x:c r="O1285" s="2" t="str">
        <x:v>seguimiento</x:v>
      </x:c>
      <x:c r="P1285" s="2" t="n">
        <x:v>0</x:v>
      </x:c>
      <x:c r="Q1285" s="2" t="str">
        <x:v>simulado_didactico</x:v>
      </x:c>
    </x:row>
    <x:row r="1286" ht="19" customHeight="1">
      <x:c r="A1286" s="2" t="str">
        <x:v>SIM-E2-BB-L0-R05</x:v>
      </x:c>
      <x:c r="B1286" s="2" t="n">
        <x:v>3</x:v>
      </x:c>
      <x:c r="C1286" s="2" t="str">
        <x:v>BB</x:v>
      </x:c>
      <x:c r="D1286" s="2" t="str">
        <x:v>Brevicoryne brassicae</x:v>
      </x:c>
      <x:c r="E1286" s="2" t="str">
        <x:v>L0</x:v>
      </x:c>
      <x:c r="F1286" s="2" t="n">
        <x:v>5</x:v>
      </x:c>
      <x:c r="G1286" s="2" t="n">
        <x:v>24</x:v>
      </x:c>
      <x:c r="H1286" s="2" t="n">
        <x:f>G1286+Supuestos!$C$15</x:f>
        <x:v>25</x:v>
      </x:c>
      <x:c r="I1286" s="14" t="n">
        <x:f>E2_plantas!J32+G1286</x:f>
        <x:v>46212</x:v>
      </x:c>
      <x:c r="J1286" s="2" t="str">
        <x:v>adulta</x:v>
      </x:c>
      <x:c r="K1286" s="2" t="n">
        <x:v>1</x:v>
      </x:c>
      <x:c r="L1286" s="2" t="n">
        <x:v>5</x:v>
      </x:c>
      <x:c r="M1286" s="2" t="n">
        <x:f>SUM(L$1262:L1286)</x:f>
        <x:v>76</x:v>
      </x:c>
      <x:c r="N1286" s="2" t="n">
        <x:v>0</x:v>
      </x:c>
      <x:c r="O1286" s="2" t="str">
        <x:v>seguimiento</x:v>
      </x:c>
      <x:c r="P1286" s="2" t="n">
        <x:v>0</x:v>
      </x:c>
      <x:c r="Q1286" s="2" t="str">
        <x:v>simulado_didactico</x:v>
      </x:c>
    </x:row>
    <x:row r="1287" ht="19" customHeight="1">
      <x:c r="A1287" s="2" t="str">
        <x:v>SIM-E2-BB-L0-R05</x:v>
      </x:c>
      <x:c r="B1287" s="2" t="n">
        <x:v>3</x:v>
      </x:c>
      <x:c r="C1287" s="2" t="str">
        <x:v>BB</x:v>
      </x:c>
      <x:c r="D1287" s="2" t="str">
        <x:v>Brevicoryne brassicae</x:v>
      </x:c>
      <x:c r="E1287" s="2" t="str">
        <x:v>L0</x:v>
      </x:c>
      <x:c r="F1287" s="2" t="n">
        <x:v>5</x:v>
      </x:c>
      <x:c r="G1287" s="2" t="n">
        <x:v>25</x:v>
      </x:c>
      <x:c r="H1287" s="2" t="n">
        <x:f>G1287+Supuestos!$C$15</x:f>
        <x:v>26</x:v>
      </x:c>
      <x:c r="I1287" s="14" t="n">
        <x:f>E2_plantas!J32+G1287</x:f>
        <x:v>46213</x:v>
      </x:c>
      <x:c r="J1287" s="2" t="str">
        <x:v>adulta</x:v>
      </x:c>
      <x:c r="K1287" s="2" t="n">
        <x:v>1</x:v>
      </x:c>
      <x:c r="L1287" s="2" t="n">
        <x:v>3</x:v>
      </x:c>
      <x:c r="M1287" s="2" t="n">
        <x:f>SUM(L$1262:L1287)</x:f>
        <x:v>79</x:v>
      </x:c>
      <x:c r="N1287" s="2" t="n">
        <x:v>0</x:v>
      </x:c>
      <x:c r="O1287" s="2" t="str">
        <x:v>seguimiento</x:v>
      </x:c>
      <x:c r="P1287" s="2" t="n">
        <x:v>0</x:v>
      </x:c>
      <x:c r="Q1287" s="2" t="str">
        <x:v>simulado_didactico</x:v>
      </x:c>
    </x:row>
    <x:row r="1288" ht="19" customHeight="1">
      <x:c r="A1288" s="2" t="str">
        <x:v>SIM-E2-BB-L0-R05</x:v>
      </x:c>
      <x:c r="B1288" s="2" t="n">
        <x:v>3</x:v>
      </x:c>
      <x:c r="C1288" s="2" t="str">
        <x:v>BB</x:v>
      </x:c>
      <x:c r="D1288" s="2" t="str">
        <x:v>Brevicoryne brassicae</x:v>
      </x:c>
      <x:c r="E1288" s="2" t="str">
        <x:v>L0</x:v>
      </x:c>
      <x:c r="F1288" s="2" t="n">
        <x:v>5</x:v>
      </x:c>
      <x:c r="G1288" s="2" t="n">
        <x:v>26</x:v>
      </x:c>
      <x:c r="H1288" s="2" t="n">
        <x:f>G1288+Supuestos!$C$15</x:f>
        <x:v>27</x:v>
      </x:c>
      <x:c r="I1288" s="14" t="n">
        <x:f>E2_plantas!J32+G1288</x:f>
        <x:v>46214</x:v>
      </x:c>
      <x:c r="J1288" s="2" t="str">
        <x:v>adulta</x:v>
      </x:c>
      <x:c r="K1288" s="2" t="n">
        <x:v>1</x:v>
      </x:c>
      <x:c r="L1288" s="2" t="n">
        <x:v>3</x:v>
      </x:c>
      <x:c r="M1288" s="2" t="n">
        <x:f>SUM(L$1262:L1288)</x:f>
        <x:v>82</x:v>
      </x:c>
      <x:c r="N1288" s="2" t="n">
        <x:v>0</x:v>
      </x:c>
      <x:c r="O1288" s="2" t="str">
        <x:v>seguimiento</x:v>
      </x:c>
      <x:c r="P1288" s="2" t="n">
        <x:v>0</x:v>
      </x:c>
      <x:c r="Q1288" s="2" t="str">
        <x:v>simulado_didactico</x:v>
      </x:c>
    </x:row>
    <x:row r="1289" ht="19" customHeight="1">
      <x:c r="A1289" s="2" t="str">
        <x:v>SIM-E2-BB-L0-R05</x:v>
      </x:c>
      <x:c r="B1289" s="2" t="n">
        <x:v>3</x:v>
      </x:c>
      <x:c r="C1289" s="2" t="str">
        <x:v>BB</x:v>
      </x:c>
      <x:c r="D1289" s="2" t="str">
        <x:v>Brevicoryne brassicae</x:v>
      </x:c>
      <x:c r="E1289" s="2" t="str">
        <x:v>L0</x:v>
      </x:c>
      <x:c r="F1289" s="2" t="n">
        <x:v>5</x:v>
      </x:c>
      <x:c r="G1289" s="2" t="n">
        <x:v>27</x:v>
      </x:c>
      <x:c r="H1289" s="2" t="n">
        <x:f>G1289+Supuestos!$C$15</x:f>
        <x:v>28</x:v>
      </x:c>
      <x:c r="I1289" s="14" t="n">
        <x:f>E2_plantas!J32+G1289</x:f>
        <x:v>46215</x:v>
      </x:c>
      <x:c r="J1289" s="2" t="str">
        <x:v>adulta</x:v>
      </x:c>
      <x:c r="K1289" s="2" t="n">
        <x:v>1</x:v>
      </x:c>
      <x:c r="L1289" s="2" t="n">
        <x:v>4</x:v>
      </x:c>
      <x:c r="M1289" s="2" t="n">
        <x:f>SUM(L$1262:L1289)</x:f>
        <x:v>86</x:v>
      </x:c>
      <x:c r="N1289" s="2" t="n">
        <x:v>0</x:v>
      </x:c>
      <x:c r="O1289" s="2" t="str">
        <x:v>seguimiento</x:v>
      </x:c>
      <x:c r="P1289" s="2" t="n">
        <x:v>0</x:v>
      </x:c>
      <x:c r="Q1289" s="2" t="str">
        <x:v>simulado_didactico</x:v>
      </x:c>
    </x:row>
    <x:row r="1290" ht="19" customHeight="1">
      <x:c r="A1290" s="2" t="str">
        <x:v>SIM-E2-BB-L0-R05</x:v>
      </x:c>
      <x:c r="B1290" s="2" t="n">
        <x:v>3</x:v>
      </x:c>
      <x:c r="C1290" s="2" t="str">
        <x:v>BB</x:v>
      </x:c>
      <x:c r="D1290" s="2" t="str">
        <x:v>Brevicoryne brassicae</x:v>
      </x:c>
      <x:c r="E1290" s="2" t="str">
        <x:v>L0</x:v>
      </x:c>
      <x:c r="F1290" s="2" t="n">
        <x:v>5</x:v>
      </x:c>
      <x:c r="G1290" s="2" t="n">
        <x:v>28</x:v>
      </x:c>
      <x:c r="H1290" s="2" t="n">
        <x:f>G1290+Supuestos!$C$15</x:f>
        <x:v>29</x:v>
      </x:c>
      <x:c r="I1290" s="14" t="n">
        <x:f>E2_plantas!J32+G1290</x:f>
        <x:v>46216</x:v>
      </x:c>
      <x:c r="J1290" s="2" t="str">
        <x:v>adulta</x:v>
      </x:c>
      <x:c r="K1290" s="2" t="n">
        <x:v>1</x:v>
      </x:c>
      <x:c r="L1290" s="2" t="n">
        <x:v>2</x:v>
      </x:c>
      <x:c r="M1290" s="2" t="n">
        <x:f>SUM(L$1262:L1290)</x:f>
        <x:v>88</x:v>
      </x:c>
      <x:c r="N1290" s="2" t="n">
        <x:v>0</x:v>
      </x:c>
      <x:c r="O1290" s="2" t="str">
        <x:v>seguimiento</x:v>
      </x:c>
      <x:c r="P1290" s="2" t="n">
        <x:v>0</x:v>
      </x:c>
      <x:c r="Q1290" s="2" t="str">
        <x:v>simulado_didactico</x:v>
      </x:c>
    </x:row>
    <x:row r="1291" ht="19" customHeight="1">
      <x:c r="A1291" s="2" t="str">
        <x:v>SIM-E2-BB-L0-R05</x:v>
      </x:c>
      <x:c r="B1291" s="2" t="n">
        <x:v>3</x:v>
      </x:c>
      <x:c r="C1291" s="2" t="str">
        <x:v>BB</x:v>
      </x:c>
      <x:c r="D1291" s="2" t="str">
        <x:v>Brevicoryne brassicae</x:v>
      </x:c>
      <x:c r="E1291" s="2" t="str">
        <x:v>L0</x:v>
      </x:c>
      <x:c r="F1291" s="2" t="n">
        <x:v>5</x:v>
      </x:c>
      <x:c r="G1291" s="2" t="n">
        <x:v>29</x:v>
      </x:c>
      <x:c r="H1291" s="2" t="n">
        <x:f>G1291+Supuestos!$C$15</x:f>
        <x:v>30</x:v>
      </x:c>
      <x:c r="I1291" s="14" t="n">
        <x:f>E2_plantas!J32+G1291</x:f>
        <x:v>46217</x:v>
      </x:c>
      <x:c r="J1291" s="2" t="str">
        <x:v>adulta</x:v>
      </x:c>
      <x:c r="K1291" s="2" t="n">
        <x:v>1</x:v>
      </x:c>
      <x:c r="L1291" s="2" t="n">
        <x:v>2</x:v>
      </x:c>
      <x:c r="M1291" s="2" t="n">
        <x:f>SUM(L$1262:L1291)</x:f>
        <x:v>90</x:v>
      </x:c>
      <x:c r="N1291" s="2" t="n">
        <x:v>0</x:v>
      </x:c>
      <x:c r="O1291" s="2" t="str">
        <x:v>seguimiento</x:v>
      </x:c>
      <x:c r="P1291" s="2" t="n">
        <x:v>0</x:v>
      </x:c>
      <x:c r="Q1291" s="2" t="str">
        <x:v>simulado_didactico</x:v>
      </x:c>
    </x:row>
    <x:row r="1292" ht="19" customHeight="1">
      <x:c r="A1292" s="2" t="str">
        <x:v>SIM-E2-BB-L0-R05</x:v>
      </x:c>
      <x:c r="B1292" s="2" t="n">
        <x:v>3</x:v>
      </x:c>
      <x:c r="C1292" s="2" t="str">
        <x:v>BB</x:v>
      </x:c>
      <x:c r="D1292" s="2" t="str">
        <x:v>Brevicoryne brassicae</x:v>
      </x:c>
      <x:c r="E1292" s="2" t="str">
        <x:v>L0</x:v>
      </x:c>
      <x:c r="F1292" s="2" t="n">
        <x:v>5</x:v>
      </x:c>
      <x:c r="G1292" s="2" t="n">
        <x:v>30</x:v>
      </x:c>
      <x:c r="H1292" s="2" t="n">
        <x:f>G1292+Supuestos!$C$15</x:f>
        <x:v>31</x:v>
      </x:c>
      <x:c r="I1292" s="14" t="n">
        <x:f>E2_plantas!J32+G1292</x:f>
        <x:v>46218</x:v>
      </x:c>
      <x:c r="J1292" s="2" t="str">
        <x:v>adulta</x:v>
      </x:c>
      <x:c r="K1292" s="2" t="n">
        <x:v>1</x:v>
      </x:c>
      <x:c r="L1292" s="2" t="n">
        <x:v>0</x:v>
      </x:c>
      <x:c r="M1292" s="2" t="n">
        <x:f>SUM(L$1262:L1292)</x:f>
        <x:v>90</x:v>
      </x:c>
      <x:c r="N1292" s="2" t="n">
        <x:v>0</x:v>
      </x:c>
      <x:c r="O1292" s="2" t="str">
        <x:v>seguimiento</x:v>
      </x:c>
      <x:c r="P1292" s="2" t="n">
        <x:v>0</x:v>
      </x:c>
      <x:c r="Q1292" s="2" t="str">
        <x:v>simulado_didactico</x:v>
      </x:c>
    </x:row>
    <x:row r="1293" ht="19" customHeight="1">
      <x:c r="A1293" s="2" t="str">
        <x:v>SIM-E2-BB-L0-R05</x:v>
      </x:c>
      <x:c r="B1293" s="2" t="n">
        <x:v>3</x:v>
      </x:c>
      <x:c r="C1293" s="2" t="str">
        <x:v>BB</x:v>
      </x:c>
      <x:c r="D1293" s="2" t="str">
        <x:v>Brevicoryne brassicae</x:v>
      </x:c>
      <x:c r="E1293" s="2" t="str">
        <x:v>L0</x:v>
      </x:c>
      <x:c r="F1293" s="2" t="n">
        <x:v>5</x:v>
      </x:c>
      <x:c r="G1293" s="2" t="n">
        <x:v>31</x:v>
      </x:c>
      <x:c r="H1293" s="2" t="n">
        <x:f>G1293+Supuestos!$C$15</x:f>
        <x:v>32</x:v>
      </x:c>
      <x:c r="I1293" s="14" t="n">
        <x:f>E2_plantas!J32+G1293</x:f>
        <x:v>46219</x:v>
      </x:c>
      <x:c r="J1293" s="2" t="str">
        <x:v>adulta</x:v>
      </x:c>
      <x:c r="K1293" s="2" t="n">
        <x:v>1</x:v>
      </x:c>
      <x:c r="L1293" s="2" t="n">
        <x:v>0</x:v>
      </x:c>
      <x:c r="M1293" s="2" t="n">
        <x:f>SUM(L$1262:L1293)</x:f>
        <x:v>90</x:v>
      </x:c>
      <x:c r="N1293" s="2" t="n">
        <x:v>0</x:v>
      </x:c>
      <x:c r="O1293" s="2" t="str">
        <x:v>seguimiento</x:v>
      </x:c>
      <x:c r="P1293" s="2" t="n">
        <x:v>0</x:v>
      </x:c>
      <x:c r="Q1293" s="2" t="str">
        <x:v>simulado_didactico</x:v>
      </x:c>
    </x:row>
    <x:row r="1294" ht="19" customHeight="1">
      <x:c r="A1294" s="2" t="str">
        <x:v>SIM-E2-BB-L0-R05</x:v>
      </x:c>
      <x:c r="B1294" s="2" t="n">
        <x:v>3</x:v>
      </x:c>
      <x:c r="C1294" s="2" t="str">
        <x:v>BB</x:v>
      </x:c>
      <x:c r="D1294" s="2" t="str">
        <x:v>Brevicoryne brassicae</x:v>
      </x:c>
      <x:c r="E1294" s="2" t="str">
        <x:v>L0</x:v>
      </x:c>
      <x:c r="F1294" s="2" t="n">
        <x:v>5</x:v>
      </x:c>
      <x:c r="G1294" s="2" t="n">
        <x:v>32</x:v>
      </x:c>
      <x:c r="H1294" s="2" t="n">
        <x:f>G1294+Supuestos!$C$15</x:f>
        <x:v>33</x:v>
      </x:c>
      <x:c r="I1294" s="14" t="n">
        <x:f>E2_plantas!J32+G1294</x:f>
        <x:v>46220</x:v>
      </x:c>
      <x:c r="J1294" s="2" t="str">
        <x:v>adulta</x:v>
      </x:c>
      <x:c r="K1294" s="2" t="n">
        <x:v>1</x:v>
      </x:c>
      <x:c r="L1294" s="2" t="n">
        <x:v>0</x:v>
      </x:c>
      <x:c r="M1294" s="2" t="n">
        <x:f>SUM(L$1262:L1294)</x:f>
        <x:v>90</x:v>
      </x:c>
      <x:c r="N1294" s="2" t="n">
        <x:v>0</x:v>
      </x:c>
      <x:c r="O1294" s="2" t="str">
        <x:v>seguimiento</x:v>
      </x:c>
      <x:c r="P1294" s="2" t="n">
        <x:v>0</x:v>
      </x:c>
      <x:c r="Q1294" s="2" t="str">
        <x:v>simulado_didactico</x:v>
      </x:c>
    </x:row>
    <x:row r="1295" ht="19" customHeight="1">
      <x:c r="A1295" s="2" t="str">
        <x:v>SIM-E2-BB-L0-R05</x:v>
      </x:c>
      <x:c r="B1295" s="2" t="n">
        <x:v>3</x:v>
      </x:c>
      <x:c r="C1295" s="2" t="str">
        <x:v>BB</x:v>
      </x:c>
      <x:c r="D1295" s="2" t="str">
        <x:v>Brevicoryne brassicae</x:v>
      </x:c>
      <x:c r="E1295" s="2" t="str">
        <x:v>L0</x:v>
      </x:c>
      <x:c r="F1295" s="2" t="n">
        <x:v>5</x:v>
      </x:c>
      <x:c r="G1295" s="2" t="n">
        <x:v>33</x:v>
      </x:c>
      <x:c r="H1295" s="2" t="n">
        <x:f>G1295+Supuestos!$C$15</x:f>
        <x:v>34</x:v>
      </x:c>
      <x:c r="I1295" s="14" t="n">
        <x:f>E2_plantas!J32+G1295</x:f>
        <x:v>46221</x:v>
      </x:c>
      <x:c r="J1295" s="2" t="str">
        <x:v>muerta</x:v>
      </x:c>
      <x:c r="K1295" s="2" t="n">
        <x:v>0</x:v>
      </x:c>
      <x:c r="L1295" s="2" t="n">
        <x:v>0</x:v>
      </x:c>
      <x:c r="M1295" s="2" t="n">
        <x:f>SUM(L$1262:L1295)</x:f>
        <x:v>90</x:v>
      </x:c>
      <x:c r="N1295" s="2" t="n">
        <x:v>1</x:v>
      </x:c>
      <x:c r="O1295" s="2" t="str">
        <x:v>muerte</x:v>
      </x:c>
      <x:c r="P1295" s="2" t="n">
        <x:v>0</x:v>
      </x:c>
      <x:c r="Q1295" s="2" t="str">
        <x:v>simulado_didactico</x:v>
      </x:c>
    </x:row>
    <x:row r="1296" ht="19" customHeight="1">
      <x:c r="A1296" s="2" t="str">
        <x:v>SIM-E2-BB-L0-R05</x:v>
      </x:c>
      <x:c r="B1296" s="2" t="n">
        <x:v>3</x:v>
      </x:c>
      <x:c r="C1296" s="2" t="str">
        <x:v>BB</x:v>
      </x:c>
      <x:c r="D1296" s="2" t="str">
        <x:v>Brevicoryne brassicae</x:v>
      </x:c>
      <x:c r="E1296" s="2" t="str">
        <x:v>L0</x:v>
      </x:c>
      <x:c r="F1296" s="2" t="n">
        <x:v>5</x:v>
      </x:c>
      <x:c r="G1296" s="2" t="n">
        <x:v>34</x:v>
      </x:c>
      <x:c r="H1296" s="2" t="n">
        <x:f>G1296+Supuestos!$C$15</x:f>
        <x:v>35</x:v>
      </x:c>
      <x:c r="I1296" s="14" t="n">
        <x:f>E2_plantas!J32+G1296</x:f>
        <x:v>46222</x:v>
      </x:c>
      <x:c r="J1296" s="2" t="str">
        <x:v>muerta</x:v>
      </x:c>
      <x:c r="K1296" s="2" t="n">
        <x:v>0</x:v>
      </x:c>
      <x:c r="L1296" s="2" t="n">
        <x:v>0</x:v>
      </x:c>
      <x:c r="M1296" s="2" t="n">
        <x:f>SUM(L$1262:L1296)</x:f>
        <x:v>90</x:v>
      </x:c>
      <x:c r="N1296" s="2" t="n">
        <x:v>0</x:v>
      </x:c>
      <x:c r="O1296" s="2" t="str">
        <x:v>relleno_postmuerte</x:v>
      </x:c>
      <x:c r="P1296" s="2" t="n">
        <x:v>0</x:v>
      </x:c>
      <x:c r="Q1296" s="2" t="str">
        <x:v>simulado_didactico</x:v>
      </x:c>
    </x:row>
    <x:row r="1297" ht="19" customHeight="1">
      <x:c r="A1297" s="2" t="str">
        <x:v>SIM-E2-BB-L0-R05</x:v>
      </x:c>
      <x:c r="B1297" s="2" t="n">
        <x:v>3</x:v>
      </x:c>
      <x:c r="C1297" s="2" t="str">
        <x:v>BB</x:v>
      </x:c>
      <x:c r="D1297" s="2" t="str">
        <x:v>Brevicoryne brassicae</x:v>
      </x:c>
      <x:c r="E1297" s="2" t="str">
        <x:v>L0</x:v>
      </x:c>
      <x:c r="F1297" s="2" t="n">
        <x:v>5</x:v>
      </x:c>
      <x:c r="G1297" s="2" t="n">
        <x:v>35</x:v>
      </x:c>
      <x:c r="H1297" s="2" t="n">
        <x:f>G1297+Supuestos!$C$15</x:f>
        <x:v>36</x:v>
      </x:c>
      <x:c r="I1297" s="14" t="n">
        <x:f>E2_plantas!J32+G1297</x:f>
        <x:v>46223</x:v>
      </x:c>
      <x:c r="J1297" s="2" t="str">
        <x:v>muerta</x:v>
      </x:c>
      <x:c r="K1297" s="2" t="n">
        <x:v>0</x:v>
      </x:c>
      <x:c r="L1297" s="2" t="n">
        <x:v>0</x:v>
      </x:c>
      <x:c r="M1297" s="2" t="n">
        <x:f>SUM(L$1262:L1297)</x:f>
        <x:v>90</x:v>
      </x:c>
      <x:c r="N1297" s="2" t="n">
        <x:v>0</x:v>
      </x:c>
      <x:c r="O1297" s="2" t="str">
        <x:v>relleno_postmuerte</x:v>
      </x:c>
      <x:c r="P1297" s="2" t="n">
        <x:v>0</x:v>
      </x:c>
      <x:c r="Q1297" s="2" t="str">
        <x:v>simulado_didactico</x:v>
      </x:c>
    </x:row>
    <x:row r="1298" ht="19" customHeight="1">
      <x:c r="A1298" s="2" t="str">
        <x:v>SIM-E2-BB-L0-R05</x:v>
      </x:c>
      <x:c r="B1298" s="2" t="n">
        <x:v>3</x:v>
      </x:c>
      <x:c r="C1298" s="2" t="str">
        <x:v>BB</x:v>
      </x:c>
      <x:c r="D1298" s="2" t="str">
        <x:v>Brevicoryne brassicae</x:v>
      </x:c>
      <x:c r="E1298" s="2" t="str">
        <x:v>L0</x:v>
      </x:c>
      <x:c r="F1298" s="2" t="n">
        <x:v>5</x:v>
      </x:c>
      <x:c r="G1298" s="2" t="n">
        <x:v>36</x:v>
      </x:c>
      <x:c r="H1298" s="2" t="n">
        <x:f>G1298+Supuestos!$C$15</x:f>
        <x:v>37</x:v>
      </x:c>
      <x:c r="I1298" s="14" t="n">
        <x:f>E2_plantas!J32+G1298</x:f>
        <x:v>46224</x:v>
      </x:c>
      <x:c r="J1298" s="2" t="str">
        <x:v>muerta</x:v>
      </x:c>
      <x:c r="K1298" s="2" t="n">
        <x:v>0</x:v>
      </x:c>
      <x:c r="L1298" s="2" t="n">
        <x:v>0</x:v>
      </x:c>
      <x:c r="M1298" s="2" t="n">
        <x:f>SUM(L$1262:L1298)</x:f>
        <x:v>90</x:v>
      </x:c>
      <x:c r="N1298" s="2" t="n">
        <x:v>0</x:v>
      </x:c>
      <x:c r="O1298" s="2" t="str">
        <x:v>relleno_postmuerte</x:v>
      </x:c>
      <x:c r="P1298" s="2" t="n">
        <x:v>0</x:v>
      </x:c>
      <x:c r="Q1298" s="2" t="str">
        <x:v>simulado_didactico</x:v>
      </x:c>
    </x:row>
    <x:row r="1299" ht="19" customHeight="1">
      <x:c r="A1299" s="2" t="str">
        <x:v>SIM-E2-BB-L0-R05</x:v>
      </x:c>
      <x:c r="B1299" s="2" t="n">
        <x:v>3</x:v>
      </x:c>
      <x:c r="C1299" s="2" t="str">
        <x:v>BB</x:v>
      </x:c>
      <x:c r="D1299" s="2" t="str">
        <x:v>Brevicoryne brassicae</x:v>
      </x:c>
      <x:c r="E1299" s="2" t="str">
        <x:v>L0</x:v>
      </x:c>
      <x:c r="F1299" s="2" t="n">
        <x:v>5</x:v>
      </x:c>
      <x:c r="G1299" s="2" t="n">
        <x:v>37</x:v>
      </x:c>
      <x:c r="H1299" s="2" t="n">
        <x:f>G1299+Supuestos!$C$15</x:f>
        <x:v>38</x:v>
      </x:c>
      <x:c r="I1299" s="14" t="n">
        <x:f>E2_plantas!J32+G1299</x:f>
        <x:v>46225</x:v>
      </x:c>
      <x:c r="J1299" s="2" t="str">
        <x:v>muerta</x:v>
      </x:c>
      <x:c r="K1299" s="2" t="n">
        <x:v>0</x:v>
      </x:c>
      <x:c r="L1299" s="2" t="n">
        <x:v>0</x:v>
      </x:c>
      <x:c r="M1299" s="2" t="n">
        <x:f>SUM(L$1262:L1299)</x:f>
        <x:v>90</x:v>
      </x:c>
      <x:c r="N1299" s="2" t="n">
        <x:v>0</x:v>
      </x:c>
      <x:c r="O1299" s="2" t="str">
        <x:v>relleno_postmuerte</x:v>
      </x:c>
      <x:c r="P1299" s="2" t="n">
        <x:v>0</x:v>
      </x:c>
      <x:c r="Q1299" s="2" t="str">
        <x:v>simulado_didactico</x:v>
      </x:c>
    </x:row>
    <x:row r="1300" ht="19" customHeight="1">
      <x:c r="A1300" s="2" t="str">
        <x:v>SIM-E2-BB-L0-R05</x:v>
      </x:c>
      <x:c r="B1300" s="2" t="n">
        <x:v>3</x:v>
      </x:c>
      <x:c r="C1300" s="2" t="str">
        <x:v>BB</x:v>
      </x:c>
      <x:c r="D1300" s="2" t="str">
        <x:v>Brevicoryne brassicae</x:v>
      </x:c>
      <x:c r="E1300" s="2" t="str">
        <x:v>L0</x:v>
      </x:c>
      <x:c r="F1300" s="2" t="n">
        <x:v>5</x:v>
      </x:c>
      <x:c r="G1300" s="2" t="n">
        <x:v>38</x:v>
      </x:c>
      <x:c r="H1300" s="2" t="n">
        <x:f>G1300+Supuestos!$C$15</x:f>
        <x:v>39</x:v>
      </x:c>
      <x:c r="I1300" s="14" t="n">
        <x:f>E2_plantas!J32+G1300</x:f>
        <x:v>46226</x:v>
      </x:c>
      <x:c r="J1300" s="2" t="str">
        <x:v>muerta</x:v>
      </x:c>
      <x:c r="K1300" s="2" t="n">
        <x:v>0</x:v>
      </x:c>
      <x:c r="L1300" s="2" t="n">
        <x:v>0</x:v>
      </x:c>
      <x:c r="M1300" s="2" t="n">
        <x:f>SUM(L$1262:L1300)</x:f>
        <x:v>90</x:v>
      </x:c>
      <x:c r="N1300" s="2" t="n">
        <x:v>0</x:v>
      </x:c>
      <x:c r="O1300" s="2" t="str">
        <x:v>relleno_postmuerte</x:v>
      </x:c>
      <x:c r="P1300" s="2" t="n">
        <x:v>0</x:v>
      </x:c>
      <x:c r="Q1300" s="2" t="str">
        <x:v>simulado_didactico</x:v>
      </x:c>
    </x:row>
    <x:row r="1301" ht="19" customHeight="1">
      <x:c r="A1301" s="2" t="str">
        <x:v>SIM-E2-BB-L0-R05</x:v>
      </x:c>
      <x:c r="B1301" s="2" t="n">
        <x:v>3</x:v>
      </x:c>
      <x:c r="C1301" s="2" t="str">
        <x:v>BB</x:v>
      </x:c>
      <x:c r="D1301" s="2" t="str">
        <x:v>Brevicoryne brassicae</x:v>
      </x:c>
      <x:c r="E1301" s="2" t="str">
        <x:v>L0</x:v>
      </x:c>
      <x:c r="F1301" s="2" t="n">
        <x:v>5</x:v>
      </x:c>
      <x:c r="G1301" s="2" t="n">
        <x:v>39</x:v>
      </x:c>
      <x:c r="H1301" s="2" t="n">
        <x:f>G1301+Supuestos!$C$15</x:f>
        <x:v>40</x:v>
      </x:c>
      <x:c r="I1301" s="14" t="n">
        <x:f>E2_plantas!J32+G1301</x:f>
        <x:v>46227</x:v>
      </x:c>
      <x:c r="J1301" s="2" t="str">
        <x:v>muerta</x:v>
      </x:c>
      <x:c r="K1301" s="2" t="n">
        <x:v>0</x:v>
      </x:c>
      <x:c r="L1301" s="2" t="n">
        <x:v>0</x:v>
      </x:c>
      <x:c r="M1301" s="2" t="n">
        <x:f>SUM(L$1262:L1301)</x:f>
        <x:v>90</x:v>
      </x:c>
      <x:c r="N1301" s="2" t="n">
        <x:v>0</x:v>
      </x:c>
      <x:c r="O1301" s="2" t="str">
        <x:v>relleno_postmuerte</x:v>
      </x:c>
      <x:c r="P1301" s="2" t="n">
        <x:v>0</x:v>
      </x:c>
      <x:c r="Q1301" s="2" t="str">
        <x:v>simulado_didactico</x:v>
      </x:c>
    </x:row>
    <x:row r="1302" ht="19" customHeight="1">
      <x:c r="A1302" s="2" t="str">
        <x:v>SIM-E2-BB-L0-R05</x:v>
      </x:c>
      <x:c r="B1302" s="2" t="n">
        <x:v>3</x:v>
      </x:c>
      <x:c r="C1302" s="2" t="str">
        <x:v>BB</x:v>
      </x:c>
      <x:c r="D1302" s="2" t="str">
        <x:v>Brevicoryne brassicae</x:v>
      </x:c>
      <x:c r="E1302" s="2" t="str">
        <x:v>L0</x:v>
      </x:c>
      <x:c r="F1302" s="2" t="n">
        <x:v>5</x:v>
      </x:c>
      <x:c r="G1302" s="2" t="n">
        <x:v>40</x:v>
      </x:c>
      <x:c r="H1302" s="2" t="n">
        <x:f>G1302+Supuestos!$C$15</x:f>
        <x:v>41</x:v>
      </x:c>
      <x:c r="I1302" s="14" t="n">
        <x:f>E2_plantas!J32+G1302</x:f>
        <x:v>46228</x:v>
      </x:c>
      <x:c r="J1302" s="2" t="str">
        <x:v>muerta</x:v>
      </x:c>
      <x:c r="K1302" s="2" t="n">
        <x:v>0</x:v>
      </x:c>
      <x:c r="L1302" s="2" t="n">
        <x:v>0</x:v>
      </x:c>
      <x:c r="M1302" s="2" t="n">
        <x:f>SUM(L$1262:L1302)</x:f>
        <x:v>90</x:v>
      </x:c>
      <x:c r="N1302" s="2" t="n">
        <x:v>0</x:v>
      </x:c>
      <x:c r="O1302" s="2" t="str">
        <x:v>relleno_postmuerte</x:v>
      </x:c>
      <x:c r="P1302" s="2" t="n">
        <x:v>0</x:v>
      </x:c>
      <x:c r="Q1302" s="2" t="str">
        <x:v>simulado_didactico</x:v>
      </x:c>
    </x:row>
    <x:row r="1303" ht="19" customHeight="1">
      <x:c r="A1303" s="2" t="str">
        <x:v>SIM-E2-BB-L0-R05</x:v>
      </x:c>
      <x:c r="B1303" s="2" t="n">
        <x:v>3</x:v>
      </x:c>
      <x:c r="C1303" s="2" t="str">
        <x:v>BB</x:v>
      </x:c>
      <x:c r="D1303" s="2" t="str">
        <x:v>Brevicoryne brassicae</x:v>
      </x:c>
      <x:c r="E1303" s="2" t="str">
        <x:v>L0</x:v>
      </x:c>
      <x:c r="F1303" s="2" t="n">
        <x:v>5</x:v>
      </x:c>
      <x:c r="G1303" s="2" t="n">
        <x:v>41</x:v>
      </x:c>
      <x:c r="H1303" s="2" t="n">
        <x:f>G1303+Supuestos!$C$15</x:f>
        <x:v>42</x:v>
      </x:c>
      <x:c r="I1303" s="14" t="n">
        <x:f>E2_plantas!J32+G1303</x:f>
        <x:v>46229</x:v>
      </x:c>
      <x:c r="J1303" s="2" t="str">
        <x:v>muerta</x:v>
      </x:c>
      <x:c r="K1303" s="2" t="n">
        <x:v>0</x:v>
      </x:c>
      <x:c r="L1303" s="2" t="n">
        <x:v>0</x:v>
      </x:c>
      <x:c r="M1303" s="2" t="n">
        <x:f>SUM(L$1262:L1303)</x:f>
        <x:v>90</x:v>
      </x:c>
      <x:c r="N1303" s="2" t="n">
        <x:v>0</x:v>
      </x:c>
      <x:c r="O1303" s="2" t="str">
        <x:v>relleno_postmuerte</x:v>
      </x:c>
      <x:c r="P1303" s="2" t="n">
        <x:v>0</x:v>
      </x:c>
      <x:c r="Q1303" s="2" t="str">
        <x:v>simulado_didactico</x:v>
      </x:c>
    </x:row>
    <x:row r="1304" ht="19" customHeight="1">
      <x:c r="A1304" s="2" t="str">
        <x:v>SIM-E2-BB-L0-R06</x:v>
      </x:c>
      <x:c r="B1304" s="2" t="n">
        <x:v>3</x:v>
      </x:c>
      <x:c r="C1304" s="2" t="str">
        <x:v>BB</x:v>
      </x:c>
      <x:c r="D1304" s="2" t="str">
        <x:v>Brevicoryne brassicae</x:v>
      </x:c>
      <x:c r="E1304" s="2" t="str">
        <x:v>L0</x:v>
      </x:c>
      <x:c r="F1304" s="2" t="n">
        <x:v>6</x:v>
      </x:c>
      <x:c r="G1304" s="2" t="n">
        <x:v>0</x:v>
      </x:c>
      <x:c r="H1304" s="2" t="n">
        <x:f>G1304+Supuestos!$C$15</x:f>
        <x:v>1</x:v>
      </x:c>
      <x:c r="I1304" s="14" t="n">
        <x:f>E2_plantas!J33+G1304</x:f>
        <x:v>46188</x:v>
      </x:c>
      <x:c r="J1304" s="2" t="str">
        <x:v>N1</x:v>
      </x:c>
      <x:c r="K1304" s="2" t="n">
        <x:v>1</x:v>
      </x:c>
      <x:c r="L1304" s="2" t="n">
        <x:v>0</x:v>
      </x:c>
      <x:c r="M1304" s="2" t="n">
        <x:f>SUM(L$1304:L1304)</x:f>
        <x:v>0</x:v>
      </x:c>
      <x:c r="N1304" s="2" t="n">
        <x:v>0</x:v>
      </x:c>
      <x:c r="O1304" s="2" t="str">
        <x:v>seguimiento</x:v>
      </x:c>
      <x:c r="P1304" s="2" t="n">
        <x:v>0</x:v>
      </x:c>
      <x:c r="Q1304" s="2" t="str">
        <x:v>simulado_didactico</x:v>
      </x:c>
    </x:row>
    <x:row r="1305" ht="19" customHeight="1">
      <x:c r="A1305" s="2" t="str">
        <x:v>SIM-E2-BB-L0-R06</x:v>
      </x:c>
      <x:c r="B1305" s="2" t="n">
        <x:v>3</x:v>
      </x:c>
      <x:c r="C1305" s="2" t="str">
        <x:v>BB</x:v>
      </x:c>
      <x:c r="D1305" s="2" t="str">
        <x:v>Brevicoryne brassicae</x:v>
      </x:c>
      <x:c r="E1305" s="2" t="str">
        <x:v>L0</x:v>
      </x:c>
      <x:c r="F1305" s="2" t="n">
        <x:v>6</x:v>
      </x:c>
      <x:c r="G1305" s="2" t="n">
        <x:v>1</x:v>
      </x:c>
      <x:c r="H1305" s="2" t="n">
        <x:f>G1305+Supuestos!$C$15</x:f>
        <x:v>2</x:v>
      </x:c>
      <x:c r="I1305" s="14" t="n">
        <x:f>E2_plantas!J33+G1305</x:f>
        <x:v>46189</x:v>
      </x:c>
      <x:c r="J1305" s="2" t="str">
        <x:v>N1</x:v>
      </x:c>
      <x:c r="K1305" s="2" t="n">
        <x:v>1</x:v>
      </x:c>
      <x:c r="L1305" s="2" t="n">
        <x:v>0</x:v>
      </x:c>
      <x:c r="M1305" s="2" t="n">
        <x:f>SUM(L$1304:L1305)</x:f>
        <x:v>0</x:v>
      </x:c>
      <x:c r="N1305" s="2" t="n">
        <x:v>0</x:v>
      </x:c>
      <x:c r="O1305" s="2" t="str">
        <x:v>seguimiento</x:v>
      </x:c>
      <x:c r="P1305" s="2" t="n">
        <x:v>0</x:v>
      </x:c>
      <x:c r="Q1305" s="2" t="str">
        <x:v>simulado_didactico</x:v>
      </x:c>
    </x:row>
    <x:row r="1306" ht="19" customHeight="1">
      <x:c r="A1306" s="2" t="str">
        <x:v>SIM-E2-BB-L0-R06</x:v>
      </x:c>
      <x:c r="B1306" s="2" t="n">
        <x:v>3</x:v>
      </x:c>
      <x:c r="C1306" s="2" t="str">
        <x:v>BB</x:v>
      </x:c>
      <x:c r="D1306" s="2" t="str">
        <x:v>Brevicoryne brassicae</x:v>
      </x:c>
      <x:c r="E1306" s="2" t="str">
        <x:v>L0</x:v>
      </x:c>
      <x:c r="F1306" s="2" t="n">
        <x:v>6</x:v>
      </x:c>
      <x:c r="G1306" s="2" t="n">
        <x:v>2</x:v>
      </x:c>
      <x:c r="H1306" s="2" t="n">
        <x:f>G1306+Supuestos!$C$15</x:f>
        <x:v>3</x:v>
      </x:c>
      <x:c r="I1306" s="14" t="n">
        <x:f>E2_plantas!J33+G1306</x:f>
        <x:v>46190</x:v>
      </x:c>
      <x:c r="J1306" s="2" t="str">
        <x:v>N2</x:v>
      </x:c>
      <x:c r="K1306" s="2" t="n">
        <x:v>1</x:v>
      </x:c>
      <x:c r="L1306" s="2" t="n">
        <x:v>0</x:v>
      </x:c>
      <x:c r="M1306" s="2" t="n">
        <x:f>SUM(L$1304:L1306)</x:f>
        <x:v>0</x:v>
      </x:c>
      <x:c r="N1306" s="2" t="n">
        <x:v>0</x:v>
      </x:c>
      <x:c r="O1306" s="2" t="str">
        <x:v>seguimiento</x:v>
      </x:c>
      <x:c r="P1306" s="2" t="n">
        <x:v>0</x:v>
      </x:c>
      <x:c r="Q1306" s="2" t="str">
        <x:v>simulado_didactico</x:v>
      </x:c>
    </x:row>
    <x:row r="1307" ht="19" customHeight="1">
      <x:c r="A1307" s="2" t="str">
        <x:v>SIM-E2-BB-L0-R06</x:v>
      </x:c>
      <x:c r="B1307" s="2" t="n">
        <x:v>3</x:v>
      </x:c>
      <x:c r="C1307" s="2" t="str">
        <x:v>BB</x:v>
      </x:c>
      <x:c r="D1307" s="2" t="str">
        <x:v>Brevicoryne brassicae</x:v>
      </x:c>
      <x:c r="E1307" s="2" t="str">
        <x:v>L0</x:v>
      </x:c>
      <x:c r="F1307" s="2" t="n">
        <x:v>6</x:v>
      </x:c>
      <x:c r="G1307" s="2" t="n">
        <x:v>3</x:v>
      </x:c>
      <x:c r="H1307" s="2" t="n">
        <x:f>G1307+Supuestos!$C$15</x:f>
        <x:v>4</x:v>
      </x:c>
      <x:c r="I1307" s="14" t="n">
        <x:f>E2_plantas!J33+G1307</x:f>
        <x:v>46191</x:v>
      </x:c>
      <x:c r="J1307" s="2" t="str">
        <x:v>N2</x:v>
      </x:c>
      <x:c r="K1307" s="2" t="n">
        <x:v>1</x:v>
      </x:c>
      <x:c r="L1307" s="2" t="n">
        <x:v>0</x:v>
      </x:c>
      <x:c r="M1307" s="2" t="n">
        <x:f>SUM(L$1304:L1307)</x:f>
        <x:v>0</x:v>
      </x:c>
      <x:c r="N1307" s="2" t="n">
        <x:v>0</x:v>
      </x:c>
      <x:c r="O1307" s="2" t="str">
        <x:v>seguimiento</x:v>
      </x:c>
      <x:c r="P1307" s="2" t="n">
        <x:v>0</x:v>
      </x:c>
      <x:c r="Q1307" s="2" t="str">
        <x:v>simulado_didactico</x:v>
      </x:c>
    </x:row>
    <x:row r="1308" ht="19" customHeight="1">
      <x:c r="A1308" s="2" t="str">
        <x:v>SIM-E2-BB-L0-R06</x:v>
      </x:c>
      <x:c r="B1308" s="2" t="n">
        <x:v>3</x:v>
      </x:c>
      <x:c r="C1308" s="2" t="str">
        <x:v>BB</x:v>
      </x:c>
      <x:c r="D1308" s="2" t="str">
        <x:v>Brevicoryne brassicae</x:v>
      </x:c>
      <x:c r="E1308" s="2" t="str">
        <x:v>L0</x:v>
      </x:c>
      <x:c r="F1308" s="2" t="n">
        <x:v>6</x:v>
      </x:c>
      <x:c r="G1308" s="2" t="n">
        <x:v>4</x:v>
      </x:c>
      <x:c r="H1308" s="2" t="n">
        <x:f>G1308+Supuestos!$C$15</x:f>
        <x:v>5</x:v>
      </x:c>
      <x:c r="I1308" s="14" t="n">
        <x:f>E2_plantas!J33+G1308</x:f>
        <x:v>46192</x:v>
      </x:c>
      <x:c r="J1308" s="2" t="str">
        <x:v>N2</x:v>
      </x:c>
      <x:c r="K1308" s="2" t="n">
        <x:v>1</x:v>
      </x:c>
      <x:c r="L1308" s="2" t="n">
        <x:v>0</x:v>
      </x:c>
      <x:c r="M1308" s="2" t="n">
        <x:f>SUM(L$1304:L1308)</x:f>
        <x:v>0</x:v>
      </x:c>
      <x:c r="N1308" s="2" t="n">
        <x:v>0</x:v>
      </x:c>
      <x:c r="O1308" s="2" t="str">
        <x:v>seguimiento</x:v>
      </x:c>
      <x:c r="P1308" s="2" t="n">
        <x:v>0</x:v>
      </x:c>
      <x:c r="Q1308" s="2" t="str">
        <x:v>simulado_didactico</x:v>
      </x:c>
    </x:row>
    <x:row r="1309" ht="19" customHeight="1">
      <x:c r="A1309" s="2" t="str">
        <x:v>SIM-E2-BB-L0-R06</x:v>
      </x:c>
      <x:c r="B1309" s="2" t="n">
        <x:v>3</x:v>
      </x:c>
      <x:c r="C1309" s="2" t="str">
        <x:v>BB</x:v>
      </x:c>
      <x:c r="D1309" s="2" t="str">
        <x:v>Brevicoryne brassicae</x:v>
      </x:c>
      <x:c r="E1309" s="2" t="str">
        <x:v>L0</x:v>
      </x:c>
      <x:c r="F1309" s="2" t="n">
        <x:v>6</x:v>
      </x:c>
      <x:c r="G1309" s="2" t="n">
        <x:v>5</x:v>
      </x:c>
      <x:c r="H1309" s="2" t="n">
        <x:f>G1309+Supuestos!$C$15</x:f>
        <x:v>6</x:v>
      </x:c>
      <x:c r="I1309" s="14" t="n">
        <x:f>E2_plantas!J33+G1309</x:f>
        <x:v>46193</x:v>
      </x:c>
      <x:c r="J1309" s="2" t="str">
        <x:v>N3</x:v>
      </x:c>
      <x:c r="K1309" s="2" t="n">
        <x:v>1</x:v>
      </x:c>
      <x:c r="L1309" s="2" t="n">
        <x:v>0</x:v>
      </x:c>
      <x:c r="M1309" s="2" t="n">
        <x:f>SUM(L$1304:L1309)</x:f>
        <x:v>0</x:v>
      </x:c>
      <x:c r="N1309" s="2" t="n">
        <x:v>0</x:v>
      </x:c>
      <x:c r="O1309" s="2" t="str">
        <x:v>seguimiento</x:v>
      </x:c>
      <x:c r="P1309" s="2" t="n">
        <x:v>0</x:v>
      </x:c>
      <x:c r="Q1309" s="2" t="str">
        <x:v>simulado_didactico</x:v>
      </x:c>
    </x:row>
    <x:row r="1310" ht="19" customHeight="1">
      <x:c r="A1310" s="2" t="str">
        <x:v>SIM-E2-BB-L0-R06</x:v>
      </x:c>
      <x:c r="B1310" s="2" t="n">
        <x:v>3</x:v>
      </x:c>
      <x:c r="C1310" s="2" t="str">
        <x:v>BB</x:v>
      </x:c>
      <x:c r="D1310" s="2" t="str">
        <x:v>Brevicoryne brassicae</x:v>
      </x:c>
      <x:c r="E1310" s="2" t="str">
        <x:v>L0</x:v>
      </x:c>
      <x:c r="F1310" s="2" t="n">
        <x:v>6</x:v>
      </x:c>
      <x:c r="G1310" s="2" t="n">
        <x:v>6</x:v>
      </x:c>
      <x:c r="H1310" s="2" t="n">
        <x:f>G1310+Supuestos!$C$15</x:f>
        <x:v>7</x:v>
      </x:c>
      <x:c r="I1310" s="14" t="n">
        <x:f>E2_plantas!J33+G1310</x:f>
        <x:v>46194</x:v>
      </x:c>
      <x:c r="J1310" s="2" t="str">
        <x:v>N4</x:v>
      </x:c>
      <x:c r="K1310" s="2" t="n">
        <x:v>1</x:v>
      </x:c>
      <x:c r="L1310" s="2" t="n">
        <x:v>0</x:v>
      </x:c>
      <x:c r="M1310" s="2" t="n">
        <x:f>SUM(L$1304:L1310)</x:f>
        <x:v>0</x:v>
      </x:c>
      <x:c r="N1310" s="2" t="n">
        <x:v>0</x:v>
      </x:c>
      <x:c r="O1310" s="2" t="str">
        <x:v>seguimiento</x:v>
      </x:c>
      <x:c r="P1310" s="2" t="n">
        <x:v>0</x:v>
      </x:c>
      <x:c r="Q1310" s="2" t="str">
        <x:v>simulado_didactico</x:v>
      </x:c>
    </x:row>
    <x:row r="1311" ht="19" customHeight="1">
      <x:c r="A1311" s="2" t="str">
        <x:v>SIM-E2-BB-L0-R06</x:v>
      </x:c>
      <x:c r="B1311" s="2" t="n">
        <x:v>3</x:v>
      </x:c>
      <x:c r="C1311" s="2" t="str">
        <x:v>BB</x:v>
      </x:c>
      <x:c r="D1311" s="2" t="str">
        <x:v>Brevicoryne brassicae</x:v>
      </x:c>
      <x:c r="E1311" s="2" t="str">
        <x:v>L0</x:v>
      </x:c>
      <x:c r="F1311" s="2" t="n">
        <x:v>6</x:v>
      </x:c>
      <x:c r="G1311" s="2" t="n">
        <x:v>7</x:v>
      </x:c>
      <x:c r="H1311" s="2" t="n">
        <x:f>G1311+Supuestos!$C$15</x:f>
        <x:v>8</x:v>
      </x:c>
      <x:c r="I1311" s="14" t="n">
        <x:f>E2_plantas!J33+G1311</x:f>
        <x:v>46195</x:v>
      </x:c>
      <x:c r="J1311" s="2" t="str">
        <x:v>adulta</x:v>
      </x:c>
      <x:c r="K1311" s="2" t="n">
        <x:v>1</x:v>
      </x:c>
      <x:c r="L1311" s="2" t="n">
        <x:v>0</x:v>
      </x:c>
      <x:c r="M1311" s="2" t="n">
        <x:f>SUM(L$1304:L1311)</x:f>
        <x:v>0</x:v>
      </x:c>
      <x:c r="N1311" s="2" t="n">
        <x:v>0</x:v>
      </x:c>
      <x:c r="O1311" s="2" t="str">
        <x:v>seguimiento</x:v>
      </x:c>
      <x:c r="P1311" s="2" t="n">
        <x:v>0</x:v>
      </x:c>
      <x:c r="Q1311" s="2" t="str">
        <x:v>simulado_didactico</x:v>
      </x:c>
    </x:row>
    <x:row r="1312" ht="19" customHeight="1">
      <x:c r="A1312" s="2" t="str">
        <x:v>SIM-E2-BB-L0-R06</x:v>
      </x:c>
      <x:c r="B1312" s="2" t="n">
        <x:v>3</x:v>
      </x:c>
      <x:c r="C1312" s="2" t="str">
        <x:v>BB</x:v>
      </x:c>
      <x:c r="D1312" s="2" t="str">
        <x:v>Brevicoryne brassicae</x:v>
      </x:c>
      <x:c r="E1312" s="2" t="str">
        <x:v>L0</x:v>
      </x:c>
      <x:c r="F1312" s="2" t="n">
        <x:v>6</x:v>
      </x:c>
      <x:c r="G1312" s="2" t="n">
        <x:v>8</x:v>
      </x:c>
      <x:c r="H1312" s="2" t="n">
        <x:f>G1312+Supuestos!$C$15</x:f>
        <x:v>9</x:v>
      </x:c>
      <x:c r="I1312" s="14" t="n">
        <x:f>E2_plantas!J33+G1312</x:f>
        <x:v>46196</x:v>
      </x:c>
      <x:c r="J1312" s="2" t="str">
        <x:v>adulta</x:v>
      </x:c>
      <x:c r="K1312" s="2" t="n">
        <x:v>1</x:v>
      </x:c>
      <x:c r="L1312" s="2" t="n">
        <x:v>0</x:v>
      </x:c>
      <x:c r="M1312" s="2" t="n">
        <x:f>SUM(L$1304:L1312)</x:f>
        <x:v>0</x:v>
      </x:c>
      <x:c r="N1312" s="2" t="n">
        <x:v>0</x:v>
      </x:c>
      <x:c r="O1312" s="2" t="str">
        <x:v>seguimiento</x:v>
      </x:c>
      <x:c r="P1312" s="2" t="n">
        <x:v>0</x:v>
      </x:c>
      <x:c r="Q1312" s="2" t="str">
        <x:v>simulado_didactico</x:v>
      </x:c>
    </x:row>
    <x:row r="1313" ht="19" customHeight="1">
      <x:c r="A1313" s="2" t="str">
        <x:v>SIM-E2-BB-L0-R06</x:v>
      </x:c>
      <x:c r="B1313" s="2" t="n">
        <x:v>3</x:v>
      </x:c>
      <x:c r="C1313" s="2" t="str">
        <x:v>BB</x:v>
      </x:c>
      <x:c r="D1313" s="2" t="str">
        <x:v>Brevicoryne brassicae</x:v>
      </x:c>
      <x:c r="E1313" s="2" t="str">
        <x:v>L0</x:v>
      </x:c>
      <x:c r="F1313" s="2" t="n">
        <x:v>6</x:v>
      </x:c>
      <x:c r="G1313" s="2" t="n">
        <x:v>9</x:v>
      </x:c>
      <x:c r="H1313" s="2" t="n">
        <x:f>G1313+Supuestos!$C$15</x:f>
        <x:v>10</x:v>
      </x:c>
      <x:c r="I1313" s="14" t="n">
        <x:f>E2_plantas!J33+G1313</x:f>
        <x:v>46197</x:v>
      </x:c>
      <x:c r="J1313" s="2" t="str">
        <x:v>adulta</x:v>
      </x:c>
      <x:c r="K1313" s="2" t="n">
        <x:v>1</x:v>
      </x:c>
      <x:c r="L1313" s="2" t="n">
        <x:v>2</x:v>
      </x:c>
      <x:c r="M1313" s="2" t="n">
        <x:f>SUM(L$1304:L1313)</x:f>
        <x:v>2</x:v>
      </x:c>
      <x:c r="N1313" s="2" t="n">
        <x:v>0</x:v>
      </x:c>
      <x:c r="O1313" s="2" t="str">
        <x:v>seguimiento</x:v>
      </x:c>
      <x:c r="P1313" s="2" t="n">
        <x:v>0</x:v>
      </x:c>
      <x:c r="Q1313" s="2" t="str">
        <x:v>simulado_didactico</x:v>
      </x:c>
    </x:row>
    <x:row r="1314" ht="19" customHeight="1">
      <x:c r="A1314" s="2" t="str">
        <x:v>SIM-E2-BB-L0-R06</x:v>
      </x:c>
      <x:c r="B1314" s="2" t="n">
        <x:v>3</x:v>
      </x:c>
      <x:c r="C1314" s="2" t="str">
        <x:v>BB</x:v>
      </x:c>
      <x:c r="D1314" s="2" t="str">
        <x:v>Brevicoryne brassicae</x:v>
      </x:c>
      <x:c r="E1314" s="2" t="str">
        <x:v>L0</x:v>
      </x:c>
      <x:c r="F1314" s="2" t="n">
        <x:v>6</x:v>
      </x:c>
      <x:c r="G1314" s="2" t="n">
        <x:v>10</x:v>
      </x:c>
      <x:c r="H1314" s="2" t="n">
        <x:f>G1314+Supuestos!$C$15</x:f>
        <x:v>11</x:v>
      </x:c>
      <x:c r="I1314" s="14" t="n">
        <x:f>E2_plantas!J33+G1314</x:f>
        <x:v>46198</x:v>
      </x:c>
      <x:c r="J1314" s="2" t="str">
        <x:v>adulta</x:v>
      </x:c>
      <x:c r="K1314" s="2" t="n">
        <x:v>1</x:v>
      </x:c>
      <x:c r="L1314" s="2" t="n">
        <x:v>2</x:v>
      </x:c>
      <x:c r="M1314" s="2" t="n">
        <x:f>SUM(L$1304:L1314)</x:f>
        <x:v>4</x:v>
      </x:c>
      <x:c r="N1314" s="2" t="n">
        <x:v>0</x:v>
      </x:c>
      <x:c r="O1314" s="2" t="str">
        <x:v>seguimiento</x:v>
      </x:c>
      <x:c r="P1314" s="2" t="n">
        <x:v>0</x:v>
      </x:c>
      <x:c r="Q1314" s="2" t="str">
        <x:v>simulado_didactico</x:v>
      </x:c>
    </x:row>
    <x:row r="1315" ht="19" customHeight="1">
      <x:c r="A1315" s="2" t="str">
        <x:v>SIM-E2-BB-L0-R06</x:v>
      </x:c>
      <x:c r="B1315" s="2" t="n">
        <x:v>3</x:v>
      </x:c>
      <x:c r="C1315" s="2" t="str">
        <x:v>BB</x:v>
      </x:c>
      <x:c r="D1315" s="2" t="str">
        <x:v>Brevicoryne brassicae</x:v>
      </x:c>
      <x:c r="E1315" s="2" t="str">
        <x:v>L0</x:v>
      </x:c>
      <x:c r="F1315" s="2" t="n">
        <x:v>6</x:v>
      </x:c>
      <x:c r="G1315" s="2" t="n">
        <x:v>11</x:v>
      </x:c>
      <x:c r="H1315" s="2" t="n">
        <x:f>G1315+Supuestos!$C$15</x:f>
        <x:v>12</x:v>
      </x:c>
      <x:c r="I1315" s="14" t="n">
        <x:f>E2_plantas!J33+G1315</x:f>
        <x:v>46199</x:v>
      </x:c>
      <x:c r="J1315" s="2" t="str">
        <x:v>adulta</x:v>
      </x:c>
      <x:c r="K1315" s="2" t="n">
        <x:v>1</x:v>
      </x:c>
      <x:c r="L1315" s="2" t="n">
        <x:v>2</x:v>
      </x:c>
      <x:c r="M1315" s="2" t="n">
        <x:f>SUM(L$1304:L1315)</x:f>
        <x:v>6</x:v>
      </x:c>
      <x:c r="N1315" s="2" t="n">
        <x:v>0</x:v>
      </x:c>
      <x:c r="O1315" s="2" t="str">
        <x:v>seguimiento</x:v>
      </x:c>
      <x:c r="P1315" s="2" t="n">
        <x:v>0</x:v>
      </x:c>
      <x:c r="Q1315" s="2" t="str">
        <x:v>simulado_didactico</x:v>
      </x:c>
    </x:row>
    <x:row r="1316" ht="19" customHeight="1">
      <x:c r="A1316" s="2" t="str">
        <x:v>SIM-E2-BB-L0-R06</x:v>
      </x:c>
      <x:c r="B1316" s="2" t="n">
        <x:v>3</x:v>
      </x:c>
      <x:c r="C1316" s="2" t="str">
        <x:v>BB</x:v>
      </x:c>
      <x:c r="D1316" s="2" t="str">
        <x:v>Brevicoryne brassicae</x:v>
      </x:c>
      <x:c r="E1316" s="2" t="str">
        <x:v>L0</x:v>
      </x:c>
      <x:c r="F1316" s="2" t="n">
        <x:v>6</x:v>
      </x:c>
      <x:c r="G1316" s="2" t="n">
        <x:v>12</x:v>
      </x:c>
      <x:c r="H1316" s="2" t="n">
        <x:f>G1316+Supuestos!$C$15</x:f>
        <x:v>13</x:v>
      </x:c>
      <x:c r="I1316" s="14" t="n">
        <x:f>E2_plantas!J33+G1316</x:f>
        <x:v>46200</x:v>
      </x:c>
      <x:c r="J1316" s="2" t="str">
        <x:v>adulta</x:v>
      </x:c>
      <x:c r="K1316" s="2" t="n">
        <x:v>1</x:v>
      </x:c>
      <x:c r="L1316" s="2" t="n">
        <x:v>3</x:v>
      </x:c>
      <x:c r="M1316" s="2" t="n">
        <x:f>SUM(L$1304:L1316)</x:f>
        <x:v>9</x:v>
      </x:c>
      <x:c r="N1316" s="2" t="n">
        <x:v>0</x:v>
      </x:c>
      <x:c r="O1316" s="2" t="str">
        <x:v>seguimiento</x:v>
      </x:c>
      <x:c r="P1316" s="2" t="n">
        <x:v>0</x:v>
      </x:c>
      <x:c r="Q1316" s="2" t="str">
        <x:v>simulado_didactico</x:v>
      </x:c>
    </x:row>
    <x:row r="1317" ht="19" customHeight="1">
      <x:c r="A1317" s="2" t="str">
        <x:v>SIM-E2-BB-L0-R06</x:v>
      </x:c>
      <x:c r="B1317" s="2" t="n">
        <x:v>3</x:v>
      </x:c>
      <x:c r="C1317" s="2" t="str">
        <x:v>BB</x:v>
      </x:c>
      <x:c r="D1317" s="2" t="str">
        <x:v>Brevicoryne brassicae</x:v>
      </x:c>
      <x:c r="E1317" s="2" t="str">
        <x:v>L0</x:v>
      </x:c>
      <x:c r="F1317" s="2" t="n">
        <x:v>6</x:v>
      </x:c>
      <x:c r="G1317" s="2" t="n">
        <x:v>13</x:v>
      </x:c>
      <x:c r="H1317" s="2" t="n">
        <x:f>G1317+Supuestos!$C$15</x:f>
        <x:v>14</x:v>
      </x:c>
      <x:c r="I1317" s="14" t="n">
        <x:f>E2_plantas!J33+G1317</x:f>
        <x:v>46201</x:v>
      </x:c>
      <x:c r="J1317" s="2" t="str">
        <x:v>adulta</x:v>
      </x:c>
      <x:c r="K1317" s="2" t="n">
        <x:v>1</x:v>
      </x:c>
      <x:c r="L1317" s="2" t="n">
        <x:v>4</x:v>
      </x:c>
      <x:c r="M1317" s="2" t="n">
        <x:f>SUM(L$1304:L1317)</x:f>
        <x:v>13</x:v>
      </x:c>
      <x:c r="N1317" s="2" t="n">
        <x:v>0</x:v>
      </x:c>
      <x:c r="O1317" s="2" t="str">
        <x:v>seguimiento</x:v>
      </x:c>
      <x:c r="P1317" s="2" t="n">
        <x:v>0</x:v>
      </x:c>
      <x:c r="Q1317" s="2" t="str">
        <x:v>simulado_didactico</x:v>
      </x:c>
    </x:row>
    <x:row r="1318" ht="19" customHeight="1">
      <x:c r="A1318" s="2" t="str">
        <x:v>SIM-E2-BB-L0-R06</x:v>
      </x:c>
      <x:c r="B1318" s="2" t="n">
        <x:v>3</x:v>
      </x:c>
      <x:c r="C1318" s="2" t="str">
        <x:v>BB</x:v>
      </x:c>
      <x:c r="D1318" s="2" t="str">
        <x:v>Brevicoryne brassicae</x:v>
      </x:c>
      <x:c r="E1318" s="2" t="str">
        <x:v>L0</x:v>
      </x:c>
      <x:c r="F1318" s="2" t="n">
        <x:v>6</x:v>
      </x:c>
      <x:c r="G1318" s="2" t="n">
        <x:v>14</x:v>
      </x:c>
      <x:c r="H1318" s="2" t="n">
        <x:f>G1318+Supuestos!$C$15</x:f>
        <x:v>15</x:v>
      </x:c>
      <x:c r="I1318" s="14" t="n">
        <x:f>E2_plantas!J33+G1318</x:f>
        <x:v>46202</x:v>
      </x:c>
      <x:c r="J1318" s="2" t="str">
        <x:v>adulta</x:v>
      </x:c>
      <x:c r="K1318" s="2" t="n">
        <x:v>1</x:v>
      </x:c>
      <x:c r="L1318" s="2" t="n">
        <x:v>3</x:v>
      </x:c>
      <x:c r="M1318" s="2" t="n">
        <x:f>SUM(L$1304:L1318)</x:f>
        <x:v>16</x:v>
      </x:c>
      <x:c r="N1318" s="2" t="n">
        <x:v>0</x:v>
      </x:c>
      <x:c r="O1318" s="2" t="str">
        <x:v>seguimiento</x:v>
      </x:c>
      <x:c r="P1318" s="2" t="n">
        <x:v>0</x:v>
      </x:c>
      <x:c r="Q1318" s="2" t="str">
        <x:v>simulado_didactico</x:v>
      </x:c>
    </x:row>
    <x:row r="1319" ht="19" customHeight="1">
      <x:c r="A1319" s="2" t="str">
        <x:v>SIM-E2-BB-L0-R06</x:v>
      </x:c>
      <x:c r="B1319" s="2" t="n">
        <x:v>3</x:v>
      </x:c>
      <x:c r="C1319" s="2" t="str">
        <x:v>BB</x:v>
      </x:c>
      <x:c r="D1319" s="2" t="str">
        <x:v>Brevicoryne brassicae</x:v>
      </x:c>
      <x:c r="E1319" s="2" t="str">
        <x:v>L0</x:v>
      </x:c>
      <x:c r="F1319" s="2" t="n">
        <x:v>6</x:v>
      </x:c>
      <x:c r="G1319" s="2" t="n">
        <x:v>15</x:v>
      </x:c>
      <x:c r="H1319" s="2" t="n">
        <x:f>G1319+Supuestos!$C$15</x:f>
        <x:v>16</x:v>
      </x:c>
      <x:c r="I1319" s="14" t="n">
        <x:f>E2_plantas!J33+G1319</x:f>
        <x:v>46203</x:v>
      </x:c>
      <x:c r="J1319" s="2" t="str">
        <x:v>adulta</x:v>
      </x:c>
      <x:c r="K1319" s="2" t="n">
        <x:v>1</x:v>
      </x:c>
      <x:c r="L1319" s="2" t="n">
        <x:v>4</x:v>
      </x:c>
      <x:c r="M1319" s="2" t="n">
        <x:f>SUM(L$1304:L1319)</x:f>
        <x:v>20</x:v>
      </x:c>
      <x:c r="N1319" s="2" t="n">
        <x:v>0</x:v>
      </x:c>
      <x:c r="O1319" s="2" t="str">
        <x:v>seguimiento</x:v>
      </x:c>
      <x:c r="P1319" s="2" t="n">
        <x:v>0</x:v>
      </x:c>
      <x:c r="Q1319" s="2" t="str">
        <x:v>simulado_didactico</x:v>
      </x:c>
    </x:row>
    <x:row r="1320" ht="19" customHeight="1">
      <x:c r="A1320" s="2" t="str">
        <x:v>SIM-E2-BB-L0-R06</x:v>
      </x:c>
      <x:c r="B1320" s="2" t="n">
        <x:v>3</x:v>
      </x:c>
      <x:c r="C1320" s="2" t="str">
        <x:v>BB</x:v>
      </x:c>
      <x:c r="D1320" s="2" t="str">
        <x:v>Brevicoryne brassicae</x:v>
      </x:c>
      <x:c r="E1320" s="2" t="str">
        <x:v>L0</x:v>
      </x:c>
      <x:c r="F1320" s="2" t="n">
        <x:v>6</x:v>
      </x:c>
      <x:c r="G1320" s="2" t="n">
        <x:v>16</x:v>
      </x:c>
      <x:c r="H1320" s="2" t="n">
        <x:f>G1320+Supuestos!$C$15</x:f>
        <x:v>17</x:v>
      </x:c>
      <x:c r="I1320" s="14" t="n">
        <x:f>E2_plantas!J33+G1320</x:f>
        <x:v>46204</x:v>
      </x:c>
      <x:c r="J1320" s="2" t="str">
        <x:v>adulta</x:v>
      </x:c>
      <x:c r="K1320" s="2" t="n">
        <x:v>1</x:v>
      </x:c>
      <x:c r="L1320" s="2" t="n">
        <x:v>2</x:v>
      </x:c>
      <x:c r="M1320" s="2" t="n">
        <x:f>SUM(L$1304:L1320)</x:f>
        <x:v>22</x:v>
      </x:c>
      <x:c r="N1320" s="2" t="n">
        <x:v>0</x:v>
      </x:c>
      <x:c r="O1320" s="2" t="str">
        <x:v>seguimiento</x:v>
      </x:c>
      <x:c r="P1320" s="2" t="n">
        <x:v>0</x:v>
      </x:c>
      <x:c r="Q1320" s="2" t="str">
        <x:v>simulado_didactico</x:v>
      </x:c>
    </x:row>
    <x:row r="1321" ht="19" customHeight="1">
      <x:c r="A1321" s="2" t="str">
        <x:v>SIM-E2-BB-L0-R06</x:v>
      </x:c>
      <x:c r="B1321" s="2" t="n">
        <x:v>3</x:v>
      </x:c>
      <x:c r="C1321" s="2" t="str">
        <x:v>BB</x:v>
      </x:c>
      <x:c r="D1321" s="2" t="str">
        <x:v>Brevicoryne brassicae</x:v>
      </x:c>
      <x:c r="E1321" s="2" t="str">
        <x:v>L0</x:v>
      </x:c>
      <x:c r="F1321" s="2" t="n">
        <x:v>6</x:v>
      </x:c>
      <x:c r="G1321" s="2" t="n">
        <x:v>17</x:v>
      </x:c>
      <x:c r="H1321" s="2" t="n">
        <x:f>G1321+Supuestos!$C$15</x:f>
        <x:v>18</x:v>
      </x:c>
      <x:c r="I1321" s="14" t="n">
        <x:f>E2_plantas!J33+G1321</x:f>
        <x:v>46205</x:v>
      </x:c>
      <x:c r="J1321" s="2" t="str">
        <x:v>adulta</x:v>
      </x:c>
      <x:c r="K1321" s="2" t="n">
        <x:v>1</x:v>
      </x:c>
      <x:c r="L1321" s="2" t="n">
        <x:v>7</x:v>
      </x:c>
      <x:c r="M1321" s="2" t="n">
        <x:f>SUM(L$1304:L1321)</x:f>
        <x:v>29</x:v>
      </x:c>
      <x:c r="N1321" s="2" t="n">
        <x:v>0</x:v>
      </x:c>
      <x:c r="O1321" s="2" t="str">
        <x:v>seguimiento</x:v>
      </x:c>
      <x:c r="P1321" s="2" t="n">
        <x:v>0</x:v>
      </x:c>
      <x:c r="Q1321" s="2" t="str">
        <x:v>simulado_didactico</x:v>
      </x:c>
    </x:row>
    <x:row r="1322" ht="19" customHeight="1">
      <x:c r="A1322" s="2" t="str">
        <x:v>SIM-E2-BB-L0-R06</x:v>
      </x:c>
      <x:c r="B1322" s="2" t="n">
        <x:v>3</x:v>
      </x:c>
      <x:c r="C1322" s="2" t="str">
        <x:v>BB</x:v>
      </x:c>
      <x:c r="D1322" s="2" t="str">
        <x:v>Brevicoryne brassicae</x:v>
      </x:c>
      <x:c r="E1322" s="2" t="str">
        <x:v>L0</x:v>
      </x:c>
      <x:c r="F1322" s="2" t="n">
        <x:v>6</x:v>
      </x:c>
      <x:c r="G1322" s="2" t="n">
        <x:v>18</x:v>
      </x:c>
      <x:c r="H1322" s="2" t="n">
        <x:f>G1322+Supuestos!$C$15</x:f>
        <x:v>19</x:v>
      </x:c>
      <x:c r="I1322" s="14" t="n">
        <x:f>E2_plantas!J33+G1322</x:f>
        <x:v>46206</x:v>
      </x:c>
      <x:c r="J1322" s="2" t="str">
        <x:v>adulta</x:v>
      </x:c>
      <x:c r="K1322" s="2" t="n">
        <x:v>1</x:v>
      </x:c>
      <x:c r="L1322" s="2" t="n">
        <x:v>1</x:v>
      </x:c>
      <x:c r="M1322" s="2" t="n">
        <x:f>SUM(L$1304:L1322)</x:f>
        <x:v>30</x:v>
      </x:c>
      <x:c r="N1322" s="2" t="n">
        <x:v>0</x:v>
      </x:c>
      <x:c r="O1322" s="2" t="str">
        <x:v>seguimiento</x:v>
      </x:c>
      <x:c r="P1322" s="2" t="n">
        <x:v>0</x:v>
      </x:c>
      <x:c r="Q1322" s="2" t="str">
        <x:v>simulado_didactico</x:v>
      </x:c>
    </x:row>
    <x:row r="1323" ht="19" customHeight="1">
      <x:c r="A1323" s="2" t="str">
        <x:v>SIM-E2-BB-L0-R06</x:v>
      </x:c>
      <x:c r="B1323" s="2" t="n">
        <x:v>3</x:v>
      </x:c>
      <x:c r="C1323" s="2" t="str">
        <x:v>BB</x:v>
      </x:c>
      <x:c r="D1323" s="2" t="str">
        <x:v>Brevicoryne brassicae</x:v>
      </x:c>
      <x:c r="E1323" s="2" t="str">
        <x:v>L0</x:v>
      </x:c>
      <x:c r="F1323" s="2" t="n">
        <x:v>6</x:v>
      </x:c>
      <x:c r="G1323" s="2" t="n">
        <x:v>19</x:v>
      </x:c>
      <x:c r="H1323" s="2" t="n">
        <x:f>G1323+Supuestos!$C$15</x:f>
        <x:v>20</x:v>
      </x:c>
      <x:c r="I1323" s="14" t="n">
        <x:f>E2_plantas!J33+G1323</x:f>
        <x:v>46207</x:v>
      </x:c>
      <x:c r="J1323" s="2" t="str">
        <x:v>adulta</x:v>
      </x:c>
      <x:c r="K1323" s="2" t="n">
        <x:v>1</x:v>
      </x:c>
      <x:c r="L1323" s="2" t="n">
        <x:v>0</x:v>
      </x:c>
      <x:c r="M1323" s="2" t="n">
        <x:f>SUM(L$1304:L1323)</x:f>
        <x:v>30</x:v>
      </x:c>
      <x:c r="N1323" s="2" t="n">
        <x:v>0</x:v>
      </x:c>
      <x:c r="O1323" s="2" t="str">
        <x:v>seguimiento</x:v>
      </x:c>
      <x:c r="P1323" s="2" t="n">
        <x:v>0</x:v>
      </x:c>
      <x:c r="Q1323" s="2" t="str">
        <x:v>simulado_didactico</x:v>
      </x:c>
    </x:row>
    <x:row r="1324" ht="19" customHeight="1">
      <x:c r="A1324" s="2" t="str">
        <x:v>SIM-E2-BB-L0-R06</x:v>
      </x:c>
      <x:c r="B1324" s="2" t="n">
        <x:v>3</x:v>
      </x:c>
      <x:c r="C1324" s="2" t="str">
        <x:v>BB</x:v>
      </x:c>
      <x:c r="D1324" s="2" t="str">
        <x:v>Brevicoryne brassicae</x:v>
      </x:c>
      <x:c r="E1324" s="2" t="str">
        <x:v>L0</x:v>
      </x:c>
      <x:c r="F1324" s="2" t="n">
        <x:v>6</x:v>
      </x:c>
      <x:c r="G1324" s="2" t="n">
        <x:v>20</x:v>
      </x:c>
      <x:c r="H1324" s="2" t="n">
        <x:f>G1324+Supuestos!$C$15</x:f>
        <x:v>21</x:v>
      </x:c>
      <x:c r="I1324" s="14" t="n">
        <x:f>E2_plantas!J33+G1324</x:f>
        <x:v>46208</x:v>
      </x:c>
      <x:c r="J1324" s="2" t="str">
        <x:v>adulta</x:v>
      </x:c>
      <x:c r="K1324" s="2" t="n">
        <x:v>1</x:v>
      </x:c>
      <x:c r="L1324" s="2" t="n">
        <x:v>1</x:v>
      </x:c>
      <x:c r="M1324" s="2" t="n">
        <x:f>SUM(L$1304:L1324)</x:f>
        <x:v>31</x:v>
      </x:c>
      <x:c r="N1324" s="2" t="n">
        <x:v>0</x:v>
      </x:c>
      <x:c r="O1324" s="2" t="str">
        <x:v>seguimiento</x:v>
      </x:c>
      <x:c r="P1324" s="2" t="n">
        <x:v>0</x:v>
      </x:c>
      <x:c r="Q1324" s="2" t="str">
        <x:v>simulado_didactico</x:v>
      </x:c>
    </x:row>
    <x:row r="1325" ht="19" customHeight="1">
      <x:c r="A1325" s="2" t="str">
        <x:v>SIM-E2-BB-L0-R06</x:v>
      </x:c>
      <x:c r="B1325" s="2" t="n">
        <x:v>3</x:v>
      </x:c>
      <x:c r="C1325" s="2" t="str">
        <x:v>BB</x:v>
      </x:c>
      <x:c r="D1325" s="2" t="str">
        <x:v>Brevicoryne brassicae</x:v>
      </x:c>
      <x:c r="E1325" s="2" t="str">
        <x:v>L0</x:v>
      </x:c>
      <x:c r="F1325" s="2" t="n">
        <x:v>6</x:v>
      </x:c>
      <x:c r="G1325" s="2" t="n">
        <x:v>21</x:v>
      </x:c>
      <x:c r="H1325" s="2" t="n">
        <x:f>G1325+Supuestos!$C$15</x:f>
        <x:v>22</x:v>
      </x:c>
      <x:c r="I1325" s="14" t="n">
        <x:f>E2_plantas!J33+G1325</x:f>
        <x:v>46209</x:v>
      </x:c>
      <x:c r="J1325" s="2" t="str">
        <x:v>adulta</x:v>
      </x:c>
      <x:c r="K1325" s="2" t="n">
        <x:v>1</x:v>
      </x:c>
      <x:c r="L1325" s="2" t="n">
        <x:v>4</x:v>
      </x:c>
      <x:c r="M1325" s="2" t="n">
        <x:f>SUM(L$1304:L1325)</x:f>
        <x:v>35</x:v>
      </x:c>
      <x:c r="N1325" s="2" t="n">
        <x:v>0</x:v>
      </x:c>
      <x:c r="O1325" s="2" t="str">
        <x:v>seguimiento</x:v>
      </x:c>
      <x:c r="P1325" s="2" t="n">
        <x:v>0</x:v>
      </x:c>
      <x:c r="Q1325" s="2" t="str">
        <x:v>simulado_didactico</x:v>
      </x:c>
    </x:row>
    <x:row r="1326" ht="19" customHeight="1">
      <x:c r="A1326" s="2" t="str">
        <x:v>SIM-E2-BB-L0-R06</x:v>
      </x:c>
      <x:c r="B1326" s="2" t="n">
        <x:v>3</x:v>
      </x:c>
      <x:c r="C1326" s="2" t="str">
        <x:v>BB</x:v>
      </x:c>
      <x:c r="D1326" s="2" t="str">
        <x:v>Brevicoryne brassicae</x:v>
      </x:c>
      <x:c r="E1326" s="2" t="str">
        <x:v>L0</x:v>
      </x:c>
      <x:c r="F1326" s="2" t="n">
        <x:v>6</x:v>
      </x:c>
      <x:c r="G1326" s="2" t="n">
        <x:v>22</x:v>
      </x:c>
      <x:c r="H1326" s="2" t="n">
        <x:f>G1326+Supuestos!$C$15</x:f>
        <x:v>23</x:v>
      </x:c>
      <x:c r="I1326" s="14" t="n">
        <x:f>E2_plantas!J33+G1326</x:f>
        <x:v>46210</x:v>
      </x:c>
      <x:c r="J1326" s="2" t="str">
        <x:v>adulta</x:v>
      </x:c>
      <x:c r="K1326" s="2" t="n">
        <x:v>1</x:v>
      </x:c>
      <x:c r="L1326" s="2" t="n">
        <x:v>3</x:v>
      </x:c>
      <x:c r="M1326" s="2" t="n">
        <x:f>SUM(L$1304:L1326)</x:f>
        <x:v>38</x:v>
      </x:c>
      <x:c r="N1326" s="2" t="n">
        <x:v>0</x:v>
      </x:c>
      <x:c r="O1326" s="2" t="str">
        <x:v>seguimiento</x:v>
      </x:c>
      <x:c r="P1326" s="2" t="n">
        <x:v>0</x:v>
      </x:c>
      <x:c r="Q1326" s="2" t="str">
        <x:v>simulado_didactico</x:v>
      </x:c>
    </x:row>
    <x:row r="1327" ht="19" customHeight="1">
      <x:c r="A1327" s="2" t="str">
        <x:v>SIM-E2-BB-L0-R06</x:v>
      </x:c>
      <x:c r="B1327" s="2" t="n">
        <x:v>3</x:v>
      </x:c>
      <x:c r="C1327" s="2" t="str">
        <x:v>BB</x:v>
      </x:c>
      <x:c r="D1327" s="2" t="str">
        <x:v>Brevicoryne brassicae</x:v>
      </x:c>
      <x:c r="E1327" s="2" t="str">
        <x:v>L0</x:v>
      </x:c>
      <x:c r="F1327" s="2" t="n">
        <x:v>6</x:v>
      </x:c>
      <x:c r="G1327" s="2" t="n">
        <x:v>23</x:v>
      </x:c>
      <x:c r="H1327" s="2" t="n">
        <x:f>G1327+Supuestos!$C$15</x:f>
        <x:v>24</x:v>
      </x:c>
      <x:c r="I1327" s="14" t="n">
        <x:f>E2_plantas!J33+G1327</x:f>
        <x:v>46211</x:v>
      </x:c>
      <x:c r="J1327" s="2" t="str">
        <x:v>adulta</x:v>
      </x:c>
      <x:c r="K1327" s="2" t="n">
        <x:v>1</x:v>
      </x:c>
      <x:c r="L1327" s="2" t="n">
        <x:v>1</x:v>
      </x:c>
      <x:c r="M1327" s="2" t="n">
        <x:f>SUM(L$1304:L1327)</x:f>
        <x:v>39</x:v>
      </x:c>
      <x:c r="N1327" s="2" t="n">
        <x:v>0</x:v>
      </x:c>
      <x:c r="O1327" s="2" t="str">
        <x:v>seguimiento</x:v>
      </x:c>
      <x:c r="P1327" s="2" t="n">
        <x:v>0</x:v>
      </x:c>
      <x:c r="Q1327" s="2" t="str">
        <x:v>simulado_didactico</x:v>
      </x:c>
    </x:row>
    <x:row r="1328" ht="19" customHeight="1">
      <x:c r="A1328" s="2" t="str">
        <x:v>SIM-E2-BB-L0-R06</x:v>
      </x:c>
      <x:c r="B1328" s="2" t="n">
        <x:v>3</x:v>
      </x:c>
      <x:c r="C1328" s="2" t="str">
        <x:v>BB</x:v>
      </x:c>
      <x:c r="D1328" s="2" t="str">
        <x:v>Brevicoryne brassicae</x:v>
      </x:c>
      <x:c r="E1328" s="2" t="str">
        <x:v>L0</x:v>
      </x:c>
      <x:c r="F1328" s="2" t="n">
        <x:v>6</x:v>
      </x:c>
      <x:c r="G1328" s="2" t="n">
        <x:v>24</x:v>
      </x:c>
      <x:c r="H1328" s="2" t="n">
        <x:f>G1328+Supuestos!$C$15</x:f>
        <x:v>25</x:v>
      </x:c>
      <x:c r="I1328" s="14" t="n">
        <x:f>E2_plantas!J33+G1328</x:f>
        <x:v>46212</x:v>
      </x:c>
      <x:c r="J1328" s="2" t="str">
        <x:v>adulta</x:v>
      </x:c>
      <x:c r="K1328" s="2" t="n">
        <x:v>1</x:v>
      </x:c>
      <x:c r="L1328" s="2" t="n">
        <x:v>3</x:v>
      </x:c>
      <x:c r="M1328" s="2" t="n">
        <x:f>SUM(L$1304:L1328)</x:f>
        <x:v>42</x:v>
      </x:c>
      <x:c r="N1328" s="2" t="n">
        <x:v>0</x:v>
      </x:c>
      <x:c r="O1328" s="2" t="str">
        <x:v>seguimiento</x:v>
      </x:c>
      <x:c r="P1328" s="2" t="n">
        <x:v>0</x:v>
      </x:c>
      <x:c r="Q1328" s="2" t="str">
        <x:v>simulado_didactico</x:v>
      </x:c>
    </x:row>
    <x:row r="1329" ht="19" customHeight="1">
      <x:c r="A1329" s="2" t="str">
        <x:v>SIM-E2-BB-L0-R06</x:v>
      </x:c>
      <x:c r="B1329" s="2" t="n">
        <x:v>3</x:v>
      </x:c>
      <x:c r="C1329" s="2" t="str">
        <x:v>BB</x:v>
      </x:c>
      <x:c r="D1329" s="2" t="str">
        <x:v>Brevicoryne brassicae</x:v>
      </x:c>
      <x:c r="E1329" s="2" t="str">
        <x:v>L0</x:v>
      </x:c>
      <x:c r="F1329" s="2" t="n">
        <x:v>6</x:v>
      </x:c>
      <x:c r="G1329" s="2" t="n">
        <x:v>25</x:v>
      </x:c>
      <x:c r="H1329" s="2" t="n">
        <x:f>G1329+Supuestos!$C$15</x:f>
        <x:v>26</x:v>
      </x:c>
      <x:c r="I1329" s="14" t="n">
        <x:f>E2_plantas!J33+G1329</x:f>
        <x:v>46213</x:v>
      </x:c>
      <x:c r="J1329" s="2" t="str">
        <x:v>adulta</x:v>
      </x:c>
      <x:c r="K1329" s="2" t="n">
        <x:v>1</x:v>
      </x:c>
      <x:c r="L1329" s="2" t="n">
        <x:v>2</x:v>
      </x:c>
      <x:c r="M1329" s="2" t="n">
        <x:f>SUM(L$1304:L1329)</x:f>
        <x:v>44</x:v>
      </x:c>
      <x:c r="N1329" s="2" t="n">
        <x:v>0</x:v>
      </x:c>
      <x:c r="O1329" s="2" t="str">
        <x:v>seguimiento</x:v>
      </x:c>
      <x:c r="P1329" s="2" t="n">
        <x:v>0</x:v>
      </x:c>
      <x:c r="Q1329" s="2" t="str">
        <x:v>simulado_didactico</x:v>
      </x:c>
    </x:row>
    <x:row r="1330" ht="19" customHeight="1">
      <x:c r="A1330" s="2" t="str">
        <x:v>SIM-E2-BB-L0-R06</x:v>
      </x:c>
      <x:c r="B1330" s="2" t="n">
        <x:v>3</x:v>
      </x:c>
      <x:c r="C1330" s="2" t="str">
        <x:v>BB</x:v>
      </x:c>
      <x:c r="D1330" s="2" t="str">
        <x:v>Brevicoryne brassicae</x:v>
      </x:c>
      <x:c r="E1330" s="2" t="str">
        <x:v>L0</x:v>
      </x:c>
      <x:c r="F1330" s="2" t="n">
        <x:v>6</x:v>
      </x:c>
      <x:c r="G1330" s="2" t="n">
        <x:v>26</x:v>
      </x:c>
      <x:c r="H1330" s="2" t="n">
        <x:f>G1330+Supuestos!$C$15</x:f>
        <x:v>27</x:v>
      </x:c>
      <x:c r="I1330" s="14" t="n">
        <x:f>E2_plantas!J33+G1330</x:f>
        <x:v>46214</x:v>
      </x:c>
      <x:c r="J1330" s="2" t="str">
        <x:v>adulta</x:v>
      </x:c>
      <x:c r="K1330" s="2" t="n">
        <x:v>1</x:v>
      </x:c>
      <x:c r="L1330" s="2" t="n">
        <x:v>0</x:v>
      </x:c>
      <x:c r="M1330" s="2" t="n">
        <x:f>SUM(L$1304:L1330)</x:f>
        <x:v>44</x:v>
      </x:c>
      <x:c r="N1330" s="2" t="n">
        <x:v>0</x:v>
      </x:c>
      <x:c r="O1330" s="2" t="str">
        <x:v>seguimiento</x:v>
      </x:c>
      <x:c r="P1330" s="2" t="n">
        <x:v>0</x:v>
      </x:c>
      <x:c r="Q1330" s="2" t="str">
        <x:v>simulado_didactico</x:v>
      </x:c>
    </x:row>
    <x:row r="1331" ht="19" customHeight="1">
      <x:c r="A1331" s="2" t="str">
        <x:v>SIM-E2-BB-L0-R06</x:v>
      </x:c>
      <x:c r="B1331" s="2" t="n">
        <x:v>3</x:v>
      </x:c>
      <x:c r="C1331" s="2" t="str">
        <x:v>BB</x:v>
      </x:c>
      <x:c r="D1331" s="2" t="str">
        <x:v>Brevicoryne brassicae</x:v>
      </x:c>
      <x:c r="E1331" s="2" t="str">
        <x:v>L0</x:v>
      </x:c>
      <x:c r="F1331" s="2" t="n">
        <x:v>6</x:v>
      </x:c>
      <x:c r="G1331" s="2" t="n">
        <x:v>27</x:v>
      </x:c>
      <x:c r="H1331" s="2" t="n">
        <x:f>G1331+Supuestos!$C$15</x:f>
        <x:v>28</x:v>
      </x:c>
      <x:c r="I1331" s="14" t="n">
        <x:f>E2_plantas!J33+G1331</x:f>
        <x:v>46215</x:v>
      </x:c>
      <x:c r="J1331" s="2" t="str">
        <x:v>adulta</x:v>
      </x:c>
      <x:c r="K1331" s="2" t="n">
        <x:v>1</x:v>
      </x:c>
      <x:c r="L1331" s="2" t="n">
        <x:v>0</x:v>
      </x:c>
      <x:c r="M1331" s="2" t="n">
        <x:f>SUM(L$1304:L1331)</x:f>
        <x:v>44</x:v>
      </x:c>
      <x:c r="N1331" s="2" t="n">
        <x:v>0</x:v>
      </x:c>
      <x:c r="O1331" s="2" t="str">
        <x:v>seguimiento</x:v>
      </x:c>
      <x:c r="P1331" s="2" t="n">
        <x:v>0</x:v>
      </x:c>
      <x:c r="Q1331" s="2" t="str">
        <x:v>simulado_didactico</x:v>
      </x:c>
    </x:row>
    <x:row r="1332" ht="19" customHeight="1">
      <x:c r="A1332" s="2" t="str">
        <x:v>SIM-E2-BB-L0-R06</x:v>
      </x:c>
      <x:c r="B1332" s="2" t="n">
        <x:v>3</x:v>
      </x:c>
      <x:c r="C1332" s="2" t="str">
        <x:v>BB</x:v>
      </x:c>
      <x:c r="D1332" s="2" t="str">
        <x:v>Brevicoryne brassicae</x:v>
      </x:c>
      <x:c r="E1332" s="2" t="str">
        <x:v>L0</x:v>
      </x:c>
      <x:c r="F1332" s="2" t="n">
        <x:v>6</x:v>
      </x:c>
      <x:c r="G1332" s="2" t="n">
        <x:v>28</x:v>
      </x:c>
      <x:c r="H1332" s="2" t="n">
        <x:f>G1332+Supuestos!$C$15</x:f>
        <x:v>29</x:v>
      </x:c>
      <x:c r="I1332" s="14" t="n">
        <x:f>E2_plantas!J33+G1332</x:f>
        <x:v>46216</x:v>
      </x:c>
      <x:c r="J1332" s="2" t="str">
        <x:v>adulta</x:v>
      </x:c>
      <x:c r="K1332" s="2" t="n">
        <x:v>1</x:v>
      </x:c>
      <x:c r="L1332" s="2" t="n">
        <x:v>0</x:v>
      </x:c>
      <x:c r="M1332" s="2" t="n">
        <x:f>SUM(L$1304:L1332)</x:f>
        <x:v>44</x:v>
      </x:c>
      <x:c r="N1332" s="2" t="n">
        <x:v>0</x:v>
      </x:c>
      <x:c r="O1332" s="2" t="str">
        <x:v>seguimiento</x:v>
      </x:c>
      <x:c r="P1332" s="2" t="n">
        <x:v>0</x:v>
      </x:c>
      <x:c r="Q1332" s="2" t="str">
        <x:v>simulado_didactico</x:v>
      </x:c>
    </x:row>
    <x:row r="1333" ht="19" customHeight="1">
      <x:c r="A1333" s="2" t="str">
        <x:v>SIM-E2-BB-L0-R06</x:v>
      </x:c>
      <x:c r="B1333" s="2" t="n">
        <x:v>3</x:v>
      </x:c>
      <x:c r="C1333" s="2" t="str">
        <x:v>BB</x:v>
      </x:c>
      <x:c r="D1333" s="2" t="str">
        <x:v>Brevicoryne brassicae</x:v>
      </x:c>
      <x:c r="E1333" s="2" t="str">
        <x:v>L0</x:v>
      </x:c>
      <x:c r="F1333" s="2" t="n">
        <x:v>6</x:v>
      </x:c>
      <x:c r="G1333" s="2" t="n">
        <x:v>29</x:v>
      </x:c>
      <x:c r="H1333" s="2" t="n">
        <x:f>G1333+Supuestos!$C$15</x:f>
        <x:v>30</x:v>
      </x:c>
      <x:c r="I1333" s="14" t="n">
        <x:f>E2_plantas!J33+G1333</x:f>
        <x:v>46217</x:v>
      </x:c>
      <x:c r="J1333" s="2" t="str">
        <x:v>adulta</x:v>
      </x:c>
      <x:c r="K1333" s="2" t="n">
        <x:v>1</x:v>
      </x:c>
      <x:c r="L1333" s="2" t="n">
        <x:v>0</x:v>
      </x:c>
      <x:c r="M1333" s="2" t="n">
        <x:f>SUM(L$1304:L1333)</x:f>
        <x:v>44</x:v>
      </x:c>
      <x:c r="N1333" s="2" t="n">
        <x:v>0</x:v>
      </x:c>
      <x:c r="O1333" s="2" t="str">
        <x:v>seguimiento</x:v>
      </x:c>
      <x:c r="P1333" s="2" t="n">
        <x:v>0</x:v>
      </x:c>
      <x:c r="Q1333" s="2" t="str">
        <x:v>simulado_didactico</x:v>
      </x:c>
    </x:row>
    <x:row r="1334" ht="19" customHeight="1">
      <x:c r="A1334" s="2" t="str">
        <x:v>SIM-E2-BB-L0-R06</x:v>
      </x:c>
      <x:c r="B1334" s="2" t="n">
        <x:v>3</x:v>
      </x:c>
      <x:c r="C1334" s="2" t="str">
        <x:v>BB</x:v>
      </x:c>
      <x:c r="D1334" s="2" t="str">
        <x:v>Brevicoryne brassicae</x:v>
      </x:c>
      <x:c r="E1334" s="2" t="str">
        <x:v>L0</x:v>
      </x:c>
      <x:c r="F1334" s="2" t="n">
        <x:v>6</x:v>
      </x:c>
      <x:c r="G1334" s="2" t="n">
        <x:v>30</x:v>
      </x:c>
      <x:c r="H1334" s="2" t="n">
        <x:f>G1334+Supuestos!$C$15</x:f>
        <x:v>31</x:v>
      </x:c>
      <x:c r="I1334" s="14" t="n">
        <x:f>E2_plantas!J33+G1334</x:f>
        <x:v>46218</x:v>
      </x:c>
      <x:c r="J1334" s="2" t="str">
        <x:v>muerta</x:v>
      </x:c>
      <x:c r="K1334" s="2" t="n">
        <x:v>0</x:v>
      </x:c>
      <x:c r="L1334" s="2" t="n">
        <x:v>0</x:v>
      </x:c>
      <x:c r="M1334" s="2" t="n">
        <x:f>SUM(L$1304:L1334)</x:f>
        <x:v>44</x:v>
      </x:c>
      <x:c r="N1334" s="2" t="n">
        <x:v>1</x:v>
      </x:c>
      <x:c r="O1334" s="2" t="str">
        <x:v>muerte</x:v>
      </x:c>
      <x:c r="P1334" s="2" t="n">
        <x:v>0</x:v>
      </x:c>
      <x:c r="Q1334" s="2" t="str">
        <x:v>simulado_didactico</x:v>
      </x:c>
    </x:row>
    <x:row r="1335" ht="19" customHeight="1">
      <x:c r="A1335" s="2" t="str">
        <x:v>SIM-E2-BB-L0-R06</x:v>
      </x:c>
      <x:c r="B1335" s="2" t="n">
        <x:v>3</x:v>
      </x:c>
      <x:c r="C1335" s="2" t="str">
        <x:v>BB</x:v>
      </x:c>
      <x:c r="D1335" s="2" t="str">
        <x:v>Brevicoryne brassicae</x:v>
      </x:c>
      <x:c r="E1335" s="2" t="str">
        <x:v>L0</x:v>
      </x:c>
      <x:c r="F1335" s="2" t="n">
        <x:v>6</x:v>
      </x:c>
      <x:c r="G1335" s="2" t="n">
        <x:v>31</x:v>
      </x:c>
      <x:c r="H1335" s="2" t="n">
        <x:f>G1335+Supuestos!$C$15</x:f>
        <x:v>32</x:v>
      </x:c>
      <x:c r="I1335" s="14" t="n">
        <x:f>E2_plantas!J33+G1335</x:f>
        <x:v>46219</x:v>
      </x:c>
      <x:c r="J1335" s="2" t="str">
        <x:v>muerta</x:v>
      </x:c>
      <x:c r="K1335" s="2" t="n">
        <x:v>0</x:v>
      </x:c>
      <x:c r="L1335" s="2" t="n">
        <x:v>0</x:v>
      </x:c>
      <x:c r="M1335" s="2" t="n">
        <x:f>SUM(L$1304:L1335)</x:f>
        <x:v>44</x:v>
      </x:c>
      <x:c r="N1335" s="2" t="n">
        <x:v>0</x:v>
      </x:c>
      <x:c r="O1335" s="2" t="str">
        <x:v>relleno_postmuerte</x:v>
      </x:c>
      <x:c r="P1335" s="2" t="n">
        <x:v>0</x:v>
      </x:c>
      <x:c r="Q1335" s="2" t="str">
        <x:v>simulado_didactico</x:v>
      </x:c>
    </x:row>
    <x:row r="1336" ht="19" customHeight="1">
      <x:c r="A1336" s="2" t="str">
        <x:v>SIM-E2-BB-L0-R06</x:v>
      </x:c>
      <x:c r="B1336" s="2" t="n">
        <x:v>3</x:v>
      </x:c>
      <x:c r="C1336" s="2" t="str">
        <x:v>BB</x:v>
      </x:c>
      <x:c r="D1336" s="2" t="str">
        <x:v>Brevicoryne brassicae</x:v>
      </x:c>
      <x:c r="E1336" s="2" t="str">
        <x:v>L0</x:v>
      </x:c>
      <x:c r="F1336" s="2" t="n">
        <x:v>6</x:v>
      </x:c>
      <x:c r="G1336" s="2" t="n">
        <x:v>32</x:v>
      </x:c>
      <x:c r="H1336" s="2" t="n">
        <x:f>G1336+Supuestos!$C$15</x:f>
        <x:v>33</x:v>
      </x:c>
      <x:c r="I1336" s="14" t="n">
        <x:f>E2_plantas!J33+G1336</x:f>
        <x:v>46220</x:v>
      </x:c>
      <x:c r="J1336" s="2" t="str">
        <x:v>muerta</x:v>
      </x:c>
      <x:c r="K1336" s="2" t="n">
        <x:v>0</x:v>
      </x:c>
      <x:c r="L1336" s="2" t="n">
        <x:v>0</x:v>
      </x:c>
      <x:c r="M1336" s="2" t="n">
        <x:f>SUM(L$1304:L1336)</x:f>
        <x:v>44</x:v>
      </x:c>
      <x:c r="N1336" s="2" t="n">
        <x:v>0</x:v>
      </x:c>
      <x:c r="O1336" s="2" t="str">
        <x:v>relleno_postmuerte</x:v>
      </x:c>
      <x:c r="P1336" s="2" t="n">
        <x:v>0</x:v>
      </x:c>
      <x:c r="Q1336" s="2" t="str">
        <x:v>simulado_didactico</x:v>
      </x:c>
    </x:row>
    <x:row r="1337" ht="19" customHeight="1">
      <x:c r="A1337" s="2" t="str">
        <x:v>SIM-E2-BB-L0-R06</x:v>
      </x:c>
      <x:c r="B1337" s="2" t="n">
        <x:v>3</x:v>
      </x:c>
      <x:c r="C1337" s="2" t="str">
        <x:v>BB</x:v>
      </x:c>
      <x:c r="D1337" s="2" t="str">
        <x:v>Brevicoryne brassicae</x:v>
      </x:c>
      <x:c r="E1337" s="2" t="str">
        <x:v>L0</x:v>
      </x:c>
      <x:c r="F1337" s="2" t="n">
        <x:v>6</x:v>
      </x:c>
      <x:c r="G1337" s="2" t="n">
        <x:v>33</x:v>
      </x:c>
      <x:c r="H1337" s="2" t="n">
        <x:f>G1337+Supuestos!$C$15</x:f>
        <x:v>34</x:v>
      </x:c>
      <x:c r="I1337" s="14" t="n">
        <x:f>E2_plantas!J33+G1337</x:f>
        <x:v>46221</x:v>
      </x:c>
      <x:c r="J1337" s="2" t="str">
        <x:v>muerta</x:v>
      </x:c>
      <x:c r="K1337" s="2" t="n">
        <x:v>0</x:v>
      </x:c>
      <x:c r="L1337" s="2" t="n">
        <x:v>0</x:v>
      </x:c>
      <x:c r="M1337" s="2" t="n">
        <x:f>SUM(L$1304:L1337)</x:f>
        <x:v>44</x:v>
      </x:c>
      <x:c r="N1337" s="2" t="n">
        <x:v>0</x:v>
      </x:c>
      <x:c r="O1337" s="2" t="str">
        <x:v>relleno_postmuerte</x:v>
      </x:c>
      <x:c r="P1337" s="2" t="n">
        <x:v>0</x:v>
      </x:c>
      <x:c r="Q1337" s="2" t="str">
        <x:v>simulado_didactico</x:v>
      </x:c>
    </x:row>
    <x:row r="1338" ht="19" customHeight="1">
      <x:c r="A1338" s="2" t="str">
        <x:v>SIM-E2-BB-L0-R06</x:v>
      </x:c>
      <x:c r="B1338" s="2" t="n">
        <x:v>3</x:v>
      </x:c>
      <x:c r="C1338" s="2" t="str">
        <x:v>BB</x:v>
      </x:c>
      <x:c r="D1338" s="2" t="str">
        <x:v>Brevicoryne brassicae</x:v>
      </x:c>
      <x:c r="E1338" s="2" t="str">
        <x:v>L0</x:v>
      </x:c>
      <x:c r="F1338" s="2" t="n">
        <x:v>6</x:v>
      </x:c>
      <x:c r="G1338" s="2" t="n">
        <x:v>34</x:v>
      </x:c>
      <x:c r="H1338" s="2" t="n">
        <x:f>G1338+Supuestos!$C$15</x:f>
        <x:v>35</x:v>
      </x:c>
      <x:c r="I1338" s="14" t="n">
        <x:f>E2_plantas!J33+G1338</x:f>
        <x:v>46222</x:v>
      </x:c>
      <x:c r="J1338" s="2" t="str">
        <x:v>muerta</x:v>
      </x:c>
      <x:c r="K1338" s="2" t="n">
        <x:v>0</x:v>
      </x:c>
      <x:c r="L1338" s="2" t="n">
        <x:v>0</x:v>
      </x:c>
      <x:c r="M1338" s="2" t="n">
        <x:f>SUM(L$1304:L1338)</x:f>
        <x:v>44</x:v>
      </x:c>
      <x:c r="N1338" s="2" t="n">
        <x:v>0</x:v>
      </x:c>
      <x:c r="O1338" s="2" t="str">
        <x:v>relleno_postmuerte</x:v>
      </x:c>
      <x:c r="P1338" s="2" t="n">
        <x:v>0</x:v>
      </x:c>
      <x:c r="Q1338" s="2" t="str">
        <x:v>simulado_didactico</x:v>
      </x:c>
    </x:row>
    <x:row r="1339" ht="19" customHeight="1">
      <x:c r="A1339" s="2" t="str">
        <x:v>SIM-E2-BB-L0-R06</x:v>
      </x:c>
      <x:c r="B1339" s="2" t="n">
        <x:v>3</x:v>
      </x:c>
      <x:c r="C1339" s="2" t="str">
        <x:v>BB</x:v>
      </x:c>
      <x:c r="D1339" s="2" t="str">
        <x:v>Brevicoryne brassicae</x:v>
      </x:c>
      <x:c r="E1339" s="2" t="str">
        <x:v>L0</x:v>
      </x:c>
      <x:c r="F1339" s="2" t="n">
        <x:v>6</x:v>
      </x:c>
      <x:c r="G1339" s="2" t="n">
        <x:v>35</x:v>
      </x:c>
      <x:c r="H1339" s="2" t="n">
        <x:f>G1339+Supuestos!$C$15</x:f>
        <x:v>36</x:v>
      </x:c>
      <x:c r="I1339" s="14" t="n">
        <x:f>E2_plantas!J33+G1339</x:f>
        <x:v>46223</x:v>
      </x:c>
      <x:c r="J1339" s="2" t="str">
        <x:v>muerta</x:v>
      </x:c>
      <x:c r="K1339" s="2" t="n">
        <x:v>0</x:v>
      </x:c>
      <x:c r="L1339" s="2" t="n">
        <x:v>0</x:v>
      </x:c>
      <x:c r="M1339" s="2" t="n">
        <x:f>SUM(L$1304:L1339)</x:f>
        <x:v>44</x:v>
      </x:c>
      <x:c r="N1339" s="2" t="n">
        <x:v>0</x:v>
      </x:c>
      <x:c r="O1339" s="2" t="str">
        <x:v>relleno_postmuerte</x:v>
      </x:c>
      <x:c r="P1339" s="2" t="n">
        <x:v>0</x:v>
      </x:c>
      <x:c r="Q1339" s="2" t="str">
        <x:v>simulado_didactico</x:v>
      </x:c>
    </x:row>
    <x:row r="1340" ht="19" customHeight="1">
      <x:c r="A1340" s="2" t="str">
        <x:v>SIM-E2-BB-L0-R06</x:v>
      </x:c>
      <x:c r="B1340" s="2" t="n">
        <x:v>3</x:v>
      </x:c>
      <x:c r="C1340" s="2" t="str">
        <x:v>BB</x:v>
      </x:c>
      <x:c r="D1340" s="2" t="str">
        <x:v>Brevicoryne brassicae</x:v>
      </x:c>
      <x:c r="E1340" s="2" t="str">
        <x:v>L0</x:v>
      </x:c>
      <x:c r="F1340" s="2" t="n">
        <x:v>6</x:v>
      </x:c>
      <x:c r="G1340" s="2" t="n">
        <x:v>36</x:v>
      </x:c>
      <x:c r="H1340" s="2" t="n">
        <x:f>G1340+Supuestos!$C$15</x:f>
        <x:v>37</x:v>
      </x:c>
      <x:c r="I1340" s="14" t="n">
        <x:f>E2_plantas!J33+G1340</x:f>
        <x:v>46224</x:v>
      </x:c>
      <x:c r="J1340" s="2" t="str">
        <x:v>muerta</x:v>
      </x:c>
      <x:c r="K1340" s="2" t="n">
        <x:v>0</x:v>
      </x:c>
      <x:c r="L1340" s="2" t="n">
        <x:v>0</x:v>
      </x:c>
      <x:c r="M1340" s="2" t="n">
        <x:f>SUM(L$1304:L1340)</x:f>
        <x:v>44</x:v>
      </x:c>
      <x:c r="N1340" s="2" t="n">
        <x:v>0</x:v>
      </x:c>
      <x:c r="O1340" s="2" t="str">
        <x:v>relleno_postmuerte</x:v>
      </x:c>
      <x:c r="P1340" s="2" t="n">
        <x:v>0</x:v>
      </x:c>
      <x:c r="Q1340" s="2" t="str">
        <x:v>simulado_didactico</x:v>
      </x:c>
    </x:row>
    <x:row r="1341" ht="19" customHeight="1">
      <x:c r="A1341" s="2" t="str">
        <x:v>SIM-E2-BB-L0-R06</x:v>
      </x:c>
      <x:c r="B1341" s="2" t="n">
        <x:v>3</x:v>
      </x:c>
      <x:c r="C1341" s="2" t="str">
        <x:v>BB</x:v>
      </x:c>
      <x:c r="D1341" s="2" t="str">
        <x:v>Brevicoryne brassicae</x:v>
      </x:c>
      <x:c r="E1341" s="2" t="str">
        <x:v>L0</x:v>
      </x:c>
      <x:c r="F1341" s="2" t="n">
        <x:v>6</x:v>
      </x:c>
      <x:c r="G1341" s="2" t="n">
        <x:v>37</x:v>
      </x:c>
      <x:c r="H1341" s="2" t="n">
        <x:f>G1341+Supuestos!$C$15</x:f>
        <x:v>38</x:v>
      </x:c>
      <x:c r="I1341" s="14" t="n">
        <x:f>E2_plantas!J33+G1341</x:f>
        <x:v>46225</x:v>
      </x:c>
      <x:c r="J1341" s="2" t="str">
        <x:v>muerta</x:v>
      </x:c>
      <x:c r="K1341" s="2" t="n">
        <x:v>0</x:v>
      </x:c>
      <x:c r="L1341" s="2" t="n">
        <x:v>0</x:v>
      </x:c>
      <x:c r="M1341" s="2" t="n">
        <x:f>SUM(L$1304:L1341)</x:f>
        <x:v>44</x:v>
      </x:c>
      <x:c r="N1341" s="2" t="n">
        <x:v>0</x:v>
      </x:c>
      <x:c r="O1341" s="2" t="str">
        <x:v>relleno_postmuerte</x:v>
      </x:c>
      <x:c r="P1341" s="2" t="n">
        <x:v>0</x:v>
      </x:c>
      <x:c r="Q1341" s="2" t="str">
        <x:v>simulado_didactico</x:v>
      </x:c>
    </x:row>
    <x:row r="1342" ht="19" customHeight="1">
      <x:c r="A1342" s="2" t="str">
        <x:v>SIM-E2-BB-L0-R06</x:v>
      </x:c>
      <x:c r="B1342" s="2" t="n">
        <x:v>3</x:v>
      </x:c>
      <x:c r="C1342" s="2" t="str">
        <x:v>BB</x:v>
      </x:c>
      <x:c r="D1342" s="2" t="str">
        <x:v>Brevicoryne brassicae</x:v>
      </x:c>
      <x:c r="E1342" s="2" t="str">
        <x:v>L0</x:v>
      </x:c>
      <x:c r="F1342" s="2" t="n">
        <x:v>6</x:v>
      </x:c>
      <x:c r="G1342" s="2" t="n">
        <x:v>38</x:v>
      </x:c>
      <x:c r="H1342" s="2" t="n">
        <x:f>G1342+Supuestos!$C$15</x:f>
        <x:v>39</x:v>
      </x:c>
      <x:c r="I1342" s="14" t="n">
        <x:f>E2_plantas!J33+G1342</x:f>
        <x:v>46226</x:v>
      </x:c>
      <x:c r="J1342" s="2" t="str">
        <x:v>muerta</x:v>
      </x:c>
      <x:c r="K1342" s="2" t="n">
        <x:v>0</x:v>
      </x:c>
      <x:c r="L1342" s="2" t="n">
        <x:v>0</x:v>
      </x:c>
      <x:c r="M1342" s="2" t="n">
        <x:f>SUM(L$1304:L1342)</x:f>
        <x:v>44</x:v>
      </x:c>
      <x:c r="N1342" s="2" t="n">
        <x:v>0</x:v>
      </x:c>
      <x:c r="O1342" s="2" t="str">
        <x:v>relleno_postmuerte</x:v>
      </x:c>
      <x:c r="P1342" s="2" t="n">
        <x:v>0</x:v>
      </x:c>
      <x:c r="Q1342" s="2" t="str">
        <x:v>simulado_didactico</x:v>
      </x:c>
    </x:row>
    <x:row r="1343" ht="19" customHeight="1">
      <x:c r="A1343" s="2" t="str">
        <x:v>SIM-E2-BB-L0-R06</x:v>
      </x:c>
      <x:c r="B1343" s="2" t="n">
        <x:v>3</x:v>
      </x:c>
      <x:c r="C1343" s="2" t="str">
        <x:v>BB</x:v>
      </x:c>
      <x:c r="D1343" s="2" t="str">
        <x:v>Brevicoryne brassicae</x:v>
      </x:c>
      <x:c r="E1343" s="2" t="str">
        <x:v>L0</x:v>
      </x:c>
      <x:c r="F1343" s="2" t="n">
        <x:v>6</x:v>
      </x:c>
      <x:c r="G1343" s="2" t="n">
        <x:v>39</x:v>
      </x:c>
      <x:c r="H1343" s="2" t="n">
        <x:f>G1343+Supuestos!$C$15</x:f>
        <x:v>40</x:v>
      </x:c>
      <x:c r="I1343" s="14" t="n">
        <x:f>E2_plantas!J33+G1343</x:f>
        <x:v>46227</x:v>
      </x:c>
      <x:c r="J1343" s="2" t="str">
        <x:v>muerta</x:v>
      </x:c>
      <x:c r="K1343" s="2" t="n">
        <x:v>0</x:v>
      </x:c>
      <x:c r="L1343" s="2" t="n">
        <x:v>0</x:v>
      </x:c>
      <x:c r="M1343" s="2" t="n">
        <x:f>SUM(L$1304:L1343)</x:f>
        <x:v>44</x:v>
      </x:c>
      <x:c r="N1343" s="2" t="n">
        <x:v>0</x:v>
      </x:c>
      <x:c r="O1343" s="2" t="str">
        <x:v>relleno_postmuerte</x:v>
      </x:c>
      <x:c r="P1343" s="2" t="n">
        <x:v>0</x:v>
      </x:c>
      <x:c r="Q1343" s="2" t="str">
        <x:v>simulado_didactico</x:v>
      </x:c>
    </x:row>
    <x:row r="1344" ht="19" customHeight="1">
      <x:c r="A1344" s="2" t="str">
        <x:v>SIM-E2-BB-L0-R06</x:v>
      </x:c>
      <x:c r="B1344" s="2" t="n">
        <x:v>3</x:v>
      </x:c>
      <x:c r="C1344" s="2" t="str">
        <x:v>BB</x:v>
      </x:c>
      <x:c r="D1344" s="2" t="str">
        <x:v>Brevicoryne brassicae</x:v>
      </x:c>
      <x:c r="E1344" s="2" t="str">
        <x:v>L0</x:v>
      </x:c>
      <x:c r="F1344" s="2" t="n">
        <x:v>6</x:v>
      </x:c>
      <x:c r="G1344" s="2" t="n">
        <x:v>40</x:v>
      </x:c>
      <x:c r="H1344" s="2" t="n">
        <x:f>G1344+Supuestos!$C$15</x:f>
        <x:v>41</x:v>
      </x:c>
      <x:c r="I1344" s="14" t="n">
        <x:f>E2_plantas!J33+G1344</x:f>
        <x:v>46228</x:v>
      </x:c>
      <x:c r="J1344" s="2" t="str">
        <x:v>muerta</x:v>
      </x:c>
      <x:c r="K1344" s="2" t="n">
        <x:v>0</x:v>
      </x:c>
      <x:c r="L1344" s="2" t="n">
        <x:v>0</x:v>
      </x:c>
      <x:c r="M1344" s="2" t="n">
        <x:f>SUM(L$1304:L1344)</x:f>
        <x:v>44</x:v>
      </x:c>
      <x:c r="N1344" s="2" t="n">
        <x:v>0</x:v>
      </x:c>
      <x:c r="O1344" s="2" t="str">
        <x:v>relleno_postmuerte</x:v>
      </x:c>
      <x:c r="P1344" s="2" t="n">
        <x:v>0</x:v>
      </x:c>
      <x:c r="Q1344" s="2" t="str">
        <x:v>simulado_didactico</x:v>
      </x:c>
    </x:row>
    <x:row r="1345" ht="19" customHeight="1">
      <x:c r="A1345" s="2" t="str">
        <x:v>SIM-E2-BB-L0-R06</x:v>
      </x:c>
      <x:c r="B1345" s="2" t="n">
        <x:v>3</x:v>
      </x:c>
      <x:c r="C1345" s="2" t="str">
        <x:v>BB</x:v>
      </x:c>
      <x:c r="D1345" s="2" t="str">
        <x:v>Brevicoryne brassicae</x:v>
      </x:c>
      <x:c r="E1345" s="2" t="str">
        <x:v>L0</x:v>
      </x:c>
      <x:c r="F1345" s="2" t="n">
        <x:v>6</x:v>
      </x:c>
      <x:c r="G1345" s="2" t="n">
        <x:v>41</x:v>
      </x:c>
      <x:c r="H1345" s="2" t="n">
        <x:f>G1345+Supuestos!$C$15</x:f>
        <x:v>42</x:v>
      </x:c>
      <x:c r="I1345" s="14" t="n">
        <x:f>E2_plantas!J33+G1345</x:f>
        <x:v>46229</x:v>
      </x:c>
      <x:c r="J1345" s="2" t="str">
        <x:v>muerta</x:v>
      </x:c>
      <x:c r="K1345" s="2" t="n">
        <x:v>0</x:v>
      </x:c>
      <x:c r="L1345" s="2" t="n">
        <x:v>0</x:v>
      </x:c>
      <x:c r="M1345" s="2" t="n">
        <x:f>SUM(L$1304:L1345)</x:f>
        <x:v>44</x:v>
      </x:c>
      <x:c r="N1345" s="2" t="n">
        <x:v>0</x:v>
      </x:c>
      <x:c r="O1345" s="2" t="str">
        <x:v>relleno_postmuerte</x:v>
      </x:c>
      <x:c r="P1345" s="2" t="n">
        <x:v>0</x:v>
      </x:c>
      <x:c r="Q1345" s="2" t="str">
        <x:v>simulado_didactico</x:v>
      </x:c>
    </x:row>
    <x:row r="1346" ht="19" customHeight="1">
      <x:c r="A1346" s="2" t="str">
        <x:v>SIM-E2-BB-L8-R05</x:v>
      </x:c>
      <x:c r="B1346" s="2" t="n">
        <x:v>3</x:v>
      </x:c>
      <x:c r="C1346" s="2" t="str">
        <x:v>BB</x:v>
      </x:c>
      <x:c r="D1346" s="2" t="str">
        <x:v>Brevicoryne brassicae</x:v>
      </x:c>
      <x:c r="E1346" s="2" t="str">
        <x:v>L8</x:v>
      </x:c>
      <x:c r="F1346" s="2" t="n">
        <x:v>5</x:v>
      </x:c>
      <x:c r="G1346" s="2" t="n">
        <x:v>0</x:v>
      </x:c>
      <x:c r="H1346" s="2" t="n">
        <x:f>G1346+Supuestos!$C$15</x:f>
        <x:v>1</x:v>
      </x:c>
      <x:c r="I1346" s="14" t="n">
        <x:f>E2_plantas!J34+G1346</x:f>
        <x:v>46188</x:v>
      </x:c>
      <x:c r="J1346" s="2" t="str">
        <x:v>N1</x:v>
      </x:c>
      <x:c r="K1346" s="2" t="n">
        <x:v>1</x:v>
      </x:c>
      <x:c r="L1346" s="2" t="n">
        <x:v>0</x:v>
      </x:c>
      <x:c r="M1346" s="2" t="n">
        <x:f>SUM(L$1346:L1346)</x:f>
        <x:v>0</x:v>
      </x:c>
      <x:c r="N1346" s="2" t="n">
        <x:v>0</x:v>
      </x:c>
      <x:c r="O1346" s="2" t="str">
        <x:v>seguimiento</x:v>
      </x:c>
      <x:c r="P1346" s="2" t="n">
        <x:v>0</x:v>
      </x:c>
      <x:c r="Q1346" s="2" t="str">
        <x:v>simulado_didactico</x:v>
      </x:c>
    </x:row>
    <x:row r="1347" ht="19" customHeight="1">
      <x:c r="A1347" s="2" t="str">
        <x:v>SIM-E2-BB-L8-R05</x:v>
      </x:c>
      <x:c r="B1347" s="2" t="n">
        <x:v>3</x:v>
      </x:c>
      <x:c r="C1347" s="2" t="str">
        <x:v>BB</x:v>
      </x:c>
      <x:c r="D1347" s="2" t="str">
        <x:v>Brevicoryne brassicae</x:v>
      </x:c>
      <x:c r="E1347" s="2" t="str">
        <x:v>L8</x:v>
      </x:c>
      <x:c r="F1347" s="2" t="n">
        <x:v>5</x:v>
      </x:c>
      <x:c r="G1347" s="2" t="n">
        <x:v>1</x:v>
      </x:c>
      <x:c r="H1347" s="2" t="n">
        <x:f>G1347+Supuestos!$C$15</x:f>
        <x:v>2</x:v>
      </x:c>
      <x:c r="I1347" s="14" t="n">
        <x:f>E2_plantas!J34+G1347</x:f>
        <x:v>46189</x:v>
      </x:c>
      <x:c r="J1347" s="2" t="str">
        <x:v>N2</x:v>
      </x:c>
      <x:c r="K1347" s="2" t="n">
        <x:v>1</x:v>
      </x:c>
      <x:c r="L1347" s="2" t="n">
        <x:v>0</x:v>
      </x:c>
      <x:c r="M1347" s="2" t="n">
        <x:f>SUM(L$1346:L1347)</x:f>
        <x:v>0</x:v>
      </x:c>
      <x:c r="N1347" s="2" t="n">
        <x:v>0</x:v>
      </x:c>
      <x:c r="O1347" s="2" t="str">
        <x:v>seguimiento</x:v>
      </x:c>
      <x:c r="P1347" s="2" t="n">
        <x:v>0</x:v>
      </x:c>
      <x:c r="Q1347" s="2" t="str">
        <x:v>simulado_didactico</x:v>
      </x:c>
    </x:row>
    <x:row r="1348" ht="19" customHeight="1">
      <x:c r="A1348" s="2" t="str">
        <x:v>SIM-E2-BB-L8-R05</x:v>
      </x:c>
      <x:c r="B1348" s="2" t="n">
        <x:v>3</x:v>
      </x:c>
      <x:c r="C1348" s="2" t="str">
        <x:v>BB</x:v>
      </x:c>
      <x:c r="D1348" s="2" t="str">
        <x:v>Brevicoryne brassicae</x:v>
      </x:c>
      <x:c r="E1348" s="2" t="str">
        <x:v>L8</x:v>
      </x:c>
      <x:c r="F1348" s="2" t="n">
        <x:v>5</x:v>
      </x:c>
      <x:c r="G1348" s="2" t="n">
        <x:v>2</x:v>
      </x:c>
      <x:c r="H1348" s="2" t="n">
        <x:f>G1348+Supuestos!$C$15</x:f>
        <x:v>3</x:v>
      </x:c>
      <x:c r="I1348" s="14" t="n">
        <x:f>E2_plantas!J34+G1348</x:f>
        <x:v>46190</x:v>
      </x:c>
      <x:c r="J1348" s="2" t="str">
        <x:v>N3</x:v>
      </x:c>
      <x:c r="K1348" s="2" t="n">
        <x:v>1</x:v>
      </x:c>
      <x:c r="L1348" s="2" t="n">
        <x:v>0</x:v>
      </x:c>
      <x:c r="M1348" s="2" t="n">
        <x:f>SUM(L$1346:L1348)</x:f>
        <x:v>0</x:v>
      </x:c>
      <x:c r="N1348" s="2" t="n">
        <x:v>0</x:v>
      </x:c>
      <x:c r="O1348" s="2" t="str">
        <x:v>seguimiento</x:v>
      </x:c>
      <x:c r="P1348" s="2" t="n">
        <x:v>0</x:v>
      </x:c>
      <x:c r="Q1348" s="2" t="str">
        <x:v>simulado_didactico</x:v>
      </x:c>
    </x:row>
    <x:row r="1349" ht="19" customHeight="1">
      <x:c r="A1349" s="2" t="str">
        <x:v>SIM-E2-BB-L8-R05</x:v>
      </x:c>
      <x:c r="B1349" s="2" t="n">
        <x:v>3</x:v>
      </x:c>
      <x:c r="C1349" s="2" t="str">
        <x:v>BB</x:v>
      </x:c>
      <x:c r="D1349" s="2" t="str">
        <x:v>Brevicoryne brassicae</x:v>
      </x:c>
      <x:c r="E1349" s="2" t="str">
        <x:v>L8</x:v>
      </x:c>
      <x:c r="F1349" s="2" t="n">
        <x:v>5</x:v>
      </x:c>
      <x:c r="G1349" s="2" t="n">
        <x:v>3</x:v>
      </x:c>
      <x:c r="H1349" s="2" t="n">
        <x:f>G1349+Supuestos!$C$15</x:f>
        <x:v>4</x:v>
      </x:c>
      <x:c r="I1349" s="14" t="n">
        <x:f>E2_plantas!J34+G1349</x:f>
        <x:v>46191</x:v>
      </x:c>
      <x:c r="J1349" s="2" t="str">
        <x:v>muerta</x:v>
      </x:c>
      <x:c r="K1349" s="2" t="n">
        <x:v>0</x:v>
      </x:c>
      <x:c r="L1349" s="2" t="n">
        <x:v>0</x:v>
      </x:c>
      <x:c r="M1349" s="2" t="n">
        <x:f>SUM(L$1346:L1349)</x:f>
        <x:v>0</x:v>
      </x:c>
      <x:c r="N1349" s="2" t="n">
        <x:v>1</x:v>
      </x:c>
      <x:c r="O1349" s="2" t="str">
        <x:v>muerte</x:v>
      </x:c>
      <x:c r="P1349" s="2" t="n">
        <x:v>0</x:v>
      </x:c>
      <x:c r="Q1349" s="2" t="str">
        <x:v>simulado_didactico</x:v>
      </x:c>
    </x:row>
    <x:row r="1350" ht="19" customHeight="1">
      <x:c r="A1350" s="2" t="str">
        <x:v>SIM-E2-BB-L8-R05</x:v>
      </x:c>
      <x:c r="B1350" s="2" t="n">
        <x:v>3</x:v>
      </x:c>
      <x:c r="C1350" s="2" t="str">
        <x:v>BB</x:v>
      </x:c>
      <x:c r="D1350" s="2" t="str">
        <x:v>Brevicoryne brassicae</x:v>
      </x:c>
      <x:c r="E1350" s="2" t="str">
        <x:v>L8</x:v>
      </x:c>
      <x:c r="F1350" s="2" t="n">
        <x:v>5</x:v>
      </x:c>
      <x:c r="G1350" s="2" t="n">
        <x:v>4</x:v>
      </x:c>
      <x:c r="H1350" s="2" t="n">
        <x:f>G1350+Supuestos!$C$15</x:f>
        <x:v>5</x:v>
      </x:c>
      <x:c r="I1350" s="14" t="n">
        <x:f>E2_plantas!J34+G1350</x:f>
        <x:v>46192</x:v>
      </x:c>
      <x:c r="J1350" s="2" t="str">
        <x:v>muerta</x:v>
      </x:c>
      <x:c r="K1350" s="2" t="n">
        <x:v>0</x:v>
      </x:c>
      <x:c r="L1350" s="2" t="n">
        <x:v>0</x:v>
      </x:c>
      <x:c r="M1350" s="2" t="n">
        <x:f>SUM(L$1346:L1350)</x:f>
        <x:v>0</x:v>
      </x:c>
      <x:c r="N1350" s="2" t="n">
        <x:v>0</x:v>
      </x:c>
      <x:c r="O1350" s="2" t="str">
        <x:v>relleno_postmuerte</x:v>
      </x:c>
      <x:c r="P1350" s="2" t="n">
        <x:v>0</x:v>
      </x:c>
      <x:c r="Q1350" s="2" t="str">
        <x:v>simulado_didactico</x:v>
      </x:c>
    </x:row>
    <x:row r="1351" ht="19" customHeight="1">
      <x:c r="A1351" s="2" t="str">
        <x:v>SIM-E2-BB-L8-R05</x:v>
      </x:c>
      <x:c r="B1351" s="2" t="n">
        <x:v>3</x:v>
      </x:c>
      <x:c r="C1351" s="2" t="str">
        <x:v>BB</x:v>
      </x:c>
      <x:c r="D1351" s="2" t="str">
        <x:v>Brevicoryne brassicae</x:v>
      </x:c>
      <x:c r="E1351" s="2" t="str">
        <x:v>L8</x:v>
      </x:c>
      <x:c r="F1351" s="2" t="n">
        <x:v>5</x:v>
      </x:c>
      <x:c r="G1351" s="2" t="n">
        <x:v>5</x:v>
      </x:c>
      <x:c r="H1351" s="2" t="n">
        <x:f>G1351+Supuestos!$C$15</x:f>
        <x:v>6</x:v>
      </x:c>
      <x:c r="I1351" s="14" t="n">
        <x:f>E2_plantas!J34+G1351</x:f>
        <x:v>46193</x:v>
      </x:c>
      <x:c r="J1351" s="2" t="str">
        <x:v>muerta</x:v>
      </x:c>
      <x:c r="K1351" s="2" t="n">
        <x:v>0</x:v>
      </x:c>
      <x:c r="L1351" s="2" t="n">
        <x:v>0</x:v>
      </x:c>
      <x:c r="M1351" s="2" t="n">
        <x:f>SUM(L$1346:L1351)</x:f>
        <x:v>0</x:v>
      </x:c>
      <x:c r="N1351" s="2" t="n">
        <x:v>0</x:v>
      </x:c>
      <x:c r="O1351" s="2" t="str">
        <x:v>relleno_postmuerte</x:v>
      </x:c>
      <x:c r="P1351" s="2" t="n">
        <x:v>0</x:v>
      </x:c>
      <x:c r="Q1351" s="2" t="str">
        <x:v>simulado_didactico</x:v>
      </x:c>
    </x:row>
    <x:row r="1352" ht="19" customHeight="1">
      <x:c r="A1352" s="2" t="str">
        <x:v>SIM-E2-BB-L8-R05</x:v>
      </x:c>
      <x:c r="B1352" s="2" t="n">
        <x:v>3</x:v>
      </x:c>
      <x:c r="C1352" s="2" t="str">
        <x:v>BB</x:v>
      </x:c>
      <x:c r="D1352" s="2" t="str">
        <x:v>Brevicoryne brassicae</x:v>
      </x:c>
      <x:c r="E1352" s="2" t="str">
        <x:v>L8</x:v>
      </x:c>
      <x:c r="F1352" s="2" t="n">
        <x:v>5</x:v>
      </x:c>
      <x:c r="G1352" s="2" t="n">
        <x:v>6</x:v>
      </x:c>
      <x:c r="H1352" s="2" t="n">
        <x:f>G1352+Supuestos!$C$15</x:f>
        <x:v>7</x:v>
      </x:c>
      <x:c r="I1352" s="14" t="n">
        <x:f>E2_plantas!J34+G1352</x:f>
        <x:v>46194</x:v>
      </x:c>
      <x:c r="J1352" s="2" t="str">
        <x:v>muerta</x:v>
      </x:c>
      <x:c r="K1352" s="2" t="n">
        <x:v>0</x:v>
      </x:c>
      <x:c r="L1352" s="2" t="n">
        <x:v>0</x:v>
      </x:c>
      <x:c r="M1352" s="2" t="n">
        <x:f>SUM(L$1346:L1352)</x:f>
        <x:v>0</x:v>
      </x:c>
      <x:c r="N1352" s="2" t="n">
        <x:v>0</x:v>
      </x:c>
      <x:c r="O1352" s="2" t="str">
        <x:v>relleno_postmuerte</x:v>
      </x:c>
      <x:c r="P1352" s="2" t="n">
        <x:v>0</x:v>
      </x:c>
      <x:c r="Q1352" s="2" t="str">
        <x:v>simulado_didactico</x:v>
      </x:c>
    </x:row>
    <x:row r="1353" ht="19" customHeight="1">
      <x:c r="A1353" s="2" t="str">
        <x:v>SIM-E2-BB-L8-R05</x:v>
      </x:c>
      <x:c r="B1353" s="2" t="n">
        <x:v>3</x:v>
      </x:c>
      <x:c r="C1353" s="2" t="str">
        <x:v>BB</x:v>
      </x:c>
      <x:c r="D1353" s="2" t="str">
        <x:v>Brevicoryne brassicae</x:v>
      </x:c>
      <x:c r="E1353" s="2" t="str">
        <x:v>L8</x:v>
      </x:c>
      <x:c r="F1353" s="2" t="n">
        <x:v>5</x:v>
      </x:c>
      <x:c r="G1353" s="2" t="n">
        <x:v>7</x:v>
      </x:c>
      <x:c r="H1353" s="2" t="n">
        <x:f>G1353+Supuestos!$C$15</x:f>
        <x:v>8</x:v>
      </x:c>
      <x:c r="I1353" s="14" t="n">
        <x:f>E2_plantas!J34+G1353</x:f>
        <x:v>46195</x:v>
      </x:c>
      <x:c r="J1353" s="2" t="str">
        <x:v>muerta</x:v>
      </x:c>
      <x:c r="K1353" s="2" t="n">
        <x:v>0</x:v>
      </x:c>
      <x:c r="L1353" s="2" t="n">
        <x:v>0</x:v>
      </x:c>
      <x:c r="M1353" s="2" t="n">
        <x:f>SUM(L$1346:L1353)</x:f>
        <x:v>0</x:v>
      </x:c>
      <x:c r="N1353" s="2" t="n">
        <x:v>0</x:v>
      </x:c>
      <x:c r="O1353" s="2" t="str">
        <x:v>relleno_postmuerte</x:v>
      </x:c>
      <x:c r="P1353" s="2" t="n">
        <x:v>0</x:v>
      </x:c>
      <x:c r="Q1353" s="2" t="str">
        <x:v>simulado_didactico</x:v>
      </x:c>
    </x:row>
    <x:row r="1354" ht="19" customHeight="1">
      <x:c r="A1354" s="2" t="str">
        <x:v>SIM-E2-BB-L8-R05</x:v>
      </x:c>
      <x:c r="B1354" s="2" t="n">
        <x:v>3</x:v>
      </x:c>
      <x:c r="C1354" s="2" t="str">
        <x:v>BB</x:v>
      </x:c>
      <x:c r="D1354" s="2" t="str">
        <x:v>Brevicoryne brassicae</x:v>
      </x:c>
      <x:c r="E1354" s="2" t="str">
        <x:v>L8</x:v>
      </x:c>
      <x:c r="F1354" s="2" t="n">
        <x:v>5</x:v>
      </x:c>
      <x:c r="G1354" s="2" t="n">
        <x:v>8</x:v>
      </x:c>
      <x:c r="H1354" s="2" t="n">
        <x:f>G1354+Supuestos!$C$15</x:f>
        <x:v>9</x:v>
      </x:c>
      <x:c r="I1354" s="14" t="n">
        <x:f>E2_plantas!J34+G1354</x:f>
        <x:v>46196</x:v>
      </x:c>
      <x:c r="J1354" s="2" t="str">
        <x:v>muerta</x:v>
      </x:c>
      <x:c r="K1354" s="2" t="n">
        <x:v>0</x:v>
      </x:c>
      <x:c r="L1354" s="2" t="n">
        <x:v>0</x:v>
      </x:c>
      <x:c r="M1354" s="2" t="n">
        <x:f>SUM(L$1346:L1354)</x:f>
        <x:v>0</x:v>
      </x:c>
      <x:c r="N1354" s="2" t="n">
        <x:v>0</x:v>
      </x:c>
      <x:c r="O1354" s="2" t="str">
        <x:v>relleno_postmuerte</x:v>
      </x:c>
      <x:c r="P1354" s="2" t="n">
        <x:v>0</x:v>
      </x:c>
      <x:c r="Q1354" s="2" t="str">
        <x:v>simulado_didactico</x:v>
      </x:c>
    </x:row>
    <x:row r="1355" ht="19" customHeight="1">
      <x:c r="A1355" s="2" t="str">
        <x:v>SIM-E2-BB-L8-R05</x:v>
      </x:c>
      <x:c r="B1355" s="2" t="n">
        <x:v>3</x:v>
      </x:c>
      <x:c r="C1355" s="2" t="str">
        <x:v>BB</x:v>
      </x:c>
      <x:c r="D1355" s="2" t="str">
        <x:v>Brevicoryne brassicae</x:v>
      </x:c>
      <x:c r="E1355" s="2" t="str">
        <x:v>L8</x:v>
      </x:c>
      <x:c r="F1355" s="2" t="n">
        <x:v>5</x:v>
      </x:c>
      <x:c r="G1355" s="2" t="n">
        <x:v>9</x:v>
      </x:c>
      <x:c r="H1355" s="2" t="n">
        <x:f>G1355+Supuestos!$C$15</x:f>
        <x:v>10</x:v>
      </x:c>
      <x:c r="I1355" s="14" t="n">
        <x:f>E2_plantas!J34+G1355</x:f>
        <x:v>46197</x:v>
      </x:c>
      <x:c r="J1355" s="2" t="str">
        <x:v>muerta</x:v>
      </x:c>
      <x:c r="K1355" s="2" t="n">
        <x:v>0</x:v>
      </x:c>
      <x:c r="L1355" s="2" t="n">
        <x:v>0</x:v>
      </x:c>
      <x:c r="M1355" s="2" t="n">
        <x:f>SUM(L$1346:L1355)</x:f>
        <x:v>0</x:v>
      </x:c>
      <x:c r="N1355" s="2" t="n">
        <x:v>0</x:v>
      </x:c>
      <x:c r="O1355" s="2" t="str">
        <x:v>relleno_postmuerte</x:v>
      </x:c>
      <x:c r="P1355" s="2" t="n">
        <x:v>0</x:v>
      </x:c>
      <x:c r="Q1355" s="2" t="str">
        <x:v>simulado_didactico</x:v>
      </x:c>
    </x:row>
    <x:row r="1356" ht="19" customHeight="1">
      <x:c r="A1356" s="2" t="str">
        <x:v>SIM-E2-BB-L8-R05</x:v>
      </x:c>
      <x:c r="B1356" s="2" t="n">
        <x:v>3</x:v>
      </x:c>
      <x:c r="C1356" s="2" t="str">
        <x:v>BB</x:v>
      </x:c>
      <x:c r="D1356" s="2" t="str">
        <x:v>Brevicoryne brassicae</x:v>
      </x:c>
      <x:c r="E1356" s="2" t="str">
        <x:v>L8</x:v>
      </x:c>
      <x:c r="F1356" s="2" t="n">
        <x:v>5</x:v>
      </x:c>
      <x:c r="G1356" s="2" t="n">
        <x:v>10</x:v>
      </x:c>
      <x:c r="H1356" s="2" t="n">
        <x:f>G1356+Supuestos!$C$15</x:f>
        <x:v>11</x:v>
      </x:c>
      <x:c r="I1356" s="14" t="n">
        <x:f>E2_plantas!J34+G1356</x:f>
        <x:v>46198</x:v>
      </x:c>
      <x:c r="J1356" s="2" t="str">
        <x:v>muerta</x:v>
      </x:c>
      <x:c r="K1356" s="2" t="n">
        <x:v>0</x:v>
      </x:c>
      <x:c r="L1356" s="2" t="n">
        <x:v>0</x:v>
      </x:c>
      <x:c r="M1356" s="2" t="n">
        <x:f>SUM(L$1346:L1356)</x:f>
        <x:v>0</x:v>
      </x:c>
      <x:c r="N1356" s="2" t="n">
        <x:v>0</x:v>
      </x:c>
      <x:c r="O1356" s="2" t="str">
        <x:v>relleno_postmuerte</x:v>
      </x:c>
      <x:c r="P1356" s="2" t="n">
        <x:v>0</x:v>
      </x:c>
      <x:c r="Q1356" s="2" t="str">
        <x:v>simulado_didactico</x:v>
      </x:c>
    </x:row>
    <x:row r="1357" ht="19" customHeight="1">
      <x:c r="A1357" s="2" t="str">
        <x:v>SIM-E2-BB-L8-R05</x:v>
      </x:c>
      <x:c r="B1357" s="2" t="n">
        <x:v>3</x:v>
      </x:c>
      <x:c r="C1357" s="2" t="str">
        <x:v>BB</x:v>
      </x:c>
      <x:c r="D1357" s="2" t="str">
        <x:v>Brevicoryne brassicae</x:v>
      </x:c>
      <x:c r="E1357" s="2" t="str">
        <x:v>L8</x:v>
      </x:c>
      <x:c r="F1357" s="2" t="n">
        <x:v>5</x:v>
      </x:c>
      <x:c r="G1357" s="2" t="n">
        <x:v>11</x:v>
      </x:c>
      <x:c r="H1357" s="2" t="n">
        <x:f>G1357+Supuestos!$C$15</x:f>
        <x:v>12</x:v>
      </x:c>
      <x:c r="I1357" s="14" t="n">
        <x:f>E2_plantas!J34+G1357</x:f>
        <x:v>46199</x:v>
      </x:c>
      <x:c r="J1357" s="2" t="str">
        <x:v>muerta</x:v>
      </x:c>
      <x:c r="K1357" s="2" t="n">
        <x:v>0</x:v>
      </x:c>
      <x:c r="L1357" s="2" t="n">
        <x:v>0</x:v>
      </x:c>
      <x:c r="M1357" s="2" t="n">
        <x:f>SUM(L$1346:L1357)</x:f>
        <x:v>0</x:v>
      </x:c>
      <x:c r="N1357" s="2" t="n">
        <x:v>0</x:v>
      </x:c>
      <x:c r="O1357" s="2" t="str">
        <x:v>relleno_postmuerte</x:v>
      </x:c>
      <x:c r="P1357" s="2" t="n">
        <x:v>0</x:v>
      </x:c>
      <x:c r="Q1357" s="2" t="str">
        <x:v>simulado_didactico</x:v>
      </x:c>
    </x:row>
    <x:row r="1358" ht="19" customHeight="1">
      <x:c r="A1358" s="2" t="str">
        <x:v>SIM-E2-BB-L8-R05</x:v>
      </x:c>
      <x:c r="B1358" s="2" t="n">
        <x:v>3</x:v>
      </x:c>
      <x:c r="C1358" s="2" t="str">
        <x:v>BB</x:v>
      </x:c>
      <x:c r="D1358" s="2" t="str">
        <x:v>Brevicoryne brassicae</x:v>
      </x:c>
      <x:c r="E1358" s="2" t="str">
        <x:v>L8</x:v>
      </x:c>
      <x:c r="F1358" s="2" t="n">
        <x:v>5</x:v>
      </x:c>
      <x:c r="G1358" s="2" t="n">
        <x:v>12</x:v>
      </x:c>
      <x:c r="H1358" s="2" t="n">
        <x:f>G1358+Supuestos!$C$15</x:f>
        <x:v>13</x:v>
      </x:c>
      <x:c r="I1358" s="14" t="n">
        <x:f>E2_plantas!J34+G1358</x:f>
        <x:v>46200</x:v>
      </x:c>
      <x:c r="J1358" s="2" t="str">
        <x:v>muerta</x:v>
      </x:c>
      <x:c r="K1358" s="2" t="n">
        <x:v>0</x:v>
      </x:c>
      <x:c r="L1358" s="2" t="n">
        <x:v>0</x:v>
      </x:c>
      <x:c r="M1358" s="2" t="n">
        <x:f>SUM(L$1346:L1358)</x:f>
        <x:v>0</x:v>
      </x:c>
      <x:c r="N1358" s="2" t="n">
        <x:v>0</x:v>
      </x:c>
      <x:c r="O1358" s="2" t="str">
        <x:v>relleno_postmuerte</x:v>
      </x:c>
      <x:c r="P1358" s="2" t="n">
        <x:v>0</x:v>
      </x:c>
      <x:c r="Q1358" s="2" t="str">
        <x:v>simulado_didactico</x:v>
      </x:c>
    </x:row>
    <x:row r="1359" ht="19" customHeight="1">
      <x:c r="A1359" s="2" t="str">
        <x:v>SIM-E2-BB-L8-R05</x:v>
      </x:c>
      <x:c r="B1359" s="2" t="n">
        <x:v>3</x:v>
      </x:c>
      <x:c r="C1359" s="2" t="str">
        <x:v>BB</x:v>
      </x:c>
      <x:c r="D1359" s="2" t="str">
        <x:v>Brevicoryne brassicae</x:v>
      </x:c>
      <x:c r="E1359" s="2" t="str">
        <x:v>L8</x:v>
      </x:c>
      <x:c r="F1359" s="2" t="n">
        <x:v>5</x:v>
      </x:c>
      <x:c r="G1359" s="2" t="n">
        <x:v>13</x:v>
      </x:c>
      <x:c r="H1359" s="2" t="n">
        <x:f>G1359+Supuestos!$C$15</x:f>
        <x:v>14</x:v>
      </x:c>
      <x:c r="I1359" s="14" t="n">
        <x:f>E2_plantas!J34+G1359</x:f>
        <x:v>46201</x:v>
      </x:c>
      <x:c r="J1359" s="2" t="str">
        <x:v>muerta</x:v>
      </x:c>
      <x:c r="K1359" s="2" t="n">
        <x:v>0</x:v>
      </x:c>
      <x:c r="L1359" s="2" t="n">
        <x:v>0</x:v>
      </x:c>
      <x:c r="M1359" s="2" t="n">
        <x:f>SUM(L$1346:L1359)</x:f>
        <x:v>0</x:v>
      </x:c>
      <x:c r="N1359" s="2" t="n">
        <x:v>0</x:v>
      </x:c>
      <x:c r="O1359" s="2" t="str">
        <x:v>relleno_postmuerte</x:v>
      </x:c>
      <x:c r="P1359" s="2" t="n">
        <x:v>0</x:v>
      </x:c>
      <x:c r="Q1359" s="2" t="str">
        <x:v>simulado_didactico</x:v>
      </x:c>
    </x:row>
    <x:row r="1360" ht="19" customHeight="1">
      <x:c r="A1360" s="2" t="str">
        <x:v>SIM-E2-BB-L8-R05</x:v>
      </x:c>
      <x:c r="B1360" s="2" t="n">
        <x:v>3</x:v>
      </x:c>
      <x:c r="C1360" s="2" t="str">
        <x:v>BB</x:v>
      </x:c>
      <x:c r="D1360" s="2" t="str">
        <x:v>Brevicoryne brassicae</x:v>
      </x:c>
      <x:c r="E1360" s="2" t="str">
        <x:v>L8</x:v>
      </x:c>
      <x:c r="F1360" s="2" t="n">
        <x:v>5</x:v>
      </x:c>
      <x:c r="G1360" s="2" t="n">
        <x:v>14</x:v>
      </x:c>
      <x:c r="H1360" s="2" t="n">
        <x:f>G1360+Supuestos!$C$15</x:f>
        <x:v>15</x:v>
      </x:c>
      <x:c r="I1360" s="14" t="n">
        <x:f>E2_plantas!J34+G1360</x:f>
        <x:v>46202</x:v>
      </x:c>
      <x:c r="J1360" s="2" t="str">
        <x:v>muerta</x:v>
      </x:c>
      <x:c r="K1360" s="2" t="n">
        <x:v>0</x:v>
      </x:c>
      <x:c r="L1360" s="2" t="n">
        <x:v>0</x:v>
      </x:c>
      <x:c r="M1360" s="2" t="n">
        <x:f>SUM(L$1346:L1360)</x:f>
        <x:v>0</x:v>
      </x:c>
      <x:c r="N1360" s="2" t="n">
        <x:v>0</x:v>
      </x:c>
      <x:c r="O1360" s="2" t="str">
        <x:v>relleno_postmuerte</x:v>
      </x:c>
      <x:c r="P1360" s="2" t="n">
        <x:v>0</x:v>
      </x:c>
      <x:c r="Q1360" s="2" t="str">
        <x:v>simulado_didactico</x:v>
      </x:c>
    </x:row>
    <x:row r="1361" ht="19" customHeight="1">
      <x:c r="A1361" s="2" t="str">
        <x:v>SIM-E2-BB-L8-R05</x:v>
      </x:c>
      <x:c r="B1361" s="2" t="n">
        <x:v>3</x:v>
      </x:c>
      <x:c r="C1361" s="2" t="str">
        <x:v>BB</x:v>
      </x:c>
      <x:c r="D1361" s="2" t="str">
        <x:v>Brevicoryne brassicae</x:v>
      </x:c>
      <x:c r="E1361" s="2" t="str">
        <x:v>L8</x:v>
      </x:c>
      <x:c r="F1361" s="2" t="n">
        <x:v>5</x:v>
      </x:c>
      <x:c r="G1361" s="2" t="n">
        <x:v>15</x:v>
      </x:c>
      <x:c r="H1361" s="2" t="n">
        <x:f>G1361+Supuestos!$C$15</x:f>
        <x:v>16</x:v>
      </x:c>
      <x:c r="I1361" s="14" t="n">
        <x:f>E2_plantas!J34+G1361</x:f>
        <x:v>46203</x:v>
      </x:c>
      <x:c r="J1361" s="2" t="str">
        <x:v>muerta</x:v>
      </x:c>
      <x:c r="K1361" s="2" t="n">
        <x:v>0</x:v>
      </x:c>
      <x:c r="L1361" s="2" t="n">
        <x:v>0</x:v>
      </x:c>
      <x:c r="M1361" s="2" t="n">
        <x:f>SUM(L$1346:L1361)</x:f>
        <x:v>0</x:v>
      </x:c>
      <x:c r="N1361" s="2" t="n">
        <x:v>0</x:v>
      </x:c>
      <x:c r="O1361" s="2" t="str">
        <x:v>relleno_postmuerte</x:v>
      </x:c>
      <x:c r="P1361" s="2" t="n">
        <x:v>0</x:v>
      </x:c>
      <x:c r="Q1361" s="2" t="str">
        <x:v>simulado_didactico</x:v>
      </x:c>
    </x:row>
    <x:row r="1362" ht="19" customHeight="1">
      <x:c r="A1362" s="2" t="str">
        <x:v>SIM-E2-BB-L8-R05</x:v>
      </x:c>
      <x:c r="B1362" s="2" t="n">
        <x:v>3</x:v>
      </x:c>
      <x:c r="C1362" s="2" t="str">
        <x:v>BB</x:v>
      </x:c>
      <x:c r="D1362" s="2" t="str">
        <x:v>Brevicoryne brassicae</x:v>
      </x:c>
      <x:c r="E1362" s="2" t="str">
        <x:v>L8</x:v>
      </x:c>
      <x:c r="F1362" s="2" t="n">
        <x:v>5</x:v>
      </x:c>
      <x:c r="G1362" s="2" t="n">
        <x:v>16</x:v>
      </x:c>
      <x:c r="H1362" s="2" t="n">
        <x:f>G1362+Supuestos!$C$15</x:f>
        <x:v>17</x:v>
      </x:c>
      <x:c r="I1362" s="14" t="n">
        <x:f>E2_plantas!J34+G1362</x:f>
        <x:v>46204</x:v>
      </x:c>
      <x:c r="J1362" s="2" t="str">
        <x:v>muerta</x:v>
      </x:c>
      <x:c r="K1362" s="2" t="n">
        <x:v>0</x:v>
      </x:c>
      <x:c r="L1362" s="2" t="n">
        <x:v>0</x:v>
      </x:c>
      <x:c r="M1362" s="2" t="n">
        <x:f>SUM(L$1346:L1362)</x:f>
        <x:v>0</x:v>
      </x:c>
      <x:c r="N1362" s="2" t="n">
        <x:v>0</x:v>
      </x:c>
      <x:c r="O1362" s="2" t="str">
        <x:v>relleno_postmuerte</x:v>
      </x:c>
      <x:c r="P1362" s="2" t="n">
        <x:v>0</x:v>
      </x:c>
      <x:c r="Q1362" s="2" t="str">
        <x:v>simulado_didactico</x:v>
      </x:c>
    </x:row>
    <x:row r="1363" ht="19" customHeight="1">
      <x:c r="A1363" s="2" t="str">
        <x:v>SIM-E2-BB-L8-R05</x:v>
      </x:c>
      <x:c r="B1363" s="2" t="n">
        <x:v>3</x:v>
      </x:c>
      <x:c r="C1363" s="2" t="str">
        <x:v>BB</x:v>
      </x:c>
      <x:c r="D1363" s="2" t="str">
        <x:v>Brevicoryne brassicae</x:v>
      </x:c>
      <x:c r="E1363" s="2" t="str">
        <x:v>L8</x:v>
      </x:c>
      <x:c r="F1363" s="2" t="n">
        <x:v>5</x:v>
      </x:c>
      <x:c r="G1363" s="2" t="n">
        <x:v>17</x:v>
      </x:c>
      <x:c r="H1363" s="2" t="n">
        <x:f>G1363+Supuestos!$C$15</x:f>
        <x:v>18</x:v>
      </x:c>
      <x:c r="I1363" s="14" t="n">
        <x:f>E2_plantas!J34+G1363</x:f>
        <x:v>46205</x:v>
      </x:c>
      <x:c r="J1363" s="2" t="str">
        <x:v>muerta</x:v>
      </x:c>
      <x:c r="K1363" s="2" t="n">
        <x:v>0</x:v>
      </x:c>
      <x:c r="L1363" s="2" t="n">
        <x:v>0</x:v>
      </x:c>
      <x:c r="M1363" s="2" t="n">
        <x:f>SUM(L$1346:L1363)</x:f>
        <x:v>0</x:v>
      </x:c>
      <x:c r="N1363" s="2" t="n">
        <x:v>0</x:v>
      </x:c>
      <x:c r="O1363" s="2" t="str">
        <x:v>relleno_postmuerte</x:v>
      </x:c>
      <x:c r="P1363" s="2" t="n">
        <x:v>0</x:v>
      </x:c>
      <x:c r="Q1363" s="2" t="str">
        <x:v>simulado_didactico</x:v>
      </x:c>
    </x:row>
    <x:row r="1364" ht="19" customHeight="1">
      <x:c r="A1364" s="2" t="str">
        <x:v>SIM-E2-BB-L8-R05</x:v>
      </x:c>
      <x:c r="B1364" s="2" t="n">
        <x:v>3</x:v>
      </x:c>
      <x:c r="C1364" s="2" t="str">
        <x:v>BB</x:v>
      </x:c>
      <x:c r="D1364" s="2" t="str">
        <x:v>Brevicoryne brassicae</x:v>
      </x:c>
      <x:c r="E1364" s="2" t="str">
        <x:v>L8</x:v>
      </x:c>
      <x:c r="F1364" s="2" t="n">
        <x:v>5</x:v>
      </x:c>
      <x:c r="G1364" s="2" t="n">
        <x:v>18</x:v>
      </x:c>
      <x:c r="H1364" s="2" t="n">
        <x:f>G1364+Supuestos!$C$15</x:f>
        <x:v>19</x:v>
      </x:c>
      <x:c r="I1364" s="14" t="n">
        <x:f>E2_plantas!J34+G1364</x:f>
        <x:v>46206</x:v>
      </x:c>
      <x:c r="J1364" s="2" t="str">
        <x:v>muerta</x:v>
      </x:c>
      <x:c r="K1364" s="2" t="n">
        <x:v>0</x:v>
      </x:c>
      <x:c r="L1364" s="2" t="n">
        <x:v>0</x:v>
      </x:c>
      <x:c r="M1364" s="2" t="n">
        <x:f>SUM(L$1346:L1364)</x:f>
        <x:v>0</x:v>
      </x:c>
      <x:c r="N1364" s="2" t="n">
        <x:v>0</x:v>
      </x:c>
      <x:c r="O1364" s="2" t="str">
        <x:v>relleno_postmuerte</x:v>
      </x:c>
      <x:c r="P1364" s="2" t="n">
        <x:v>0</x:v>
      </x:c>
      <x:c r="Q1364" s="2" t="str">
        <x:v>simulado_didactico</x:v>
      </x:c>
    </x:row>
    <x:row r="1365" ht="19" customHeight="1">
      <x:c r="A1365" s="2" t="str">
        <x:v>SIM-E2-BB-L8-R05</x:v>
      </x:c>
      <x:c r="B1365" s="2" t="n">
        <x:v>3</x:v>
      </x:c>
      <x:c r="C1365" s="2" t="str">
        <x:v>BB</x:v>
      </x:c>
      <x:c r="D1365" s="2" t="str">
        <x:v>Brevicoryne brassicae</x:v>
      </x:c>
      <x:c r="E1365" s="2" t="str">
        <x:v>L8</x:v>
      </x:c>
      <x:c r="F1365" s="2" t="n">
        <x:v>5</x:v>
      </x:c>
      <x:c r="G1365" s="2" t="n">
        <x:v>19</x:v>
      </x:c>
      <x:c r="H1365" s="2" t="n">
        <x:f>G1365+Supuestos!$C$15</x:f>
        <x:v>20</x:v>
      </x:c>
      <x:c r="I1365" s="14" t="n">
        <x:f>E2_plantas!J34+G1365</x:f>
        <x:v>46207</x:v>
      </x:c>
      <x:c r="J1365" s="2" t="str">
        <x:v>muerta</x:v>
      </x:c>
      <x:c r="K1365" s="2" t="n">
        <x:v>0</x:v>
      </x:c>
      <x:c r="L1365" s="2" t="n">
        <x:v>0</x:v>
      </x:c>
      <x:c r="M1365" s="2" t="n">
        <x:f>SUM(L$1346:L1365)</x:f>
        <x:v>0</x:v>
      </x:c>
      <x:c r="N1365" s="2" t="n">
        <x:v>0</x:v>
      </x:c>
      <x:c r="O1365" s="2" t="str">
        <x:v>relleno_postmuerte</x:v>
      </x:c>
      <x:c r="P1365" s="2" t="n">
        <x:v>0</x:v>
      </x:c>
      <x:c r="Q1365" s="2" t="str">
        <x:v>simulado_didactico</x:v>
      </x:c>
    </x:row>
    <x:row r="1366" ht="19" customHeight="1">
      <x:c r="A1366" s="2" t="str">
        <x:v>SIM-E2-BB-L8-R05</x:v>
      </x:c>
      <x:c r="B1366" s="2" t="n">
        <x:v>3</x:v>
      </x:c>
      <x:c r="C1366" s="2" t="str">
        <x:v>BB</x:v>
      </x:c>
      <x:c r="D1366" s="2" t="str">
        <x:v>Brevicoryne brassicae</x:v>
      </x:c>
      <x:c r="E1366" s="2" t="str">
        <x:v>L8</x:v>
      </x:c>
      <x:c r="F1366" s="2" t="n">
        <x:v>5</x:v>
      </x:c>
      <x:c r="G1366" s="2" t="n">
        <x:v>20</x:v>
      </x:c>
      <x:c r="H1366" s="2" t="n">
        <x:f>G1366+Supuestos!$C$15</x:f>
        <x:v>21</x:v>
      </x:c>
      <x:c r="I1366" s="14" t="n">
        <x:f>E2_plantas!J34+G1366</x:f>
        <x:v>46208</x:v>
      </x:c>
      <x:c r="J1366" s="2" t="str">
        <x:v>muerta</x:v>
      </x:c>
      <x:c r="K1366" s="2" t="n">
        <x:v>0</x:v>
      </x:c>
      <x:c r="L1366" s="2" t="n">
        <x:v>0</x:v>
      </x:c>
      <x:c r="M1366" s="2" t="n">
        <x:f>SUM(L$1346:L1366)</x:f>
        <x:v>0</x:v>
      </x:c>
      <x:c r="N1366" s="2" t="n">
        <x:v>0</x:v>
      </x:c>
      <x:c r="O1366" s="2" t="str">
        <x:v>relleno_postmuerte</x:v>
      </x:c>
      <x:c r="P1366" s="2" t="n">
        <x:v>0</x:v>
      </x:c>
      <x:c r="Q1366" s="2" t="str">
        <x:v>simulado_didactico</x:v>
      </x:c>
    </x:row>
    <x:row r="1367" ht="19" customHeight="1">
      <x:c r="A1367" s="2" t="str">
        <x:v>SIM-E2-BB-L8-R05</x:v>
      </x:c>
      <x:c r="B1367" s="2" t="n">
        <x:v>3</x:v>
      </x:c>
      <x:c r="C1367" s="2" t="str">
        <x:v>BB</x:v>
      </x:c>
      <x:c r="D1367" s="2" t="str">
        <x:v>Brevicoryne brassicae</x:v>
      </x:c>
      <x:c r="E1367" s="2" t="str">
        <x:v>L8</x:v>
      </x:c>
      <x:c r="F1367" s="2" t="n">
        <x:v>5</x:v>
      </x:c>
      <x:c r="G1367" s="2" t="n">
        <x:v>21</x:v>
      </x:c>
      <x:c r="H1367" s="2" t="n">
        <x:f>G1367+Supuestos!$C$15</x:f>
        <x:v>22</x:v>
      </x:c>
      <x:c r="I1367" s="14" t="n">
        <x:f>E2_plantas!J34+G1367</x:f>
        <x:v>46209</x:v>
      </x:c>
      <x:c r="J1367" s="2" t="str">
        <x:v>muerta</x:v>
      </x:c>
      <x:c r="K1367" s="2" t="n">
        <x:v>0</x:v>
      </x:c>
      <x:c r="L1367" s="2" t="n">
        <x:v>0</x:v>
      </x:c>
      <x:c r="M1367" s="2" t="n">
        <x:f>SUM(L$1346:L1367)</x:f>
        <x:v>0</x:v>
      </x:c>
      <x:c r="N1367" s="2" t="n">
        <x:v>0</x:v>
      </x:c>
      <x:c r="O1367" s="2" t="str">
        <x:v>relleno_postmuerte</x:v>
      </x:c>
      <x:c r="P1367" s="2" t="n">
        <x:v>0</x:v>
      </x:c>
      <x:c r="Q1367" s="2" t="str">
        <x:v>simulado_didactico</x:v>
      </x:c>
    </x:row>
    <x:row r="1368" ht="19" customHeight="1">
      <x:c r="A1368" s="2" t="str">
        <x:v>SIM-E2-BB-L8-R05</x:v>
      </x:c>
      <x:c r="B1368" s="2" t="n">
        <x:v>3</x:v>
      </x:c>
      <x:c r="C1368" s="2" t="str">
        <x:v>BB</x:v>
      </x:c>
      <x:c r="D1368" s="2" t="str">
        <x:v>Brevicoryne brassicae</x:v>
      </x:c>
      <x:c r="E1368" s="2" t="str">
        <x:v>L8</x:v>
      </x:c>
      <x:c r="F1368" s="2" t="n">
        <x:v>5</x:v>
      </x:c>
      <x:c r="G1368" s="2" t="n">
        <x:v>22</x:v>
      </x:c>
      <x:c r="H1368" s="2" t="n">
        <x:f>G1368+Supuestos!$C$15</x:f>
        <x:v>23</x:v>
      </x:c>
      <x:c r="I1368" s="14" t="n">
        <x:f>E2_plantas!J34+G1368</x:f>
        <x:v>46210</x:v>
      </x:c>
      <x:c r="J1368" s="2" t="str">
        <x:v>muerta</x:v>
      </x:c>
      <x:c r="K1368" s="2" t="n">
        <x:v>0</x:v>
      </x:c>
      <x:c r="L1368" s="2" t="n">
        <x:v>0</x:v>
      </x:c>
      <x:c r="M1368" s="2" t="n">
        <x:f>SUM(L$1346:L1368)</x:f>
        <x:v>0</x:v>
      </x:c>
      <x:c r="N1368" s="2" t="n">
        <x:v>0</x:v>
      </x:c>
      <x:c r="O1368" s="2" t="str">
        <x:v>relleno_postmuerte</x:v>
      </x:c>
      <x:c r="P1368" s="2" t="n">
        <x:v>0</x:v>
      </x:c>
      <x:c r="Q1368" s="2" t="str">
        <x:v>simulado_didactico</x:v>
      </x:c>
    </x:row>
    <x:row r="1369" ht="19" customHeight="1">
      <x:c r="A1369" s="2" t="str">
        <x:v>SIM-E2-BB-L8-R05</x:v>
      </x:c>
      <x:c r="B1369" s="2" t="n">
        <x:v>3</x:v>
      </x:c>
      <x:c r="C1369" s="2" t="str">
        <x:v>BB</x:v>
      </x:c>
      <x:c r="D1369" s="2" t="str">
        <x:v>Brevicoryne brassicae</x:v>
      </x:c>
      <x:c r="E1369" s="2" t="str">
        <x:v>L8</x:v>
      </x:c>
      <x:c r="F1369" s="2" t="n">
        <x:v>5</x:v>
      </x:c>
      <x:c r="G1369" s="2" t="n">
        <x:v>23</x:v>
      </x:c>
      <x:c r="H1369" s="2" t="n">
        <x:f>G1369+Supuestos!$C$15</x:f>
        <x:v>24</x:v>
      </x:c>
      <x:c r="I1369" s="14" t="n">
        <x:f>E2_plantas!J34+G1369</x:f>
        <x:v>46211</x:v>
      </x:c>
      <x:c r="J1369" s="2" t="str">
        <x:v>muerta</x:v>
      </x:c>
      <x:c r="K1369" s="2" t="n">
        <x:v>0</x:v>
      </x:c>
      <x:c r="L1369" s="2" t="n">
        <x:v>0</x:v>
      </x:c>
      <x:c r="M1369" s="2" t="n">
        <x:f>SUM(L$1346:L1369)</x:f>
        <x:v>0</x:v>
      </x:c>
      <x:c r="N1369" s="2" t="n">
        <x:v>0</x:v>
      </x:c>
      <x:c r="O1369" s="2" t="str">
        <x:v>relleno_postmuerte</x:v>
      </x:c>
      <x:c r="P1369" s="2" t="n">
        <x:v>0</x:v>
      </x:c>
      <x:c r="Q1369" s="2" t="str">
        <x:v>simulado_didactico</x:v>
      </x:c>
    </x:row>
    <x:row r="1370" ht="19" customHeight="1">
      <x:c r="A1370" s="2" t="str">
        <x:v>SIM-E2-BB-L8-R05</x:v>
      </x:c>
      <x:c r="B1370" s="2" t="n">
        <x:v>3</x:v>
      </x:c>
      <x:c r="C1370" s="2" t="str">
        <x:v>BB</x:v>
      </x:c>
      <x:c r="D1370" s="2" t="str">
        <x:v>Brevicoryne brassicae</x:v>
      </x:c>
      <x:c r="E1370" s="2" t="str">
        <x:v>L8</x:v>
      </x:c>
      <x:c r="F1370" s="2" t="n">
        <x:v>5</x:v>
      </x:c>
      <x:c r="G1370" s="2" t="n">
        <x:v>24</x:v>
      </x:c>
      <x:c r="H1370" s="2" t="n">
        <x:f>G1370+Supuestos!$C$15</x:f>
        <x:v>25</x:v>
      </x:c>
      <x:c r="I1370" s="14" t="n">
        <x:f>E2_plantas!J34+G1370</x:f>
        <x:v>46212</x:v>
      </x:c>
      <x:c r="J1370" s="2" t="str">
        <x:v>muerta</x:v>
      </x:c>
      <x:c r="K1370" s="2" t="n">
        <x:v>0</x:v>
      </x:c>
      <x:c r="L1370" s="2" t="n">
        <x:v>0</x:v>
      </x:c>
      <x:c r="M1370" s="2" t="n">
        <x:f>SUM(L$1346:L1370)</x:f>
        <x:v>0</x:v>
      </x:c>
      <x:c r="N1370" s="2" t="n">
        <x:v>0</x:v>
      </x:c>
      <x:c r="O1370" s="2" t="str">
        <x:v>relleno_postmuerte</x:v>
      </x:c>
      <x:c r="P1370" s="2" t="n">
        <x:v>0</x:v>
      </x:c>
      <x:c r="Q1370" s="2" t="str">
        <x:v>simulado_didactico</x:v>
      </x:c>
    </x:row>
    <x:row r="1371" ht="19" customHeight="1">
      <x:c r="A1371" s="2" t="str">
        <x:v>SIM-E2-BB-L8-R05</x:v>
      </x:c>
      <x:c r="B1371" s="2" t="n">
        <x:v>3</x:v>
      </x:c>
      <x:c r="C1371" s="2" t="str">
        <x:v>BB</x:v>
      </x:c>
      <x:c r="D1371" s="2" t="str">
        <x:v>Brevicoryne brassicae</x:v>
      </x:c>
      <x:c r="E1371" s="2" t="str">
        <x:v>L8</x:v>
      </x:c>
      <x:c r="F1371" s="2" t="n">
        <x:v>5</x:v>
      </x:c>
      <x:c r="G1371" s="2" t="n">
        <x:v>25</x:v>
      </x:c>
      <x:c r="H1371" s="2" t="n">
        <x:f>G1371+Supuestos!$C$15</x:f>
        <x:v>26</x:v>
      </x:c>
      <x:c r="I1371" s="14" t="n">
        <x:f>E2_plantas!J34+G1371</x:f>
        <x:v>46213</x:v>
      </x:c>
      <x:c r="J1371" s="2" t="str">
        <x:v>muerta</x:v>
      </x:c>
      <x:c r="K1371" s="2" t="n">
        <x:v>0</x:v>
      </x:c>
      <x:c r="L1371" s="2" t="n">
        <x:v>0</x:v>
      </x:c>
      <x:c r="M1371" s="2" t="n">
        <x:f>SUM(L$1346:L1371)</x:f>
        <x:v>0</x:v>
      </x:c>
      <x:c r="N1371" s="2" t="n">
        <x:v>0</x:v>
      </x:c>
      <x:c r="O1371" s="2" t="str">
        <x:v>relleno_postmuerte</x:v>
      </x:c>
      <x:c r="P1371" s="2" t="n">
        <x:v>0</x:v>
      </x:c>
      <x:c r="Q1371" s="2" t="str">
        <x:v>simulado_didactico</x:v>
      </x:c>
    </x:row>
    <x:row r="1372" ht="19" customHeight="1">
      <x:c r="A1372" s="2" t="str">
        <x:v>SIM-E2-BB-L8-R05</x:v>
      </x:c>
      <x:c r="B1372" s="2" t="n">
        <x:v>3</x:v>
      </x:c>
      <x:c r="C1372" s="2" t="str">
        <x:v>BB</x:v>
      </x:c>
      <x:c r="D1372" s="2" t="str">
        <x:v>Brevicoryne brassicae</x:v>
      </x:c>
      <x:c r="E1372" s="2" t="str">
        <x:v>L8</x:v>
      </x:c>
      <x:c r="F1372" s="2" t="n">
        <x:v>5</x:v>
      </x:c>
      <x:c r="G1372" s="2" t="n">
        <x:v>26</x:v>
      </x:c>
      <x:c r="H1372" s="2" t="n">
        <x:f>G1372+Supuestos!$C$15</x:f>
        <x:v>27</x:v>
      </x:c>
      <x:c r="I1372" s="14" t="n">
        <x:f>E2_plantas!J34+G1372</x:f>
        <x:v>46214</x:v>
      </x:c>
      <x:c r="J1372" s="2" t="str">
        <x:v>muerta</x:v>
      </x:c>
      <x:c r="K1372" s="2" t="n">
        <x:v>0</x:v>
      </x:c>
      <x:c r="L1372" s="2" t="n">
        <x:v>0</x:v>
      </x:c>
      <x:c r="M1372" s="2" t="n">
        <x:f>SUM(L$1346:L1372)</x:f>
        <x:v>0</x:v>
      </x:c>
      <x:c r="N1372" s="2" t="n">
        <x:v>0</x:v>
      </x:c>
      <x:c r="O1372" s="2" t="str">
        <x:v>relleno_postmuerte</x:v>
      </x:c>
      <x:c r="P1372" s="2" t="n">
        <x:v>0</x:v>
      </x:c>
      <x:c r="Q1372" s="2" t="str">
        <x:v>simulado_didactico</x:v>
      </x:c>
    </x:row>
    <x:row r="1373" ht="19" customHeight="1">
      <x:c r="A1373" s="2" t="str">
        <x:v>SIM-E2-BB-L8-R05</x:v>
      </x:c>
      <x:c r="B1373" s="2" t="n">
        <x:v>3</x:v>
      </x:c>
      <x:c r="C1373" s="2" t="str">
        <x:v>BB</x:v>
      </x:c>
      <x:c r="D1373" s="2" t="str">
        <x:v>Brevicoryne brassicae</x:v>
      </x:c>
      <x:c r="E1373" s="2" t="str">
        <x:v>L8</x:v>
      </x:c>
      <x:c r="F1373" s="2" t="n">
        <x:v>5</x:v>
      </x:c>
      <x:c r="G1373" s="2" t="n">
        <x:v>27</x:v>
      </x:c>
      <x:c r="H1373" s="2" t="n">
        <x:f>G1373+Supuestos!$C$15</x:f>
        <x:v>28</x:v>
      </x:c>
      <x:c r="I1373" s="14" t="n">
        <x:f>E2_plantas!J34+G1373</x:f>
        <x:v>46215</x:v>
      </x:c>
      <x:c r="J1373" s="2" t="str">
        <x:v>muerta</x:v>
      </x:c>
      <x:c r="K1373" s="2" t="n">
        <x:v>0</x:v>
      </x:c>
      <x:c r="L1373" s="2" t="n">
        <x:v>0</x:v>
      </x:c>
      <x:c r="M1373" s="2" t="n">
        <x:f>SUM(L$1346:L1373)</x:f>
        <x:v>0</x:v>
      </x:c>
      <x:c r="N1373" s="2" t="n">
        <x:v>0</x:v>
      </x:c>
      <x:c r="O1373" s="2" t="str">
        <x:v>relleno_postmuerte</x:v>
      </x:c>
      <x:c r="P1373" s="2" t="n">
        <x:v>0</x:v>
      </x:c>
      <x:c r="Q1373" s="2" t="str">
        <x:v>simulado_didactico</x:v>
      </x:c>
    </x:row>
    <x:row r="1374" ht="19" customHeight="1">
      <x:c r="A1374" s="2" t="str">
        <x:v>SIM-E2-BB-L8-R05</x:v>
      </x:c>
      <x:c r="B1374" s="2" t="n">
        <x:v>3</x:v>
      </x:c>
      <x:c r="C1374" s="2" t="str">
        <x:v>BB</x:v>
      </x:c>
      <x:c r="D1374" s="2" t="str">
        <x:v>Brevicoryne brassicae</x:v>
      </x:c>
      <x:c r="E1374" s="2" t="str">
        <x:v>L8</x:v>
      </x:c>
      <x:c r="F1374" s="2" t="n">
        <x:v>5</x:v>
      </x:c>
      <x:c r="G1374" s="2" t="n">
        <x:v>28</x:v>
      </x:c>
      <x:c r="H1374" s="2" t="n">
        <x:f>G1374+Supuestos!$C$15</x:f>
        <x:v>29</x:v>
      </x:c>
      <x:c r="I1374" s="14" t="n">
        <x:f>E2_plantas!J34+G1374</x:f>
        <x:v>46216</x:v>
      </x:c>
      <x:c r="J1374" s="2" t="str">
        <x:v>muerta</x:v>
      </x:c>
      <x:c r="K1374" s="2" t="n">
        <x:v>0</x:v>
      </x:c>
      <x:c r="L1374" s="2" t="n">
        <x:v>0</x:v>
      </x:c>
      <x:c r="M1374" s="2" t="n">
        <x:f>SUM(L$1346:L1374)</x:f>
        <x:v>0</x:v>
      </x:c>
      <x:c r="N1374" s="2" t="n">
        <x:v>0</x:v>
      </x:c>
      <x:c r="O1374" s="2" t="str">
        <x:v>relleno_postmuerte</x:v>
      </x:c>
      <x:c r="P1374" s="2" t="n">
        <x:v>0</x:v>
      </x:c>
      <x:c r="Q1374" s="2" t="str">
        <x:v>simulado_didactico</x:v>
      </x:c>
    </x:row>
    <x:row r="1375" ht="19" customHeight="1">
      <x:c r="A1375" s="2" t="str">
        <x:v>SIM-E2-BB-L8-R05</x:v>
      </x:c>
      <x:c r="B1375" s="2" t="n">
        <x:v>3</x:v>
      </x:c>
      <x:c r="C1375" s="2" t="str">
        <x:v>BB</x:v>
      </x:c>
      <x:c r="D1375" s="2" t="str">
        <x:v>Brevicoryne brassicae</x:v>
      </x:c>
      <x:c r="E1375" s="2" t="str">
        <x:v>L8</x:v>
      </x:c>
      <x:c r="F1375" s="2" t="n">
        <x:v>5</x:v>
      </x:c>
      <x:c r="G1375" s="2" t="n">
        <x:v>29</x:v>
      </x:c>
      <x:c r="H1375" s="2" t="n">
        <x:f>G1375+Supuestos!$C$15</x:f>
        <x:v>30</x:v>
      </x:c>
      <x:c r="I1375" s="14" t="n">
        <x:f>E2_plantas!J34+G1375</x:f>
        <x:v>46217</x:v>
      </x:c>
      <x:c r="J1375" s="2" t="str">
        <x:v>muerta</x:v>
      </x:c>
      <x:c r="K1375" s="2" t="n">
        <x:v>0</x:v>
      </x:c>
      <x:c r="L1375" s="2" t="n">
        <x:v>0</x:v>
      </x:c>
      <x:c r="M1375" s="2" t="n">
        <x:f>SUM(L$1346:L1375)</x:f>
        <x:v>0</x:v>
      </x:c>
      <x:c r="N1375" s="2" t="n">
        <x:v>0</x:v>
      </x:c>
      <x:c r="O1375" s="2" t="str">
        <x:v>relleno_postmuerte</x:v>
      </x:c>
      <x:c r="P1375" s="2" t="n">
        <x:v>0</x:v>
      </x:c>
      <x:c r="Q1375" s="2" t="str">
        <x:v>simulado_didactico</x:v>
      </x:c>
    </x:row>
    <x:row r="1376" ht="19" customHeight="1">
      <x:c r="A1376" s="2" t="str">
        <x:v>SIM-E2-BB-L8-R05</x:v>
      </x:c>
      <x:c r="B1376" s="2" t="n">
        <x:v>3</x:v>
      </x:c>
      <x:c r="C1376" s="2" t="str">
        <x:v>BB</x:v>
      </x:c>
      <x:c r="D1376" s="2" t="str">
        <x:v>Brevicoryne brassicae</x:v>
      </x:c>
      <x:c r="E1376" s="2" t="str">
        <x:v>L8</x:v>
      </x:c>
      <x:c r="F1376" s="2" t="n">
        <x:v>5</x:v>
      </x:c>
      <x:c r="G1376" s="2" t="n">
        <x:v>30</x:v>
      </x:c>
      <x:c r="H1376" s="2" t="n">
        <x:f>G1376+Supuestos!$C$15</x:f>
        <x:v>31</x:v>
      </x:c>
      <x:c r="I1376" s="14" t="n">
        <x:f>E2_plantas!J34+G1376</x:f>
        <x:v>46218</x:v>
      </x:c>
      <x:c r="J1376" s="2" t="str">
        <x:v>muerta</x:v>
      </x:c>
      <x:c r="K1376" s="2" t="n">
        <x:v>0</x:v>
      </x:c>
      <x:c r="L1376" s="2" t="n">
        <x:v>0</x:v>
      </x:c>
      <x:c r="M1376" s="2" t="n">
        <x:f>SUM(L$1346:L1376)</x:f>
        <x:v>0</x:v>
      </x:c>
      <x:c r="N1376" s="2" t="n">
        <x:v>0</x:v>
      </x:c>
      <x:c r="O1376" s="2" t="str">
        <x:v>relleno_postmuerte</x:v>
      </x:c>
      <x:c r="P1376" s="2" t="n">
        <x:v>0</x:v>
      </x:c>
      <x:c r="Q1376" s="2" t="str">
        <x:v>simulado_didactico</x:v>
      </x:c>
    </x:row>
    <x:row r="1377" ht="19" customHeight="1">
      <x:c r="A1377" s="2" t="str">
        <x:v>SIM-E2-BB-L8-R05</x:v>
      </x:c>
      <x:c r="B1377" s="2" t="n">
        <x:v>3</x:v>
      </x:c>
      <x:c r="C1377" s="2" t="str">
        <x:v>BB</x:v>
      </x:c>
      <x:c r="D1377" s="2" t="str">
        <x:v>Brevicoryne brassicae</x:v>
      </x:c>
      <x:c r="E1377" s="2" t="str">
        <x:v>L8</x:v>
      </x:c>
      <x:c r="F1377" s="2" t="n">
        <x:v>5</x:v>
      </x:c>
      <x:c r="G1377" s="2" t="n">
        <x:v>31</x:v>
      </x:c>
      <x:c r="H1377" s="2" t="n">
        <x:f>G1377+Supuestos!$C$15</x:f>
        <x:v>32</x:v>
      </x:c>
      <x:c r="I1377" s="14" t="n">
        <x:f>E2_plantas!J34+G1377</x:f>
        <x:v>46219</x:v>
      </x:c>
      <x:c r="J1377" s="2" t="str">
        <x:v>muerta</x:v>
      </x:c>
      <x:c r="K1377" s="2" t="n">
        <x:v>0</x:v>
      </x:c>
      <x:c r="L1377" s="2" t="n">
        <x:v>0</x:v>
      </x:c>
      <x:c r="M1377" s="2" t="n">
        <x:f>SUM(L$1346:L1377)</x:f>
        <x:v>0</x:v>
      </x:c>
      <x:c r="N1377" s="2" t="n">
        <x:v>0</x:v>
      </x:c>
      <x:c r="O1377" s="2" t="str">
        <x:v>relleno_postmuerte</x:v>
      </x:c>
      <x:c r="P1377" s="2" t="n">
        <x:v>0</x:v>
      </x:c>
      <x:c r="Q1377" s="2" t="str">
        <x:v>simulado_didactico</x:v>
      </x:c>
    </x:row>
    <x:row r="1378" ht="19" customHeight="1">
      <x:c r="A1378" s="2" t="str">
        <x:v>SIM-E2-BB-L8-R05</x:v>
      </x:c>
      <x:c r="B1378" s="2" t="n">
        <x:v>3</x:v>
      </x:c>
      <x:c r="C1378" s="2" t="str">
        <x:v>BB</x:v>
      </x:c>
      <x:c r="D1378" s="2" t="str">
        <x:v>Brevicoryne brassicae</x:v>
      </x:c>
      <x:c r="E1378" s="2" t="str">
        <x:v>L8</x:v>
      </x:c>
      <x:c r="F1378" s="2" t="n">
        <x:v>5</x:v>
      </x:c>
      <x:c r="G1378" s="2" t="n">
        <x:v>32</x:v>
      </x:c>
      <x:c r="H1378" s="2" t="n">
        <x:f>G1378+Supuestos!$C$15</x:f>
        <x:v>33</x:v>
      </x:c>
      <x:c r="I1378" s="14" t="n">
        <x:f>E2_plantas!J34+G1378</x:f>
        <x:v>46220</x:v>
      </x:c>
      <x:c r="J1378" s="2" t="str">
        <x:v>muerta</x:v>
      </x:c>
      <x:c r="K1378" s="2" t="n">
        <x:v>0</x:v>
      </x:c>
      <x:c r="L1378" s="2" t="n">
        <x:v>0</x:v>
      </x:c>
      <x:c r="M1378" s="2" t="n">
        <x:f>SUM(L$1346:L1378)</x:f>
        <x:v>0</x:v>
      </x:c>
      <x:c r="N1378" s="2" t="n">
        <x:v>0</x:v>
      </x:c>
      <x:c r="O1378" s="2" t="str">
        <x:v>relleno_postmuerte</x:v>
      </x:c>
      <x:c r="P1378" s="2" t="n">
        <x:v>0</x:v>
      </x:c>
      <x:c r="Q1378" s="2" t="str">
        <x:v>simulado_didactico</x:v>
      </x:c>
    </x:row>
    <x:row r="1379" ht="19" customHeight="1">
      <x:c r="A1379" s="2" t="str">
        <x:v>SIM-E2-BB-L8-R05</x:v>
      </x:c>
      <x:c r="B1379" s="2" t="n">
        <x:v>3</x:v>
      </x:c>
      <x:c r="C1379" s="2" t="str">
        <x:v>BB</x:v>
      </x:c>
      <x:c r="D1379" s="2" t="str">
        <x:v>Brevicoryne brassicae</x:v>
      </x:c>
      <x:c r="E1379" s="2" t="str">
        <x:v>L8</x:v>
      </x:c>
      <x:c r="F1379" s="2" t="n">
        <x:v>5</x:v>
      </x:c>
      <x:c r="G1379" s="2" t="n">
        <x:v>33</x:v>
      </x:c>
      <x:c r="H1379" s="2" t="n">
        <x:f>G1379+Supuestos!$C$15</x:f>
        <x:v>34</x:v>
      </x:c>
      <x:c r="I1379" s="14" t="n">
        <x:f>E2_plantas!J34+G1379</x:f>
        <x:v>46221</x:v>
      </x:c>
      <x:c r="J1379" s="2" t="str">
        <x:v>muerta</x:v>
      </x:c>
      <x:c r="K1379" s="2" t="n">
        <x:v>0</x:v>
      </x:c>
      <x:c r="L1379" s="2" t="n">
        <x:v>0</x:v>
      </x:c>
      <x:c r="M1379" s="2" t="n">
        <x:f>SUM(L$1346:L1379)</x:f>
        <x:v>0</x:v>
      </x:c>
      <x:c r="N1379" s="2" t="n">
        <x:v>0</x:v>
      </x:c>
      <x:c r="O1379" s="2" t="str">
        <x:v>relleno_postmuerte</x:v>
      </x:c>
      <x:c r="P1379" s="2" t="n">
        <x:v>0</x:v>
      </x:c>
      <x:c r="Q1379" s="2" t="str">
        <x:v>simulado_didactico</x:v>
      </x:c>
    </x:row>
    <x:row r="1380" ht="19" customHeight="1">
      <x:c r="A1380" s="2" t="str">
        <x:v>SIM-E2-BB-L8-R05</x:v>
      </x:c>
      <x:c r="B1380" s="2" t="n">
        <x:v>3</x:v>
      </x:c>
      <x:c r="C1380" s="2" t="str">
        <x:v>BB</x:v>
      </x:c>
      <x:c r="D1380" s="2" t="str">
        <x:v>Brevicoryne brassicae</x:v>
      </x:c>
      <x:c r="E1380" s="2" t="str">
        <x:v>L8</x:v>
      </x:c>
      <x:c r="F1380" s="2" t="n">
        <x:v>5</x:v>
      </x:c>
      <x:c r="G1380" s="2" t="n">
        <x:v>34</x:v>
      </x:c>
      <x:c r="H1380" s="2" t="n">
        <x:f>G1380+Supuestos!$C$15</x:f>
        <x:v>35</x:v>
      </x:c>
      <x:c r="I1380" s="14" t="n">
        <x:f>E2_plantas!J34+G1380</x:f>
        <x:v>46222</x:v>
      </x:c>
      <x:c r="J1380" s="2" t="str">
        <x:v>muerta</x:v>
      </x:c>
      <x:c r="K1380" s="2" t="n">
        <x:v>0</x:v>
      </x:c>
      <x:c r="L1380" s="2" t="n">
        <x:v>0</x:v>
      </x:c>
      <x:c r="M1380" s="2" t="n">
        <x:f>SUM(L$1346:L1380)</x:f>
        <x:v>0</x:v>
      </x:c>
      <x:c r="N1380" s="2" t="n">
        <x:v>0</x:v>
      </x:c>
      <x:c r="O1380" s="2" t="str">
        <x:v>relleno_postmuerte</x:v>
      </x:c>
      <x:c r="P1380" s="2" t="n">
        <x:v>0</x:v>
      </x:c>
      <x:c r="Q1380" s="2" t="str">
        <x:v>simulado_didactico</x:v>
      </x:c>
    </x:row>
    <x:row r="1381" ht="19" customHeight="1">
      <x:c r="A1381" s="2" t="str">
        <x:v>SIM-E2-BB-L8-R05</x:v>
      </x:c>
      <x:c r="B1381" s="2" t="n">
        <x:v>3</x:v>
      </x:c>
      <x:c r="C1381" s="2" t="str">
        <x:v>BB</x:v>
      </x:c>
      <x:c r="D1381" s="2" t="str">
        <x:v>Brevicoryne brassicae</x:v>
      </x:c>
      <x:c r="E1381" s="2" t="str">
        <x:v>L8</x:v>
      </x:c>
      <x:c r="F1381" s="2" t="n">
        <x:v>5</x:v>
      </x:c>
      <x:c r="G1381" s="2" t="n">
        <x:v>35</x:v>
      </x:c>
      <x:c r="H1381" s="2" t="n">
        <x:f>G1381+Supuestos!$C$15</x:f>
        <x:v>36</x:v>
      </x:c>
      <x:c r="I1381" s="14" t="n">
        <x:f>E2_plantas!J34+G1381</x:f>
        <x:v>46223</x:v>
      </x:c>
      <x:c r="J1381" s="2" t="str">
        <x:v>muerta</x:v>
      </x:c>
      <x:c r="K1381" s="2" t="n">
        <x:v>0</x:v>
      </x:c>
      <x:c r="L1381" s="2" t="n">
        <x:v>0</x:v>
      </x:c>
      <x:c r="M1381" s="2" t="n">
        <x:f>SUM(L$1346:L1381)</x:f>
        <x:v>0</x:v>
      </x:c>
      <x:c r="N1381" s="2" t="n">
        <x:v>0</x:v>
      </x:c>
      <x:c r="O1381" s="2" t="str">
        <x:v>relleno_postmuerte</x:v>
      </x:c>
      <x:c r="P1381" s="2" t="n">
        <x:v>0</x:v>
      </x:c>
      <x:c r="Q1381" s="2" t="str">
        <x:v>simulado_didactico</x:v>
      </x:c>
    </x:row>
    <x:row r="1382" ht="19" customHeight="1">
      <x:c r="A1382" s="2" t="str">
        <x:v>SIM-E2-BB-L8-R05</x:v>
      </x:c>
      <x:c r="B1382" s="2" t="n">
        <x:v>3</x:v>
      </x:c>
      <x:c r="C1382" s="2" t="str">
        <x:v>BB</x:v>
      </x:c>
      <x:c r="D1382" s="2" t="str">
        <x:v>Brevicoryne brassicae</x:v>
      </x:c>
      <x:c r="E1382" s="2" t="str">
        <x:v>L8</x:v>
      </x:c>
      <x:c r="F1382" s="2" t="n">
        <x:v>5</x:v>
      </x:c>
      <x:c r="G1382" s="2" t="n">
        <x:v>36</x:v>
      </x:c>
      <x:c r="H1382" s="2" t="n">
        <x:f>G1382+Supuestos!$C$15</x:f>
        <x:v>37</x:v>
      </x:c>
      <x:c r="I1382" s="14" t="n">
        <x:f>E2_plantas!J34+G1382</x:f>
        <x:v>46224</x:v>
      </x:c>
      <x:c r="J1382" s="2" t="str">
        <x:v>muerta</x:v>
      </x:c>
      <x:c r="K1382" s="2" t="n">
        <x:v>0</x:v>
      </x:c>
      <x:c r="L1382" s="2" t="n">
        <x:v>0</x:v>
      </x:c>
      <x:c r="M1382" s="2" t="n">
        <x:f>SUM(L$1346:L1382)</x:f>
        <x:v>0</x:v>
      </x:c>
      <x:c r="N1382" s="2" t="n">
        <x:v>0</x:v>
      </x:c>
      <x:c r="O1382" s="2" t="str">
        <x:v>relleno_postmuerte</x:v>
      </x:c>
      <x:c r="P1382" s="2" t="n">
        <x:v>0</x:v>
      </x:c>
      <x:c r="Q1382" s="2" t="str">
        <x:v>simulado_didactico</x:v>
      </x:c>
    </x:row>
    <x:row r="1383" ht="19" customHeight="1">
      <x:c r="A1383" s="2" t="str">
        <x:v>SIM-E2-BB-L8-R05</x:v>
      </x:c>
      <x:c r="B1383" s="2" t="n">
        <x:v>3</x:v>
      </x:c>
      <x:c r="C1383" s="2" t="str">
        <x:v>BB</x:v>
      </x:c>
      <x:c r="D1383" s="2" t="str">
        <x:v>Brevicoryne brassicae</x:v>
      </x:c>
      <x:c r="E1383" s="2" t="str">
        <x:v>L8</x:v>
      </x:c>
      <x:c r="F1383" s="2" t="n">
        <x:v>5</x:v>
      </x:c>
      <x:c r="G1383" s="2" t="n">
        <x:v>37</x:v>
      </x:c>
      <x:c r="H1383" s="2" t="n">
        <x:f>G1383+Supuestos!$C$15</x:f>
        <x:v>38</x:v>
      </x:c>
      <x:c r="I1383" s="14" t="n">
        <x:f>E2_plantas!J34+G1383</x:f>
        <x:v>46225</x:v>
      </x:c>
      <x:c r="J1383" s="2" t="str">
        <x:v>muerta</x:v>
      </x:c>
      <x:c r="K1383" s="2" t="n">
        <x:v>0</x:v>
      </x:c>
      <x:c r="L1383" s="2" t="n">
        <x:v>0</x:v>
      </x:c>
      <x:c r="M1383" s="2" t="n">
        <x:f>SUM(L$1346:L1383)</x:f>
        <x:v>0</x:v>
      </x:c>
      <x:c r="N1383" s="2" t="n">
        <x:v>0</x:v>
      </x:c>
      <x:c r="O1383" s="2" t="str">
        <x:v>relleno_postmuerte</x:v>
      </x:c>
      <x:c r="P1383" s="2" t="n">
        <x:v>0</x:v>
      </x:c>
      <x:c r="Q1383" s="2" t="str">
        <x:v>simulado_didactico</x:v>
      </x:c>
    </x:row>
    <x:row r="1384" ht="19" customHeight="1">
      <x:c r="A1384" s="2" t="str">
        <x:v>SIM-E2-BB-L8-R05</x:v>
      </x:c>
      <x:c r="B1384" s="2" t="n">
        <x:v>3</x:v>
      </x:c>
      <x:c r="C1384" s="2" t="str">
        <x:v>BB</x:v>
      </x:c>
      <x:c r="D1384" s="2" t="str">
        <x:v>Brevicoryne brassicae</x:v>
      </x:c>
      <x:c r="E1384" s="2" t="str">
        <x:v>L8</x:v>
      </x:c>
      <x:c r="F1384" s="2" t="n">
        <x:v>5</x:v>
      </x:c>
      <x:c r="G1384" s="2" t="n">
        <x:v>38</x:v>
      </x:c>
      <x:c r="H1384" s="2" t="n">
        <x:f>G1384+Supuestos!$C$15</x:f>
        <x:v>39</x:v>
      </x:c>
      <x:c r="I1384" s="14" t="n">
        <x:f>E2_plantas!J34+G1384</x:f>
        <x:v>46226</x:v>
      </x:c>
      <x:c r="J1384" s="2" t="str">
        <x:v>muerta</x:v>
      </x:c>
      <x:c r="K1384" s="2" t="n">
        <x:v>0</x:v>
      </x:c>
      <x:c r="L1384" s="2" t="n">
        <x:v>0</x:v>
      </x:c>
      <x:c r="M1384" s="2" t="n">
        <x:f>SUM(L$1346:L1384)</x:f>
        <x:v>0</x:v>
      </x:c>
      <x:c r="N1384" s="2" t="n">
        <x:v>0</x:v>
      </x:c>
      <x:c r="O1384" s="2" t="str">
        <x:v>relleno_postmuerte</x:v>
      </x:c>
      <x:c r="P1384" s="2" t="n">
        <x:v>0</x:v>
      </x:c>
      <x:c r="Q1384" s="2" t="str">
        <x:v>simulado_didactico</x:v>
      </x:c>
    </x:row>
    <x:row r="1385" ht="19" customHeight="1">
      <x:c r="A1385" s="2" t="str">
        <x:v>SIM-E2-BB-L8-R05</x:v>
      </x:c>
      <x:c r="B1385" s="2" t="n">
        <x:v>3</x:v>
      </x:c>
      <x:c r="C1385" s="2" t="str">
        <x:v>BB</x:v>
      </x:c>
      <x:c r="D1385" s="2" t="str">
        <x:v>Brevicoryne brassicae</x:v>
      </x:c>
      <x:c r="E1385" s="2" t="str">
        <x:v>L8</x:v>
      </x:c>
      <x:c r="F1385" s="2" t="n">
        <x:v>5</x:v>
      </x:c>
      <x:c r="G1385" s="2" t="n">
        <x:v>39</x:v>
      </x:c>
      <x:c r="H1385" s="2" t="n">
        <x:f>G1385+Supuestos!$C$15</x:f>
        <x:v>40</x:v>
      </x:c>
      <x:c r="I1385" s="14" t="n">
        <x:f>E2_plantas!J34+G1385</x:f>
        <x:v>46227</x:v>
      </x:c>
      <x:c r="J1385" s="2" t="str">
        <x:v>muerta</x:v>
      </x:c>
      <x:c r="K1385" s="2" t="n">
        <x:v>0</x:v>
      </x:c>
      <x:c r="L1385" s="2" t="n">
        <x:v>0</x:v>
      </x:c>
      <x:c r="M1385" s="2" t="n">
        <x:f>SUM(L$1346:L1385)</x:f>
        <x:v>0</x:v>
      </x:c>
      <x:c r="N1385" s="2" t="n">
        <x:v>0</x:v>
      </x:c>
      <x:c r="O1385" s="2" t="str">
        <x:v>relleno_postmuerte</x:v>
      </x:c>
      <x:c r="P1385" s="2" t="n">
        <x:v>0</x:v>
      </x:c>
      <x:c r="Q1385" s="2" t="str">
        <x:v>simulado_didactico</x:v>
      </x:c>
    </x:row>
    <x:row r="1386" ht="19" customHeight="1">
      <x:c r="A1386" s="2" t="str">
        <x:v>SIM-E2-BB-L8-R05</x:v>
      </x:c>
      <x:c r="B1386" s="2" t="n">
        <x:v>3</x:v>
      </x:c>
      <x:c r="C1386" s="2" t="str">
        <x:v>BB</x:v>
      </x:c>
      <x:c r="D1386" s="2" t="str">
        <x:v>Brevicoryne brassicae</x:v>
      </x:c>
      <x:c r="E1386" s="2" t="str">
        <x:v>L8</x:v>
      </x:c>
      <x:c r="F1386" s="2" t="n">
        <x:v>5</x:v>
      </x:c>
      <x:c r="G1386" s="2" t="n">
        <x:v>40</x:v>
      </x:c>
      <x:c r="H1386" s="2" t="n">
        <x:f>G1386+Supuestos!$C$15</x:f>
        <x:v>41</x:v>
      </x:c>
      <x:c r="I1386" s="14" t="n">
        <x:f>E2_plantas!J34+G1386</x:f>
        <x:v>46228</x:v>
      </x:c>
      <x:c r="J1386" s="2" t="str">
        <x:v>muerta</x:v>
      </x:c>
      <x:c r="K1386" s="2" t="n">
        <x:v>0</x:v>
      </x:c>
      <x:c r="L1386" s="2" t="n">
        <x:v>0</x:v>
      </x:c>
      <x:c r="M1386" s="2" t="n">
        <x:f>SUM(L$1346:L1386)</x:f>
        <x:v>0</x:v>
      </x:c>
      <x:c r="N1386" s="2" t="n">
        <x:v>0</x:v>
      </x:c>
      <x:c r="O1386" s="2" t="str">
        <x:v>relleno_postmuerte</x:v>
      </x:c>
      <x:c r="P1386" s="2" t="n">
        <x:v>0</x:v>
      </x:c>
      <x:c r="Q1386" s="2" t="str">
        <x:v>simulado_didactico</x:v>
      </x:c>
    </x:row>
    <x:row r="1387" ht="19" customHeight="1">
      <x:c r="A1387" s="2" t="str">
        <x:v>SIM-E2-BB-L8-R05</x:v>
      </x:c>
      <x:c r="B1387" s="2" t="n">
        <x:v>3</x:v>
      </x:c>
      <x:c r="C1387" s="2" t="str">
        <x:v>BB</x:v>
      </x:c>
      <x:c r="D1387" s="2" t="str">
        <x:v>Brevicoryne brassicae</x:v>
      </x:c>
      <x:c r="E1387" s="2" t="str">
        <x:v>L8</x:v>
      </x:c>
      <x:c r="F1387" s="2" t="n">
        <x:v>5</x:v>
      </x:c>
      <x:c r="G1387" s="2" t="n">
        <x:v>41</x:v>
      </x:c>
      <x:c r="H1387" s="2" t="n">
        <x:f>G1387+Supuestos!$C$15</x:f>
        <x:v>42</x:v>
      </x:c>
      <x:c r="I1387" s="14" t="n">
        <x:f>E2_plantas!J34+G1387</x:f>
        <x:v>46229</x:v>
      </x:c>
      <x:c r="J1387" s="2" t="str">
        <x:v>muerta</x:v>
      </x:c>
      <x:c r="K1387" s="2" t="n">
        <x:v>0</x:v>
      </x:c>
      <x:c r="L1387" s="2" t="n">
        <x:v>0</x:v>
      </x:c>
      <x:c r="M1387" s="2" t="n">
        <x:f>SUM(L$1346:L1387)</x:f>
        <x:v>0</x:v>
      </x:c>
      <x:c r="N1387" s="2" t="n">
        <x:v>0</x:v>
      </x:c>
      <x:c r="O1387" s="2" t="str">
        <x:v>relleno_postmuerte</x:v>
      </x:c>
      <x:c r="P1387" s="2" t="n">
        <x:v>0</x:v>
      </x:c>
      <x:c r="Q1387" s="2" t="str">
        <x:v>simulado_didactico</x:v>
      </x:c>
    </x:row>
    <x:row r="1388" ht="19" customHeight="1">
      <x:c r="A1388" s="2" t="str">
        <x:v>SIM-E2-BB-L8-R06</x:v>
      </x:c>
      <x:c r="B1388" s="2" t="n">
        <x:v>3</x:v>
      </x:c>
      <x:c r="C1388" s="2" t="str">
        <x:v>BB</x:v>
      </x:c>
      <x:c r="D1388" s="2" t="str">
        <x:v>Brevicoryne brassicae</x:v>
      </x:c>
      <x:c r="E1388" s="2" t="str">
        <x:v>L8</x:v>
      </x:c>
      <x:c r="F1388" s="2" t="n">
        <x:v>6</x:v>
      </x:c>
      <x:c r="G1388" s="2" t="n">
        <x:v>0</x:v>
      </x:c>
      <x:c r="H1388" s="2" t="n">
        <x:f>G1388+Supuestos!$C$15</x:f>
        <x:v>1</x:v>
      </x:c>
      <x:c r="I1388" s="14" t="n">
        <x:f>E2_plantas!J35+G1388</x:f>
        <x:v>46188</x:v>
      </x:c>
      <x:c r="J1388" s="2" t="str">
        <x:v>N1</x:v>
      </x:c>
      <x:c r="K1388" s="2" t="n">
        <x:v>1</x:v>
      </x:c>
      <x:c r="L1388" s="2" t="n">
        <x:v>0</x:v>
      </x:c>
      <x:c r="M1388" s="2" t="n">
        <x:f>SUM(L$1388:L1388)</x:f>
        <x:v>0</x:v>
      </x:c>
      <x:c r="N1388" s="2" t="n">
        <x:v>0</x:v>
      </x:c>
      <x:c r="O1388" s="2" t="str">
        <x:v>seguimiento</x:v>
      </x:c>
      <x:c r="P1388" s="2" t="n">
        <x:v>0</x:v>
      </x:c>
      <x:c r="Q1388" s="2" t="str">
        <x:v>simulado_didactico</x:v>
      </x:c>
    </x:row>
    <x:row r="1389" ht="19" customHeight="1">
      <x:c r="A1389" s="2" t="str">
        <x:v>SIM-E2-BB-L8-R06</x:v>
      </x:c>
      <x:c r="B1389" s="2" t="n">
        <x:v>3</x:v>
      </x:c>
      <x:c r="C1389" s="2" t="str">
        <x:v>BB</x:v>
      </x:c>
      <x:c r="D1389" s="2" t="str">
        <x:v>Brevicoryne brassicae</x:v>
      </x:c>
      <x:c r="E1389" s="2" t="str">
        <x:v>L8</x:v>
      </x:c>
      <x:c r="F1389" s="2" t="n">
        <x:v>6</x:v>
      </x:c>
      <x:c r="G1389" s="2" t="n">
        <x:v>1</x:v>
      </x:c>
      <x:c r="H1389" s="2" t="n">
        <x:f>G1389+Supuestos!$C$15</x:f>
        <x:v>2</x:v>
      </x:c>
      <x:c r="I1389" s="14" t="n">
        <x:f>E2_plantas!J35+G1389</x:f>
        <x:v>46189</x:v>
      </x:c>
      <x:c r="J1389" s="2" t="str">
        <x:v>N1</x:v>
      </x:c>
      <x:c r="K1389" s="2" t="n">
        <x:v>1</x:v>
      </x:c>
      <x:c r="L1389" s="2" t="n">
        <x:v>0</x:v>
      </x:c>
      <x:c r="M1389" s="2" t="n">
        <x:f>SUM(L$1388:L1389)</x:f>
        <x:v>0</x:v>
      </x:c>
      <x:c r="N1389" s="2" t="n">
        <x:v>0</x:v>
      </x:c>
      <x:c r="O1389" s="2" t="str">
        <x:v>seguimiento</x:v>
      </x:c>
      <x:c r="P1389" s="2" t="n">
        <x:v>0</x:v>
      </x:c>
      <x:c r="Q1389" s="2" t="str">
        <x:v>simulado_didactico</x:v>
      </x:c>
    </x:row>
    <x:row r="1390" ht="19" customHeight="1">
      <x:c r="A1390" s="2" t="str">
        <x:v>SIM-E2-BB-L8-R06</x:v>
      </x:c>
      <x:c r="B1390" s="2" t="n">
        <x:v>3</x:v>
      </x:c>
      <x:c r="C1390" s="2" t="str">
        <x:v>BB</x:v>
      </x:c>
      <x:c r="D1390" s="2" t="str">
        <x:v>Brevicoryne brassicae</x:v>
      </x:c>
      <x:c r="E1390" s="2" t="str">
        <x:v>L8</x:v>
      </x:c>
      <x:c r="F1390" s="2" t="n">
        <x:v>6</x:v>
      </x:c>
      <x:c r="G1390" s="2" t="n">
        <x:v>2</x:v>
      </x:c>
      <x:c r="H1390" s="2" t="n">
        <x:f>G1390+Supuestos!$C$15</x:f>
        <x:v>3</x:v>
      </x:c>
      <x:c r="I1390" s="14" t="n">
        <x:f>E2_plantas!J35+G1390</x:f>
        <x:v>46190</x:v>
      </x:c>
      <x:c r="J1390" s="2" t="str">
        <x:v>N2</x:v>
      </x:c>
      <x:c r="K1390" s="2" t="n">
        <x:v>1</x:v>
      </x:c>
      <x:c r="L1390" s="2" t="n">
        <x:v>0</x:v>
      </x:c>
      <x:c r="M1390" s="2" t="n">
        <x:f>SUM(L$1388:L1390)</x:f>
        <x:v>0</x:v>
      </x:c>
      <x:c r="N1390" s="2" t="n">
        <x:v>0</x:v>
      </x:c>
      <x:c r="O1390" s="2" t="str">
        <x:v>seguimiento</x:v>
      </x:c>
      <x:c r="P1390" s="2" t="n">
        <x:v>0</x:v>
      </x:c>
      <x:c r="Q1390" s="2" t="str">
        <x:v>simulado_didactico</x:v>
      </x:c>
    </x:row>
    <x:row r="1391" ht="19" customHeight="1">
      <x:c r="A1391" s="2" t="str">
        <x:v>SIM-E2-BB-L8-R06</x:v>
      </x:c>
      <x:c r="B1391" s="2" t="n">
        <x:v>3</x:v>
      </x:c>
      <x:c r="C1391" s="2" t="str">
        <x:v>BB</x:v>
      </x:c>
      <x:c r="D1391" s="2" t="str">
        <x:v>Brevicoryne brassicae</x:v>
      </x:c>
      <x:c r="E1391" s="2" t="str">
        <x:v>L8</x:v>
      </x:c>
      <x:c r="F1391" s="2" t="n">
        <x:v>6</x:v>
      </x:c>
      <x:c r="G1391" s="2" t="n">
        <x:v>3</x:v>
      </x:c>
      <x:c r="H1391" s="2" t="n">
        <x:f>G1391+Supuestos!$C$15</x:f>
        <x:v>4</x:v>
      </x:c>
      <x:c r="I1391" s="14" t="n">
        <x:f>E2_plantas!J35+G1391</x:f>
        <x:v>46191</x:v>
      </x:c>
      <x:c r="J1391" s="2" t="str">
        <x:v>N3</x:v>
      </x:c>
      <x:c r="K1391" s="2" t="n">
        <x:v>1</x:v>
      </x:c>
      <x:c r="L1391" s="2" t="n">
        <x:v>0</x:v>
      </x:c>
      <x:c r="M1391" s="2" t="n">
        <x:f>SUM(L$1388:L1391)</x:f>
        <x:v>0</x:v>
      </x:c>
      <x:c r="N1391" s="2" t="n">
        <x:v>0</x:v>
      </x:c>
      <x:c r="O1391" s="2" t="str">
        <x:v>seguimiento</x:v>
      </x:c>
      <x:c r="P1391" s="2" t="n">
        <x:v>0</x:v>
      </x:c>
      <x:c r="Q1391" s="2" t="str">
        <x:v>simulado_didactico</x:v>
      </x:c>
    </x:row>
    <x:row r="1392" ht="19" customHeight="1">
      <x:c r="A1392" s="2" t="str">
        <x:v>SIM-E2-BB-L8-R06</x:v>
      </x:c>
      <x:c r="B1392" s="2" t="n">
        <x:v>3</x:v>
      </x:c>
      <x:c r="C1392" s="2" t="str">
        <x:v>BB</x:v>
      </x:c>
      <x:c r="D1392" s="2" t="str">
        <x:v>Brevicoryne brassicae</x:v>
      </x:c>
      <x:c r="E1392" s="2" t="str">
        <x:v>L8</x:v>
      </x:c>
      <x:c r="F1392" s="2" t="n">
        <x:v>6</x:v>
      </x:c>
      <x:c r="G1392" s="2" t="n">
        <x:v>4</x:v>
      </x:c>
      <x:c r="H1392" s="2" t="n">
        <x:f>G1392+Supuestos!$C$15</x:f>
        <x:v>5</x:v>
      </x:c>
      <x:c r="I1392" s="14" t="n">
        <x:f>E2_plantas!J35+G1392</x:f>
        <x:v>46192</x:v>
      </x:c>
      <x:c r="J1392" s="2" t="str">
        <x:v>N3</x:v>
      </x:c>
      <x:c r="K1392" s="2" t="n">
        <x:v>1</x:v>
      </x:c>
      <x:c r="L1392" s="2" t="n">
        <x:v>0</x:v>
      </x:c>
      <x:c r="M1392" s="2" t="n">
        <x:f>SUM(L$1388:L1392)</x:f>
        <x:v>0</x:v>
      </x:c>
      <x:c r="N1392" s="2" t="n">
        <x:v>0</x:v>
      </x:c>
      <x:c r="O1392" s="2" t="str">
        <x:v>seguimiento</x:v>
      </x:c>
      <x:c r="P1392" s="2" t="n">
        <x:v>0</x:v>
      </x:c>
      <x:c r="Q1392" s="2" t="str">
        <x:v>simulado_didactico</x:v>
      </x:c>
    </x:row>
    <x:row r="1393" ht="19" customHeight="1">
      <x:c r="A1393" s="2" t="str">
        <x:v>SIM-E2-BB-L8-R06</x:v>
      </x:c>
      <x:c r="B1393" s="2" t="n">
        <x:v>3</x:v>
      </x:c>
      <x:c r="C1393" s="2" t="str">
        <x:v>BB</x:v>
      </x:c>
      <x:c r="D1393" s="2" t="str">
        <x:v>Brevicoryne brassicae</x:v>
      </x:c>
      <x:c r="E1393" s="2" t="str">
        <x:v>L8</x:v>
      </x:c>
      <x:c r="F1393" s="2" t="n">
        <x:v>6</x:v>
      </x:c>
      <x:c r="G1393" s="2" t="n">
        <x:v>5</x:v>
      </x:c>
      <x:c r="H1393" s="2" t="n">
        <x:f>G1393+Supuestos!$C$15</x:f>
        <x:v>6</x:v>
      </x:c>
      <x:c r="I1393" s="14" t="n">
        <x:f>E2_plantas!J35+G1393</x:f>
        <x:v>46193</x:v>
      </x:c>
      <x:c r="J1393" s="2" t="str">
        <x:v>N3</x:v>
      </x:c>
      <x:c r="K1393" s="2" t="n">
        <x:v>1</x:v>
      </x:c>
      <x:c r="L1393" s="2" t="n">
        <x:v>0</x:v>
      </x:c>
      <x:c r="M1393" s="2" t="n">
        <x:f>SUM(L$1388:L1393)</x:f>
        <x:v>0</x:v>
      </x:c>
      <x:c r="N1393" s="2" t="n">
        <x:v>0</x:v>
      </x:c>
      <x:c r="O1393" s="2" t="str">
        <x:v>seguimiento</x:v>
      </x:c>
      <x:c r="P1393" s="2" t="n">
        <x:v>0</x:v>
      </x:c>
      <x:c r="Q1393" s="2" t="str">
        <x:v>simulado_didactico</x:v>
      </x:c>
    </x:row>
    <x:row r="1394" ht="19" customHeight="1">
      <x:c r="A1394" s="2" t="str">
        <x:v>SIM-E2-BB-L8-R06</x:v>
      </x:c>
      <x:c r="B1394" s="2" t="n">
        <x:v>3</x:v>
      </x:c>
      <x:c r="C1394" s="2" t="str">
        <x:v>BB</x:v>
      </x:c>
      <x:c r="D1394" s="2" t="str">
        <x:v>Brevicoryne brassicae</x:v>
      </x:c>
      <x:c r="E1394" s="2" t="str">
        <x:v>L8</x:v>
      </x:c>
      <x:c r="F1394" s="2" t="n">
        <x:v>6</x:v>
      </x:c>
      <x:c r="G1394" s="2" t="n">
        <x:v>6</x:v>
      </x:c>
      <x:c r="H1394" s="2" t="n">
        <x:f>G1394+Supuestos!$C$15</x:f>
        <x:v>7</x:v>
      </x:c>
      <x:c r="I1394" s="14" t="n">
        <x:f>E2_plantas!J35+G1394</x:f>
        <x:v>46194</x:v>
      </x:c>
      <x:c r="J1394" s="2" t="str">
        <x:v>N3</x:v>
      </x:c>
      <x:c r="K1394" s="2" t="n">
        <x:v>1</x:v>
      </x:c>
      <x:c r="L1394" s="2" t="n">
        <x:v>0</x:v>
      </x:c>
      <x:c r="M1394" s="2" t="n">
        <x:f>SUM(L$1388:L1394)</x:f>
        <x:v>0</x:v>
      </x:c>
      <x:c r="N1394" s="2" t="n">
        <x:v>0</x:v>
      </x:c>
      <x:c r="O1394" s="2" t="str">
        <x:v>seguimiento</x:v>
      </x:c>
      <x:c r="P1394" s="2" t="n">
        <x:v>0</x:v>
      </x:c>
      <x:c r="Q1394" s="2" t="str">
        <x:v>simulado_didactico</x:v>
      </x:c>
    </x:row>
    <x:row r="1395" ht="19" customHeight="1">
      <x:c r="A1395" s="2" t="str">
        <x:v>SIM-E2-BB-L8-R06</x:v>
      </x:c>
      <x:c r="B1395" s="2" t="n">
        <x:v>3</x:v>
      </x:c>
      <x:c r="C1395" s="2" t="str">
        <x:v>BB</x:v>
      </x:c>
      <x:c r="D1395" s="2" t="str">
        <x:v>Brevicoryne brassicae</x:v>
      </x:c>
      <x:c r="E1395" s="2" t="str">
        <x:v>L8</x:v>
      </x:c>
      <x:c r="F1395" s="2" t="n">
        <x:v>6</x:v>
      </x:c>
      <x:c r="G1395" s="2" t="n">
        <x:v>7</x:v>
      </x:c>
      <x:c r="H1395" s="2" t="n">
        <x:f>G1395+Supuestos!$C$15</x:f>
        <x:v>8</x:v>
      </x:c>
      <x:c r="I1395" s="14" t="n">
        <x:f>E2_plantas!J35+G1395</x:f>
        <x:v>46195</x:v>
      </x:c>
      <x:c r="J1395" s="2" t="str">
        <x:v>N4</x:v>
      </x:c>
      <x:c r="K1395" s="2" t="n">
        <x:v>1</x:v>
      </x:c>
      <x:c r="L1395" s="2" t="n">
        <x:v>0</x:v>
      </x:c>
      <x:c r="M1395" s="2" t="n">
        <x:f>SUM(L$1388:L1395)</x:f>
        <x:v>0</x:v>
      </x:c>
      <x:c r="N1395" s="2" t="n">
        <x:v>0</x:v>
      </x:c>
      <x:c r="O1395" s="2" t="str">
        <x:v>seguimiento</x:v>
      </x:c>
      <x:c r="P1395" s="2" t="n">
        <x:v>0</x:v>
      </x:c>
      <x:c r="Q1395" s="2" t="str">
        <x:v>simulado_didactico</x:v>
      </x:c>
    </x:row>
    <x:row r="1396" ht="19" customHeight="1">
      <x:c r="A1396" s="2" t="str">
        <x:v>SIM-E2-BB-L8-R06</x:v>
      </x:c>
      <x:c r="B1396" s="2" t="n">
        <x:v>3</x:v>
      </x:c>
      <x:c r="C1396" s="2" t="str">
        <x:v>BB</x:v>
      </x:c>
      <x:c r="D1396" s="2" t="str">
        <x:v>Brevicoryne brassicae</x:v>
      </x:c>
      <x:c r="E1396" s="2" t="str">
        <x:v>L8</x:v>
      </x:c>
      <x:c r="F1396" s="2" t="n">
        <x:v>6</x:v>
      </x:c>
      <x:c r="G1396" s="2" t="n">
        <x:v>8</x:v>
      </x:c>
      <x:c r="H1396" s="2" t="n">
        <x:f>G1396+Supuestos!$C$15</x:f>
        <x:v>9</x:v>
      </x:c>
      <x:c r="I1396" s="14" t="n">
        <x:f>E2_plantas!J35+G1396</x:f>
        <x:v>46196</x:v>
      </x:c>
      <x:c r="J1396" s="2" t="str">
        <x:v>adulta</x:v>
      </x:c>
      <x:c r="K1396" s="2" t="n">
        <x:v>1</x:v>
      </x:c>
      <x:c r="L1396" s="2" t="n">
        <x:v>0</x:v>
      </x:c>
      <x:c r="M1396" s="2" t="n">
        <x:f>SUM(L$1388:L1396)</x:f>
        <x:v>0</x:v>
      </x:c>
      <x:c r="N1396" s="2" t="n">
        <x:v>0</x:v>
      </x:c>
      <x:c r="O1396" s="2" t="str">
        <x:v>seguimiento</x:v>
      </x:c>
      <x:c r="P1396" s="2" t="n">
        <x:v>0</x:v>
      </x:c>
      <x:c r="Q1396" s="2" t="str">
        <x:v>simulado_didactico</x:v>
      </x:c>
    </x:row>
    <x:row r="1397" ht="19" customHeight="1">
      <x:c r="A1397" s="2" t="str">
        <x:v>SIM-E2-BB-L8-R06</x:v>
      </x:c>
      <x:c r="B1397" s="2" t="n">
        <x:v>3</x:v>
      </x:c>
      <x:c r="C1397" s="2" t="str">
        <x:v>BB</x:v>
      </x:c>
      <x:c r="D1397" s="2" t="str">
        <x:v>Brevicoryne brassicae</x:v>
      </x:c>
      <x:c r="E1397" s="2" t="str">
        <x:v>L8</x:v>
      </x:c>
      <x:c r="F1397" s="2" t="n">
        <x:v>6</x:v>
      </x:c>
      <x:c r="G1397" s="2" t="n">
        <x:v>9</x:v>
      </x:c>
      <x:c r="H1397" s="2" t="n">
        <x:f>G1397+Supuestos!$C$15</x:f>
        <x:v>10</x:v>
      </x:c>
      <x:c r="I1397" s="14" t="n">
        <x:f>E2_plantas!J35+G1397</x:f>
        <x:v>46197</x:v>
      </x:c>
      <x:c r="J1397" s="2" t="str">
        <x:v>adulta</x:v>
      </x:c>
      <x:c r="K1397" s="2" t="n">
        <x:v>1</x:v>
      </x:c>
      <x:c r="L1397" s="2" t="n">
        <x:v>4</x:v>
      </x:c>
      <x:c r="M1397" s="2" t="n">
        <x:f>SUM(L$1388:L1397)</x:f>
        <x:v>4</x:v>
      </x:c>
      <x:c r="N1397" s="2" t="n">
        <x:v>0</x:v>
      </x:c>
      <x:c r="O1397" s="2" t="str">
        <x:v>seguimiento</x:v>
      </x:c>
      <x:c r="P1397" s="2" t="n">
        <x:v>0</x:v>
      </x:c>
      <x:c r="Q1397" s="2" t="str">
        <x:v>simulado_didactico</x:v>
      </x:c>
    </x:row>
    <x:row r="1398" ht="19" customHeight="1">
      <x:c r="A1398" s="2" t="str">
        <x:v>SIM-E2-BB-L8-R06</x:v>
      </x:c>
      <x:c r="B1398" s="2" t="n">
        <x:v>3</x:v>
      </x:c>
      <x:c r="C1398" s="2" t="str">
        <x:v>BB</x:v>
      </x:c>
      <x:c r="D1398" s="2" t="str">
        <x:v>Brevicoryne brassicae</x:v>
      </x:c>
      <x:c r="E1398" s="2" t="str">
        <x:v>L8</x:v>
      </x:c>
      <x:c r="F1398" s="2" t="n">
        <x:v>6</x:v>
      </x:c>
      <x:c r="G1398" s="2" t="n">
        <x:v>10</x:v>
      </x:c>
      <x:c r="H1398" s="2" t="n">
        <x:f>G1398+Supuestos!$C$15</x:f>
        <x:v>11</x:v>
      </x:c>
      <x:c r="I1398" s="14" t="n">
        <x:f>E2_plantas!J35+G1398</x:f>
        <x:v>46198</x:v>
      </x:c>
      <x:c r="J1398" s="2" t="str">
        <x:v>adulta</x:v>
      </x:c>
      <x:c r="K1398" s="2" t="n">
        <x:v>1</x:v>
      </x:c>
      <x:c r="L1398" s="2" t="n">
        <x:v>2</x:v>
      </x:c>
      <x:c r="M1398" s="2" t="n">
        <x:f>SUM(L$1388:L1398)</x:f>
        <x:v>6</x:v>
      </x:c>
      <x:c r="N1398" s="2" t="n">
        <x:v>0</x:v>
      </x:c>
      <x:c r="O1398" s="2" t="str">
        <x:v>seguimiento</x:v>
      </x:c>
      <x:c r="P1398" s="2" t="n">
        <x:v>0</x:v>
      </x:c>
      <x:c r="Q1398" s="2" t="str">
        <x:v>simulado_didactico</x:v>
      </x:c>
    </x:row>
    <x:row r="1399" ht="19" customHeight="1">
      <x:c r="A1399" s="2" t="str">
        <x:v>SIM-E2-BB-L8-R06</x:v>
      </x:c>
      <x:c r="B1399" s="2" t="n">
        <x:v>3</x:v>
      </x:c>
      <x:c r="C1399" s="2" t="str">
        <x:v>BB</x:v>
      </x:c>
      <x:c r="D1399" s="2" t="str">
        <x:v>Brevicoryne brassicae</x:v>
      </x:c>
      <x:c r="E1399" s="2" t="str">
        <x:v>L8</x:v>
      </x:c>
      <x:c r="F1399" s="2" t="n">
        <x:v>6</x:v>
      </x:c>
      <x:c r="G1399" s="2" t="n">
        <x:v>11</x:v>
      </x:c>
      <x:c r="H1399" s="2" t="n">
        <x:f>G1399+Supuestos!$C$15</x:f>
        <x:v>12</x:v>
      </x:c>
      <x:c r="I1399" s="14" t="n">
        <x:f>E2_plantas!J35+G1399</x:f>
        <x:v>46199</x:v>
      </x:c>
      <x:c r="J1399" s="2" t="str">
        <x:v>adulta</x:v>
      </x:c>
      <x:c r="K1399" s="2" t="n">
        <x:v>1</x:v>
      </x:c>
      <x:c r="L1399" s="2" t="n">
        <x:v>1</x:v>
      </x:c>
      <x:c r="M1399" s="2" t="n">
        <x:f>SUM(L$1388:L1399)</x:f>
        <x:v>7</x:v>
      </x:c>
      <x:c r="N1399" s="2" t="n">
        <x:v>0</x:v>
      </x:c>
      <x:c r="O1399" s="2" t="str">
        <x:v>seguimiento</x:v>
      </x:c>
      <x:c r="P1399" s="2" t="n">
        <x:v>0</x:v>
      </x:c>
      <x:c r="Q1399" s="2" t="str">
        <x:v>simulado_didactico</x:v>
      </x:c>
    </x:row>
    <x:row r="1400" ht="19" customHeight="1">
      <x:c r="A1400" s="2" t="str">
        <x:v>SIM-E2-BB-L8-R06</x:v>
      </x:c>
      <x:c r="B1400" s="2" t="n">
        <x:v>3</x:v>
      </x:c>
      <x:c r="C1400" s="2" t="str">
        <x:v>BB</x:v>
      </x:c>
      <x:c r="D1400" s="2" t="str">
        <x:v>Brevicoryne brassicae</x:v>
      </x:c>
      <x:c r="E1400" s="2" t="str">
        <x:v>L8</x:v>
      </x:c>
      <x:c r="F1400" s="2" t="n">
        <x:v>6</x:v>
      </x:c>
      <x:c r="G1400" s="2" t="n">
        <x:v>12</x:v>
      </x:c>
      <x:c r="H1400" s="2" t="n">
        <x:f>G1400+Supuestos!$C$15</x:f>
        <x:v>13</x:v>
      </x:c>
      <x:c r="I1400" s="14" t="n">
        <x:f>E2_plantas!J35+G1400</x:f>
        <x:v>46200</x:v>
      </x:c>
      <x:c r="J1400" s="2" t="str">
        <x:v>adulta</x:v>
      </x:c>
      <x:c r="K1400" s="2" t="n">
        <x:v>1</x:v>
      </x:c>
      <x:c r="L1400" s="2" t="n">
        <x:v>4</x:v>
      </x:c>
      <x:c r="M1400" s="2" t="n">
        <x:f>SUM(L$1388:L1400)</x:f>
        <x:v>11</x:v>
      </x:c>
      <x:c r="N1400" s="2" t="n">
        <x:v>0</x:v>
      </x:c>
      <x:c r="O1400" s="2" t="str">
        <x:v>seguimiento</x:v>
      </x:c>
      <x:c r="P1400" s="2" t="n">
        <x:v>0</x:v>
      </x:c>
      <x:c r="Q1400" s="2" t="str">
        <x:v>simulado_didactico</x:v>
      </x:c>
    </x:row>
    <x:row r="1401" ht="19" customHeight="1">
      <x:c r="A1401" s="2" t="str">
        <x:v>SIM-E2-BB-L8-R06</x:v>
      </x:c>
      <x:c r="B1401" s="2" t="n">
        <x:v>3</x:v>
      </x:c>
      <x:c r="C1401" s="2" t="str">
        <x:v>BB</x:v>
      </x:c>
      <x:c r="D1401" s="2" t="str">
        <x:v>Brevicoryne brassicae</x:v>
      </x:c>
      <x:c r="E1401" s="2" t="str">
        <x:v>L8</x:v>
      </x:c>
      <x:c r="F1401" s="2" t="n">
        <x:v>6</x:v>
      </x:c>
      <x:c r="G1401" s="2" t="n">
        <x:v>13</x:v>
      </x:c>
      <x:c r="H1401" s="2" t="n">
        <x:f>G1401+Supuestos!$C$15</x:f>
        <x:v>14</x:v>
      </x:c>
      <x:c r="I1401" s="14" t="n">
        <x:f>E2_plantas!J35+G1401</x:f>
        <x:v>46201</x:v>
      </x:c>
      <x:c r="J1401" s="2" t="str">
        <x:v>adulta</x:v>
      </x:c>
      <x:c r="K1401" s="2" t="n">
        <x:v>1</x:v>
      </x:c>
      <x:c r="L1401" s="2" t="n">
        <x:v>5</x:v>
      </x:c>
      <x:c r="M1401" s="2" t="n">
        <x:f>SUM(L$1388:L1401)</x:f>
        <x:v>16</x:v>
      </x:c>
      <x:c r="N1401" s="2" t="n">
        <x:v>0</x:v>
      </x:c>
      <x:c r="O1401" s="2" t="str">
        <x:v>seguimiento</x:v>
      </x:c>
      <x:c r="P1401" s="2" t="n">
        <x:v>0</x:v>
      </x:c>
      <x:c r="Q1401" s="2" t="str">
        <x:v>simulado_didactico</x:v>
      </x:c>
    </x:row>
    <x:row r="1402" ht="19" customHeight="1">
      <x:c r="A1402" s="2" t="str">
        <x:v>SIM-E2-BB-L8-R06</x:v>
      </x:c>
      <x:c r="B1402" s="2" t="n">
        <x:v>3</x:v>
      </x:c>
      <x:c r="C1402" s="2" t="str">
        <x:v>BB</x:v>
      </x:c>
      <x:c r="D1402" s="2" t="str">
        <x:v>Brevicoryne brassicae</x:v>
      </x:c>
      <x:c r="E1402" s="2" t="str">
        <x:v>L8</x:v>
      </x:c>
      <x:c r="F1402" s="2" t="n">
        <x:v>6</x:v>
      </x:c>
      <x:c r="G1402" s="2" t="n">
        <x:v>14</x:v>
      </x:c>
      <x:c r="H1402" s="2" t="n">
        <x:f>G1402+Supuestos!$C$15</x:f>
        <x:v>15</x:v>
      </x:c>
      <x:c r="I1402" s="14" t="n">
        <x:f>E2_plantas!J35+G1402</x:f>
        <x:v>46202</x:v>
      </x:c>
      <x:c r="J1402" s="2" t="str">
        <x:v>adulta</x:v>
      </x:c>
      <x:c r="K1402" s="2" t="n">
        <x:v>1</x:v>
      </x:c>
      <x:c r="L1402" s="2" t="n">
        <x:v>5</x:v>
      </x:c>
      <x:c r="M1402" s="2" t="n">
        <x:f>SUM(L$1388:L1402)</x:f>
        <x:v>21</x:v>
      </x:c>
      <x:c r="N1402" s="2" t="n">
        <x:v>0</x:v>
      </x:c>
      <x:c r="O1402" s="2" t="str">
        <x:v>seguimiento</x:v>
      </x:c>
      <x:c r="P1402" s="2" t="n">
        <x:v>0</x:v>
      </x:c>
      <x:c r="Q1402" s="2" t="str">
        <x:v>simulado_didactico</x:v>
      </x:c>
    </x:row>
    <x:row r="1403" ht="19" customHeight="1">
      <x:c r="A1403" s="2" t="str">
        <x:v>SIM-E2-BB-L8-R06</x:v>
      </x:c>
      <x:c r="B1403" s="2" t="n">
        <x:v>3</x:v>
      </x:c>
      <x:c r="C1403" s="2" t="str">
        <x:v>BB</x:v>
      </x:c>
      <x:c r="D1403" s="2" t="str">
        <x:v>Brevicoryne brassicae</x:v>
      </x:c>
      <x:c r="E1403" s="2" t="str">
        <x:v>L8</x:v>
      </x:c>
      <x:c r="F1403" s="2" t="n">
        <x:v>6</x:v>
      </x:c>
      <x:c r="G1403" s="2" t="n">
        <x:v>15</x:v>
      </x:c>
      <x:c r="H1403" s="2" t="n">
        <x:f>G1403+Supuestos!$C$15</x:f>
        <x:v>16</x:v>
      </x:c>
      <x:c r="I1403" s="14" t="n">
        <x:f>E2_plantas!J35+G1403</x:f>
        <x:v>46203</x:v>
      </x:c>
      <x:c r="J1403" s="2" t="str">
        <x:v>adulta</x:v>
      </x:c>
      <x:c r="K1403" s="2" t="n">
        <x:v>1</x:v>
      </x:c>
      <x:c r="L1403" s="2" t="n">
        <x:v>0</x:v>
      </x:c>
      <x:c r="M1403" s="2" t="n">
        <x:f>SUM(L$1388:L1403)</x:f>
        <x:v>21</x:v>
      </x:c>
      <x:c r="N1403" s="2" t="n">
        <x:v>0</x:v>
      </x:c>
      <x:c r="O1403" s="2" t="str">
        <x:v>seguimiento</x:v>
      </x:c>
      <x:c r="P1403" s="2" t="n">
        <x:v>0</x:v>
      </x:c>
      <x:c r="Q1403" s="2" t="str">
        <x:v>simulado_didactico</x:v>
      </x:c>
    </x:row>
    <x:row r="1404" ht="19" customHeight="1">
      <x:c r="A1404" s="2" t="str">
        <x:v>SIM-E2-BB-L8-R06</x:v>
      </x:c>
      <x:c r="B1404" s="2" t="n">
        <x:v>3</x:v>
      </x:c>
      <x:c r="C1404" s="2" t="str">
        <x:v>BB</x:v>
      </x:c>
      <x:c r="D1404" s="2" t="str">
        <x:v>Brevicoryne brassicae</x:v>
      </x:c>
      <x:c r="E1404" s="2" t="str">
        <x:v>L8</x:v>
      </x:c>
      <x:c r="F1404" s="2" t="n">
        <x:v>6</x:v>
      </x:c>
      <x:c r="G1404" s="2" t="n">
        <x:v>16</x:v>
      </x:c>
      <x:c r="H1404" s="2" t="n">
        <x:f>G1404+Supuestos!$C$15</x:f>
        <x:v>17</x:v>
      </x:c>
      <x:c r="I1404" s="14" t="n">
        <x:f>E2_plantas!J35+G1404</x:f>
        <x:v>46204</x:v>
      </x:c>
      <x:c r="J1404" s="2" t="str">
        <x:v>adulta</x:v>
      </x:c>
      <x:c r="K1404" s="2" t="n">
        <x:v>1</x:v>
      </x:c>
      <x:c r="L1404" s="2" t="n">
        <x:v>3</x:v>
      </x:c>
      <x:c r="M1404" s="2" t="n">
        <x:f>SUM(L$1388:L1404)</x:f>
        <x:v>24</x:v>
      </x:c>
      <x:c r="N1404" s="2" t="n">
        <x:v>0</x:v>
      </x:c>
      <x:c r="O1404" s="2" t="str">
        <x:v>seguimiento</x:v>
      </x:c>
      <x:c r="P1404" s="2" t="n">
        <x:v>0</x:v>
      </x:c>
      <x:c r="Q1404" s="2" t="str">
        <x:v>simulado_didactico</x:v>
      </x:c>
    </x:row>
    <x:row r="1405" ht="19" customHeight="1">
      <x:c r="A1405" s="2" t="str">
        <x:v>SIM-E2-BB-L8-R06</x:v>
      </x:c>
      <x:c r="B1405" s="2" t="n">
        <x:v>3</x:v>
      </x:c>
      <x:c r="C1405" s="2" t="str">
        <x:v>BB</x:v>
      </x:c>
      <x:c r="D1405" s="2" t="str">
        <x:v>Brevicoryne brassicae</x:v>
      </x:c>
      <x:c r="E1405" s="2" t="str">
        <x:v>L8</x:v>
      </x:c>
      <x:c r="F1405" s="2" t="n">
        <x:v>6</x:v>
      </x:c>
      <x:c r="G1405" s="2" t="n">
        <x:v>17</x:v>
      </x:c>
      <x:c r="H1405" s="2" t="n">
        <x:f>G1405+Supuestos!$C$15</x:f>
        <x:v>18</x:v>
      </x:c>
      <x:c r="I1405" s="14" t="n">
        <x:f>E2_plantas!J35+G1405</x:f>
        <x:v>46205</x:v>
      </x:c>
      <x:c r="J1405" s="2" t="str">
        <x:v>adulta</x:v>
      </x:c>
      <x:c r="K1405" s="2" t="n">
        <x:v>1</x:v>
      </x:c>
      <x:c r="L1405" s="2" t="n">
        <x:v>2</x:v>
      </x:c>
      <x:c r="M1405" s="2" t="n">
        <x:f>SUM(L$1388:L1405)</x:f>
        <x:v>26</x:v>
      </x:c>
      <x:c r="N1405" s="2" t="n">
        <x:v>0</x:v>
      </x:c>
      <x:c r="O1405" s="2" t="str">
        <x:v>seguimiento</x:v>
      </x:c>
      <x:c r="P1405" s="2" t="n">
        <x:v>0</x:v>
      </x:c>
      <x:c r="Q1405" s="2" t="str">
        <x:v>simulado_didactico</x:v>
      </x:c>
    </x:row>
    <x:row r="1406" ht="19" customHeight="1">
      <x:c r="A1406" s="2" t="str">
        <x:v>SIM-E2-BB-L8-R06</x:v>
      </x:c>
      <x:c r="B1406" s="2" t="n">
        <x:v>3</x:v>
      </x:c>
      <x:c r="C1406" s="2" t="str">
        <x:v>BB</x:v>
      </x:c>
      <x:c r="D1406" s="2" t="str">
        <x:v>Brevicoryne brassicae</x:v>
      </x:c>
      <x:c r="E1406" s="2" t="str">
        <x:v>L8</x:v>
      </x:c>
      <x:c r="F1406" s="2" t="n">
        <x:v>6</x:v>
      </x:c>
      <x:c r="G1406" s="2" t="n">
        <x:v>18</x:v>
      </x:c>
      <x:c r="H1406" s="2" t="n">
        <x:f>G1406+Supuestos!$C$15</x:f>
        <x:v>19</x:v>
      </x:c>
      <x:c r="I1406" s="14" t="n">
        <x:f>E2_plantas!J35+G1406</x:f>
        <x:v>46206</x:v>
      </x:c>
      <x:c r="J1406" s="2" t="str">
        <x:v>adulta</x:v>
      </x:c>
      <x:c r="K1406" s="2" t="n">
        <x:v>1</x:v>
      </x:c>
      <x:c r="L1406" s="2" t="n">
        <x:v>1</x:v>
      </x:c>
      <x:c r="M1406" s="2" t="n">
        <x:f>SUM(L$1388:L1406)</x:f>
        <x:v>27</x:v>
      </x:c>
      <x:c r="N1406" s="2" t="n">
        <x:v>0</x:v>
      </x:c>
      <x:c r="O1406" s="2" t="str">
        <x:v>seguimiento</x:v>
      </x:c>
      <x:c r="P1406" s="2" t="n">
        <x:v>0</x:v>
      </x:c>
      <x:c r="Q1406" s="2" t="str">
        <x:v>simulado_didactico</x:v>
      </x:c>
    </x:row>
    <x:row r="1407" ht="19" customHeight="1">
      <x:c r="A1407" s="2" t="str">
        <x:v>SIM-E2-BB-L8-R06</x:v>
      </x:c>
      <x:c r="B1407" s="2" t="n">
        <x:v>3</x:v>
      </x:c>
      <x:c r="C1407" s="2" t="str">
        <x:v>BB</x:v>
      </x:c>
      <x:c r="D1407" s="2" t="str">
        <x:v>Brevicoryne brassicae</x:v>
      </x:c>
      <x:c r="E1407" s="2" t="str">
        <x:v>L8</x:v>
      </x:c>
      <x:c r="F1407" s="2" t="n">
        <x:v>6</x:v>
      </x:c>
      <x:c r="G1407" s="2" t="n">
        <x:v>19</x:v>
      </x:c>
      <x:c r="H1407" s="2" t="n">
        <x:f>G1407+Supuestos!$C$15</x:f>
        <x:v>20</x:v>
      </x:c>
      <x:c r="I1407" s="14" t="n">
        <x:f>E2_plantas!J35+G1407</x:f>
        <x:v>46207</x:v>
      </x:c>
      <x:c r="J1407" s="2" t="str">
        <x:v>adulta</x:v>
      </x:c>
      <x:c r="K1407" s="2" t="n">
        <x:v>1</x:v>
      </x:c>
      <x:c r="L1407" s="2" t="n">
        <x:v>2</x:v>
      </x:c>
      <x:c r="M1407" s="2" t="n">
        <x:f>SUM(L$1388:L1407)</x:f>
        <x:v>29</x:v>
      </x:c>
      <x:c r="N1407" s="2" t="n">
        <x:v>0</x:v>
      </x:c>
      <x:c r="O1407" s="2" t="str">
        <x:v>seguimiento</x:v>
      </x:c>
      <x:c r="P1407" s="2" t="n">
        <x:v>0</x:v>
      </x:c>
      <x:c r="Q1407" s="2" t="str">
        <x:v>simulado_didactico</x:v>
      </x:c>
    </x:row>
    <x:row r="1408" ht="19" customHeight="1">
      <x:c r="A1408" s="2" t="str">
        <x:v>SIM-E2-BB-L8-R06</x:v>
      </x:c>
      <x:c r="B1408" s="2" t="n">
        <x:v>3</x:v>
      </x:c>
      <x:c r="C1408" s="2" t="str">
        <x:v>BB</x:v>
      </x:c>
      <x:c r="D1408" s="2" t="str">
        <x:v>Brevicoryne brassicae</x:v>
      </x:c>
      <x:c r="E1408" s="2" t="str">
        <x:v>L8</x:v>
      </x:c>
      <x:c r="F1408" s="2" t="n">
        <x:v>6</x:v>
      </x:c>
      <x:c r="G1408" s="2" t="n">
        <x:v>20</x:v>
      </x:c>
      <x:c r="H1408" s="2" t="n">
        <x:f>G1408+Supuestos!$C$15</x:f>
        <x:v>21</x:v>
      </x:c>
      <x:c r="I1408" s="14" t="n">
        <x:f>E2_plantas!J35+G1408</x:f>
        <x:v>46208</x:v>
      </x:c>
      <x:c r="J1408" s="2" t="str">
        <x:v>adulta</x:v>
      </x:c>
      <x:c r="K1408" s="2" t="n">
        <x:v>1</x:v>
      </x:c>
      <x:c r="L1408" s="2" t="n">
        <x:v>1</x:v>
      </x:c>
      <x:c r="M1408" s="2" t="n">
        <x:f>SUM(L$1388:L1408)</x:f>
        <x:v>30</x:v>
      </x:c>
      <x:c r="N1408" s="2" t="n">
        <x:v>0</x:v>
      </x:c>
      <x:c r="O1408" s="2" t="str">
        <x:v>seguimiento</x:v>
      </x:c>
      <x:c r="P1408" s="2" t="n">
        <x:v>0</x:v>
      </x:c>
      <x:c r="Q1408" s="2" t="str">
        <x:v>simulado_didactico</x:v>
      </x:c>
    </x:row>
    <x:row r="1409" ht="19" customHeight="1">
      <x:c r="A1409" s="2" t="str">
        <x:v>SIM-E2-BB-L8-R06</x:v>
      </x:c>
      <x:c r="B1409" s="2" t="n">
        <x:v>3</x:v>
      </x:c>
      <x:c r="C1409" s="2" t="str">
        <x:v>BB</x:v>
      </x:c>
      <x:c r="D1409" s="2" t="str">
        <x:v>Brevicoryne brassicae</x:v>
      </x:c>
      <x:c r="E1409" s="2" t="str">
        <x:v>L8</x:v>
      </x:c>
      <x:c r="F1409" s="2" t="n">
        <x:v>6</x:v>
      </x:c>
      <x:c r="G1409" s="2" t="n">
        <x:v>21</x:v>
      </x:c>
      <x:c r="H1409" s="2" t="n">
        <x:f>G1409+Supuestos!$C$15</x:f>
        <x:v>22</x:v>
      </x:c>
      <x:c r="I1409" s="14" t="n">
        <x:f>E2_plantas!J35+G1409</x:f>
        <x:v>46209</x:v>
      </x:c>
      <x:c r="J1409" s="2" t="str">
        <x:v>adulta</x:v>
      </x:c>
      <x:c r="K1409" s="2" t="n">
        <x:v>1</x:v>
      </x:c>
      <x:c r="L1409" s="2" t="n">
        <x:v>2</x:v>
      </x:c>
      <x:c r="M1409" s="2" t="n">
        <x:f>SUM(L$1388:L1409)</x:f>
        <x:v>32</x:v>
      </x:c>
      <x:c r="N1409" s="2" t="n">
        <x:v>0</x:v>
      </x:c>
      <x:c r="O1409" s="2" t="str">
        <x:v>seguimiento</x:v>
      </x:c>
      <x:c r="P1409" s="2" t="n">
        <x:v>0</x:v>
      </x:c>
      <x:c r="Q1409" s="2" t="str">
        <x:v>simulado_didactico</x:v>
      </x:c>
    </x:row>
    <x:row r="1410" ht="19" customHeight="1">
      <x:c r="A1410" s="2" t="str">
        <x:v>SIM-E2-BB-L8-R06</x:v>
      </x:c>
      <x:c r="B1410" s="2" t="n">
        <x:v>3</x:v>
      </x:c>
      <x:c r="C1410" s="2" t="str">
        <x:v>BB</x:v>
      </x:c>
      <x:c r="D1410" s="2" t="str">
        <x:v>Brevicoryne brassicae</x:v>
      </x:c>
      <x:c r="E1410" s="2" t="str">
        <x:v>L8</x:v>
      </x:c>
      <x:c r="F1410" s="2" t="n">
        <x:v>6</x:v>
      </x:c>
      <x:c r="G1410" s="2" t="n">
        <x:v>22</x:v>
      </x:c>
      <x:c r="H1410" s="2" t="n">
        <x:f>G1410+Supuestos!$C$15</x:f>
        <x:v>23</x:v>
      </x:c>
      <x:c r="I1410" s="14" t="n">
        <x:f>E2_plantas!J35+G1410</x:f>
        <x:v>46210</x:v>
      </x:c>
      <x:c r="J1410" s="2" t="str">
        <x:v>adulta</x:v>
      </x:c>
      <x:c r="K1410" s="2" t="n">
        <x:v>1</x:v>
      </x:c>
      <x:c r="L1410" s="2" t="n">
        <x:v>1</x:v>
      </x:c>
      <x:c r="M1410" s="2" t="n">
        <x:f>SUM(L$1388:L1410)</x:f>
        <x:v>33</x:v>
      </x:c>
      <x:c r="N1410" s="2" t="n">
        <x:v>0</x:v>
      </x:c>
      <x:c r="O1410" s="2" t="str">
        <x:v>seguimiento</x:v>
      </x:c>
      <x:c r="P1410" s="2" t="n">
        <x:v>0</x:v>
      </x:c>
      <x:c r="Q1410" s="2" t="str">
        <x:v>simulado_didactico</x:v>
      </x:c>
    </x:row>
    <x:row r="1411" ht="19" customHeight="1">
      <x:c r="A1411" s="2" t="str">
        <x:v>SIM-E2-BB-L8-R06</x:v>
      </x:c>
      <x:c r="B1411" s="2" t="n">
        <x:v>3</x:v>
      </x:c>
      <x:c r="C1411" s="2" t="str">
        <x:v>BB</x:v>
      </x:c>
      <x:c r="D1411" s="2" t="str">
        <x:v>Brevicoryne brassicae</x:v>
      </x:c>
      <x:c r="E1411" s="2" t="str">
        <x:v>L8</x:v>
      </x:c>
      <x:c r="F1411" s="2" t="n">
        <x:v>6</x:v>
      </x:c>
      <x:c r="G1411" s="2" t="n">
        <x:v>23</x:v>
      </x:c>
      <x:c r="H1411" s="2" t="n">
        <x:f>G1411+Supuestos!$C$15</x:f>
        <x:v>24</x:v>
      </x:c>
      <x:c r="I1411" s="14" t="n">
        <x:f>E2_plantas!J35+G1411</x:f>
        <x:v>46211</x:v>
      </x:c>
      <x:c r="J1411" s="2" t="str">
        <x:v>adulta</x:v>
      </x:c>
      <x:c r="K1411" s="2" t="n">
        <x:v>1</x:v>
      </x:c>
      <x:c r="L1411" s="2" t="n">
        <x:v>2</x:v>
      </x:c>
      <x:c r="M1411" s="2" t="n">
        <x:f>SUM(L$1388:L1411)</x:f>
        <x:v>35</x:v>
      </x:c>
      <x:c r="N1411" s="2" t="n">
        <x:v>0</x:v>
      </x:c>
      <x:c r="O1411" s="2" t="str">
        <x:v>seguimiento</x:v>
      </x:c>
      <x:c r="P1411" s="2" t="n">
        <x:v>0</x:v>
      </x:c>
      <x:c r="Q1411" s="2" t="str">
        <x:v>simulado_didactico</x:v>
      </x:c>
    </x:row>
    <x:row r="1412" ht="19" customHeight="1">
      <x:c r="A1412" s="2" t="str">
        <x:v>SIM-E2-BB-L8-R06</x:v>
      </x:c>
      <x:c r="B1412" s="2" t="n">
        <x:v>3</x:v>
      </x:c>
      <x:c r="C1412" s="2" t="str">
        <x:v>BB</x:v>
      </x:c>
      <x:c r="D1412" s="2" t="str">
        <x:v>Brevicoryne brassicae</x:v>
      </x:c>
      <x:c r="E1412" s="2" t="str">
        <x:v>L8</x:v>
      </x:c>
      <x:c r="F1412" s="2" t="n">
        <x:v>6</x:v>
      </x:c>
      <x:c r="G1412" s="2" t="n">
        <x:v>24</x:v>
      </x:c>
      <x:c r="H1412" s="2" t="n">
        <x:f>G1412+Supuestos!$C$15</x:f>
        <x:v>25</x:v>
      </x:c>
      <x:c r="I1412" s="14" t="n">
        <x:f>E2_plantas!J35+G1412</x:f>
        <x:v>46212</x:v>
      </x:c>
      <x:c r="J1412" s="2" t="str">
        <x:v>adulta</x:v>
      </x:c>
      <x:c r="K1412" s="2" t="n">
        <x:v>1</x:v>
      </x:c>
      <x:c r="L1412" s="2" t="n">
        <x:v>0</x:v>
      </x:c>
      <x:c r="M1412" s="2" t="n">
        <x:f>SUM(L$1388:L1412)</x:f>
        <x:v>35</x:v>
      </x:c>
      <x:c r="N1412" s="2" t="n">
        <x:v>0</x:v>
      </x:c>
      <x:c r="O1412" s="2" t="str">
        <x:v>seguimiento</x:v>
      </x:c>
      <x:c r="P1412" s="2" t="n">
        <x:v>0</x:v>
      </x:c>
      <x:c r="Q1412" s="2" t="str">
        <x:v>simulado_didactico</x:v>
      </x:c>
    </x:row>
    <x:row r="1413" ht="19" customHeight="1">
      <x:c r="A1413" s="2" t="str">
        <x:v>SIM-E2-BB-L8-R06</x:v>
      </x:c>
      <x:c r="B1413" s="2" t="n">
        <x:v>3</x:v>
      </x:c>
      <x:c r="C1413" s="2" t="str">
        <x:v>BB</x:v>
      </x:c>
      <x:c r="D1413" s="2" t="str">
        <x:v>Brevicoryne brassicae</x:v>
      </x:c>
      <x:c r="E1413" s="2" t="str">
        <x:v>L8</x:v>
      </x:c>
      <x:c r="F1413" s="2" t="n">
        <x:v>6</x:v>
      </x:c>
      <x:c r="G1413" s="2" t="n">
        <x:v>25</x:v>
      </x:c>
      <x:c r="H1413" s="2" t="n">
        <x:f>G1413+Supuestos!$C$15</x:f>
        <x:v>26</x:v>
      </x:c>
      <x:c r="I1413" s="14" t="n">
        <x:f>E2_plantas!J35+G1413</x:f>
        <x:v>46213</x:v>
      </x:c>
      <x:c r="J1413" s="2" t="str">
        <x:v>adulta</x:v>
      </x:c>
      <x:c r="K1413" s="2" t="n">
        <x:v>1</x:v>
      </x:c>
      <x:c r="L1413" s="2" t="n">
        <x:v>1</x:v>
      </x:c>
      <x:c r="M1413" s="2" t="n">
        <x:f>SUM(L$1388:L1413)</x:f>
        <x:v>36</x:v>
      </x:c>
      <x:c r="N1413" s="2" t="n">
        <x:v>0</x:v>
      </x:c>
      <x:c r="O1413" s="2" t="str">
        <x:v>seguimiento</x:v>
      </x:c>
      <x:c r="P1413" s="2" t="n">
        <x:v>0</x:v>
      </x:c>
      <x:c r="Q1413" s="2" t="str">
        <x:v>simulado_didactico</x:v>
      </x:c>
    </x:row>
    <x:row r="1414" ht="19" customHeight="1">
      <x:c r="A1414" s="2" t="str">
        <x:v>SIM-E2-BB-L8-R06</x:v>
      </x:c>
      <x:c r="B1414" s="2" t="n">
        <x:v>3</x:v>
      </x:c>
      <x:c r="C1414" s="2" t="str">
        <x:v>BB</x:v>
      </x:c>
      <x:c r="D1414" s="2" t="str">
        <x:v>Brevicoryne brassicae</x:v>
      </x:c>
      <x:c r="E1414" s="2" t="str">
        <x:v>L8</x:v>
      </x:c>
      <x:c r="F1414" s="2" t="n">
        <x:v>6</x:v>
      </x:c>
      <x:c r="G1414" s="2" t="n">
        <x:v>26</x:v>
      </x:c>
      <x:c r="H1414" s="2" t="n">
        <x:f>G1414+Supuestos!$C$15</x:f>
        <x:v>27</x:v>
      </x:c>
      <x:c r="I1414" s="14" t="n">
        <x:f>E2_plantas!J35+G1414</x:f>
        <x:v>46214</x:v>
      </x:c>
      <x:c r="J1414" s="2" t="str">
        <x:v>adulta</x:v>
      </x:c>
      <x:c r="K1414" s="2" t="n">
        <x:v>1</x:v>
      </x:c>
      <x:c r="L1414" s="2" t="n">
        <x:v>2</x:v>
      </x:c>
      <x:c r="M1414" s="2" t="n">
        <x:f>SUM(L$1388:L1414)</x:f>
        <x:v>38</x:v>
      </x:c>
      <x:c r="N1414" s="2" t="n">
        <x:v>0</x:v>
      </x:c>
      <x:c r="O1414" s="2" t="str">
        <x:v>seguimiento</x:v>
      </x:c>
      <x:c r="P1414" s="2" t="n">
        <x:v>0</x:v>
      </x:c>
      <x:c r="Q1414" s="2" t="str">
        <x:v>simulado_didactico</x:v>
      </x:c>
    </x:row>
    <x:row r="1415" ht="19" customHeight="1">
      <x:c r="A1415" s="2" t="str">
        <x:v>SIM-E2-BB-L8-R06</x:v>
      </x:c>
      <x:c r="B1415" s="2" t="n">
        <x:v>3</x:v>
      </x:c>
      <x:c r="C1415" s="2" t="str">
        <x:v>BB</x:v>
      </x:c>
      <x:c r="D1415" s="2" t="str">
        <x:v>Brevicoryne brassicae</x:v>
      </x:c>
      <x:c r="E1415" s="2" t="str">
        <x:v>L8</x:v>
      </x:c>
      <x:c r="F1415" s="2" t="n">
        <x:v>6</x:v>
      </x:c>
      <x:c r="G1415" s="2" t="n">
        <x:v>27</x:v>
      </x:c>
      <x:c r="H1415" s="2" t="n">
        <x:f>G1415+Supuestos!$C$15</x:f>
        <x:v>28</x:v>
      </x:c>
      <x:c r="I1415" s="14" t="n">
        <x:f>E2_plantas!J35+G1415</x:f>
        <x:v>46215</x:v>
      </x:c>
      <x:c r="J1415" s="2" t="str">
        <x:v>adulta</x:v>
      </x:c>
      <x:c r="K1415" s="2" t="n">
        <x:v>1</x:v>
      </x:c>
      <x:c r="L1415" s="2" t="n">
        <x:v>0</x:v>
      </x:c>
      <x:c r="M1415" s="2" t="n">
        <x:f>SUM(L$1388:L1415)</x:f>
        <x:v>38</x:v>
      </x:c>
      <x:c r="N1415" s="2" t="n">
        <x:v>0</x:v>
      </x:c>
      <x:c r="O1415" s="2" t="str">
        <x:v>seguimiento</x:v>
      </x:c>
      <x:c r="P1415" s="2" t="n">
        <x:v>0</x:v>
      </x:c>
      <x:c r="Q1415" s="2" t="str">
        <x:v>simulado_didactico</x:v>
      </x:c>
    </x:row>
    <x:row r="1416" ht="19" customHeight="1">
      <x:c r="A1416" s="2" t="str">
        <x:v>SIM-E2-BB-L8-R06</x:v>
      </x:c>
      <x:c r="B1416" s="2" t="n">
        <x:v>3</x:v>
      </x:c>
      <x:c r="C1416" s="2" t="str">
        <x:v>BB</x:v>
      </x:c>
      <x:c r="D1416" s="2" t="str">
        <x:v>Brevicoryne brassicae</x:v>
      </x:c>
      <x:c r="E1416" s="2" t="str">
        <x:v>L8</x:v>
      </x:c>
      <x:c r="F1416" s="2" t="n">
        <x:v>6</x:v>
      </x:c>
      <x:c r="G1416" s="2" t="n">
        <x:v>28</x:v>
      </x:c>
      <x:c r="H1416" s="2" t="n">
        <x:f>G1416+Supuestos!$C$15</x:f>
        <x:v>29</x:v>
      </x:c>
      <x:c r="I1416" s="14" t="n">
        <x:f>E2_plantas!J35+G1416</x:f>
        <x:v>46216</x:v>
      </x:c>
      <x:c r="J1416" s="2" t="str">
        <x:v>adulta</x:v>
      </x:c>
      <x:c r="K1416" s="2" t="n">
        <x:v>1</x:v>
      </x:c>
      <x:c r="L1416" s="2" t="n">
        <x:v>0</x:v>
      </x:c>
      <x:c r="M1416" s="2" t="n">
        <x:f>SUM(L$1388:L1416)</x:f>
        <x:v>38</x:v>
      </x:c>
      <x:c r="N1416" s="2" t="n">
        <x:v>0</x:v>
      </x:c>
      <x:c r="O1416" s="2" t="str">
        <x:v>seguimiento</x:v>
      </x:c>
      <x:c r="P1416" s="2" t="n">
        <x:v>0</x:v>
      </x:c>
      <x:c r="Q1416" s="2" t="str">
        <x:v>simulado_didactico</x:v>
      </x:c>
    </x:row>
    <x:row r="1417" ht="19" customHeight="1">
      <x:c r="A1417" s="2" t="str">
        <x:v>SIM-E2-BB-L8-R06</x:v>
      </x:c>
      <x:c r="B1417" s="2" t="n">
        <x:v>3</x:v>
      </x:c>
      <x:c r="C1417" s="2" t="str">
        <x:v>BB</x:v>
      </x:c>
      <x:c r="D1417" s="2" t="str">
        <x:v>Brevicoryne brassicae</x:v>
      </x:c>
      <x:c r="E1417" s="2" t="str">
        <x:v>L8</x:v>
      </x:c>
      <x:c r="F1417" s="2" t="n">
        <x:v>6</x:v>
      </x:c>
      <x:c r="G1417" s="2" t="n">
        <x:v>29</x:v>
      </x:c>
      <x:c r="H1417" s="2" t="n">
        <x:f>G1417+Supuestos!$C$15</x:f>
        <x:v>30</x:v>
      </x:c>
      <x:c r="I1417" s="14" t="n">
        <x:f>E2_plantas!J35+G1417</x:f>
        <x:v>46217</x:v>
      </x:c>
      <x:c r="J1417" s="2" t="str">
        <x:v>muerta</x:v>
      </x:c>
      <x:c r="K1417" s="2" t="n">
        <x:v>0</x:v>
      </x:c>
      <x:c r="L1417" s="2" t="n">
        <x:v>0</x:v>
      </x:c>
      <x:c r="M1417" s="2" t="n">
        <x:f>SUM(L$1388:L1417)</x:f>
        <x:v>38</x:v>
      </x:c>
      <x:c r="N1417" s="2" t="n">
        <x:v>1</x:v>
      </x:c>
      <x:c r="O1417" s="2" t="str">
        <x:v>muerte</x:v>
      </x:c>
      <x:c r="P1417" s="2" t="n">
        <x:v>0</x:v>
      </x:c>
      <x:c r="Q1417" s="2" t="str">
        <x:v>simulado_didactico</x:v>
      </x:c>
    </x:row>
    <x:row r="1418" ht="19" customHeight="1">
      <x:c r="A1418" s="2" t="str">
        <x:v>SIM-E2-BB-L8-R06</x:v>
      </x:c>
      <x:c r="B1418" s="2" t="n">
        <x:v>3</x:v>
      </x:c>
      <x:c r="C1418" s="2" t="str">
        <x:v>BB</x:v>
      </x:c>
      <x:c r="D1418" s="2" t="str">
        <x:v>Brevicoryne brassicae</x:v>
      </x:c>
      <x:c r="E1418" s="2" t="str">
        <x:v>L8</x:v>
      </x:c>
      <x:c r="F1418" s="2" t="n">
        <x:v>6</x:v>
      </x:c>
      <x:c r="G1418" s="2" t="n">
        <x:v>30</x:v>
      </x:c>
      <x:c r="H1418" s="2" t="n">
        <x:f>G1418+Supuestos!$C$15</x:f>
        <x:v>31</x:v>
      </x:c>
      <x:c r="I1418" s="14" t="n">
        <x:f>E2_plantas!J35+G1418</x:f>
        <x:v>46218</x:v>
      </x:c>
      <x:c r="J1418" s="2" t="str">
        <x:v>muerta</x:v>
      </x:c>
      <x:c r="K1418" s="2" t="n">
        <x:v>0</x:v>
      </x:c>
      <x:c r="L1418" s="2" t="n">
        <x:v>0</x:v>
      </x:c>
      <x:c r="M1418" s="2" t="n">
        <x:f>SUM(L$1388:L1418)</x:f>
        <x:v>38</x:v>
      </x:c>
      <x:c r="N1418" s="2" t="n">
        <x:v>0</x:v>
      </x:c>
      <x:c r="O1418" s="2" t="str">
        <x:v>relleno_postmuerte</x:v>
      </x:c>
      <x:c r="P1418" s="2" t="n">
        <x:v>0</x:v>
      </x:c>
      <x:c r="Q1418" s="2" t="str">
        <x:v>simulado_didactico</x:v>
      </x:c>
    </x:row>
    <x:row r="1419" ht="19" customHeight="1">
      <x:c r="A1419" s="2" t="str">
        <x:v>SIM-E2-BB-L8-R06</x:v>
      </x:c>
      <x:c r="B1419" s="2" t="n">
        <x:v>3</x:v>
      </x:c>
      <x:c r="C1419" s="2" t="str">
        <x:v>BB</x:v>
      </x:c>
      <x:c r="D1419" s="2" t="str">
        <x:v>Brevicoryne brassicae</x:v>
      </x:c>
      <x:c r="E1419" s="2" t="str">
        <x:v>L8</x:v>
      </x:c>
      <x:c r="F1419" s="2" t="n">
        <x:v>6</x:v>
      </x:c>
      <x:c r="G1419" s="2" t="n">
        <x:v>31</x:v>
      </x:c>
      <x:c r="H1419" s="2" t="n">
        <x:f>G1419+Supuestos!$C$15</x:f>
        <x:v>32</x:v>
      </x:c>
      <x:c r="I1419" s="14" t="n">
        <x:f>E2_plantas!J35+G1419</x:f>
        <x:v>46219</x:v>
      </x:c>
      <x:c r="J1419" s="2" t="str">
        <x:v>muerta</x:v>
      </x:c>
      <x:c r="K1419" s="2" t="n">
        <x:v>0</x:v>
      </x:c>
      <x:c r="L1419" s="2" t="n">
        <x:v>0</x:v>
      </x:c>
      <x:c r="M1419" s="2" t="n">
        <x:f>SUM(L$1388:L1419)</x:f>
        <x:v>38</x:v>
      </x:c>
      <x:c r="N1419" s="2" t="n">
        <x:v>0</x:v>
      </x:c>
      <x:c r="O1419" s="2" t="str">
        <x:v>relleno_postmuerte</x:v>
      </x:c>
      <x:c r="P1419" s="2" t="n">
        <x:v>0</x:v>
      </x:c>
      <x:c r="Q1419" s="2" t="str">
        <x:v>simulado_didactico</x:v>
      </x:c>
    </x:row>
    <x:row r="1420" ht="19" customHeight="1">
      <x:c r="A1420" s="2" t="str">
        <x:v>SIM-E2-BB-L8-R06</x:v>
      </x:c>
      <x:c r="B1420" s="2" t="n">
        <x:v>3</x:v>
      </x:c>
      <x:c r="C1420" s="2" t="str">
        <x:v>BB</x:v>
      </x:c>
      <x:c r="D1420" s="2" t="str">
        <x:v>Brevicoryne brassicae</x:v>
      </x:c>
      <x:c r="E1420" s="2" t="str">
        <x:v>L8</x:v>
      </x:c>
      <x:c r="F1420" s="2" t="n">
        <x:v>6</x:v>
      </x:c>
      <x:c r="G1420" s="2" t="n">
        <x:v>32</x:v>
      </x:c>
      <x:c r="H1420" s="2" t="n">
        <x:f>G1420+Supuestos!$C$15</x:f>
        <x:v>33</x:v>
      </x:c>
      <x:c r="I1420" s="14" t="n">
        <x:f>E2_plantas!J35+G1420</x:f>
        <x:v>46220</x:v>
      </x:c>
      <x:c r="J1420" s="2" t="str">
        <x:v>muerta</x:v>
      </x:c>
      <x:c r="K1420" s="2" t="n">
        <x:v>0</x:v>
      </x:c>
      <x:c r="L1420" s="2" t="n">
        <x:v>0</x:v>
      </x:c>
      <x:c r="M1420" s="2" t="n">
        <x:f>SUM(L$1388:L1420)</x:f>
        <x:v>38</x:v>
      </x:c>
      <x:c r="N1420" s="2" t="n">
        <x:v>0</x:v>
      </x:c>
      <x:c r="O1420" s="2" t="str">
        <x:v>relleno_postmuerte</x:v>
      </x:c>
      <x:c r="P1420" s="2" t="n">
        <x:v>0</x:v>
      </x:c>
      <x:c r="Q1420" s="2" t="str">
        <x:v>simulado_didactico</x:v>
      </x:c>
    </x:row>
    <x:row r="1421" ht="19" customHeight="1">
      <x:c r="A1421" s="2" t="str">
        <x:v>SIM-E2-BB-L8-R06</x:v>
      </x:c>
      <x:c r="B1421" s="2" t="n">
        <x:v>3</x:v>
      </x:c>
      <x:c r="C1421" s="2" t="str">
        <x:v>BB</x:v>
      </x:c>
      <x:c r="D1421" s="2" t="str">
        <x:v>Brevicoryne brassicae</x:v>
      </x:c>
      <x:c r="E1421" s="2" t="str">
        <x:v>L8</x:v>
      </x:c>
      <x:c r="F1421" s="2" t="n">
        <x:v>6</x:v>
      </x:c>
      <x:c r="G1421" s="2" t="n">
        <x:v>33</x:v>
      </x:c>
      <x:c r="H1421" s="2" t="n">
        <x:f>G1421+Supuestos!$C$15</x:f>
        <x:v>34</x:v>
      </x:c>
      <x:c r="I1421" s="14" t="n">
        <x:f>E2_plantas!J35+G1421</x:f>
        <x:v>46221</x:v>
      </x:c>
      <x:c r="J1421" s="2" t="str">
        <x:v>muerta</x:v>
      </x:c>
      <x:c r="K1421" s="2" t="n">
        <x:v>0</x:v>
      </x:c>
      <x:c r="L1421" s="2" t="n">
        <x:v>0</x:v>
      </x:c>
      <x:c r="M1421" s="2" t="n">
        <x:f>SUM(L$1388:L1421)</x:f>
        <x:v>38</x:v>
      </x:c>
      <x:c r="N1421" s="2" t="n">
        <x:v>0</x:v>
      </x:c>
      <x:c r="O1421" s="2" t="str">
        <x:v>relleno_postmuerte</x:v>
      </x:c>
      <x:c r="P1421" s="2" t="n">
        <x:v>0</x:v>
      </x:c>
      <x:c r="Q1421" s="2" t="str">
        <x:v>simulado_didactico</x:v>
      </x:c>
    </x:row>
    <x:row r="1422" ht="19" customHeight="1">
      <x:c r="A1422" s="2" t="str">
        <x:v>SIM-E2-BB-L8-R06</x:v>
      </x:c>
      <x:c r="B1422" s="2" t="n">
        <x:v>3</x:v>
      </x:c>
      <x:c r="C1422" s="2" t="str">
        <x:v>BB</x:v>
      </x:c>
      <x:c r="D1422" s="2" t="str">
        <x:v>Brevicoryne brassicae</x:v>
      </x:c>
      <x:c r="E1422" s="2" t="str">
        <x:v>L8</x:v>
      </x:c>
      <x:c r="F1422" s="2" t="n">
        <x:v>6</x:v>
      </x:c>
      <x:c r="G1422" s="2" t="n">
        <x:v>34</x:v>
      </x:c>
      <x:c r="H1422" s="2" t="n">
        <x:f>G1422+Supuestos!$C$15</x:f>
        <x:v>35</x:v>
      </x:c>
      <x:c r="I1422" s="14" t="n">
        <x:f>E2_plantas!J35+G1422</x:f>
        <x:v>46222</x:v>
      </x:c>
      <x:c r="J1422" s="2" t="str">
        <x:v>muerta</x:v>
      </x:c>
      <x:c r="K1422" s="2" t="n">
        <x:v>0</x:v>
      </x:c>
      <x:c r="L1422" s="2" t="n">
        <x:v>0</x:v>
      </x:c>
      <x:c r="M1422" s="2" t="n">
        <x:f>SUM(L$1388:L1422)</x:f>
        <x:v>38</x:v>
      </x:c>
      <x:c r="N1422" s="2" t="n">
        <x:v>0</x:v>
      </x:c>
      <x:c r="O1422" s="2" t="str">
        <x:v>relleno_postmuerte</x:v>
      </x:c>
      <x:c r="P1422" s="2" t="n">
        <x:v>0</x:v>
      </x:c>
      <x:c r="Q1422" s="2" t="str">
        <x:v>simulado_didactico</x:v>
      </x:c>
    </x:row>
    <x:row r="1423" ht="19" customHeight="1">
      <x:c r="A1423" s="2" t="str">
        <x:v>SIM-E2-BB-L8-R06</x:v>
      </x:c>
      <x:c r="B1423" s="2" t="n">
        <x:v>3</x:v>
      </x:c>
      <x:c r="C1423" s="2" t="str">
        <x:v>BB</x:v>
      </x:c>
      <x:c r="D1423" s="2" t="str">
        <x:v>Brevicoryne brassicae</x:v>
      </x:c>
      <x:c r="E1423" s="2" t="str">
        <x:v>L8</x:v>
      </x:c>
      <x:c r="F1423" s="2" t="n">
        <x:v>6</x:v>
      </x:c>
      <x:c r="G1423" s="2" t="n">
        <x:v>35</x:v>
      </x:c>
      <x:c r="H1423" s="2" t="n">
        <x:f>G1423+Supuestos!$C$15</x:f>
        <x:v>36</x:v>
      </x:c>
      <x:c r="I1423" s="14" t="n">
        <x:f>E2_plantas!J35+G1423</x:f>
        <x:v>46223</x:v>
      </x:c>
      <x:c r="J1423" s="2" t="str">
        <x:v>muerta</x:v>
      </x:c>
      <x:c r="K1423" s="2" t="n">
        <x:v>0</x:v>
      </x:c>
      <x:c r="L1423" s="2" t="n">
        <x:v>0</x:v>
      </x:c>
      <x:c r="M1423" s="2" t="n">
        <x:f>SUM(L$1388:L1423)</x:f>
        <x:v>38</x:v>
      </x:c>
      <x:c r="N1423" s="2" t="n">
        <x:v>0</x:v>
      </x:c>
      <x:c r="O1423" s="2" t="str">
        <x:v>relleno_postmuerte</x:v>
      </x:c>
      <x:c r="P1423" s="2" t="n">
        <x:v>0</x:v>
      </x:c>
      <x:c r="Q1423" s="2" t="str">
        <x:v>simulado_didactico</x:v>
      </x:c>
    </x:row>
    <x:row r="1424" ht="19" customHeight="1">
      <x:c r="A1424" s="2" t="str">
        <x:v>SIM-E2-BB-L8-R06</x:v>
      </x:c>
      <x:c r="B1424" s="2" t="n">
        <x:v>3</x:v>
      </x:c>
      <x:c r="C1424" s="2" t="str">
        <x:v>BB</x:v>
      </x:c>
      <x:c r="D1424" s="2" t="str">
        <x:v>Brevicoryne brassicae</x:v>
      </x:c>
      <x:c r="E1424" s="2" t="str">
        <x:v>L8</x:v>
      </x:c>
      <x:c r="F1424" s="2" t="n">
        <x:v>6</x:v>
      </x:c>
      <x:c r="G1424" s="2" t="n">
        <x:v>36</x:v>
      </x:c>
      <x:c r="H1424" s="2" t="n">
        <x:f>G1424+Supuestos!$C$15</x:f>
        <x:v>37</x:v>
      </x:c>
      <x:c r="I1424" s="14" t="n">
        <x:f>E2_plantas!J35+G1424</x:f>
        <x:v>46224</x:v>
      </x:c>
      <x:c r="J1424" s="2" t="str">
        <x:v>muerta</x:v>
      </x:c>
      <x:c r="K1424" s="2" t="n">
        <x:v>0</x:v>
      </x:c>
      <x:c r="L1424" s="2" t="n">
        <x:v>0</x:v>
      </x:c>
      <x:c r="M1424" s="2" t="n">
        <x:f>SUM(L$1388:L1424)</x:f>
        <x:v>38</x:v>
      </x:c>
      <x:c r="N1424" s="2" t="n">
        <x:v>0</x:v>
      </x:c>
      <x:c r="O1424" s="2" t="str">
        <x:v>relleno_postmuerte</x:v>
      </x:c>
      <x:c r="P1424" s="2" t="n">
        <x:v>0</x:v>
      </x:c>
      <x:c r="Q1424" s="2" t="str">
        <x:v>simulado_didactico</x:v>
      </x:c>
    </x:row>
    <x:row r="1425" ht="19" customHeight="1">
      <x:c r="A1425" s="2" t="str">
        <x:v>SIM-E2-BB-L8-R06</x:v>
      </x:c>
      <x:c r="B1425" s="2" t="n">
        <x:v>3</x:v>
      </x:c>
      <x:c r="C1425" s="2" t="str">
        <x:v>BB</x:v>
      </x:c>
      <x:c r="D1425" s="2" t="str">
        <x:v>Brevicoryne brassicae</x:v>
      </x:c>
      <x:c r="E1425" s="2" t="str">
        <x:v>L8</x:v>
      </x:c>
      <x:c r="F1425" s="2" t="n">
        <x:v>6</x:v>
      </x:c>
      <x:c r="G1425" s="2" t="n">
        <x:v>37</x:v>
      </x:c>
      <x:c r="H1425" s="2" t="n">
        <x:f>G1425+Supuestos!$C$15</x:f>
        <x:v>38</x:v>
      </x:c>
      <x:c r="I1425" s="14" t="n">
        <x:f>E2_plantas!J35+G1425</x:f>
        <x:v>46225</x:v>
      </x:c>
      <x:c r="J1425" s="2" t="str">
        <x:v>muerta</x:v>
      </x:c>
      <x:c r="K1425" s="2" t="n">
        <x:v>0</x:v>
      </x:c>
      <x:c r="L1425" s="2" t="n">
        <x:v>0</x:v>
      </x:c>
      <x:c r="M1425" s="2" t="n">
        <x:f>SUM(L$1388:L1425)</x:f>
        <x:v>38</x:v>
      </x:c>
      <x:c r="N1425" s="2" t="n">
        <x:v>0</x:v>
      </x:c>
      <x:c r="O1425" s="2" t="str">
        <x:v>relleno_postmuerte</x:v>
      </x:c>
      <x:c r="P1425" s="2" t="n">
        <x:v>0</x:v>
      </x:c>
      <x:c r="Q1425" s="2" t="str">
        <x:v>simulado_didactico</x:v>
      </x:c>
    </x:row>
    <x:row r="1426" ht="19" customHeight="1">
      <x:c r="A1426" s="2" t="str">
        <x:v>SIM-E2-BB-L8-R06</x:v>
      </x:c>
      <x:c r="B1426" s="2" t="n">
        <x:v>3</x:v>
      </x:c>
      <x:c r="C1426" s="2" t="str">
        <x:v>BB</x:v>
      </x:c>
      <x:c r="D1426" s="2" t="str">
        <x:v>Brevicoryne brassicae</x:v>
      </x:c>
      <x:c r="E1426" s="2" t="str">
        <x:v>L8</x:v>
      </x:c>
      <x:c r="F1426" s="2" t="n">
        <x:v>6</x:v>
      </x:c>
      <x:c r="G1426" s="2" t="n">
        <x:v>38</x:v>
      </x:c>
      <x:c r="H1426" s="2" t="n">
        <x:f>G1426+Supuestos!$C$15</x:f>
        <x:v>39</x:v>
      </x:c>
      <x:c r="I1426" s="14" t="n">
        <x:f>E2_plantas!J35+G1426</x:f>
        <x:v>46226</x:v>
      </x:c>
      <x:c r="J1426" s="2" t="str">
        <x:v>muerta</x:v>
      </x:c>
      <x:c r="K1426" s="2" t="n">
        <x:v>0</x:v>
      </x:c>
      <x:c r="L1426" s="2" t="n">
        <x:v>0</x:v>
      </x:c>
      <x:c r="M1426" s="2" t="n">
        <x:f>SUM(L$1388:L1426)</x:f>
        <x:v>38</x:v>
      </x:c>
      <x:c r="N1426" s="2" t="n">
        <x:v>0</x:v>
      </x:c>
      <x:c r="O1426" s="2" t="str">
        <x:v>relleno_postmuerte</x:v>
      </x:c>
      <x:c r="P1426" s="2" t="n">
        <x:v>0</x:v>
      </x:c>
      <x:c r="Q1426" s="2" t="str">
        <x:v>simulado_didactico</x:v>
      </x:c>
    </x:row>
    <x:row r="1427" ht="19" customHeight="1">
      <x:c r="A1427" s="2" t="str">
        <x:v>SIM-E2-BB-L8-R06</x:v>
      </x:c>
      <x:c r="B1427" s="2" t="n">
        <x:v>3</x:v>
      </x:c>
      <x:c r="C1427" s="2" t="str">
        <x:v>BB</x:v>
      </x:c>
      <x:c r="D1427" s="2" t="str">
        <x:v>Brevicoryne brassicae</x:v>
      </x:c>
      <x:c r="E1427" s="2" t="str">
        <x:v>L8</x:v>
      </x:c>
      <x:c r="F1427" s="2" t="n">
        <x:v>6</x:v>
      </x:c>
      <x:c r="G1427" s="2" t="n">
        <x:v>39</x:v>
      </x:c>
      <x:c r="H1427" s="2" t="n">
        <x:f>G1427+Supuestos!$C$15</x:f>
        <x:v>40</x:v>
      </x:c>
      <x:c r="I1427" s="14" t="n">
        <x:f>E2_plantas!J35+G1427</x:f>
        <x:v>46227</x:v>
      </x:c>
      <x:c r="J1427" s="2" t="str">
        <x:v>muerta</x:v>
      </x:c>
      <x:c r="K1427" s="2" t="n">
        <x:v>0</x:v>
      </x:c>
      <x:c r="L1427" s="2" t="n">
        <x:v>0</x:v>
      </x:c>
      <x:c r="M1427" s="2" t="n">
        <x:f>SUM(L$1388:L1427)</x:f>
        <x:v>38</x:v>
      </x:c>
      <x:c r="N1427" s="2" t="n">
        <x:v>0</x:v>
      </x:c>
      <x:c r="O1427" s="2" t="str">
        <x:v>relleno_postmuerte</x:v>
      </x:c>
      <x:c r="P1427" s="2" t="n">
        <x:v>0</x:v>
      </x:c>
      <x:c r="Q1427" s="2" t="str">
        <x:v>simulado_didactico</x:v>
      </x:c>
    </x:row>
    <x:row r="1428" ht="19" customHeight="1">
      <x:c r="A1428" s="2" t="str">
        <x:v>SIM-E2-BB-L8-R06</x:v>
      </x:c>
      <x:c r="B1428" s="2" t="n">
        <x:v>3</x:v>
      </x:c>
      <x:c r="C1428" s="2" t="str">
        <x:v>BB</x:v>
      </x:c>
      <x:c r="D1428" s="2" t="str">
        <x:v>Brevicoryne brassicae</x:v>
      </x:c>
      <x:c r="E1428" s="2" t="str">
        <x:v>L8</x:v>
      </x:c>
      <x:c r="F1428" s="2" t="n">
        <x:v>6</x:v>
      </x:c>
      <x:c r="G1428" s="2" t="n">
        <x:v>40</x:v>
      </x:c>
      <x:c r="H1428" s="2" t="n">
        <x:f>G1428+Supuestos!$C$15</x:f>
        <x:v>41</x:v>
      </x:c>
      <x:c r="I1428" s="14" t="n">
        <x:f>E2_plantas!J35+G1428</x:f>
        <x:v>46228</x:v>
      </x:c>
      <x:c r="J1428" s="2" t="str">
        <x:v>muerta</x:v>
      </x:c>
      <x:c r="K1428" s="2" t="n">
        <x:v>0</x:v>
      </x:c>
      <x:c r="L1428" s="2" t="n">
        <x:v>0</x:v>
      </x:c>
      <x:c r="M1428" s="2" t="n">
        <x:f>SUM(L$1388:L1428)</x:f>
        <x:v>38</x:v>
      </x:c>
      <x:c r="N1428" s="2" t="n">
        <x:v>0</x:v>
      </x:c>
      <x:c r="O1428" s="2" t="str">
        <x:v>relleno_postmuerte</x:v>
      </x:c>
      <x:c r="P1428" s="2" t="n">
        <x:v>0</x:v>
      </x:c>
      <x:c r="Q1428" s="2" t="str">
        <x:v>simulado_didactico</x:v>
      </x:c>
    </x:row>
    <x:row r="1429" ht="19" customHeight="1">
      <x:c r="A1429" s="2" t="str">
        <x:v>SIM-E2-BB-L8-R06</x:v>
      </x:c>
      <x:c r="B1429" s="2" t="n">
        <x:v>3</x:v>
      </x:c>
      <x:c r="C1429" s="2" t="str">
        <x:v>BB</x:v>
      </x:c>
      <x:c r="D1429" s="2" t="str">
        <x:v>Brevicoryne brassicae</x:v>
      </x:c>
      <x:c r="E1429" s="2" t="str">
        <x:v>L8</x:v>
      </x:c>
      <x:c r="F1429" s="2" t="n">
        <x:v>6</x:v>
      </x:c>
      <x:c r="G1429" s="2" t="n">
        <x:v>41</x:v>
      </x:c>
      <x:c r="H1429" s="2" t="n">
        <x:f>G1429+Supuestos!$C$15</x:f>
        <x:v>42</x:v>
      </x:c>
      <x:c r="I1429" s="14" t="n">
        <x:f>E2_plantas!J35+G1429</x:f>
        <x:v>46229</x:v>
      </x:c>
      <x:c r="J1429" s="2" t="str">
        <x:v>muerta</x:v>
      </x:c>
      <x:c r="K1429" s="2" t="n">
        <x:v>0</x:v>
      </x:c>
      <x:c r="L1429" s="2" t="n">
        <x:v>0</x:v>
      </x:c>
      <x:c r="M1429" s="2" t="n">
        <x:f>SUM(L$1388:L1429)</x:f>
        <x:v>38</x:v>
      </x:c>
      <x:c r="N1429" s="2" t="n">
        <x:v>0</x:v>
      </x:c>
      <x:c r="O1429" s="2" t="str">
        <x:v>relleno_postmuerte</x:v>
      </x:c>
      <x:c r="P1429" s="2" t="n">
        <x:v>0</x:v>
      </x:c>
      <x:c r="Q1429" s="2" t="str">
        <x:v>simulado_didactico</x:v>
      </x:c>
    </x:row>
    <x:row r="1430" ht="19" customHeight="1">
      <x:c r="A1430" s="2" t="str">
        <x:v>SIM-E2-BB-L7-R05</x:v>
      </x:c>
      <x:c r="B1430" s="2" t="n">
        <x:v>3</x:v>
      </x:c>
      <x:c r="C1430" s="2" t="str">
        <x:v>BB</x:v>
      </x:c>
      <x:c r="D1430" s="2" t="str">
        <x:v>Brevicoryne brassicae</x:v>
      </x:c>
      <x:c r="E1430" s="2" t="str">
        <x:v>L7</x:v>
      </x:c>
      <x:c r="F1430" s="2" t="n">
        <x:v>5</x:v>
      </x:c>
      <x:c r="G1430" s="2" t="n">
        <x:v>0</x:v>
      </x:c>
      <x:c r="H1430" s="2" t="n">
        <x:f>G1430+Supuestos!$C$15</x:f>
        <x:v>1</x:v>
      </x:c>
      <x:c r="I1430" s="14" t="n">
        <x:f>E2_plantas!J36+G1430</x:f>
        <x:v>46188</x:v>
      </x:c>
      <x:c r="J1430" s="2" t="str">
        <x:v>N1</x:v>
      </x:c>
      <x:c r="K1430" s="2" t="n">
        <x:v>1</x:v>
      </x:c>
      <x:c r="L1430" s="2" t="n">
        <x:v>0</x:v>
      </x:c>
      <x:c r="M1430" s="2" t="n">
        <x:f>SUM(L$1430:L1430)</x:f>
        <x:v>0</x:v>
      </x:c>
      <x:c r="N1430" s="2" t="n">
        <x:v>0</x:v>
      </x:c>
      <x:c r="O1430" s="2" t="str">
        <x:v>seguimiento</x:v>
      </x:c>
      <x:c r="P1430" s="2" t="n">
        <x:v>0</x:v>
      </x:c>
      <x:c r="Q1430" s="2" t="str">
        <x:v>simulado_didactico</x:v>
      </x:c>
    </x:row>
    <x:row r="1431" ht="19" customHeight="1">
      <x:c r="A1431" s="2" t="str">
        <x:v>SIM-E2-BB-L7-R05</x:v>
      </x:c>
      <x:c r="B1431" s="2" t="n">
        <x:v>3</x:v>
      </x:c>
      <x:c r="C1431" s="2" t="str">
        <x:v>BB</x:v>
      </x:c>
      <x:c r="D1431" s="2" t="str">
        <x:v>Brevicoryne brassicae</x:v>
      </x:c>
      <x:c r="E1431" s="2" t="str">
        <x:v>L7</x:v>
      </x:c>
      <x:c r="F1431" s="2" t="n">
        <x:v>5</x:v>
      </x:c>
      <x:c r="G1431" s="2" t="n">
        <x:v>1</x:v>
      </x:c>
      <x:c r="H1431" s="2" t="n">
        <x:f>G1431+Supuestos!$C$15</x:f>
        <x:v>2</x:v>
      </x:c>
      <x:c r="I1431" s="14" t="n">
        <x:f>E2_plantas!J36+G1431</x:f>
        <x:v>46189</x:v>
      </x:c>
      <x:c r="J1431" s="2" t="str">
        <x:v>N1</x:v>
      </x:c>
      <x:c r="K1431" s="2" t="n">
        <x:v>1</x:v>
      </x:c>
      <x:c r="L1431" s="2" t="n">
        <x:v>0</x:v>
      </x:c>
      <x:c r="M1431" s="2" t="n">
        <x:f>SUM(L$1430:L1431)</x:f>
        <x:v>0</x:v>
      </x:c>
      <x:c r="N1431" s="2" t="n">
        <x:v>0</x:v>
      </x:c>
      <x:c r="O1431" s="2" t="str">
        <x:v>seguimiento</x:v>
      </x:c>
      <x:c r="P1431" s="2" t="n">
        <x:v>0</x:v>
      </x:c>
      <x:c r="Q1431" s="2" t="str">
        <x:v>simulado_didactico</x:v>
      </x:c>
    </x:row>
    <x:row r="1432" ht="19" customHeight="1">
      <x:c r="A1432" s="2" t="str">
        <x:v>SIM-E2-BB-L7-R05</x:v>
      </x:c>
      <x:c r="B1432" s="2" t="n">
        <x:v>3</x:v>
      </x:c>
      <x:c r="C1432" s="2" t="str">
        <x:v>BB</x:v>
      </x:c>
      <x:c r="D1432" s="2" t="str">
        <x:v>Brevicoryne brassicae</x:v>
      </x:c>
      <x:c r="E1432" s="2" t="str">
        <x:v>L7</x:v>
      </x:c>
      <x:c r="F1432" s="2" t="n">
        <x:v>5</x:v>
      </x:c>
      <x:c r="G1432" s="2" t="n">
        <x:v>2</x:v>
      </x:c>
      <x:c r="H1432" s="2" t="n">
        <x:f>G1432+Supuestos!$C$15</x:f>
        <x:v>3</x:v>
      </x:c>
      <x:c r="I1432" s="14" t="n">
        <x:f>E2_plantas!J36+G1432</x:f>
        <x:v>46190</x:v>
      </x:c>
      <x:c r="J1432" s="2" t="str">
        <x:v>N1</x:v>
      </x:c>
      <x:c r="K1432" s="2" t="n">
        <x:v>1</x:v>
      </x:c>
      <x:c r="L1432" s="2" t="n">
        <x:v>0</x:v>
      </x:c>
      <x:c r="M1432" s="2" t="n">
        <x:f>SUM(L$1430:L1432)</x:f>
        <x:v>0</x:v>
      </x:c>
      <x:c r="N1432" s="2" t="n">
        <x:v>0</x:v>
      </x:c>
      <x:c r="O1432" s="2" t="str">
        <x:v>seguimiento</x:v>
      </x:c>
      <x:c r="P1432" s="2" t="n">
        <x:v>0</x:v>
      </x:c>
      <x:c r="Q1432" s="2" t="str">
        <x:v>simulado_didactico</x:v>
      </x:c>
    </x:row>
    <x:row r="1433" ht="19" customHeight="1">
      <x:c r="A1433" s="2" t="str">
        <x:v>SIM-E2-BB-L7-R05</x:v>
      </x:c>
      <x:c r="B1433" s="2" t="n">
        <x:v>3</x:v>
      </x:c>
      <x:c r="C1433" s="2" t="str">
        <x:v>BB</x:v>
      </x:c>
      <x:c r="D1433" s="2" t="str">
        <x:v>Brevicoryne brassicae</x:v>
      </x:c>
      <x:c r="E1433" s="2" t="str">
        <x:v>L7</x:v>
      </x:c>
      <x:c r="F1433" s="2" t="n">
        <x:v>5</x:v>
      </x:c>
      <x:c r="G1433" s="2" t="n">
        <x:v>3</x:v>
      </x:c>
      <x:c r="H1433" s="2" t="n">
        <x:f>G1433+Supuestos!$C$15</x:f>
        <x:v>4</x:v>
      </x:c>
      <x:c r="I1433" s="14" t="n">
        <x:f>E2_plantas!J36+G1433</x:f>
        <x:v>46191</x:v>
      </x:c>
      <x:c r="J1433" s="2" t="str">
        <x:v>N1</x:v>
      </x:c>
      <x:c r="K1433" s="2" t="n">
        <x:v>1</x:v>
      </x:c>
      <x:c r="L1433" s="2" t="n">
        <x:v>0</x:v>
      </x:c>
      <x:c r="M1433" s="2" t="n">
        <x:f>SUM(L$1430:L1433)</x:f>
        <x:v>0</x:v>
      </x:c>
      <x:c r="N1433" s="2" t="n">
        <x:v>0</x:v>
      </x:c>
      <x:c r="O1433" s="2" t="str">
        <x:v>seguimiento</x:v>
      </x:c>
      <x:c r="P1433" s="2" t="n">
        <x:v>0</x:v>
      </x:c>
      <x:c r="Q1433" s="2" t="str">
        <x:v>simulado_didactico</x:v>
      </x:c>
    </x:row>
    <x:row r="1434" ht="19" customHeight="1">
      <x:c r="A1434" s="2" t="str">
        <x:v>SIM-E2-BB-L7-R05</x:v>
      </x:c>
      <x:c r="B1434" s="2" t="n">
        <x:v>3</x:v>
      </x:c>
      <x:c r="C1434" s="2" t="str">
        <x:v>BB</x:v>
      </x:c>
      <x:c r="D1434" s="2" t="str">
        <x:v>Brevicoryne brassicae</x:v>
      </x:c>
      <x:c r="E1434" s="2" t="str">
        <x:v>L7</x:v>
      </x:c>
      <x:c r="F1434" s="2" t="n">
        <x:v>5</x:v>
      </x:c>
      <x:c r="G1434" s="2" t="n">
        <x:v>4</x:v>
      </x:c>
      <x:c r="H1434" s="2" t="n">
        <x:f>G1434+Supuestos!$C$15</x:f>
        <x:v>5</x:v>
      </x:c>
      <x:c r="I1434" s="14" t="n">
        <x:f>E2_plantas!J36+G1434</x:f>
        <x:v>46192</x:v>
      </x:c>
      <x:c r="J1434" s="2" t="str">
        <x:v>N2</x:v>
      </x:c>
      <x:c r="K1434" s="2" t="n">
        <x:v>1</x:v>
      </x:c>
      <x:c r="L1434" s="2" t="n">
        <x:v>0</x:v>
      </x:c>
      <x:c r="M1434" s="2" t="n">
        <x:f>SUM(L$1430:L1434)</x:f>
        <x:v>0</x:v>
      </x:c>
      <x:c r="N1434" s="2" t="n">
        <x:v>0</x:v>
      </x:c>
      <x:c r="O1434" s="2" t="str">
        <x:v>seguimiento</x:v>
      </x:c>
      <x:c r="P1434" s="2" t="n">
        <x:v>0</x:v>
      </x:c>
      <x:c r="Q1434" s="2" t="str">
        <x:v>simulado_didactico</x:v>
      </x:c>
    </x:row>
    <x:row r="1435" ht="19" customHeight="1">
      <x:c r="A1435" s="2" t="str">
        <x:v>SIM-E2-BB-L7-R05</x:v>
      </x:c>
      <x:c r="B1435" s="2" t="n">
        <x:v>3</x:v>
      </x:c>
      <x:c r="C1435" s="2" t="str">
        <x:v>BB</x:v>
      </x:c>
      <x:c r="D1435" s="2" t="str">
        <x:v>Brevicoryne brassicae</x:v>
      </x:c>
      <x:c r="E1435" s="2" t="str">
        <x:v>L7</x:v>
      </x:c>
      <x:c r="F1435" s="2" t="n">
        <x:v>5</x:v>
      </x:c>
      <x:c r="G1435" s="2" t="n">
        <x:v>5</x:v>
      </x:c>
      <x:c r="H1435" s="2" t="n">
        <x:f>G1435+Supuestos!$C$15</x:f>
        <x:v>6</x:v>
      </x:c>
      <x:c r="I1435" s="14" t="n">
        <x:f>E2_plantas!J36+G1435</x:f>
        <x:v>46193</x:v>
      </x:c>
      <x:c r="J1435" s="2" t="str">
        <x:v>N3</x:v>
      </x:c>
      <x:c r="K1435" s="2" t="n">
        <x:v>1</x:v>
      </x:c>
      <x:c r="L1435" s="2" t="n">
        <x:v>0</x:v>
      </x:c>
      <x:c r="M1435" s="2" t="n">
        <x:f>SUM(L$1430:L1435)</x:f>
        <x:v>0</x:v>
      </x:c>
      <x:c r="N1435" s="2" t="n">
        <x:v>0</x:v>
      </x:c>
      <x:c r="O1435" s="2" t="str">
        <x:v>seguimiento</x:v>
      </x:c>
      <x:c r="P1435" s="2" t="n">
        <x:v>0</x:v>
      </x:c>
      <x:c r="Q1435" s="2" t="str">
        <x:v>simulado_didactico</x:v>
      </x:c>
    </x:row>
    <x:row r="1436" ht="19" customHeight="1">
      <x:c r="A1436" s="2" t="str">
        <x:v>SIM-E2-BB-L7-R05</x:v>
      </x:c>
      <x:c r="B1436" s="2" t="n">
        <x:v>3</x:v>
      </x:c>
      <x:c r="C1436" s="2" t="str">
        <x:v>BB</x:v>
      </x:c>
      <x:c r="D1436" s="2" t="str">
        <x:v>Brevicoryne brassicae</x:v>
      </x:c>
      <x:c r="E1436" s="2" t="str">
        <x:v>L7</x:v>
      </x:c>
      <x:c r="F1436" s="2" t="n">
        <x:v>5</x:v>
      </x:c>
      <x:c r="G1436" s="2" t="n">
        <x:v>6</x:v>
      </x:c>
      <x:c r="H1436" s="2" t="n">
        <x:f>G1436+Supuestos!$C$15</x:f>
        <x:v>7</x:v>
      </x:c>
      <x:c r="I1436" s="14" t="n">
        <x:f>E2_plantas!J36+G1436</x:f>
        <x:v>46194</x:v>
      </x:c>
      <x:c r="J1436" s="2" t="str">
        <x:v>N4</x:v>
      </x:c>
      <x:c r="K1436" s="2" t="n">
        <x:v>1</x:v>
      </x:c>
      <x:c r="L1436" s="2" t="n">
        <x:v>0</x:v>
      </x:c>
      <x:c r="M1436" s="2" t="n">
        <x:f>SUM(L$1430:L1436)</x:f>
        <x:v>0</x:v>
      </x:c>
      <x:c r="N1436" s="2" t="n">
        <x:v>0</x:v>
      </x:c>
      <x:c r="O1436" s="2" t="str">
        <x:v>seguimiento</x:v>
      </x:c>
      <x:c r="P1436" s="2" t="n">
        <x:v>0</x:v>
      </x:c>
      <x:c r="Q1436" s="2" t="str">
        <x:v>simulado_didactico</x:v>
      </x:c>
    </x:row>
    <x:row r="1437" ht="19" customHeight="1">
      <x:c r="A1437" s="2" t="str">
        <x:v>SIM-E2-BB-L7-R05</x:v>
      </x:c>
      <x:c r="B1437" s="2" t="n">
        <x:v>3</x:v>
      </x:c>
      <x:c r="C1437" s="2" t="str">
        <x:v>BB</x:v>
      </x:c>
      <x:c r="D1437" s="2" t="str">
        <x:v>Brevicoryne brassicae</x:v>
      </x:c>
      <x:c r="E1437" s="2" t="str">
        <x:v>L7</x:v>
      </x:c>
      <x:c r="F1437" s="2" t="n">
        <x:v>5</x:v>
      </x:c>
      <x:c r="G1437" s="2" t="n">
        <x:v>7</x:v>
      </x:c>
      <x:c r="H1437" s="2" t="n">
        <x:f>G1437+Supuestos!$C$15</x:f>
        <x:v>8</x:v>
      </x:c>
      <x:c r="I1437" s="14" t="n">
        <x:f>E2_plantas!J36+G1437</x:f>
        <x:v>46195</x:v>
      </x:c>
      <x:c r="J1437" s="2" t="str">
        <x:v>N4</x:v>
      </x:c>
      <x:c r="K1437" s="2" t="n">
        <x:v>1</x:v>
      </x:c>
      <x:c r="L1437" s="2" t="n">
        <x:v>0</x:v>
      </x:c>
      <x:c r="M1437" s="2" t="n">
        <x:f>SUM(L$1430:L1437)</x:f>
        <x:v>0</x:v>
      </x:c>
      <x:c r="N1437" s="2" t="n">
        <x:v>0</x:v>
      </x:c>
      <x:c r="O1437" s="2" t="str">
        <x:v>seguimiento</x:v>
      </x:c>
      <x:c r="P1437" s="2" t="n">
        <x:v>0</x:v>
      </x:c>
      <x:c r="Q1437" s="2" t="str">
        <x:v>simulado_didactico</x:v>
      </x:c>
    </x:row>
    <x:row r="1438" ht="19" customHeight="1">
      <x:c r="A1438" s="2" t="str">
        <x:v>SIM-E2-BB-L7-R05</x:v>
      </x:c>
      <x:c r="B1438" s="2" t="n">
        <x:v>3</x:v>
      </x:c>
      <x:c r="C1438" s="2" t="str">
        <x:v>BB</x:v>
      </x:c>
      <x:c r="D1438" s="2" t="str">
        <x:v>Brevicoryne brassicae</x:v>
      </x:c>
      <x:c r="E1438" s="2" t="str">
        <x:v>L7</x:v>
      </x:c>
      <x:c r="F1438" s="2" t="n">
        <x:v>5</x:v>
      </x:c>
      <x:c r="G1438" s="2" t="n">
        <x:v>8</x:v>
      </x:c>
      <x:c r="H1438" s="2" t="n">
        <x:f>G1438+Supuestos!$C$15</x:f>
        <x:v>9</x:v>
      </x:c>
      <x:c r="I1438" s="14" t="n">
        <x:f>E2_plantas!J36+G1438</x:f>
        <x:v>46196</x:v>
      </x:c>
      <x:c r="J1438" s="2" t="str">
        <x:v>N4</x:v>
      </x:c>
      <x:c r="K1438" s="2" t="n">
        <x:v>1</x:v>
      </x:c>
      <x:c r="L1438" s="2" t="n">
        <x:v>0</x:v>
      </x:c>
      <x:c r="M1438" s="2" t="n">
        <x:f>SUM(L$1430:L1438)</x:f>
        <x:v>0</x:v>
      </x:c>
      <x:c r="N1438" s="2" t="n">
        <x:v>0</x:v>
      </x:c>
      <x:c r="O1438" s="2" t="str">
        <x:v>seguimiento</x:v>
      </x:c>
      <x:c r="P1438" s="2" t="n">
        <x:v>0</x:v>
      </x:c>
      <x:c r="Q1438" s="2" t="str">
        <x:v>simulado_didactico</x:v>
      </x:c>
    </x:row>
    <x:row r="1439" ht="19" customHeight="1">
      <x:c r="A1439" s="2" t="str">
        <x:v>SIM-E2-BB-L7-R05</x:v>
      </x:c>
      <x:c r="B1439" s="2" t="n">
        <x:v>3</x:v>
      </x:c>
      <x:c r="C1439" s="2" t="str">
        <x:v>BB</x:v>
      </x:c>
      <x:c r="D1439" s="2" t="str">
        <x:v>Brevicoryne brassicae</x:v>
      </x:c>
      <x:c r="E1439" s="2" t="str">
        <x:v>L7</x:v>
      </x:c>
      <x:c r="F1439" s="2" t="n">
        <x:v>5</x:v>
      </x:c>
      <x:c r="G1439" s="2" t="n">
        <x:v>9</x:v>
      </x:c>
      <x:c r="H1439" s="2" t="n">
        <x:f>G1439+Supuestos!$C$15</x:f>
        <x:v>10</x:v>
      </x:c>
      <x:c r="I1439" s="14" t="n">
        <x:f>E2_plantas!J36+G1439</x:f>
        <x:v>46197</x:v>
      </x:c>
      <x:c r="J1439" s="2" t="str">
        <x:v>adulta</x:v>
      </x:c>
      <x:c r="K1439" s="2" t="n">
        <x:v>1</x:v>
      </x:c>
      <x:c r="L1439" s="2" t="n">
        <x:v>0</x:v>
      </x:c>
      <x:c r="M1439" s="2" t="n">
        <x:f>SUM(L$1430:L1439)</x:f>
        <x:v>0</x:v>
      </x:c>
      <x:c r="N1439" s="2" t="n">
        <x:v>0</x:v>
      </x:c>
      <x:c r="O1439" s="2" t="str">
        <x:v>seguimiento</x:v>
      </x:c>
      <x:c r="P1439" s="2" t="n">
        <x:v>0</x:v>
      </x:c>
      <x:c r="Q1439" s="2" t="str">
        <x:v>simulado_didactico</x:v>
      </x:c>
    </x:row>
    <x:row r="1440" ht="19" customHeight="1">
      <x:c r="A1440" s="2" t="str">
        <x:v>SIM-E2-BB-L7-R05</x:v>
      </x:c>
      <x:c r="B1440" s="2" t="n">
        <x:v>3</x:v>
      </x:c>
      <x:c r="C1440" s="2" t="str">
        <x:v>BB</x:v>
      </x:c>
      <x:c r="D1440" s="2" t="str">
        <x:v>Brevicoryne brassicae</x:v>
      </x:c>
      <x:c r="E1440" s="2" t="str">
        <x:v>L7</x:v>
      </x:c>
      <x:c r="F1440" s="2" t="n">
        <x:v>5</x:v>
      </x:c>
      <x:c r="G1440" s="2" t="n">
        <x:v>10</x:v>
      </x:c>
      <x:c r="H1440" s="2" t="n">
        <x:f>G1440+Supuestos!$C$15</x:f>
        <x:v>11</x:v>
      </x:c>
      <x:c r="I1440" s="14" t="n">
        <x:f>E2_plantas!J36+G1440</x:f>
        <x:v>46198</x:v>
      </x:c>
      <x:c r="J1440" s="2" t="str">
        <x:v>adulta</x:v>
      </x:c>
      <x:c r="K1440" s="2" t="n">
        <x:v>1</x:v>
      </x:c>
      <x:c r="L1440" s="2" t="n">
        <x:v>0</x:v>
      </x:c>
      <x:c r="M1440" s="2" t="n">
        <x:f>SUM(L$1430:L1440)</x:f>
        <x:v>0</x:v>
      </x:c>
      <x:c r="N1440" s="2" t="n">
        <x:v>0</x:v>
      </x:c>
      <x:c r="O1440" s="2" t="str">
        <x:v>seguimiento</x:v>
      </x:c>
      <x:c r="P1440" s="2" t="n">
        <x:v>0</x:v>
      </x:c>
      <x:c r="Q1440" s="2" t="str">
        <x:v>simulado_didactico</x:v>
      </x:c>
    </x:row>
    <x:row r="1441" ht="19" customHeight="1">
      <x:c r="A1441" s="2" t="str">
        <x:v>SIM-E2-BB-L7-R05</x:v>
      </x:c>
      <x:c r="B1441" s="2" t="n">
        <x:v>3</x:v>
      </x:c>
      <x:c r="C1441" s="2" t="str">
        <x:v>BB</x:v>
      </x:c>
      <x:c r="D1441" s="2" t="str">
        <x:v>Brevicoryne brassicae</x:v>
      </x:c>
      <x:c r="E1441" s="2" t="str">
        <x:v>L7</x:v>
      </x:c>
      <x:c r="F1441" s="2" t="n">
        <x:v>5</x:v>
      </x:c>
      <x:c r="G1441" s="2" t="n">
        <x:v>11</x:v>
      </x:c>
      <x:c r="H1441" s="2" t="n">
        <x:f>G1441+Supuestos!$C$15</x:f>
        <x:v>12</x:v>
      </x:c>
      <x:c r="I1441" s="14" t="n">
        <x:f>E2_plantas!J36+G1441</x:f>
        <x:v>46199</x:v>
      </x:c>
      <x:c r="J1441" s="2" t="str">
        <x:v>adulta</x:v>
      </x:c>
      <x:c r="K1441" s="2" t="n">
        <x:v>1</x:v>
      </x:c>
      <x:c r="L1441" s="2" t="n">
        <x:v>1</x:v>
      </x:c>
      <x:c r="M1441" s="2" t="n">
        <x:f>SUM(L$1430:L1441)</x:f>
        <x:v>1</x:v>
      </x:c>
      <x:c r="N1441" s="2" t="n">
        <x:v>0</x:v>
      </x:c>
      <x:c r="O1441" s="2" t="str">
        <x:v>seguimiento</x:v>
      </x:c>
      <x:c r="P1441" s="2" t="n">
        <x:v>0</x:v>
      </x:c>
      <x:c r="Q1441" s="2" t="str">
        <x:v>simulado_didactico</x:v>
      </x:c>
    </x:row>
    <x:row r="1442" ht="19" customHeight="1">
      <x:c r="A1442" s="2" t="str">
        <x:v>SIM-E2-BB-L7-R05</x:v>
      </x:c>
      <x:c r="B1442" s="2" t="n">
        <x:v>3</x:v>
      </x:c>
      <x:c r="C1442" s="2" t="str">
        <x:v>BB</x:v>
      </x:c>
      <x:c r="D1442" s="2" t="str">
        <x:v>Brevicoryne brassicae</x:v>
      </x:c>
      <x:c r="E1442" s="2" t="str">
        <x:v>L7</x:v>
      </x:c>
      <x:c r="F1442" s="2" t="n">
        <x:v>5</x:v>
      </x:c>
      <x:c r="G1442" s="2" t="n">
        <x:v>12</x:v>
      </x:c>
      <x:c r="H1442" s="2" t="n">
        <x:f>G1442+Supuestos!$C$15</x:f>
        <x:v>13</x:v>
      </x:c>
      <x:c r="I1442" s="14" t="n">
        <x:f>E2_plantas!J36+G1442</x:f>
        <x:v>46200</x:v>
      </x:c>
      <x:c r="J1442" s="2" t="str">
        <x:v>adulta</x:v>
      </x:c>
      <x:c r="K1442" s="2" t="n">
        <x:v>1</x:v>
      </x:c>
      <x:c r="L1442" s="2" t="n">
        <x:v>1</x:v>
      </x:c>
      <x:c r="M1442" s="2" t="n">
        <x:f>SUM(L$1430:L1442)</x:f>
        <x:v>2</x:v>
      </x:c>
      <x:c r="N1442" s="2" t="n">
        <x:v>0</x:v>
      </x:c>
      <x:c r="O1442" s="2" t="str">
        <x:v>seguimiento</x:v>
      </x:c>
      <x:c r="P1442" s="2" t="n">
        <x:v>0</x:v>
      </x:c>
      <x:c r="Q1442" s="2" t="str">
        <x:v>simulado_didactico</x:v>
      </x:c>
    </x:row>
    <x:row r="1443" ht="19" customHeight="1">
      <x:c r="A1443" s="2" t="str">
        <x:v>SIM-E2-BB-L7-R05</x:v>
      </x:c>
      <x:c r="B1443" s="2" t="n">
        <x:v>3</x:v>
      </x:c>
      <x:c r="C1443" s="2" t="str">
        <x:v>BB</x:v>
      </x:c>
      <x:c r="D1443" s="2" t="str">
        <x:v>Brevicoryne brassicae</x:v>
      </x:c>
      <x:c r="E1443" s="2" t="str">
        <x:v>L7</x:v>
      </x:c>
      <x:c r="F1443" s="2" t="n">
        <x:v>5</x:v>
      </x:c>
      <x:c r="G1443" s="2" t="n">
        <x:v>13</x:v>
      </x:c>
      <x:c r="H1443" s="2" t="n">
        <x:f>G1443+Supuestos!$C$15</x:f>
        <x:v>14</x:v>
      </x:c>
      <x:c r="I1443" s="14" t="n">
        <x:f>E2_plantas!J36+G1443</x:f>
        <x:v>46201</x:v>
      </x:c>
      <x:c r="J1443" s="2" t="str">
        <x:v>adulta</x:v>
      </x:c>
      <x:c r="K1443" s="2" t="n">
        <x:v>1</x:v>
      </x:c>
      <x:c r="L1443" s="2" t="n">
        <x:v>3</x:v>
      </x:c>
      <x:c r="M1443" s="2" t="n">
        <x:f>SUM(L$1430:L1443)</x:f>
        <x:v>5</x:v>
      </x:c>
      <x:c r="N1443" s="2" t="n">
        <x:v>0</x:v>
      </x:c>
      <x:c r="O1443" s="2" t="str">
        <x:v>seguimiento</x:v>
      </x:c>
      <x:c r="P1443" s="2" t="n">
        <x:v>0</x:v>
      </x:c>
      <x:c r="Q1443" s="2" t="str">
        <x:v>simulado_didactico</x:v>
      </x:c>
    </x:row>
    <x:row r="1444" ht="19" customHeight="1">
      <x:c r="A1444" s="2" t="str">
        <x:v>SIM-E2-BB-L7-R05</x:v>
      </x:c>
      <x:c r="B1444" s="2" t="n">
        <x:v>3</x:v>
      </x:c>
      <x:c r="C1444" s="2" t="str">
        <x:v>BB</x:v>
      </x:c>
      <x:c r="D1444" s="2" t="str">
        <x:v>Brevicoryne brassicae</x:v>
      </x:c>
      <x:c r="E1444" s="2" t="str">
        <x:v>L7</x:v>
      </x:c>
      <x:c r="F1444" s="2" t="n">
        <x:v>5</x:v>
      </x:c>
      <x:c r="G1444" s="2" t="n">
        <x:v>14</x:v>
      </x:c>
      <x:c r="H1444" s="2" t="n">
        <x:f>G1444+Supuestos!$C$15</x:f>
        <x:v>15</x:v>
      </x:c>
      <x:c r="I1444" s="14" t="n">
        <x:f>E2_plantas!J36+G1444</x:f>
        <x:v>46202</x:v>
      </x:c>
      <x:c r="J1444" s="2" t="str">
        <x:v>adulta</x:v>
      </x:c>
      <x:c r="K1444" s="2" t="n">
        <x:v>1</x:v>
      </x:c>
      <x:c r="L1444" s="2" t="n">
        <x:v>1</x:v>
      </x:c>
      <x:c r="M1444" s="2" t="n">
        <x:f>SUM(L$1430:L1444)</x:f>
        <x:v>6</x:v>
      </x:c>
      <x:c r="N1444" s="2" t="n">
        <x:v>0</x:v>
      </x:c>
      <x:c r="O1444" s="2" t="str">
        <x:v>seguimiento</x:v>
      </x:c>
      <x:c r="P1444" s="2" t="n">
        <x:v>0</x:v>
      </x:c>
      <x:c r="Q1444" s="2" t="str">
        <x:v>simulado_didactico</x:v>
      </x:c>
    </x:row>
    <x:row r="1445" ht="19" customHeight="1">
      <x:c r="A1445" s="2" t="str">
        <x:v>SIM-E2-BB-L7-R05</x:v>
      </x:c>
      <x:c r="B1445" s="2" t="n">
        <x:v>3</x:v>
      </x:c>
      <x:c r="C1445" s="2" t="str">
        <x:v>BB</x:v>
      </x:c>
      <x:c r="D1445" s="2" t="str">
        <x:v>Brevicoryne brassicae</x:v>
      </x:c>
      <x:c r="E1445" s="2" t="str">
        <x:v>L7</x:v>
      </x:c>
      <x:c r="F1445" s="2" t="n">
        <x:v>5</x:v>
      </x:c>
      <x:c r="G1445" s="2" t="n">
        <x:v>15</x:v>
      </x:c>
      <x:c r="H1445" s="2" t="n">
        <x:f>G1445+Supuestos!$C$15</x:f>
        <x:v>16</x:v>
      </x:c>
      <x:c r="I1445" s="14" t="n">
        <x:f>E2_plantas!J36+G1445</x:f>
        <x:v>46203</x:v>
      </x:c>
      <x:c r="J1445" s="2" t="str">
        <x:v>adulta</x:v>
      </x:c>
      <x:c r="K1445" s="2" t="n">
        <x:v>1</x:v>
      </x:c>
      <x:c r="L1445" s="2" t="n">
        <x:v>5</x:v>
      </x:c>
      <x:c r="M1445" s="2" t="n">
        <x:f>SUM(L$1430:L1445)</x:f>
        <x:v>11</x:v>
      </x:c>
      <x:c r="N1445" s="2" t="n">
        <x:v>0</x:v>
      </x:c>
      <x:c r="O1445" s="2" t="str">
        <x:v>seguimiento</x:v>
      </x:c>
      <x:c r="P1445" s="2" t="n">
        <x:v>0</x:v>
      </x:c>
      <x:c r="Q1445" s="2" t="str">
        <x:v>simulado_didactico</x:v>
      </x:c>
    </x:row>
    <x:row r="1446" ht="19" customHeight="1">
      <x:c r="A1446" s="2" t="str">
        <x:v>SIM-E2-BB-L7-R05</x:v>
      </x:c>
      <x:c r="B1446" s="2" t="n">
        <x:v>3</x:v>
      </x:c>
      <x:c r="C1446" s="2" t="str">
        <x:v>BB</x:v>
      </x:c>
      <x:c r="D1446" s="2" t="str">
        <x:v>Brevicoryne brassicae</x:v>
      </x:c>
      <x:c r="E1446" s="2" t="str">
        <x:v>L7</x:v>
      </x:c>
      <x:c r="F1446" s="2" t="n">
        <x:v>5</x:v>
      </x:c>
      <x:c r="G1446" s="2" t="n">
        <x:v>16</x:v>
      </x:c>
      <x:c r="H1446" s="2" t="n">
        <x:f>G1446+Supuestos!$C$15</x:f>
        <x:v>17</x:v>
      </x:c>
      <x:c r="I1446" s="14" t="n">
        <x:f>E2_plantas!J36+G1446</x:f>
        <x:v>46204</x:v>
      </x:c>
      <x:c r="J1446" s="2" t="str">
        <x:v>adulta</x:v>
      </x:c>
      <x:c r="K1446" s="2" t="n">
        <x:v>1</x:v>
      </x:c>
      <x:c r="L1446" s="2" t="n">
        <x:v>0</x:v>
      </x:c>
      <x:c r="M1446" s="2" t="n">
        <x:f>SUM(L$1430:L1446)</x:f>
        <x:v>11</x:v>
      </x:c>
      <x:c r="N1446" s="2" t="n">
        <x:v>0</x:v>
      </x:c>
      <x:c r="O1446" s="2" t="str">
        <x:v>seguimiento</x:v>
      </x:c>
      <x:c r="P1446" s="2" t="n">
        <x:v>0</x:v>
      </x:c>
      <x:c r="Q1446" s="2" t="str">
        <x:v>simulado_didactico</x:v>
      </x:c>
    </x:row>
    <x:row r="1447" ht="19" customHeight="1">
      <x:c r="A1447" s="2" t="str">
        <x:v>SIM-E2-BB-L7-R05</x:v>
      </x:c>
      <x:c r="B1447" s="2" t="n">
        <x:v>3</x:v>
      </x:c>
      <x:c r="C1447" s="2" t="str">
        <x:v>BB</x:v>
      </x:c>
      <x:c r="D1447" s="2" t="str">
        <x:v>Brevicoryne brassicae</x:v>
      </x:c>
      <x:c r="E1447" s="2" t="str">
        <x:v>L7</x:v>
      </x:c>
      <x:c r="F1447" s="2" t="n">
        <x:v>5</x:v>
      </x:c>
      <x:c r="G1447" s="2" t="n">
        <x:v>17</x:v>
      </x:c>
      <x:c r="H1447" s="2" t="n">
        <x:f>G1447+Supuestos!$C$15</x:f>
        <x:v>18</x:v>
      </x:c>
      <x:c r="I1447" s="14" t="n">
        <x:f>E2_plantas!J36+G1447</x:f>
        <x:v>46205</x:v>
      </x:c>
      <x:c r="J1447" s="2" t="str">
        <x:v>adulta</x:v>
      </x:c>
      <x:c r="K1447" s="2" t="n">
        <x:v>1</x:v>
      </x:c>
      <x:c r="L1447" s="2" t="n">
        <x:v>4</x:v>
      </x:c>
      <x:c r="M1447" s="2" t="n">
        <x:f>SUM(L$1430:L1447)</x:f>
        <x:v>15</x:v>
      </x:c>
      <x:c r="N1447" s="2" t="n">
        <x:v>0</x:v>
      </x:c>
      <x:c r="O1447" s="2" t="str">
        <x:v>seguimiento</x:v>
      </x:c>
      <x:c r="P1447" s="2" t="n">
        <x:v>0</x:v>
      </x:c>
      <x:c r="Q1447" s="2" t="str">
        <x:v>simulado_didactico</x:v>
      </x:c>
    </x:row>
    <x:row r="1448" ht="19" customHeight="1">
      <x:c r="A1448" s="2" t="str">
        <x:v>SIM-E2-BB-L7-R05</x:v>
      </x:c>
      <x:c r="B1448" s="2" t="n">
        <x:v>3</x:v>
      </x:c>
      <x:c r="C1448" s="2" t="str">
        <x:v>BB</x:v>
      </x:c>
      <x:c r="D1448" s="2" t="str">
        <x:v>Brevicoryne brassicae</x:v>
      </x:c>
      <x:c r="E1448" s="2" t="str">
        <x:v>L7</x:v>
      </x:c>
      <x:c r="F1448" s="2" t="n">
        <x:v>5</x:v>
      </x:c>
      <x:c r="G1448" s="2" t="n">
        <x:v>18</x:v>
      </x:c>
      <x:c r="H1448" s="2" t="n">
        <x:f>G1448+Supuestos!$C$15</x:f>
        <x:v>19</x:v>
      </x:c>
      <x:c r="I1448" s="14" t="n">
        <x:f>E2_plantas!J36+G1448</x:f>
        <x:v>46206</x:v>
      </x:c>
      <x:c r="J1448" s="2" t="str">
        <x:v>adulta</x:v>
      </x:c>
      <x:c r="K1448" s="2" t="n">
        <x:v>1</x:v>
      </x:c>
      <x:c r="L1448" s="2" t="n">
        <x:v>4</x:v>
      </x:c>
      <x:c r="M1448" s="2" t="n">
        <x:f>SUM(L$1430:L1448)</x:f>
        <x:v>19</x:v>
      </x:c>
      <x:c r="N1448" s="2" t="n">
        <x:v>0</x:v>
      </x:c>
      <x:c r="O1448" s="2" t="str">
        <x:v>seguimiento</x:v>
      </x:c>
      <x:c r="P1448" s="2" t="n">
        <x:v>0</x:v>
      </x:c>
      <x:c r="Q1448" s="2" t="str">
        <x:v>simulado_didactico</x:v>
      </x:c>
    </x:row>
    <x:row r="1449" ht="19" customHeight="1">
      <x:c r="A1449" s="2" t="str">
        <x:v>SIM-E2-BB-L7-R05</x:v>
      </x:c>
      <x:c r="B1449" s="2" t="n">
        <x:v>3</x:v>
      </x:c>
      <x:c r="C1449" s="2" t="str">
        <x:v>BB</x:v>
      </x:c>
      <x:c r="D1449" s="2" t="str">
        <x:v>Brevicoryne brassicae</x:v>
      </x:c>
      <x:c r="E1449" s="2" t="str">
        <x:v>L7</x:v>
      </x:c>
      <x:c r="F1449" s="2" t="n">
        <x:v>5</x:v>
      </x:c>
      <x:c r="G1449" s="2" t="n">
        <x:v>19</x:v>
      </x:c>
      <x:c r="H1449" s="2" t="n">
        <x:f>G1449+Supuestos!$C$15</x:f>
        <x:v>20</x:v>
      </x:c>
      <x:c r="I1449" s="14" t="n">
        <x:f>E2_plantas!J36+G1449</x:f>
        <x:v>46207</x:v>
      </x:c>
      <x:c r="J1449" s="2" t="str">
        <x:v>adulta</x:v>
      </x:c>
      <x:c r="K1449" s="2" t="n">
        <x:v>1</x:v>
      </x:c>
      <x:c r="L1449" s="2" t="n">
        <x:v>3</x:v>
      </x:c>
      <x:c r="M1449" s="2" t="n">
        <x:f>SUM(L$1430:L1449)</x:f>
        <x:v>22</x:v>
      </x:c>
      <x:c r="N1449" s="2" t="n">
        <x:v>0</x:v>
      </x:c>
      <x:c r="O1449" s="2" t="str">
        <x:v>seguimiento</x:v>
      </x:c>
      <x:c r="P1449" s="2" t="n">
        <x:v>0</x:v>
      </x:c>
      <x:c r="Q1449" s="2" t="str">
        <x:v>simulado_didactico</x:v>
      </x:c>
    </x:row>
    <x:row r="1450" ht="19" customHeight="1">
      <x:c r="A1450" s="2" t="str">
        <x:v>SIM-E2-BB-L7-R05</x:v>
      </x:c>
      <x:c r="B1450" s="2" t="n">
        <x:v>3</x:v>
      </x:c>
      <x:c r="C1450" s="2" t="str">
        <x:v>BB</x:v>
      </x:c>
      <x:c r="D1450" s="2" t="str">
        <x:v>Brevicoryne brassicae</x:v>
      </x:c>
      <x:c r="E1450" s="2" t="str">
        <x:v>L7</x:v>
      </x:c>
      <x:c r="F1450" s="2" t="n">
        <x:v>5</x:v>
      </x:c>
      <x:c r="G1450" s="2" t="n">
        <x:v>20</x:v>
      </x:c>
      <x:c r="H1450" s="2" t="n">
        <x:f>G1450+Supuestos!$C$15</x:f>
        <x:v>21</x:v>
      </x:c>
      <x:c r="I1450" s="14" t="n">
        <x:f>E2_plantas!J36+G1450</x:f>
        <x:v>46208</x:v>
      </x:c>
      <x:c r="J1450" s="2" t="str">
        <x:v>adulta</x:v>
      </x:c>
      <x:c r="K1450" s="2" t="n">
        <x:v>1</x:v>
      </x:c>
      <x:c r="L1450" s="2" t="n">
        <x:v>1</x:v>
      </x:c>
      <x:c r="M1450" s="2" t="n">
        <x:f>SUM(L$1430:L1450)</x:f>
        <x:v>23</x:v>
      </x:c>
      <x:c r="N1450" s="2" t="n">
        <x:v>0</x:v>
      </x:c>
      <x:c r="O1450" s="2" t="str">
        <x:v>seguimiento</x:v>
      </x:c>
      <x:c r="P1450" s="2" t="n">
        <x:v>0</x:v>
      </x:c>
      <x:c r="Q1450" s="2" t="str">
        <x:v>simulado_didactico</x:v>
      </x:c>
    </x:row>
    <x:row r="1451" ht="19" customHeight="1">
      <x:c r="A1451" s="2" t="str">
        <x:v>SIM-E2-BB-L7-R05</x:v>
      </x:c>
      <x:c r="B1451" s="2" t="n">
        <x:v>3</x:v>
      </x:c>
      <x:c r="C1451" s="2" t="str">
        <x:v>BB</x:v>
      </x:c>
      <x:c r="D1451" s="2" t="str">
        <x:v>Brevicoryne brassicae</x:v>
      </x:c>
      <x:c r="E1451" s="2" t="str">
        <x:v>L7</x:v>
      </x:c>
      <x:c r="F1451" s="2" t="n">
        <x:v>5</x:v>
      </x:c>
      <x:c r="G1451" s="2" t="n">
        <x:v>21</x:v>
      </x:c>
      <x:c r="H1451" s="2" t="n">
        <x:f>G1451+Supuestos!$C$15</x:f>
        <x:v>22</x:v>
      </x:c>
      <x:c r="I1451" s="14" t="n">
        <x:f>E2_plantas!J36+G1451</x:f>
        <x:v>46209</x:v>
      </x:c>
      <x:c r="J1451" s="2" t="str">
        <x:v>adulta</x:v>
      </x:c>
      <x:c r="K1451" s="2" t="n">
        <x:v>1</x:v>
      </x:c>
      <x:c r="L1451" s="2" t="n">
        <x:v>5</x:v>
      </x:c>
      <x:c r="M1451" s="2" t="n">
        <x:f>SUM(L$1430:L1451)</x:f>
        <x:v>28</x:v>
      </x:c>
      <x:c r="N1451" s="2" t="n">
        <x:v>0</x:v>
      </x:c>
      <x:c r="O1451" s="2" t="str">
        <x:v>seguimiento</x:v>
      </x:c>
      <x:c r="P1451" s="2" t="n">
        <x:v>0</x:v>
      </x:c>
      <x:c r="Q1451" s="2" t="str">
        <x:v>simulado_didactico</x:v>
      </x:c>
    </x:row>
    <x:row r="1452" ht="19" customHeight="1">
      <x:c r="A1452" s="2" t="str">
        <x:v>SIM-E2-BB-L7-R05</x:v>
      </x:c>
      <x:c r="B1452" s="2" t="n">
        <x:v>3</x:v>
      </x:c>
      <x:c r="C1452" s="2" t="str">
        <x:v>BB</x:v>
      </x:c>
      <x:c r="D1452" s="2" t="str">
        <x:v>Brevicoryne brassicae</x:v>
      </x:c>
      <x:c r="E1452" s="2" t="str">
        <x:v>L7</x:v>
      </x:c>
      <x:c r="F1452" s="2" t="n">
        <x:v>5</x:v>
      </x:c>
      <x:c r="G1452" s="2" t="n">
        <x:v>22</x:v>
      </x:c>
      <x:c r="H1452" s="2" t="n">
        <x:f>G1452+Supuestos!$C$15</x:f>
        <x:v>23</x:v>
      </x:c>
      <x:c r="I1452" s="14" t="n">
        <x:f>E2_plantas!J36+G1452</x:f>
        <x:v>46210</x:v>
      </x:c>
      <x:c r="J1452" s="2" t="str">
        <x:v>adulta</x:v>
      </x:c>
      <x:c r="K1452" s="2" t="n">
        <x:v>1</x:v>
      </x:c>
      <x:c r="L1452" s="2" t="n">
        <x:v>0</x:v>
      </x:c>
      <x:c r="M1452" s="2" t="n">
        <x:f>SUM(L$1430:L1452)</x:f>
        <x:v>28</x:v>
      </x:c>
      <x:c r="N1452" s="2" t="n">
        <x:v>0</x:v>
      </x:c>
      <x:c r="O1452" s="2" t="str">
        <x:v>seguimiento</x:v>
      </x:c>
      <x:c r="P1452" s="2" t="n">
        <x:v>0</x:v>
      </x:c>
      <x:c r="Q1452" s="2" t="str">
        <x:v>simulado_didactico</x:v>
      </x:c>
    </x:row>
    <x:row r="1453" ht="19" customHeight="1">
      <x:c r="A1453" s="2" t="str">
        <x:v>SIM-E2-BB-L7-R05</x:v>
      </x:c>
      <x:c r="B1453" s="2" t="n">
        <x:v>3</x:v>
      </x:c>
      <x:c r="C1453" s="2" t="str">
        <x:v>BB</x:v>
      </x:c>
      <x:c r="D1453" s="2" t="str">
        <x:v>Brevicoryne brassicae</x:v>
      </x:c>
      <x:c r="E1453" s="2" t="str">
        <x:v>L7</x:v>
      </x:c>
      <x:c r="F1453" s="2" t="n">
        <x:v>5</x:v>
      </x:c>
      <x:c r="G1453" s="2" t="n">
        <x:v>23</x:v>
      </x:c>
      <x:c r="H1453" s="2" t="n">
        <x:f>G1453+Supuestos!$C$15</x:f>
        <x:v>24</x:v>
      </x:c>
      <x:c r="I1453" s="14" t="n">
        <x:f>E2_plantas!J36+G1453</x:f>
        <x:v>46211</x:v>
      </x:c>
      <x:c r="J1453" s="2" t="str">
        <x:v>adulta</x:v>
      </x:c>
      <x:c r="K1453" s="2" t="n">
        <x:v>1</x:v>
      </x:c>
      <x:c r="L1453" s="2" t="n">
        <x:v>6</x:v>
      </x:c>
      <x:c r="M1453" s="2" t="n">
        <x:f>SUM(L$1430:L1453)</x:f>
        <x:v>34</x:v>
      </x:c>
      <x:c r="N1453" s="2" t="n">
        <x:v>0</x:v>
      </x:c>
      <x:c r="O1453" s="2" t="str">
        <x:v>seguimiento</x:v>
      </x:c>
      <x:c r="P1453" s="2" t="n">
        <x:v>0</x:v>
      </x:c>
      <x:c r="Q1453" s="2" t="str">
        <x:v>simulado_didactico</x:v>
      </x:c>
    </x:row>
    <x:row r="1454" ht="19" customHeight="1">
      <x:c r="A1454" s="2" t="str">
        <x:v>SIM-E2-BB-L7-R05</x:v>
      </x:c>
      <x:c r="B1454" s="2" t="n">
        <x:v>3</x:v>
      </x:c>
      <x:c r="C1454" s="2" t="str">
        <x:v>BB</x:v>
      </x:c>
      <x:c r="D1454" s="2" t="str">
        <x:v>Brevicoryne brassicae</x:v>
      </x:c>
      <x:c r="E1454" s="2" t="str">
        <x:v>L7</x:v>
      </x:c>
      <x:c r="F1454" s="2" t="n">
        <x:v>5</x:v>
      </x:c>
      <x:c r="G1454" s="2" t="n">
        <x:v>24</x:v>
      </x:c>
      <x:c r="H1454" s="2" t="n">
        <x:f>G1454+Supuestos!$C$15</x:f>
        <x:v>25</x:v>
      </x:c>
      <x:c r="I1454" s="14" t="n">
        <x:f>E2_plantas!J36+G1454</x:f>
        <x:v>46212</x:v>
      </x:c>
      <x:c r="J1454" s="2" t="str">
        <x:v>adulta</x:v>
      </x:c>
      <x:c r="K1454" s="2" t="n">
        <x:v>1</x:v>
      </x:c>
      <x:c r="L1454" s="2" t="n">
        <x:v>2</x:v>
      </x:c>
      <x:c r="M1454" s="2" t="n">
        <x:f>SUM(L$1430:L1454)</x:f>
        <x:v>36</x:v>
      </x:c>
      <x:c r="N1454" s="2" t="n">
        <x:v>0</x:v>
      </x:c>
      <x:c r="O1454" s="2" t="str">
        <x:v>seguimiento</x:v>
      </x:c>
      <x:c r="P1454" s="2" t="n">
        <x:v>0</x:v>
      </x:c>
      <x:c r="Q1454" s="2" t="str">
        <x:v>simulado_didactico</x:v>
      </x:c>
    </x:row>
    <x:row r="1455" ht="19" customHeight="1">
      <x:c r="A1455" s="2" t="str">
        <x:v>SIM-E2-BB-L7-R05</x:v>
      </x:c>
      <x:c r="B1455" s="2" t="n">
        <x:v>3</x:v>
      </x:c>
      <x:c r="C1455" s="2" t="str">
        <x:v>BB</x:v>
      </x:c>
      <x:c r="D1455" s="2" t="str">
        <x:v>Brevicoryne brassicae</x:v>
      </x:c>
      <x:c r="E1455" s="2" t="str">
        <x:v>L7</x:v>
      </x:c>
      <x:c r="F1455" s="2" t="n">
        <x:v>5</x:v>
      </x:c>
      <x:c r="G1455" s="2" t="n">
        <x:v>25</x:v>
      </x:c>
      <x:c r="H1455" s="2" t="n">
        <x:f>G1455+Supuestos!$C$15</x:f>
        <x:v>26</x:v>
      </x:c>
      <x:c r="I1455" s="14" t="n">
        <x:f>E2_plantas!J36+G1455</x:f>
        <x:v>46213</x:v>
      </x:c>
      <x:c r="J1455" s="2" t="str">
        <x:v>adulta</x:v>
      </x:c>
      <x:c r="K1455" s="2" t="n">
        <x:v>1</x:v>
      </x:c>
      <x:c r="L1455" s="2" t="n">
        <x:v>1</x:v>
      </x:c>
      <x:c r="M1455" s="2" t="n">
        <x:f>SUM(L$1430:L1455)</x:f>
        <x:v>37</x:v>
      </x:c>
      <x:c r="N1455" s="2" t="n">
        <x:v>0</x:v>
      </x:c>
      <x:c r="O1455" s="2" t="str">
        <x:v>seguimiento</x:v>
      </x:c>
      <x:c r="P1455" s="2" t="n">
        <x:v>0</x:v>
      </x:c>
      <x:c r="Q1455" s="2" t="str">
        <x:v>simulado_didactico</x:v>
      </x:c>
    </x:row>
    <x:row r="1456" ht="19" customHeight="1">
      <x:c r="A1456" s="2" t="str">
        <x:v>SIM-E2-BB-L7-R05</x:v>
      </x:c>
      <x:c r="B1456" s="2" t="n">
        <x:v>3</x:v>
      </x:c>
      <x:c r="C1456" s="2" t="str">
        <x:v>BB</x:v>
      </x:c>
      <x:c r="D1456" s="2" t="str">
        <x:v>Brevicoryne brassicae</x:v>
      </x:c>
      <x:c r="E1456" s="2" t="str">
        <x:v>L7</x:v>
      </x:c>
      <x:c r="F1456" s="2" t="n">
        <x:v>5</x:v>
      </x:c>
      <x:c r="G1456" s="2" t="n">
        <x:v>26</x:v>
      </x:c>
      <x:c r="H1456" s="2" t="n">
        <x:f>G1456+Supuestos!$C$15</x:f>
        <x:v>27</x:v>
      </x:c>
      <x:c r="I1456" s="14" t="n">
        <x:f>E2_plantas!J36+G1456</x:f>
        <x:v>46214</x:v>
      </x:c>
      <x:c r="J1456" s="2" t="str">
        <x:v>adulta</x:v>
      </x:c>
      <x:c r="K1456" s="2" t="n">
        <x:v>1</x:v>
      </x:c>
      <x:c r="L1456" s="2" t="n">
        <x:v>0</x:v>
      </x:c>
      <x:c r="M1456" s="2" t="n">
        <x:f>SUM(L$1430:L1456)</x:f>
        <x:v>37</x:v>
      </x:c>
      <x:c r="N1456" s="2" t="n">
        <x:v>0</x:v>
      </x:c>
      <x:c r="O1456" s="2" t="str">
        <x:v>seguimiento</x:v>
      </x:c>
      <x:c r="P1456" s="2" t="n">
        <x:v>0</x:v>
      </x:c>
      <x:c r="Q1456" s="2" t="str">
        <x:v>simulado_didactico</x:v>
      </x:c>
    </x:row>
    <x:row r="1457" ht="19" customHeight="1">
      <x:c r="A1457" s="2" t="str">
        <x:v>SIM-E2-BB-L7-R05</x:v>
      </x:c>
      <x:c r="B1457" s="2" t="n">
        <x:v>3</x:v>
      </x:c>
      <x:c r="C1457" s="2" t="str">
        <x:v>BB</x:v>
      </x:c>
      <x:c r="D1457" s="2" t="str">
        <x:v>Brevicoryne brassicae</x:v>
      </x:c>
      <x:c r="E1457" s="2" t="str">
        <x:v>L7</x:v>
      </x:c>
      <x:c r="F1457" s="2" t="n">
        <x:v>5</x:v>
      </x:c>
      <x:c r="G1457" s="2" t="n">
        <x:v>27</x:v>
      </x:c>
      <x:c r="H1457" s="2" t="n">
        <x:f>G1457+Supuestos!$C$15</x:f>
        <x:v>28</x:v>
      </x:c>
      <x:c r="I1457" s="14" t="n">
        <x:f>E2_plantas!J36+G1457</x:f>
        <x:v>46215</x:v>
      </x:c>
      <x:c r="J1457" s="2" t="str">
        <x:v>adulta</x:v>
      </x:c>
      <x:c r="K1457" s="2" t="n">
        <x:v>1</x:v>
      </x:c>
      <x:c r="L1457" s="2" t="n">
        <x:v>1</x:v>
      </x:c>
      <x:c r="M1457" s="2" t="n">
        <x:f>SUM(L$1430:L1457)</x:f>
        <x:v>38</x:v>
      </x:c>
      <x:c r="N1457" s="2" t="n">
        <x:v>0</x:v>
      </x:c>
      <x:c r="O1457" s="2" t="str">
        <x:v>seguimiento</x:v>
      </x:c>
      <x:c r="P1457" s="2" t="n">
        <x:v>0</x:v>
      </x:c>
      <x:c r="Q1457" s="2" t="str">
        <x:v>simulado_didactico</x:v>
      </x:c>
    </x:row>
    <x:row r="1458" ht="19" customHeight="1">
      <x:c r="A1458" s="2" t="str">
        <x:v>SIM-E2-BB-L7-R05</x:v>
      </x:c>
      <x:c r="B1458" s="2" t="n">
        <x:v>3</x:v>
      </x:c>
      <x:c r="C1458" s="2" t="str">
        <x:v>BB</x:v>
      </x:c>
      <x:c r="D1458" s="2" t="str">
        <x:v>Brevicoryne brassicae</x:v>
      </x:c>
      <x:c r="E1458" s="2" t="str">
        <x:v>L7</x:v>
      </x:c>
      <x:c r="F1458" s="2" t="n">
        <x:v>5</x:v>
      </x:c>
      <x:c r="G1458" s="2" t="n">
        <x:v>28</x:v>
      </x:c>
      <x:c r="H1458" s="2" t="n">
        <x:f>G1458+Supuestos!$C$15</x:f>
        <x:v>29</x:v>
      </x:c>
      <x:c r="I1458" s="14" t="n">
        <x:f>E2_plantas!J36+G1458</x:f>
        <x:v>46216</x:v>
      </x:c>
      <x:c r="J1458" s="2" t="str">
        <x:v>adulta</x:v>
      </x:c>
      <x:c r="K1458" s="2" t="n">
        <x:v>1</x:v>
      </x:c>
      <x:c r="L1458" s="2" t="n">
        <x:v>2</x:v>
      </x:c>
      <x:c r="M1458" s="2" t="n">
        <x:f>SUM(L$1430:L1458)</x:f>
        <x:v>40</x:v>
      </x:c>
      <x:c r="N1458" s="2" t="n">
        <x:v>0</x:v>
      </x:c>
      <x:c r="O1458" s="2" t="str">
        <x:v>seguimiento</x:v>
      </x:c>
      <x:c r="P1458" s="2" t="n">
        <x:v>0</x:v>
      </x:c>
      <x:c r="Q1458" s="2" t="str">
        <x:v>simulado_didactico</x:v>
      </x:c>
    </x:row>
    <x:row r="1459" ht="19" customHeight="1">
      <x:c r="A1459" s="2" t="str">
        <x:v>SIM-E2-BB-L7-R05</x:v>
      </x:c>
      <x:c r="B1459" s="2" t="n">
        <x:v>3</x:v>
      </x:c>
      <x:c r="C1459" s="2" t="str">
        <x:v>BB</x:v>
      </x:c>
      <x:c r="D1459" s="2" t="str">
        <x:v>Brevicoryne brassicae</x:v>
      </x:c>
      <x:c r="E1459" s="2" t="str">
        <x:v>L7</x:v>
      </x:c>
      <x:c r="F1459" s="2" t="n">
        <x:v>5</x:v>
      </x:c>
      <x:c r="G1459" s="2" t="n">
        <x:v>29</x:v>
      </x:c>
      <x:c r="H1459" s="2" t="n">
        <x:f>G1459+Supuestos!$C$15</x:f>
        <x:v>30</x:v>
      </x:c>
      <x:c r="I1459" s="14" t="n">
        <x:f>E2_plantas!J36+G1459</x:f>
        <x:v>46217</x:v>
      </x:c>
      <x:c r="J1459" s="2" t="str">
        <x:v>adulta</x:v>
      </x:c>
      <x:c r="K1459" s="2" t="n">
        <x:v>1</x:v>
      </x:c>
      <x:c r="L1459" s="2" t="n">
        <x:v>1</x:v>
      </x:c>
      <x:c r="M1459" s="2" t="n">
        <x:f>SUM(L$1430:L1459)</x:f>
        <x:v>41</x:v>
      </x:c>
      <x:c r="N1459" s="2" t="n">
        <x:v>0</x:v>
      </x:c>
      <x:c r="O1459" s="2" t="str">
        <x:v>seguimiento</x:v>
      </x:c>
      <x:c r="P1459" s="2" t="n">
        <x:v>0</x:v>
      </x:c>
      <x:c r="Q1459" s="2" t="str">
        <x:v>simulado_didactico</x:v>
      </x:c>
    </x:row>
    <x:row r="1460" ht="19" customHeight="1">
      <x:c r="A1460" s="2" t="str">
        <x:v>SIM-E2-BB-L7-R05</x:v>
      </x:c>
      <x:c r="B1460" s="2" t="n">
        <x:v>3</x:v>
      </x:c>
      <x:c r="C1460" s="2" t="str">
        <x:v>BB</x:v>
      </x:c>
      <x:c r="D1460" s="2" t="str">
        <x:v>Brevicoryne brassicae</x:v>
      </x:c>
      <x:c r="E1460" s="2" t="str">
        <x:v>L7</x:v>
      </x:c>
      <x:c r="F1460" s="2" t="n">
        <x:v>5</x:v>
      </x:c>
      <x:c r="G1460" s="2" t="n">
        <x:v>30</x:v>
      </x:c>
      <x:c r="H1460" s="2" t="n">
        <x:f>G1460+Supuestos!$C$15</x:f>
        <x:v>31</x:v>
      </x:c>
      <x:c r="I1460" s="14" t="n">
        <x:f>E2_plantas!J36+G1460</x:f>
        <x:v>46218</x:v>
      </x:c>
      <x:c r="J1460" s="2" t="str">
        <x:v>adulta</x:v>
      </x:c>
      <x:c r="K1460" s="2" t="n">
        <x:v>1</x:v>
      </x:c>
      <x:c r="L1460" s="2" t="n">
        <x:v>1</x:v>
      </x:c>
      <x:c r="M1460" s="2" t="n">
        <x:f>SUM(L$1430:L1460)</x:f>
        <x:v>42</x:v>
      </x:c>
      <x:c r="N1460" s="2" t="n">
        <x:v>0</x:v>
      </x:c>
      <x:c r="O1460" s="2" t="str">
        <x:v>seguimiento</x:v>
      </x:c>
      <x:c r="P1460" s="2" t="n">
        <x:v>0</x:v>
      </x:c>
      <x:c r="Q1460" s="2" t="str">
        <x:v>simulado_didactico</x:v>
      </x:c>
    </x:row>
    <x:row r="1461" ht="19" customHeight="1">
      <x:c r="A1461" s="2" t="str">
        <x:v>SIM-E2-BB-L7-R05</x:v>
      </x:c>
      <x:c r="B1461" s="2" t="n">
        <x:v>3</x:v>
      </x:c>
      <x:c r="C1461" s="2" t="str">
        <x:v>BB</x:v>
      </x:c>
      <x:c r="D1461" s="2" t="str">
        <x:v>Brevicoryne brassicae</x:v>
      </x:c>
      <x:c r="E1461" s="2" t="str">
        <x:v>L7</x:v>
      </x:c>
      <x:c r="F1461" s="2" t="n">
        <x:v>5</x:v>
      </x:c>
      <x:c r="G1461" s="2" t="n">
        <x:v>31</x:v>
      </x:c>
      <x:c r="H1461" s="2" t="n">
        <x:f>G1461+Supuestos!$C$15</x:f>
        <x:v>32</x:v>
      </x:c>
      <x:c r="I1461" s="14" t="n">
        <x:f>E2_plantas!J36+G1461</x:f>
        <x:v>46219</x:v>
      </x:c>
      <x:c r="J1461" s="2" t="str">
        <x:v>adulta</x:v>
      </x:c>
      <x:c r="K1461" s="2" t="n">
        <x:v>1</x:v>
      </x:c>
      <x:c r="L1461" s="2" t="n">
        <x:v>1</x:v>
      </x:c>
      <x:c r="M1461" s="2" t="n">
        <x:f>SUM(L$1430:L1461)</x:f>
        <x:v>43</x:v>
      </x:c>
      <x:c r="N1461" s="2" t="n">
        <x:v>0</x:v>
      </x:c>
      <x:c r="O1461" s="2" t="str">
        <x:v>seguimiento</x:v>
      </x:c>
      <x:c r="P1461" s="2" t="n">
        <x:v>0</x:v>
      </x:c>
      <x:c r="Q1461" s="2" t="str">
        <x:v>simulado_didactico</x:v>
      </x:c>
    </x:row>
    <x:row r="1462" ht="19" customHeight="1">
      <x:c r="A1462" s="2" t="str">
        <x:v>SIM-E2-BB-L7-R05</x:v>
      </x:c>
      <x:c r="B1462" s="2" t="n">
        <x:v>3</x:v>
      </x:c>
      <x:c r="C1462" s="2" t="str">
        <x:v>BB</x:v>
      </x:c>
      <x:c r="D1462" s="2" t="str">
        <x:v>Brevicoryne brassicae</x:v>
      </x:c>
      <x:c r="E1462" s="2" t="str">
        <x:v>L7</x:v>
      </x:c>
      <x:c r="F1462" s="2" t="n">
        <x:v>5</x:v>
      </x:c>
      <x:c r="G1462" s="2" t="n">
        <x:v>32</x:v>
      </x:c>
      <x:c r="H1462" s="2" t="n">
        <x:f>G1462+Supuestos!$C$15</x:f>
        <x:v>33</x:v>
      </x:c>
      <x:c r="I1462" s="14" t="n">
        <x:f>E2_plantas!J36+G1462</x:f>
        <x:v>46220</x:v>
      </x:c>
      <x:c r="J1462" s="2" t="str">
        <x:v>adulta</x:v>
      </x:c>
      <x:c r="K1462" s="2" t="n">
        <x:v>1</x:v>
      </x:c>
      <x:c r="L1462" s="2" t="n">
        <x:v>0</x:v>
      </x:c>
      <x:c r="M1462" s="2" t="n">
        <x:f>SUM(L$1430:L1462)</x:f>
        <x:v>43</x:v>
      </x:c>
      <x:c r="N1462" s="2" t="n">
        <x:v>0</x:v>
      </x:c>
      <x:c r="O1462" s="2" t="str">
        <x:v>seguimiento</x:v>
      </x:c>
      <x:c r="P1462" s="2" t="n">
        <x:v>0</x:v>
      </x:c>
      <x:c r="Q1462" s="2" t="str">
        <x:v>simulado_didactico</x:v>
      </x:c>
    </x:row>
    <x:row r="1463" ht="19" customHeight="1">
      <x:c r="A1463" s="2" t="str">
        <x:v>SIM-E2-BB-L7-R05</x:v>
      </x:c>
      <x:c r="B1463" s="2" t="n">
        <x:v>3</x:v>
      </x:c>
      <x:c r="C1463" s="2" t="str">
        <x:v>BB</x:v>
      </x:c>
      <x:c r="D1463" s="2" t="str">
        <x:v>Brevicoryne brassicae</x:v>
      </x:c>
      <x:c r="E1463" s="2" t="str">
        <x:v>L7</x:v>
      </x:c>
      <x:c r="F1463" s="2" t="n">
        <x:v>5</x:v>
      </x:c>
      <x:c r="G1463" s="2" t="n">
        <x:v>33</x:v>
      </x:c>
      <x:c r="H1463" s="2" t="n">
        <x:f>G1463+Supuestos!$C$15</x:f>
        <x:v>34</x:v>
      </x:c>
      <x:c r="I1463" s="14" t="n">
        <x:f>E2_plantas!J36+G1463</x:f>
        <x:v>46221</x:v>
      </x:c>
      <x:c r="J1463" s="2" t="str">
        <x:v>muerta</x:v>
      </x:c>
      <x:c r="K1463" s="2" t="n">
        <x:v>0</x:v>
      </x:c>
      <x:c r="L1463" s="2" t="n">
        <x:v>0</x:v>
      </x:c>
      <x:c r="M1463" s="2" t="n">
        <x:f>SUM(L$1430:L1463)</x:f>
        <x:v>43</x:v>
      </x:c>
      <x:c r="N1463" s="2" t="n">
        <x:v>1</x:v>
      </x:c>
      <x:c r="O1463" s="2" t="str">
        <x:v>muerte</x:v>
      </x:c>
      <x:c r="P1463" s="2" t="n">
        <x:v>0</x:v>
      </x:c>
      <x:c r="Q1463" s="2" t="str">
        <x:v>simulado_didactico</x:v>
      </x:c>
    </x:row>
    <x:row r="1464" ht="19" customHeight="1">
      <x:c r="A1464" s="2" t="str">
        <x:v>SIM-E2-BB-L7-R05</x:v>
      </x:c>
      <x:c r="B1464" s="2" t="n">
        <x:v>3</x:v>
      </x:c>
      <x:c r="C1464" s="2" t="str">
        <x:v>BB</x:v>
      </x:c>
      <x:c r="D1464" s="2" t="str">
        <x:v>Brevicoryne brassicae</x:v>
      </x:c>
      <x:c r="E1464" s="2" t="str">
        <x:v>L7</x:v>
      </x:c>
      <x:c r="F1464" s="2" t="n">
        <x:v>5</x:v>
      </x:c>
      <x:c r="G1464" s="2" t="n">
        <x:v>34</x:v>
      </x:c>
      <x:c r="H1464" s="2" t="n">
        <x:f>G1464+Supuestos!$C$15</x:f>
        <x:v>35</x:v>
      </x:c>
      <x:c r="I1464" s="14" t="n">
        <x:f>E2_plantas!J36+G1464</x:f>
        <x:v>46222</x:v>
      </x:c>
      <x:c r="J1464" s="2" t="str">
        <x:v>muerta</x:v>
      </x:c>
      <x:c r="K1464" s="2" t="n">
        <x:v>0</x:v>
      </x:c>
      <x:c r="L1464" s="2" t="n">
        <x:v>0</x:v>
      </x:c>
      <x:c r="M1464" s="2" t="n">
        <x:f>SUM(L$1430:L1464)</x:f>
        <x:v>43</x:v>
      </x:c>
      <x:c r="N1464" s="2" t="n">
        <x:v>0</x:v>
      </x:c>
      <x:c r="O1464" s="2" t="str">
        <x:v>relleno_postmuerte</x:v>
      </x:c>
      <x:c r="P1464" s="2" t="n">
        <x:v>0</x:v>
      </x:c>
      <x:c r="Q1464" s="2" t="str">
        <x:v>simulado_didactico</x:v>
      </x:c>
    </x:row>
    <x:row r="1465" ht="19" customHeight="1">
      <x:c r="A1465" s="2" t="str">
        <x:v>SIM-E2-BB-L7-R05</x:v>
      </x:c>
      <x:c r="B1465" s="2" t="n">
        <x:v>3</x:v>
      </x:c>
      <x:c r="C1465" s="2" t="str">
        <x:v>BB</x:v>
      </x:c>
      <x:c r="D1465" s="2" t="str">
        <x:v>Brevicoryne brassicae</x:v>
      </x:c>
      <x:c r="E1465" s="2" t="str">
        <x:v>L7</x:v>
      </x:c>
      <x:c r="F1465" s="2" t="n">
        <x:v>5</x:v>
      </x:c>
      <x:c r="G1465" s="2" t="n">
        <x:v>35</x:v>
      </x:c>
      <x:c r="H1465" s="2" t="n">
        <x:f>G1465+Supuestos!$C$15</x:f>
        <x:v>36</x:v>
      </x:c>
      <x:c r="I1465" s="14" t="n">
        <x:f>E2_plantas!J36+G1465</x:f>
        <x:v>46223</x:v>
      </x:c>
      <x:c r="J1465" s="2" t="str">
        <x:v>muerta</x:v>
      </x:c>
      <x:c r="K1465" s="2" t="n">
        <x:v>0</x:v>
      </x:c>
      <x:c r="L1465" s="2" t="n">
        <x:v>0</x:v>
      </x:c>
      <x:c r="M1465" s="2" t="n">
        <x:f>SUM(L$1430:L1465)</x:f>
        <x:v>43</x:v>
      </x:c>
      <x:c r="N1465" s="2" t="n">
        <x:v>0</x:v>
      </x:c>
      <x:c r="O1465" s="2" t="str">
        <x:v>relleno_postmuerte</x:v>
      </x:c>
      <x:c r="P1465" s="2" t="n">
        <x:v>0</x:v>
      </x:c>
      <x:c r="Q1465" s="2" t="str">
        <x:v>simulado_didactico</x:v>
      </x:c>
    </x:row>
    <x:row r="1466" ht="19" customHeight="1">
      <x:c r="A1466" s="2" t="str">
        <x:v>SIM-E2-BB-L7-R05</x:v>
      </x:c>
      <x:c r="B1466" s="2" t="n">
        <x:v>3</x:v>
      </x:c>
      <x:c r="C1466" s="2" t="str">
        <x:v>BB</x:v>
      </x:c>
      <x:c r="D1466" s="2" t="str">
        <x:v>Brevicoryne brassicae</x:v>
      </x:c>
      <x:c r="E1466" s="2" t="str">
        <x:v>L7</x:v>
      </x:c>
      <x:c r="F1466" s="2" t="n">
        <x:v>5</x:v>
      </x:c>
      <x:c r="G1466" s="2" t="n">
        <x:v>36</x:v>
      </x:c>
      <x:c r="H1466" s="2" t="n">
        <x:f>G1466+Supuestos!$C$15</x:f>
        <x:v>37</x:v>
      </x:c>
      <x:c r="I1466" s="14" t="n">
        <x:f>E2_plantas!J36+G1466</x:f>
        <x:v>46224</x:v>
      </x:c>
      <x:c r="J1466" s="2" t="str">
        <x:v>muerta</x:v>
      </x:c>
      <x:c r="K1466" s="2" t="n">
        <x:v>0</x:v>
      </x:c>
      <x:c r="L1466" s="2" t="n">
        <x:v>0</x:v>
      </x:c>
      <x:c r="M1466" s="2" t="n">
        <x:f>SUM(L$1430:L1466)</x:f>
        <x:v>43</x:v>
      </x:c>
      <x:c r="N1466" s="2" t="n">
        <x:v>0</x:v>
      </x:c>
      <x:c r="O1466" s="2" t="str">
        <x:v>relleno_postmuerte</x:v>
      </x:c>
      <x:c r="P1466" s="2" t="n">
        <x:v>0</x:v>
      </x:c>
      <x:c r="Q1466" s="2" t="str">
        <x:v>simulado_didactico</x:v>
      </x:c>
    </x:row>
    <x:row r="1467" ht="19" customHeight="1">
      <x:c r="A1467" s="2" t="str">
        <x:v>SIM-E2-BB-L7-R05</x:v>
      </x:c>
      <x:c r="B1467" s="2" t="n">
        <x:v>3</x:v>
      </x:c>
      <x:c r="C1467" s="2" t="str">
        <x:v>BB</x:v>
      </x:c>
      <x:c r="D1467" s="2" t="str">
        <x:v>Brevicoryne brassicae</x:v>
      </x:c>
      <x:c r="E1467" s="2" t="str">
        <x:v>L7</x:v>
      </x:c>
      <x:c r="F1467" s="2" t="n">
        <x:v>5</x:v>
      </x:c>
      <x:c r="G1467" s="2" t="n">
        <x:v>37</x:v>
      </x:c>
      <x:c r="H1467" s="2" t="n">
        <x:f>G1467+Supuestos!$C$15</x:f>
        <x:v>38</x:v>
      </x:c>
      <x:c r="I1467" s="14" t="n">
        <x:f>E2_plantas!J36+G1467</x:f>
        <x:v>46225</x:v>
      </x:c>
      <x:c r="J1467" s="2" t="str">
        <x:v>muerta</x:v>
      </x:c>
      <x:c r="K1467" s="2" t="n">
        <x:v>0</x:v>
      </x:c>
      <x:c r="L1467" s="2" t="n">
        <x:v>0</x:v>
      </x:c>
      <x:c r="M1467" s="2" t="n">
        <x:f>SUM(L$1430:L1467)</x:f>
        <x:v>43</x:v>
      </x:c>
      <x:c r="N1467" s="2" t="n">
        <x:v>0</x:v>
      </x:c>
      <x:c r="O1467" s="2" t="str">
        <x:v>relleno_postmuerte</x:v>
      </x:c>
      <x:c r="P1467" s="2" t="n">
        <x:v>0</x:v>
      </x:c>
      <x:c r="Q1467" s="2" t="str">
        <x:v>simulado_didactico</x:v>
      </x:c>
    </x:row>
    <x:row r="1468" ht="19" customHeight="1">
      <x:c r="A1468" s="2" t="str">
        <x:v>SIM-E2-BB-L7-R05</x:v>
      </x:c>
      <x:c r="B1468" s="2" t="n">
        <x:v>3</x:v>
      </x:c>
      <x:c r="C1468" s="2" t="str">
        <x:v>BB</x:v>
      </x:c>
      <x:c r="D1468" s="2" t="str">
        <x:v>Brevicoryne brassicae</x:v>
      </x:c>
      <x:c r="E1468" s="2" t="str">
        <x:v>L7</x:v>
      </x:c>
      <x:c r="F1468" s="2" t="n">
        <x:v>5</x:v>
      </x:c>
      <x:c r="G1468" s="2" t="n">
        <x:v>38</x:v>
      </x:c>
      <x:c r="H1468" s="2" t="n">
        <x:f>G1468+Supuestos!$C$15</x:f>
        <x:v>39</x:v>
      </x:c>
      <x:c r="I1468" s="14" t="n">
        <x:f>E2_plantas!J36+G1468</x:f>
        <x:v>46226</x:v>
      </x:c>
      <x:c r="J1468" s="2" t="str">
        <x:v>muerta</x:v>
      </x:c>
      <x:c r="K1468" s="2" t="n">
        <x:v>0</x:v>
      </x:c>
      <x:c r="L1468" s="2" t="n">
        <x:v>0</x:v>
      </x:c>
      <x:c r="M1468" s="2" t="n">
        <x:f>SUM(L$1430:L1468)</x:f>
        <x:v>43</x:v>
      </x:c>
      <x:c r="N1468" s="2" t="n">
        <x:v>0</x:v>
      </x:c>
      <x:c r="O1468" s="2" t="str">
        <x:v>relleno_postmuerte</x:v>
      </x:c>
      <x:c r="P1468" s="2" t="n">
        <x:v>0</x:v>
      </x:c>
      <x:c r="Q1468" s="2" t="str">
        <x:v>simulado_didactico</x:v>
      </x:c>
    </x:row>
    <x:row r="1469" ht="19" customHeight="1">
      <x:c r="A1469" s="2" t="str">
        <x:v>SIM-E2-BB-L7-R05</x:v>
      </x:c>
      <x:c r="B1469" s="2" t="n">
        <x:v>3</x:v>
      </x:c>
      <x:c r="C1469" s="2" t="str">
        <x:v>BB</x:v>
      </x:c>
      <x:c r="D1469" s="2" t="str">
        <x:v>Brevicoryne brassicae</x:v>
      </x:c>
      <x:c r="E1469" s="2" t="str">
        <x:v>L7</x:v>
      </x:c>
      <x:c r="F1469" s="2" t="n">
        <x:v>5</x:v>
      </x:c>
      <x:c r="G1469" s="2" t="n">
        <x:v>39</x:v>
      </x:c>
      <x:c r="H1469" s="2" t="n">
        <x:f>G1469+Supuestos!$C$15</x:f>
        <x:v>40</x:v>
      </x:c>
      <x:c r="I1469" s="14" t="n">
        <x:f>E2_plantas!J36+G1469</x:f>
        <x:v>46227</x:v>
      </x:c>
      <x:c r="J1469" s="2" t="str">
        <x:v>muerta</x:v>
      </x:c>
      <x:c r="K1469" s="2" t="n">
        <x:v>0</x:v>
      </x:c>
      <x:c r="L1469" s="2" t="n">
        <x:v>0</x:v>
      </x:c>
      <x:c r="M1469" s="2" t="n">
        <x:f>SUM(L$1430:L1469)</x:f>
        <x:v>43</x:v>
      </x:c>
      <x:c r="N1469" s="2" t="n">
        <x:v>0</x:v>
      </x:c>
      <x:c r="O1469" s="2" t="str">
        <x:v>relleno_postmuerte</x:v>
      </x:c>
      <x:c r="P1469" s="2" t="n">
        <x:v>0</x:v>
      </x:c>
      <x:c r="Q1469" s="2" t="str">
        <x:v>simulado_didactico</x:v>
      </x:c>
    </x:row>
    <x:row r="1470" ht="19" customHeight="1">
      <x:c r="A1470" s="2" t="str">
        <x:v>SIM-E2-BB-L7-R05</x:v>
      </x:c>
      <x:c r="B1470" s="2" t="n">
        <x:v>3</x:v>
      </x:c>
      <x:c r="C1470" s="2" t="str">
        <x:v>BB</x:v>
      </x:c>
      <x:c r="D1470" s="2" t="str">
        <x:v>Brevicoryne brassicae</x:v>
      </x:c>
      <x:c r="E1470" s="2" t="str">
        <x:v>L7</x:v>
      </x:c>
      <x:c r="F1470" s="2" t="n">
        <x:v>5</x:v>
      </x:c>
      <x:c r="G1470" s="2" t="n">
        <x:v>40</x:v>
      </x:c>
      <x:c r="H1470" s="2" t="n">
        <x:f>G1470+Supuestos!$C$15</x:f>
        <x:v>41</x:v>
      </x:c>
      <x:c r="I1470" s="14" t="n">
        <x:f>E2_plantas!J36+G1470</x:f>
        <x:v>46228</x:v>
      </x:c>
      <x:c r="J1470" s="2" t="str">
        <x:v>muerta</x:v>
      </x:c>
      <x:c r="K1470" s="2" t="n">
        <x:v>0</x:v>
      </x:c>
      <x:c r="L1470" s="2" t="n">
        <x:v>0</x:v>
      </x:c>
      <x:c r="M1470" s="2" t="n">
        <x:f>SUM(L$1430:L1470)</x:f>
        <x:v>43</x:v>
      </x:c>
      <x:c r="N1470" s="2" t="n">
        <x:v>0</x:v>
      </x:c>
      <x:c r="O1470" s="2" t="str">
        <x:v>relleno_postmuerte</x:v>
      </x:c>
      <x:c r="P1470" s="2" t="n">
        <x:v>0</x:v>
      </x:c>
      <x:c r="Q1470" s="2" t="str">
        <x:v>simulado_didactico</x:v>
      </x:c>
    </x:row>
    <x:row r="1471" ht="19" customHeight="1">
      <x:c r="A1471" s="2" t="str">
        <x:v>SIM-E2-BB-L7-R05</x:v>
      </x:c>
      <x:c r="B1471" s="2" t="n">
        <x:v>3</x:v>
      </x:c>
      <x:c r="C1471" s="2" t="str">
        <x:v>BB</x:v>
      </x:c>
      <x:c r="D1471" s="2" t="str">
        <x:v>Brevicoryne brassicae</x:v>
      </x:c>
      <x:c r="E1471" s="2" t="str">
        <x:v>L7</x:v>
      </x:c>
      <x:c r="F1471" s="2" t="n">
        <x:v>5</x:v>
      </x:c>
      <x:c r="G1471" s="2" t="n">
        <x:v>41</x:v>
      </x:c>
      <x:c r="H1471" s="2" t="n">
        <x:f>G1471+Supuestos!$C$15</x:f>
        <x:v>42</x:v>
      </x:c>
      <x:c r="I1471" s="14" t="n">
        <x:f>E2_plantas!J36+G1471</x:f>
        <x:v>46229</x:v>
      </x:c>
      <x:c r="J1471" s="2" t="str">
        <x:v>muerta</x:v>
      </x:c>
      <x:c r="K1471" s="2" t="n">
        <x:v>0</x:v>
      </x:c>
      <x:c r="L1471" s="2" t="n">
        <x:v>0</x:v>
      </x:c>
      <x:c r="M1471" s="2" t="n">
        <x:f>SUM(L$1430:L1471)</x:f>
        <x:v>43</x:v>
      </x:c>
      <x:c r="N1471" s="2" t="n">
        <x:v>0</x:v>
      </x:c>
      <x:c r="O1471" s="2" t="str">
        <x:v>relleno_postmuerte</x:v>
      </x:c>
      <x:c r="P1471" s="2" t="n">
        <x:v>0</x:v>
      </x:c>
      <x:c r="Q1471" s="2" t="str">
        <x:v>simulado_didactico</x:v>
      </x:c>
    </x:row>
    <x:row r="1472" ht="19" customHeight="1">
      <x:c r="A1472" s="2" t="str">
        <x:v>SIM-E2-BB-L7-R06</x:v>
      </x:c>
      <x:c r="B1472" s="2" t="n">
        <x:v>3</x:v>
      </x:c>
      <x:c r="C1472" s="2" t="str">
        <x:v>BB</x:v>
      </x:c>
      <x:c r="D1472" s="2" t="str">
        <x:v>Brevicoryne brassicae</x:v>
      </x:c>
      <x:c r="E1472" s="2" t="str">
        <x:v>L7</x:v>
      </x:c>
      <x:c r="F1472" s="2" t="n">
        <x:v>6</x:v>
      </x:c>
      <x:c r="G1472" s="2" t="n">
        <x:v>0</x:v>
      </x:c>
      <x:c r="H1472" s="2" t="n">
        <x:f>G1472+Supuestos!$C$15</x:f>
        <x:v>1</x:v>
      </x:c>
      <x:c r="I1472" s="14" t="n">
        <x:f>E2_plantas!J37+G1472</x:f>
        <x:v>46188</x:v>
      </x:c>
      <x:c r="J1472" s="2" t="str">
        <x:v>N1</x:v>
      </x:c>
      <x:c r="K1472" s="2" t="n">
        <x:v>1</x:v>
      </x:c>
      <x:c r="L1472" s="2" t="n">
        <x:v>0</x:v>
      </x:c>
      <x:c r="M1472" s="2" t="n">
        <x:f>SUM(L$1472:L1472)</x:f>
        <x:v>0</x:v>
      </x:c>
      <x:c r="N1472" s="2" t="n">
        <x:v>0</x:v>
      </x:c>
      <x:c r="O1472" s="2" t="str">
        <x:v>seguimiento</x:v>
      </x:c>
      <x:c r="P1472" s="2" t="n">
        <x:v>0</x:v>
      </x:c>
      <x:c r="Q1472" s="2" t="str">
        <x:v>simulado_didactico</x:v>
      </x:c>
    </x:row>
    <x:row r="1473" ht="19" customHeight="1">
      <x:c r="A1473" s="2" t="str">
        <x:v>SIM-E2-BB-L7-R06</x:v>
      </x:c>
      <x:c r="B1473" s="2" t="n">
        <x:v>3</x:v>
      </x:c>
      <x:c r="C1473" s="2" t="str">
        <x:v>BB</x:v>
      </x:c>
      <x:c r="D1473" s="2" t="str">
        <x:v>Brevicoryne brassicae</x:v>
      </x:c>
      <x:c r="E1473" s="2" t="str">
        <x:v>L7</x:v>
      </x:c>
      <x:c r="F1473" s="2" t="n">
        <x:v>6</x:v>
      </x:c>
      <x:c r="G1473" s="2" t="n">
        <x:v>1</x:v>
      </x:c>
      <x:c r="H1473" s="2" t="n">
        <x:f>G1473+Supuestos!$C$15</x:f>
        <x:v>2</x:v>
      </x:c>
      <x:c r="I1473" s="14" t="n">
        <x:f>E2_plantas!J37+G1473</x:f>
        <x:v>46189</x:v>
      </x:c>
      <x:c r="J1473" s="2" t="str">
        <x:v>N1</x:v>
      </x:c>
      <x:c r="K1473" s="2" t="n">
        <x:v>1</x:v>
      </x:c>
      <x:c r="L1473" s="2" t="n">
        <x:v>0</x:v>
      </x:c>
      <x:c r="M1473" s="2" t="n">
        <x:f>SUM(L$1472:L1473)</x:f>
        <x:v>0</x:v>
      </x:c>
      <x:c r="N1473" s="2" t="n">
        <x:v>0</x:v>
      </x:c>
      <x:c r="O1473" s="2" t="str">
        <x:v>seguimiento</x:v>
      </x:c>
      <x:c r="P1473" s="2" t="n">
        <x:v>0</x:v>
      </x:c>
      <x:c r="Q1473" s="2" t="str">
        <x:v>simulado_didactico</x:v>
      </x:c>
    </x:row>
    <x:row r="1474" ht="19" customHeight="1">
      <x:c r="A1474" s="2" t="str">
        <x:v>SIM-E2-BB-L7-R06</x:v>
      </x:c>
      <x:c r="B1474" s="2" t="n">
        <x:v>3</x:v>
      </x:c>
      <x:c r="C1474" s="2" t="str">
        <x:v>BB</x:v>
      </x:c>
      <x:c r="D1474" s="2" t="str">
        <x:v>Brevicoryne brassicae</x:v>
      </x:c>
      <x:c r="E1474" s="2" t="str">
        <x:v>L7</x:v>
      </x:c>
      <x:c r="F1474" s="2" t="n">
        <x:v>6</x:v>
      </x:c>
      <x:c r="G1474" s="2" t="n">
        <x:v>2</x:v>
      </x:c>
      <x:c r="H1474" s="2" t="n">
        <x:f>G1474+Supuestos!$C$15</x:f>
        <x:v>3</x:v>
      </x:c>
      <x:c r="I1474" s="14" t="n">
        <x:f>E2_plantas!J37+G1474</x:f>
        <x:v>46190</x:v>
      </x:c>
      <x:c r="J1474" s="2" t="str">
        <x:v>N2</x:v>
      </x:c>
      <x:c r="K1474" s="2" t="n">
        <x:v>1</x:v>
      </x:c>
      <x:c r="L1474" s="2" t="n">
        <x:v>0</x:v>
      </x:c>
      <x:c r="M1474" s="2" t="n">
        <x:f>SUM(L$1472:L1474)</x:f>
        <x:v>0</x:v>
      </x:c>
      <x:c r="N1474" s="2" t="n">
        <x:v>0</x:v>
      </x:c>
      <x:c r="O1474" s="2" t="str">
        <x:v>seguimiento</x:v>
      </x:c>
      <x:c r="P1474" s="2" t="n">
        <x:v>0</x:v>
      </x:c>
      <x:c r="Q1474" s="2" t="str">
        <x:v>simulado_didactico</x:v>
      </x:c>
    </x:row>
    <x:row r="1475" ht="19" customHeight="1">
      <x:c r="A1475" s="2" t="str">
        <x:v>SIM-E2-BB-L7-R06</x:v>
      </x:c>
      <x:c r="B1475" s="2" t="n">
        <x:v>3</x:v>
      </x:c>
      <x:c r="C1475" s="2" t="str">
        <x:v>BB</x:v>
      </x:c>
      <x:c r="D1475" s="2" t="str">
        <x:v>Brevicoryne brassicae</x:v>
      </x:c>
      <x:c r="E1475" s="2" t="str">
        <x:v>L7</x:v>
      </x:c>
      <x:c r="F1475" s="2" t="n">
        <x:v>6</x:v>
      </x:c>
      <x:c r="G1475" s="2" t="n">
        <x:v>3</x:v>
      </x:c>
      <x:c r="H1475" s="2" t="n">
        <x:f>G1475+Supuestos!$C$15</x:f>
        <x:v>4</x:v>
      </x:c>
      <x:c r="I1475" s="14" t="n">
        <x:f>E2_plantas!J37+G1475</x:f>
        <x:v>46191</x:v>
      </x:c>
      <x:c r="J1475" s="2" t="str">
        <x:v>N2</x:v>
      </x:c>
      <x:c r="K1475" s="2" t="n">
        <x:v>1</x:v>
      </x:c>
      <x:c r="L1475" s="2" t="n">
        <x:v>0</x:v>
      </x:c>
      <x:c r="M1475" s="2" t="n">
        <x:f>SUM(L$1472:L1475)</x:f>
        <x:v>0</x:v>
      </x:c>
      <x:c r="N1475" s="2" t="n">
        <x:v>0</x:v>
      </x:c>
      <x:c r="O1475" s="2" t="str">
        <x:v>seguimiento</x:v>
      </x:c>
      <x:c r="P1475" s="2" t="n">
        <x:v>0</x:v>
      </x:c>
      <x:c r="Q1475" s="2" t="str">
        <x:v>simulado_didactico</x:v>
      </x:c>
    </x:row>
    <x:row r="1476" ht="19" customHeight="1">
      <x:c r="A1476" s="2" t="str">
        <x:v>SIM-E2-BB-L7-R06</x:v>
      </x:c>
      <x:c r="B1476" s="2" t="n">
        <x:v>3</x:v>
      </x:c>
      <x:c r="C1476" s="2" t="str">
        <x:v>BB</x:v>
      </x:c>
      <x:c r="D1476" s="2" t="str">
        <x:v>Brevicoryne brassicae</x:v>
      </x:c>
      <x:c r="E1476" s="2" t="str">
        <x:v>L7</x:v>
      </x:c>
      <x:c r="F1476" s="2" t="n">
        <x:v>6</x:v>
      </x:c>
      <x:c r="G1476" s="2" t="n">
        <x:v>4</x:v>
      </x:c>
      <x:c r="H1476" s="2" t="n">
        <x:f>G1476+Supuestos!$C$15</x:f>
        <x:v>5</x:v>
      </x:c>
      <x:c r="I1476" s="14" t="n">
        <x:f>E2_plantas!J37+G1476</x:f>
        <x:v>46192</x:v>
      </x:c>
      <x:c r="J1476" s="2" t="str">
        <x:v>N2</x:v>
      </x:c>
      <x:c r="K1476" s="2" t="n">
        <x:v>1</x:v>
      </x:c>
      <x:c r="L1476" s="2" t="n">
        <x:v>0</x:v>
      </x:c>
      <x:c r="M1476" s="2" t="n">
        <x:f>SUM(L$1472:L1476)</x:f>
        <x:v>0</x:v>
      </x:c>
      <x:c r="N1476" s="2" t="n">
        <x:v>0</x:v>
      </x:c>
      <x:c r="O1476" s="2" t="str">
        <x:v>seguimiento</x:v>
      </x:c>
      <x:c r="P1476" s="2" t="n">
        <x:v>0</x:v>
      </x:c>
      <x:c r="Q1476" s="2" t="str">
        <x:v>simulado_didactico</x:v>
      </x:c>
    </x:row>
    <x:row r="1477" ht="19" customHeight="1">
      <x:c r="A1477" s="2" t="str">
        <x:v>SIM-E2-BB-L7-R06</x:v>
      </x:c>
      <x:c r="B1477" s="2" t="n">
        <x:v>3</x:v>
      </x:c>
      <x:c r="C1477" s="2" t="str">
        <x:v>BB</x:v>
      </x:c>
      <x:c r="D1477" s="2" t="str">
        <x:v>Brevicoryne brassicae</x:v>
      </x:c>
      <x:c r="E1477" s="2" t="str">
        <x:v>L7</x:v>
      </x:c>
      <x:c r="F1477" s="2" t="n">
        <x:v>6</x:v>
      </x:c>
      <x:c r="G1477" s="2" t="n">
        <x:v>5</x:v>
      </x:c>
      <x:c r="H1477" s="2" t="n">
        <x:f>G1477+Supuestos!$C$15</x:f>
        <x:v>6</x:v>
      </x:c>
      <x:c r="I1477" s="14" t="n">
        <x:f>E2_plantas!J37+G1477</x:f>
        <x:v>46193</x:v>
      </x:c>
      <x:c r="J1477" s="2" t="str">
        <x:v>N2</x:v>
      </x:c>
      <x:c r="K1477" s="2" t="n">
        <x:v>1</x:v>
      </x:c>
      <x:c r="L1477" s="2" t="n">
        <x:v>0</x:v>
      </x:c>
      <x:c r="M1477" s="2" t="n">
        <x:f>SUM(L$1472:L1477)</x:f>
        <x:v>0</x:v>
      </x:c>
      <x:c r="N1477" s="2" t="n">
        <x:v>0</x:v>
      </x:c>
      <x:c r="O1477" s="2" t="str">
        <x:v>seguimiento</x:v>
      </x:c>
      <x:c r="P1477" s="2" t="n">
        <x:v>0</x:v>
      </x:c>
      <x:c r="Q1477" s="2" t="str">
        <x:v>simulado_didactico</x:v>
      </x:c>
    </x:row>
    <x:row r="1478" ht="19" customHeight="1">
      <x:c r="A1478" s="2" t="str">
        <x:v>SIM-E2-BB-L7-R06</x:v>
      </x:c>
      <x:c r="B1478" s="2" t="n">
        <x:v>3</x:v>
      </x:c>
      <x:c r="C1478" s="2" t="str">
        <x:v>BB</x:v>
      </x:c>
      <x:c r="D1478" s="2" t="str">
        <x:v>Brevicoryne brassicae</x:v>
      </x:c>
      <x:c r="E1478" s="2" t="str">
        <x:v>L7</x:v>
      </x:c>
      <x:c r="F1478" s="2" t="n">
        <x:v>6</x:v>
      </x:c>
      <x:c r="G1478" s="2" t="n">
        <x:v>6</x:v>
      </x:c>
      <x:c r="H1478" s="2" t="n">
        <x:f>G1478+Supuestos!$C$15</x:f>
        <x:v>7</x:v>
      </x:c>
      <x:c r="I1478" s="14" t="n">
        <x:f>E2_plantas!J37+G1478</x:f>
        <x:v>46194</x:v>
      </x:c>
      <x:c r="J1478" s="2" t="str">
        <x:v>N3</x:v>
      </x:c>
      <x:c r="K1478" s="2" t="n">
        <x:v>1</x:v>
      </x:c>
      <x:c r="L1478" s="2" t="n">
        <x:v>0</x:v>
      </x:c>
      <x:c r="M1478" s="2" t="n">
        <x:f>SUM(L$1472:L1478)</x:f>
        <x:v>0</x:v>
      </x:c>
      <x:c r="N1478" s="2" t="n">
        <x:v>0</x:v>
      </x:c>
      <x:c r="O1478" s="2" t="str">
        <x:v>seguimiento</x:v>
      </x:c>
      <x:c r="P1478" s="2" t="n">
        <x:v>0</x:v>
      </x:c>
      <x:c r="Q1478" s="2" t="str">
        <x:v>simulado_didactico</x:v>
      </x:c>
    </x:row>
    <x:row r="1479" ht="19" customHeight="1">
      <x:c r="A1479" s="2" t="str">
        <x:v>SIM-E2-BB-L7-R06</x:v>
      </x:c>
      <x:c r="B1479" s="2" t="n">
        <x:v>3</x:v>
      </x:c>
      <x:c r="C1479" s="2" t="str">
        <x:v>BB</x:v>
      </x:c>
      <x:c r="D1479" s="2" t="str">
        <x:v>Brevicoryne brassicae</x:v>
      </x:c>
      <x:c r="E1479" s="2" t="str">
        <x:v>L7</x:v>
      </x:c>
      <x:c r="F1479" s="2" t="n">
        <x:v>6</x:v>
      </x:c>
      <x:c r="G1479" s="2" t="n">
        <x:v>7</x:v>
      </x:c>
      <x:c r="H1479" s="2" t="n">
        <x:f>G1479+Supuestos!$C$15</x:f>
        <x:v>8</x:v>
      </x:c>
      <x:c r="I1479" s="14" t="n">
        <x:f>E2_plantas!J37+G1479</x:f>
        <x:v>46195</x:v>
      </x:c>
      <x:c r="J1479" s="2" t="str">
        <x:v>N3</x:v>
      </x:c>
      <x:c r="K1479" s="2" t="n">
        <x:v>1</x:v>
      </x:c>
      <x:c r="L1479" s="2" t="n">
        <x:v>0</x:v>
      </x:c>
      <x:c r="M1479" s="2" t="n">
        <x:f>SUM(L$1472:L1479)</x:f>
        <x:v>0</x:v>
      </x:c>
      <x:c r="N1479" s="2" t="n">
        <x:v>0</x:v>
      </x:c>
      <x:c r="O1479" s="2" t="str">
        <x:v>seguimiento</x:v>
      </x:c>
      <x:c r="P1479" s="2" t="n">
        <x:v>0</x:v>
      </x:c>
      <x:c r="Q1479" s="2" t="str">
        <x:v>simulado_didactico</x:v>
      </x:c>
    </x:row>
    <x:row r="1480" ht="19" customHeight="1">
      <x:c r="A1480" s="2" t="str">
        <x:v>SIM-E2-BB-L7-R06</x:v>
      </x:c>
      <x:c r="B1480" s="2" t="n">
        <x:v>3</x:v>
      </x:c>
      <x:c r="C1480" s="2" t="str">
        <x:v>BB</x:v>
      </x:c>
      <x:c r="D1480" s="2" t="str">
        <x:v>Brevicoryne brassicae</x:v>
      </x:c>
      <x:c r="E1480" s="2" t="str">
        <x:v>L7</x:v>
      </x:c>
      <x:c r="F1480" s="2" t="n">
        <x:v>6</x:v>
      </x:c>
      <x:c r="G1480" s="2" t="n">
        <x:v>8</x:v>
      </x:c>
      <x:c r="H1480" s="2" t="n">
        <x:f>G1480+Supuestos!$C$15</x:f>
        <x:v>9</x:v>
      </x:c>
      <x:c r="I1480" s="14" t="n">
        <x:f>E2_plantas!J37+G1480</x:f>
        <x:v>46196</x:v>
      </x:c>
      <x:c r="J1480" s="2" t="str">
        <x:v>N4</x:v>
      </x:c>
      <x:c r="K1480" s="2" t="n">
        <x:v>1</x:v>
      </x:c>
      <x:c r="L1480" s="2" t="n">
        <x:v>0</x:v>
      </x:c>
      <x:c r="M1480" s="2" t="n">
        <x:f>SUM(L$1472:L1480)</x:f>
        <x:v>0</x:v>
      </x:c>
      <x:c r="N1480" s="2" t="n">
        <x:v>0</x:v>
      </x:c>
      <x:c r="O1480" s="2" t="str">
        <x:v>seguimiento</x:v>
      </x:c>
      <x:c r="P1480" s="2" t="n">
        <x:v>0</x:v>
      </x:c>
      <x:c r="Q1480" s="2" t="str">
        <x:v>simulado_didactico</x:v>
      </x:c>
    </x:row>
    <x:row r="1481" ht="19" customHeight="1">
      <x:c r="A1481" s="2" t="str">
        <x:v>SIM-E2-BB-L7-R06</x:v>
      </x:c>
      <x:c r="B1481" s="2" t="n">
        <x:v>3</x:v>
      </x:c>
      <x:c r="C1481" s="2" t="str">
        <x:v>BB</x:v>
      </x:c>
      <x:c r="D1481" s="2" t="str">
        <x:v>Brevicoryne brassicae</x:v>
      </x:c>
      <x:c r="E1481" s="2" t="str">
        <x:v>L7</x:v>
      </x:c>
      <x:c r="F1481" s="2" t="n">
        <x:v>6</x:v>
      </x:c>
      <x:c r="G1481" s="2" t="n">
        <x:v>9</x:v>
      </x:c>
      <x:c r="H1481" s="2" t="n">
        <x:f>G1481+Supuestos!$C$15</x:f>
        <x:v>10</x:v>
      </x:c>
      <x:c r="I1481" s="14" t="n">
        <x:f>E2_plantas!J37+G1481</x:f>
        <x:v>46197</x:v>
      </x:c>
      <x:c r="J1481" s="2" t="str">
        <x:v>adulta</x:v>
      </x:c>
      <x:c r="K1481" s="2" t="n">
        <x:v>1</x:v>
      </x:c>
      <x:c r="L1481" s="2" t="n">
        <x:v>0</x:v>
      </x:c>
      <x:c r="M1481" s="2" t="n">
        <x:f>SUM(L$1472:L1481)</x:f>
        <x:v>0</x:v>
      </x:c>
      <x:c r="N1481" s="2" t="n">
        <x:v>0</x:v>
      </x:c>
      <x:c r="O1481" s="2" t="str">
        <x:v>seguimiento</x:v>
      </x:c>
      <x:c r="P1481" s="2" t="n">
        <x:v>0</x:v>
      </x:c>
      <x:c r="Q1481" s="2" t="str">
        <x:v>simulado_didactico</x:v>
      </x:c>
    </x:row>
    <x:row r="1482" ht="19" customHeight="1">
      <x:c r="A1482" s="2" t="str">
        <x:v>SIM-E2-BB-L7-R06</x:v>
      </x:c>
      <x:c r="B1482" s="2" t="n">
        <x:v>3</x:v>
      </x:c>
      <x:c r="C1482" s="2" t="str">
        <x:v>BB</x:v>
      </x:c>
      <x:c r="D1482" s="2" t="str">
        <x:v>Brevicoryne brassicae</x:v>
      </x:c>
      <x:c r="E1482" s="2" t="str">
        <x:v>L7</x:v>
      </x:c>
      <x:c r="F1482" s="2" t="n">
        <x:v>6</x:v>
      </x:c>
      <x:c r="G1482" s="2" t="n">
        <x:v>10</x:v>
      </x:c>
      <x:c r="H1482" s="2" t="n">
        <x:f>G1482+Supuestos!$C$15</x:f>
        <x:v>11</x:v>
      </x:c>
      <x:c r="I1482" s="14" t="n">
        <x:f>E2_plantas!J37+G1482</x:f>
        <x:v>46198</x:v>
      </x:c>
      <x:c r="J1482" s="2" t="str">
        <x:v>adulta</x:v>
      </x:c>
      <x:c r="K1482" s="2" t="n">
        <x:v>1</x:v>
      </x:c>
      <x:c r="L1482" s="2" t="n">
        <x:v>0</x:v>
      </x:c>
      <x:c r="M1482" s="2" t="n">
        <x:f>SUM(L$1472:L1482)</x:f>
        <x:v>0</x:v>
      </x:c>
      <x:c r="N1482" s="2" t="n">
        <x:v>0</x:v>
      </x:c>
      <x:c r="O1482" s="2" t="str">
        <x:v>seguimiento</x:v>
      </x:c>
      <x:c r="P1482" s="2" t="n">
        <x:v>0</x:v>
      </x:c>
      <x:c r="Q1482" s="2" t="str">
        <x:v>simulado_didactico</x:v>
      </x:c>
    </x:row>
    <x:row r="1483" ht="19" customHeight="1">
      <x:c r="A1483" s="2" t="str">
        <x:v>SIM-E2-BB-L7-R06</x:v>
      </x:c>
      <x:c r="B1483" s="2" t="n">
        <x:v>3</x:v>
      </x:c>
      <x:c r="C1483" s="2" t="str">
        <x:v>BB</x:v>
      </x:c>
      <x:c r="D1483" s="2" t="str">
        <x:v>Brevicoryne brassicae</x:v>
      </x:c>
      <x:c r="E1483" s="2" t="str">
        <x:v>L7</x:v>
      </x:c>
      <x:c r="F1483" s="2" t="n">
        <x:v>6</x:v>
      </x:c>
      <x:c r="G1483" s="2" t="n">
        <x:v>11</x:v>
      </x:c>
      <x:c r="H1483" s="2" t="n">
        <x:f>G1483+Supuestos!$C$15</x:f>
        <x:v>12</x:v>
      </x:c>
      <x:c r="I1483" s="14" t="n">
        <x:f>E2_plantas!J37+G1483</x:f>
        <x:v>46199</x:v>
      </x:c>
      <x:c r="J1483" s="2" t="str">
        <x:v>adulta</x:v>
      </x:c>
      <x:c r="K1483" s="2" t="n">
        <x:v>1</x:v>
      </x:c>
      <x:c r="L1483" s="2" t="n">
        <x:v>0</x:v>
      </x:c>
      <x:c r="M1483" s="2" t="n">
        <x:f>SUM(L$1472:L1483)</x:f>
        <x:v>0</x:v>
      </x:c>
      <x:c r="N1483" s="2" t="n">
        <x:v>0</x:v>
      </x:c>
      <x:c r="O1483" s="2" t="str">
        <x:v>seguimiento</x:v>
      </x:c>
      <x:c r="P1483" s="2" t="n">
        <x:v>0</x:v>
      </x:c>
      <x:c r="Q1483" s="2" t="str">
        <x:v>simulado_didactico</x:v>
      </x:c>
    </x:row>
    <x:row r="1484" ht="19" customHeight="1">
      <x:c r="A1484" s="2" t="str">
        <x:v>SIM-E2-BB-L7-R06</x:v>
      </x:c>
      <x:c r="B1484" s="2" t="n">
        <x:v>3</x:v>
      </x:c>
      <x:c r="C1484" s="2" t="str">
        <x:v>BB</x:v>
      </x:c>
      <x:c r="D1484" s="2" t="str">
        <x:v>Brevicoryne brassicae</x:v>
      </x:c>
      <x:c r="E1484" s="2" t="str">
        <x:v>L7</x:v>
      </x:c>
      <x:c r="F1484" s="2" t="n">
        <x:v>6</x:v>
      </x:c>
      <x:c r="G1484" s="2" t="n">
        <x:v>12</x:v>
      </x:c>
      <x:c r="H1484" s="2" t="n">
        <x:f>G1484+Supuestos!$C$15</x:f>
        <x:v>13</x:v>
      </x:c>
      <x:c r="I1484" s="14" t="n">
        <x:f>E2_plantas!J37+G1484</x:f>
        <x:v>46200</x:v>
      </x:c>
      <x:c r="J1484" s="2" t="str">
        <x:v>adulta</x:v>
      </x:c>
      <x:c r="K1484" s="2" t="n">
        <x:v>1</x:v>
      </x:c>
      <x:c r="L1484" s="2" t="n">
        <x:v>1</x:v>
      </x:c>
      <x:c r="M1484" s="2" t="n">
        <x:f>SUM(L$1472:L1484)</x:f>
        <x:v>1</x:v>
      </x:c>
      <x:c r="N1484" s="2" t="n">
        <x:v>0</x:v>
      </x:c>
      <x:c r="O1484" s="2" t="str">
        <x:v>seguimiento</x:v>
      </x:c>
      <x:c r="P1484" s="2" t="n">
        <x:v>0</x:v>
      </x:c>
      <x:c r="Q1484" s="2" t="str">
        <x:v>simulado_didactico</x:v>
      </x:c>
    </x:row>
    <x:row r="1485" ht="19" customHeight="1">
      <x:c r="A1485" s="2" t="str">
        <x:v>SIM-E2-BB-L7-R06</x:v>
      </x:c>
      <x:c r="B1485" s="2" t="n">
        <x:v>3</x:v>
      </x:c>
      <x:c r="C1485" s="2" t="str">
        <x:v>BB</x:v>
      </x:c>
      <x:c r="D1485" s="2" t="str">
        <x:v>Brevicoryne brassicae</x:v>
      </x:c>
      <x:c r="E1485" s="2" t="str">
        <x:v>L7</x:v>
      </x:c>
      <x:c r="F1485" s="2" t="n">
        <x:v>6</x:v>
      </x:c>
      <x:c r="G1485" s="2" t="n">
        <x:v>13</x:v>
      </x:c>
      <x:c r="H1485" s="2" t="n">
        <x:f>G1485+Supuestos!$C$15</x:f>
        <x:v>14</x:v>
      </x:c>
      <x:c r="I1485" s="14" t="n">
        <x:f>E2_plantas!J37+G1485</x:f>
        <x:v>46201</x:v>
      </x:c>
      <x:c r="J1485" s="2" t="str">
        <x:v>adulta</x:v>
      </x:c>
      <x:c r="K1485" s="2" t="n">
        <x:v>1</x:v>
      </x:c>
      <x:c r="L1485" s="2" t="n">
        <x:v>4</x:v>
      </x:c>
      <x:c r="M1485" s="2" t="n">
        <x:f>SUM(L$1472:L1485)</x:f>
        <x:v>5</x:v>
      </x:c>
      <x:c r="N1485" s="2" t="n">
        <x:v>0</x:v>
      </x:c>
      <x:c r="O1485" s="2" t="str">
        <x:v>seguimiento</x:v>
      </x:c>
      <x:c r="P1485" s="2" t="n">
        <x:v>0</x:v>
      </x:c>
      <x:c r="Q1485" s="2" t="str">
        <x:v>simulado_didactico</x:v>
      </x:c>
    </x:row>
    <x:row r="1486" ht="19" customHeight="1">
      <x:c r="A1486" s="2" t="str">
        <x:v>SIM-E2-BB-L7-R06</x:v>
      </x:c>
      <x:c r="B1486" s="2" t="n">
        <x:v>3</x:v>
      </x:c>
      <x:c r="C1486" s="2" t="str">
        <x:v>BB</x:v>
      </x:c>
      <x:c r="D1486" s="2" t="str">
        <x:v>Brevicoryne brassicae</x:v>
      </x:c>
      <x:c r="E1486" s="2" t="str">
        <x:v>L7</x:v>
      </x:c>
      <x:c r="F1486" s="2" t="n">
        <x:v>6</x:v>
      </x:c>
      <x:c r="G1486" s="2" t="n">
        <x:v>14</x:v>
      </x:c>
      <x:c r="H1486" s="2" t="n">
        <x:f>G1486+Supuestos!$C$15</x:f>
        <x:v>15</x:v>
      </x:c>
      <x:c r="I1486" s="14" t="n">
        <x:f>E2_plantas!J37+G1486</x:f>
        <x:v>46202</x:v>
      </x:c>
      <x:c r="J1486" s="2" t="str">
        <x:v>adulta</x:v>
      </x:c>
      <x:c r="K1486" s="2" t="n">
        <x:v>1</x:v>
      </x:c>
      <x:c r="L1486" s="2" t="n">
        <x:v>6</x:v>
      </x:c>
      <x:c r="M1486" s="2" t="n">
        <x:f>SUM(L$1472:L1486)</x:f>
        <x:v>11</x:v>
      </x:c>
      <x:c r="N1486" s="2" t="n">
        <x:v>0</x:v>
      </x:c>
      <x:c r="O1486" s="2" t="str">
        <x:v>seguimiento</x:v>
      </x:c>
      <x:c r="P1486" s="2" t="n">
        <x:v>0</x:v>
      </x:c>
      <x:c r="Q1486" s="2" t="str">
        <x:v>simulado_didactico</x:v>
      </x:c>
    </x:row>
    <x:row r="1487" ht="19" customHeight="1">
      <x:c r="A1487" s="2" t="str">
        <x:v>SIM-E2-BB-L7-R06</x:v>
      </x:c>
      <x:c r="B1487" s="2" t="n">
        <x:v>3</x:v>
      </x:c>
      <x:c r="C1487" s="2" t="str">
        <x:v>BB</x:v>
      </x:c>
      <x:c r="D1487" s="2" t="str">
        <x:v>Brevicoryne brassicae</x:v>
      </x:c>
      <x:c r="E1487" s="2" t="str">
        <x:v>L7</x:v>
      </x:c>
      <x:c r="F1487" s="2" t="n">
        <x:v>6</x:v>
      </x:c>
      <x:c r="G1487" s="2" t="n">
        <x:v>15</x:v>
      </x:c>
      <x:c r="H1487" s="2" t="n">
        <x:f>G1487+Supuestos!$C$15</x:f>
        <x:v>16</x:v>
      </x:c>
      <x:c r="I1487" s="14" t="n">
        <x:f>E2_plantas!J37+G1487</x:f>
        <x:v>46203</x:v>
      </x:c>
      <x:c r="J1487" s="2" t="str">
        <x:v>adulta</x:v>
      </x:c>
      <x:c r="K1487" s="2" t="n">
        <x:v>1</x:v>
      </x:c>
      <x:c r="L1487" s="2" t="n">
        <x:v>1</x:v>
      </x:c>
      <x:c r="M1487" s="2" t="n">
        <x:f>SUM(L$1472:L1487)</x:f>
        <x:v>12</x:v>
      </x:c>
      <x:c r="N1487" s="2" t="n">
        <x:v>0</x:v>
      </x:c>
      <x:c r="O1487" s="2" t="str">
        <x:v>seguimiento</x:v>
      </x:c>
      <x:c r="P1487" s="2" t="n">
        <x:v>0</x:v>
      </x:c>
      <x:c r="Q1487" s="2" t="str">
        <x:v>simulado_didactico</x:v>
      </x:c>
    </x:row>
    <x:row r="1488" ht="19" customHeight="1">
      <x:c r="A1488" s="2" t="str">
        <x:v>SIM-E2-BB-L7-R06</x:v>
      </x:c>
      <x:c r="B1488" s="2" t="n">
        <x:v>3</x:v>
      </x:c>
      <x:c r="C1488" s="2" t="str">
        <x:v>BB</x:v>
      </x:c>
      <x:c r="D1488" s="2" t="str">
        <x:v>Brevicoryne brassicae</x:v>
      </x:c>
      <x:c r="E1488" s="2" t="str">
        <x:v>L7</x:v>
      </x:c>
      <x:c r="F1488" s="2" t="n">
        <x:v>6</x:v>
      </x:c>
      <x:c r="G1488" s="2" t="n">
        <x:v>16</x:v>
      </x:c>
      <x:c r="H1488" s="2" t="n">
        <x:f>G1488+Supuestos!$C$15</x:f>
        <x:v>17</x:v>
      </x:c>
      <x:c r="I1488" s="14" t="n">
        <x:f>E2_plantas!J37+G1488</x:f>
        <x:v>46204</x:v>
      </x:c>
      <x:c r="J1488" s="2" t="str">
        <x:v>adulta</x:v>
      </x:c>
      <x:c r="K1488" s="2" t="n">
        <x:v>1</x:v>
      </x:c>
      <x:c r="L1488" s="2" t="n">
        <x:v>1</x:v>
      </x:c>
      <x:c r="M1488" s="2" t="n">
        <x:f>SUM(L$1472:L1488)</x:f>
        <x:v>13</x:v>
      </x:c>
      <x:c r="N1488" s="2" t="n">
        <x:v>0</x:v>
      </x:c>
      <x:c r="O1488" s="2" t="str">
        <x:v>seguimiento</x:v>
      </x:c>
      <x:c r="P1488" s="2" t="n">
        <x:v>0</x:v>
      </x:c>
      <x:c r="Q1488" s="2" t="str">
        <x:v>simulado_didactico</x:v>
      </x:c>
    </x:row>
    <x:row r="1489" ht="19" customHeight="1">
      <x:c r="A1489" s="2" t="str">
        <x:v>SIM-E2-BB-L7-R06</x:v>
      </x:c>
      <x:c r="B1489" s="2" t="n">
        <x:v>3</x:v>
      </x:c>
      <x:c r="C1489" s="2" t="str">
        <x:v>BB</x:v>
      </x:c>
      <x:c r="D1489" s="2" t="str">
        <x:v>Brevicoryne brassicae</x:v>
      </x:c>
      <x:c r="E1489" s="2" t="str">
        <x:v>L7</x:v>
      </x:c>
      <x:c r="F1489" s="2" t="n">
        <x:v>6</x:v>
      </x:c>
      <x:c r="G1489" s="2" t="n">
        <x:v>17</x:v>
      </x:c>
      <x:c r="H1489" s="2" t="n">
        <x:f>G1489+Supuestos!$C$15</x:f>
        <x:v>18</x:v>
      </x:c>
      <x:c r="I1489" s="14" t="n">
        <x:f>E2_plantas!J37+G1489</x:f>
        <x:v>46205</x:v>
      </x:c>
      <x:c r="J1489" s="2" t="str">
        <x:v>adulta</x:v>
      </x:c>
      <x:c r="K1489" s="2" t="n">
        <x:v>1</x:v>
      </x:c>
      <x:c r="L1489" s="2" t="n">
        <x:v>2</x:v>
      </x:c>
      <x:c r="M1489" s="2" t="n">
        <x:f>SUM(L$1472:L1489)</x:f>
        <x:v>15</x:v>
      </x:c>
      <x:c r="N1489" s="2" t="n">
        <x:v>0</x:v>
      </x:c>
      <x:c r="O1489" s="2" t="str">
        <x:v>seguimiento</x:v>
      </x:c>
      <x:c r="P1489" s="2" t="n">
        <x:v>0</x:v>
      </x:c>
      <x:c r="Q1489" s="2" t="str">
        <x:v>simulado_didactico</x:v>
      </x:c>
    </x:row>
    <x:row r="1490" ht="19" customHeight="1">
      <x:c r="A1490" s="2" t="str">
        <x:v>SIM-E2-BB-L7-R06</x:v>
      </x:c>
      <x:c r="B1490" s="2" t="n">
        <x:v>3</x:v>
      </x:c>
      <x:c r="C1490" s="2" t="str">
        <x:v>BB</x:v>
      </x:c>
      <x:c r="D1490" s="2" t="str">
        <x:v>Brevicoryne brassicae</x:v>
      </x:c>
      <x:c r="E1490" s="2" t="str">
        <x:v>L7</x:v>
      </x:c>
      <x:c r="F1490" s="2" t="n">
        <x:v>6</x:v>
      </x:c>
      <x:c r="G1490" s="2" t="n">
        <x:v>18</x:v>
      </x:c>
      <x:c r="H1490" s="2" t="n">
        <x:f>G1490+Supuestos!$C$15</x:f>
        <x:v>19</x:v>
      </x:c>
      <x:c r="I1490" s="14" t="n">
        <x:f>E2_plantas!J37+G1490</x:f>
        <x:v>46206</x:v>
      </x:c>
      <x:c r="J1490" s="2" t="str">
        <x:v>adulta</x:v>
      </x:c>
      <x:c r="K1490" s="2" t="n">
        <x:v>1</x:v>
      </x:c>
      <x:c r="L1490" s="2" t="n">
        <x:v>1</x:v>
      </x:c>
      <x:c r="M1490" s="2" t="n">
        <x:f>SUM(L$1472:L1490)</x:f>
        <x:v>16</x:v>
      </x:c>
      <x:c r="N1490" s="2" t="n">
        <x:v>0</x:v>
      </x:c>
      <x:c r="O1490" s="2" t="str">
        <x:v>seguimiento</x:v>
      </x:c>
      <x:c r="P1490" s="2" t="n">
        <x:v>0</x:v>
      </x:c>
      <x:c r="Q1490" s="2" t="str">
        <x:v>simulado_didactico</x:v>
      </x:c>
    </x:row>
    <x:row r="1491" ht="19" customHeight="1">
      <x:c r="A1491" s="2" t="str">
        <x:v>SIM-E2-BB-L7-R06</x:v>
      </x:c>
      <x:c r="B1491" s="2" t="n">
        <x:v>3</x:v>
      </x:c>
      <x:c r="C1491" s="2" t="str">
        <x:v>BB</x:v>
      </x:c>
      <x:c r="D1491" s="2" t="str">
        <x:v>Brevicoryne brassicae</x:v>
      </x:c>
      <x:c r="E1491" s="2" t="str">
        <x:v>L7</x:v>
      </x:c>
      <x:c r="F1491" s="2" t="n">
        <x:v>6</x:v>
      </x:c>
      <x:c r="G1491" s="2" t="n">
        <x:v>19</x:v>
      </x:c>
      <x:c r="H1491" s="2" t="n">
        <x:f>G1491+Supuestos!$C$15</x:f>
        <x:v>20</x:v>
      </x:c>
      <x:c r="I1491" s="14" t="n">
        <x:f>E2_plantas!J37+G1491</x:f>
        <x:v>46207</x:v>
      </x:c>
      <x:c r="J1491" s="2" t="str">
        <x:v>adulta</x:v>
      </x:c>
      <x:c r="K1491" s="2" t="n">
        <x:v>1</x:v>
      </x:c>
      <x:c r="L1491" s="2" t="n">
        <x:v>1</x:v>
      </x:c>
      <x:c r="M1491" s="2" t="n">
        <x:f>SUM(L$1472:L1491)</x:f>
        <x:v>17</x:v>
      </x:c>
      <x:c r="N1491" s="2" t="n">
        <x:v>0</x:v>
      </x:c>
      <x:c r="O1491" s="2" t="str">
        <x:v>seguimiento</x:v>
      </x:c>
      <x:c r="P1491" s="2" t="n">
        <x:v>0</x:v>
      </x:c>
      <x:c r="Q1491" s="2" t="str">
        <x:v>simulado_didactico</x:v>
      </x:c>
    </x:row>
    <x:row r="1492" ht="19" customHeight="1">
      <x:c r="A1492" s="2" t="str">
        <x:v>SIM-E2-BB-L7-R06</x:v>
      </x:c>
      <x:c r="B1492" s="2" t="n">
        <x:v>3</x:v>
      </x:c>
      <x:c r="C1492" s="2" t="str">
        <x:v>BB</x:v>
      </x:c>
      <x:c r="D1492" s="2" t="str">
        <x:v>Brevicoryne brassicae</x:v>
      </x:c>
      <x:c r="E1492" s="2" t="str">
        <x:v>L7</x:v>
      </x:c>
      <x:c r="F1492" s="2" t="n">
        <x:v>6</x:v>
      </x:c>
      <x:c r="G1492" s="2" t="n">
        <x:v>20</x:v>
      </x:c>
      <x:c r="H1492" s="2" t="n">
        <x:f>G1492+Supuestos!$C$15</x:f>
        <x:v>21</x:v>
      </x:c>
      <x:c r="I1492" s="14" t="n">
        <x:f>E2_plantas!J37+G1492</x:f>
        <x:v>46208</x:v>
      </x:c>
      <x:c r="J1492" s="2" t="str">
        <x:v>adulta</x:v>
      </x:c>
      <x:c r="K1492" s="2" t="n">
        <x:v>1</x:v>
      </x:c>
      <x:c r="L1492" s="2" t="n">
        <x:v>4</x:v>
      </x:c>
      <x:c r="M1492" s="2" t="n">
        <x:f>SUM(L$1472:L1492)</x:f>
        <x:v>21</x:v>
      </x:c>
      <x:c r="N1492" s="2" t="n">
        <x:v>0</x:v>
      </x:c>
      <x:c r="O1492" s="2" t="str">
        <x:v>seguimiento</x:v>
      </x:c>
      <x:c r="P1492" s="2" t="n">
        <x:v>0</x:v>
      </x:c>
      <x:c r="Q1492" s="2" t="str">
        <x:v>simulado_didactico</x:v>
      </x:c>
    </x:row>
    <x:row r="1493" ht="19" customHeight="1">
      <x:c r="A1493" s="2" t="str">
        <x:v>SIM-E2-BB-L7-R06</x:v>
      </x:c>
      <x:c r="B1493" s="2" t="n">
        <x:v>3</x:v>
      </x:c>
      <x:c r="C1493" s="2" t="str">
        <x:v>BB</x:v>
      </x:c>
      <x:c r="D1493" s="2" t="str">
        <x:v>Brevicoryne brassicae</x:v>
      </x:c>
      <x:c r="E1493" s="2" t="str">
        <x:v>L7</x:v>
      </x:c>
      <x:c r="F1493" s="2" t="n">
        <x:v>6</x:v>
      </x:c>
      <x:c r="G1493" s="2" t="n">
        <x:v>21</x:v>
      </x:c>
      <x:c r="H1493" s="2" t="n">
        <x:f>G1493+Supuestos!$C$15</x:f>
        <x:v>22</x:v>
      </x:c>
      <x:c r="I1493" s="14" t="n">
        <x:f>E2_plantas!J37+G1493</x:f>
        <x:v>46209</x:v>
      </x:c>
      <x:c r="J1493" s="2" t="str">
        <x:v>adulta</x:v>
      </x:c>
      <x:c r="K1493" s="2" t="n">
        <x:v>1</x:v>
      </x:c>
      <x:c r="L1493" s="2" t="n">
        <x:v>0</x:v>
      </x:c>
      <x:c r="M1493" s="2" t="n">
        <x:f>SUM(L$1472:L1493)</x:f>
        <x:v>21</x:v>
      </x:c>
      <x:c r="N1493" s="2" t="n">
        <x:v>0</x:v>
      </x:c>
      <x:c r="O1493" s="2" t="str">
        <x:v>seguimiento</x:v>
      </x:c>
      <x:c r="P1493" s="2" t="n">
        <x:v>0</x:v>
      </x:c>
      <x:c r="Q1493" s="2" t="str">
        <x:v>simulado_didactico</x:v>
      </x:c>
    </x:row>
    <x:row r="1494" ht="19" customHeight="1">
      <x:c r="A1494" s="2" t="str">
        <x:v>SIM-E2-BB-L7-R06</x:v>
      </x:c>
      <x:c r="B1494" s="2" t="n">
        <x:v>3</x:v>
      </x:c>
      <x:c r="C1494" s="2" t="str">
        <x:v>BB</x:v>
      </x:c>
      <x:c r="D1494" s="2" t="str">
        <x:v>Brevicoryne brassicae</x:v>
      </x:c>
      <x:c r="E1494" s="2" t="str">
        <x:v>L7</x:v>
      </x:c>
      <x:c r="F1494" s="2" t="n">
        <x:v>6</x:v>
      </x:c>
      <x:c r="G1494" s="2" t="n">
        <x:v>22</x:v>
      </x:c>
      <x:c r="H1494" s="2" t="n">
        <x:f>G1494+Supuestos!$C$15</x:f>
        <x:v>23</x:v>
      </x:c>
      <x:c r="I1494" s="14" t="n">
        <x:f>E2_plantas!J37+G1494</x:f>
        <x:v>46210</x:v>
      </x:c>
      <x:c r="J1494" s="2" t="str">
        <x:v>adulta</x:v>
      </x:c>
      <x:c r="K1494" s="2" t="n">
        <x:v>1</x:v>
      </x:c>
      <x:c r="L1494" s="2" t="n">
        <x:v>0</x:v>
      </x:c>
      <x:c r="M1494" s="2" t="n">
        <x:f>SUM(L$1472:L1494)</x:f>
        <x:v>21</x:v>
      </x:c>
      <x:c r="N1494" s="2" t="n">
        <x:v>0</x:v>
      </x:c>
      <x:c r="O1494" s="2" t="str">
        <x:v>seguimiento</x:v>
      </x:c>
      <x:c r="P1494" s="2" t="n">
        <x:v>0</x:v>
      </x:c>
      <x:c r="Q1494" s="2" t="str">
        <x:v>simulado_didactico</x:v>
      </x:c>
    </x:row>
    <x:row r="1495" ht="19" customHeight="1">
      <x:c r="A1495" s="2" t="str">
        <x:v>SIM-E2-BB-L7-R06</x:v>
      </x:c>
      <x:c r="B1495" s="2" t="n">
        <x:v>3</x:v>
      </x:c>
      <x:c r="C1495" s="2" t="str">
        <x:v>BB</x:v>
      </x:c>
      <x:c r="D1495" s="2" t="str">
        <x:v>Brevicoryne brassicae</x:v>
      </x:c>
      <x:c r="E1495" s="2" t="str">
        <x:v>L7</x:v>
      </x:c>
      <x:c r="F1495" s="2" t="n">
        <x:v>6</x:v>
      </x:c>
      <x:c r="G1495" s="2" t="n">
        <x:v>23</x:v>
      </x:c>
      <x:c r="H1495" s="2" t="n">
        <x:f>G1495+Supuestos!$C$15</x:f>
        <x:v>24</x:v>
      </x:c>
      <x:c r="I1495" s="14" t="n">
        <x:f>E2_plantas!J37+G1495</x:f>
        <x:v>46211</x:v>
      </x:c>
      <x:c r="J1495" s="2" t="str">
        <x:v>adulta</x:v>
      </x:c>
      <x:c r="K1495" s="2" t="n">
        <x:v>1</x:v>
      </x:c>
      <x:c r="L1495" s="2" t="n">
        <x:v>0</x:v>
      </x:c>
      <x:c r="M1495" s="2" t="n">
        <x:f>SUM(L$1472:L1495)</x:f>
        <x:v>21</x:v>
      </x:c>
      <x:c r="N1495" s="2" t="n">
        <x:v>0</x:v>
      </x:c>
      <x:c r="O1495" s="2" t="str">
        <x:v>seguimiento</x:v>
      </x:c>
      <x:c r="P1495" s="2" t="n">
        <x:v>0</x:v>
      </x:c>
      <x:c r="Q1495" s="2" t="str">
        <x:v>simulado_didactico</x:v>
      </x:c>
    </x:row>
    <x:row r="1496" ht="19" customHeight="1">
      <x:c r="A1496" s="2" t="str">
        <x:v>SIM-E2-BB-L7-R06</x:v>
      </x:c>
      <x:c r="B1496" s="2" t="n">
        <x:v>3</x:v>
      </x:c>
      <x:c r="C1496" s="2" t="str">
        <x:v>BB</x:v>
      </x:c>
      <x:c r="D1496" s="2" t="str">
        <x:v>Brevicoryne brassicae</x:v>
      </x:c>
      <x:c r="E1496" s="2" t="str">
        <x:v>L7</x:v>
      </x:c>
      <x:c r="F1496" s="2" t="n">
        <x:v>6</x:v>
      </x:c>
      <x:c r="G1496" s="2" t="n">
        <x:v>24</x:v>
      </x:c>
      <x:c r="H1496" s="2" t="n">
        <x:f>G1496+Supuestos!$C$15</x:f>
        <x:v>25</x:v>
      </x:c>
      <x:c r="I1496" s="14" t="n">
        <x:f>E2_plantas!J37+G1496</x:f>
        <x:v>46212</x:v>
      </x:c>
      <x:c r="J1496" s="2" t="str">
        <x:v>adulta</x:v>
      </x:c>
      <x:c r="K1496" s="2" t="n">
        <x:v>1</x:v>
      </x:c>
      <x:c r="L1496" s="2" t="n">
        <x:v>0</x:v>
      </x:c>
      <x:c r="M1496" s="2" t="n">
        <x:f>SUM(L$1472:L1496)</x:f>
        <x:v>21</x:v>
      </x:c>
      <x:c r="N1496" s="2" t="n">
        <x:v>0</x:v>
      </x:c>
      <x:c r="O1496" s="2" t="str">
        <x:v>seguimiento</x:v>
      </x:c>
      <x:c r="P1496" s="2" t="n">
        <x:v>0</x:v>
      </x:c>
      <x:c r="Q1496" s="2" t="str">
        <x:v>simulado_didactico</x:v>
      </x:c>
    </x:row>
    <x:row r="1497" ht="19" customHeight="1">
      <x:c r="A1497" s="2" t="str">
        <x:v>SIM-E2-BB-L7-R06</x:v>
      </x:c>
      <x:c r="B1497" s="2" t="n">
        <x:v>3</x:v>
      </x:c>
      <x:c r="C1497" s="2" t="str">
        <x:v>BB</x:v>
      </x:c>
      <x:c r="D1497" s="2" t="str">
        <x:v>Brevicoryne brassicae</x:v>
      </x:c>
      <x:c r="E1497" s="2" t="str">
        <x:v>L7</x:v>
      </x:c>
      <x:c r="F1497" s="2" t="n">
        <x:v>6</x:v>
      </x:c>
      <x:c r="G1497" s="2" t="n">
        <x:v>25</x:v>
      </x:c>
      <x:c r="H1497" s="2" t="n">
        <x:f>G1497+Supuestos!$C$15</x:f>
        <x:v>26</x:v>
      </x:c>
      <x:c r="I1497" s="14" t="n">
        <x:f>E2_plantas!J37+G1497</x:f>
        <x:v>46213</x:v>
      </x:c>
      <x:c r="J1497" s="2" t="str">
        <x:v>muerta</x:v>
      </x:c>
      <x:c r="K1497" s="2" t="n">
        <x:v>0</x:v>
      </x:c>
      <x:c r="L1497" s="2" t="n">
        <x:v>0</x:v>
      </x:c>
      <x:c r="M1497" s="2" t="n">
        <x:f>SUM(L$1472:L1497)</x:f>
        <x:v>21</x:v>
      </x:c>
      <x:c r="N1497" s="2" t="n">
        <x:v>1</x:v>
      </x:c>
      <x:c r="O1497" s="2" t="str">
        <x:v>muerte</x:v>
      </x:c>
      <x:c r="P1497" s="2" t="n">
        <x:v>0</x:v>
      </x:c>
      <x:c r="Q1497" s="2" t="str">
        <x:v>simulado_didactico</x:v>
      </x:c>
    </x:row>
    <x:row r="1498" ht="19" customHeight="1">
      <x:c r="A1498" s="2" t="str">
        <x:v>SIM-E2-BB-L7-R06</x:v>
      </x:c>
      <x:c r="B1498" s="2" t="n">
        <x:v>3</x:v>
      </x:c>
      <x:c r="C1498" s="2" t="str">
        <x:v>BB</x:v>
      </x:c>
      <x:c r="D1498" s="2" t="str">
        <x:v>Brevicoryne brassicae</x:v>
      </x:c>
      <x:c r="E1498" s="2" t="str">
        <x:v>L7</x:v>
      </x:c>
      <x:c r="F1498" s="2" t="n">
        <x:v>6</x:v>
      </x:c>
      <x:c r="G1498" s="2" t="n">
        <x:v>26</x:v>
      </x:c>
      <x:c r="H1498" s="2" t="n">
        <x:f>G1498+Supuestos!$C$15</x:f>
        <x:v>27</x:v>
      </x:c>
      <x:c r="I1498" s="14" t="n">
        <x:f>E2_plantas!J37+G1498</x:f>
        <x:v>46214</x:v>
      </x:c>
      <x:c r="J1498" s="2" t="str">
        <x:v>muerta</x:v>
      </x:c>
      <x:c r="K1498" s="2" t="n">
        <x:v>0</x:v>
      </x:c>
      <x:c r="L1498" s="2" t="n">
        <x:v>0</x:v>
      </x:c>
      <x:c r="M1498" s="2" t="n">
        <x:f>SUM(L$1472:L1498)</x:f>
        <x:v>21</x:v>
      </x:c>
      <x:c r="N1498" s="2" t="n">
        <x:v>0</x:v>
      </x:c>
      <x:c r="O1498" s="2" t="str">
        <x:v>relleno_postmuerte</x:v>
      </x:c>
      <x:c r="P1498" s="2" t="n">
        <x:v>0</x:v>
      </x:c>
      <x:c r="Q1498" s="2" t="str">
        <x:v>simulado_didactico</x:v>
      </x:c>
    </x:row>
    <x:row r="1499" ht="19" customHeight="1">
      <x:c r="A1499" s="2" t="str">
        <x:v>SIM-E2-BB-L7-R06</x:v>
      </x:c>
      <x:c r="B1499" s="2" t="n">
        <x:v>3</x:v>
      </x:c>
      <x:c r="C1499" s="2" t="str">
        <x:v>BB</x:v>
      </x:c>
      <x:c r="D1499" s="2" t="str">
        <x:v>Brevicoryne brassicae</x:v>
      </x:c>
      <x:c r="E1499" s="2" t="str">
        <x:v>L7</x:v>
      </x:c>
      <x:c r="F1499" s="2" t="n">
        <x:v>6</x:v>
      </x:c>
      <x:c r="G1499" s="2" t="n">
        <x:v>27</x:v>
      </x:c>
      <x:c r="H1499" s="2" t="n">
        <x:f>G1499+Supuestos!$C$15</x:f>
        <x:v>28</x:v>
      </x:c>
      <x:c r="I1499" s="14" t="n">
        <x:f>E2_plantas!J37+G1499</x:f>
        <x:v>46215</x:v>
      </x:c>
      <x:c r="J1499" s="2" t="str">
        <x:v>muerta</x:v>
      </x:c>
      <x:c r="K1499" s="2" t="n">
        <x:v>0</x:v>
      </x:c>
      <x:c r="L1499" s="2" t="n">
        <x:v>0</x:v>
      </x:c>
      <x:c r="M1499" s="2" t="n">
        <x:f>SUM(L$1472:L1499)</x:f>
        <x:v>21</x:v>
      </x:c>
      <x:c r="N1499" s="2" t="n">
        <x:v>0</x:v>
      </x:c>
      <x:c r="O1499" s="2" t="str">
        <x:v>relleno_postmuerte</x:v>
      </x:c>
      <x:c r="P1499" s="2" t="n">
        <x:v>0</x:v>
      </x:c>
      <x:c r="Q1499" s="2" t="str">
        <x:v>simulado_didactico</x:v>
      </x:c>
    </x:row>
    <x:row r="1500" ht="19" customHeight="1">
      <x:c r="A1500" s="2" t="str">
        <x:v>SIM-E2-BB-L7-R06</x:v>
      </x:c>
      <x:c r="B1500" s="2" t="n">
        <x:v>3</x:v>
      </x:c>
      <x:c r="C1500" s="2" t="str">
        <x:v>BB</x:v>
      </x:c>
      <x:c r="D1500" s="2" t="str">
        <x:v>Brevicoryne brassicae</x:v>
      </x:c>
      <x:c r="E1500" s="2" t="str">
        <x:v>L7</x:v>
      </x:c>
      <x:c r="F1500" s="2" t="n">
        <x:v>6</x:v>
      </x:c>
      <x:c r="G1500" s="2" t="n">
        <x:v>28</x:v>
      </x:c>
      <x:c r="H1500" s="2" t="n">
        <x:f>G1500+Supuestos!$C$15</x:f>
        <x:v>29</x:v>
      </x:c>
      <x:c r="I1500" s="14" t="n">
        <x:f>E2_plantas!J37+G1500</x:f>
        <x:v>46216</x:v>
      </x:c>
      <x:c r="J1500" s="2" t="str">
        <x:v>muerta</x:v>
      </x:c>
      <x:c r="K1500" s="2" t="n">
        <x:v>0</x:v>
      </x:c>
      <x:c r="L1500" s="2" t="n">
        <x:v>0</x:v>
      </x:c>
      <x:c r="M1500" s="2" t="n">
        <x:f>SUM(L$1472:L1500)</x:f>
        <x:v>21</x:v>
      </x:c>
      <x:c r="N1500" s="2" t="n">
        <x:v>0</x:v>
      </x:c>
      <x:c r="O1500" s="2" t="str">
        <x:v>relleno_postmuerte</x:v>
      </x:c>
      <x:c r="P1500" s="2" t="n">
        <x:v>0</x:v>
      </x:c>
      <x:c r="Q1500" s="2" t="str">
        <x:v>simulado_didactico</x:v>
      </x:c>
    </x:row>
    <x:row r="1501" ht="19" customHeight="1">
      <x:c r="A1501" s="2" t="str">
        <x:v>SIM-E2-BB-L7-R06</x:v>
      </x:c>
      <x:c r="B1501" s="2" t="n">
        <x:v>3</x:v>
      </x:c>
      <x:c r="C1501" s="2" t="str">
        <x:v>BB</x:v>
      </x:c>
      <x:c r="D1501" s="2" t="str">
        <x:v>Brevicoryne brassicae</x:v>
      </x:c>
      <x:c r="E1501" s="2" t="str">
        <x:v>L7</x:v>
      </x:c>
      <x:c r="F1501" s="2" t="n">
        <x:v>6</x:v>
      </x:c>
      <x:c r="G1501" s="2" t="n">
        <x:v>29</x:v>
      </x:c>
      <x:c r="H1501" s="2" t="n">
        <x:f>G1501+Supuestos!$C$15</x:f>
        <x:v>30</x:v>
      </x:c>
      <x:c r="I1501" s="14" t="n">
        <x:f>E2_plantas!J37+G1501</x:f>
        <x:v>46217</x:v>
      </x:c>
      <x:c r="J1501" s="2" t="str">
        <x:v>muerta</x:v>
      </x:c>
      <x:c r="K1501" s="2" t="n">
        <x:v>0</x:v>
      </x:c>
      <x:c r="L1501" s="2" t="n">
        <x:v>0</x:v>
      </x:c>
      <x:c r="M1501" s="2" t="n">
        <x:f>SUM(L$1472:L1501)</x:f>
        <x:v>21</x:v>
      </x:c>
      <x:c r="N1501" s="2" t="n">
        <x:v>0</x:v>
      </x:c>
      <x:c r="O1501" s="2" t="str">
        <x:v>relleno_postmuerte</x:v>
      </x:c>
      <x:c r="P1501" s="2" t="n">
        <x:v>0</x:v>
      </x:c>
      <x:c r="Q1501" s="2" t="str">
        <x:v>simulado_didactico</x:v>
      </x:c>
    </x:row>
    <x:row r="1502" ht="19" customHeight="1">
      <x:c r="A1502" s="2" t="str">
        <x:v>SIM-E2-BB-L7-R06</x:v>
      </x:c>
      <x:c r="B1502" s="2" t="n">
        <x:v>3</x:v>
      </x:c>
      <x:c r="C1502" s="2" t="str">
        <x:v>BB</x:v>
      </x:c>
      <x:c r="D1502" s="2" t="str">
        <x:v>Brevicoryne brassicae</x:v>
      </x:c>
      <x:c r="E1502" s="2" t="str">
        <x:v>L7</x:v>
      </x:c>
      <x:c r="F1502" s="2" t="n">
        <x:v>6</x:v>
      </x:c>
      <x:c r="G1502" s="2" t="n">
        <x:v>30</x:v>
      </x:c>
      <x:c r="H1502" s="2" t="n">
        <x:f>G1502+Supuestos!$C$15</x:f>
        <x:v>31</x:v>
      </x:c>
      <x:c r="I1502" s="14" t="n">
        <x:f>E2_plantas!J37+G1502</x:f>
        <x:v>46218</x:v>
      </x:c>
      <x:c r="J1502" s="2" t="str">
        <x:v>muerta</x:v>
      </x:c>
      <x:c r="K1502" s="2" t="n">
        <x:v>0</x:v>
      </x:c>
      <x:c r="L1502" s="2" t="n">
        <x:v>0</x:v>
      </x:c>
      <x:c r="M1502" s="2" t="n">
        <x:f>SUM(L$1472:L1502)</x:f>
        <x:v>21</x:v>
      </x:c>
      <x:c r="N1502" s="2" t="n">
        <x:v>0</x:v>
      </x:c>
      <x:c r="O1502" s="2" t="str">
        <x:v>relleno_postmuerte</x:v>
      </x:c>
      <x:c r="P1502" s="2" t="n">
        <x:v>0</x:v>
      </x:c>
      <x:c r="Q1502" s="2" t="str">
        <x:v>simulado_didactico</x:v>
      </x:c>
    </x:row>
    <x:row r="1503" ht="19" customHeight="1">
      <x:c r="A1503" s="2" t="str">
        <x:v>SIM-E2-BB-L7-R06</x:v>
      </x:c>
      <x:c r="B1503" s="2" t="n">
        <x:v>3</x:v>
      </x:c>
      <x:c r="C1503" s="2" t="str">
        <x:v>BB</x:v>
      </x:c>
      <x:c r="D1503" s="2" t="str">
        <x:v>Brevicoryne brassicae</x:v>
      </x:c>
      <x:c r="E1503" s="2" t="str">
        <x:v>L7</x:v>
      </x:c>
      <x:c r="F1503" s="2" t="n">
        <x:v>6</x:v>
      </x:c>
      <x:c r="G1503" s="2" t="n">
        <x:v>31</x:v>
      </x:c>
      <x:c r="H1503" s="2" t="n">
        <x:f>G1503+Supuestos!$C$15</x:f>
        <x:v>32</x:v>
      </x:c>
      <x:c r="I1503" s="14" t="n">
        <x:f>E2_plantas!J37+G1503</x:f>
        <x:v>46219</x:v>
      </x:c>
      <x:c r="J1503" s="2" t="str">
        <x:v>muerta</x:v>
      </x:c>
      <x:c r="K1503" s="2" t="n">
        <x:v>0</x:v>
      </x:c>
      <x:c r="L1503" s="2" t="n">
        <x:v>0</x:v>
      </x:c>
      <x:c r="M1503" s="2" t="n">
        <x:f>SUM(L$1472:L1503)</x:f>
        <x:v>21</x:v>
      </x:c>
      <x:c r="N1503" s="2" t="n">
        <x:v>0</x:v>
      </x:c>
      <x:c r="O1503" s="2" t="str">
        <x:v>relleno_postmuerte</x:v>
      </x:c>
      <x:c r="P1503" s="2" t="n">
        <x:v>0</x:v>
      </x:c>
      <x:c r="Q1503" s="2" t="str">
        <x:v>simulado_didactico</x:v>
      </x:c>
    </x:row>
    <x:row r="1504" ht="19" customHeight="1">
      <x:c r="A1504" s="2" t="str">
        <x:v>SIM-E2-BB-L7-R06</x:v>
      </x:c>
      <x:c r="B1504" s="2" t="n">
        <x:v>3</x:v>
      </x:c>
      <x:c r="C1504" s="2" t="str">
        <x:v>BB</x:v>
      </x:c>
      <x:c r="D1504" s="2" t="str">
        <x:v>Brevicoryne brassicae</x:v>
      </x:c>
      <x:c r="E1504" s="2" t="str">
        <x:v>L7</x:v>
      </x:c>
      <x:c r="F1504" s="2" t="n">
        <x:v>6</x:v>
      </x:c>
      <x:c r="G1504" s="2" t="n">
        <x:v>32</x:v>
      </x:c>
      <x:c r="H1504" s="2" t="n">
        <x:f>G1504+Supuestos!$C$15</x:f>
        <x:v>33</x:v>
      </x:c>
      <x:c r="I1504" s="14" t="n">
        <x:f>E2_plantas!J37+G1504</x:f>
        <x:v>46220</x:v>
      </x:c>
      <x:c r="J1504" s="2" t="str">
        <x:v>muerta</x:v>
      </x:c>
      <x:c r="K1504" s="2" t="n">
        <x:v>0</x:v>
      </x:c>
      <x:c r="L1504" s="2" t="n">
        <x:v>0</x:v>
      </x:c>
      <x:c r="M1504" s="2" t="n">
        <x:f>SUM(L$1472:L1504)</x:f>
        <x:v>21</x:v>
      </x:c>
      <x:c r="N1504" s="2" t="n">
        <x:v>0</x:v>
      </x:c>
      <x:c r="O1504" s="2" t="str">
        <x:v>relleno_postmuerte</x:v>
      </x:c>
      <x:c r="P1504" s="2" t="n">
        <x:v>0</x:v>
      </x:c>
      <x:c r="Q1504" s="2" t="str">
        <x:v>simulado_didactico</x:v>
      </x:c>
    </x:row>
    <x:row r="1505" ht="19" customHeight="1">
      <x:c r="A1505" s="2" t="str">
        <x:v>SIM-E2-BB-L7-R06</x:v>
      </x:c>
      <x:c r="B1505" s="2" t="n">
        <x:v>3</x:v>
      </x:c>
      <x:c r="C1505" s="2" t="str">
        <x:v>BB</x:v>
      </x:c>
      <x:c r="D1505" s="2" t="str">
        <x:v>Brevicoryne brassicae</x:v>
      </x:c>
      <x:c r="E1505" s="2" t="str">
        <x:v>L7</x:v>
      </x:c>
      <x:c r="F1505" s="2" t="n">
        <x:v>6</x:v>
      </x:c>
      <x:c r="G1505" s="2" t="n">
        <x:v>33</x:v>
      </x:c>
      <x:c r="H1505" s="2" t="n">
        <x:f>G1505+Supuestos!$C$15</x:f>
        <x:v>34</x:v>
      </x:c>
      <x:c r="I1505" s="14" t="n">
        <x:f>E2_plantas!J37+G1505</x:f>
        <x:v>46221</x:v>
      </x:c>
      <x:c r="J1505" s="2" t="str">
        <x:v>muerta</x:v>
      </x:c>
      <x:c r="K1505" s="2" t="n">
        <x:v>0</x:v>
      </x:c>
      <x:c r="L1505" s="2" t="n">
        <x:v>0</x:v>
      </x:c>
      <x:c r="M1505" s="2" t="n">
        <x:f>SUM(L$1472:L1505)</x:f>
        <x:v>21</x:v>
      </x:c>
      <x:c r="N1505" s="2" t="n">
        <x:v>0</x:v>
      </x:c>
      <x:c r="O1505" s="2" t="str">
        <x:v>relleno_postmuerte</x:v>
      </x:c>
      <x:c r="P1505" s="2" t="n">
        <x:v>0</x:v>
      </x:c>
      <x:c r="Q1505" s="2" t="str">
        <x:v>simulado_didactico</x:v>
      </x:c>
    </x:row>
    <x:row r="1506" ht="19" customHeight="1">
      <x:c r="A1506" s="2" t="str">
        <x:v>SIM-E2-BB-L7-R06</x:v>
      </x:c>
      <x:c r="B1506" s="2" t="n">
        <x:v>3</x:v>
      </x:c>
      <x:c r="C1506" s="2" t="str">
        <x:v>BB</x:v>
      </x:c>
      <x:c r="D1506" s="2" t="str">
        <x:v>Brevicoryne brassicae</x:v>
      </x:c>
      <x:c r="E1506" s="2" t="str">
        <x:v>L7</x:v>
      </x:c>
      <x:c r="F1506" s="2" t="n">
        <x:v>6</x:v>
      </x:c>
      <x:c r="G1506" s="2" t="n">
        <x:v>34</x:v>
      </x:c>
      <x:c r="H1506" s="2" t="n">
        <x:f>G1506+Supuestos!$C$15</x:f>
        <x:v>35</x:v>
      </x:c>
      <x:c r="I1506" s="14" t="n">
        <x:f>E2_plantas!J37+G1506</x:f>
        <x:v>46222</x:v>
      </x:c>
      <x:c r="J1506" s="2" t="str">
        <x:v>muerta</x:v>
      </x:c>
      <x:c r="K1506" s="2" t="n">
        <x:v>0</x:v>
      </x:c>
      <x:c r="L1506" s="2" t="n">
        <x:v>0</x:v>
      </x:c>
      <x:c r="M1506" s="2" t="n">
        <x:f>SUM(L$1472:L1506)</x:f>
        <x:v>21</x:v>
      </x:c>
      <x:c r="N1506" s="2" t="n">
        <x:v>0</x:v>
      </x:c>
      <x:c r="O1506" s="2" t="str">
        <x:v>relleno_postmuerte</x:v>
      </x:c>
      <x:c r="P1506" s="2" t="n">
        <x:v>0</x:v>
      </x:c>
      <x:c r="Q1506" s="2" t="str">
        <x:v>simulado_didactico</x:v>
      </x:c>
    </x:row>
    <x:row r="1507" ht="19" customHeight="1">
      <x:c r="A1507" s="2" t="str">
        <x:v>SIM-E2-BB-L7-R06</x:v>
      </x:c>
      <x:c r="B1507" s="2" t="n">
        <x:v>3</x:v>
      </x:c>
      <x:c r="C1507" s="2" t="str">
        <x:v>BB</x:v>
      </x:c>
      <x:c r="D1507" s="2" t="str">
        <x:v>Brevicoryne brassicae</x:v>
      </x:c>
      <x:c r="E1507" s="2" t="str">
        <x:v>L7</x:v>
      </x:c>
      <x:c r="F1507" s="2" t="n">
        <x:v>6</x:v>
      </x:c>
      <x:c r="G1507" s="2" t="n">
        <x:v>35</x:v>
      </x:c>
      <x:c r="H1507" s="2" t="n">
        <x:f>G1507+Supuestos!$C$15</x:f>
        <x:v>36</x:v>
      </x:c>
      <x:c r="I1507" s="14" t="n">
        <x:f>E2_plantas!J37+G1507</x:f>
        <x:v>46223</x:v>
      </x:c>
      <x:c r="J1507" s="2" t="str">
        <x:v>muerta</x:v>
      </x:c>
      <x:c r="K1507" s="2" t="n">
        <x:v>0</x:v>
      </x:c>
      <x:c r="L1507" s="2" t="n">
        <x:v>0</x:v>
      </x:c>
      <x:c r="M1507" s="2" t="n">
        <x:f>SUM(L$1472:L1507)</x:f>
        <x:v>21</x:v>
      </x:c>
      <x:c r="N1507" s="2" t="n">
        <x:v>0</x:v>
      </x:c>
      <x:c r="O1507" s="2" t="str">
        <x:v>relleno_postmuerte</x:v>
      </x:c>
      <x:c r="P1507" s="2" t="n">
        <x:v>0</x:v>
      </x:c>
      <x:c r="Q1507" s="2" t="str">
        <x:v>simulado_didactico</x:v>
      </x:c>
    </x:row>
    <x:row r="1508" ht="19" customHeight="1">
      <x:c r="A1508" s="2" t="str">
        <x:v>SIM-E2-BB-L7-R06</x:v>
      </x:c>
      <x:c r="B1508" s="2" t="n">
        <x:v>3</x:v>
      </x:c>
      <x:c r="C1508" s="2" t="str">
        <x:v>BB</x:v>
      </x:c>
      <x:c r="D1508" s="2" t="str">
        <x:v>Brevicoryne brassicae</x:v>
      </x:c>
      <x:c r="E1508" s="2" t="str">
        <x:v>L7</x:v>
      </x:c>
      <x:c r="F1508" s="2" t="n">
        <x:v>6</x:v>
      </x:c>
      <x:c r="G1508" s="2" t="n">
        <x:v>36</x:v>
      </x:c>
      <x:c r="H1508" s="2" t="n">
        <x:f>G1508+Supuestos!$C$15</x:f>
        <x:v>37</x:v>
      </x:c>
      <x:c r="I1508" s="14" t="n">
        <x:f>E2_plantas!J37+G1508</x:f>
        <x:v>46224</x:v>
      </x:c>
      <x:c r="J1508" s="2" t="str">
        <x:v>muerta</x:v>
      </x:c>
      <x:c r="K1508" s="2" t="n">
        <x:v>0</x:v>
      </x:c>
      <x:c r="L1508" s="2" t="n">
        <x:v>0</x:v>
      </x:c>
      <x:c r="M1508" s="2" t="n">
        <x:f>SUM(L$1472:L1508)</x:f>
        <x:v>21</x:v>
      </x:c>
      <x:c r="N1508" s="2" t="n">
        <x:v>0</x:v>
      </x:c>
      <x:c r="O1508" s="2" t="str">
        <x:v>relleno_postmuerte</x:v>
      </x:c>
      <x:c r="P1508" s="2" t="n">
        <x:v>0</x:v>
      </x:c>
      <x:c r="Q1508" s="2" t="str">
        <x:v>simulado_didactico</x:v>
      </x:c>
    </x:row>
    <x:row r="1509" ht="19" customHeight="1">
      <x:c r="A1509" s="2" t="str">
        <x:v>SIM-E2-BB-L7-R06</x:v>
      </x:c>
      <x:c r="B1509" s="2" t="n">
        <x:v>3</x:v>
      </x:c>
      <x:c r="C1509" s="2" t="str">
        <x:v>BB</x:v>
      </x:c>
      <x:c r="D1509" s="2" t="str">
        <x:v>Brevicoryne brassicae</x:v>
      </x:c>
      <x:c r="E1509" s="2" t="str">
        <x:v>L7</x:v>
      </x:c>
      <x:c r="F1509" s="2" t="n">
        <x:v>6</x:v>
      </x:c>
      <x:c r="G1509" s="2" t="n">
        <x:v>37</x:v>
      </x:c>
      <x:c r="H1509" s="2" t="n">
        <x:f>G1509+Supuestos!$C$15</x:f>
        <x:v>38</x:v>
      </x:c>
      <x:c r="I1509" s="14" t="n">
        <x:f>E2_plantas!J37+G1509</x:f>
        <x:v>46225</x:v>
      </x:c>
      <x:c r="J1509" s="2" t="str">
        <x:v>muerta</x:v>
      </x:c>
      <x:c r="K1509" s="2" t="n">
        <x:v>0</x:v>
      </x:c>
      <x:c r="L1509" s="2" t="n">
        <x:v>0</x:v>
      </x:c>
      <x:c r="M1509" s="2" t="n">
        <x:f>SUM(L$1472:L1509)</x:f>
        <x:v>21</x:v>
      </x:c>
      <x:c r="N1509" s="2" t="n">
        <x:v>0</x:v>
      </x:c>
      <x:c r="O1509" s="2" t="str">
        <x:v>relleno_postmuerte</x:v>
      </x:c>
      <x:c r="P1509" s="2" t="n">
        <x:v>0</x:v>
      </x:c>
      <x:c r="Q1509" s="2" t="str">
        <x:v>simulado_didactico</x:v>
      </x:c>
    </x:row>
    <x:row r="1510" ht="19" customHeight="1">
      <x:c r="A1510" s="2" t="str">
        <x:v>SIM-E2-BB-L7-R06</x:v>
      </x:c>
      <x:c r="B1510" s="2" t="n">
        <x:v>3</x:v>
      </x:c>
      <x:c r="C1510" s="2" t="str">
        <x:v>BB</x:v>
      </x:c>
      <x:c r="D1510" s="2" t="str">
        <x:v>Brevicoryne brassicae</x:v>
      </x:c>
      <x:c r="E1510" s="2" t="str">
        <x:v>L7</x:v>
      </x:c>
      <x:c r="F1510" s="2" t="n">
        <x:v>6</x:v>
      </x:c>
      <x:c r="G1510" s="2" t="n">
        <x:v>38</x:v>
      </x:c>
      <x:c r="H1510" s="2" t="n">
        <x:f>G1510+Supuestos!$C$15</x:f>
        <x:v>39</x:v>
      </x:c>
      <x:c r="I1510" s="14" t="n">
        <x:f>E2_plantas!J37+G1510</x:f>
        <x:v>46226</x:v>
      </x:c>
      <x:c r="J1510" s="2" t="str">
        <x:v>muerta</x:v>
      </x:c>
      <x:c r="K1510" s="2" t="n">
        <x:v>0</x:v>
      </x:c>
      <x:c r="L1510" s="2" t="n">
        <x:v>0</x:v>
      </x:c>
      <x:c r="M1510" s="2" t="n">
        <x:f>SUM(L$1472:L1510)</x:f>
        <x:v>21</x:v>
      </x:c>
      <x:c r="N1510" s="2" t="n">
        <x:v>0</x:v>
      </x:c>
      <x:c r="O1510" s="2" t="str">
        <x:v>relleno_postmuerte</x:v>
      </x:c>
      <x:c r="P1510" s="2" t="n">
        <x:v>0</x:v>
      </x:c>
      <x:c r="Q1510" s="2" t="str">
        <x:v>simulado_didactico</x:v>
      </x:c>
    </x:row>
    <x:row r="1511" ht="19" customHeight="1">
      <x:c r="A1511" s="2" t="str">
        <x:v>SIM-E2-BB-L7-R06</x:v>
      </x:c>
      <x:c r="B1511" s="2" t="n">
        <x:v>3</x:v>
      </x:c>
      <x:c r="C1511" s="2" t="str">
        <x:v>BB</x:v>
      </x:c>
      <x:c r="D1511" s="2" t="str">
        <x:v>Brevicoryne brassicae</x:v>
      </x:c>
      <x:c r="E1511" s="2" t="str">
        <x:v>L7</x:v>
      </x:c>
      <x:c r="F1511" s="2" t="n">
        <x:v>6</x:v>
      </x:c>
      <x:c r="G1511" s="2" t="n">
        <x:v>39</x:v>
      </x:c>
      <x:c r="H1511" s="2" t="n">
        <x:f>G1511+Supuestos!$C$15</x:f>
        <x:v>40</x:v>
      </x:c>
      <x:c r="I1511" s="14" t="n">
        <x:f>E2_plantas!J37+G1511</x:f>
        <x:v>46227</x:v>
      </x:c>
      <x:c r="J1511" s="2" t="str">
        <x:v>muerta</x:v>
      </x:c>
      <x:c r="K1511" s="2" t="n">
        <x:v>0</x:v>
      </x:c>
      <x:c r="L1511" s="2" t="n">
        <x:v>0</x:v>
      </x:c>
      <x:c r="M1511" s="2" t="n">
        <x:f>SUM(L$1472:L1511)</x:f>
        <x:v>21</x:v>
      </x:c>
      <x:c r="N1511" s="2" t="n">
        <x:v>0</x:v>
      </x:c>
      <x:c r="O1511" s="2" t="str">
        <x:v>relleno_postmuerte</x:v>
      </x:c>
      <x:c r="P1511" s="2" t="n">
        <x:v>0</x:v>
      </x:c>
      <x:c r="Q1511" s="2" t="str">
        <x:v>simulado_didactico</x:v>
      </x:c>
    </x:row>
    <x:row r="1512" ht="19" customHeight="1">
      <x:c r="A1512" s="2" t="str">
        <x:v>SIM-E2-BB-L7-R06</x:v>
      </x:c>
      <x:c r="B1512" s="2" t="n">
        <x:v>3</x:v>
      </x:c>
      <x:c r="C1512" s="2" t="str">
        <x:v>BB</x:v>
      </x:c>
      <x:c r="D1512" s="2" t="str">
        <x:v>Brevicoryne brassicae</x:v>
      </x:c>
      <x:c r="E1512" s="2" t="str">
        <x:v>L7</x:v>
      </x:c>
      <x:c r="F1512" s="2" t="n">
        <x:v>6</x:v>
      </x:c>
      <x:c r="G1512" s="2" t="n">
        <x:v>40</x:v>
      </x:c>
      <x:c r="H1512" s="2" t="n">
        <x:f>G1512+Supuestos!$C$15</x:f>
        <x:v>41</x:v>
      </x:c>
      <x:c r="I1512" s="14" t="n">
        <x:f>E2_plantas!J37+G1512</x:f>
        <x:v>46228</x:v>
      </x:c>
      <x:c r="J1512" s="2" t="str">
        <x:v>muerta</x:v>
      </x:c>
      <x:c r="K1512" s="2" t="n">
        <x:v>0</x:v>
      </x:c>
      <x:c r="L1512" s="2" t="n">
        <x:v>0</x:v>
      </x:c>
      <x:c r="M1512" s="2" t="n">
        <x:f>SUM(L$1472:L1512)</x:f>
        <x:v>21</x:v>
      </x:c>
      <x:c r="N1512" s="2" t="n">
        <x:v>0</x:v>
      </x:c>
      <x:c r="O1512" s="2" t="str">
        <x:v>relleno_postmuerte</x:v>
      </x:c>
      <x:c r="P1512" s="2" t="n">
        <x:v>0</x:v>
      </x:c>
      <x:c r="Q1512" s="2" t="str">
        <x:v>simulado_didactico</x:v>
      </x:c>
    </x:row>
    <x:row r="1513" ht="19" customHeight="1">
      <x:c r="A1513" s="2" t="str">
        <x:v>SIM-E2-BB-L7-R06</x:v>
      </x:c>
      <x:c r="B1513" s="2" t="n">
        <x:v>3</x:v>
      </x:c>
      <x:c r="C1513" s="2" t="str">
        <x:v>BB</x:v>
      </x:c>
      <x:c r="D1513" s="2" t="str">
        <x:v>Brevicoryne brassicae</x:v>
      </x:c>
      <x:c r="E1513" s="2" t="str">
        <x:v>L7</x:v>
      </x:c>
      <x:c r="F1513" s="2" t="n">
        <x:v>6</x:v>
      </x:c>
      <x:c r="G1513" s="2" t="n">
        <x:v>41</x:v>
      </x:c>
      <x:c r="H1513" s="2" t="n">
        <x:f>G1513+Supuestos!$C$15</x:f>
        <x:v>42</x:v>
      </x:c>
      <x:c r="I1513" s="14" t="n">
        <x:f>E2_plantas!J37+G1513</x:f>
        <x:v>46229</x:v>
      </x:c>
      <x:c r="J1513" s="2" t="str">
        <x:v>muerta</x:v>
      </x:c>
      <x:c r="K1513" s="2" t="n">
        <x:v>0</x:v>
      </x:c>
      <x:c r="L1513" s="2" t="n">
        <x:v>0</x:v>
      </x:c>
      <x:c r="M1513" s="2" t="n">
        <x:f>SUM(L$1472:L1513)</x:f>
        <x:v>21</x:v>
      </x:c>
      <x:c r="N1513" s="2" t="n">
        <x:v>0</x:v>
      </x:c>
      <x:c r="O1513" s="2" t="str">
        <x:v>relleno_postmuerte</x:v>
      </x:c>
      <x:c r="P1513" s="2" t="n">
        <x:v>0</x:v>
      </x:c>
      <x:c r="Q1513" s="2" t="str">
        <x:v>simulado_didactico</x:v>
      </x:c>
    </x:row>
    <x:row r="1514" ht="19" customHeight="1">
      <x:c r="A1514" s="2" t="str">
        <x:v>SIM-E2-MP-L0-R07</x:v>
      </x:c>
      <x:c r="B1514" s="2" t="n">
        <x:v>4</x:v>
      </x:c>
      <x:c r="C1514" s="2" t="str">
        <x:v>MP</x:v>
      </x:c>
      <x:c r="D1514" s="2" t="str">
        <x:v>Myzus persicae</x:v>
      </x:c>
      <x:c r="E1514" s="2" t="str">
        <x:v>L0</x:v>
      </x:c>
      <x:c r="F1514" s="2" t="n">
        <x:v>7</x:v>
      </x:c>
      <x:c r="G1514" s="2" t="n">
        <x:v>0</x:v>
      </x:c>
      <x:c r="H1514" s="2" t="n">
        <x:f>G1514+Supuestos!$C$15</x:f>
        <x:v>1</x:v>
      </x:c>
      <x:c r="I1514" s="14" t="n">
        <x:f>E2_plantas!J38+G1514</x:f>
        <x:v>46195</x:v>
      </x:c>
      <x:c r="J1514" s="2" t="str">
        <x:v>N1</x:v>
      </x:c>
      <x:c r="K1514" s="2" t="n">
        <x:v>1</x:v>
      </x:c>
      <x:c r="L1514" s="2" t="n">
        <x:v>0</x:v>
      </x:c>
      <x:c r="M1514" s="2" t="n">
        <x:f>SUM(L$1514:L1514)</x:f>
        <x:v>0</x:v>
      </x:c>
      <x:c r="N1514" s="2" t="n">
        <x:v>0</x:v>
      </x:c>
      <x:c r="O1514" s="2" t="str">
        <x:v>seguimiento</x:v>
      </x:c>
      <x:c r="P1514" s="2" t="n">
        <x:v>0</x:v>
      </x:c>
      <x:c r="Q1514" s="2" t="str">
        <x:v>simulado_didactico</x:v>
      </x:c>
    </x:row>
    <x:row r="1515" ht="19" customHeight="1">
      <x:c r="A1515" s="2" t="str">
        <x:v>SIM-E2-MP-L0-R07</x:v>
      </x:c>
      <x:c r="B1515" s="2" t="n">
        <x:v>4</x:v>
      </x:c>
      <x:c r="C1515" s="2" t="str">
        <x:v>MP</x:v>
      </x:c>
      <x:c r="D1515" s="2" t="str">
        <x:v>Myzus persicae</x:v>
      </x:c>
      <x:c r="E1515" s="2" t="str">
        <x:v>L0</x:v>
      </x:c>
      <x:c r="F1515" s="2" t="n">
        <x:v>7</x:v>
      </x:c>
      <x:c r="G1515" s="2" t="n">
        <x:v>1</x:v>
      </x:c>
      <x:c r="H1515" s="2" t="n">
        <x:f>G1515+Supuestos!$C$15</x:f>
        <x:v>2</x:v>
      </x:c>
      <x:c r="I1515" s="14" t="n">
        <x:f>E2_plantas!J38+G1515</x:f>
        <x:v>46196</x:v>
      </x:c>
      <x:c r="J1515" s="2" t="str">
        <x:v>N1</x:v>
      </x:c>
      <x:c r="K1515" s="2" t="n">
        <x:v>1</x:v>
      </x:c>
      <x:c r="L1515" s="2" t="n">
        <x:v>0</x:v>
      </x:c>
      <x:c r="M1515" s="2" t="n">
        <x:f>SUM(L$1514:L1515)</x:f>
        <x:v>0</x:v>
      </x:c>
      <x:c r="N1515" s="2" t="n">
        <x:v>0</x:v>
      </x:c>
      <x:c r="O1515" s="2" t="str">
        <x:v>seguimiento</x:v>
      </x:c>
      <x:c r="P1515" s="2" t="n">
        <x:v>0</x:v>
      </x:c>
      <x:c r="Q1515" s="2" t="str">
        <x:v>simulado_didactico</x:v>
      </x:c>
    </x:row>
    <x:row r="1516" ht="19" customHeight="1">
      <x:c r="A1516" s="2" t="str">
        <x:v>SIM-E2-MP-L0-R07</x:v>
      </x:c>
      <x:c r="B1516" s="2" t="n">
        <x:v>4</x:v>
      </x:c>
      <x:c r="C1516" s="2" t="str">
        <x:v>MP</x:v>
      </x:c>
      <x:c r="D1516" s="2" t="str">
        <x:v>Myzus persicae</x:v>
      </x:c>
      <x:c r="E1516" s="2" t="str">
        <x:v>L0</x:v>
      </x:c>
      <x:c r="F1516" s="2" t="n">
        <x:v>7</x:v>
      </x:c>
      <x:c r="G1516" s="2" t="n">
        <x:v>2</x:v>
      </x:c>
      <x:c r="H1516" s="2" t="n">
        <x:f>G1516+Supuestos!$C$15</x:f>
        <x:v>3</x:v>
      </x:c>
      <x:c r="I1516" s="14" t="n">
        <x:f>E2_plantas!J38+G1516</x:f>
        <x:v>46197</x:v>
      </x:c>
      <x:c r="J1516" s="2" t="str">
        <x:v>N2</x:v>
      </x:c>
      <x:c r="K1516" s="2" t="n">
        <x:v>1</x:v>
      </x:c>
      <x:c r="L1516" s="2" t="n">
        <x:v>0</x:v>
      </x:c>
      <x:c r="M1516" s="2" t="n">
        <x:f>SUM(L$1514:L1516)</x:f>
        <x:v>0</x:v>
      </x:c>
      <x:c r="N1516" s="2" t="n">
        <x:v>0</x:v>
      </x:c>
      <x:c r="O1516" s="2" t="str">
        <x:v>seguimiento</x:v>
      </x:c>
      <x:c r="P1516" s="2" t="n">
        <x:v>0</x:v>
      </x:c>
      <x:c r="Q1516" s="2" t="str">
        <x:v>simulado_didactico</x:v>
      </x:c>
    </x:row>
    <x:row r="1517" ht="19" customHeight="1">
      <x:c r="A1517" s="2" t="str">
        <x:v>SIM-E2-MP-L0-R07</x:v>
      </x:c>
      <x:c r="B1517" s="2" t="n">
        <x:v>4</x:v>
      </x:c>
      <x:c r="C1517" s="2" t="str">
        <x:v>MP</x:v>
      </x:c>
      <x:c r="D1517" s="2" t="str">
        <x:v>Myzus persicae</x:v>
      </x:c>
      <x:c r="E1517" s="2" t="str">
        <x:v>L0</x:v>
      </x:c>
      <x:c r="F1517" s="2" t="n">
        <x:v>7</x:v>
      </x:c>
      <x:c r="G1517" s="2" t="n">
        <x:v>3</x:v>
      </x:c>
      <x:c r="H1517" s="2" t="n">
        <x:f>G1517+Supuestos!$C$15</x:f>
        <x:v>4</x:v>
      </x:c>
      <x:c r="I1517" s="14" t="n">
        <x:f>E2_plantas!J38+G1517</x:f>
        <x:v>46198</x:v>
      </x:c>
      <x:c r="J1517" s="2" t="str">
        <x:v>N2</x:v>
      </x:c>
      <x:c r="K1517" s="2" t="n">
        <x:v>1</x:v>
      </x:c>
      <x:c r="L1517" s="2" t="n">
        <x:v>0</x:v>
      </x:c>
      <x:c r="M1517" s="2" t="n">
        <x:f>SUM(L$1514:L1517)</x:f>
        <x:v>0</x:v>
      </x:c>
      <x:c r="N1517" s="2" t="n">
        <x:v>0</x:v>
      </x:c>
      <x:c r="O1517" s="2" t="str">
        <x:v>seguimiento</x:v>
      </x:c>
      <x:c r="P1517" s="2" t="n">
        <x:v>0</x:v>
      </x:c>
      <x:c r="Q1517" s="2" t="str">
        <x:v>simulado_didactico</x:v>
      </x:c>
    </x:row>
    <x:row r="1518" ht="19" customHeight="1">
      <x:c r="A1518" s="2" t="str">
        <x:v>SIM-E2-MP-L0-R07</x:v>
      </x:c>
      <x:c r="B1518" s="2" t="n">
        <x:v>4</x:v>
      </x:c>
      <x:c r="C1518" s="2" t="str">
        <x:v>MP</x:v>
      </x:c>
      <x:c r="D1518" s="2" t="str">
        <x:v>Myzus persicae</x:v>
      </x:c>
      <x:c r="E1518" s="2" t="str">
        <x:v>L0</x:v>
      </x:c>
      <x:c r="F1518" s="2" t="n">
        <x:v>7</x:v>
      </x:c>
      <x:c r="G1518" s="2" t="n">
        <x:v>4</x:v>
      </x:c>
      <x:c r="H1518" s="2" t="n">
        <x:f>G1518+Supuestos!$C$15</x:f>
        <x:v>5</x:v>
      </x:c>
      <x:c r="I1518" s="14" t="n">
        <x:f>E2_plantas!J38+G1518</x:f>
        <x:v>46199</x:v>
      </x:c>
      <x:c r="J1518" s="2" t="str">
        <x:v>N3</x:v>
      </x:c>
      <x:c r="K1518" s="2" t="n">
        <x:v>1</x:v>
      </x:c>
      <x:c r="L1518" s="2" t="n">
        <x:v>0</x:v>
      </x:c>
      <x:c r="M1518" s="2" t="n">
        <x:f>SUM(L$1514:L1518)</x:f>
        <x:v>0</x:v>
      </x:c>
      <x:c r="N1518" s="2" t="n">
        <x:v>0</x:v>
      </x:c>
      <x:c r="O1518" s="2" t="str">
        <x:v>seguimiento</x:v>
      </x:c>
      <x:c r="P1518" s="2" t="n">
        <x:v>0</x:v>
      </x:c>
      <x:c r="Q1518" s="2" t="str">
        <x:v>simulado_didactico</x:v>
      </x:c>
    </x:row>
    <x:row r="1519" ht="19" customHeight="1">
      <x:c r="A1519" s="2" t="str">
        <x:v>SIM-E2-MP-L0-R07</x:v>
      </x:c>
      <x:c r="B1519" s="2" t="n">
        <x:v>4</x:v>
      </x:c>
      <x:c r="C1519" s="2" t="str">
        <x:v>MP</x:v>
      </x:c>
      <x:c r="D1519" s="2" t="str">
        <x:v>Myzus persicae</x:v>
      </x:c>
      <x:c r="E1519" s="2" t="str">
        <x:v>L0</x:v>
      </x:c>
      <x:c r="F1519" s="2" t="n">
        <x:v>7</x:v>
      </x:c>
      <x:c r="G1519" s="2" t="n">
        <x:v>5</x:v>
      </x:c>
      <x:c r="H1519" s="2" t="n">
        <x:f>G1519+Supuestos!$C$15</x:f>
        <x:v>6</x:v>
      </x:c>
      <x:c r="I1519" s="14" t="n">
        <x:f>E2_plantas!J38+G1519</x:f>
        <x:v>46200</x:v>
      </x:c>
      <x:c r="J1519" s="2" t="str">
        <x:v>N3</x:v>
      </x:c>
      <x:c r="K1519" s="2" t="n">
        <x:v>1</x:v>
      </x:c>
      <x:c r="L1519" s="2" t="n">
        <x:v>0</x:v>
      </x:c>
      <x:c r="M1519" s="2" t="n">
        <x:f>SUM(L$1514:L1519)</x:f>
        <x:v>0</x:v>
      </x:c>
      <x:c r="N1519" s="2" t="n">
        <x:v>0</x:v>
      </x:c>
      <x:c r="O1519" s="2" t="str">
        <x:v>seguimiento</x:v>
      </x:c>
      <x:c r="P1519" s="2" t="n">
        <x:v>0</x:v>
      </x:c>
      <x:c r="Q1519" s="2" t="str">
        <x:v>simulado_didactico</x:v>
      </x:c>
    </x:row>
    <x:row r="1520" ht="19" customHeight="1">
      <x:c r="A1520" s="2" t="str">
        <x:v>SIM-E2-MP-L0-R07</x:v>
      </x:c>
      <x:c r="B1520" s="2" t="n">
        <x:v>4</x:v>
      </x:c>
      <x:c r="C1520" s="2" t="str">
        <x:v>MP</x:v>
      </x:c>
      <x:c r="D1520" s="2" t="str">
        <x:v>Myzus persicae</x:v>
      </x:c>
      <x:c r="E1520" s="2" t="str">
        <x:v>L0</x:v>
      </x:c>
      <x:c r="F1520" s="2" t="n">
        <x:v>7</x:v>
      </x:c>
      <x:c r="G1520" s="2" t="n">
        <x:v>6</x:v>
      </x:c>
      <x:c r="H1520" s="2" t="n">
        <x:f>G1520+Supuestos!$C$15</x:f>
        <x:v>7</x:v>
      </x:c>
      <x:c r="I1520" s="14" t="n">
        <x:f>E2_plantas!J38+G1520</x:f>
        <x:v>46201</x:v>
      </x:c>
      <x:c r="J1520" s="2" t="str">
        <x:v>N3</x:v>
      </x:c>
      <x:c r="K1520" s="2" t="n">
        <x:v>1</x:v>
      </x:c>
      <x:c r="L1520" s="2" t="n">
        <x:v>0</x:v>
      </x:c>
      <x:c r="M1520" s="2" t="n">
        <x:f>SUM(L$1514:L1520)</x:f>
        <x:v>0</x:v>
      </x:c>
      <x:c r="N1520" s="2" t="n">
        <x:v>0</x:v>
      </x:c>
      <x:c r="O1520" s="2" t="str">
        <x:v>seguimiento</x:v>
      </x:c>
      <x:c r="P1520" s="2" t="n">
        <x:v>0</x:v>
      </x:c>
      <x:c r="Q1520" s="2" t="str">
        <x:v>simulado_didactico</x:v>
      </x:c>
    </x:row>
    <x:row r="1521" ht="19" customHeight="1">
      <x:c r="A1521" s="2" t="str">
        <x:v>SIM-E2-MP-L0-R07</x:v>
      </x:c>
      <x:c r="B1521" s="2" t="n">
        <x:v>4</x:v>
      </x:c>
      <x:c r="C1521" s="2" t="str">
        <x:v>MP</x:v>
      </x:c>
      <x:c r="D1521" s="2" t="str">
        <x:v>Myzus persicae</x:v>
      </x:c>
      <x:c r="E1521" s="2" t="str">
        <x:v>L0</x:v>
      </x:c>
      <x:c r="F1521" s="2" t="n">
        <x:v>7</x:v>
      </x:c>
      <x:c r="G1521" s="2" t="n">
        <x:v>7</x:v>
      </x:c>
      <x:c r="H1521" s="2" t="n">
        <x:f>G1521+Supuestos!$C$15</x:f>
        <x:v>8</x:v>
      </x:c>
      <x:c r="I1521" s="14" t="n">
        <x:f>E2_plantas!J38+G1521</x:f>
        <x:v>46202</x:v>
      </x:c>
      <x:c r="J1521" s="2" t="str">
        <x:v>N4</x:v>
      </x:c>
      <x:c r="K1521" s="2" t="n">
        <x:v>1</x:v>
      </x:c>
      <x:c r="L1521" s="2" t="n">
        <x:v>0</x:v>
      </x:c>
      <x:c r="M1521" s="2" t="n">
        <x:f>SUM(L$1514:L1521)</x:f>
        <x:v>0</x:v>
      </x:c>
      <x:c r="N1521" s="2" t="n">
        <x:v>0</x:v>
      </x:c>
      <x:c r="O1521" s="2" t="str">
        <x:v>seguimiento</x:v>
      </x:c>
      <x:c r="P1521" s="2" t="n">
        <x:v>0</x:v>
      </x:c>
      <x:c r="Q1521" s="2" t="str">
        <x:v>simulado_didactico</x:v>
      </x:c>
    </x:row>
    <x:row r="1522" ht="19" customHeight="1">
      <x:c r="A1522" s="2" t="str">
        <x:v>SIM-E2-MP-L0-R07</x:v>
      </x:c>
      <x:c r="B1522" s="2" t="n">
        <x:v>4</x:v>
      </x:c>
      <x:c r="C1522" s="2" t="str">
        <x:v>MP</x:v>
      </x:c>
      <x:c r="D1522" s="2" t="str">
        <x:v>Myzus persicae</x:v>
      </x:c>
      <x:c r="E1522" s="2" t="str">
        <x:v>L0</x:v>
      </x:c>
      <x:c r="F1522" s="2" t="n">
        <x:v>7</x:v>
      </x:c>
      <x:c r="G1522" s="2" t="n">
        <x:v>8</x:v>
      </x:c>
      <x:c r="H1522" s="2" t="n">
        <x:f>G1522+Supuestos!$C$15</x:f>
        <x:v>9</x:v>
      </x:c>
      <x:c r="I1522" s="14" t="n">
        <x:f>E2_plantas!J38+G1522</x:f>
        <x:v>46203</x:v>
      </x:c>
      <x:c r="J1522" s="2" t="str">
        <x:v>adulta</x:v>
      </x:c>
      <x:c r="K1522" s="2" t="n">
        <x:v>1</x:v>
      </x:c>
      <x:c r="L1522" s="2" t="n">
        <x:v>0</x:v>
      </x:c>
      <x:c r="M1522" s="2" t="n">
        <x:f>SUM(L$1514:L1522)</x:f>
        <x:v>0</x:v>
      </x:c>
      <x:c r="N1522" s="2" t="n">
        <x:v>0</x:v>
      </x:c>
      <x:c r="O1522" s="2" t="str">
        <x:v>seguimiento</x:v>
      </x:c>
      <x:c r="P1522" s="2" t="n">
        <x:v>0</x:v>
      </x:c>
      <x:c r="Q1522" s="2" t="str">
        <x:v>simulado_didactico</x:v>
      </x:c>
    </x:row>
    <x:row r="1523" ht="19" customHeight="1">
      <x:c r="A1523" s="2" t="str">
        <x:v>SIM-E2-MP-L0-R07</x:v>
      </x:c>
      <x:c r="B1523" s="2" t="n">
        <x:v>4</x:v>
      </x:c>
      <x:c r="C1523" s="2" t="str">
        <x:v>MP</x:v>
      </x:c>
      <x:c r="D1523" s="2" t="str">
        <x:v>Myzus persicae</x:v>
      </x:c>
      <x:c r="E1523" s="2" t="str">
        <x:v>L0</x:v>
      </x:c>
      <x:c r="F1523" s="2" t="n">
        <x:v>7</x:v>
      </x:c>
      <x:c r="G1523" s="2" t="n">
        <x:v>9</x:v>
      </x:c>
      <x:c r="H1523" s="2" t="n">
        <x:f>G1523+Supuestos!$C$15</x:f>
        <x:v>10</x:v>
      </x:c>
      <x:c r="I1523" s="14" t="n">
        <x:f>E2_plantas!J38+G1523</x:f>
        <x:v>46204</x:v>
      </x:c>
      <x:c r="J1523" s="2" t="str">
        <x:v>adulta</x:v>
      </x:c>
      <x:c r="K1523" s="2" t="n">
        <x:v>1</x:v>
      </x:c>
      <x:c r="L1523" s="2" t="n">
        <x:v>5</x:v>
      </x:c>
      <x:c r="M1523" s="2" t="n">
        <x:f>SUM(L$1514:L1523)</x:f>
        <x:v>5</x:v>
      </x:c>
      <x:c r="N1523" s="2" t="n">
        <x:v>0</x:v>
      </x:c>
      <x:c r="O1523" s="2" t="str">
        <x:v>seguimiento</x:v>
      </x:c>
      <x:c r="P1523" s="2" t="n">
        <x:v>0</x:v>
      </x:c>
      <x:c r="Q1523" s="2" t="str">
        <x:v>simulado_didactico</x:v>
      </x:c>
    </x:row>
    <x:row r="1524" ht="19" customHeight="1">
      <x:c r="A1524" s="2" t="str">
        <x:v>SIM-E2-MP-L0-R07</x:v>
      </x:c>
      <x:c r="B1524" s="2" t="n">
        <x:v>4</x:v>
      </x:c>
      <x:c r="C1524" s="2" t="str">
        <x:v>MP</x:v>
      </x:c>
      <x:c r="D1524" s="2" t="str">
        <x:v>Myzus persicae</x:v>
      </x:c>
      <x:c r="E1524" s="2" t="str">
        <x:v>L0</x:v>
      </x:c>
      <x:c r="F1524" s="2" t="n">
        <x:v>7</x:v>
      </x:c>
      <x:c r="G1524" s="2" t="n">
        <x:v>10</x:v>
      </x:c>
      <x:c r="H1524" s="2" t="n">
        <x:f>G1524+Supuestos!$C$15</x:f>
        <x:v>11</x:v>
      </x:c>
      <x:c r="I1524" s="14" t="n">
        <x:f>E2_plantas!J38+G1524</x:f>
        <x:v>46205</x:v>
      </x:c>
      <x:c r="J1524" s="2" t="str">
        <x:v>adulta</x:v>
      </x:c>
      <x:c r="K1524" s="2" t="n">
        <x:v>1</x:v>
      </x:c>
      <x:c r="L1524" s="2" t="n">
        <x:v>11</x:v>
      </x:c>
      <x:c r="M1524" s="2" t="n">
        <x:f>SUM(L$1514:L1524)</x:f>
        <x:v>16</x:v>
      </x:c>
      <x:c r="N1524" s="2" t="n">
        <x:v>0</x:v>
      </x:c>
      <x:c r="O1524" s="2" t="str">
        <x:v>seguimiento</x:v>
      </x:c>
      <x:c r="P1524" s="2" t="n">
        <x:v>0</x:v>
      </x:c>
      <x:c r="Q1524" s="2" t="str">
        <x:v>simulado_didactico</x:v>
      </x:c>
    </x:row>
    <x:row r="1525" ht="19" customHeight="1">
      <x:c r="A1525" s="2" t="str">
        <x:v>SIM-E2-MP-L0-R07</x:v>
      </x:c>
      <x:c r="B1525" s="2" t="n">
        <x:v>4</x:v>
      </x:c>
      <x:c r="C1525" s="2" t="str">
        <x:v>MP</x:v>
      </x:c>
      <x:c r="D1525" s="2" t="str">
        <x:v>Myzus persicae</x:v>
      </x:c>
      <x:c r="E1525" s="2" t="str">
        <x:v>L0</x:v>
      </x:c>
      <x:c r="F1525" s="2" t="n">
        <x:v>7</x:v>
      </x:c>
      <x:c r="G1525" s="2" t="n">
        <x:v>11</x:v>
      </x:c>
      <x:c r="H1525" s="2" t="n">
        <x:f>G1525+Supuestos!$C$15</x:f>
        <x:v>12</x:v>
      </x:c>
      <x:c r="I1525" s="14" t="n">
        <x:f>E2_plantas!J38+G1525</x:f>
        <x:v>46206</x:v>
      </x:c>
      <x:c r="J1525" s="2" t="str">
        <x:v>adulta</x:v>
      </x:c>
      <x:c r="K1525" s="2" t="n">
        <x:v>1</x:v>
      </x:c>
      <x:c r="L1525" s="2" t="n">
        <x:v>7</x:v>
      </x:c>
      <x:c r="M1525" s="2" t="n">
        <x:f>SUM(L$1514:L1525)</x:f>
        <x:v>23</x:v>
      </x:c>
      <x:c r="N1525" s="2" t="n">
        <x:v>0</x:v>
      </x:c>
      <x:c r="O1525" s="2" t="str">
        <x:v>seguimiento</x:v>
      </x:c>
      <x:c r="P1525" s="2" t="n">
        <x:v>0</x:v>
      </x:c>
      <x:c r="Q1525" s="2" t="str">
        <x:v>simulado_didactico</x:v>
      </x:c>
    </x:row>
    <x:row r="1526" ht="19" customHeight="1">
      <x:c r="A1526" s="2" t="str">
        <x:v>SIM-E2-MP-L0-R07</x:v>
      </x:c>
      <x:c r="B1526" s="2" t="n">
        <x:v>4</x:v>
      </x:c>
      <x:c r="C1526" s="2" t="str">
        <x:v>MP</x:v>
      </x:c>
      <x:c r="D1526" s="2" t="str">
        <x:v>Myzus persicae</x:v>
      </x:c>
      <x:c r="E1526" s="2" t="str">
        <x:v>L0</x:v>
      </x:c>
      <x:c r="F1526" s="2" t="n">
        <x:v>7</x:v>
      </x:c>
      <x:c r="G1526" s="2" t="n">
        <x:v>12</x:v>
      </x:c>
      <x:c r="H1526" s="2" t="n">
        <x:f>G1526+Supuestos!$C$15</x:f>
        <x:v>13</x:v>
      </x:c>
      <x:c r="I1526" s="14" t="n">
        <x:f>E2_plantas!J38+G1526</x:f>
        <x:v>46207</x:v>
      </x:c>
      <x:c r="J1526" s="2" t="str">
        <x:v>adulta</x:v>
      </x:c>
      <x:c r="K1526" s="2" t="n">
        <x:v>1</x:v>
      </x:c>
      <x:c r="L1526" s="2" t="n">
        <x:v>6</x:v>
      </x:c>
      <x:c r="M1526" s="2" t="n">
        <x:f>SUM(L$1514:L1526)</x:f>
        <x:v>29</x:v>
      </x:c>
      <x:c r="N1526" s="2" t="n">
        <x:v>0</x:v>
      </x:c>
      <x:c r="O1526" s="2" t="str">
        <x:v>seguimiento</x:v>
      </x:c>
      <x:c r="P1526" s="2" t="n">
        <x:v>0</x:v>
      </x:c>
      <x:c r="Q1526" s="2" t="str">
        <x:v>simulado_didactico</x:v>
      </x:c>
    </x:row>
    <x:row r="1527" ht="19" customHeight="1">
      <x:c r="A1527" s="2" t="str">
        <x:v>SIM-E2-MP-L0-R07</x:v>
      </x:c>
      <x:c r="B1527" s="2" t="n">
        <x:v>4</x:v>
      </x:c>
      <x:c r="C1527" s="2" t="str">
        <x:v>MP</x:v>
      </x:c>
      <x:c r="D1527" s="2" t="str">
        <x:v>Myzus persicae</x:v>
      </x:c>
      <x:c r="E1527" s="2" t="str">
        <x:v>L0</x:v>
      </x:c>
      <x:c r="F1527" s="2" t="n">
        <x:v>7</x:v>
      </x:c>
      <x:c r="G1527" s="2" t="n">
        <x:v>13</x:v>
      </x:c>
      <x:c r="H1527" s="2" t="n">
        <x:f>G1527+Supuestos!$C$15</x:f>
        <x:v>14</x:v>
      </x:c>
      <x:c r="I1527" s="14" t="n">
        <x:f>E2_plantas!J38+G1527</x:f>
        <x:v>46208</x:v>
      </x:c>
      <x:c r="J1527" s="2" t="str">
        <x:v>adulta</x:v>
      </x:c>
      <x:c r="K1527" s="2" t="n">
        <x:v>1</x:v>
      </x:c>
      <x:c r="L1527" s="2" t="n">
        <x:v>4</x:v>
      </x:c>
      <x:c r="M1527" s="2" t="n">
        <x:f>SUM(L$1514:L1527)</x:f>
        <x:v>33</x:v>
      </x:c>
      <x:c r="N1527" s="2" t="n">
        <x:v>0</x:v>
      </x:c>
      <x:c r="O1527" s="2" t="str">
        <x:v>seguimiento</x:v>
      </x:c>
      <x:c r="P1527" s="2" t="n">
        <x:v>0</x:v>
      </x:c>
      <x:c r="Q1527" s="2" t="str">
        <x:v>simulado_didactico</x:v>
      </x:c>
    </x:row>
    <x:row r="1528" ht="19" customHeight="1">
      <x:c r="A1528" s="2" t="str">
        <x:v>SIM-E2-MP-L0-R07</x:v>
      </x:c>
      <x:c r="B1528" s="2" t="n">
        <x:v>4</x:v>
      </x:c>
      <x:c r="C1528" s="2" t="str">
        <x:v>MP</x:v>
      </x:c>
      <x:c r="D1528" s="2" t="str">
        <x:v>Myzus persicae</x:v>
      </x:c>
      <x:c r="E1528" s="2" t="str">
        <x:v>L0</x:v>
      </x:c>
      <x:c r="F1528" s="2" t="n">
        <x:v>7</x:v>
      </x:c>
      <x:c r="G1528" s="2" t="n">
        <x:v>14</x:v>
      </x:c>
      <x:c r="H1528" s="2" t="n">
        <x:f>G1528+Supuestos!$C$15</x:f>
        <x:v>15</x:v>
      </x:c>
      <x:c r="I1528" s="14" t="n">
        <x:f>E2_plantas!J38+G1528</x:f>
        <x:v>46209</x:v>
      </x:c>
      <x:c r="J1528" s="2" t="str">
        <x:v>adulta</x:v>
      </x:c>
      <x:c r="K1528" s="2" t="n">
        <x:v>1</x:v>
      </x:c>
      <x:c r="L1528" s="2" t="n">
        <x:v>4</x:v>
      </x:c>
      <x:c r="M1528" s="2" t="n">
        <x:f>SUM(L$1514:L1528)</x:f>
        <x:v>37</x:v>
      </x:c>
      <x:c r="N1528" s="2" t="n">
        <x:v>0</x:v>
      </x:c>
      <x:c r="O1528" s="2" t="str">
        <x:v>seguimiento</x:v>
      </x:c>
      <x:c r="P1528" s="2" t="n">
        <x:v>0</x:v>
      </x:c>
      <x:c r="Q1528" s="2" t="str">
        <x:v>simulado_didactico</x:v>
      </x:c>
    </x:row>
    <x:row r="1529" ht="19" customHeight="1">
      <x:c r="A1529" s="2" t="str">
        <x:v>SIM-E2-MP-L0-R07</x:v>
      </x:c>
      <x:c r="B1529" s="2" t="n">
        <x:v>4</x:v>
      </x:c>
      <x:c r="C1529" s="2" t="str">
        <x:v>MP</x:v>
      </x:c>
      <x:c r="D1529" s="2" t="str">
        <x:v>Myzus persicae</x:v>
      </x:c>
      <x:c r="E1529" s="2" t="str">
        <x:v>L0</x:v>
      </x:c>
      <x:c r="F1529" s="2" t="n">
        <x:v>7</x:v>
      </x:c>
      <x:c r="G1529" s="2" t="n">
        <x:v>15</x:v>
      </x:c>
      <x:c r="H1529" s="2" t="n">
        <x:f>G1529+Supuestos!$C$15</x:f>
        <x:v>16</x:v>
      </x:c>
      <x:c r="I1529" s="14" t="n">
        <x:f>E2_plantas!J38+G1529</x:f>
        <x:v>46210</x:v>
      </x:c>
      <x:c r="J1529" s="2" t="str">
        <x:v>adulta</x:v>
      </x:c>
      <x:c r="K1529" s="2" t="n">
        <x:v>1</x:v>
      </x:c>
      <x:c r="L1529" s="2" t="n">
        <x:v>6</x:v>
      </x:c>
      <x:c r="M1529" s="2" t="n">
        <x:f>SUM(L$1514:L1529)</x:f>
        <x:v>43</x:v>
      </x:c>
      <x:c r="N1529" s="2" t="n">
        <x:v>0</x:v>
      </x:c>
      <x:c r="O1529" s="2" t="str">
        <x:v>seguimiento</x:v>
      </x:c>
      <x:c r="P1529" s="2" t="n">
        <x:v>0</x:v>
      </x:c>
      <x:c r="Q1529" s="2" t="str">
        <x:v>simulado_didactico</x:v>
      </x:c>
    </x:row>
    <x:row r="1530" ht="19" customHeight="1">
      <x:c r="A1530" s="2" t="str">
        <x:v>SIM-E2-MP-L0-R07</x:v>
      </x:c>
      <x:c r="B1530" s="2" t="n">
        <x:v>4</x:v>
      </x:c>
      <x:c r="C1530" s="2" t="str">
        <x:v>MP</x:v>
      </x:c>
      <x:c r="D1530" s="2" t="str">
        <x:v>Myzus persicae</x:v>
      </x:c>
      <x:c r="E1530" s="2" t="str">
        <x:v>L0</x:v>
      </x:c>
      <x:c r="F1530" s="2" t="n">
        <x:v>7</x:v>
      </x:c>
      <x:c r="G1530" s="2" t="n">
        <x:v>16</x:v>
      </x:c>
      <x:c r="H1530" s="2" t="n">
        <x:f>G1530+Supuestos!$C$15</x:f>
        <x:v>17</x:v>
      </x:c>
      <x:c r="I1530" s="14" t="n">
        <x:f>E2_plantas!J38+G1530</x:f>
        <x:v>46211</x:v>
      </x:c>
      <x:c r="J1530" s="2" t="str">
        <x:v>adulta</x:v>
      </x:c>
      <x:c r="K1530" s="2" t="n">
        <x:v>1</x:v>
      </x:c>
      <x:c r="L1530" s="2" t="n">
        <x:v>9</x:v>
      </x:c>
      <x:c r="M1530" s="2" t="n">
        <x:f>SUM(L$1514:L1530)</x:f>
        <x:v>52</x:v>
      </x:c>
      <x:c r="N1530" s="2" t="n">
        <x:v>0</x:v>
      </x:c>
      <x:c r="O1530" s="2" t="str">
        <x:v>seguimiento</x:v>
      </x:c>
      <x:c r="P1530" s="2" t="n">
        <x:v>0</x:v>
      </x:c>
      <x:c r="Q1530" s="2" t="str">
        <x:v>simulado_didactico</x:v>
      </x:c>
    </x:row>
    <x:row r="1531" ht="19" customHeight="1">
      <x:c r="A1531" s="2" t="str">
        <x:v>SIM-E2-MP-L0-R07</x:v>
      </x:c>
      <x:c r="B1531" s="2" t="n">
        <x:v>4</x:v>
      </x:c>
      <x:c r="C1531" s="2" t="str">
        <x:v>MP</x:v>
      </x:c>
      <x:c r="D1531" s="2" t="str">
        <x:v>Myzus persicae</x:v>
      </x:c>
      <x:c r="E1531" s="2" t="str">
        <x:v>L0</x:v>
      </x:c>
      <x:c r="F1531" s="2" t="n">
        <x:v>7</x:v>
      </x:c>
      <x:c r="G1531" s="2" t="n">
        <x:v>17</x:v>
      </x:c>
      <x:c r="H1531" s="2" t="n">
        <x:f>G1531+Supuestos!$C$15</x:f>
        <x:v>18</x:v>
      </x:c>
      <x:c r="I1531" s="14" t="n">
        <x:f>E2_plantas!J38+G1531</x:f>
        <x:v>46212</x:v>
      </x:c>
      <x:c r="J1531" s="2" t="str">
        <x:v>adulta</x:v>
      </x:c>
      <x:c r="K1531" s="2" t="n">
        <x:v>1</x:v>
      </x:c>
      <x:c r="L1531" s="2" t="n">
        <x:v>7</x:v>
      </x:c>
      <x:c r="M1531" s="2" t="n">
        <x:f>SUM(L$1514:L1531)</x:f>
        <x:v>59</x:v>
      </x:c>
      <x:c r="N1531" s="2" t="n">
        <x:v>0</x:v>
      </x:c>
      <x:c r="O1531" s="2" t="str">
        <x:v>seguimiento</x:v>
      </x:c>
      <x:c r="P1531" s="2" t="n">
        <x:v>0</x:v>
      </x:c>
      <x:c r="Q1531" s="2" t="str">
        <x:v>simulado_didactico</x:v>
      </x:c>
    </x:row>
    <x:row r="1532" ht="19" customHeight="1">
      <x:c r="A1532" s="2" t="str">
        <x:v>SIM-E2-MP-L0-R07</x:v>
      </x:c>
      <x:c r="B1532" s="2" t="n">
        <x:v>4</x:v>
      </x:c>
      <x:c r="C1532" s="2" t="str">
        <x:v>MP</x:v>
      </x:c>
      <x:c r="D1532" s="2" t="str">
        <x:v>Myzus persicae</x:v>
      </x:c>
      <x:c r="E1532" s="2" t="str">
        <x:v>L0</x:v>
      </x:c>
      <x:c r="F1532" s="2" t="n">
        <x:v>7</x:v>
      </x:c>
      <x:c r="G1532" s="2" t="n">
        <x:v>18</x:v>
      </x:c>
      <x:c r="H1532" s="2" t="n">
        <x:f>G1532+Supuestos!$C$15</x:f>
        <x:v>19</x:v>
      </x:c>
      <x:c r="I1532" s="14" t="n">
        <x:f>E2_plantas!J38+G1532</x:f>
        <x:v>46213</x:v>
      </x:c>
      <x:c r="J1532" s="2" t="str">
        <x:v>adulta</x:v>
      </x:c>
      <x:c r="K1532" s="2" t="n">
        <x:v>1</x:v>
      </x:c>
      <x:c r="L1532" s="2" t="n">
        <x:v>4</x:v>
      </x:c>
      <x:c r="M1532" s="2" t="n">
        <x:f>SUM(L$1514:L1532)</x:f>
        <x:v>63</x:v>
      </x:c>
      <x:c r="N1532" s="2" t="n">
        <x:v>0</x:v>
      </x:c>
      <x:c r="O1532" s="2" t="str">
        <x:v>seguimiento</x:v>
      </x:c>
      <x:c r="P1532" s="2" t="n">
        <x:v>0</x:v>
      </x:c>
      <x:c r="Q1532" s="2" t="str">
        <x:v>simulado_didactico</x:v>
      </x:c>
    </x:row>
    <x:row r="1533" ht="19" customHeight="1">
      <x:c r="A1533" s="2" t="str">
        <x:v>SIM-E2-MP-L0-R07</x:v>
      </x:c>
      <x:c r="B1533" s="2" t="n">
        <x:v>4</x:v>
      </x:c>
      <x:c r="C1533" s="2" t="str">
        <x:v>MP</x:v>
      </x:c>
      <x:c r="D1533" s="2" t="str">
        <x:v>Myzus persicae</x:v>
      </x:c>
      <x:c r="E1533" s="2" t="str">
        <x:v>L0</x:v>
      </x:c>
      <x:c r="F1533" s="2" t="n">
        <x:v>7</x:v>
      </x:c>
      <x:c r="G1533" s="2" t="n">
        <x:v>19</x:v>
      </x:c>
      <x:c r="H1533" s="2" t="n">
        <x:f>G1533+Supuestos!$C$15</x:f>
        <x:v>20</x:v>
      </x:c>
      <x:c r="I1533" s="14" t="n">
        <x:f>E2_plantas!J38+G1533</x:f>
        <x:v>46214</x:v>
      </x:c>
      <x:c r="J1533" s="2" t="str">
        <x:v>adulta</x:v>
      </x:c>
      <x:c r="K1533" s="2" t="n">
        <x:v>1</x:v>
      </x:c>
      <x:c r="L1533" s="2" t="n">
        <x:v>4</x:v>
      </x:c>
      <x:c r="M1533" s="2" t="n">
        <x:f>SUM(L$1514:L1533)</x:f>
        <x:v>67</x:v>
      </x:c>
      <x:c r="N1533" s="2" t="n">
        <x:v>0</x:v>
      </x:c>
      <x:c r="O1533" s="2" t="str">
        <x:v>seguimiento</x:v>
      </x:c>
      <x:c r="P1533" s="2" t="n">
        <x:v>0</x:v>
      </x:c>
      <x:c r="Q1533" s="2" t="str">
        <x:v>simulado_didactico</x:v>
      </x:c>
    </x:row>
    <x:row r="1534" ht="19" customHeight="1">
      <x:c r="A1534" s="2" t="str">
        <x:v>SIM-E2-MP-L0-R07</x:v>
      </x:c>
      <x:c r="B1534" s="2" t="n">
        <x:v>4</x:v>
      </x:c>
      <x:c r="C1534" s="2" t="str">
        <x:v>MP</x:v>
      </x:c>
      <x:c r="D1534" s="2" t="str">
        <x:v>Myzus persicae</x:v>
      </x:c>
      <x:c r="E1534" s="2" t="str">
        <x:v>L0</x:v>
      </x:c>
      <x:c r="F1534" s="2" t="n">
        <x:v>7</x:v>
      </x:c>
      <x:c r="G1534" s="2" t="n">
        <x:v>20</x:v>
      </x:c>
      <x:c r="H1534" s="2" t="n">
        <x:f>G1534+Supuestos!$C$15</x:f>
        <x:v>21</x:v>
      </x:c>
      <x:c r="I1534" s="14" t="n">
        <x:f>E2_plantas!J38+G1534</x:f>
        <x:v>46215</x:v>
      </x:c>
      <x:c r="J1534" s="2" t="str">
        <x:v>adulta</x:v>
      </x:c>
      <x:c r="K1534" s="2" t="n">
        <x:v>1</x:v>
      </x:c>
      <x:c r="L1534" s="2" t="n">
        <x:v>3</x:v>
      </x:c>
      <x:c r="M1534" s="2" t="n">
        <x:f>SUM(L$1514:L1534)</x:f>
        <x:v>70</x:v>
      </x:c>
      <x:c r="N1534" s="2" t="n">
        <x:v>0</x:v>
      </x:c>
      <x:c r="O1534" s="2" t="str">
        <x:v>seguimiento</x:v>
      </x:c>
      <x:c r="P1534" s="2" t="n">
        <x:v>0</x:v>
      </x:c>
      <x:c r="Q1534" s="2" t="str">
        <x:v>simulado_didactico</x:v>
      </x:c>
    </x:row>
    <x:row r="1535" ht="19" customHeight="1">
      <x:c r="A1535" s="2" t="str">
        <x:v>SIM-E2-MP-L0-R07</x:v>
      </x:c>
      <x:c r="B1535" s="2" t="n">
        <x:v>4</x:v>
      </x:c>
      <x:c r="C1535" s="2" t="str">
        <x:v>MP</x:v>
      </x:c>
      <x:c r="D1535" s="2" t="str">
        <x:v>Myzus persicae</x:v>
      </x:c>
      <x:c r="E1535" s="2" t="str">
        <x:v>L0</x:v>
      </x:c>
      <x:c r="F1535" s="2" t="n">
        <x:v>7</x:v>
      </x:c>
      <x:c r="G1535" s="2" t="n">
        <x:v>21</x:v>
      </x:c>
      <x:c r="H1535" s="2" t="n">
        <x:f>G1535+Supuestos!$C$15</x:f>
        <x:v>22</x:v>
      </x:c>
      <x:c r="I1535" s="14" t="n">
        <x:f>E2_plantas!J38+G1535</x:f>
        <x:v>46216</x:v>
      </x:c>
      <x:c r="J1535" s="2" t="str">
        <x:v>adulta</x:v>
      </x:c>
      <x:c r="K1535" s="2" t="n">
        <x:v>1</x:v>
      </x:c>
      <x:c r="L1535" s="2" t="n">
        <x:v>7</x:v>
      </x:c>
      <x:c r="M1535" s="2" t="n">
        <x:f>SUM(L$1514:L1535)</x:f>
        <x:v>77</x:v>
      </x:c>
      <x:c r="N1535" s="2" t="n">
        <x:v>0</x:v>
      </x:c>
      <x:c r="O1535" s="2" t="str">
        <x:v>seguimiento</x:v>
      </x:c>
      <x:c r="P1535" s="2" t="n">
        <x:v>0</x:v>
      </x:c>
      <x:c r="Q1535" s="2" t="str">
        <x:v>simulado_didactico</x:v>
      </x:c>
    </x:row>
    <x:row r="1536" ht="19" customHeight="1">
      <x:c r="A1536" s="2" t="str">
        <x:v>SIM-E2-MP-L0-R07</x:v>
      </x:c>
      <x:c r="B1536" s="2" t="n">
        <x:v>4</x:v>
      </x:c>
      <x:c r="C1536" s="2" t="str">
        <x:v>MP</x:v>
      </x:c>
      <x:c r="D1536" s="2" t="str">
        <x:v>Myzus persicae</x:v>
      </x:c>
      <x:c r="E1536" s="2" t="str">
        <x:v>L0</x:v>
      </x:c>
      <x:c r="F1536" s="2" t="n">
        <x:v>7</x:v>
      </x:c>
      <x:c r="G1536" s="2" t="n">
        <x:v>22</x:v>
      </x:c>
      <x:c r="H1536" s="2" t="n">
        <x:f>G1536+Supuestos!$C$15</x:f>
        <x:v>23</x:v>
      </x:c>
      <x:c r="I1536" s="14" t="n">
        <x:f>E2_plantas!J38+G1536</x:f>
        <x:v>46217</x:v>
      </x:c>
      <x:c r="J1536" s="2" t="str">
        <x:v>adulta</x:v>
      </x:c>
      <x:c r="K1536" s="2" t="n">
        <x:v>1</x:v>
      </x:c>
      <x:c r="L1536" s="2" t="n">
        <x:v>2</x:v>
      </x:c>
      <x:c r="M1536" s="2" t="n">
        <x:f>SUM(L$1514:L1536)</x:f>
        <x:v>79</x:v>
      </x:c>
      <x:c r="N1536" s="2" t="n">
        <x:v>0</x:v>
      </x:c>
      <x:c r="O1536" s="2" t="str">
        <x:v>seguimiento</x:v>
      </x:c>
      <x:c r="P1536" s="2" t="n">
        <x:v>0</x:v>
      </x:c>
      <x:c r="Q1536" s="2" t="str">
        <x:v>simulado_didactico</x:v>
      </x:c>
    </x:row>
    <x:row r="1537" ht="19" customHeight="1">
      <x:c r="A1537" s="2" t="str">
        <x:v>SIM-E2-MP-L0-R07</x:v>
      </x:c>
      <x:c r="B1537" s="2" t="n">
        <x:v>4</x:v>
      </x:c>
      <x:c r="C1537" s="2" t="str">
        <x:v>MP</x:v>
      </x:c>
      <x:c r="D1537" s="2" t="str">
        <x:v>Myzus persicae</x:v>
      </x:c>
      <x:c r="E1537" s="2" t="str">
        <x:v>L0</x:v>
      </x:c>
      <x:c r="F1537" s="2" t="n">
        <x:v>7</x:v>
      </x:c>
      <x:c r="G1537" s="2" t="n">
        <x:v>23</x:v>
      </x:c>
      <x:c r="H1537" s="2" t="n">
        <x:f>G1537+Supuestos!$C$15</x:f>
        <x:v>24</x:v>
      </x:c>
      <x:c r="I1537" s="14" t="n">
        <x:f>E2_plantas!J38+G1537</x:f>
        <x:v>46218</x:v>
      </x:c>
      <x:c r="J1537" s="2" t="str">
        <x:v>adulta</x:v>
      </x:c>
      <x:c r="K1537" s="2" t="n">
        <x:v>1</x:v>
      </x:c>
      <x:c r="L1537" s="2" t="n">
        <x:v>5</x:v>
      </x:c>
      <x:c r="M1537" s="2" t="n">
        <x:f>SUM(L$1514:L1537)</x:f>
        <x:v>84</x:v>
      </x:c>
      <x:c r="N1537" s="2" t="n">
        <x:v>0</x:v>
      </x:c>
      <x:c r="O1537" s="2" t="str">
        <x:v>seguimiento</x:v>
      </x:c>
      <x:c r="P1537" s="2" t="n">
        <x:v>0</x:v>
      </x:c>
      <x:c r="Q1537" s="2" t="str">
        <x:v>simulado_didactico</x:v>
      </x:c>
    </x:row>
    <x:row r="1538" ht="19" customHeight="1">
      <x:c r="A1538" s="2" t="str">
        <x:v>SIM-E2-MP-L0-R07</x:v>
      </x:c>
      <x:c r="B1538" s="2" t="n">
        <x:v>4</x:v>
      </x:c>
      <x:c r="C1538" s="2" t="str">
        <x:v>MP</x:v>
      </x:c>
      <x:c r="D1538" s="2" t="str">
        <x:v>Myzus persicae</x:v>
      </x:c>
      <x:c r="E1538" s="2" t="str">
        <x:v>L0</x:v>
      </x:c>
      <x:c r="F1538" s="2" t="n">
        <x:v>7</x:v>
      </x:c>
      <x:c r="G1538" s="2" t="n">
        <x:v>24</x:v>
      </x:c>
      <x:c r="H1538" s="2" t="n">
        <x:f>G1538+Supuestos!$C$15</x:f>
        <x:v>25</x:v>
      </x:c>
      <x:c r="I1538" s="14" t="n">
        <x:f>E2_plantas!J38+G1538</x:f>
        <x:v>46219</x:v>
      </x:c>
      <x:c r="J1538" s="2" t="str">
        <x:v>adulta</x:v>
      </x:c>
      <x:c r="K1538" s="2" t="n">
        <x:v>1</x:v>
      </x:c>
      <x:c r="L1538" s="2" t="n">
        <x:v>7</x:v>
      </x:c>
      <x:c r="M1538" s="2" t="n">
        <x:f>SUM(L$1514:L1538)</x:f>
        <x:v>91</x:v>
      </x:c>
      <x:c r="N1538" s="2" t="n">
        <x:v>0</x:v>
      </x:c>
      <x:c r="O1538" s="2" t="str">
        <x:v>seguimiento</x:v>
      </x:c>
      <x:c r="P1538" s="2" t="n">
        <x:v>0</x:v>
      </x:c>
      <x:c r="Q1538" s="2" t="str">
        <x:v>simulado_didactico</x:v>
      </x:c>
    </x:row>
    <x:row r="1539" ht="19" customHeight="1">
      <x:c r="A1539" s="2" t="str">
        <x:v>SIM-E2-MP-L0-R07</x:v>
      </x:c>
      <x:c r="B1539" s="2" t="n">
        <x:v>4</x:v>
      </x:c>
      <x:c r="C1539" s="2" t="str">
        <x:v>MP</x:v>
      </x:c>
      <x:c r="D1539" s="2" t="str">
        <x:v>Myzus persicae</x:v>
      </x:c>
      <x:c r="E1539" s="2" t="str">
        <x:v>L0</x:v>
      </x:c>
      <x:c r="F1539" s="2" t="n">
        <x:v>7</x:v>
      </x:c>
      <x:c r="G1539" s="2" t="n">
        <x:v>25</x:v>
      </x:c>
      <x:c r="H1539" s="2" t="n">
        <x:f>G1539+Supuestos!$C$15</x:f>
        <x:v>26</x:v>
      </x:c>
      <x:c r="I1539" s="14" t="n">
        <x:f>E2_plantas!J38+G1539</x:f>
        <x:v>46220</x:v>
      </x:c>
      <x:c r="J1539" s="2" t="str">
        <x:v>adulta</x:v>
      </x:c>
      <x:c r="K1539" s="2" t="n">
        <x:v>1</x:v>
      </x:c>
      <x:c r="L1539" s="2" t="n">
        <x:v>0</x:v>
      </x:c>
      <x:c r="M1539" s="2" t="n">
        <x:f>SUM(L$1514:L1539)</x:f>
        <x:v>91</x:v>
      </x:c>
      <x:c r="N1539" s="2" t="n">
        <x:v>0</x:v>
      </x:c>
      <x:c r="O1539" s="2" t="str">
        <x:v>seguimiento</x:v>
      </x:c>
      <x:c r="P1539" s="2" t="n">
        <x:v>0</x:v>
      </x:c>
      <x:c r="Q1539" s="2" t="str">
        <x:v>simulado_didactico</x:v>
      </x:c>
    </x:row>
    <x:row r="1540" ht="19" customHeight="1">
      <x:c r="A1540" s="2" t="str">
        <x:v>SIM-E2-MP-L0-R07</x:v>
      </x:c>
      <x:c r="B1540" s="2" t="n">
        <x:v>4</x:v>
      </x:c>
      <x:c r="C1540" s="2" t="str">
        <x:v>MP</x:v>
      </x:c>
      <x:c r="D1540" s="2" t="str">
        <x:v>Myzus persicae</x:v>
      </x:c>
      <x:c r="E1540" s="2" t="str">
        <x:v>L0</x:v>
      </x:c>
      <x:c r="F1540" s="2" t="n">
        <x:v>7</x:v>
      </x:c>
      <x:c r="G1540" s="2" t="n">
        <x:v>26</x:v>
      </x:c>
      <x:c r="H1540" s="2" t="n">
        <x:f>G1540+Supuestos!$C$15</x:f>
        <x:v>27</x:v>
      </x:c>
      <x:c r="I1540" s="14" t="n">
        <x:f>E2_plantas!J38+G1540</x:f>
        <x:v>46221</x:v>
      </x:c>
      <x:c r="J1540" s="2" t="str">
        <x:v>adulta</x:v>
      </x:c>
      <x:c r="K1540" s="2" t="n">
        <x:v>1</x:v>
      </x:c>
      <x:c r="L1540" s="2" t="n">
        <x:v>0</x:v>
      </x:c>
      <x:c r="M1540" s="2" t="n">
        <x:f>SUM(L$1514:L1540)</x:f>
        <x:v>91</x:v>
      </x:c>
      <x:c r="N1540" s="2" t="n">
        <x:v>0</x:v>
      </x:c>
      <x:c r="O1540" s="2" t="str">
        <x:v>seguimiento</x:v>
      </x:c>
      <x:c r="P1540" s="2" t="n">
        <x:v>0</x:v>
      </x:c>
      <x:c r="Q1540" s="2" t="str">
        <x:v>simulado_didactico</x:v>
      </x:c>
    </x:row>
    <x:row r="1541" ht="19" customHeight="1">
      <x:c r="A1541" s="2" t="str">
        <x:v>SIM-E2-MP-L0-R07</x:v>
      </x:c>
      <x:c r="B1541" s="2" t="n">
        <x:v>4</x:v>
      </x:c>
      <x:c r="C1541" s="2" t="str">
        <x:v>MP</x:v>
      </x:c>
      <x:c r="D1541" s="2" t="str">
        <x:v>Myzus persicae</x:v>
      </x:c>
      <x:c r="E1541" s="2" t="str">
        <x:v>L0</x:v>
      </x:c>
      <x:c r="F1541" s="2" t="n">
        <x:v>7</x:v>
      </x:c>
      <x:c r="G1541" s="2" t="n">
        <x:v>27</x:v>
      </x:c>
      <x:c r="H1541" s="2" t="n">
        <x:f>G1541+Supuestos!$C$15</x:f>
        <x:v>28</x:v>
      </x:c>
      <x:c r="I1541" s="14" t="n">
        <x:f>E2_plantas!J38+G1541</x:f>
        <x:v>46222</x:v>
      </x:c>
      <x:c r="J1541" s="2" t="str">
        <x:v>muerta</x:v>
      </x:c>
      <x:c r="K1541" s="2" t="n">
        <x:v>0</x:v>
      </x:c>
      <x:c r="L1541" s="2" t="n">
        <x:v>0</x:v>
      </x:c>
      <x:c r="M1541" s="2" t="n">
        <x:f>SUM(L$1514:L1541)</x:f>
        <x:v>91</x:v>
      </x:c>
      <x:c r="N1541" s="2" t="n">
        <x:v>1</x:v>
      </x:c>
      <x:c r="O1541" s="2" t="str">
        <x:v>muerte</x:v>
      </x:c>
      <x:c r="P1541" s="2" t="n">
        <x:v>0</x:v>
      </x:c>
      <x:c r="Q1541" s="2" t="str">
        <x:v>simulado_didactico</x:v>
      </x:c>
    </x:row>
    <x:row r="1542" ht="19" customHeight="1">
      <x:c r="A1542" s="2" t="str">
        <x:v>SIM-E2-MP-L0-R07</x:v>
      </x:c>
      <x:c r="B1542" s="2" t="n">
        <x:v>4</x:v>
      </x:c>
      <x:c r="C1542" s="2" t="str">
        <x:v>MP</x:v>
      </x:c>
      <x:c r="D1542" s="2" t="str">
        <x:v>Myzus persicae</x:v>
      </x:c>
      <x:c r="E1542" s="2" t="str">
        <x:v>L0</x:v>
      </x:c>
      <x:c r="F1542" s="2" t="n">
        <x:v>7</x:v>
      </x:c>
      <x:c r="G1542" s="2" t="n">
        <x:v>28</x:v>
      </x:c>
      <x:c r="H1542" s="2" t="n">
        <x:f>G1542+Supuestos!$C$15</x:f>
        <x:v>29</x:v>
      </x:c>
      <x:c r="I1542" s="14" t="n">
        <x:f>E2_plantas!J38+G1542</x:f>
        <x:v>46223</x:v>
      </x:c>
      <x:c r="J1542" s="2" t="str">
        <x:v>muerta</x:v>
      </x:c>
      <x:c r="K1542" s="2" t="n">
        <x:v>0</x:v>
      </x:c>
      <x:c r="L1542" s="2" t="n">
        <x:v>0</x:v>
      </x:c>
      <x:c r="M1542" s="2" t="n">
        <x:f>SUM(L$1514:L1542)</x:f>
        <x:v>91</x:v>
      </x:c>
      <x:c r="N1542" s="2" t="n">
        <x:v>0</x:v>
      </x:c>
      <x:c r="O1542" s="2" t="str">
        <x:v>relleno_postmuerte</x:v>
      </x:c>
      <x:c r="P1542" s="2" t="n">
        <x:v>0</x:v>
      </x:c>
      <x:c r="Q1542" s="2" t="str">
        <x:v>simulado_didactico</x:v>
      </x:c>
    </x:row>
    <x:row r="1543" ht="19" customHeight="1">
      <x:c r="A1543" s="2" t="str">
        <x:v>SIM-E2-MP-L0-R07</x:v>
      </x:c>
      <x:c r="B1543" s="2" t="n">
        <x:v>4</x:v>
      </x:c>
      <x:c r="C1543" s="2" t="str">
        <x:v>MP</x:v>
      </x:c>
      <x:c r="D1543" s="2" t="str">
        <x:v>Myzus persicae</x:v>
      </x:c>
      <x:c r="E1543" s="2" t="str">
        <x:v>L0</x:v>
      </x:c>
      <x:c r="F1543" s="2" t="n">
        <x:v>7</x:v>
      </x:c>
      <x:c r="G1543" s="2" t="n">
        <x:v>29</x:v>
      </x:c>
      <x:c r="H1543" s="2" t="n">
        <x:f>G1543+Supuestos!$C$15</x:f>
        <x:v>30</x:v>
      </x:c>
      <x:c r="I1543" s="14" t="n">
        <x:f>E2_plantas!J38+G1543</x:f>
        <x:v>46224</x:v>
      </x:c>
      <x:c r="J1543" s="2" t="str">
        <x:v>muerta</x:v>
      </x:c>
      <x:c r="K1543" s="2" t="n">
        <x:v>0</x:v>
      </x:c>
      <x:c r="L1543" s="2" t="n">
        <x:v>0</x:v>
      </x:c>
      <x:c r="M1543" s="2" t="n">
        <x:f>SUM(L$1514:L1543)</x:f>
        <x:v>91</x:v>
      </x:c>
      <x:c r="N1543" s="2" t="n">
        <x:v>0</x:v>
      </x:c>
      <x:c r="O1543" s="2" t="str">
        <x:v>relleno_postmuerte</x:v>
      </x:c>
      <x:c r="P1543" s="2" t="n">
        <x:v>0</x:v>
      </x:c>
      <x:c r="Q1543" s="2" t="str">
        <x:v>simulado_didactico</x:v>
      </x:c>
    </x:row>
    <x:row r="1544" ht="19" customHeight="1">
      <x:c r="A1544" s="2" t="str">
        <x:v>SIM-E2-MP-L0-R07</x:v>
      </x:c>
      <x:c r="B1544" s="2" t="n">
        <x:v>4</x:v>
      </x:c>
      <x:c r="C1544" s="2" t="str">
        <x:v>MP</x:v>
      </x:c>
      <x:c r="D1544" s="2" t="str">
        <x:v>Myzus persicae</x:v>
      </x:c>
      <x:c r="E1544" s="2" t="str">
        <x:v>L0</x:v>
      </x:c>
      <x:c r="F1544" s="2" t="n">
        <x:v>7</x:v>
      </x:c>
      <x:c r="G1544" s="2" t="n">
        <x:v>30</x:v>
      </x:c>
      <x:c r="H1544" s="2" t="n">
        <x:f>G1544+Supuestos!$C$15</x:f>
        <x:v>31</x:v>
      </x:c>
      <x:c r="I1544" s="14" t="n">
        <x:f>E2_plantas!J38+G1544</x:f>
        <x:v>46225</x:v>
      </x:c>
      <x:c r="J1544" s="2" t="str">
        <x:v>muerta</x:v>
      </x:c>
      <x:c r="K1544" s="2" t="n">
        <x:v>0</x:v>
      </x:c>
      <x:c r="L1544" s="2" t="n">
        <x:v>0</x:v>
      </x:c>
      <x:c r="M1544" s="2" t="n">
        <x:f>SUM(L$1514:L1544)</x:f>
        <x:v>91</x:v>
      </x:c>
      <x:c r="N1544" s="2" t="n">
        <x:v>0</x:v>
      </x:c>
      <x:c r="O1544" s="2" t="str">
        <x:v>relleno_postmuerte</x:v>
      </x:c>
      <x:c r="P1544" s="2" t="n">
        <x:v>0</x:v>
      </x:c>
      <x:c r="Q1544" s="2" t="str">
        <x:v>simulado_didactico</x:v>
      </x:c>
    </x:row>
    <x:row r="1545" ht="19" customHeight="1">
      <x:c r="A1545" s="2" t="str">
        <x:v>SIM-E2-MP-L0-R07</x:v>
      </x:c>
      <x:c r="B1545" s="2" t="n">
        <x:v>4</x:v>
      </x:c>
      <x:c r="C1545" s="2" t="str">
        <x:v>MP</x:v>
      </x:c>
      <x:c r="D1545" s="2" t="str">
        <x:v>Myzus persicae</x:v>
      </x:c>
      <x:c r="E1545" s="2" t="str">
        <x:v>L0</x:v>
      </x:c>
      <x:c r="F1545" s="2" t="n">
        <x:v>7</x:v>
      </x:c>
      <x:c r="G1545" s="2" t="n">
        <x:v>31</x:v>
      </x:c>
      <x:c r="H1545" s="2" t="n">
        <x:f>G1545+Supuestos!$C$15</x:f>
        <x:v>32</x:v>
      </x:c>
      <x:c r="I1545" s="14" t="n">
        <x:f>E2_plantas!J38+G1545</x:f>
        <x:v>46226</x:v>
      </x:c>
      <x:c r="J1545" s="2" t="str">
        <x:v>muerta</x:v>
      </x:c>
      <x:c r="K1545" s="2" t="n">
        <x:v>0</x:v>
      </x:c>
      <x:c r="L1545" s="2" t="n">
        <x:v>0</x:v>
      </x:c>
      <x:c r="M1545" s="2" t="n">
        <x:f>SUM(L$1514:L1545)</x:f>
        <x:v>91</x:v>
      </x:c>
      <x:c r="N1545" s="2" t="n">
        <x:v>0</x:v>
      </x:c>
      <x:c r="O1545" s="2" t="str">
        <x:v>relleno_postmuerte</x:v>
      </x:c>
      <x:c r="P1545" s="2" t="n">
        <x:v>0</x:v>
      </x:c>
      <x:c r="Q1545" s="2" t="str">
        <x:v>simulado_didactico</x:v>
      </x:c>
    </x:row>
    <x:row r="1546" ht="19" customHeight="1">
      <x:c r="A1546" s="2" t="str">
        <x:v>SIM-E2-MP-L0-R07</x:v>
      </x:c>
      <x:c r="B1546" s="2" t="n">
        <x:v>4</x:v>
      </x:c>
      <x:c r="C1546" s="2" t="str">
        <x:v>MP</x:v>
      </x:c>
      <x:c r="D1546" s="2" t="str">
        <x:v>Myzus persicae</x:v>
      </x:c>
      <x:c r="E1546" s="2" t="str">
        <x:v>L0</x:v>
      </x:c>
      <x:c r="F1546" s="2" t="n">
        <x:v>7</x:v>
      </x:c>
      <x:c r="G1546" s="2" t="n">
        <x:v>32</x:v>
      </x:c>
      <x:c r="H1546" s="2" t="n">
        <x:f>G1546+Supuestos!$C$15</x:f>
        <x:v>33</x:v>
      </x:c>
      <x:c r="I1546" s="14" t="n">
        <x:f>E2_plantas!J38+G1546</x:f>
        <x:v>46227</x:v>
      </x:c>
      <x:c r="J1546" s="2" t="str">
        <x:v>muerta</x:v>
      </x:c>
      <x:c r="K1546" s="2" t="n">
        <x:v>0</x:v>
      </x:c>
      <x:c r="L1546" s="2" t="n">
        <x:v>0</x:v>
      </x:c>
      <x:c r="M1546" s="2" t="n">
        <x:f>SUM(L$1514:L1546)</x:f>
        <x:v>91</x:v>
      </x:c>
      <x:c r="N1546" s="2" t="n">
        <x:v>0</x:v>
      </x:c>
      <x:c r="O1546" s="2" t="str">
        <x:v>relleno_postmuerte</x:v>
      </x:c>
      <x:c r="P1546" s="2" t="n">
        <x:v>0</x:v>
      </x:c>
      <x:c r="Q1546" s="2" t="str">
        <x:v>simulado_didactico</x:v>
      </x:c>
    </x:row>
    <x:row r="1547" ht="19" customHeight="1">
      <x:c r="A1547" s="2" t="str">
        <x:v>SIM-E2-MP-L0-R07</x:v>
      </x:c>
      <x:c r="B1547" s="2" t="n">
        <x:v>4</x:v>
      </x:c>
      <x:c r="C1547" s="2" t="str">
        <x:v>MP</x:v>
      </x:c>
      <x:c r="D1547" s="2" t="str">
        <x:v>Myzus persicae</x:v>
      </x:c>
      <x:c r="E1547" s="2" t="str">
        <x:v>L0</x:v>
      </x:c>
      <x:c r="F1547" s="2" t="n">
        <x:v>7</x:v>
      </x:c>
      <x:c r="G1547" s="2" t="n">
        <x:v>33</x:v>
      </x:c>
      <x:c r="H1547" s="2" t="n">
        <x:f>G1547+Supuestos!$C$15</x:f>
        <x:v>34</x:v>
      </x:c>
      <x:c r="I1547" s="14" t="n">
        <x:f>E2_plantas!J38+G1547</x:f>
        <x:v>46228</x:v>
      </x:c>
      <x:c r="J1547" s="2" t="str">
        <x:v>muerta</x:v>
      </x:c>
      <x:c r="K1547" s="2" t="n">
        <x:v>0</x:v>
      </x:c>
      <x:c r="L1547" s="2" t="n">
        <x:v>0</x:v>
      </x:c>
      <x:c r="M1547" s="2" t="n">
        <x:f>SUM(L$1514:L1547)</x:f>
        <x:v>91</x:v>
      </x:c>
      <x:c r="N1547" s="2" t="n">
        <x:v>0</x:v>
      </x:c>
      <x:c r="O1547" s="2" t="str">
        <x:v>relleno_postmuerte</x:v>
      </x:c>
      <x:c r="P1547" s="2" t="n">
        <x:v>0</x:v>
      </x:c>
      <x:c r="Q1547" s="2" t="str">
        <x:v>simulado_didactico</x:v>
      </x:c>
    </x:row>
    <x:row r="1548" ht="19" customHeight="1">
      <x:c r="A1548" s="2" t="str">
        <x:v>SIM-E2-MP-L0-R07</x:v>
      </x:c>
      <x:c r="B1548" s="2" t="n">
        <x:v>4</x:v>
      </x:c>
      <x:c r="C1548" s="2" t="str">
        <x:v>MP</x:v>
      </x:c>
      <x:c r="D1548" s="2" t="str">
        <x:v>Myzus persicae</x:v>
      </x:c>
      <x:c r="E1548" s="2" t="str">
        <x:v>L0</x:v>
      </x:c>
      <x:c r="F1548" s="2" t="n">
        <x:v>7</x:v>
      </x:c>
      <x:c r="G1548" s="2" t="n">
        <x:v>34</x:v>
      </x:c>
      <x:c r="H1548" s="2" t="n">
        <x:f>G1548+Supuestos!$C$15</x:f>
        <x:v>35</x:v>
      </x:c>
      <x:c r="I1548" s="14" t="n">
        <x:f>E2_plantas!J38+G1548</x:f>
        <x:v>46229</x:v>
      </x:c>
      <x:c r="J1548" s="2" t="str">
        <x:v>muerta</x:v>
      </x:c>
      <x:c r="K1548" s="2" t="n">
        <x:v>0</x:v>
      </x:c>
      <x:c r="L1548" s="2" t="n">
        <x:v>0</x:v>
      </x:c>
      <x:c r="M1548" s="2" t="n">
        <x:f>SUM(L$1514:L1548)</x:f>
        <x:v>91</x:v>
      </x:c>
      <x:c r="N1548" s="2" t="n">
        <x:v>0</x:v>
      </x:c>
      <x:c r="O1548" s="2" t="str">
        <x:v>relleno_postmuerte</x:v>
      </x:c>
      <x:c r="P1548" s="2" t="n">
        <x:v>0</x:v>
      </x:c>
      <x:c r="Q1548" s="2" t="str">
        <x:v>simulado_didactico</x:v>
      </x:c>
    </x:row>
    <x:row r="1549" ht="19" customHeight="1">
      <x:c r="A1549" s="2" t="str">
        <x:v>SIM-E2-MP-L0-R07</x:v>
      </x:c>
      <x:c r="B1549" s="2" t="n">
        <x:v>4</x:v>
      </x:c>
      <x:c r="C1549" s="2" t="str">
        <x:v>MP</x:v>
      </x:c>
      <x:c r="D1549" s="2" t="str">
        <x:v>Myzus persicae</x:v>
      </x:c>
      <x:c r="E1549" s="2" t="str">
        <x:v>L0</x:v>
      </x:c>
      <x:c r="F1549" s="2" t="n">
        <x:v>7</x:v>
      </x:c>
      <x:c r="G1549" s="2" t="n">
        <x:v>35</x:v>
      </x:c>
      <x:c r="H1549" s="2" t="n">
        <x:f>G1549+Supuestos!$C$15</x:f>
        <x:v>36</x:v>
      </x:c>
      <x:c r="I1549" s="14" t="n">
        <x:f>E2_plantas!J38+G1549</x:f>
        <x:v>46230</x:v>
      </x:c>
      <x:c r="J1549" s="2" t="str">
        <x:v>muerta</x:v>
      </x:c>
      <x:c r="K1549" s="2" t="n">
        <x:v>0</x:v>
      </x:c>
      <x:c r="L1549" s="2" t="n">
        <x:v>0</x:v>
      </x:c>
      <x:c r="M1549" s="2" t="n">
        <x:f>SUM(L$1514:L1549)</x:f>
        <x:v>91</x:v>
      </x:c>
      <x:c r="N1549" s="2" t="n">
        <x:v>0</x:v>
      </x:c>
      <x:c r="O1549" s="2" t="str">
        <x:v>relleno_postmuerte</x:v>
      </x:c>
      <x:c r="P1549" s="2" t="n">
        <x:v>0</x:v>
      </x:c>
      <x:c r="Q1549" s="2" t="str">
        <x:v>simulado_didactico</x:v>
      </x:c>
    </x:row>
    <x:row r="1550" ht="19" customHeight="1">
      <x:c r="A1550" s="2" t="str">
        <x:v>SIM-E2-MP-L0-R07</x:v>
      </x:c>
      <x:c r="B1550" s="2" t="n">
        <x:v>4</x:v>
      </x:c>
      <x:c r="C1550" s="2" t="str">
        <x:v>MP</x:v>
      </x:c>
      <x:c r="D1550" s="2" t="str">
        <x:v>Myzus persicae</x:v>
      </x:c>
      <x:c r="E1550" s="2" t="str">
        <x:v>L0</x:v>
      </x:c>
      <x:c r="F1550" s="2" t="n">
        <x:v>7</x:v>
      </x:c>
      <x:c r="G1550" s="2" t="n">
        <x:v>36</x:v>
      </x:c>
      <x:c r="H1550" s="2" t="n">
        <x:f>G1550+Supuestos!$C$15</x:f>
        <x:v>37</x:v>
      </x:c>
      <x:c r="I1550" s="14" t="n">
        <x:f>E2_plantas!J38+G1550</x:f>
        <x:v>46231</x:v>
      </x:c>
      <x:c r="J1550" s="2" t="str">
        <x:v>muerta</x:v>
      </x:c>
      <x:c r="K1550" s="2" t="n">
        <x:v>0</x:v>
      </x:c>
      <x:c r="L1550" s="2" t="n">
        <x:v>0</x:v>
      </x:c>
      <x:c r="M1550" s="2" t="n">
        <x:f>SUM(L$1514:L1550)</x:f>
        <x:v>91</x:v>
      </x:c>
      <x:c r="N1550" s="2" t="n">
        <x:v>0</x:v>
      </x:c>
      <x:c r="O1550" s="2" t="str">
        <x:v>relleno_postmuerte</x:v>
      </x:c>
      <x:c r="P1550" s="2" t="n">
        <x:v>0</x:v>
      </x:c>
      <x:c r="Q1550" s="2" t="str">
        <x:v>simulado_didactico</x:v>
      </x:c>
    </x:row>
    <x:row r="1551" ht="19" customHeight="1">
      <x:c r="A1551" s="2" t="str">
        <x:v>SIM-E2-MP-L0-R07</x:v>
      </x:c>
      <x:c r="B1551" s="2" t="n">
        <x:v>4</x:v>
      </x:c>
      <x:c r="C1551" s="2" t="str">
        <x:v>MP</x:v>
      </x:c>
      <x:c r="D1551" s="2" t="str">
        <x:v>Myzus persicae</x:v>
      </x:c>
      <x:c r="E1551" s="2" t="str">
        <x:v>L0</x:v>
      </x:c>
      <x:c r="F1551" s="2" t="n">
        <x:v>7</x:v>
      </x:c>
      <x:c r="G1551" s="2" t="n">
        <x:v>37</x:v>
      </x:c>
      <x:c r="H1551" s="2" t="n">
        <x:f>G1551+Supuestos!$C$15</x:f>
        <x:v>38</x:v>
      </x:c>
      <x:c r="I1551" s="14" t="n">
        <x:f>E2_plantas!J38+G1551</x:f>
        <x:v>46232</x:v>
      </x:c>
      <x:c r="J1551" s="2" t="str">
        <x:v>muerta</x:v>
      </x:c>
      <x:c r="K1551" s="2" t="n">
        <x:v>0</x:v>
      </x:c>
      <x:c r="L1551" s="2" t="n">
        <x:v>0</x:v>
      </x:c>
      <x:c r="M1551" s="2" t="n">
        <x:f>SUM(L$1514:L1551)</x:f>
        <x:v>91</x:v>
      </x:c>
      <x:c r="N1551" s="2" t="n">
        <x:v>0</x:v>
      </x:c>
      <x:c r="O1551" s="2" t="str">
        <x:v>relleno_postmuerte</x:v>
      </x:c>
      <x:c r="P1551" s="2" t="n">
        <x:v>0</x:v>
      </x:c>
      <x:c r="Q1551" s="2" t="str">
        <x:v>simulado_didactico</x:v>
      </x:c>
    </x:row>
    <x:row r="1552" ht="19" customHeight="1">
      <x:c r="A1552" s="2" t="str">
        <x:v>SIM-E2-MP-L0-R07</x:v>
      </x:c>
      <x:c r="B1552" s="2" t="n">
        <x:v>4</x:v>
      </x:c>
      <x:c r="C1552" s="2" t="str">
        <x:v>MP</x:v>
      </x:c>
      <x:c r="D1552" s="2" t="str">
        <x:v>Myzus persicae</x:v>
      </x:c>
      <x:c r="E1552" s="2" t="str">
        <x:v>L0</x:v>
      </x:c>
      <x:c r="F1552" s="2" t="n">
        <x:v>7</x:v>
      </x:c>
      <x:c r="G1552" s="2" t="n">
        <x:v>38</x:v>
      </x:c>
      <x:c r="H1552" s="2" t="n">
        <x:f>G1552+Supuestos!$C$15</x:f>
        <x:v>39</x:v>
      </x:c>
      <x:c r="I1552" s="14" t="n">
        <x:f>E2_plantas!J38+G1552</x:f>
        <x:v>46233</x:v>
      </x:c>
      <x:c r="J1552" s="2" t="str">
        <x:v>muerta</x:v>
      </x:c>
      <x:c r="K1552" s="2" t="n">
        <x:v>0</x:v>
      </x:c>
      <x:c r="L1552" s="2" t="n">
        <x:v>0</x:v>
      </x:c>
      <x:c r="M1552" s="2" t="n">
        <x:f>SUM(L$1514:L1552)</x:f>
        <x:v>91</x:v>
      </x:c>
      <x:c r="N1552" s="2" t="n">
        <x:v>0</x:v>
      </x:c>
      <x:c r="O1552" s="2" t="str">
        <x:v>relleno_postmuerte</x:v>
      </x:c>
      <x:c r="P1552" s="2" t="n">
        <x:v>0</x:v>
      </x:c>
      <x:c r="Q1552" s="2" t="str">
        <x:v>simulado_didactico</x:v>
      </x:c>
    </x:row>
    <x:row r="1553" ht="19" customHeight="1">
      <x:c r="A1553" s="2" t="str">
        <x:v>SIM-E2-MP-L0-R07</x:v>
      </x:c>
      <x:c r="B1553" s="2" t="n">
        <x:v>4</x:v>
      </x:c>
      <x:c r="C1553" s="2" t="str">
        <x:v>MP</x:v>
      </x:c>
      <x:c r="D1553" s="2" t="str">
        <x:v>Myzus persicae</x:v>
      </x:c>
      <x:c r="E1553" s="2" t="str">
        <x:v>L0</x:v>
      </x:c>
      <x:c r="F1553" s="2" t="n">
        <x:v>7</x:v>
      </x:c>
      <x:c r="G1553" s="2" t="n">
        <x:v>39</x:v>
      </x:c>
      <x:c r="H1553" s="2" t="n">
        <x:f>G1553+Supuestos!$C$15</x:f>
        <x:v>40</x:v>
      </x:c>
      <x:c r="I1553" s="14" t="n">
        <x:f>E2_plantas!J38+G1553</x:f>
        <x:v>46234</x:v>
      </x:c>
      <x:c r="J1553" s="2" t="str">
        <x:v>muerta</x:v>
      </x:c>
      <x:c r="K1553" s="2" t="n">
        <x:v>0</x:v>
      </x:c>
      <x:c r="L1553" s="2" t="n">
        <x:v>0</x:v>
      </x:c>
      <x:c r="M1553" s="2" t="n">
        <x:f>SUM(L$1514:L1553)</x:f>
        <x:v>91</x:v>
      </x:c>
      <x:c r="N1553" s="2" t="n">
        <x:v>0</x:v>
      </x:c>
      <x:c r="O1553" s="2" t="str">
        <x:v>relleno_postmuerte</x:v>
      </x:c>
      <x:c r="P1553" s="2" t="n">
        <x:v>0</x:v>
      </x:c>
      <x:c r="Q1553" s="2" t="str">
        <x:v>simulado_didactico</x:v>
      </x:c>
    </x:row>
    <x:row r="1554" ht="19" customHeight="1">
      <x:c r="A1554" s="2" t="str">
        <x:v>SIM-E2-MP-L0-R07</x:v>
      </x:c>
      <x:c r="B1554" s="2" t="n">
        <x:v>4</x:v>
      </x:c>
      <x:c r="C1554" s="2" t="str">
        <x:v>MP</x:v>
      </x:c>
      <x:c r="D1554" s="2" t="str">
        <x:v>Myzus persicae</x:v>
      </x:c>
      <x:c r="E1554" s="2" t="str">
        <x:v>L0</x:v>
      </x:c>
      <x:c r="F1554" s="2" t="n">
        <x:v>7</x:v>
      </x:c>
      <x:c r="G1554" s="2" t="n">
        <x:v>40</x:v>
      </x:c>
      <x:c r="H1554" s="2" t="n">
        <x:f>G1554+Supuestos!$C$15</x:f>
        <x:v>41</x:v>
      </x:c>
      <x:c r="I1554" s="14" t="n">
        <x:f>E2_plantas!J38+G1554</x:f>
        <x:v>46235</x:v>
      </x:c>
      <x:c r="J1554" s="2" t="str">
        <x:v>muerta</x:v>
      </x:c>
      <x:c r="K1554" s="2" t="n">
        <x:v>0</x:v>
      </x:c>
      <x:c r="L1554" s="2" t="n">
        <x:v>0</x:v>
      </x:c>
      <x:c r="M1554" s="2" t="n">
        <x:f>SUM(L$1514:L1554)</x:f>
        <x:v>91</x:v>
      </x:c>
      <x:c r="N1554" s="2" t="n">
        <x:v>0</x:v>
      </x:c>
      <x:c r="O1554" s="2" t="str">
        <x:v>relleno_postmuerte</x:v>
      </x:c>
      <x:c r="P1554" s="2" t="n">
        <x:v>0</x:v>
      </x:c>
      <x:c r="Q1554" s="2" t="str">
        <x:v>simulado_didactico</x:v>
      </x:c>
    </x:row>
    <x:row r="1555" ht="19" customHeight="1">
      <x:c r="A1555" s="2" t="str">
        <x:v>SIM-E2-MP-L0-R07</x:v>
      </x:c>
      <x:c r="B1555" s="2" t="n">
        <x:v>4</x:v>
      </x:c>
      <x:c r="C1555" s="2" t="str">
        <x:v>MP</x:v>
      </x:c>
      <x:c r="D1555" s="2" t="str">
        <x:v>Myzus persicae</x:v>
      </x:c>
      <x:c r="E1555" s="2" t="str">
        <x:v>L0</x:v>
      </x:c>
      <x:c r="F1555" s="2" t="n">
        <x:v>7</x:v>
      </x:c>
      <x:c r="G1555" s="2" t="n">
        <x:v>41</x:v>
      </x:c>
      <x:c r="H1555" s="2" t="n">
        <x:f>G1555+Supuestos!$C$15</x:f>
        <x:v>42</x:v>
      </x:c>
      <x:c r="I1555" s="14" t="n">
        <x:f>E2_plantas!J38+G1555</x:f>
        <x:v>46236</x:v>
      </x:c>
      <x:c r="J1555" s="2" t="str">
        <x:v>muerta</x:v>
      </x:c>
      <x:c r="K1555" s="2" t="n">
        <x:v>0</x:v>
      </x:c>
      <x:c r="L1555" s="2" t="n">
        <x:v>0</x:v>
      </x:c>
      <x:c r="M1555" s="2" t="n">
        <x:f>SUM(L$1514:L1555)</x:f>
        <x:v>91</x:v>
      </x:c>
      <x:c r="N1555" s="2" t="n">
        <x:v>0</x:v>
      </x:c>
      <x:c r="O1555" s="2" t="str">
        <x:v>relleno_postmuerte</x:v>
      </x:c>
      <x:c r="P1555" s="2" t="n">
        <x:v>0</x:v>
      </x:c>
      <x:c r="Q1555" s="2" t="str">
        <x:v>simulado_didactico</x:v>
      </x:c>
    </x:row>
    <x:row r="1556" ht="19" customHeight="1">
      <x:c r="A1556" s="2" t="str">
        <x:v>SIM-E2-MP-L0-R08</x:v>
      </x:c>
      <x:c r="B1556" s="2" t="n">
        <x:v>4</x:v>
      </x:c>
      <x:c r="C1556" s="2" t="str">
        <x:v>MP</x:v>
      </x:c>
      <x:c r="D1556" s="2" t="str">
        <x:v>Myzus persicae</x:v>
      </x:c>
      <x:c r="E1556" s="2" t="str">
        <x:v>L0</x:v>
      </x:c>
      <x:c r="F1556" s="2" t="n">
        <x:v>8</x:v>
      </x:c>
      <x:c r="G1556" s="2" t="n">
        <x:v>0</x:v>
      </x:c>
      <x:c r="H1556" s="2" t="n">
        <x:f>G1556+Supuestos!$C$15</x:f>
        <x:v>1</x:v>
      </x:c>
      <x:c r="I1556" s="14" t="n">
        <x:f>E2_plantas!J39+G1556</x:f>
        <x:v>46195</x:v>
      </x:c>
      <x:c r="J1556" s="2" t="str">
        <x:v>N1</x:v>
      </x:c>
      <x:c r="K1556" s="2" t="n">
        <x:v>1</x:v>
      </x:c>
      <x:c r="L1556" s="2" t="n">
        <x:v>0</x:v>
      </x:c>
      <x:c r="M1556" s="2" t="n">
        <x:f>SUM(L$1556:L1556)</x:f>
        <x:v>0</x:v>
      </x:c>
      <x:c r="N1556" s="2" t="n">
        <x:v>0</x:v>
      </x:c>
      <x:c r="O1556" s="2" t="str">
        <x:v>seguimiento</x:v>
      </x:c>
      <x:c r="P1556" s="2" t="n">
        <x:v>0</x:v>
      </x:c>
      <x:c r="Q1556" s="2" t="str">
        <x:v>simulado_didactico</x:v>
      </x:c>
    </x:row>
    <x:row r="1557" ht="19" customHeight="1">
      <x:c r="A1557" s="2" t="str">
        <x:v>SIM-E2-MP-L0-R08</x:v>
      </x:c>
      <x:c r="B1557" s="2" t="n">
        <x:v>4</x:v>
      </x:c>
      <x:c r="C1557" s="2" t="str">
        <x:v>MP</x:v>
      </x:c>
      <x:c r="D1557" s="2" t="str">
        <x:v>Myzus persicae</x:v>
      </x:c>
      <x:c r="E1557" s="2" t="str">
        <x:v>L0</x:v>
      </x:c>
      <x:c r="F1557" s="2" t="n">
        <x:v>8</x:v>
      </x:c>
      <x:c r="G1557" s="2" t="n">
        <x:v>1</x:v>
      </x:c>
      <x:c r="H1557" s="2" t="n">
        <x:f>G1557+Supuestos!$C$15</x:f>
        <x:v>2</x:v>
      </x:c>
      <x:c r="I1557" s="14" t="n">
        <x:f>E2_plantas!J39+G1557</x:f>
        <x:v>46196</x:v>
      </x:c>
      <x:c r="J1557" s="2" t="str">
        <x:v>N1</x:v>
      </x:c>
      <x:c r="K1557" s="2" t="n">
        <x:v>1</x:v>
      </x:c>
      <x:c r="L1557" s="2" t="n">
        <x:v>0</x:v>
      </x:c>
      <x:c r="M1557" s="2" t="n">
        <x:f>SUM(L$1556:L1557)</x:f>
        <x:v>0</x:v>
      </x:c>
      <x:c r="N1557" s="2" t="n">
        <x:v>0</x:v>
      </x:c>
      <x:c r="O1557" s="2" t="str">
        <x:v>seguimiento</x:v>
      </x:c>
      <x:c r="P1557" s="2" t="n">
        <x:v>0</x:v>
      </x:c>
      <x:c r="Q1557" s="2" t="str">
        <x:v>simulado_didactico</x:v>
      </x:c>
    </x:row>
    <x:row r="1558" ht="19" customHeight="1">
      <x:c r="A1558" s="2" t="str">
        <x:v>SIM-E2-MP-L0-R08</x:v>
      </x:c>
      <x:c r="B1558" s="2" t="n">
        <x:v>4</x:v>
      </x:c>
      <x:c r="C1558" s="2" t="str">
        <x:v>MP</x:v>
      </x:c>
      <x:c r="D1558" s="2" t="str">
        <x:v>Myzus persicae</x:v>
      </x:c>
      <x:c r="E1558" s="2" t="str">
        <x:v>L0</x:v>
      </x:c>
      <x:c r="F1558" s="2" t="n">
        <x:v>8</x:v>
      </x:c>
      <x:c r="G1558" s="2" t="n">
        <x:v>2</x:v>
      </x:c>
      <x:c r="H1558" s="2" t="n">
        <x:f>G1558+Supuestos!$C$15</x:f>
        <x:v>3</x:v>
      </x:c>
      <x:c r="I1558" s="14" t="n">
        <x:f>E2_plantas!J39+G1558</x:f>
        <x:v>46197</x:v>
      </x:c>
      <x:c r="J1558" s="2" t="str">
        <x:v>N1</x:v>
      </x:c>
      <x:c r="K1558" s="2" t="n">
        <x:v>1</x:v>
      </x:c>
      <x:c r="L1558" s="2" t="n">
        <x:v>0</x:v>
      </x:c>
      <x:c r="M1558" s="2" t="n">
        <x:f>SUM(L$1556:L1558)</x:f>
        <x:v>0</x:v>
      </x:c>
      <x:c r="N1558" s="2" t="n">
        <x:v>0</x:v>
      </x:c>
      <x:c r="O1558" s="2" t="str">
        <x:v>seguimiento</x:v>
      </x:c>
      <x:c r="P1558" s="2" t="n">
        <x:v>0</x:v>
      </x:c>
      <x:c r="Q1558" s="2" t="str">
        <x:v>simulado_didactico</x:v>
      </x:c>
    </x:row>
    <x:row r="1559" ht="19" customHeight="1">
      <x:c r="A1559" s="2" t="str">
        <x:v>SIM-E2-MP-L0-R08</x:v>
      </x:c>
      <x:c r="B1559" s="2" t="n">
        <x:v>4</x:v>
      </x:c>
      <x:c r="C1559" s="2" t="str">
        <x:v>MP</x:v>
      </x:c>
      <x:c r="D1559" s="2" t="str">
        <x:v>Myzus persicae</x:v>
      </x:c>
      <x:c r="E1559" s="2" t="str">
        <x:v>L0</x:v>
      </x:c>
      <x:c r="F1559" s="2" t="n">
        <x:v>8</x:v>
      </x:c>
      <x:c r="G1559" s="2" t="n">
        <x:v>3</x:v>
      </x:c>
      <x:c r="H1559" s="2" t="n">
        <x:f>G1559+Supuestos!$C$15</x:f>
        <x:v>4</x:v>
      </x:c>
      <x:c r="I1559" s="14" t="n">
        <x:f>E2_plantas!J39+G1559</x:f>
        <x:v>46198</x:v>
      </x:c>
      <x:c r="J1559" s="2" t="str">
        <x:v>N2</x:v>
      </x:c>
      <x:c r="K1559" s="2" t="n">
        <x:v>1</x:v>
      </x:c>
      <x:c r="L1559" s="2" t="n">
        <x:v>0</x:v>
      </x:c>
      <x:c r="M1559" s="2" t="n">
        <x:f>SUM(L$1556:L1559)</x:f>
        <x:v>0</x:v>
      </x:c>
      <x:c r="N1559" s="2" t="n">
        <x:v>0</x:v>
      </x:c>
      <x:c r="O1559" s="2" t="str">
        <x:v>seguimiento</x:v>
      </x:c>
      <x:c r="P1559" s="2" t="n">
        <x:v>0</x:v>
      </x:c>
      <x:c r="Q1559" s="2" t="str">
        <x:v>simulado_didactico</x:v>
      </x:c>
    </x:row>
    <x:row r="1560" ht="19" customHeight="1">
      <x:c r="A1560" s="2" t="str">
        <x:v>SIM-E2-MP-L0-R08</x:v>
      </x:c>
      <x:c r="B1560" s="2" t="n">
        <x:v>4</x:v>
      </x:c>
      <x:c r="C1560" s="2" t="str">
        <x:v>MP</x:v>
      </x:c>
      <x:c r="D1560" s="2" t="str">
        <x:v>Myzus persicae</x:v>
      </x:c>
      <x:c r="E1560" s="2" t="str">
        <x:v>L0</x:v>
      </x:c>
      <x:c r="F1560" s="2" t="n">
        <x:v>8</x:v>
      </x:c>
      <x:c r="G1560" s="2" t="n">
        <x:v>4</x:v>
      </x:c>
      <x:c r="H1560" s="2" t="n">
        <x:f>G1560+Supuestos!$C$15</x:f>
        <x:v>5</x:v>
      </x:c>
      <x:c r="I1560" s="14" t="n">
        <x:f>E2_plantas!J39+G1560</x:f>
        <x:v>46199</x:v>
      </x:c>
      <x:c r="J1560" s="2" t="str">
        <x:v>N2</x:v>
      </x:c>
      <x:c r="K1560" s="2" t="n">
        <x:v>1</x:v>
      </x:c>
      <x:c r="L1560" s="2" t="n">
        <x:v>0</x:v>
      </x:c>
      <x:c r="M1560" s="2" t="n">
        <x:f>SUM(L$1556:L1560)</x:f>
        <x:v>0</x:v>
      </x:c>
      <x:c r="N1560" s="2" t="n">
        <x:v>0</x:v>
      </x:c>
      <x:c r="O1560" s="2" t="str">
        <x:v>seguimiento</x:v>
      </x:c>
      <x:c r="P1560" s="2" t="n">
        <x:v>0</x:v>
      </x:c>
      <x:c r="Q1560" s="2" t="str">
        <x:v>simulado_didactico</x:v>
      </x:c>
    </x:row>
    <x:row r="1561" ht="19" customHeight="1">
      <x:c r="A1561" s="2" t="str">
        <x:v>SIM-E2-MP-L0-R08</x:v>
      </x:c>
      <x:c r="B1561" s="2" t="n">
        <x:v>4</x:v>
      </x:c>
      <x:c r="C1561" s="2" t="str">
        <x:v>MP</x:v>
      </x:c>
      <x:c r="D1561" s="2" t="str">
        <x:v>Myzus persicae</x:v>
      </x:c>
      <x:c r="E1561" s="2" t="str">
        <x:v>L0</x:v>
      </x:c>
      <x:c r="F1561" s="2" t="n">
        <x:v>8</x:v>
      </x:c>
      <x:c r="G1561" s="2" t="n">
        <x:v>5</x:v>
      </x:c>
      <x:c r="H1561" s="2" t="n">
        <x:f>G1561+Supuestos!$C$15</x:f>
        <x:v>6</x:v>
      </x:c>
      <x:c r="I1561" s="14" t="n">
        <x:f>E2_plantas!J39+G1561</x:f>
        <x:v>46200</x:v>
      </x:c>
      <x:c r="J1561" s="2" t="str">
        <x:v>N2</x:v>
      </x:c>
      <x:c r="K1561" s="2" t="n">
        <x:v>1</x:v>
      </x:c>
      <x:c r="L1561" s="2" t="n">
        <x:v>0</x:v>
      </x:c>
      <x:c r="M1561" s="2" t="n">
        <x:f>SUM(L$1556:L1561)</x:f>
        <x:v>0</x:v>
      </x:c>
      <x:c r="N1561" s="2" t="n">
        <x:v>0</x:v>
      </x:c>
      <x:c r="O1561" s="2" t="str">
        <x:v>seguimiento</x:v>
      </x:c>
      <x:c r="P1561" s="2" t="n">
        <x:v>0</x:v>
      </x:c>
      <x:c r="Q1561" s="2" t="str">
        <x:v>simulado_didactico</x:v>
      </x:c>
    </x:row>
    <x:row r="1562" ht="19" customHeight="1">
      <x:c r="A1562" s="2" t="str">
        <x:v>SIM-E2-MP-L0-R08</x:v>
      </x:c>
      <x:c r="B1562" s="2" t="n">
        <x:v>4</x:v>
      </x:c>
      <x:c r="C1562" s="2" t="str">
        <x:v>MP</x:v>
      </x:c>
      <x:c r="D1562" s="2" t="str">
        <x:v>Myzus persicae</x:v>
      </x:c>
      <x:c r="E1562" s="2" t="str">
        <x:v>L0</x:v>
      </x:c>
      <x:c r="F1562" s="2" t="n">
        <x:v>8</x:v>
      </x:c>
      <x:c r="G1562" s="2" t="n">
        <x:v>6</x:v>
      </x:c>
      <x:c r="H1562" s="2" t="n">
        <x:f>G1562+Supuestos!$C$15</x:f>
        <x:v>7</x:v>
      </x:c>
      <x:c r="I1562" s="14" t="n">
        <x:f>E2_plantas!J39+G1562</x:f>
        <x:v>46201</x:v>
      </x:c>
      <x:c r="J1562" s="2" t="str">
        <x:v>N3</x:v>
      </x:c>
      <x:c r="K1562" s="2" t="n">
        <x:v>1</x:v>
      </x:c>
      <x:c r="L1562" s="2" t="n">
        <x:v>0</x:v>
      </x:c>
      <x:c r="M1562" s="2" t="n">
        <x:f>SUM(L$1556:L1562)</x:f>
        <x:v>0</x:v>
      </x:c>
      <x:c r="N1562" s="2" t="n">
        <x:v>0</x:v>
      </x:c>
      <x:c r="O1562" s="2" t="str">
        <x:v>seguimiento</x:v>
      </x:c>
      <x:c r="P1562" s="2" t="n">
        <x:v>0</x:v>
      </x:c>
      <x:c r="Q1562" s="2" t="str">
        <x:v>simulado_didactico</x:v>
      </x:c>
    </x:row>
    <x:row r="1563" ht="19" customHeight="1">
      <x:c r="A1563" s="2" t="str">
        <x:v>SIM-E2-MP-L0-R08</x:v>
      </x:c>
      <x:c r="B1563" s="2" t="n">
        <x:v>4</x:v>
      </x:c>
      <x:c r="C1563" s="2" t="str">
        <x:v>MP</x:v>
      </x:c>
      <x:c r="D1563" s="2" t="str">
        <x:v>Myzus persicae</x:v>
      </x:c>
      <x:c r="E1563" s="2" t="str">
        <x:v>L0</x:v>
      </x:c>
      <x:c r="F1563" s="2" t="n">
        <x:v>8</x:v>
      </x:c>
      <x:c r="G1563" s="2" t="n">
        <x:v>7</x:v>
      </x:c>
      <x:c r="H1563" s="2" t="n">
        <x:f>G1563+Supuestos!$C$15</x:f>
        <x:v>8</x:v>
      </x:c>
      <x:c r="I1563" s="14" t="n">
        <x:f>E2_plantas!J39+G1563</x:f>
        <x:v>46202</x:v>
      </x:c>
      <x:c r="J1563" s="2" t="str">
        <x:v>N3</x:v>
      </x:c>
      <x:c r="K1563" s="2" t="n">
        <x:v>1</x:v>
      </x:c>
      <x:c r="L1563" s="2" t="n">
        <x:v>0</x:v>
      </x:c>
      <x:c r="M1563" s="2" t="n">
        <x:f>SUM(L$1556:L1563)</x:f>
        <x:v>0</x:v>
      </x:c>
      <x:c r="N1563" s="2" t="n">
        <x:v>0</x:v>
      </x:c>
      <x:c r="O1563" s="2" t="str">
        <x:v>seguimiento</x:v>
      </x:c>
      <x:c r="P1563" s="2" t="n">
        <x:v>0</x:v>
      </x:c>
      <x:c r="Q1563" s="2" t="str">
        <x:v>simulado_didactico</x:v>
      </x:c>
    </x:row>
    <x:row r="1564" ht="19" customHeight="1">
      <x:c r="A1564" s="2" t="str">
        <x:v>SIM-E2-MP-L0-R08</x:v>
      </x:c>
      <x:c r="B1564" s="2" t="n">
        <x:v>4</x:v>
      </x:c>
      <x:c r="C1564" s="2" t="str">
        <x:v>MP</x:v>
      </x:c>
      <x:c r="D1564" s="2" t="str">
        <x:v>Myzus persicae</x:v>
      </x:c>
      <x:c r="E1564" s="2" t="str">
        <x:v>L0</x:v>
      </x:c>
      <x:c r="F1564" s="2" t="n">
        <x:v>8</x:v>
      </x:c>
      <x:c r="G1564" s="2" t="n">
        <x:v>8</x:v>
      </x:c>
      <x:c r="H1564" s="2" t="n">
        <x:f>G1564+Supuestos!$C$15</x:f>
        <x:v>9</x:v>
      </x:c>
      <x:c r="I1564" s="14" t="n">
        <x:f>E2_plantas!J39+G1564</x:f>
        <x:v>46203</x:v>
      </x:c>
      <x:c r="J1564" s="2" t="str">
        <x:v>N4</x:v>
      </x:c>
      <x:c r="K1564" s="2" t="n">
        <x:v>1</x:v>
      </x:c>
      <x:c r="L1564" s="2" t="n">
        <x:v>0</x:v>
      </x:c>
      <x:c r="M1564" s="2" t="n">
        <x:f>SUM(L$1556:L1564)</x:f>
        <x:v>0</x:v>
      </x:c>
      <x:c r="N1564" s="2" t="n">
        <x:v>0</x:v>
      </x:c>
      <x:c r="O1564" s="2" t="str">
        <x:v>seguimiento</x:v>
      </x:c>
      <x:c r="P1564" s="2" t="n">
        <x:v>0</x:v>
      </x:c>
      <x:c r="Q1564" s="2" t="str">
        <x:v>simulado_didactico</x:v>
      </x:c>
    </x:row>
    <x:row r="1565" ht="19" customHeight="1">
      <x:c r="A1565" s="2" t="str">
        <x:v>SIM-E2-MP-L0-R08</x:v>
      </x:c>
      <x:c r="B1565" s="2" t="n">
        <x:v>4</x:v>
      </x:c>
      <x:c r="C1565" s="2" t="str">
        <x:v>MP</x:v>
      </x:c>
      <x:c r="D1565" s="2" t="str">
        <x:v>Myzus persicae</x:v>
      </x:c>
      <x:c r="E1565" s="2" t="str">
        <x:v>L0</x:v>
      </x:c>
      <x:c r="F1565" s="2" t="n">
        <x:v>8</x:v>
      </x:c>
      <x:c r="G1565" s="2" t="n">
        <x:v>9</x:v>
      </x:c>
      <x:c r="H1565" s="2" t="n">
        <x:f>G1565+Supuestos!$C$15</x:f>
        <x:v>10</x:v>
      </x:c>
      <x:c r="I1565" s="14" t="n">
        <x:f>E2_plantas!J39+G1565</x:f>
        <x:v>46204</x:v>
      </x:c>
      <x:c r="J1565" s="2" t="str">
        <x:v>adulta</x:v>
      </x:c>
      <x:c r="K1565" s="2" t="n">
        <x:v>1</x:v>
      </x:c>
      <x:c r="L1565" s="2" t="n">
        <x:v>0</x:v>
      </x:c>
      <x:c r="M1565" s="2" t="n">
        <x:f>SUM(L$1556:L1565)</x:f>
        <x:v>0</x:v>
      </x:c>
      <x:c r="N1565" s="2" t="n">
        <x:v>0</x:v>
      </x:c>
      <x:c r="O1565" s="2" t="str">
        <x:v>seguimiento</x:v>
      </x:c>
      <x:c r="P1565" s="2" t="n">
        <x:v>0</x:v>
      </x:c>
      <x:c r="Q1565" s="2" t="str">
        <x:v>simulado_didactico</x:v>
      </x:c>
    </x:row>
    <x:row r="1566" ht="19" customHeight="1">
      <x:c r="A1566" s="2" t="str">
        <x:v>SIM-E2-MP-L0-R08</x:v>
      </x:c>
      <x:c r="B1566" s="2" t="n">
        <x:v>4</x:v>
      </x:c>
      <x:c r="C1566" s="2" t="str">
        <x:v>MP</x:v>
      </x:c>
      <x:c r="D1566" s="2" t="str">
        <x:v>Myzus persicae</x:v>
      </x:c>
      <x:c r="E1566" s="2" t="str">
        <x:v>L0</x:v>
      </x:c>
      <x:c r="F1566" s="2" t="n">
        <x:v>8</x:v>
      </x:c>
      <x:c r="G1566" s="2" t="n">
        <x:v>10</x:v>
      </x:c>
      <x:c r="H1566" s="2" t="n">
        <x:f>G1566+Supuestos!$C$15</x:f>
        <x:v>11</x:v>
      </x:c>
      <x:c r="I1566" s="14" t="n">
        <x:f>E2_plantas!J39+G1566</x:f>
        <x:v>46205</x:v>
      </x:c>
      <x:c r="J1566" s="2" t="str">
        <x:v>adulta</x:v>
      </x:c>
      <x:c r="K1566" s="2" t="n">
        <x:v>1</x:v>
      </x:c>
      <x:c r="L1566" s="2" t="n">
        <x:v>2</x:v>
      </x:c>
      <x:c r="M1566" s="2" t="n">
        <x:f>SUM(L$1556:L1566)</x:f>
        <x:v>2</x:v>
      </x:c>
      <x:c r="N1566" s="2" t="n">
        <x:v>0</x:v>
      </x:c>
      <x:c r="O1566" s="2" t="str">
        <x:v>seguimiento</x:v>
      </x:c>
      <x:c r="P1566" s="2" t="n">
        <x:v>0</x:v>
      </x:c>
      <x:c r="Q1566" s="2" t="str">
        <x:v>simulado_didactico</x:v>
      </x:c>
    </x:row>
    <x:row r="1567" ht="19" customHeight="1">
      <x:c r="A1567" s="2" t="str">
        <x:v>SIM-E2-MP-L0-R08</x:v>
      </x:c>
      <x:c r="B1567" s="2" t="n">
        <x:v>4</x:v>
      </x:c>
      <x:c r="C1567" s="2" t="str">
        <x:v>MP</x:v>
      </x:c>
      <x:c r="D1567" s="2" t="str">
        <x:v>Myzus persicae</x:v>
      </x:c>
      <x:c r="E1567" s="2" t="str">
        <x:v>L0</x:v>
      </x:c>
      <x:c r="F1567" s="2" t="n">
        <x:v>8</x:v>
      </x:c>
      <x:c r="G1567" s="2" t="n">
        <x:v>11</x:v>
      </x:c>
      <x:c r="H1567" s="2" t="n">
        <x:f>G1567+Supuestos!$C$15</x:f>
        <x:v>12</x:v>
      </x:c>
      <x:c r="I1567" s="14" t="n">
        <x:f>E2_plantas!J39+G1567</x:f>
        <x:v>46206</x:v>
      </x:c>
      <x:c r="J1567" s="2" t="str">
        <x:v>adulta</x:v>
      </x:c>
      <x:c r="K1567" s="2" t="n">
        <x:v>1</x:v>
      </x:c>
      <x:c r="L1567" s="2" t="n">
        <x:v>7</x:v>
      </x:c>
      <x:c r="M1567" s="2" t="n">
        <x:f>SUM(L$1556:L1567)</x:f>
        <x:v>9</x:v>
      </x:c>
      <x:c r="N1567" s="2" t="n">
        <x:v>0</x:v>
      </x:c>
      <x:c r="O1567" s="2" t="str">
        <x:v>seguimiento</x:v>
      </x:c>
      <x:c r="P1567" s="2" t="n">
        <x:v>0</x:v>
      </x:c>
      <x:c r="Q1567" s="2" t="str">
        <x:v>simulado_didactico</x:v>
      </x:c>
    </x:row>
    <x:row r="1568" ht="19" customHeight="1">
      <x:c r="A1568" s="2" t="str">
        <x:v>SIM-E2-MP-L0-R08</x:v>
      </x:c>
      <x:c r="B1568" s="2" t="n">
        <x:v>4</x:v>
      </x:c>
      <x:c r="C1568" s="2" t="str">
        <x:v>MP</x:v>
      </x:c>
      <x:c r="D1568" s="2" t="str">
        <x:v>Myzus persicae</x:v>
      </x:c>
      <x:c r="E1568" s="2" t="str">
        <x:v>L0</x:v>
      </x:c>
      <x:c r="F1568" s="2" t="n">
        <x:v>8</x:v>
      </x:c>
      <x:c r="G1568" s="2" t="n">
        <x:v>12</x:v>
      </x:c>
      <x:c r="H1568" s="2" t="n">
        <x:f>G1568+Supuestos!$C$15</x:f>
        <x:v>13</x:v>
      </x:c>
      <x:c r="I1568" s="14" t="n">
        <x:f>E2_plantas!J39+G1568</x:f>
        <x:v>46207</x:v>
      </x:c>
      <x:c r="J1568" s="2" t="str">
        <x:v>adulta</x:v>
      </x:c>
      <x:c r="K1568" s="2" t="n">
        <x:v>1</x:v>
      </x:c>
      <x:c r="L1568" s="2" t="n">
        <x:v>6</x:v>
      </x:c>
      <x:c r="M1568" s="2" t="n">
        <x:f>SUM(L$1556:L1568)</x:f>
        <x:v>15</x:v>
      </x:c>
      <x:c r="N1568" s="2" t="n">
        <x:v>0</x:v>
      </x:c>
      <x:c r="O1568" s="2" t="str">
        <x:v>seguimiento</x:v>
      </x:c>
      <x:c r="P1568" s="2" t="n">
        <x:v>0</x:v>
      </x:c>
      <x:c r="Q1568" s="2" t="str">
        <x:v>simulado_didactico</x:v>
      </x:c>
    </x:row>
    <x:row r="1569" ht="19" customHeight="1">
      <x:c r="A1569" s="2" t="str">
        <x:v>SIM-E2-MP-L0-R08</x:v>
      </x:c>
      <x:c r="B1569" s="2" t="n">
        <x:v>4</x:v>
      </x:c>
      <x:c r="C1569" s="2" t="str">
        <x:v>MP</x:v>
      </x:c>
      <x:c r="D1569" s="2" t="str">
        <x:v>Myzus persicae</x:v>
      </x:c>
      <x:c r="E1569" s="2" t="str">
        <x:v>L0</x:v>
      </x:c>
      <x:c r="F1569" s="2" t="n">
        <x:v>8</x:v>
      </x:c>
      <x:c r="G1569" s="2" t="n">
        <x:v>13</x:v>
      </x:c>
      <x:c r="H1569" s="2" t="n">
        <x:f>G1569+Supuestos!$C$15</x:f>
        <x:v>14</x:v>
      </x:c>
      <x:c r="I1569" s="14" t="n">
        <x:f>E2_plantas!J39+G1569</x:f>
        <x:v>46208</x:v>
      </x:c>
      <x:c r="J1569" s="2" t="str">
        <x:v>adulta</x:v>
      </x:c>
      <x:c r="K1569" s="2" t="n">
        <x:v>1</x:v>
      </x:c>
      <x:c r="L1569" s="2" t="n">
        <x:v>1</x:v>
      </x:c>
      <x:c r="M1569" s="2" t="n">
        <x:f>SUM(L$1556:L1569)</x:f>
        <x:v>16</x:v>
      </x:c>
      <x:c r="N1569" s="2" t="n">
        <x:v>0</x:v>
      </x:c>
      <x:c r="O1569" s="2" t="str">
        <x:v>seguimiento</x:v>
      </x:c>
      <x:c r="P1569" s="2" t="n">
        <x:v>0</x:v>
      </x:c>
      <x:c r="Q1569" s="2" t="str">
        <x:v>simulado_didactico</x:v>
      </x:c>
    </x:row>
    <x:row r="1570" ht="19" customHeight="1">
      <x:c r="A1570" s="2" t="str">
        <x:v>SIM-E2-MP-L0-R08</x:v>
      </x:c>
      <x:c r="B1570" s="2" t="n">
        <x:v>4</x:v>
      </x:c>
      <x:c r="C1570" s="2" t="str">
        <x:v>MP</x:v>
      </x:c>
      <x:c r="D1570" s="2" t="str">
        <x:v>Myzus persicae</x:v>
      </x:c>
      <x:c r="E1570" s="2" t="str">
        <x:v>L0</x:v>
      </x:c>
      <x:c r="F1570" s="2" t="n">
        <x:v>8</x:v>
      </x:c>
      <x:c r="G1570" s="2" t="n">
        <x:v>14</x:v>
      </x:c>
      <x:c r="H1570" s="2" t="n">
        <x:f>G1570+Supuestos!$C$15</x:f>
        <x:v>15</x:v>
      </x:c>
      <x:c r="I1570" s="14" t="n">
        <x:f>E2_plantas!J39+G1570</x:f>
        <x:v>46209</x:v>
      </x:c>
      <x:c r="J1570" s="2" t="str">
        <x:v>adulta</x:v>
      </x:c>
      <x:c r="K1570" s="2" t="n">
        <x:v>1</x:v>
      </x:c>
      <x:c r="L1570" s="2" t="n">
        <x:v>3</x:v>
      </x:c>
      <x:c r="M1570" s="2" t="n">
        <x:f>SUM(L$1556:L1570)</x:f>
        <x:v>19</x:v>
      </x:c>
      <x:c r="N1570" s="2" t="n">
        <x:v>0</x:v>
      </x:c>
      <x:c r="O1570" s="2" t="str">
        <x:v>seguimiento</x:v>
      </x:c>
      <x:c r="P1570" s="2" t="n">
        <x:v>0</x:v>
      </x:c>
      <x:c r="Q1570" s="2" t="str">
        <x:v>simulado_didactico</x:v>
      </x:c>
    </x:row>
    <x:row r="1571" ht="19" customHeight="1">
      <x:c r="A1571" s="2" t="str">
        <x:v>SIM-E2-MP-L0-R08</x:v>
      </x:c>
      <x:c r="B1571" s="2" t="n">
        <x:v>4</x:v>
      </x:c>
      <x:c r="C1571" s="2" t="str">
        <x:v>MP</x:v>
      </x:c>
      <x:c r="D1571" s="2" t="str">
        <x:v>Myzus persicae</x:v>
      </x:c>
      <x:c r="E1571" s="2" t="str">
        <x:v>L0</x:v>
      </x:c>
      <x:c r="F1571" s="2" t="n">
        <x:v>8</x:v>
      </x:c>
      <x:c r="G1571" s="2" t="n">
        <x:v>15</x:v>
      </x:c>
      <x:c r="H1571" s="2" t="n">
        <x:f>G1571+Supuestos!$C$15</x:f>
        <x:v>16</x:v>
      </x:c>
      <x:c r="I1571" s="14" t="n">
        <x:f>E2_plantas!J39+G1571</x:f>
        <x:v>46210</x:v>
      </x:c>
      <x:c r="J1571" s="2" t="str">
        <x:v>adulta</x:v>
      </x:c>
      <x:c r="K1571" s="2" t="n">
        <x:v>1</x:v>
      </x:c>
      <x:c r="L1571" s="2" t="n">
        <x:v>7</x:v>
      </x:c>
      <x:c r="M1571" s="2" t="n">
        <x:f>SUM(L$1556:L1571)</x:f>
        <x:v>26</x:v>
      </x:c>
      <x:c r="N1571" s="2" t="n">
        <x:v>0</x:v>
      </x:c>
      <x:c r="O1571" s="2" t="str">
        <x:v>seguimiento</x:v>
      </x:c>
      <x:c r="P1571" s="2" t="n">
        <x:v>0</x:v>
      </x:c>
      <x:c r="Q1571" s="2" t="str">
        <x:v>simulado_didactico</x:v>
      </x:c>
    </x:row>
    <x:row r="1572" ht="19" customHeight="1">
      <x:c r="A1572" s="2" t="str">
        <x:v>SIM-E2-MP-L0-R08</x:v>
      </x:c>
      <x:c r="B1572" s="2" t="n">
        <x:v>4</x:v>
      </x:c>
      <x:c r="C1572" s="2" t="str">
        <x:v>MP</x:v>
      </x:c>
      <x:c r="D1572" s="2" t="str">
        <x:v>Myzus persicae</x:v>
      </x:c>
      <x:c r="E1572" s="2" t="str">
        <x:v>L0</x:v>
      </x:c>
      <x:c r="F1572" s="2" t="n">
        <x:v>8</x:v>
      </x:c>
      <x:c r="G1572" s="2" t="n">
        <x:v>16</x:v>
      </x:c>
      <x:c r="H1572" s="2" t="n">
        <x:f>G1572+Supuestos!$C$15</x:f>
        <x:v>17</x:v>
      </x:c>
      <x:c r="I1572" s="14" t="n">
        <x:f>E2_plantas!J39+G1572</x:f>
        <x:v>46211</x:v>
      </x:c>
      <x:c r="J1572" s="2" t="str">
        <x:v>adulta</x:v>
      </x:c>
      <x:c r="K1572" s="2" t="n">
        <x:v>1</x:v>
      </x:c>
      <x:c r="L1572" s="2" t="n">
        <x:v>7</x:v>
      </x:c>
      <x:c r="M1572" s="2" t="n">
        <x:f>SUM(L$1556:L1572)</x:f>
        <x:v>33</x:v>
      </x:c>
      <x:c r="N1572" s="2" t="n">
        <x:v>0</x:v>
      </x:c>
      <x:c r="O1572" s="2" t="str">
        <x:v>seguimiento</x:v>
      </x:c>
      <x:c r="P1572" s="2" t="n">
        <x:v>0</x:v>
      </x:c>
      <x:c r="Q1572" s="2" t="str">
        <x:v>simulado_didactico</x:v>
      </x:c>
    </x:row>
    <x:row r="1573" ht="19" customHeight="1">
      <x:c r="A1573" s="2" t="str">
        <x:v>SIM-E2-MP-L0-R08</x:v>
      </x:c>
      <x:c r="B1573" s="2" t="n">
        <x:v>4</x:v>
      </x:c>
      <x:c r="C1573" s="2" t="str">
        <x:v>MP</x:v>
      </x:c>
      <x:c r="D1573" s="2" t="str">
        <x:v>Myzus persicae</x:v>
      </x:c>
      <x:c r="E1573" s="2" t="str">
        <x:v>L0</x:v>
      </x:c>
      <x:c r="F1573" s="2" t="n">
        <x:v>8</x:v>
      </x:c>
      <x:c r="G1573" s="2" t="n">
        <x:v>17</x:v>
      </x:c>
      <x:c r="H1573" s="2" t="n">
        <x:f>G1573+Supuestos!$C$15</x:f>
        <x:v>18</x:v>
      </x:c>
      <x:c r="I1573" s="14" t="n">
        <x:f>E2_plantas!J39+G1573</x:f>
        <x:v>46212</x:v>
      </x:c>
      <x:c r="J1573" s="2" t="str">
        <x:v>adulta</x:v>
      </x:c>
      <x:c r="K1573" s="2" t="n">
        <x:v>1</x:v>
      </x:c>
      <x:c r="L1573" s="2" t="n">
        <x:v>3</x:v>
      </x:c>
      <x:c r="M1573" s="2" t="n">
        <x:f>SUM(L$1556:L1573)</x:f>
        <x:v>36</x:v>
      </x:c>
      <x:c r="N1573" s="2" t="n">
        <x:v>0</x:v>
      </x:c>
      <x:c r="O1573" s="2" t="str">
        <x:v>seguimiento</x:v>
      </x:c>
      <x:c r="P1573" s="2" t="n">
        <x:v>0</x:v>
      </x:c>
      <x:c r="Q1573" s="2" t="str">
        <x:v>simulado_didactico</x:v>
      </x:c>
    </x:row>
    <x:row r="1574" ht="19" customHeight="1">
      <x:c r="A1574" s="2" t="str">
        <x:v>SIM-E2-MP-L0-R08</x:v>
      </x:c>
      <x:c r="B1574" s="2" t="n">
        <x:v>4</x:v>
      </x:c>
      <x:c r="C1574" s="2" t="str">
        <x:v>MP</x:v>
      </x:c>
      <x:c r="D1574" s="2" t="str">
        <x:v>Myzus persicae</x:v>
      </x:c>
      <x:c r="E1574" s="2" t="str">
        <x:v>L0</x:v>
      </x:c>
      <x:c r="F1574" s="2" t="n">
        <x:v>8</x:v>
      </x:c>
      <x:c r="G1574" s="2" t="n">
        <x:v>18</x:v>
      </x:c>
      <x:c r="H1574" s="2" t="n">
        <x:f>G1574+Supuestos!$C$15</x:f>
        <x:v>19</x:v>
      </x:c>
      <x:c r="I1574" s="14" t="n">
        <x:f>E2_plantas!J39+G1574</x:f>
        <x:v>46213</x:v>
      </x:c>
      <x:c r="J1574" s="2" t="str">
        <x:v>adulta</x:v>
      </x:c>
      <x:c r="K1574" s="2" t="n">
        <x:v>1</x:v>
      </x:c>
      <x:c r="L1574" s="2" t="n">
        <x:v>5</x:v>
      </x:c>
      <x:c r="M1574" s="2" t="n">
        <x:f>SUM(L$1556:L1574)</x:f>
        <x:v>41</x:v>
      </x:c>
      <x:c r="N1574" s="2" t="n">
        <x:v>0</x:v>
      </x:c>
      <x:c r="O1574" s="2" t="str">
        <x:v>seguimiento</x:v>
      </x:c>
      <x:c r="P1574" s="2" t="n">
        <x:v>0</x:v>
      </x:c>
      <x:c r="Q1574" s="2" t="str">
        <x:v>simulado_didactico</x:v>
      </x:c>
    </x:row>
    <x:row r="1575" ht="19" customHeight="1">
      <x:c r="A1575" s="2" t="str">
        <x:v>SIM-E2-MP-L0-R08</x:v>
      </x:c>
      <x:c r="B1575" s="2" t="n">
        <x:v>4</x:v>
      </x:c>
      <x:c r="C1575" s="2" t="str">
        <x:v>MP</x:v>
      </x:c>
      <x:c r="D1575" s="2" t="str">
        <x:v>Myzus persicae</x:v>
      </x:c>
      <x:c r="E1575" s="2" t="str">
        <x:v>L0</x:v>
      </x:c>
      <x:c r="F1575" s="2" t="n">
        <x:v>8</x:v>
      </x:c>
      <x:c r="G1575" s="2" t="n">
        <x:v>19</x:v>
      </x:c>
      <x:c r="H1575" s="2" t="n">
        <x:f>G1575+Supuestos!$C$15</x:f>
        <x:v>20</x:v>
      </x:c>
      <x:c r="I1575" s="14" t="n">
        <x:f>E2_plantas!J39+G1575</x:f>
        <x:v>46214</x:v>
      </x:c>
      <x:c r="J1575" s="2" t="str">
        <x:v>adulta</x:v>
      </x:c>
      <x:c r="K1575" s="2" t="n">
        <x:v>1</x:v>
      </x:c>
      <x:c r="L1575" s="2" t="n">
        <x:v>3</x:v>
      </x:c>
      <x:c r="M1575" s="2" t="n">
        <x:f>SUM(L$1556:L1575)</x:f>
        <x:v>44</x:v>
      </x:c>
      <x:c r="N1575" s="2" t="n">
        <x:v>0</x:v>
      </x:c>
      <x:c r="O1575" s="2" t="str">
        <x:v>seguimiento</x:v>
      </x:c>
      <x:c r="P1575" s="2" t="n">
        <x:v>0</x:v>
      </x:c>
      <x:c r="Q1575" s="2" t="str">
        <x:v>simulado_didactico</x:v>
      </x:c>
    </x:row>
    <x:row r="1576" ht="19" customHeight="1">
      <x:c r="A1576" s="2" t="str">
        <x:v>SIM-E2-MP-L0-R08</x:v>
      </x:c>
      <x:c r="B1576" s="2" t="n">
        <x:v>4</x:v>
      </x:c>
      <x:c r="C1576" s="2" t="str">
        <x:v>MP</x:v>
      </x:c>
      <x:c r="D1576" s="2" t="str">
        <x:v>Myzus persicae</x:v>
      </x:c>
      <x:c r="E1576" s="2" t="str">
        <x:v>L0</x:v>
      </x:c>
      <x:c r="F1576" s="2" t="n">
        <x:v>8</x:v>
      </x:c>
      <x:c r="G1576" s="2" t="n">
        <x:v>20</x:v>
      </x:c>
      <x:c r="H1576" s="2" t="n">
        <x:f>G1576+Supuestos!$C$15</x:f>
        <x:v>21</x:v>
      </x:c>
      <x:c r="I1576" s="14" t="n">
        <x:f>E2_plantas!J39+G1576</x:f>
        <x:v>46215</x:v>
      </x:c>
      <x:c r="J1576" s="2" t="str">
        <x:v>adulta</x:v>
      </x:c>
      <x:c r="K1576" s="2" t="n">
        <x:v>1</x:v>
      </x:c>
      <x:c r="L1576" s="2" t="n">
        <x:v>2</x:v>
      </x:c>
      <x:c r="M1576" s="2" t="n">
        <x:f>SUM(L$1556:L1576)</x:f>
        <x:v>46</x:v>
      </x:c>
      <x:c r="N1576" s="2" t="n">
        <x:v>0</x:v>
      </x:c>
      <x:c r="O1576" s="2" t="str">
        <x:v>seguimiento</x:v>
      </x:c>
      <x:c r="P1576" s="2" t="n">
        <x:v>0</x:v>
      </x:c>
      <x:c r="Q1576" s="2" t="str">
        <x:v>simulado_didactico</x:v>
      </x:c>
    </x:row>
    <x:row r="1577" ht="19" customHeight="1">
      <x:c r="A1577" s="2" t="str">
        <x:v>SIM-E2-MP-L0-R08</x:v>
      </x:c>
      <x:c r="B1577" s="2" t="n">
        <x:v>4</x:v>
      </x:c>
      <x:c r="C1577" s="2" t="str">
        <x:v>MP</x:v>
      </x:c>
      <x:c r="D1577" s="2" t="str">
        <x:v>Myzus persicae</x:v>
      </x:c>
      <x:c r="E1577" s="2" t="str">
        <x:v>L0</x:v>
      </x:c>
      <x:c r="F1577" s="2" t="n">
        <x:v>8</x:v>
      </x:c>
      <x:c r="G1577" s="2" t="n">
        <x:v>21</x:v>
      </x:c>
      <x:c r="H1577" s="2" t="n">
        <x:f>G1577+Supuestos!$C$15</x:f>
        <x:v>22</x:v>
      </x:c>
      <x:c r="I1577" s="14" t="n">
        <x:f>E2_plantas!J39+G1577</x:f>
        <x:v>46216</x:v>
      </x:c>
      <x:c r="J1577" s="2" t="str">
        <x:v>adulta</x:v>
      </x:c>
      <x:c r="K1577" s="2" t="n">
        <x:v>1</x:v>
      </x:c>
      <x:c r="L1577" s="2" t="n">
        <x:v>5</x:v>
      </x:c>
      <x:c r="M1577" s="2" t="n">
        <x:f>SUM(L$1556:L1577)</x:f>
        <x:v>51</x:v>
      </x:c>
      <x:c r="N1577" s="2" t="n">
        <x:v>0</x:v>
      </x:c>
      <x:c r="O1577" s="2" t="str">
        <x:v>seguimiento</x:v>
      </x:c>
      <x:c r="P1577" s="2" t="n">
        <x:v>0</x:v>
      </x:c>
      <x:c r="Q1577" s="2" t="str">
        <x:v>simulado_didactico</x:v>
      </x:c>
    </x:row>
    <x:row r="1578" ht="19" customHeight="1">
      <x:c r="A1578" s="2" t="str">
        <x:v>SIM-E2-MP-L0-R08</x:v>
      </x:c>
      <x:c r="B1578" s="2" t="n">
        <x:v>4</x:v>
      </x:c>
      <x:c r="C1578" s="2" t="str">
        <x:v>MP</x:v>
      </x:c>
      <x:c r="D1578" s="2" t="str">
        <x:v>Myzus persicae</x:v>
      </x:c>
      <x:c r="E1578" s="2" t="str">
        <x:v>L0</x:v>
      </x:c>
      <x:c r="F1578" s="2" t="n">
        <x:v>8</x:v>
      </x:c>
      <x:c r="G1578" s="2" t="n">
        <x:v>22</x:v>
      </x:c>
      <x:c r="H1578" s="2" t="n">
        <x:f>G1578+Supuestos!$C$15</x:f>
        <x:v>23</x:v>
      </x:c>
      <x:c r="I1578" s="14" t="n">
        <x:f>E2_plantas!J39+G1578</x:f>
        <x:v>46217</x:v>
      </x:c>
      <x:c r="J1578" s="2" t="str">
        <x:v>adulta</x:v>
      </x:c>
      <x:c r="K1578" s="2" t="n">
        <x:v>1</x:v>
      </x:c>
      <x:c r="L1578" s="2" t="n">
        <x:v>6</x:v>
      </x:c>
      <x:c r="M1578" s="2" t="n">
        <x:f>SUM(L$1556:L1578)</x:f>
        <x:v>57</x:v>
      </x:c>
      <x:c r="N1578" s="2" t="n">
        <x:v>0</x:v>
      </x:c>
      <x:c r="O1578" s="2" t="str">
        <x:v>seguimiento</x:v>
      </x:c>
      <x:c r="P1578" s="2" t="n">
        <x:v>0</x:v>
      </x:c>
      <x:c r="Q1578" s="2" t="str">
        <x:v>simulado_didactico</x:v>
      </x:c>
    </x:row>
    <x:row r="1579" ht="19" customHeight="1">
      <x:c r="A1579" s="2" t="str">
        <x:v>SIM-E2-MP-L0-R08</x:v>
      </x:c>
      <x:c r="B1579" s="2" t="n">
        <x:v>4</x:v>
      </x:c>
      <x:c r="C1579" s="2" t="str">
        <x:v>MP</x:v>
      </x:c>
      <x:c r="D1579" s="2" t="str">
        <x:v>Myzus persicae</x:v>
      </x:c>
      <x:c r="E1579" s="2" t="str">
        <x:v>L0</x:v>
      </x:c>
      <x:c r="F1579" s="2" t="n">
        <x:v>8</x:v>
      </x:c>
      <x:c r="G1579" s="2" t="n">
        <x:v>23</x:v>
      </x:c>
      <x:c r="H1579" s="2" t="n">
        <x:f>G1579+Supuestos!$C$15</x:f>
        <x:v>24</x:v>
      </x:c>
      <x:c r="I1579" s="14" t="n">
        <x:f>E2_plantas!J39+G1579</x:f>
        <x:v>46218</x:v>
      </x:c>
      <x:c r="J1579" s="2" t="str">
        <x:v>adulta</x:v>
      </x:c>
      <x:c r="K1579" s="2" t="n">
        <x:v>1</x:v>
      </x:c>
      <x:c r="L1579" s="2" t="n">
        <x:v>6</x:v>
      </x:c>
      <x:c r="M1579" s="2" t="n">
        <x:f>SUM(L$1556:L1579)</x:f>
        <x:v>63</x:v>
      </x:c>
      <x:c r="N1579" s="2" t="n">
        <x:v>0</x:v>
      </x:c>
      <x:c r="O1579" s="2" t="str">
        <x:v>seguimiento</x:v>
      </x:c>
      <x:c r="P1579" s="2" t="n">
        <x:v>0</x:v>
      </x:c>
      <x:c r="Q1579" s="2" t="str">
        <x:v>simulado_didactico</x:v>
      </x:c>
    </x:row>
    <x:row r="1580" ht="19" customHeight="1">
      <x:c r="A1580" s="2" t="str">
        <x:v>SIM-E2-MP-L0-R08</x:v>
      </x:c>
      <x:c r="B1580" s="2" t="n">
        <x:v>4</x:v>
      </x:c>
      <x:c r="C1580" s="2" t="str">
        <x:v>MP</x:v>
      </x:c>
      <x:c r="D1580" s="2" t="str">
        <x:v>Myzus persicae</x:v>
      </x:c>
      <x:c r="E1580" s="2" t="str">
        <x:v>L0</x:v>
      </x:c>
      <x:c r="F1580" s="2" t="n">
        <x:v>8</x:v>
      </x:c>
      <x:c r="G1580" s="2" t="n">
        <x:v>24</x:v>
      </x:c>
      <x:c r="H1580" s="2" t="n">
        <x:f>G1580+Supuestos!$C$15</x:f>
        <x:v>25</x:v>
      </x:c>
      <x:c r="I1580" s="14" t="n">
        <x:f>E2_plantas!J39+G1580</x:f>
        <x:v>46219</x:v>
      </x:c>
      <x:c r="J1580" s="2" t="str">
        <x:v>adulta</x:v>
      </x:c>
      <x:c r="K1580" s="2" t="n">
        <x:v>1</x:v>
      </x:c>
      <x:c r="L1580" s="2" t="n">
        <x:v>1</x:v>
      </x:c>
      <x:c r="M1580" s="2" t="n">
        <x:f>SUM(L$1556:L1580)</x:f>
        <x:v>64</x:v>
      </x:c>
      <x:c r="N1580" s="2" t="n">
        <x:v>0</x:v>
      </x:c>
      <x:c r="O1580" s="2" t="str">
        <x:v>seguimiento</x:v>
      </x:c>
      <x:c r="P1580" s="2" t="n">
        <x:v>0</x:v>
      </x:c>
      <x:c r="Q1580" s="2" t="str">
        <x:v>simulado_didactico</x:v>
      </x:c>
    </x:row>
    <x:row r="1581" ht="19" customHeight="1">
      <x:c r="A1581" s="2" t="str">
        <x:v>SIM-E2-MP-L0-R08</x:v>
      </x:c>
      <x:c r="B1581" s="2" t="n">
        <x:v>4</x:v>
      </x:c>
      <x:c r="C1581" s="2" t="str">
        <x:v>MP</x:v>
      </x:c>
      <x:c r="D1581" s="2" t="str">
        <x:v>Myzus persicae</x:v>
      </x:c>
      <x:c r="E1581" s="2" t="str">
        <x:v>L0</x:v>
      </x:c>
      <x:c r="F1581" s="2" t="n">
        <x:v>8</x:v>
      </x:c>
      <x:c r="G1581" s="2" t="n">
        <x:v>25</x:v>
      </x:c>
      <x:c r="H1581" s="2" t="n">
        <x:f>G1581+Supuestos!$C$15</x:f>
        <x:v>26</x:v>
      </x:c>
      <x:c r="I1581" s="14" t="n">
        <x:f>E2_plantas!J39+G1581</x:f>
        <x:v>46220</x:v>
      </x:c>
      <x:c r="J1581" s="2" t="str">
        <x:v>adulta</x:v>
      </x:c>
      <x:c r="K1581" s="2" t="n">
        <x:v>1</x:v>
      </x:c>
      <x:c r="L1581" s="2" t="n">
        <x:v>1</x:v>
      </x:c>
      <x:c r="M1581" s="2" t="n">
        <x:f>SUM(L$1556:L1581)</x:f>
        <x:v>65</x:v>
      </x:c>
      <x:c r="N1581" s="2" t="n">
        <x:v>0</x:v>
      </x:c>
      <x:c r="O1581" s="2" t="str">
        <x:v>seguimiento</x:v>
      </x:c>
      <x:c r="P1581" s="2" t="n">
        <x:v>0</x:v>
      </x:c>
      <x:c r="Q1581" s="2" t="str">
        <x:v>simulado_didactico</x:v>
      </x:c>
    </x:row>
    <x:row r="1582" ht="19" customHeight="1">
      <x:c r="A1582" s="2" t="str">
        <x:v>SIM-E2-MP-L0-R08</x:v>
      </x:c>
      <x:c r="B1582" s="2" t="n">
        <x:v>4</x:v>
      </x:c>
      <x:c r="C1582" s="2" t="str">
        <x:v>MP</x:v>
      </x:c>
      <x:c r="D1582" s="2" t="str">
        <x:v>Myzus persicae</x:v>
      </x:c>
      <x:c r="E1582" s="2" t="str">
        <x:v>L0</x:v>
      </x:c>
      <x:c r="F1582" s="2" t="n">
        <x:v>8</x:v>
      </x:c>
      <x:c r="G1582" s="2" t="n">
        <x:v>26</x:v>
      </x:c>
      <x:c r="H1582" s="2" t="n">
        <x:f>G1582+Supuestos!$C$15</x:f>
        <x:v>27</x:v>
      </x:c>
      <x:c r="I1582" s="14" t="n">
        <x:f>E2_plantas!J39+G1582</x:f>
        <x:v>46221</x:v>
      </x:c>
      <x:c r="J1582" s="2" t="str">
        <x:v>adulta</x:v>
      </x:c>
      <x:c r="K1582" s="2" t="n">
        <x:v>1</x:v>
      </x:c>
      <x:c r="L1582" s="2" t="n">
        <x:v>2</x:v>
      </x:c>
      <x:c r="M1582" s="2" t="n">
        <x:f>SUM(L$1556:L1582)</x:f>
        <x:v>67</x:v>
      </x:c>
      <x:c r="N1582" s="2" t="n">
        <x:v>0</x:v>
      </x:c>
      <x:c r="O1582" s="2" t="str">
        <x:v>seguimiento</x:v>
      </x:c>
      <x:c r="P1582" s="2" t="n">
        <x:v>0</x:v>
      </x:c>
      <x:c r="Q1582" s="2" t="str">
        <x:v>simulado_didactico</x:v>
      </x:c>
    </x:row>
    <x:row r="1583" ht="19" customHeight="1">
      <x:c r="A1583" s="2" t="str">
        <x:v>SIM-E2-MP-L0-R08</x:v>
      </x:c>
      <x:c r="B1583" s="2" t="n">
        <x:v>4</x:v>
      </x:c>
      <x:c r="C1583" s="2" t="str">
        <x:v>MP</x:v>
      </x:c>
      <x:c r="D1583" s="2" t="str">
        <x:v>Myzus persicae</x:v>
      </x:c>
      <x:c r="E1583" s="2" t="str">
        <x:v>L0</x:v>
      </x:c>
      <x:c r="F1583" s="2" t="n">
        <x:v>8</x:v>
      </x:c>
      <x:c r="G1583" s="2" t="n">
        <x:v>27</x:v>
      </x:c>
      <x:c r="H1583" s="2" t="n">
        <x:f>G1583+Supuestos!$C$15</x:f>
        <x:v>28</x:v>
      </x:c>
      <x:c r="I1583" s="14" t="n">
        <x:f>E2_plantas!J39+G1583</x:f>
        <x:v>46222</x:v>
      </x:c>
      <x:c r="J1583" s="2" t="str">
        <x:v>adulta</x:v>
      </x:c>
      <x:c r="K1583" s="2" t="n">
        <x:v>1</x:v>
      </x:c>
      <x:c r="L1583" s="2" t="n">
        <x:v>0</x:v>
      </x:c>
      <x:c r="M1583" s="2" t="n">
        <x:f>SUM(L$1556:L1583)</x:f>
        <x:v>67</x:v>
      </x:c>
      <x:c r="N1583" s="2" t="n">
        <x:v>0</x:v>
      </x:c>
      <x:c r="O1583" s="2" t="str">
        <x:v>seguimiento</x:v>
      </x:c>
      <x:c r="P1583" s="2" t="n">
        <x:v>0</x:v>
      </x:c>
      <x:c r="Q1583" s="2" t="str">
        <x:v>simulado_didactico</x:v>
      </x:c>
    </x:row>
    <x:row r="1584" ht="19" customHeight="1">
      <x:c r="A1584" s="2" t="str">
        <x:v>SIM-E2-MP-L0-R08</x:v>
      </x:c>
      <x:c r="B1584" s="2" t="n">
        <x:v>4</x:v>
      </x:c>
      <x:c r="C1584" s="2" t="str">
        <x:v>MP</x:v>
      </x:c>
      <x:c r="D1584" s="2" t="str">
        <x:v>Myzus persicae</x:v>
      </x:c>
      <x:c r="E1584" s="2" t="str">
        <x:v>L0</x:v>
      </x:c>
      <x:c r="F1584" s="2" t="n">
        <x:v>8</x:v>
      </x:c>
      <x:c r="G1584" s="2" t="n">
        <x:v>28</x:v>
      </x:c>
      <x:c r="H1584" s="2" t="n">
        <x:f>G1584+Supuestos!$C$15</x:f>
        <x:v>29</x:v>
      </x:c>
      <x:c r="I1584" s="14" t="n">
        <x:f>E2_plantas!J39+G1584</x:f>
        <x:v>46223</x:v>
      </x:c>
      <x:c r="J1584" s="2" t="str">
        <x:v>adulta</x:v>
      </x:c>
      <x:c r="K1584" s="2" t="n">
        <x:v>1</x:v>
      </x:c>
      <x:c r="L1584" s="2" t="n">
        <x:v>0</x:v>
      </x:c>
      <x:c r="M1584" s="2" t="n">
        <x:f>SUM(L$1556:L1584)</x:f>
        <x:v>67</x:v>
      </x:c>
      <x:c r="N1584" s="2" t="n">
        <x:v>0</x:v>
      </x:c>
      <x:c r="O1584" s="2" t="str">
        <x:v>seguimiento</x:v>
      </x:c>
      <x:c r="P1584" s="2" t="n">
        <x:v>0</x:v>
      </x:c>
      <x:c r="Q1584" s="2" t="str">
        <x:v>simulado_didactico</x:v>
      </x:c>
    </x:row>
    <x:row r="1585" ht="19" customHeight="1">
      <x:c r="A1585" s="2" t="str">
        <x:v>SIM-E2-MP-L0-R08</x:v>
      </x:c>
      <x:c r="B1585" s="2" t="n">
        <x:v>4</x:v>
      </x:c>
      <x:c r="C1585" s="2" t="str">
        <x:v>MP</x:v>
      </x:c>
      <x:c r="D1585" s="2" t="str">
        <x:v>Myzus persicae</x:v>
      </x:c>
      <x:c r="E1585" s="2" t="str">
        <x:v>L0</x:v>
      </x:c>
      <x:c r="F1585" s="2" t="n">
        <x:v>8</x:v>
      </x:c>
      <x:c r="G1585" s="2" t="n">
        <x:v>29</x:v>
      </x:c>
      <x:c r="H1585" s="2" t="n">
        <x:f>G1585+Supuestos!$C$15</x:f>
        <x:v>30</x:v>
      </x:c>
      <x:c r="I1585" s="14" t="n">
        <x:f>E2_plantas!J39+G1585</x:f>
        <x:v>46224</x:v>
      </x:c>
      <x:c r="J1585" s="2" t="str">
        <x:v>adulta</x:v>
      </x:c>
      <x:c r="K1585" s="2" t="n">
        <x:v>1</x:v>
      </x:c>
      <x:c r="L1585" s="2" t="n">
        <x:v>0</x:v>
      </x:c>
      <x:c r="M1585" s="2" t="n">
        <x:f>SUM(L$1556:L1585)</x:f>
        <x:v>67</x:v>
      </x:c>
      <x:c r="N1585" s="2" t="n">
        <x:v>0</x:v>
      </x:c>
      <x:c r="O1585" s="2" t="str">
        <x:v>seguimiento</x:v>
      </x:c>
      <x:c r="P1585" s="2" t="n">
        <x:v>0</x:v>
      </x:c>
      <x:c r="Q1585" s="2" t="str">
        <x:v>simulado_didactico</x:v>
      </x:c>
    </x:row>
    <x:row r="1586" ht="19" customHeight="1">
      <x:c r="A1586" s="2" t="str">
        <x:v>SIM-E2-MP-L0-R08</x:v>
      </x:c>
      <x:c r="B1586" s="2" t="n">
        <x:v>4</x:v>
      </x:c>
      <x:c r="C1586" s="2" t="str">
        <x:v>MP</x:v>
      </x:c>
      <x:c r="D1586" s="2" t="str">
        <x:v>Myzus persicae</x:v>
      </x:c>
      <x:c r="E1586" s="2" t="str">
        <x:v>L0</x:v>
      </x:c>
      <x:c r="F1586" s="2" t="n">
        <x:v>8</x:v>
      </x:c>
      <x:c r="G1586" s="2" t="n">
        <x:v>30</x:v>
      </x:c>
      <x:c r="H1586" s="2" t="n">
        <x:f>G1586+Supuestos!$C$15</x:f>
        <x:v>31</x:v>
      </x:c>
      <x:c r="I1586" s="14" t="n">
        <x:f>E2_plantas!J39+G1586</x:f>
        <x:v>46225</x:v>
      </x:c>
      <x:c r="J1586" s="2" t="str">
        <x:v>muerta</x:v>
      </x:c>
      <x:c r="K1586" s="2" t="n">
        <x:v>0</x:v>
      </x:c>
      <x:c r="L1586" s="2" t="n">
        <x:v>0</x:v>
      </x:c>
      <x:c r="M1586" s="2" t="n">
        <x:f>SUM(L$1556:L1586)</x:f>
        <x:v>67</x:v>
      </x:c>
      <x:c r="N1586" s="2" t="n">
        <x:v>1</x:v>
      </x:c>
      <x:c r="O1586" s="2" t="str">
        <x:v>muerte</x:v>
      </x:c>
      <x:c r="P1586" s="2" t="n">
        <x:v>0</x:v>
      </x:c>
      <x:c r="Q1586" s="2" t="str">
        <x:v>simulado_didactico</x:v>
      </x:c>
    </x:row>
    <x:row r="1587" ht="19" customHeight="1">
      <x:c r="A1587" s="2" t="str">
        <x:v>SIM-E2-MP-L0-R08</x:v>
      </x:c>
      <x:c r="B1587" s="2" t="n">
        <x:v>4</x:v>
      </x:c>
      <x:c r="C1587" s="2" t="str">
        <x:v>MP</x:v>
      </x:c>
      <x:c r="D1587" s="2" t="str">
        <x:v>Myzus persicae</x:v>
      </x:c>
      <x:c r="E1587" s="2" t="str">
        <x:v>L0</x:v>
      </x:c>
      <x:c r="F1587" s="2" t="n">
        <x:v>8</x:v>
      </x:c>
      <x:c r="G1587" s="2" t="n">
        <x:v>31</x:v>
      </x:c>
      <x:c r="H1587" s="2" t="n">
        <x:f>G1587+Supuestos!$C$15</x:f>
        <x:v>32</x:v>
      </x:c>
      <x:c r="I1587" s="14" t="n">
        <x:f>E2_plantas!J39+G1587</x:f>
        <x:v>46226</x:v>
      </x:c>
      <x:c r="J1587" s="2" t="str">
        <x:v>muerta</x:v>
      </x:c>
      <x:c r="K1587" s="2" t="n">
        <x:v>0</x:v>
      </x:c>
      <x:c r="L1587" s="2" t="n">
        <x:v>0</x:v>
      </x:c>
      <x:c r="M1587" s="2" t="n">
        <x:f>SUM(L$1556:L1587)</x:f>
        <x:v>67</x:v>
      </x:c>
      <x:c r="N1587" s="2" t="n">
        <x:v>0</x:v>
      </x:c>
      <x:c r="O1587" s="2" t="str">
        <x:v>relleno_postmuerte</x:v>
      </x:c>
      <x:c r="P1587" s="2" t="n">
        <x:v>0</x:v>
      </x:c>
      <x:c r="Q1587" s="2" t="str">
        <x:v>simulado_didactico</x:v>
      </x:c>
    </x:row>
    <x:row r="1588" ht="19" customHeight="1">
      <x:c r="A1588" s="2" t="str">
        <x:v>SIM-E2-MP-L0-R08</x:v>
      </x:c>
      <x:c r="B1588" s="2" t="n">
        <x:v>4</x:v>
      </x:c>
      <x:c r="C1588" s="2" t="str">
        <x:v>MP</x:v>
      </x:c>
      <x:c r="D1588" s="2" t="str">
        <x:v>Myzus persicae</x:v>
      </x:c>
      <x:c r="E1588" s="2" t="str">
        <x:v>L0</x:v>
      </x:c>
      <x:c r="F1588" s="2" t="n">
        <x:v>8</x:v>
      </x:c>
      <x:c r="G1588" s="2" t="n">
        <x:v>32</x:v>
      </x:c>
      <x:c r="H1588" s="2" t="n">
        <x:f>G1588+Supuestos!$C$15</x:f>
        <x:v>33</x:v>
      </x:c>
      <x:c r="I1588" s="14" t="n">
        <x:f>E2_plantas!J39+G1588</x:f>
        <x:v>46227</x:v>
      </x:c>
      <x:c r="J1588" s="2" t="str">
        <x:v>muerta</x:v>
      </x:c>
      <x:c r="K1588" s="2" t="n">
        <x:v>0</x:v>
      </x:c>
      <x:c r="L1588" s="2" t="n">
        <x:v>0</x:v>
      </x:c>
      <x:c r="M1588" s="2" t="n">
        <x:f>SUM(L$1556:L1588)</x:f>
        <x:v>67</x:v>
      </x:c>
      <x:c r="N1588" s="2" t="n">
        <x:v>0</x:v>
      </x:c>
      <x:c r="O1588" s="2" t="str">
        <x:v>relleno_postmuerte</x:v>
      </x:c>
      <x:c r="P1588" s="2" t="n">
        <x:v>0</x:v>
      </x:c>
      <x:c r="Q1588" s="2" t="str">
        <x:v>simulado_didactico</x:v>
      </x:c>
    </x:row>
    <x:row r="1589" ht="19" customHeight="1">
      <x:c r="A1589" s="2" t="str">
        <x:v>SIM-E2-MP-L0-R08</x:v>
      </x:c>
      <x:c r="B1589" s="2" t="n">
        <x:v>4</x:v>
      </x:c>
      <x:c r="C1589" s="2" t="str">
        <x:v>MP</x:v>
      </x:c>
      <x:c r="D1589" s="2" t="str">
        <x:v>Myzus persicae</x:v>
      </x:c>
      <x:c r="E1589" s="2" t="str">
        <x:v>L0</x:v>
      </x:c>
      <x:c r="F1589" s="2" t="n">
        <x:v>8</x:v>
      </x:c>
      <x:c r="G1589" s="2" t="n">
        <x:v>33</x:v>
      </x:c>
      <x:c r="H1589" s="2" t="n">
        <x:f>G1589+Supuestos!$C$15</x:f>
        <x:v>34</x:v>
      </x:c>
      <x:c r="I1589" s="14" t="n">
        <x:f>E2_plantas!J39+G1589</x:f>
        <x:v>46228</x:v>
      </x:c>
      <x:c r="J1589" s="2" t="str">
        <x:v>muerta</x:v>
      </x:c>
      <x:c r="K1589" s="2" t="n">
        <x:v>0</x:v>
      </x:c>
      <x:c r="L1589" s="2" t="n">
        <x:v>0</x:v>
      </x:c>
      <x:c r="M1589" s="2" t="n">
        <x:f>SUM(L$1556:L1589)</x:f>
        <x:v>67</x:v>
      </x:c>
      <x:c r="N1589" s="2" t="n">
        <x:v>0</x:v>
      </x:c>
      <x:c r="O1589" s="2" t="str">
        <x:v>relleno_postmuerte</x:v>
      </x:c>
      <x:c r="P1589" s="2" t="n">
        <x:v>0</x:v>
      </x:c>
      <x:c r="Q1589" s="2" t="str">
        <x:v>simulado_didactico</x:v>
      </x:c>
    </x:row>
    <x:row r="1590" ht="19" customHeight="1">
      <x:c r="A1590" s="2" t="str">
        <x:v>SIM-E2-MP-L0-R08</x:v>
      </x:c>
      <x:c r="B1590" s="2" t="n">
        <x:v>4</x:v>
      </x:c>
      <x:c r="C1590" s="2" t="str">
        <x:v>MP</x:v>
      </x:c>
      <x:c r="D1590" s="2" t="str">
        <x:v>Myzus persicae</x:v>
      </x:c>
      <x:c r="E1590" s="2" t="str">
        <x:v>L0</x:v>
      </x:c>
      <x:c r="F1590" s="2" t="n">
        <x:v>8</x:v>
      </x:c>
      <x:c r="G1590" s="2" t="n">
        <x:v>34</x:v>
      </x:c>
      <x:c r="H1590" s="2" t="n">
        <x:f>G1590+Supuestos!$C$15</x:f>
        <x:v>35</x:v>
      </x:c>
      <x:c r="I1590" s="14" t="n">
        <x:f>E2_plantas!J39+G1590</x:f>
        <x:v>46229</x:v>
      </x:c>
      <x:c r="J1590" s="2" t="str">
        <x:v>muerta</x:v>
      </x:c>
      <x:c r="K1590" s="2" t="n">
        <x:v>0</x:v>
      </x:c>
      <x:c r="L1590" s="2" t="n">
        <x:v>0</x:v>
      </x:c>
      <x:c r="M1590" s="2" t="n">
        <x:f>SUM(L$1556:L1590)</x:f>
        <x:v>67</x:v>
      </x:c>
      <x:c r="N1590" s="2" t="n">
        <x:v>0</x:v>
      </x:c>
      <x:c r="O1590" s="2" t="str">
        <x:v>relleno_postmuerte</x:v>
      </x:c>
      <x:c r="P1590" s="2" t="n">
        <x:v>0</x:v>
      </x:c>
      <x:c r="Q1590" s="2" t="str">
        <x:v>simulado_didactico</x:v>
      </x:c>
    </x:row>
    <x:row r="1591" ht="19" customHeight="1">
      <x:c r="A1591" s="2" t="str">
        <x:v>SIM-E2-MP-L0-R08</x:v>
      </x:c>
      <x:c r="B1591" s="2" t="n">
        <x:v>4</x:v>
      </x:c>
      <x:c r="C1591" s="2" t="str">
        <x:v>MP</x:v>
      </x:c>
      <x:c r="D1591" s="2" t="str">
        <x:v>Myzus persicae</x:v>
      </x:c>
      <x:c r="E1591" s="2" t="str">
        <x:v>L0</x:v>
      </x:c>
      <x:c r="F1591" s="2" t="n">
        <x:v>8</x:v>
      </x:c>
      <x:c r="G1591" s="2" t="n">
        <x:v>35</x:v>
      </x:c>
      <x:c r="H1591" s="2" t="n">
        <x:f>G1591+Supuestos!$C$15</x:f>
        <x:v>36</x:v>
      </x:c>
      <x:c r="I1591" s="14" t="n">
        <x:f>E2_plantas!J39+G1591</x:f>
        <x:v>46230</x:v>
      </x:c>
      <x:c r="J1591" s="2" t="str">
        <x:v>muerta</x:v>
      </x:c>
      <x:c r="K1591" s="2" t="n">
        <x:v>0</x:v>
      </x:c>
      <x:c r="L1591" s="2" t="n">
        <x:v>0</x:v>
      </x:c>
      <x:c r="M1591" s="2" t="n">
        <x:f>SUM(L$1556:L1591)</x:f>
        <x:v>67</x:v>
      </x:c>
      <x:c r="N1591" s="2" t="n">
        <x:v>0</x:v>
      </x:c>
      <x:c r="O1591" s="2" t="str">
        <x:v>relleno_postmuerte</x:v>
      </x:c>
      <x:c r="P1591" s="2" t="n">
        <x:v>0</x:v>
      </x:c>
      <x:c r="Q1591" s="2" t="str">
        <x:v>simulado_didactico</x:v>
      </x:c>
    </x:row>
    <x:row r="1592" ht="19" customHeight="1">
      <x:c r="A1592" s="2" t="str">
        <x:v>SIM-E2-MP-L0-R08</x:v>
      </x:c>
      <x:c r="B1592" s="2" t="n">
        <x:v>4</x:v>
      </x:c>
      <x:c r="C1592" s="2" t="str">
        <x:v>MP</x:v>
      </x:c>
      <x:c r="D1592" s="2" t="str">
        <x:v>Myzus persicae</x:v>
      </x:c>
      <x:c r="E1592" s="2" t="str">
        <x:v>L0</x:v>
      </x:c>
      <x:c r="F1592" s="2" t="n">
        <x:v>8</x:v>
      </x:c>
      <x:c r="G1592" s="2" t="n">
        <x:v>36</x:v>
      </x:c>
      <x:c r="H1592" s="2" t="n">
        <x:f>G1592+Supuestos!$C$15</x:f>
        <x:v>37</x:v>
      </x:c>
      <x:c r="I1592" s="14" t="n">
        <x:f>E2_plantas!J39+G1592</x:f>
        <x:v>46231</x:v>
      </x:c>
      <x:c r="J1592" s="2" t="str">
        <x:v>muerta</x:v>
      </x:c>
      <x:c r="K1592" s="2" t="n">
        <x:v>0</x:v>
      </x:c>
      <x:c r="L1592" s="2" t="n">
        <x:v>0</x:v>
      </x:c>
      <x:c r="M1592" s="2" t="n">
        <x:f>SUM(L$1556:L1592)</x:f>
        <x:v>67</x:v>
      </x:c>
      <x:c r="N1592" s="2" t="n">
        <x:v>0</x:v>
      </x:c>
      <x:c r="O1592" s="2" t="str">
        <x:v>relleno_postmuerte</x:v>
      </x:c>
      <x:c r="P1592" s="2" t="n">
        <x:v>0</x:v>
      </x:c>
      <x:c r="Q1592" s="2" t="str">
        <x:v>simulado_didactico</x:v>
      </x:c>
    </x:row>
    <x:row r="1593" ht="19" customHeight="1">
      <x:c r="A1593" s="2" t="str">
        <x:v>SIM-E2-MP-L0-R08</x:v>
      </x:c>
      <x:c r="B1593" s="2" t="n">
        <x:v>4</x:v>
      </x:c>
      <x:c r="C1593" s="2" t="str">
        <x:v>MP</x:v>
      </x:c>
      <x:c r="D1593" s="2" t="str">
        <x:v>Myzus persicae</x:v>
      </x:c>
      <x:c r="E1593" s="2" t="str">
        <x:v>L0</x:v>
      </x:c>
      <x:c r="F1593" s="2" t="n">
        <x:v>8</x:v>
      </x:c>
      <x:c r="G1593" s="2" t="n">
        <x:v>37</x:v>
      </x:c>
      <x:c r="H1593" s="2" t="n">
        <x:f>G1593+Supuestos!$C$15</x:f>
        <x:v>38</x:v>
      </x:c>
      <x:c r="I1593" s="14" t="n">
        <x:f>E2_plantas!J39+G1593</x:f>
        <x:v>46232</x:v>
      </x:c>
      <x:c r="J1593" s="2" t="str">
        <x:v>muerta</x:v>
      </x:c>
      <x:c r="K1593" s="2" t="n">
        <x:v>0</x:v>
      </x:c>
      <x:c r="L1593" s="2" t="n">
        <x:v>0</x:v>
      </x:c>
      <x:c r="M1593" s="2" t="n">
        <x:f>SUM(L$1556:L1593)</x:f>
        <x:v>67</x:v>
      </x:c>
      <x:c r="N1593" s="2" t="n">
        <x:v>0</x:v>
      </x:c>
      <x:c r="O1593" s="2" t="str">
        <x:v>relleno_postmuerte</x:v>
      </x:c>
      <x:c r="P1593" s="2" t="n">
        <x:v>0</x:v>
      </x:c>
      <x:c r="Q1593" s="2" t="str">
        <x:v>simulado_didactico</x:v>
      </x:c>
    </x:row>
    <x:row r="1594" ht="19" customHeight="1">
      <x:c r="A1594" s="2" t="str">
        <x:v>SIM-E2-MP-L0-R08</x:v>
      </x:c>
      <x:c r="B1594" s="2" t="n">
        <x:v>4</x:v>
      </x:c>
      <x:c r="C1594" s="2" t="str">
        <x:v>MP</x:v>
      </x:c>
      <x:c r="D1594" s="2" t="str">
        <x:v>Myzus persicae</x:v>
      </x:c>
      <x:c r="E1594" s="2" t="str">
        <x:v>L0</x:v>
      </x:c>
      <x:c r="F1594" s="2" t="n">
        <x:v>8</x:v>
      </x:c>
      <x:c r="G1594" s="2" t="n">
        <x:v>38</x:v>
      </x:c>
      <x:c r="H1594" s="2" t="n">
        <x:f>G1594+Supuestos!$C$15</x:f>
        <x:v>39</x:v>
      </x:c>
      <x:c r="I1594" s="14" t="n">
        <x:f>E2_plantas!J39+G1594</x:f>
        <x:v>46233</x:v>
      </x:c>
      <x:c r="J1594" s="2" t="str">
        <x:v>muerta</x:v>
      </x:c>
      <x:c r="K1594" s="2" t="n">
        <x:v>0</x:v>
      </x:c>
      <x:c r="L1594" s="2" t="n">
        <x:v>0</x:v>
      </x:c>
      <x:c r="M1594" s="2" t="n">
        <x:f>SUM(L$1556:L1594)</x:f>
        <x:v>67</x:v>
      </x:c>
      <x:c r="N1594" s="2" t="n">
        <x:v>0</x:v>
      </x:c>
      <x:c r="O1594" s="2" t="str">
        <x:v>relleno_postmuerte</x:v>
      </x:c>
      <x:c r="P1594" s="2" t="n">
        <x:v>0</x:v>
      </x:c>
      <x:c r="Q1594" s="2" t="str">
        <x:v>simulado_didactico</x:v>
      </x:c>
    </x:row>
    <x:row r="1595" ht="19" customHeight="1">
      <x:c r="A1595" s="2" t="str">
        <x:v>SIM-E2-MP-L0-R08</x:v>
      </x:c>
      <x:c r="B1595" s="2" t="n">
        <x:v>4</x:v>
      </x:c>
      <x:c r="C1595" s="2" t="str">
        <x:v>MP</x:v>
      </x:c>
      <x:c r="D1595" s="2" t="str">
        <x:v>Myzus persicae</x:v>
      </x:c>
      <x:c r="E1595" s="2" t="str">
        <x:v>L0</x:v>
      </x:c>
      <x:c r="F1595" s="2" t="n">
        <x:v>8</x:v>
      </x:c>
      <x:c r="G1595" s="2" t="n">
        <x:v>39</x:v>
      </x:c>
      <x:c r="H1595" s="2" t="n">
        <x:f>G1595+Supuestos!$C$15</x:f>
        <x:v>40</x:v>
      </x:c>
      <x:c r="I1595" s="14" t="n">
        <x:f>E2_plantas!J39+G1595</x:f>
        <x:v>46234</x:v>
      </x:c>
      <x:c r="J1595" s="2" t="str">
        <x:v>muerta</x:v>
      </x:c>
      <x:c r="K1595" s="2" t="n">
        <x:v>0</x:v>
      </x:c>
      <x:c r="L1595" s="2" t="n">
        <x:v>0</x:v>
      </x:c>
      <x:c r="M1595" s="2" t="n">
        <x:f>SUM(L$1556:L1595)</x:f>
        <x:v>67</x:v>
      </x:c>
      <x:c r="N1595" s="2" t="n">
        <x:v>0</x:v>
      </x:c>
      <x:c r="O1595" s="2" t="str">
        <x:v>relleno_postmuerte</x:v>
      </x:c>
      <x:c r="P1595" s="2" t="n">
        <x:v>0</x:v>
      </x:c>
      <x:c r="Q1595" s="2" t="str">
        <x:v>simulado_didactico</x:v>
      </x:c>
    </x:row>
    <x:row r="1596" ht="19" customHeight="1">
      <x:c r="A1596" s="2" t="str">
        <x:v>SIM-E2-MP-L0-R08</x:v>
      </x:c>
      <x:c r="B1596" s="2" t="n">
        <x:v>4</x:v>
      </x:c>
      <x:c r="C1596" s="2" t="str">
        <x:v>MP</x:v>
      </x:c>
      <x:c r="D1596" s="2" t="str">
        <x:v>Myzus persicae</x:v>
      </x:c>
      <x:c r="E1596" s="2" t="str">
        <x:v>L0</x:v>
      </x:c>
      <x:c r="F1596" s="2" t="n">
        <x:v>8</x:v>
      </x:c>
      <x:c r="G1596" s="2" t="n">
        <x:v>40</x:v>
      </x:c>
      <x:c r="H1596" s="2" t="n">
        <x:f>G1596+Supuestos!$C$15</x:f>
        <x:v>41</x:v>
      </x:c>
      <x:c r="I1596" s="14" t="n">
        <x:f>E2_plantas!J39+G1596</x:f>
        <x:v>46235</x:v>
      </x:c>
      <x:c r="J1596" s="2" t="str">
        <x:v>muerta</x:v>
      </x:c>
      <x:c r="K1596" s="2" t="n">
        <x:v>0</x:v>
      </x:c>
      <x:c r="L1596" s="2" t="n">
        <x:v>0</x:v>
      </x:c>
      <x:c r="M1596" s="2" t="n">
        <x:f>SUM(L$1556:L1596)</x:f>
        <x:v>67</x:v>
      </x:c>
      <x:c r="N1596" s="2" t="n">
        <x:v>0</x:v>
      </x:c>
      <x:c r="O1596" s="2" t="str">
        <x:v>relleno_postmuerte</x:v>
      </x:c>
      <x:c r="P1596" s="2" t="n">
        <x:v>0</x:v>
      </x:c>
      <x:c r="Q1596" s="2" t="str">
        <x:v>simulado_didactico</x:v>
      </x:c>
    </x:row>
    <x:row r="1597" ht="19" customHeight="1">
      <x:c r="A1597" s="2" t="str">
        <x:v>SIM-E2-MP-L0-R08</x:v>
      </x:c>
      <x:c r="B1597" s="2" t="n">
        <x:v>4</x:v>
      </x:c>
      <x:c r="C1597" s="2" t="str">
        <x:v>MP</x:v>
      </x:c>
      <x:c r="D1597" s="2" t="str">
        <x:v>Myzus persicae</x:v>
      </x:c>
      <x:c r="E1597" s="2" t="str">
        <x:v>L0</x:v>
      </x:c>
      <x:c r="F1597" s="2" t="n">
        <x:v>8</x:v>
      </x:c>
      <x:c r="G1597" s="2" t="n">
        <x:v>41</x:v>
      </x:c>
      <x:c r="H1597" s="2" t="n">
        <x:f>G1597+Supuestos!$C$15</x:f>
        <x:v>42</x:v>
      </x:c>
      <x:c r="I1597" s="14" t="n">
        <x:f>E2_plantas!J39+G1597</x:f>
        <x:v>46236</x:v>
      </x:c>
      <x:c r="J1597" s="2" t="str">
        <x:v>muerta</x:v>
      </x:c>
      <x:c r="K1597" s="2" t="n">
        <x:v>0</x:v>
      </x:c>
      <x:c r="L1597" s="2" t="n">
        <x:v>0</x:v>
      </x:c>
      <x:c r="M1597" s="2" t="n">
        <x:f>SUM(L$1556:L1597)</x:f>
        <x:v>67</x:v>
      </x:c>
      <x:c r="N1597" s="2" t="n">
        <x:v>0</x:v>
      </x:c>
      <x:c r="O1597" s="2" t="str">
        <x:v>relleno_postmuerte</x:v>
      </x:c>
      <x:c r="P1597" s="2" t="n">
        <x:v>0</x:v>
      </x:c>
      <x:c r="Q1597" s="2" t="str">
        <x:v>simulado_didactico</x:v>
      </x:c>
    </x:row>
    <x:row r="1598" ht="19" customHeight="1">
      <x:c r="A1598" s="2" t="str">
        <x:v>SIM-E2-MP-L8-R07</x:v>
      </x:c>
      <x:c r="B1598" s="2" t="n">
        <x:v>4</x:v>
      </x:c>
      <x:c r="C1598" s="2" t="str">
        <x:v>MP</x:v>
      </x:c>
      <x:c r="D1598" s="2" t="str">
        <x:v>Myzus persicae</x:v>
      </x:c>
      <x:c r="E1598" s="2" t="str">
        <x:v>L8</x:v>
      </x:c>
      <x:c r="F1598" s="2" t="n">
        <x:v>7</x:v>
      </x:c>
      <x:c r="G1598" s="2" t="n">
        <x:v>0</x:v>
      </x:c>
      <x:c r="H1598" s="2" t="n">
        <x:f>G1598+Supuestos!$C$15</x:f>
        <x:v>1</x:v>
      </x:c>
      <x:c r="I1598" s="14" t="n">
        <x:f>E2_plantas!J40+G1598</x:f>
        <x:v>46195</x:v>
      </x:c>
      <x:c r="J1598" s="2" t="str">
        <x:v>N1</x:v>
      </x:c>
      <x:c r="K1598" s="2" t="n">
        <x:v>1</x:v>
      </x:c>
      <x:c r="L1598" s="2" t="n">
        <x:v>0</x:v>
      </x:c>
      <x:c r="M1598" s="2" t="n">
        <x:f>SUM(L$1598:L1598)</x:f>
        <x:v>0</x:v>
      </x:c>
      <x:c r="N1598" s="2" t="n">
        <x:v>0</x:v>
      </x:c>
      <x:c r="O1598" s="2" t="str">
        <x:v>seguimiento</x:v>
      </x:c>
      <x:c r="P1598" s="2" t="n">
        <x:v>0</x:v>
      </x:c>
      <x:c r="Q1598" s="2" t="str">
        <x:v>simulado_didactico</x:v>
      </x:c>
    </x:row>
    <x:row r="1599" ht="19" customHeight="1">
      <x:c r="A1599" s="2" t="str">
        <x:v>SIM-E2-MP-L8-R07</x:v>
      </x:c>
      <x:c r="B1599" s="2" t="n">
        <x:v>4</x:v>
      </x:c>
      <x:c r="C1599" s="2" t="str">
        <x:v>MP</x:v>
      </x:c>
      <x:c r="D1599" s="2" t="str">
        <x:v>Myzus persicae</x:v>
      </x:c>
      <x:c r="E1599" s="2" t="str">
        <x:v>L8</x:v>
      </x:c>
      <x:c r="F1599" s="2" t="n">
        <x:v>7</x:v>
      </x:c>
      <x:c r="G1599" s="2" t="n">
        <x:v>1</x:v>
      </x:c>
      <x:c r="H1599" s="2" t="n">
        <x:f>G1599+Supuestos!$C$15</x:f>
        <x:v>2</x:v>
      </x:c>
      <x:c r="I1599" s="14" t="n">
        <x:f>E2_plantas!J40+G1599</x:f>
        <x:v>46196</x:v>
      </x:c>
      <x:c r="J1599" s="2" t="str">
        <x:v>N1</x:v>
      </x:c>
      <x:c r="K1599" s="2" t="n">
        <x:v>1</x:v>
      </x:c>
      <x:c r="L1599" s="2" t="n">
        <x:v>0</x:v>
      </x:c>
      <x:c r="M1599" s="2" t="n">
        <x:f>SUM(L$1598:L1599)</x:f>
        <x:v>0</x:v>
      </x:c>
      <x:c r="N1599" s="2" t="n">
        <x:v>0</x:v>
      </x:c>
      <x:c r="O1599" s="2" t="str">
        <x:v>seguimiento</x:v>
      </x:c>
      <x:c r="P1599" s="2" t="n">
        <x:v>0</x:v>
      </x:c>
      <x:c r="Q1599" s="2" t="str">
        <x:v>simulado_didactico</x:v>
      </x:c>
    </x:row>
    <x:row r="1600" ht="19" customHeight="1">
      <x:c r="A1600" s="2" t="str">
        <x:v>SIM-E2-MP-L8-R07</x:v>
      </x:c>
      <x:c r="B1600" s="2" t="n">
        <x:v>4</x:v>
      </x:c>
      <x:c r="C1600" s="2" t="str">
        <x:v>MP</x:v>
      </x:c>
      <x:c r="D1600" s="2" t="str">
        <x:v>Myzus persicae</x:v>
      </x:c>
      <x:c r="E1600" s="2" t="str">
        <x:v>L8</x:v>
      </x:c>
      <x:c r="F1600" s="2" t="n">
        <x:v>7</x:v>
      </x:c>
      <x:c r="G1600" s="2" t="n">
        <x:v>2</x:v>
      </x:c>
      <x:c r="H1600" s="2" t="n">
        <x:f>G1600+Supuestos!$C$15</x:f>
        <x:v>3</x:v>
      </x:c>
      <x:c r="I1600" s="14" t="n">
        <x:f>E2_plantas!J40+G1600</x:f>
        <x:v>46197</x:v>
      </x:c>
      <x:c r="J1600" s="2" t="str">
        <x:v>N1</x:v>
      </x:c>
      <x:c r="K1600" s="2" t="n">
        <x:v>1</x:v>
      </x:c>
      <x:c r="L1600" s="2" t="n">
        <x:v>0</x:v>
      </x:c>
      <x:c r="M1600" s="2" t="n">
        <x:f>SUM(L$1598:L1600)</x:f>
        <x:v>0</x:v>
      </x:c>
      <x:c r="N1600" s="2" t="n">
        <x:v>0</x:v>
      </x:c>
      <x:c r="O1600" s="2" t="str">
        <x:v>seguimiento</x:v>
      </x:c>
      <x:c r="P1600" s="2" t="n">
        <x:v>0</x:v>
      </x:c>
      <x:c r="Q1600" s="2" t="str">
        <x:v>simulado_didactico</x:v>
      </x:c>
    </x:row>
    <x:row r="1601" ht="19" customHeight="1">
      <x:c r="A1601" s="2" t="str">
        <x:v>SIM-E2-MP-L8-R07</x:v>
      </x:c>
      <x:c r="B1601" s="2" t="n">
        <x:v>4</x:v>
      </x:c>
      <x:c r="C1601" s="2" t="str">
        <x:v>MP</x:v>
      </x:c>
      <x:c r="D1601" s="2" t="str">
        <x:v>Myzus persicae</x:v>
      </x:c>
      <x:c r="E1601" s="2" t="str">
        <x:v>L8</x:v>
      </x:c>
      <x:c r="F1601" s="2" t="n">
        <x:v>7</x:v>
      </x:c>
      <x:c r="G1601" s="2" t="n">
        <x:v>3</x:v>
      </x:c>
      <x:c r="H1601" s="2" t="n">
        <x:f>G1601+Supuestos!$C$15</x:f>
        <x:v>4</x:v>
      </x:c>
      <x:c r="I1601" s="14" t="n">
        <x:f>E2_plantas!J40+G1601</x:f>
        <x:v>46198</x:v>
      </x:c>
      <x:c r="J1601" s="2" t="str">
        <x:v>muerta</x:v>
      </x:c>
      <x:c r="K1601" s="2" t="n">
        <x:v>0</x:v>
      </x:c>
      <x:c r="L1601" s="2" t="n">
        <x:v>0</x:v>
      </x:c>
      <x:c r="M1601" s="2" t="n">
        <x:f>SUM(L$1598:L1601)</x:f>
        <x:v>0</x:v>
      </x:c>
      <x:c r="N1601" s="2" t="n">
        <x:v>1</x:v>
      </x:c>
      <x:c r="O1601" s="2" t="str">
        <x:v>muerte</x:v>
      </x:c>
      <x:c r="P1601" s="2" t="n">
        <x:v>0</x:v>
      </x:c>
      <x:c r="Q1601" s="2" t="str">
        <x:v>simulado_didactico</x:v>
      </x:c>
    </x:row>
    <x:row r="1602" ht="19" customHeight="1">
      <x:c r="A1602" s="2" t="str">
        <x:v>SIM-E2-MP-L8-R07</x:v>
      </x:c>
      <x:c r="B1602" s="2" t="n">
        <x:v>4</x:v>
      </x:c>
      <x:c r="C1602" s="2" t="str">
        <x:v>MP</x:v>
      </x:c>
      <x:c r="D1602" s="2" t="str">
        <x:v>Myzus persicae</x:v>
      </x:c>
      <x:c r="E1602" s="2" t="str">
        <x:v>L8</x:v>
      </x:c>
      <x:c r="F1602" s="2" t="n">
        <x:v>7</x:v>
      </x:c>
      <x:c r="G1602" s="2" t="n">
        <x:v>4</x:v>
      </x:c>
      <x:c r="H1602" s="2" t="n">
        <x:f>G1602+Supuestos!$C$15</x:f>
        <x:v>5</x:v>
      </x:c>
      <x:c r="I1602" s="14" t="n">
        <x:f>E2_plantas!J40+G1602</x:f>
        <x:v>46199</x:v>
      </x:c>
      <x:c r="J1602" s="2" t="str">
        <x:v>muerta</x:v>
      </x:c>
      <x:c r="K1602" s="2" t="n">
        <x:v>0</x:v>
      </x:c>
      <x:c r="L1602" s="2" t="n">
        <x:v>0</x:v>
      </x:c>
      <x:c r="M1602" s="2" t="n">
        <x:f>SUM(L$1598:L1602)</x:f>
        <x:v>0</x:v>
      </x:c>
      <x:c r="N1602" s="2" t="n">
        <x:v>0</x:v>
      </x:c>
      <x:c r="O1602" s="2" t="str">
        <x:v>relleno_postmuerte</x:v>
      </x:c>
      <x:c r="P1602" s="2" t="n">
        <x:v>0</x:v>
      </x:c>
      <x:c r="Q1602" s="2" t="str">
        <x:v>simulado_didactico</x:v>
      </x:c>
    </x:row>
    <x:row r="1603" ht="19" customHeight="1">
      <x:c r="A1603" s="2" t="str">
        <x:v>SIM-E2-MP-L8-R07</x:v>
      </x:c>
      <x:c r="B1603" s="2" t="n">
        <x:v>4</x:v>
      </x:c>
      <x:c r="C1603" s="2" t="str">
        <x:v>MP</x:v>
      </x:c>
      <x:c r="D1603" s="2" t="str">
        <x:v>Myzus persicae</x:v>
      </x:c>
      <x:c r="E1603" s="2" t="str">
        <x:v>L8</x:v>
      </x:c>
      <x:c r="F1603" s="2" t="n">
        <x:v>7</x:v>
      </x:c>
      <x:c r="G1603" s="2" t="n">
        <x:v>5</x:v>
      </x:c>
      <x:c r="H1603" s="2" t="n">
        <x:f>G1603+Supuestos!$C$15</x:f>
        <x:v>6</x:v>
      </x:c>
      <x:c r="I1603" s="14" t="n">
        <x:f>E2_plantas!J40+G1603</x:f>
        <x:v>46200</x:v>
      </x:c>
      <x:c r="J1603" s="2" t="str">
        <x:v>muerta</x:v>
      </x:c>
      <x:c r="K1603" s="2" t="n">
        <x:v>0</x:v>
      </x:c>
      <x:c r="L1603" s="2" t="n">
        <x:v>0</x:v>
      </x:c>
      <x:c r="M1603" s="2" t="n">
        <x:f>SUM(L$1598:L1603)</x:f>
        <x:v>0</x:v>
      </x:c>
      <x:c r="N1603" s="2" t="n">
        <x:v>0</x:v>
      </x:c>
      <x:c r="O1603" s="2" t="str">
        <x:v>relleno_postmuerte</x:v>
      </x:c>
      <x:c r="P1603" s="2" t="n">
        <x:v>0</x:v>
      </x:c>
      <x:c r="Q1603" s="2" t="str">
        <x:v>simulado_didactico</x:v>
      </x:c>
    </x:row>
    <x:row r="1604" ht="19" customHeight="1">
      <x:c r="A1604" s="2" t="str">
        <x:v>SIM-E2-MP-L8-R07</x:v>
      </x:c>
      <x:c r="B1604" s="2" t="n">
        <x:v>4</x:v>
      </x:c>
      <x:c r="C1604" s="2" t="str">
        <x:v>MP</x:v>
      </x:c>
      <x:c r="D1604" s="2" t="str">
        <x:v>Myzus persicae</x:v>
      </x:c>
      <x:c r="E1604" s="2" t="str">
        <x:v>L8</x:v>
      </x:c>
      <x:c r="F1604" s="2" t="n">
        <x:v>7</x:v>
      </x:c>
      <x:c r="G1604" s="2" t="n">
        <x:v>6</x:v>
      </x:c>
      <x:c r="H1604" s="2" t="n">
        <x:f>G1604+Supuestos!$C$15</x:f>
        <x:v>7</x:v>
      </x:c>
      <x:c r="I1604" s="14" t="n">
        <x:f>E2_plantas!J40+G1604</x:f>
        <x:v>46201</x:v>
      </x:c>
      <x:c r="J1604" s="2" t="str">
        <x:v>muerta</x:v>
      </x:c>
      <x:c r="K1604" s="2" t="n">
        <x:v>0</x:v>
      </x:c>
      <x:c r="L1604" s="2" t="n">
        <x:v>0</x:v>
      </x:c>
      <x:c r="M1604" s="2" t="n">
        <x:f>SUM(L$1598:L1604)</x:f>
        <x:v>0</x:v>
      </x:c>
      <x:c r="N1604" s="2" t="n">
        <x:v>0</x:v>
      </x:c>
      <x:c r="O1604" s="2" t="str">
        <x:v>relleno_postmuerte</x:v>
      </x:c>
      <x:c r="P1604" s="2" t="n">
        <x:v>0</x:v>
      </x:c>
      <x:c r="Q1604" s="2" t="str">
        <x:v>simulado_didactico</x:v>
      </x:c>
    </x:row>
    <x:row r="1605" ht="19" customHeight="1">
      <x:c r="A1605" s="2" t="str">
        <x:v>SIM-E2-MP-L8-R07</x:v>
      </x:c>
      <x:c r="B1605" s="2" t="n">
        <x:v>4</x:v>
      </x:c>
      <x:c r="C1605" s="2" t="str">
        <x:v>MP</x:v>
      </x:c>
      <x:c r="D1605" s="2" t="str">
        <x:v>Myzus persicae</x:v>
      </x:c>
      <x:c r="E1605" s="2" t="str">
        <x:v>L8</x:v>
      </x:c>
      <x:c r="F1605" s="2" t="n">
        <x:v>7</x:v>
      </x:c>
      <x:c r="G1605" s="2" t="n">
        <x:v>7</x:v>
      </x:c>
      <x:c r="H1605" s="2" t="n">
        <x:f>G1605+Supuestos!$C$15</x:f>
        <x:v>8</x:v>
      </x:c>
      <x:c r="I1605" s="14" t="n">
        <x:f>E2_plantas!J40+G1605</x:f>
        <x:v>46202</x:v>
      </x:c>
      <x:c r="J1605" s="2" t="str">
        <x:v>muerta</x:v>
      </x:c>
      <x:c r="K1605" s="2" t="n">
        <x:v>0</x:v>
      </x:c>
      <x:c r="L1605" s="2" t="n">
        <x:v>0</x:v>
      </x:c>
      <x:c r="M1605" s="2" t="n">
        <x:f>SUM(L$1598:L1605)</x:f>
        <x:v>0</x:v>
      </x:c>
      <x:c r="N1605" s="2" t="n">
        <x:v>0</x:v>
      </x:c>
      <x:c r="O1605" s="2" t="str">
        <x:v>relleno_postmuerte</x:v>
      </x:c>
      <x:c r="P1605" s="2" t="n">
        <x:v>0</x:v>
      </x:c>
      <x:c r="Q1605" s="2" t="str">
        <x:v>simulado_didactico</x:v>
      </x:c>
    </x:row>
    <x:row r="1606" ht="19" customHeight="1">
      <x:c r="A1606" s="2" t="str">
        <x:v>SIM-E2-MP-L8-R07</x:v>
      </x:c>
      <x:c r="B1606" s="2" t="n">
        <x:v>4</x:v>
      </x:c>
      <x:c r="C1606" s="2" t="str">
        <x:v>MP</x:v>
      </x:c>
      <x:c r="D1606" s="2" t="str">
        <x:v>Myzus persicae</x:v>
      </x:c>
      <x:c r="E1606" s="2" t="str">
        <x:v>L8</x:v>
      </x:c>
      <x:c r="F1606" s="2" t="n">
        <x:v>7</x:v>
      </x:c>
      <x:c r="G1606" s="2" t="n">
        <x:v>8</x:v>
      </x:c>
      <x:c r="H1606" s="2" t="n">
        <x:f>G1606+Supuestos!$C$15</x:f>
        <x:v>9</x:v>
      </x:c>
      <x:c r="I1606" s="14" t="n">
        <x:f>E2_plantas!J40+G1606</x:f>
        <x:v>46203</x:v>
      </x:c>
      <x:c r="J1606" s="2" t="str">
        <x:v>muerta</x:v>
      </x:c>
      <x:c r="K1606" s="2" t="n">
        <x:v>0</x:v>
      </x:c>
      <x:c r="L1606" s="2" t="n">
        <x:v>0</x:v>
      </x:c>
      <x:c r="M1606" s="2" t="n">
        <x:f>SUM(L$1598:L1606)</x:f>
        <x:v>0</x:v>
      </x:c>
      <x:c r="N1606" s="2" t="n">
        <x:v>0</x:v>
      </x:c>
      <x:c r="O1606" s="2" t="str">
        <x:v>relleno_postmuerte</x:v>
      </x:c>
      <x:c r="P1606" s="2" t="n">
        <x:v>0</x:v>
      </x:c>
      <x:c r="Q1606" s="2" t="str">
        <x:v>simulado_didactico</x:v>
      </x:c>
    </x:row>
    <x:row r="1607" ht="19" customHeight="1">
      <x:c r="A1607" s="2" t="str">
        <x:v>SIM-E2-MP-L8-R07</x:v>
      </x:c>
      <x:c r="B1607" s="2" t="n">
        <x:v>4</x:v>
      </x:c>
      <x:c r="C1607" s="2" t="str">
        <x:v>MP</x:v>
      </x:c>
      <x:c r="D1607" s="2" t="str">
        <x:v>Myzus persicae</x:v>
      </x:c>
      <x:c r="E1607" s="2" t="str">
        <x:v>L8</x:v>
      </x:c>
      <x:c r="F1607" s="2" t="n">
        <x:v>7</x:v>
      </x:c>
      <x:c r="G1607" s="2" t="n">
        <x:v>9</x:v>
      </x:c>
      <x:c r="H1607" s="2" t="n">
        <x:f>G1607+Supuestos!$C$15</x:f>
        <x:v>10</x:v>
      </x:c>
      <x:c r="I1607" s="14" t="n">
        <x:f>E2_plantas!J40+G1607</x:f>
        <x:v>46204</x:v>
      </x:c>
      <x:c r="J1607" s="2" t="str">
        <x:v>muerta</x:v>
      </x:c>
      <x:c r="K1607" s="2" t="n">
        <x:v>0</x:v>
      </x:c>
      <x:c r="L1607" s="2" t="n">
        <x:v>0</x:v>
      </x:c>
      <x:c r="M1607" s="2" t="n">
        <x:f>SUM(L$1598:L1607)</x:f>
        <x:v>0</x:v>
      </x:c>
      <x:c r="N1607" s="2" t="n">
        <x:v>0</x:v>
      </x:c>
      <x:c r="O1607" s="2" t="str">
        <x:v>relleno_postmuerte</x:v>
      </x:c>
      <x:c r="P1607" s="2" t="n">
        <x:v>0</x:v>
      </x:c>
      <x:c r="Q1607" s="2" t="str">
        <x:v>simulado_didactico</x:v>
      </x:c>
    </x:row>
    <x:row r="1608" ht="19" customHeight="1">
      <x:c r="A1608" s="2" t="str">
        <x:v>SIM-E2-MP-L8-R07</x:v>
      </x:c>
      <x:c r="B1608" s="2" t="n">
        <x:v>4</x:v>
      </x:c>
      <x:c r="C1608" s="2" t="str">
        <x:v>MP</x:v>
      </x:c>
      <x:c r="D1608" s="2" t="str">
        <x:v>Myzus persicae</x:v>
      </x:c>
      <x:c r="E1608" s="2" t="str">
        <x:v>L8</x:v>
      </x:c>
      <x:c r="F1608" s="2" t="n">
        <x:v>7</x:v>
      </x:c>
      <x:c r="G1608" s="2" t="n">
        <x:v>10</x:v>
      </x:c>
      <x:c r="H1608" s="2" t="n">
        <x:f>G1608+Supuestos!$C$15</x:f>
        <x:v>11</x:v>
      </x:c>
      <x:c r="I1608" s="14" t="n">
        <x:f>E2_plantas!J40+G1608</x:f>
        <x:v>46205</x:v>
      </x:c>
      <x:c r="J1608" s="2" t="str">
        <x:v>muerta</x:v>
      </x:c>
      <x:c r="K1608" s="2" t="n">
        <x:v>0</x:v>
      </x:c>
      <x:c r="L1608" s="2" t="n">
        <x:v>0</x:v>
      </x:c>
      <x:c r="M1608" s="2" t="n">
        <x:f>SUM(L$1598:L1608)</x:f>
        <x:v>0</x:v>
      </x:c>
      <x:c r="N1608" s="2" t="n">
        <x:v>0</x:v>
      </x:c>
      <x:c r="O1608" s="2" t="str">
        <x:v>relleno_postmuerte</x:v>
      </x:c>
      <x:c r="P1608" s="2" t="n">
        <x:v>0</x:v>
      </x:c>
      <x:c r="Q1608" s="2" t="str">
        <x:v>simulado_didactico</x:v>
      </x:c>
    </x:row>
    <x:row r="1609" ht="19" customHeight="1">
      <x:c r="A1609" s="2" t="str">
        <x:v>SIM-E2-MP-L8-R07</x:v>
      </x:c>
      <x:c r="B1609" s="2" t="n">
        <x:v>4</x:v>
      </x:c>
      <x:c r="C1609" s="2" t="str">
        <x:v>MP</x:v>
      </x:c>
      <x:c r="D1609" s="2" t="str">
        <x:v>Myzus persicae</x:v>
      </x:c>
      <x:c r="E1609" s="2" t="str">
        <x:v>L8</x:v>
      </x:c>
      <x:c r="F1609" s="2" t="n">
        <x:v>7</x:v>
      </x:c>
      <x:c r="G1609" s="2" t="n">
        <x:v>11</x:v>
      </x:c>
      <x:c r="H1609" s="2" t="n">
        <x:f>G1609+Supuestos!$C$15</x:f>
        <x:v>12</x:v>
      </x:c>
      <x:c r="I1609" s="14" t="n">
        <x:f>E2_plantas!J40+G1609</x:f>
        <x:v>46206</x:v>
      </x:c>
      <x:c r="J1609" s="2" t="str">
        <x:v>muerta</x:v>
      </x:c>
      <x:c r="K1609" s="2" t="n">
        <x:v>0</x:v>
      </x:c>
      <x:c r="L1609" s="2" t="n">
        <x:v>0</x:v>
      </x:c>
      <x:c r="M1609" s="2" t="n">
        <x:f>SUM(L$1598:L1609)</x:f>
        <x:v>0</x:v>
      </x:c>
      <x:c r="N1609" s="2" t="n">
        <x:v>0</x:v>
      </x:c>
      <x:c r="O1609" s="2" t="str">
        <x:v>relleno_postmuerte</x:v>
      </x:c>
      <x:c r="P1609" s="2" t="n">
        <x:v>0</x:v>
      </x:c>
      <x:c r="Q1609" s="2" t="str">
        <x:v>simulado_didactico</x:v>
      </x:c>
    </x:row>
    <x:row r="1610" ht="19" customHeight="1">
      <x:c r="A1610" s="2" t="str">
        <x:v>SIM-E2-MP-L8-R07</x:v>
      </x:c>
      <x:c r="B1610" s="2" t="n">
        <x:v>4</x:v>
      </x:c>
      <x:c r="C1610" s="2" t="str">
        <x:v>MP</x:v>
      </x:c>
      <x:c r="D1610" s="2" t="str">
        <x:v>Myzus persicae</x:v>
      </x:c>
      <x:c r="E1610" s="2" t="str">
        <x:v>L8</x:v>
      </x:c>
      <x:c r="F1610" s="2" t="n">
        <x:v>7</x:v>
      </x:c>
      <x:c r="G1610" s="2" t="n">
        <x:v>12</x:v>
      </x:c>
      <x:c r="H1610" s="2" t="n">
        <x:f>G1610+Supuestos!$C$15</x:f>
        <x:v>13</x:v>
      </x:c>
      <x:c r="I1610" s="14" t="n">
        <x:f>E2_plantas!J40+G1610</x:f>
        <x:v>46207</x:v>
      </x:c>
      <x:c r="J1610" s="2" t="str">
        <x:v>muerta</x:v>
      </x:c>
      <x:c r="K1610" s="2" t="n">
        <x:v>0</x:v>
      </x:c>
      <x:c r="L1610" s="2" t="n">
        <x:v>0</x:v>
      </x:c>
      <x:c r="M1610" s="2" t="n">
        <x:f>SUM(L$1598:L1610)</x:f>
        <x:v>0</x:v>
      </x:c>
      <x:c r="N1610" s="2" t="n">
        <x:v>0</x:v>
      </x:c>
      <x:c r="O1610" s="2" t="str">
        <x:v>relleno_postmuerte</x:v>
      </x:c>
      <x:c r="P1610" s="2" t="n">
        <x:v>0</x:v>
      </x:c>
      <x:c r="Q1610" s="2" t="str">
        <x:v>simulado_didactico</x:v>
      </x:c>
    </x:row>
    <x:row r="1611" ht="19" customHeight="1">
      <x:c r="A1611" s="2" t="str">
        <x:v>SIM-E2-MP-L8-R07</x:v>
      </x:c>
      <x:c r="B1611" s="2" t="n">
        <x:v>4</x:v>
      </x:c>
      <x:c r="C1611" s="2" t="str">
        <x:v>MP</x:v>
      </x:c>
      <x:c r="D1611" s="2" t="str">
        <x:v>Myzus persicae</x:v>
      </x:c>
      <x:c r="E1611" s="2" t="str">
        <x:v>L8</x:v>
      </x:c>
      <x:c r="F1611" s="2" t="n">
        <x:v>7</x:v>
      </x:c>
      <x:c r="G1611" s="2" t="n">
        <x:v>13</x:v>
      </x:c>
      <x:c r="H1611" s="2" t="n">
        <x:f>G1611+Supuestos!$C$15</x:f>
        <x:v>14</x:v>
      </x:c>
      <x:c r="I1611" s="14" t="n">
        <x:f>E2_plantas!J40+G1611</x:f>
        <x:v>46208</x:v>
      </x:c>
      <x:c r="J1611" s="2" t="str">
        <x:v>muerta</x:v>
      </x:c>
      <x:c r="K1611" s="2" t="n">
        <x:v>0</x:v>
      </x:c>
      <x:c r="L1611" s="2" t="n">
        <x:v>0</x:v>
      </x:c>
      <x:c r="M1611" s="2" t="n">
        <x:f>SUM(L$1598:L1611)</x:f>
        <x:v>0</x:v>
      </x:c>
      <x:c r="N1611" s="2" t="n">
        <x:v>0</x:v>
      </x:c>
      <x:c r="O1611" s="2" t="str">
        <x:v>relleno_postmuerte</x:v>
      </x:c>
      <x:c r="P1611" s="2" t="n">
        <x:v>0</x:v>
      </x:c>
      <x:c r="Q1611" s="2" t="str">
        <x:v>simulado_didactico</x:v>
      </x:c>
    </x:row>
    <x:row r="1612" ht="19" customHeight="1">
      <x:c r="A1612" s="2" t="str">
        <x:v>SIM-E2-MP-L8-R07</x:v>
      </x:c>
      <x:c r="B1612" s="2" t="n">
        <x:v>4</x:v>
      </x:c>
      <x:c r="C1612" s="2" t="str">
        <x:v>MP</x:v>
      </x:c>
      <x:c r="D1612" s="2" t="str">
        <x:v>Myzus persicae</x:v>
      </x:c>
      <x:c r="E1612" s="2" t="str">
        <x:v>L8</x:v>
      </x:c>
      <x:c r="F1612" s="2" t="n">
        <x:v>7</x:v>
      </x:c>
      <x:c r="G1612" s="2" t="n">
        <x:v>14</x:v>
      </x:c>
      <x:c r="H1612" s="2" t="n">
        <x:f>G1612+Supuestos!$C$15</x:f>
        <x:v>15</x:v>
      </x:c>
      <x:c r="I1612" s="14" t="n">
        <x:f>E2_plantas!J40+G1612</x:f>
        <x:v>46209</x:v>
      </x:c>
      <x:c r="J1612" s="2" t="str">
        <x:v>muerta</x:v>
      </x:c>
      <x:c r="K1612" s="2" t="n">
        <x:v>0</x:v>
      </x:c>
      <x:c r="L1612" s="2" t="n">
        <x:v>0</x:v>
      </x:c>
      <x:c r="M1612" s="2" t="n">
        <x:f>SUM(L$1598:L1612)</x:f>
        <x:v>0</x:v>
      </x:c>
      <x:c r="N1612" s="2" t="n">
        <x:v>0</x:v>
      </x:c>
      <x:c r="O1612" s="2" t="str">
        <x:v>relleno_postmuerte</x:v>
      </x:c>
      <x:c r="P1612" s="2" t="n">
        <x:v>0</x:v>
      </x:c>
      <x:c r="Q1612" s="2" t="str">
        <x:v>simulado_didactico</x:v>
      </x:c>
    </x:row>
    <x:row r="1613" ht="19" customHeight="1">
      <x:c r="A1613" s="2" t="str">
        <x:v>SIM-E2-MP-L8-R07</x:v>
      </x:c>
      <x:c r="B1613" s="2" t="n">
        <x:v>4</x:v>
      </x:c>
      <x:c r="C1613" s="2" t="str">
        <x:v>MP</x:v>
      </x:c>
      <x:c r="D1613" s="2" t="str">
        <x:v>Myzus persicae</x:v>
      </x:c>
      <x:c r="E1613" s="2" t="str">
        <x:v>L8</x:v>
      </x:c>
      <x:c r="F1613" s="2" t="n">
        <x:v>7</x:v>
      </x:c>
      <x:c r="G1613" s="2" t="n">
        <x:v>15</x:v>
      </x:c>
      <x:c r="H1613" s="2" t="n">
        <x:f>G1613+Supuestos!$C$15</x:f>
        <x:v>16</x:v>
      </x:c>
      <x:c r="I1613" s="14" t="n">
        <x:f>E2_plantas!J40+G1613</x:f>
        <x:v>46210</x:v>
      </x:c>
      <x:c r="J1613" s="2" t="str">
        <x:v>muerta</x:v>
      </x:c>
      <x:c r="K1613" s="2" t="n">
        <x:v>0</x:v>
      </x:c>
      <x:c r="L1613" s="2" t="n">
        <x:v>0</x:v>
      </x:c>
      <x:c r="M1613" s="2" t="n">
        <x:f>SUM(L$1598:L1613)</x:f>
        <x:v>0</x:v>
      </x:c>
      <x:c r="N1613" s="2" t="n">
        <x:v>0</x:v>
      </x:c>
      <x:c r="O1613" s="2" t="str">
        <x:v>relleno_postmuerte</x:v>
      </x:c>
      <x:c r="P1613" s="2" t="n">
        <x:v>0</x:v>
      </x:c>
      <x:c r="Q1613" s="2" t="str">
        <x:v>simulado_didactico</x:v>
      </x:c>
    </x:row>
    <x:row r="1614" ht="19" customHeight="1">
      <x:c r="A1614" s="2" t="str">
        <x:v>SIM-E2-MP-L8-R07</x:v>
      </x:c>
      <x:c r="B1614" s="2" t="n">
        <x:v>4</x:v>
      </x:c>
      <x:c r="C1614" s="2" t="str">
        <x:v>MP</x:v>
      </x:c>
      <x:c r="D1614" s="2" t="str">
        <x:v>Myzus persicae</x:v>
      </x:c>
      <x:c r="E1614" s="2" t="str">
        <x:v>L8</x:v>
      </x:c>
      <x:c r="F1614" s="2" t="n">
        <x:v>7</x:v>
      </x:c>
      <x:c r="G1614" s="2" t="n">
        <x:v>16</x:v>
      </x:c>
      <x:c r="H1614" s="2" t="n">
        <x:f>G1614+Supuestos!$C$15</x:f>
        <x:v>17</x:v>
      </x:c>
      <x:c r="I1614" s="14" t="n">
        <x:f>E2_plantas!J40+G1614</x:f>
        <x:v>46211</x:v>
      </x:c>
      <x:c r="J1614" s="2" t="str">
        <x:v>muerta</x:v>
      </x:c>
      <x:c r="K1614" s="2" t="n">
        <x:v>0</x:v>
      </x:c>
      <x:c r="L1614" s="2" t="n">
        <x:v>0</x:v>
      </x:c>
      <x:c r="M1614" s="2" t="n">
        <x:f>SUM(L$1598:L1614)</x:f>
        <x:v>0</x:v>
      </x:c>
      <x:c r="N1614" s="2" t="n">
        <x:v>0</x:v>
      </x:c>
      <x:c r="O1614" s="2" t="str">
        <x:v>relleno_postmuerte</x:v>
      </x:c>
      <x:c r="P1614" s="2" t="n">
        <x:v>0</x:v>
      </x:c>
      <x:c r="Q1614" s="2" t="str">
        <x:v>simulado_didactico</x:v>
      </x:c>
    </x:row>
    <x:row r="1615" ht="19" customHeight="1">
      <x:c r="A1615" s="2" t="str">
        <x:v>SIM-E2-MP-L8-R07</x:v>
      </x:c>
      <x:c r="B1615" s="2" t="n">
        <x:v>4</x:v>
      </x:c>
      <x:c r="C1615" s="2" t="str">
        <x:v>MP</x:v>
      </x:c>
      <x:c r="D1615" s="2" t="str">
        <x:v>Myzus persicae</x:v>
      </x:c>
      <x:c r="E1615" s="2" t="str">
        <x:v>L8</x:v>
      </x:c>
      <x:c r="F1615" s="2" t="n">
        <x:v>7</x:v>
      </x:c>
      <x:c r="G1615" s="2" t="n">
        <x:v>17</x:v>
      </x:c>
      <x:c r="H1615" s="2" t="n">
        <x:f>G1615+Supuestos!$C$15</x:f>
        <x:v>18</x:v>
      </x:c>
      <x:c r="I1615" s="14" t="n">
        <x:f>E2_plantas!J40+G1615</x:f>
        <x:v>46212</x:v>
      </x:c>
      <x:c r="J1615" s="2" t="str">
        <x:v>muerta</x:v>
      </x:c>
      <x:c r="K1615" s="2" t="n">
        <x:v>0</x:v>
      </x:c>
      <x:c r="L1615" s="2" t="n">
        <x:v>0</x:v>
      </x:c>
      <x:c r="M1615" s="2" t="n">
        <x:f>SUM(L$1598:L1615)</x:f>
        <x:v>0</x:v>
      </x:c>
      <x:c r="N1615" s="2" t="n">
        <x:v>0</x:v>
      </x:c>
      <x:c r="O1615" s="2" t="str">
        <x:v>relleno_postmuerte</x:v>
      </x:c>
      <x:c r="P1615" s="2" t="n">
        <x:v>0</x:v>
      </x:c>
      <x:c r="Q1615" s="2" t="str">
        <x:v>simulado_didactico</x:v>
      </x:c>
    </x:row>
    <x:row r="1616" ht="19" customHeight="1">
      <x:c r="A1616" s="2" t="str">
        <x:v>SIM-E2-MP-L8-R07</x:v>
      </x:c>
      <x:c r="B1616" s="2" t="n">
        <x:v>4</x:v>
      </x:c>
      <x:c r="C1616" s="2" t="str">
        <x:v>MP</x:v>
      </x:c>
      <x:c r="D1616" s="2" t="str">
        <x:v>Myzus persicae</x:v>
      </x:c>
      <x:c r="E1616" s="2" t="str">
        <x:v>L8</x:v>
      </x:c>
      <x:c r="F1616" s="2" t="n">
        <x:v>7</x:v>
      </x:c>
      <x:c r="G1616" s="2" t="n">
        <x:v>18</x:v>
      </x:c>
      <x:c r="H1616" s="2" t="n">
        <x:f>G1616+Supuestos!$C$15</x:f>
        <x:v>19</x:v>
      </x:c>
      <x:c r="I1616" s="14" t="n">
        <x:f>E2_plantas!J40+G1616</x:f>
        <x:v>46213</x:v>
      </x:c>
      <x:c r="J1616" s="2" t="str">
        <x:v>muerta</x:v>
      </x:c>
      <x:c r="K1616" s="2" t="n">
        <x:v>0</x:v>
      </x:c>
      <x:c r="L1616" s="2" t="n">
        <x:v>0</x:v>
      </x:c>
      <x:c r="M1616" s="2" t="n">
        <x:f>SUM(L$1598:L1616)</x:f>
        <x:v>0</x:v>
      </x:c>
      <x:c r="N1616" s="2" t="n">
        <x:v>0</x:v>
      </x:c>
      <x:c r="O1616" s="2" t="str">
        <x:v>relleno_postmuerte</x:v>
      </x:c>
      <x:c r="P1616" s="2" t="n">
        <x:v>0</x:v>
      </x:c>
      <x:c r="Q1616" s="2" t="str">
        <x:v>simulado_didactico</x:v>
      </x:c>
    </x:row>
    <x:row r="1617" ht="19" customHeight="1">
      <x:c r="A1617" s="2" t="str">
        <x:v>SIM-E2-MP-L8-R07</x:v>
      </x:c>
      <x:c r="B1617" s="2" t="n">
        <x:v>4</x:v>
      </x:c>
      <x:c r="C1617" s="2" t="str">
        <x:v>MP</x:v>
      </x:c>
      <x:c r="D1617" s="2" t="str">
        <x:v>Myzus persicae</x:v>
      </x:c>
      <x:c r="E1617" s="2" t="str">
        <x:v>L8</x:v>
      </x:c>
      <x:c r="F1617" s="2" t="n">
        <x:v>7</x:v>
      </x:c>
      <x:c r="G1617" s="2" t="n">
        <x:v>19</x:v>
      </x:c>
      <x:c r="H1617" s="2" t="n">
        <x:f>G1617+Supuestos!$C$15</x:f>
        <x:v>20</x:v>
      </x:c>
      <x:c r="I1617" s="14" t="n">
        <x:f>E2_plantas!J40+G1617</x:f>
        <x:v>46214</x:v>
      </x:c>
      <x:c r="J1617" s="2" t="str">
        <x:v>muerta</x:v>
      </x:c>
      <x:c r="K1617" s="2" t="n">
        <x:v>0</x:v>
      </x:c>
      <x:c r="L1617" s="2" t="n">
        <x:v>0</x:v>
      </x:c>
      <x:c r="M1617" s="2" t="n">
        <x:f>SUM(L$1598:L1617)</x:f>
        <x:v>0</x:v>
      </x:c>
      <x:c r="N1617" s="2" t="n">
        <x:v>0</x:v>
      </x:c>
      <x:c r="O1617" s="2" t="str">
        <x:v>relleno_postmuerte</x:v>
      </x:c>
      <x:c r="P1617" s="2" t="n">
        <x:v>0</x:v>
      </x:c>
      <x:c r="Q1617" s="2" t="str">
        <x:v>simulado_didactico</x:v>
      </x:c>
    </x:row>
    <x:row r="1618" ht="19" customHeight="1">
      <x:c r="A1618" s="2" t="str">
        <x:v>SIM-E2-MP-L8-R07</x:v>
      </x:c>
      <x:c r="B1618" s="2" t="n">
        <x:v>4</x:v>
      </x:c>
      <x:c r="C1618" s="2" t="str">
        <x:v>MP</x:v>
      </x:c>
      <x:c r="D1618" s="2" t="str">
        <x:v>Myzus persicae</x:v>
      </x:c>
      <x:c r="E1618" s="2" t="str">
        <x:v>L8</x:v>
      </x:c>
      <x:c r="F1618" s="2" t="n">
        <x:v>7</x:v>
      </x:c>
      <x:c r="G1618" s="2" t="n">
        <x:v>20</x:v>
      </x:c>
      <x:c r="H1618" s="2" t="n">
        <x:f>G1618+Supuestos!$C$15</x:f>
        <x:v>21</x:v>
      </x:c>
      <x:c r="I1618" s="14" t="n">
        <x:f>E2_plantas!J40+G1618</x:f>
        <x:v>46215</x:v>
      </x:c>
      <x:c r="J1618" s="2" t="str">
        <x:v>muerta</x:v>
      </x:c>
      <x:c r="K1618" s="2" t="n">
        <x:v>0</x:v>
      </x:c>
      <x:c r="L1618" s="2" t="n">
        <x:v>0</x:v>
      </x:c>
      <x:c r="M1618" s="2" t="n">
        <x:f>SUM(L$1598:L1618)</x:f>
        <x:v>0</x:v>
      </x:c>
      <x:c r="N1618" s="2" t="n">
        <x:v>0</x:v>
      </x:c>
      <x:c r="O1618" s="2" t="str">
        <x:v>relleno_postmuerte</x:v>
      </x:c>
      <x:c r="P1618" s="2" t="n">
        <x:v>0</x:v>
      </x:c>
      <x:c r="Q1618" s="2" t="str">
        <x:v>simulado_didactico</x:v>
      </x:c>
    </x:row>
    <x:row r="1619" ht="19" customHeight="1">
      <x:c r="A1619" s="2" t="str">
        <x:v>SIM-E2-MP-L8-R07</x:v>
      </x:c>
      <x:c r="B1619" s="2" t="n">
        <x:v>4</x:v>
      </x:c>
      <x:c r="C1619" s="2" t="str">
        <x:v>MP</x:v>
      </x:c>
      <x:c r="D1619" s="2" t="str">
        <x:v>Myzus persicae</x:v>
      </x:c>
      <x:c r="E1619" s="2" t="str">
        <x:v>L8</x:v>
      </x:c>
      <x:c r="F1619" s="2" t="n">
        <x:v>7</x:v>
      </x:c>
      <x:c r="G1619" s="2" t="n">
        <x:v>21</x:v>
      </x:c>
      <x:c r="H1619" s="2" t="n">
        <x:f>G1619+Supuestos!$C$15</x:f>
        <x:v>22</x:v>
      </x:c>
      <x:c r="I1619" s="14" t="n">
        <x:f>E2_plantas!J40+G1619</x:f>
        <x:v>46216</x:v>
      </x:c>
      <x:c r="J1619" s="2" t="str">
        <x:v>muerta</x:v>
      </x:c>
      <x:c r="K1619" s="2" t="n">
        <x:v>0</x:v>
      </x:c>
      <x:c r="L1619" s="2" t="n">
        <x:v>0</x:v>
      </x:c>
      <x:c r="M1619" s="2" t="n">
        <x:f>SUM(L$1598:L1619)</x:f>
        <x:v>0</x:v>
      </x:c>
      <x:c r="N1619" s="2" t="n">
        <x:v>0</x:v>
      </x:c>
      <x:c r="O1619" s="2" t="str">
        <x:v>relleno_postmuerte</x:v>
      </x:c>
      <x:c r="P1619" s="2" t="n">
        <x:v>0</x:v>
      </x:c>
      <x:c r="Q1619" s="2" t="str">
        <x:v>simulado_didactico</x:v>
      </x:c>
    </x:row>
    <x:row r="1620" ht="19" customHeight="1">
      <x:c r="A1620" s="2" t="str">
        <x:v>SIM-E2-MP-L8-R07</x:v>
      </x:c>
      <x:c r="B1620" s="2" t="n">
        <x:v>4</x:v>
      </x:c>
      <x:c r="C1620" s="2" t="str">
        <x:v>MP</x:v>
      </x:c>
      <x:c r="D1620" s="2" t="str">
        <x:v>Myzus persicae</x:v>
      </x:c>
      <x:c r="E1620" s="2" t="str">
        <x:v>L8</x:v>
      </x:c>
      <x:c r="F1620" s="2" t="n">
        <x:v>7</x:v>
      </x:c>
      <x:c r="G1620" s="2" t="n">
        <x:v>22</x:v>
      </x:c>
      <x:c r="H1620" s="2" t="n">
        <x:f>G1620+Supuestos!$C$15</x:f>
        <x:v>23</x:v>
      </x:c>
      <x:c r="I1620" s="14" t="n">
        <x:f>E2_plantas!J40+G1620</x:f>
        <x:v>46217</x:v>
      </x:c>
      <x:c r="J1620" s="2" t="str">
        <x:v>muerta</x:v>
      </x:c>
      <x:c r="K1620" s="2" t="n">
        <x:v>0</x:v>
      </x:c>
      <x:c r="L1620" s="2" t="n">
        <x:v>0</x:v>
      </x:c>
      <x:c r="M1620" s="2" t="n">
        <x:f>SUM(L$1598:L1620)</x:f>
        <x:v>0</x:v>
      </x:c>
      <x:c r="N1620" s="2" t="n">
        <x:v>0</x:v>
      </x:c>
      <x:c r="O1620" s="2" t="str">
        <x:v>relleno_postmuerte</x:v>
      </x:c>
      <x:c r="P1620" s="2" t="n">
        <x:v>0</x:v>
      </x:c>
      <x:c r="Q1620" s="2" t="str">
        <x:v>simulado_didactico</x:v>
      </x:c>
    </x:row>
    <x:row r="1621" ht="19" customHeight="1">
      <x:c r="A1621" s="2" t="str">
        <x:v>SIM-E2-MP-L8-R07</x:v>
      </x:c>
      <x:c r="B1621" s="2" t="n">
        <x:v>4</x:v>
      </x:c>
      <x:c r="C1621" s="2" t="str">
        <x:v>MP</x:v>
      </x:c>
      <x:c r="D1621" s="2" t="str">
        <x:v>Myzus persicae</x:v>
      </x:c>
      <x:c r="E1621" s="2" t="str">
        <x:v>L8</x:v>
      </x:c>
      <x:c r="F1621" s="2" t="n">
        <x:v>7</x:v>
      </x:c>
      <x:c r="G1621" s="2" t="n">
        <x:v>23</x:v>
      </x:c>
      <x:c r="H1621" s="2" t="n">
        <x:f>G1621+Supuestos!$C$15</x:f>
        <x:v>24</x:v>
      </x:c>
      <x:c r="I1621" s="14" t="n">
        <x:f>E2_plantas!J40+G1621</x:f>
        <x:v>46218</x:v>
      </x:c>
      <x:c r="J1621" s="2" t="str">
        <x:v>muerta</x:v>
      </x:c>
      <x:c r="K1621" s="2" t="n">
        <x:v>0</x:v>
      </x:c>
      <x:c r="L1621" s="2" t="n">
        <x:v>0</x:v>
      </x:c>
      <x:c r="M1621" s="2" t="n">
        <x:f>SUM(L$1598:L1621)</x:f>
        <x:v>0</x:v>
      </x:c>
      <x:c r="N1621" s="2" t="n">
        <x:v>0</x:v>
      </x:c>
      <x:c r="O1621" s="2" t="str">
        <x:v>relleno_postmuerte</x:v>
      </x:c>
      <x:c r="P1621" s="2" t="n">
        <x:v>0</x:v>
      </x:c>
      <x:c r="Q1621" s="2" t="str">
        <x:v>simulado_didactico</x:v>
      </x:c>
    </x:row>
    <x:row r="1622" ht="19" customHeight="1">
      <x:c r="A1622" s="2" t="str">
        <x:v>SIM-E2-MP-L8-R07</x:v>
      </x:c>
      <x:c r="B1622" s="2" t="n">
        <x:v>4</x:v>
      </x:c>
      <x:c r="C1622" s="2" t="str">
        <x:v>MP</x:v>
      </x:c>
      <x:c r="D1622" s="2" t="str">
        <x:v>Myzus persicae</x:v>
      </x:c>
      <x:c r="E1622" s="2" t="str">
        <x:v>L8</x:v>
      </x:c>
      <x:c r="F1622" s="2" t="n">
        <x:v>7</x:v>
      </x:c>
      <x:c r="G1622" s="2" t="n">
        <x:v>24</x:v>
      </x:c>
      <x:c r="H1622" s="2" t="n">
        <x:f>G1622+Supuestos!$C$15</x:f>
        <x:v>25</x:v>
      </x:c>
      <x:c r="I1622" s="14" t="n">
        <x:f>E2_plantas!J40+G1622</x:f>
        <x:v>46219</x:v>
      </x:c>
      <x:c r="J1622" s="2" t="str">
        <x:v>muerta</x:v>
      </x:c>
      <x:c r="K1622" s="2" t="n">
        <x:v>0</x:v>
      </x:c>
      <x:c r="L1622" s="2" t="n">
        <x:v>0</x:v>
      </x:c>
      <x:c r="M1622" s="2" t="n">
        <x:f>SUM(L$1598:L1622)</x:f>
        <x:v>0</x:v>
      </x:c>
      <x:c r="N1622" s="2" t="n">
        <x:v>0</x:v>
      </x:c>
      <x:c r="O1622" s="2" t="str">
        <x:v>relleno_postmuerte</x:v>
      </x:c>
      <x:c r="P1622" s="2" t="n">
        <x:v>0</x:v>
      </x:c>
      <x:c r="Q1622" s="2" t="str">
        <x:v>simulado_didactico</x:v>
      </x:c>
    </x:row>
    <x:row r="1623" ht="19" customHeight="1">
      <x:c r="A1623" s="2" t="str">
        <x:v>SIM-E2-MP-L8-R07</x:v>
      </x:c>
      <x:c r="B1623" s="2" t="n">
        <x:v>4</x:v>
      </x:c>
      <x:c r="C1623" s="2" t="str">
        <x:v>MP</x:v>
      </x:c>
      <x:c r="D1623" s="2" t="str">
        <x:v>Myzus persicae</x:v>
      </x:c>
      <x:c r="E1623" s="2" t="str">
        <x:v>L8</x:v>
      </x:c>
      <x:c r="F1623" s="2" t="n">
        <x:v>7</x:v>
      </x:c>
      <x:c r="G1623" s="2" t="n">
        <x:v>25</x:v>
      </x:c>
      <x:c r="H1623" s="2" t="n">
        <x:f>G1623+Supuestos!$C$15</x:f>
        <x:v>26</x:v>
      </x:c>
      <x:c r="I1623" s="14" t="n">
        <x:f>E2_plantas!J40+G1623</x:f>
        <x:v>46220</x:v>
      </x:c>
      <x:c r="J1623" s="2" t="str">
        <x:v>muerta</x:v>
      </x:c>
      <x:c r="K1623" s="2" t="n">
        <x:v>0</x:v>
      </x:c>
      <x:c r="L1623" s="2" t="n">
        <x:v>0</x:v>
      </x:c>
      <x:c r="M1623" s="2" t="n">
        <x:f>SUM(L$1598:L1623)</x:f>
        <x:v>0</x:v>
      </x:c>
      <x:c r="N1623" s="2" t="n">
        <x:v>0</x:v>
      </x:c>
      <x:c r="O1623" s="2" t="str">
        <x:v>relleno_postmuerte</x:v>
      </x:c>
      <x:c r="P1623" s="2" t="n">
        <x:v>0</x:v>
      </x:c>
      <x:c r="Q1623" s="2" t="str">
        <x:v>simulado_didactico</x:v>
      </x:c>
    </x:row>
    <x:row r="1624" ht="19" customHeight="1">
      <x:c r="A1624" s="2" t="str">
        <x:v>SIM-E2-MP-L8-R07</x:v>
      </x:c>
      <x:c r="B1624" s="2" t="n">
        <x:v>4</x:v>
      </x:c>
      <x:c r="C1624" s="2" t="str">
        <x:v>MP</x:v>
      </x:c>
      <x:c r="D1624" s="2" t="str">
        <x:v>Myzus persicae</x:v>
      </x:c>
      <x:c r="E1624" s="2" t="str">
        <x:v>L8</x:v>
      </x:c>
      <x:c r="F1624" s="2" t="n">
        <x:v>7</x:v>
      </x:c>
      <x:c r="G1624" s="2" t="n">
        <x:v>26</x:v>
      </x:c>
      <x:c r="H1624" s="2" t="n">
        <x:f>G1624+Supuestos!$C$15</x:f>
        <x:v>27</x:v>
      </x:c>
      <x:c r="I1624" s="14" t="n">
        <x:f>E2_plantas!J40+G1624</x:f>
        <x:v>46221</x:v>
      </x:c>
      <x:c r="J1624" s="2" t="str">
        <x:v>muerta</x:v>
      </x:c>
      <x:c r="K1624" s="2" t="n">
        <x:v>0</x:v>
      </x:c>
      <x:c r="L1624" s="2" t="n">
        <x:v>0</x:v>
      </x:c>
      <x:c r="M1624" s="2" t="n">
        <x:f>SUM(L$1598:L1624)</x:f>
        <x:v>0</x:v>
      </x:c>
      <x:c r="N1624" s="2" t="n">
        <x:v>0</x:v>
      </x:c>
      <x:c r="O1624" s="2" t="str">
        <x:v>relleno_postmuerte</x:v>
      </x:c>
      <x:c r="P1624" s="2" t="n">
        <x:v>0</x:v>
      </x:c>
      <x:c r="Q1624" s="2" t="str">
        <x:v>simulado_didactico</x:v>
      </x:c>
    </x:row>
    <x:row r="1625" ht="19" customHeight="1">
      <x:c r="A1625" s="2" t="str">
        <x:v>SIM-E2-MP-L8-R07</x:v>
      </x:c>
      <x:c r="B1625" s="2" t="n">
        <x:v>4</x:v>
      </x:c>
      <x:c r="C1625" s="2" t="str">
        <x:v>MP</x:v>
      </x:c>
      <x:c r="D1625" s="2" t="str">
        <x:v>Myzus persicae</x:v>
      </x:c>
      <x:c r="E1625" s="2" t="str">
        <x:v>L8</x:v>
      </x:c>
      <x:c r="F1625" s="2" t="n">
        <x:v>7</x:v>
      </x:c>
      <x:c r="G1625" s="2" t="n">
        <x:v>27</x:v>
      </x:c>
      <x:c r="H1625" s="2" t="n">
        <x:f>G1625+Supuestos!$C$15</x:f>
        <x:v>28</x:v>
      </x:c>
      <x:c r="I1625" s="14" t="n">
        <x:f>E2_plantas!J40+G1625</x:f>
        <x:v>46222</x:v>
      </x:c>
      <x:c r="J1625" s="2" t="str">
        <x:v>muerta</x:v>
      </x:c>
      <x:c r="K1625" s="2" t="n">
        <x:v>0</x:v>
      </x:c>
      <x:c r="L1625" s="2" t="n">
        <x:v>0</x:v>
      </x:c>
      <x:c r="M1625" s="2" t="n">
        <x:f>SUM(L$1598:L1625)</x:f>
        <x:v>0</x:v>
      </x:c>
      <x:c r="N1625" s="2" t="n">
        <x:v>0</x:v>
      </x:c>
      <x:c r="O1625" s="2" t="str">
        <x:v>relleno_postmuerte</x:v>
      </x:c>
      <x:c r="P1625" s="2" t="n">
        <x:v>0</x:v>
      </x:c>
      <x:c r="Q1625" s="2" t="str">
        <x:v>simulado_didactico</x:v>
      </x:c>
    </x:row>
    <x:row r="1626" ht="19" customHeight="1">
      <x:c r="A1626" s="2" t="str">
        <x:v>SIM-E2-MP-L8-R07</x:v>
      </x:c>
      <x:c r="B1626" s="2" t="n">
        <x:v>4</x:v>
      </x:c>
      <x:c r="C1626" s="2" t="str">
        <x:v>MP</x:v>
      </x:c>
      <x:c r="D1626" s="2" t="str">
        <x:v>Myzus persicae</x:v>
      </x:c>
      <x:c r="E1626" s="2" t="str">
        <x:v>L8</x:v>
      </x:c>
      <x:c r="F1626" s="2" t="n">
        <x:v>7</x:v>
      </x:c>
      <x:c r="G1626" s="2" t="n">
        <x:v>28</x:v>
      </x:c>
      <x:c r="H1626" s="2" t="n">
        <x:f>G1626+Supuestos!$C$15</x:f>
        <x:v>29</x:v>
      </x:c>
      <x:c r="I1626" s="14" t="n">
        <x:f>E2_plantas!J40+G1626</x:f>
        <x:v>46223</x:v>
      </x:c>
      <x:c r="J1626" s="2" t="str">
        <x:v>muerta</x:v>
      </x:c>
      <x:c r="K1626" s="2" t="n">
        <x:v>0</x:v>
      </x:c>
      <x:c r="L1626" s="2" t="n">
        <x:v>0</x:v>
      </x:c>
      <x:c r="M1626" s="2" t="n">
        <x:f>SUM(L$1598:L1626)</x:f>
        <x:v>0</x:v>
      </x:c>
      <x:c r="N1626" s="2" t="n">
        <x:v>0</x:v>
      </x:c>
      <x:c r="O1626" s="2" t="str">
        <x:v>relleno_postmuerte</x:v>
      </x:c>
      <x:c r="P1626" s="2" t="n">
        <x:v>0</x:v>
      </x:c>
      <x:c r="Q1626" s="2" t="str">
        <x:v>simulado_didactico</x:v>
      </x:c>
    </x:row>
    <x:row r="1627" ht="19" customHeight="1">
      <x:c r="A1627" s="2" t="str">
        <x:v>SIM-E2-MP-L8-R07</x:v>
      </x:c>
      <x:c r="B1627" s="2" t="n">
        <x:v>4</x:v>
      </x:c>
      <x:c r="C1627" s="2" t="str">
        <x:v>MP</x:v>
      </x:c>
      <x:c r="D1627" s="2" t="str">
        <x:v>Myzus persicae</x:v>
      </x:c>
      <x:c r="E1627" s="2" t="str">
        <x:v>L8</x:v>
      </x:c>
      <x:c r="F1627" s="2" t="n">
        <x:v>7</x:v>
      </x:c>
      <x:c r="G1627" s="2" t="n">
        <x:v>29</x:v>
      </x:c>
      <x:c r="H1627" s="2" t="n">
        <x:f>G1627+Supuestos!$C$15</x:f>
        <x:v>30</x:v>
      </x:c>
      <x:c r="I1627" s="14" t="n">
        <x:f>E2_plantas!J40+G1627</x:f>
        <x:v>46224</x:v>
      </x:c>
      <x:c r="J1627" s="2" t="str">
        <x:v>muerta</x:v>
      </x:c>
      <x:c r="K1627" s="2" t="n">
        <x:v>0</x:v>
      </x:c>
      <x:c r="L1627" s="2" t="n">
        <x:v>0</x:v>
      </x:c>
      <x:c r="M1627" s="2" t="n">
        <x:f>SUM(L$1598:L1627)</x:f>
        <x:v>0</x:v>
      </x:c>
      <x:c r="N1627" s="2" t="n">
        <x:v>0</x:v>
      </x:c>
      <x:c r="O1627" s="2" t="str">
        <x:v>relleno_postmuerte</x:v>
      </x:c>
      <x:c r="P1627" s="2" t="n">
        <x:v>0</x:v>
      </x:c>
      <x:c r="Q1627" s="2" t="str">
        <x:v>simulado_didactico</x:v>
      </x:c>
    </x:row>
    <x:row r="1628" ht="19" customHeight="1">
      <x:c r="A1628" s="2" t="str">
        <x:v>SIM-E2-MP-L8-R07</x:v>
      </x:c>
      <x:c r="B1628" s="2" t="n">
        <x:v>4</x:v>
      </x:c>
      <x:c r="C1628" s="2" t="str">
        <x:v>MP</x:v>
      </x:c>
      <x:c r="D1628" s="2" t="str">
        <x:v>Myzus persicae</x:v>
      </x:c>
      <x:c r="E1628" s="2" t="str">
        <x:v>L8</x:v>
      </x:c>
      <x:c r="F1628" s="2" t="n">
        <x:v>7</x:v>
      </x:c>
      <x:c r="G1628" s="2" t="n">
        <x:v>30</x:v>
      </x:c>
      <x:c r="H1628" s="2" t="n">
        <x:f>G1628+Supuestos!$C$15</x:f>
        <x:v>31</x:v>
      </x:c>
      <x:c r="I1628" s="14" t="n">
        <x:f>E2_plantas!J40+G1628</x:f>
        <x:v>46225</x:v>
      </x:c>
      <x:c r="J1628" s="2" t="str">
        <x:v>muerta</x:v>
      </x:c>
      <x:c r="K1628" s="2" t="n">
        <x:v>0</x:v>
      </x:c>
      <x:c r="L1628" s="2" t="n">
        <x:v>0</x:v>
      </x:c>
      <x:c r="M1628" s="2" t="n">
        <x:f>SUM(L$1598:L1628)</x:f>
        <x:v>0</x:v>
      </x:c>
      <x:c r="N1628" s="2" t="n">
        <x:v>0</x:v>
      </x:c>
      <x:c r="O1628" s="2" t="str">
        <x:v>relleno_postmuerte</x:v>
      </x:c>
      <x:c r="P1628" s="2" t="n">
        <x:v>0</x:v>
      </x:c>
      <x:c r="Q1628" s="2" t="str">
        <x:v>simulado_didactico</x:v>
      </x:c>
    </x:row>
    <x:row r="1629" ht="19" customHeight="1">
      <x:c r="A1629" s="2" t="str">
        <x:v>SIM-E2-MP-L8-R07</x:v>
      </x:c>
      <x:c r="B1629" s="2" t="n">
        <x:v>4</x:v>
      </x:c>
      <x:c r="C1629" s="2" t="str">
        <x:v>MP</x:v>
      </x:c>
      <x:c r="D1629" s="2" t="str">
        <x:v>Myzus persicae</x:v>
      </x:c>
      <x:c r="E1629" s="2" t="str">
        <x:v>L8</x:v>
      </x:c>
      <x:c r="F1629" s="2" t="n">
        <x:v>7</x:v>
      </x:c>
      <x:c r="G1629" s="2" t="n">
        <x:v>31</x:v>
      </x:c>
      <x:c r="H1629" s="2" t="n">
        <x:f>G1629+Supuestos!$C$15</x:f>
        <x:v>32</x:v>
      </x:c>
      <x:c r="I1629" s="14" t="n">
        <x:f>E2_plantas!J40+G1629</x:f>
        <x:v>46226</x:v>
      </x:c>
      <x:c r="J1629" s="2" t="str">
        <x:v>muerta</x:v>
      </x:c>
      <x:c r="K1629" s="2" t="n">
        <x:v>0</x:v>
      </x:c>
      <x:c r="L1629" s="2" t="n">
        <x:v>0</x:v>
      </x:c>
      <x:c r="M1629" s="2" t="n">
        <x:f>SUM(L$1598:L1629)</x:f>
        <x:v>0</x:v>
      </x:c>
      <x:c r="N1629" s="2" t="n">
        <x:v>0</x:v>
      </x:c>
      <x:c r="O1629" s="2" t="str">
        <x:v>relleno_postmuerte</x:v>
      </x:c>
      <x:c r="P1629" s="2" t="n">
        <x:v>0</x:v>
      </x:c>
      <x:c r="Q1629" s="2" t="str">
        <x:v>simulado_didactico</x:v>
      </x:c>
    </x:row>
    <x:row r="1630" ht="19" customHeight="1">
      <x:c r="A1630" s="2" t="str">
        <x:v>SIM-E2-MP-L8-R07</x:v>
      </x:c>
      <x:c r="B1630" s="2" t="n">
        <x:v>4</x:v>
      </x:c>
      <x:c r="C1630" s="2" t="str">
        <x:v>MP</x:v>
      </x:c>
      <x:c r="D1630" s="2" t="str">
        <x:v>Myzus persicae</x:v>
      </x:c>
      <x:c r="E1630" s="2" t="str">
        <x:v>L8</x:v>
      </x:c>
      <x:c r="F1630" s="2" t="n">
        <x:v>7</x:v>
      </x:c>
      <x:c r="G1630" s="2" t="n">
        <x:v>32</x:v>
      </x:c>
      <x:c r="H1630" s="2" t="n">
        <x:f>G1630+Supuestos!$C$15</x:f>
        <x:v>33</x:v>
      </x:c>
      <x:c r="I1630" s="14" t="n">
        <x:f>E2_plantas!J40+G1630</x:f>
        <x:v>46227</x:v>
      </x:c>
      <x:c r="J1630" s="2" t="str">
        <x:v>muerta</x:v>
      </x:c>
      <x:c r="K1630" s="2" t="n">
        <x:v>0</x:v>
      </x:c>
      <x:c r="L1630" s="2" t="n">
        <x:v>0</x:v>
      </x:c>
      <x:c r="M1630" s="2" t="n">
        <x:f>SUM(L$1598:L1630)</x:f>
        <x:v>0</x:v>
      </x:c>
      <x:c r="N1630" s="2" t="n">
        <x:v>0</x:v>
      </x:c>
      <x:c r="O1630" s="2" t="str">
        <x:v>relleno_postmuerte</x:v>
      </x:c>
      <x:c r="P1630" s="2" t="n">
        <x:v>0</x:v>
      </x:c>
      <x:c r="Q1630" s="2" t="str">
        <x:v>simulado_didactico</x:v>
      </x:c>
    </x:row>
    <x:row r="1631" ht="19" customHeight="1">
      <x:c r="A1631" s="2" t="str">
        <x:v>SIM-E2-MP-L8-R07</x:v>
      </x:c>
      <x:c r="B1631" s="2" t="n">
        <x:v>4</x:v>
      </x:c>
      <x:c r="C1631" s="2" t="str">
        <x:v>MP</x:v>
      </x:c>
      <x:c r="D1631" s="2" t="str">
        <x:v>Myzus persicae</x:v>
      </x:c>
      <x:c r="E1631" s="2" t="str">
        <x:v>L8</x:v>
      </x:c>
      <x:c r="F1631" s="2" t="n">
        <x:v>7</x:v>
      </x:c>
      <x:c r="G1631" s="2" t="n">
        <x:v>33</x:v>
      </x:c>
      <x:c r="H1631" s="2" t="n">
        <x:f>G1631+Supuestos!$C$15</x:f>
        <x:v>34</x:v>
      </x:c>
      <x:c r="I1631" s="14" t="n">
        <x:f>E2_plantas!J40+G1631</x:f>
        <x:v>46228</x:v>
      </x:c>
      <x:c r="J1631" s="2" t="str">
        <x:v>muerta</x:v>
      </x:c>
      <x:c r="K1631" s="2" t="n">
        <x:v>0</x:v>
      </x:c>
      <x:c r="L1631" s="2" t="n">
        <x:v>0</x:v>
      </x:c>
      <x:c r="M1631" s="2" t="n">
        <x:f>SUM(L$1598:L1631)</x:f>
        <x:v>0</x:v>
      </x:c>
      <x:c r="N1631" s="2" t="n">
        <x:v>0</x:v>
      </x:c>
      <x:c r="O1631" s="2" t="str">
        <x:v>relleno_postmuerte</x:v>
      </x:c>
      <x:c r="P1631" s="2" t="n">
        <x:v>0</x:v>
      </x:c>
      <x:c r="Q1631" s="2" t="str">
        <x:v>simulado_didactico</x:v>
      </x:c>
    </x:row>
    <x:row r="1632" ht="19" customHeight="1">
      <x:c r="A1632" s="2" t="str">
        <x:v>SIM-E2-MP-L8-R07</x:v>
      </x:c>
      <x:c r="B1632" s="2" t="n">
        <x:v>4</x:v>
      </x:c>
      <x:c r="C1632" s="2" t="str">
        <x:v>MP</x:v>
      </x:c>
      <x:c r="D1632" s="2" t="str">
        <x:v>Myzus persicae</x:v>
      </x:c>
      <x:c r="E1632" s="2" t="str">
        <x:v>L8</x:v>
      </x:c>
      <x:c r="F1632" s="2" t="n">
        <x:v>7</x:v>
      </x:c>
      <x:c r="G1632" s="2" t="n">
        <x:v>34</x:v>
      </x:c>
      <x:c r="H1632" s="2" t="n">
        <x:f>G1632+Supuestos!$C$15</x:f>
        <x:v>35</x:v>
      </x:c>
      <x:c r="I1632" s="14" t="n">
        <x:f>E2_plantas!J40+G1632</x:f>
        <x:v>46229</x:v>
      </x:c>
      <x:c r="J1632" s="2" t="str">
        <x:v>muerta</x:v>
      </x:c>
      <x:c r="K1632" s="2" t="n">
        <x:v>0</x:v>
      </x:c>
      <x:c r="L1632" s="2" t="n">
        <x:v>0</x:v>
      </x:c>
      <x:c r="M1632" s="2" t="n">
        <x:f>SUM(L$1598:L1632)</x:f>
        <x:v>0</x:v>
      </x:c>
      <x:c r="N1632" s="2" t="n">
        <x:v>0</x:v>
      </x:c>
      <x:c r="O1632" s="2" t="str">
        <x:v>relleno_postmuerte</x:v>
      </x:c>
      <x:c r="P1632" s="2" t="n">
        <x:v>0</x:v>
      </x:c>
      <x:c r="Q1632" s="2" t="str">
        <x:v>simulado_didactico</x:v>
      </x:c>
    </x:row>
    <x:row r="1633" ht="19" customHeight="1">
      <x:c r="A1633" s="2" t="str">
        <x:v>SIM-E2-MP-L8-R07</x:v>
      </x:c>
      <x:c r="B1633" s="2" t="n">
        <x:v>4</x:v>
      </x:c>
      <x:c r="C1633" s="2" t="str">
        <x:v>MP</x:v>
      </x:c>
      <x:c r="D1633" s="2" t="str">
        <x:v>Myzus persicae</x:v>
      </x:c>
      <x:c r="E1633" s="2" t="str">
        <x:v>L8</x:v>
      </x:c>
      <x:c r="F1633" s="2" t="n">
        <x:v>7</x:v>
      </x:c>
      <x:c r="G1633" s="2" t="n">
        <x:v>35</x:v>
      </x:c>
      <x:c r="H1633" s="2" t="n">
        <x:f>G1633+Supuestos!$C$15</x:f>
        <x:v>36</x:v>
      </x:c>
      <x:c r="I1633" s="14" t="n">
        <x:f>E2_plantas!J40+G1633</x:f>
        <x:v>46230</x:v>
      </x:c>
      <x:c r="J1633" s="2" t="str">
        <x:v>muerta</x:v>
      </x:c>
      <x:c r="K1633" s="2" t="n">
        <x:v>0</x:v>
      </x:c>
      <x:c r="L1633" s="2" t="n">
        <x:v>0</x:v>
      </x:c>
      <x:c r="M1633" s="2" t="n">
        <x:f>SUM(L$1598:L1633)</x:f>
        <x:v>0</x:v>
      </x:c>
      <x:c r="N1633" s="2" t="n">
        <x:v>0</x:v>
      </x:c>
      <x:c r="O1633" s="2" t="str">
        <x:v>relleno_postmuerte</x:v>
      </x:c>
      <x:c r="P1633" s="2" t="n">
        <x:v>0</x:v>
      </x:c>
      <x:c r="Q1633" s="2" t="str">
        <x:v>simulado_didactico</x:v>
      </x:c>
    </x:row>
    <x:row r="1634" ht="19" customHeight="1">
      <x:c r="A1634" s="2" t="str">
        <x:v>SIM-E2-MP-L8-R07</x:v>
      </x:c>
      <x:c r="B1634" s="2" t="n">
        <x:v>4</x:v>
      </x:c>
      <x:c r="C1634" s="2" t="str">
        <x:v>MP</x:v>
      </x:c>
      <x:c r="D1634" s="2" t="str">
        <x:v>Myzus persicae</x:v>
      </x:c>
      <x:c r="E1634" s="2" t="str">
        <x:v>L8</x:v>
      </x:c>
      <x:c r="F1634" s="2" t="n">
        <x:v>7</x:v>
      </x:c>
      <x:c r="G1634" s="2" t="n">
        <x:v>36</x:v>
      </x:c>
      <x:c r="H1634" s="2" t="n">
        <x:f>G1634+Supuestos!$C$15</x:f>
        <x:v>37</x:v>
      </x:c>
      <x:c r="I1634" s="14" t="n">
        <x:f>E2_plantas!J40+G1634</x:f>
        <x:v>46231</x:v>
      </x:c>
      <x:c r="J1634" s="2" t="str">
        <x:v>muerta</x:v>
      </x:c>
      <x:c r="K1634" s="2" t="n">
        <x:v>0</x:v>
      </x:c>
      <x:c r="L1634" s="2" t="n">
        <x:v>0</x:v>
      </x:c>
      <x:c r="M1634" s="2" t="n">
        <x:f>SUM(L$1598:L1634)</x:f>
        <x:v>0</x:v>
      </x:c>
      <x:c r="N1634" s="2" t="n">
        <x:v>0</x:v>
      </x:c>
      <x:c r="O1634" s="2" t="str">
        <x:v>relleno_postmuerte</x:v>
      </x:c>
      <x:c r="P1634" s="2" t="n">
        <x:v>0</x:v>
      </x:c>
      <x:c r="Q1634" s="2" t="str">
        <x:v>simulado_didactico</x:v>
      </x:c>
    </x:row>
    <x:row r="1635" ht="19" customHeight="1">
      <x:c r="A1635" s="2" t="str">
        <x:v>SIM-E2-MP-L8-R07</x:v>
      </x:c>
      <x:c r="B1635" s="2" t="n">
        <x:v>4</x:v>
      </x:c>
      <x:c r="C1635" s="2" t="str">
        <x:v>MP</x:v>
      </x:c>
      <x:c r="D1635" s="2" t="str">
        <x:v>Myzus persicae</x:v>
      </x:c>
      <x:c r="E1635" s="2" t="str">
        <x:v>L8</x:v>
      </x:c>
      <x:c r="F1635" s="2" t="n">
        <x:v>7</x:v>
      </x:c>
      <x:c r="G1635" s="2" t="n">
        <x:v>37</x:v>
      </x:c>
      <x:c r="H1635" s="2" t="n">
        <x:f>G1635+Supuestos!$C$15</x:f>
        <x:v>38</x:v>
      </x:c>
      <x:c r="I1635" s="14" t="n">
        <x:f>E2_plantas!J40+G1635</x:f>
        <x:v>46232</x:v>
      </x:c>
      <x:c r="J1635" s="2" t="str">
        <x:v>muerta</x:v>
      </x:c>
      <x:c r="K1635" s="2" t="n">
        <x:v>0</x:v>
      </x:c>
      <x:c r="L1635" s="2" t="n">
        <x:v>0</x:v>
      </x:c>
      <x:c r="M1635" s="2" t="n">
        <x:f>SUM(L$1598:L1635)</x:f>
        <x:v>0</x:v>
      </x:c>
      <x:c r="N1635" s="2" t="n">
        <x:v>0</x:v>
      </x:c>
      <x:c r="O1635" s="2" t="str">
        <x:v>relleno_postmuerte</x:v>
      </x:c>
      <x:c r="P1635" s="2" t="n">
        <x:v>0</x:v>
      </x:c>
      <x:c r="Q1635" s="2" t="str">
        <x:v>simulado_didactico</x:v>
      </x:c>
    </x:row>
    <x:row r="1636" ht="19" customHeight="1">
      <x:c r="A1636" s="2" t="str">
        <x:v>SIM-E2-MP-L8-R07</x:v>
      </x:c>
      <x:c r="B1636" s="2" t="n">
        <x:v>4</x:v>
      </x:c>
      <x:c r="C1636" s="2" t="str">
        <x:v>MP</x:v>
      </x:c>
      <x:c r="D1636" s="2" t="str">
        <x:v>Myzus persicae</x:v>
      </x:c>
      <x:c r="E1636" s="2" t="str">
        <x:v>L8</x:v>
      </x:c>
      <x:c r="F1636" s="2" t="n">
        <x:v>7</x:v>
      </x:c>
      <x:c r="G1636" s="2" t="n">
        <x:v>38</x:v>
      </x:c>
      <x:c r="H1636" s="2" t="n">
        <x:f>G1636+Supuestos!$C$15</x:f>
        <x:v>39</x:v>
      </x:c>
      <x:c r="I1636" s="14" t="n">
        <x:f>E2_plantas!J40+G1636</x:f>
        <x:v>46233</x:v>
      </x:c>
      <x:c r="J1636" s="2" t="str">
        <x:v>muerta</x:v>
      </x:c>
      <x:c r="K1636" s="2" t="n">
        <x:v>0</x:v>
      </x:c>
      <x:c r="L1636" s="2" t="n">
        <x:v>0</x:v>
      </x:c>
      <x:c r="M1636" s="2" t="n">
        <x:f>SUM(L$1598:L1636)</x:f>
        <x:v>0</x:v>
      </x:c>
      <x:c r="N1636" s="2" t="n">
        <x:v>0</x:v>
      </x:c>
      <x:c r="O1636" s="2" t="str">
        <x:v>relleno_postmuerte</x:v>
      </x:c>
      <x:c r="P1636" s="2" t="n">
        <x:v>0</x:v>
      </x:c>
      <x:c r="Q1636" s="2" t="str">
        <x:v>simulado_didactico</x:v>
      </x:c>
    </x:row>
    <x:row r="1637" ht="19" customHeight="1">
      <x:c r="A1637" s="2" t="str">
        <x:v>SIM-E2-MP-L8-R07</x:v>
      </x:c>
      <x:c r="B1637" s="2" t="n">
        <x:v>4</x:v>
      </x:c>
      <x:c r="C1637" s="2" t="str">
        <x:v>MP</x:v>
      </x:c>
      <x:c r="D1637" s="2" t="str">
        <x:v>Myzus persicae</x:v>
      </x:c>
      <x:c r="E1637" s="2" t="str">
        <x:v>L8</x:v>
      </x:c>
      <x:c r="F1637" s="2" t="n">
        <x:v>7</x:v>
      </x:c>
      <x:c r="G1637" s="2" t="n">
        <x:v>39</x:v>
      </x:c>
      <x:c r="H1637" s="2" t="n">
        <x:f>G1637+Supuestos!$C$15</x:f>
        <x:v>40</x:v>
      </x:c>
      <x:c r="I1637" s="14" t="n">
        <x:f>E2_plantas!J40+G1637</x:f>
        <x:v>46234</x:v>
      </x:c>
      <x:c r="J1637" s="2" t="str">
        <x:v>muerta</x:v>
      </x:c>
      <x:c r="K1637" s="2" t="n">
        <x:v>0</x:v>
      </x:c>
      <x:c r="L1637" s="2" t="n">
        <x:v>0</x:v>
      </x:c>
      <x:c r="M1637" s="2" t="n">
        <x:f>SUM(L$1598:L1637)</x:f>
        <x:v>0</x:v>
      </x:c>
      <x:c r="N1637" s="2" t="n">
        <x:v>0</x:v>
      </x:c>
      <x:c r="O1637" s="2" t="str">
        <x:v>relleno_postmuerte</x:v>
      </x:c>
      <x:c r="P1637" s="2" t="n">
        <x:v>0</x:v>
      </x:c>
      <x:c r="Q1637" s="2" t="str">
        <x:v>simulado_didactico</x:v>
      </x:c>
    </x:row>
    <x:row r="1638" ht="19" customHeight="1">
      <x:c r="A1638" s="2" t="str">
        <x:v>SIM-E2-MP-L8-R07</x:v>
      </x:c>
      <x:c r="B1638" s="2" t="n">
        <x:v>4</x:v>
      </x:c>
      <x:c r="C1638" s="2" t="str">
        <x:v>MP</x:v>
      </x:c>
      <x:c r="D1638" s="2" t="str">
        <x:v>Myzus persicae</x:v>
      </x:c>
      <x:c r="E1638" s="2" t="str">
        <x:v>L8</x:v>
      </x:c>
      <x:c r="F1638" s="2" t="n">
        <x:v>7</x:v>
      </x:c>
      <x:c r="G1638" s="2" t="n">
        <x:v>40</x:v>
      </x:c>
      <x:c r="H1638" s="2" t="n">
        <x:f>G1638+Supuestos!$C$15</x:f>
        <x:v>41</x:v>
      </x:c>
      <x:c r="I1638" s="14" t="n">
        <x:f>E2_plantas!J40+G1638</x:f>
        <x:v>46235</x:v>
      </x:c>
      <x:c r="J1638" s="2" t="str">
        <x:v>muerta</x:v>
      </x:c>
      <x:c r="K1638" s="2" t="n">
        <x:v>0</x:v>
      </x:c>
      <x:c r="L1638" s="2" t="n">
        <x:v>0</x:v>
      </x:c>
      <x:c r="M1638" s="2" t="n">
        <x:f>SUM(L$1598:L1638)</x:f>
        <x:v>0</x:v>
      </x:c>
      <x:c r="N1638" s="2" t="n">
        <x:v>0</x:v>
      </x:c>
      <x:c r="O1638" s="2" t="str">
        <x:v>relleno_postmuerte</x:v>
      </x:c>
      <x:c r="P1638" s="2" t="n">
        <x:v>0</x:v>
      </x:c>
      <x:c r="Q1638" s="2" t="str">
        <x:v>simulado_didactico</x:v>
      </x:c>
    </x:row>
    <x:row r="1639" ht="19" customHeight="1">
      <x:c r="A1639" s="2" t="str">
        <x:v>SIM-E2-MP-L8-R07</x:v>
      </x:c>
      <x:c r="B1639" s="2" t="n">
        <x:v>4</x:v>
      </x:c>
      <x:c r="C1639" s="2" t="str">
        <x:v>MP</x:v>
      </x:c>
      <x:c r="D1639" s="2" t="str">
        <x:v>Myzus persicae</x:v>
      </x:c>
      <x:c r="E1639" s="2" t="str">
        <x:v>L8</x:v>
      </x:c>
      <x:c r="F1639" s="2" t="n">
        <x:v>7</x:v>
      </x:c>
      <x:c r="G1639" s="2" t="n">
        <x:v>41</x:v>
      </x:c>
      <x:c r="H1639" s="2" t="n">
        <x:f>G1639+Supuestos!$C$15</x:f>
        <x:v>42</x:v>
      </x:c>
      <x:c r="I1639" s="14" t="n">
        <x:f>E2_plantas!J40+G1639</x:f>
        <x:v>46236</x:v>
      </x:c>
      <x:c r="J1639" s="2" t="str">
        <x:v>muerta</x:v>
      </x:c>
      <x:c r="K1639" s="2" t="n">
        <x:v>0</x:v>
      </x:c>
      <x:c r="L1639" s="2" t="n">
        <x:v>0</x:v>
      </x:c>
      <x:c r="M1639" s="2" t="n">
        <x:f>SUM(L$1598:L1639)</x:f>
        <x:v>0</x:v>
      </x:c>
      <x:c r="N1639" s="2" t="n">
        <x:v>0</x:v>
      </x:c>
      <x:c r="O1639" s="2" t="str">
        <x:v>relleno_postmuerte</x:v>
      </x:c>
      <x:c r="P1639" s="2" t="n">
        <x:v>0</x:v>
      </x:c>
      <x:c r="Q1639" s="2" t="str">
        <x:v>simulado_didactico</x:v>
      </x:c>
    </x:row>
    <x:row r="1640" ht="19" customHeight="1">
      <x:c r="A1640" s="2" t="str">
        <x:v>SIM-E2-MP-L8-R08</x:v>
      </x:c>
      <x:c r="B1640" s="2" t="n">
        <x:v>4</x:v>
      </x:c>
      <x:c r="C1640" s="2" t="str">
        <x:v>MP</x:v>
      </x:c>
      <x:c r="D1640" s="2" t="str">
        <x:v>Myzus persicae</x:v>
      </x:c>
      <x:c r="E1640" s="2" t="str">
        <x:v>L8</x:v>
      </x:c>
      <x:c r="F1640" s="2" t="n">
        <x:v>8</x:v>
      </x:c>
      <x:c r="G1640" s="2" t="n">
        <x:v>0</x:v>
      </x:c>
      <x:c r="H1640" s="2" t="n">
        <x:f>G1640+Supuestos!$C$15</x:f>
        <x:v>1</x:v>
      </x:c>
      <x:c r="I1640" s="14" t="n">
        <x:f>E2_plantas!J41+G1640</x:f>
        <x:v>46195</x:v>
      </x:c>
      <x:c r="J1640" s="2" t="str">
        <x:v>N1</x:v>
      </x:c>
      <x:c r="K1640" s="2" t="n">
        <x:v>1</x:v>
      </x:c>
      <x:c r="L1640" s="2" t="n">
        <x:v>0</x:v>
      </x:c>
      <x:c r="M1640" s="2" t="n">
        <x:f>SUM(L$1640:L1640)</x:f>
        <x:v>0</x:v>
      </x:c>
      <x:c r="N1640" s="2" t="n">
        <x:v>0</x:v>
      </x:c>
      <x:c r="O1640" s="2" t="str">
        <x:v>seguimiento</x:v>
      </x:c>
      <x:c r="P1640" s="2" t="n">
        <x:v>0</x:v>
      </x:c>
      <x:c r="Q1640" s="2" t="str">
        <x:v>simulado_didactico</x:v>
      </x:c>
    </x:row>
    <x:row r="1641" ht="19" customHeight="1">
      <x:c r="A1641" s="2" t="str">
        <x:v>SIM-E2-MP-L8-R08</x:v>
      </x:c>
      <x:c r="B1641" s="2" t="n">
        <x:v>4</x:v>
      </x:c>
      <x:c r="C1641" s="2" t="str">
        <x:v>MP</x:v>
      </x:c>
      <x:c r="D1641" s="2" t="str">
        <x:v>Myzus persicae</x:v>
      </x:c>
      <x:c r="E1641" s="2" t="str">
        <x:v>L8</x:v>
      </x:c>
      <x:c r="F1641" s="2" t="n">
        <x:v>8</x:v>
      </x:c>
      <x:c r="G1641" s="2" t="n">
        <x:v>1</x:v>
      </x:c>
      <x:c r="H1641" s="2" t="n">
        <x:f>G1641+Supuestos!$C$15</x:f>
        <x:v>2</x:v>
      </x:c>
      <x:c r="I1641" s="14" t="n">
        <x:f>E2_plantas!J41+G1641</x:f>
        <x:v>46196</x:v>
      </x:c>
      <x:c r="J1641" s="2" t="str">
        <x:v>N1</x:v>
      </x:c>
      <x:c r="K1641" s="2" t="n">
        <x:v>1</x:v>
      </x:c>
      <x:c r="L1641" s="2" t="n">
        <x:v>0</x:v>
      </x:c>
      <x:c r="M1641" s="2" t="n">
        <x:f>SUM(L$1640:L1641)</x:f>
        <x:v>0</x:v>
      </x:c>
      <x:c r="N1641" s="2" t="n">
        <x:v>0</x:v>
      </x:c>
      <x:c r="O1641" s="2" t="str">
        <x:v>seguimiento</x:v>
      </x:c>
      <x:c r="P1641" s="2" t="n">
        <x:v>0</x:v>
      </x:c>
      <x:c r="Q1641" s="2" t="str">
        <x:v>simulado_didactico</x:v>
      </x:c>
    </x:row>
    <x:row r="1642" ht="19" customHeight="1">
      <x:c r="A1642" s="2" t="str">
        <x:v>SIM-E2-MP-L8-R08</x:v>
      </x:c>
      <x:c r="B1642" s="2" t="n">
        <x:v>4</x:v>
      </x:c>
      <x:c r="C1642" s="2" t="str">
        <x:v>MP</x:v>
      </x:c>
      <x:c r="D1642" s="2" t="str">
        <x:v>Myzus persicae</x:v>
      </x:c>
      <x:c r="E1642" s="2" t="str">
        <x:v>L8</x:v>
      </x:c>
      <x:c r="F1642" s="2" t="n">
        <x:v>8</x:v>
      </x:c>
      <x:c r="G1642" s="2" t="n">
        <x:v>2</x:v>
      </x:c>
      <x:c r="H1642" s="2" t="n">
        <x:f>G1642+Supuestos!$C$15</x:f>
        <x:v>3</x:v>
      </x:c>
      <x:c r="I1642" s="14" t="n">
        <x:f>E2_plantas!J41+G1642</x:f>
        <x:v>46197</x:v>
      </x:c>
      <x:c r="J1642" s="2" t="str">
        <x:v>N1</x:v>
      </x:c>
      <x:c r="K1642" s="2" t="n">
        <x:v>1</x:v>
      </x:c>
      <x:c r="L1642" s="2" t="n">
        <x:v>0</x:v>
      </x:c>
      <x:c r="M1642" s="2" t="n">
        <x:f>SUM(L$1640:L1642)</x:f>
        <x:v>0</x:v>
      </x:c>
      <x:c r="N1642" s="2" t="n">
        <x:v>0</x:v>
      </x:c>
      <x:c r="O1642" s="2" t="str">
        <x:v>seguimiento</x:v>
      </x:c>
      <x:c r="P1642" s="2" t="n">
        <x:v>0</x:v>
      </x:c>
      <x:c r="Q1642" s="2" t="str">
        <x:v>simulado_didactico</x:v>
      </x:c>
    </x:row>
    <x:row r="1643" ht="19" customHeight="1">
      <x:c r="A1643" s="2" t="str">
        <x:v>SIM-E2-MP-L8-R08</x:v>
      </x:c>
      <x:c r="B1643" s="2" t="n">
        <x:v>4</x:v>
      </x:c>
      <x:c r="C1643" s="2" t="str">
        <x:v>MP</x:v>
      </x:c>
      <x:c r="D1643" s="2" t="str">
        <x:v>Myzus persicae</x:v>
      </x:c>
      <x:c r="E1643" s="2" t="str">
        <x:v>L8</x:v>
      </x:c>
      <x:c r="F1643" s="2" t="n">
        <x:v>8</x:v>
      </x:c>
      <x:c r="G1643" s="2" t="n">
        <x:v>3</x:v>
      </x:c>
      <x:c r="H1643" s="2" t="n">
        <x:f>G1643+Supuestos!$C$15</x:f>
        <x:v>4</x:v>
      </x:c>
      <x:c r="I1643" s="14" t="n">
        <x:f>E2_plantas!J41+G1643</x:f>
        <x:v>46198</x:v>
      </x:c>
      <x:c r="J1643" s="2" t="str">
        <x:v>N2</x:v>
      </x:c>
      <x:c r="K1643" s="2" t="n">
        <x:v>1</x:v>
      </x:c>
      <x:c r="L1643" s="2" t="n">
        <x:v>0</x:v>
      </x:c>
      <x:c r="M1643" s="2" t="n">
        <x:f>SUM(L$1640:L1643)</x:f>
        <x:v>0</x:v>
      </x:c>
      <x:c r="N1643" s="2" t="n">
        <x:v>0</x:v>
      </x:c>
      <x:c r="O1643" s="2" t="str">
        <x:v>seguimiento</x:v>
      </x:c>
      <x:c r="P1643" s="2" t="n">
        <x:v>0</x:v>
      </x:c>
      <x:c r="Q1643" s="2" t="str">
        <x:v>simulado_didactico</x:v>
      </x:c>
    </x:row>
    <x:row r="1644" ht="19" customHeight="1">
      <x:c r="A1644" s="2" t="str">
        <x:v>SIM-E2-MP-L8-R08</x:v>
      </x:c>
      <x:c r="B1644" s="2" t="n">
        <x:v>4</x:v>
      </x:c>
      <x:c r="C1644" s="2" t="str">
        <x:v>MP</x:v>
      </x:c>
      <x:c r="D1644" s="2" t="str">
        <x:v>Myzus persicae</x:v>
      </x:c>
      <x:c r="E1644" s="2" t="str">
        <x:v>L8</x:v>
      </x:c>
      <x:c r="F1644" s="2" t="n">
        <x:v>8</x:v>
      </x:c>
      <x:c r="G1644" s="2" t="n">
        <x:v>4</x:v>
      </x:c>
      <x:c r="H1644" s="2" t="n">
        <x:f>G1644+Supuestos!$C$15</x:f>
        <x:v>5</x:v>
      </x:c>
      <x:c r="I1644" s="14" t="n">
        <x:f>E2_plantas!J41+G1644</x:f>
        <x:v>46199</x:v>
      </x:c>
      <x:c r="J1644" s="2" t="str">
        <x:v>N3</x:v>
      </x:c>
      <x:c r="K1644" s="2" t="n">
        <x:v>1</x:v>
      </x:c>
      <x:c r="L1644" s="2" t="n">
        <x:v>0</x:v>
      </x:c>
      <x:c r="M1644" s="2" t="n">
        <x:f>SUM(L$1640:L1644)</x:f>
        <x:v>0</x:v>
      </x:c>
      <x:c r="N1644" s="2" t="n">
        <x:v>0</x:v>
      </x:c>
      <x:c r="O1644" s="2" t="str">
        <x:v>seguimiento</x:v>
      </x:c>
      <x:c r="P1644" s="2" t="n">
        <x:v>0</x:v>
      </x:c>
      <x:c r="Q1644" s="2" t="str">
        <x:v>simulado_didactico</x:v>
      </x:c>
    </x:row>
    <x:row r="1645" ht="19" customHeight="1">
      <x:c r="A1645" s="2" t="str">
        <x:v>SIM-E2-MP-L8-R08</x:v>
      </x:c>
      <x:c r="B1645" s="2" t="n">
        <x:v>4</x:v>
      </x:c>
      <x:c r="C1645" s="2" t="str">
        <x:v>MP</x:v>
      </x:c>
      <x:c r="D1645" s="2" t="str">
        <x:v>Myzus persicae</x:v>
      </x:c>
      <x:c r="E1645" s="2" t="str">
        <x:v>L8</x:v>
      </x:c>
      <x:c r="F1645" s="2" t="n">
        <x:v>8</x:v>
      </x:c>
      <x:c r="G1645" s="2" t="n">
        <x:v>5</x:v>
      </x:c>
      <x:c r="H1645" s="2" t="n">
        <x:f>G1645+Supuestos!$C$15</x:f>
        <x:v>6</x:v>
      </x:c>
      <x:c r="I1645" s="14" t="n">
        <x:f>E2_plantas!J41+G1645</x:f>
        <x:v>46200</x:v>
      </x:c>
      <x:c r="J1645" s="2" t="str">
        <x:v>N3</x:v>
      </x:c>
      <x:c r="K1645" s="2" t="n">
        <x:v>1</x:v>
      </x:c>
      <x:c r="L1645" s="2" t="n">
        <x:v>0</x:v>
      </x:c>
      <x:c r="M1645" s="2" t="n">
        <x:f>SUM(L$1640:L1645)</x:f>
        <x:v>0</x:v>
      </x:c>
      <x:c r="N1645" s="2" t="n">
        <x:v>0</x:v>
      </x:c>
      <x:c r="O1645" s="2" t="str">
        <x:v>seguimiento</x:v>
      </x:c>
      <x:c r="P1645" s="2" t="n">
        <x:v>0</x:v>
      </x:c>
      <x:c r="Q1645" s="2" t="str">
        <x:v>simulado_didactico</x:v>
      </x:c>
    </x:row>
    <x:row r="1646" ht="19" customHeight="1">
      <x:c r="A1646" s="2" t="str">
        <x:v>SIM-E2-MP-L8-R08</x:v>
      </x:c>
      <x:c r="B1646" s="2" t="n">
        <x:v>4</x:v>
      </x:c>
      <x:c r="C1646" s="2" t="str">
        <x:v>MP</x:v>
      </x:c>
      <x:c r="D1646" s="2" t="str">
        <x:v>Myzus persicae</x:v>
      </x:c>
      <x:c r="E1646" s="2" t="str">
        <x:v>L8</x:v>
      </x:c>
      <x:c r="F1646" s="2" t="n">
        <x:v>8</x:v>
      </x:c>
      <x:c r="G1646" s="2" t="n">
        <x:v>6</x:v>
      </x:c>
      <x:c r="H1646" s="2" t="n">
        <x:f>G1646+Supuestos!$C$15</x:f>
        <x:v>7</x:v>
      </x:c>
      <x:c r="I1646" s="14" t="n">
        <x:f>E2_plantas!J41+G1646</x:f>
        <x:v>46201</x:v>
      </x:c>
      <x:c r="J1646" s="2" t="str">
        <x:v>N3</x:v>
      </x:c>
      <x:c r="K1646" s="2" t="n">
        <x:v>1</x:v>
      </x:c>
      <x:c r="L1646" s="2" t="n">
        <x:v>0</x:v>
      </x:c>
      <x:c r="M1646" s="2" t="n">
        <x:f>SUM(L$1640:L1646)</x:f>
        <x:v>0</x:v>
      </x:c>
      <x:c r="N1646" s="2" t="n">
        <x:v>0</x:v>
      </x:c>
      <x:c r="O1646" s="2" t="str">
        <x:v>seguimiento</x:v>
      </x:c>
      <x:c r="P1646" s="2" t="n">
        <x:v>0</x:v>
      </x:c>
      <x:c r="Q1646" s="2" t="str">
        <x:v>simulado_didactico</x:v>
      </x:c>
    </x:row>
    <x:row r="1647" ht="19" customHeight="1">
      <x:c r="A1647" s="2" t="str">
        <x:v>SIM-E2-MP-L8-R08</x:v>
      </x:c>
      <x:c r="B1647" s="2" t="n">
        <x:v>4</x:v>
      </x:c>
      <x:c r="C1647" s="2" t="str">
        <x:v>MP</x:v>
      </x:c>
      <x:c r="D1647" s="2" t="str">
        <x:v>Myzus persicae</x:v>
      </x:c>
      <x:c r="E1647" s="2" t="str">
        <x:v>L8</x:v>
      </x:c>
      <x:c r="F1647" s="2" t="n">
        <x:v>8</x:v>
      </x:c>
      <x:c r="G1647" s="2" t="n">
        <x:v>7</x:v>
      </x:c>
      <x:c r="H1647" s="2" t="n">
        <x:f>G1647+Supuestos!$C$15</x:f>
        <x:v>8</x:v>
      </x:c>
      <x:c r="I1647" s="14" t="n">
        <x:f>E2_plantas!J41+G1647</x:f>
        <x:v>46202</x:v>
      </x:c>
      <x:c r="J1647" s="2" t="str">
        <x:v>N4</x:v>
      </x:c>
      <x:c r="K1647" s="2" t="n">
        <x:v>1</x:v>
      </x:c>
      <x:c r="L1647" s="2" t="n">
        <x:v>0</x:v>
      </x:c>
      <x:c r="M1647" s="2" t="n">
        <x:f>SUM(L$1640:L1647)</x:f>
        <x:v>0</x:v>
      </x:c>
      <x:c r="N1647" s="2" t="n">
        <x:v>0</x:v>
      </x:c>
      <x:c r="O1647" s="2" t="str">
        <x:v>seguimiento</x:v>
      </x:c>
      <x:c r="P1647" s="2" t="n">
        <x:v>0</x:v>
      </x:c>
      <x:c r="Q1647" s="2" t="str">
        <x:v>simulado_didactico</x:v>
      </x:c>
    </x:row>
    <x:row r="1648" ht="19" customHeight="1">
      <x:c r="A1648" s="2" t="str">
        <x:v>SIM-E2-MP-L8-R08</x:v>
      </x:c>
      <x:c r="B1648" s="2" t="n">
        <x:v>4</x:v>
      </x:c>
      <x:c r="C1648" s="2" t="str">
        <x:v>MP</x:v>
      </x:c>
      <x:c r="D1648" s="2" t="str">
        <x:v>Myzus persicae</x:v>
      </x:c>
      <x:c r="E1648" s="2" t="str">
        <x:v>L8</x:v>
      </x:c>
      <x:c r="F1648" s="2" t="n">
        <x:v>8</x:v>
      </x:c>
      <x:c r="G1648" s="2" t="n">
        <x:v>8</x:v>
      </x:c>
      <x:c r="H1648" s="2" t="n">
        <x:f>G1648+Supuestos!$C$15</x:f>
        <x:v>9</x:v>
      </x:c>
      <x:c r="I1648" s="14" t="n">
        <x:f>E2_plantas!J41+G1648</x:f>
        <x:v>46203</x:v>
      </x:c>
      <x:c r="J1648" s="2" t="str">
        <x:v>N4</x:v>
      </x:c>
      <x:c r="K1648" s="2" t="n">
        <x:v>1</x:v>
      </x:c>
      <x:c r="L1648" s="2" t="n">
        <x:v>0</x:v>
      </x:c>
      <x:c r="M1648" s="2" t="n">
        <x:f>SUM(L$1640:L1648)</x:f>
        <x:v>0</x:v>
      </x:c>
      <x:c r="N1648" s="2" t="n">
        <x:v>0</x:v>
      </x:c>
      <x:c r="O1648" s="2" t="str">
        <x:v>seguimiento</x:v>
      </x:c>
      <x:c r="P1648" s="2" t="n">
        <x:v>0</x:v>
      </x:c>
      <x:c r="Q1648" s="2" t="str">
        <x:v>simulado_didactico</x:v>
      </x:c>
    </x:row>
    <x:row r="1649" ht="19" customHeight="1">
      <x:c r="A1649" s="2" t="str">
        <x:v>SIM-E2-MP-L8-R08</x:v>
      </x:c>
      <x:c r="B1649" s="2" t="n">
        <x:v>4</x:v>
      </x:c>
      <x:c r="C1649" s="2" t="str">
        <x:v>MP</x:v>
      </x:c>
      <x:c r="D1649" s="2" t="str">
        <x:v>Myzus persicae</x:v>
      </x:c>
      <x:c r="E1649" s="2" t="str">
        <x:v>L8</x:v>
      </x:c>
      <x:c r="F1649" s="2" t="n">
        <x:v>8</x:v>
      </x:c>
      <x:c r="G1649" s="2" t="n">
        <x:v>9</x:v>
      </x:c>
      <x:c r="H1649" s="2" t="n">
        <x:f>G1649+Supuestos!$C$15</x:f>
        <x:v>10</x:v>
      </x:c>
      <x:c r="I1649" s="14" t="n">
        <x:f>E2_plantas!J41+G1649</x:f>
        <x:v>46204</x:v>
      </x:c>
      <x:c r="J1649" s="2" t="str">
        <x:v>adulta</x:v>
      </x:c>
      <x:c r="K1649" s="2" t="n">
        <x:v>1</x:v>
      </x:c>
      <x:c r="L1649" s="2" t="n">
        <x:v>0</x:v>
      </x:c>
      <x:c r="M1649" s="2" t="n">
        <x:f>SUM(L$1640:L1649)</x:f>
        <x:v>0</x:v>
      </x:c>
      <x:c r="N1649" s="2" t="n">
        <x:v>0</x:v>
      </x:c>
      <x:c r="O1649" s="2" t="str">
        <x:v>seguimiento</x:v>
      </x:c>
      <x:c r="P1649" s="2" t="n">
        <x:v>0</x:v>
      </x:c>
      <x:c r="Q1649" s="2" t="str">
        <x:v>simulado_didactico</x:v>
      </x:c>
    </x:row>
    <x:row r="1650" ht="19" customHeight="1">
      <x:c r="A1650" s="2" t="str">
        <x:v>SIM-E2-MP-L8-R08</x:v>
      </x:c>
      <x:c r="B1650" s="2" t="n">
        <x:v>4</x:v>
      </x:c>
      <x:c r="C1650" s="2" t="str">
        <x:v>MP</x:v>
      </x:c>
      <x:c r="D1650" s="2" t="str">
        <x:v>Myzus persicae</x:v>
      </x:c>
      <x:c r="E1650" s="2" t="str">
        <x:v>L8</x:v>
      </x:c>
      <x:c r="F1650" s="2" t="n">
        <x:v>8</x:v>
      </x:c>
      <x:c r="G1650" s="2" t="n">
        <x:v>10</x:v>
      </x:c>
      <x:c r="H1650" s="2" t="n">
        <x:f>G1650+Supuestos!$C$15</x:f>
        <x:v>11</x:v>
      </x:c>
      <x:c r="I1650" s="14" t="n">
        <x:f>E2_plantas!J41+G1650</x:f>
        <x:v>46205</x:v>
      </x:c>
      <x:c r="J1650" s="2" t="str">
        <x:v>adulta</x:v>
      </x:c>
      <x:c r="K1650" s="2" t="n">
        <x:v>1</x:v>
      </x:c>
      <x:c r="L1650" s="2" t="n">
        <x:v>0</x:v>
      </x:c>
      <x:c r="M1650" s="2" t="n">
        <x:f>SUM(L$1640:L1650)</x:f>
        <x:v>0</x:v>
      </x:c>
      <x:c r="N1650" s="2" t="n">
        <x:v>0</x:v>
      </x:c>
      <x:c r="O1650" s="2" t="str">
        <x:v>seguimiento</x:v>
      </x:c>
      <x:c r="P1650" s="2" t="n">
        <x:v>0</x:v>
      </x:c>
      <x:c r="Q1650" s="2" t="str">
        <x:v>simulado_didactico</x:v>
      </x:c>
    </x:row>
    <x:row r="1651" ht="19" customHeight="1">
      <x:c r="A1651" s="2" t="str">
        <x:v>SIM-E2-MP-L8-R08</x:v>
      </x:c>
      <x:c r="B1651" s="2" t="n">
        <x:v>4</x:v>
      </x:c>
      <x:c r="C1651" s="2" t="str">
        <x:v>MP</x:v>
      </x:c>
      <x:c r="D1651" s="2" t="str">
        <x:v>Myzus persicae</x:v>
      </x:c>
      <x:c r="E1651" s="2" t="str">
        <x:v>L8</x:v>
      </x:c>
      <x:c r="F1651" s="2" t="n">
        <x:v>8</x:v>
      </x:c>
      <x:c r="G1651" s="2" t="n">
        <x:v>11</x:v>
      </x:c>
      <x:c r="H1651" s="2" t="n">
        <x:f>G1651+Supuestos!$C$15</x:f>
        <x:v>12</x:v>
      </x:c>
      <x:c r="I1651" s="14" t="n">
        <x:f>E2_plantas!J41+G1651</x:f>
        <x:v>46206</x:v>
      </x:c>
      <x:c r="J1651" s="2" t="str">
        <x:v>adulta</x:v>
      </x:c>
      <x:c r="K1651" s="2" t="n">
        <x:v>1</x:v>
      </x:c>
      <x:c r="L1651" s="2" t="n">
        <x:v>5</x:v>
      </x:c>
      <x:c r="M1651" s="2" t="n">
        <x:f>SUM(L$1640:L1651)</x:f>
        <x:v>5</x:v>
      </x:c>
      <x:c r="N1651" s="2" t="n">
        <x:v>0</x:v>
      </x:c>
      <x:c r="O1651" s="2" t="str">
        <x:v>seguimiento</x:v>
      </x:c>
      <x:c r="P1651" s="2" t="n">
        <x:v>0</x:v>
      </x:c>
      <x:c r="Q1651" s="2" t="str">
        <x:v>simulado_didactico</x:v>
      </x:c>
    </x:row>
    <x:row r="1652" ht="19" customHeight="1">
      <x:c r="A1652" s="2" t="str">
        <x:v>SIM-E2-MP-L8-R08</x:v>
      </x:c>
      <x:c r="B1652" s="2" t="n">
        <x:v>4</x:v>
      </x:c>
      <x:c r="C1652" s="2" t="str">
        <x:v>MP</x:v>
      </x:c>
      <x:c r="D1652" s="2" t="str">
        <x:v>Myzus persicae</x:v>
      </x:c>
      <x:c r="E1652" s="2" t="str">
        <x:v>L8</x:v>
      </x:c>
      <x:c r="F1652" s="2" t="n">
        <x:v>8</x:v>
      </x:c>
      <x:c r="G1652" s="2" t="n">
        <x:v>12</x:v>
      </x:c>
      <x:c r="H1652" s="2" t="n">
        <x:f>G1652+Supuestos!$C$15</x:f>
        <x:v>13</x:v>
      </x:c>
      <x:c r="I1652" s="14" t="n">
        <x:f>E2_plantas!J41+G1652</x:f>
        <x:v>46207</x:v>
      </x:c>
      <x:c r="J1652" s="2" t="str">
        <x:v>adulta</x:v>
      </x:c>
      <x:c r="K1652" s="2" t="n">
        <x:v>1</x:v>
      </x:c>
      <x:c r="L1652" s="2" t="n">
        <x:v>4</x:v>
      </x:c>
      <x:c r="M1652" s="2" t="n">
        <x:f>SUM(L$1640:L1652)</x:f>
        <x:v>9</x:v>
      </x:c>
      <x:c r="N1652" s="2" t="n">
        <x:v>0</x:v>
      </x:c>
      <x:c r="O1652" s="2" t="str">
        <x:v>seguimiento</x:v>
      </x:c>
      <x:c r="P1652" s="2" t="n">
        <x:v>0</x:v>
      </x:c>
      <x:c r="Q1652" s="2" t="str">
        <x:v>simulado_didactico</x:v>
      </x:c>
    </x:row>
    <x:row r="1653" ht="19" customHeight="1">
      <x:c r="A1653" s="2" t="str">
        <x:v>SIM-E2-MP-L8-R08</x:v>
      </x:c>
      <x:c r="B1653" s="2" t="n">
        <x:v>4</x:v>
      </x:c>
      <x:c r="C1653" s="2" t="str">
        <x:v>MP</x:v>
      </x:c>
      <x:c r="D1653" s="2" t="str">
        <x:v>Myzus persicae</x:v>
      </x:c>
      <x:c r="E1653" s="2" t="str">
        <x:v>L8</x:v>
      </x:c>
      <x:c r="F1653" s="2" t="n">
        <x:v>8</x:v>
      </x:c>
      <x:c r="G1653" s="2" t="n">
        <x:v>13</x:v>
      </x:c>
      <x:c r="H1653" s="2" t="n">
        <x:f>G1653+Supuestos!$C$15</x:f>
        <x:v>14</x:v>
      </x:c>
      <x:c r="I1653" s="14" t="n">
        <x:f>E2_plantas!J41+G1653</x:f>
        <x:v>46208</x:v>
      </x:c>
      <x:c r="J1653" s="2" t="str">
        <x:v>adulta</x:v>
      </x:c>
      <x:c r="K1653" s="2" t="n">
        <x:v>1</x:v>
      </x:c>
      <x:c r="L1653" s="2" t="n">
        <x:v>3</x:v>
      </x:c>
      <x:c r="M1653" s="2" t="n">
        <x:f>SUM(L$1640:L1653)</x:f>
        <x:v>12</x:v>
      </x:c>
      <x:c r="N1653" s="2" t="n">
        <x:v>0</x:v>
      </x:c>
      <x:c r="O1653" s="2" t="str">
        <x:v>seguimiento</x:v>
      </x:c>
      <x:c r="P1653" s="2" t="n">
        <x:v>0</x:v>
      </x:c>
      <x:c r="Q1653" s="2" t="str">
        <x:v>simulado_didactico</x:v>
      </x:c>
    </x:row>
    <x:row r="1654" ht="19" customHeight="1">
      <x:c r="A1654" s="2" t="str">
        <x:v>SIM-E2-MP-L8-R08</x:v>
      </x:c>
      <x:c r="B1654" s="2" t="n">
        <x:v>4</x:v>
      </x:c>
      <x:c r="C1654" s="2" t="str">
        <x:v>MP</x:v>
      </x:c>
      <x:c r="D1654" s="2" t="str">
        <x:v>Myzus persicae</x:v>
      </x:c>
      <x:c r="E1654" s="2" t="str">
        <x:v>L8</x:v>
      </x:c>
      <x:c r="F1654" s="2" t="n">
        <x:v>8</x:v>
      </x:c>
      <x:c r="G1654" s="2" t="n">
        <x:v>14</x:v>
      </x:c>
      <x:c r="H1654" s="2" t="n">
        <x:f>G1654+Supuestos!$C$15</x:f>
        <x:v>15</x:v>
      </x:c>
      <x:c r="I1654" s="14" t="n">
        <x:f>E2_plantas!J41+G1654</x:f>
        <x:v>46209</x:v>
      </x:c>
      <x:c r="J1654" s="2" t="str">
        <x:v>adulta</x:v>
      </x:c>
      <x:c r="K1654" s="2" t="n">
        <x:v>1</x:v>
      </x:c>
      <x:c r="L1654" s="2" t="n">
        <x:v>2</x:v>
      </x:c>
      <x:c r="M1654" s="2" t="n">
        <x:f>SUM(L$1640:L1654)</x:f>
        <x:v>14</x:v>
      </x:c>
      <x:c r="N1654" s="2" t="n">
        <x:v>0</x:v>
      </x:c>
      <x:c r="O1654" s="2" t="str">
        <x:v>seguimiento</x:v>
      </x:c>
      <x:c r="P1654" s="2" t="n">
        <x:v>0</x:v>
      </x:c>
      <x:c r="Q1654" s="2" t="str">
        <x:v>simulado_didactico</x:v>
      </x:c>
    </x:row>
    <x:row r="1655" ht="19" customHeight="1">
      <x:c r="A1655" s="2" t="str">
        <x:v>SIM-E2-MP-L8-R08</x:v>
      </x:c>
      <x:c r="B1655" s="2" t="n">
        <x:v>4</x:v>
      </x:c>
      <x:c r="C1655" s="2" t="str">
        <x:v>MP</x:v>
      </x:c>
      <x:c r="D1655" s="2" t="str">
        <x:v>Myzus persicae</x:v>
      </x:c>
      <x:c r="E1655" s="2" t="str">
        <x:v>L8</x:v>
      </x:c>
      <x:c r="F1655" s="2" t="n">
        <x:v>8</x:v>
      </x:c>
      <x:c r="G1655" s="2" t="n">
        <x:v>15</x:v>
      </x:c>
      <x:c r="H1655" s="2" t="n">
        <x:f>G1655+Supuestos!$C$15</x:f>
        <x:v>16</x:v>
      </x:c>
      <x:c r="I1655" s="14" t="n">
        <x:f>E2_plantas!J41+G1655</x:f>
        <x:v>46210</x:v>
      </x:c>
      <x:c r="J1655" s="2" t="str">
        <x:v>adulta</x:v>
      </x:c>
      <x:c r="K1655" s="2" t="n">
        <x:v>1</x:v>
      </x:c>
      <x:c r="L1655" s="2" t="n">
        <x:v>2</x:v>
      </x:c>
      <x:c r="M1655" s="2" t="n">
        <x:f>SUM(L$1640:L1655)</x:f>
        <x:v>16</x:v>
      </x:c>
      <x:c r="N1655" s="2" t="n">
        <x:v>0</x:v>
      </x:c>
      <x:c r="O1655" s="2" t="str">
        <x:v>seguimiento</x:v>
      </x:c>
      <x:c r="P1655" s="2" t="n">
        <x:v>0</x:v>
      </x:c>
      <x:c r="Q1655" s="2" t="str">
        <x:v>simulado_didactico</x:v>
      </x:c>
    </x:row>
    <x:row r="1656" ht="19" customHeight="1">
      <x:c r="A1656" s="2" t="str">
        <x:v>SIM-E2-MP-L8-R08</x:v>
      </x:c>
      <x:c r="B1656" s="2" t="n">
        <x:v>4</x:v>
      </x:c>
      <x:c r="C1656" s="2" t="str">
        <x:v>MP</x:v>
      </x:c>
      <x:c r="D1656" s="2" t="str">
        <x:v>Myzus persicae</x:v>
      </x:c>
      <x:c r="E1656" s="2" t="str">
        <x:v>L8</x:v>
      </x:c>
      <x:c r="F1656" s="2" t="n">
        <x:v>8</x:v>
      </x:c>
      <x:c r="G1656" s="2" t="n">
        <x:v>16</x:v>
      </x:c>
      <x:c r="H1656" s="2" t="n">
        <x:f>G1656+Supuestos!$C$15</x:f>
        <x:v>17</x:v>
      </x:c>
      <x:c r="I1656" s="14" t="n">
        <x:f>E2_plantas!J41+G1656</x:f>
        <x:v>46211</x:v>
      </x:c>
      <x:c r="J1656" s="2" t="str">
        <x:v>adulta</x:v>
      </x:c>
      <x:c r="K1656" s="2" t="n">
        <x:v>1</x:v>
      </x:c>
      <x:c r="L1656" s="2" t="n">
        <x:v>2</x:v>
      </x:c>
      <x:c r="M1656" s="2" t="n">
        <x:f>SUM(L$1640:L1656)</x:f>
        <x:v>18</x:v>
      </x:c>
      <x:c r="N1656" s="2" t="n">
        <x:v>0</x:v>
      </x:c>
      <x:c r="O1656" s="2" t="str">
        <x:v>seguimiento</x:v>
      </x:c>
      <x:c r="P1656" s="2" t="n">
        <x:v>0</x:v>
      </x:c>
      <x:c r="Q1656" s="2" t="str">
        <x:v>simulado_didactico</x:v>
      </x:c>
    </x:row>
    <x:row r="1657" ht="19" customHeight="1">
      <x:c r="A1657" s="2" t="str">
        <x:v>SIM-E2-MP-L8-R08</x:v>
      </x:c>
      <x:c r="B1657" s="2" t="n">
        <x:v>4</x:v>
      </x:c>
      <x:c r="C1657" s="2" t="str">
        <x:v>MP</x:v>
      </x:c>
      <x:c r="D1657" s="2" t="str">
        <x:v>Myzus persicae</x:v>
      </x:c>
      <x:c r="E1657" s="2" t="str">
        <x:v>L8</x:v>
      </x:c>
      <x:c r="F1657" s="2" t="n">
        <x:v>8</x:v>
      </x:c>
      <x:c r="G1657" s="2" t="n">
        <x:v>17</x:v>
      </x:c>
      <x:c r="H1657" s="2" t="n">
        <x:f>G1657+Supuestos!$C$15</x:f>
        <x:v>18</x:v>
      </x:c>
      <x:c r="I1657" s="14" t="n">
        <x:f>E2_plantas!J41+G1657</x:f>
        <x:v>46212</x:v>
      </x:c>
      <x:c r="J1657" s="2" t="str">
        <x:v>adulta</x:v>
      </x:c>
      <x:c r="K1657" s="2" t="n">
        <x:v>1</x:v>
      </x:c>
      <x:c r="L1657" s="2" t="n">
        <x:v>2</x:v>
      </x:c>
      <x:c r="M1657" s="2" t="n">
        <x:f>SUM(L$1640:L1657)</x:f>
        <x:v>20</x:v>
      </x:c>
      <x:c r="N1657" s="2" t="n">
        <x:v>0</x:v>
      </x:c>
      <x:c r="O1657" s="2" t="str">
        <x:v>seguimiento</x:v>
      </x:c>
      <x:c r="P1657" s="2" t="n">
        <x:v>0</x:v>
      </x:c>
      <x:c r="Q1657" s="2" t="str">
        <x:v>simulado_didactico</x:v>
      </x:c>
    </x:row>
    <x:row r="1658" ht="19" customHeight="1">
      <x:c r="A1658" s="2" t="str">
        <x:v>SIM-E2-MP-L8-R08</x:v>
      </x:c>
      <x:c r="B1658" s="2" t="n">
        <x:v>4</x:v>
      </x:c>
      <x:c r="C1658" s="2" t="str">
        <x:v>MP</x:v>
      </x:c>
      <x:c r="D1658" s="2" t="str">
        <x:v>Myzus persicae</x:v>
      </x:c>
      <x:c r="E1658" s="2" t="str">
        <x:v>L8</x:v>
      </x:c>
      <x:c r="F1658" s="2" t="n">
        <x:v>8</x:v>
      </x:c>
      <x:c r="G1658" s="2" t="n">
        <x:v>18</x:v>
      </x:c>
      <x:c r="H1658" s="2" t="n">
        <x:f>G1658+Supuestos!$C$15</x:f>
        <x:v>19</x:v>
      </x:c>
      <x:c r="I1658" s="14" t="n">
        <x:f>E2_plantas!J41+G1658</x:f>
        <x:v>46213</x:v>
      </x:c>
      <x:c r="J1658" s="2" t="str">
        <x:v>adulta</x:v>
      </x:c>
      <x:c r="K1658" s="2" t="n">
        <x:v>1</x:v>
      </x:c>
      <x:c r="L1658" s="2" t="n">
        <x:v>2</x:v>
      </x:c>
      <x:c r="M1658" s="2" t="n">
        <x:f>SUM(L$1640:L1658)</x:f>
        <x:v>22</x:v>
      </x:c>
      <x:c r="N1658" s="2" t="n">
        <x:v>0</x:v>
      </x:c>
      <x:c r="O1658" s="2" t="str">
        <x:v>seguimiento</x:v>
      </x:c>
      <x:c r="P1658" s="2" t="n">
        <x:v>0</x:v>
      </x:c>
      <x:c r="Q1658" s="2" t="str">
        <x:v>simulado_didactico</x:v>
      </x:c>
    </x:row>
    <x:row r="1659" ht="19" customHeight="1">
      <x:c r="A1659" s="2" t="str">
        <x:v>SIM-E2-MP-L8-R08</x:v>
      </x:c>
      <x:c r="B1659" s="2" t="n">
        <x:v>4</x:v>
      </x:c>
      <x:c r="C1659" s="2" t="str">
        <x:v>MP</x:v>
      </x:c>
      <x:c r="D1659" s="2" t="str">
        <x:v>Myzus persicae</x:v>
      </x:c>
      <x:c r="E1659" s="2" t="str">
        <x:v>L8</x:v>
      </x:c>
      <x:c r="F1659" s="2" t="n">
        <x:v>8</x:v>
      </x:c>
      <x:c r="G1659" s="2" t="n">
        <x:v>19</x:v>
      </x:c>
      <x:c r="H1659" s="2" t="n">
        <x:f>G1659+Supuestos!$C$15</x:f>
        <x:v>20</x:v>
      </x:c>
      <x:c r="I1659" s="14" t="n">
        <x:f>E2_plantas!J41+G1659</x:f>
        <x:v>46214</x:v>
      </x:c>
      <x:c r="J1659" s="2" t="str">
        <x:v>adulta</x:v>
      </x:c>
      <x:c r="K1659" s="2" t="n">
        <x:v>1</x:v>
      </x:c>
      <x:c r="L1659" s="2" t="n">
        <x:v>9</x:v>
      </x:c>
      <x:c r="M1659" s="2" t="n">
        <x:f>SUM(L$1640:L1659)</x:f>
        <x:v>31</x:v>
      </x:c>
      <x:c r="N1659" s="2" t="n">
        <x:v>0</x:v>
      </x:c>
      <x:c r="O1659" s="2" t="str">
        <x:v>seguimiento</x:v>
      </x:c>
      <x:c r="P1659" s="2" t="n">
        <x:v>0</x:v>
      </x:c>
      <x:c r="Q1659" s="2" t="str">
        <x:v>simulado_didactico</x:v>
      </x:c>
    </x:row>
    <x:row r="1660" ht="19" customHeight="1">
      <x:c r="A1660" s="2" t="str">
        <x:v>SIM-E2-MP-L8-R08</x:v>
      </x:c>
      <x:c r="B1660" s="2" t="n">
        <x:v>4</x:v>
      </x:c>
      <x:c r="C1660" s="2" t="str">
        <x:v>MP</x:v>
      </x:c>
      <x:c r="D1660" s="2" t="str">
        <x:v>Myzus persicae</x:v>
      </x:c>
      <x:c r="E1660" s="2" t="str">
        <x:v>L8</x:v>
      </x:c>
      <x:c r="F1660" s="2" t="n">
        <x:v>8</x:v>
      </x:c>
      <x:c r="G1660" s="2" t="n">
        <x:v>20</x:v>
      </x:c>
      <x:c r="H1660" s="2" t="n">
        <x:f>G1660+Supuestos!$C$15</x:f>
        <x:v>21</x:v>
      </x:c>
      <x:c r="I1660" s="14" t="n">
        <x:f>E2_plantas!J41+G1660</x:f>
        <x:v>46215</x:v>
      </x:c>
      <x:c r="J1660" s="2" t="str">
        <x:v>adulta</x:v>
      </x:c>
      <x:c r="K1660" s="2" t="n">
        <x:v>1</x:v>
      </x:c>
      <x:c r="L1660" s="2" t="n">
        <x:v>3</x:v>
      </x:c>
      <x:c r="M1660" s="2" t="n">
        <x:f>SUM(L$1640:L1660)</x:f>
        <x:v>34</x:v>
      </x:c>
      <x:c r="N1660" s="2" t="n">
        <x:v>0</x:v>
      </x:c>
      <x:c r="O1660" s="2" t="str">
        <x:v>seguimiento</x:v>
      </x:c>
      <x:c r="P1660" s="2" t="n">
        <x:v>0</x:v>
      </x:c>
      <x:c r="Q1660" s="2" t="str">
        <x:v>simulado_didactico</x:v>
      </x:c>
    </x:row>
    <x:row r="1661" ht="19" customHeight="1">
      <x:c r="A1661" s="2" t="str">
        <x:v>SIM-E2-MP-L8-R08</x:v>
      </x:c>
      <x:c r="B1661" s="2" t="n">
        <x:v>4</x:v>
      </x:c>
      <x:c r="C1661" s="2" t="str">
        <x:v>MP</x:v>
      </x:c>
      <x:c r="D1661" s="2" t="str">
        <x:v>Myzus persicae</x:v>
      </x:c>
      <x:c r="E1661" s="2" t="str">
        <x:v>L8</x:v>
      </x:c>
      <x:c r="F1661" s="2" t="n">
        <x:v>8</x:v>
      </x:c>
      <x:c r="G1661" s="2" t="n">
        <x:v>21</x:v>
      </x:c>
      <x:c r="H1661" s="2" t="n">
        <x:f>G1661+Supuestos!$C$15</x:f>
        <x:v>22</x:v>
      </x:c>
      <x:c r="I1661" s="14" t="n">
        <x:f>E2_plantas!J41+G1661</x:f>
        <x:v>46216</x:v>
      </x:c>
      <x:c r="J1661" s="2" t="str">
        <x:v>adulta</x:v>
      </x:c>
      <x:c r="K1661" s="2" t="n">
        <x:v>1</x:v>
      </x:c>
      <x:c r="L1661" s="2" t="n">
        <x:v>4</x:v>
      </x:c>
      <x:c r="M1661" s="2" t="n">
        <x:f>SUM(L$1640:L1661)</x:f>
        <x:v>38</x:v>
      </x:c>
      <x:c r="N1661" s="2" t="n">
        <x:v>0</x:v>
      </x:c>
      <x:c r="O1661" s="2" t="str">
        <x:v>seguimiento</x:v>
      </x:c>
      <x:c r="P1661" s="2" t="n">
        <x:v>0</x:v>
      </x:c>
      <x:c r="Q1661" s="2" t="str">
        <x:v>simulado_didactico</x:v>
      </x:c>
    </x:row>
    <x:row r="1662" ht="19" customHeight="1">
      <x:c r="A1662" s="2" t="str">
        <x:v>SIM-E2-MP-L8-R08</x:v>
      </x:c>
      <x:c r="B1662" s="2" t="n">
        <x:v>4</x:v>
      </x:c>
      <x:c r="C1662" s="2" t="str">
        <x:v>MP</x:v>
      </x:c>
      <x:c r="D1662" s="2" t="str">
        <x:v>Myzus persicae</x:v>
      </x:c>
      <x:c r="E1662" s="2" t="str">
        <x:v>L8</x:v>
      </x:c>
      <x:c r="F1662" s="2" t="n">
        <x:v>8</x:v>
      </x:c>
      <x:c r="G1662" s="2" t="n">
        <x:v>22</x:v>
      </x:c>
      <x:c r="H1662" s="2" t="n">
        <x:f>G1662+Supuestos!$C$15</x:f>
        <x:v>23</x:v>
      </x:c>
      <x:c r="I1662" s="14" t="n">
        <x:f>E2_plantas!J41+G1662</x:f>
        <x:v>46217</x:v>
      </x:c>
      <x:c r="J1662" s="2" t="str">
        <x:v>adulta</x:v>
      </x:c>
      <x:c r="K1662" s="2" t="n">
        <x:v>1</x:v>
      </x:c>
      <x:c r="L1662" s="2" t="n">
        <x:v>2</x:v>
      </x:c>
      <x:c r="M1662" s="2" t="n">
        <x:f>SUM(L$1640:L1662)</x:f>
        <x:v>40</x:v>
      </x:c>
      <x:c r="N1662" s="2" t="n">
        <x:v>0</x:v>
      </x:c>
      <x:c r="O1662" s="2" t="str">
        <x:v>seguimiento</x:v>
      </x:c>
      <x:c r="P1662" s="2" t="n">
        <x:v>0</x:v>
      </x:c>
      <x:c r="Q1662" s="2" t="str">
        <x:v>simulado_didactico</x:v>
      </x:c>
    </x:row>
    <x:row r="1663" ht="19" customHeight="1">
      <x:c r="A1663" s="2" t="str">
        <x:v>SIM-E2-MP-L8-R08</x:v>
      </x:c>
      <x:c r="B1663" s="2" t="n">
        <x:v>4</x:v>
      </x:c>
      <x:c r="C1663" s="2" t="str">
        <x:v>MP</x:v>
      </x:c>
      <x:c r="D1663" s="2" t="str">
        <x:v>Myzus persicae</x:v>
      </x:c>
      <x:c r="E1663" s="2" t="str">
        <x:v>L8</x:v>
      </x:c>
      <x:c r="F1663" s="2" t="n">
        <x:v>8</x:v>
      </x:c>
      <x:c r="G1663" s="2" t="n">
        <x:v>23</x:v>
      </x:c>
      <x:c r="H1663" s="2" t="n">
        <x:f>G1663+Supuestos!$C$15</x:f>
        <x:v>24</x:v>
      </x:c>
      <x:c r="I1663" s="14" t="n">
        <x:f>E2_plantas!J41+G1663</x:f>
        <x:v>46218</x:v>
      </x:c>
      <x:c r="J1663" s="2" t="str">
        <x:v>adulta</x:v>
      </x:c>
      <x:c r="K1663" s="2" t="n">
        <x:v>1</x:v>
      </x:c>
      <x:c r="L1663" s="2" t="n">
        <x:v>4</x:v>
      </x:c>
      <x:c r="M1663" s="2" t="n">
        <x:f>SUM(L$1640:L1663)</x:f>
        <x:v>44</x:v>
      </x:c>
      <x:c r="N1663" s="2" t="n">
        <x:v>0</x:v>
      </x:c>
      <x:c r="O1663" s="2" t="str">
        <x:v>seguimiento</x:v>
      </x:c>
      <x:c r="P1663" s="2" t="n">
        <x:v>0</x:v>
      </x:c>
      <x:c r="Q1663" s="2" t="str">
        <x:v>simulado_didactico</x:v>
      </x:c>
    </x:row>
    <x:row r="1664" ht="19" customHeight="1">
      <x:c r="A1664" s="2" t="str">
        <x:v>SIM-E2-MP-L8-R08</x:v>
      </x:c>
      <x:c r="B1664" s="2" t="n">
        <x:v>4</x:v>
      </x:c>
      <x:c r="C1664" s="2" t="str">
        <x:v>MP</x:v>
      </x:c>
      <x:c r="D1664" s="2" t="str">
        <x:v>Myzus persicae</x:v>
      </x:c>
      <x:c r="E1664" s="2" t="str">
        <x:v>L8</x:v>
      </x:c>
      <x:c r="F1664" s="2" t="n">
        <x:v>8</x:v>
      </x:c>
      <x:c r="G1664" s="2" t="n">
        <x:v>24</x:v>
      </x:c>
      <x:c r="H1664" s="2" t="n">
        <x:f>G1664+Supuestos!$C$15</x:f>
        <x:v>25</x:v>
      </x:c>
      <x:c r="I1664" s="14" t="n">
        <x:f>E2_plantas!J41+G1664</x:f>
        <x:v>46219</x:v>
      </x:c>
      <x:c r="J1664" s="2" t="str">
        <x:v>adulta</x:v>
      </x:c>
      <x:c r="K1664" s="2" t="n">
        <x:v>1</x:v>
      </x:c>
      <x:c r="L1664" s="2" t="n">
        <x:v>0</x:v>
      </x:c>
      <x:c r="M1664" s="2" t="n">
        <x:f>SUM(L$1640:L1664)</x:f>
        <x:v>44</x:v>
      </x:c>
      <x:c r="N1664" s="2" t="n">
        <x:v>0</x:v>
      </x:c>
      <x:c r="O1664" s="2" t="str">
        <x:v>seguimiento</x:v>
      </x:c>
      <x:c r="P1664" s="2" t="n">
        <x:v>0</x:v>
      </x:c>
      <x:c r="Q1664" s="2" t="str">
        <x:v>simulado_didactico</x:v>
      </x:c>
    </x:row>
    <x:row r="1665" ht="19" customHeight="1">
      <x:c r="A1665" s="2" t="str">
        <x:v>SIM-E2-MP-L8-R08</x:v>
      </x:c>
      <x:c r="B1665" s="2" t="n">
        <x:v>4</x:v>
      </x:c>
      <x:c r="C1665" s="2" t="str">
        <x:v>MP</x:v>
      </x:c>
      <x:c r="D1665" s="2" t="str">
        <x:v>Myzus persicae</x:v>
      </x:c>
      <x:c r="E1665" s="2" t="str">
        <x:v>L8</x:v>
      </x:c>
      <x:c r="F1665" s="2" t="n">
        <x:v>8</x:v>
      </x:c>
      <x:c r="G1665" s="2" t="n">
        <x:v>25</x:v>
      </x:c>
      <x:c r="H1665" s="2" t="n">
        <x:f>G1665+Supuestos!$C$15</x:f>
        <x:v>26</x:v>
      </x:c>
      <x:c r="I1665" s="14" t="n">
        <x:f>E2_plantas!J41+G1665</x:f>
        <x:v>46220</x:v>
      </x:c>
      <x:c r="J1665" s="2" t="str">
        <x:v>adulta</x:v>
      </x:c>
      <x:c r="K1665" s="2" t="n">
        <x:v>1</x:v>
      </x:c>
      <x:c r="L1665" s="2" t="n">
        <x:v>1</x:v>
      </x:c>
      <x:c r="M1665" s="2" t="n">
        <x:f>SUM(L$1640:L1665)</x:f>
        <x:v>45</x:v>
      </x:c>
      <x:c r="N1665" s="2" t="n">
        <x:v>0</x:v>
      </x:c>
      <x:c r="O1665" s="2" t="str">
        <x:v>seguimiento</x:v>
      </x:c>
      <x:c r="P1665" s="2" t="n">
        <x:v>0</x:v>
      </x:c>
      <x:c r="Q1665" s="2" t="str">
        <x:v>simulado_didactico</x:v>
      </x:c>
    </x:row>
    <x:row r="1666" ht="19" customHeight="1">
      <x:c r="A1666" s="2" t="str">
        <x:v>SIM-E2-MP-L8-R08</x:v>
      </x:c>
      <x:c r="B1666" s="2" t="n">
        <x:v>4</x:v>
      </x:c>
      <x:c r="C1666" s="2" t="str">
        <x:v>MP</x:v>
      </x:c>
      <x:c r="D1666" s="2" t="str">
        <x:v>Myzus persicae</x:v>
      </x:c>
      <x:c r="E1666" s="2" t="str">
        <x:v>L8</x:v>
      </x:c>
      <x:c r="F1666" s="2" t="n">
        <x:v>8</x:v>
      </x:c>
      <x:c r="G1666" s="2" t="n">
        <x:v>26</x:v>
      </x:c>
      <x:c r="H1666" s="2" t="n">
        <x:f>G1666+Supuestos!$C$15</x:f>
        <x:v>27</x:v>
      </x:c>
      <x:c r="I1666" s="14" t="n">
        <x:f>E2_plantas!J41+G1666</x:f>
        <x:v>46221</x:v>
      </x:c>
      <x:c r="J1666" s="2" t="str">
        <x:v>adulta</x:v>
      </x:c>
      <x:c r="K1666" s="2" t="n">
        <x:v>1</x:v>
      </x:c>
      <x:c r="L1666" s="2" t="n">
        <x:v>2</x:v>
      </x:c>
      <x:c r="M1666" s="2" t="n">
        <x:f>SUM(L$1640:L1666)</x:f>
        <x:v>47</x:v>
      </x:c>
      <x:c r="N1666" s="2" t="n">
        <x:v>0</x:v>
      </x:c>
      <x:c r="O1666" s="2" t="str">
        <x:v>seguimiento</x:v>
      </x:c>
      <x:c r="P1666" s="2" t="n">
        <x:v>0</x:v>
      </x:c>
      <x:c r="Q1666" s="2" t="str">
        <x:v>simulado_didactico</x:v>
      </x:c>
    </x:row>
    <x:row r="1667" ht="19" customHeight="1">
      <x:c r="A1667" s="2" t="str">
        <x:v>SIM-E2-MP-L8-R08</x:v>
      </x:c>
      <x:c r="B1667" s="2" t="n">
        <x:v>4</x:v>
      </x:c>
      <x:c r="C1667" s="2" t="str">
        <x:v>MP</x:v>
      </x:c>
      <x:c r="D1667" s="2" t="str">
        <x:v>Myzus persicae</x:v>
      </x:c>
      <x:c r="E1667" s="2" t="str">
        <x:v>L8</x:v>
      </x:c>
      <x:c r="F1667" s="2" t="n">
        <x:v>8</x:v>
      </x:c>
      <x:c r="G1667" s="2" t="n">
        <x:v>27</x:v>
      </x:c>
      <x:c r="H1667" s="2" t="n">
        <x:f>G1667+Supuestos!$C$15</x:f>
        <x:v>28</x:v>
      </x:c>
      <x:c r="I1667" s="14" t="n">
        <x:f>E2_plantas!J41+G1667</x:f>
        <x:v>46222</x:v>
      </x:c>
      <x:c r="J1667" s="2" t="str">
        <x:v>adulta</x:v>
      </x:c>
      <x:c r="K1667" s="2" t="n">
        <x:v>1</x:v>
      </x:c>
      <x:c r="L1667" s="2" t="n">
        <x:v>1</x:v>
      </x:c>
      <x:c r="M1667" s="2" t="n">
        <x:f>SUM(L$1640:L1667)</x:f>
        <x:v>48</x:v>
      </x:c>
      <x:c r="N1667" s="2" t="n">
        <x:v>0</x:v>
      </x:c>
      <x:c r="O1667" s="2" t="str">
        <x:v>seguimiento</x:v>
      </x:c>
      <x:c r="P1667" s="2" t="n">
        <x:v>0</x:v>
      </x:c>
      <x:c r="Q1667" s="2" t="str">
        <x:v>simulado_didactico</x:v>
      </x:c>
    </x:row>
    <x:row r="1668" ht="19" customHeight="1">
      <x:c r="A1668" s="2" t="str">
        <x:v>SIM-E2-MP-L8-R08</x:v>
      </x:c>
      <x:c r="B1668" s="2" t="n">
        <x:v>4</x:v>
      </x:c>
      <x:c r="C1668" s="2" t="str">
        <x:v>MP</x:v>
      </x:c>
      <x:c r="D1668" s="2" t="str">
        <x:v>Myzus persicae</x:v>
      </x:c>
      <x:c r="E1668" s="2" t="str">
        <x:v>L8</x:v>
      </x:c>
      <x:c r="F1668" s="2" t="n">
        <x:v>8</x:v>
      </x:c>
      <x:c r="G1668" s="2" t="n">
        <x:v>28</x:v>
      </x:c>
      <x:c r="H1668" s="2" t="n">
        <x:f>G1668+Supuestos!$C$15</x:f>
        <x:v>29</x:v>
      </x:c>
      <x:c r="I1668" s="14" t="n">
        <x:f>E2_plantas!J41+G1668</x:f>
        <x:v>46223</x:v>
      </x:c>
      <x:c r="J1668" s="2" t="str">
        <x:v>adulta</x:v>
      </x:c>
      <x:c r="K1668" s="2" t="n">
        <x:v>1</x:v>
      </x:c>
      <x:c r="L1668" s="2" t="n">
        <x:v>0</x:v>
      </x:c>
      <x:c r="M1668" s="2" t="n">
        <x:f>SUM(L$1640:L1668)</x:f>
        <x:v>48</x:v>
      </x:c>
      <x:c r="N1668" s="2" t="n">
        <x:v>0</x:v>
      </x:c>
      <x:c r="O1668" s="2" t="str">
        <x:v>seguimiento</x:v>
      </x:c>
      <x:c r="P1668" s="2" t="n">
        <x:v>0</x:v>
      </x:c>
      <x:c r="Q1668" s="2" t="str">
        <x:v>simulado_didactico</x:v>
      </x:c>
    </x:row>
    <x:row r="1669" ht="19" customHeight="1">
      <x:c r="A1669" s="2" t="str">
        <x:v>SIM-E2-MP-L8-R08</x:v>
      </x:c>
      <x:c r="B1669" s="2" t="n">
        <x:v>4</x:v>
      </x:c>
      <x:c r="C1669" s="2" t="str">
        <x:v>MP</x:v>
      </x:c>
      <x:c r="D1669" s="2" t="str">
        <x:v>Myzus persicae</x:v>
      </x:c>
      <x:c r="E1669" s="2" t="str">
        <x:v>L8</x:v>
      </x:c>
      <x:c r="F1669" s="2" t="n">
        <x:v>8</x:v>
      </x:c>
      <x:c r="G1669" s="2" t="n">
        <x:v>29</x:v>
      </x:c>
      <x:c r="H1669" s="2" t="n">
        <x:f>G1669+Supuestos!$C$15</x:f>
        <x:v>30</x:v>
      </x:c>
      <x:c r="I1669" s="14" t="n">
        <x:f>E2_plantas!J41+G1669</x:f>
        <x:v>46224</x:v>
      </x:c>
      <x:c r="J1669" s="2" t="str">
        <x:v>muerta</x:v>
      </x:c>
      <x:c r="K1669" s="2" t="n">
        <x:v>0</x:v>
      </x:c>
      <x:c r="L1669" s="2" t="n">
        <x:v>0</x:v>
      </x:c>
      <x:c r="M1669" s="2" t="n">
        <x:f>SUM(L$1640:L1669)</x:f>
        <x:v>48</x:v>
      </x:c>
      <x:c r="N1669" s="2" t="n">
        <x:v>1</x:v>
      </x:c>
      <x:c r="O1669" s="2" t="str">
        <x:v>muerte</x:v>
      </x:c>
      <x:c r="P1669" s="2" t="n">
        <x:v>0</x:v>
      </x:c>
      <x:c r="Q1669" s="2" t="str">
        <x:v>simulado_didactico</x:v>
      </x:c>
    </x:row>
    <x:row r="1670" ht="19" customHeight="1">
      <x:c r="A1670" s="2" t="str">
        <x:v>SIM-E2-MP-L8-R08</x:v>
      </x:c>
      <x:c r="B1670" s="2" t="n">
        <x:v>4</x:v>
      </x:c>
      <x:c r="C1670" s="2" t="str">
        <x:v>MP</x:v>
      </x:c>
      <x:c r="D1670" s="2" t="str">
        <x:v>Myzus persicae</x:v>
      </x:c>
      <x:c r="E1670" s="2" t="str">
        <x:v>L8</x:v>
      </x:c>
      <x:c r="F1670" s="2" t="n">
        <x:v>8</x:v>
      </x:c>
      <x:c r="G1670" s="2" t="n">
        <x:v>30</x:v>
      </x:c>
      <x:c r="H1670" s="2" t="n">
        <x:f>G1670+Supuestos!$C$15</x:f>
        <x:v>31</x:v>
      </x:c>
      <x:c r="I1670" s="14" t="n">
        <x:f>E2_plantas!J41+G1670</x:f>
        <x:v>46225</x:v>
      </x:c>
      <x:c r="J1670" s="2" t="str">
        <x:v>muerta</x:v>
      </x:c>
      <x:c r="K1670" s="2" t="n">
        <x:v>0</x:v>
      </x:c>
      <x:c r="L1670" s="2" t="n">
        <x:v>0</x:v>
      </x:c>
      <x:c r="M1670" s="2" t="n">
        <x:f>SUM(L$1640:L1670)</x:f>
        <x:v>48</x:v>
      </x:c>
      <x:c r="N1670" s="2" t="n">
        <x:v>0</x:v>
      </x:c>
      <x:c r="O1670" s="2" t="str">
        <x:v>relleno_postmuerte</x:v>
      </x:c>
      <x:c r="P1670" s="2" t="n">
        <x:v>0</x:v>
      </x:c>
      <x:c r="Q1670" s="2" t="str">
        <x:v>simulado_didactico</x:v>
      </x:c>
    </x:row>
    <x:row r="1671" ht="19" customHeight="1">
      <x:c r="A1671" s="2" t="str">
        <x:v>SIM-E2-MP-L8-R08</x:v>
      </x:c>
      <x:c r="B1671" s="2" t="n">
        <x:v>4</x:v>
      </x:c>
      <x:c r="C1671" s="2" t="str">
        <x:v>MP</x:v>
      </x:c>
      <x:c r="D1671" s="2" t="str">
        <x:v>Myzus persicae</x:v>
      </x:c>
      <x:c r="E1671" s="2" t="str">
        <x:v>L8</x:v>
      </x:c>
      <x:c r="F1671" s="2" t="n">
        <x:v>8</x:v>
      </x:c>
      <x:c r="G1671" s="2" t="n">
        <x:v>31</x:v>
      </x:c>
      <x:c r="H1671" s="2" t="n">
        <x:f>G1671+Supuestos!$C$15</x:f>
        <x:v>32</x:v>
      </x:c>
      <x:c r="I1671" s="14" t="n">
        <x:f>E2_plantas!J41+G1671</x:f>
        <x:v>46226</x:v>
      </x:c>
      <x:c r="J1671" s="2" t="str">
        <x:v>muerta</x:v>
      </x:c>
      <x:c r="K1671" s="2" t="n">
        <x:v>0</x:v>
      </x:c>
      <x:c r="L1671" s="2" t="n">
        <x:v>0</x:v>
      </x:c>
      <x:c r="M1671" s="2" t="n">
        <x:f>SUM(L$1640:L1671)</x:f>
        <x:v>48</x:v>
      </x:c>
      <x:c r="N1671" s="2" t="n">
        <x:v>0</x:v>
      </x:c>
      <x:c r="O1671" s="2" t="str">
        <x:v>relleno_postmuerte</x:v>
      </x:c>
      <x:c r="P1671" s="2" t="n">
        <x:v>0</x:v>
      </x:c>
      <x:c r="Q1671" s="2" t="str">
        <x:v>simulado_didactico</x:v>
      </x:c>
    </x:row>
    <x:row r="1672" ht="19" customHeight="1">
      <x:c r="A1672" s="2" t="str">
        <x:v>SIM-E2-MP-L8-R08</x:v>
      </x:c>
      <x:c r="B1672" s="2" t="n">
        <x:v>4</x:v>
      </x:c>
      <x:c r="C1672" s="2" t="str">
        <x:v>MP</x:v>
      </x:c>
      <x:c r="D1672" s="2" t="str">
        <x:v>Myzus persicae</x:v>
      </x:c>
      <x:c r="E1672" s="2" t="str">
        <x:v>L8</x:v>
      </x:c>
      <x:c r="F1672" s="2" t="n">
        <x:v>8</x:v>
      </x:c>
      <x:c r="G1672" s="2" t="n">
        <x:v>32</x:v>
      </x:c>
      <x:c r="H1672" s="2" t="n">
        <x:f>G1672+Supuestos!$C$15</x:f>
        <x:v>33</x:v>
      </x:c>
      <x:c r="I1672" s="14" t="n">
        <x:f>E2_plantas!J41+G1672</x:f>
        <x:v>46227</x:v>
      </x:c>
      <x:c r="J1672" s="2" t="str">
        <x:v>muerta</x:v>
      </x:c>
      <x:c r="K1672" s="2" t="n">
        <x:v>0</x:v>
      </x:c>
      <x:c r="L1672" s="2" t="n">
        <x:v>0</x:v>
      </x:c>
      <x:c r="M1672" s="2" t="n">
        <x:f>SUM(L$1640:L1672)</x:f>
        <x:v>48</x:v>
      </x:c>
      <x:c r="N1672" s="2" t="n">
        <x:v>0</x:v>
      </x:c>
      <x:c r="O1672" s="2" t="str">
        <x:v>relleno_postmuerte</x:v>
      </x:c>
      <x:c r="P1672" s="2" t="n">
        <x:v>0</x:v>
      </x:c>
      <x:c r="Q1672" s="2" t="str">
        <x:v>simulado_didactico</x:v>
      </x:c>
    </x:row>
    <x:row r="1673" ht="19" customHeight="1">
      <x:c r="A1673" s="2" t="str">
        <x:v>SIM-E2-MP-L8-R08</x:v>
      </x:c>
      <x:c r="B1673" s="2" t="n">
        <x:v>4</x:v>
      </x:c>
      <x:c r="C1673" s="2" t="str">
        <x:v>MP</x:v>
      </x:c>
      <x:c r="D1673" s="2" t="str">
        <x:v>Myzus persicae</x:v>
      </x:c>
      <x:c r="E1673" s="2" t="str">
        <x:v>L8</x:v>
      </x:c>
      <x:c r="F1673" s="2" t="n">
        <x:v>8</x:v>
      </x:c>
      <x:c r="G1673" s="2" t="n">
        <x:v>33</x:v>
      </x:c>
      <x:c r="H1673" s="2" t="n">
        <x:f>G1673+Supuestos!$C$15</x:f>
        <x:v>34</x:v>
      </x:c>
      <x:c r="I1673" s="14" t="n">
        <x:f>E2_plantas!J41+G1673</x:f>
        <x:v>46228</x:v>
      </x:c>
      <x:c r="J1673" s="2" t="str">
        <x:v>muerta</x:v>
      </x:c>
      <x:c r="K1673" s="2" t="n">
        <x:v>0</x:v>
      </x:c>
      <x:c r="L1673" s="2" t="n">
        <x:v>0</x:v>
      </x:c>
      <x:c r="M1673" s="2" t="n">
        <x:f>SUM(L$1640:L1673)</x:f>
        <x:v>48</x:v>
      </x:c>
      <x:c r="N1673" s="2" t="n">
        <x:v>0</x:v>
      </x:c>
      <x:c r="O1673" s="2" t="str">
        <x:v>relleno_postmuerte</x:v>
      </x:c>
      <x:c r="P1673" s="2" t="n">
        <x:v>0</x:v>
      </x:c>
      <x:c r="Q1673" s="2" t="str">
        <x:v>simulado_didactico</x:v>
      </x:c>
    </x:row>
    <x:row r="1674" ht="19" customHeight="1">
      <x:c r="A1674" s="2" t="str">
        <x:v>SIM-E2-MP-L8-R08</x:v>
      </x:c>
      <x:c r="B1674" s="2" t="n">
        <x:v>4</x:v>
      </x:c>
      <x:c r="C1674" s="2" t="str">
        <x:v>MP</x:v>
      </x:c>
      <x:c r="D1674" s="2" t="str">
        <x:v>Myzus persicae</x:v>
      </x:c>
      <x:c r="E1674" s="2" t="str">
        <x:v>L8</x:v>
      </x:c>
      <x:c r="F1674" s="2" t="n">
        <x:v>8</x:v>
      </x:c>
      <x:c r="G1674" s="2" t="n">
        <x:v>34</x:v>
      </x:c>
      <x:c r="H1674" s="2" t="n">
        <x:f>G1674+Supuestos!$C$15</x:f>
        <x:v>35</x:v>
      </x:c>
      <x:c r="I1674" s="14" t="n">
        <x:f>E2_plantas!J41+G1674</x:f>
        <x:v>46229</x:v>
      </x:c>
      <x:c r="J1674" s="2" t="str">
        <x:v>muerta</x:v>
      </x:c>
      <x:c r="K1674" s="2" t="n">
        <x:v>0</x:v>
      </x:c>
      <x:c r="L1674" s="2" t="n">
        <x:v>0</x:v>
      </x:c>
      <x:c r="M1674" s="2" t="n">
        <x:f>SUM(L$1640:L1674)</x:f>
        <x:v>48</x:v>
      </x:c>
      <x:c r="N1674" s="2" t="n">
        <x:v>0</x:v>
      </x:c>
      <x:c r="O1674" s="2" t="str">
        <x:v>relleno_postmuerte</x:v>
      </x:c>
      <x:c r="P1674" s="2" t="n">
        <x:v>0</x:v>
      </x:c>
      <x:c r="Q1674" s="2" t="str">
        <x:v>simulado_didactico</x:v>
      </x:c>
    </x:row>
    <x:row r="1675" ht="19" customHeight="1">
      <x:c r="A1675" s="2" t="str">
        <x:v>SIM-E2-MP-L8-R08</x:v>
      </x:c>
      <x:c r="B1675" s="2" t="n">
        <x:v>4</x:v>
      </x:c>
      <x:c r="C1675" s="2" t="str">
        <x:v>MP</x:v>
      </x:c>
      <x:c r="D1675" s="2" t="str">
        <x:v>Myzus persicae</x:v>
      </x:c>
      <x:c r="E1675" s="2" t="str">
        <x:v>L8</x:v>
      </x:c>
      <x:c r="F1675" s="2" t="n">
        <x:v>8</x:v>
      </x:c>
      <x:c r="G1675" s="2" t="n">
        <x:v>35</x:v>
      </x:c>
      <x:c r="H1675" s="2" t="n">
        <x:f>G1675+Supuestos!$C$15</x:f>
        <x:v>36</x:v>
      </x:c>
      <x:c r="I1675" s="14" t="n">
        <x:f>E2_plantas!J41+G1675</x:f>
        <x:v>46230</x:v>
      </x:c>
      <x:c r="J1675" s="2" t="str">
        <x:v>muerta</x:v>
      </x:c>
      <x:c r="K1675" s="2" t="n">
        <x:v>0</x:v>
      </x:c>
      <x:c r="L1675" s="2" t="n">
        <x:v>0</x:v>
      </x:c>
      <x:c r="M1675" s="2" t="n">
        <x:f>SUM(L$1640:L1675)</x:f>
        <x:v>48</x:v>
      </x:c>
      <x:c r="N1675" s="2" t="n">
        <x:v>0</x:v>
      </x:c>
      <x:c r="O1675" s="2" t="str">
        <x:v>relleno_postmuerte</x:v>
      </x:c>
      <x:c r="P1675" s="2" t="n">
        <x:v>0</x:v>
      </x:c>
      <x:c r="Q1675" s="2" t="str">
        <x:v>simulado_didactico</x:v>
      </x:c>
    </x:row>
    <x:row r="1676" ht="19" customHeight="1">
      <x:c r="A1676" s="2" t="str">
        <x:v>SIM-E2-MP-L8-R08</x:v>
      </x:c>
      <x:c r="B1676" s="2" t="n">
        <x:v>4</x:v>
      </x:c>
      <x:c r="C1676" s="2" t="str">
        <x:v>MP</x:v>
      </x:c>
      <x:c r="D1676" s="2" t="str">
        <x:v>Myzus persicae</x:v>
      </x:c>
      <x:c r="E1676" s="2" t="str">
        <x:v>L8</x:v>
      </x:c>
      <x:c r="F1676" s="2" t="n">
        <x:v>8</x:v>
      </x:c>
      <x:c r="G1676" s="2" t="n">
        <x:v>36</x:v>
      </x:c>
      <x:c r="H1676" s="2" t="n">
        <x:f>G1676+Supuestos!$C$15</x:f>
        <x:v>37</x:v>
      </x:c>
      <x:c r="I1676" s="14" t="n">
        <x:f>E2_plantas!J41+G1676</x:f>
        <x:v>46231</x:v>
      </x:c>
      <x:c r="J1676" s="2" t="str">
        <x:v>muerta</x:v>
      </x:c>
      <x:c r="K1676" s="2" t="n">
        <x:v>0</x:v>
      </x:c>
      <x:c r="L1676" s="2" t="n">
        <x:v>0</x:v>
      </x:c>
      <x:c r="M1676" s="2" t="n">
        <x:f>SUM(L$1640:L1676)</x:f>
        <x:v>48</x:v>
      </x:c>
      <x:c r="N1676" s="2" t="n">
        <x:v>0</x:v>
      </x:c>
      <x:c r="O1676" s="2" t="str">
        <x:v>relleno_postmuerte</x:v>
      </x:c>
      <x:c r="P1676" s="2" t="n">
        <x:v>0</x:v>
      </x:c>
      <x:c r="Q1676" s="2" t="str">
        <x:v>simulado_didactico</x:v>
      </x:c>
    </x:row>
    <x:row r="1677" ht="19" customHeight="1">
      <x:c r="A1677" s="2" t="str">
        <x:v>SIM-E2-MP-L8-R08</x:v>
      </x:c>
      <x:c r="B1677" s="2" t="n">
        <x:v>4</x:v>
      </x:c>
      <x:c r="C1677" s="2" t="str">
        <x:v>MP</x:v>
      </x:c>
      <x:c r="D1677" s="2" t="str">
        <x:v>Myzus persicae</x:v>
      </x:c>
      <x:c r="E1677" s="2" t="str">
        <x:v>L8</x:v>
      </x:c>
      <x:c r="F1677" s="2" t="n">
        <x:v>8</x:v>
      </x:c>
      <x:c r="G1677" s="2" t="n">
        <x:v>37</x:v>
      </x:c>
      <x:c r="H1677" s="2" t="n">
        <x:f>G1677+Supuestos!$C$15</x:f>
        <x:v>38</x:v>
      </x:c>
      <x:c r="I1677" s="14" t="n">
        <x:f>E2_plantas!J41+G1677</x:f>
        <x:v>46232</x:v>
      </x:c>
      <x:c r="J1677" s="2" t="str">
        <x:v>muerta</x:v>
      </x:c>
      <x:c r="K1677" s="2" t="n">
        <x:v>0</x:v>
      </x:c>
      <x:c r="L1677" s="2" t="n">
        <x:v>0</x:v>
      </x:c>
      <x:c r="M1677" s="2" t="n">
        <x:f>SUM(L$1640:L1677)</x:f>
        <x:v>48</x:v>
      </x:c>
      <x:c r="N1677" s="2" t="n">
        <x:v>0</x:v>
      </x:c>
      <x:c r="O1677" s="2" t="str">
        <x:v>relleno_postmuerte</x:v>
      </x:c>
      <x:c r="P1677" s="2" t="n">
        <x:v>0</x:v>
      </x:c>
      <x:c r="Q1677" s="2" t="str">
        <x:v>simulado_didactico</x:v>
      </x:c>
    </x:row>
    <x:row r="1678" ht="19" customHeight="1">
      <x:c r="A1678" s="2" t="str">
        <x:v>SIM-E2-MP-L8-R08</x:v>
      </x:c>
      <x:c r="B1678" s="2" t="n">
        <x:v>4</x:v>
      </x:c>
      <x:c r="C1678" s="2" t="str">
        <x:v>MP</x:v>
      </x:c>
      <x:c r="D1678" s="2" t="str">
        <x:v>Myzus persicae</x:v>
      </x:c>
      <x:c r="E1678" s="2" t="str">
        <x:v>L8</x:v>
      </x:c>
      <x:c r="F1678" s="2" t="n">
        <x:v>8</x:v>
      </x:c>
      <x:c r="G1678" s="2" t="n">
        <x:v>38</x:v>
      </x:c>
      <x:c r="H1678" s="2" t="n">
        <x:f>G1678+Supuestos!$C$15</x:f>
        <x:v>39</x:v>
      </x:c>
      <x:c r="I1678" s="14" t="n">
        <x:f>E2_plantas!J41+G1678</x:f>
        <x:v>46233</x:v>
      </x:c>
      <x:c r="J1678" s="2" t="str">
        <x:v>muerta</x:v>
      </x:c>
      <x:c r="K1678" s="2" t="n">
        <x:v>0</x:v>
      </x:c>
      <x:c r="L1678" s="2" t="n">
        <x:v>0</x:v>
      </x:c>
      <x:c r="M1678" s="2" t="n">
        <x:f>SUM(L$1640:L1678)</x:f>
        <x:v>48</x:v>
      </x:c>
      <x:c r="N1678" s="2" t="n">
        <x:v>0</x:v>
      </x:c>
      <x:c r="O1678" s="2" t="str">
        <x:v>relleno_postmuerte</x:v>
      </x:c>
      <x:c r="P1678" s="2" t="n">
        <x:v>0</x:v>
      </x:c>
      <x:c r="Q1678" s="2" t="str">
        <x:v>simulado_didactico</x:v>
      </x:c>
    </x:row>
    <x:row r="1679" ht="19" customHeight="1">
      <x:c r="A1679" s="2" t="str">
        <x:v>SIM-E2-MP-L8-R08</x:v>
      </x:c>
      <x:c r="B1679" s="2" t="n">
        <x:v>4</x:v>
      </x:c>
      <x:c r="C1679" s="2" t="str">
        <x:v>MP</x:v>
      </x:c>
      <x:c r="D1679" s="2" t="str">
        <x:v>Myzus persicae</x:v>
      </x:c>
      <x:c r="E1679" s="2" t="str">
        <x:v>L8</x:v>
      </x:c>
      <x:c r="F1679" s="2" t="n">
        <x:v>8</x:v>
      </x:c>
      <x:c r="G1679" s="2" t="n">
        <x:v>39</x:v>
      </x:c>
      <x:c r="H1679" s="2" t="n">
        <x:f>G1679+Supuestos!$C$15</x:f>
        <x:v>40</x:v>
      </x:c>
      <x:c r="I1679" s="14" t="n">
        <x:f>E2_plantas!J41+G1679</x:f>
        <x:v>46234</x:v>
      </x:c>
      <x:c r="J1679" s="2" t="str">
        <x:v>muerta</x:v>
      </x:c>
      <x:c r="K1679" s="2" t="n">
        <x:v>0</x:v>
      </x:c>
      <x:c r="L1679" s="2" t="n">
        <x:v>0</x:v>
      </x:c>
      <x:c r="M1679" s="2" t="n">
        <x:f>SUM(L$1640:L1679)</x:f>
        <x:v>48</x:v>
      </x:c>
      <x:c r="N1679" s="2" t="n">
        <x:v>0</x:v>
      </x:c>
      <x:c r="O1679" s="2" t="str">
        <x:v>relleno_postmuerte</x:v>
      </x:c>
      <x:c r="P1679" s="2" t="n">
        <x:v>0</x:v>
      </x:c>
      <x:c r="Q1679" s="2" t="str">
        <x:v>simulado_didactico</x:v>
      </x:c>
    </x:row>
    <x:row r="1680" ht="19" customHeight="1">
      <x:c r="A1680" s="2" t="str">
        <x:v>SIM-E2-MP-L8-R08</x:v>
      </x:c>
      <x:c r="B1680" s="2" t="n">
        <x:v>4</x:v>
      </x:c>
      <x:c r="C1680" s="2" t="str">
        <x:v>MP</x:v>
      </x:c>
      <x:c r="D1680" s="2" t="str">
        <x:v>Myzus persicae</x:v>
      </x:c>
      <x:c r="E1680" s="2" t="str">
        <x:v>L8</x:v>
      </x:c>
      <x:c r="F1680" s="2" t="n">
        <x:v>8</x:v>
      </x:c>
      <x:c r="G1680" s="2" t="n">
        <x:v>40</x:v>
      </x:c>
      <x:c r="H1680" s="2" t="n">
        <x:f>G1680+Supuestos!$C$15</x:f>
        <x:v>41</x:v>
      </x:c>
      <x:c r="I1680" s="14" t="n">
        <x:f>E2_plantas!J41+G1680</x:f>
        <x:v>46235</x:v>
      </x:c>
      <x:c r="J1680" s="2" t="str">
        <x:v>muerta</x:v>
      </x:c>
      <x:c r="K1680" s="2" t="n">
        <x:v>0</x:v>
      </x:c>
      <x:c r="L1680" s="2" t="n">
        <x:v>0</x:v>
      </x:c>
      <x:c r="M1680" s="2" t="n">
        <x:f>SUM(L$1640:L1680)</x:f>
        <x:v>48</x:v>
      </x:c>
      <x:c r="N1680" s="2" t="n">
        <x:v>0</x:v>
      </x:c>
      <x:c r="O1680" s="2" t="str">
        <x:v>relleno_postmuerte</x:v>
      </x:c>
      <x:c r="P1680" s="2" t="n">
        <x:v>0</x:v>
      </x:c>
      <x:c r="Q1680" s="2" t="str">
        <x:v>simulado_didactico</x:v>
      </x:c>
    </x:row>
    <x:row r="1681" ht="19" customHeight="1">
      <x:c r="A1681" s="2" t="str">
        <x:v>SIM-E2-MP-L8-R08</x:v>
      </x:c>
      <x:c r="B1681" s="2" t="n">
        <x:v>4</x:v>
      </x:c>
      <x:c r="C1681" s="2" t="str">
        <x:v>MP</x:v>
      </x:c>
      <x:c r="D1681" s="2" t="str">
        <x:v>Myzus persicae</x:v>
      </x:c>
      <x:c r="E1681" s="2" t="str">
        <x:v>L8</x:v>
      </x:c>
      <x:c r="F1681" s="2" t="n">
        <x:v>8</x:v>
      </x:c>
      <x:c r="G1681" s="2" t="n">
        <x:v>41</x:v>
      </x:c>
      <x:c r="H1681" s="2" t="n">
        <x:f>G1681+Supuestos!$C$15</x:f>
        <x:v>42</x:v>
      </x:c>
      <x:c r="I1681" s="14" t="n">
        <x:f>E2_plantas!J41+G1681</x:f>
        <x:v>46236</x:v>
      </x:c>
      <x:c r="J1681" s="2" t="str">
        <x:v>muerta</x:v>
      </x:c>
      <x:c r="K1681" s="2" t="n">
        <x:v>0</x:v>
      </x:c>
      <x:c r="L1681" s="2" t="n">
        <x:v>0</x:v>
      </x:c>
      <x:c r="M1681" s="2" t="n">
        <x:f>SUM(L$1640:L1681)</x:f>
        <x:v>48</x:v>
      </x:c>
      <x:c r="N1681" s="2" t="n">
        <x:v>0</x:v>
      </x:c>
      <x:c r="O1681" s="2" t="str">
        <x:v>relleno_postmuerte</x:v>
      </x:c>
      <x:c r="P1681" s="2" t="n">
        <x:v>0</x:v>
      </x:c>
      <x:c r="Q1681" s="2" t="str">
        <x:v>simulado_didactico</x:v>
      </x:c>
    </x:row>
    <x:row r="1682" ht="19" customHeight="1">
      <x:c r="A1682" s="2" t="str">
        <x:v>SIM-E2-MP-L7-R07</x:v>
      </x:c>
      <x:c r="B1682" s="2" t="n">
        <x:v>4</x:v>
      </x:c>
      <x:c r="C1682" s="2" t="str">
        <x:v>MP</x:v>
      </x:c>
      <x:c r="D1682" s="2" t="str">
        <x:v>Myzus persicae</x:v>
      </x:c>
      <x:c r="E1682" s="2" t="str">
        <x:v>L7</x:v>
      </x:c>
      <x:c r="F1682" s="2" t="n">
        <x:v>7</x:v>
      </x:c>
      <x:c r="G1682" s="2" t="n">
        <x:v>0</x:v>
      </x:c>
      <x:c r="H1682" s="2" t="n">
        <x:f>G1682+Supuestos!$C$15</x:f>
        <x:v>1</x:v>
      </x:c>
      <x:c r="I1682" s="14" t="n">
        <x:f>E2_plantas!J42+G1682</x:f>
        <x:v>46195</x:v>
      </x:c>
      <x:c r="J1682" s="2" t="str">
        <x:v>N1</x:v>
      </x:c>
      <x:c r="K1682" s="2" t="n">
        <x:v>1</x:v>
      </x:c>
      <x:c r="L1682" s="2" t="n">
        <x:v>0</x:v>
      </x:c>
      <x:c r="M1682" s="2" t="n">
        <x:f>SUM(L$1682:L1682)</x:f>
        <x:v>0</x:v>
      </x:c>
      <x:c r="N1682" s="2" t="n">
        <x:v>0</x:v>
      </x:c>
      <x:c r="O1682" s="2" t="str">
        <x:v>seguimiento</x:v>
      </x:c>
      <x:c r="P1682" s="2" t="n">
        <x:v>0</x:v>
      </x:c>
      <x:c r="Q1682" s="2" t="str">
        <x:v>simulado_didactico</x:v>
      </x:c>
    </x:row>
    <x:row r="1683" ht="19" customHeight="1">
      <x:c r="A1683" s="2" t="str">
        <x:v>SIM-E2-MP-L7-R07</x:v>
      </x:c>
      <x:c r="B1683" s="2" t="n">
        <x:v>4</x:v>
      </x:c>
      <x:c r="C1683" s="2" t="str">
        <x:v>MP</x:v>
      </x:c>
      <x:c r="D1683" s="2" t="str">
        <x:v>Myzus persicae</x:v>
      </x:c>
      <x:c r="E1683" s="2" t="str">
        <x:v>L7</x:v>
      </x:c>
      <x:c r="F1683" s="2" t="n">
        <x:v>7</x:v>
      </x:c>
      <x:c r="G1683" s="2" t="n">
        <x:v>1</x:v>
      </x:c>
      <x:c r="H1683" s="2" t="n">
        <x:f>G1683+Supuestos!$C$15</x:f>
        <x:v>2</x:v>
      </x:c>
      <x:c r="I1683" s="14" t="n">
        <x:f>E2_plantas!J42+G1683</x:f>
        <x:v>46196</x:v>
      </x:c>
      <x:c r="J1683" s="2" t="str">
        <x:v>N1</x:v>
      </x:c>
      <x:c r="K1683" s="2" t="n">
        <x:v>1</x:v>
      </x:c>
      <x:c r="L1683" s="2" t="n">
        <x:v>0</x:v>
      </x:c>
      <x:c r="M1683" s="2" t="n">
        <x:f>SUM(L$1682:L1683)</x:f>
        <x:v>0</x:v>
      </x:c>
      <x:c r="N1683" s="2" t="n">
        <x:v>0</x:v>
      </x:c>
      <x:c r="O1683" s="2" t="str">
        <x:v>seguimiento</x:v>
      </x:c>
      <x:c r="P1683" s="2" t="n">
        <x:v>0</x:v>
      </x:c>
      <x:c r="Q1683" s="2" t="str">
        <x:v>simulado_didactico</x:v>
      </x:c>
    </x:row>
    <x:row r="1684" ht="19" customHeight="1">
      <x:c r="A1684" s="2" t="str">
        <x:v>SIM-E2-MP-L7-R07</x:v>
      </x:c>
      <x:c r="B1684" s="2" t="n">
        <x:v>4</x:v>
      </x:c>
      <x:c r="C1684" s="2" t="str">
        <x:v>MP</x:v>
      </x:c>
      <x:c r="D1684" s="2" t="str">
        <x:v>Myzus persicae</x:v>
      </x:c>
      <x:c r="E1684" s="2" t="str">
        <x:v>L7</x:v>
      </x:c>
      <x:c r="F1684" s="2" t="n">
        <x:v>7</x:v>
      </x:c>
      <x:c r="G1684" s="2" t="n">
        <x:v>2</x:v>
      </x:c>
      <x:c r="H1684" s="2" t="n">
        <x:f>G1684+Supuestos!$C$15</x:f>
        <x:v>3</x:v>
      </x:c>
      <x:c r="I1684" s="14" t="n">
        <x:f>E2_plantas!J42+G1684</x:f>
        <x:v>46197</x:v>
      </x:c>
      <x:c r="J1684" s="2" t="str">
        <x:v>N1</x:v>
      </x:c>
      <x:c r="K1684" s="2" t="n">
        <x:v>1</x:v>
      </x:c>
      <x:c r="L1684" s="2" t="n">
        <x:v>0</x:v>
      </x:c>
      <x:c r="M1684" s="2" t="n">
        <x:f>SUM(L$1682:L1684)</x:f>
        <x:v>0</x:v>
      </x:c>
      <x:c r="N1684" s="2" t="n">
        <x:v>0</x:v>
      </x:c>
      <x:c r="O1684" s="2" t="str">
        <x:v>seguimiento</x:v>
      </x:c>
      <x:c r="P1684" s="2" t="n">
        <x:v>0</x:v>
      </x:c>
      <x:c r="Q1684" s="2" t="str">
        <x:v>simulado_didactico</x:v>
      </x:c>
    </x:row>
    <x:row r="1685" ht="19" customHeight="1">
      <x:c r="A1685" s="2" t="str">
        <x:v>SIM-E2-MP-L7-R07</x:v>
      </x:c>
      <x:c r="B1685" s="2" t="n">
        <x:v>4</x:v>
      </x:c>
      <x:c r="C1685" s="2" t="str">
        <x:v>MP</x:v>
      </x:c>
      <x:c r="D1685" s="2" t="str">
        <x:v>Myzus persicae</x:v>
      </x:c>
      <x:c r="E1685" s="2" t="str">
        <x:v>L7</x:v>
      </x:c>
      <x:c r="F1685" s="2" t="n">
        <x:v>7</x:v>
      </x:c>
      <x:c r="G1685" s="2" t="n">
        <x:v>3</x:v>
      </x:c>
      <x:c r="H1685" s="2" t="n">
        <x:f>G1685+Supuestos!$C$15</x:f>
        <x:v>4</x:v>
      </x:c>
      <x:c r="I1685" s="14" t="n">
        <x:f>E2_plantas!J42+G1685</x:f>
        <x:v>46198</x:v>
      </x:c>
      <x:c r="J1685" s="2" t="str">
        <x:v>N2</x:v>
      </x:c>
      <x:c r="K1685" s="2" t="n">
        <x:v>1</x:v>
      </x:c>
      <x:c r="L1685" s="2" t="n">
        <x:v>0</x:v>
      </x:c>
      <x:c r="M1685" s="2" t="n">
        <x:f>SUM(L$1682:L1685)</x:f>
        <x:v>0</x:v>
      </x:c>
      <x:c r="N1685" s="2" t="n">
        <x:v>0</x:v>
      </x:c>
      <x:c r="O1685" s="2" t="str">
        <x:v>seguimiento</x:v>
      </x:c>
      <x:c r="P1685" s="2" t="n">
        <x:v>0</x:v>
      </x:c>
      <x:c r="Q1685" s="2" t="str">
        <x:v>simulado_didactico</x:v>
      </x:c>
    </x:row>
    <x:row r="1686" ht="19" customHeight="1">
      <x:c r="A1686" s="2" t="str">
        <x:v>SIM-E2-MP-L7-R07</x:v>
      </x:c>
      <x:c r="B1686" s="2" t="n">
        <x:v>4</x:v>
      </x:c>
      <x:c r="C1686" s="2" t="str">
        <x:v>MP</x:v>
      </x:c>
      <x:c r="D1686" s="2" t="str">
        <x:v>Myzus persicae</x:v>
      </x:c>
      <x:c r="E1686" s="2" t="str">
        <x:v>L7</x:v>
      </x:c>
      <x:c r="F1686" s="2" t="n">
        <x:v>7</x:v>
      </x:c>
      <x:c r="G1686" s="2" t="n">
        <x:v>4</x:v>
      </x:c>
      <x:c r="H1686" s="2" t="n">
        <x:f>G1686+Supuestos!$C$15</x:f>
        <x:v>5</x:v>
      </x:c>
      <x:c r="I1686" s="14" t="n">
        <x:f>E2_plantas!J42+G1686</x:f>
        <x:v>46199</x:v>
      </x:c>
      <x:c r="J1686" s="2" t="str">
        <x:v>N2</x:v>
      </x:c>
      <x:c r="K1686" s="2" t="n">
        <x:v>1</x:v>
      </x:c>
      <x:c r="L1686" s="2" t="n">
        <x:v>0</x:v>
      </x:c>
      <x:c r="M1686" s="2" t="n">
        <x:f>SUM(L$1682:L1686)</x:f>
        <x:v>0</x:v>
      </x:c>
      <x:c r="N1686" s="2" t="n">
        <x:v>0</x:v>
      </x:c>
      <x:c r="O1686" s="2" t="str">
        <x:v>seguimiento</x:v>
      </x:c>
      <x:c r="P1686" s="2" t="n">
        <x:v>0</x:v>
      </x:c>
      <x:c r="Q1686" s="2" t="str">
        <x:v>simulado_didactico</x:v>
      </x:c>
    </x:row>
    <x:row r="1687" ht="19" customHeight="1">
      <x:c r="A1687" s="2" t="str">
        <x:v>SIM-E2-MP-L7-R07</x:v>
      </x:c>
      <x:c r="B1687" s="2" t="n">
        <x:v>4</x:v>
      </x:c>
      <x:c r="C1687" s="2" t="str">
        <x:v>MP</x:v>
      </x:c>
      <x:c r="D1687" s="2" t="str">
        <x:v>Myzus persicae</x:v>
      </x:c>
      <x:c r="E1687" s="2" t="str">
        <x:v>L7</x:v>
      </x:c>
      <x:c r="F1687" s="2" t="n">
        <x:v>7</x:v>
      </x:c>
      <x:c r="G1687" s="2" t="n">
        <x:v>5</x:v>
      </x:c>
      <x:c r="H1687" s="2" t="n">
        <x:f>G1687+Supuestos!$C$15</x:f>
        <x:v>6</x:v>
      </x:c>
      <x:c r="I1687" s="14" t="n">
        <x:f>E2_plantas!J42+G1687</x:f>
        <x:v>46200</x:v>
      </x:c>
      <x:c r="J1687" s="2" t="str">
        <x:v>N3</x:v>
      </x:c>
      <x:c r="K1687" s="2" t="n">
        <x:v>1</x:v>
      </x:c>
      <x:c r="L1687" s="2" t="n">
        <x:v>0</x:v>
      </x:c>
      <x:c r="M1687" s="2" t="n">
        <x:f>SUM(L$1682:L1687)</x:f>
        <x:v>0</x:v>
      </x:c>
      <x:c r="N1687" s="2" t="n">
        <x:v>0</x:v>
      </x:c>
      <x:c r="O1687" s="2" t="str">
        <x:v>seguimiento</x:v>
      </x:c>
      <x:c r="P1687" s="2" t="n">
        <x:v>0</x:v>
      </x:c>
      <x:c r="Q1687" s="2" t="str">
        <x:v>simulado_didactico</x:v>
      </x:c>
    </x:row>
    <x:row r="1688" ht="19" customHeight="1">
      <x:c r="A1688" s="2" t="str">
        <x:v>SIM-E2-MP-L7-R07</x:v>
      </x:c>
      <x:c r="B1688" s="2" t="n">
        <x:v>4</x:v>
      </x:c>
      <x:c r="C1688" s="2" t="str">
        <x:v>MP</x:v>
      </x:c>
      <x:c r="D1688" s="2" t="str">
        <x:v>Myzus persicae</x:v>
      </x:c>
      <x:c r="E1688" s="2" t="str">
        <x:v>L7</x:v>
      </x:c>
      <x:c r="F1688" s="2" t="n">
        <x:v>7</x:v>
      </x:c>
      <x:c r="G1688" s="2" t="n">
        <x:v>6</x:v>
      </x:c>
      <x:c r="H1688" s="2" t="n">
        <x:f>G1688+Supuestos!$C$15</x:f>
        <x:v>7</x:v>
      </x:c>
      <x:c r="I1688" s="14" t="n">
        <x:f>E2_plantas!J42+G1688</x:f>
        <x:v>46201</x:v>
      </x:c>
      <x:c r="J1688" s="2" t="str">
        <x:v>N3</x:v>
      </x:c>
      <x:c r="K1688" s="2" t="n">
        <x:v>1</x:v>
      </x:c>
      <x:c r="L1688" s="2" t="n">
        <x:v>0</x:v>
      </x:c>
      <x:c r="M1688" s="2" t="n">
        <x:f>SUM(L$1682:L1688)</x:f>
        <x:v>0</x:v>
      </x:c>
      <x:c r="N1688" s="2" t="n">
        <x:v>0</x:v>
      </x:c>
      <x:c r="O1688" s="2" t="str">
        <x:v>seguimiento</x:v>
      </x:c>
      <x:c r="P1688" s="2" t="n">
        <x:v>0</x:v>
      </x:c>
      <x:c r="Q1688" s="2" t="str">
        <x:v>simulado_didactico</x:v>
      </x:c>
    </x:row>
    <x:row r="1689" ht="19" customHeight="1">
      <x:c r="A1689" s="2" t="str">
        <x:v>SIM-E2-MP-L7-R07</x:v>
      </x:c>
      <x:c r="B1689" s="2" t="n">
        <x:v>4</x:v>
      </x:c>
      <x:c r="C1689" s="2" t="str">
        <x:v>MP</x:v>
      </x:c>
      <x:c r="D1689" s="2" t="str">
        <x:v>Myzus persicae</x:v>
      </x:c>
      <x:c r="E1689" s="2" t="str">
        <x:v>L7</x:v>
      </x:c>
      <x:c r="F1689" s="2" t="n">
        <x:v>7</x:v>
      </x:c>
      <x:c r="G1689" s="2" t="n">
        <x:v>7</x:v>
      </x:c>
      <x:c r="H1689" s="2" t="n">
        <x:f>G1689+Supuestos!$C$15</x:f>
        <x:v>8</x:v>
      </x:c>
      <x:c r="I1689" s="14" t="n">
        <x:f>E2_plantas!J42+G1689</x:f>
        <x:v>46202</x:v>
      </x:c>
      <x:c r="J1689" s="2" t="str">
        <x:v>N4</x:v>
      </x:c>
      <x:c r="K1689" s="2" t="n">
        <x:v>1</x:v>
      </x:c>
      <x:c r="L1689" s="2" t="n">
        <x:v>0</x:v>
      </x:c>
      <x:c r="M1689" s="2" t="n">
        <x:f>SUM(L$1682:L1689)</x:f>
        <x:v>0</x:v>
      </x:c>
      <x:c r="N1689" s="2" t="n">
        <x:v>0</x:v>
      </x:c>
      <x:c r="O1689" s="2" t="str">
        <x:v>seguimiento</x:v>
      </x:c>
      <x:c r="P1689" s="2" t="n">
        <x:v>0</x:v>
      </x:c>
      <x:c r="Q1689" s="2" t="str">
        <x:v>simulado_didactico</x:v>
      </x:c>
    </x:row>
    <x:row r="1690" ht="19" customHeight="1">
      <x:c r="A1690" s="2" t="str">
        <x:v>SIM-E2-MP-L7-R07</x:v>
      </x:c>
      <x:c r="B1690" s="2" t="n">
        <x:v>4</x:v>
      </x:c>
      <x:c r="C1690" s="2" t="str">
        <x:v>MP</x:v>
      </x:c>
      <x:c r="D1690" s="2" t="str">
        <x:v>Myzus persicae</x:v>
      </x:c>
      <x:c r="E1690" s="2" t="str">
        <x:v>L7</x:v>
      </x:c>
      <x:c r="F1690" s="2" t="n">
        <x:v>7</x:v>
      </x:c>
      <x:c r="G1690" s="2" t="n">
        <x:v>8</x:v>
      </x:c>
      <x:c r="H1690" s="2" t="n">
        <x:f>G1690+Supuestos!$C$15</x:f>
        <x:v>9</x:v>
      </x:c>
      <x:c r="I1690" s="14" t="n">
        <x:f>E2_plantas!J42+G1690</x:f>
        <x:v>46203</x:v>
      </x:c>
      <x:c r="J1690" s="2" t="str">
        <x:v>N4</x:v>
      </x:c>
      <x:c r="K1690" s="2" t="n">
        <x:v>1</x:v>
      </x:c>
      <x:c r="L1690" s="2" t="n">
        <x:v>0</x:v>
      </x:c>
      <x:c r="M1690" s="2" t="n">
        <x:f>SUM(L$1682:L1690)</x:f>
        <x:v>0</x:v>
      </x:c>
      <x:c r="N1690" s="2" t="n">
        <x:v>0</x:v>
      </x:c>
      <x:c r="O1690" s="2" t="str">
        <x:v>seguimiento</x:v>
      </x:c>
      <x:c r="P1690" s="2" t="n">
        <x:v>0</x:v>
      </x:c>
      <x:c r="Q1690" s="2" t="str">
        <x:v>simulado_didactico</x:v>
      </x:c>
    </x:row>
    <x:row r="1691" ht="19" customHeight="1">
      <x:c r="A1691" s="2" t="str">
        <x:v>SIM-E2-MP-L7-R07</x:v>
      </x:c>
      <x:c r="B1691" s="2" t="n">
        <x:v>4</x:v>
      </x:c>
      <x:c r="C1691" s="2" t="str">
        <x:v>MP</x:v>
      </x:c>
      <x:c r="D1691" s="2" t="str">
        <x:v>Myzus persicae</x:v>
      </x:c>
      <x:c r="E1691" s="2" t="str">
        <x:v>L7</x:v>
      </x:c>
      <x:c r="F1691" s="2" t="n">
        <x:v>7</x:v>
      </x:c>
      <x:c r="G1691" s="2" t="n">
        <x:v>9</x:v>
      </x:c>
      <x:c r="H1691" s="2" t="n">
        <x:f>G1691+Supuestos!$C$15</x:f>
        <x:v>10</x:v>
      </x:c>
      <x:c r="I1691" s="14" t="n">
        <x:f>E2_plantas!J42+G1691</x:f>
        <x:v>46204</x:v>
      </x:c>
      <x:c r="J1691" s="2" t="str">
        <x:v>adulta</x:v>
      </x:c>
      <x:c r="K1691" s="2" t="n">
        <x:v>1</x:v>
      </x:c>
      <x:c r="L1691" s="2" t="n">
        <x:v>0</x:v>
      </x:c>
      <x:c r="M1691" s="2" t="n">
        <x:f>SUM(L$1682:L1691)</x:f>
        <x:v>0</x:v>
      </x:c>
      <x:c r="N1691" s="2" t="n">
        <x:v>0</x:v>
      </x:c>
      <x:c r="O1691" s="2" t="str">
        <x:v>seguimiento</x:v>
      </x:c>
      <x:c r="P1691" s="2" t="n">
        <x:v>0</x:v>
      </x:c>
      <x:c r="Q1691" s="2" t="str">
        <x:v>simulado_didactico</x:v>
      </x:c>
    </x:row>
    <x:row r="1692" ht="19" customHeight="1">
      <x:c r="A1692" s="2" t="str">
        <x:v>SIM-E2-MP-L7-R07</x:v>
      </x:c>
      <x:c r="B1692" s="2" t="n">
        <x:v>4</x:v>
      </x:c>
      <x:c r="C1692" s="2" t="str">
        <x:v>MP</x:v>
      </x:c>
      <x:c r="D1692" s="2" t="str">
        <x:v>Myzus persicae</x:v>
      </x:c>
      <x:c r="E1692" s="2" t="str">
        <x:v>L7</x:v>
      </x:c>
      <x:c r="F1692" s="2" t="n">
        <x:v>7</x:v>
      </x:c>
      <x:c r="G1692" s="2" t="n">
        <x:v>10</x:v>
      </x:c>
      <x:c r="H1692" s="2" t="n">
        <x:f>G1692+Supuestos!$C$15</x:f>
        <x:v>11</x:v>
      </x:c>
      <x:c r="I1692" s="14" t="n">
        <x:f>E2_plantas!J42+G1692</x:f>
        <x:v>46205</x:v>
      </x:c>
      <x:c r="J1692" s="2" t="str">
        <x:v>adulta</x:v>
      </x:c>
      <x:c r="K1692" s="2" t="n">
        <x:v>1</x:v>
      </x:c>
      <x:c r="L1692" s="2" t="n">
        <x:v>0</x:v>
      </x:c>
      <x:c r="M1692" s="2" t="n">
        <x:f>SUM(L$1682:L1692)</x:f>
        <x:v>0</x:v>
      </x:c>
      <x:c r="N1692" s="2" t="n">
        <x:v>0</x:v>
      </x:c>
      <x:c r="O1692" s="2" t="str">
        <x:v>seguimiento</x:v>
      </x:c>
      <x:c r="P1692" s="2" t="n">
        <x:v>0</x:v>
      </x:c>
      <x:c r="Q1692" s="2" t="str">
        <x:v>simulado_didactico</x:v>
      </x:c>
    </x:row>
    <x:row r="1693" ht="19" customHeight="1">
      <x:c r="A1693" s="2" t="str">
        <x:v>SIM-E2-MP-L7-R07</x:v>
      </x:c>
      <x:c r="B1693" s="2" t="n">
        <x:v>4</x:v>
      </x:c>
      <x:c r="C1693" s="2" t="str">
        <x:v>MP</x:v>
      </x:c>
      <x:c r="D1693" s="2" t="str">
        <x:v>Myzus persicae</x:v>
      </x:c>
      <x:c r="E1693" s="2" t="str">
        <x:v>L7</x:v>
      </x:c>
      <x:c r="F1693" s="2" t="n">
        <x:v>7</x:v>
      </x:c>
      <x:c r="G1693" s="2" t="n">
        <x:v>11</x:v>
      </x:c>
      <x:c r="H1693" s="2" t="n">
        <x:f>G1693+Supuestos!$C$15</x:f>
        <x:v>12</x:v>
      </x:c>
      <x:c r="I1693" s="14" t="n">
        <x:f>E2_plantas!J42+G1693</x:f>
        <x:v>46206</x:v>
      </x:c>
      <x:c r="J1693" s="2" t="str">
        <x:v>adulta</x:v>
      </x:c>
      <x:c r="K1693" s="2" t="n">
        <x:v>1</x:v>
      </x:c>
      <x:c r="L1693" s="2" t="n">
        <x:v>0</x:v>
      </x:c>
      <x:c r="M1693" s="2" t="n">
        <x:f>SUM(L$1682:L1693)</x:f>
        <x:v>0</x:v>
      </x:c>
      <x:c r="N1693" s="2" t="n">
        <x:v>0</x:v>
      </x:c>
      <x:c r="O1693" s="2" t="str">
        <x:v>seguimiento</x:v>
      </x:c>
      <x:c r="P1693" s="2" t="n">
        <x:v>0</x:v>
      </x:c>
      <x:c r="Q1693" s="2" t="str">
        <x:v>simulado_didactico</x:v>
      </x:c>
    </x:row>
    <x:row r="1694" ht="19" customHeight="1">
      <x:c r="A1694" s="2" t="str">
        <x:v>SIM-E2-MP-L7-R07</x:v>
      </x:c>
      <x:c r="B1694" s="2" t="n">
        <x:v>4</x:v>
      </x:c>
      <x:c r="C1694" s="2" t="str">
        <x:v>MP</x:v>
      </x:c>
      <x:c r="D1694" s="2" t="str">
        <x:v>Myzus persicae</x:v>
      </x:c>
      <x:c r="E1694" s="2" t="str">
        <x:v>L7</x:v>
      </x:c>
      <x:c r="F1694" s="2" t="n">
        <x:v>7</x:v>
      </x:c>
      <x:c r="G1694" s="2" t="n">
        <x:v>12</x:v>
      </x:c>
      <x:c r="H1694" s="2" t="n">
        <x:f>G1694+Supuestos!$C$15</x:f>
        <x:v>13</x:v>
      </x:c>
      <x:c r="I1694" s="14" t="n">
        <x:f>E2_plantas!J42+G1694</x:f>
        <x:v>46207</x:v>
      </x:c>
      <x:c r="J1694" s="2" t="str">
        <x:v>adulta</x:v>
      </x:c>
      <x:c r="K1694" s="2" t="n">
        <x:v>1</x:v>
      </x:c>
      <x:c r="L1694" s="2" t="n">
        <x:v>1</x:v>
      </x:c>
      <x:c r="M1694" s="2" t="n">
        <x:f>SUM(L$1682:L1694)</x:f>
        <x:v>1</x:v>
      </x:c>
      <x:c r="N1694" s="2" t="n">
        <x:v>0</x:v>
      </x:c>
      <x:c r="O1694" s="2" t="str">
        <x:v>seguimiento</x:v>
      </x:c>
      <x:c r="P1694" s="2" t="n">
        <x:v>0</x:v>
      </x:c>
      <x:c r="Q1694" s="2" t="str">
        <x:v>simulado_didactico</x:v>
      </x:c>
    </x:row>
    <x:row r="1695" ht="19" customHeight="1">
      <x:c r="A1695" s="2" t="str">
        <x:v>SIM-E2-MP-L7-R07</x:v>
      </x:c>
      <x:c r="B1695" s="2" t="n">
        <x:v>4</x:v>
      </x:c>
      <x:c r="C1695" s="2" t="str">
        <x:v>MP</x:v>
      </x:c>
      <x:c r="D1695" s="2" t="str">
        <x:v>Myzus persicae</x:v>
      </x:c>
      <x:c r="E1695" s="2" t="str">
        <x:v>L7</x:v>
      </x:c>
      <x:c r="F1695" s="2" t="n">
        <x:v>7</x:v>
      </x:c>
      <x:c r="G1695" s="2" t="n">
        <x:v>13</x:v>
      </x:c>
      <x:c r="H1695" s="2" t="n">
        <x:f>G1695+Supuestos!$C$15</x:f>
        <x:v>14</x:v>
      </x:c>
      <x:c r="I1695" s="14" t="n">
        <x:f>E2_plantas!J42+G1695</x:f>
        <x:v>46208</x:v>
      </x:c>
      <x:c r="J1695" s="2" t="str">
        <x:v>adulta</x:v>
      </x:c>
      <x:c r="K1695" s="2" t="n">
        <x:v>1</x:v>
      </x:c>
      <x:c r="L1695" s="2" t="n">
        <x:v>4</x:v>
      </x:c>
      <x:c r="M1695" s="2" t="n">
        <x:f>SUM(L$1682:L1695)</x:f>
        <x:v>5</x:v>
      </x:c>
      <x:c r="N1695" s="2" t="n">
        <x:v>0</x:v>
      </x:c>
      <x:c r="O1695" s="2" t="str">
        <x:v>seguimiento</x:v>
      </x:c>
      <x:c r="P1695" s="2" t="n">
        <x:v>0</x:v>
      </x:c>
      <x:c r="Q1695" s="2" t="str">
        <x:v>simulado_didactico</x:v>
      </x:c>
    </x:row>
    <x:row r="1696" ht="19" customHeight="1">
      <x:c r="A1696" s="2" t="str">
        <x:v>SIM-E2-MP-L7-R07</x:v>
      </x:c>
      <x:c r="B1696" s="2" t="n">
        <x:v>4</x:v>
      </x:c>
      <x:c r="C1696" s="2" t="str">
        <x:v>MP</x:v>
      </x:c>
      <x:c r="D1696" s="2" t="str">
        <x:v>Myzus persicae</x:v>
      </x:c>
      <x:c r="E1696" s="2" t="str">
        <x:v>L7</x:v>
      </x:c>
      <x:c r="F1696" s="2" t="n">
        <x:v>7</x:v>
      </x:c>
      <x:c r="G1696" s="2" t="n">
        <x:v>14</x:v>
      </x:c>
      <x:c r="H1696" s="2" t="n">
        <x:f>G1696+Supuestos!$C$15</x:f>
        <x:v>15</x:v>
      </x:c>
      <x:c r="I1696" s="14" t="n">
        <x:f>E2_plantas!J42+G1696</x:f>
        <x:v>46209</x:v>
      </x:c>
      <x:c r="J1696" s="2" t="str">
        <x:v>adulta</x:v>
      </x:c>
      <x:c r="K1696" s="2" t="n">
        <x:v>1</x:v>
      </x:c>
      <x:c r="L1696" s="2" t="n">
        <x:v>4</x:v>
      </x:c>
      <x:c r="M1696" s="2" t="n">
        <x:f>SUM(L$1682:L1696)</x:f>
        <x:v>9</x:v>
      </x:c>
      <x:c r="N1696" s="2" t="n">
        <x:v>0</x:v>
      </x:c>
      <x:c r="O1696" s="2" t="str">
        <x:v>seguimiento</x:v>
      </x:c>
      <x:c r="P1696" s="2" t="n">
        <x:v>0</x:v>
      </x:c>
      <x:c r="Q1696" s="2" t="str">
        <x:v>simulado_didactico</x:v>
      </x:c>
    </x:row>
    <x:row r="1697" ht="19" customHeight="1">
      <x:c r="A1697" s="2" t="str">
        <x:v>SIM-E2-MP-L7-R07</x:v>
      </x:c>
      <x:c r="B1697" s="2" t="n">
        <x:v>4</x:v>
      </x:c>
      <x:c r="C1697" s="2" t="str">
        <x:v>MP</x:v>
      </x:c>
      <x:c r="D1697" s="2" t="str">
        <x:v>Myzus persicae</x:v>
      </x:c>
      <x:c r="E1697" s="2" t="str">
        <x:v>L7</x:v>
      </x:c>
      <x:c r="F1697" s="2" t="n">
        <x:v>7</x:v>
      </x:c>
      <x:c r="G1697" s="2" t="n">
        <x:v>15</x:v>
      </x:c>
      <x:c r="H1697" s="2" t="n">
        <x:f>G1697+Supuestos!$C$15</x:f>
        <x:v>16</x:v>
      </x:c>
      <x:c r="I1697" s="14" t="n">
        <x:f>E2_plantas!J42+G1697</x:f>
        <x:v>46210</x:v>
      </x:c>
      <x:c r="J1697" s="2" t="str">
        <x:v>adulta</x:v>
      </x:c>
      <x:c r="K1697" s="2" t="n">
        <x:v>1</x:v>
      </x:c>
      <x:c r="L1697" s="2" t="n">
        <x:v>1</x:v>
      </x:c>
      <x:c r="M1697" s="2" t="n">
        <x:f>SUM(L$1682:L1697)</x:f>
        <x:v>10</x:v>
      </x:c>
      <x:c r="N1697" s="2" t="n">
        <x:v>0</x:v>
      </x:c>
      <x:c r="O1697" s="2" t="str">
        <x:v>seguimiento</x:v>
      </x:c>
      <x:c r="P1697" s="2" t="n">
        <x:v>0</x:v>
      </x:c>
      <x:c r="Q1697" s="2" t="str">
        <x:v>simulado_didactico</x:v>
      </x:c>
    </x:row>
    <x:row r="1698" ht="19" customHeight="1">
      <x:c r="A1698" s="2" t="str">
        <x:v>SIM-E2-MP-L7-R07</x:v>
      </x:c>
      <x:c r="B1698" s="2" t="n">
        <x:v>4</x:v>
      </x:c>
      <x:c r="C1698" s="2" t="str">
        <x:v>MP</x:v>
      </x:c>
      <x:c r="D1698" s="2" t="str">
        <x:v>Myzus persicae</x:v>
      </x:c>
      <x:c r="E1698" s="2" t="str">
        <x:v>L7</x:v>
      </x:c>
      <x:c r="F1698" s="2" t="n">
        <x:v>7</x:v>
      </x:c>
      <x:c r="G1698" s="2" t="n">
        <x:v>16</x:v>
      </x:c>
      <x:c r="H1698" s="2" t="n">
        <x:f>G1698+Supuestos!$C$15</x:f>
        <x:v>17</x:v>
      </x:c>
      <x:c r="I1698" s="14" t="n">
        <x:f>E2_plantas!J42+G1698</x:f>
        <x:v>46211</x:v>
      </x:c>
      <x:c r="J1698" s="2" t="str">
        <x:v>adulta</x:v>
      </x:c>
      <x:c r="K1698" s="2" t="n">
        <x:v>1</x:v>
      </x:c>
      <x:c r="L1698" s="2" t="n">
        <x:v>6</x:v>
      </x:c>
      <x:c r="M1698" s="2" t="n">
        <x:f>SUM(L$1682:L1698)</x:f>
        <x:v>16</x:v>
      </x:c>
      <x:c r="N1698" s="2" t="n">
        <x:v>0</x:v>
      </x:c>
      <x:c r="O1698" s="2" t="str">
        <x:v>seguimiento</x:v>
      </x:c>
      <x:c r="P1698" s="2" t="n">
        <x:v>0</x:v>
      </x:c>
      <x:c r="Q1698" s="2" t="str">
        <x:v>simulado_didactico</x:v>
      </x:c>
    </x:row>
    <x:row r="1699" ht="19" customHeight="1">
      <x:c r="A1699" s="2" t="str">
        <x:v>SIM-E2-MP-L7-R07</x:v>
      </x:c>
      <x:c r="B1699" s="2" t="n">
        <x:v>4</x:v>
      </x:c>
      <x:c r="C1699" s="2" t="str">
        <x:v>MP</x:v>
      </x:c>
      <x:c r="D1699" s="2" t="str">
        <x:v>Myzus persicae</x:v>
      </x:c>
      <x:c r="E1699" s="2" t="str">
        <x:v>L7</x:v>
      </x:c>
      <x:c r="F1699" s="2" t="n">
        <x:v>7</x:v>
      </x:c>
      <x:c r="G1699" s="2" t="n">
        <x:v>17</x:v>
      </x:c>
      <x:c r="H1699" s="2" t="n">
        <x:f>G1699+Supuestos!$C$15</x:f>
        <x:v>18</x:v>
      </x:c>
      <x:c r="I1699" s="14" t="n">
        <x:f>E2_plantas!J42+G1699</x:f>
        <x:v>46212</x:v>
      </x:c>
      <x:c r="J1699" s="2" t="str">
        <x:v>adulta</x:v>
      </x:c>
      <x:c r="K1699" s="2" t="n">
        <x:v>1</x:v>
      </x:c>
      <x:c r="L1699" s="2" t="n">
        <x:v>5</x:v>
      </x:c>
      <x:c r="M1699" s="2" t="n">
        <x:f>SUM(L$1682:L1699)</x:f>
        <x:v>21</x:v>
      </x:c>
      <x:c r="N1699" s="2" t="n">
        <x:v>0</x:v>
      </x:c>
      <x:c r="O1699" s="2" t="str">
        <x:v>seguimiento</x:v>
      </x:c>
      <x:c r="P1699" s="2" t="n">
        <x:v>0</x:v>
      </x:c>
      <x:c r="Q1699" s="2" t="str">
        <x:v>simulado_didactico</x:v>
      </x:c>
    </x:row>
    <x:row r="1700" ht="19" customHeight="1">
      <x:c r="A1700" s="2" t="str">
        <x:v>SIM-E2-MP-L7-R07</x:v>
      </x:c>
      <x:c r="B1700" s="2" t="n">
        <x:v>4</x:v>
      </x:c>
      <x:c r="C1700" s="2" t="str">
        <x:v>MP</x:v>
      </x:c>
      <x:c r="D1700" s="2" t="str">
        <x:v>Myzus persicae</x:v>
      </x:c>
      <x:c r="E1700" s="2" t="str">
        <x:v>L7</x:v>
      </x:c>
      <x:c r="F1700" s="2" t="n">
        <x:v>7</x:v>
      </x:c>
      <x:c r="G1700" s="2" t="n">
        <x:v>18</x:v>
      </x:c>
      <x:c r="H1700" s="2" t="n">
        <x:f>G1700+Supuestos!$C$15</x:f>
        <x:v>19</x:v>
      </x:c>
      <x:c r="I1700" s="14" t="n">
        <x:f>E2_plantas!J42+G1700</x:f>
        <x:v>46213</x:v>
      </x:c>
      <x:c r="J1700" s="2" t="str">
        <x:v>adulta</x:v>
      </x:c>
      <x:c r="K1700" s="2" t="n">
        <x:v>1</x:v>
      </x:c>
      <x:c r="L1700" s="2" t="n">
        <x:v>0</x:v>
      </x:c>
      <x:c r="M1700" s="2" t="n">
        <x:f>SUM(L$1682:L1700)</x:f>
        <x:v>21</x:v>
      </x:c>
      <x:c r="N1700" s="2" t="n">
        <x:v>0</x:v>
      </x:c>
      <x:c r="O1700" s="2" t="str">
        <x:v>seguimiento</x:v>
      </x:c>
      <x:c r="P1700" s="2" t="n">
        <x:v>0</x:v>
      </x:c>
      <x:c r="Q1700" s="2" t="str">
        <x:v>simulado_didactico</x:v>
      </x:c>
    </x:row>
    <x:row r="1701" ht="19" customHeight="1">
      <x:c r="A1701" s="2" t="str">
        <x:v>SIM-E2-MP-L7-R07</x:v>
      </x:c>
      <x:c r="B1701" s="2" t="n">
        <x:v>4</x:v>
      </x:c>
      <x:c r="C1701" s="2" t="str">
        <x:v>MP</x:v>
      </x:c>
      <x:c r="D1701" s="2" t="str">
        <x:v>Myzus persicae</x:v>
      </x:c>
      <x:c r="E1701" s="2" t="str">
        <x:v>L7</x:v>
      </x:c>
      <x:c r="F1701" s="2" t="n">
        <x:v>7</x:v>
      </x:c>
      <x:c r="G1701" s="2" t="n">
        <x:v>19</x:v>
      </x:c>
      <x:c r="H1701" s="2" t="n">
        <x:f>G1701+Supuestos!$C$15</x:f>
        <x:v>20</x:v>
      </x:c>
      <x:c r="I1701" s="14" t="n">
        <x:f>E2_plantas!J42+G1701</x:f>
        <x:v>46214</x:v>
      </x:c>
      <x:c r="J1701" s="2" t="str">
        <x:v>adulta</x:v>
      </x:c>
      <x:c r="K1701" s="2" t="n">
        <x:v>1</x:v>
      </x:c>
      <x:c r="L1701" s="2" t="n">
        <x:v>2</x:v>
      </x:c>
      <x:c r="M1701" s="2" t="n">
        <x:f>SUM(L$1682:L1701)</x:f>
        <x:v>23</x:v>
      </x:c>
      <x:c r="N1701" s="2" t="n">
        <x:v>0</x:v>
      </x:c>
      <x:c r="O1701" s="2" t="str">
        <x:v>seguimiento</x:v>
      </x:c>
      <x:c r="P1701" s="2" t="n">
        <x:v>0</x:v>
      </x:c>
      <x:c r="Q1701" s="2" t="str">
        <x:v>simulado_didactico</x:v>
      </x:c>
    </x:row>
    <x:row r="1702" ht="19" customHeight="1">
      <x:c r="A1702" s="2" t="str">
        <x:v>SIM-E2-MP-L7-R07</x:v>
      </x:c>
      <x:c r="B1702" s="2" t="n">
        <x:v>4</x:v>
      </x:c>
      <x:c r="C1702" s="2" t="str">
        <x:v>MP</x:v>
      </x:c>
      <x:c r="D1702" s="2" t="str">
        <x:v>Myzus persicae</x:v>
      </x:c>
      <x:c r="E1702" s="2" t="str">
        <x:v>L7</x:v>
      </x:c>
      <x:c r="F1702" s="2" t="n">
        <x:v>7</x:v>
      </x:c>
      <x:c r="G1702" s="2" t="n">
        <x:v>20</x:v>
      </x:c>
      <x:c r="H1702" s="2" t="n">
        <x:f>G1702+Supuestos!$C$15</x:f>
        <x:v>21</x:v>
      </x:c>
      <x:c r="I1702" s="14" t="n">
        <x:f>E2_plantas!J42+G1702</x:f>
        <x:v>46215</x:v>
      </x:c>
      <x:c r="J1702" s="2" t="str">
        <x:v>adulta</x:v>
      </x:c>
      <x:c r="K1702" s="2" t="n">
        <x:v>1</x:v>
      </x:c>
      <x:c r="L1702" s="2" t="n">
        <x:v>3</x:v>
      </x:c>
      <x:c r="M1702" s="2" t="n">
        <x:f>SUM(L$1682:L1702)</x:f>
        <x:v>26</x:v>
      </x:c>
      <x:c r="N1702" s="2" t="n">
        <x:v>0</x:v>
      </x:c>
      <x:c r="O1702" s="2" t="str">
        <x:v>seguimiento</x:v>
      </x:c>
      <x:c r="P1702" s="2" t="n">
        <x:v>0</x:v>
      </x:c>
      <x:c r="Q1702" s="2" t="str">
        <x:v>simulado_didactico</x:v>
      </x:c>
    </x:row>
    <x:row r="1703" ht="19" customHeight="1">
      <x:c r="A1703" s="2" t="str">
        <x:v>SIM-E2-MP-L7-R07</x:v>
      </x:c>
      <x:c r="B1703" s="2" t="n">
        <x:v>4</x:v>
      </x:c>
      <x:c r="C1703" s="2" t="str">
        <x:v>MP</x:v>
      </x:c>
      <x:c r="D1703" s="2" t="str">
        <x:v>Myzus persicae</x:v>
      </x:c>
      <x:c r="E1703" s="2" t="str">
        <x:v>L7</x:v>
      </x:c>
      <x:c r="F1703" s="2" t="n">
        <x:v>7</x:v>
      </x:c>
      <x:c r="G1703" s="2" t="n">
        <x:v>21</x:v>
      </x:c>
      <x:c r="H1703" s="2" t="n">
        <x:f>G1703+Supuestos!$C$15</x:f>
        <x:v>22</x:v>
      </x:c>
      <x:c r="I1703" s="14" t="n">
        <x:f>E2_plantas!J42+G1703</x:f>
        <x:v>46216</x:v>
      </x:c>
      <x:c r="J1703" s="2" t="str">
        <x:v>adulta</x:v>
      </x:c>
      <x:c r="K1703" s="2" t="n">
        <x:v>1</x:v>
      </x:c>
      <x:c r="L1703" s="2" t="n">
        <x:v>2</x:v>
      </x:c>
      <x:c r="M1703" s="2" t="n">
        <x:f>SUM(L$1682:L1703)</x:f>
        <x:v>28</x:v>
      </x:c>
      <x:c r="N1703" s="2" t="n">
        <x:v>0</x:v>
      </x:c>
      <x:c r="O1703" s="2" t="str">
        <x:v>seguimiento</x:v>
      </x:c>
      <x:c r="P1703" s="2" t="n">
        <x:v>0</x:v>
      </x:c>
      <x:c r="Q1703" s="2" t="str">
        <x:v>simulado_didactico</x:v>
      </x:c>
    </x:row>
    <x:row r="1704" ht="19" customHeight="1">
      <x:c r="A1704" s="2" t="str">
        <x:v>SIM-E2-MP-L7-R07</x:v>
      </x:c>
      <x:c r="B1704" s="2" t="n">
        <x:v>4</x:v>
      </x:c>
      <x:c r="C1704" s="2" t="str">
        <x:v>MP</x:v>
      </x:c>
      <x:c r="D1704" s="2" t="str">
        <x:v>Myzus persicae</x:v>
      </x:c>
      <x:c r="E1704" s="2" t="str">
        <x:v>L7</x:v>
      </x:c>
      <x:c r="F1704" s="2" t="n">
        <x:v>7</x:v>
      </x:c>
      <x:c r="G1704" s="2" t="n">
        <x:v>22</x:v>
      </x:c>
      <x:c r="H1704" s="2" t="n">
        <x:f>G1704+Supuestos!$C$15</x:f>
        <x:v>23</x:v>
      </x:c>
      <x:c r="I1704" s="14" t="n">
        <x:f>E2_plantas!J42+G1704</x:f>
        <x:v>46217</x:v>
      </x:c>
      <x:c r="J1704" s="2" t="str">
        <x:v>adulta</x:v>
      </x:c>
      <x:c r="K1704" s="2" t="n">
        <x:v>1</x:v>
      </x:c>
      <x:c r="L1704" s="2" t="n">
        <x:v>0</x:v>
      </x:c>
      <x:c r="M1704" s="2" t="n">
        <x:f>SUM(L$1682:L1704)</x:f>
        <x:v>28</x:v>
      </x:c>
      <x:c r="N1704" s="2" t="n">
        <x:v>0</x:v>
      </x:c>
      <x:c r="O1704" s="2" t="str">
        <x:v>seguimiento</x:v>
      </x:c>
      <x:c r="P1704" s="2" t="n">
        <x:v>0</x:v>
      </x:c>
      <x:c r="Q1704" s="2" t="str">
        <x:v>simulado_didactico</x:v>
      </x:c>
    </x:row>
    <x:row r="1705" ht="19" customHeight="1">
      <x:c r="A1705" s="2" t="str">
        <x:v>SIM-E2-MP-L7-R07</x:v>
      </x:c>
      <x:c r="B1705" s="2" t="n">
        <x:v>4</x:v>
      </x:c>
      <x:c r="C1705" s="2" t="str">
        <x:v>MP</x:v>
      </x:c>
      <x:c r="D1705" s="2" t="str">
        <x:v>Myzus persicae</x:v>
      </x:c>
      <x:c r="E1705" s="2" t="str">
        <x:v>L7</x:v>
      </x:c>
      <x:c r="F1705" s="2" t="n">
        <x:v>7</x:v>
      </x:c>
      <x:c r="G1705" s="2" t="n">
        <x:v>23</x:v>
      </x:c>
      <x:c r="H1705" s="2" t="n">
        <x:f>G1705+Supuestos!$C$15</x:f>
        <x:v>24</x:v>
      </x:c>
      <x:c r="I1705" s="14" t="n">
        <x:f>E2_plantas!J42+G1705</x:f>
        <x:v>46218</x:v>
      </x:c>
      <x:c r="J1705" s="2" t="str">
        <x:v>adulta</x:v>
      </x:c>
      <x:c r="K1705" s="2" t="n">
        <x:v>1</x:v>
      </x:c>
      <x:c r="L1705" s="2" t="n">
        <x:v>2</x:v>
      </x:c>
      <x:c r="M1705" s="2" t="n">
        <x:f>SUM(L$1682:L1705)</x:f>
        <x:v>30</x:v>
      </x:c>
      <x:c r="N1705" s="2" t="n">
        <x:v>0</x:v>
      </x:c>
      <x:c r="O1705" s="2" t="str">
        <x:v>seguimiento</x:v>
      </x:c>
      <x:c r="P1705" s="2" t="n">
        <x:v>0</x:v>
      </x:c>
      <x:c r="Q1705" s="2" t="str">
        <x:v>simulado_didactico</x:v>
      </x:c>
    </x:row>
    <x:row r="1706" ht="19" customHeight="1">
      <x:c r="A1706" s="2" t="str">
        <x:v>SIM-E2-MP-L7-R07</x:v>
      </x:c>
      <x:c r="B1706" s="2" t="n">
        <x:v>4</x:v>
      </x:c>
      <x:c r="C1706" s="2" t="str">
        <x:v>MP</x:v>
      </x:c>
      <x:c r="D1706" s="2" t="str">
        <x:v>Myzus persicae</x:v>
      </x:c>
      <x:c r="E1706" s="2" t="str">
        <x:v>L7</x:v>
      </x:c>
      <x:c r="F1706" s="2" t="n">
        <x:v>7</x:v>
      </x:c>
      <x:c r="G1706" s="2" t="n">
        <x:v>24</x:v>
      </x:c>
      <x:c r="H1706" s="2" t="n">
        <x:f>G1706+Supuestos!$C$15</x:f>
        <x:v>25</x:v>
      </x:c>
      <x:c r="I1706" s="14" t="n">
        <x:f>E2_plantas!J42+G1706</x:f>
        <x:v>46219</x:v>
      </x:c>
      <x:c r="J1706" s="2" t="str">
        <x:v>adulta</x:v>
      </x:c>
      <x:c r="K1706" s="2" t="n">
        <x:v>1</x:v>
      </x:c>
      <x:c r="L1706" s="2" t="n">
        <x:v>1</x:v>
      </x:c>
      <x:c r="M1706" s="2" t="n">
        <x:f>SUM(L$1682:L1706)</x:f>
        <x:v>31</x:v>
      </x:c>
      <x:c r="N1706" s="2" t="n">
        <x:v>0</x:v>
      </x:c>
      <x:c r="O1706" s="2" t="str">
        <x:v>seguimiento</x:v>
      </x:c>
      <x:c r="P1706" s="2" t="n">
        <x:v>0</x:v>
      </x:c>
      <x:c r="Q1706" s="2" t="str">
        <x:v>simulado_didactico</x:v>
      </x:c>
    </x:row>
    <x:row r="1707" ht="19" customHeight="1">
      <x:c r="A1707" s="2" t="str">
        <x:v>SIM-E2-MP-L7-R07</x:v>
      </x:c>
      <x:c r="B1707" s="2" t="n">
        <x:v>4</x:v>
      </x:c>
      <x:c r="C1707" s="2" t="str">
        <x:v>MP</x:v>
      </x:c>
      <x:c r="D1707" s="2" t="str">
        <x:v>Myzus persicae</x:v>
      </x:c>
      <x:c r="E1707" s="2" t="str">
        <x:v>L7</x:v>
      </x:c>
      <x:c r="F1707" s="2" t="n">
        <x:v>7</x:v>
      </x:c>
      <x:c r="G1707" s="2" t="n">
        <x:v>25</x:v>
      </x:c>
      <x:c r="H1707" s="2" t="n">
        <x:f>G1707+Supuestos!$C$15</x:f>
        <x:v>26</x:v>
      </x:c>
      <x:c r="I1707" s="14" t="n">
        <x:f>E2_plantas!J42+G1707</x:f>
        <x:v>46220</x:v>
      </x:c>
      <x:c r="J1707" s="2" t="str">
        <x:v>adulta</x:v>
      </x:c>
      <x:c r="K1707" s="2" t="n">
        <x:v>1</x:v>
      </x:c>
      <x:c r="L1707" s="2" t="n">
        <x:v>1</x:v>
      </x:c>
      <x:c r="M1707" s="2" t="n">
        <x:f>SUM(L$1682:L1707)</x:f>
        <x:v>32</x:v>
      </x:c>
      <x:c r="N1707" s="2" t="n">
        <x:v>0</x:v>
      </x:c>
      <x:c r="O1707" s="2" t="str">
        <x:v>seguimiento</x:v>
      </x:c>
      <x:c r="P1707" s="2" t="n">
        <x:v>0</x:v>
      </x:c>
      <x:c r="Q1707" s="2" t="str">
        <x:v>simulado_didactico</x:v>
      </x:c>
    </x:row>
    <x:row r="1708" ht="19" customHeight="1">
      <x:c r="A1708" s="2" t="str">
        <x:v>SIM-E2-MP-L7-R07</x:v>
      </x:c>
      <x:c r="B1708" s="2" t="n">
        <x:v>4</x:v>
      </x:c>
      <x:c r="C1708" s="2" t="str">
        <x:v>MP</x:v>
      </x:c>
      <x:c r="D1708" s="2" t="str">
        <x:v>Myzus persicae</x:v>
      </x:c>
      <x:c r="E1708" s="2" t="str">
        <x:v>L7</x:v>
      </x:c>
      <x:c r="F1708" s="2" t="n">
        <x:v>7</x:v>
      </x:c>
      <x:c r="G1708" s="2" t="n">
        <x:v>26</x:v>
      </x:c>
      <x:c r="H1708" s="2" t="n">
        <x:f>G1708+Supuestos!$C$15</x:f>
        <x:v>27</x:v>
      </x:c>
      <x:c r="I1708" s="14" t="n">
        <x:f>E2_plantas!J42+G1708</x:f>
        <x:v>46221</x:v>
      </x:c>
      <x:c r="J1708" s="2" t="str">
        <x:v>adulta</x:v>
      </x:c>
      <x:c r="K1708" s="2" t="n">
        <x:v>1</x:v>
      </x:c>
      <x:c r="L1708" s="2" t="n">
        <x:v>1</x:v>
      </x:c>
      <x:c r="M1708" s="2" t="n">
        <x:f>SUM(L$1682:L1708)</x:f>
        <x:v>33</x:v>
      </x:c>
      <x:c r="N1708" s="2" t="n">
        <x:v>0</x:v>
      </x:c>
      <x:c r="O1708" s="2" t="str">
        <x:v>seguimiento</x:v>
      </x:c>
      <x:c r="P1708" s="2" t="n">
        <x:v>0</x:v>
      </x:c>
      <x:c r="Q1708" s="2" t="str">
        <x:v>simulado_didactico</x:v>
      </x:c>
    </x:row>
    <x:row r="1709" ht="19" customHeight="1">
      <x:c r="A1709" s="2" t="str">
        <x:v>SIM-E2-MP-L7-R07</x:v>
      </x:c>
      <x:c r="B1709" s="2" t="n">
        <x:v>4</x:v>
      </x:c>
      <x:c r="C1709" s="2" t="str">
        <x:v>MP</x:v>
      </x:c>
      <x:c r="D1709" s="2" t="str">
        <x:v>Myzus persicae</x:v>
      </x:c>
      <x:c r="E1709" s="2" t="str">
        <x:v>L7</x:v>
      </x:c>
      <x:c r="F1709" s="2" t="n">
        <x:v>7</x:v>
      </x:c>
      <x:c r="G1709" s="2" t="n">
        <x:v>27</x:v>
      </x:c>
      <x:c r="H1709" s="2" t="n">
        <x:f>G1709+Supuestos!$C$15</x:f>
        <x:v>28</x:v>
      </x:c>
      <x:c r="I1709" s="14" t="n">
        <x:f>E2_plantas!J42+G1709</x:f>
        <x:v>46222</x:v>
      </x:c>
      <x:c r="J1709" s="2" t="str">
        <x:v>adulta</x:v>
      </x:c>
      <x:c r="K1709" s="2" t="n">
        <x:v>1</x:v>
      </x:c>
      <x:c r="L1709" s="2" t="n">
        <x:v>0</x:v>
      </x:c>
      <x:c r="M1709" s="2" t="n">
        <x:f>SUM(L$1682:L1709)</x:f>
        <x:v>33</x:v>
      </x:c>
      <x:c r="N1709" s="2" t="n">
        <x:v>0</x:v>
      </x:c>
      <x:c r="O1709" s="2" t="str">
        <x:v>seguimiento</x:v>
      </x:c>
      <x:c r="P1709" s="2" t="n">
        <x:v>0</x:v>
      </x:c>
      <x:c r="Q1709" s="2" t="str">
        <x:v>simulado_didactico</x:v>
      </x:c>
    </x:row>
    <x:row r="1710" ht="19" customHeight="1">
      <x:c r="A1710" s="2" t="str">
        <x:v>SIM-E2-MP-L7-R07</x:v>
      </x:c>
      <x:c r="B1710" s="2" t="n">
        <x:v>4</x:v>
      </x:c>
      <x:c r="C1710" s="2" t="str">
        <x:v>MP</x:v>
      </x:c>
      <x:c r="D1710" s="2" t="str">
        <x:v>Myzus persicae</x:v>
      </x:c>
      <x:c r="E1710" s="2" t="str">
        <x:v>L7</x:v>
      </x:c>
      <x:c r="F1710" s="2" t="n">
        <x:v>7</x:v>
      </x:c>
      <x:c r="G1710" s="2" t="n">
        <x:v>28</x:v>
      </x:c>
      <x:c r="H1710" s="2" t="n">
        <x:f>G1710+Supuestos!$C$15</x:f>
        <x:v>29</x:v>
      </x:c>
      <x:c r="I1710" s="14" t="n">
        <x:f>E2_plantas!J42+G1710</x:f>
        <x:v>46223</x:v>
      </x:c>
      <x:c r="J1710" s="2" t="str">
        <x:v>muerta</x:v>
      </x:c>
      <x:c r="K1710" s="2" t="n">
        <x:v>0</x:v>
      </x:c>
      <x:c r="L1710" s="2" t="n">
        <x:v>0</x:v>
      </x:c>
      <x:c r="M1710" s="2" t="n">
        <x:f>SUM(L$1682:L1710)</x:f>
        <x:v>33</x:v>
      </x:c>
      <x:c r="N1710" s="2" t="n">
        <x:v>1</x:v>
      </x:c>
      <x:c r="O1710" s="2" t="str">
        <x:v>muerte</x:v>
      </x:c>
      <x:c r="P1710" s="2" t="n">
        <x:v>0</x:v>
      </x:c>
      <x:c r="Q1710" s="2" t="str">
        <x:v>simulado_didactico</x:v>
      </x:c>
    </x:row>
    <x:row r="1711" ht="19" customHeight="1">
      <x:c r="A1711" s="2" t="str">
        <x:v>SIM-E2-MP-L7-R07</x:v>
      </x:c>
      <x:c r="B1711" s="2" t="n">
        <x:v>4</x:v>
      </x:c>
      <x:c r="C1711" s="2" t="str">
        <x:v>MP</x:v>
      </x:c>
      <x:c r="D1711" s="2" t="str">
        <x:v>Myzus persicae</x:v>
      </x:c>
      <x:c r="E1711" s="2" t="str">
        <x:v>L7</x:v>
      </x:c>
      <x:c r="F1711" s="2" t="n">
        <x:v>7</x:v>
      </x:c>
      <x:c r="G1711" s="2" t="n">
        <x:v>29</x:v>
      </x:c>
      <x:c r="H1711" s="2" t="n">
        <x:f>G1711+Supuestos!$C$15</x:f>
        <x:v>30</x:v>
      </x:c>
      <x:c r="I1711" s="14" t="n">
        <x:f>E2_plantas!J42+G1711</x:f>
        <x:v>46224</x:v>
      </x:c>
      <x:c r="J1711" s="2" t="str">
        <x:v>muerta</x:v>
      </x:c>
      <x:c r="K1711" s="2" t="n">
        <x:v>0</x:v>
      </x:c>
      <x:c r="L1711" s="2" t="n">
        <x:v>0</x:v>
      </x:c>
      <x:c r="M1711" s="2" t="n">
        <x:f>SUM(L$1682:L1711)</x:f>
        <x:v>33</x:v>
      </x:c>
      <x:c r="N1711" s="2" t="n">
        <x:v>0</x:v>
      </x:c>
      <x:c r="O1711" s="2" t="str">
        <x:v>relleno_postmuerte</x:v>
      </x:c>
      <x:c r="P1711" s="2" t="n">
        <x:v>0</x:v>
      </x:c>
      <x:c r="Q1711" s="2" t="str">
        <x:v>simulado_didactico</x:v>
      </x:c>
    </x:row>
    <x:row r="1712" ht="19" customHeight="1">
      <x:c r="A1712" s="2" t="str">
        <x:v>SIM-E2-MP-L7-R07</x:v>
      </x:c>
      <x:c r="B1712" s="2" t="n">
        <x:v>4</x:v>
      </x:c>
      <x:c r="C1712" s="2" t="str">
        <x:v>MP</x:v>
      </x:c>
      <x:c r="D1712" s="2" t="str">
        <x:v>Myzus persicae</x:v>
      </x:c>
      <x:c r="E1712" s="2" t="str">
        <x:v>L7</x:v>
      </x:c>
      <x:c r="F1712" s="2" t="n">
        <x:v>7</x:v>
      </x:c>
      <x:c r="G1712" s="2" t="n">
        <x:v>30</x:v>
      </x:c>
      <x:c r="H1712" s="2" t="n">
        <x:f>G1712+Supuestos!$C$15</x:f>
        <x:v>31</x:v>
      </x:c>
      <x:c r="I1712" s="14" t="n">
        <x:f>E2_plantas!J42+G1712</x:f>
        <x:v>46225</x:v>
      </x:c>
      <x:c r="J1712" s="2" t="str">
        <x:v>muerta</x:v>
      </x:c>
      <x:c r="K1712" s="2" t="n">
        <x:v>0</x:v>
      </x:c>
      <x:c r="L1712" s="2" t="n">
        <x:v>0</x:v>
      </x:c>
      <x:c r="M1712" s="2" t="n">
        <x:f>SUM(L$1682:L1712)</x:f>
        <x:v>33</x:v>
      </x:c>
      <x:c r="N1712" s="2" t="n">
        <x:v>0</x:v>
      </x:c>
      <x:c r="O1712" s="2" t="str">
        <x:v>relleno_postmuerte</x:v>
      </x:c>
      <x:c r="P1712" s="2" t="n">
        <x:v>0</x:v>
      </x:c>
      <x:c r="Q1712" s="2" t="str">
        <x:v>simulado_didactico</x:v>
      </x:c>
    </x:row>
    <x:row r="1713" ht="19" customHeight="1">
      <x:c r="A1713" s="2" t="str">
        <x:v>SIM-E2-MP-L7-R07</x:v>
      </x:c>
      <x:c r="B1713" s="2" t="n">
        <x:v>4</x:v>
      </x:c>
      <x:c r="C1713" s="2" t="str">
        <x:v>MP</x:v>
      </x:c>
      <x:c r="D1713" s="2" t="str">
        <x:v>Myzus persicae</x:v>
      </x:c>
      <x:c r="E1713" s="2" t="str">
        <x:v>L7</x:v>
      </x:c>
      <x:c r="F1713" s="2" t="n">
        <x:v>7</x:v>
      </x:c>
      <x:c r="G1713" s="2" t="n">
        <x:v>31</x:v>
      </x:c>
      <x:c r="H1713" s="2" t="n">
        <x:f>G1713+Supuestos!$C$15</x:f>
        <x:v>32</x:v>
      </x:c>
      <x:c r="I1713" s="14" t="n">
        <x:f>E2_plantas!J42+G1713</x:f>
        <x:v>46226</x:v>
      </x:c>
      <x:c r="J1713" s="2" t="str">
        <x:v>muerta</x:v>
      </x:c>
      <x:c r="K1713" s="2" t="n">
        <x:v>0</x:v>
      </x:c>
      <x:c r="L1713" s="2" t="n">
        <x:v>0</x:v>
      </x:c>
      <x:c r="M1713" s="2" t="n">
        <x:f>SUM(L$1682:L1713)</x:f>
        <x:v>33</x:v>
      </x:c>
      <x:c r="N1713" s="2" t="n">
        <x:v>0</x:v>
      </x:c>
      <x:c r="O1713" s="2" t="str">
        <x:v>relleno_postmuerte</x:v>
      </x:c>
      <x:c r="P1713" s="2" t="n">
        <x:v>0</x:v>
      </x:c>
      <x:c r="Q1713" s="2" t="str">
        <x:v>simulado_didactico</x:v>
      </x:c>
    </x:row>
    <x:row r="1714" ht="19" customHeight="1">
      <x:c r="A1714" s="2" t="str">
        <x:v>SIM-E2-MP-L7-R07</x:v>
      </x:c>
      <x:c r="B1714" s="2" t="n">
        <x:v>4</x:v>
      </x:c>
      <x:c r="C1714" s="2" t="str">
        <x:v>MP</x:v>
      </x:c>
      <x:c r="D1714" s="2" t="str">
        <x:v>Myzus persicae</x:v>
      </x:c>
      <x:c r="E1714" s="2" t="str">
        <x:v>L7</x:v>
      </x:c>
      <x:c r="F1714" s="2" t="n">
        <x:v>7</x:v>
      </x:c>
      <x:c r="G1714" s="2" t="n">
        <x:v>32</x:v>
      </x:c>
      <x:c r="H1714" s="2" t="n">
        <x:f>G1714+Supuestos!$C$15</x:f>
        <x:v>33</x:v>
      </x:c>
      <x:c r="I1714" s="14" t="n">
        <x:f>E2_plantas!J42+G1714</x:f>
        <x:v>46227</x:v>
      </x:c>
      <x:c r="J1714" s="2" t="str">
        <x:v>muerta</x:v>
      </x:c>
      <x:c r="K1714" s="2" t="n">
        <x:v>0</x:v>
      </x:c>
      <x:c r="L1714" s="2" t="n">
        <x:v>0</x:v>
      </x:c>
      <x:c r="M1714" s="2" t="n">
        <x:f>SUM(L$1682:L1714)</x:f>
        <x:v>33</x:v>
      </x:c>
      <x:c r="N1714" s="2" t="n">
        <x:v>0</x:v>
      </x:c>
      <x:c r="O1714" s="2" t="str">
        <x:v>relleno_postmuerte</x:v>
      </x:c>
      <x:c r="P1714" s="2" t="n">
        <x:v>0</x:v>
      </x:c>
      <x:c r="Q1714" s="2" t="str">
        <x:v>simulado_didactico</x:v>
      </x:c>
    </x:row>
    <x:row r="1715" ht="19" customHeight="1">
      <x:c r="A1715" s="2" t="str">
        <x:v>SIM-E2-MP-L7-R07</x:v>
      </x:c>
      <x:c r="B1715" s="2" t="n">
        <x:v>4</x:v>
      </x:c>
      <x:c r="C1715" s="2" t="str">
        <x:v>MP</x:v>
      </x:c>
      <x:c r="D1715" s="2" t="str">
        <x:v>Myzus persicae</x:v>
      </x:c>
      <x:c r="E1715" s="2" t="str">
        <x:v>L7</x:v>
      </x:c>
      <x:c r="F1715" s="2" t="n">
        <x:v>7</x:v>
      </x:c>
      <x:c r="G1715" s="2" t="n">
        <x:v>33</x:v>
      </x:c>
      <x:c r="H1715" s="2" t="n">
        <x:f>G1715+Supuestos!$C$15</x:f>
        <x:v>34</x:v>
      </x:c>
      <x:c r="I1715" s="14" t="n">
        <x:f>E2_plantas!J42+G1715</x:f>
        <x:v>46228</x:v>
      </x:c>
      <x:c r="J1715" s="2" t="str">
        <x:v>muerta</x:v>
      </x:c>
      <x:c r="K1715" s="2" t="n">
        <x:v>0</x:v>
      </x:c>
      <x:c r="L1715" s="2" t="n">
        <x:v>0</x:v>
      </x:c>
      <x:c r="M1715" s="2" t="n">
        <x:f>SUM(L$1682:L1715)</x:f>
        <x:v>33</x:v>
      </x:c>
      <x:c r="N1715" s="2" t="n">
        <x:v>0</x:v>
      </x:c>
      <x:c r="O1715" s="2" t="str">
        <x:v>relleno_postmuerte</x:v>
      </x:c>
      <x:c r="P1715" s="2" t="n">
        <x:v>0</x:v>
      </x:c>
      <x:c r="Q1715" s="2" t="str">
        <x:v>simulado_didactico</x:v>
      </x:c>
    </x:row>
    <x:row r="1716" ht="19" customHeight="1">
      <x:c r="A1716" s="2" t="str">
        <x:v>SIM-E2-MP-L7-R07</x:v>
      </x:c>
      <x:c r="B1716" s="2" t="n">
        <x:v>4</x:v>
      </x:c>
      <x:c r="C1716" s="2" t="str">
        <x:v>MP</x:v>
      </x:c>
      <x:c r="D1716" s="2" t="str">
        <x:v>Myzus persicae</x:v>
      </x:c>
      <x:c r="E1716" s="2" t="str">
        <x:v>L7</x:v>
      </x:c>
      <x:c r="F1716" s="2" t="n">
        <x:v>7</x:v>
      </x:c>
      <x:c r="G1716" s="2" t="n">
        <x:v>34</x:v>
      </x:c>
      <x:c r="H1716" s="2" t="n">
        <x:f>G1716+Supuestos!$C$15</x:f>
        <x:v>35</x:v>
      </x:c>
      <x:c r="I1716" s="14" t="n">
        <x:f>E2_plantas!J42+G1716</x:f>
        <x:v>46229</x:v>
      </x:c>
      <x:c r="J1716" s="2" t="str">
        <x:v>muerta</x:v>
      </x:c>
      <x:c r="K1716" s="2" t="n">
        <x:v>0</x:v>
      </x:c>
      <x:c r="L1716" s="2" t="n">
        <x:v>0</x:v>
      </x:c>
      <x:c r="M1716" s="2" t="n">
        <x:f>SUM(L$1682:L1716)</x:f>
        <x:v>33</x:v>
      </x:c>
      <x:c r="N1716" s="2" t="n">
        <x:v>0</x:v>
      </x:c>
      <x:c r="O1716" s="2" t="str">
        <x:v>relleno_postmuerte</x:v>
      </x:c>
      <x:c r="P1716" s="2" t="n">
        <x:v>0</x:v>
      </x:c>
      <x:c r="Q1716" s="2" t="str">
        <x:v>simulado_didactico</x:v>
      </x:c>
    </x:row>
    <x:row r="1717" ht="19" customHeight="1">
      <x:c r="A1717" s="2" t="str">
        <x:v>SIM-E2-MP-L7-R07</x:v>
      </x:c>
      <x:c r="B1717" s="2" t="n">
        <x:v>4</x:v>
      </x:c>
      <x:c r="C1717" s="2" t="str">
        <x:v>MP</x:v>
      </x:c>
      <x:c r="D1717" s="2" t="str">
        <x:v>Myzus persicae</x:v>
      </x:c>
      <x:c r="E1717" s="2" t="str">
        <x:v>L7</x:v>
      </x:c>
      <x:c r="F1717" s="2" t="n">
        <x:v>7</x:v>
      </x:c>
      <x:c r="G1717" s="2" t="n">
        <x:v>35</x:v>
      </x:c>
      <x:c r="H1717" s="2" t="n">
        <x:f>G1717+Supuestos!$C$15</x:f>
        <x:v>36</x:v>
      </x:c>
      <x:c r="I1717" s="14" t="n">
        <x:f>E2_plantas!J42+G1717</x:f>
        <x:v>46230</x:v>
      </x:c>
      <x:c r="J1717" s="2" t="str">
        <x:v>muerta</x:v>
      </x:c>
      <x:c r="K1717" s="2" t="n">
        <x:v>0</x:v>
      </x:c>
      <x:c r="L1717" s="2" t="n">
        <x:v>0</x:v>
      </x:c>
      <x:c r="M1717" s="2" t="n">
        <x:f>SUM(L$1682:L1717)</x:f>
        <x:v>33</x:v>
      </x:c>
      <x:c r="N1717" s="2" t="n">
        <x:v>0</x:v>
      </x:c>
      <x:c r="O1717" s="2" t="str">
        <x:v>relleno_postmuerte</x:v>
      </x:c>
      <x:c r="P1717" s="2" t="n">
        <x:v>0</x:v>
      </x:c>
      <x:c r="Q1717" s="2" t="str">
        <x:v>simulado_didactico</x:v>
      </x:c>
    </x:row>
    <x:row r="1718" ht="19" customHeight="1">
      <x:c r="A1718" s="2" t="str">
        <x:v>SIM-E2-MP-L7-R07</x:v>
      </x:c>
      <x:c r="B1718" s="2" t="n">
        <x:v>4</x:v>
      </x:c>
      <x:c r="C1718" s="2" t="str">
        <x:v>MP</x:v>
      </x:c>
      <x:c r="D1718" s="2" t="str">
        <x:v>Myzus persicae</x:v>
      </x:c>
      <x:c r="E1718" s="2" t="str">
        <x:v>L7</x:v>
      </x:c>
      <x:c r="F1718" s="2" t="n">
        <x:v>7</x:v>
      </x:c>
      <x:c r="G1718" s="2" t="n">
        <x:v>36</x:v>
      </x:c>
      <x:c r="H1718" s="2" t="n">
        <x:f>G1718+Supuestos!$C$15</x:f>
        <x:v>37</x:v>
      </x:c>
      <x:c r="I1718" s="14" t="n">
        <x:f>E2_plantas!J42+G1718</x:f>
        <x:v>46231</x:v>
      </x:c>
      <x:c r="J1718" s="2" t="str">
        <x:v>muerta</x:v>
      </x:c>
      <x:c r="K1718" s="2" t="n">
        <x:v>0</x:v>
      </x:c>
      <x:c r="L1718" s="2" t="n">
        <x:v>0</x:v>
      </x:c>
      <x:c r="M1718" s="2" t="n">
        <x:f>SUM(L$1682:L1718)</x:f>
        <x:v>33</x:v>
      </x:c>
      <x:c r="N1718" s="2" t="n">
        <x:v>0</x:v>
      </x:c>
      <x:c r="O1718" s="2" t="str">
        <x:v>relleno_postmuerte</x:v>
      </x:c>
      <x:c r="P1718" s="2" t="n">
        <x:v>0</x:v>
      </x:c>
      <x:c r="Q1718" s="2" t="str">
        <x:v>simulado_didactico</x:v>
      </x:c>
    </x:row>
    <x:row r="1719" ht="19" customHeight="1">
      <x:c r="A1719" s="2" t="str">
        <x:v>SIM-E2-MP-L7-R07</x:v>
      </x:c>
      <x:c r="B1719" s="2" t="n">
        <x:v>4</x:v>
      </x:c>
      <x:c r="C1719" s="2" t="str">
        <x:v>MP</x:v>
      </x:c>
      <x:c r="D1719" s="2" t="str">
        <x:v>Myzus persicae</x:v>
      </x:c>
      <x:c r="E1719" s="2" t="str">
        <x:v>L7</x:v>
      </x:c>
      <x:c r="F1719" s="2" t="n">
        <x:v>7</x:v>
      </x:c>
      <x:c r="G1719" s="2" t="n">
        <x:v>37</x:v>
      </x:c>
      <x:c r="H1719" s="2" t="n">
        <x:f>G1719+Supuestos!$C$15</x:f>
        <x:v>38</x:v>
      </x:c>
      <x:c r="I1719" s="14" t="n">
        <x:f>E2_plantas!J42+G1719</x:f>
        <x:v>46232</x:v>
      </x:c>
      <x:c r="J1719" s="2" t="str">
        <x:v>muerta</x:v>
      </x:c>
      <x:c r="K1719" s="2" t="n">
        <x:v>0</x:v>
      </x:c>
      <x:c r="L1719" s="2" t="n">
        <x:v>0</x:v>
      </x:c>
      <x:c r="M1719" s="2" t="n">
        <x:f>SUM(L$1682:L1719)</x:f>
        <x:v>33</x:v>
      </x:c>
      <x:c r="N1719" s="2" t="n">
        <x:v>0</x:v>
      </x:c>
      <x:c r="O1719" s="2" t="str">
        <x:v>relleno_postmuerte</x:v>
      </x:c>
      <x:c r="P1719" s="2" t="n">
        <x:v>0</x:v>
      </x:c>
      <x:c r="Q1719" s="2" t="str">
        <x:v>simulado_didactico</x:v>
      </x:c>
    </x:row>
    <x:row r="1720" ht="19" customHeight="1">
      <x:c r="A1720" s="2" t="str">
        <x:v>SIM-E2-MP-L7-R07</x:v>
      </x:c>
      <x:c r="B1720" s="2" t="n">
        <x:v>4</x:v>
      </x:c>
      <x:c r="C1720" s="2" t="str">
        <x:v>MP</x:v>
      </x:c>
      <x:c r="D1720" s="2" t="str">
        <x:v>Myzus persicae</x:v>
      </x:c>
      <x:c r="E1720" s="2" t="str">
        <x:v>L7</x:v>
      </x:c>
      <x:c r="F1720" s="2" t="n">
        <x:v>7</x:v>
      </x:c>
      <x:c r="G1720" s="2" t="n">
        <x:v>38</x:v>
      </x:c>
      <x:c r="H1720" s="2" t="n">
        <x:f>G1720+Supuestos!$C$15</x:f>
        <x:v>39</x:v>
      </x:c>
      <x:c r="I1720" s="14" t="n">
        <x:f>E2_plantas!J42+G1720</x:f>
        <x:v>46233</x:v>
      </x:c>
      <x:c r="J1720" s="2" t="str">
        <x:v>muerta</x:v>
      </x:c>
      <x:c r="K1720" s="2" t="n">
        <x:v>0</x:v>
      </x:c>
      <x:c r="L1720" s="2" t="n">
        <x:v>0</x:v>
      </x:c>
      <x:c r="M1720" s="2" t="n">
        <x:f>SUM(L$1682:L1720)</x:f>
        <x:v>33</x:v>
      </x:c>
      <x:c r="N1720" s="2" t="n">
        <x:v>0</x:v>
      </x:c>
      <x:c r="O1720" s="2" t="str">
        <x:v>relleno_postmuerte</x:v>
      </x:c>
      <x:c r="P1720" s="2" t="n">
        <x:v>0</x:v>
      </x:c>
      <x:c r="Q1720" s="2" t="str">
        <x:v>simulado_didactico</x:v>
      </x:c>
    </x:row>
    <x:row r="1721" ht="19" customHeight="1">
      <x:c r="A1721" s="2" t="str">
        <x:v>SIM-E2-MP-L7-R07</x:v>
      </x:c>
      <x:c r="B1721" s="2" t="n">
        <x:v>4</x:v>
      </x:c>
      <x:c r="C1721" s="2" t="str">
        <x:v>MP</x:v>
      </x:c>
      <x:c r="D1721" s="2" t="str">
        <x:v>Myzus persicae</x:v>
      </x:c>
      <x:c r="E1721" s="2" t="str">
        <x:v>L7</x:v>
      </x:c>
      <x:c r="F1721" s="2" t="n">
        <x:v>7</x:v>
      </x:c>
      <x:c r="G1721" s="2" t="n">
        <x:v>39</x:v>
      </x:c>
      <x:c r="H1721" s="2" t="n">
        <x:f>G1721+Supuestos!$C$15</x:f>
        <x:v>40</x:v>
      </x:c>
      <x:c r="I1721" s="14" t="n">
        <x:f>E2_plantas!J42+G1721</x:f>
        <x:v>46234</x:v>
      </x:c>
      <x:c r="J1721" s="2" t="str">
        <x:v>muerta</x:v>
      </x:c>
      <x:c r="K1721" s="2" t="n">
        <x:v>0</x:v>
      </x:c>
      <x:c r="L1721" s="2" t="n">
        <x:v>0</x:v>
      </x:c>
      <x:c r="M1721" s="2" t="n">
        <x:f>SUM(L$1682:L1721)</x:f>
        <x:v>33</x:v>
      </x:c>
      <x:c r="N1721" s="2" t="n">
        <x:v>0</x:v>
      </x:c>
      <x:c r="O1721" s="2" t="str">
        <x:v>relleno_postmuerte</x:v>
      </x:c>
      <x:c r="P1721" s="2" t="n">
        <x:v>0</x:v>
      </x:c>
      <x:c r="Q1721" s="2" t="str">
        <x:v>simulado_didactico</x:v>
      </x:c>
    </x:row>
    <x:row r="1722" ht="19" customHeight="1">
      <x:c r="A1722" s="2" t="str">
        <x:v>SIM-E2-MP-L7-R07</x:v>
      </x:c>
      <x:c r="B1722" s="2" t="n">
        <x:v>4</x:v>
      </x:c>
      <x:c r="C1722" s="2" t="str">
        <x:v>MP</x:v>
      </x:c>
      <x:c r="D1722" s="2" t="str">
        <x:v>Myzus persicae</x:v>
      </x:c>
      <x:c r="E1722" s="2" t="str">
        <x:v>L7</x:v>
      </x:c>
      <x:c r="F1722" s="2" t="n">
        <x:v>7</x:v>
      </x:c>
      <x:c r="G1722" s="2" t="n">
        <x:v>40</x:v>
      </x:c>
      <x:c r="H1722" s="2" t="n">
        <x:f>G1722+Supuestos!$C$15</x:f>
        <x:v>41</x:v>
      </x:c>
      <x:c r="I1722" s="14" t="n">
        <x:f>E2_plantas!J42+G1722</x:f>
        <x:v>46235</x:v>
      </x:c>
      <x:c r="J1722" s="2" t="str">
        <x:v>muerta</x:v>
      </x:c>
      <x:c r="K1722" s="2" t="n">
        <x:v>0</x:v>
      </x:c>
      <x:c r="L1722" s="2" t="n">
        <x:v>0</x:v>
      </x:c>
      <x:c r="M1722" s="2" t="n">
        <x:f>SUM(L$1682:L1722)</x:f>
        <x:v>33</x:v>
      </x:c>
      <x:c r="N1722" s="2" t="n">
        <x:v>0</x:v>
      </x:c>
      <x:c r="O1722" s="2" t="str">
        <x:v>relleno_postmuerte</x:v>
      </x:c>
      <x:c r="P1722" s="2" t="n">
        <x:v>0</x:v>
      </x:c>
      <x:c r="Q1722" s="2" t="str">
        <x:v>simulado_didactico</x:v>
      </x:c>
    </x:row>
    <x:row r="1723" ht="19" customHeight="1">
      <x:c r="A1723" s="2" t="str">
        <x:v>SIM-E2-MP-L7-R07</x:v>
      </x:c>
      <x:c r="B1723" s="2" t="n">
        <x:v>4</x:v>
      </x:c>
      <x:c r="C1723" s="2" t="str">
        <x:v>MP</x:v>
      </x:c>
      <x:c r="D1723" s="2" t="str">
        <x:v>Myzus persicae</x:v>
      </x:c>
      <x:c r="E1723" s="2" t="str">
        <x:v>L7</x:v>
      </x:c>
      <x:c r="F1723" s="2" t="n">
        <x:v>7</x:v>
      </x:c>
      <x:c r="G1723" s="2" t="n">
        <x:v>41</x:v>
      </x:c>
      <x:c r="H1723" s="2" t="n">
        <x:f>G1723+Supuestos!$C$15</x:f>
        <x:v>42</x:v>
      </x:c>
      <x:c r="I1723" s="14" t="n">
        <x:f>E2_plantas!J42+G1723</x:f>
        <x:v>46236</x:v>
      </x:c>
      <x:c r="J1723" s="2" t="str">
        <x:v>muerta</x:v>
      </x:c>
      <x:c r="K1723" s="2" t="n">
        <x:v>0</x:v>
      </x:c>
      <x:c r="L1723" s="2" t="n">
        <x:v>0</x:v>
      </x:c>
      <x:c r="M1723" s="2" t="n">
        <x:f>SUM(L$1682:L1723)</x:f>
        <x:v>33</x:v>
      </x:c>
      <x:c r="N1723" s="2" t="n">
        <x:v>0</x:v>
      </x:c>
      <x:c r="O1723" s="2" t="str">
        <x:v>relleno_postmuerte</x:v>
      </x:c>
      <x:c r="P1723" s="2" t="n">
        <x:v>0</x:v>
      </x:c>
      <x:c r="Q1723" s="2" t="str">
        <x:v>simulado_didactico</x:v>
      </x:c>
    </x:row>
    <x:row r="1724" ht="19" customHeight="1">
      <x:c r="A1724" s="2" t="str">
        <x:v>SIM-E2-MP-L7-R08</x:v>
      </x:c>
      <x:c r="B1724" s="2" t="n">
        <x:v>4</x:v>
      </x:c>
      <x:c r="C1724" s="2" t="str">
        <x:v>MP</x:v>
      </x:c>
      <x:c r="D1724" s="2" t="str">
        <x:v>Myzus persicae</x:v>
      </x:c>
      <x:c r="E1724" s="2" t="str">
        <x:v>L7</x:v>
      </x:c>
      <x:c r="F1724" s="2" t="n">
        <x:v>8</x:v>
      </x:c>
      <x:c r="G1724" s="2" t="n">
        <x:v>0</x:v>
      </x:c>
      <x:c r="H1724" s="2" t="n">
        <x:f>G1724+Supuestos!$C$15</x:f>
        <x:v>1</x:v>
      </x:c>
      <x:c r="I1724" s="14" t="n">
        <x:f>E2_plantas!J43+G1724</x:f>
        <x:v>46195</x:v>
      </x:c>
      <x:c r="J1724" s="2" t="str">
        <x:v>N1</x:v>
      </x:c>
      <x:c r="K1724" s="2" t="n">
        <x:v>1</x:v>
      </x:c>
      <x:c r="L1724" s="2" t="n">
        <x:v>0</x:v>
      </x:c>
      <x:c r="M1724" s="2" t="n">
        <x:f>SUM(L$1724:L1724)</x:f>
        <x:v>0</x:v>
      </x:c>
      <x:c r="N1724" s="2" t="n">
        <x:v>0</x:v>
      </x:c>
      <x:c r="O1724" s="2" t="str">
        <x:v>seguimiento</x:v>
      </x:c>
      <x:c r="P1724" s="2" t="n">
        <x:v>0</x:v>
      </x:c>
      <x:c r="Q1724" s="2" t="str">
        <x:v>simulado_didactico</x:v>
      </x:c>
    </x:row>
    <x:row r="1725" ht="19" customHeight="1">
      <x:c r="A1725" s="2" t="str">
        <x:v>SIM-E2-MP-L7-R08</x:v>
      </x:c>
      <x:c r="B1725" s="2" t="n">
        <x:v>4</x:v>
      </x:c>
      <x:c r="C1725" s="2" t="str">
        <x:v>MP</x:v>
      </x:c>
      <x:c r="D1725" s="2" t="str">
        <x:v>Myzus persicae</x:v>
      </x:c>
      <x:c r="E1725" s="2" t="str">
        <x:v>L7</x:v>
      </x:c>
      <x:c r="F1725" s="2" t="n">
        <x:v>8</x:v>
      </x:c>
      <x:c r="G1725" s="2" t="n">
        <x:v>1</x:v>
      </x:c>
      <x:c r="H1725" s="2" t="n">
        <x:f>G1725+Supuestos!$C$15</x:f>
        <x:v>2</x:v>
      </x:c>
      <x:c r="I1725" s="14" t="n">
        <x:f>E2_plantas!J43+G1725</x:f>
        <x:v>46196</x:v>
      </x:c>
      <x:c r="J1725" s="2" t="str">
        <x:v>N1</x:v>
      </x:c>
      <x:c r="K1725" s="2" t="n">
        <x:v>1</x:v>
      </x:c>
      <x:c r="L1725" s="2" t="n">
        <x:v>0</x:v>
      </x:c>
      <x:c r="M1725" s="2" t="n">
        <x:f>SUM(L$1724:L1725)</x:f>
        <x:v>0</x:v>
      </x:c>
      <x:c r="N1725" s="2" t="n">
        <x:v>0</x:v>
      </x:c>
      <x:c r="O1725" s="2" t="str">
        <x:v>seguimiento</x:v>
      </x:c>
      <x:c r="P1725" s="2" t="n">
        <x:v>0</x:v>
      </x:c>
      <x:c r="Q1725" s="2" t="str">
        <x:v>simulado_didactico</x:v>
      </x:c>
    </x:row>
    <x:row r="1726" ht="19" customHeight="1">
      <x:c r="A1726" s="2" t="str">
        <x:v>SIM-E2-MP-L7-R08</x:v>
      </x:c>
      <x:c r="B1726" s="2" t="n">
        <x:v>4</x:v>
      </x:c>
      <x:c r="C1726" s="2" t="str">
        <x:v>MP</x:v>
      </x:c>
      <x:c r="D1726" s="2" t="str">
        <x:v>Myzus persicae</x:v>
      </x:c>
      <x:c r="E1726" s="2" t="str">
        <x:v>L7</x:v>
      </x:c>
      <x:c r="F1726" s="2" t="n">
        <x:v>8</x:v>
      </x:c>
      <x:c r="G1726" s="2" t="n">
        <x:v>2</x:v>
      </x:c>
      <x:c r="H1726" s="2" t="n">
        <x:f>G1726+Supuestos!$C$15</x:f>
        <x:v>3</x:v>
      </x:c>
      <x:c r="I1726" s="14" t="n">
        <x:f>E2_plantas!J43+G1726</x:f>
        <x:v>46197</x:v>
      </x:c>
      <x:c r="J1726" s="2" t="str">
        <x:v>N1</x:v>
      </x:c>
      <x:c r="K1726" s="2" t="n">
        <x:v>1</x:v>
      </x:c>
      <x:c r="L1726" s="2" t="n">
        <x:v>0</x:v>
      </x:c>
      <x:c r="M1726" s="2" t="n">
        <x:f>SUM(L$1724:L1726)</x:f>
        <x:v>0</x:v>
      </x:c>
      <x:c r="N1726" s="2" t="n">
        <x:v>0</x:v>
      </x:c>
      <x:c r="O1726" s="2" t="str">
        <x:v>seguimiento</x:v>
      </x:c>
      <x:c r="P1726" s="2" t="n">
        <x:v>0</x:v>
      </x:c>
      <x:c r="Q1726" s="2" t="str">
        <x:v>simulado_didactico</x:v>
      </x:c>
    </x:row>
    <x:row r="1727" ht="19" customHeight="1">
      <x:c r="A1727" s="2" t="str">
        <x:v>SIM-E2-MP-L7-R08</x:v>
      </x:c>
      <x:c r="B1727" s="2" t="n">
        <x:v>4</x:v>
      </x:c>
      <x:c r="C1727" s="2" t="str">
        <x:v>MP</x:v>
      </x:c>
      <x:c r="D1727" s="2" t="str">
        <x:v>Myzus persicae</x:v>
      </x:c>
      <x:c r="E1727" s="2" t="str">
        <x:v>L7</x:v>
      </x:c>
      <x:c r="F1727" s="2" t="n">
        <x:v>8</x:v>
      </x:c>
      <x:c r="G1727" s="2" t="n">
        <x:v>3</x:v>
      </x:c>
      <x:c r="H1727" s="2" t="n">
        <x:f>G1727+Supuestos!$C$15</x:f>
        <x:v>4</x:v>
      </x:c>
      <x:c r="I1727" s="14" t="n">
        <x:f>E2_plantas!J43+G1727</x:f>
        <x:v>46198</x:v>
      </x:c>
      <x:c r="J1727" s="2" t="str">
        <x:v>N1</x:v>
      </x:c>
      <x:c r="K1727" s="2" t="n">
        <x:v>1</x:v>
      </x:c>
      <x:c r="L1727" s="2" t="n">
        <x:v>0</x:v>
      </x:c>
      <x:c r="M1727" s="2" t="n">
        <x:f>SUM(L$1724:L1727)</x:f>
        <x:v>0</x:v>
      </x:c>
      <x:c r="N1727" s="2" t="n">
        <x:v>0</x:v>
      </x:c>
      <x:c r="O1727" s="2" t="str">
        <x:v>seguimiento</x:v>
      </x:c>
      <x:c r="P1727" s="2" t="n">
        <x:v>0</x:v>
      </x:c>
      <x:c r="Q1727" s="2" t="str">
        <x:v>simulado_didactico</x:v>
      </x:c>
    </x:row>
    <x:row r="1728" ht="19" customHeight="1">
      <x:c r="A1728" s="2" t="str">
        <x:v>SIM-E2-MP-L7-R08</x:v>
      </x:c>
      <x:c r="B1728" s="2" t="n">
        <x:v>4</x:v>
      </x:c>
      <x:c r="C1728" s="2" t="str">
        <x:v>MP</x:v>
      </x:c>
      <x:c r="D1728" s="2" t="str">
        <x:v>Myzus persicae</x:v>
      </x:c>
      <x:c r="E1728" s="2" t="str">
        <x:v>L7</x:v>
      </x:c>
      <x:c r="F1728" s="2" t="n">
        <x:v>8</x:v>
      </x:c>
      <x:c r="G1728" s="2" t="n">
        <x:v>4</x:v>
      </x:c>
      <x:c r="H1728" s="2" t="n">
        <x:f>G1728+Supuestos!$C$15</x:f>
        <x:v>5</x:v>
      </x:c>
      <x:c r="I1728" s="14" t="n">
        <x:f>E2_plantas!J43+G1728</x:f>
        <x:v>46199</x:v>
      </x:c>
      <x:c r="J1728" s="2" t="str">
        <x:v>N2</x:v>
      </x:c>
      <x:c r="K1728" s="2" t="n">
        <x:v>1</x:v>
      </x:c>
      <x:c r="L1728" s="2" t="n">
        <x:v>0</x:v>
      </x:c>
      <x:c r="M1728" s="2" t="n">
        <x:f>SUM(L$1724:L1728)</x:f>
        <x:v>0</x:v>
      </x:c>
      <x:c r="N1728" s="2" t="n">
        <x:v>0</x:v>
      </x:c>
      <x:c r="O1728" s="2" t="str">
        <x:v>seguimiento</x:v>
      </x:c>
      <x:c r="P1728" s="2" t="n">
        <x:v>0</x:v>
      </x:c>
      <x:c r="Q1728" s="2" t="str">
        <x:v>simulado_didactico</x:v>
      </x:c>
    </x:row>
    <x:row r="1729" ht="19" customHeight="1">
      <x:c r="A1729" s="2" t="str">
        <x:v>SIM-E2-MP-L7-R08</x:v>
      </x:c>
      <x:c r="B1729" s="2" t="n">
        <x:v>4</x:v>
      </x:c>
      <x:c r="C1729" s="2" t="str">
        <x:v>MP</x:v>
      </x:c>
      <x:c r="D1729" s="2" t="str">
        <x:v>Myzus persicae</x:v>
      </x:c>
      <x:c r="E1729" s="2" t="str">
        <x:v>L7</x:v>
      </x:c>
      <x:c r="F1729" s="2" t="n">
        <x:v>8</x:v>
      </x:c>
      <x:c r="G1729" s="2" t="n">
        <x:v>5</x:v>
      </x:c>
      <x:c r="H1729" s="2" t="n">
        <x:f>G1729+Supuestos!$C$15</x:f>
        <x:v>6</x:v>
      </x:c>
      <x:c r="I1729" s="14" t="n">
        <x:f>E2_plantas!J43+G1729</x:f>
        <x:v>46200</x:v>
      </x:c>
      <x:c r="J1729" s="2" t="str">
        <x:v>N2</x:v>
      </x:c>
      <x:c r="K1729" s="2" t="n">
        <x:v>1</x:v>
      </x:c>
      <x:c r="L1729" s="2" t="n">
        <x:v>0</x:v>
      </x:c>
      <x:c r="M1729" s="2" t="n">
        <x:f>SUM(L$1724:L1729)</x:f>
        <x:v>0</x:v>
      </x:c>
      <x:c r="N1729" s="2" t="n">
        <x:v>0</x:v>
      </x:c>
      <x:c r="O1729" s="2" t="str">
        <x:v>seguimiento</x:v>
      </x:c>
      <x:c r="P1729" s="2" t="n">
        <x:v>0</x:v>
      </x:c>
      <x:c r="Q1729" s="2" t="str">
        <x:v>simulado_didactico</x:v>
      </x:c>
    </x:row>
    <x:row r="1730" ht="19" customHeight="1">
      <x:c r="A1730" s="2" t="str">
        <x:v>SIM-E2-MP-L7-R08</x:v>
      </x:c>
      <x:c r="B1730" s="2" t="n">
        <x:v>4</x:v>
      </x:c>
      <x:c r="C1730" s="2" t="str">
        <x:v>MP</x:v>
      </x:c>
      <x:c r="D1730" s="2" t="str">
        <x:v>Myzus persicae</x:v>
      </x:c>
      <x:c r="E1730" s="2" t="str">
        <x:v>L7</x:v>
      </x:c>
      <x:c r="F1730" s="2" t="n">
        <x:v>8</x:v>
      </x:c>
      <x:c r="G1730" s="2" t="n">
        <x:v>6</x:v>
      </x:c>
      <x:c r="H1730" s="2" t="n">
        <x:f>G1730+Supuestos!$C$15</x:f>
        <x:v>7</x:v>
      </x:c>
      <x:c r="I1730" s="14" t="n">
        <x:f>E2_plantas!J43+G1730</x:f>
        <x:v>46201</x:v>
      </x:c>
      <x:c r="J1730" s="2" t="str">
        <x:v>N2</x:v>
      </x:c>
      <x:c r="K1730" s="2" t="n">
        <x:v>1</x:v>
      </x:c>
      <x:c r="L1730" s="2" t="n">
        <x:v>0</x:v>
      </x:c>
      <x:c r="M1730" s="2" t="n">
        <x:f>SUM(L$1724:L1730)</x:f>
        <x:v>0</x:v>
      </x:c>
      <x:c r="N1730" s="2" t="n">
        <x:v>0</x:v>
      </x:c>
      <x:c r="O1730" s="2" t="str">
        <x:v>seguimiento</x:v>
      </x:c>
      <x:c r="P1730" s="2" t="n">
        <x:v>0</x:v>
      </x:c>
      <x:c r="Q1730" s="2" t="str">
        <x:v>simulado_didactico</x:v>
      </x:c>
    </x:row>
    <x:row r="1731" ht="19" customHeight="1">
      <x:c r="A1731" s="2" t="str">
        <x:v>SIM-E2-MP-L7-R08</x:v>
      </x:c>
      <x:c r="B1731" s="2" t="n">
        <x:v>4</x:v>
      </x:c>
      <x:c r="C1731" s="2" t="str">
        <x:v>MP</x:v>
      </x:c>
      <x:c r="D1731" s="2" t="str">
        <x:v>Myzus persicae</x:v>
      </x:c>
      <x:c r="E1731" s="2" t="str">
        <x:v>L7</x:v>
      </x:c>
      <x:c r="F1731" s="2" t="n">
        <x:v>8</x:v>
      </x:c>
      <x:c r="G1731" s="2" t="n">
        <x:v>7</x:v>
      </x:c>
      <x:c r="H1731" s="2" t="n">
        <x:f>G1731+Supuestos!$C$15</x:f>
        <x:v>8</x:v>
      </x:c>
      <x:c r="I1731" s="14" t="n">
        <x:f>E2_plantas!J43+G1731</x:f>
        <x:v>46202</x:v>
      </x:c>
      <x:c r="J1731" s="2" t="str">
        <x:v>N3</x:v>
      </x:c>
      <x:c r="K1731" s="2" t="n">
        <x:v>1</x:v>
      </x:c>
      <x:c r="L1731" s="2" t="n">
        <x:v>0</x:v>
      </x:c>
      <x:c r="M1731" s="2" t="n">
        <x:f>SUM(L$1724:L1731)</x:f>
        <x:v>0</x:v>
      </x:c>
      <x:c r="N1731" s="2" t="n">
        <x:v>0</x:v>
      </x:c>
      <x:c r="O1731" s="2" t="str">
        <x:v>seguimiento</x:v>
      </x:c>
      <x:c r="P1731" s="2" t="n">
        <x:v>0</x:v>
      </x:c>
      <x:c r="Q1731" s="2" t="str">
        <x:v>simulado_didactico</x:v>
      </x:c>
    </x:row>
    <x:row r="1732" ht="19" customHeight="1">
      <x:c r="A1732" s="2" t="str">
        <x:v>SIM-E2-MP-L7-R08</x:v>
      </x:c>
      <x:c r="B1732" s="2" t="n">
        <x:v>4</x:v>
      </x:c>
      <x:c r="C1732" s="2" t="str">
        <x:v>MP</x:v>
      </x:c>
      <x:c r="D1732" s="2" t="str">
        <x:v>Myzus persicae</x:v>
      </x:c>
      <x:c r="E1732" s="2" t="str">
        <x:v>L7</x:v>
      </x:c>
      <x:c r="F1732" s="2" t="n">
        <x:v>8</x:v>
      </x:c>
      <x:c r="G1732" s="2" t="n">
        <x:v>8</x:v>
      </x:c>
      <x:c r="H1732" s="2" t="n">
        <x:f>G1732+Supuestos!$C$15</x:f>
        <x:v>9</x:v>
      </x:c>
      <x:c r="I1732" s="14" t="n">
        <x:f>E2_plantas!J43+G1732</x:f>
        <x:v>46203</x:v>
      </x:c>
      <x:c r="J1732" s="2" t="str">
        <x:v>N4</x:v>
      </x:c>
      <x:c r="K1732" s="2" t="n">
        <x:v>1</x:v>
      </x:c>
      <x:c r="L1732" s="2" t="n">
        <x:v>0</x:v>
      </x:c>
      <x:c r="M1732" s="2" t="n">
        <x:f>SUM(L$1724:L1732)</x:f>
        <x:v>0</x:v>
      </x:c>
      <x:c r="N1732" s="2" t="n">
        <x:v>0</x:v>
      </x:c>
      <x:c r="O1732" s="2" t="str">
        <x:v>seguimiento</x:v>
      </x:c>
      <x:c r="P1732" s="2" t="n">
        <x:v>0</x:v>
      </x:c>
      <x:c r="Q1732" s="2" t="str">
        <x:v>simulado_didactico</x:v>
      </x:c>
    </x:row>
    <x:row r="1733" ht="19" customHeight="1">
      <x:c r="A1733" s="2" t="str">
        <x:v>SIM-E2-MP-L7-R08</x:v>
      </x:c>
      <x:c r="B1733" s="2" t="n">
        <x:v>4</x:v>
      </x:c>
      <x:c r="C1733" s="2" t="str">
        <x:v>MP</x:v>
      </x:c>
      <x:c r="D1733" s="2" t="str">
        <x:v>Myzus persicae</x:v>
      </x:c>
      <x:c r="E1733" s="2" t="str">
        <x:v>L7</x:v>
      </x:c>
      <x:c r="F1733" s="2" t="n">
        <x:v>8</x:v>
      </x:c>
      <x:c r="G1733" s="2" t="n">
        <x:v>9</x:v>
      </x:c>
      <x:c r="H1733" s="2" t="n">
        <x:f>G1733+Supuestos!$C$15</x:f>
        <x:v>10</x:v>
      </x:c>
      <x:c r="I1733" s="14" t="n">
        <x:f>E2_plantas!J43+G1733</x:f>
        <x:v>46204</x:v>
      </x:c>
      <x:c r="J1733" s="2" t="str">
        <x:v>N4</x:v>
      </x:c>
      <x:c r="K1733" s="2" t="n">
        <x:v>1</x:v>
      </x:c>
      <x:c r="L1733" s="2" t="n">
        <x:v>0</x:v>
      </x:c>
      <x:c r="M1733" s="2" t="n">
        <x:f>SUM(L$1724:L1733)</x:f>
        <x:v>0</x:v>
      </x:c>
      <x:c r="N1733" s="2" t="n">
        <x:v>0</x:v>
      </x:c>
      <x:c r="O1733" s="2" t="str">
        <x:v>seguimiento</x:v>
      </x:c>
      <x:c r="P1733" s="2" t="n">
        <x:v>0</x:v>
      </x:c>
      <x:c r="Q1733" s="2" t="str">
        <x:v>simulado_didactico</x:v>
      </x:c>
    </x:row>
    <x:row r="1734" ht="19" customHeight="1">
      <x:c r="A1734" s="2" t="str">
        <x:v>SIM-E2-MP-L7-R08</x:v>
      </x:c>
      <x:c r="B1734" s="2" t="n">
        <x:v>4</x:v>
      </x:c>
      <x:c r="C1734" s="2" t="str">
        <x:v>MP</x:v>
      </x:c>
      <x:c r="D1734" s="2" t="str">
        <x:v>Myzus persicae</x:v>
      </x:c>
      <x:c r="E1734" s="2" t="str">
        <x:v>L7</x:v>
      </x:c>
      <x:c r="F1734" s="2" t="n">
        <x:v>8</x:v>
      </x:c>
      <x:c r="G1734" s="2" t="n">
        <x:v>10</x:v>
      </x:c>
      <x:c r="H1734" s="2" t="n">
        <x:f>G1734+Supuestos!$C$15</x:f>
        <x:v>11</x:v>
      </x:c>
      <x:c r="I1734" s="14" t="n">
        <x:f>E2_plantas!J43+G1734</x:f>
        <x:v>46205</x:v>
      </x:c>
      <x:c r="J1734" s="2" t="str">
        <x:v>adulta</x:v>
      </x:c>
      <x:c r="K1734" s="2" t="n">
        <x:v>1</x:v>
      </x:c>
      <x:c r="L1734" s="2" t="n">
        <x:v>0</x:v>
      </x:c>
      <x:c r="M1734" s="2" t="n">
        <x:f>SUM(L$1724:L1734)</x:f>
        <x:v>0</x:v>
      </x:c>
      <x:c r="N1734" s="2" t="n">
        <x:v>0</x:v>
      </x:c>
      <x:c r="O1734" s="2" t="str">
        <x:v>seguimiento</x:v>
      </x:c>
      <x:c r="P1734" s="2" t="n">
        <x:v>0</x:v>
      </x:c>
      <x:c r="Q1734" s="2" t="str">
        <x:v>simulado_didactico</x:v>
      </x:c>
    </x:row>
    <x:row r="1735" ht="19" customHeight="1">
      <x:c r="A1735" s="2" t="str">
        <x:v>SIM-E2-MP-L7-R08</x:v>
      </x:c>
      <x:c r="B1735" s="2" t="n">
        <x:v>4</x:v>
      </x:c>
      <x:c r="C1735" s="2" t="str">
        <x:v>MP</x:v>
      </x:c>
      <x:c r="D1735" s="2" t="str">
        <x:v>Myzus persicae</x:v>
      </x:c>
      <x:c r="E1735" s="2" t="str">
        <x:v>L7</x:v>
      </x:c>
      <x:c r="F1735" s="2" t="n">
        <x:v>8</x:v>
      </x:c>
      <x:c r="G1735" s="2" t="n">
        <x:v>11</x:v>
      </x:c>
      <x:c r="H1735" s="2" t="n">
        <x:f>G1735+Supuestos!$C$15</x:f>
        <x:v>12</x:v>
      </x:c>
      <x:c r="I1735" s="14" t="n">
        <x:f>E2_plantas!J43+G1735</x:f>
        <x:v>46206</x:v>
      </x:c>
      <x:c r="J1735" s="2" t="str">
        <x:v>adulta</x:v>
      </x:c>
      <x:c r="K1735" s="2" t="n">
        <x:v>1</x:v>
      </x:c>
      <x:c r="L1735" s="2" t="n">
        <x:v>0</x:v>
      </x:c>
      <x:c r="M1735" s="2" t="n">
        <x:f>SUM(L$1724:L1735)</x:f>
        <x:v>0</x:v>
      </x:c>
      <x:c r="N1735" s="2" t="n">
        <x:v>0</x:v>
      </x:c>
      <x:c r="O1735" s="2" t="str">
        <x:v>seguimiento</x:v>
      </x:c>
      <x:c r="P1735" s="2" t="n">
        <x:v>0</x:v>
      </x:c>
      <x:c r="Q1735" s="2" t="str">
        <x:v>simulado_didactico</x:v>
      </x:c>
    </x:row>
    <x:row r="1736" ht="19" customHeight="1">
      <x:c r="A1736" s="2" t="str">
        <x:v>SIM-E2-MP-L7-R08</x:v>
      </x:c>
      <x:c r="B1736" s="2" t="n">
        <x:v>4</x:v>
      </x:c>
      <x:c r="C1736" s="2" t="str">
        <x:v>MP</x:v>
      </x:c>
      <x:c r="D1736" s="2" t="str">
        <x:v>Myzus persicae</x:v>
      </x:c>
      <x:c r="E1736" s="2" t="str">
        <x:v>L7</x:v>
      </x:c>
      <x:c r="F1736" s="2" t="n">
        <x:v>8</x:v>
      </x:c>
      <x:c r="G1736" s="2" t="n">
        <x:v>12</x:v>
      </x:c>
      <x:c r="H1736" s="2" t="n">
        <x:f>G1736+Supuestos!$C$15</x:f>
        <x:v>13</x:v>
      </x:c>
      <x:c r="I1736" s="14" t="n">
        <x:f>E2_plantas!J43+G1736</x:f>
        <x:v>46207</x:v>
      </x:c>
      <x:c r="J1736" s="2" t="str">
        <x:v>adulta</x:v>
      </x:c>
      <x:c r="K1736" s="2" t="n">
        <x:v>1</x:v>
      </x:c>
      <x:c r="L1736" s="2" t="n">
        <x:v>5</x:v>
      </x:c>
      <x:c r="M1736" s="2" t="n">
        <x:f>SUM(L$1724:L1736)</x:f>
        <x:v>5</x:v>
      </x:c>
      <x:c r="N1736" s="2" t="n">
        <x:v>0</x:v>
      </x:c>
      <x:c r="O1736" s="2" t="str">
        <x:v>seguimiento</x:v>
      </x:c>
      <x:c r="P1736" s="2" t="n">
        <x:v>0</x:v>
      </x:c>
      <x:c r="Q1736" s="2" t="str">
        <x:v>simulado_didactico</x:v>
      </x:c>
    </x:row>
    <x:row r="1737" ht="19" customHeight="1">
      <x:c r="A1737" s="2" t="str">
        <x:v>SIM-E2-MP-L7-R08</x:v>
      </x:c>
      <x:c r="B1737" s="2" t="n">
        <x:v>4</x:v>
      </x:c>
      <x:c r="C1737" s="2" t="str">
        <x:v>MP</x:v>
      </x:c>
      <x:c r="D1737" s="2" t="str">
        <x:v>Myzus persicae</x:v>
      </x:c>
      <x:c r="E1737" s="2" t="str">
        <x:v>L7</x:v>
      </x:c>
      <x:c r="F1737" s="2" t="n">
        <x:v>8</x:v>
      </x:c>
      <x:c r="G1737" s="2" t="n">
        <x:v>13</x:v>
      </x:c>
      <x:c r="H1737" s="2" t="n">
        <x:f>G1737+Supuestos!$C$15</x:f>
        <x:v>14</x:v>
      </x:c>
      <x:c r="I1737" s="14" t="n">
        <x:f>E2_plantas!J43+G1737</x:f>
        <x:v>46208</x:v>
      </x:c>
      <x:c r="J1737" s="2" t="str">
        <x:v>adulta</x:v>
      </x:c>
      <x:c r="K1737" s="2" t="n">
        <x:v>1</x:v>
      </x:c>
      <x:c r="L1737" s="2" t="n">
        <x:v>3</x:v>
      </x:c>
      <x:c r="M1737" s="2" t="n">
        <x:f>SUM(L$1724:L1737)</x:f>
        <x:v>8</x:v>
      </x:c>
      <x:c r="N1737" s="2" t="n">
        <x:v>0</x:v>
      </x:c>
      <x:c r="O1737" s="2" t="str">
        <x:v>seguimiento</x:v>
      </x:c>
      <x:c r="P1737" s="2" t="n">
        <x:v>0</x:v>
      </x:c>
      <x:c r="Q1737" s="2" t="str">
        <x:v>simulado_didactico</x:v>
      </x:c>
    </x:row>
    <x:row r="1738" ht="19" customHeight="1">
      <x:c r="A1738" s="2" t="str">
        <x:v>SIM-E2-MP-L7-R08</x:v>
      </x:c>
      <x:c r="B1738" s="2" t="n">
        <x:v>4</x:v>
      </x:c>
      <x:c r="C1738" s="2" t="str">
        <x:v>MP</x:v>
      </x:c>
      <x:c r="D1738" s="2" t="str">
        <x:v>Myzus persicae</x:v>
      </x:c>
      <x:c r="E1738" s="2" t="str">
        <x:v>L7</x:v>
      </x:c>
      <x:c r="F1738" s="2" t="n">
        <x:v>8</x:v>
      </x:c>
      <x:c r="G1738" s="2" t="n">
        <x:v>14</x:v>
      </x:c>
      <x:c r="H1738" s="2" t="n">
        <x:f>G1738+Supuestos!$C$15</x:f>
        <x:v>15</x:v>
      </x:c>
      <x:c r="I1738" s="14" t="n">
        <x:f>E2_plantas!J43+G1738</x:f>
        <x:v>46209</x:v>
      </x:c>
      <x:c r="J1738" s="2" t="str">
        <x:v>adulta</x:v>
      </x:c>
      <x:c r="K1738" s="2" t="n">
        <x:v>1</x:v>
      </x:c>
      <x:c r="L1738" s="2" t="n">
        <x:v>2</x:v>
      </x:c>
      <x:c r="M1738" s="2" t="n">
        <x:f>SUM(L$1724:L1738)</x:f>
        <x:v>10</x:v>
      </x:c>
      <x:c r="N1738" s="2" t="n">
        <x:v>0</x:v>
      </x:c>
      <x:c r="O1738" s="2" t="str">
        <x:v>seguimiento</x:v>
      </x:c>
      <x:c r="P1738" s="2" t="n">
        <x:v>0</x:v>
      </x:c>
      <x:c r="Q1738" s="2" t="str">
        <x:v>simulado_didactico</x:v>
      </x:c>
    </x:row>
    <x:row r="1739" ht="19" customHeight="1">
      <x:c r="A1739" s="2" t="str">
        <x:v>SIM-E2-MP-L7-R08</x:v>
      </x:c>
      <x:c r="B1739" s="2" t="n">
        <x:v>4</x:v>
      </x:c>
      <x:c r="C1739" s="2" t="str">
        <x:v>MP</x:v>
      </x:c>
      <x:c r="D1739" s="2" t="str">
        <x:v>Myzus persicae</x:v>
      </x:c>
      <x:c r="E1739" s="2" t="str">
        <x:v>L7</x:v>
      </x:c>
      <x:c r="F1739" s="2" t="n">
        <x:v>8</x:v>
      </x:c>
      <x:c r="G1739" s="2" t="n">
        <x:v>15</x:v>
      </x:c>
      <x:c r="H1739" s="2" t="n">
        <x:f>G1739+Supuestos!$C$15</x:f>
        <x:v>16</x:v>
      </x:c>
      <x:c r="I1739" s="14" t="n">
        <x:f>E2_plantas!J43+G1739</x:f>
        <x:v>46210</x:v>
      </x:c>
      <x:c r="J1739" s="2" t="str">
        <x:v>adulta</x:v>
      </x:c>
      <x:c r="K1739" s="2" t="n">
        <x:v>1</x:v>
      </x:c>
      <x:c r="L1739" s="2" t="n">
        <x:v>3</x:v>
      </x:c>
      <x:c r="M1739" s="2" t="n">
        <x:f>SUM(L$1724:L1739)</x:f>
        <x:v>13</x:v>
      </x:c>
      <x:c r="N1739" s="2" t="n">
        <x:v>0</x:v>
      </x:c>
      <x:c r="O1739" s="2" t="str">
        <x:v>seguimiento</x:v>
      </x:c>
      <x:c r="P1739" s="2" t="n">
        <x:v>0</x:v>
      </x:c>
      <x:c r="Q1739" s="2" t="str">
        <x:v>simulado_didactico</x:v>
      </x:c>
    </x:row>
    <x:row r="1740" ht="19" customHeight="1">
      <x:c r="A1740" s="2" t="str">
        <x:v>SIM-E2-MP-L7-R08</x:v>
      </x:c>
      <x:c r="B1740" s="2" t="n">
        <x:v>4</x:v>
      </x:c>
      <x:c r="C1740" s="2" t="str">
        <x:v>MP</x:v>
      </x:c>
      <x:c r="D1740" s="2" t="str">
        <x:v>Myzus persicae</x:v>
      </x:c>
      <x:c r="E1740" s="2" t="str">
        <x:v>L7</x:v>
      </x:c>
      <x:c r="F1740" s="2" t="n">
        <x:v>8</x:v>
      </x:c>
      <x:c r="G1740" s="2" t="n">
        <x:v>16</x:v>
      </x:c>
      <x:c r="H1740" s="2" t="n">
        <x:f>G1740+Supuestos!$C$15</x:f>
        <x:v>17</x:v>
      </x:c>
      <x:c r="I1740" s="14" t="n">
        <x:f>E2_plantas!J43+G1740</x:f>
        <x:v>46211</x:v>
      </x:c>
      <x:c r="J1740" s="2" t="str">
        <x:v>adulta</x:v>
      </x:c>
      <x:c r="K1740" s="2" t="n">
        <x:v>1</x:v>
      </x:c>
      <x:c r="L1740" s="2" t="n">
        <x:v>3</x:v>
      </x:c>
      <x:c r="M1740" s="2" t="n">
        <x:f>SUM(L$1724:L1740)</x:f>
        <x:v>16</x:v>
      </x:c>
      <x:c r="N1740" s="2" t="n">
        <x:v>0</x:v>
      </x:c>
      <x:c r="O1740" s="2" t="str">
        <x:v>seguimiento</x:v>
      </x:c>
      <x:c r="P1740" s="2" t="n">
        <x:v>0</x:v>
      </x:c>
      <x:c r="Q1740" s="2" t="str">
        <x:v>simulado_didactico</x:v>
      </x:c>
    </x:row>
    <x:row r="1741" ht="19" customHeight="1">
      <x:c r="A1741" s="2" t="str">
        <x:v>SIM-E2-MP-L7-R08</x:v>
      </x:c>
      <x:c r="B1741" s="2" t="n">
        <x:v>4</x:v>
      </x:c>
      <x:c r="C1741" s="2" t="str">
        <x:v>MP</x:v>
      </x:c>
      <x:c r="D1741" s="2" t="str">
        <x:v>Myzus persicae</x:v>
      </x:c>
      <x:c r="E1741" s="2" t="str">
        <x:v>L7</x:v>
      </x:c>
      <x:c r="F1741" s="2" t="n">
        <x:v>8</x:v>
      </x:c>
      <x:c r="G1741" s="2" t="n">
        <x:v>17</x:v>
      </x:c>
      <x:c r="H1741" s="2" t="n">
        <x:f>G1741+Supuestos!$C$15</x:f>
        <x:v>18</x:v>
      </x:c>
      <x:c r="I1741" s="14" t="n">
        <x:f>E2_plantas!J43+G1741</x:f>
        <x:v>46212</x:v>
      </x:c>
      <x:c r="J1741" s="2" t="str">
        <x:v>adulta</x:v>
      </x:c>
      <x:c r="K1741" s="2" t="n">
        <x:v>1</x:v>
      </x:c>
      <x:c r="L1741" s="2" t="n">
        <x:v>3</x:v>
      </x:c>
      <x:c r="M1741" s="2" t="n">
        <x:f>SUM(L$1724:L1741)</x:f>
        <x:v>19</x:v>
      </x:c>
      <x:c r="N1741" s="2" t="n">
        <x:v>0</x:v>
      </x:c>
      <x:c r="O1741" s="2" t="str">
        <x:v>seguimiento</x:v>
      </x:c>
      <x:c r="P1741" s="2" t="n">
        <x:v>0</x:v>
      </x:c>
      <x:c r="Q1741" s="2" t="str">
        <x:v>simulado_didactico</x:v>
      </x:c>
    </x:row>
    <x:row r="1742" ht="19" customHeight="1">
      <x:c r="A1742" s="2" t="str">
        <x:v>SIM-E2-MP-L7-R08</x:v>
      </x:c>
      <x:c r="B1742" s="2" t="n">
        <x:v>4</x:v>
      </x:c>
      <x:c r="C1742" s="2" t="str">
        <x:v>MP</x:v>
      </x:c>
      <x:c r="D1742" s="2" t="str">
        <x:v>Myzus persicae</x:v>
      </x:c>
      <x:c r="E1742" s="2" t="str">
        <x:v>L7</x:v>
      </x:c>
      <x:c r="F1742" s="2" t="n">
        <x:v>8</x:v>
      </x:c>
      <x:c r="G1742" s="2" t="n">
        <x:v>18</x:v>
      </x:c>
      <x:c r="H1742" s="2" t="n">
        <x:f>G1742+Supuestos!$C$15</x:f>
        <x:v>19</x:v>
      </x:c>
      <x:c r="I1742" s="14" t="n">
        <x:f>E2_plantas!J43+G1742</x:f>
        <x:v>46213</x:v>
      </x:c>
      <x:c r="J1742" s="2" t="str">
        <x:v>adulta</x:v>
      </x:c>
      <x:c r="K1742" s="2" t="n">
        <x:v>1</x:v>
      </x:c>
      <x:c r="L1742" s="2" t="n">
        <x:v>5</x:v>
      </x:c>
      <x:c r="M1742" s="2" t="n">
        <x:f>SUM(L$1724:L1742)</x:f>
        <x:v>24</x:v>
      </x:c>
      <x:c r="N1742" s="2" t="n">
        <x:v>0</x:v>
      </x:c>
      <x:c r="O1742" s="2" t="str">
        <x:v>seguimiento</x:v>
      </x:c>
      <x:c r="P1742" s="2" t="n">
        <x:v>0</x:v>
      </x:c>
      <x:c r="Q1742" s="2" t="str">
        <x:v>simulado_didactico</x:v>
      </x:c>
    </x:row>
    <x:row r="1743" ht="19" customHeight="1">
      <x:c r="A1743" s="2" t="str">
        <x:v>SIM-E2-MP-L7-R08</x:v>
      </x:c>
      <x:c r="B1743" s="2" t="n">
        <x:v>4</x:v>
      </x:c>
      <x:c r="C1743" s="2" t="str">
        <x:v>MP</x:v>
      </x:c>
      <x:c r="D1743" s="2" t="str">
        <x:v>Myzus persicae</x:v>
      </x:c>
      <x:c r="E1743" s="2" t="str">
        <x:v>L7</x:v>
      </x:c>
      <x:c r="F1743" s="2" t="n">
        <x:v>8</x:v>
      </x:c>
      <x:c r="G1743" s="2" t="n">
        <x:v>19</x:v>
      </x:c>
      <x:c r="H1743" s="2" t="n">
        <x:f>G1743+Supuestos!$C$15</x:f>
        <x:v>20</x:v>
      </x:c>
      <x:c r="I1743" s="14" t="n">
        <x:f>E2_plantas!J43+G1743</x:f>
        <x:v>46214</x:v>
      </x:c>
      <x:c r="J1743" s="2" t="str">
        <x:v>adulta</x:v>
      </x:c>
      <x:c r="K1743" s="2" t="n">
        <x:v>1</x:v>
      </x:c>
      <x:c r="L1743" s="2" t="n">
        <x:v>1</x:v>
      </x:c>
      <x:c r="M1743" s="2" t="n">
        <x:f>SUM(L$1724:L1743)</x:f>
        <x:v>25</x:v>
      </x:c>
      <x:c r="N1743" s="2" t="n">
        <x:v>0</x:v>
      </x:c>
      <x:c r="O1743" s="2" t="str">
        <x:v>seguimiento</x:v>
      </x:c>
      <x:c r="P1743" s="2" t="n">
        <x:v>0</x:v>
      </x:c>
      <x:c r="Q1743" s="2" t="str">
        <x:v>simulado_didactico</x:v>
      </x:c>
    </x:row>
    <x:row r="1744" ht="19" customHeight="1">
      <x:c r="A1744" s="2" t="str">
        <x:v>SIM-E2-MP-L7-R08</x:v>
      </x:c>
      <x:c r="B1744" s="2" t="n">
        <x:v>4</x:v>
      </x:c>
      <x:c r="C1744" s="2" t="str">
        <x:v>MP</x:v>
      </x:c>
      <x:c r="D1744" s="2" t="str">
        <x:v>Myzus persicae</x:v>
      </x:c>
      <x:c r="E1744" s="2" t="str">
        <x:v>L7</x:v>
      </x:c>
      <x:c r="F1744" s="2" t="n">
        <x:v>8</x:v>
      </x:c>
      <x:c r="G1744" s="2" t="n">
        <x:v>20</x:v>
      </x:c>
      <x:c r="H1744" s="2" t="n">
        <x:f>G1744+Supuestos!$C$15</x:f>
        <x:v>21</x:v>
      </x:c>
      <x:c r="I1744" s="14" t="n">
        <x:f>E2_plantas!J43+G1744</x:f>
        <x:v>46215</x:v>
      </x:c>
      <x:c r="J1744" s="2" t="str">
        <x:v>adulta</x:v>
      </x:c>
      <x:c r="K1744" s="2" t="n">
        <x:v>1</x:v>
      </x:c>
      <x:c r="L1744" s="2" t="n">
        <x:v>3</x:v>
      </x:c>
      <x:c r="M1744" s="2" t="n">
        <x:f>SUM(L$1724:L1744)</x:f>
        <x:v>28</x:v>
      </x:c>
      <x:c r="N1744" s="2" t="n">
        <x:v>0</x:v>
      </x:c>
      <x:c r="O1744" s="2" t="str">
        <x:v>seguimiento</x:v>
      </x:c>
      <x:c r="P1744" s="2" t="n">
        <x:v>0</x:v>
      </x:c>
      <x:c r="Q1744" s="2" t="str">
        <x:v>simulado_didactico</x:v>
      </x:c>
    </x:row>
    <x:row r="1745" ht="19" customHeight="1">
      <x:c r="A1745" s="2" t="str">
        <x:v>SIM-E2-MP-L7-R08</x:v>
      </x:c>
      <x:c r="B1745" s="2" t="n">
        <x:v>4</x:v>
      </x:c>
      <x:c r="C1745" s="2" t="str">
        <x:v>MP</x:v>
      </x:c>
      <x:c r="D1745" s="2" t="str">
        <x:v>Myzus persicae</x:v>
      </x:c>
      <x:c r="E1745" s="2" t="str">
        <x:v>L7</x:v>
      </x:c>
      <x:c r="F1745" s="2" t="n">
        <x:v>8</x:v>
      </x:c>
      <x:c r="G1745" s="2" t="n">
        <x:v>21</x:v>
      </x:c>
      <x:c r="H1745" s="2" t="n">
        <x:f>G1745+Supuestos!$C$15</x:f>
        <x:v>22</x:v>
      </x:c>
      <x:c r="I1745" s="14" t="n">
        <x:f>E2_plantas!J43+G1745</x:f>
        <x:v>46216</x:v>
      </x:c>
      <x:c r="J1745" s="2" t="str">
        <x:v>adulta</x:v>
      </x:c>
      <x:c r="K1745" s="2" t="n">
        <x:v>1</x:v>
      </x:c>
      <x:c r="L1745" s="2" t="n">
        <x:v>4</x:v>
      </x:c>
      <x:c r="M1745" s="2" t="n">
        <x:f>SUM(L$1724:L1745)</x:f>
        <x:v>32</x:v>
      </x:c>
      <x:c r="N1745" s="2" t="n">
        <x:v>0</x:v>
      </x:c>
      <x:c r="O1745" s="2" t="str">
        <x:v>seguimiento</x:v>
      </x:c>
      <x:c r="P1745" s="2" t="n">
        <x:v>0</x:v>
      </x:c>
      <x:c r="Q1745" s="2" t="str">
        <x:v>simulado_didactico</x:v>
      </x:c>
    </x:row>
    <x:row r="1746" ht="19" customHeight="1">
      <x:c r="A1746" s="2" t="str">
        <x:v>SIM-E2-MP-L7-R08</x:v>
      </x:c>
      <x:c r="B1746" s="2" t="n">
        <x:v>4</x:v>
      </x:c>
      <x:c r="C1746" s="2" t="str">
        <x:v>MP</x:v>
      </x:c>
      <x:c r="D1746" s="2" t="str">
        <x:v>Myzus persicae</x:v>
      </x:c>
      <x:c r="E1746" s="2" t="str">
        <x:v>L7</x:v>
      </x:c>
      <x:c r="F1746" s="2" t="n">
        <x:v>8</x:v>
      </x:c>
      <x:c r="G1746" s="2" t="n">
        <x:v>22</x:v>
      </x:c>
      <x:c r="H1746" s="2" t="n">
        <x:f>G1746+Supuestos!$C$15</x:f>
        <x:v>23</x:v>
      </x:c>
      <x:c r="I1746" s="14" t="n">
        <x:f>E2_plantas!J43+G1746</x:f>
        <x:v>46217</x:v>
      </x:c>
      <x:c r="J1746" s="2" t="str">
        <x:v>adulta</x:v>
      </x:c>
      <x:c r="K1746" s="2" t="n">
        <x:v>1</x:v>
      </x:c>
      <x:c r="L1746" s="2" t="n">
        <x:v>2</x:v>
      </x:c>
      <x:c r="M1746" s="2" t="n">
        <x:f>SUM(L$1724:L1746)</x:f>
        <x:v>34</x:v>
      </x:c>
      <x:c r="N1746" s="2" t="n">
        <x:v>0</x:v>
      </x:c>
      <x:c r="O1746" s="2" t="str">
        <x:v>seguimiento</x:v>
      </x:c>
      <x:c r="P1746" s="2" t="n">
        <x:v>0</x:v>
      </x:c>
      <x:c r="Q1746" s="2" t="str">
        <x:v>simulado_didactico</x:v>
      </x:c>
    </x:row>
    <x:row r="1747" ht="19" customHeight="1">
      <x:c r="A1747" s="2" t="str">
        <x:v>SIM-E2-MP-L7-R08</x:v>
      </x:c>
      <x:c r="B1747" s="2" t="n">
        <x:v>4</x:v>
      </x:c>
      <x:c r="C1747" s="2" t="str">
        <x:v>MP</x:v>
      </x:c>
      <x:c r="D1747" s="2" t="str">
        <x:v>Myzus persicae</x:v>
      </x:c>
      <x:c r="E1747" s="2" t="str">
        <x:v>L7</x:v>
      </x:c>
      <x:c r="F1747" s="2" t="n">
        <x:v>8</x:v>
      </x:c>
      <x:c r="G1747" s="2" t="n">
        <x:v>23</x:v>
      </x:c>
      <x:c r="H1747" s="2" t="n">
        <x:f>G1747+Supuestos!$C$15</x:f>
        <x:v>24</x:v>
      </x:c>
      <x:c r="I1747" s="14" t="n">
        <x:f>E2_plantas!J43+G1747</x:f>
        <x:v>46218</x:v>
      </x:c>
      <x:c r="J1747" s="2" t="str">
        <x:v>adulta</x:v>
      </x:c>
      <x:c r="K1747" s="2" t="n">
        <x:v>1</x:v>
      </x:c>
      <x:c r="L1747" s="2" t="n">
        <x:v>2</x:v>
      </x:c>
      <x:c r="M1747" s="2" t="n">
        <x:f>SUM(L$1724:L1747)</x:f>
        <x:v>36</x:v>
      </x:c>
      <x:c r="N1747" s="2" t="n">
        <x:v>0</x:v>
      </x:c>
      <x:c r="O1747" s="2" t="str">
        <x:v>seguimiento</x:v>
      </x:c>
      <x:c r="P1747" s="2" t="n">
        <x:v>0</x:v>
      </x:c>
      <x:c r="Q1747" s="2" t="str">
        <x:v>simulado_didactico</x:v>
      </x:c>
    </x:row>
    <x:row r="1748" ht="19" customHeight="1">
      <x:c r="A1748" s="2" t="str">
        <x:v>SIM-E2-MP-L7-R08</x:v>
      </x:c>
      <x:c r="B1748" s="2" t="n">
        <x:v>4</x:v>
      </x:c>
      <x:c r="C1748" s="2" t="str">
        <x:v>MP</x:v>
      </x:c>
      <x:c r="D1748" s="2" t="str">
        <x:v>Myzus persicae</x:v>
      </x:c>
      <x:c r="E1748" s="2" t="str">
        <x:v>L7</x:v>
      </x:c>
      <x:c r="F1748" s="2" t="n">
        <x:v>8</x:v>
      </x:c>
      <x:c r="G1748" s="2" t="n">
        <x:v>24</x:v>
      </x:c>
      <x:c r="H1748" s="2" t="n">
        <x:f>G1748+Supuestos!$C$15</x:f>
        <x:v>25</x:v>
      </x:c>
      <x:c r="I1748" s="14" t="n">
        <x:f>E2_plantas!J43+G1748</x:f>
        <x:v>46219</x:v>
      </x:c>
      <x:c r="J1748" s="2" t="str">
        <x:v>adulta</x:v>
      </x:c>
      <x:c r="K1748" s="2" t="n">
        <x:v>1</x:v>
      </x:c>
      <x:c r="L1748" s="2" t="n">
        <x:v>4</x:v>
      </x:c>
      <x:c r="M1748" s="2" t="n">
        <x:f>SUM(L$1724:L1748)</x:f>
        <x:v>40</x:v>
      </x:c>
      <x:c r="N1748" s="2" t="n">
        <x:v>0</x:v>
      </x:c>
      <x:c r="O1748" s="2" t="str">
        <x:v>seguimiento</x:v>
      </x:c>
      <x:c r="P1748" s="2" t="n">
        <x:v>0</x:v>
      </x:c>
      <x:c r="Q1748" s="2" t="str">
        <x:v>simulado_didactico</x:v>
      </x:c>
    </x:row>
    <x:row r="1749" ht="19" customHeight="1">
      <x:c r="A1749" s="2" t="str">
        <x:v>SIM-E2-MP-L7-R08</x:v>
      </x:c>
      <x:c r="B1749" s="2" t="n">
        <x:v>4</x:v>
      </x:c>
      <x:c r="C1749" s="2" t="str">
        <x:v>MP</x:v>
      </x:c>
      <x:c r="D1749" s="2" t="str">
        <x:v>Myzus persicae</x:v>
      </x:c>
      <x:c r="E1749" s="2" t="str">
        <x:v>L7</x:v>
      </x:c>
      <x:c r="F1749" s="2" t="n">
        <x:v>8</x:v>
      </x:c>
      <x:c r="G1749" s="2" t="n">
        <x:v>25</x:v>
      </x:c>
      <x:c r="H1749" s="2" t="n">
        <x:f>G1749+Supuestos!$C$15</x:f>
        <x:v>26</x:v>
      </x:c>
      <x:c r="I1749" s="14" t="n">
        <x:f>E2_plantas!J43+G1749</x:f>
        <x:v>46220</x:v>
      </x:c>
      <x:c r="J1749" s="2" t="str">
        <x:v>adulta</x:v>
      </x:c>
      <x:c r="K1749" s="2" t="n">
        <x:v>1</x:v>
      </x:c>
      <x:c r="L1749" s="2" t="n">
        <x:v>2</x:v>
      </x:c>
      <x:c r="M1749" s="2" t="n">
        <x:f>SUM(L$1724:L1749)</x:f>
        <x:v>42</x:v>
      </x:c>
      <x:c r="N1749" s="2" t="n">
        <x:v>0</x:v>
      </x:c>
      <x:c r="O1749" s="2" t="str">
        <x:v>seguimiento</x:v>
      </x:c>
      <x:c r="P1749" s="2" t="n">
        <x:v>0</x:v>
      </x:c>
      <x:c r="Q1749" s="2" t="str">
        <x:v>simulado_didactico</x:v>
      </x:c>
    </x:row>
    <x:row r="1750" ht="19" customHeight="1">
      <x:c r="A1750" s="2" t="str">
        <x:v>SIM-E2-MP-L7-R08</x:v>
      </x:c>
      <x:c r="B1750" s="2" t="n">
        <x:v>4</x:v>
      </x:c>
      <x:c r="C1750" s="2" t="str">
        <x:v>MP</x:v>
      </x:c>
      <x:c r="D1750" s="2" t="str">
        <x:v>Myzus persicae</x:v>
      </x:c>
      <x:c r="E1750" s="2" t="str">
        <x:v>L7</x:v>
      </x:c>
      <x:c r="F1750" s="2" t="n">
        <x:v>8</x:v>
      </x:c>
      <x:c r="G1750" s="2" t="n">
        <x:v>26</x:v>
      </x:c>
      <x:c r="H1750" s="2" t="n">
        <x:f>G1750+Supuestos!$C$15</x:f>
        <x:v>27</x:v>
      </x:c>
      <x:c r="I1750" s="14" t="n">
        <x:f>E2_plantas!J43+G1750</x:f>
        <x:v>46221</x:v>
      </x:c>
      <x:c r="J1750" s="2" t="str">
        <x:v>adulta</x:v>
      </x:c>
      <x:c r="K1750" s="2" t="n">
        <x:v>1</x:v>
      </x:c>
      <x:c r="L1750" s="2" t="n">
        <x:v>4</x:v>
      </x:c>
      <x:c r="M1750" s="2" t="n">
        <x:f>SUM(L$1724:L1750)</x:f>
        <x:v>46</x:v>
      </x:c>
      <x:c r="N1750" s="2" t="n">
        <x:v>0</x:v>
      </x:c>
      <x:c r="O1750" s="2" t="str">
        <x:v>seguimiento</x:v>
      </x:c>
      <x:c r="P1750" s="2" t="n">
        <x:v>0</x:v>
      </x:c>
      <x:c r="Q1750" s="2" t="str">
        <x:v>simulado_didactico</x:v>
      </x:c>
    </x:row>
    <x:row r="1751" ht="19" customHeight="1">
      <x:c r="A1751" s="2" t="str">
        <x:v>SIM-E2-MP-L7-R08</x:v>
      </x:c>
      <x:c r="B1751" s="2" t="n">
        <x:v>4</x:v>
      </x:c>
      <x:c r="C1751" s="2" t="str">
        <x:v>MP</x:v>
      </x:c>
      <x:c r="D1751" s="2" t="str">
        <x:v>Myzus persicae</x:v>
      </x:c>
      <x:c r="E1751" s="2" t="str">
        <x:v>L7</x:v>
      </x:c>
      <x:c r="F1751" s="2" t="n">
        <x:v>8</x:v>
      </x:c>
      <x:c r="G1751" s="2" t="n">
        <x:v>27</x:v>
      </x:c>
      <x:c r="H1751" s="2" t="n">
        <x:f>G1751+Supuestos!$C$15</x:f>
        <x:v>28</x:v>
      </x:c>
      <x:c r="I1751" s="14" t="n">
        <x:f>E2_plantas!J43+G1751</x:f>
        <x:v>46222</x:v>
      </x:c>
      <x:c r="J1751" s="2" t="str">
        <x:v>adulta</x:v>
      </x:c>
      <x:c r="K1751" s="2" t="n">
        <x:v>1</x:v>
      </x:c>
      <x:c r="L1751" s="2" t="n">
        <x:v>0</x:v>
      </x:c>
      <x:c r="M1751" s="2" t="n">
        <x:f>SUM(L$1724:L1751)</x:f>
        <x:v>46</x:v>
      </x:c>
      <x:c r="N1751" s="2" t="n">
        <x:v>0</x:v>
      </x:c>
      <x:c r="O1751" s="2" t="str">
        <x:v>seguimiento</x:v>
      </x:c>
      <x:c r="P1751" s="2" t="n">
        <x:v>0</x:v>
      </x:c>
      <x:c r="Q1751" s="2" t="str">
        <x:v>simulado_didactico</x:v>
      </x:c>
    </x:row>
    <x:row r="1752" ht="19" customHeight="1">
      <x:c r="A1752" s="2" t="str">
        <x:v>SIM-E2-MP-L7-R08</x:v>
      </x:c>
      <x:c r="B1752" s="2" t="n">
        <x:v>4</x:v>
      </x:c>
      <x:c r="C1752" s="2" t="str">
        <x:v>MP</x:v>
      </x:c>
      <x:c r="D1752" s="2" t="str">
        <x:v>Myzus persicae</x:v>
      </x:c>
      <x:c r="E1752" s="2" t="str">
        <x:v>L7</x:v>
      </x:c>
      <x:c r="F1752" s="2" t="n">
        <x:v>8</x:v>
      </x:c>
      <x:c r="G1752" s="2" t="n">
        <x:v>28</x:v>
      </x:c>
      <x:c r="H1752" s="2" t="n">
        <x:f>G1752+Supuestos!$C$15</x:f>
        <x:v>29</x:v>
      </x:c>
      <x:c r="I1752" s="14" t="n">
        <x:f>E2_plantas!J43+G1752</x:f>
        <x:v>46223</x:v>
      </x:c>
      <x:c r="J1752" s="2" t="str">
        <x:v>adulta</x:v>
      </x:c>
      <x:c r="K1752" s="2" t="n">
        <x:v>1</x:v>
      </x:c>
      <x:c r="L1752" s="2" t="n">
        <x:v>0</x:v>
      </x:c>
      <x:c r="M1752" s="2" t="n">
        <x:f>SUM(L$1724:L1752)</x:f>
        <x:v>46</x:v>
      </x:c>
      <x:c r="N1752" s="2" t="n">
        <x:v>0</x:v>
      </x:c>
      <x:c r="O1752" s="2" t="str">
        <x:v>seguimiento</x:v>
      </x:c>
      <x:c r="P1752" s="2" t="n">
        <x:v>0</x:v>
      </x:c>
      <x:c r="Q1752" s="2" t="str">
        <x:v>simulado_didactico</x:v>
      </x:c>
    </x:row>
    <x:row r="1753" ht="19" customHeight="1">
      <x:c r="A1753" s="2" t="str">
        <x:v>SIM-E2-MP-L7-R08</x:v>
      </x:c>
      <x:c r="B1753" s="2" t="n">
        <x:v>4</x:v>
      </x:c>
      <x:c r="C1753" s="2" t="str">
        <x:v>MP</x:v>
      </x:c>
      <x:c r="D1753" s="2" t="str">
        <x:v>Myzus persicae</x:v>
      </x:c>
      <x:c r="E1753" s="2" t="str">
        <x:v>L7</x:v>
      </x:c>
      <x:c r="F1753" s="2" t="n">
        <x:v>8</x:v>
      </x:c>
      <x:c r="G1753" s="2" t="n">
        <x:v>29</x:v>
      </x:c>
      <x:c r="H1753" s="2" t="n">
        <x:f>G1753+Supuestos!$C$15</x:f>
        <x:v>30</x:v>
      </x:c>
      <x:c r="I1753" s="14" t="n">
        <x:f>E2_plantas!J43+G1753</x:f>
        <x:v>46224</x:v>
      </x:c>
      <x:c r="J1753" s="2" t="str">
        <x:v>adulta</x:v>
      </x:c>
      <x:c r="K1753" s="2" t="n">
        <x:v>1</x:v>
      </x:c>
      <x:c r="L1753" s="2" t="n">
        <x:v>0</x:v>
      </x:c>
      <x:c r="M1753" s="2" t="n">
        <x:f>SUM(L$1724:L1753)</x:f>
        <x:v>46</x:v>
      </x:c>
      <x:c r="N1753" s="2" t="n">
        <x:v>0</x:v>
      </x:c>
      <x:c r="O1753" s="2" t="str">
        <x:v>seguimiento</x:v>
      </x:c>
      <x:c r="P1753" s="2" t="n">
        <x:v>0</x:v>
      </x:c>
      <x:c r="Q1753" s="2" t="str">
        <x:v>simulado_didactico</x:v>
      </x:c>
    </x:row>
    <x:row r="1754" ht="19" customHeight="1">
      <x:c r="A1754" s="2" t="str">
        <x:v>SIM-E2-MP-L7-R08</x:v>
      </x:c>
      <x:c r="B1754" s="2" t="n">
        <x:v>4</x:v>
      </x:c>
      <x:c r="C1754" s="2" t="str">
        <x:v>MP</x:v>
      </x:c>
      <x:c r="D1754" s="2" t="str">
        <x:v>Myzus persicae</x:v>
      </x:c>
      <x:c r="E1754" s="2" t="str">
        <x:v>L7</x:v>
      </x:c>
      <x:c r="F1754" s="2" t="n">
        <x:v>8</x:v>
      </x:c>
      <x:c r="G1754" s="2" t="n">
        <x:v>30</x:v>
      </x:c>
      <x:c r="H1754" s="2" t="n">
        <x:f>G1754+Supuestos!$C$15</x:f>
        <x:v>31</x:v>
      </x:c>
      <x:c r="I1754" s="14" t="n">
        <x:f>E2_plantas!J43+G1754</x:f>
        <x:v>46225</x:v>
      </x:c>
      <x:c r="J1754" s="2" t="str">
        <x:v>muerta</x:v>
      </x:c>
      <x:c r="K1754" s="2" t="n">
        <x:v>0</x:v>
      </x:c>
      <x:c r="L1754" s="2" t="n">
        <x:v>0</x:v>
      </x:c>
      <x:c r="M1754" s="2" t="n">
        <x:f>SUM(L$1724:L1754)</x:f>
        <x:v>46</x:v>
      </x:c>
      <x:c r="N1754" s="2" t="n">
        <x:v>1</x:v>
      </x:c>
      <x:c r="O1754" s="2" t="str">
        <x:v>muerte</x:v>
      </x:c>
      <x:c r="P1754" s="2" t="n">
        <x:v>0</x:v>
      </x:c>
      <x:c r="Q1754" s="2" t="str">
        <x:v>simulado_didactico</x:v>
      </x:c>
    </x:row>
    <x:row r="1755" ht="19" customHeight="1">
      <x:c r="A1755" s="2" t="str">
        <x:v>SIM-E2-MP-L7-R08</x:v>
      </x:c>
      <x:c r="B1755" s="2" t="n">
        <x:v>4</x:v>
      </x:c>
      <x:c r="C1755" s="2" t="str">
        <x:v>MP</x:v>
      </x:c>
      <x:c r="D1755" s="2" t="str">
        <x:v>Myzus persicae</x:v>
      </x:c>
      <x:c r="E1755" s="2" t="str">
        <x:v>L7</x:v>
      </x:c>
      <x:c r="F1755" s="2" t="n">
        <x:v>8</x:v>
      </x:c>
      <x:c r="G1755" s="2" t="n">
        <x:v>31</x:v>
      </x:c>
      <x:c r="H1755" s="2" t="n">
        <x:f>G1755+Supuestos!$C$15</x:f>
        <x:v>32</x:v>
      </x:c>
      <x:c r="I1755" s="14" t="n">
        <x:f>E2_plantas!J43+G1755</x:f>
        <x:v>46226</x:v>
      </x:c>
      <x:c r="J1755" s="2" t="str">
        <x:v>muerta</x:v>
      </x:c>
      <x:c r="K1755" s="2" t="n">
        <x:v>0</x:v>
      </x:c>
      <x:c r="L1755" s="2" t="n">
        <x:v>0</x:v>
      </x:c>
      <x:c r="M1755" s="2" t="n">
        <x:f>SUM(L$1724:L1755)</x:f>
        <x:v>46</x:v>
      </x:c>
      <x:c r="N1755" s="2" t="n">
        <x:v>0</x:v>
      </x:c>
      <x:c r="O1755" s="2" t="str">
        <x:v>relleno_postmuerte</x:v>
      </x:c>
      <x:c r="P1755" s="2" t="n">
        <x:v>0</x:v>
      </x:c>
      <x:c r="Q1755" s="2" t="str">
        <x:v>simulado_didactico</x:v>
      </x:c>
    </x:row>
    <x:row r="1756" ht="19" customHeight="1">
      <x:c r="A1756" s="2" t="str">
        <x:v>SIM-E2-MP-L7-R08</x:v>
      </x:c>
      <x:c r="B1756" s="2" t="n">
        <x:v>4</x:v>
      </x:c>
      <x:c r="C1756" s="2" t="str">
        <x:v>MP</x:v>
      </x:c>
      <x:c r="D1756" s="2" t="str">
        <x:v>Myzus persicae</x:v>
      </x:c>
      <x:c r="E1756" s="2" t="str">
        <x:v>L7</x:v>
      </x:c>
      <x:c r="F1756" s="2" t="n">
        <x:v>8</x:v>
      </x:c>
      <x:c r="G1756" s="2" t="n">
        <x:v>32</x:v>
      </x:c>
      <x:c r="H1756" s="2" t="n">
        <x:f>G1756+Supuestos!$C$15</x:f>
        <x:v>33</x:v>
      </x:c>
      <x:c r="I1756" s="14" t="n">
        <x:f>E2_plantas!J43+G1756</x:f>
        <x:v>46227</x:v>
      </x:c>
      <x:c r="J1756" s="2" t="str">
        <x:v>muerta</x:v>
      </x:c>
      <x:c r="K1756" s="2" t="n">
        <x:v>0</x:v>
      </x:c>
      <x:c r="L1756" s="2" t="n">
        <x:v>0</x:v>
      </x:c>
      <x:c r="M1756" s="2" t="n">
        <x:f>SUM(L$1724:L1756)</x:f>
        <x:v>46</x:v>
      </x:c>
      <x:c r="N1756" s="2" t="n">
        <x:v>0</x:v>
      </x:c>
      <x:c r="O1756" s="2" t="str">
        <x:v>relleno_postmuerte</x:v>
      </x:c>
      <x:c r="P1756" s="2" t="n">
        <x:v>0</x:v>
      </x:c>
      <x:c r="Q1756" s="2" t="str">
        <x:v>simulado_didactico</x:v>
      </x:c>
    </x:row>
    <x:row r="1757" ht="19" customHeight="1">
      <x:c r="A1757" s="2" t="str">
        <x:v>SIM-E2-MP-L7-R08</x:v>
      </x:c>
      <x:c r="B1757" s="2" t="n">
        <x:v>4</x:v>
      </x:c>
      <x:c r="C1757" s="2" t="str">
        <x:v>MP</x:v>
      </x:c>
      <x:c r="D1757" s="2" t="str">
        <x:v>Myzus persicae</x:v>
      </x:c>
      <x:c r="E1757" s="2" t="str">
        <x:v>L7</x:v>
      </x:c>
      <x:c r="F1757" s="2" t="n">
        <x:v>8</x:v>
      </x:c>
      <x:c r="G1757" s="2" t="n">
        <x:v>33</x:v>
      </x:c>
      <x:c r="H1757" s="2" t="n">
        <x:f>G1757+Supuestos!$C$15</x:f>
        <x:v>34</x:v>
      </x:c>
      <x:c r="I1757" s="14" t="n">
        <x:f>E2_plantas!J43+G1757</x:f>
        <x:v>46228</x:v>
      </x:c>
      <x:c r="J1757" s="2" t="str">
        <x:v>muerta</x:v>
      </x:c>
      <x:c r="K1757" s="2" t="n">
        <x:v>0</x:v>
      </x:c>
      <x:c r="L1757" s="2" t="n">
        <x:v>0</x:v>
      </x:c>
      <x:c r="M1757" s="2" t="n">
        <x:f>SUM(L$1724:L1757)</x:f>
        <x:v>46</x:v>
      </x:c>
      <x:c r="N1757" s="2" t="n">
        <x:v>0</x:v>
      </x:c>
      <x:c r="O1757" s="2" t="str">
        <x:v>relleno_postmuerte</x:v>
      </x:c>
      <x:c r="P1757" s="2" t="n">
        <x:v>0</x:v>
      </x:c>
      <x:c r="Q1757" s="2" t="str">
        <x:v>simulado_didactico</x:v>
      </x:c>
    </x:row>
    <x:row r="1758" ht="19" customHeight="1">
      <x:c r="A1758" s="2" t="str">
        <x:v>SIM-E2-MP-L7-R08</x:v>
      </x:c>
      <x:c r="B1758" s="2" t="n">
        <x:v>4</x:v>
      </x:c>
      <x:c r="C1758" s="2" t="str">
        <x:v>MP</x:v>
      </x:c>
      <x:c r="D1758" s="2" t="str">
        <x:v>Myzus persicae</x:v>
      </x:c>
      <x:c r="E1758" s="2" t="str">
        <x:v>L7</x:v>
      </x:c>
      <x:c r="F1758" s="2" t="n">
        <x:v>8</x:v>
      </x:c>
      <x:c r="G1758" s="2" t="n">
        <x:v>34</x:v>
      </x:c>
      <x:c r="H1758" s="2" t="n">
        <x:f>G1758+Supuestos!$C$15</x:f>
        <x:v>35</x:v>
      </x:c>
      <x:c r="I1758" s="14" t="n">
        <x:f>E2_plantas!J43+G1758</x:f>
        <x:v>46229</x:v>
      </x:c>
      <x:c r="J1758" s="2" t="str">
        <x:v>muerta</x:v>
      </x:c>
      <x:c r="K1758" s="2" t="n">
        <x:v>0</x:v>
      </x:c>
      <x:c r="L1758" s="2" t="n">
        <x:v>0</x:v>
      </x:c>
      <x:c r="M1758" s="2" t="n">
        <x:f>SUM(L$1724:L1758)</x:f>
        <x:v>46</x:v>
      </x:c>
      <x:c r="N1758" s="2" t="n">
        <x:v>0</x:v>
      </x:c>
      <x:c r="O1758" s="2" t="str">
        <x:v>relleno_postmuerte</x:v>
      </x:c>
      <x:c r="P1758" s="2" t="n">
        <x:v>0</x:v>
      </x:c>
      <x:c r="Q1758" s="2" t="str">
        <x:v>simulado_didactico</x:v>
      </x:c>
    </x:row>
    <x:row r="1759" ht="19" customHeight="1">
      <x:c r="A1759" s="2" t="str">
        <x:v>SIM-E2-MP-L7-R08</x:v>
      </x:c>
      <x:c r="B1759" s="2" t="n">
        <x:v>4</x:v>
      </x:c>
      <x:c r="C1759" s="2" t="str">
        <x:v>MP</x:v>
      </x:c>
      <x:c r="D1759" s="2" t="str">
        <x:v>Myzus persicae</x:v>
      </x:c>
      <x:c r="E1759" s="2" t="str">
        <x:v>L7</x:v>
      </x:c>
      <x:c r="F1759" s="2" t="n">
        <x:v>8</x:v>
      </x:c>
      <x:c r="G1759" s="2" t="n">
        <x:v>35</x:v>
      </x:c>
      <x:c r="H1759" s="2" t="n">
        <x:f>G1759+Supuestos!$C$15</x:f>
        <x:v>36</x:v>
      </x:c>
      <x:c r="I1759" s="14" t="n">
        <x:f>E2_plantas!J43+G1759</x:f>
        <x:v>46230</x:v>
      </x:c>
      <x:c r="J1759" s="2" t="str">
        <x:v>muerta</x:v>
      </x:c>
      <x:c r="K1759" s="2" t="n">
        <x:v>0</x:v>
      </x:c>
      <x:c r="L1759" s="2" t="n">
        <x:v>0</x:v>
      </x:c>
      <x:c r="M1759" s="2" t="n">
        <x:f>SUM(L$1724:L1759)</x:f>
        <x:v>46</x:v>
      </x:c>
      <x:c r="N1759" s="2" t="n">
        <x:v>0</x:v>
      </x:c>
      <x:c r="O1759" s="2" t="str">
        <x:v>relleno_postmuerte</x:v>
      </x:c>
      <x:c r="P1759" s="2" t="n">
        <x:v>0</x:v>
      </x:c>
      <x:c r="Q1759" s="2" t="str">
        <x:v>simulado_didactico</x:v>
      </x:c>
    </x:row>
    <x:row r="1760" ht="19" customHeight="1">
      <x:c r="A1760" s="2" t="str">
        <x:v>SIM-E2-MP-L7-R08</x:v>
      </x:c>
      <x:c r="B1760" s="2" t="n">
        <x:v>4</x:v>
      </x:c>
      <x:c r="C1760" s="2" t="str">
        <x:v>MP</x:v>
      </x:c>
      <x:c r="D1760" s="2" t="str">
        <x:v>Myzus persicae</x:v>
      </x:c>
      <x:c r="E1760" s="2" t="str">
        <x:v>L7</x:v>
      </x:c>
      <x:c r="F1760" s="2" t="n">
        <x:v>8</x:v>
      </x:c>
      <x:c r="G1760" s="2" t="n">
        <x:v>36</x:v>
      </x:c>
      <x:c r="H1760" s="2" t="n">
        <x:f>G1760+Supuestos!$C$15</x:f>
        <x:v>37</x:v>
      </x:c>
      <x:c r="I1760" s="14" t="n">
        <x:f>E2_plantas!J43+G1760</x:f>
        <x:v>46231</x:v>
      </x:c>
      <x:c r="J1760" s="2" t="str">
        <x:v>muerta</x:v>
      </x:c>
      <x:c r="K1760" s="2" t="n">
        <x:v>0</x:v>
      </x:c>
      <x:c r="L1760" s="2" t="n">
        <x:v>0</x:v>
      </x:c>
      <x:c r="M1760" s="2" t="n">
        <x:f>SUM(L$1724:L1760)</x:f>
        <x:v>46</x:v>
      </x:c>
      <x:c r="N1760" s="2" t="n">
        <x:v>0</x:v>
      </x:c>
      <x:c r="O1760" s="2" t="str">
        <x:v>relleno_postmuerte</x:v>
      </x:c>
      <x:c r="P1760" s="2" t="n">
        <x:v>0</x:v>
      </x:c>
      <x:c r="Q1760" s="2" t="str">
        <x:v>simulado_didactico</x:v>
      </x:c>
    </x:row>
    <x:row r="1761" ht="19" customHeight="1">
      <x:c r="A1761" s="2" t="str">
        <x:v>SIM-E2-MP-L7-R08</x:v>
      </x:c>
      <x:c r="B1761" s="2" t="n">
        <x:v>4</x:v>
      </x:c>
      <x:c r="C1761" s="2" t="str">
        <x:v>MP</x:v>
      </x:c>
      <x:c r="D1761" s="2" t="str">
        <x:v>Myzus persicae</x:v>
      </x:c>
      <x:c r="E1761" s="2" t="str">
        <x:v>L7</x:v>
      </x:c>
      <x:c r="F1761" s="2" t="n">
        <x:v>8</x:v>
      </x:c>
      <x:c r="G1761" s="2" t="n">
        <x:v>37</x:v>
      </x:c>
      <x:c r="H1761" s="2" t="n">
        <x:f>G1761+Supuestos!$C$15</x:f>
        <x:v>38</x:v>
      </x:c>
      <x:c r="I1761" s="14" t="n">
        <x:f>E2_plantas!J43+G1761</x:f>
        <x:v>46232</x:v>
      </x:c>
      <x:c r="J1761" s="2" t="str">
        <x:v>muerta</x:v>
      </x:c>
      <x:c r="K1761" s="2" t="n">
        <x:v>0</x:v>
      </x:c>
      <x:c r="L1761" s="2" t="n">
        <x:v>0</x:v>
      </x:c>
      <x:c r="M1761" s="2" t="n">
        <x:f>SUM(L$1724:L1761)</x:f>
        <x:v>46</x:v>
      </x:c>
      <x:c r="N1761" s="2" t="n">
        <x:v>0</x:v>
      </x:c>
      <x:c r="O1761" s="2" t="str">
        <x:v>relleno_postmuerte</x:v>
      </x:c>
      <x:c r="P1761" s="2" t="n">
        <x:v>0</x:v>
      </x:c>
      <x:c r="Q1761" s="2" t="str">
        <x:v>simulado_didactico</x:v>
      </x:c>
    </x:row>
    <x:row r="1762" ht="19" customHeight="1">
      <x:c r="A1762" s="2" t="str">
        <x:v>SIM-E2-MP-L7-R08</x:v>
      </x:c>
      <x:c r="B1762" s="2" t="n">
        <x:v>4</x:v>
      </x:c>
      <x:c r="C1762" s="2" t="str">
        <x:v>MP</x:v>
      </x:c>
      <x:c r="D1762" s="2" t="str">
        <x:v>Myzus persicae</x:v>
      </x:c>
      <x:c r="E1762" s="2" t="str">
        <x:v>L7</x:v>
      </x:c>
      <x:c r="F1762" s="2" t="n">
        <x:v>8</x:v>
      </x:c>
      <x:c r="G1762" s="2" t="n">
        <x:v>38</x:v>
      </x:c>
      <x:c r="H1762" s="2" t="n">
        <x:f>G1762+Supuestos!$C$15</x:f>
        <x:v>39</x:v>
      </x:c>
      <x:c r="I1762" s="14" t="n">
        <x:f>E2_plantas!J43+G1762</x:f>
        <x:v>46233</x:v>
      </x:c>
      <x:c r="J1762" s="2" t="str">
        <x:v>muerta</x:v>
      </x:c>
      <x:c r="K1762" s="2" t="n">
        <x:v>0</x:v>
      </x:c>
      <x:c r="L1762" s="2" t="n">
        <x:v>0</x:v>
      </x:c>
      <x:c r="M1762" s="2" t="n">
        <x:f>SUM(L$1724:L1762)</x:f>
        <x:v>46</x:v>
      </x:c>
      <x:c r="N1762" s="2" t="n">
        <x:v>0</x:v>
      </x:c>
      <x:c r="O1762" s="2" t="str">
        <x:v>relleno_postmuerte</x:v>
      </x:c>
      <x:c r="P1762" s="2" t="n">
        <x:v>0</x:v>
      </x:c>
      <x:c r="Q1762" s="2" t="str">
        <x:v>simulado_didactico</x:v>
      </x:c>
    </x:row>
    <x:row r="1763" ht="19" customHeight="1">
      <x:c r="A1763" s="2" t="str">
        <x:v>SIM-E2-MP-L7-R08</x:v>
      </x:c>
      <x:c r="B1763" s="2" t="n">
        <x:v>4</x:v>
      </x:c>
      <x:c r="C1763" s="2" t="str">
        <x:v>MP</x:v>
      </x:c>
      <x:c r="D1763" s="2" t="str">
        <x:v>Myzus persicae</x:v>
      </x:c>
      <x:c r="E1763" s="2" t="str">
        <x:v>L7</x:v>
      </x:c>
      <x:c r="F1763" s="2" t="n">
        <x:v>8</x:v>
      </x:c>
      <x:c r="G1763" s="2" t="n">
        <x:v>39</x:v>
      </x:c>
      <x:c r="H1763" s="2" t="n">
        <x:f>G1763+Supuestos!$C$15</x:f>
        <x:v>40</x:v>
      </x:c>
      <x:c r="I1763" s="14" t="n">
        <x:f>E2_plantas!J43+G1763</x:f>
        <x:v>46234</x:v>
      </x:c>
      <x:c r="J1763" s="2" t="str">
        <x:v>muerta</x:v>
      </x:c>
      <x:c r="K1763" s="2" t="n">
        <x:v>0</x:v>
      </x:c>
      <x:c r="L1763" s="2" t="n">
        <x:v>0</x:v>
      </x:c>
      <x:c r="M1763" s="2" t="n">
        <x:f>SUM(L$1724:L1763)</x:f>
        <x:v>46</x:v>
      </x:c>
      <x:c r="N1763" s="2" t="n">
        <x:v>0</x:v>
      </x:c>
      <x:c r="O1763" s="2" t="str">
        <x:v>relleno_postmuerte</x:v>
      </x:c>
      <x:c r="P1763" s="2" t="n">
        <x:v>0</x:v>
      </x:c>
      <x:c r="Q1763" s="2" t="str">
        <x:v>simulado_didactico</x:v>
      </x:c>
    </x:row>
    <x:row r="1764" ht="19" customHeight="1">
      <x:c r="A1764" s="2" t="str">
        <x:v>SIM-E2-MP-L7-R08</x:v>
      </x:c>
      <x:c r="B1764" s="2" t="n">
        <x:v>4</x:v>
      </x:c>
      <x:c r="C1764" s="2" t="str">
        <x:v>MP</x:v>
      </x:c>
      <x:c r="D1764" s="2" t="str">
        <x:v>Myzus persicae</x:v>
      </x:c>
      <x:c r="E1764" s="2" t="str">
        <x:v>L7</x:v>
      </x:c>
      <x:c r="F1764" s="2" t="n">
        <x:v>8</x:v>
      </x:c>
      <x:c r="G1764" s="2" t="n">
        <x:v>40</x:v>
      </x:c>
      <x:c r="H1764" s="2" t="n">
        <x:f>G1764+Supuestos!$C$15</x:f>
        <x:v>41</x:v>
      </x:c>
      <x:c r="I1764" s="14" t="n">
        <x:f>E2_plantas!J43+G1764</x:f>
        <x:v>46235</x:v>
      </x:c>
      <x:c r="J1764" s="2" t="str">
        <x:v>muerta</x:v>
      </x:c>
      <x:c r="K1764" s="2" t="n">
        <x:v>0</x:v>
      </x:c>
      <x:c r="L1764" s="2" t="n">
        <x:v>0</x:v>
      </x:c>
      <x:c r="M1764" s="2" t="n">
        <x:f>SUM(L$1724:L1764)</x:f>
        <x:v>46</x:v>
      </x:c>
      <x:c r="N1764" s="2" t="n">
        <x:v>0</x:v>
      </x:c>
      <x:c r="O1764" s="2" t="str">
        <x:v>relleno_postmuerte</x:v>
      </x:c>
      <x:c r="P1764" s="2" t="n">
        <x:v>0</x:v>
      </x:c>
      <x:c r="Q1764" s="2" t="str">
        <x:v>simulado_didactico</x:v>
      </x:c>
    </x:row>
    <x:row r="1765" ht="19" customHeight="1">
      <x:c r="A1765" s="2" t="str">
        <x:v>SIM-E2-MP-L7-R08</x:v>
      </x:c>
      <x:c r="B1765" s="2" t="n">
        <x:v>4</x:v>
      </x:c>
      <x:c r="C1765" s="2" t="str">
        <x:v>MP</x:v>
      </x:c>
      <x:c r="D1765" s="2" t="str">
        <x:v>Myzus persicae</x:v>
      </x:c>
      <x:c r="E1765" s="2" t="str">
        <x:v>L7</x:v>
      </x:c>
      <x:c r="F1765" s="2" t="n">
        <x:v>8</x:v>
      </x:c>
      <x:c r="G1765" s="2" t="n">
        <x:v>41</x:v>
      </x:c>
      <x:c r="H1765" s="2" t="n">
        <x:f>G1765+Supuestos!$C$15</x:f>
        <x:v>42</x:v>
      </x:c>
      <x:c r="I1765" s="14" t="n">
        <x:f>E2_plantas!J43+G1765</x:f>
        <x:v>46236</x:v>
      </x:c>
      <x:c r="J1765" s="2" t="str">
        <x:v>muerta</x:v>
      </x:c>
      <x:c r="K1765" s="2" t="n">
        <x:v>0</x:v>
      </x:c>
      <x:c r="L1765" s="2" t="n">
        <x:v>0</x:v>
      </x:c>
      <x:c r="M1765" s="2" t="n">
        <x:f>SUM(L$1724:L1765)</x:f>
        <x:v>46</x:v>
      </x:c>
      <x:c r="N1765" s="2" t="n">
        <x:v>0</x:v>
      </x:c>
      <x:c r="O1765" s="2" t="str">
        <x:v>relleno_postmuerte</x:v>
      </x:c>
      <x:c r="P1765" s="2" t="n">
        <x:v>0</x:v>
      </x:c>
      <x:c r="Q1765" s="2" t="str">
        <x:v>simulado_didactico</x:v>
      </x:c>
    </x:row>
    <x:row r="1766" ht="19" customHeight="1">
      <x:c r="A1766" s="2" t="str">
        <x:v>SIM-E2-BB-L0-R07</x:v>
      </x:c>
      <x:c r="B1766" s="2" t="n">
        <x:v>4</x:v>
      </x:c>
      <x:c r="C1766" s="2" t="str">
        <x:v>BB</x:v>
      </x:c>
      <x:c r="D1766" s="2" t="str">
        <x:v>Brevicoryne brassicae</x:v>
      </x:c>
      <x:c r="E1766" s="2" t="str">
        <x:v>L0</x:v>
      </x:c>
      <x:c r="F1766" s="2" t="n">
        <x:v>7</x:v>
      </x:c>
      <x:c r="G1766" s="2" t="n">
        <x:v>0</x:v>
      </x:c>
      <x:c r="H1766" s="2" t="n">
        <x:f>G1766+Supuestos!$C$15</x:f>
        <x:v>1</x:v>
      </x:c>
      <x:c r="I1766" s="14" t="n">
        <x:f>E2_plantas!J44+G1766</x:f>
        <x:v>46195</x:v>
      </x:c>
      <x:c r="J1766" s="2" t="str">
        <x:v>N1</x:v>
      </x:c>
      <x:c r="K1766" s="2" t="n">
        <x:v>1</x:v>
      </x:c>
      <x:c r="L1766" s="2" t="n">
        <x:v>0</x:v>
      </x:c>
      <x:c r="M1766" s="2" t="n">
        <x:f>SUM(L$1766:L1766)</x:f>
        <x:v>0</x:v>
      </x:c>
      <x:c r="N1766" s="2" t="n">
        <x:v>0</x:v>
      </x:c>
      <x:c r="O1766" s="2" t="str">
        <x:v>seguimiento</x:v>
      </x:c>
      <x:c r="P1766" s="2" t="n">
        <x:v>0</x:v>
      </x:c>
      <x:c r="Q1766" s="2" t="str">
        <x:v>simulado_didactico</x:v>
      </x:c>
    </x:row>
    <x:row r="1767" ht="19" customHeight="1">
      <x:c r="A1767" s="2" t="str">
        <x:v>SIM-E2-BB-L0-R07</x:v>
      </x:c>
      <x:c r="B1767" s="2" t="n">
        <x:v>4</x:v>
      </x:c>
      <x:c r="C1767" s="2" t="str">
        <x:v>BB</x:v>
      </x:c>
      <x:c r="D1767" s="2" t="str">
        <x:v>Brevicoryne brassicae</x:v>
      </x:c>
      <x:c r="E1767" s="2" t="str">
        <x:v>L0</x:v>
      </x:c>
      <x:c r="F1767" s="2" t="n">
        <x:v>7</x:v>
      </x:c>
      <x:c r="G1767" s="2" t="n">
        <x:v>1</x:v>
      </x:c>
      <x:c r="H1767" s="2" t="n">
        <x:f>G1767+Supuestos!$C$15</x:f>
        <x:v>2</x:v>
      </x:c>
      <x:c r="I1767" s="14" t="n">
        <x:f>E2_plantas!J44+G1767</x:f>
        <x:v>46196</x:v>
      </x:c>
      <x:c r="J1767" s="2" t="str">
        <x:v>N1</x:v>
      </x:c>
      <x:c r="K1767" s="2" t="n">
        <x:v>1</x:v>
      </x:c>
      <x:c r="L1767" s="2" t="n">
        <x:v>0</x:v>
      </x:c>
      <x:c r="M1767" s="2" t="n">
        <x:f>SUM(L$1766:L1767)</x:f>
        <x:v>0</x:v>
      </x:c>
      <x:c r="N1767" s="2" t="n">
        <x:v>0</x:v>
      </x:c>
      <x:c r="O1767" s="2" t="str">
        <x:v>seguimiento</x:v>
      </x:c>
      <x:c r="P1767" s="2" t="n">
        <x:v>0</x:v>
      </x:c>
      <x:c r="Q1767" s="2" t="str">
        <x:v>simulado_didactico</x:v>
      </x:c>
    </x:row>
    <x:row r="1768" ht="19" customHeight="1">
      <x:c r="A1768" s="2" t="str">
        <x:v>SIM-E2-BB-L0-R07</x:v>
      </x:c>
      <x:c r="B1768" s="2" t="n">
        <x:v>4</x:v>
      </x:c>
      <x:c r="C1768" s="2" t="str">
        <x:v>BB</x:v>
      </x:c>
      <x:c r="D1768" s="2" t="str">
        <x:v>Brevicoryne brassicae</x:v>
      </x:c>
      <x:c r="E1768" s="2" t="str">
        <x:v>L0</x:v>
      </x:c>
      <x:c r="F1768" s="2" t="n">
        <x:v>7</x:v>
      </x:c>
      <x:c r="G1768" s="2" t="n">
        <x:v>2</x:v>
      </x:c>
      <x:c r="H1768" s="2" t="n">
        <x:f>G1768+Supuestos!$C$15</x:f>
        <x:v>3</x:v>
      </x:c>
      <x:c r="I1768" s="14" t="n">
        <x:f>E2_plantas!J44+G1768</x:f>
        <x:v>46197</x:v>
      </x:c>
      <x:c r="J1768" s="2" t="str">
        <x:v>N2</x:v>
      </x:c>
      <x:c r="K1768" s="2" t="n">
        <x:v>1</x:v>
      </x:c>
      <x:c r="L1768" s="2" t="n">
        <x:v>0</x:v>
      </x:c>
      <x:c r="M1768" s="2" t="n">
        <x:f>SUM(L$1766:L1768)</x:f>
        <x:v>0</x:v>
      </x:c>
      <x:c r="N1768" s="2" t="n">
        <x:v>0</x:v>
      </x:c>
      <x:c r="O1768" s="2" t="str">
        <x:v>seguimiento</x:v>
      </x:c>
      <x:c r="P1768" s="2" t="n">
        <x:v>0</x:v>
      </x:c>
      <x:c r="Q1768" s="2" t="str">
        <x:v>simulado_didactico</x:v>
      </x:c>
    </x:row>
    <x:row r="1769" ht="19" customHeight="1">
      <x:c r="A1769" s="2" t="str">
        <x:v>SIM-E2-BB-L0-R07</x:v>
      </x:c>
      <x:c r="B1769" s="2" t="n">
        <x:v>4</x:v>
      </x:c>
      <x:c r="C1769" s="2" t="str">
        <x:v>BB</x:v>
      </x:c>
      <x:c r="D1769" s="2" t="str">
        <x:v>Brevicoryne brassicae</x:v>
      </x:c>
      <x:c r="E1769" s="2" t="str">
        <x:v>L0</x:v>
      </x:c>
      <x:c r="F1769" s="2" t="n">
        <x:v>7</x:v>
      </x:c>
      <x:c r="G1769" s="2" t="n">
        <x:v>3</x:v>
      </x:c>
      <x:c r="H1769" s="2" t="n">
        <x:f>G1769+Supuestos!$C$15</x:f>
        <x:v>4</x:v>
      </x:c>
      <x:c r="I1769" s="14" t="n">
        <x:f>E2_plantas!J44+G1769</x:f>
        <x:v>46198</x:v>
      </x:c>
      <x:c r="J1769" s="2" t="str">
        <x:v>N2</x:v>
      </x:c>
      <x:c r="K1769" s="2" t="n">
        <x:v>1</x:v>
      </x:c>
      <x:c r="L1769" s="2" t="n">
        <x:v>0</x:v>
      </x:c>
      <x:c r="M1769" s="2" t="n">
        <x:f>SUM(L$1766:L1769)</x:f>
        <x:v>0</x:v>
      </x:c>
      <x:c r="N1769" s="2" t="n">
        <x:v>0</x:v>
      </x:c>
      <x:c r="O1769" s="2" t="str">
        <x:v>seguimiento</x:v>
      </x:c>
      <x:c r="P1769" s="2" t="n">
        <x:v>0</x:v>
      </x:c>
      <x:c r="Q1769" s="2" t="str">
        <x:v>simulado_didactico</x:v>
      </x:c>
    </x:row>
    <x:row r="1770" ht="19" customHeight="1">
      <x:c r="A1770" s="2" t="str">
        <x:v>SIM-E2-BB-L0-R07</x:v>
      </x:c>
      <x:c r="B1770" s="2" t="n">
        <x:v>4</x:v>
      </x:c>
      <x:c r="C1770" s="2" t="str">
        <x:v>BB</x:v>
      </x:c>
      <x:c r="D1770" s="2" t="str">
        <x:v>Brevicoryne brassicae</x:v>
      </x:c>
      <x:c r="E1770" s="2" t="str">
        <x:v>L0</x:v>
      </x:c>
      <x:c r="F1770" s="2" t="n">
        <x:v>7</x:v>
      </x:c>
      <x:c r="G1770" s="2" t="n">
        <x:v>4</x:v>
      </x:c>
      <x:c r="H1770" s="2" t="n">
        <x:f>G1770+Supuestos!$C$15</x:f>
        <x:v>5</x:v>
      </x:c>
      <x:c r="I1770" s="14" t="n">
        <x:f>E2_plantas!J44+G1770</x:f>
        <x:v>46199</x:v>
      </x:c>
      <x:c r="J1770" s="2" t="str">
        <x:v>N3</x:v>
      </x:c>
      <x:c r="K1770" s="2" t="n">
        <x:v>1</x:v>
      </x:c>
      <x:c r="L1770" s="2" t="n">
        <x:v>0</x:v>
      </x:c>
      <x:c r="M1770" s="2" t="n">
        <x:f>SUM(L$1766:L1770)</x:f>
        <x:v>0</x:v>
      </x:c>
      <x:c r="N1770" s="2" t="n">
        <x:v>0</x:v>
      </x:c>
      <x:c r="O1770" s="2" t="str">
        <x:v>seguimiento</x:v>
      </x:c>
      <x:c r="P1770" s="2" t="n">
        <x:v>0</x:v>
      </x:c>
      <x:c r="Q1770" s="2" t="str">
        <x:v>simulado_didactico</x:v>
      </x:c>
    </x:row>
    <x:row r="1771" ht="19" customHeight="1">
      <x:c r="A1771" s="2" t="str">
        <x:v>SIM-E2-BB-L0-R07</x:v>
      </x:c>
      <x:c r="B1771" s="2" t="n">
        <x:v>4</x:v>
      </x:c>
      <x:c r="C1771" s="2" t="str">
        <x:v>BB</x:v>
      </x:c>
      <x:c r="D1771" s="2" t="str">
        <x:v>Brevicoryne brassicae</x:v>
      </x:c>
      <x:c r="E1771" s="2" t="str">
        <x:v>L0</x:v>
      </x:c>
      <x:c r="F1771" s="2" t="n">
        <x:v>7</x:v>
      </x:c>
      <x:c r="G1771" s="2" t="n">
        <x:v>5</x:v>
      </x:c>
      <x:c r="H1771" s="2" t="n">
        <x:f>G1771+Supuestos!$C$15</x:f>
        <x:v>6</x:v>
      </x:c>
      <x:c r="I1771" s="14" t="n">
        <x:f>E2_plantas!J44+G1771</x:f>
        <x:v>46200</x:v>
      </x:c>
      <x:c r="J1771" s="2" t="str">
        <x:v>N3</x:v>
      </x:c>
      <x:c r="K1771" s="2" t="n">
        <x:v>1</x:v>
      </x:c>
      <x:c r="L1771" s="2" t="n">
        <x:v>0</x:v>
      </x:c>
      <x:c r="M1771" s="2" t="n">
        <x:f>SUM(L$1766:L1771)</x:f>
        <x:v>0</x:v>
      </x:c>
      <x:c r="N1771" s="2" t="n">
        <x:v>0</x:v>
      </x:c>
      <x:c r="O1771" s="2" t="str">
        <x:v>seguimiento</x:v>
      </x:c>
      <x:c r="P1771" s="2" t="n">
        <x:v>0</x:v>
      </x:c>
      <x:c r="Q1771" s="2" t="str">
        <x:v>simulado_didactico</x:v>
      </x:c>
    </x:row>
    <x:row r="1772" ht="19" customHeight="1">
      <x:c r="A1772" s="2" t="str">
        <x:v>SIM-E2-BB-L0-R07</x:v>
      </x:c>
      <x:c r="B1772" s="2" t="n">
        <x:v>4</x:v>
      </x:c>
      <x:c r="C1772" s="2" t="str">
        <x:v>BB</x:v>
      </x:c>
      <x:c r="D1772" s="2" t="str">
        <x:v>Brevicoryne brassicae</x:v>
      </x:c>
      <x:c r="E1772" s="2" t="str">
        <x:v>L0</x:v>
      </x:c>
      <x:c r="F1772" s="2" t="n">
        <x:v>7</x:v>
      </x:c>
      <x:c r="G1772" s="2" t="n">
        <x:v>6</x:v>
      </x:c>
      <x:c r="H1772" s="2" t="n">
        <x:f>G1772+Supuestos!$C$15</x:f>
        <x:v>7</x:v>
      </x:c>
      <x:c r="I1772" s="14" t="n">
        <x:f>E2_plantas!J44+G1772</x:f>
        <x:v>46201</x:v>
      </x:c>
      <x:c r="J1772" s="2" t="str">
        <x:v>N3</x:v>
      </x:c>
      <x:c r="K1772" s="2" t="n">
        <x:v>1</x:v>
      </x:c>
      <x:c r="L1772" s="2" t="n">
        <x:v>0</x:v>
      </x:c>
      <x:c r="M1772" s="2" t="n">
        <x:f>SUM(L$1766:L1772)</x:f>
        <x:v>0</x:v>
      </x:c>
      <x:c r="N1772" s="2" t="n">
        <x:v>0</x:v>
      </x:c>
      <x:c r="O1772" s="2" t="str">
        <x:v>seguimiento</x:v>
      </x:c>
      <x:c r="P1772" s="2" t="n">
        <x:v>0</x:v>
      </x:c>
      <x:c r="Q1772" s="2" t="str">
        <x:v>simulado_didactico</x:v>
      </x:c>
    </x:row>
    <x:row r="1773" ht="19" customHeight="1">
      <x:c r="A1773" s="2" t="str">
        <x:v>SIM-E2-BB-L0-R07</x:v>
      </x:c>
      <x:c r="B1773" s="2" t="n">
        <x:v>4</x:v>
      </x:c>
      <x:c r="C1773" s="2" t="str">
        <x:v>BB</x:v>
      </x:c>
      <x:c r="D1773" s="2" t="str">
        <x:v>Brevicoryne brassicae</x:v>
      </x:c>
      <x:c r="E1773" s="2" t="str">
        <x:v>L0</x:v>
      </x:c>
      <x:c r="F1773" s="2" t="n">
        <x:v>7</x:v>
      </x:c>
      <x:c r="G1773" s="2" t="n">
        <x:v>7</x:v>
      </x:c>
      <x:c r="H1773" s="2" t="n">
        <x:f>G1773+Supuestos!$C$15</x:f>
        <x:v>8</x:v>
      </x:c>
      <x:c r="I1773" s="14" t="n">
        <x:f>E2_plantas!J44+G1773</x:f>
        <x:v>46202</x:v>
      </x:c>
      <x:c r="J1773" s="2" t="str">
        <x:v>N3</x:v>
      </x:c>
      <x:c r="K1773" s="2" t="n">
        <x:v>1</x:v>
      </x:c>
      <x:c r="L1773" s="2" t="n">
        <x:v>0</x:v>
      </x:c>
      <x:c r="M1773" s="2" t="n">
        <x:f>SUM(L$1766:L1773)</x:f>
        <x:v>0</x:v>
      </x:c>
      <x:c r="N1773" s="2" t="n">
        <x:v>0</x:v>
      </x:c>
      <x:c r="O1773" s="2" t="str">
        <x:v>seguimiento</x:v>
      </x:c>
      <x:c r="P1773" s="2" t="n">
        <x:v>0</x:v>
      </x:c>
      <x:c r="Q1773" s="2" t="str">
        <x:v>simulado_didactico</x:v>
      </x:c>
    </x:row>
    <x:row r="1774" ht="19" customHeight="1">
      <x:c r="A1774" s="2" t="str">
        <x:v>SIM-E2-BB-L0-R07</x:v>
      </x:c>
      <x:c r="B1774" s="2" t="n">
        <x:v>4</x:v>
      </x:c>
      <x:c r="C1774" s="2" t="str">
        <x:v>BB</x:v>
      </x:c>
      <x:c r="D1774" s="2" t="str">
        <x:v>Brevicoryne brassicae</x:v>
      </x:c>
      <x:c r="E1774" s="2" t="str">
        <x:v>L0</x:v>
      </x:c>
      <x:c r="F1774" s="2" t="n">
        <x:v>7</x:v>
      </x:c>
      <x:c r="G1774" s="2" t="n">
        <x:v>8</x:v>
      </x:c>
      <x:c r="H1774" s="2" t="n">
        <x:f>G1774+Supuestos!$C$15</x:f>
        <x:v>9</x:v>
      </x:c>
      <x:c r="I1774" s="14" t="n">
        <x:f>E2_plantas!J44+G1774</x:f>
        <x:v>46203</x:v>
      </x:c>
      <x:c r="J1774" s="2" t="str">
        <x:v>N4</x:v>
      </x:c>
      <x:c r="K1774" s="2" t="n">
        <x:v>1</x:v>
      </x:c>
      <x:c r="L1774" s="2" t="n">
        <x:v>0</x:v>
      </x:c>
      <x:c r="M1774" s="2" t="n">
        <x:f>SUM(L$1766:L1774)</x:f>
        <x:v>0</x:v>
      </x:c>
      <x:c r="N1774" s="2" t="n">
        <x:v>0</x:v>
      </x:c>
      <x:c r="O1774" s="2" t="str">
        <x:v>seguimiento</x:v>
      </x:c>
      <x:c r="P1774" s="2" t="n">
        <x:v>0</x:v>
      </x:c>
      <x:c r="Q1774" s="2" t="str">
        <x:v>simulado_didactico</x:v>
      </x:c>
    </x:row>
    <x:row r="1775" ht="19" customHeight="1">
      <x:c r="A1775" s="2" t="str">
        <x:v>SIM-E2-BB-L0-R07</x:v>
      </x:c>
      <x:c r="B1775" s="2" t="n">
        <x:v>4</x:v>
      </x:c>
      <x:c r="C1775" s="2" t="str">
        <x:v>BB</x:v>
      </x:c>
      <x:c r="D1775" s="2" t="str">
        <x:v>Brevicoryne brassicae</x:v>
      </x:c>
      <x:c r="E1775" s="2" t="str">
        <x:v>L0</x:v>
      </x:c>
      <x:c r="F1775" s="2" t="n">
        <x:v>7</x:v>
      </x:c>
      <x:c r="G1775" s="2" t="n">
        <x:v>9</x:v>
      </x:c>
      <x:c r="H1775" s="2" t="n">
        <x:f>G1775+Supuestos!$C$15</x:f>
        <x:v>10</x:v>
      </x:c>
      <x:c r="I1775" s="14" t="n">
        <x:f>E2_plantas!J44+G1775</x:f>
        <x:v>46204</x:v>
      </x:c>
      <x:c r="J1775" s="2" t="str">
        <x:v>adulta</x:v>
      </x:c>
      <x:c r="K1775" s="2" t="n">
        <x:v>1</x:v>
      </x:c>
      <x:c r="L1775" s="2" t="n">
        <x:v>0</x:v>
      </x:c>
      <x:c r="M1775" s="2" t="n">
        <x:f>SUM(L$1766:L1775)</x:f>
        <x:v>0</x:v>
      </x:c>
      <x:c r="N1775" s="2" t="n">
        <x:v>0</x:v>
      </x:c>
      <x:c r="O1775" s="2" t="str">
        <x:v>seguimiento</x:v>
      </x:c>
      <x:c r="P1775" s="2" t="n">
        <x:v>0</x:v>
      </x:c>
      <x:c r="Q1775" s="2" t="str">
        <x:v>simulado_didactico</x:v>
      </x:c>
    </x:row>
    <x:row r="1776" ht="19" customHeight="1">
      <x:c r="A1776" s="2" t="str">
        <x:v>SIM-E2-BB-L0-R07</x:v>
      </x:c>
      <x:c r="B1776" s="2" t="n">
        <x:v>4</x:v>
      </x:c>
      <x:c r="C1776" s="2" t="str">
        <x:v>BB</x:v>
      </x:c>
      <x:c r="D1776" s="2" t="str">
        <x:v>Brevicoryne brassicae</x:v>
      </x:c>
      <x:c r="E1776" s="2" t="str">
        <x:v>L0</x:v>
      </x:c>
      <x:c r="F1776" s="2" t="n">
        <x:v>7</x:v>
      </x:c>
      <x:c r="G1776" s="2" t="n">
        <x:v>10</x:v>
      </x:c>
      <x:c r="H1776" s="2" t="n">
        <x:f>G1776+Supuestos!$C$15</x:f>
        <x:v>11</x:v>
      </x:c>
      <x:c r="I1776" s="14" t="n">
        <x:f>E2_plantas!J44+G1776</x:f>
        <x:v>46205</x:v>
      </x:c>
      <x:c r="J1776" s="2" t="str">
        <x:v>adulta</x:v>
      </x:c>
      <x:c r="K1776" s="2" t="n">
        <x:v>1</x:v>
      </x:c>
      <x:c r="L1776" s="2" t="n">
        <x:v>2</x:v>
      </x:c>
      <x:c r="M1776" s="2" t="n">
        <x:f>SUM(L$1766:L1776)</x:f>
        <x:v>2</x:v>
      </x:c>
      <x:c r="N1776" s="2" t="n">
        <x:v>0</x:v>
      </x:c>
      <x:c r="O1776" s="2" t="str">
        <x:v>seguimiento</x:v>
      </x:c>
      <x:c r="P1776" s="2" t="n">
        <x:v>0</x:v>
      </x:c>
      <x:c r="Q1776" s="2" t="str">
        <x:v>simulado_didactico</x:v>
      </x:c>
    </x:row>
    <x:row r="1777" ht="19" customHeight="1">
      <x:c r="A1777" s="2" t="str">
        <x:v>SIM-E2-BB-L0-R07</x:v>
      </x:c>
      <x:c r="B1777" s="2" t="n">
        <x:v>4</x:v>
      </x:c>
      <x:c r="C1777" s="2" t="str">
        <x:v>BB</x:v>
      </x:c>
      <x:c r="D1777" s="2" t="str">
        <x:v>Brevicoryne brassicae</x:v>
      </x:c>
      <x:c r="E1777" s="2" t="str">
        <x:v>L0</x:v>
      </x:c>
      <x:c r="F1777" s="2" t="n">
        <x:v>7</x:v>
      </x:c>
      <x:c r="G1777" s="2" t="n">
        <x:v>11</x:v>
      </x:c>
      <x:c r="H1777" s="2" t="n">
        <x:f>G1777+Supuestos!$C$15</x:f>
        <x:v>12</x:v>
      </x:c>
      <x:c r="I1777" s="14" t="n">
        <x:f>E2_plantas!J44+G1777</x:f>
        <x:v>46206</x:v>
      </x:c>
      <x:c r="J1777" s="2" t="str">
        <x:v>adulta</x:v>
      </x:c>
      <x:c r="K1777" s="2" t="n">
        <x:v>1</x:v>
      </x:c>
      <x:c r="L1777" s="2" t="n">
        <x:v>5</x:v>
      </x:c>
      <x:c r="M1777" s="2" t="n">
        <x:f>SUM(L$1766:L1777)</x:f>
        <x:v>7</x:v>
      </x:c>
      <x:c r="N1777" s="2" t="n">
        <x:v>0</x:v>
      </x:c>
      <x:c r="O1777" s="2" t="str">
        <x:v>seguimiento</x:v>
      </x:c>
      <x:c r="P1777" s="2" t="n">
        <x:v>0</x:v>
      </x:c>
      <x:c r="Q1777" s="2" t="str">
        <x:v>simulado_didactico</x:v>
      </x:c>
    </x:row>
    <x:row r="1778" ht="19" customHeight="1">
      <x:c r="A1778" s="2" t="str">
        <x:v>SIM-E2-BB-L0-R07</x:v>
      </x:c>
      <x:c r="B1778" s="2" t="n">
        <x:v>4</x:v>
      </x:c>
      <x:c r="C1778" s="2" t="str">
        <x:v>BB</x:v>
      </x:c>
      <x:c r="D1778" s="2" t="str">
        <x:v>Brevicoryne brassicae</x:v>
      </x:c>
      <x:c r="E1778" s="2" t="str">
        <x:v>L0</x:v>
      </x:c>
      <x:c r="F1778" s="2" t="n">
        <x:v>7</x:v>
      </x:c>
      <x:c r="G1778" s="2" t="n">
        <x:v>12</x:v>
      </x:c>
      <x:c r="H1778" s="2" t="n">
        <x:f>G1778+Supuestos!$C$15</x:f>
        <x:v>13</x:v>
      </x:c>
      <x:c r="I1778" s="14" t="n">
        <x:f>E2_plantas!J44+G1778</x:f>
        <x:v>46207</x:v>
      </x:c>
      <x:c r="J1778" s="2" t="str">
        <x:v>adulta</x:v>
      </x:c>
      <x:c r="K1778" s="2" t="n">
        <x:v>1</x:v>
      </x:c>
      <x:c r="L1778" s="2" t="n">
        <x:v>4</x:v>
      </x:c>
      <x:c r="M1778" s="2" t="n">
        <x:f>SUM(L$1766:L1778)</x:f>
        <x:v>11</x:v>
      </x:c>
      <x:c r="N1778" s="2" t="n">
        <x:v>0</x:v>
      </x:c>
      <x:c r="O1778" s="2" t="str">
        <x:v>seguimiento</x:v>
      </x:c>
      <x:c r="P1778" s="2" t="n">
        <x:v>0</x:v>
      </x:c>
      <x:c r="Q1778" s="2" t="str">
        <x:v>simulado_didactico</x:v>
      </x:c>
    </x:row>
    <x:row r="1779" ht="19" customHeight="1">
      <x:c r="A1779" s="2" t="str">
        <x:v>SIM-E2-BB-L0-R07</x:v>
      </x:c>
      <x:c r="B1779" s="2" t="n">
        <x:v>4</x:v>
      </x:c>
      <x:c r="C1779" s="2" t="str">
        <x:v>BB</x:v>
      </x:c>
      <x:c r="D1779" s="2" t="str">
        <x:v>Brevicoryne brassicae</x:v>
      </x:c>
      <x:c r="E1779" s="2" t="str">
        <x:v>L0</x:v>
      </x:c>
      <x:c r="F1779" s="2" t="n">
        <x:v>7</x:v>
      </x:c>
      <x:c r="G1779" s="2" t="n">
        <x:v>13</x:v>
      </x:c>
      <x:c r="H1779" s="2" t="n">
        <x:f>G1779+Supuestos!$C$15</x:f>
        <x:v>14</x:v>
      </x:c>
      <x:c r="I1779" s="14" t="n">
        <x:f>E2_plantas!J44+G1779</x:f>
        <x:v>46208</x:v>
      </x:c>
      <x:c r="J1779" s="2" t="str">
        <x:v>adulta</x:v>
      </x:c>
      <x:c r="K1779" s="2" t="n">
        <x:v>1</x:v>
      </x:c>
      <x:c r="L1779" s="2" t="n">
        <x:v>3</x:v>
      </x:c>
      <x:c r="M1779" s="2" t="n">
        <x:f>SUM(L$1766:L1779)</x:f>
        <x:v>14</x:v>
      </x:c>
      <x:c r="N1779" s="2" t="n">
        <x:v>0</x:v>
      </x:c>
      <x:c r="O1779" s="2" t="str">
        <x:v>seguimiento</x:v>
      </x:c>
      <x:c r="P1779" s="2" t="n">
        <x:v>0</x:v>
      </x:c>
      <x:c r="Q1779" s="2" t="str">
        <x:v>simulado_didactico</x:v>
      </x:c>
    </x:row>
    <x:row r="1780" ht="19" customHeight="1">
      <x:c r="A1780" s="2" t="str">
        <x:v>SIM-E2-BB-L0-R07</x:v>
      </x:c>
      <x:c r="B1780" s="2" t="n">
        <x:v>4</x:v>
      </x:c>
      <x:c r="C1780" s="2" t="str">
        <x:v>BB</x:v>
      </x:c>
      <x:c r="D1780" s="2" t="str">
        <x:v>Brevicoryne brassicae</x:v>
      </x:c>
      <x:c r="E1780" s="2" t="str">
        <x:v>L0</x:v>
      </x:c>
      <x:c r="F1780" s="2" t="n">
        <x:v>7</x:v>
      </x:c>
      <x:c r="G1780" s="2" t="n">
        <x:v>14</x:v>
      </x:c>
      <x:c r="H1780" s="2" t="n">
        <x:f>G1780+Supuestos!$C$15</x:f>
        <x:v>15</x:v>
      </x:c>
      <x:c r="I1780" s="14" t="n">
        <x:f>E2_plantas!J44+G1780</x:f>
        <x:v>46209</x:v>
      </x:c>
      <x:c r="J1780" s="2" t="str">
        <x:v>adulta</x:v>
      </x:c>
      <x:c r="K1780" s="2" t="n">
        <x:v>1</x:v>
      </x:c>
      <x:c r="L1780" s="2" t="n">
        <x:v>6</x:v>
      </x:c>
      <x:c r="M1780" s="2" t="n">
        <x:f>SUM(L$1766:L1780)</x:f>
        <x:v>20</x:v>
      </x:c>
      <x:c r="N1780" s="2" t="n">
        <x:v>0</x:v>
      </x:c>
      <x:c r="O1780" s="2" t="str">
        <x:v>seguimiento</x:v>
      </x:c>
      <x:c r="P1780" s="2" t="n">
        <x:v>0</x:v>
      </x:c>
      <x:c r="Q1780" s="2" t="str">
        <x:v>simulado_didactico</x:v>
      </x:c>
    </x:row>
    <x:row r="1781" ht="19" customHeight="1">
      <x:c r="A1781" s="2" t="str">
        <x:v>SIM-E2-BB-L0-R07</x:v>
      </x:c>
      <x:c r="B1781" s="2" t="n">
        <x:v>4</x:v>
      </x:c>
      <x:c r="C1781" s="2" t="str">
        <x:v>BB</x:v>
      </x:c>
      <x:c r="D1781" s="2" t="str">
        <x:v>Brevicoryne brassicae</x:v>
      </x:c>
      <x:c r="E1781" s="2" t="str">
        <x:v>L0</x:v>
      </x:c>
      <x:c r="F1781" s="2" t="n">
        <x:v>7</x:v>
      </x:c>
      <x:c r="G1781" s="2" t="n">
        <x:v>15</x:v>
      </x:c>
      <x:c r="H1781" s="2" t="n">
        <x:f>G1781+Supuestos!$C$15</x:f>
        <x:v>16</x:v>
      </x:c>
      <x:c r="I1781" s="14" t="n">
        <x:f>E2_plantas!J44+G1781</x:f>
        <x:v>46210</x:v>
      </x:c>
      <x:c r="J1781" s="2" t="str">
        <x:v>adulta</x:v>
      </x:c>
      <x:c r="K1781" s="2" t="n">
        <x:v>1</x:v>
      </x:c>
      <x:c r="L1781" s="2" t="n">
        <x:v>5</x:v>
      </x:c>
      <x:c r="M1781" s="2" t="n">
        <x:f>SUM(L$1766:L1781)</x:f>
        <x:v>25</x:v>
      </x:c>
      <x:c r="N1781" s="2" t="n">
        <x:v>0</x:v>
      </x:c>
      <x:c r="O1781" s="2" t="str">
        <x:v>seguimiento</x:v>
      </x:c>
      <x:c r="P1781" s="2" t="n">
        <x:v>0</x:v>
      </x:c>
      <x:c r="Q1781" s="2" t="str">
        <x:v>simulado_didactico</x:v>
      </x:c>
    </x:row>
    <x:row r="1782" ht="19" customHeight="1">
      <x:c r="A1782" s="2" t="str">
        <x:v>SIM-E2-BB-L0-R07</x:v>
      </x:c>
      <x:c r="B1782" s="2" t="n">
        <x:v>4</x:v>
      </x:c>
      <x:c r="C1782" s="2" t="str">
        <x:v>BB</x:v>
      </x:c>
      <x:c r="D1782" s="2" t="str">
        <x:v>Brevicoryne brassicae</x:v>
      </x:c>
      <x:c r="E1782" s="2" t="str">
        <x:v>L0</x:v>
      </x:c>
      <x:c r="F1782" s="2" t="n">
        <x:v>7</x:v>
      </x:c>
      <x:c r="G1782" s="2" t="n">
        <x:v>16</x:v>
      </x:c>
      <x:c r="H1782" s="2" t="n">
        <x:f>G1782+Supuestos!$C$15</x:f>
        <x:v>17</x:v>
      </x:c>
      <x:c r="I1782" s="14" t="n">
        <x:f>E2_plantas!J44+G1782</x:f>
        <x:v>46211</x:v>
      </x:c>
      <x:c r="J1782" s="2" t="str">
        <x:v>adulta</x:v>
      </x:c>
      <x:c r="K1782" s="2" t="n">
        <x:v>1</x:v>
      </x:c>
      <x:c r="L1782" s="2" t="n">
        <x:v>2</x:v>
      </x:c>
      <x:c r="M1782" s="2" t="n">
        <x:f>SUM(L$1766:L1782)</x:f>
        <x:v>27</x:v>
      </x:c>
      <x:c r="N1782" s="2" t="n">
        <x:v>0</x:v>
      </x:c>
      <x:c r="O1782" s="2" t="str">
        <x:v>seguimiento</x:v>
      </x:c>
      <x:c r="P1782" s="2" t="n">
        <x:v>0</x:v>
      </x:c>
      <x:c r="Q1782" s="2" t="str">
        <x:v>simulado_didactico</x:v>
      </x:c>
    </x:row>
    <x:row r="1783" ht="19" customHeight="1">
      <x:c r="A1783" s="2" t="str">
        <x:v>SIM-E2-BB-L0-R07</x:v>
      </x:c>
      <x:c r="B1783" s="2" t="n">
        <x:v>4</x:v>
      </x:c>
      <x:c r="C1783" s="2" t="str">
        <x:v>BB</x:v>
      </x:c>
      <x:c r="D1783" s="2" t="str">
        <x:v>Brevicoryne brassicae</x:v>
      </x:c>
      <x:c r="E1783" s="2" t="str">
        <x:v>L0</x:v>
      </x:c>
      <x:c r="F1783" s="2" t="n">
        <x:v>7</x:v>
      </x:c>
      <x:c r="G1783" s="2" t="n">
        <x:v>17</x:v>
      </x:c>
      <x:c r="H1783" s="2" t="n">
        <x:f>G1783+Supuestos!$C$15</x:f>
        <x:v>18</x:v>
      </x:c>
      <x:c r="I1783" s="14" t="n">
        <x:f>E2_plantas!J44+G1783</x:f>
        <x:v>46212</x:v>
      </x:c>
      <x:c r="J1783" s="2" t="str">
        <x:v>adulta</x:v>
      </x:c>
      <x:c r="K1783" s="2" t="n">
        <x:v>1</x:v>
      </x:c>
      <x:c r="L1783" s="2" t="n">
        <x:v>3</x:v>
      </x:c>
      <x:c r="M1783" s="2" t="n">
        <x:f>SUM(L$1766:L1783)</x:f>
        <x:v>30</x:v>
      </x:c>
      <x:c r="N1783" s="2" t="n">
        <x:v>0</x:v>
      </x:c>
      <x:c r="O1783" s="2" t="str">
        <x:v>seguimiento</x:v>
      </x:c>
      <x:c r="P1783" s="2" t="n">
        <x:v>0</x:v>
      </x:c>
      <x:c r="Q1783" s="2" t="str">
        <x:v>simulado_didactico</x:v>
      </x:c>
    </x:row>
    <x:row r="1784" ht="19" customHeight="1">
      <x:c r="A1784" s="2" t="str">
        <x:v>SIM-E2-BB-L0-R07</x:v>
      </x:c>
      <x:c r="B1784" s="2" t="n">
        <x:v>4</x:v>
      </x:c>
      <x:c r="C1784" s="2" t="str">
        <x:v>BB</x:v>
      </x:c>
      <x:c r="D1784" s="2" t="str">
        <x:v>Brevicoryne brassicae</x:v>
      </x:c>
      <x:c r="E1784" s="2" t="str">
        <x:v>L0</x:v>
      </x:c>
      <x:c r="F1784" s="2" t="n">
        <x:v>7</x:v>
      </x:c>
      <x:c r="G1784" s="2" t="n">
        <x:v>18</x:v>
      </x:c>
      <x:c r="H1784" s="2" t="n">
        <x:f>G1784+Supuestos!$C$15</x:f>
        <x:v>19</x:v>
      </x:c>
      <x:c r="I1784" s="14" t="n">
        <x:f>E2_plantas!J44+G1784</x:f>
        <x:v>46213</x:v>
      </x:c>
      <x:c r="J1784" s="2" t="str">
        <x:v>adulta</x:v>
      </x:c>
      <x:c r="K1784" s="2" t="n">
        <x:v>1</x:v>
      </x:c>
      <x:c r="L1784" s="2" t="n">
        <x:v>2</x:v>
      </x:c>
      <x:c r="M1784" s="2" t="n">
        <x:f>SUM(L$1766:L1784)</x:f>
        <x:v>32</x:v>
      </x:c>
      <x:c r="N1784" s="2" t="n">
        <x:v>0</x:v>
      </x:c>
      <x:c r="O1784" s="2" t="str">
        <x:v>seguimiento</x:v>
      </x:c>
      <x:c r="P1784" s="2" t="n">
        <x:v>0</x:v>
      </x:c>
      <x:c r="Q1784" s="2" t="str">
        <x:v>simulado_didactico</x:v>
      </x:c>
    </x:row>
    <x:row r="1785" ht="19" customHeight="1">
      <x:c r="A1785" s="2" t="str">
        <x:v>SIM-E2-BB-L0-R07</x:v>
      </x:c>
      <x:c r="B1785" s="2" t="n">
        <x:v>4</x:v>
      </x:c>
      <x:c r="C1785" s="2" t="str">
        <x:v>BB</x:v>
      </x:c>
      <x:c r="D1785" s="2" t="str">
        <x:v>Brevicoryne brassicae</x:v>
      </x:c>
      <x:c r="E1785" s="2" t="str">
        <x:v>L0</x:v>
      </x:c>
      <x:c r="F1785" s="2" t="n">
        <x:v>7</x:v>
      </x:c>
      <x:c r="G1785" s="2" t="n">
        <x:v>19</x:v>
      </x:c>
      <x:c r="H1785" s="2" t="n">
        <x:f>G1785+Supuestos!$C$15</x:f>
        <x:v>20</x:v>
      </x:c>
      <x:c r="I1785" s="14" t="n">
        <x:f>E2_plantas!J44+G1785</x:f>
        <x:v>46214</x:v>
      </x:c>
      <x:c r="J1785" s="2" t="str">
        <x:v>adulta</x:v>
      </x:c>
      <x:c r="K1785" s="2" t="n">
        <x:v>1</x:v>
      </x:c>
      <x:c r="L1785" s="2" t="n">
        <x:v>2</x:v>
      </x:c>
      <x:c r="M1785" s="2" t="n">
        <x:f>SUM(L$1766:L1785)</x:f>
        <x:v>34</x:v>
      </x:c>
      <x:c r="N1785" s="2" t="n">
        <x:v>0</x:v>
      </x:c>
      <x:c r="O1785" s="2" t="str">
        <x:v>seguimiento</x:v>
      </x:c>
      <x:c r="P1785" s="2" t="n">
        <x:v>0</x:v>
      </x:c>
      <x:c r="Q1785" s="2" t="str">
        <x:v>simulado_didactico</x:v>
      </x:c>
    </x:row>
    <x:row r="1786" ht="19" customHeight="1">
      <x:c r="A1786" s="2" t="str">
        <x:v>SIM-E2-BB-L0-R07</x:v>
      </x:c>
      <x:c r="B1786" s="2" t="n">
        <x:v>4</x:v>
      </x:c>
      <x:c r="C1786" s="2" t="str">
        <x:v>BB</x:v>
      </x:c>
      <x:c r="D1786" s="2" t="str">
        <x:v>Brevicoryne brassicae</x:v>
      </x:c>
      <x:c r="E1786" s="2" t="str">
        <x:v>L0</x:v>
      </x:c>
      <x:c r="F1786" s="2" t="n">
        <x:v>7</x:v>
      </x:c>
      <x:c r="G1786" s="2" t="n">
        <x:v>20</x:v>
      </x:c>
      <x:c r="H1786" s="2" t="n">
        <x:f>G1786+Supuestos!$C$15</x:f>
        <x:v>21</x:v>
      </x:c>
      <x:c r="I1786" s="14" t="n">
        <x:f>E2_plantas!J44+G1786</x:f>
        <x:v>46215</x:v>
      </x:c>
      <x:c r="J1786" s="2" t="str">
        <x:v>adulta</x:v>
      </x:c>
      <x:c r="K1786" s="2" t="n">
        <x:v>1</x:v>
      </x:c>
      <x:c r="L1786" s="2" t="n">
        <x:v>2</x:v>
      </x:c>
      <x:c r="M1786" s="2" t="n">
        <x:f>SUM(L$1766:L1786)</x:f>
        <x:v>36</x:v>
      </x:c>
      <x:c r="N1786" s="2" t="n">
        <x:v>0</x:v>
      </x:c>
      <x:c r="O1786" s="2" t="str">
        <x:v>seguimiento</x:v>
      </x:c>
      <x:c r="P1786" s="2" t="n">
        <x:v>0</x:v>
      </x:c>
      <x:c r="Q1786" s="2" t="str">
        <x:v>simulado_didactico</x:v>
      </x:c>
    </x:row>
    <x:row r="1787" ht="19" customHeight="1">
      <x:c r="A1787" s="2" t="str">
        <x:v>SIM-E2-BB-L0-R07</x:v>
      </x:c>
      <x:c r="B1787" s="2" t="n">
        <x:v>4</x:v>
      </x:c>
      <x:c r="C1787" s="2" t="str">
        <x:v>BB</x:v>
      </x:c>
      <x:c r="D1787" s="2" t="str">
        <x:v>Brevicoryne brassicae</x:v>
      </x:c>
      <x:c r="E1787" s="2" t="str">
        <x:v>L0</x:v>
      </x:c>
      <x:c r="F1787" s="2" t="n">
        <x:v>7</x:v>
      </x:c>
      <x:c r="G1787" s="2" t="n">
        <x:v>21</x:v>
      </x:c>
      <x:c r="H1787" s="2" t="n">
        <x:f>G1787+Supuestos!$C$15</x:f>
        <x:v>22</x:v>
      </x:c>
      <x:c r="I1787" s="14" t="n">
        <x:f>E2_plantas!J44+G1787</x:f>
        <x:v>46216</x:v>
      </x:c>
      <x:c r="J1787" s="2" t="str">
        <x:v>adulta</x:v>
      </x:c>
      <x:c r="K1787" s="2" t="n">
        <x:v>1</x:v>
      </x:c>
      <x:c r="L1787" s="2" t="n">
        <x:v>1</x:v>
      </x:c>
      <x:c r="M1787" s="2" t="n">
        <x:f>SUM(L$1766:L1787)</x:f>
        <x:v>37</x:v>
      </x:c>
      <x:c r="N1787" s="2" t="n">
        <x:v>0</x:v>
      </x:c>
      <x:c r="O1787" s="2" t="str">
        <x:v>seguimiento</x:v>
      </x:c>
      <x:c r="P1787" s="2" t="n">
        <x:v>0</x:v>
      </x:c>
      <x:c r="Q1787" s="2" t="str">
        <x:v>simulado_didactico</x:v>
      </x:c>
    </x:row>
    <x:row r="1788" ht="19" customHeight="1">
      <x:c r="A1788" s="2" t="str">
        <x:v>SIM-E2-BB-L0-R07</x:v>
      </x:c>
      <x:c r="B1788" s="2" t="n">
        <x:v>4</x:v>
      </x:c>
      <x:c r="C1788" s="2" t="str">
        <x:v>BB</x:v>
      </x:c>
      <x:c r="D1788" s="2" t="str">
        <x:v>Brevicoryne brassicae</x:v>
      </x:c>
      <x:c r="E1788" s="2" t="str">
        <x:v>L0</x:v>
      </x:c>
      <x:c r="F1788" s="2" t="n">
        <x:v>7</x:v>
      </x:c>
      <x:c r="G1788" s="2" t="n">
        <x:v>22</x:v>
      </x:c>
      <x:c r="H1788" s="2" t="n">
        <x:f>G1788+Supuestos!$C$15</x:f>
        <x:v>23</x:v>
      </x:c>
      <x:c r="I1788" s="14" t="n">
        <x:f>E2_plantas!J44+G1788</x:f>
        <x:v>46217</x:v>
      </x:c>
      <x:c r="J1788" s="2" t="str">
        <x:v>adulta</x:v>
      </x:c>
      <x:c r="K1788" s="2" t="n">
        <x:v>1</x:v>
      </x:c>
      <x:c r="L1788" s="2" t="n">
        <x:v>5</x:v>
      </x:c>
      <x:c r="M1788" s="2" t="n">
        <x:f>SUM(L$1766:L1788)</x:f>
        <x:v>42</x:v>
      </x:c>
      <x:c r="N1788" s="2" t="n">
        <x:v>0</x:v>
      </x:c>
      <x:c r="O1788" s="2" t="str">
        <x:v>seguimiento</x:v>
      </x:c>
      <x:c r="P1788" s="2" t="n">
        <x:v>0</x:v>
      </x:c>
      <x:c r="Q1788" s="2" t="str">
        <x:v>simulado_didactico</x:v>
      </x:c>
    </x:row>
    <x:row r="1789" ht="19" customHeight="1">
      <x:c r="A1789" s="2" t="str">
        <x:v>SIM-E2-BB-L0-R07</x:v>
      </x:c>
      <x:c r="B1789" s="2" t="n">
        <x:v>4</x:v>
      </x:c>
      <x:c r="C1789" s="2" t="str">
        <x:v>BB</x:v>
      </x:c>
      <x:c r="D1789" s="2" t="str">
        <x:v>Brevicoryne brassicae</x:v>
      </x:c>
      <x:c r="E1789" s="2" t="str">
        <x:v>L0</x:v>
      </x:c>
      <x:c r="F1789" s="2" t="n">
        <x:v>7</x:v>
      </x:c>
      <x:c r="G1789" s="2" t="n">
        <x:v>23</x:v>
      </x:c>
      <x:c r="H1789" s="2" t="n">
        <x:f>G1789+Supuestos!$C$15</x:f>
        <x:v>24</x:v>
      </x:c>
      <x:c r="I1789" s="14" t="n">
        <x:f>E2_plantas!J44+G1789</x:f>
        <x:v>46218</x:v>
      </x:c>
      <x:c r="J1789" s="2" t="str">
        <x:v>adulta</x:v>
      </x:c>
      <x:c r="K1789" s="2" t="n">
        <x:v>1</x:v>
      </x:c>
      <x:c r="L1789" s="2" t="n">
        <x:v>3</x:v>
      </x:c>
      <x:c r="M1789" s="2" t="n">
        <x:f>SUM(L$1766:L1789)</x:f>
        <x:v>45</x:v>
      </x:c>
      <x:c r="N1789" s="2" t="n">
        <x:v>0</x:v>
      </x:c>
      <x:c r="O1789" s="2" t="str">
        <x:v>seguimiento</x:v>
      </x:c>
      <x:c r="P1789" s="2" t="n">
        <x:v>0</x:v>
      </x:c>
      <x:c r="Q1789" s="2" t="str">
        <x:v>simulado_didactico</x:v>
      </x:c>
    </x:row>
    <x:row r="1790" ht="19" customHeight="1">
      <x:c r="A1790" s="2" t="str">
        <x:v>SIM-E2-BB-L0-R07</x:v>
      </x:c>
      <x:c r="B1790" s="2" t="n">
        <x:v>4</x:v>
      </x:c>
      <x:c r="C1790" s="2" t="str">
        <x:v>BB</x:v>
      </x:c>
      <x:c r="D1790" s="2" t="str">
        <x:v>Brevicoryne brassicae</x:v>
      </x:c>
      <x:c r="E1790" s="2" t="str">
        <x:v>L0</x:v>
      </x:c>
      <x:c r="F1790" s="2" t="n">
        <x:v>7</x:v>
      </x:c>
      <x:c r="G1790" s="2" t="n">
        <x:v>24</x:v>
      </x:c>
      <x:c r="H1790" s="2" t="n">
        <x:f>G1790+Supuestos!$C$15</x:f>
        <x:v>25</x:v>
      </x:c>
      <x:c r="I1790" s="14" t="n">
        <x:f>E2_plantas!J44+G1790</x:f>
        <x:v>46219</x:v>
      </x:c>
      <x:c r="J1790" s="2" t="str">
        <x:v>adulta</x:v>
      </x:c>
      <x:c r="K1790" s="2" t="n">
        <x:v>1</x:v>
      </x:c>
      <x:c r="L1790" s="2" t="n">
        <x:v>4</x:v>
      </x:c>
      <x:c r="M1790" s="2" t="n">
        <x:f>SUM(L$1766:L1790)</x:f>
        <x:v>49</x:v>
      </x:c>
      <x:c r="N1790" s="2" t="n">
        <x:v>0</x:v>
      </x:c>
      <x:c r="O1790" s="2" t="str">
        <x:v>seguimiento</x:v>
      </x:c>
      <x:c r="P1790" s="2" t="n">
        <x:v>0</x:v>
      </x:c>
      <x:c r="Q1790" s="2" t="str">
        <x:v>simulado_didactico</x:v>
      </x:c>
    </x:row>
    <x:row r="1791" ht="19" customHeight="1">
      <x:c r="A1791" s="2" t="str">
        <x:v>SIM-E2-BB-L0-R07</x:v>
      </x:c>
      <x:c r="B1791" s="2" t="n">
        <x:v>4</x:v>
      </x:c>
      <x:c r="C1791" s="2" t="str">
        <x:v>BB</x:v>
      </x:c>
      <x:c r="D1791" s="2" t="str">
        <x:v>Brevicoryne brassicae</x:v>
      </x:c>
      <x:c r="E1791" s="2" t="str">
        <x:v>L0</x:v>
      </x:c>
      <x:c r="F1791" s="2" t="n">
        <x:v>7</x:v>
      </x:c>
      <x:c r="G1791" s="2" t="n">
        <x:v>25</x:v>
      </x:c>
      <x:c r="H1791" s="2" t="n">
        <x:f>G1791+Supuestos!$C$15</x:f>
        <x:v>26</x:v>
      </x:c>
      <x:c r="I1791" s="14" t="n">
        <x:f>E2_plantas!J44+G1791</x:f>
        <x:v>46220</x:v>
      </x:c>
      <x:c r="J1791" s="2" t="str">
        <x:v>adulta</x:v>
      </x:c>
      <x:c r="K1791" s="2" t="n">
        <x:v>1</x:v>
      </x:c>
      <x:c r="L1791" s="2" t="n">
        <x:v>1</x:v>
      </x:c>
      <x:c r="M1791" s="2" t="n">
        <x:f>SUM(L$1766:L1791)</x:f>
        <x:v>50</x:v>
      </x:c>
      <x:c r="N1791" s="2" t="n">
        <x:v>0</x:v>
      </x:c>
      <x:c r="O1791" s="2" t="str">
        <x:v>seguimiento</x:v>
      </x:c>
      <x:c r="P1791" s="2" t="n">
        <x:v>0</x:v>
      </x:c>
      <x:c r="Q1791" s="2" t="str">
        <x:v>simulado_didactico</x:v>
      </x:c>
    </x:row>
    <x:row r="1792" ht="19" customHeight="1">
      <x:c r="A1792" s="2" t="str">
        <x:v>SIM-E2-BB-L0-R07</x:v>
      </x:c>
      <x:c r="B1792" s="2" t="n">
        <x:v>4</x:v>
      </x:c>
      <x:c r="C1792" s="2" t="str">
        <x:v>BB</x:v>
      </x:c>
      <x:c r="D1792" s="2" t="str">
        <x:v>Brevicoryne brassicae</x:v>
      </x:c>
      <x:c r="E1792" s="2" t="str">
        <x:v>L0</x:v>
      </x:c>
      <x:c r="F1792" s="2" t="n">
        <x:v>7</x:v>
      </x:c>
      <x:c r="G1792" s="2" t="n">
        <x:v>26</x:v>
      </x:c>
      <x:c r="H1792" s="2" t="n">
        <x:f>G1792+Supuestos!$C$15</x:f>
        <x:v>27</x:v>
      </x:c>
      <x:c r="I1792" s="14" t="n">
        <x:f>E2_plantas!J44+G1792</x:f>
        <x:v>46221</x:v>
      </x:c>
      <x:c r="J1792" s="2" t="str">
        <x:v>adulta</x:v>
      </x:c>
      <x:c r="K1792" s="2" t="n">
        <x:v>1</x:v>
      </x:c>
      <x:c r="L1792" s="2" t="n">
        <x:v>3</x:v>
      </x:c>
      <x:c r="M1792" s="2" t="n">
        <x:f>SUM(L$1766:L1792)</x:f>
        <x:v>53</x:v>
      </x:c>
      <x:c r="N1792" s="2" t="n">
        <x:v>0</x:v>
      </x:c>
      <x:c r="O1792" s="2" t="str">
        <x:v>seguimiento</x:v>
      </x:c>
      <x:c r="P1792" s="2" t="n">
        <x:v>0</x:v>
      </x:c>
      <x:c r="Q1792" s="2" t="str">
        <x:v>simulado_didactico</x:v>
      </x:c>
    </x:row>
    <x:row r="1793" ht="19" customHeight="1">
      <x:c r="A1793" s="2" t="str">
        <x:v>SIM-E2-BB-L0-R07</x:v>
      </x:c>
      <x:c r="B1793" s="2" t="n">
        <x:v>4</x:v>
      </x:c>
      <x:c r="C1793" s="2" t="str">
        <x:v>BB</x:v>
      </x:c>
      <x:c r="D1793" s="2" t="str">
        <x:v>Brevicoryne brassicae</x:v>
      </x:c>
      <x:c r="E1793" s="2" t="str">
        <x:v>L0</x:v>
      </x:c>
      <x:c r="F1793" s="2" t="n">
        <x:v>7</x:v>
      </x:c>
      <x:c r="G1793" s="2" t="n">
        <x:v>27</x:v>
      </x:c>
      <x:c r="H1793" s="2" t="n">
        <x:f>G1793+Supuestos!$C$15</x:f>
        <x:v>28</x:v>
      </x:c>
      <x:c r="I1793" s="14" t="n">
        <x:f>E2_plantas!J44+G1793</x:f>
        <x:v>46222</x:v>
      </x:c>
      <x:c r="J1793" s="2" t="str">
        <x:v>adulta</x:v>
      </x:c>
      <x:c r="K1793" s="2" t="n">
        <x:v>1</x:v>
      </x:c>
      <x:c r="L1793" s="2" t="n">
        <x:v>1</x:v>
      </x:c>
      <x:c r="M1793" s="2" t="n">
        <x:f>SUM(L$1766:L1793)</x:f>
        <x:v>54</x:v>
      </x:c>
      <x:c r="N1793" s="2" t="n">
        <x:v>0</x:v>
      </x:c>
      <x:c r="O1793" s="2" t="str">
        <x:v>seguimiento</x:v>
      </x:c>
      <x:c r="P1793" s="2" t="n">
        <x:v>0</x:v>
      </x:c>
      <x:c r="Q1793" s="2" t="str">
        <x:v>simulado_didactico</x:v>
      </x:c>
    </x:row>
    <x:row r="1794" ht="19" customHeight="1">
      <x:c r="A1794" s="2" t="str">
        <x:v>SIM-E2-BB-L0-R07</x:v>
      </x:c>
      <x:c r="B1794" s="2" t="n">
        <x:v>4</x:v>
      </x:c>
      <x:c r="C1794" s="2" t="str">
        <x:v>BB</x:v>
      </x:c>
      <x:c r="D1794" s="2" t="str">
        <x:v>Brevicoryne brassicae</x:v>
      </x:c>
      <x:c r="E1794" s="2" t="str">
        <x:v>L0</x:v>
      </x:c>
      <x:c r="F1794" s="2" t="n">
        <x:v>7</x:v>
      </x:c>
      <x:c r="G1794" s="2" t="n">
        <x:v>28</x:v>
      </x:c>
      <x:c r="H1794" s="2" t="n">
        <x:f>G1794+Supuestos!$C$15</x:f>
        <x:v>29</x:v>
      </x:c>
      <x:c r="I1794" s="14" t="n">
        <x:f>E2_plantas!J44+G1794</x:f>
        <x:v>46223</x:v>
      </x:c>
      <x:c r="J1794" s="2" t="str">
        <x:v>adulta</x:v>
      </x:c>
      <x:c r="K1794" s="2" t="n">
        <x:v>1</x:v>
      </x:c>
      <x:c r="L1794" s="2" t="n">
        <x:v>1</x:v>
      </x:c>
      <x:c r="M1794" s="2" t="n">
        <x:f>SUM(L$1766:L1794)</x:f>
        <x:v>55</x:v>
      </x:c>
      <x:c r="N1794" s="2" t="n">
        <x:v>0</x:v>
      </x:c>
      <x:c r="O1794" s="2" t="str">
        <x:v>seguimiento</x:v>
      </x:c>
      <x:c r="P1794" s="2" t="n">
        <x:v>0</x:v>
      </x:c>
      <x:c r="Q1794" s="2" t="str">
        <x:v>simulado_didactico</x:v>
      </x:c>
    </x:row>
    <x:row r="1795" ht="19" customHeight="1">
      <x:c r="A1795" s="2" t="str">
        <x:v>SIM-E2-BB-L0-R07</x:v>
      </x:c>
      <x:c r="B1795" s="2" t="n">
        <x:v>4</x:v>
      </x:c>
      <x:c r="C1795" s="2" t="str">
        <x:v>BB</x:v>
      </x:c>
      <x:c r="D1795" s="2" t="str">
        <x:v>Brevicoryne brassicae</x:v>
      </x:c>
      <x:c r="E1795" s="2" t="str">
        <x:v>L0</x:v>
      </x:c>
      <x:c r="F1795" s="2" t="n">
        <x:v>7</x:v>
      </x:c>
      <x:c r="G1795" s="2" t="n">
        <x:v>29</x:v>
      </x:c>
      <x:c r="H1795" s="2" t="n">
        <x:f>G1795+Supuestos!$C$15</x:f>
        <x:v>30</x:v>
      </x:c>
      <x:c r="I1795" s="14" t="n">
        <x:f>E2_plantas!J44+G1795</x:f>
        <x:v>46224</x:v>
      </x:c>
      <x:c r="J1795" s="2" t="str">
        <x:v>adulta</x:v>
      </x:c>
      <x:c r="K1795" s="2" t="n">
        <x:v>1</x:v>
      </x:c>
      <x:c r="L1795" s="2" t="n">
        <x:v>4</x:v>
      </x:c>
      <x:c r="M1795" s="2" t="n">
        <x:f>SUM(L$1766:L1795)</x:f>
        <x:v>59</x:v>
      </x:c>
      <x:c r="N1795" s="2" t="n">
        <x:v>0</x:v>
      </x:c>
      <x:c r="O1795" s="2" t="str">
        <x:v>seguimiento</x:v>
      </x:c>
      <x:c r="P1795" s="2" t="n">
        <x:v>0</x:v>
      </x:c>
      <x:c r="Q1795" s="2" t="str">
        <x:v>simulado_didactico</x:v>
      </x:c>
    </x:row>
    <x:row r="1796" ht="19" customHeight="1">
      <x:c r="A1796" s="2" t="str">
        <x:v>SIM-E2-BB-L0-R07</x:v>
      </x:c>
      <x:c r="B1796" s="2" t="n">
        <x:v>4</x:v>
      </x:c>
      <x:c r="C1796" s="2" t="str">
        <x:v>BB</x:v>
      </x:c>
      <x:c r="D1796" s="2" t="str">
        <x:v>Brevicoryne brassicae</x:v>
      </x:c>
      <x:c r="E1796" s="2" t="str">
        <x:v>L0</x:v>
      </x:c>
      <x:c r="F1796" s="2" t="n">
        <x:v>7</x:v>
      </x:c>
      <x:c r="G1796" s="2" t="n">
        <x:v>30</x:v>
      </x:c>
      <x:c r="H1796" s="2" t="n">
        <x:f>G1796+Supuestos!$C$15</x:f>
        <x:v>31</x:v>
      </x:c>
      <x:c r="I1796" s="14" t="n">
        <x:f>E2_plantas!J44+G1796</x:f>
        <x:v>46225</x:v>
      </x:c>
      <x:c r="J1796" s="2" t="str">
        <x:v>adulta</x:v>
      </x:c>
      <x:c r="K1796" s="2" t="n">
        <x:v>1</x:v>
      </x:c>
      <x:c r="L1796" s="2" t="n">
        <x:v>1</x:v>
      </x:c>
      <x:c r="M1796" s="2" t="n">
        <x:f>SUM(L$1766:L1796)</x:f>
        <x:v>60</x:v>
      </x:c>
      <x:c r="N1796" s="2" t="n">
        <x:v>0</x:v>
      </x:c>
      <x:c r="O1796" s="2" t="str">
        <x:v>seguimiento</x:v>
      </x:c>
      <x:c r="P1796" s="2" t="n">
        <x:v>0</x:v>
      </x:c>
      <x:c r="Q1796" s="2" t="str">
        <x:v>simulado_didactico</x:v>
      </x:c>
    </x:row>
    <x:row r="1797" ht="19" customHeight="1">
      <x:c r="A1797" s="2" t="str">
        <x:v>SIM-E2-BB-L0-R07</x:v>
      </x:c>
      <x:c r="B1797" s="2" t="n">
        <x:v>4</x:v>
      </x:c>
      <x:c r="C1797" s="2" t="str">
        <x:v>BB</x:v>
      </x:c>
      <x:c r="D1797" s="2" t="str">
        <x:v>Brevicoryne brassicae</x:v>
      </x:c>
      <x:c r="E1797" s="2" t="str">
        <x:v>L0</x:v>
      </x:c>
      <x:c r="F1797" s="2" t="n">
        <x:v>7</x:v>
      </x:c>
      <x:c r="G1797" s="2" t="n">
        <x:v>31</x:v>
      </x:c>
      <x:c r="H1797" s="2" t="n">
        <x:f>G1797+Supuestos!$C$15</x:f>
        <x:v>32</x:v>
      </x:c>
      <x:c r="I1797" s="14" t="n">
        <x:f>E2_plantas!J44+G1797</x:f>
        <x:v>46226</x:v>
      </x:c>
      <x:c r="J1797" s="2" t="str">
        <x:v>adulta</x:v>
      </x:c>
      <x:c r="K1797" s="2" t="n">
        <x:v>1</x:v>
      </x:c>
      <x:c r="L1797" s="2" t="n">
        <x:v>4</x:v>
      </x:c>
      <x:c r="M1797" s="2" t="n">
        <x:f>SUM(L$1766:L1797)</x:f>
        <x:v>64</x:v>
      </x:c>
      <x:c r="N1797" s="2" t="n">
        <x:v>0</x:v>
      </x:c>
      <x:c r="O1797" s="2" t="str">
        <x:v>seguimiento</x:v>
      </x:c>
      <x:c r="P1797" s="2" t="n">
        <x:v>0</x:v>
      </x:c>
      <x:c r="Q1797" s="2" t="str">
        <x:v>simulado_didactico</x:v>
      </x:c>
    </x:row>
    <x:row r="1798" ht="19" customHeight="1">
      <x:c r="A1798" s="2" t="str">
        <x:v>SIM-E2-BB-L0-R07</x:v>
      </x:c>
      <x:c r="B1798" s="2" t="n">
        <x:v>4</x:v>
      </x:c>
      <x:c r="C1798" s="2" t="str">
        <x:v>BB</x:v>
      </x:c>
      <x:c r="D1798" s="2" t="str">
        <x:v>Brevicoryne brassicae</x:v>
      </x:c>
      <x:c r="E1798" s="2" t="str">
        <x:v>L0</x:v>
      </x:c>
      <x:c r="F1798" s="2" t="n">
        <x:v>7</x:v>
      </x:c>
      <x:c r="G1798" s="2" t="n">
        <x:v>32</x:v>
      </x:c>
      <x:c r="H1798" s="2" t="n">
        <x:f>G1798+Supuestos!$C$15</x:f>
        <x:v>33</x:v>
      </x:c>
      <x:c r="I1798" s="14" t="n">
        <x:f>E2_plantas!J44+G1798</x:f>
        <x:v>46227</x:v>
      </x:c>
      <x:c r="J1798" s="2" t="str">
        <x:v>adulta</x:v>
      </x:c>
      <x:c r="K1798" s="2" t="n">
        <x:v>1</x:v>
      </x:c>
      <x:c r="L1798" s="2" t="n">
        <x:v>2</x:v>
      </x:c>
      <x:c r="M1798" s="2" t="n">
        <x:f>SUM(L$1766:L1798)</x:f>
        <x:v>66</x:v>
      </x:c>
      <x:c r="N1798" s="2" t="n">
        <x:v>0</x:v>
      </x:c>
      <x:c r="O1798" s="2" t="str">
        <x:v>seguimiento</x:v>
      </x:c>
      <x:c r="P1798" s="2" t="n">
        <x:v>0</x:v>
      </x:c>
      <x:c r="Q1798" s="2" t="str">
        <x:v>simulado_didactico</x:v>
      </x:c>
    </x:row>
    <x:row r="1799" ht="19" customHeight="1">
      <x:c r="A1799" s="2" t="str">
        <x:v>SIM-E2-BB-L0-R07</x:v>
      </x:c>
      <x:c r="B1799" s="2" t="n">
        <x:v>4</x:v>
      </x:c>
      <x:c r="C1799" s="2" t="str">
        <x:v>BB</x:v>
      </x:c>
      <x:c r="D1799" s="2" t="str">
        <x:v>Brevicoryne brassicae</x:v>
      </x:c>
      <x:c r="E1799" s="2" t="str">
        <x:v>L0</x:v>
      </x:c>
      <x:c r="F1799" s="2" t="n">
        <x:v>7</x:v>
      </x:c>
      <x:c r="G1799" s="2" t="n">
        <x:v>33</x:v>
      </x:c>
      <x:c r="H1799" s="2" t="n">
        <x:f>G1799+Supuestos!$C$15</x:f>
        <x:v>34</x:v>
      </x:c>
      <x:c r="I1799" s="14" t="n">
        <x:f>E2_plantas!J44+G1799</x:f>
        <x:v>46228</x:v>
      </x:c>
      <x:c r="J1799" s="2" t="str">
        <x:v>adulta</x:v>
      </x:c>
      <x:c r="K1799" s="2" t="n">
        <x:v>1</x:v>
      </x:c>
      <x:c r="L1799" s="2" t="n">
        <x:v>0</x:v>
      </x:c>
      <x:c r="M1799" s="2" t="n">
        <x:f>SUM(L$1766:L1799)</x:f>
        <x:v>66</x:v>
      </x:c>
      <x:c r="N1799" s="2" t="n">
        <x:v>0</x:v>
      </x:c>
      <x:c r="O1799" s="2" t="str">
        <x:v>seguimiento</x:v>
      </x:c>
      <x:c r="P1799" s="2" t="n">
        <x:v>0</x:v>
      </x:c>
      <x:c r="Q1799" s="2" t="str">
        <x:v>simulado_didactico</x:v>
      </x:c>
    </x:row>
    <x:row r="1800" ht="19" customHeight="1">
      <x:c r="A1800" s="2" t="str">
        <x:v>SIM-E2-BB-L0-R07</x:v>
      </x:c>
      <x:c r="B1800" s="2" t="n">
        <x:v>4</x:v>
      </x:c>
      <x:c r="C1800" s="2" t="str">
        <x:v>BB</x:v>
      </x:c>
      <x:c r="D1800" s="2" t="str">
        <x:v>Brevicoryne brassicae</x:v>
      </x:c>
      <x:c r="E1800" s="2" t="str">
        <x:v>L0</x:v>
      </x:c>
      <x:c r="F1800" s="2" t="n">
        <x:v>7</x:v>
      </x:c>
      <x:c r="G1800" s="2" t="n">
        <x:v>34</x:v>
      </x:c>
      <x:c r="H1800" s="2" t="n">
        <x:f>G1800+Supuestos!$C$15</x:f>
        <x:v>35</x:v>
      </x:c>
      <x:c r="I1800" s="14" t="n">
        <x:f>E2_plantas!J44+G1800</x:f>
        <x:v>46229</x:v>
      </x:c>
      <x:c r="J1800" s="2" t="str">
        <x:v>adulta</x:v>
      </x:c>
      <x:c r="K1800" s="2" t="n">
        <x:v>1</x:v>
      </x:c>
      <x:c r="L1800" s="2" t="n">
        <x:v>0</x:v>
      </x:c>
      <x:c r="M1800" s="2" t="n">
        <x:f>SUM(L$1766:L1800)</x:f>
        <x:v>66</x:v>
      </x:c>
      <x:c r="N1800" s="2" t="n">
        <x:v>0</x:v>
      </x:c>
      <x:c r="O1800" s="2" t="str">
        <x:v>seguimiento</x:v>
      </x:c>
      <x:c r="P1800" s="2" t="n">
        <x:v>0</x:v>
      </x:c>
      <x:c r="Q1800" s="2" t="str">
        <x:v>simulado_didactico</x:v>
      </x:c>
    </x:row>
    <x:row r="1801" ht="19" customHeight="1">
      <x:c r="A1801" s="2" t="str">
        <x:v>SIM-E2-BB-L0-R07</x:v>
      </x:c>
      <x:c r="B1801" s="2" t="n">
        <x:v>4</x:v>
      </x:c>
      <x:c r="C1801" s="2" t="str">
        <x:v>BB</x:v>
      </x:c>
      <x:c r="D1801" s="2" t="str">
        <x:v>Brevicoryne brassicae</x:v>
      </x:c>
      <x:c r="E1801" s="2" t="str">
        <x:v>L0</x:v>
      </x:c>
      <x:c r="F1801" s="2" t="n">
        <x:v>7</x:v>
      </x:c>
      <x:c r="G1801" s="2" t="n">
        <x:v>35</x:v>
      </x:c>
      <x:c r="H1801" s="2" t="n">
        <x:f>G1801+Supuestos!$C$15</x:f>
        <x:v>36</x:v>
      </x:c>
      <x:c r="I1801" s="14" t="n">
        <x:f>E2_plantas!J44+G1801</x:f>
        <x:v>46230</x:v>
      </x:c>
      <x:c r="J1801" s="2" t="str">
        <x:v>adulta</x:v>
      </x:c>
      <x:c r="K1801" s="2" t="n">
        <x:v>1</x:v>
      </x:c>
      <x:c r="L1801" s="2" t="n">
        <x:v>0</x:v>
      </x:c>
      <x:c r="M1801" s="2" t="n">
        <x:f>SUM(L$1766:L1801)</x:f>
        <x:v>66</x:v>
      </x:c>
      <x:c r="N1801" s="2" t="n">
        <x:v>0</x:v>
      </x:c>
      <x:c r="O1801" s="2" t="str">
        <x:v>seguimiento</x:v>
      </x:c>
      <x:c r="P1801" s="2" t="n">
        <x:v>0</x:v>
      </x:c>
      <x:c r="Q1801" s="2" t="str">
        <x:v>simulado_didactico</x:v>
      </x:c>
    </x:row>
    <x:row r="1802" ht="19" customHeight="1">
      <x:c r="A1802" s="2" t="str">
        <x:v>SIM-E2-BB-L0-R07</x:v>
      </x:c>
      <x:c r="B1802" s="2" t="n">
        <x:v>4</x:v>
      </x:c>
      <x:c r="C1802" s="2" t="str">
        <x:v>BB</x:v>
      </x:c>
      <x:c r="D1802" s="2" t="str">
        <x:v>Brevicoryne brassicae</x:v>
      </x:c>
      <x:c r="E1802" s="2" t="str">
        <x:v>L0</x:v>
      </x:c>
      <x:c r="F1802" s="2" t="n">
        <x:v>7</x:v>
      </x:c>
      <x:c r="G1802" s="2" t="n">
        <x:v>36</x:v>
      </x:c>
      <x:c r="H1802" s="2" t="n">
        <x:f>G1802+Supuestos!$C$15</x:f>
        <x:v>37</x:v>
      </x:c>
      <x:c r="I1802" s="14" t="n">
        <x:f>E2_plantas!J44+G1802</x:f>
        <x:v>46231</x:v>
      </x:c>
      <x:c r="J1802" s="2" t="str">
        <x:v>muerta</x:v>
      </x:c>
      <x:c r="K1802" s="2" t="n">
        <x:v>0</x:v>
      </x:c>
      <x:c r="L1802" s="2" t="n">
        <x:v>0</x:v>
      </x:c>
      <x:c r="M1802" s="2" t="n">
        <x:f>SUM(L$1766:L1802)</x:f>
        <x:v>66</x:v>
      </x:c>
      <x:c r="N1802" s="2" t="n">
        <x:v>1</x:v>
      </x:c>
      <x:c r="O1802" s="2" t="str">
        <x:v>muerte</x:v>
      </x:c>
      <x:c r="P1802" s="2" t="n">
        <x:v>0</x:v>
      </x:c>
      <x:c r="Q1802" s="2" t="str">
        <x:v>simulado_didactico</x:v>
      </x:c>
    </x:row>
    <x:row r="1803" ht="19" customHeight="1">
      <x:c r="A1803" s="2" t="str">
        <x:v>SIM-E2-BB-L0-R07</x:v>
      </x:c>
      <x:c r="B1803" s="2" t="n">
        <x:v>4</x:v>
      </x:c>
      <x:c r="C1803" s="2" t="str">
        <x:v>BB</x:v>
      </x:c>
      <x:c r="D1803" s="2" t="str">
        <x:v>Brevicoryne brassicae</x:v>
      </x:c>
      <x:c r="E1803" s="2" t="str">
        <x:v>L0</x:v>
      </x:c>
      <x:c r="F1803" s="2" t="n">
        <x:v>7</x:v>
      </x:c>
      <x:c r="G1803" s="2" t="n">
        <x:v>37</x:v>
      </x:c>
      <x:c r="H1803" s="2" t="n">
        <x:f>G1803+Supuestos!$C$15</x:f>
        <x:v>38</x:v>
      </x:c>
      <x:c r="I1803" s="14" t="n">
        <x:f>E2_plantas!J44+G1803</x:f>
        <x:v>46232</x:v>
      </x:c>
      <x:c r="J1803" s="2" t="str">
        <x:v>muerta</x:v>
      </x:c>
      <x:c r="K1803" s="2" t="n">
        <x:v>0</x:v>
      </x:c>
      <x:c r="L1803" s="2" t="n">
        <x:v>0</x:v>
      </x:c>
      <x:c r="M1803" s="2" t="n">
        <x:f>SUM(L$1766:L1803)</x:f>
        <x:v>66</x:v>
      </x:c>
      <x:c r="N1803" s="2" t="n">
        <x:v>0</x:v>
      </x:c>
      <x:c r="O1803" s="2" t="str">
        <x:v>relleno_postmuerte</x:v>
      </x:c>
      <x:c r="P1803" s="2" t="n">
        <x:v>0</x:v>
      </x:c>
      <x:c r="Q1803" s="2" t="str">
        <x:v>simulado_didactico</x:v>
      </x:c>
    </x:row>
    <x:row r="1804" ht="19" customHeight="1">
      <x:c r="A1804" s="2" t="str">
        <x:v>SIM-E2-BB-L0-R07</x:v>
      </x:c>
      <x:c r="B1804" s="2" t="n">
        <x:v>4</x:v>
      </x:c>
      <x:c r="C1804" s="2" t="str">
        <x:v>BB</x:v>
      </x:c>
      <x:c r="D1804" s="2" t="str">
        <x:v>Brevicoryne brassicae</x:v>
      </x:c>
      <x:c r="E1804" s="2" t="str">
        <x:v>L0</x:v>
      </x:c>
      <x:c r="F1804" s="2" t="n">
        <x:v>7</x:v>
      </x:c>
      <x:c r="G1804" s="2" t="n">
        <x:v>38</x:v>
      </x:c>
      <x:c r="H1804" s="2" t="n">
        <x:f>G1804+Supuestos!$C$15</x:f>
        <x:v>39</x:v>
      </x:c>
      <x:c r="I1804" s="14" t="n">
        <x:f>E2_plantas!J44+G1804</x:f>
        <x:v>46233</x:v>
      </x:c>
      <x:c r="J1804" s="2" t="str">
        <x:v>muerta</x:v>
      </x:c>
      <x:c r="K1804" s="2" t="n">
        <x:v>0</x:v>
      </x:c>
      <x:c r="L1804" s="2" t="n">
        <x:v>0</x:v>
      </x:c>
      <x:c r="M1804" s="2" t="n">
        <x:f>SUM(L$1766:L1804)</x:f>
        <x:v>66</x:v>
      </x:c>
      <x:c r="N1804" s="2" t="n">
        <x:v>0</x:v>
      </x:c>
      <x:c r="O1804" s="2" t="str">
        <x:v>relleno_postmuerte</x:v>
      </x:c>
      <x:c r="P1804" s="2" t="n">
        <x:v>0</x:v>
      </x:c>
      <x:c r="Q1804" s="2" t="str">
        <x:v>simulado_didactico</x:v>
      </x:c>
    </x:row>
    <x:row r="1805" ht="19" customHeight="1">
      <x:c r="A1805" s="2" t="str">
        <x:v>SIM-E2-BB-L0-R07</x:v>
      </x:c>
      <x:c r="B1805" s="2" t="n">
        <x:v>4</x:v>
      </x:c>
      <x:c r="C1805" s="2" t="str">
        <x:v>BB</x:v>
      </x:c>
      <x:c r="D1805" s="2" t="str">
        <x:v>Brevicoryne brassicae</x:v>
      </x:c>
      <x:c r="E1805" s="2" t="str">
        <x:v>L0</x:v>
      </x:c>
      <x:c r="F1805" s="2" t="n">
        <x:v>7</x:v>
      </x:c>
      <x:c r="G1805" s="2" t="n">
        <x:v>39</x:v>
      </x:c>
      <x:c r="H1805" s="2" t="n">
        <x:f>G1805+Supuestos!$C$15</x:f>
        <x:v>40</x:v>
      </x:c>
      <x:c r="I1805" s="14" t="n">
        <x:f>E2_plantas!J44+G1805</x:f>
        <x:v>46234</x:v>
      </x:c>
      <x:c r="J1805" s="2" t="str">
        <x:v>muerta</x:v>
      </x:c>
      <x:c r="K1805" s="2" t="n">
        <x:v>0</x:v>
      </x:c>
      <x:c r="L1805" s="2" t="n">
        <x:v>0</x:v>
      </x:c>
      <x:c r="M1805" s="2" t="n">
        <x:f>SUM(L$1766:L1805)</x:f>
        <x:v>66</x:v>
      </x:c>
      <x:c r="N1805" s="2" t="n">
        <x:v>0</x:v>
      </x:c>
      <x:c r="O1805" s="2" t="str">
        <x:v>relleno_postmuerte</x:v>
      </x:c>
      <x:c r="P1805" s="2" t="n">
        <x:v>0</x:v>
      </x:c>
      <x:c r="Q1805" s="2" t="str">
        <x:v>simulado_didactico</x:v>
      </x:c>
    </x:row>
    <x:row r="1806" ht="19" customHeight="1">
      <x:c r="A1806" s="2" t="str">
        <x:v>SIM-E2-BB-L0-R07</x:v>
      </x:c>
      <x:c r="B1806" s="2" t="n">
        <x:v>4</x:v>
      </x:c>
      <x:c r="C1806" s="2" t="str">
        <x:v>BB</x:v>
      </x:c>
      <x:c r="D1806" s="2" t="str">
        <x:v>Brevicoryne brassicae</x:v>
      </x:c>
      <x:c r="E1806" s="2" t="str">
        <x:v>L0</x:v>
      </x:c>
      <x:c r="F1806" s="2" t="n">
        <x:v>7</x:v>
      </x:c>
      <x:c r="G1806" s="2" t="n">
        <x:v>40</x:v>
      </x:c>
      <x:c r="H1806" s="2" t="n">
        <x:f>G1806+Supuestos!$C$15</x:f>
        <x:v>41</x:v>
      </x:c>
      <x:c r="I1806" s="14" t="n">
        <x:f>E2_plantas!J44+G1806</x:f>
        <x:v>46235</x:v>
      </x:c>
      <x:c r="J1806" s="2" t="str">
        <x:v>muerta</x:v>
      </x:c>
      <x:c r="K1806" s="2" t="n">
        <x:v>0</x:v>
      </x:c>
      <x:c r="L1806" s="2" t="n">
        <x:v>0</x:v>
      </x:c>
      <x:c r="M1806" s="2" t="n">
        <x:f>SUM(L$1766:L1806)</x:f>
        <x:v>66</x:v>
      </x:c>
      <x:c r="N1806" s="2" t="n">
        <x:v>0</x:v>
      </x:c>
      <x:c r="O1806" s="2" t="str">
        <x:v>relleno_postmuerte</x:v>
      </x:c>
      <x:c r="P1806" s="2" t="n">
        <x:v>0</x:v>
      </x:c>
      <x:c r="Q1806" s="2" t="str">
        <x:v>simulado_didactico</x:v>
      </x:c>
    </x:row>
    <x:row r="1807" ht="19" customHeight="1">
      <x:c r="A1807" s="2" t="str">
        <x:v>SIM-E2-BB-L0-R07</x:v>
      </x:c>
      <x:c r="B1807" s="2" t="n">
        <x:v>4</x:v>
      </x:c>
      <x:c r="C1807" s="2" t="str">
        <x:v>BB</x:v>
      </x:c>
      <x:c r="D1807" s="2" t="str">
        <x:v>Brevicoryne brassicae</x:v>
      </x:c>
      <x:c r="E1807" s="2" t="str">
        <x:v>L0</x:v>
      </x:c>
      <x:c r="F1807" s="2" t="n">
        <x:v>7</x:v>
      </x:c>
      <x:c r="G1807" s="2" t="n">
        <x:v>41</x:v>
      </x:c>
      <x:c r="H1807" s="2" t="n">
        <x:f>G1807+Supuestos!$C$15</x:f>
        <x:v>42</x:v>
      </x:c>
      <x:c r="I1807" s="14" t="n">
        <x:f>E2_plantas!J44+G1807</x:f>
        <x:v>46236</x:v>
      </x:c>
      <x:c r="J1807" s="2" t="str">
        <x:v>muerta</x:v>
      </x:c>
      <x:c r="K1807" s="2" t="n">
        <x:v>0</x:v>
      </x:c>
      <x:c r="L1807" s="2" t="n">
        <x:v>0</x:v>
      </x:c>
      <x:c r="M1807" s="2" t="n">
        <x:f>SUM(L$1766:L1807)</x:f>
        <x:v>66</x:v>
      </x:c>
      <x:c r="N1807" s="2" t="n">
        <x:v>0</x:v>
      </x:c>
      <x:c r="O1807" s="2" t="str">
        <x:v>relleno_postmuerte</x:v>
      </x:c>
      <x:c r="P1807" s="2" t="n">
        <x:v>0</x:v>
      </x:c>
      <x:c r="Q1807" s="2" t="str">
        <x:v>simulado_didactico</x:v>
      </x:c>
    </x:row>
    <x:row r="1808" ht="19" customHeight="1">
      <x:c r="A1808" s="2" t="str">
        <x:v>SIM-E2-BB-L0-R08</x:v>
      </x:c>
      <x:c r="B1808" s="2" t="n">
        <x:v>4</x:v>
      </x:c>
      <x:c r="C1808" s="2" t="str">
        <x:v>BB</x:v>
      </x:c>
      <x:c r="D1808" s="2" t="str">
        <x:v>Brevicoryne brassicae</x:v>
      </x:c>
      <x:c r="E1808" s="2" t="str">
        <x:v>L0</x:v>
      </x:c>
      <x:c r="F1808" s="2" t="n">
        <x:v>8</x:v>
      </x:c>
      <x:c r="G1808" s="2" t="n">
        <x:v>0</x:v>
      </x:c>
      <x:c r="H1808" s="2" t="n">
        <x:f>G1808+Supuestos!$C$15</x:f>
        <x:v>1</x:v>
      </x:c>
      <x:c r="I1808" s="14" t="n">
        <x:f>E2_plantas!J45+G1808</x:f>
        <x:v>46195</x:v>
      </x:c>
      <x:c r="J1808" s="2" t="str">
        <x:v>N1</x:v>
      </x:c>
      <x:c r="K1808" s="2" t="n">
        <x:v>1</x:v>
      </x:c>
      <x:c r="L1808" s="2" t="n">
        <x:v>0</x:v>
      </x:c>
      <x:c r="M1808" s="2" t="n">
        <x:f>SUM(L$1808:L1808)</x:f>
        <x:v>0</x:v>
      </x:c>
      <x:c r="N1808" s="2" t="n">
        <x:v>0</x:v>
      </x:c>
      <x:c r="O1808" s="2" t="str">
        <x:v>seguimiento</x:v>
      </x:c>
      <x:c r="P1808" s="2" t="n">
        <x:v>0</x:v>
      </x:c>
      <x:c r="Q1808" s="2" t="str">
        <x:v>simulado_didactico</x:v>
      </x:c>
    </x:row>
    <x:row r="1809" ht="19" customHeight="1">
      <x:c r="A1809" s="2" t="str">
        <x:v>SIM-E2-BB-L0-R08</x:v>
      </x:c>
      <x:c r="B1809" s="2" t="n">
        <x:v>4</x:v>
      </x:c>
      <x:c r="C1809" s="2" t="str">
        <x:v>BB</x:v>
      </x:c>
      <x:c r="D1809" s="2" t="str">
        <x:v>Brevicoryne brassicae</x:v>
      </x:c>
      <x:c r="E1809" s="2" t="str">
        <x:v>L0</x:v>
      </x:c>
      <x:c r="F1809" s="2" t="n">
        <x:v>8</x:v>
      </x:c>
      <x:c r="G1809" s="2" t="n">
        <x:v>1</x:v>
      </x:c>
      <x:c r="H1809" s="2" t="n">
        <x:f>G1809+Supuestos!$C$15</x:f>
        <x:v>2</x:v>
      </x:c>
      <x:c r="I1809" s="14" t="n">
        <x:f>E2_plantas!J45+G1809</x:f>
        <x:v>46196</x:v>
      </x:c>
      <x:c r="J1809" s="2" t="str">
        <x:v>N2</x:v>
      </x:c>
      <x:c r="K1809" s="2" t="n">
        <x:v>1</x:v>
      </x:c>
      <x:c r="L1809" s="2" t="n">
        <x:v>0</x:v>
      </x:c>
      <x:c r="M1809" s="2" t="n">
        <x:f>SUM(L$1808:L1809)</x:f>
        <x:v>0</x:v>
      </x:c>
      <x:c r="N1809" s="2" t="n">
        <x:v>0</x:v>
      </x:c>
      <x:c r="O1809" s="2" t="str">
        <x:v>seguimiento</x:v>
      </x:c>
      <x:c r="P1809" s="2" t="n">
        <x:v>0</x:v>
      </x:c>
      <x:c r="Q1809" s="2" t="str">
        <x:v>simulado_didactico</x:v>
      </x:c>
    </x:row>
    <x:row r="1810" ht="19" customHeight="1">
      <x:c r="A1810" s="2" t="str">
        <x:v>SIM-E2-BB-L0-R08</x:v>
      </x:c>
      <x:c r="B1810" s="2" t="n">
        <x:v>4</x:v>
      </x:c>
      <x:c r="C1810" s="2" t="str">
        <x:v>BB</x:v>
      </x:c>
      <x:c r="D1810" s="2" t="str">
        <x:v>Brevicoryne brassicae</x:v>
      </x:c>
      <x:c r="E1810" s="2" t="str">
        <x:v>L0</x:v>
      </x:c>
      <x:c r="F1810" s="2" t="n">
        <x:v>8</x:v>
      </x:c>
      <x:c r="G1810" s="2" t="n">
        <x:v>2</x:v>
      </x:c>
      <x:c r="H1810" s="2" t="n">
        <x:f>G1810+Supuestos!$C$15</x:f>
        <x:v>3</x:v>
      </x:c>
      <x:c r="I1810" s="14" t="n">
        <x:f>E2_plantas!J45+G1810</x:f>
        <x:v>46197</x:v>
      </x:c>
      <x:c r="J1810" s="2" t="str">
        <x:v>N2</x:v>
      </x:c>
      <x:c r="K1810" s="2" t="n">
        <x:v>1</x:v>
      </x:c>
      <x:c r="L1810" s="2" t="n">
        <x:v>0</x:v>
      </x:c>
      <x:c r="M1810" s="2" t="n">
        <x:f>SUM(L$1808:L1810)</x:f>
        <x:v>0</x:v>
      </x:c>
      <x:c r="N1810" s="2" t="n">
        <x:v>0</x:v>
      </x:c>
      <x:c r="O1810" s="2" t="str">
        <x:v>seguimiento</x:v>
      </x:c>
      <x:c r="P1810" s="2" t="n">
        <x:v>0</x:v>
      </x:c>
      <x:c r="Q1810" s="2" t="str">
        <x:v>simulado_didactico</x:v>
      </x:c>
    </x:row>
    <x:row r="1811" ht="19" customHeight="1">
      <x:c r="A1811" s="2" t="str">
        <x:v>SIM-E2-BB-L0-R08</x:v>
      </x:c>
      <x:c r="B1811" s="2" t="n">
        <x:v>4</x:v>
      </x:c>
      <x:c r="C1811" s="2" t="str">
        <x:v>BB</x:v>
      </x:c>
      <x:c r="D1811" s="2" t="str">
        <x:v>Brevicoryne brassicae</x:v>
      </x:c>
      <x:c r="E1811" s="2" t="str">
        <x:v>L0</x:v>
      </x:c>
      <x:c r="F1811" s="2" t="n">
        <x:v>8</x:v>
      </x:c>
      <x:c r="G1811" s="2" t="n">
        <x:v>3</x:v>
      </x:c>
      <x:c r="H1811" s="2" t="n">
        <x:f>G1811+Supuestos!$C$15</x:f>
        <x:v>4</x:v>
      </x:c>
      <x:c r="I1811" s="14" t="n">
        <x:f>E2_plantas!J45+G1811</x:f>
        <x:v>46198</x:v>
      </x:c>
      <x:c r="J1811" s="2" t="str">
        <x:v>N3</x:v>
      </x:c>
      <x:c r="K1811" s="2" t="n">
        <x:v>1</x:v>
      </x:c>
      <x:c r="L1811" s="2" t="n">
        <x:v>0</x:v>
      </x:c>
      <x:c r="M1811" s="2" t="n">
        <x:f>SUM(L$1808:L1811)</x:f>
        <x:v>0</x:v>
      </x:c>
      <x:c r="N1811" s="2" t="n">
        <x:v>0</x:v>
      </x:c>
      <x:c r="O1811" s="2" t="str">
        <x:v>seguimiento</x:v>
      </x:c>
      <x:c r="P1811" s="2" t="n">
        <x:v>0</x:v>
      </x:c>
      <x:c r="Q1811" s="2" t="str">
        <x:v>simulado_didactico</x:v>
      </x:c>
    </x:row>
    <x:row r="1812" ht="19" customHeight="1">
      <x:c r="A1812" s="2" t="str">
        <x:v>SIM-E2-BB-L0-R08</x:v>
      </x:c>
      <x:c r="B1812" s="2" t="n">
        <x:v>4</x:v>
      </x:c>
      <x:c r="C1812" s="2" t="str">
        <x:v>BB</x:v>
      </x:c>
      <x:c r="D1812" s="2" t="str">
        <x:v>Brevicoryne brassicae</x:v>
      </x:c>
      <x:c r="E1812" s="2" t="str">
        <x:v>L0</x:v>
      </x:c>
      <x:c r="F1812" s="2" t="n">
        <x:v>8</x:v>
      </x:c>
      <x:c r="G1812" s="2" t="n">
        <x:v>4</x:v>
      </x:c>
      <x:c r="H1812" s="2" t="n">
        <x:f>G1812+Supuestos!$C$15</x:f>
        <x:v>5</x:v>
      </x:c>
      <x:c r="I1812" s="14" t="n">
        <x:f>E2_plantas!J45+G1812</x:f>
        <x:v>46199</x:v>
      </x:c>
      <x:c r="J1812" s="2" t="str">
        <x:v>N3</x:v>
      </x:c>
      <x:c r="K1812" s="2" t="n">
        <x:v>1</x:v>
      </x:c>
      <x:c r="L1812" s="2" t="n">
        <x:v>0</x:v>
      </x:c>
      <x:c r="M1812" s="2" t="n">
        <x:f>SUM(L$1808:L1812)</x:f>
        <x:v>0</x:v>
      </x:c>
      <x:c r="N1812" s="2" t="n">
        <x:v>0</x:v>
      </x:c>
      <x:c r="O1812" s="2" t="str">
        <x:v>seguimiento</x:v>
      </x:c>
      <x:c r="P1812" s="2" t="n">
        <x:v>0</x:v>
      </x:c>
      <x:c r="Q1812" s="2" t="str">
        <x:v>simulado_didactico</x:v>
      </x:c>
    </x:row>
    <x:row r="1813" ht="19" customHeight="1">
      <x:c r="A1813" s="2" t="str">
        <x:v>SIM-E2-BB-L0-R08</x:v>
      </x:c>
      <x:c r="B1813" s="2" t="n">
        <x:v>4</x:v>
      </x:c>
      <x:c r="C1813" s="2" t="str">
        <x:v>BB</x:v>
      </x:c>
      <x:c r="D1813" s="2" t="str">
        <x:v>Brevicoryne brassicae</x:v>
      </x:c>
      <x:c r="E1813" s="2" t="str">
        <x:v>L0</x:v>
      </x:c>
      <x:c r="F1813" s="2" t="n">
        <x:v>8</x:v>
      </x:c>
      <x:c r="G1813" s="2" t="n">
        <x:v>5</x:v>
      </x:c>
      <x:c r="H1813" s="2" t="n">
        <x:f>G1813+Supuestos!$C$15</x:f>
        <x:v>6</x:v>
      </x:c>
      <x:c r="I1813" s="14" t="n">
        <x:f>E2_plantas!J45+G1813</x:f>
        <x:v>46200</x:v>
      </x:c>
      <x:c r="J1813" s="2" t="str">
        <x:v>muerta</x:v>
      </x:c>
      <x:c r="K1813" s="2" t="n">
        <x:v>0</x:v>
      </x:c>
      <x:c r="L1813" s="2" t="n">
        <x:v>0</x:v>
      </x:c>
      <x:c r="M1813" s="2" t="n">
        <x:f>SUM(L$1808:L1813)</x:f>
        <x:v>0</x:v>
      </x:c>
      <x:c r="N1813" s="2" t="n">
        <x:v>1</x:v>
      </x:c>
      <x:c r="O1813" s="2" t="str">
        <x:v>muerte</x:v>
      </x:c>
      <x:c r="P1813" s="2" t="n">
        <x:v>0</x:v>
      </x:c>
      <x:c r="Q1813" s="2" t="str">
        <x:v>simulado_didactico</x:v>
      </x:c>
    </x:row>
    <x:row r="1814" ht="19" customHeight="1">
      <x:c r="A1814" s="2" t="str">
        <x:v>SIM-E2-BB-L0-R08</x:v>
      </x:c>
      <x:c r="B1814" s="2" t="n">
        <x:v>4</x:v>
      </x:c>
      <x:c r="C1814" s="2" t="str">
        <x:v>BB</x:v>
      </x:c>
      <x:c r="D1814" s="2" t="str">
        <x:v>Brevicoryne brassicae</x:v>
      </x:c>
      <x:c r="E1814" s="2" t="str">
        <x:v>L0</x:v>
      </x:c>
      <x:c r="F1814" s="2" t="n">
        <x:v>8</x:v>
      </x:c>
      <x:c r="G1814" s="2" t="n">
        <x:v>6</x:v>
      </x:c>
      <x:c r="H1814" s="2" t="n">
        <x:f>G1814+Supuestos!$C$15</x:f>
        <x:v>7</x:v>
      </x:c>
      <x:c r="I1814" s="14" t="n">
        <x:f>E2_plantas!J45+G1814</x:f>
        <x:v>46201</x:v>
      </x:c>
      <x:c r="J1814" s="2" t="str">
        <x:v>muerta</x:v>
      </x:c>
      <x:c r="K1814" s="2" t="n">
        <x:v>0</x:v>
      </x:c>
      <x:c r="L1814" s="2" t="n">
        <x:v>0</x:v>
      </x:c>
      <x:c r="M1814" s="2" t="n">
        <x:f>SUM(L$1808:L1814)</x:f>
        <x:v>0</x:v>
      </x:c>
      <x:c r="N1814" s="2" t="n">
        <x:v>0</x:v>
      </x:c>
      <x:c r="O1814" s="2" t="str">
        <x:v>relleno_postmuerte</x:v>
      </x:c>
      <x:c r="P1814" s="2" t="n">
        <x:v>0</x:v>
      </x:c>
      <x:c r="Q1814" s="2" t="str">
        <x:v>simulado_didactico</x:v>
      </x:c>
    </x:row>
    <x:row r="1815" ht="19" customHeight="1">
      <x:c r="A1815" s="2" t="str">
        <x:v>SIM-E2-BB-L0-R08</x:v>
      </x:c>
      <x:c r="B1815" s="2" t="n">
        <x:v>4</x:v>
      </x:c>
      <x:c r="C1815" s="2" t="str">
        <x:v>BB</x:v>
      </x:c>
      <x:c r="D1815" s="2" t="str">
        <x:v>Brevicoryne brassicae</x:v>
      </x:c>
      <x:c r="E1815" s="2" t="str">
        <x:v>L0</x:v>
      </x:c>
      <x:c r="F1815" s="2" t="n">
        <x:v>8</x:v>
      </x:c>
      <x:c r="G1815" s="2" t="n">
        <x:v>7</x:v>
      </x:c>
      <x:c r="H1815" s="2" t="n">
        <x:f>G1815+Supuestos!$C$15</x:f>
        <x:v>8</x:v>
      </x:c>
      <x:c r="I1815" s="14" t="n">
        <x:f>E2_plantas!J45+G1815</x:f>
        <x:v>46202</x:v>
      </x:c>
      <x:c r="J1815" s="2" t="str">
        <x:v>muerta</x:v>
      </x:c>
      <x:c r="K1815" s="2" t="n">
        <x:v>0</x:v>
      </x:c>
      <x:c r="L1815" s="2" t="n">
        <x:v>0</x:v>
      </x:c>
      <x:c r="M1815" s="2" t="n">
        <x:f>SUM(L$1808:L1815)</x:f>
        <x:v>0</x:v>
      </x:c>
      <x:c r="N1815" s="2" t="n">
        <x:v>0</x:v>
      </x:c>
      <x:c r="O1815" s="2" t="str">
        <x:v>relleno_postmuerte</x:v>
      </x:c>
      <x:c r="P1815" s="2" t="n">
        <x:v>0</x:v>
      </x:c>
      <x:c r="Q1815" s="2" t="str">
        <x:v>simulado_didactico</x:v>
      </x:c>
    </x:row>
    <x:row r="1816" ht="19" customHeight="1">
      <x:c r="A1816" s="2" t="str">
        <x:v>SIM-E2-BB-L0-R08</x:v>
      </x:c>
      <x:c r="B1816" s="2" t="n">
        <x:v>4</x:v>
      </x:c>
      <x:c r="C1816" s="2" t="str">
        <x:v>BB</x:v>
      </x:c>
      <x:c r="D1816" s="2" t="str">
        <x:v>Brevicoryne brassicae</x:v>
      </x:c>
      <x:c r="E1816" s="2" t="str">
        <x:v>L0</x:v>
      </x:c>
      <x:c r="F1816" s="2" t="n">
        <x:v>8</x:v>
      </x:c>
      <x:c r="G1816" s="2" t="n">
        <x:v>8</x:v>
      </x:c>
      <x:c r="H1816" s="2" t="n">
        <x:f>G1816+Supuestos!$C$15</x:f>
        <x:v>9</x:v>
      </x:c>
      <x:c r="I1816" s="14" t="n">
        <x:f>E2_plantas!J45+G1816</x:f>
        <x:v>46203</x:v>
      </x:c>
      <x:c r="J1816" s="2" t="str">
        <x:v>muerta</x:v>
      </x:c>
      <x:c r="K1816" s="2" t="n">
        <x:v>0</x:v>
      </x:c>
      <x:c r="L1816" s="2" t="n">
        <x:v>0</x:v>
      </x:c>
      <x:c r="M1816" s="2" t="n">
        <x:f>SUM(L$1808:L1816)</x:f>
        <x:v>0</x:v>
      </x:c>
      <x:c r="N1816" s="2" t="n">
        <x:v>0</x:v>
      </x:c>
      <x:c r="O1816" s="2" t="str">
        <x:v>relleno_postmuerte</x:v>
      </x:c>
      <x:c r="P1816" s="2" t="n">
        <x:v>0</x:v>
      </x:c>
      <x:c r="Q1816" s="2" t="str">
        <x:v>simulado_didactico</x:v>
      </x:c>
    </x:row>
    <x:row r="1817" ht="19" customHeight="1">
      <x:c r="A1817" s="2" t="str">
        <x:v>SIM-E2-BB-L0-R08</x:v>
      </x:c>
      <x:c r="B1817" s="2" t="n">
        <x:v>4</x:v>
      </x:c>
      <x:c r="C1817" s="2" t="str">
        <x:v>BB</x:v>
      </x:c>
      <x:c r="D1817" s="2" t="str">
        <x:v>Brevicoryne brassicae</x:v>
      </x:c>
      <x:c r="E1817" s="2" t="str">
        <x:v>L0</x:v>
      </x:c>
      <x:c r="F1817" s="2" t="n">
        <x:v>8</x:v>
      </x:c>
      <x:c r="G1817" s="2" t="n">
        <x:v>9</x:v>
      </x:c>
      <x:c r="H1817" s="2" t="n">
        <x:f>G1817+Supuestos!$C$15</x:f>
        <x:v>10</x:v>
      </x:c>
      <x:c r="I1817" s="14" t="n">
        <x:f>E2_plantas!J45+G1817</x:f>
        <x:v>46204</x:v>
      </x:c>
      <x:c r="J1817" s="2" t="str">
        <x:v>muerta</x:v>
      </x:c>
      <x:c r="K1817" s="2" t="n">
        <x:v>0</x:v>
      </x:c>
      <x:c r="L1817" s="2" t="n">
        <x:v>0</x:v>
      </x:c>
      <x:c r="M1817" s="2" t="n">
        <x:f>SUM(L$1808:L1817)</x:f>
        <x:v>0</x:v>
      </x:c>
      <x:c r="N1817" s="2" t="n">
        <x:v>0</x:v>
      </x:c>
      <x:c r="O1817" s="2" t="str">
        <x:v>relleno_postmuerte</x:v>
      </x:c>
      <x:c r="P1817" s="2" t="n">
        <x:v>0</x:v>
      </x:c>
      <x:c r="Q1817" s="2" t="str">
        <x:v>simulado_didactico</x:v>
      </x:c>
    </x:row>
    <x:row r="1818" ht="19" customHeight="1">
      <x:c r="A1818" s="2" t="str">
        <x:v>SIM-E2-BB-L0-R08</x:v>
      </x:c>
      <x:c r="B1818" s="2" t="n">
        <x:v>4</x:v>
      </x:c>
      <x:c r="C1818" s="2" t="str">
        <x:v>BB</x:v>
      </x:c>
      <x:c r="D1818" s="2" t="str">
        <x:v>Brevicoryne brassicae</x:v>
      </x:c>
      <x:c r="E1818" s="2" t="str">
        <x:v>L0</x:v>
      </x:c>
      <x:c r="F1818" s="2" t="n">
        <x:v>8</x:v>
      </x:c>
      <x:c r="G1818" s="2" t="n">
        <x:v>10</x:v>
      </x:c>
      <x:c r="H1818" s="2" t="n">
        <x:f>G1818+Supuestos!$C$15</x:f>
        <x:v>11</x:v>
      </x:c>
      <x:c r="I1818" s="14" t="n">
        <x:f>E2_plantas!J45+G1818</x:f>
        <x:v>46205</x:v>
      </x:c>
      <x:c r="J1818" s="2" t="str">
        <x:v>muerta</x:v>
      </x:c>
      <x:c r="K1818" s="2" t="n">
        <x:v>0</x:v>
      </x:c>
      <x:c r="L1818" s="2" t="n">
        <x:v>0</x:v>
      </x:c>
      <x:c r="M1818" s="2" t="n">
        <x:f>SUM(L$1808:L1818)</x:f>
        <x:v>0</x:v>
      </x:c>
      <x:c r="N1818" s="2" t="n">
        <x:v>0</x:v>
      </x:c>
      <x:c r="O1818" s="2" t="str">
        <x:v>relleno_postmuerte</x:v>
      </x:c>
      <x:c r="P1818" s="2" t="n">
        <x:v>0</x:v>
      </x:c>
      <x:c r="Q1818" s="2" t="str">
        <x:v>simulado_didactico</x:v>
      </x:c>
    </x:row>
    <x:row r="1819" ht="19" customHeight="1">
      <x:c r="A1819" s="2" t="str">
        <x:v>SIM-E2-BB-L0-R08</x:v>
      </x:c>
      <x:c r="B1819" s="2" t="n">
        <x:v>4</x:v>
      </x:c>
      <x:c r="C1819" s="2" t="str">
        <x:v>BB</x:v>
      </x:c>
      <x:c r="D1819" s="2" t="str">
        <x:v>Brevicoryne brassicae</x:v>
      </x:c>
      <x:c r="E1819" s="2" t="str">
        <x:v>L0</x:v>
      </x:c>
      <x:c r="F1819" s="2" t="n">
        <x:v>8</x:v>
      </x:c>
      <x:c r="G1819" s="2" t="n">
        <x:v>11</x:v>
      </x:c>
      <x:c r="H1819" s="2" t="n">
        <x:f>G1819+Supuestos!$C$15</x:f>
        <x:v>12</x:v>
      </x:c>
      <x:c r="I1819" s="14" t="n">
        <x:f>E2_plantas!J45+G1819</x:f>
        <x:v>46206</x:v>
      </x:c>
      <x:c r="J1819" s="2" t="str">
        <x:v>muerta</x:v>
      </x:c>
      <x:c r="K1819" s="2" t="n">
        <x:v>0</x:v>
      </x:c>
      <x:c r="L1819" s="2" t="n">
        <x:v>0</x:v>
      </x:c>
      <x:c r="M1819" s="2" t="n">
        <x:f>SUM(L$1808:L1819)</x:f>
        <x:v>0</x:v>
      </x:c>
      <x:c r="N1819" s="2" t="n">
        <x:v>0</x:v>
      </x:c>
      <x:c r="O1819" s="2" t="str">
        <x:v>relleno_postmuerte</x:v>
      </x:c>
      <x:c r="P1819" s="2" t="n">
        <x:v>0</x:v>
      </x:c>
      <x:c r="Q1819" s="2" t="str">
        <x:v>simulado_didactico</x:v>
      </x:c>
    </x:row>
    <x:row r="1820" ht="19" customHeight="1">
      <x:c r="A1820" s="2" t="str">
        <x:v>SIM-E2-BB-L0-R08</x:v>
      </x:c>
      <x:c r="B1820" s="2" t="n">
        <x:v>4</x:v>
      </x:c>
      <x:c r="C1820" s="2" t="str">
        <x:v>BB</x:v>
      </x:c>
      <x:c r="D1820" s="2" t="str">
        <x:v>Brevicoryne brassicae</x:v>
      </x:c>
      <x:c r="E1820" s="2" t="str">
        <x:v>L0</x:v>
      </x:c>
      <x:c r="F1820" s="2" t="n">
        <x:v>8</x:v>
      </x:c>
      <x:c r="G1820" s="2" t="n">
        <x:v>12</x:v>
      </x:c>
      <x:c r="H1820" s="2" t="n">
        <x:f>G1820+Supuestos!$C$15</x:f>
        <x:v>13</x:v>
      </x:c>
      <x:c r="I1820" s="14" t="n">
        <x:f>E2_plantas!J45+G1820</x:f>
        <x:v>46207</x:v>
      </x:c>
      <x:c r="J1820" s="2" t="str">
        <x:v>muerta</x:v>
      </x:c>
      <x:c r="K1820" s="2" t="n">
        <x:v>0</x:v>
      </x:c>
      <x:c r="L1820" s="2" t="n">
        <x:v>0</x:v>
      </x:c>
      <x:c r="M1820" s="2" t="n">
        <x:f>SUM(L$1808:L1820)</x:f>
        <x:v>0</x:v>
      </x:c>
      <x:c r="N1820" s="2" t="n">
        <x:v>0</x:v>
      </x:c>
      <x:c r="O1820" s="2" t="str">
        <x:v>relleno_postmuerte</x:v>
      </x:c>
      <x:c r="P1820" s="2" t="n">
        <x:v>0</x:v>
      </x:c>
      <x:c r="Q1820" s="2" t="str">
        <x:v>simulado_didactico</x:v>
      </x:c>
    </x:row>
    <x:row r="1821" ht="19" customHeight="1">
      <x:c r="A1821" s="2" t="str">
        <x:v>SIM-E2-BB-L0-R08</x:v>
      </x:c>
      <x:c r="B1821" s="2" t="n">
        <x:v>4</x:v>
      </x:c>
      <x:c r="C1821" s="2" t="str">
        <x:v>BB</x:v>
      </x:c>
      <x:c r="D1821" s="2" t="str">
        <x:v>Brevicoryne brassicae</x:v>
      </x:c>
      <x:c r="E1821" s="2" t="str">
        <x:v>L0</x:v>
      </x:c>
      <x:c r="F1821" s="2" t="n">
        <x:v>8</x:v>
      </x:c>
      <x:c r="G1821" s="2" t="n">
        <x:v>13</x:v>
      </x:c>
      <x:c r="H1821" s="2" t="n">
        <x:f>G1821+Supuestos!$C$15</x:f>
        <x:v>14</x:v>
      </x:c>
      <x:c r="I1821" s="14" t="n">
        <x:f>E2_plantas!J45+G1821</x:f>
        <x:v>46208</x:v>
      </x:c>
      <x:c r="J1821" s="2" t="str">
        <x:v>muerta</x:v>
      </x:c>
      <x:c r="K1821" s="2" t="n">
        <x:v>0</x:v>
      </x:c>
      <x:c r="L1821" s="2" t="n">
        <x:v>0</x:v>
      </x:c>
      <x:c r="M1821" s="2" t="n">
        <x:f>SUM(L$1808:L1821)</x:f>
        <x:v>0</x:v>
      </x:c>
      <x:c r="N1821" s="2" t="n">
        <x:v>0</x:v>
      </x:c>
      <x:c r="O1821" s="2" t="str">
        <x:v>relleno_postmuerte</x:v>
      </x:c>
      <x:c r="P1821" s="2" t="n">
        <x:v>0</x:v>
      </x:c>
      <x:c r="Q1821" s="2" t="str">
        <x:v>simulado_didactico</x:v>
      </x:c>
    </x:row>
    <x:row r="1822" ht="19" customHeight="1">
      <x:c r="A1822" s="2" t="str">
        <x:v>SIM-E2-BB-L0-R08</x:v>
      </x:c>
      <x:c r="B1822" s="2" t="n">
        <x:v>4</x:v>
      </x:c>
      <x:c r="C1822" s="2" t="str">
        <x:v>BB</x:v>
      </x:c>
      <x:c r="D1822" s="2" t="str">
        <x:v>Brevicoryne brassicae</x:v>
      </x:c>
      <x:c r="E1822" s="2" t="str">
        <x:v>L0</x:v>
      </x:c>
      <x:c r="F1822" s="2" t="n">
        <x:v>8</x:v>
      </x:c>
      <x:c r="G1822" s="2" t="n">
        <x:v>14</x:v>
      </x:c>
      <x:c r="H1822" s="2" t="n">
        <x:f>G1822+Supuestos!$C$15</x:f>
        <x:v>15</x:v>
      </x:c>
      <x:c r="I1822" s="14" t="n">
        <x:f>E2_plantas!J45+G1822</x:f>
        <x:v>46209</x:v>
      </x:c>
      <x:c r="J1822" s="2" t="str">
        <x:v>muerta</x:v>
      </x:c>
      <x:c r="K1822" s="2" t="n">
        <x:v>0</x:v>
      </x:c>
      <x:c r="L1822" s="2" t="n">
        <x:v>0</x:v>
      </x:c>
      <x:c r="M1822" s="2" t="n">
        <x:f>SUM(L$1808:L1822)</x:f>
        <x:v>0</x:v>
      </x:c>
      <x:c r="N1822" s="2" t="n">
        <x:v>0</x:v>
      </x:c>
      <x:c r="O1822" s="2" t="str">
        <x:v>relleno_postmuerte</x:v>
      </x:c>
      <x:c r="P1822" s="2" t="n">
        <x:v>0</x:v>
      </x:c>
      <x:c r="Q1822" s="2" t="str">
        <x:v>simulado_didactico</x:v>
      </x:c>
    </x:row>
    <x:row r="1823" ht="19" customHeight="1">
      <x:c r="A1823" s="2" t="str">
        <x:v>SIM-E2-BB-L0-R08</x:v>
      </x:c>
      <x:c r="B1823" s="2" t="n">
        <x:v>4</x:v>
      </x:c>
      <x:c r="C1823" s="2" t="str">
        <x:v>BB</x:v>
      </x:c>
      <x:c r="D1823" s="2" t="str">
        <x:v>Brevicoryne brassicae</x:v>
      </x:c>
      <x:c r="E1823" s="2" t="str">
        <x:v>L0</x:v>
      </x:c>
      <x:c r="F1823" s="2" t="n">
        <x:v>8</x:v>
      </x:c>
      <x:c r="G1823" s="2" t="n">
        <x:v>15</x:v>
      </x:c>
      <x:c r="H1823" s="2" t="n">
        <x:f>G1823+Supuestos!$C$15</x:f>
        <x:v>16</x:v>
      </x:c>
      <x:c r="I1823" s="14" t="n">
        <x:f>E2_plantas!J45+G1823</x:f>
        <x:v>46210</x:v>
      </x:c>
      <x:c r="J1823" s="2" t="str">
        <x:v>muerta</x:v>
      </x:c>
      <x:c r="K1823" s="2" t="n">
        <x:v>0</x:v>
      </x:c>
      <x:c r="L1823" s="2" t="n">
        <x:v>0</x:v>
      </x:c>
      <x:c r="M1823" s="2" t="n">
        <x:f>SUM(L$1808:L1823)</x:f>
        <x:v>0</x:v>
      </x:c>
      <x:c r="N1823" s="2" t="n">
        <x:v>0</x:v>
      </x:c>
      <x:c r="O1823" s="2" t="str">
        <x:v>relleno_postmuerte</x:v>
      </x:c>
      <x:c r="P1823" s="2" t="n">
        <x:v>0</x:v>
      </x:c>
      <x:c r="Q1823" s="2" t="str">
        <x:v>simulado_didactico</x:v>
      </x:c>
    </x:row>
    <x:row r="1824" ht="19" customHeight="1">
      <x:c r="A1824" s="2" t="str">
        <x:v>SIM-E2-BB-L0-R08</x:v>
      </x:c>
      <x:c r="B1824" s="2" t="n">
        <x:v>4</x:v>
      </x:c>
      <x:c r="C1824" s="2" t="str">
        <x:v>BB</x:v>
      </x:c>
      <x:c r="D1824" s="2" t="str">
        <x:v>Brevicoryne brassicae</x:v>
      </x:c>
      <x:c r="E1824" s="2" t="str">
        <x:v>L0</x:v>
      </x:c>
      <x:c r="F1824" s="2" t="n">
        <x:v>8</x:v>
      </x:c>
      <x:c r="G1824" s="2" t="n">
        <x:v>16</x:v>
      </x:c>
      <x:c r="H1824" s="2" t="n">
        <x:f>G1824+Supuestos!$C$15</x:f>
        <x:v>17</x:v>
      </x:c>
      <x:c r="I1824" s="14" t="n">
        <x:f>E2_plantas!J45+G1824</x:f>
        <x:v>46211</x:v>
      </x:c>
      <x:c r="J1824" s="2" t="str">
        <x:v>muerta</x:v>
      </x:c>
      <x:c r="K1824" s="2" t="n">
        <x:v>0</x:v>
      </x:c>
      <x:c r="L1824" s="2" t="n">
        <x:v>0</x:v>
      </x:c>
      <x:c r="M1824" s="2" t="n">
        <x:f>SUM(L$1808:L1824)</x:f>
        <x:v>0</x:v>
      </x:c>
      <x:c r="N1824" s="2" t="n">
        <x:v>0</x:v>
      </x:c>
      <x:c r="O1824" s="2" t="str">
        <x:v>relleno_postmuerte</x:v>
      </x:c>
      <x:c r="P1824" s="2" t="n">
        <x:v>0</x:v>
      </x:c>
      <x:c r="Q1824" s="2" t="str">
        <x:v>simulado_didactico</x:v>
      </x:c>
    </x:row>
    <x:row r="1825" ht="19" customHeight="1">
      <x:c r="A1825" s="2" t="str">
        <x:v>SIM-E2-BB-L0-R08</x:v>
      </x:c>
      <x:c r="B1825" s="2" t="n">
        <x:v>4</x:v>
      </x:c>
      <x:c r="C1825" s="2" t="str">
        <x:v>BB</x:v>
      </x:c>
      <x:c r="D1825" s="2" t="str">
        <x:v>Brevicoryne brassicae</x:v>
      </x:c>
      <x:c r="E1825" s="2" t="str">
        <x:v>L0</x:v>
      </x:c>
      <x:c r="F1825" s="2" t="n">
        <x:v>8</x:v>
      </x:c>
      <x:c r="G1825" s="2" t="n">
        <x:v>17</x:v>
      </x:c>
      <x:c r="H1825" s="2" t="n">
        <x:f>G1825+Supuestos!$C$15</x:f>
        <x:v>18</x:v>
      </x:c>
      <x:c r="I1825" s="14" t="n">
        <x:f>E2_plantas!J45+G1825</x:f>
        <x:v>46212</x:v>
      </x:c>
      <x:c r="J1825" s="2" t="str">
        <x:v>muerta</x:v>
      </x:c>
      <x:c r="K1825" s="2" t="n">
        <x:v>0</x:v>
      </x:c>
      <x:c r="L1825" s="2" t="n">
        <x:v>0</x:v>
      </x:c>
      <x:c r="M1825" s="2" t="n">
        <x:f>SUM(L$1808:L1825)</x:f>
        <x:v>0</x:v>
      </x:c>
      <x:c r="N1825" s="2" t="n">
        <x:v>0</x:v>
      </x:c>
      <x:c r="O1825" s="2" t="str">
        <x:v>relleno_postmuerte</x:v>
      </x:c>
      <x:c r="P1825" s="2" t="n">
        <x:v>0</x:v>
      </x:c>
      <x:c r="Q1825" s="2" t="str">
        <x:v>simulado_didactico</x:v>
      </x:c>
    </x:row>
    <x:row r="1826" ht="19" customHeight="1">
      <x:c r="A1826" s="2" t="str">
        <x:v>SIM-E2-BB-L0-R08</x:v>
      </x:c>
      <x:c r="B1826" s="2" t="n">
        <x:v>4</x:v>
      </x:c>
      <x:c r="C1826" s="2" t="str">
        <x:v>BB</x:v>
      </x:c>
      <x:c r="D1826" s="2" t="str">
        <x:v>Brevicoryne brassicae</x:v>
      </x:c>
      <x:c r="E1826" s="2" t="str">
        <x:v>L0</x:v>
      </x:c>
      <x:c r="F1826" s="2" t="n">
        <x:v>8</x:v>
      </x:c>
      <x:c r="G1826" s="2" t="n">
        <x:v>18</x:v>
      </x:c>
      <x:c r="H1826" s="2" t="n">
        <x:f>G1826+Supuestos!$C$15</x:f>
        <x:v>19</x:v>
      </x:c>
      <x:c r="I1826" s="14" t="n">
        <x:f>E2_plantas!J45+G1826</x:f>
        <x:v>46213</x:v>
      </x:c>
      <x:c r="J1826" s="2" t="str">
        <x:v>muerta</x:v>
      </x:c>
      <x:c r="K1826" s="2" t="n">
        <x:v>0</x:v>
      </x:c>
      <x:c r="L1826" s="2" t="n">
        <x:v>0</x:v>
      </x:c>
      <x:c r="M1826" s="2" t="n">
        <x:f>SUM(L$1808:L1826)</x:f>
        <x:v>0</x:v>
      </x:c>
      <x:c r="N1826" s="2" t="n">
        <x:v>0</x:v>
      </x:c>
      <x:c r="O1826" s="2" t="str">
        <x:v>relleno_postmuerte</x:v>
      </x:c>
      <x:c r="P1826" s="2" t="n">
        <x:v>0</x:v>
      </x:c>
      <x:c r="Q1826" s="2" t="str">
        <x:v>simulado_didactico</x:v>
      </x:c>
    </x:row>
    <x:row r="1827" ht="19" customHeight="1">
      <x:c r="A1827" s="2" t="str">
        <x:v>SIM-E2-BB-L0-R08</x:v>
      </x:c>
      <x:c r="B1827" s="2" t="n">
        <x:v>4</x:v>
      </x:c>
      <x:c r="C1827" s="2" t="str">
        <x:v>BB</x:v>
      </x:c>
      <x:c r="D1827" s="2" t="str">
        <x:v>Brevicoryne brassicae</x:v>
      </x:c>
      <x:c r="E1827" s="2" t="str">
        <x:v>L0</x:v>
      </x:c>
      <x:c r="F1827" s="2" t="n">
        <x:v>8</x:v>
      </x:c>
      <x:c r="G1827" s="2" t="n">
        <x:v>19</x:v>
      </x:c>
      <x:c r="H1827" s="2" t="n">
        <x:f>G1827+Supuestos!$C$15</x:f>
        <x:v>20</x:v>
      </x:c>
      <x:c r="I1827" s="14" t="n">
        <x:f>E2_plantas!J45+G1827</x:f>
        <x:v>46214</x:v>
      </x:c>
      <x:c r="J1827" s="2" t="str">
        <x:v>muerta</x:v>
      </x:c>
      <x:c r="K1827" s="2" t="n">
        <x:v>0</x:v>
      </x:c>
      <x:c r="L1827" s="2" t="n">
        <x:v>0</x:v>
      </x:c>
      <x:c r="M1827" s="2" t="n">
        <x:f>SUM(L$1808:L1827)</x:f>
        <x:v>0</x:v>
      </x:c>
      <x:c r="N1827" s="2" t="n">
        <x:v>0</x:v>
      </x:c>
      <x:c r="O1827" s="2" t="str">
        <x:v>relleno_postmuerte</x:v>
      </x:c>
      <x:c r="P1827" s="2" t="n">
        <x:v>0</x:v>
      </x:c>
      <x:c r="Q1827" s="2" t="str">
        <x:v>simulado_didactico</x:v>
      </x:c>
    </x:row>
    <x:row r="1828" ht="19" customHeight="1">
      <x:c r="A1828" s="2" t="str">
        <x:v>SIM-E2-BB-L0-R08</x:v>
      </x:c>
      <x:c r="B1828" s="2" t="n">
        <x:v>4</x:v>
      </x:c>
      <x:c r="C1828" s="2" t="str">
        <x:v>BB</x:v>
      </x:c>
      <x:c r="D1828" s="2" t="str">
        <x:v>Brevicoryne brassicae</x:v>
      </x:c>
      <x:c r="E1828" s="2" t="str">
        <x:v>L0</x:v>
      </x:c>
      <x:c r="F1828" s="2" t="n">
        <x:v>8</x:v>
      </x:c>
      <x:c r="G1828" s="2" t="n">
        <x:v>20</x:v>
      </x:c>
      <x:c r="H1828" s="2" t="n">
        <x:f>G1828+Supuestos!$C$15</x:f>
        <x:v>21</x:v>
      </x:c>
      <x:c r="I1828" s="14" t="n">
        <x:f>E2_plantas!J45+G1828</x:f>
        <x:v>46215</x:v>
      </x:c>
      <x:c r="J1828" s="2" t="str">
        <x:v>muerta</x:v>
      </x:c>
      <x:c r="K1828" s="2" t="n">
        <x:v>0</x:v>
      </x:c>
      <x:c r="L1828" s="2" t="n">
        <x:v>0</x:v>
      </x:c>
      <x:c r="M1828" s="2" t="n">
        <x:f>SUM(L$1808:L1828)</x:f>
        <x:v>0</x:v>
      </x:c>
      <x:c r="N1828" s="2" t="n">
        <x:v>0</x:v>
      </x:c>
      <x:c r="O1828" s="2" t="str">
        <x:v>relleno_postmuerte</x:v>
      </x:c>
      <x:c r="P1828" s="2" t="n">
        <x:v>0</x:v>
      </x:c>
      <x:c r="Q1828" s="2" t="str">
        <x:v>simulado_didactico</x:v>
      </x:c>
    </x:row>
    <x:row r="1829" ht="19" customHeight="1">
      <x:c r="A1829" s="2" t="str">
        <x:v>SIM-E2-BB-L0-R08</x:v>
      </x:c>
      <x:c r="B1829" s="2" t="n">
        <x:v>4</x:v>
      </x:c>
      <x:c r="C1829" s="2" t="str">
        <x:v>BB</x:v>
      </x:c>
      <x:c r="D1829" s="2" t="str">
        <x:v>Brevicoryne brassicae</x:v>
      </x:c>
      <x:c r="E1829" s="2" t="str">
        <x:v>L0</x:v>
      </x:c>
      <x:c r="F1829" s="2" t="n">
        <x:v>8</x:v>
      </x:c>
      <x:c r="G1829" s="2" t="n">
        <x:v>21</x:v>
      </x:c>
      <x:c r="H1829" s="2" t="n">
        <x:f>G1829+Supuestos!$C$15</x:f>
        <x:v>22</x:v>
      </x:c>
      <x:c r="I1829" s="14" t="n">
        <x:f>E2_plantas!J45+G1829</x:f>
        <x:v>46216</x:v>
      </x:c>
      <x:c r="J1829" s="2" t="str">
        <x:v>muerta</x:v>
      </x:c>
      <x:c r="K1829" s="2" t="n">
        <x:v>0</x:v>
      </x:c>
      <x:c r="L1829" s="2" t="n">
        <x:v>0</x:v>
      </x:c>
      <x:c r="M1829" s="2" t="n">
        <x:f>SUM(L$1808:L1829)</x:f>
        <x:v>0</x:v>
      </x:c>
      <x:c r="N1829" s="2" t="n">
        <x:v>0</x:v>
      </x:c>
      <x:c r="O1829" s="2" t="str">
        <x:v>relleno_postmuerte</x:v>
      </x:c>
      <x:c r="P1829" s="2" t="n">
        <x:v>0</x:v>
      </x:c>
      <x:c r="Q1829" s="2" t="str">
        <x:v>simulado_didactico</x:v>
      </x:c>
    </x:row>
    <x:row r="1830" ht="19" customHeight="1">
      <x:c r="A1830" s="2" t="str">
        <x:v>SIM-E2-BB-L0-R08</x:v>
      </x:c>
      <x:c r="B1830" s="2" t="n">
        <x:v>4</x:v>
      </x:c>
      <x:c r="C1830" s="2" t="str">
        <x:v>BB</x:v>
      </x:c>
      <x:c r="D1830" s="2" t="str">
        <x:v>Brevicoryne brassicae</x:v>
      </x:c>
      <x:c r="E1830" s="2" t="str">
        <x:v>L0</x:v>
      </x:c>
      <x:c r="F1830" s="2" t="n">
        <x:v>8</x:v>
      </x:c>
      <x:c r="G1830" s="2" t="n">
        <x:v>22</x:v>
      </x:c>
      <x:c r="H1830" s="2" t="n">
        <x:f>G1830+Supuestos!$C$15</x:f>
        <x:v>23</x:v>
      </x:c>
      <x:c r="I1830" s="14" t="n">
        <x:f>E2_plantas!J45+G1830</x:f>
        <x:v>46217</x:v>
      </x:c>
      <x:c r="J1830" s="2" t="str">
        <x:v>muerta</x:v>
      </x:c>
      <x:c r="K1830" s="2" t="n">
        <x:v>0</x:v>
      </x:c>
      <x:c r="L1830" s="2" t="n">
        <x:v>0</x:v>
      </x:c>
      <x:c r="M1830" s="2" t="n">
        <x:f>SUM(L$1808:L1830)</x:f>
        <x:v>0</x:v>
      </x:c>
      <x:c r="N1830" s="2" t="n">
        <x:v>0</x:v>
      </x:c>
      <x:c r="O1830" s="2" t="str">
        <x:v>relleno_postmuerte</x:v>
      </x:c>
      <x:c r="P1830" s="2" t="n">
        <x:v>0</x:v>
      </x:c>
      <x:c r="Q1830" s="2" t="str">
        <x:v>simulado_didactico</x:v>
      </x:c>
    </x:row>
    <x:row r="1831" ht="19" customHeight="1">
      <x:c r="A1831" s="2" t="str">
        <x:v>SIM-E2-BB-L0-R08</x:v>
      </x:c>
      <x:c r="B1831" s="2" t="n">
        <x:v>4</x:v>
      </x:c>
      <x:c r="C1831" s="2" t="str">
        <x:v>BB</x:v>
      </x:c>
      <x:c r="D1831" s="2" t="str">
        <x:v>Brevicoryne brassicae</x:v>
      </x:c>
      <x:c r="E1831" s="2" t="str">
        <x:v>L0</x:v>
      </x:c>
      <x:c r="F1831" s="2" t="n">
        <x:v>8</x:v>
      </x:c>
      <x:c r="G1831" s="2" t="n">
        <x:v>23</x:v>
      </x:c>
      <x:c r="H1831" s="2" t="n">
        <x:f>G1831+Supuestos!$C$15</x:f>
        <x:v>24</x:v>
      </x:c>
      <x:c r="I1831" s="14" t="n">
        <x:f>E2_plantas!J45+G1831</x:f>
        <x:v>46218</x:v>
      </x:c>
      <x:c r="J1831" s="2" t="str">
        <x:v>muerta</x:v>
      </x:c>
      <x:c r="K1831" s="2" t="n">
        <x:v>0</x:v>
      </x:c>
      <x:c r="L1831" s="2" t="n">
        <x:v>0</x:v>
      </x:c>
      <x:c r="M1831" s="2" t="n">
        <x:f>SUM(L$1808:L1831)</x:f>
        <x:v>0</x:v>
      </x:c>
      <x:c r="N1831" s="2" t="n">
        <x:v>0</x:v>
      </x:c>
      <x:c r="O1831" s="2" t="str">
        <x:v>relleno_postmuerte</x:v>
      </x:c>
      <x:c r="P1831" s="2" t="n">
        <x:v>0</x:v>
      </x:c>
      <x:c r="Q1831" s="2" t="str">
        <x:v>simulado_didactico</x:v>
      </x:c>
    </x:row>
    <x:row r="1832" ht="19" customHeight="1">
      <x:c r="A1832" s="2" t="str">
        <x:v>SIM-E2-BB-L0-R08</x:v>
      </x:c>
      <x:c r="B1832" s="2" t="n">
        <x:v>4</x:v>
      </x:c>
      <x:c r="C1832" s="2" t="str">
        <x:v>BB</x:v>
      </x:c>
      <x:c r="D1832" s="2" t="str">
        <x:v>Brevicoryne brassicae</x:v>
      </x:c>
      <x:c r="E1832" s="2" t="str">
        <x:v>L0</x:v>
      </x:c>
      <x:c r="F1832" s="2" t="n">
        <x:v>8</x:v>
      </x:c>
      <x:c r="G1832" s="2" t="n">
        <x:v>24</x:v>
      </x:c>
      <x:c r="H1832" s="2" t="n">
        <x:f>G1832+Supuestos!$C$15</x:f>
        <x:v>25</x:v>
      </x:c>
      <x:c r="I1832" s="14" t="n">
        <x:f>E2_plantas!J45+G1832</x:f>
        <x:v>46219</x:v>
      </x:c>
      <x:c r="J1832" s="2" t="str">
        <x:v>muerta</x:v>
      </x:c>
      <x:c r="K1832" s="2" t="n">
        <x:v>0</x:v>
      </x:c>
      <x:c r="L1832" s="2" t="n">
        <x:v>0</x:v>
      </x:c>
      <x:c r="M1832" s="2" t="n">
        <x:f>SUM(L$1808:L1832)</x:f>
        <x:v>0</x:v>
      </x:c>
      <x:c r="N1832" s="2" t="n">
        <x:v>0</x:v>
      </x:c>
      <x:c r="O1832" s="2" t="str">
        <x:v>relleno_postmuerte</x:v>
      </x:c>
      <x:c r="P1832" s="2" t="n">
        <x:v>0</x:v>
      </x:c>
      <x:c r="Q1832" s="2" t="str">
        <x:v>simulado_didactico</x:v>
      </x:c>
    </x:row>
    <x:row r="1833" ht="19" customHeight="1">
      <x:c r="A1833" s="2" t="str">
        <x:v>SIM-E2-BB-L0-R08</x:v>
      </x:c>
      <x:c r="B1833" s="2" t="n">
        <x:v>4</x:v>
      </x:c>
      <x:c r="C1833" s="2" t="str">
        <x:v>BB</x:v>
      </x:c>
      <x:c r="D1833" s="2" t="str">
        <x:v>Brevicoryne brassicae</x:v>
      </x:c>
      <x:c r="E1833" s="2" t="str">
        <x:v>L0</x:v>
      </x:c>
      <x:c r="F1833" s="2" t="n">
        <x:v>8</x:v>
      </x:c>
      <x:c r="G1833" s="2" t="n">
        <x:v>25</x:v>
      </x:c>
      <x:c r="H1833" s="2" t="n">
        <x:f>G1833+Supuestos!$C$15</x:f>
        <x:v>26</x:v>
      </x:c>
      <x:c r="I1833" s="14" t="n">
        <x:f>E2_plantas!J45+G1833</x:f>
        <x:v>46220</x:v>
      </x:c>
      <x:c r="J1833" s="2" t="str">
        <x:v>muerta</x:v>
      </x:c>
      <x:c r="K1833" s="2" t="n">
        <x:v>0</x:v>
      </x:c>
      <x:c r="L1833" s="2" t="n">
        <x:v>0</x:v>
      </x:c>
      <x:c r="M1833" s="2" t="n">
        <x:f>SUM(L$1808:L1833)</x:f>
        <x:v>0</x:v>
      </x:c>
      <x:c r="N1833" s="2" t="n">
        <x:v>0</x:v>
      </x:c>
      <x:c r="O1833" s="2" t="str">
        <x:v>relleno_postmuerte</x:v>
      </x:c>
      <x:c r="P1833" s="2" t="n">
        <x:v>0</x:v>
      </x:c>
      <x:c r="Q1833" s="2" t="str">
        <x:v>simulado_didactico</x:v>
      </x:c>
    </x:row>
    <x:row r="1834" ht="19" customHeight="1">
      <x:c r="A1834" s="2" t="str">
        <x:v>SIM-E2-BB-L0-R08</x:v>
      </x:c>
      <x:c r="B1834" s="2" t="n">
        <x:v>4</x:v>
      </x:c>
      <x:c r="C1834" s="2" t="str">
        <x:v>BB</x:v>
      </x:c>
      <x:c r="D1834" s="2" t="str">
        <x:v>Brevicoryne brassicae</x:v>
      </x:c>
      <x:c r="E1834" s="2" t="str">
        <x:v>L0</x:v>
      </x:c>
      <x:c r="F1834" s="2" t="n">
        <x:v>8</x:v>
      </x:c>
      <x:c r="G1834" s="2" t="n">
        <x:v>26</x:v>
      </x:c>
      <x:c r="H1834" s="2" t="n">
        <x:f>G1834+Supuestos!$C$15</x:f>
        <x:v>27</x:v>
      </x:c>
      <x:c r="I1834" s="14" t="n">
        <x:f>E2_plantas!J45+G1834</x:f>
        <x:v>46221</x:v>
      </x:c>
      <x:c r="J1834" s="2" t="str">
        <x:v>muerta</x:v>
      </x:c>
      <x:c r="K1834" s="2" t="n">
        <x:v>0</x:v>
      </x:c>
      <x:c r="L1834" s="2" t="n">
        <x:v>0</x:v>
      </x:c>
      <x:c r="M1834" s="2" t="n">
        <x:f>SUM(L$1808:L1834)</x:f>
        <x:v>0</x:v>
      </x:c>
      <x:c r="N1834" s="2" t="n">
        <x:v>0</x:v>
      </x:c>
      <x:c r="O1834" s="2" t="str">
        <x:v>relleno_postmuerte</x:v>
      </x:c>
      <x:c r="P1834" s="2" t="n">
        <x:v>0</x:v>
      </x:c>
      <x:c r="Q1834" s="2" t="str">
        <x:v>simulado_didactico</x:v>
      </x:c>
    </x:row>
    <x:row r="1835" ht="19" customHeight="1">
      <x:c r="A1835" s="2" t="str">
        <x:v>SIM-E2-BB-L0-R08</x:v>
      </x:c>
      <x:c r="B1835" s="2" t="n">
        <x:v>4</x:v>
      </x:c>
      <x:c r="C1835" s="2" t="str">
        <x:v>BB</x:v>
      </x:c>
      <x:c r="D1835" s="2" t="str">
        <x:v>Brevicoryne brassicae</x:v>
      </x:c>
      <x:c r="E1835" s="2" t="str">
        <x:v>L0</x:v>
      </x:c>
      <x:c r="F1835" s="2" t="n">
        <x:v>8</x:v>
      </x:c>
      <x:c r="G1835" s="2" t="n">
        <x:v>27</x:v>
      </x:c>
      <x:c r="H1835" s="2" t="n">
        <x:f>G1835+Supuestos!$C$15</x:f>
        <x:v>28</x:v>
      </x:c>
      <x:c r="I1835" s="14" t="n">
        <x:f>E2_plantas!J45+G1835</x:f>
        <x:v>46222</x:v>
      </x:c>
      <x:c r="J1835" s="2" t="str">
        <x:v>muerta</x:v>
      </x:c>
      <x:c r="K1835" s="2" t="n">
        <x:v>0</x:v>
      </x:c>
      <x:c r="L1835" s="2" t="n">
        <x:v>0</x:v>
      </x:c>
      <x:c r="M1835" s="2" t="n">
        <x:f>SUM(L$1808:L1835)</x:f>
        <x:v>0</x:v>
      </x:c>
      <x:c r="N1835" s="2" t="n">
        <x:v>0</x:v>
      </x:c>
      <x:c r="O1835" s="2" t="str">
        <x:v>relleno_postmuerte</x:v>
      </x:c>
      <x:c r="P1835" s="2" t="n">
        <x:v>0</x:v>
      </x:c>
      <x:c r="Q1835" s="2" t="str">
        <x:v>simulado_didactico</x:v>
      </x:c>
    </x:row>
    <x:row r="1836" ht="19" customHeight="1">
      <x:c r="A1836" s="2" t="str">
        <x:v>SIM-E2-BB-L0-R08</x:v>
      </x:c>
      <x:c r="B1836" s="2" t="n">
        <x:v>4</x:v>
      </x:c>
      <x:c r="C1836" s="2" t="str">
        <x:v>BB</x:v>
      </x:c>
      <x:c r="D1836" s="2" t="str">
        <x:v>Brevicoryne brassicae</x:v>
      </x:c>
      <x:c r="E1836" s="2" t="str">
        <x:v>L0</x:v>
      </x:c>
      <x:c r="F1836" s="2" t="n">
        <x:v>8</x:v>
      </x:c>
      <x:c r="G1836" s="2" t="n">
        <x:v>28</x:v>
      </x:c>
      <x:c r="H1836" s="2" t="n">
        <x:f>G1836+Supuestos!$C$15</x:f>
        <x:v>29</x:v>
      </x:c>
      <x:c r="I1836" s="14" t="n">
        <x:f>E2_plantas!J45+G1836</x:f>
        <x:v>46223</x:v>
      </x:c>
      <x:c r="J1836" s="2" t="str">
        <x:v>muerta</x:v>
      </x:c>
      <x:c r="K1836" s="2" t="n">
        <x:v>0</x:v>
      </x:c>
      <x:c r="L1836" s="2" t="n">
        <x:v>0</x:v>
      </x:c>
      <x:c r="M1836" s="2" t="n">
        <x:f>SUM(L$1808:L1836)</x:f>
        <x:v>0</x:v>
      </x:c>
      <x:c r="N1836" s="2" t="n">
        <x:v>0</x:v>
      </x:c>
      <x:c r="O1836" s="2" t="str">
        <x:v>relleno_postmuerte</x:v>
      </x:c>
      <x:c r="P1836" s="2" t="n">
        <x:v>0</x:v>
      </x:c>
      <x:c r="Q1836" s="2" t="str">
        <x:v>simulado_didactico</x:v>
      </x:c>
    </x:row>
    <x:row r="1837" ht="19" customHeight="1">
      <x:c r="A1837" s="2" t="str">
        <x:v>SIM-E2-BB-L0-R08</x:v>
      </x:c>
      <x:c r="B1837" s="2" t="n">
        <x:v>4</x:v>
      </x:c>
      <x:c r="C1837" s="2" t="str">
        <x:v>BB</x:v>
      </x:c>
      <x:c r="D1837" s="2" t="str">
        <x:v>Brevicoryne brassicae</x:v>
      </x:c>
      <x:c r="E1837" s="2" t="str">
        <x:v>L0</x:v>
      </x:c>
      <x:c r="F1837" s="2" t="n">
        <x:v>8</x:v>
      </x:c>
      <x:c r="G1837" s="2" t="n">
        <x:v>29</x:v>
      </x:c>
      <x:c r="H1837" s="2" t="n">
        <x:f>G1837+Supuestos!$C$15</x:f>
        <x:v>30</x:v>
      </x:c>
      <x:c r="I1837" s="14" t="n">
        <x:f>E2_plantas!J45+G1837</x:f>
        <x:v>46224</x:v>
      </x:c>
      <x:c r="J1837" s="2" t="str">
        <x:v>muerta</x:v>
      </x:c>
      <x:c r="K1837" s="2" t="n">
        <x:v>0</x:v>
      </x:c>
      <x:c r="L1837" s="2" t="n">
        <x:v>0</x:v>
      </x:c>
      <x:c r="M1837" s="2" t="n">
        <x:f>SUM(L$1808:L1837)</x:f>
        <x:v>0</x:v>
      </x:c>
      <x:c r="N1837" s="2" t="n">
        <x:v>0</x:v>
      </x:c>
      <x:c r="O1837" s="2" t="str">
        <x:v>relleno_postmuerte</x:v>
      </x:c>
      <x:c r="P1837" s="2" t="n">
        <x:v>0</x:v>
      </x:c>
      <x:c r="Q1837" s="2" t="str">
        <x:v>simulado_didactico</x:v>
      </x:c>
    </x:row>
    <x:row r="1838" ht="19" customHeight="1">
      <x:c r="A1838" s="2" t="str">
        <x:v>SIM-E2-BB-L0-R08</x:v>
      </x:c>
      <x:c r="B1838" s="2" t="n">
        <x:v>4</x:v>
      </x:c>
      <x:c r="C1838" s="2" t="str">
        <x:v>BB</x:v>
      </x:c>
      <x:c r="D1838" s="2" t="str">
        <x:v>Brevicoryne brassicae</x:v>
      </x:c>
      <x:c r="E1838" s="2" t="str">
        <x:v>L0</x:v>
      </x:c>
      <x:c r="F1838" s="2" t="n">
        <x:v>8</x:v>
      </x:c>
      <x:c r="G1838" s="2" t="n">
        <x:v>30</x:v>
      </x:c>
      <x:c r="H1838" s="2" t="n">
        <x:f>G1838+Supuestos!$C$15</x:f>
        <x:v>31</x:v>
      </x:c>
      <x:c r="I1838" s="14" t="n">
        <x:f>E2_plantas!J45+G1838</x:f>
        <x:v>46225</x:v>
      </x:c>
      <x:c r="J1838" s="2" t="str">
        <x:v>muerta</x:v>
      </x:c>
      <x:c r="K1838" s="2" t="n">
        <x:v>0</x:v>
      </x:c>
      <x:c r="L1838" s="2" t="n">
        <x:v>0</x:v>
      </x:c>
      <x:c r="M1838" s="2" t="n">
        <x:f>SUM(L$1808:L1838)</x:f>
        <x:v>0</x:v>
      </x:c>
      <x:c r="N1838" s="2" t="n">
        <x:v>0</x:v>
      </x:c>
      <x:c r="O1838" s="2" t="str">
        <x:v>relleno_postmuerte</x:v>
      </x:c>
      <x:c r="P1838" s="2" t="n">
        <x:v>0</x:v>
      </x:c>
      <x:c r="Q1838" s="2" t="str">
        <x:v>simulado_didactico</x:v>
      </x:c>
    </x:row>
    <x:row r="1839" ht="19" customHeight="1">
      <x:c r="A1839" s="2" t="str">
        <x:v>SIM-E2-BB-L0-R08</x:v>
      </x:c>
      <x:c r="B1839" s="2" t="n">
        <x:v>4</x:v>
      </x:c>
      <x:c r="C1839" s="2" t="str">
        <x:v>BB</x:v>
      </x:c>
      <x:c r="D1839" s="2" t="str">
        <x:v>Brevicoryne brassicae</x:v>
      </x:c>
      <x:c r="E1839" s="2" t="str">
        <x:v>L0</x:v>
      </x:c>
      <x:c r="F1839" s="2" t="n">
        <x:v>8</x:v>
      </x:c>
      <x:c r="G1839" s="2" t="n">
        <x:v>31</x:v>
      </x:c>
      <x:c r="H1839" s="2" t="n">
        <x:f>G1839+Supuestos!$C$15</x:f>
        <x:v>32</x:v>
      </x:c>
      <x:c r="I1839" s="14" t="n">
        <x:f>E2_plantas!J45+G1839</x:f>
        <x:v>46226</x:v>
      </x:c>
      <x:c r="J1839" s="2" t="str">
        <x:v>muerta</x:v>
      </x:c>
      <x:c r="K1839" s="2" t="n">
        <x:v>0</x:v>
      </x:c>
      <x:c r="L1839" s="2" t="n">
        <x:v>0</x:v>
      </x:c>
      <x:c r="M1839" s="2" t="n">
        <x:f>SUM(L$1808:L1839)</x:f>
        <x:v>0</x:v>
      </x:c>
      <x:c r="N1839" s="2" t="n">
        <x:v>0</x:v>
      </x:c>
      <x:c r="O1839" s="2" t="str">
        <x:v>relleno_postmuerte</x:v>
      </x:c>
      <x:c r="P1839" s="2" t="n">
        <x:v>0</x:v>
      </x:c>
      <x:c r="Q1839" s="2" t="str">
        <x:v>simulado_didactico</x:v>
      </x:c>
    </x:row>
    <x:row r="1840" ht="19" customHeight="1">
      <x:c r="A1840" s="2" t="str">
        <x:v>SIM-E2-BB-L0-R08</x:v>
      </x:c>
      <x:c r="B1840" s="2" t="n">
        <x:v>4</x:v>
      </x:c>
      <x:c r="C1840" s="2" t="str">
        <x:v>BB</x:v>
      </x:c>
      <x:c r="D1840" s="2" t="str">
        <x:v>Brevicoryne brassicae</x:v>
      </x:c>
      <x:c r="E1840" s="2" t="str">
        <x:v>L0</x:v>
      </x:c>
      <x:c r="F1840" s="2" t="n">
        <x:v>8</x:v>
      </x:c>
      <x:c r="G1840" s="2" t="n">
        <x:v>32</x:v>
      </x:c>
      <x:c r="H1840" s="2" t="n">
        <x:f>G1840+Supuestos!$C$15</x:f>
        <x:v>33</x:v>
      </x:c>
      <x:c r="I1840" s="14" t="n">
        <x:f>E2_plantas!J45+G1840</x:f>
        <x:v>46227</x:v>
      </x:c>
      <x:c r="J1840" s="2" t="str">
        <x:v>muerta</x:v>
      </x:c>
      <x:c r="K1840" s="2" t="n">
        <x:v>0</x:v>
      </x:c>
      <x:c r="L1840" s="2" t="n">
        <x:v>0</x:v>
      </x:c>
      <x:c r="M1840" s="2" t="n">
        <x:f>SUM(L$1808:L1840)</x:f>
        <x:v>0</x:v>
      </x:c>
      <x:c r="N1840" s="2" t="n">
        <x:v>0</x:v>
      </x:c>
      <x:c r="O1840" s="2" t="str">
        <x:v>relleno_postmuerte</x:v>
      </x:c>
      <x:c r="P1840" s="2" t="n">
        <x:v>0</x:v>
      </x:c>
      <x:c r="Q1840" s="2" t="str">
        <x:v>simulado_didactico</x:v>
      </x:c>
    </x:row>
    <x:row r="1841" ht="19" customHeight="1">
      <x:c r="A1841" s="2" t="str">
        <x:v>SIM-E2-BB-L0-R08</x:v>
      </x:c>
      <x:c r="B1841" s="2" t="n">
        <x:v>4</x:v>
      </x:c>
      <x:c r="C1841" s="2" t="str">
        <x:v>BB</x:v>
      </x:c>
      <x:c r="D1841" s="2" t="str">
        <x:v>Brevicoryne brassicae</x:v>
      </x:c>
      <x:c r="E1841" s="2" t="str">
        <x:v>L0</x:v>
      </x:c>
      <x:c r="F1841" s="2" t="n">
        <x:v>8</x:v>
      </x:c>
      <x:c r="G1841" s="2" t="n">
        <x:v>33</x:v>
      </x:c>
      <x:c r="H1841" s="2" t="n">
        <x:f>G1841+Supuestos!$C$15</x:f>
        <x:v>34</x:v>
      </x:c>
      <x:c r="I1841" s="14" t="n">
        <x:f>E2_plantas!J45+G1841</x:f>
        <x:v>46228</x:v>
      </x:c>
      <x:c r="J1841" s="2" t="str">
        <x:v>muerta</x:v>
      </x:c>
      <x:c r="K1841" s="2" t="n">
        <x:v>0</x:v>
      </x:c>
      <x:c r="L1841" s="2" t="n">
        <x:v>0</x:v>
      </x:c>
      <x:c r="M1841" s="2" t="n">
        <x:f>SUM(L$1808:L1841)</x:f>
        <x:v>0</x:v>
      </x:c>
      <x:c r="N1841" s="2" t="n">
        <x:v>0</x:v>
      </x:c>
      <x:c r="O1841" s="2" t="str">
        <x:v>relleno_postmuerte</x:v>
      </x:c>
      <x:c r="P1841" s="2" t="n">
        <x:v>0</x:v>
      </x:c>
      <x:c r="Q1841" s="2" t="str">
        <x:v>simulado_didactico</x:v>
      </x:c>
    </x:row>
    <x:row r="1842" ht="19" customHeight="1">
      <x:c r="A1842" s="2" t="str">
        <x:v>SIM-E2-BB-L0-R08</x:v>
      </x:c>
      <x:c r="B1842" s="2" t="n">
        <x:v>4</x:v>
      </x:c>
      <x:c r="C1842" s="2" t="str">
        <x:v>BB</x:v>
      </x:c>
      <x:c r="D1842" s="2" t="str">
        <x:v>Brevicoryne brassicae</x:v>
      </x:c>
      <x:c r="E1842" s="2" t="str">
        <x:v>L0</x:v>
      </x:c>
      <x:c r="F1842" s="2" t="n">
        <x:v>8</x:v>
      </x:c>
      <x:c r="G1842" s="2" t="n">
        <x:v>34</x:v>
      </x:c>
      <x:c r="H1842" s="2" t="n">
        <x:f>G1842+Supuestos!$C$15</x:f>
        <x:v>35</x:v>
      </x:c>
      <x:c r="I1842" s="14" t="n">
        <x:f>E2_plantas!J45+G1842</x:f>
        <x:v>46229</x:v>
      </x:c>
      <x:c r="J1842" s="2" t="str">
        <x:v>muerta</x:v>
      </x:c>
      <x:c r="K1842" s="2" t="n">
        <x:v>0</x:v>
      </x:c>
      <x:c r="L1842" s="2" t="n">
        <x:v>0</x:v>
      </x:c>
      <x:c r="M1842" s="2" t="n">
        <x:f>SUM(L$1808:L1842)</x:f>
        <x:v>0</x:v>
      </x:c>
      <x:c r="N1842" s="2" t="n">
        <x:v>0</x:v>
      </x:c>
      <x:c r="O1842" s="2" t="str">
        <x:v>relleno_postmuerte</x:v>
      </x:c>
      <x:c r="P1842" s="2" t="n">
        <x:v>0</x:v>
      </x:c>
      <x:c r="Q1842" s="2" t="str">
        <x:v>simulado_didactico</x:v>
      </x:c>
    </x:row>
    <x:row r="1843" ht="19" customHeight="1">
      <x:c r="A1843" s="2" t="str">
        <x:v>SIM-E2-BB-L0-R08</x:v>
      </x:c>
      <x:c r="B1843" s="2" t="n">
        <x:v>4</x:v>
      </x:c>
      <x:c r="C1843" s="2" t="str">
        <x:v>BB</x:v>
      </x:c>
      <x:c r="D1843" s="2" t="str">
        <x:v>Brevicoryne brassicae</x:v>
      </x:c>
      <x:c r="E1843" s="2" t="str">
        <x:v>L0</x:v>
      </x:c>
      <x:c r="F1843" s="2" t="n">
        <x:v>8</x:v>
      </x:c>
      <x:c r="G1843" s="2" t="n">
        <x:v>35</x:v>
      </x:c>
      <x:c r="H1843" s="2" t="n">
        <x:f>G1843+Supuestos!$C$15</x:f>
        <x:v>36</x:v>
      </x:c>
      <x:c r="I1843" s="14" t="n">
        <x:f>E2_plantas!J45+G1843</x:f>
        <x:v>46230</x:v>
      </x:c>
      <x:c r="J1843" s="2" t="str">
        <x:v>muerta</x:v>
      </x:c>
      <x:c r="K1843" s="2" t="n">
        <x:v>0</x:v>
      </x:c>
      <x:c r="L1843" s="2" t="n">
        <x:v>0</x:v>
      </x:c>
      <x:c r="M1843" s="2" t="n">
        <x:f>SUM(L$1808:L1843)</x:f>
        <x:v>0</x:v>
      </x:c>
      <x:c r="N1843" s="2" t="n">
        <x:v>0</x:v>
      </x:c>
      <x:c r="O1843" s="2" t="str">
        <x:v>relleno_postmuerte</x:v>
      </x:c>
      <x:c r="P1843" s="2" t="n">
        <x:v>0</x:v>
      </x:c>
      <x:c r="Q1843" s="2" t="str">
        <x:v>simulado_didactico</x:v>
      </x:c>
    </x:row>
    <x:row r="1844" ht="19" customHeight="1">
      <x:c r="A1844" s="2" t="str">
        <x:v>SIM-E2-BB-L0-R08</x:v>
      </x:c>
      <x:c r="B1844" s="2" t="n">
        <x:v>4</x:v>
      </x:c>
      <x:c r="C1844" s="2" t="str">
        <x:v>BB</x:v>
      </x:c>
      <x:c r="D1844" s="2" t="str">
        <x:v>Brevicoryne brassicae</x:v>
      </x:c>
      <x:c r="E1844" s="2" t="str">
        <x:v>L0</x:v>
      </x:c>
      <x:c r="F1844" s="2" t="n">
        <x:v>8</x:v>
      </x:c>
      <x:c r="G1844" s="2" t="n">
        <x:v>36</x:v>
      </x:c>
      <x:c r="H1844" s="2" t="n">
        <x:f>G1844+Supuestos!$C$15</x:f>
        <x:v>37</x:v>
      </x:c>
      <x:c r="I1844" s="14" t="n">
        <x:f>E2_plantas!J45+G1844</x:f>
        <x:v>46231</x:v>
      </x:c>
      <x:c r="J1844" s="2" t="str">
        <x:v>muerta</x:v>
      </x:c>
      <x:c r="K1844" s="2" t="n">
        <x:v>0</x:v>
      </x:c>
      <x:c r="L1844" s="2" t="n">
        <x:v>0</x:v>
      </x:c>
      <x:c r="M1844" s="2" t="n">
        <x:f>SUM(L$1808:L1844)</x:f>
        <x:v>0</x:v>
      </x:c>
      <x:c r="N1844" s="2" t="n">
        <x:v>0</x:v>
      </x:c>
      <x:c r="O1844" s="2" t="str">
        <x:v>relleno_postmuerte</x:v>
      </x:c>
      <x:c r="P1844" s="2" t="n">
        <x:v>0</x:v>
      </x:c>
      <x:c r="Q1844" s="2" t="str">
        <x:v>simulado_didactico</x:v>
      </x:c>
    </x:row>
    <x:row r="1845" ht="19" customHeight="1">
      <x:c r="A1845" s="2" t="str">
        <x:v>SIM-E2-BB-L0-R08</x:v>
      </x:c>
      <x:c r="B1845" s="2" t="n">
        <x:v>4</x:v>
      </x:c>
      <x:c r="C1845" s="2" t="str">
        <x:v>BB</x:v>
      </x:c>
      <x:c r="D1845" s="2" t="str">
        <x:v>Brevicoryne brassicae</x:v>
      </x:c>
      <x:c r="E1845" s="2" t="str">
        <x:v>L0</x:v>
      </x:c>
      <x:c r="F1845" s="2" t="n">
        <x:v>8</x:v>
      </x:c>
      <x:c r="G1845" s="2" t="n">
        <x:v>37</x:v>
      </x:c>
      <x:c r="H1845" s="2" t="n">
        <x:f>G1845+Supuestos!$C$15</x:f>
        <x:v>38</x:v>
      </x:c>
      <x:c r="I1845" s="14" t="n">
        <x:f>E2_plantas!J45+G1845</x:f>
        <x:v>46232</x:v>
      </x:c>
      <x:c r="J1845" s="2" t="str">
        <x:v>muerta</x:v>
      </x:c>
      <x:c r="K1845" s="2" t="n">
        <x:v>0</x:v>
      </x:c>
      <x:c r="L1845" s="2" t="n">
        <x:v>0</x:v>
      </x:c>
      <x:c r="M1845" s="2" t="n">
        <x:f>SUM(L$1808:L1845)</x:f>
        <x:v>0</x:v>
      </x:c>
      <x:c r="N1845" s="2" t="n">
        <x:v>0</x:v>
      </x:c>
      <x:c r="O1845" s="2" t="str">
        <x:v>relleno_postmuerte</x:v>
      </x:c>
      <x:c r="P1845" s="2" t="n">
        <x:v>0</x:v>
      </x:c>
      <x:c r="Q1845" s="2" t="str">
        <x:v>simulado_didactico</x:v>
      </x:c>
    </x:row>
    <x:row r="1846" ht="19" customHeight="1">
      <x:c r="A1846" s="2" t="str">
        <x:v>SIM-E2-BB-L0-R08</x:v>
      </x:c>
      <x:c r="B1846" s="2" t="n">
        <x:v>4</x:v>
      </x:c>
      <x:c r="C1846" s="2" t="str">
        <x:v>BB</x:v>
      </x:c>
      <x:c r="D1846" s="2" t="str">
        <x:v>Brevicoryne brassicae</x:v>
      </x:c>
      <x:c r="E1846" s="2" t="str">
        <x:v>L0</x:v>
      </x:c>
      <x:c r="F1846" s="2" t="n">
        <x:v>8</x:v>
      </x:c>
      <x:c r="G1846" s="2" t="n">
        <x:v>38</x:v>
      </x:c>
      <x:c r="H1846" s="2" t="n">
        <x:f>G1846+Supuestos!$C$15</x:f>
        <x:v>39</x:v>
      </x:c>
      <x:c r="I1846" s="14" t="n">
        <x:f>E2_plantas!J45+G1846</x:f>
        <x:v>46233</x:v>
      </x:c>
      <x:c r="J1846" s="2" t="str">
        <x:v>muerta</x:v>
      </x:c>
      <x:c r="K1846" s="2" t="n">
        <x:v>0</x:v>
      </x:c>
      <x:c r="L1846" s="2" t="n">
        <x:v>0</x:v>
      </x:c>
      <x:c r="M1846" s="2" t="n">
        <x:f>SUM(L$1808:L1846)</x:f>
        <x:v>0</x:v>
      </x:c>
      <x:c r="N1846" s="2" t="n">
        <x:v>0</x:v>
      </x:c>
      <x:c r="O1846" s="2" t="str">
        <x:v>relleno_postmuerte</x:v>
      </x:c>
      <x:c r="P1846" s="2" t="n">
        <x:v>0</x:v>
      </x:c>
      <x:c r="Q1846" s="2" t="str">
        <x:v>simulado_didactico</x:v>
      </x:c>
    </x:row>
    <x:row r="1847" ht="19" customHeight="1">
      <x:c r="A1847" s="2" t="str">
        <x:v>SIM-E2-BB-L0-R08</x:v>
      </x:c>
      <x:c r="B1847" s="2" t="n">
        <x:v>4</x:v>
      </x:c>
      <x:c r="C1847" s="2" t="str">
        <x:v>BB</x:v>
      </x:c>
      <x:c r="D1847" s="2" t="str">
        <x:v>Brevicoryne brassicae</x:v>
      </x:c>
      <x:c r="E1847" s="2" t="str">
        <x:v>L0</x:v>
      </x:c>
      <x:c r="F1847" s="2" t="n">
        <x:v>8</x:v>
      </x:c>
      <x:c r="G1847" s="2" t="n">
        <x:v>39</x:v>
      </x:c>
      <x:c r="H1847" s="2" t="n">
        <x:f>G1847+Supuestos!$C$15</x:f>
        <x:v>40</x:v>
      </x:c>
      <x:c r="I1847" s="14" t="n">
        <x:f>E2_plantas!J45+G1847</x:f>
        <x:v>46234</x:v>
      </x:c>
      <x:c r="J1847" s="2" t="str">
        <x:v>muerta</x:v>
      </x:c>
      <x:c r="K1847" s="2" t="n">
        <x:v>0</x:v>
      </x:c>
      <x:c r="L1847" s="2" t="n">
        <x:v>0</x:v>
      </x:c>
      <x:c r="M1847" s="2" t="n">
        <x:f>SUM(L$1808:L1847)</x:f>
        <x:v>0</x:v>
      </x:c>
      <x:c r="N1847" s="2" t="n">
        <x:v>0</x:v>
      </x:c>
      <x:c r="O1847" s="2" t="str">
        <x:v>relleno_postmuerte</x:v>
      </x:c>
      <x:c r="P1847" s="2" t="n">
        <x:v>0</x:v>
      </x:c>
      <x:c r="Q1847" s="2" t="str">
        <x:v>simulado_didactico</x:v>
      </x:c>
    </x:row>
    <x:row r="1848" ht="19" customHeight="1">
      <x:c r="A1848" s="2" t="str">
        <x:v>SIM-E2-BB-L0-R08</x:v>
      </x:c>
      <x:c r="B1848" s="2" t="n">
        <x:v>4</x:v>
      </x:c>
      <x:c r="C1848" s="2" t="str">
        <x:v>BB</x:v>
      </x:c>
      <x:c r="D1848" s="2" t="str">
        <x:v>Brevicoryne brassicae</x:v>
      </x:c>
      <x:c r="E1848" s="2" t="str">
        <x:v>L0</x:v>
      </x:c>
      <x:c r="F1848" s="2" t="n">
        <x:v>8</x:v>
      </x:c>
      <x:c r="G1848" s="2" t="n">
        <x:v>40</x:v>
      </x:c>
      <x:c r="H1848" s="2" t="n">
        <x:f>G1848+Supuestos!$C$15</x:f>
        <x:v>41</x:v>
      </x:c>
      <x:c r="I1848" s="14" t="n">
        <x:f>E2_plantas!J45+G1848</x:f>
        <x:v>46235</x:v>
      </x:c>
      <x:c r="J1848" s="2" t="str">
        <x:v>muerta</x:v>
      </x:c>
      <x:c r="K1848" s="2" t="n">
        <x:v>0</x:v>
      </x:c>
      <x:c r="L1848" s="2" t="n">
        <x:v>0</x:v>
      </x:c>
      <x:c r="M1848" s="2" t="n">
        <x:f>SUM(L$1808:L1848)</x:f>
        <x:v>0</x:v>
      </x:c>
      <x:c r="N1848" s="2" t="n">
        <x:v>0</x:v>
      </x:c>
      <x:c r="O1848" s="2" t="str">
        <x:v>relleno_postmuerte</x:v>
      </x:c>
      <x:c r="P1848" s="2" t="n">
        <x:v>0</x:v>
      </x:c>
      <x:c r="Q1848" s="2" t="str">
        <x:v>simulado_didactico</x:v>
      </x:c>
    </x:row>
    <x:row r="1849" ht="19" customHeight="1">
      <x:c r="A1849" s="2" t="str">
        <x:v>SIM-E2-BB-L0-R08</x:v>
      </x:c>
      <x:c r="B1849" s="2" t="n">
        <x:v>4</x:v>
      </x:c>
      <x:c r="C1849" s="2" t="str">
        <x:v>BB</x:v>
      </x:c>
      <x:c r="D1849" s="2" t="str">
        <x:v>Brevicoryne brassicae</x:v>
      </x:c>
      <x:c r="E1849" s="2" t="str">
        <x:v>L0</x:v>
      </x:c>
      <x:c r="F1849" s="2" t="n">
        <x:v>8</x:v>
      </x:c>
      <x:c r="G1849" s="2" t="n">
        <x:v>41</x:v>
      </x:c>
      <x:c r="H1849" s="2" t="n">
        <x:f>G1849+Supuestos!$C$15</x:f>
        <x:v>42</x:v>
      </x:c>
      <x:c r="I1849" s="14" t="n">
        <x:f>E2_plantas!J45+G1849</x:f>
        <x:v>46236</x:v>
      </x:c>
      <x:c r="J1849" s="2" t="str">
        <x:v>muerta</x:v>
      </x:c>
      <x:c r="K1849" s="2" t="n">
        <x:v>0</x:v>
      </x:c>
      <x:c r="L1849" s="2" t="n">
        <x:v>0</x:v>
      </x:c>
      <x:c r="M1849" s="2" t="n">
        <x:f>SUM(L$1808:L1849)</x:f>
        <x:v>0</x:v>
      </x:c>
      <x:c r="N1849" s="2" t="n">
        <x:v>0</x:v>
      </x:c>
      <x:c r="O1849" s="2" t="str">
        <x:v>relleno_postmuerte</x:v>
      </x:c>
      <x:c r="P1849" s="2" t="n">
        <x:v>0</x:v>
      </x:c>
      <x:c r="Q1849" s="2" t="str">
        <x:v>simulado_didactico</x:v>
      </x:c>
    </x:row>
    <x:row r="1850" ht="19" customHeight="1">
      <x:c r="A1850" s="2" t="str">
        <x:v>SIM-E2-BB-L8-R07</x:v>
      </x:c>
      <x:c r="B1850" s="2" t="n">
        <x:v>4</x:v>
      </x:c>
      <x:c r="C1850" s="2" t="str">
        <x:v>BB</x:v>
      </x:c>
      <x:c r="D1850" s="2" t="str">
        <x:v>Brevicoryne brassicae</x:v>
      </x:c>
      <x:c r="E1850" s="2" t="str">
        <x:v>L8</x:v>
      </x:c>
      <x:c r="F1850" s="2" t="n">
        <x:v>7</x:v>
      </x:c>
      <x:c r="G1850" s="2" t="n">
        <x:v>0</x:v>
      </x:c>
      <x:c r="H1850" s="2" t="n">
        <x:f>G1850+Supuestos!$C$15</x:f>
        <x:v>1</x:v>
      </x:c>
      <x:c r="I1850" s="14" t="n">
        <x:f>E2_plantas!J46+G1850</x:f>
        <x:v>46195</x:v>
      </x:c>
      <x:c r="J1850" s="2" t="str">
        <x:v>N1</x:v>
      </x:c>
      <x:c r="K1850" s="2" t="n">
        <x:v>1</x:v>
      </x:c>
      <x:c r="L1850" s="2" t="n">
        <x:v>0</x:v>
      </x:c>
      <x:c r="M1850" s="2" t="n">
        <x:f>SUM(L$1850:L1850)</x:f>
        <x:v>0</x:v>
      </x:c>
      <x:c r="N1850" s="2" t="n">
        <x:v>0</x:v>
      </x:c>
      <x:c r="O1850" s="2" t="str">
        <x:v>seguimiento</x:v>
      </x:c>
      <x:c r="P1850" s="2" t="n">
        <x:v>0</x:v>
      </x:c>
      <x:c r="Q1850" s="2" t="str">
        <x:v>simulado_didactico</x:v>
      </x:c>
    </x:row>
    <x:row r="1851" ht="19" customHeight="1">
      <x:c r="A1851" s="2" t="str">
        <x:v>SIM-E2-BB-L8-R07</x:v>
      </x:c>
      <x:c r="B1851" s="2" t="n">
        <x:v>4</x:v>
      </x:c>
      <x:c r="C1851" s="2" t="str">
        <x:v>BB</x:v>
      </x:c>
      <x:c r="D1851" s="2" t="str">
        <x:v>Brevicoryne brassicae</x:v>
      </x:c>
      <x:c r="E1851" s="2" t="str">
        <x:v>L8</x:v>
      </x:c>
      <x:c r="F1851" s="2" t="n">
        <x:v>7</x:v>
      </x:c>
      <x:c r="G1851" s="2" t="n">
        <x:v>1</x:v>
      </x:c>
      <x:c r="H1851" s="2" t="n">
        <x:f>G1851+Supuestos!$C$15</x:f>
        <x:v>2</x:v>
      </x:c>
      <x:c r="I1851" s="14" t="n">
        <x:f>E2_plantas!J46+G1851</x:f>
        <x:v>46196</x:v>
      </x:c>
      <x:c r="J1851" s="2" t="str">
        <x:v>N1</x:v>
      </x:c>
      <x:c r="K1851" s="2" t="n">
        <x:v>1</x:v>
      </x:c>
      <x:c r="L1851" s="2" t="n">
        <x:v>0</x:v>
      </x:c>
      <x:c r="M1851" s="2" t="n">
        <x:f>SUM(L$1850:L1851)</x:f>
        <x:v>0</x:v>
      </x:c>
      <x:c r="N1851" s="2" t="n">
        <x:v>0</x:v>
      </x:c>
      <x:c r="O1851" s="2" t="str">
        <x:v>seguimiento</x:v>
      </x:c>
      <x:c r="P1851" s="2" t="n">
        <x:v>0</x:v>
      </x:c>
      <x:c r="Q1851" s="2" t="str">
        <x:v>simulado_didactico</x:v>
      </x:c>
    </x:row>
    <x:row r="1852" ht="19" customHeight="1">
      <x:c r="A1852" s="2" t="str">
        <x:v>SIM-E2-BB-L8-R07</x:v>
      </x:c>
      <x:c r="B1852" s="2" t="n">
        <x:v>4</x:v>
      </x:c>
      <x:c r="C1852" s="2" t="str">
        <x:v>BB</x:v>
      </x:c>
      <x:c r="D1852" s="2" t="str">
        <x:v>Brevicoryne brassicae</x:v>
      </x:c>
      <x:c r="E1852" s="2" t="str">
        <x:v>L8</x:v>
      </x:c>
      <x:c r="F1852" s="2" t="n">
        <x:v>7</x:v>
      </x:c>
      <x:c r="G1852" s="2" t="n">
        <x:v>2</x:v>
      </x:c>
      <x:c r="H1852" s="2" t="n">
        <x:f>G1852+Supuestos!$C$15</x:f>
        <x:v>3</x:v>
      </x:c>
      <x:c r="I1852" s="14" t="n">
        <x:f>E2_plantas!J46+G1852</x:f>
        <x:v>46197</x:v>
      </x:c>
      <x:c r="J1852" s="2" t="str">
        <x:v>N2</x:v>
      </x:c>
      <x:c r="K1852" s="2" t="n">
        <x:v>1</x:v>
      </x:c>
      <x:c r="L1852" s="2" t="n">
        <x:v>0</x:v>
      </x:c>
      <x:c r="M1852" s="2" t="n">
        <x:f>SUM(L$1850:L1852)</x:f>
        <x:v>0</x:v>
      </x:c>
      <x:c r="N1852" s="2" t="n">
        <x:v>0</x:v>
      </x:c>
      <x:c r="O1852" s="2" t="str">
        <x:v>seguimiento</x:v>
      </x:c>
      <x:c r="P1852" s="2" t="n">
        <x:v>0</x:v>
      </x:c>
      <x:c r="Q1852" s="2" t="str">
        <x:v>simulado_didactico</x:v>
      </x:c>
    </x:row>
    <x:row r="1853" ht="19" customHeight="1">
      <x:c r="A1853" s="2" t="str">
        <x:v>SIM-E2-BB-L8-R07</x:v>
      </x:c>
      <x:c r="B1853" s="2" t="n">
        <x:v>4</x:v>
      </x:c>
      <x:c r="C1853" s="2" t="str">
        <x:v>BB</x:v>
      </x:c>
      <x:c r="D1853" s="2" t="str">
        <x:v>Brevicoryne brassicae</x:v>
      </x:c>
      <x:c r="E1853" s="2" t="str">
        <x:v>L8</x:v>
      </x:c>
      <x:c r="F1853" s="2" t="n">
        <x:v>7</x:v>
      </x:c>
      <x:c r="G1853" s="2" t="n">
        <x:v>3</x:v>
      </x:c>
      <x:c r="H1853" s="2" t="n">
        <x:f>G1853+Supuestos!$C$15</x:f>
        <x:v>4</x:v>
      </x:c>
      <x:c r="I1853" s="14" t="n">
        <x:f>E2_plantas!J46+G1853</x:f>
        <x:v>46198</x:v>
      </x:c>
      <x:c r="J1853" s="2" t="str">
        <x:v>N2</x:v>
      </x:c>
      <x:c r="K1853" s="2" t="n">
        <x:v>1</x:v>
      </x:c>
      <x:c r="L1853" s="2" t="n">
        <x:v>0</x:v>
      </x:c>
      <x:c r="M1853" s="2" t="n">
        <x:f>SUM(L$1850:L1853)</x:f>
        <x:v>0</x:v>
      </x:c>
      <x:c r="N1853" s="2" t="n">
        <x:v>0</x:v>
      </x:c>
      <x:c r="O1853" s="2" t="str">
        <x:v>seguimiento</x:v>
      </x:c>
      <x:c r="P1853" s="2" t="n">
        <x:v>0</x:v>
      </x:c>
      <x:c r="Q1853" s="2" t="str">
        <x:v>simulado_didactico</x:v>
      </x:c>
    </x:row>
    <x:row r="1854" ht="19" customHeight="1">
      <x:c r="A1854" s="2" t="str">
        <x:v>SIM-E2-BB-L8-R07</x:v>
      </x:c>
      <x:c r="B1854" s="2" t="n">
        <x:v>4</x:v>
      </x:c>
      <x:c r="C1854" s="2" t="str">
        <x:v>BB</x:v>
      </x:c>
      <x:c r="D1854" s="2" t="str">
        <x:v>Brevicoryne brassicae</x:v>
      </x:c>
      <x:c r="E1854" s="2" t="str">
        <x:v>L8</x:v>
      </x:c>
      <x:c r="F1854" s="2" t="n">
        <x:v>7</x:v>
      </x:c>
      <x:c r="G1854" s="2" t="n">
        <x:v>4</x:v>
      </x:c>
      <x:c r="H1854" s="2" t="n">
        <x:f>G1854+Supuestos!$C$15</x:f>
        <x:v>5</x:v>
      </x:c>
      <x:c r="I1854" s="14" t="n">
        <x:f>E2_plantas!J46+G1854</x:f>
        <x:v>46199</x:v>
      </x:c>
      <x:c r="J1854" s="2" t="str">
        <x:v>N2</x:v>
      </x:c>
      <x:c r="K1854" s="2" t="n">
        <x:v>1</x:v>
      </x:c>
      <x:c r="L1854" s="2" t="n">
        <x:v>0</x:v>
      </x:c>
      <x:c r="M1854" s="2" t="n">
        <x:f>SUM(L$1850:L1854)</x:f>
        <x:v>0</x:v>
      </x:c>
      <x:c r="N1854" s="2" t="n">
        <x:v>0</x:v>
      </x:c>
      <x:c r="O1854" s="2" t="str">
        <x:v>seguimiento</x:v>
      </x:c>
      <x:c r="P1854" s="2" t="n">
        <x:v>0</x:v>
      </x:c>
      <x:c r="Q1854" s="2" t="str">
        <x:v>simulado_didactico</x:v>
      </x:c>
    </x:row>
    <x:row r="1855" ht="19" customHeight="1">
      <x:c r="A1855" s="2" t="str">
        <x:v>SIM-E2-BB-L8-R07</x:v>
      </x:c>
      <x:c r="B1855" s="2" t="n">
        <x:v>4</x:v>
      </x:c>
      <x:c r="C1855" s="2" t="str">
        <x:v>BB</x:v>
      </x:c>
      <x:c r="D1855" s="2" t="str">
        <x:v>Brevicoryne brassicae</x:v>
      </x:c>
      <x:c r="E1855" s="2" t="str">
        <x:v>L8</x:v>
      </x:c>
      <x:c r="F1855" s="2" t="n">
        <x:v>7</x:v>
      </x:c>
      <x:c r="G1855" s="2" t="n">
        <x:v>5</x:v>
      </x:c>
      <x:c r="H1855" s="2" t="n">
        <x:f>G1855+Supuestos!$C$15</x:f>
        <x:v>6</x:v>
      </x:c>
      <x:c r="I1855" s="14" t="n">
        <x:f>E2_plantas!J46+G1855</x:f>
        <x:v>46200</x:v>
      </x:c>
      <x:c r="J1855" s="2" t="str">
        <x:v>N3</x:v>
      </x:c>
      <x:c r="K1855" s="2" t="n">
        <x:v>1</x:v>
      </x:c>
      <x:c r="L1855" s="2" t="n">
        <x:v>0</x:v>
      </x:c>
      <x:c r="M1855" s="2" t="n">
        <x:f>SUM(L$1850:L1855)</x:f>
        <x:v>0</x:v>
      </x:c>
      <x:c r="N1855" s="2" t="n">
        <x:v>0</x:v>
      </x:c>
      <x:c r="O1855" s="2" t="str">
        <x:v>seguimiento</x:v>
      </x:c>
      <x:c r="P1855" s="2" t="n">
        <x:v>0</x:v>
      </x:c>
      <x:c r="Q1855" s="2" t="str">
        <x:v>simulado_didactico</x:v>
      </x:c>
    </x:row>
    <x:row r="1856" ht="19" customHeight="1">
      <x:c r="A1856" s="2" t="str">
        <x:v>SIM-E2-BB-L8-R07</x:v>
      </x:c>
      <x:c r="B1856" s="2" t="n">
        <x:v>4</x:v>
      </x:c>
      <x:c r="C1856" s="2" t="str">
        <x:v>BB</x:v>
      </x:c>
      <x:c r="D1856" s="2" t="str">
        <x:v>Brevicoryne brassicae</x:v>
      </x:c>
      <x:c r="E1856" s="2" t="str">
        <x:v>L8</x:v>
      </x:c>
      <x:c r="F1856" s="2" t="n">
        <x:v>7</x:v>
      </x:c>
      <x:c r="G1856" s="2" t="n">
        <x:v>6</x:v>
      </x:c>
      <x:c r="H1856" s="2" t="n">
        <x:f>G1856+Supuestos!$C$15</x:f>
        <x:v>7</x:v>
      </x:c>
      <x:c r="I1856" s="14" t="n">
        <x:f>E2_plantas!J46+G1856</x:f>
        <x:v>46201</x:v>
      </x:c>
      <x:c r="J1856" s="2" t="str">
        <x:v>N3</x:v>
      </x:c>
      <x:c r="K1856" s="2" t="n">
        <x:v>1</x:v>
      </x:c>
      <x:c r="L1856" s="2" t="n">
        <x:v>0</x:v>
      </x:c>
      <x:c r="M1856" s="2" t="n">
        <x:f>SUM(L$1850:L1856)</x:f>
        <x:v>0</x:v>
      </x:c>
      <x:c r="N1856" s="2" t="n">
        <x:v>0</x:v>
      </x:c>
      <x:c r="O1856" s="2" t="str">
        <x:v>seguimiento</x:v>
      </x:c>
      <x:c r="P1856" s="2" t="n">
        <x:v>0</x:v>
      </x:c>
      <x:c r="Q1856" s="2" t="str">
        <x:v>simulado_didactico</x:v>
      </x:c>
    </x:row>
    <x:row r="1857" ht="19" customHeight="1">
      <x:c r="A1857" s="2" t="str">
        <x:v>SIM-E2-BB-L8-R07</x:v>
      </x:c>
      <x:c r="B1857" s="2" t="n">
        <x:v>4</x:v>
      </x:c>
      <x:c r="C1857" s="2" t="str">
        <x:v>BB</x:v>
      </x:c>
      <x:c r="D1857" s="2" t="str">
        <x:v>Brevicoryne brassicae</x:v>
      </x:c>
      <x:c r="E1857" s="2" t="str">
        <x:v>L8</x:v>
      </x:c>
      <x:c r="F1857" s="2" t="n">
        <x:v>7</x:v>
      </x:c>
      <x:c r="G1857" s="2" t="n">
        <x:v>7</x:v>
      </x:c>
      <x:c r="H1857" s="2" t="n">
        <x:f>G1857+Supuestos!$C$15</x:f>
        <x:v>8</x:v>
      </x:c>
      <x:c r="I1857" s="14" t="n">
        <x:f>E2_plantas!J46+G1857</x:f>
        <x:v>46202</x:v>
      </x:c>
      <x:c r="J1857" s="2" t="str">
        <x:v>N4</x:v>
      </x:c>
      <x:c r="K1857" s="2" t="n">
        <x:v>1</x:v>
      </x:c>
      <x:c r="L1857" s="2" t="n">
        <x:v>0</x:v>
      </x:c>
      <x:c r="M1857" s="2" t="n">
        <x:f>SUM(L$1850:L1857)</x:f>
        <x:v>0</x:v>
      </x:c>
      <x:c r="N1857" s="2" t="n">
        <x:v>0</x:v>
      </x:c>
      <x:c r="O1857" s="2" t="str">
        <x:v>seguimiento</x:v>
      </x:c>
      <x:c r="P1857" s="2" t="n">
        <x:v>0</x:v>
      </x:c>
      <x:c r="Q1857" s="2" t="str">
        <x:v>simulado_didactico</x:v>
      </x:c>
    </x:row>
    <x:row r="1858" ht="19" customHeight="1">
      <x:c r="A1858" s="2" t="str">
        <x:v>SIM-E2-BB-L8-R07</x:v>
      </x:c>
      <x:c r="B1858" s="2" t="n">
        <x:v>4</x:v>
      </x:c>
      <x:c r="C1858" s="2" t="str">
        <x:v>BB</x:v>
      </x:c>
      <x:c r="D1858" s="2" t="str">
        <x:v>Brevicoryne brassicae</x:v>
      </x:c>
      <x:c r="E1858" s="2" t="str">
        <x:v>L8</x:v>
      </x:c>
      <x:c r="F1858" s="2" t="n">
        <x:v>7</x:v>
      </x:c>
      <x:c r="G1858" s="2" t="n">
        <x:v>8</x:v>
      </x:c>
      <x:c r="H1858" s="2" t="n">
        <x:f>G1858+Supuestos!$C$15</x:f>
        <x:v>9</x:v>
      </x:c>
      <x:c r="I1858" s="14" t="n">
        <x:f>E2_plantas!J46+G1858</x:f>
        <x:v>46203</x:v>
      </x:c>
      <x:c r="J1858" s="2" t="str">
        <x:v>adulta</x:v>
      </x:c>
      <x:c r="K1858" s="2" t="n">
        <x:v>1</x:v>
      </x:c>
      <x:c r="L1858" s="2" t="n">
        <x:v>0</x:v>
      </x:c>
      <x:c r="M1858" s="2" t="n">
        <x:f>SUM(L$1850:L1858)</x:f>
        <x:v>0</x:v>
      </x:c>
      <x:c r="N1858" s="2" t="n">
        <x:v>0</x:v>
      </x:c>
      <x:c r="O1858" s="2" t="str">
        <x:v>seguimiento</x:v>
      </x:c>
      <x:c r="P1858" s="2" t="n">
        <x:v>0</x:v>
      </x:c>
      <x:c r="Q1858" s="2" t="str">
        <x:v>simulado_didactico</x:v>
      </x:c>
    </x:row>
    <x:row r="1859" ht="19" customHeight="1">
      <x:c r="A1859" s="2" t="str">
        <x:v>SIM-E2-BB-L8-R07</x:v>
      </x:c>
      <x:c r="B1859" s="2" t="n">
        <x:v>4</x:v>
      </x:c>
      <x:c r="C1859" s="2" t="str">
        <x:v>BB</x:v>
      </x:c>
      <x:c r="D1859" s="2" t="str">
        <x:v>Brevicoryne brassicae</x:v>
      </x:c>
      <x:c r="E1859" s="2" t="str">
        <x:v>L8</x:v>
      </x:c>
      <x:c r="F1859" s="2" t="n">
        <x:v>7</x:v>
      </x:c>
      <x:c r="G1859" s="2" t="n">
        <x:v>9</x:v>
      </x:c>
      <x:c r="H1859" s="2" t="n">
        <x:f>G1859+Supuestos!$C$15</x:f>
        <x:v>10</x:v>
      </x:c>
      <x:c r="I1859" s="14" t="n">
        <x:f>E2_plantas!J46+G1859</x:f>
        <x:v>46204</x:v>
      </x:c>
      <x:c r="J1859" s="2" t="str">
        <x:v>adulta</x:v>
      </x:c>
      <x:c r="K1859" s="2" t="n">
        <x:v>1</x:v>
      </x:c>
      <x:c r="L1859" s="2" t="n">
        <x:v>1</x:v>
      </x:c>
      <x:c r="M1859" s="2" t="n">
        <x:f>SUM(L$1850:L1859)</x:f>
        <x:v>1</x:v>
      </x:c>
      <x:c r="N1859" s="2" t="n">
        <x:v>0</x:v>
      </x:c>
      <x:c r="O1859" s="2" t="str">
        <x:v>seguimiento</x:v>
      </x:c>
      <x:c r="P1859" s="2" t="n">
        <x:v>0</x:v>
      </x:c>
      <x:c r="Q1859" s="2" t="str">
        <x:v>simulado_didactico</x:v>
      </x:c>
    </x:row>
    <x:row r="1860" ht="19" customHeight="1">
      <x:c r="A1860" s="2" t="str">
        <x:v>SIM-E2-BB-L8-R07</x:v>
      </x:c>
      <x:c r="B1860" s="2" t="n">
        <x:v>4</x:v>
      </x:c>
      <x:c r="C1860" s="2" t="str">
        <x:v>BB</x:v>
      </x:c>
      <x:c r="D1860" s="2" t="str">
        <x:v>Brevicoryne brassicae</x:v>
      </x:c>
      <x:c r="E1860" s="2" t="str">
        <x:v>L8</x:v>
      </x:c>
      <x:c r="F1860" s="2" t="n">
        <x:v>7</x:v>
      </x:c>
      <x:c r="G1860" s="2" t="n">
        <x:v>10</x:v>
      </x:c>
      <x:c r="H1860" s="2" t="n">
        <x:f>G1860+Supuestos!$C$15</x:f>
        <x:v>11</x:v>
      </x:c>
      <x:c r="I1860" s="14" t="n">
        <x:f>E2_plantas!J46+G1860</x:f>
        <x:v>46205</x:v>
      </x:c>
      <x:c r="J1860" s="2" t="str">
        <x:v>adulta</x:v>
      </x:c>
      <x:c r="K1860" s="2" t="n">
        <x:v>1</x:v>
      </x:c>
      <x:c r="L1860" s="2" t="n">
        <x:v>2</x:v>
      </x:c>
      <x:c r="M1860" s="2" t="n">
        <x:f>SUM(L$1850:L1860)</x:f>
        <x:v>3</x:v>
      </x:c>
      <x:c r="N1860" s="2" t="n">
        <x:v>0</x:v>
      </x:c>
      <x:c r="O1860" s="2" t="str">
        <x:v>seguimiento</x:v>
      </x:c>
      <x:c r="P1860" s="2" t="n">
        <x:v>0</x:v>
      </x:c>
      <x:c r="Q1860" s="2" t="str">
        <x:v>simulado_didactico</x:v>
      </x:c>
    </x:row>
    <x:row r="1861" ht="19" customHeight="1">
      <x:c r="A1861" s="2" t="str">
        <x:v>SIM-E2-BB-L8-R07</x:v>
      </x:c>
      <x:c r="B1861" s="2" t="n">
        <x:v>4</x:v>
      </x:c>
      <x:c r="C1861" s="2" t="str">
        <x:v>BB</x:v>
      </x:c>
      <x:c r="D1861" s="2" t="str">
        <x:v>Brevicoryne brassicae</x:v>
      </x:c>
      <x:c r="E1861" s="2" t="str">
        <x:v>L8</x:v>
      </x:c>
      <x:c r="F1861" s="2" t="n">
        <x:v>7</x:v>
      </x:c>
      <x:c r="G1861" s="2" t="n">
        <x:v>11</x:v>
      </x:c>
      <x:c r="H1861" s="2" t="n">
        <x:f>G1861+Supuestos!$C$15</x:f>
        <x:v>12</x:v>
      </x:c>
      <x:c r="I1861" s="14" t="n">
        <x:f>E2_plantas!J46+G1861</x:f>
        <x:v>46206</x:v>
      </x:c>
      <x:c r="J1861" s="2" t="str">
        <x:v>adulta</x:v>
      </x:c>
      <x:c r="K1861" s="2" t="n">
        <x:v>1</x:v>
      </x:c>
      <x:c r="L1861" s="2" t="n">
        <x:v>2</x:v>
      </x:c>
      <x:c r="M1861" s="2" t="n">
        <x:f>SUM(L$1850:L1861)</x:f>
        <x:v>5</x:v>
      </x:c>
      <x:c r="N1861" s="2" t="n">
        <x:v>0</x:v>
      </x:c>
      <x:c r="O1861" s="2" t="str">
        <x:v>seguimiento</x:v>
      </x:c>
      <x:c r="P1861" s="2" t="n">
        <x:v>0</x:v>
      </x:c>
      <x:c r="Q1861" s="2" t="str">
        <x:v>simulado_didactico</x:v>
      </x:c>
    </x:row>
    <x:row r="1862" ht="19" customHeight="1">
      <x:c r="A1862" s="2" t="str">
        <x:v>SIM-E2-BB-L8-R07</x:v>
      </x:c>
      <x:c r="B1862" s="2" t="n">
        <x:v>4</x:v>
      </x:c>
      <x:c r="C1862" s="2" t="str">
        <x:v>BB</x:v>
      </x:c>
      <x:c r="D1862" s="2" t="str">
        <x:v>Brevicoryne brassicae</x:v>
      </x:c>
      <x:c r="E1862" s="2" t="str">
        <x:v>L8</x:v>
      </x:c>
      <x:c r="F1862" s="2" t="n">
        <x:v>7</x:v>
      </x:c>
      <x:c r="G1862" s="2" t="n">
        <x:v>12</x:v>
      </x:c>
      <x:c r="H1862" s="2" t="n">
        <x:f>G1862+Supuestos!$C$15</x:f>
        <x:v>13</x:v>
      </x:c>
      <x:c r="I1862" s="14" t="n">
        <x:f>E2_plantas!J46+G1862</x:f>
        <x:v>46207</x:v>
      </x:c>
      <x:c r="J1862" s="2" t="str">
        <x:v>adulta</x:v>
      </x:c>
      <x:c r="K1862" s="2" t="n">
        <x:v>1</x:v>
      </x:c>
      <x:c r="L1862" s="2" t="n">
        <x:v>2</x:v>
      </x:c>
      <x:c r="M1862" s="2" t="n">
        <x:f>SUM(L$1850:L1862)</x:f>
        <x:v>7</x:v>
      </x:c>
      <x:c r="N1862" s="2" t="n">
        <x:v>0</x:v>
      </x:c>
      <x:c r="O1862" s="2" t="str">
        <x:v>seguimiento</x:v>
      </x:c>
      <x:c r="P1862" s="2" t="n">
        <x:v>0</x:v>
      </x:c>
      <x:c r="Q1862" s="2" t="str">
        <x:v>simulado_didactico</x:v>
      </x:c>
    </x:row>
    <x:row r="1863" ht="19" customHeight="1">
      <x:c r="A1863" s="2" t="str">
        <x:v>SIM-E2-BB-L8-R07</x:v>
      </x:c>
      <x:c r="B1863" s="2" t="n">
        <x:v>4</x:v>
      </x:c>
      <x:c r="C1863" s="2" t="str">
        <x:v>BB</x:v>
      </x:c>
      <x:c r="D1863" s="2" t="str">
        <x:v>Brevicoryne brassicae</x:v>
      </x:c>
      <x:c r="E1863" s="2" t="str">
        <x:v>L8</x:v>
      </x:c>
      <x:c r="F1863" s="2" t="n">
        <x:v>7</x:v>
      </x:c>
      <x:c r="G1863" s="2" t="n">
        <x:v>13</x:v>
      </x:c>
      <x:c r="H1863" s="2" t="n">
        <x:f>G1863+Supuestos!$C$15</x:f>
        <x:v>14</x:v>
      </x:c>
      <x:c r="I1863" s="14" t="n">
        <x:f>E2_plantas!J46+G1863</x:f>
        <x:v>46208</x:v>
      </x:c>
      <x:c r="J1863" s="2" t="str">
        <x:v>adulta</x:v>
      </x:c>
      <x:c r="K1863" s="2" t="n">
        <x:v>1</x:v>
      </x:c>
      <x:c r="L1863" s="2" t="n">
        <x:v>1</x:v>
      </x:c>
      <x:c r="M1863" s="2" t="n">
        <x:f>SUM(L$1850:L1863)</x:f>
        <x:v>8</x:v>
      </x:c>
      <x:c r="N1863" s="2" t="n">
        <x:v>0</x:v>
      </x:c>
      <x:c r="O1863" s="2" t="str">
        <x:v>seguimiento</x:v>
      </x:c>
      <x:c r="P1863" s="2" t="n">
        <x:v>0</x:v>
      </x:c>
      <x:c r="Q1863" s="2" t="str">
        <x:v>simulado_didactico</x:v>
      </x:c>
    </x:row>
    <x:row r="1864" ht="19" customHeight="1">
      <x:c r="A1864" s="2" t="str">
        <x:v>SIM-E2-BB-L8-R07</x:v>
      </x:c>
      <x:c r="B1864" s="2" t="n">
        <x:v>4</x:v>
      </x:c>
      <x:c r="C1864" s="2" t="str">
        <x:v>BB</x:v>
      </x:c>
      <x:c r="D1864" s="2" t="str">
        <x:v>Brevicoryne brassicae</x:v>
      </x:c>
      <x:c r="E1864" s="2" t="str">
        <x:v>L8</x:v>
      </x:c>
      <x:c r="F1864" s="2" t="n">
        <x:v>7</x:v>
      </x:c>
      <x:c r="G1864" s="2" t="n">
        <x:v>14</x:v>
      </x:c>
      <x:c r="H1864" s="2" t="n">
        <x:f>G1864+Supuestos!$C$15</x:f>
        <x:v>15</x:v>
      </x:c>
      <x:c r="I1864" s="14" t="n">
        <x:f>E2_plantas!J46+G1864</x:f>
        <x:v>46209</x:v>
      </x:c>
      <x:c r="J1864" s="2" t="str">
        <x:v>adulta</x:v>
      </x:c>
      <x:c r="K1864" s="2" t="n">
        <x:v>1</x:v>
      </x:c>
      <x:c r="L1864" s="2" t="n">
        <x:v>1</x:v>
      </x:c>
      <x:c r="M1864" s="2" t="n">
        <x:f>SUM(L$1850:L1864)</x:f>
        <x:v>9</x:v>
      </x:c>
      <x:c r="N1864" s="2" t="n">
        <x:v>0</x:v>
      </x:c>
      <x:c r="O1864" s="2" t="str">
        <x:v>seguimiento</x:v>
      </x:c>
      <x:c r="P1864" s="2" t="n">
        <x:v>0</x:v>
      </x:c>
      <x:c r="Q1864" s="2" t="str">
        <x:v>simulado_didactico</x:v>
      </x:c>
    </x:row>
    <x:row r="1865" ht="19" customHeight="1">
      <x:c r="A1865" s="2" t="str">
        <x:v>SIM-E2-BB-L8-R07</x:v>
      </x:c>
      <x:c r="B1865" s="2" t="n">
        <x:v>4</x:v>
      </x:c>
      <x:c r="C1865" s="2" t="str">
        <x:v>BB</x:v>
      </x:c>
      <x:c r="D1865" s="2" t="str">
        <x:v>Brevicoryne brassicae</x:v>
      </x:c>
      <x:c r="E1865" s="2" t="str">
        <x:v>L8</x:v>
      </x:c>
      <x:c r="F1865" s="2" t="n">
        <x:v>7</x:v>
      </x:c>
      <x:c r="G1865" s="2" t="n">
        <x:v>15</x:v>
      </x:c>
      <x:c r="H1865" s="2" t="n">
        <x:f>G1865+Supuestos!$C$15</x:f>
        <x:v>16</x:v>
      </x:c>
      <x:c r="I1865" s="14" t="n">
        <x:f>E2_plantas!J46+G1865</x:f>
        <x:v>46210</x:v>
      </x:c>
      <x:c r="J1865" s="2" t="str">
        <x:v>adulta</x:v>
      </x:c>
      <x:c r="K1865" s="2" t="n">
        <x:v>1</x:v>
      </x:c>
      <x:c r="L1865" s="2" t="n">
        <x:v>3</x:v>
      </x:c>
      <x:c r="M1865" s="2" t="n">
        <x:f>SUM(L$1850:L1865)</x:f>
        <x:v>12</x:v>
      </x:c>
      <x:c r="N1865" s="2" t="n">
        <x:v>0</x:v>
      </x:c>
      <x:c r="O1865" s="2" t="str">
        <x:v>seguimiento</x:v>
      </x:c>
      <x:c r="P1865" s="2" t="n">
        <x:v>0</x:v>
      </x:c>
      <x:c r="Q1865" s="2" t="str">
        <x:v>simulado_didactico</x:v>
      </x:c>
    </x:row>
    <x:row r="1866" ht="19" customHeight="1">
      <x:c r="A1866" s="2" t="str">
        <x:v>SIM-E2-BB-L8-R07</x:v>
      </x:c>
      <x:c r="B1866" s="2" t="n">
        <x:v>4</x:v>
      </x:c>
      <x:c r="C1866" s="2" t="str">
        <x:v>BB</x:v>
      </x:c>
      <x:c r="D1866" s="2" t="str">
        <x:v>Brevicoryne brassicae</x:v>
      </x:c>
      <x:c r="E1866" s="2" t="str">
        <x:v>L8</x:v>
      </x:c>
      <x:c r="F1866" s="2" t="n">
        <x:v>7</x:v>
      </x:c>
      <x:c r="G1866" s="2" t="n">
        <x:v>16</x:v>
      </x:c>
      <x:c r="H1866" s="2" t="n">
        <x:f>G1866+Supuestos!$C$15</x:f>
        <x:v>17</x:v>
      </x:c>
      <x:c r="I1866" s="14" t="n">
        <x:f>E2_plantas!J46+G1866</x:f>
        <x:v>46211</x:v>
      </x:c>
      <x:c r="J1866" s="2" t="str">
        <x:v>adulta</x:v>
      </x:c>
      <x:c r="K1866" s="2" t="n">
        <x:v>1</x:v>
      </x:c>
      <x:c r="L1866" s="2" t="n">
        <x:v>1</x:v>
      </x:c>
      <x:c r="M1866" s="2" t="n">
        <x:f>SUM(L$1850:L1866)</x:f>
        <x:v>13</x:v>
      </x:c>
      <x:c r="N1866" s="2" t="n">
        <x:v>0</x:v>
      </x:c>
      <x:c r="O1866" s="2" t="str">
        <x:v>seguimiento</x:v>
      </x:c>
      <x:c r="P1866" s="2" t="n">
        <x:v>0</x:v>
      </x:c>
      <x:c r="Q1866" s="2" t="str">
        <x:v>simulado_didactico</x:v>
      </x:c>
    </x:row>
    <x:row r="1867" ht="19" customHeight="1">
      <x:c r="A1867" s="2" t="str">
        <x:v>SIM-E2-BB-L8-R07</x:v>
      </x:c>
      <x:c r="B1867" s="2" t="n">
        <x:v>4</x:v>
      </x:c>
      <x:c r="C1867" s="2" t="str">
        <x:v>BB</x:v>
      </x:c>
      <x:c r="D1867" s="2" t="str">
        <x:v>Brevicoryne brassicae</x:v>
      </x:c>
      <x:c r="E1867" s="2" t="str">
        <x:v>L8</x:v>
      </x:c>
      <x:c r="F1867" s="2" t="n">
        <x:v>7</x:v>
      </x:c>
      <x:c r="G1867" s="2" t="n">
        <x:v>17</x:v>
      </x:c>
      <x:c r="H1867" s="2" t="n">
        <x:f>G1867+Supuestos!$C$15</x:f>
        <x:v>18</x:v>
      </x:c>
      <x:c r="I1867" s="14" t="n">
        <x:f>E2_plantas!J46+G1867</x:f>
        <x:v>46212</x:v>
      </x:c>
      <x:c r="J1867" s="2" t="str">
        <x:v>adulta</x:v>
      </x:c>
      <x:c r="K1867" s="2" t="n">
        <x:v>1</x:v>
      </x:c>
      <x:c r="L1867" s="2" t="n">
        <x:v>2</x:v>
      </x:c>
      <x:c r="M1867" s="2" t="n">
        <x:f>SUM(L$1850:L1867)</x:f>
        <x:v>15</x:v>
      </x:c>
      <x:c r="N1867" s="2" t="n">
        <x:v>0</x:v>
      </x:c>
      <x:c r="O1867" s="2" t="str">
        <x:v>seguimiento</x:v>
      </x:c>
      <x:c r="P1867" s="2" t="n">
        <x:v>0</x:v>
      </x:c>
      <x:c r="Q1867" s="2" t="str">
        <x:v>simulado_didactico</x:v>
      </x:c>
    </x:row>
    <x:row r="1868" ht="19" customHeight="1">
      <x:c r="A1868" s="2" t="str">
        <x:v>SIM-E2-BB-L8-R07</x:v>
      </x:c>
      <x:c r="B1868" s="2" t="n">
        <x:v>4</x:v>
      </x:c>
      <x:c r="C1868" s="2" t="str">
        <x:v>BB</x:v>
      </x:c>
      <x:c r="D1868" s="2" t="str">
        <x:v>Brevicoryne brassicae</x:v>
      </x:c>
      <x:c r="E1868" s="2" t="str">
        <x:v>L8</x:v>
      </x:c>
      <x:c r="F1868" s="2" t="n">
        <x:v>7</x:v>
      </x:c>
      <x:c r="G1868" s="2" t="n">
        <x:v>18</x:v>
      </x:c>
      <x:c r="H1868" s="2" t="n">
        <x:f>G1868+Supuestos!$C$15</x:f>
        <x:v>19</x:v>
      </x:c>
      <x:c r="I1868" s="14" t="n">
        <x:f>E2_plantas!J46+G1868</x:f>
        <x:v>46213</x:v>
      </x:c>
      <x:c r="J1868" s="2" t="str">
        <x:v>adulta</x:v>
      </x:c>
      <x:c r="K1868" s="2" t="n">
        <x:v>1</x:v>
      </x:c>
      <x:c r="L1868" s="2" t="n">
        <x:v>1</x:v>
      </x:c>
      <x:c r="M1868" s="2" t="n">
        <x:f>SUM(L$1850:L1868)</x:f>
        <x:v>16</x:v>
      </x:c>
      <x:c r="N1868" s="2" t="n">
        <x:v>0</x:v>
      </x:c>
      <x:c r="O1868" s="2" t="str">
        <x:v>seguimiento</x:v>
      </x:c>
      <x:c r="P1868" s="2" t="n">
        <x:v>0</x:v>
      </x:c>
      <x:c r="Q1868" s="2" t="str">
        <x:v>simulado_didactico</x:v>
      </x:c>
    </x:row>
    <x:row r="1869" ht="19" customHeight="1">
      <x:c r="A1869" s="2" t="str">
        <x:v>SIM-E2-BB-L8-R07</x:v>
      </x:c>
      <x:c r="B1869" s="2" t="n">
        <x:v>4</x:v>
      </x:c>
      <x:c r="C1869" s="2" t="str">
        <x:v>BB</x:v>
      </x:c>
      <x:c r="D1869" s="2" t="str">
        <x:v>Brevicoryne brassicae</x:v>
      </x:c>
      <x:c r="E1869" s="2" t="str">
        <x:v>L8</x:v>
      </x:c>
      <x:c r="F1869" s="2" t="n">
        <x:v>7</x:v>
      </x:c>
      <x:c r="G1869" s="2" t="n">
        <x:v>19</x:v>
      </x:c>
      <x:c r="H1869" s="2" t="n">
        <x:f>G1869+Supuestos!$C$15</x:f>
        <x:v>20</x:v>
      </x:c>
      <x:c r="I1869" s="14" t="n">
        <x:f>E2_plantas!J46+G1869</x:f>
        <x:v>46214</x:v>
      </x:c>
      <x:c r="J1869" s="2" t="str">
        <x:v>adulta</x:v>
      </x:c>
      <x:c r="K1869" s="2" t="n">
        <x:v>1</x:v>
      </x:c>
      <x:c r="L1869" s="2" t="n">
        <x:v>1</x:v>
      </x:c>
      <x:c r="M1869" s="2" t="n">
        <x:f>SUM(L$1850:L1869)</x:f>
        <x:v>17</x:v>
      </x:c>
      <x:c r="N1869" s="2" t="n">
        <x:v>0</x:v>
      </x:c>
      <x:c r="O1869" s="2" t="str">
        <x:v>seguimiento</x:v>
      </x:c>
      <x:c r="P1869" s="2" t="n">
        <x:v>0</x:v>
      </x:c>
      <x:c r="Q1869" s="2" t="str">
        <x:v>simulado_didactico</x:v>
      </x:c>
    </x:row>
    <x:row r="1870" ht="19" customHeight="1">
      <x:c r="A1870" s="2" t="str">
        <x:v>SIM-E2-BB-L8-R07</x:v>
      </x:c>
      <x:c r="B1870" s="2" t="n">
        <x:v>4</x:v>
      </x:c>
      <x:c r="C1870" s="2" t="str">
        <x:v>BB</x:v>
      </x:c>
      <x:c r="D1870" s="2" t="str">
        <x:v>Brevicoryne brassicae</x:v>
      </x:c>
      <x:c r="E1870" s="2" t="str">
        <x:v>L8</x:v>
      </x:c>
      <x:c r="F1870" s="2" t="n">
        <x:v>7</x:v>
      </x:c>
      <x:c r="G1870" s="2" t="n">
        <x:v>20</x:v>
      </x:c>
      <x:c r="H1870" s="2" t="n">
        <x:f>G1870+Supuestos!$C$15</x:f>
        <x:v>21</x:v>
      </x:c>
      <x:c r="I1870" s="14" t="n">
        <x:f>E2_plantas!J46+G1870</x:f>
        <x:v>46215</x:v>
      </x:c>
      <x:c r="J1870" s="2" t="str">
        <x:v>adulta</x:v>
      </x:c>
      <x:c r="K1870" s="2" t="n">
        <x:v>1</x:v>
      </x:c>
      <x:c r="L1870" s="2" t="n">
        <x:v>0</x:v>
      </x:c>
      <x:c r="M1870" s="2" t="n">
        <x:f>SUM(L$1850:L1870)</x:f>
        <x:v>17</x:v>
      </x:c>
      <x:c r="N1870" s="2" t="n">
        <x:v>0</x:v>
      </x:c>
      <x:c r="O1870" s="2" t="str">
        <x:v>seguimiento</x:v>
      </x:c>
      <x:c r="P1870" s="2" t="n">
        <x:v>0</x:v>
      </x:c>
      <x:c r="Q1870" s="2" t="str">
        <x:v>simulado_didactico</x:v>
      </x:c>
    </x:row>
    <x:row r="1871" ht="19" customHeight="1">
      <x:c r="A1871" s="2" t="str">
        <x:v>SIM-E2-BB-L8-R07</x:v>
      </x:c>
      <x:c r="B1871" s="2" t="n">
        <x:v>4</x:v>
      </x:c>
      <x:c r="C1871" s="2" t="str">
        <x:v>BB</x:v>
      </x:c>
      <x:c r="D1871" s="2" t="str">
        <x:v>Brevicoryne brassicae</x:v>
      </x:c>
      <x:c r="E1871" s="2" t="str">
        <x:v>L8</x:v>
      </x:c>
      <x:c r="F1871" s="2" t="n">
        <x:v>7</x:v>
      </x:c>
      <x:c r="G1871" s="2" t="n">
        <x:v>21</x:v>
      </x:c>
      <x:c r="H1871" s="2" t="n">
        <x:f>G1871+Supuestos!$C$15</x:f>
        <x:v>22</x:v>
      </x:c>
      <x:c r="I1871" s="14" t="n">
        <x:f>E2_plantas!J46+G1871</x:f>
        <x:v>46216</x:v>
      </x:c>
      <x:c r="J1871" s="2" t="str">
        <x:v>adulta</x:v>
      </x:c>
      <x:c r="K1871" s="2" t="n">
        <x:v>1</x:v>
      </x:c>
      <x:c r="L1871" s="2" t="n">
        <x:v>0</x:v>
      </x:c>
      <x:c r="M1871" s="2" t="n">
        <x:f>SUM(L$1850:L1871)</x:f>
        <x:v>17</x:v>
      </x:c>
      <x:c r="N1871" s="2" t="n">
        <x:v>0</x:v>
      </x:c>
      <x:c r="O1871" s="2" t="str">
        <x:v>seguimiento</x:v>
      </x:c>
      <x:c r="P1871" s="2" t="n">
        <x:v>0</x:v>
      </x:c>
      <x:c r="Q1871" s="2" t="str">
        <x:v>simulado_didactico</x:v>
      </x:c>
    </x:row>
    <x:row r="1872" ht="19" customHeight="1">
      <x:c r="A1872" s="2" t="str">
        <x:v>SIM-E2-BB-L8-R07</x:v>
      </x:c>
      <x:c r="B1872" s="2" t="n">
        <x:v>4</x:v>
      </x:c>
      <x:c r="C1872" s="2" t="str">
        <x:v>BB</x:v>
      </x:c>
      <x:c r="D1872" s="2" t="str">
        <x:v>Brevicoryne brassicae</x:v>
      </x:c>
      <x:c r="E1872" s="2" t="str">
        <x:v>L8</x:v>
      </x:c>
      <x:c r="F1872" s="2" t="n">
        <x:v>7</x:v>
      </x:c>
      <x:c r="G1872" s="2" t="n">
        <x:v>22</x:v>
      </x:c>
      <x:c r="H1872" s="2" t="n">
        <x:f>G1872+Supuestos!$C$15</x:f>
        <x:v>23</x:v>
      </x:c>
      <x:c r="I1872" s="14" t="n">
        <x:f>E2_plantas!J46+G1872</x:f>
        <x:v>46217</x:v>
      </x:c>
      <x:c r="J1872" s="2" t="str">
        <x:v>adulta</x:v>
      </x:c>
      <x:c r="K1872" s="2" t="n">
        <x:v>1</x:v>
      </x:c>
      <x:c r="L1872" s="2" t="n">
        <x:v>0</x:v>
      </x:c>
      <x:c r="M1872" s="2" t="n">
        <x:f>SUM(L$1850:L1872)</x:f>
        <x:v>17</x:v>
      </x:c>
      <x:c r="N1872" s="2" t="n">
        <x:v>0</x:v>
      </x:c>
      <x:c r="O1872" s="2" t="str">
        <x:v>seguimiento</x:v>
      </x:c>
      <x:c r="P1872" s="2" t="n">
        <x:v>0</x:v>
      </x:c>
      <x:c r="Q1872" s="2" t="str">
        <x:v>simulado_didactico</x:v>
      </x:c>
    </x:row>
    <x:row r="1873" ht="19" customHeight="1">
      <x:c r="A1873" s="2" t="str">
        <x:v>SIM-E2-BB-L8-R07</x:v>
      </x:c>
      <x:c r="B1873" s="2" t="n">
        <x:v>4</x:v>
      </x:c>
      <x:c r="C1873" s="2" t="str">
        <x:v>BB</x:v>
      </x:c>
      <x:c r="D1873" s="2" t="str">
        <x:v>Brevicoryne brassicae</x:v>
      </x:c>
      <x:c r="E1873" s="2" t="str">
        <x:v>L8</x:v>
      </x:c>
      <x:c r="F1873" s="2" t="n">
        <x:v>7</x:v>
      </x:c>
      <x:c r="G1873" s="2" t="n">
        <x:v>23</x:v>
      </x:c>
      <x:c r="H1873" s="2" t="n">
        <x:f>G1873+Supuestos!$C$15</x:f>
        <x:v>24</x:v>
      </x:c>
      <x:c r="I1873" s="14" t="n">
        <x:f>E2_plantas!J46+G1873</x:f>
        <x:v>46218</x:v>
      </x:c>
      <x:c r="J1873" s="2" t="str">
        <x:v>adulta</x:v>
      </x:c>
      <x:c r="K1873" s="2" t="n">
        <x:v>1</x:v>
      </x:c>
      <x:c r="L1873" s="2" t="n">
        <x:v>0</x:v>
      </x:c>
      <x:c r="M1873" s="2" t="n">
        <x:f>SUM(L$1850:L1873)</x:f>
        <x:v>17</x:v>
      </x:c>
      <x:c r="N1873" s="2" t="n">
        <x:v>0</x:v>
      </x:c>
      <x:c r="O1873" s="2" t="str">
        <x:v>seguimiento</x:v>
      </x:c>
      <x:c r="P1873" s="2" t="n">
        <x:v>0</x:v>
      </x:c>
      <x:c r="Q1873" s="2" t="str">
        <x:v>simulado_didactico</x:v>
      </x:c>
    </x:row>
    <x:row r="1874" ht="19" customHeight="1">
      <x:c r="A1874" s="2" t="str">
        <x:v>SIM-E2-BB-L8-R07</x:v>
      </x:c>
      <x:c r="B1874" s="2" t="n">
        <x:v>4</x:v>
      </x:c>
      <x:c r="C1874" s="2" t="str">
        <x:v>BB</x:v>
      </x:c>
      <x:c r="D1874" s="2" t="str">
        <x:v>Brevicoryne brassicae</x:v>
      </x:c>
      <x:c r="E1874" s="2" t="str">
        <x:v>L8</x:v>
      </x:c>
      <x:c r="F1874" s="2" t="n">
        <x:v>7</x:v>
      </x:c>
      <x:c r="G1874" s="2" t="n">
        <x:v>24</x:v>
      </x:c>
      <x:c r="H1874" s="2" t="n">
        <x:f>G1874+Supuestos!$C$15</x:f>
        <x:v>25</x:v>
      </x:c>
      <x:c r="I1874" s="14" t="n">
        <x:f>E2_plantas!J46+G1874</x:f>
        <x:v>46219</x:v>
      </x:c>
      <x:c r="J1874" s="2" t="str">
        <x:v>adulta</x:v>
      </x:c>
      <x:c r="K1874" s="2" t="n">
        <x:v>1</x:v>
      </x:c>
      <x:c r="L1874" s="2" t="n">
        <x:v>0</x:v>
      </x:c>
      <x:c r="M1874" s="2" t="n">
        <x:f>SUM(L$1850:L1874)</x:f>
        <x:v>17</x:v>
      </x:c>
      <x:c r="N1874" s="2" t="n">
        <x:v>0</x:v>
      </x:c>
      <x:c r="O1874" s="2" t="str">
        <x:v>seguimiento</x:v>
      </x:c>
      <x:c r="P1874" s="2" t="n">
        <x:v>0</x:v>
      </x:c>
      <x:c r="Q1874" s="2" t="str">
        <x:v>simulado_didactico</x:v>
      </x:c>
    </x:row>
    <x:row r="1875" ht="19" customHeight="1">
      <x:c r="A1875" s="2" t="str">
        <x:v>SIM-E2-BB-L8-R07</x:v>
      </x:c>
      <x:c r="B1875" s="2" t="n">
        <x:v>4</x:v>
      </x:c>
      <x:c r="C1875" s="2" t="str">
        <x:v>BB</x:v>
      </x:c>
      <x:c r="D1875" s="2" t="str">
        <x:v>Brevicoryne brassicae</x:v>
      </x:c>
      <x:c r="E1875" s="2" t="str">
        <x:v>L8</x:v>
      </x:c>
      <x:c r="F1875" s="2" t="n">
        <x:v>7</x:v>
      </x:c>
      <x:c r="G1875" s="2" t="n">
        <x:v>25</x:v>
      </x:c>
      <x:c r="H1875" s="2" t="n">
        <x:f>G1875+Supuestos!$C$15</x:f>
        <x:v>26</x:v>
      </x:c>
      <x:c r="I1875" s="14" t="n">
        <x:f>E2_plantas!J46+G1875</x:f>
        <x:v>46220</x:v>
      </x:c>
      <x:c r="J1875" s="2" t="str">
        <x:v>muerta</x:v>
      </x:c>
      <x:c r="K1875" s="2" t="n">
        <x:v>0</x:v>
      </x:c>
      <x:c r="L1875" s="2" t="n">
        <x:v>0</x:v>
      </x:c>
      <x:c r="M1875" s="2" t="n">
        <x:f>SUM(L$1850:L1875)</x:f>
        <x:v>17</x:v>
      </x:c>
      <x:c r="N1875" s="2" t="n">
        <x:v>1</x:v>
      </x:c>
      <x:c r="O1875" s="2" t="str">
        <x:v>muerte</x:v>
      </x:c>
      <x:c r="P1875" s="2" t="n">
        <x:v>0</x:v>
      </x:c>
      <x:c r="Q1875" s="2" t="str">
        <x:v>simulado_didactico</x:v>
      </x:c>
    </x:row>
    <x:row r="1876" ht="19" customHeight="1">
      <x:c r="A1876" s="2" t="str">
        <x:v>SIM-E2-BB-L8-R07</x:v>
      </x:c>
      <x:c r="B1876" s="2" t="n">
        <x:v>4</x:v>
      </x:c>
      <x:c r="C1876" s="2" t="str">
        <x:v>BB</x:v>
      </x:c>
      <x:c r="D1876" s="2" t="str">
        <x:v>Brevicoryne brassicae</x:v>
      </x:c>
      <x:c r="E1876" s="2" t="str">
        <x:v>L8</x:v>
      </x:c>
      <x:c r="F1876" s="2" t="n">
        <x:v>7</x:v>
      </x:c>
      <x:c r="G1876" s="2" t="n">
        <x:v>26</x:v>
      </x:c>
      <x:c r="H1876" s="2" t="n">
        <x:f>G1876+Supuestos!$C$15</x:f>
        <x:v>27</x:v>
      </x:c>
      <x:c r="I1876" s="14" t="n">
        <x:f>E2_plantas!J46+G1876</x:f>
        <x:v>46221</x:v>
      </x:c>
      <x:c r="J1876" s="2" t="str">
        <x:v>muerta</x:v>
      </x:c>
      <x:c r="K1876" s="2" t="n">
        <x:v>0</x:v>
      </x:c>
      <x:c r="L1876" s="2" t="n">
        <x:v>0</x:v>
      </x:c>
      <x:c r="M1876" s="2" t="n">
        <x:f>SUM(L$1850:L1876)</x:f>
        <x:v>17</x:v>
      </x:c>
      <x:c r="N1876" s="2" t="n">
        <x:v>0</x:v>
      </x:c>
      <x:c r="O1876" s="2" t="str">
        <x:v>relleno_postmuerte</x:v>
      </x:c>
      <x:c r="P1876" s="2" t="n">
        <x:v>0</x:v>
      </x:c>
      <x:c r="Q1876" s="2" t="str">
        <x:v>simulado_didactico</x:v>
      </x:c>
    </x:row>
    <x:row r="1877" ht="19" customHeight="1">
      <x:c r="A1877" s="2" t="str">
        <x:v>SIM-E2-BB-L8-R07</x:v>
      </x:c>
      <x:c r="B1877" s="2" t="n">
        <x:v>4</x:v>
      </x:c>
      <x:c r="C1877" s="2" t="str">
        <x:v>BB</x:v>
      </x:c>
      <x:c r="D1877" s="2" t="str">
        <x:v>Brevicoryne brassicae</x:v>
      </x:c>
      <x:c r="E1877" s="2" t="str">
        <x:v>L8</x:v>
      </x:c>
      <x:c r="F1877" s="2" t="n">
        <x:v>7</x:v>
      </x:c>
      <x:c r="G1877" s="2" t="n">
        <x:v>27</x:v>
      </x:c>
      <x:c r="H1877" s="2" t="n">
        <x:f>G1877+Supuestos!$C$15</x:f>
        <x:v>28</x:v>
      </x:c>
      <x:c r="I1877" s="14" t="n">
        <x:f>E2_plantas!J46+G1877</x:f>
        <x:v>46222</x:v>
      </x:c>
      <x:c r="J1877" s="2" t="str">
        <x:v>muerta</x:v>
      </x:c>
      <x:c r="K1877" s="2" t="n">
        <x:v>0</x:v>
      </x:c>
      <x:c r="L1877" s="2" t="n">
        <x:v>0</x:v>
      </x:c>
      <x:c r="M1877" s="2" t="n">
        <x:f>SUM(L$1850:L1877)</x:f>
        <x:v>17</x:v>
      </x:c>
      <x:c r="N1877" s="2" t="n">
        <x:v>0</x:v>
      </x:c>
      <x:c r="O1877" s="2" t="str">
        <x:v>relleno_postmuerte</x:v>
      </x:c>
      <x:c r="P1877" s="2" t="n">
        <x:v>0</x:v>
      </x:c>
      <x:c r="Q1877" s="2" t="str">
        <x:v>simulado_didactico</x:v>
      </x:c>
    </x:row>
    <x:row r="1878" ht="19" customHeight="1">
      <x:c r="A1878" s="2" t="str">
        <x:v>SIM-E2-BB-L8-R07</x:v>
      </x:c>
      <x:c r="B1878" s="2" t="n">
        <x:v>4</x:v>
      </x:c>
      <x:c r="C1878" s="2" t="str">
        <x:v>BB</x:v>
      </x:c>
      <x:c r="D1878" s="2" t="str">
        <x:v>Brevicoryne brassicae</x:v>
      </x:c>
      <x:c r="E1878" s="2" t="str">
        <x:v>L8</x:v>
      </x:c>
      <x:c r="F1878" s="2" t="n">
        <x:v>7</x:v>
      </x:c>
      <x:c r="G1878" s="2" t="n">
        <x:v>28</x:v>
      </x:c>
      <x:c r="H1878" s="2" t="n">
        <x:f>G1878+Supuestos!$C$15</x:f>
        <x:v>29</x:v>
      </x:c>
      <x:c r="I1878" s="14" t="n">
        <x:f>E2_plantas!J46+G1878</x:f>
        <x:v>46223</x:v>
      </x:c>
      <x:c r="J1878" s="2" t="str">
        <x:v>muerta</x:v>
      </x:c>
      <x:c r="K1878" s="2" t="n">
        <x:v>0</x:v>
      </x:c>
      <x:c r="L1878" s="2" t="n">
        <x:v>0</x:v>
      </x:c>
      <x:c r="M1878" s="2" t="n">
        <x:f>SUM(L$1850:L1878)</x:f>
        <x:v>17</x:v>
      </x:c>
      <x:c r="N1878" s="2" t="n">
        <x:v>0</x:v>
      </x:c>
      <x:c r="O1878" s="2" t="str">
        <x:v>relleno_postmuerte</x:v>
      </x:c>
      <x:c r="P1878" s="2" t="n">
        <x:v>0</x:v>
      </x:c>
      <x:c r="Q1878" s="2" t="str">
        <x:v>simulado_didactico</x:v>
      </x:c>
    </x:row>
    <x:row r="1879" ht="19" customHeight="1">
      <x:c r="A1879" s="2" t="str">
        <x:v>SIM-E2-BB-L8-R07</x:v>
      </x:c>
      <x:c r="B1879" s="2" t="n">
        <x:v>4</x:v>
      </x:c>
      <x:c r="C1879" s="2" t="str">
        <x:v>BB</x:v>
      </x:c>
      <x:c r="D1879" s="2" t="str">
        <x:v>Brevicoryne brassicae</x:v>
      </x:c>
      <x:c r="E1879" s="2" t="str">
        <x:v>L8</x:v>
      </x:c>
      <x:c r="F1879" s="2" t="n">
        <x:v>7</x:v>
      </x:c>
      <x:c r="G1879" s="2" t="n">
        <x:v>29</x:v>
      </x:c>
      <x:c r="H1879" s="2" t="n">
        <x:f>G1879+Supuestos!$C$15</x:f>
        <x:v>30</x:v>
      </x:c>
      <x:c r="I1879" s="14" t="n">
        <x:f>E2_plantas!J46+G1879</x:f>
        <x:v>46224</x:v>
      </x:c>
      <x:c r="J1879" s="2" t="str">
        <x:v>muerta</x:v>
      </x:c>
      <x:c r="K1879" s="2" t="n">
        <x:v>0</x:v>
      </x:c>
      <x:c r="L1879" s="2" t="n">
        <x:v>0</x:v>
      </x:c>
      <x:c r="M1879" s="2" t="n">
        <x:f>SUM(L$1850:L1879)</x:f>
        <x:v>17</x:v>
      </x:c>
      <x:c r="N1879" s="2" t="n">
        <x:v>0</x:v>
      </x:c>
      <x:c r="O1879" s="2" t="str">
        <x:v>relleno_postmuerte</x:v>
      </x:c>
      <x:c r="P1879" s="2" t="n">
        <x:v>0</x:v>
      </x:c>
      <x:c r="Q1879" s="2" t="str">
        <x:v>simulado_didactico</x:v>
      </x:c>
    </x:row>
    <x:row r="1880" ht="19" customHeight="1">
      <x:c r="A1880" s="2" t="str">
        <x:v>SIM-E2-BB-L8-R07</x:v>
      </x:c>
      <x:c r="B1880" s="2" t="n">
        <x:v>4</x:v>
      </x:c>
      <x:c r="C1880" s="2" t="str">
        <x:v>BB</x:v>
      </x:c>
      <x:c r="D1880" s="2" t="str">
        <x:v>Brevicoryne brassicae</x:v>
      </x:c>
      <x:c r="E1880" s="2" t="str">
        <x:v>L8</x:v>
      </x:c>
      <x:c r="F1880" s="2" t="n">
        <x:v>7</x:v>
      </x:c>
      <x:c r="G1880" s="2" t="n">
        <x:v>30</x:v>
      </x:c>
      <x:c r="H1880" s="2" t="n">
        <x:f>G1880+Supuestos!$C$15</x:f>
        <x:v>31</x:v>
      </x:c>
      <x:c r="I1880" s="14" t="n">
        <x:f>E2_plantas!J46+G1880</x:f>
        <x:v>46225</x:v>
      </x:c>
      <x:c r="J1880" s="2" t="str">
        <x:v>muerta</x:v>
      </x:c>
      <x:c r="K1880" s="2" t="n">
        <x:v>0</x:v>
      </x:c>
      <x:c r="L1880" s="2" t="n">
        <x:v>0</x:v>
      </x:c>
      <x:c r="M1880" s="2" t="n">
        <x:f>SUM(L$1850:L1880)</x:f>
        <x:v>17</x:v>
      </x:c>
      <x:c r="N1880" s="2" t="n">
        <x:v>0</x:v>
      </x:c>
      <x:c r="O1880" s="2" t="str">
        <x:v>relleno_postmuerte</x:v>
      </x:c>
      <x:c r="P1880" s="2" t="n">
        <x:v>0</x:v>
      </x:c>
      <x:c r="Q1880" s="2" t="str">
        <x:v>simulado_didactico</x:v>
      </x:c>
    </x:row>
    <x:row r="1881" ht="19" customHeight="1">
      <x:c r="A1881" s="2" t="str">
        <x:v>SIM-E2-BB-L8-R07</x:v>
      </x:c>
      <x:c r="B1881" s="2" t="n">
        <x:v>4</x:v>
      </x:c>
      <x:c r="C1881" s="2" t="str">
        <x:v>BB</x:v>
      </x:c>
      <x:c r="D1881" s="2" t="str">
        <x:v>Brevicoryne brassicae</x:v>
      </x:c>
      <x:c r="E1881" s="2" t="str">
        <x:v>L8</x:v>
      </x:c>
      <x:c r="F1881" s="2" t="n">
        <x:v>7</x:v>
      </x:c>
      <x:c r="G1881" s="2" t="n">
        <x:v>31</x:v>
      </x:c>
      <x:c r="H1881" s="2" t="n">
        <x:f>G1881+Supuestos!$C$15</x:f>
        <x:v>32</x:v>
      </x:c>
      <x:c r="I1881" s="14" t="n">
        <x:f>E2_plantas!J46+G1881</x:f>
        <x:v>46226</x:v>
      </x:c>
      <x:c r="J1881" s="2" t="str">
        <x:v>muerta</x:v>
      </x:c>
      <x:c r="K1881" s="2" t="n">
        <x:v>0</x:v>
      </x:c>
      <x:c r="L1881" s="2" t="n">
        <x:v>0</x:v>
      </x:c>
      <x:c r="M1881" s="2" t="n">
        <x:f>SUM(L$1850:L1881)</x:f>
        <x:v>17</x:v>
      </x:c>
      <x:c r="N1881" s="2" t="n">
        <x:v>0</x:v>
      </x:c>
      <x:c r="O1881" s="2" t="str">
        <x:v>relleno_postmuerte</x:v>
      </x:c>
      <x:c r="P1881" s="2" t="n">
        <x:v>0</x:v>
      </x:c>
      <x:c r="Q1881" s="2" t="str">
        <x:v>simulado_didactico</x:v>
      </x:c>
    </x:row>
    <x:row r="1882" ht="19" customHeight="1">
      <x:c r="A1882" s="2" t="str">
        <x:v>SIM-E2-BB-L8-R07</x:v>
      </x:c>
      <x:c r="B1882" s="2" t="n">
        <x:v>4</x:v>
      </x:c>
      <x:c r="C1882" s="2" t="str">
        <x:v>BB</x:v>
      </x:c>
      <x:c r="D1882" s="2" t="str">
        <x:v>Brevicoryne brassicae</x:v>
      </x:c>
      <x:c r="E1882" s="2" t="str">
        <x:v>L8</x:v>
      </x:c>
      <x:c r="F1882" s="2" t="n">
        <x:v>7</x:v>
      </x:c>
      <x:c r="G1882" s="2" t="n">
        <x:v>32</x:v>
      </x:c>
      <x:c r="H1882" s="2" t="n">
        <x:f>G1882+Supuestos!$C$15</x:f>
        <x:v>33</x:v>
      </x:c>
      <x:c r="I1882" s="14" t="n">
        <x:f>E2_plantas!J46+G1882</x:f>
        <x:v>46227</x:v>
      </x:c>
      <x:c r="J1882" s="2" t="str">
        <x:v>muerta</x:v>
      </x:c>
      <x:c r="K1882" s="2" t="n">
        <x:v>0</x:v>
      </x:c>
      <x:c r="L1882" s="2" t="n">
        <x:v>0</x:v>
      </x:c>
      <x:c r="M1882" s="2" t="n">
        <x:f>SUM(L$1850:L1882)</x:f>
        <x:v>17</x:v>
      </x:c>
      <x:c r="N1882" s="2" t="n">
        <x:v>0</x:v>
      </x:c>
      <x:c r="O1882" s="2" t="str">
        <x:v>relleno_postmuerte</x:v>
      </x:c>
      <x:c r="P1882" s="2" t="n">
        <x:v>0</x:v>
      </x:c>
      <x:c r="Q1882" s="2" t="str">
        <x:v>simulado_didactico</x:v>
      </x:c>
    </x:row>
    <x:row r="1883" ht="19" customHeight="1">
      <x:c r="A1883" s="2" t="str">
        <x:v>SIM-E2-BB-L8-R07</x:v>
      </x:c>
      <x:c r="B1883" s="2" t="n">
        <x:v>4</x:v>
      </x:c>
      <x:c r="C1883" s="2" t="str">
        <x:v>BB</x:v>
      </x:c>
      <x:c r="D1883" s="2" t="str">
        <x:v>Brevicoryne brassicae</x:v>
      </x:c>
      <x:c r="E1883" s="2" t="str">
        <x:v>L8</x:v>
      </x:c>
      <x:c r="F1883" s="2" t="n">
        <x:v>7</x:v>
      </x:c>
      <x:c r="G1883" s="2" t="n">
        <x:v>33</x:v>
      </x:c>
      <x:c r="H1883" s="2" t="n">
        <x:f>G1883+Supuestos!$C$15</x:f>
        <x:v>34</x:v>
      </x:c>
      <x:c r="I1883" s="14" t="n">
        <x:f>E2_plantas!J46+G1883</x:f>
        <x:v>46228</x:v>
      </x:c>
      <x:c r="J1883" s="2" t="str">
        <x:v>muerta</x:v>
      </x:c>
      <x:c r="K1883" s="2" t="n">
        <x:v>0</x:v>
      </x:c>
      <x:c r="L1883" s="2" t="n">
        <x:v>0</x:v>
      </x:c>
      <x:c r="M1883" s="2" t="n">
        <x:f>SUM(L$1850:L1883)</x:f>
        <x:v>17</x:v>
      </x:c>
      <x:c r="N1883" s="2" t="n">
        <x:v>0</x:v>
      </x:c>
      <x:c r="O1883" s="2" t="str">
        <x:v>relleno_postmuerte</x:v>
      </x:c>
      <x:c r="P1883" s="2" t="n">
        <x:v>0</x:v>
      </x:c>
      <x:c r="Q1883" s="2" t="str">
        <x:v>simulado_didactico</x:v>
      </x:c>
    </x:row>
    <x:row r="1884" ht="19" customHeight="1">
      <x:c r="A1884" s="2" t="str">
        <x:v>SIM-E2-BB-L8-R07</x:v>
      </x:c>
      <x:c r="B1884" s="2" t="n">
        <x:v>4</x:v>
      </x:c>
      <x:c r="C1884" s="2" t="str">
        <x:v>BB</x:v>
      </x:c>
      <x:c r="D1884" s="2" t="str">
        <x:v>Brevicoryne brassicae</x:v>
      </x:c>
      <x:c r="E1884" s="2" t="str">
        <x:v>L8</x:v>
      </x:c>
      <x:c r="F1884" s="2" t="n">
        <x:v>7</x:v>
      </x:c>
      <x:c r="G1884" s="2" t="n">
        <x:v>34</x:v>
      </x:c>
      <x:c r="H1884" s="2" t="n">
        <x:f>G1884+Supuestos!$C$15</x:f>
        <x:v>35</x:v>
      </x:c>
      <x:c r="I1884" s="14" t="n">
        <x:f>E2_plantas!J46+G1884</x:f>
        <x:v>46229</x:v>
      </x:c>
      <x:c r="J1884" s="2" t="str">
        <x:v>muerta</x:v>
      </x:c>
      <x:c r="K1884" s="2" t="n">
        <x:v>0</x:v>
      </x:c>
      <x:c r="L1884" s="2" t="n">
        <x:v>0</x:v>
      </x:c>
      <x:c r="M1884" s="2" t="n">
        <x:f>SUM(L$1850:L1884)</x:f>
        <x:v>17</x:v>
      </x:c>
      <x:c r="N1884" s="2" t="n">
        <x:v>0</x:v>
      </x:c>
      <x:c r="O1884" s="2" t="str">
        <x:v>relleno_postmuerte</x:v>
      </x:c>
      <x:c r="P1884" s="2" t="n">
        <x:v>0</x:v>
      </x:c>
      <x:c r="Q1884" s="2" t="str">
        <x:v>simulado_didactico</x:v>
      </x:c>
    </x:row>
    <x:row r="1885" ht="19" customHeight="1">
      <x:c r="A1885" s="2" t="str">
        <x:v>SIM-E2-BB-L8-R07</x:v>
      </x:c>
      <x:c r="B1885" s="2" t="n">
        <x:v>4</x:v>
      </x:c>
      <x:c r="C1885" s="2" t="str">
        <x:v>BB</x:v>
      </x:c>
      <x:c r="D1885" s="2" t="str">
        <x:v>Brevicoryne brassicae</x:v>
      </x:c>
      <x:c r="E1885" s="2" t="str">
        <x:v>L8</x:v>
      </x:c>
      <x:c r="F1885" s="2" t="n">
        <x:v>7</x:v>
      </x:c>
      <x:c r="G1885" s="2" t="n">
        <x:v>35</x:v>
      </x:c>
      <x:c r="H1885" s="2" t="n">
        <x:f>G1885+Supuestos!$C$15</x:f>
        <x:v>36</x:v>
      </x:c>
      <x:c r="I1885" s="14" t="n">
        <x:f>E2_plantas!J46+G1885</x:f>
        <x:v>46230</x:v>
      </x:c>
      <x:c r="J1885" s="2" t="str">
        <x:v>muerta</x:v>
      </x:c>
      <x:c r="K1885" s="2" t="n">
        <x:v>0</x:v>
      </x:c>
      <x:c r="L1885" s="2" t="n">
        <x:v>0</x:v>
      </x:c>
      <x:c r="M1885" s="2" t="n">
        <x:f>SUM(L$1850:L1885)</x:f>
        <x:v>17</x:v>
      </x:c>
      <x:c r="N1885" s="2" t="n">
        <x:v>0</x:v>
      </x:c>
      <x:c r="O1885" s="2" t="str">
        <x:v>relleno_postmuerte</x:v>
      </x:c>
      <x:c r="P1885" s="2" t="n">
        <x:v>0</x:v>
      </x:c>
      <x:c r="Q1885" s="2" t="str">
        <x:v>simulado_didactico</x:v>
      </x:c>
    </x:row>
    <x:row r="1886" ht="19" customHeight="1">
      <x:c r="A1886" s="2" t="str">
        <x:v>SIM-E2-BB-L8-R07</x:v>
      </x:c>
      <x:c r="B1886" s="2" t="n">
        <x:v>4</x:v>
      </x:c>
      <x:c r="C1886" s="2" t="str">
        <x:v>BB</x:v>
      </x:c>
      <x:c r="D1886" s="2" t="str">
        <x:v>Brevicoryne brassicae</x:v>
      </x:c>
      <x:c r="E1886" s="2" t="str">
        <x:v>L8</x:v>
      </x:c>
      <x:c r="F1886" s="2" t="n">
        <x:v>7</x:v>
      </x:c>
      <x:c r="G1886" s="2" t="n">
        <x:v>36</x:v>
      </x:c>
      <x:c r="H1886" s="2" t="n">
        <x:f>G1886+Supuestos!$C$15</x:f>
        <x:v>37</x:v>
      </x:c>
      <x:c r="I1886" s="14" t="n">
        <x:f>E2_plantas!J46+G1886</x:f>
        <x:v>46231</x:v>
      </x:c>
      <x:c r="J1886" s="2" t="str">
        <x:v>muerta</x:v>
      </x:c>
      <x:c r="K1886" s="2" t="n">
        <x:v>0</x:v>
      </x:c>
      <x:c r="L1886" s="2" t="n">
        <x:v>0</x:v>
      </x:c>
      <x:c r="M1886" s="2" t="n">
        <x:f>SUM(L$1850:L1886)</x:f>
        <x:v>17</x:v>
      </x:c>
      <x:c r="N1886" s="2" t="n">
        <x:v>0</x:v>
      </x:c>
      <x:c r="O1886" s="2" t="str">
        <x:v>relleno_postmuerte</x:v>
      </x:c>
      <x:c r="P1886" s="2" t="n">
        <x:v>0</x:v>
      </x:c>
      <x:c r="Q1886" s="2" t="str">
        <x:v>simulado_didactico</x:v>
      </x:c>
    </x:row>
    <x:row r="1887" ht="19" customHeight="1">
      <x:c r="A1887" s="2" t="str">
        <x:v>SIM-E2-BB-L8-R07</x:v>
      </x:c>
      <x:c r="B1887" s="2" t="n">
        <x:v>4</x:v>
      </x:c>
      <x:c r="C1887" s="2" t="str">
        <x:v>BB</x:v>
      </x:c>
      <x:c r="D1887" s="2" t="str">
        <x:v>Brevicoryne brassicae</x:v>
      </x:c>
      <x:c r="E1887" s="2" t="str">
        <x:v>L8</x:v>
      </x:c>
      <x:c r="F1887" s="2" t="n">
        <x:v>7</x:v>
      </x:c>
      <x:c r="G1887" s="2" t="n">
        <x:v>37</x:v>
      </x:c>
      <x:c r="H1887" s="2" t="n">
        <x:f>G1887+Supuestos!$C$15</x:f>
        <x:v>38</x:v>
      </x:c>
      <x:c r="I1887" s="14" t="n">
        <x:f>E2_plantas!J46+G1887</x:f>
        <x:v>46232</x:v>
      </x:c>
      <x:c r="J1887" s="2" t="str">
        <x:v>muerta</x:v>
      </x:c>
      <x:c r="K1887" s="2" t="n">
        <x:v>0</x:v>
      </x:c>
      <x:c r="L1887" s="2" t="n">
        <x:v>0</x:v>
      </x:c>
      <x:c r="M1887" s="2" t="n">
        <x:f>SUM(L$1850:L1887)</x:f>
        <x:v>17</x:v>
      </x:c>
      <x:c r="N1887" s="2" t="n">
        <x:v>0</x:v>
      </x:c>
      <x:c r="O1887" s="2" t="str">
        <x:v>relleno_postmuerte</x:v>
      </x:c>
      <x:c r="P1887" s="2" t="n">
        <x:v>0</x:v>
      </x:c>
      <x:c r="Q1887" s="2" t="str">
        <x:v>simulado_didactico</x:v>
      </x:c>
    </x:row>
    <x:row r="1888" ht="19" customHeight="1">
      <x:c r="A1888" s="2" t="str">
        <x:v>SIM-E2-BB-L8-R07</x:v>
      </x:c>
      <x:c r="B1888" s="2" t="n">
        <x:v>4</x:v>
      </x:c>
      <x:c r="C1888" s="2" t="str">
        <x:v>BB</x:v>
      </x:c>
      <x:c r="D1888" s="2" t="str">
        <x:v>Brevicoryne brassicae</x:v>
      </x:c>
      <x:c r="E1888" s="2" t="str">
        <x:v>L8</x:v>
      </x:c>
      <x:c r="F1888" s="2" t="n">
        <x:v>7</x:v>
      </x:c>
      <x:c r="G1888" s="2" t="n">
        <x:v>38</x:v>
      </x:c>
      <x:c r="H1888" s="2" t="n">
        <x:f>G1888+Supuestos!$C$15</x:f>
        <x:v>39</x:v>
      </x:c>
      <x:c r="I1888" s="14" t="n">
        <x:f>E2_plantas!J46+G1888</x:f>
        <x:v>46233</x:v>
      </x:c>
      <x:c r="J1888" s="2" t="str">
        <x:v>muerta</x:v>
      </x:c>
      <x:c r="K1888" s="2" t="n">
        <x:v>0</x:v>
      </x:c>
      <x:c r="L1888" s="2" t="n">
        <x:v>0</x:v>
      </x:c>
      <x:c r="M1888" s="2" t="n">
        <x:f>SUM(L$1850:L1888)</x:f>
        <x:v>17</x:v>
      </x:c>
      <x:c r="N1888" s="2" t="n">
        <x:v>0</x:v>
      </x:c>
      <x:c r="O1888" s="2" t="str">
        <x:v>relleno_postmuerte</x:v>
      </x:c>
      <x:c r="P1888" s="2" t="n">
        <x:v>0</x:v>
      </x:c>
      <x:c r="Q1888" s="2" t="str">
        <x:v>simulado_didactico</x:v>
      </x:c>
    </x:row>
    <x:row r="1889" ht="19" customHeight="1">
      <x:c r="A1889" s="2" t="str">
        <x:v>SIM-E2-BB-L8-R07</x:v>
      </x:c>
      <x:c r="B1889" s="2" t="n">
        <x:v>4</x:v>
      </x:c>
      <x:c r="C1889" s="2" t="str">
        <x:v>BB</x:v>
      </x:c>
      <x:c r="D1889" s="2" t="str">
        <x:v>Brevicoryne brassicae</x:v>
      </x:c>
      <x:c r="E1889" s="2" t="str">
        <x:v>L8</x:v>
      </x:c>
      <x:c r="F1889" s="2" t="n">
        <x:v>7</x:v>
      </x:c>
      <x:c r="G1889" s="2" t="n">
        <x:v>39</x:v>
      </x:c>
      <x:c r="H1889" s="2" t="n">
        <x:f>G1889+Supuestos!$C$15</x:f>
        <x:v>40</x:v>
      </x:c>
      <x:c r="I1889" s="14" t="n">
        <x:f>E2_plantas!J46+G1889</x:f>
        <x:v>46234</x:v>
      </x:c>
      <x:c r="J1889" s="2" t="str">
        <x:v>muerta</x:v>
      </x:c>
      <x:c r="K1889" s="2" t="n">
        <x:v>0</x:v>
      </x:c>
      <x:c r="L1889" s="2" t="n">
        <x:v>0</x:v>
      </x:c>
      <x:c r="M1889" s="2" t="n">
        <x:f>SUM(L$1850:L1889)</x:f>
        <x:v>17</x:v>
      </x:c>
      <x:c r="N1889" s="2" t="n">
        <x:v>0</x:v>
      </x:c>
      <x:c r="O1889" s="2" t="str">
        <x:v>relleno_postmuerte</x:v>
      </x:c>
      <x:c r="P1889" s="2" t="n">
        <x:v>0</x:v>
      </x:c>
      <x:c r="Q1889" s="2" t="str">
        <x:v>simulado_didactico</x:v>
      </x:c>
    </x:row>
    <x:row r="1890" ht="19" customHeight="1">
      <x:c r="A1890" s="2" t="str">
        <x:v>SIM-E2-BB-L8-R07</x:v>
      </x:c>
      <x:c r="B1890" s="2" t="n">
        <x:v>4</x:v>
      </x:c>
      <x:c r="C1890" s="2" t="str">
        <x:v>BB</x:v>
      </x:c>
      <x:c r="D1890" s="2" t="str">
        <x:v>Brevicoryne brassicae</x:v>
      </x:c>
      <x:c r="E1890" s="2" t="str">
        <x:v>L8</x:v>
      </x:c>
      <x:c r="F1890" s="2" t="n">
        <x:v>7</x:v>
      </x:c>
      <x:c r="G1890" s="2" t="n">
        <x:v>40</x:v>
      </x:c>
      <x:c r="H1890" s="2" t="n">
        <x:f>G1890+Supuestos!$C$15</x:f>
        <x:v>41</x:v>
      </x:c>
      <x:c r="I1890" s="14" t="n">
        <x:f>E2_plantas!J46+G1890</x:f>
        <x:v>46235</x:v>
      </x:c>
      <x:c r="J1890" s="2" t="str">
        <x:v>muerta</x:v>
      </x:c>
      <x:c r="K1890" s="2" t="n">
        <x:v>0</x:v>
      </x:c>
      <x:c r="L1890" s="2" t="n">
        <x:v>0</x:v>
      </x:c>
      <x:c r="M1890" s="2" t="n">
        <x:f>SUM(L$1850:L1890)</x:f>
        <x:v>17</x:v>
      </x:c>
      <x:c r="N1890" s="2" t="n">
        <x:v>0</x:v>
      </x:c>
      <x:c r="O1890" s="2" t="str">
        <x:v>relleno_postmuerte</x:v>
      </x:c>
      <x:c r="P1890" s="2" t="n">
        <x:v>0</x:v>
      </x:c>
      <x:c r="Q1890" s="2" t="str">
        <x:v>simulado_didactico</x:v>
      </x:c>
    </x:row>
    <x:row r="1891" ht="19" customHeight="1">
      <x:c r="A1891" s="2" t="str">
        <x:v>SIM-E2-BB-L8-R07</x:v>
      </x:c>
      <x:c r="B1891" s="2" t="n">
        <x:v>4</x:v>
      </x:c>
      <x:c r="C1891" s="2" t="str">
        <x:v>BB</x:v>
      </x:c>
      <x:c r="D1891" s="2" t="str">
        <x:v>Brevicoryne brassicae</x:v>
      </x:c>
      <x:c r="E1891" s="2" t="str">
        <x:v>L8</x:v>
      </x:c>
      <x:c r="F1891" s="2" t="n">
        <x:v>7</x:v>
      </x:c>
      <x:c r="G1891" s="2" t="n">
        <x:v>41</x:v>
      </x:c>
      <x:c r="H1891" s="2" t="n">
        <x:f>G1891+Supuestos!$C$15</x:f>
        <x:v>42</x:v>
      </x:c>
      <x:c r="I1891" s="14" t="n">
        <x:f>E2_plantas!J46+G1891</x:f>
        <x:v>46236</x:v>
      </x:c>
      <x:c r="J1891" s="2" t="str">
        <x:v>muerta</x:v>
      </x:c>
      <x:c r="K1891" s="2" t="n">
        <x:v>0</x:v>
      </x:c>
      <x:c r="L1891" s="2" t="n">
        <x:v>0</x:v>
      </x:c>
      <x:c r="M1891" s="2" t="n">
        <x:f>SUM(L$1850:L1891)</x:f>
        <x:v>17</x:v>
      </x:c>
      <x:c r="N1891" s="2" t="n">
        <x:v>0</x:v>
      </x:c>
      <x:c r="O1891" s="2" t="str">
        <x:v>relleno_postmuerte</x:v>
      </x:c>
      <x:c r="P1891" s="2" t="n">
        <x:v>0</x:v>
      </x:c>
      <x:c r="Q1891" s="2" t="str">
        <x:v>simulado_didactico</x:v>
      </x:c>
    </x:row>
    <x:row r="1892" ht="19" customHeight="1">
      <x:c r="A1892" s="2" t="str">
        <x:v>SIM-E2-BB-L8-R08</x:v>
      </x:c>
      <x:c r="B1892" s="2" t="n">
        <x:v>4</x:v>
      </x:c>
      <x:c r="C1892" s="2" t="str">
        <x:v>BB</x:v>
      </x:c>
      <x:c r="D1892" s="2" t="str">
        <x:v>Brevicoryne brassicae</x:v>
      </x:c>
      <x:c r="E1892" s="2" t="str">
        <x:v>L8</x:v>
      </x:c>
      <x:c r="F1892" s="2" t="n">
        <x:v>8</x:v>
      </x:c>
      <x:c r="G1892" s="2" t="n">
        <x:v>0</x:v>
      </x:c>
      <x:c r="H1892" s="2" t="n">
        <x:f>G1892+Supuestos!$C$15</x:f>
        <x:v>1</x:v>
      </x:c>
      <x:c r="I1892" s="14" t="n">
        <x:f>E2_plantas!J47+G1892</x:f>
        <x:v>46195</x:v>
      </x:c>
      <x:c r="J1892" s="2" t="str">
        <x:v>N1</x:v>
      </x:c>
      <x:c r="K1892" s="2" t="n">
        <x:v>1</x:v>
      </x:c>
      <x:c r="L1892" s="2" t="n">
        <x:v>0</x:v>
      </x:c>
      <x:c r="M1892" s="2" t="n">
        <x:f>SUM(L$1892:L1892)</x:f>
        <x:v>0</x:v>
      </x:c>
      <x:c r="N1892" s="2" t="n">
        <x:v>0</x:v>
      </x:c>
      <x:c r="O1892" s="2" t="str">
        <x:v>seguimiento</x:v>
      </x:c>
      <x:c r="P1892" s="2" t="n">
        <x:v>0</x:v>
      </x:c>
      <x:c r="Q1892" s="2" t="str">
        <x:v>simulado_didactico</x:v>
      </x:c>
    </x:row>
    <x:row r="1893" ht="19" customHeight="1">
      <x:c r="A1893" s="2" t="str">
        <x:v>SIM-E2-BB-L8-R08</x:v>
      </x:c>
      <x:c r="B1893" s="2" t="n">
        <x:v>4</x:v>
      </x:c>
      <x:c r="C1893" s="2" t="str">
        <x:v>BB</x:v>
      </x:c>
      <x:c r="D1893" s="2" t="str">
        <x:v>Brevicoryne brassicae</x:v>
      </x:c>
      <x:c r="E1893" s="2" t="str">
        <x:v>L8</x:v>
      </x:c>
      <x:c r="F1893" s="2" t="n">
        <x:v>8</x:v>
      </x:c>
      <x:c r="G1893" s="2" t="n">
        <x:v>1</x:v>
      </x:c>
      <x:c r="H1893" s="2" t="n">
        <x:f>G1893+Supuestos!$C$15</x:f>
        <x:v>2</x:v>
      </x:c>
      <x:c r="I1893" s="14" t="n">
        <x:f>E2_plantas!J47+G1893</x:f>
        <x:v>46196</x:v>
      </x:c>
      <x:c r="J1893" s="2" t="str">
        <x:v>N2</x:v>
      </x:c>
      <x:c r="K1893" s="2" t="n">
        <x:v>1</x:v>
      </x:c>
      <x:c r="L1893" s="2" t="n">
        <x:v>0</x:v>
      </x:c>
      <x:c r="M1893" s="2" t="n">
        <x:f>SUM(L$1892:L1893)</x:f>
        <x:v>0</x:v>
      </x:c>
      <x:c r="N1893" s="2" t="n">
        <x:v>0</x:v>
      </x:c>
      <x:c r="O1893" s="2" t="str">
        <x:v>seguimiento</x:v>
      </x:c>
      <x:c r="P1893" s="2" t="n">
        <x:v>0</x:v>
      </x:c>
      <x:c r="Q1893" s="2" t="str">
        <x:v>simulado_didactico</x:v>
      </x:c>
    </x:row>
    <x:row r="1894" ht="19" customHeight="1">
      <x:c r="A1894" s="2" t="str">
        <x:v>SIM-E2-BB-L8-R08</x:v>
      </x:c>
      <x:c r="B1894" s="2" t="n">
        <x:v>4</x:v>
      </x:c>
      <x:c r="C1894" s="2" t="str">
        <x:v>BB</x:v>
      </x:c>
      <x:c r="D1894" s="2" t="str">
        <x:v>Brevicoryne brassicae</x:v>
      </x:c>
      <x:c r="E1894" s="2" t="str">
        <x:v>L8</x:v>
      </x:c>
      <x:c r="F1894" s="2" t="n">
        <x:v>8</x:v>
      </x:c>
      <x:c r="G1894" s="2" t="n">
        <x:v>2</x:v>
      </x:c>
      <x:c r="H1894" s="2" t="n">
        <x:f>G1894+Supuestos!$C$15</x:f>
        <x:v>3</x:v>
      </x:c>
      <x:c r="I1894" s="14" t="n">
        <x:f>E2_plantas!J47+G1894</x:f>
        <x:v>46197</x:v>
      </x:c>
      <x:c r="J1894" s="2" t="str">
        <x:v>N2</x:v>
      </x:c>
      <x:c r="K1894" s="2" t="n">
        <x:v>1</x:v>
      </x:c>
      <x:c r="L1894" s="2" t="n">
        <x:v>0</x:v>
      </x:c>
      <x:c r="M1894" s="2" t="n">
        <x:f>SUM(L$1892:L1894)</x:f>
        <x:v>0</x:v>
      </x:c>
      <x:c r="N1894" s="2" t="n">
        <x:v>0</x:v>
      </x:c>
      <x:c r="O1894" s="2" t="str">
        <x:v>seguimiento</x:v>
      </x:c>
      <x:c r="P1894" s="2" t="n">
        <x:v>0</x:v>
      </x:c>
      <x:c r="Q1894" s="2" t="str">
        <x:v>simulado_didactico</x:v>
      </x:c>
    </x:row>
    <x:row r="1895" ht="19" customHeight="1">
      <x:c r="A1895" s="2" t="str">
        <x:v>SIM-E2-BB-L8-R08</x:v>
      </x:c>
      <x:c r="B1895" s="2" t="n">
        <x:v>4</x:v>
      </x:c>
      <x:c r="C1895" s="2" t="str">
        <x:v>BB</x:v>
      </x:c>
      <x:c r="D1895" s="2" t="str">
        <x:v>Brevicoryne brassicae</x:v>
      </x:c>
      <x:c r="E1895" s="2" t="str">
        <x:v>L8</x:v>
      </x:c>
      <x:c r="F1895" s="2" t="n">
        <x:v>8</x:v>
      </x:c>
      <x:c r="G1895" s="2" t="n">
        <x:v>3</x:v>
      </x:c>
      <x:c r="H1895" s="2" t="n">
        <x:f>G1895+Supuestos!$C$15</x:f>
        <x:v>4</x:v>
      </x:c>
      <x:c r="I1895" s="14" t="n">
        <x:f>E2_plantas!J47+G1895</x:f>
        <x:v>46198</x:v>
      </x:c>
      <x:c r="J1895" s="2" t="str">
        <x:v>N3</x:v>
      </x:c>
      <x:c r="K1895" s="2" t="n">
        <x:v>1</x:v>
      </x:c>
      <x:c r="L1895" s="2" t="n">
        <x:v>0</x:v>
      </x:c>
      <x:c r="M1895" s="2" t="n">
        <x:f>SUM(L$1892:L1895)</x:f>
        <x:v>0</x:v>
      </x:c>
      <x:c r="N1895" s="2" t="n">
        <x:v>0</x:v>
      </x:c>
      <x:c r="O1895" s="2" t="str">
        <x:v>seguimiento</x:v>
      </x:c>
      <x:c r="P1895" s="2" t="n">
        <x:v>0</x:v>
      </x:c>
      <x:c r="Q1895" s="2" t="str">
        <x:v>simulado_didactico</x:v>
      </x:c>
    </x:row>
    <x:row r="1896" ht="19" customHeight="1">
      <x:c r="A1896" s="2" t="str">
        <x:v>SIM-E2-BB-L8-R08</x:v>
      </x:c>
      <x:c r="B1896" s="2" t="n">
        <x:v>4</x:v>
      </x:c>
      <x:c r="C1896" s="2" t="str">
        <x:v>BB</x:v>
      </x:c>
      <x:c r="D1896" s="2" t="str">
        <x:v>Brevicoryne brassicae</x:v>
      </x:c>
      <x:c r="E1896" s="2" t="str">
        <x:v>L8</x:v>
      </x:c>
      <x:c r="F1896" s="2" t="n">
        <x:v>8</x:v>
      </x:c>
      <x:c r="G1896" s="2" t="n">
        <x:v>4</x:v>
      </x:c>
      <x:c r="H1896" s="2" t="n">
        <x:f>G1896+Supuestos!$C$15</x:f>
        <x:v>5</x:v>
      </x:c>
      <x:c r="I1896" s="14" t="n">
        <x:f>E2_plantas!J47+G1896</x:f>
        <x:v>46199</x:v>
      </x:c>
      <x:c r="J1896" s="2" t="str">
        <x:v>N3</x:v>
      </x:c>
      <x:c r="K1896" s="2" t="n">
        <x:v>1</x:v>
      </x:c>
      <x:c r="L1896" s="2" t="n">
        <x:v>0</x:v>
      </x:c>
      <x:c r="M1896" s="2" t="n">
        <x:f>SUM(L$1892:L1896)</x:f>
        <x:v>0</x:v>
      </x:c>
      <x:c r="N1896" s="2" t="n">
        <x:v>0</x:v>
      </x:c>
      <x:c r="O1896" s="2" t="str">
        <x:v>seguimiento</x:v>
      </x:c>
      <x:c r="P1896" s="2" t="n">
        <x:v>0</x:v>
      </x:c>
      <x:c r="Q1896" s="2" t="str">
        <x:v>simulado_didactico</x:v>
      </x:c>
    </x:row>
    <x:row r="1897" ht="19" customHeight="1">
      <x:c r="A1897" s="2" t="str">
        <x:v>SIM-E2-BB-L8-R08</x:v>
      </x:c>
      <x:c r="B1897" s="2" t="n">
        <x:v>4</x:v>
      </x:c>
      <x:c r="C1897" s="2" t="str">
        <x:v>BB</x:v>
      </x:c>
      <x:c r="D1897" s="2" t="str">
        <x:v>Brevicoryne brassicae</x:v>
      </x:c>
      <x:c r="E1897" s="2" t="str">
        <x:v>L8</x:v>
      </x:c>
      <x:c r="F1897" s="2" t="n">
        <x:v>8</x:v>
      </x:c>
      <x:c r="G1897" s="2" t="n">
        <x:v>5</x:v>
      </x:c>
      <x:c r="H1897" s="2" t="n">
        <x:f>G1897+Supuestos!$C$15</x:f>
        <x:v>6</x:v>
      </x:c>
      <x:c r="I1897" s="14" t="n">
        <x:f>E2_plantas!J47+G1897</x:f>
        <x:v>46200</x:v>
      </x:c>
      <x:c r="J1897" s="2" t="str">
        <x:v>N4</x:v>
      </x:c>
      <x:c r="K1897" s="2" t="n">
        <x:v>1</x:v>
      </x:c>
      <x:c r="L1897" s="2" t="n">
        <x:v>0</x:v>
      </x:c>
      <x:c r="M1897" s="2" t="n">
        <x:f>SUM(L$1892:L1897)</x:f>
        <x:v>0</x:v>
      </x:c>
      <x:c r="N1897" s="2" t="n">
        <x:v>0</x:v>
      </x:c>
      <x:c r="O1897" s="2" t="str">
        <x:v>seguimiento</x:v>
      </x:c>
      <x:c r="P1897" s="2" t="n">
        <x:v>0</x:v>
      </x:c>
      <x:c r="Q1897" s="2" t="str">
        <x:v>simulado_didactico</x:v>
      </x:c>
    </x:row>
    <x:row r="1898" ht="19" customHeight="1">
      <x:c r="A1898" s="2" t="str">
        <x:v>SIM-E2-BB-L8-R08</x:v>
      </x:c>
      <x:c r="B1898" s="2" t="n">
        <x:v>4</x:v>
      </x:c>
      <x:c r="C1898" s="2" t="str">
        <x:v>BB</x:v>
      </x:c>
      <x:c r="D1898" s="2" t="str">
        <x:v>Brevicoryne brassicae</x:v>
      </x:c>
      <x:c r="E1898" s="2" t="str">
        <x:v>L8</x:v>
      </x:c>
      <x:c r="F1898" s="2" t="n">
        <x:v>8</x:v>
      </x:c>
      <x:c r="G1898" s="2" t="n">
        <x:v>6</x:v>
      </x:c>
      <x:c r="H1898" s="2" t="n">
        <x:f>G1898+Supuestos!$C$15</x:f>
        <x:v>7</x:v>
      </x:c>
      <x:c r="I1898" s="14" t="n">
        <x:f>E2_plantas!J47+G1898</x:f>
        <x:v>46201</x:v>
      </x:c>
      <x:c r="J1898" s="2" t="str">
        <x:v>N4</x:v>
      </x:c>
      <x:c r="K1898" s="2" t="n">
        <x:v>1</x:v>
      </x:c>
      <x:c r="L1898" s="2" t="n">
        <x:v>0</x:v>
      </x:c>
      <x:c r="M1898" s="2" t="n">
        <x:f>SUM(L$1892:L1898)</x:f>
        <x:v>0</x:v>
      </x:c>
      <x:c r="N1898" s="2" t="n">
        <x:v>0</x:v>
      </x:c>
      <x:c r="O1898" s="2" t="str">
        <x:v>seguimiento</x:v>
      </x:c>
      <x:c r="P1898" s="2" t="n">
        <x:v>0</x:v>
      </x:c>
      <x:c r="Q1898" s="2" t="str">
        <x:v>simulado_didactico</x:v>
      </x:c>
    </x:row>
    <x:row r="1899" ht="19" customHeight="1">
      <x:c r="A1899" s="2" t="str">
        <x:v>SIM-E2-BB-L8-R08</x:v>
      </x:c>
      <x:c r="B1899" s="2" t="n">
        <x:v>4</x:v>
      </x:c>
      <x:c r="C1899" s="2" t="str">
        <x:v>BB</x:v>
      </x:c>
      <x:c r="D1899" s="2" t="str">
        <x:v>Brevicoryne brassicae</x:v>
      </x:c>
      <x:c r="E1899" s="2" t="str">
        <x:v>L8</x:v>
      </x:c>
      <x:c r="F1899" s="2" t="n">
        <x:v>8</x:v>
      </x:c>
      <x:c r="G1899" s="2" t="n">
        <x:v>7</x:v>
      </x:c>
      <x:c r="H1899" s="2" t="n">
        <x:f>G1899+Supuestos!$C$15</x:f>
        <x:v>8</x:v>
      </x:c>
      <x:c r="I1899" s="14" t="n">
        <x:f>E2_plantas!J47+G1899</x:f>
        <x:v>46202</x:v>
      </x:c>
      <x:c r="J1899" s="2" t="str">
        <x:v>N4</x:v>
      </x:c>
      <x:c r="K1899" s="2" t="n">
        <x:v>1</x:v>
      </x:c>
      <x:c r="L1899" s="2" t="n">
        <x:v>0</x:v>
      </x:c>
      <x:c r="M1899" s="2" t="n">
        <x:f>SUM(L$1892:L1899)</x:f>
        <x:v>0</x:v>
      </x:c>
      <x:c r="N1899" s="2" t="n">
        <x:v>0</x:v>
      </x:c>
      <x:c r="O1899" s="2" t="str">
        <x:v>seguimiento</x:v>
      </x:c>
      <x:c r="P1899" s="2" t="n">
        <x:v>0</x:v>
      </x:c>
      <x:c r="Q1899" s="2" t="str">
        <x:v>simulado_didactico</x:v>
      </x:c>
    </x:row>
    <x:row r="1900" ht="19" customHeight="1">
      <x:c r="A1900" s="2" t="str">
        <x:v>SIM-E2-BB-L8-R08</x:v>
      </x:c>
      <x:c r="B1900" s="2" t="n">
        <x:v>4</x:v>
      </x:c>
      <x:c r="C1900" s="2" t="str">
        <x:v>BB</x:v>
      </x:c>
      <x:c r="D1900" s="2" t="str">
        <x:v>Brevicoryne brassicae</x:v>
      </x:c>
      <x:c r="E1900" s="2" t="str">
        <x:v>L8</x:v>
      </x:c>
      <x:c r="F1900" s="2" t="n">
        <x:v>8</x:v>
      </x:c>
      <x:c r="G1900" s="2" t="n">
        <x:v>8</x:v>
      </x:c>
      <x:c r="H1900" s="2" t="n">
        <x:f>G1900+Supuestos!$C$15</x:f>
        <x:v>9</x:v>
      </x:c>
      <x:c r="I1900" s="14" t="n">
        <x:f>E2_plantas!J47+G1900</x:f>
        <x:v>46203</x:v>
      </x:c>
      <x:c r="J1900" s="2" t="str">
        <x:v>N4</x:v>
      </x:c>
      <x:c r="K1900" s="2" t="n">
        <x:v>1</x:v>
      </x:c>
      <x:c r="L1900" s="2" t="n">
        <x:v>0</x:v>
      </x:c>
      <x:c r="M1900" s="2" t="n">
        <x:f>SUM(L$1892:L1900)</x:f>
        <x:v>0</x:v>
      </x:c>
      <x:c r="N1900" s="2" t="n">
        <x:v>0</x:v>
      </x:c>
      <x:c r="O1900" s="2" t="str">
        <x:v>seguimiento</x:v>
      </x:c>
      <x:c r="P1900" s="2" t="n">
        <x:v>0</x:v>
      </x:c>
      <x:c r="Q1900" s="2" t="str">
        <x:v>simulado_didactico</x:v>
      </x:c>
    </x:row>
    <x:row r="1901" ht="19" customHeight="1">
      <x:c r="A1901" s="2" t="str">
        <x:v>SIM-E2-BB-L8-R08</x:v>
      </x:c>
      <x:c r="B1901" s="2" t="n">
        <x:v>4</x:v>
      </x:c>
      <x:c r="C1901" s="2" t="str">
        <x:v>BB</x:v>
      </x:c>
      <x:c r="D1901" s="2" t="str">
        <x:v>Brevicoryne brassicae</x:v>
      </x:c>
      <x:c r="E1901" s="2" t="str">
        <x:v>L8</x:v>
      </x:c>
      <x:c r="F1901" s="2" t="n">
        <x:v>8</x:v>
      </x:c>
      <x:c r="G1901" s="2" t="n">
        <x:v>9</x:v>
      </x:c>
      <x:c r="H1901" s="2" t="n">
        <x:f>G1901+Supuestos!$C$15</x:f>
        <x:v>10</x:v>
      </x:c>
      <x:c r="I1901" s="14" t="n">
        <x:f>E2_plantas!J47+G1901</x:f>
        <x:v>46204</x:v>
      </x:c>
      <x:c r="J1901" s="2" t="str">
        <x:v>adulta</x:v>
      </x:c>
      <x:c r="K1901" s="2" t="n">
        <x:v>1</x:v>
      </x:c>
      <x:c r="L1901" s="2" t="n">
        <x:v>0</x:v>
      </x:c>
      <x:c r="M1901" s="2" t="n">
        <x:f>SUM(L$1892:L1901)</x:f>
        <x:v>0</x:v>
      </x:c>
      <x:c r="N1901" s="2" t="n">
        <x:v>0</x:v>
      </x:c>
      <x:c r="O1901" s="2" t="str">
        <x:v>seguimiento</x:v>
      </x:c>
      <x:c r="P1901" s="2" t="n">
        <x:v>0</x:v>
      </x:c>
      <x:c r="Q1901" s="2" t="str">
        <x:v>simulado_didactico</x:v>
      </x:c>
    </x:row>
    <x:row r="1902" ht="19" customHeight="1">
      <x:c r="A1902" s="2" t="str">
        <x:v>SIM-E2-BB-L8-R08</x:v>
      </x:c>
      <x:c r="B1902" s="2" t="n">
        <x:v>4</x:v>
      </x:c>
      <x:c r="C1902" s="2" t="str">
        <x:v>BB</x:v>
      </x:c>
      <x:c r="D1902" s="2" t="str">
        <x:v>Brevicoryne brassicae</x:v>
      </x:c>
      <x:c r="E1902" s="2" t="str">
        <x:v>L8</x:v>
      </x:c>
      <x:c r="F1902" s="2" t="n">
        <x:v>8</x:v>
      </x:c>
      <x:c r="G1902" s="2" t="n">
        <x:v>10</x:v>
      </x:c>
      <x:c r="H1902" s="2" t="n">
        <x:f>G1902+Supuestos!$C$15</x:f>
        <x:v>11</x:v>
      </x:c>
      <x:c r="I1902" s="14" t="n">
        <x:f>E2_plantas!J47+G1902</x:f>
        <x:v>46205</x:v>
      </x:c>
      <x:c r="J1902" s="2" t="str">
        <x:v>adulta</x:v>
      </x:c>
      <x:c r="K1902" s="2" t="n">
        <x:v>1</x:v>
      </x:c>
      <x:c r="L1902" s="2" t="n">
        <x:v>0</x:v>
      </x:c>
      <x:c r="M1902" s="2" t="n">
        <x:f>SUM(L$1892:L1902)</x:f>
        <x:v>0</x:v>
      </x:c>
      <x:c r="N1902" s="2" t="n">
        <x:v>0</x:v>
      </x:c>
      <x:c r="O1902" s="2" t="str">
        <x:v>seguimiento</x:v>
      </x:c>
      <x:c r="P1902" s="2" t="n">
        <x:v>0</x:v>
      </x:c>
      <x:c r="Q1902" s="2" t="str">
        <x:v>simulado_didactico</x:v>
      </x:c>
    </x:row>
    <x:row r="1903" ht="19" customHeight="1">
      <x:c r="A1903" s="2" t="str">
        <x:v>SIM-E2-BB-L8-R08</x:v>
      </x:c>
      <x:c r="B1903" s="2" t="n">
        <x:v>4</x:v>
      </x:c>
      <x:c r="C1903" s="2" t="str">
        <x:v>BB</x:v>
      </x:c>
      <x:c r="D1903" s="2" t="str">
        <x:v>Brevicoryne brassicae</x:v>
      </x:c>
      <x:c r="E1903" s="2" t="str">
        <x:v>L8</x:v>
      </x:c>
      <x:c r="F1903" s="2" t="n">
        <x:v>8</x:v>
      </x:c>
      <x:c r="G1903" s="2" t="n">
        <x:v>11</x:v>
      </x:c>
      <x:c r="H1903" s="2" t="n">
        <x:f>G1903+Supuestos!$C$15</x:f>
        <x:v>12</x:v>
      </x:c>
      <x:c r="I1903" s="14" t="n">
        <x:f>E2_plantas!J47+G1903</x:f>
        <x:v>46206</x:v>
      </x:c>
      <x:c r="J1903" s="2" t="str">
        <x:v>adulta</x:v>
      </x:c>
      <x:c r="K1903" s="2" t="n">
        <x:v>1</x:v>
      </x:c>
      <x:c r="L1903" s="2" t="n">
        <x:v>0</x:v>
      </x:c>
      <x:c r="M1903" s="2" t="n">
        <x:f>SUM(L$1892:L1903)</x:f>
        <x:v>0</x:v>
      </x:c>
      <x:c r="N1903" s="2" t="n">
        <x:v>0</x:v>
      </x:c>
      <x:c r="O1903" s="2" t="str">
        <x:v>seguimiento</x:v>
      </x:c>
      <x:c r="P1903" s="2" t="n">
        <x:v>0</x:v>
      </x:c>
      <x:c r="Q1903" s="2" t="str">
        <x:v>simulado_didactico</x:v>
      </x:c>
    </x:row>
    <x:row r="1904" ht="19" customHeight="1">
      <x:c r="A1904" s="2" t="str">
        <x:v>SIM-E2-BB-L8-R08</x:v>
      </x:c>
      <x:c r="B1904" s="2" t="n">
        <x:v>4</x:v>
      </x:c>
      <x:c r="C1904" s="2" t="str">
        <x:v>BB</x:v>
      </x:c>
      <x:c r="D1904" s="2" t="str">
        <x:v>Brevicoryne brassicae</x:v>
      </x:c>
      <x:c r="E1904" s="2" t="str">
        <x:v>L8</x:v>
      </x:c>
      <x:c r="F1904" s="2" t="n">
        <x:v>8</x:v>
      </x:c>
      <x:c r="G1904" s="2" t="n">
        <x:v>12</x:v>
      </x:c>
      <x:c r="H1904" s="2" t="n">
        <x:f>G1904+Supuestos!$C$15</x:f>
        <x:v>13</x:v>
      </x:c>
      <x:c r="I1904" s="14" t="n">
        <x:f>E2_plantas!J47+G1904</x:f>
        <x:v>46207</x:v>
      </x:c>
      <x:c r="J1904" s="2" t="str">
        <x:v>adulta</x:v>
      </x:c>
      <x:c r="K1904" s="2" t="n">
        <x:v>1</x:v>
      </x:c>
      <x:c r="L1904" s="2" t="n">
        <x:v>4</x:v>
      </x:c>
      <x:c r="M1904" s="2" t="n">
        <x:f>SUM(L$1892:L1904)</x:f>
        <x:v>4</x:v>
      </x:c>
      <x:c r="N1904" s="2" t="n">
        <x:v>0</x:v>
      </x:c>
      <x:c r="O1904" s="2" t="str">
        <x:v>seguimiento</x:v>
      </x:c>
      <x:c r="P1904" s="2" t="n">
        <x:v>0</x:v>
      </x:c>
      <x:c r="Q1904" s="2" t="str">
        <x:v>simulado_didactico</x:v>
      </x:c>
    </x:row>
    <x:row r="1905" ht="19" customHeight="1">
      <x:c r="A1905" s="2" t="str">
        <x:v>SIM-E2-BB-L8-R08</x:v>
      </x:c>
      <x:c r="B1905" s="2" t="n">
        <x:v>4</x:v>
      </x:c>
      <x:c r="C1905" s="2" t="str">
        <x:v>BB</x:v>
      </x:c>
      <x:c r="D1905" s="2" t="str">
        <x:v>Brevicoryne brassicae</x:v>
      </x:c>
      <x:c r="E1905" s="2" t="str">
        <x:v>L8</x:v>
      </x:c>
      <x:c r="F1905" s="2" t="n">
        <x:v>8</x:v>
      </x:c>
      <x:c r="G1905" s="2" t="n">
        <x:v>13</x:v>
      </x:c>
      <x:c r="H1905" s="2" t="n">
        <x:f>G1905+Supuestos!$C$15</x:f>
        <x:v>14</x:v>
      </x:c>
      <x:c r="I1905" s="14" t="n">
        <x:f>E2_plantas!J47+G1905</x:f>
        <x:v>46208</x:v>
      </x:c>
      <x:c r="J1905" s="2" t="str">
        <x:v>adulta</x:v>
      </x:c>
      <x:c r="K1905" s="2" t="n">
        <x:v>1</x:v>
      </x:c>
      <x:c r="L1905" s="2" t="n">
        <x:v>2</x:v>
      </x:c>
      <x:c r="M1905" s="2" t="n">
        <x:f>SUM(L$1892:L1905)</x:f>
        <x:v>6</x:v>
      </x:c>
      <x:c r="N1905" s="2" t="n">
        <x:v>0</x:v>
      </x:c>
      <x:c r="O1905" s="2" t="str">
        <x:v>seguimiento</x:v>
      </x:c>
      <x:c r="P1905" s="2" t="n">
        <x:v>0</x:v>
      </x:c>
      <x:c r="Q1905" s="2" t="str">
        <x:v>simulado_didactico</x:v>
      </x:c>
    </x:row>
    <x:row r="1906" ht="19" customHeight="1">
      <x:c r="A1906" s="2" t="str">
        <x:v>SIM-E2-BB-L8-R08</x:v>
      </x:c>
      <x:c r="B1906" s="2" t="n">
        <x:v>4</x:v>
      </x:c>
      <x:c r="C1906" s="2" t="str">
        <x:v>BB</x:v>
      </x:c>
      <x:c r="D1906" s="2" t="str">
        <x:v>Brevicoryne brassicae</x:v>
      </x:c>
      <x:c r="E1906" s="2" t="str">
        <x:v>L8</x:v>
      </x:c>
      <x:c r="F1906" s="2" t="n">
        <x:v>8</x:v>
      </x:c>
      <x:c r="G1906" s="2" t="n">
        <x:v>14</x:v>
      </x:c>
      <x:c r="H1906" s="2" t="n">
        <x:f>G1906+Supuestos!$C$15</x:f>
        <x:v>15</x:v>
      </x:c>
      <x:c r="I1906" s="14" t="n">
        <x:f>E2_plantas!J47+G1906</x:f>
        <x:v>46209</x:v>
      </x:c>
      <x:c r="J1906" s="2" t="str">
        <x:v>adulta</x:v>
      </x:c>
      <x:c r="K1906" s="2" t="n">
        <x:v>1</x:v>
      </x:c>
      <x:c r="L1906" s="2" t="n">
        <x:v>3</x:v>
      </x:c>
      <x:c r="M1906" s="2" t="n">
        <x:f>SUM(L$1892:L1906)</x:f>
        <x:v>9</x:v>
      </x:c>
      <x:c r="N1906" s="2" t="n">
        <x:v>0</x:v>
      </x:c>
      <x:c r="O1906" s="2" t="str">
        <x:v>seguimiento</x:v>
      </x:c>
      <x:c r="P1906" s="2" t="n">
        <x:v>0</x:v>
      </x:c>
      <x:c r="Q1906" s="2" t="str">
        <x:v>simulado_didactico</x:v>
      </x:c>
    </x:row>
    <x:row r="1907" ht="19" customHeight="1">
      <x:c r="A1907" s="2" t="str">
        <x:v>SIM-E2-BB-L8-R08</x:v>
      </x:c>
      <x:c r="B1907" s="2" t="n">
        <x:v>4</x:v>
      </x:c>
      <x:c r="C1907" s="2" t="str">
        <x:v>BB</x:v>
      </x:c>
      <x:c r="D1907" s="2" t="str">
        <x:v>Brevicoryne brassicae</x:v>
      </x:c>
      <x:c r="E1907" s="2" t="str">
        <x:v>L8</x:v>
      </x:c>
      <x:c r="F1907" s="2" t="n">
        <x:v>8</x:v>
      </x:c>
      <x:c r="G1907" s="2" t="n">
        <x:v>15</x:v>
      </x:c>
      <x:c r="H1907" s="2" t="n">
        <x:f>G1907+Supuestos!$C$15</x:f>
        <x:v>16</x:v>
      </x:c>
      <x:c r="I1907" s="14" t="n">
        <x:f>E2_plantas!J47+G1907</x:f>
        <x:v>46210</x:v>
      </x:c>
      <x:c r="J1907" s="2" t="str">
        <x:v>adulta</x:v>
      </x:c>
      <x:c r="K1907" s="2" t="n">
        <x:v>1</x:v>
      </x:c>
      <x:c r="L1907" s="2" t="n">
        <x:v>4</x:v>
      </x:c>
      <x:c r="M1907" s="2" t="n">
        <x:f>SUM(L$1892:L1907)</x:f>
        <x:v>13</x:v>
      </x:c>
      <x:c r="N1907" s="2" t="n">
        <x:v>0</x:v>
      </x:c>
      <x:c r="O1907" s="2" t="str">
        <x:v>seguimiento</x:v>
      </x:c>
      <x:c r="P1907" s="2" t="n">
        <x:v>0</x:v>
      </x:c>
      <x:c r="Q1907" s="2" t="str">
        <x:v>simulado_didactico</x:v>
      </x:c>
    </x:row>
    <x:row r="1908" ht="19" customHeight="1">
      <x:c r="A1908" s="2" t="str">
        <x:v>SIM-E2-BB-L8-R08</x:v>
      </x:c>
      <x:c r="B1908" s="2" t="n">
        <x:v>4</x:v>
      </x:c>
      <x:c r="C1908" s="2" t="str">
        <x:v>BB</x:v>
      </x:c>
      <x:c r="D1908" s="2" t="str">
        <x:v>Brevicoryne brassicae</x:v>
      </x:c>
      <x:c r="E1908" s="2" t="str">
        <x:v>L8</x:v>
      </x:c>
      <x:c r="F1908" s="2" t="n">
        <x:v>8</x:v>
      </x:c>
      <x:c r="G1908" s="2" t="n">
        <x:v>16</x:v>
      </x:c>
      <x:c r="H1908" s="2" t="n">
        <x:f>G1908+Supuestos!$C$15</x:f>
        <x:v>17</x:v>
      </x:c>
      <x:c r="I1908" s="14" t="n">
        <x:f>E2_plantas!J47+G1908</x:f>
        <x:v>46211</x:v>
      </x:c>
      <x:c r="J1908" s="2" t="str">
        <x:v>adulta</x:v>
      </x:c>
      <x:c r="K1908" s="2" t="n">
        <x:v>1</x:v>
      </x:c>
      <x:c r="L1908" s="2" t="n">
        <x:v>1</x:v>
      </x:c>
      <x:c r="M1908" s="2" t="n">
        <x:f>SUM(L$1892:L1908)</x:f>
        <x:v>14</x:v>
      </x:c>
      <x:c r="N1908" s="2" t="n">
        <x:v>0</x:v>
      </x:c>
      <x:c r="O1908" s="2" t="str">
        <x:v>seguimiento</x:v>
      </x:c>
      <x:c r="P1908" s="2" t="n">
        <x:v>0</x:v>
      </x:c>
      <x:c r="Q1908" s="2" t="str">
        <x:v>simulado_didactico</x:v>
      </x:c>
    </x:row>
    <x:row r="1909" ht="19" customHeight="1">
      <x:c r="A1909" s="2" t="str">
        <x:v>SIM-E2-BB-L8-R08</x:v>
      </x:c>
      <x:c r="B1909" s="2" t="n">
        <x:v>4</x:v>
      </x:c>
      <x:c r="C1909" s="2" t="str">
        <x:v>BB</x:v>
      </x:c>
      <x:c r="D1909" s="2" t="str">
        <x:v>Brevicoryne brassicae</x:v>
      </x:c>
      <x:c r="E1909" s="2" t="str">
        <x:v>L8</x:v>
      </x:c>
      <x:c r="F1909" s="2" t="n">
        <x:v>8</x:v>
      </x:c>
      <x:c r="G1909" s="2" t="n">
        <x:v>17</x:v>
      </x:c>
      <x:c r="H1909" s="2" t="n">
        <x:f>G1909+Supuestos!$C$15</x:f>
        <x:v>18</x:v>
      </x:c>
      <x:c r="I1909" s="14" t="n">
        <x:f>E2_plantas!J47+G1909</x:f>
        <x:v>46212</x:v>
      </x:c>
      <x:c r="J1909" s="2" t="str">
        <x:v>adulta</x:v>
      </x:c>
      <x:c r="K1909" s="2" t="n">
        <x:v>1</x:v>
      </x:c>
      <x:c r="L1909" s="2" t="n">
        <x:v>3</x:v>
      </x:c>
      <x:c r="M1909" s="2" t="n">
        <x:f>SUM(L$1892:L1909)</x:f>
        <x:v>17</x:v>
      </x:c>
      <x:c r="N1909" s="2" t="n">
        <x:v>0</x:v>
      </x:c>
      <x:c r="O1909" s="2" t="str">
        <x:v>seguimiento</x:v>
      </x:c>
      <x:c r="P1909" s="2" t="n">
        <x:v>0</x:v>
      </x:c>
      <x:c r="Q1909" s="2" t="str">
        <x:v>simulado_didactico</x:v>
      </x:c>
    </x:row>
    <x:row r="1910" ht="19" customHeight="1">
      <x:c r="A1910" s="2" t="str">
        <x:v>SIM-E2-BB-L8-R08</x:v>
      </x:c>
      <x:c r="B1910" s="2" t="n">
        <x:v>4</x:v>
      </x:c>
      <x:c r="C1910" s="2" t="str">
        <x:v>BB</x:v>
      </x:c>
      <x:c r="D1910" s="2" t="str">
        <x:v>Brevicoryne brassicae</x:v>
      </x:c>
      <x:c r="E1910" s="2" t="str">
        <x:v>L8</x:v>
      </x:c>
      <x:c r="F1910" s="2" t="n">
        <x:v>8</x:v>
      </x:c>
      <x:c r="G1910" s="2" t="n">
        <x:v>18</x:v>
      </x:c>
      <x:c r="H1910" s="2" t="n">
        <x:f>G1910+Supuestos!$C$15</x:f>
        <x:v>19</x:v>
      </x:c>
      <x:c r="I1910" s="14" t="n">
        <x:f>E2_plantas!J47+G1910</x:f>
        <x:v>46213</x:v>
      </x:c>
      <x:c r="J1910" s="2" t="str">
        <x:v>adulta</x:v>
      </x:c>
      <x:c r="K1910" s="2" t="n">
        <x:v>1</x:v>
      </x:c>
      <x:c r="L1910" s="2" t="n">
        <x:v>3</x:v>
      </x:c>
      <x:c r="M1910" s="2" t="n">
        <x:f>SUM(L$1892:L1910)</x:f>
        <x:v>20</x:v>
      </x:c>
      <x:c r="N1910" s="2" t="n">
        <x:v>0</x:v>
      </x:c>
      <x:c r="O1910" s="2" t="str">
        <x:v>seguimiento</x:v>
      </x:c>
      <x:c r="P1910" s="2" t="n">
        <x:v>0</x:v>
      </x:c>
      <x:c r="Q1910" s="2" t="str">
        <x:v>simulado_didactico</x:v>
      </x:c>
    </x:row>
    <x:row r="1911" ht="19" customHeight="1">
      <x:c r="A1911" s="2" t="str">
        <x:v>SIM-E2-BB-L8-R08</x:v>
      </x:c>
      <x:c r="B1911" s="2" t="n">
        <x:v>4</x:v>
      </x:c>
      <x:c r="C1911" s="2" t="str">
        <x:v>BB</x:v>
      </x:c>
      <x:c r="D1911" s="2" t="str">
        <x:v>Brevicoryne brassicae</x:v>
      </x:c>
      <x:c r="E1911" s="2" t="str">
        <x:v>L8</x:v>
      </x:c>
      <x:c r="F1911" s="2" t="n">
        <x:v>8</x:v>
      </x:c>
      <x:c r="G1911" s="2" t="n">
        <x:v>19</x:v>
      </x:c>
      <x:c r="H1911" s="2" t="n">
        <x:f>G1911+Supuestos!$C$15</x:f>
        <x:v>20</x:v>
      </x:c>
      <x:c r="I1911" s="14" t="n">
        <x:f>E2_plantas!J47+G1911</x:f>
        <x:v>46214</x:v>
      </x:c>
      <x:c r="J1911" s="2" t="str">
        <x:v>adulta</x:v>
      </x:c>
      <x:c r="K1911" s="2" t="n">
        <x:v>1</x:v>
      </x:c>
      <x:c r="L1911" s="2" t="n">
        <x:v>0</x:v>
      </x:c>
      <x:c r="M1911" s="2" t="n">
        <x:f>SUM(L$1892:L1911)</x:f>
        <x:v>20</x:v>
      </x:c>
      <x:c r="N1911" s="2" t="n">
        <x:v>0</x:v>
      </x:c>
      <x:c r="O1911" s="2" t="str">
        <x:v>seguimiento</x:v>
      </x:c>
      <x:c r="P1911" s="2" t="n">
        <x:v>0</x:v>
      </x:c>
      <x:c r="Q1911" s="2" t="str">
        <x:v>simulado_didactico</x:v>
      </x:c>
    </x:row>
    <x:row r="1912" ht="19" customHeight="1">
      <x:c r="A1912" s="2" t="str">
        <x:v>SIM-E2-BB-L8-R08</x:v>
      </x:c>
      <x:c r="B1912" s="2" t="n">
        <x:v>4</x:v>
      </x:c>
      <x:c r="C1912" s="2" t="str">
        <x:v>BB</x:v>
      </x:c>
      <x:c r="D1912" s="2" t="str">
        <x:v>Brevicoryne brassicae</x:v>
      </x:c>
      <x:c r="E1912" s="2" t="str">
        <x:v>L8</x:v>
      </x:c>
      <x:c r="F1912" s="2" t="n">
        <x:v>8</x:v>
      </x:c>
      <x:c r="G1912" s="2" t="n">
        <x:v>20</x:v>
      </x:c>
      <x:c r="H1912" s="2" t="n">
        <x:f>G1912+Supuestos!$C$15</x:f>
        <x:v>21</x:v>
      </x:c>
      <x:c r="I1912" s="14" t="n">
        <x:f>E2_plantas!J47+G1912</x:f>
        <x:v>46215</x:v>
      </x:c>
      <x:c r="J1912" s="2" t="str">
        <x:v>adulta</x:v>
      </x:c>
      <x:c r="K1912" s="2" t="n">
        <x:v>1</x:v>
      </x:c>
      <x:c r="L1912" s="2" t="n">
        <x:v>5</x:v>
      </x:c>
      <x:c r="M1912" s="2" t="n">
        <x:f>SUM(L$1892:L1912)</x:f>
        <x:v>25</x:v>
      </x:c>
      <x:c r="N1912" s="2" t="n">
        <x:v>0</x:v>
      </x:c>
      <x:c r="O1912" s="2" t="str">
        <x:v>seguimiento</x:v>
      </x:c>
      <x:c r="P1912" s="2" t="n">
        <x:v>0</x:v>
      </x:c>
      <x:c r="Q1912" s="2" t="str">
        <x:v>simulado_didactico</x:v>
      </x:c>
    </x:row>
    <x:row r="1913" ht="19" customHeight="1">
      <x:c r="A1913" s="2" t="str">
        <x:v>SIM-E2-BB-L8-R08</x:v>
      </x:c>
      <x:c r="B1913" s="2" t="n">
        <x:v>4</x:v>
      </x:c>
      <x:c r="C1913" s="2" t="str">
        <x:v>BB</x:v>
      </x:c>
      <x:c r="D1913" s="2" t="str">
        <x:v>Brevicoryne brassicae</x:v>
      </x:c>
      <x:c r="E1913" s="2" t="str">
        <x:v>L8</x:v>
      </x:c>
      <x:c r="F1913" s="2" t="n">
        <x:v>8</x:v>
      </x:c>
      <x:c r="G1913" s="2" t="n">
        <x:v>21</x:v>
      </x:c>
      <x:c r="H1913" s="2" t="n">
        <x:f>G1913+Supuestos!$C$15</x:f>
        <x:v>22</x:v>
      </x:c>
      <x:c r="I1913" s="14" t="n">
        <x:f>E2_plantas!J47+G1913</x:f>
        <x:v>46216</x:v>
      </x:c>
      <x:c r="J1913" s="2" t="str">
        <x:v>adulta</x:v>
      </x:c>
      <x:c r="K1913" s="2" t="n">
        <x:v>1</x:v>
      </x:c>
      <x:c r="L1913" s="2" t="n">
        <x:v>3</x:v>
      </x:c>
      <x:c r="M1913" s="2" t="n">
        <x:f>SUM(L$1892:L1913)</x:f>
        <x:v>28</x:v>
      </x:c>
      <x:c r="N1913" s="2" t="n">
        <x:v>0</x:v>
      </x:c>
      <x:c r="O1913" s="2" t="str">
        <x:v>seguimiento</x:v>
      </x:c>
      <x:c r="P1913" s="2" t="n">
        <x:v>0</x:v>
      </x:c>
      <x:c r="Q1913" s="2" t="str">
        <x:v>simulado_didactico</x:v>
      </x:c>
    </x:row>
    <x:row r="1914" ht="19" customHeight="1">
      <x:c r="A1914" s="2" t="str">
        <x:v>SIM-E2-BB-L8-R08</x:v>
      </x:c>
      <x:c r="B1914" s="2" t="n">
        <x:v>4</x:v>
      </x:c>
      <x:c r="C1914" s="2" t="str">
        <x:v>BB</x:v>
      </x:c>
      <x:c r="D1914" s="2" t="str">
        <x:v>Brevicoryne brassicae</x:v>
      </x:c>
      <x:c r="E1914" s="2" t="str">
        <x:v>L8</x:v>
      </x:c>
      <x:c r="F1914" s="2" t="n">
        <x:v>8</x:v>
      </x:c>
      <x:c r="G1914" s="2" t="n">
        <x:v>22</x:v>
      </x:c>
      <x:c r="H1914" s="2" t="n">
        <x:f>G1914+Supuestos!$C$15</x:f>
        <x:v>23</x:v>
      </x:c>
      <x:c r="I1914" s="14" t="n">
        <x:f>E2_plantas!J47+G1914</x:f>
        <x:v>46217</x:v>
      </x:c>
      <x:c r="J1914" s="2" t="str">
        <x:v>adulta</x:v>
      </x:c>
      <x:c r="K1914" s="2" t="n">
        <x:v>1</x:v>
      </x:c>
      <x:c r="L1914" s="2" t="n">
        <x:v>3</x:v>
      </x:c>
      <x:c r="M1914" s="2" t="n">
        <x:f>SUM(L$1892:L1914)</x:f>
        <x:v>31</x:v>
      </x:c>
      <x:c r="N1914" s="2" t="n">
        <x:v>0</x:v>
      </x:c>
      <x:c r="O1914" s="2" t="str">
        <x:v>seguimiento</x:v>
      </x:c>
      <x:c r="P1914" s="2" t="n">
        <x:v>0</x:v>
      </x:c>
      <x:c r="Q1914" s="2" t="str">
        <x:v>simulado_didactico</x:v>
      </x:c>
    </x:row>
    <x:row r="1915" ht="19" customHeight="1">
      <x:c r="A1915" s="2" t="str">
        <x:v>SIM-E2-BB-L8-R08</x:v>
      </x:c>
      <x:c r="B1915" s="2" t="n">
        <x:v>4</x:v>
      </x:c>
      <x:c r="C1915" s="2" t="str">
        <x:v>BB</x:v>
      </x:c>
      <x:c r="D1915" s="2" t="str">
        <x:v>Brevicoryne brassicae</x:v>
      </x:c>
      <x:c r="E1915" s="2" t="str">
        <x:v>L8</x:v>
      </x:c>
      <x:c r="F1915" s="2" t="n">
        <x:v>8</x:v>
      </x:c>
      <x:c r="G1915" s="2" t="n">
        <x:v>23</x:v>
      </x:c>
      <x:c r="H1915" s="2" t="n">
        <x:f>G1915+Supuestos!$C$15</x:f>
        <x:v>24</x:v>
      </x:c>
      <x:c r="I1915" s="14" t="n">
        <x:f>E2_plantas!J47+G1915</x:f>
        <x:v>46218</x:v>
      </x:c>
      <x:c r="J1915" s="2" t="str">
        <x:v>adulta</x:v>
      </x:c>
      <x:c r="K1915" s="2" t="n">
        <x:v>1</x:v>
      </x:c>
      <x:c r="L1915" s="2" t="n">
        <x:v>3</x:v>
      </x:c>
      <x:c r="M1915" s="2" t="n">
        <x:f>SUM(L$1892:L1915)</x:f>
        <x:v>34</x:v>
      </x:c>
      <x:c r="N1915" s="2" t="n">
        <x:v>0</x:v>
      </x:c>
      <x:c r="O1915" s="2" t="str">
        <x:v>seguimiento</x:v>
      </x:c>
      <x:c r="P1915" s="2" t="n">
        <x:v>0</x:v>
      </x:c>
      <x:c r="Q1915" s="2" t="str">
        <x:v>simulado_didactico</x:v>
      </x:c>
    </x:row>
    <x:row r="1916" ht="19" customHeight="1">
      <x:c r="A1916" s="2" t="str">
        <x:v>SIM-E2-BB-L8-R08</x:v>
      </x:c>
      <x:c r="B1916" s="2" t="n">
        <x:v>4</x:v>
      </x:c>
      <x:c r="C1916" s="2" t="str">
        <x:v>BB</x:v>
      </x:c>
      <x:c r="D1916" s="2" t="str">
        <x:v>Brevicoryne brassicae</x:v>
      </x:c>
      <x:c r="E1916" s="2" t="str">
        <x:v>L8</x:v>
      </x:c>
      <x:c r="F1916" s="2" t="n">
        <x:v>8</x:v>
      </x:c>
      <x:c r="G1916" s="2" t="n">
        <x:v>24</x:v>
      </x:c>
      <x:c r="H1916" s="2" t="n">
        <x:f>G1916+Supuestos!$C$15</x:f>
        <x:v>25</x:v>
      </x:c>
      <x:c r="I1916" s="14" t="n">
        <x:f>E2_plantas!J47+G1916</x:f>
        <x:v>46219</x:v>
      </x:c>
      <x:c r="J1916" s="2" t="str">
        <x:v>adulta</x:v>
      </x:c>
      <x:c r="K1916" s="2" t="n">
        <x:v>1</x:v>
      </x:c>
      <x:c r="L1916" s="2" t="n">
        <x:v>2</x:v>
      </x:c>
      <x:c r="M1916" s="2" t="n">
        <x:f>SUM(L$1892:L1916)</x:f>
        <x:v>36</x:v>
      </x:c>
      <x:c r="N1916" s="2" t="n">
        <x:v>0</x:v>
      </x:c>
      <x:c r="O1916" s="2" t="str">
        <x:v>seguimiento</x:v>
      </x:c>
      <x:c r="P1916" s="2" t="n">
        <x:v>0</x:v>
      </x:c>
      <x:c r="Q1916" s="2" t="str">
        <x:v>simulado_didactico</x:v>
      </x:c>
    </x:row>
    <x:row r="1917" ht="19" customHeight="1">
      <x:c r="A1917" s="2" t="str">
        <x:v>SIM-E2-BB-L8-R08</x:v>
      </x:c>
      <x:c r="B1917" s="2" t="n">
        <x:v>4</x:v>
      </x:c>
      <x:c r="C1917" s="2" t="str">
        <x:v>BB</x:v>
      </x:c>
      <x:c r="D1917" s="2" t="str">
        <x:v>Brevicoryne brassicae</x:v>
      </x:c>
      <x:c r="E1917" s="2" t="str">
        <x:v>L8</x:v>
      </x:c>
      <x:c r="F1917" s="2" t="n">
        <x:v>8</x:v>
      </x:c>
      <x:c r="G1917" s="2" t="n">
        <x:v>25</x:v>
      </x:c>
      <x:c r="H1917" s="2" t="n">
        <x:f>G1917+Supuestos!$C$15</x:f>
        <x:v>26</x:v>
      </x:c>
      <x:c r="I1917" s="14" t="n">
        <x:f>E2_plantas!J47+G1917</x:f>
        <x:v>46220</x:v>
      </x:c>
      <x:c r="J1917" s="2" t="str">
        <x:v>adulta</x:v>
      </x:c>
      <x:c r="K1917" s="2" t="n">
        <x:v>1</x:v>
      </x:c>
      <x:c r="L1917" s="2" t="n">
        <x:v>3</x:v>
      </x:c>
      <x:c r="M1917" s="2" t="n">
        <x:f>SUM(L$1892:L1917)</x:f>
        <x:v>39</x:v>
      </x:c>
      <x:c r="N1917" s="2" t="n">
        <x:v>0</x:v>
      </x:c>
      <x:c r="O1917" s="2" t="str">
        <x:v>seguimiento</x:v>
      </x:c>
      <x:c r="P1917" s="2" t="n">
        <x:v>0</x:v>
      </x:c>
      <x:c r="Q1917" s="2" t="str">
        <x:v>simulado_didactico</x:v>
      </x:c>
    </x:row>
    <x:row r="1918" ht="19" customHeight="1">
      <x:c r="A1918" s="2" t="str">
        <x:v>SIM-E2-BB-L8-R08</x:v>
      </x:c>
      <x:c r="B1918" s="2" t="n">
        <x:v>4</x:v>
      </x:c>
      <x:c r="C1918" s="2" t="str">
        <x:v>BB</x:v>
      </x:c>
      <x:c r="D1918" s="2" t="str">
        <x:v>Brevicoryne brassicae</x:v>
      </x:c>
      <x:c r="E1918" s="2" t="str">
        <x:v>L8</x:v>
      </x:c>
      <x:c r="F1918" s="2" t="n">
        <x:v>8</x:v>
      </x:c>
      <x:c r="G1918" s="2" t="n">
        <x:v>26</x:v>
      </x:c>
      <x:c r="H1918" s="2" t="n">
        <x:f>G1918+Supuestos!$C$15</x:f>
        <x:v>27</x:v>
      </x:c>
      <x:c r="I1918" s="14" t="n">
        <x:f>E2_plantas!J47+G1918</x:f>
        <x:v>46221</x:v>
      </x:c>
      <x:c r="J1918" s="2" t="str">
        <x:v>adulta</x:v>
      </x:c>
      <x:c r="K1918" s="2" t="n">
        <x:v>1</x:v>
      </x:c>
      <x:c r="L1918" s="2" t="n">
        <x:v>0</x:v>
      </x:c>
      <x:c r="M1918" s="2" t="n">
        <x:f>SUM(L$1892:L1918)</x:f>
        <x:v>39</x:v>
      </x:c>
      <x:c r="N1918" s="2" t="n">
        <x:v>0</x:v>
      </x:c>
      <x:c r="O1918" s="2" t="str">
        <x:v>seguimiento</x:v>
      </x:c>
      <x:c r="P1918" s="2" t="n">
        <x:v>0</x:v>
      </x:c>
      <x:c r="Q1918" s="2" t="str">
        <x:v>simulado_didactico</x:v>
      </x:c>
    </x:row>
    <x:row r="1919" ht="19" customHeight="1">
      <x:c r="A1919" s="2" t="str">
        <x:v>SIM-E2-BB-L8-R08</x:v>
      </x:c>
      <x:c r="B1919" s="2" t="n">
        <x:v>4</x:v>
      </x:c>
      <x:c r="C1919" s="2" t="str">
        <x:v>BB</x:v>
      </x:c>
      <x:c r="D1919" s="2" t="str">
        <x:v>Brevicoryne brassicae</x:v>
      </x:c>
      <x:c r="E1919" s="2" t="str">
        <x:v>L8</x:v>
      </x:c>
      <x:c r="F1919" s="2" t="n">
        <x:v>8</x:v>
      </x:c>
      <x:c r="G1919" s="2" t="n">
        <x:v>27</x:v>
      </x:c>
      <x:c r="H1919" s="2" t="n">
        <x:f>G1919+Supuestos!$C$15</x:f>
        <x:v>28</x:v>
      </x:c>
      <x:c r="I1919" s="14" t="n">
        <x:f>E2_plantas!J47+G1919</x:f>
        <x:v>46222</x:v>
      </x:c>
      <x:c r="J1919" s="2" t="str">
        <x:v>muerta</x:v>
      </x:c>
      <x:c r="K1919" s="2" t="n">
        <x:v>0</x:v>
      </x:c>
      <x:c r="L1919" s="2" t="n">
        <x:v>0</x:v>
      </x:c>
      <x:c r="M1919" s="2" t="n">
        <x:f>SUM(L$1892:L1919)</x:f>
        <x:v>39</x:v>
      </x:c>
      <x:c r="N1919" s="2" t="n">
        <x:v>1</x:v>
      </x:c>
      <x:c r="O1919" s="2" t="str">
        <x:v>muerte</x:v>
      </x:c>
      <x:c r="P1919" s="2" t="n">
        <x:v>0</x:v>
      </x:c>
      <x:c r="Q1919" s="2" t="str">
        <x:v>simulado_didactico</x:v>
      </x:c>
    </x:row>
    <x:row r="1920" ht="19" customHeight="1">
      <x:c r="A1920" s="2" t="str">
        <x:v>SIM-E2-BB-L8-R08</x:v>
      </x:c>
      <x:c r="B1920" s="2" t="n">
        <x:v>4</x:v>
      </x:c>
      <x:c r="C1920" s="2" t="str">
        <x:v>BB</x:v>
      </x:c>
      <x:c r="D1920" s="2" t="str">
        <x:v>Brevicoryne brassicae</x:v>
      </x:c>
      <x:c r="E1920" s="2" t="str">
        <x:v>L8</x:v>
      </x:c>
      <x:c r="F1920" s="2" t="n">
        <x:v>8</x:v>
      </x:c>
      <x:c r="G1920" s="2" t="n">
        <x:v>28</x:v>
      </x:c>
      <x:c r="H1920" s="2" t="n">
        <x:f>G1920+Supuestos!$C$15</x:f>
        <x:v>29</x:v>
      </x:c>
      <x:c r="I1920" s="14" t="n">
        <x:f>E2_plantas!J47+G1920</x:f>
        <x:v>46223</x:v>
      </x:c>
      <x:c r="J1920" s="2" t="str">
        <x:v>muerta</x:v>
      </x:c>
      <x:c r="K1920" s="2" t="n">
        <x:v>0</x:v>
      </x:c>
      <x:c r="L1920" s="2" t="n">
        <x:v>0</x:v>
      </x:c>
      <x:c r="M1920" s="2" t="n">
        <x:f>SUM(L$1892:L1920)</x:f>
        <x:v>39</x:v>
      </x:c>
      <x:c r="N1920" s="2" t="n">
        <x:v>0</x:v>
      </x:c>
      <x:c r="O1920" s="2" t="str">
        <x:v>relleno_postmuerte</x:v>
      </x:c>
      <x:c r="P1920" s="2" t="n">
        <x:v>0</x:v>
      </x:c>
      <x:c r="Q1920" s="2" t="str">
        <x:v>simulado_didactico</x:v>
      </x:c>
    </x:row>
    <x:row r="1921" ht="19" customHeight="1">
      <x:c r="A1921" s="2" t="str">
        <x:v>SIM-E2-BB-L8-R08</x:v>
      </x:c>
      <x:c r="B1921" s="2" t="n">
        <x:v>4</x:v>
      </x:c>
      <x:c r="C1921" s="2" t="str">
        <x:v>BB</x:v>
      </x:c>
      <x:c r="D1921" s="2" t="str">
        <x:v>Brevicoryne brassicae</x:v>
      </x:c>
      <x:c r="E1921" s="2" t="str">
        <x:v>L8</x:v>
      </x:c>
      <x:c r="F1921" s="2" t="n">
        <x:v>8</x:v>
      </x:c>
      <x:c r="G1921" s="2" t="n">
        <x:v>29</x:v>
      </x:c>
      <x:c r="H1921" s="2" t="n">
        <x:f>G1921+Supuestos!$C$15</x:f>
        <x:v>30</x:v>
      </x:c>
      <x:c r="I1921" s="14" t="n">
        <x:f>E2_plantas!J47+G1921</x:f>
        <x:v>46224</x:v>
      </x:c>
      <x:c r="J1921" s="2" t="str">
        <x:v>muerta</x:v>
      </x:c>
      <x:c r="K1921" s="2" t="n">
        <x:v>0</x:v>
      </x:c>
      <x:c r="L1921" s="2" t="n">
        <x:v>0</x:v>
      </x:c>
      <x:c r="M1921" s="2" t="n">
        <x:f>SUM(L$1892:L1921)</x:f>
        <x:v>39</x:v>
      </x:c>
      <x:c r="N1921" s="2" t="n">
        <x:v>0</x:v>
      </x:c>
      <x:c r="O1921" s="2" t="str">
        <x:v>relleno_postmuerte</x:v>
      </x:c>
      <x:c r="P1921" s="2" t="n">
        <x:v>0</x:v>
      </x:c>
      <x:c r="Q1921" s="2" t="str">
        <x:v>simulado_didactico</x:v>
      </x:c>
    </x:row>
    <x:row r="1922" ht="19" customHeight="1">
      <x:c r="A1922" s="2" t="str">
        <x:v>SIM-E2-BB-L8-R08</x:v>
      </x:c>
      <x:c r="B1922" s="2" t="n">
        <x:v>4</x:v>
      </x:c>
      <x:c r="C1922" s="2" t="str">
        <x:v>BB</x:v>
      </x:c>
      <x:c r="D1922" s="2" t="str">
        <x:v>Brevicoryne brassicae</x:v>
      </x:c>
      <x:c r="E1922" s="2" t="str">
        <x:v>L8</x:v>
      </x:c>
      <x:c r="F1922" s="2" t="n">
        <x:v>8</x:v>
      </x:c>
      <x:c r="G1922" s="2" t="n">
        <x:v>30</x:v>
      </x:c>
      <x:c r="H1922" s="2" t="n">
        <x:f>G1922+Supuestos!$C$15</x:f>
        <x:v>31</x:v>
      </x:c>
      <x:c r="I1922" s="14" t="n">
        <x:f>E2_plantas!J47+G1922</x:f>
        <x:v>46225</x:v>
      </x:c>
      <x:c r="J1922" s="2" t="str">
        <x:v>muerta</x:v>
      </x:c>
      <x:c r="K1922" s="2" t="n">
        <x:v>0</x:v>
      </x:c>
      <x:c r="L1922" s="2" t="n">
        <x:v>0</x:v>
      </x:c>
      <x:c r="M1922" s="2" t="n">
        <x:f>SUM(L$1892:L1922)</x:f>
        <x:v>39</x:v>
      </x:c>
      <x:c r="N1922" s="2" t="n">
        <x:v>0</x:v>
      </x:c>
      <x:c r="O1922" s="2" t="str">
        <x:v>relleno_postmuerte</x:v>
      </x:c>
      <x:c r="P1922" s="2" t="n">
        <x:v>0</x:v>
      </x:c>
      <x:c r="Q1922" s="2" t="str">
        <x:v>simulado_didactico</x:v>
      </x:c>
    </x:row>
    <x:row r="1923" ht="19" customHeight="1">
      <x:c r="A1923" s="2" t="str">
        <x:v>SIM-E2-BB-L8-R08</x:v>
      </x:c>
      <x:c r="B1923" s="2" t="n">
        <x:v>4</x:v>
      </x:c>
      <x:c r="C1923" s="2" t="str">
        <x:v>BB</x:v>
      </x:c>
      <x:c r="D1923" s="2" t="str">
        <x:v>Brevicoryne brassicae</x:v>
      </x:c>
      <x:c r="E1923" s="2" t="str">
        <x:v>L8</x:v>
      </x:c>
      <x:c r="F1923" s="2" t="n">
        <x:v>8</x:v>
      </x:c>
      <x:c r="G1923" s="2" t="n">
        <x:v>31</x:v>
      </x:c>
      <x:c r="H1923" s="2" t="n">
        <x:f>G1923+Supuestos!$C$15</x:f>
        <x:v>32</x:v>
      </x:c>
      <x:c r="I1923" s="14" t="n">
        <x:f>E2_plantas!J47+G1923</x:f>
        <x:v>46226</x:v>
      </x:c>
      <x:c r="J1923" s="2" t="str">
        <x:v>muerta</x:v>
      </x:c>
      <x:c r="K1923" s="2" t="n">
        <x:v>0</x:v>
      </x:c>
      <x:c r="L1923" s="2" t="n">
        <x:v>0</x:v>
      </x:c>
      <x:c r="M1923" s="2" t="n">
        <x:f>SUM(L$1892:L1923)</x:f>
        <x:v>39</x:v>
      </x:c>
      <x:c r="N1923" s="2" t="n">
        <x:v>0</x:v>
      </x:c>
      <x:c r="O1923" s="2" t="str">
        <x:v>relleno_postmuerte</x:v>
      </x:c>
      <x:c r="P1923" s="2" t="n">
        <x:v>0</x:v>
      </x:c>
      <x:c r="Q1923" s="2" t="str">
        <x:v>simulado_didactico</x:v>
      </x:c>
    </x:row>
    <x:row r="1924" ht="19" customHeight="1">
      <x:c r="A1924" s="2" t="str">
        <x:v>SIM-E2-BB-L8-R08</x:v>
      </x:c>
      <x:c r="B1924" s="2" t="n">
        <x:v>4</x:v>
      </x:c>
      <x:c r="C1924" s="2" t="str">
        <x:v>BB</x:v>
      </x:c>
      <x:c r="D1924" s="2" t="str">
        <x:v>Brevicoryne brassicae</x:v>
      </x:c>
      <x:c r="E1924" s="2" t="str">
        <x:v>L8</x:v>
      </x:c>
      <x:c r="F1924" s="2" t="n">
        <x:v>8</x:v>
      </x:c>
      <x:c r="G1924" s="2" t="n">
        <x:v>32</x:v>
      </x:c>
      <x:c r="H1924" s="2" t="n">
        <x:f>G1924+Supuestos!$C$15</x:f>
        <x:v>33</x:v>
      </x:c>
      <x:c r="I1924" s="14" t="n">
        <x:f>E2_plantas!J47+G1924</x:f>
        <x:v>46227</x:v>
      </x:c>
      <x:c r="J1924" s="2" t="str">
        <x:v>muerta</x:v>
      </x:c>
      <x:c r="K1924" s="2" t="n">
        <x:v>0</x:v>
      </x:c>
      <x:c r="L1924" s="2" t="n">
        <x:v>0</x:v>
      </x:c>
      <x:c r="M1924" s="2" t="n">
        <x:f>SUM(L$1892:L1924)</x:f>
        <x:v>39</x:v>
      </x:c>
      <x:c r="N1924" s="2" t="n">
        <x:v>0</x:v>
      </x:c>
      <x:c r="O1924" s="2" t="str">
        <x:v>relleno_postmuerte</x:v>
      </x:c>
      <x:c r="P1924" s="2" t="n">
        <x:v>0</x:v>
      </x:c>
      <x:c r="Q1924" s="2" t="str">
        <x:v>simulado_didactico</x:v>
      </x:c>
    </x:row>
    <x:row r="1925" ht="19" customHeight="1">
      <x:c r="A1925" s="2" t="str">
        <x:v>SIM-E2-BB-L8-R08</x:v>
      </x:c>
      <x:c r="B1925" s="2" t="n">
        <x:v>4</x:v>
      </x:c>
      <x:c r="C1925" s="2" t="str">
        <x:v>BB</x:v>
      </x:c>
      <x:c r="D1925" s="2" t="str">
        <x:v>Brevicoryne brassicae</x:v>
      </x:c>
      <x:c r="E1925" s="2" t="str">
        <x:v>L8</x:v>
      </x:c>
      <x:c r="F1925" s="2" t="n">
        <x:v>8</x:v>
      </x:c>
      <x:c r="G1925" s="2" t="n">
        <x:v>33</x:v>
      </x:c>
      <x:c r="H1925" s="2" t="n">
        <x:f>G1925+Supuestos!$C$15</x:f>
        <x:v>34</x:v>
      </x:c>
      <x:c r="I1925" s="14" t="n">
        <x:f>E2_plantas!J47+G1925</x:f>
        <x:v>46228</x:v>
      </x:c>
      <x:c r="J1925" s="2" t="str">
        <x:v>muerta</x:v>
      </x:c>
      <x:c r="K1925" s="2" t="n">
        <x:v>0</x:v>
      </x:c>
      <x:c r="L1925" s="2" t="n">
        <x:v>0</x:v>
      </x:c>
      <x:c r="M1925" s="2" t="n">
        <x:f>SUM(L$1892:L1925)</x:f>
        <x:v>39</x:v>
      </x:c>
      <x:c r="N1925" s="2" t="n">
        <x:v>0</x:v>
      </x:c>
      <x:c r="O1925" s="2" t="str">
        <x:v>relleno_postmuerte</x:v>
      </x:c>
      <x:c r="P1925" s="2" t="n">
        <x:v>0</x:v>
      </x:c>
      <x:c r="Q1925" s="2" t="str">
        <x:v>simulado_didactico</x:v>
      </x:c>
    </x:row>
    <x:row r="1926" ht="19" customHeight="1">
      <x:c r="A1926" s="2" t="str">
        <x:v>SIM-E2-BB-L8-R08</x:v>
      </x:c>
      <x:c r="B1926" s="2" t="n">
        <x:v>4</x:v>
      </x:c>
      <x:c r="C1926" s="2" t="str">
        <x:v>BB</x:v>
      </x:c>
      <x:c r="D1926" s="2" t="str">
        <x:v>Brevicoryne brassicae</x:v>
      </x:c>
      <x:c r="E1926" s="2" t="str">
        <x:v>L8</x:v>
      </x:c>
      <x:c r="F1926" s="2" t="n">
        <x:v>8</x:v>
      </x:c>
      <x:c r="G1926" s="2" t="n">
        <x:v>34</x:v>
      </x:c>
      <x:c r="H1926" s="2" t="n">
        <x:f>G1926+Supuestos!$C$15</x:f>
        <x:v>35</x:v>
      </x:c>
      <x:c r="I1926" s="14" t="n">
        <x:f>E2_plantas!J47+G1926</x:f>
        <x:v>46229</x:v>
      </x:c>
      <x:c r="J1926" s="2" t="str">
        <x:v>muerta</x:v>
      </x:c>
      <x:c r="K1926" s="2" t="n">
        <x:v>0</x:v>
      </x:c>
      <x:c r="L1926" s="2" t="n">
        <x:v>0</x:v>
      </x:c>
      <x:c r="M1926" s="2" t="n">
        <x:f>SUM(L$1892:L1926)</x:f>
        <x:v>39</x:v>
      </x:c>
      <x:c r="N1926" s="2" t="n">
        <x:v>0</x:v>
      </x:c>
      <x:c r="O1926" s="2" t="str">
        <x:v>relleno_postmuerte</x:v>
      </x:c>
      <x:c r="P1926" s="2" t="n">
        <x:v>0</x:v>
      </x:c>
      <x:c r="Q1926" s="2" t="str">
        <x:v>simulado_didactico</x:v>
      </x:c>
    </x:row>
    <x:row r="1927" ht="19" customHeight="1">
      <x:c r="A1927" s="2" t="str">
        <x:v>SIM-E2-BB-L8-R08</x:v>
      </x:c>
      <x:c r="B1927" s="2" t="n">
        <x:v>4</x:v>
      </x:c>
      <x:c r="C1927" s="2" t="str">
        <x:v>BB</x:v>
      </x:c>
      <x:c r="D1927" s="2" t="str">
        <x:v>Brevicoryne brassicae</x:v>
      </x:c>
      <x:c r="E1927" s="2" t="str">
        <x:v>L8</x:v>
      </x:c>
      <x:c r="F1927" s="2" t="n">
        <x:v>8</x:v>
      </x:c>
      <x:c r="G1927" s="2" t="n">
        <x:v>35</x:v>
      </x:c>
      <x:c r="H1927" s="2" t="n">
        <x:f>G1927+Supuestos!$C$15</x:f>
        <x:v>36</x:v>
      </x:c>
      <x:c r="I1927" s="14" t="n">
        <x:f>E2_plantas!J47+G1927</x:f>
        <x:v>46230</x:v>
      </x:c>
      <x:c r="J1927" s="2" t="str">
        <x:v>muerta</x:v>
      </x:c>
      <x:c r="K1927" s="2" t="n">
        <x:v>0</x:v>
      </x:c>
      <x:c r="L1927" s="2" t="n">
        <x:v>0</x:v>
      </x:c>
      <x:c r="M1927" s="2" t="n">
        <x:f>SUM(L$1892:L1927)</x:f>
        <x:v>39</x:v>
      </x:c>
      <x:c r="N1927" s="2" t="n">
        <x:v>0</x:v>
      </x:c>
      <x:c r="O1927" s="2" t="str">
        <x:v>relleno_postmuerte</x:v>
      </x:c>
      <x:c r="P1927" s="2" t="n">
        <x:v>0</x:v>
      </x:c>
      <x:c r="Q1927" s="2" t="str">
        <x:v>simulado_didactico</x:v>
      </x:c>
    </x:row>
    <x:row r="1928" ht="19" customHeight="1">
      <x:c r="A1928" s="2" t="str">
        <x:v>SIM-E2-BB-L8-R08</x:v>
      </x:c>
      <x:c r="B1928" s="2" t="n">
        <x:v>4</x:v>
      </x:c>
      <x:c r="C1928" s="2" t="str">
        <x:v>BB</x:v>
      </x:c>
      <x:c r="D1928" s="2" t="str">
        <x:v>Brevicoryne brassicae</x:v>
      </x:c>
      <x:c r="E1928" s="2" t="str">
        <x:v>L8</x:v>
      </x:c>
      <x:c r="F1928" s="2" t="n">
        <x:v>8</x:v>
      </x:c>
      <x:c r="G1928" s="2" t="n">
        <x:v>36</x:v>
      </x:c>
      <x:c r="H1928" s="2" t="n">
        <x:f>G1928+Supuestos!$C$15</x:f>
        <x:v>37</x:v>
      </x:c>
      <x:c r="I1928" s="14" t="n">
        <x:f>E2_plantas!J47+G1928</x:f>
        <x:v>46231</x:v>
      </x:c>
      <x:c r="J1928" s="2" t="str">
        <x:v>muerta</x:v>
      </x:c>
      <x:c r="K1928" s="2" t="n">
        <x:v>0</x:v>
      </x:c>
      <x:c r="L1928" s="2" t="n">
        <x:v>0</x:v>
      </x:c>
      <x:c r="M1928" s="2" t="n">
        <x:f>SUM(L$1892:L1928)</x:f>
        <x:v>39</x:v>
      </x:c>
      <x:c r="N1928" s="2" t="n">
        <x:v>0</x:v>
      </x:c>
      <x:c r="O1928" s="2" t="str">
        <x:v>relleno_postmuerte</x:v>
      </x:c>
      <x:c r="P1928" s="2" t="n">
        <x:v>0</x:v>
      </x:c>
      <x:c r="Q1928" s="2" t="str">
        <x:v>simulado_didactico</x:v>
      </x:c>
    </x:row>
    <x:row r="1929" ht="19" customHeight="1">
      <x:c r="A1929" s="2" t="str">
        <x:v>SIM-E2-BB-L8-R08</x:v>
      </x:c>
      <x:c r="B1929" s="2" t="n">
        <x:v>4</x:v>
      </x:c>
      <x:c r="C1929" s="2" t="str">
        <x:v>BB</x:v>
      </x:c>
      <x:c r="D1929" s="2" t="str">
        <x:v>Brevicoryne brassicae</x:v>
      </x:c>
      <x:c r="E1929" s="2" t="str">
        <x:v>L8</x:v>
      </x:c>
      <x:c r="F1929" s="2" t="n">
        <x:v>8</x:v>
      </x:c>
      <x:c r="G1929" s="2" t="n">
        <x:v>37</x:v>
      </x:c>
      <x:c r="H1929" s="2" t="n">
        <x:f>G1929+Supuestos!$C$15</x:f>
        <x:v>38</x:v>
      </x:c>
      <x:c r="I1929" s="14" t="n">
        <x:f>E2_plantas!J47+G1929</x:f>
        <x:v>46232</x:v>
      </x:c>
      <x:c r="J1929" s="2" t="str">
        <x:v>muerta</x:v>
      </x:c>
      <x:c r="K1929" s="2" t="n">
        <x:v>0</x:v>
      </x:c>
      <x:c r="L1929" s="2" t="n">
        <x:v>0</x:v>
      </x:c>
      <x:c r="M1929" s="2" t="n">
        <x:f>SUM(L$1892:L1929)</x:f>
        <x:v>39</x:v>
      </x:c>
      <x:c r="N1929" s="2" t="n">
        <x:v>0</x:v>
      </x:c>
      <x:c r="O1929" s="2" t="str">
        <x:v>relleno_postmuerte</x:v>
      </x:c>
      <x:c r="P1929" s="2" t="n">
        <x:v>0</x:v>
      </x:c>
      <x:c r="Q1929" s="2" t="str">
        <x:v>simulado_didactico</x:v>
      </x:c>
    </x:row>
    <x:row r="1930" ht="19" customHeight="1">
      <x:c r="A1930" s="2" t="str">
        <x:v>SIM-E2-BB-L8-R08</x:v>
      </x:c>
      <x:c r="B1930" s="2" t="n">
        <x:v>4</x:v>
      </x:c>
      <x:c r="C1930" s="2" t="str">
        <x:v>BB</x:v>
      </x:c>
      <x:c r="D1930" s="2" t="str">
        <x:v>Brevicoryne brassicae</x:v>
      </x:c>
      <x:c r="E1930" s="2" t="str">
        <x:v>L8</x:v>
      </x:c>
      <x:c r="F1930" s="2" t="n">
        <x:v>8</x:v>
      </x:c>
      <x:c r="G1930" s="2" t="n">
        <x:v>38</x:v>
      </x:c>
      <x:c r="H1930" s="2" t="n">
        <x:f>G1930+Supuestos!$C$15</x:f>
        <x:v>39</x:v>
      </x:c>
      <x:c r="I1930" s="14" t="n">
        <x:f>E2_plantas!J47+G1930</x:f>
        <x:v>46233</x:v>
      </x:c>
      <x:c r="J1930" s="2" t="str">
        <x:v>muerta</x:v>
      </x:c>
      <x:c r="K1930" s="2" t="n">
        <x:v>0</x:v>
      </x:c>
      <x:c r="L1930" s="2" t="n">
        <x:v>0</x:v>
      </x:c>
      <x:c r="M1930" s="2" t="n">
        <x:f>SUM(L$1892:L1930)</x:f>
        <x:v>39</x:v>
      </x:c>
      <x:c r="N1930" s="2" t="n">
        <x:v>0</x:v>
      </x:c>
      <x:c r="O1930" s="2" t="str">
        <x:v>relleno_postmuerte</x:v>
      </x:c>
      <x:c r="P1930" s="2" t="n">
        <x:v>0</x:v>
      </x:c>
      <x:c r="Q1930" s="2" t="str">
        <x:v>simulado_didactico</x:v>
      </x:c>
    </x:row>
    <x:row r="1931" ht="19" customHeight="1">
      <x:c r="A1931" s="2" t="str">
        <x:v>SIM-E2-BB-L8-R08</x:v>
      </x:c>
      <x:c r="B1931" s="2" t="n">
        <x:v>4</x:v>
      </x:c>
      <x:c r="C1931" s="2" t="str">
        <x:v>BB</x:v>
      </x:c>
      <x:c r="D1931" s="2" t="str">
        <x:v>Brevicoryne brassicae</x:v>
      </x:c>
      <x:c r="E1931" s="2" t="str">
        <x:v>L8</x:v>
      </x:c>
      <x:c r="F1931" s="2" t="n">
        <x:v>8</x:v>
      </x:c>
      <x:c r="G1931" s="2" t="n">
        <x:v>39</x:v>
      </x:c>
      <x:c r="H1931" s="2" t="n">
        <x:f>G1931+Supuestos!$C$15</x:f>
        <x:v>40</x:v>
      </x:c>
      <x:c r="I1931" s="14" t="n">
        <x:f>E2_plantas!J47+G1931</x:f>
        <x:v>46234</x:v>
      </x:c>
      <x:c r="J1931" s="2" t="str">
        <x:v>muerta</x:v>
      </x:c>
      <x:c r="K1931" s="2" t="n">
        <x:v>0</x:v>
      </x:c>
      <x:c r="L1931" s="2" t="n">
        <x:v>0</x:v>
      </x:c>
      <x:c r="M1931" s="2" t="n">
        <x:f>SUM(L$1892:L1931)</x:f>
        <x:v>39</x:v>
      </x:c>
      <x:c r="N1931" s="2" t="n">
        <x:v>0</x:v>
      </x:c>
      <x:c r="O1931" s="2" t="str">
        <x:v>relleno_postmuerte</x:v>
      </x:c>
      <x:c r="P1931" s="2" t="n">
        <x:v>0</x:v>
      </x:c>
      <x:c r="Q1931" s="2" t="str">
        <x:v>simulado_didactico</x:v>
      </x:c>
    </x:row>
    <x:row r="1932" ht="19" customHeight="1">
      <x:c r="A1932" s="2" t="str">
        <x:v>SIM-E2-BB-L8-R08</x:v>
      </x:c>
      <x:c r="B1932" s="2" t="n">
        <x:v>4</x:v>
      </x:c>
      <x:c r="C1932" s="2" t="str">
        <x:v>BB</x:v>
      </x:c>
      <x:c r="D1932" s="2" t="str">
        <x:v>Brevicoryne brassicae</x:v>
      </x:c>
      <x:c r="E1932" s="2" t="str">
        <x:v>L8</x:v>
      </x:c>
      <x:c r="F1932" s="2" t="n">
        <x:v>8</x:v>
      </x:c>
      <x:c r="G1932" s="2" t="n">
        <x:v>40</x:v>
      </x:c>
      <x:c r="H1932" s="2" t="n">
        <x:f>G1932+Supuestos!$C$15</x:f>
        <x:v>41</x:v>
      </x:c>
      <x:c r="I1932" s="14" t="n">
        <x:f>E2_plantas!J47+G1932</x:f>
        <x:v>46235</x:v>
      </x:c>
      <x:c r="J1932" s="2" t="str">
        <x:v>muerta</x:v>
      </x:c>
      <x:c r="K1932" s="2" t="n">
        <x:v>0</x:v>
      </x:c>
      <x:c r="L1932" s="2" t="n">
        <x:v>0</x:v>
      </x:c>
      <x:c r="M1932" s="2" t="n">
        <x:f>SUM(L$1892:L1932)</x:f>
        <x:v>39</x:v>
      </x:c>
      <x:c r="N1932" s="2" t="n">
        <x:v>0</x:v>
      </x:c>
      <x:c r="O1932" s="2" t="str">
        <x:v>relleno_postmuerte</x:v>
      </x:c>
      <x:c r="P1932" s="2" t="n">
        <x:v>0</x:v>
      </x:c>
      <x:c r="Q1932" s="2" t="str">
        <x:v>simulado_didactico</x:v>
      </x:c>
    </x:row>
    <x:row r="1933" ht="19" customHeight="1">
      <x:c r="A1933" s="2" t="str">
        <x:v>SIM-E2-BB-L8-R08</x:v>
      </x:c>
      <x:c r="B1933" s="2" t="n">
        <x:v>4</x:v>
      </x:c>
      <x:c r="C1933" s="2" t="str">
        <x:v>BB</x:v>
      </x:c>
      <x:c r="D1933" s="2" t="str">
        <x:v>Brevicoryne brassicae</x:v>
      </x:c>
      <x:c r="E1933" s="2" t="str">
        <x:v>L8</x:v>
      </x:c>
      <x:c r="F1933" s="2" t="n">
        <x:v>8</x:v>
      </x:c>
      <x:c r="G1933" s="2" t="n">
        <x:v>41</x:v>
      </x:c>
      <x:c r="H1933" s="2" t="n">
        <x:f>G1933+Supuestos!$C$15</x:f>
        <x:v>42</x:v>
      </x:c>
      <x:c r="I1933" s="14" t="n">
        <x:f>E2_plantas!J47+G1933</x:f>
        <x:v>46236</x:v>
      </x:c>
      <x:c r="J1933" s="2" t="str">
        <x:v>muerta</x:v>
      </x:c>
      <x:c r="K1933" s="2" t="n">
        <x:v>0</x:v>
      </x:c>
      <x:c r="L1933" s="2" t="n">
        <x:v>0</x:v>
      </x:c>
      <x:c r="M1933" s="2" t="n">
        <x:f>SUM(L$1892:L1933)</x:f>
        <x:v>39</x:v>
      </x:c>
      <x:c r="N1933" s="2" t="n">
        <x:v>0</x:v>
      </x:c>
      <x:c r="O1933" s="2" t="str">
        <x:v>relleno_postmuerte</x:v>
      </x:c>
      <x:c r="P1933" s="2" t="n">
        <x:v>0</x:v>
      </x:c>
      <x:c r="Q1933" s="2" t="str">
        <x:v>simulado_didactico</x:v>
      </x:c>
    </x:row>
    <x:row r="1934" ht="19" customHeight="1">
      <x:c r="A1934" s="2" t="str">
        <x:v>SIM-E2-BB-L7-R07</x:v>
      </x:c>
      <x:c r="B1934" s="2" t="n">
        <x:v>4</x:v>
      </x:c>
      <x:c r="C1934" s="2" t="str">
        <x:v>BB</x:v>
      </x:c>
      <x:c r="D1934" s="2" t="str">
        <x:v>Brevicoryne brassicae</x:v>
      </x:c>
      <x:c r="E1934" s="2" t="str">
        <x:v>L7</x:v>
      </x:c>
      <x:c r="F1934" s="2" t="n">
        <x:v>7</x:v>
      </x:c>
      <x:c r="G1934" s="2" t="n">
        <x:v>0</x:v>
      </x:c>
      <x:c r="H1934" s="2" t="n">
        <x:f>G1934+Supuestos!$C$15</x:f>
        <x:v>1</x:v>
      </x:c>
      <x:c r="I1934" s="14" t="n">
        <x:f>E2_plantas!J48+G1934</x:f>
        <x:v>46195</x:v>
      </x:c>
      <x:c r="J1934" s="2" t="str">
        <x:v>N1</x:v>
      </x:c>
      <x:c r="K1934" s="2" t="n">
        <x:v>1</x:v>
      </x:c>
      <x:c r="L1934" s="2" t="n">
        <x:v>0</x:v>
      </x:c>
      <x:c r="M1934" s="2" t="n">
        <x:f>SUM(L$1934:L1934)</x:f>
        <x:v>0</x:v>
      </x:c>
      <x:c r="N1934" s="2" t="n">
        <x:v>0</x:v>
      </x:c>
      <x:c r="O1934" s="2" t="str">
        <x:v>seguimiento</x:v>
      </x:c>
      <x:c r="P1934" s="2" t="n">
        <x:v>0</x:v>
      </x:c>
      <x:c r="Q1934" s="2" t="str">
        <x:v>simulado_didactico</x:v>
      </x:c>
    </x:row>
    <x:row r="1935" ht="19" customHeight="1">
      <x:c r="A1935" s="2" t="str">
        <x:v>SIM-E2-BB-L7-R07</x:v>
      </x:c>
      <x:c r="B1935" s="2" t="n">
        <x:v>4</x:v>
      </x:c>
      <x:c r="C1935" s="2" t="str">
        <x:v>BB</x:v>
      </x:c>
      <x:c r="D1935" s="2" t="str">
        <x:v>Brevicoryne brassicae</x:v>
      </x:c>
      <x:c r="E1935" s="2" t="str">
        <x:v>L7</x:v>
      </x:c>
      <x:c r="F1935" s="2" t="n">
        <x:v>7</x:v>
      </x:c>
      <x:c r="G1935" s="2" t="n">
        <x:v>1</x:v>
      </x:c>
      <x:c r="H1935" s="2" t="n">
        <x:f>G1935+Supuestos!$C$15</x:f>
        <x:v>2</x:v>
      </x:c>
      <x:c r="I1935" s="14" t="n">
        <x:f>E2_plantas!J48+G1935</x:f>
        <x:v>46196</x:v>
      </x:c>
      <x:c r="J1935" s="2" t="str">
        <x:v>N2</x:v>
      </x:c>
      <x:c r="K1935" s="2" t="n">
        <x:v>1</x:v>
      </x:c>
      <x:c r="L1935" s="2" t="n">
        <x:v>0</x:v>
      </x:c>
      <x:c r="M1935" s="2" t="n">
        <x:f>SUM(L$1934:L1935)</x:f>
        <x:v>0</x:v>
      </x:c>
      <x:c r="N1935" s="2" t="n">
        <x:v>0</x:v>
      </x:c>
      <x:c r="O1935" s="2" t="str">
        <x:v>seguimiento</x:v>
      </x:c>
      <x:c r="P1935" s="2" t="n">
        <x:v>0</x:v>
      </x:c>
      <x:c r="Q1935" s="2" t="str">
        <x:v>simulado_didactico</x:v>
      </x:c>
    </x:row>
    <x:row r="1936" ht="19" customHeight="1">
      <x:c r="A1936" s="2" t="str">
        <x:v>SIM-E2-BB-L7-R07</x:v>
      </x:c>
      <x:c r="B1936" s="2" t="n">
        <x:v>4</x:v>
      </x:c>
      <x:c r="C1936" s="2" t="str">
        <x:v>BB</x:v>
      </x:c>
      <x:c r="D1936" s="2" t="str">
        <x:v>Brevicoryne brassicae</x:v>
      </x:c>
      <x:c r="E1936" s="2" t="str">
        <x:v>L7</x:v>
      </x:c>
      <x:c r="F1936" s="2" t="n">
        <x:v>7</x:v>
      </x:c>
      <x:c r="G1936" s="2" t="n">
        <x:v>2</x:v>
      </x:c>
      <x:c r="H1936" s="2" t="n">
        <x:f>G1936+Supuestos!$C$15</x:f>
        <x:v>3</x:v>
      </x:c>
      <x:c r="I1936" s="14" t="n">
        <x:f>E2_plantas!J48+G1936</x:f>
        <x:v>46197</x:v>
      </x:c>
      <x:c r="J1936" s="2" t="str">
        <x:v>N2</x:v>
      </x:c>
      <x:c r="K1936" s="2" t="n">
        <x:v>1</x:v>
      </x:c>
      <x:c r="L1936" s="2" t="n">
        <x:v>0</x:v>
      </x:c>
      <x:c r="M1936" s="2" t="n">
        <x:f>SUM(L$1934:L1936)</x:f>
        <x:v>0</x:v>
      </x:c>
      <x:c r="N1936" s="2" t="n">
        <x:v>0</x:v>
      </x:c>
      <x:c r="O1936" s="2" t="str">
        <x:v>seguimiento</x:v>
      </x:c>
      <x:c r="P1936" s="2" t="n">
        <x:v>0</x:v>
      </x:c>
      <x:c r="Q1936" s="2" t="str">
        <x:v>simulado_didactico</x:v>
      </x:c>
    </x:row>
    <x:row r="1937" ht="19" customHeight="1">
      <x:c r="A1937" s="2" t="str">
        <x:v>SIM-E2-BB-L7-R07</x:v>
      </x:c>
      <x:c r="B1937" s="2" t="n">
        <x:v>4</x:v>
      </x:c>
      <x:c r="C1937" s="2" t="str">
        <x:v>BB</x:v>
      </x:c>
      <x:c r="D1937" s="2" t="str">
        <x:v>Brevicoryne brassicae</x:v>
      </x:c>
      <x:c r="E1937" s="2" t="str">
        <x:v>L7</x:v>
      </x:c>
      <x:c r="F1937" s="2" t="n">
        <x:v>7</x:v>
      </x:c>
      <x:c r="G1937" s="2" t="n">
        <x:v>3</x:v>
      </x:c>
      <x:c r="H1937" s="2" t="n">
        <x:f>G1937+Supuestos!$C$15</x:f>
        <x:v>4</x:v>
      </x:c>
      <x:c r="I1937" s="14" t="n">
        <x:f>E2_plantas!J48+G1937</x:f>
        <x:v>46198</x:v>
      </x:c>
      <x:c r="J1937" s="2" t="str">
        <x:v>N2</x:v>
      </x:c>
      <x:c r="K1937" s="2" t="n">
        <x:v>1</x:v>
      </x:c>
      <x:c r="L1937" s="2" t="n">
        <x:v>0</x:v>
      </x:c>
      <x:c r="M1937" s="2" t="n">
        <x:f>SUM(L$1934:L1937)</x:f>
        <x:v>0</x:v>
      </x:c>
      <x:c r="N1937" s="2" t="n">
        <x:v>0</x:v>
      </x:c>
      <x:c r="O1937" s="2" t="str">
        <x:v>seguimiento</x:v>
      </x:c>
      <x:c r="P1937" s="2" t="n">
        <x:v>0</x:v>
      </x:c>
      <x:c r="Q1937" s="2" t="str">
        <x:v>simulado_didactico</x:v>
      </x:c>
    </x:row>
    <x:row r="1938" ht="19" customHeight="1">
      <x:c r="A1938" s="2" t="str">
        <x:v>SIM-E2-BB-L7-R07</x:v>
      </x:c>
      <x:c r="B1938" s="2" t="n">
        <x:v>4</x:v>
      </x:c>
      <x:c r="C1938" s="2" t="str">
        <x:v>BB</x:v>
      </x:c>
      <x:c r="D1938" s="2" t="str">
        <x:v>Brevicoryne brassicae</x:v>
      </x:c>
      <x:c r="E1938" s="2" t="str">
        <x:v>L7</x:v>
      </x:c>
      <x:c r="F1938" s="2" t="n">
        <x:v>7</x:v>
      </x:c>
      <x:c r="G1938" s="2" t="n">
        <x:v>4</x:v>
      </x:c>
      <x:c r="H1938" s="2" t="n">
        <x:f>G1938+Supuestos!$C$15</x:f>
        <x:v>5</x:v>
      </x:c>
      <x:c r="I1938" s="14" t="n">
        <x:f>E2_plantas!J48+G1938</x:f>
        <x:v>46199</x:v>
      </x:c>
      <x:c r="J1938" s="2" t="str">
        <x:v>N2</x:v>
      </x:c>
      <x:c r="K1938" s="2" t="n">
        <x:v>1</x:v>
      </x:c>
      <x:c r="L1938" s="2" t="n">
        <x:v>0</x:v>
      </x:c>
      <x:c r="M1938" s="2" t="n">
        <x:f>SUM(L$1934:L1938)</x:f>
        <x:v>0</x:v>
      </x:c>
      <x:c r="N1938" s="2" t="n">
        <x:v>0</x:v>
      </x:c>
      <x:c r="O1938" s="2" t="str">
        <x:v>seguimiento</x:v>
      </x:c>
      <x:c r="P1938" s="2" t="n">
        <x:v>0</x:v>
      </x:c>
      <x:c r="Q1938" s="2" t="str">
        <x:v>simulado_didactico</x:v>
      </x:c>
    </x:row>
    <x:row r="1939" ht="19" customHeight="1">
      <x:c r="A1939" s="2" t="str">
        <x:v>SIM-E2-BB-L7-R07</x:v>
      </x:c>
      <x:c r="B1939" s="2" t="n">
        <x:v>4</x:v>
      </x:c>
      <x:c r="C1939" s="2" t="str">
        <x:v>BB</x:v>
      </x:c>
      <x:c r="D1939" s="2" t="str">
        <x:v>Brevicoryne brassicae</x:v>
      </x:c>
      <x:c r="E1939" s="2" t="str">
        <x:v>L7</x:v>
      </x:c>
      <x:c r="F1939" s="2" t="n">
        <x:v>7</x:v>
      </x:c>
      <x:c r="G1939" s="2" t="n">
        <x:v>5</x:v>
      </x:c>
      <x:c r="H1939" s="2" t="n">
        <x:f>G1939+Supuestos!$C$15</x:f>
        <x:v>6</x:v>
      </x:c>
      <x:c r="I1939" s="14" t="n">
        <x:f>E2_plantas!J48+G1939</x:f>
        <x:v>46200</x:v>
      </x:c>
      <x:c r="J1939" s="2" t="str">
        <x:v>N3</x:v>
      </x:c>
      <x:c r="K1939" s="2" t="n">
        <x:v>1</x:v>
      </x:c>
      <x:c r="L1939" s="2" t="n">
        <x:v>0</x:v>
      </x:c>
      <x:c r="M1939" s="2" t="n">
        <x:f>SUM(L$1934:L1939)</x:f>
        <x:v>0</x:v>
      </x:c>
      <x:c r="N1939" s="2" t="n">
        <x:v>0</x:v>
      </x:c>
      <x:c r="O1939" s="2" t="str">
        <x:v>seguimiento</x:v>
      </x:c>
      <x:c r="P1939" s="2" t="n">
        <x:v>0</x:v>
      </x:c>
      <x:c r="Q1939" s="2" t="str">
        <x:v>simulado_didactico</x:v>
      </x:c>
    </x:row>
    <x:row r="1940" ht="19" customHeight="1">
      <x:c r="A1940" s="2" t="str">
        <x:v>SIM-E2-BB-L7-R07</x:v>
      </x:c>
      <x:c r="B1940" s="2" t="n">
        <x:v>4</x:v>
      </x:c>
      <x:c r="C1940" s="2" t="str">
        <x:v>BB</x:v>
      </x:c>
      <x:c r="D1940" s="2" t="str">
        <x:v>Brevicoryne brassicae</x:v>
      </x:c>
      <x:c r="E1940" s="2" t="str">
        <x:v>L7</x:v>
      </x:c>
      <x:c r="F1940" s="2" t="n">
        <x:v>7</x:v>
      </x:c>
      <x:c r="G1940" s="2" t="n">
        <x:v>6</x:v>
      </x:c>
      <x:c r="H1940" s="2" t="n">
        <x:f>G1940+Supuestos!$C$15</x:f>
        <x:v>7</x:v>
      </x:c>
      <x:c r="I1940" s="14" t="n">
        <x:f>E2_plantas!J48+G1940</x:f>
        <x:v>46201</x:v>
      </x:c>
      <x:c r="J1940" s="2" t="str">
        <x:v>N3</x:v>
      </x:c>
      <x:c r="K1940" s="2" t="n">
        <x:v>1</x:v>
      </x:c>
      <x:c r="L1940" s="2" t="n">
        <x:v>0</x:v>
      </x:c>
      <x:c r="M1940" s="2" t="n">
        <x:f>SUM(L$1934:L1940)</x:f>
        <x:v>0</x:v>
      </x:c>
      <x:c r="N1940" s="2" t="n">
        <x:v>0</x:v>
      </x:c>
      <x:c r="O1940" s="2" t="str">
        <x:v>seguimiento</x:v>
      </x:c>
      <x:c r="P1940" s="2" t="n">
        <x:v>0</x:v>
      </x:c>
      <x:c r="Q1940" s="2" t="str">
        <x:v>simulado_didactico</x:v>
      </x:c>
    </x:row>
    <x:row r="1941" ht="19" customHeight="1">
      <x:c r="A1941" s="2" t="str">
        <x:v>SIM-E2-BB-L7-R07</x:v>
      </x:c>
      <x:c r="B1941" s="2" t="n">
        <x:v>4</x:v>
      </x:c>
      <x:c r="C1941" s="2" t="str">
        <x:v>BB</x:v>
      </x:c>
      <x:c r="D1941" s="2" t="str">
        <x:v>Brevicoryne brassicae</x:v>
      </x:c>
      <x:c r="E1941" s="2" t="str">
        <x:v>L7</x:v>
      </x:c>
      <x:c r="F1941" s="2" t="n">
        <x:v>7</x:v>
      </x:c>
      <x:c r="G1941" s="2" t="n">
        <x:v>7</x:v>
      </x:c>
      <x:c r="H1941" s="2" t="n">
        <x:f>G1941+Supuestos!$C$15</x:f>
        <x:v>8</x:v>
      </x:c>
      <x:c r="I1941" s="14" t="n">
        <x:f>E2_plantas!J48+G1941</x:f>
        <x:v>46202</x:v>
      </x:c>
      <x:c r="J1941" s="2" t="str">
        <x:v>N3</x:v>
      </x:c>
      <x:c r="K1941" s="2" t="n">
        <x:v>1</x:v>
      </x:c>
      <x:c r="L1941" s="2" t="n">
        <x:v>0</x:v>
      </x:c>
      <x:c r="M1941" s="2" t="n">
        <x:f>SUM(L$1934:L1941)</x:f>
        <x:v>0</x:v>
      </x:c>
      <x:c r="N1941" s="2" t="n">
        <x:v>0</x:v>
      </x:c>
      <x:c r="O1941" s="2" t="str">
        <x:v>seguimiento</x:v>
      </x:c>
      <x:c r="P1941" s="2" t="n">
        <x:v>0</x:v>
      </x:c>
      <x:c r="Q1941" s="2" t="str">
        <x:v>simulado_didactico</x:v>
      </x:c>
    </x:row>
    <x:row r="1942" ht="19" customHeight="1">
      <x:c r="A1942" s="2" t="str">
        <x:v>SIM-E2-BB-L7-R07</x:v>
      </x:c>
      <x:c r="B1942" s="2" t="n">
        <x:v>4</x:v>
      </x:c>
      <x:c r="C1942" s="2" t="str">
        <x:v>BB</x:v>
      </x:c>
      <x:c r="D1942" s="2" t="str">
        <x:v>Brevicoryne brassicae</x:v>
      </x:c>
      <x:c r="E1942" s="2" t="str">
        <x:v>L7</x:v>
      </x:c>
      <x:c r="F1942" s="2" t="n">
        <x:v>7</x:v>
      </x:c>
      <x:c r="G1942" s="2" t="n">
        <x:v>8</x:v>
      </x:c>
      <x:c r="H1942" s="2" t="n">
        <x:f>G1942+Supuestos!$C$15</x:f>
        <x:v>9</x:v>
      </x:c>
      <x:c r="I1942" s="14" t="n">
        <x:f>E2_plantas!J48+G1942</x:f>
        <x:v>46203</x:v>
      </x:c>
      <x:c r="J1942" s="2" t="str">
        <x:v>N4</x:v>
      </x:c>
      <x:c r="K1942" s="2" t="n">
        <x:v>1</x:v>
      </x:c>
      <x:c r="L1942" s="2" t="n">
        <x:v>0</x:v>
      </x:c>
      <x:c r="M1942" s="2" t="n">
        <x:f>SUM(L$1934:L1942)</x:f>
        <x:v>0</x:v>
      </x:c>
      <x:c r="N1942" s="2" t="n">
        <x:v>0</x:v>
      </x:c>
      <x:c r="O1942" s="2" t="str">
        <x:v>seguimiento</x:v>
      </x:c>
      <x:c r="P1942" s="2" t="n">
        <x:v>0</x:v>
      </x:c>
      <x:c r="Q1942" s="2" t="str">
        <x:v>simulado_didactico</x:v>
      </x:c>
    </x:row>
    <x:row r="1943" ht="19" customHeight="1">
      <x:c r="A1943" s="2" t="str">
        <x:v>SIM-E2-BB-L7-R07</x:v>
      </x:c>
      <x:c r="B1943" s="2" t="n">
        <x:v>4</x:v>
      </x:c>
      <x:c r="C1943" s="2" t="str">
        <x:v>BB</x:v>
      </x:c>
      <x:c r="D1943" s="2" t="str">
        <x:v>Brevicoryne brassicae</x:v>
      </x:c>
      <x:c r="E1943" s="2" t="str">
        <x:v>L7</x:v>
      </x:c>
      <x:c r="F1943" s="2" t="n">
        <x:v>7</x:v>
      </x:c>
      <x:c r="G1943" s="2" t="n">
        <x:v>9</x:v>
      </x:c>
      <x:c r="H1943" s="2" t="n">
        <x:f>G1943+Supuestos!$C$15</x:f>
        <x:v>10</x:v>
      </x:c>
      <x:c r="I1943" s="14" t="n">
        <x:f>E2_plantas!J48+G1943</x:f>
        <x:v>46204</x:v>
      </x:c>
      <x:c r="J1943" s="2" t="str">
        <x:v>adulta</x:v>
      </x:c>
      <x:c r="K1943" s="2" t="n">
        <x:v>1</x:v>
      </x:c>
      <x:c r="L1943" s="2" t="n">
        <x:v>0</x:v>
      </x:c>
      <x:c r="M1943" s="2" t="n">
        <x:f>SUM(L$1934:L1943)</x:f>
        <x:v>0</x:v>
      </x:c>
      <x:c r="N1943" s="2" t="n">
        <x:v>0</x:v>
      </x:c>
      <x:c r="O1943" s="2" t="str">
        <x:v>seguimiento</x:v>
      </x:c>
      <x:c r="P1943" s="2" t="n">
        <x:v>0</x:v>
      </x:c>
      <x:c r="Q1943" s="2" t="str">
        <x:v>simulado_didactico</x:v>
      </x:c>
    </x:row>
    <x:row r="1944" ht="19" customHeight="1">
      <x:c r="A1944" s="2" t="str">
        <x:v>SIM-E2-BB-L7-R07</x:v>
      </x:c>
      <x:c r="B1944" s="2" t="n">
        <x:v>4</x:v>
      </x:c>
      <x:c r="C1944" s="2" t="str">
        <x:v>BB</x:v>
      </x:c>
      <x:c r="D1944" s="2" t="str">
        <x:v>Brevicoryne brassicae</x:v>
      </x:c>
      <x:c r="E1944" s="2" t="str">
        <x:v>L7</x:v>
      </x:c>
      <x:c r="F1944" s="2" t="n">
        <x:v>7</x:v>
      </x:c>
      <x:c r="G1944" s="2" t="n">
        <x:v>10</x:v>
      </x:c>
      <x:c r="H1944" s="2" t="n">
        <x:f>G1944+Supuestos!$C$15</x:f>
        <x:v>11</x:v>
      </x:c>
      <x:c r="I1944" s="14" t="n">
        <x:f>E2_plantas!J48+G1944</x:f>
        <x:v>46205</x:v>
      </x:c>
      <x:c r="J1944" s="2" t="str">
        <x:v>adulta</x:v>
      </x:c>
      <x:c r="K1944" s="2" t="n">
        <x:v>1</x:v>
      </x:c>
      <x:c r="L1944" s="2" t="n">
        <x:v>0</x:v>
      </x:c>
      <x:c r="M1944" s="2" t="n">
        <x:f>SUM(L$1934:L1944)</x:f>
        <x:v>0</x:v>
      </x:c>
      <x:c r="N1944" s="2" t="n">
        <x:v>0</x:v>
      </x:c>
      <x:c r="O1944" s="2" t="str">
        <x:v>seguimiento</x:v>
      </x:c>
      <x:c r="P1944" s="2" t="n">
        <x:v>0</x:v>
      </x:c>
      <x:c r="Q1944" s="2" t="str">
        <x:v>simulado_didactico</x:v>
      </x:c>
    </x:row>
    <x:row r="1945" ht="19" customHeight="1">
      <x:c r="A1945" s="2" t="str">
        <x:v>SIM-E2-BB-L7-R07</x:v>
      </x:c>
      <x:c r="B1945" s="2" t="n">
        <x:v>4</x:v>
      </x:c>
      <x:c r="C1945" s="2" t="str">
        <x:v>BB</x:v>
      </x:c>
      <x:c r="D1945" s="2" t="str">
        <x:v>Brevicoryne brassicae</x:v>
      </x:c>
      <x:c r="E1945" s="2" t="str">
        <x:v>L7</x:v>
      </x:c>
      <x:c r="F1945" s="2" t="n">
        <x:v>7</x:v>
      </x:c>
      <x:c r="G1945" s="2" t="n">
        <x:v>11</x:v>
      </x:c>
      <x:c r="H1945" s="2" t="n">
        <x:f>G1945+Supuestos!$C$15</x:f>
        <x:v>12</x:v>
      </x:c>
      <x:c r="I1945" s="14" t="n">
        <x:f>E2_plantas!J48+G1945</x:f>
        <x:v>46206</x:v>
      </x:c>
      <x:c r="J1945" s="2" t="str">
        <x:v>adulta</x:v>
      </x:c>
      <x:c r="K1945" s="2" t="n">
        <x:v>1</x:v>
      </x:c>
      <x:c r="L1945" s="2" t="n">
        <x:v>5</x:v>
      </x:c>
      <x:c r="M1945" s="2" t="n">
        <x:f>SUM(L$1934:L1945)</x:f>
        <x:v>5</x:v>
      </x:c>
      <x:c r="N1945" s="2" t="n">
        <x:v>0</x:v>
      </x:c>
      <x:c r="O1945" s="2" t="str">
        <x:v>seguimiento</x:v>
      </x:c>
      <x:c r="P1945" s="2" t="n">
        <x:v>0</x:v>
      </x:c>
      <x:c r="Q1945" s="2" t="str">
        <x:v>simulado_didactico</x:v>
      </x:c>
    </x:row>
    <x:row r="1946" ht="19" customHeight="1">
      <x:c r="A1946" s="2" t="str">
        <x:v>SIM-E2-BB-L7-R07</x:v>
      </x:c>
      <x:c r="B1946" s="2" t="n">
        <x:v>4</x:v>
      </x:c>
      <x:c r="C1946" s="2" t="str">
        <x:v>BB</x:v>
      </x:c>
      <x:c r="D1946" s="2" t="str">
        <x:v>Brevicoryne brassicae</x:v>
      </x:c>
      <x:c r="E1946" s="2" t="str">
        <x:v>L7</x:v>
      </x:c>
      <x:c r="F1946" s="2" t="n">
        <x:v>7</x:v>
      </x:c>
      <x:c r="G1946" s="2" t="n">
        <x:v>12</x:v>
      </x:c>
      <x:c r="H1946" s="2" t="n">
        <x:f>G1946+Supuestos!$C$15</x:f>
        <x:v>13</x:v>
      </x:c>
      <x:c r="I1946" s="14" t="n">
        <x:f>E2_plantas!J48+G1946</x:f>
        <x:v>46207</x:v>
      </x:c>
      <x:c r="J1946" s="2" t="str">
        <x:v>adulta</x:v>
      </x:c>
      <x:c r="K1946" s="2" t="n">
        <x:v>1</x:v>
      </x:c>
      <x:c r="L1946" s="2" t="n">
        <x:v>3</x:v>
      </x:c>
      <x:c r="M1946" s="2" t="n">
        <x:f>SUM(L$1934:L1946)</x:f>
        <x:v>8</x:v>
      </x:c>
      <x:c r="N1946" s="2" t="n">
        <x:v>0</x:v>
      </x:c>
      <x:c r="O1946" s="2" t="str">
        <x:v>seguimiento</x:v>
      </x:c>
      <x:c r="P1946" s="2" t="n">
        <x:v>0</x:v>
      </x:c>
      <x:c r="Q1946" s="2" t="str">
        <x:v>simulado_didactico</x:v>
      </x:c>
    </x:row>
    <x:row r="1947" ht="19" customHeight="1">
      <x:c r="A1947" s="2" t="str">
        <x:v>SIM-E2-BB-L7-R07</x:v>
      </x:c>
      <x:c r="B1947" s="2" t="n">
        <x:v>4</x:v>
      </x:c>
      <x:c r="C1947" s="2" t="str">
        <x:v>BB</x:v>
      </x:c>
      <x:c r="D1947" s="2" t="str">
        <x:v>Brevicoryne brassicae</x:v>
      </x:c>
      <x:c r="E1947" s="2" t="str">
        <x:v>L7</x:v>
      </x:c>
      <x:c r="F1947" s="2" t="n">
        <x:v>7</x:v>
      </x:c>
      <x:c r="G1947" s="2" t="n">
        <x:v>13</x:v>
      </x:c>
      <x:c r="H1947" s="2" t="n">
        <x:f>G1947+Supuestos!$C$15</x:f>
        <x:v>14</x:v>
      </x:c>
      <x:c r="I1947" s="14" t="n">
        <x:f>E2_plantas!J48+G1947</x:f>
        <x:v>46208</x:v>
      </x:c>
      <x:c r="J1947" s="2" t="str">
        <x:v>adulta</x:v>
      </x:c>
      <x:c r="K1947" s="2" t="n">
        <x:v>1</x:v>
      </x:c>
      <x:c r="L1947" s="2" t="n">
        <x:v>6</x:v>
      </x:c>
      <x:c r="M1947" s="2" t="n">
        <x:f>SUM(L$1934:L1947)</x:f>
        <x:v>14</x:v>
      </x:c>
      <x:c r="N1947" s="2" t="n">
        <x:v>0</x:v>
      </x:c>
      <x:c r="O1947" s="2" t="str">
        <x:v>seguimiento</x:v>
      </x:c>
      <x:c r="P1947" s="2" t="n">
        <x:v>0</x:v>
      </x:c>
      <x:c r="Q1947" s="2" t="str">
        <x:v>simulado_didactico</x:v>
      </x:c>
    </x:row>
    <x:row r="1948" ht="19" customHeight="1">
      <x:c r="A1948" s="2" t="str">
        <x:v>SIM-E2-BB-L7-R07</x:v>
      </x:c>
      <x:c r="B1948" s="2" t="n">
        <x:v>4</x:v>
      </x:c>
      <x:c r="C1948" s="2" t="str">
        <x:v>BB</x:v>
      </x:c>
      <x:c r="D1948" s="2" t="str">
        <x:v>Brevicoryne brassicae</x:v>
      </x:c>
      <x:c r="E1948" s="2" t="str">
        <x:v>L7</x:v>
      </x:c>
      <x:c r="F1948" s="2" t="n">
        <x:v>7</x:v>
      </x:c>
      <x:c r="G1948" s="2" t="n">
        <x:v>14</x:v>
      </x:c>
      <x:c r="H1948" s="2" t="n">
        <x:f>G1948+Supuestos!$C$15</x:f>
        <x:v>15</x:v>
      </x:c>
      <x:c r="I1948" s="14" t="n">
        <x:f>E2_plantas!J48+G1948</x:f>
        <x:v>46209</x:v>
      </x:c>
      <x:c r="J1948" s="2" t="str">
        <x:v>adulta</x:v>
      </x:c>
      <x:c r="K1948" s="2" t="n">
        <x:v>1</x:v>
      </x:c>
      <x:c r="L1948" s="2" t="n">
        <x:v>4</x:v>
      </x:c>
      <x:c r="M1948" s="2" t="n">
        <x:f>SUM(L$1934:L1948)</x:f>
        <x:v>18</x:v>
      </x:c>
      <x:c r="N1948" s="2" t="n">
        <x:v>0</x:v>
      </x:c>
      <x:c r="O1948" s="2" t="str">
        <x:v>seguimiento</x:v>
      </x:c>
      <x:c r="P1948" s="2" t="n">
        <x:v>0</x:v>
      </x:c>
      <x:c r="Q1948" s="2" t="str">
        <x:v>simulado_didactico</x:v>
      </x:c>
    </x:row>
    <x:row r="1949" ht="19" customHeight="1">
      <x:c r="A1949" s="2" t="str">
        <x:v>SIM-E2-BB-L7-R07</x:v>
      </x:c>
      <x:c r="B1949" s="2" t="n">
        <x:v>4</x:v>
      </x:c>
      <x:c r="C1949" s="2" t="str">
        <x:v>BB</x:v>
      </x:c>
      <x:c r="D1949" s="2" t="str">
        <x:v>Brevicoryne brassicae</x:v>
      </x:c>
      <x:c r="E1949" s="2" t="str">
        <x:v>L7</x:v>
      </x:c>
      <x:c r="F1949" s="2" t="n">
        <x:v>7</x:v>
      </x:c>
      <x:c r="G1949" s="2" t="n">
        <x:v>15</x:v>
      </x:c>
      <x:c r="H1949" s="2" t="n">
        <x:f>G1949+Supuestos!$C$15</x:f>
        <x:v>16</x:v>
      </x:c>
      <x:c r="I1949" s="14" t="n">
        <x:f>E2_plantas!J48+G1949</x:f>
        <x:v>46210</x:v>
      </x:c>
      <x:c r="J1949" s="2" t="str">
        <x:v>adulta</x:v>
      </x:c>
      <x:c r="K1949" s="2" t="n">
        <x:v>1</x:v>
      </x:c>
      <x:c r="L1949" s="2" t="n">
        <x:v>7</x:v>
      </x:c>
      <x:c r="M1949" s="2" t="n">
        <x:f>SUM(L$1934:L1949)</x:f>
        <x:v>25</x:v>
      </x:c>
      <x:c r="N1949" s="2" t="n">
        <x:v>0</x:v>
      </x:c>
      <x:c r="O1949" s="2" t="str">
        <x:v>seguimiento</x:v>
      </x:c>
      <x:c r="P1949" s="2" t="n">
        <x:v>0</x:v>
      </x:c>
      <x:c r="Q1949" s="2" t="str">
        <x:v>simulado_didactico</x:v>
      </x:c>
    </x:row>
    <x:row r="1950" ht="19" customHeight="1">
      <x:c r="A1950" s="2" t="str">
        <x:v>SIM-E2-BB-L7-R07</x:v>
      </x:c>
      <x:c r="B1950" s="2" t="n">
        <x:v>4</x:v>
      </x:c>
      <x:c r="C1950" s="2" t="str">
        <x:v>BB</x:v>
      </x:c>
      <x:c r="D1950" s="2" t="str">
        <x:v>Brevicoryne brassicae</x:v>
      </x:c>
      <x:c r="E1950" s="2" t="str">
        <x:v>L7</x:v>
      </x:c>
      <x:c r="F1950" s="2" t="n">
        <x:v>7</x:v>
      </x:c>
      <x:c r="G1950" s="2" t="n">
        <x:v>16</x:v>
      </x:c>
      <x:c r="H1950" s="2" t="n">
        <x:f>G1950+Supuestos!$C$15</x:f>
        <x:v>17</x:v>
      </x:c>
      <x:c r="I1950" s="14" t="n">
        <x:f>E2_plantas!J48+G1950</x:f>
        <x:v>46211</x:v>
      </x:c>
      <x:c r="J1950" s="2" t="str">
        <x:v>adulta</x:v>
      </x:c>
      <x:c r="K1950" s="2" t="n">
        <x:v>1</x:v>
      </x:c>
      <x:c r="L1950" s="2" t="n">
        <x:v>2</x:v>
      </x:c>
      <x:c r="M1950" s="2" t="n">
        <x:f>SUM(L$1934:L1950)</x:f>
        <x:v>27</x:v>
      </x:c>
      <x:c r="N1950" s="2" t="n">
        <x:v>0</x:v>
      </x:c>
      <x:c r="O1950" s="2" t="str">
        <x:v>seguimiento</x:v>
      </x:c>
      <x:c r="P1950" s="2" t="n">
        <x:v>0</x:v>
      </x:c>
      <x:c r="Q1950" s="2" t="str">
        <x:v>simulado_didactico</x:v>
      </x:c>
    </x:row>
    <x:row r="1951" ht="19" customHeight="1">
      <x:c r="A1951" s="2" t="str">
        <x:v>SIM-E2-BB-L7-R07</x:v>
      </x:c>
      <x:c r="B1951" s="2" t="n">
        <x:v>4</x:v>
      </x:c>
      <x:c r="C1951" s="2" t="str">
        <x:v>BB</x:v>
      </x:c>
      <x:c r="D1951" s="2" t="str">
        <x:v>Brevicoryne brassicae</x:v>
      </x:c>
      <x:c r="E1951" s="2" t="str">
        <x:v>L7</x:v>
      </x:c>
      <x:c r="F1951" s="2" t="n">
        <x:v>7</x:v>
      </x:c>
      <x:c r="G1951" s="2" t="n">
        <x:v>17</x:v>
      </x:c>
      <x:c r="H1951" s="2" t="n">
        <x:f>G1951+Supuestos!$C$15</x:f>
        <x:v>18</x:v>
      </x:c>
      <x:c r="I1951" s="14" t="n">
        <x:f>E2_plantas!J48+G1951</x:f>
        <x:v>46212</x:v>
      </x:c>
      <x:c r="J1951" s="2" t="str">
        <x:v>adulta</x:v>
      </x:c>
      <x:c r="K1951" s="2" t="n">
        <x:v>1</x:v>
      </x:c>
      <x:c r="L1951" s="2" t="n">
        <x:v>3</x:v>
      </x:c>
      <x:c r="M1951" s="2" t="n">
        <x:f>SUM(L$1934:L1951)</x:f>
        <x:v>30</x:v>
      </x:c>
      <x:c r="N1951" s="2" t="n">
        <x:v>0</x:v>
      </x:c>
      <x:c r="O1951" s="2" t="str">
        <x:v>seguimiento</x:v>
      </x:c>
      <x:c r="P1951" s="2" t="n">
        <x:v>0</x:v>
      </x:c>
      <x:c r="Q1951" s="2" t="str">
        <x:v>simulado_didactico</x:v>
      </x:c>
    </x:row>
    <x:row r="1952" ht="19" customHeight="1">
      <x:c r="A1952" s="2" t="str">
        <x:v>SIM-E2-BB-L7-R07</x:v>
      </x:c>
      <x:c r="B1952" s="2" t="n">
        <x:v>4</x:v>
      </x:c>
      <x:c r="C1952" s="2" t="str">
        <x:v>BB</x:v>
      </x:c>
      <x:c r="D1952" s="2" t="str">
        <x:v>Brevicoryne brassicae</x:v>
      </x:c>
      <x:c r="E1952" s="2" t="str">
        <x:v>L7</x:v>
      </x:c>
      <x:c r="F1952" s="2" t="n">
        <x:v>7</x:v>
      </x:c>
      <x:c r="G1952" s="2" t="n">
        <x:v>18</x:v>
      </x:c>
      <x:c r="H1952" s="2" t="n">
        <x:f>G1952+Supuestos!$C$15</x:f>
        <x:v>19</x:v>
      </x:c>
      <x:c r="I1952" s="14" t="n">
        <x:f>E2_plantas!J48+G1952</x:f>
        <x:v>46213</x:v>
      </x:c>
      <x:c r="J1952" s="2" t="str">
        <x:v>adulta</x:v>
      </x:c>
      <x:c r="K1952" s="2" t="n">
        <x:v>1</x:v>
      </x:c>
      <x:c r="L1952" s="2" t="n">
        <x:v>3</x:v>
      </x:c>
      <x:c r="M1952" s="2" t="n">
        <x:f>SUM(L$1934:L1952)</x:f>
        <x:v>33</x:v>
      </x:c>
      <x:c r="N1952" s="2" t="n">
        <x:v>0</x:v>
      </x:c>
      <x:c r="O1952" s="2" t="str">
        <x:v>seguimiento</x:v>
      </x:c>
      <x:c r="P1952" s="2" t="n">
        <x:v>0</x:v>
      </x:c>
      <x:c r="Q1952" s="2" t="str">
        <x:v>simulado_didactico</x:v>
      </x:c>
    </x:row>
    <x:row r="1953" ht="19" customHeight="1">
      <x:c r="A1953" s="2" t="str">
        <x:v>SIM-E2-BB-L7-R07</x:v>
      </x:c>
      <x:c r="B1953" s="2" t="n">
        <x:v>4</x:v>
      </x:c>
      <x:c r="C1953" s="2" t="str">
        <x:v>BB</x:v>
      </x:c>
      <x:c r="D1953" s="2" t="str">
        <x:v>Brevicoryne brassicae</x:v>
      </x:c>
      <x:c r="E1953" s="2" t="str">
        <x:v>L7</x:v>
      </x:c>
      <x:c r="F1953" s="2" t="n">
        <x:v>7</x:v>
      </x:c>
      <x:c r="G1953" s="2" t="n">
        <x:v>19</x:v>
      </x:c>
      <x:c r="H1953" s="2" t="n">
        <x:f>G1953+Supuestos!$C$15</x:f>
        <x:v>20</x:v>
      </x:c>
      <x:c r="I1953" s="14" t="n">
        <x:f>E2_plantas!J48+G1953</x:f>
        <x:v>46214</x:v>
      </x:c>
      <x:c r="J1953" s="2" t="str">
        <x:v>adulta</x:v>
      </x:c>
      <x:c r="K1953" s="2" t="n">
        <x:v>1</x:v>
      </x:c>
      <x:c r="L1953" s="2" t="n">
        <x:v>5</x:v>
      </x:c>
      <x:c r="M1953" s="2" t="n">
        <x:f>SUM(L$1934:L1953)</x:f>
        <x:v>38</x:v>
      </x:c>
      <x:c r="N1953" s="2" t="n">
        <x:v>0</x:v>
      </x:c>
      <x:c r="O1953" s="2" t="str">
        <x:v>seguimiento</x:v>
      </x:c>
      <x:c r="P1953" s="2" t="n">
        <x:v>0</x:v>
      </x:c>
      <x:c r="Q1953" s="2" t="str">
        <x:v>simulado_didactico</x:v>
      </x:c>
    </x:row>
    <x:row r="1954" ht="19" customHeight="1">
      <x:c r="A1954" s="2" t="str">
        <x:v>SIM-E2-BB-L7-R07</x:v>
      </x:c>
      <x:c r="B1954" s="2" t="n">
        <x:v>4</x:v>
      </x:c>
      <x:c r="C1954" s="2" t="str">
        <x:v>BB</x:v>
      </x:c>
      <x:c r="D1954" s="2" t="str">
        <x:v>Brevicoryne brassicae</x:v>
      </x:c>
      <x:c r="E1954" s="2" t="str">
        <x:v>L7</x:v>
      </x:c>
      <x:c r="F1954" s="2" t="n">
        <x:v>7</x:v>
      </x:c>
      <x:c r="G1954" s="2" t="n">
        <x:v>20</x:v>
      </x:c>
      <x:c r="H1954" s="2" t="n">
        <x:f>G1954+Supuestos!$C$15</x:f>
        <x:v>21</x:v>
      </x:c>
      <x:c r="I1954" s="14" t="n">
        <x:f>E2_plantas!J48+G1954</x:f>
        <x:v>46215</x:v>
      </x:c>
      <x:c r="J1954" s="2" t="str">
        <x:v>adulta</x:v>
      </x:c>
      <x:c r="K1954" s="2" t="n">
        <x:v>1</x:v>
      </x:c>
      <x:c r="L1954" s="2" t="n">
        <x:v>2</x:v>
      </x:c>
      <x:c r="M1954" s="2" t="n">
        <x:f>SUM(L$1934:L1954)</x:f>
        <x:v>40</x:v>
      </x:c>
      <x:c r="N1954" s="2" t="n">
        <x:v>0</x:v>
      </x:c>
      <x:c r="O1954" s="2" t="str">
        <x:v>seguimiento</x:v>
      </x:c>
      <x:c r="P1954" s="2" t="n">
        <x:v>0</x:v>
      </x:c>
      <x:c r="Q1954" s="2" t="str">
        <x:v>simulado_didactico</x:v>
      </x:c>
    </x:row>
    <x:row r="1955" ht="19" customHeight="1">
      <x:c r="A1955" s="2" t="str">
        <x:v>SIM-E2-BB-L7-R07</x:v>
      </x:c>
      <x:c r="B1955" s="2" t="n">
        <x:v>4</x:v>
      </x:c>
      <x:c r="C1955" s="2" t="str">
        <x:v>BB</x:v>
      </x:c>
      <x:c r="D1955" s="2" t="str">
        <x:v>Brevicoryne brassicae</x:v>
      </x:c>
      <x:c r="E1955" s="2" t="str">
        <x:v>L7</x:v>
      </x:c>
      <x:c r="F1955" s="2" t="n">
        <x:v>7</x:v>
      </x:c>
      <x:c r="G1955" s="2" t="n">
        <x:v>21</x:v>
      </x:c>
      <x:c r="H1955" s="2" t="n">
        <x:f>G1955+Supuestos!$C$15</x:f>
        <x:v>22</x:v>
      </x:c>
      <x:c r="I1955" s="14" t="n">
        <x:f>E2_plantas!J48+G1955</x:f>
        <x:v>46216</x:v>
      </x:c>
      <x:c r="J1955" s="2" t="str">
        <x:v>adulta</x:v>
      </x:c>
      <x:c r="K1955" s="2" t="n">
        <x:v>1</x:v>
      </x:c>
      <x:c r="L1955" s="2" t="n">
        <x:v>5</x:v>
      </x:c>
      <x:c r="M1955" s="2" t="n">
        <x:f>SUM(L$1934:L1955)</x:f>
        <x:v>45</x:v>
      </x:c>
      <x:c r="N1955" s="2" t="n">
        <x:v>0</x:v>
      </x:c>
      <x:c r="O1955" s="2" t="str">
        <x:v>seguimiento</x:v>
      </x:c>
      <x:c r="P1955" s="2" t="n">
        <x:v>0</x:v>
      </x:c>
      <x:c r="Q1955" s="2" t="str">
        <x:v>simulado_didactico</x:v>
      </x:c>
    </x:row>
    <x:row r="1956" ht="19" customHeight="1">
      <x:c r="A1956" s="2" t="str">
        <x:v>SIM-E2-BB-L7-R07</x:v>
      </x:c>
      <x:c r="B1956" s="2" t="n">
        <x:v>4</x:v>
      </x:c>
      <x:c r="C1956" s="2" t="str">
        <x:v>BB</x:v>
      </x:c>
      <x:c r="D1956" s="2" t="str">
        <x:v>Brevicoryne brassicae</x:v>
      </x:c>
      <x:c r="E1956" s="2" t="str">
        <x:v>L7</x:v>
      </x:c>
      <x:c r="F1956" s="2" t="n">
        <x:v>7</x:v>
      </x:c>
      <x:c r="G1956" s="2" t="n">
        <x:v>22</x:v>
      </x:c>
      <x:c r="H1956" s="2" t="n">
        <x:f>G1956+Supuestos!$C$15</x:f>
        <x:v>23</x:v>
      </x:c>
      <x:c r="I1956" s="14" t="n">
        <x:f>E2_plantas!J48+G1956</x:f>
        <x:v>46217</x:v>
      </x:c>
      <x:c r="J1956" s="2" t="str">
        <x:v>adulta</x:v>
      </x:c>
      <x:c r="K1956" s="2" t="n">
        <x:v>1</x:v>
      </x:c>
      <x:c r="L1956" s="2" t="n">
        <x:v>1</x:v>
      </x:c>
      <x:c r="M1956" s="2" t="n">
        <x:f>SUM(L$1934:L1956)</x:f>
        <x:v>46</x:v>
      </x:c>
      <x:c r="N1956" s="2" t="n">
        <x:v>0</x:v>
      </x:c>
      <x:c r="O1956" s="2" t="str">
        <x:v>seguimiento</x:v>
      </x:c>
      <x:c r="P1956" s="2" t="n">
        <x:v>0</x:v>
      </x:c>
      <x:c r="Q1956" s="2" t="str">
        <x:v>simulado_didactico</x:v>
      </x:c>
    </x:row>
    <x:row r="1957" ht="19" customHeight="1">
      <x:c r="A1957" s="2" t="str">
        <x:v>SIM-E2-BB-L7-R07</x:v>
      </x:c>
      <x:c r="B1957" s="2" t="n">
        <x:v>4</x:v>
      </x:c>
      <x:c r="C1957" s="2" t="str">
        <x:v>BB</x:v>
      </x:c>
      <x:c r="D1957" s="2" t="str">
        <x:v>Brevicoryne brassicae</x:v>
      </x:c>
      <x:c r="E1957" s="2" t="str">
        <x:v>L7</x:v>
      </x:c>
      <x:c r="F1957" s="2" t="n">
        <x:v>7</x:v>
      </x:c>
      <x:c r="G1957" s="2" t="n">
        <x:v>23</x:v>
      </x:c>
      <x:c r="H1957" s="2" t="n">
        <x:f>G1957+Supuestos!$C$15</x:f>
        <x:v>24</x:v>
      </x:c>
      <x:c r="I1957" s="14" t="n">
        <x:f>E2_plantas!J48+G1957</x:f>
        <x:v>46218</x:v>
      </x:c>
      <x:c r="J1957" s="2" t="str">
        <x:v>adulta</x:v>
      </x:c>
      <x:c r="K1957" s="2" t="n">
        <x:v>1</x:v>
      </x:c>
      <x:c r="L1957" s="2" t="n">
        <x:v>0</x:v>
      </x:c>
      <x:c r="M1957" s="2" t="n">
        <x:f>SUM(L$1934:L1957)</x:f>
        <x:v>46</x:v>
      </x:c>
      <x:c r="N1957" s="2" t="n">
        <x:v>0</x:v>
      </x:c>
      <x:c r="O1957" s="2" t="str">
        <x:v>seguimiento</x:v>
      </x:c>
      <x:c r="P1957" s="2" t="n">
        <x:v>0</x:v>
      </x:c>
      <x:c r="Q1957" s="2" t="str">
        <x:v>simulado_didactico</x:v>
      </x:c>
    </x:row>
    <x:row r="1958" ht="19" customHeight="1">
      <x:c r="A1958" s="2" t="str">
        <x:v>SIM-E2-BB-L7-R07</x:v>
      </x:c>
      <x:c r="B1958" s="2" t="n">
        <x:v>4</x:v>
      </x:c>
      <x:c r="C1958" s="2" t="str">
        <x:v>BB</x:v>
      </x:c>
      <x:c r="D1958" s="2" t="str">
        <x:v>Brevicoryne brassicae</x:v>
      </x:c>
      <x:c r="E1958" s="2" t="str">
        <x:v>L7</x:v>
      </x:c>
      <x:c r="F1958" s="2" t="n">
        <x:v>7</x:v>
      </x:c>
      <x:c r="G1958" s="2" t="n">
        <x:v>24</x:v>
      </x:c>
      <x:c r="H1958" s="2" t="n">
        <x:f>G1958+Supuestos!$C$15</x:f>
        <x:v>25</x:v>
      </x:c>
      <x:c r="I1958" s="14" t="n">
        <x:f>E2_plantas!J48+G1958</x:f>
        <x:v>46219</x:v>
      </x:c>
      <x:c r="J1958" s="2" t="str">
        <x:v>adulta</x:v>
      </x:c>
      <x:c r="K1958" s="2" t="n">
        <x:v>1</x:v>
      </x:c>
      <x:c r="L1958" s="2" t="n">
        <x:v>3</x:v>
      </x:c>
      <x:c r="M1958" s="2" t="n">
        <x:f>SUM(L$1934:L1958)</x:f>
        <x:v>49</x:v>
      </x:c>
      <x:c r="N1958" s="2" t="n">
        <x:v>0</x:v>
      </x:c>
      <x:c r="O1958" s="2" t="str">
        <x:v>seguimiento</x:v>
      </x:c>
      <x:c r="P1958" s="2" t="n">
        <x:v>0</x:v>
      </x:c>
      <x:c r="Q1958" s="2" t="str">
        <x:v>simulado_didactico</x:v>
      </x:c>
    </x:row>
    <x:row r="1959" ht="19" customHeight="1">
      <x:c r="A1959" s="2" t="str">
        <x:v>SIM-E2-BB-L7-R07</x:v>
      </x:c>
      <x:c r="B1959" s="2" t="n">
        <x:v>4</x:v>
      </x:c>
      <x:c r="C1959" s="2" t="str">
        <x:v>BB</x:v>
      </x:c>
      <x:c r="D1959" s="2" t="str">
        <x:v>Brevicoryne brassicae</x:v>
      </x:c>
      <x:c r="E1959" s="2" t="str">
        <x:v>L7</x:v>
      </x:c>
      <x:c r="F1959" s="2" t="n">
        <x:v>7</x:v>
      </x:c>
      <x:c r="G1959" s="2" t="n">
        <x:v>25</x:v>
      </x:c>
      <x:c r="H1959" s="2" t="n">
        <x:f>G1959+Supuestos!$C$15</x:f>
        <x:v>26</x:v>
      </x:c>
      <x:c r="I1959" s="14" t="n">
        <x:f>E2_plantas!J48+G1959</x:f>
        <x:v>46220</x:v>
      </x:c>
      <x:c r="J1959" s="2" t="str">
        <x:v>adulta</x:v>
      </x:c>
      <x:c r="K1959" s="2" t="n">
        <x:v>1</x:v>
      </x:c>
      <x:c r="L1959" s="2" t="n">
        <x:v>2</x:v>
      </x:c>
      <x:c r="M1959" s="2" t="n">
        <x:f>SUM(L$1934:L1959)</x:f>
        <x:v>51</x:v>
      </x:c>
      <x:c r="N1959" s="2" t="n">
        <x:v>0</x:v>
      </x:c>
      <x:c r="O1959" s="2" t="str">
        <x:v>seguimiento</x:v>
      </x:c>
      <x:c r="P1959" s="2" t="n">
        <x:v>0</x:v>
      </x:c>
      <x:c r="Q1959" s="2" t="str">
        <x:v>simulado_didactico</x:v>
      </x:c>
    </x:row>
    <x:row r="1960" ht="19" customHeight="1">
      <x:c r="A1960" s="2" t="str">
        <x:v>SIM-E2-BB-L7-R07</x:v>
      </x:c>
      <x:c r="B1960" s="2" t="n">
        <x:v>4</x:v>
      </x:c>
      <x:c r="C1960" s="2" t="str">
        <x:v>BB</x:v>
      </x:c>
      <x:c r="D1960" s="2" t="str">
        <x:v>Brevicoryne brassicae</x:v>
      </x:c>
      <x:c r="E1960" s="2" t="str">
        <x:v>L7</x:v>
      </x:c>
      <x:c r="F1960" s="2" t="n">
        <x:v>7</x:v>
      </x:c>
      <x:c r="G1960" s="2" t="n">
        <x:v>26</x:v>
      </x:c>
      <x:c r="H1960" s="2" t="n">
        <x:f>G1960+Supuestos!$C$15</x:f>
        <x:v>27</x:v>
      </x:c>
      <x:c r="I1960" s="14" t="n">
        <x:f>E2_plantas!J48+G1960</x:f>
        <x:v>46221</x:v>
      </x:c>
      <x:c r="J1960" s="2" t="str">
        <x:v>adulta</x:v>
      </x:c>
      <x:c r="K1960" s="2" t="n">
        <x:v>1</x:v>
      </x:c>
      <x:c r="L1960" s="2" t="n">
        <x:v>1</x:v>
      </x:c>
      <x:c r="M1960" s="2" t="n">
        <x:f>SUM(L$1934:L1960)</x:f>
        <x:v>52</x:v>
      </x:c>
      <x:c r="N1960" s="2" t="n">
        <x:v>0</x:v>
      </x:c>
      <x:c r="O1960" s="2" t="str">
        <x:v>seguimiento</x:v>
      </x:c>
      <x:c r="P1960" s="2" t="n">
        <x:v>0</x:v>
      </x:c>
      <x:c r="Q1960" s="2" t="str">
        <x:v>simulado_didactico</x:v>
      </x:c>
    </x:row>
    <x:row r="1961" ht="19" customHeight="1">
      <x:c r="A1961" s="2" t="str">
        <x:v>SIM-E2-BB-L7-R07</x:v>
      </x:c>
      <x:c r="B1961" s="2" t="n">
        <x:v>4</x:v>
      </x:c>
      <x:c r="C1961" s="2" t="str">
        <x:v>BB</x:v>
      </x:c>
      <x:c r="D1961" s="2" t="str">
        <x:v>Brevicoryne brassicae</x:v>
      </x:c>
      <x:c r="E1961" s="2" t="str">
        <x:v>L7</x:v>
      </x:c>
      <x:c r="F1961" s="2" t="n">
        <x:v>7</x:v>
      </x:c>
      <x:c r="G1961" s="2" t="n">
        <x:v>27</x:v>
      </x:c>
      <x:c r="H1961" s="2" t="n">
        <x:f>G1961+Supuestos!$C$15</x:f>
        <x:v>28</x:v>
      </x:c>
      <x:c r="I1961" s="14" t="n">
        <x:f>E2_plantas!J48+G1961</x:f>
        <x:v>46222</x:v>
      </x:c>
      <x:c r="J1961" s="2" t="str">
        <x:v>adulta</x:v>
      </x:c>
      <x:c r="K1961" s="2" t="n">
        <x:v>1</x:v>
      </x:c>
      <x:c r="L1961" s="2" t="n">
        <x:v>1</x:v>
      </x:c>
      <x:c r="M1961" s="2" t="n">
        <x:f>SUM(L$1934:L1961)</x:f>
        <x:v>53</x:v>
      </x:c>
      <x:c r="N1961" s="2" t="n">
        <x:v>0</x:v>
      </x:c>
      <x:c r="O1961" s="2" t="str">
        <x:v>seguimiento</x:v>
      </x:c>
      <x:c r="P1961" s="2" t="n">
        <x:v>0</x:v>
      </x:c>
      <x:c r="Q1961" s="2" t="str">
        <x:v>simulado_didactico</x:v>
      </x:c>
    </x:row>
    <x:row r="1962" ht="19" customHeight="1">
      <x:c r="A1962" s="2" t="str">
        <x:v>SIM-E2-BB-L7-R07</x:v>
      </x:c>
      <x:c r="B1962" s="2" t="n">
        <x:v>4</x:v>
      </x:c>
      <x:c r="C1962" s="2" t="str">
        <x:v>BB</x:v>
      </x:c>
      <x:c r="D1962" s="2" t="str">
        <x:v>Brevicoryne brassicae</x:v>
      </x:c>
      <x:c r="E1962" s="2" t="str">
        <x:v>L7</x:v>
      </x:c>
      <x:c r="F1962" s="2" t="n">
        <x:v>7</x:v>
      </x:c>
      <x:c r="G1962" s="2" t="n">
        <x:v>28</x:v>
      </x:c>
      <x:c r="H1962" s="2" t="n">
        <x:f>G1962+Supuestos!$C$15</x:f>
        <x:v>29</x:v>
      </x:c>
      <x:c r="I1962" s="14" t="n">
        <x:f>E2_plantas!J48+G1962</x:f>
        <x:v>46223</x:v>
      </x:c>
      <x:c r="J1962" s="2" t="str">
        <x:v>adulta</x:v>
      </x:c>
      <x:c r="K1962" s="2" t="n">
        <x:v>1</x:v>
      </x:c>
      <x:c r="L1962" s="2" t="n">
        <x:v>2</x:v>
      </x:c>
      <x:c r="M1962" s="2" t="n">
        <x:f>SUM(L$1934:L1962)</x:f>
        <x:v>55</x:v>
      </x:c>
      <x:c r="N1962" s="2" t="n">
        <x:v>0</x:v>
      </x:c>
      <x:c r="O1962" s="2" t="str">
        <x:v>seguimiento</x:v>
      </x:c>
      <x:c r="P1962" s="2" t="n">
        <x:v>0</x:v>
      </x:c>
      <x:c r="Q1962" s="2" t="str">
        <x:v>simulado_didactico</x:v>
      </x:c>
    </x:row>
    <x:row r="1963" ht="19" customHeight="1">
      <x:c r="A1963" s="2" t="str">
        <x:v>SIM-E2-BB-L7-R07</x:v>
      </x:c>
      <x:c r="B1963" s="2" t="n">
        <x:v>4</x:v>
      </x:c>
      <x:c r="C1963" s="2" t="str">
        <x:v>BB</x:v>
      </x:c>
      <x:c r="D1963" s="2" t="str">
        <x:v>Brevicoryne brassicae</x:v>
      </x:c>
      <x:c r="E1963" s="2" t="str">
        <x:v>L7</x:v>
      </x:c>
      <x:c r="F1963" s="2" t="n">
        <x:v>7</x:v>
      </x:c>
      <x:c r="G1963" s="2" t="n">
        <x:v>29</x:v>
      </x:c>
      <x:c r="H1963" s="2" t="n">
        <x:f>G1963+Supuestos!$C$15</x:f>
        <x:v>30</x:v>
      </x:c>
      <x:c r="I1963" s="14" t="n">
        <x:f>E2_plantas!J48+G1963</x:f>
        <x:v>46224</x:v>
      </x:c>
      <x:c r="J1963" s="2" t="str">
        <x:v>adulta</x:v>
      </x:c>
      <x:c r="K1963" s="2" t="n">
        <x:v>1</x:v>
      </x:c>
      <x:c r="L1963" s="2" t="n">
        <x:v>0</x:v>
      </x:c>
      <x:c r="M1963" s="2" t="n">
        <x:f>SUM(L$1934:L1963)</x:f>
        <x:v>55</x:v>
      </x:c>
      <x:c r="N1963" s="2" t="n">
        <x:v>0</x:v>
      </x:c>
      <x:c r="O1963" s="2" t="str">
        <x:v>seguimiento</x:v>
      </x:c>
      <x:c r="P1963" s="2" t="n">
        <x:v>0</x:v>
      </x:c>
      <x:c r="Q1963" s="2" t="str">
        <x:v>simulado_didactico</x:v>
      </x:c>
    </x:row>
    <x:row r="1964" ht="19" customHeight="1">
      <x:c r="A1964" s="2" t="str">
        <x:v>SIM-E2-BB-L7-R07</x:v>
      </x:c>
      <x:c r="B1964" s="2" t="n">
        <x:v>4</x:v>
      </x:c>
      <x:c r="C1964" s="2" t="str">
        <x:v>BB</x:v>
      </x:c>
      <x:c r="D1964" s="2" t="str">
        <x:v>Brevicoryne brassicae</x:v>
      </x:c>
      <x:c r="E1964" s="2" t="str">
        <x:v>L7</x:v>
      </x:c>
      <x:c r="F1964" s="2" t="n">
        <x:v>7</x:v>
      </x:c>
      <x:c r="G1964" s="2" t="n">
        <x:v>30</x:v>
      </x:c>
      <x:c r="H1964" s="2" t="n">
        <x:f>G1964+Supuestos!$C$15</x:f>
        <x:v>31</x:v>
      </x:c>
      <x:c r="I1964" s="14" t="n">
        <x:f>E2_plantas!J48+G1964</x:f>
        <x:v>46225</x:v>
      </x:c>
      <x:c r="J1964" s="2" t="str">
        <x:v>adulta</x:v>
      </x:c>
      <x:c r="K1964" s="2" t="n">
        <x:v>1</x:v>
      </x:c>
      <x:c r="L1964" s="2" t="n">
        <x:v>0</x:v>
      </x:c>
      <x:c r="M1964" s="2" t="n">
        <x:f>SUM(L$1934:L1964)</x:f>
        <x:v>55</x:v>
      </x:c>
      <x:c r="N1964" s="2" t="n">
        <x:v>0</x:v>
      </x:c>
      <x:c r="O1964" s="2" t="str">
        <x:v>seguimiento</x:v>
      </x:c>
      <x:c r="P1964" s="2" t="n">
        <x:v>0</x:v>
      </x:c>
      <x:c r="Q1964" s="2" t="str">
        <x:v>simulado_didactico</x:v>
      </x:c>
    </x:row>
    <x:row r="1965" ht="19" customHeight="1">
      <x:c r="A1965" s="2" t="str">
        <x:v>SIM-E2-BB-L7-R07</x:v>
      </x:c>
      <x:c r="B1965" s="2" t="n">
        <x:v>4</x:v>
      </x:c>
      <x:c r="C1965" s="2" t="str">
        <x:v>BB</x:v>
      </x:c>
      <x:c r="D1965" s="2" t="str">
        <x:v>Brevicoryne brassicae</x:v>
      </x:c>
      <x:c r="E1965" s="2" t="str">
        <x:v>L7</x:v>
      </x:c>
      <x:c r="F1965" s="2" t="n">
        <x:v>7</x:v>
      </x:c>
      <x:c r="G1965" s="2" t="n">
        <x:v>31</x:v>
      </x:c>
      <x:c r="H1965" s="2" t="n">
        <x:f>G1965+Supuestos!$C$15</x:f>
        <x:v>32</x:v>
      </x:c>
      <x:c r="I1965" s="14" t="n">
        <x:f>E2_plantas!J48+G1965</x:f>
        <x:v>46226</x:v>
      </x:c>
      <x:c r="J1965" s="2" t="str">
        <x:v>adulta</x:v>
      </x:c>
      <x:c r="K1965" s="2" t="n">
        <x:v>1</x:v>
      </x:c>
      <x:c r="L1965" s="2" t="n">
        <x:v>2</x:v>
      </x:c>
      <x:c r="M1965" s="2" t="n">
        <x:f>SUM(L$1934:L1965)</x:f>
        <x:v>57</x:v>
      </x:c>
      <x:c r="N1965" s="2" t="n">
        <x:v>0</x:v>
      </x:c>
      <x:c r="O1965" s="2" t="str">
        <x:v>seguimiento</x:v>
      </x:c>
      <x:c r="P1965" s="2" t="n">
        <x:v>0</x:v>
      </x:c>
      <x:c r="Q1965" s="2" t="str">
        <x:v>simulado_didactico</x:v>
      </x:c>
    </x:row>
    <x:row r="1966" ht="19" customHeight="1">
      <x:c r="A1966" s="2" t="str">
        <x:v>SIM-E2-BB-L7-R07</x:v>
      </x:c>
      <x:c r="B1966" s="2" t="n">
        <x:v>4</x:v>
      </x:c>
      <x:c r="C1966" s="2" t="str">
        <x:v>BB</x:v>
      </x:c>
      <x:c r="D1966" s="2" t="str">
        <x:v>Brevicoryne brassicae</x:v>
      </x:c>
      <x:c r="E1966" s="2" t="str">
        <x:v>L7</x:v>
      </x:c>
      <x:c r="F1966" s="2" t="n">
        <x:v>7</x:v>
      </x:c>
      <x:c r="G1966" s="2" t="n">
        <x:v>32</x:v>
      </x:c>
      <x:c r="H1966" s="2" t="n">
        <x:f>G1966+Supuestos!$C$15</x:f>
        <x:v>33</x:v>
      </x:c>
      <x:c r="I1966" s="14" t="n">
        <x:f>E2_plantas!J48+G1966</x:f>
        <x:v>46227</x:v>
      </x:c>
      <x:c r="J1966" s="2" t="str">
        <x:v>adulta</x:v>
      </x:c>
      <x:c r="K1966" s="2" t="n">
        <x:v>1</x:v>
      </x:c>
      <x:c r="L1966" s="2" t="n">
        <x:v>0</x:v>
      </x:c>
      <x:c r="M1966" s="2" t="n">
        <x:f>SUM(L$1934:L1966)</x:f>
        <x:v>57</x:v>
      </x:c>
      <x:c r="N1966" s="2" t="n">
        <x:v>0</x:v>
      </x:c>
      <x:c r="O1966" s="2" t="str">
        <x:v>seguimiento</x:v>
      </x:c>
      <x:c r="P1966" s="2" t="n">
        <x:v>0</x:v>
      </x:c>
      <x:c r="Q1966" s="2" t="str">
        <x:v>simulado_didactico</x:v>
      </x:c>
    </x:row>
    <x:row r="1967" ht="19" customHeight="1">
      <x:c r="A1967" s="2" t="str">
        <x:v>SIM-E2-BB-L7-R07</x:v>
      </x:c>
      <x:c r="B1967" s="2" t="n">
        <x:v>4</x:v>
      </x:c>
      <x:c r="C1967" s="2" t="str">
        <x:v>BB</x:v>
      </x:c>
      <x:c r="D1967" s="2" t="str">
        <x:v>Brevicoryne brassicae</x:v>
      </x:c>
      <x:c r="E1967" s="2" t="str">
        <x:v>L7</x:v>
      </x:c>
      <x:c r="F1967" s="2" t="n">
        <x:v>7</x:v>
      </x:c>
      <x:c r="G1967" s="2" t="n">
        <x:v>33</x:v>
      </x:c>
      <x:c r="H1967" s="2" t="n">
        <x:f>G1967+Supuestos!$C$15</x:f>
        <x:v>34</x:v>
      </x:c>
      <x:c r="I1967" s="14" t="n">
        <x:f>E2_plantas!J48+G1967</x:f>
        <x:v>46228</x:v>
      </x:c>
      <x:c r="J1967" s="2" t="str">
        <x:v>adulta</x:v>
      </x:c>
      <x:c r="K1967" s="2" t="n">
        <x:v>1</x:v>
      </x:c>
      <x:c r="L1967" s="2" t="n">
        <x:v>0</x:v>
      </x:c>
      <x:c r="M1967" s="2" t="n">
        <x:f>SUM(L$1934:L1967)</x:f>
        <x:v>57</x:v>
      </x:c>
      <x:c r="N1967" s="2" t="n">
        <x:v>0</x:v>
      </x:c>
      <x:c r="O1967" s="2" t="str">
        <x:v>seguimiento</x:v>
      </x:c>
      <x:c r="P1967" s="2" t="n">
        <x:v>0</x:v>
      </x:c>
      <x:c r="Q1967" s="2" t="str">
        <x:v>simulado_didactico</x:v>
      </x:c>
    </x:row>
    <x:row r="1968" ht="19" customHeight="1">
      <x:c r="A1968" s="2" t="str">
        <x:v>SIM-E2-BB-L7-R07</x:v>
      </x:c>
      <x:c r="B1968" s="2" t="n">
        <x:v>4</x:v>
      </x:c>
      <x:c r="C1968" s="2" t="str">
        <x:v>BB</x:v>
      </x:c>
      <x:c r="D1968" s="2" t="str">
        <x:v>Brevicoryne brassicae</x:v>
      </x:c>
      <x:c r="E1968" s="2" t="str">
        <x:v>L7</x:v>
      </x:c>
      <x:c r="F1968" s="2" t="n">
        <x:v>7</x:v>
      </x:c>
      <x:c r="G1968" s="2" t="n">
        <x:v>34</x:v>
      </x:c>
      <x:c r="H1968" s="2" t="n">
        <x:f>G1968+Supuestos!$C$15</x:f>
        <x:v>35</x:v>
      </x:c>
      <x:c r="I1968" s="14" t="n">
        <x:f>E2_plantas!J48+G1968</x:f>
        <x:v>46229</x:v>
      </x:c>
      <x:c r="J1968" s="2" t="str">
        <x:v>muerta</x:v>
      </x:c>
      <x:c r="K1968" s="2" t="n">
        <x:v>0</x:v>
      </x:c>
      <x:c r="L1968" s="2" t="n">
        <x:v>0</x:v>
      </x:c>
      <x:c r="M1968" s="2" t="n">
        <x:f>SUM(L$1934:L1968)</x:f>
        <x:v>57</x:v>
      </x:c>
      <x:c r="N1968" s="2" t="n">
        <x:v>1</x:v>
      </x:c>
      <x:c r="O1968" s="2" t="str">
        <x:v>muerte</x:v>
      </x:c>
      <x:c r="P1968" s="2" t="n">
        <x:v>0</x:v>
      </x:c>
      <x:c r="Q1968" s="2" t="str">
        <x:v>simulado_didactico</x:v>
      </x:c>
    </x:row>
    <x:row r="1969" ht="19" customHeight="1">
      <x:c r="A1969" s="2" t="str">
        <x:v>SIM-E2-BB-L7-R07</x:v>
      </x:c>
      <x:c r="B1969" s="2" t="n">
        <x:v>4</x:v>
      </x:c>
      <x:c r="C1969" s="2" t="str">
        <x:v>BB</x:v>
      </x:c>
      <x:c r="D1969" s="2" t="str">
        <x:v>Brevicoryne brassicae</x:v>
      </x:c>
      <x:c r="E1969" s="2" t="str">
        <x:v>L7</x:v>
      </x:c>
      <x:c r="F1969" s="2" t="n">
        <x:v>7</x:v>
      </x:c>
      <x:c r="G1969" s="2" t="n">
        <x:v>35</x:v>
      </x:c>
      <x:c r="H1969" s="2" t="n">
        <x:f>G1969+Supuestos!$C$15</x:f>
        <x:v>36</x:v>
      </x:c>
      <x:c r="I1969" s="14" t="n">
        <x:f>E2_plantas!J48+G1969</x:f>
        <x:v>46230</x:v>
      </x:c>
      <x:c r="J1969" s="2" t="str">
        <x:v>muerta</x:v>
      </x:c>
      <x:c r="K1969" s="2" t="n">
        <x:v>0</x:v>
      </x:c>
      <x:c r="L1969" s="2" t="n">
        <x:v>0</x:v>
      </x:c>
      <x:c r="M1969" s="2" t="n">
        <x:f>SUM(L$1934:L1969)</x:f>
        <x:v>57</x:v>
      </x:c>
      <x:c r="N1969" s="2" t="n">
        <x:v>0</x:v>
      </x:c>
      <x:c r="O1969" s="2" t="str">
        <x:v>relleno_postmuerte</x:v>
      </x:c>
      <x:c r="P1969" s="2" t="n">
        <x:v>0</x:v>
      </x:c>
      <x:c r="Q1969" s="2" t="str">
        <x:v>simulado_didactico</x:v>
      </x:c>
    </x:row>
    <x:row r="1970" ht="19" customHeight="1">
      <x:c r="A1970" s="2" t="str">
        <x:v>SIM-E2-BB-L7-R07</x:v>
      </x:c>
      <x:c r="B1970" s="2" t="n">
        <x:v>4</x:v>
      </x:c>
      <x:c r="C1970" s="2" t="str">
        <x:v>BB</x:v>
      </x:c>
      <x:c r="D1970" s="2" t="str">
        <x:v>Brevicoryne brassicae</x:v>
      </x:c>
      <x:c r="E1970" s="2" t="str">
        <x:v>L7</x:v>
      </x:c>
      <x:c r="F1970" s="2" t="n">
        <x:v>7</x:v>
      </x:c>
      <x:c r="G1970" s="2" t="n">
        <x:v>36</x:v>
      </x:c>
      <x:c r="H1970" s="2" t="n">
        <x:f>G1970+Supuestos!$C$15</x:f>
        <x:v>37</x:v>
      </x:c>
      <x:c r="I1970" s="14" t="n">
        <x:f>E2_plantas!J48+G1970</x:f>
        <x:v>46231</x:v>
      </x:c>
      <x:c r="J1970" s="2" t="str">
        <x:v>muerta</x:v>
      </x:c>
      <x:c r="K1970" s="2" t="n">
        <x:v>0</x:v>
      </x:c>
      <x:c r="L1970" s="2" t="n">
        <x:v>0</x:v>
      </x:c>
      <x:c r="M1970" s="2" t="n">
        <x:f>SUM(L$1934:L1970)</x:f>
        <x:v>57</x:v>
      </x:c>
      <x:c r="N1970" s="2" t="n">
        <x:v>0</x:v>
      </x:c>
      <x:c r="O1970" s="2" t="str">
        <x:v>relleno_postmuerte</x:v>
      </x:c>
      <x:c r="P1970" s="2" t="n">
        <x:v>0</x:v>
      </x:c>
      <x:c r="Q1970" s="2" t="str">
        <x:v>simulado_didactico</x:v>
      </x:c>
    </x:row>
    <x:row r="1971" ht="19" customHeight="1">
      <x:c r="A1971" s="2" t="str">
        <x:v>SIM-E2-BB-L7-R07</x:v>
      </x:c>
      <x:c r="B1971" s="2" t="n">
        <x:v>4</x:v>
      </x:c>
      <x:c r="C1971" s="2" t="str">
        <x:v>BB</x:v>
      </x:c>
      <x:c r="D1971" s="2" t="str">
        <x:v>Brevicoryne brassicae</x:v>
      </x:c>
      <x:c r="E1971" s="2" t="str">
        <x:v>L7</x:v>
      </x:c>
      <x:c r="F1971" s="2" t="n">
        <x:v>7</x:v>
      </x:c>
      <x:c r="G1971" s="2" t="n">
        <x:v>37</x:v>
      </x:c>
      <x:c r="H1971" s="2" t="n">
        <x:f>G1971+Supuestos!$C$15</x:f>
        <x:v>38</x:v>
      </x:c>
      <x:c r="I1971" s="14" t="n">
        <x:f>E2_plantas!J48+G1971</x:f>
        <x:v>46232</x:v>
      </x:c>
      <x:c r="J1971" s="2" t="str">
        <x:v>muerta</x:v>
      </x:c>
      <x:c r="K1971" s="2" t="n">
        <x:v>0</x:v>
      </x:c>
      <x:c r="L1971" s="2" t="n">
        <x:v>0</x:v>
      </x:c>
      <x:c r="M1971" s="2" t="n">
        <x:f>SUM(L$1934:L1971)</x:f>
        <x:v>57</x:v>
      </x:c>
      <x:c r="N1971" s="2" t="n">
        <x:v>0</x:v>
      </x:c>
      <x:c r="O1971" s="2" t="str">
        <x:v>relleno_postmuerte</x:v>
      </x:c>
      <x:c r="P1971" s="2" t="n">
        <x:v>0</x:v>
      </x:c>
      <x:c r="Q1971" s="2" t="str">
        <x:v>simulado_didactico</x:v>
      </x:c>
    </x:row>
    <x:row r="1972" ht="19" customHeight="1">
      <x:c r="A1972" s="2" t="str">
        <x:v>SIM-E2-BB-L7-R07</x:v>
      </x:c>
      <x:c r="B1972" s="2" t="n">
        <x:v>4</x:v>
      </x:c>
      <x:c r="C1972" s="2" t="str">
        <x:v>BB</x:v>
      </x:c>
      <x:c r="D1972" s="2" t="str">
        <x:v>Brevicoryne brassicae</x:v>
      </x:c>
      <x:c r="E1972" s="2" t="str">
        <x:v>L7</x:v>
      </x:c>
      <x:c r="F1972" s="2" t="n">
        <x:v>7</x:v>
      </x:c>
      <x:c r="G1972" s="2" t="n">
        <x:v>38</x:v>
      </x:c>
      <x:c r="H1972" s="2" t="n">
        <x:f>G1972+Supuestos!$C$15</x:f>
        <x:v>39</x:v>
      </x:c>
      <x:c r="I1972" s="14" t="n">
        <x:f>E2_plantas!J48+G1972</x:f>
        <x:v>46233</x:v>
      </x:c>
      <x:c r="J1972" s="2" t="str">
        <x:v>muerta</x:v>
      </x:c>
      <x:c r="K1972" s="2" t="n">
        <x:v>0</x:v>
      </x:c>
      <x:c r="L1972" s="2" t="n">
        <x:v>0</x:v>
      </x:c>
      <x:c r="M1972" s="2" t="n">
        <x:f>SUM(L$1934:L1972)</x:f>
        <x:v>57</x:v>
      </x:c>
      <x:c r="N1972" s="2" t="n">
        <x:v>0</x:v>
      </x:c>
      <x:c r="O1972" s="2" t="str">
        <x:v>relleno_postmuerte</x:v>
      </x:c>
      <x:c r="P1972" s="2" t="n">
        <x:v>0</x:v>
      </x:c>
      <x:c r="Q1972" s="2" t="str">
        <x:v>simulado_didactico</x:v>
      </x:c>
    </x:row>
    <x:row r="1973" ht="19" customHeight="1">
      <x:c r="A1973" s="2" t="str">
        <x:v>SIM-E2-BB-L7-R07</x:v>
      </x:c>
      <x:c r="B1973" s="2" t="n">
        <x:v>4</x:v>
      </x:c>
      <x:c r="C1973" s="2" t="str">
        <x:v>BB</x:v>
      </x:c>
      <x:c r="D1973" s="2" t="str">
        <x:v>Brevicoryne brassicae</x:v>
      </x:c>
      <x:c r="E1973" s="2" t="str">
        <x:v>L7</x:v>
      </x:c>
      <x:c r="F1973" s="2" t="n">
        <x:v>7</x:v>
      </x:c>
      <x:c r="G1973" s="2" t="n">
        <x:v>39</x:v>
      </x:c>
      <x:c r="H1973" s="2" t="n">
        <x:f>G1973+Supuestos!$C$15</x:f>
        <x:v>40</x:v>
      </x:c>
      <x:c r="I1973" s="14" t="n">
        <x:f>E2_plantas!J48+G1973</x:f>
        <x:v>46234</x:v>
      </x:c>
      <x:c r="J1973" s="2" t="str">
        <x:v>muerta</x:v>
      </x:c>
      <x:c r="K1973" s="2" t="n">
        <x:v>0</x:v>
      </x:c>
      <x:c r="L1973" s="2" t="n">
        <x:v>0</x:v>
      </x:c>
      <x:c r="M1973" s="2" t="n">
        <x:f>SUM(L$1934:L1973)</x:f>
        <x:v>57</x:v>
      </x:c>
      <x:c r="N1973" s="2" t="n">
        <x:v>0</x:v>
      </x:c>
      <x:c r="O1973" s="2" t="str">
        <x:v>relleno_postmuerte</x:v>
      </x:c>
      <x:c r="P1973" s="2" t="n">
        <x:v>0</x:v>
      </x:c>
      <x:c r="Q1973" s="2" t="str">
        <x:v>simulado_didactico</x:v>
      </x:c>
    </x:row>
    <x:row r="1974" ht="19" customHeight="1">
      <x:c r="A1974" s="2" t="str">
        <x:v>SIM-E2-BB-L7-R07</x:v>
      </x:c>
      <x:c r="B1974" s="2" t="n">
        <x:v>4</x:v>
      </x:c>
      <x:c r="C1974" s="2" t="str">
        <x:v>BB</x:v>
      </x:c>
      <x:c r="D1974" s="2" t="str">
        <x:v>Brevicoryne brassicae</x:v>
      </x:c>
      <x:c r="E1974" s="2" t="str">
        <x:v>L7</x:v>
      </x:c>
      <x:c r="F1974" s="2" t="n">
        <x:v>7</x:v>
      </x:c>
      <x:c r="G1974" s="2" t="n">
        <x:v>40</x:v>
      </x:c>
      <x:c r="H1974" s="2" t="n">
        <x:f>G1974+Supuestos!$C$15</x:f>
        <x:v>41</x:v>
      </x:c>
      <x:c r="I1974" s="14" t="n">
        <x:f>E2_plantas!J48+G1974</x:f>
        <x:v>46235</x:v>
      </x:c>
      <x:c r="J1974" s="2" t="str">
        <x:v>muerta</x:v>
      </x:c>
      <x:c r="K1974" s="2" t="n">
        <x:v>0</x:v>
      </x:c>
      <x:c r="L1974" s="2" t="n">
        <x:v>0</x:v>
      </x:c>
      <x:c r="M1974" s="2" t="n">
        <x:f>SUM(L$1934:L1974)</x:f>
        <x:v>57</x:v>
      </x:c>
      <x:c r="N1974" s="2" t="n">
        <x:v>0</x:v>
      </x:c>
      <x:c r="O1974" s="2" t="str">
        <x:v>relleno_postmuerte</x:v>
      </x:c>
      <x:c r="P1974" s="2" t="n">
        <x:v>0</x:v>
      </x:c>
      <x:c r="Q1974" s="2" t="str">
        <x:v>simulado_didactico</x:v>
      </x:c>
    </x:row>
    <x:row r="1975" ht="19" customHeight="1">
      <x:c r="A1975" s="2" t="str">
        <x:v>SIM-E2-BB-L7-R07</x:v>
      </x:c>
      <x:c r="B1975" s="2" t="n">
        <x:v>4</x:v>
      </x:c>
      <x:c r="C1975" s="2" t="str">
        <x:v>BB</x:v>
      </x:c>
      <x:c r="D1975" s="2" t="str">
        <x:v>Brevicoryne brassicae</x:v>
      </x:c>
      <x:c r="E1975" s="2" t="str">
        <x:v>L7</x:v>
      </x:c>
      <x:c r="F1975" s="2" t="n">
        <x:v>7</x:v>
      </x:c>
      <x:c r="G1975" s="2" t="n">
        <x:v>41</x:v>
      </x:c>
      <x:c r="H1975" s="2" t="n">
        <x:f>G1975+Supuestos!$C$15</x:f>
        <x:v>42</x:v>
      </x:c>
      <x:c r="I1975" s="14" t="n">
        <x:f>E2_plantas!J48+G1975</x:f>
        <x:v>46236</x:v>
      </x:c>
      <x:c r="J1975" s="2" t="str">
        <x:v>muerta</x:v>
      </x:c>
      <x:c r="K1975" s="2" t="n">
        <x:v>0</x:v>
      </x:c>
      <x:c r="L1975" s="2" t="n">
        <x:v>0</x:v>
      </x:c>
      <x:c r="M1975" s="2" t="n">
        <x:f>SUM(L$1934:L1975)</x:f>
        <x:v>57</x:v>
      </x:c>
      <x:c r="N1975" s="2" t="n">
        <x:v>0</x:v>
      </x:c>
      <x:c r="O1975" s="2" t="str">
        <x:v>relleno_postmuerte</x:v>
      </x:c>
      <x:c r="P1975" s="2" t="n">
        <x:v>0</x:v>
      </x:c>
      <x:c r="Q1975" s="2" t="str">
        <x:v>simulado_didactico</x:v>
      </x:c>
    </x:row>
    <x:row r="1976" ht="19" customHeight="1">
      <x:c r="A1976" s="2" t="str">
        <x:v>SIM-E2-BB-L7-R08</x:v>
      </x:c>
      <x:c r="B1976" s="2" t="n">
        <x:v>4</x:v>
      </x:c>
      <x:c r="C1976" s="2" t="str">
        <x:v>BB</x:v>
      </x:c>
      <x:c r="D1976" s="2" t="str">
        <x:v>Brevicoryne brassicae</x:v>
      </x:c>
      <x:c r="E1976" s="2" t="str">
        <x:v>L7</x:v>
      </x:c>
      <x:c r="F1976" s="2" t="n">
        <x:v>8</x:v>
      </x:c>
      <x:c r="G1976" s="2" t="n">
        <x:v>0</x:v>
      </x:c>
      <x:c r="H1976" s="2" t="n">
        <x:f>G1976+Supuestos!$C$15</x:f>
        <x:v>1</x:v>
      </x:c>
      <x:c r="I1976" s="14" t="n">
        <x:f>E2_plantas!J49+G1976</x:f>
        <x:v>46195</x:v>
      </x:c>
      <x:c r="J1976" s="2" t="str">
        <x:v>N1</x:v>
      </x:c>
      <x:c r="K1976" s="2" t="n">
        <x:v>1</x:v>
      </x:c>
      <x:c r="L1976" s="2" t="n">
        <x:v>0</x:v>
      </x:c>
      <x:c r="M1976" s="2" t="n">
        <x:f>SUM(L$1976:L1976)</x:f>
        <x:v>0</x:v>
      </x:c>
      <x:c r="N1976" s="2" t="n">
        <x:v>0</x:v>
      </x:c>
      <x:c r="O1976" s="2" t="str">
        <x:v>seguimiento</x:v>
      </x:c>
      <x:c r="P1976" s="2" t="n">
        <x:v>0</x:v>
      </x:c>
      <x:c r="Q1976" s="2" t="str">
        <x:v>simulado_didactico</x:v>
      </x:c>
    </x:row>
    <x:row r="1977" ht="19" customHeight="1">
      <x:c r="A1977" s="2" t="str">
        <x:v>SIM-E2-BB-L7-R08</x:v>
      </x:c>
      <x:c r="B1977" s="2" t="n">
        <x:v>4</x:v>
      </x:c>
      <x:c r="C1977" s="2" t="str">
        <x:v>BB</x:v>
      </x:c>
      <x:c r="D1977" s="2" t="str">
        <x:v>Brevicoryne brassicae</x:v>
      </x:c>
      <x:c r="E1977" s="2" t="str">
        <x:v>L7</x:v>
      </x:c>
      <x:c r="F1977" s="2" t="n">
        <x:v>8</x:v>
      </x:c>
      <x:c r="G1977" s="2" t="n">
        <x:v>1</x:v>
      </x:c>
      <x:c r="H1977" s="2" t="n">
        <x:f>G1977+Supuestos!$C$15</x:f>
        <x:v>2</x:v>
      </x:c>
      <x:c r="I1977" s="14" t="n">
        <x:f>E2_plantas!J49+G1977</x:f>
        <x:v>46196</x:v>
      </x:c>
      <x:c r="J1977" s="2" t="str">
        <x:v>N1</x:v>
      </x:c>
      <x:c r="K1977" s="2" t="n">
        <x:v>1</x:v>
      </x:c>
      <x:c r="L1977" s="2" t="n">
        <x:v>0</x:v>
      </x:c>
      <x:c r="M1977" s="2" t="n">
        <x:f>SUM(L$1976:L1977)</x:f>
        <x:v>0</x:v>
      </x:c>
      <x:c r="N1977" s="2" t="n">
        <x:v>0</x:v>
      </x:c>
      <x:c r="O1977" s="2" t="str">
        <x:v>seguimiento</x:v>
      </x:c>
      <x:c r="P1977" s="2" t="n">
        <x:v>0</x:v>
      </x:c>
      <x:c r="Q1977" s="2" t="str">
        <x:v>simulado_didactico</x:v>
      </x:c>
    </x:row>
    <x:row r="1978" ht="19" customHeight="1">
      <x:c r="A1978" s="2" t="str">
        <x:v>SIM-E2-BB-L7-R08</x:v>
      </x:c>
      <x:c r="B1978" s="2" t="n">
        <x:v>4</x:v>
      </x:c>
      <x:c r="C1978" s="2" t="str">
        <x:v>BB</x:v>
      </x:c>
      <x:c r="D1978" s="2" t="str">
        <x:v>Brevicoryne brassicae</x:v>
      </x:c>
      <x:c r="E1978" s="2" t="str">
        <x:v>L7</x:v>
      </x:c>
      <x:c r="F1978" s="2" t="n">
        <x:v>8</x:v>
      </x:c>
      <x:c r="G1978" s="2" t="n">
        <x:v>2</x:v>
      </x:c>
      <x:c r="H1978" s="2" t="n">
        <x:f>G1978+Supuestos!$C$15</x:f>
        <x:v>3</x:v>
      </x:c>
      <x:c r="I1978" s="14" t="n">
        <x:f>E2_plantas!J49+G1978</x:f>
        <x:v>46197</x:v>
      </x:c>
      <x:c r="J1978" s="2" t="str">
        <x:v>N1</x:v>
      </x:c>
      <x:c r="K1978" s="2" t="n">
        <x:v>1</x:v>
      </x:c>
      <x:c r="L1978" s="2" t="n">
        <x:v>0</x:v>
      </x:c>
      <x:c r="M1978" s="2" t="n">
        <x:f>SUM(L$1976:L1978)</x:f>
        <x:v>0</x:v>
      </x:c>
      <x:c r="N1978" s="2" t="n">
        <x:v>0</x:v>
      </x:c>
      <x:c r="O1978" s="2" t="str">
        <x:v>seguimiento</x:v>
      </x:c>
      <x:c r="P1978" s="2" t="n">
        <x:v>0</x:v>
      </x:c>
      <x:c r="Q1978" s="2" t="str">
        <x:v>simulado_didactico</x:v>
      </x:c>
    </x:row>
    <x:row r="1979" ht="19" customHeight="1">
      <x:c r="A1979" s="2" t="str">
        <x:v>SIM-E2-BB-L7-R08</x:v>
      </x:c>
      <x:c r="B1979" s="2" t="n">
        <x:v>4</x:v>
      </x:c>
      <x:c r="C1979" s="2" t="str">
        <x:v>BB</x:v>
      </x:c>
      <x:c r="D1979" s="2" t="str">
        <x:v>Brevicoryne brassicae</x:v>
      </x:c>
      <x:c r="E1979" s="2" t="str">
        <x:v>L7</x:v>
      </x:c>
      <x:c r="F1979" s="2" t="n">
        <x:v>8</x:v>
      </x:c>
      <x:c r="G1979" s="2" t="n">
        <x:v>3</x:v>
      </x:c>
      <x:c r="H1979" s="2" t="n">
        <x:f>G1979+Supuestos!$C$15</x:f>
        <x:v>4</x:v>
      </x:c>
      <x:c r="I1979" s="14" t="n">
        <x:f>E2_plantas!J49+G1979</x:f>
        <x:v>46198</x:v>
      </x:c>
      <x:c r="J1979" s="2" t="str">
        <x:v>N2</x:v>
      </x:c>
      <x:c r="K1979" s="2" t="n">
        <x:v>1</x:v>
      </x:c>
      <x:c r="L1979" s="2" t="n">
        <x:v>0</x:v>
      </x:c>
      <x:c r="M1979" s="2" t="n">
        <x:f>SUM(L$1976:L1979)</x:f>
        <x:v>0</x:v>
      </x:c>
      <x:c r="N1979" s="2" t="n">
        <x:v>0</x:v>
      </x:c>
      <x:c r="O1979" s="2" t="str">
        <x:v>seguimiento</x:v>
      </x:c>
      <x:c r="P1979" s="2" t="n">
        <x:v>0</x:v>
      </x:c>
      <x:c r="Q1979" s="2" t="str">
        <x:v>simulado_didactico</x:v>
      </x:c>
    </x:row>
    <x:row r="1980" ht="19" customHeight="1">
      <x:c r="A1980" s="2" t="str">
        <x:v>SIM-E2-BB-L7-R08</x:v>
      </x:c>
      <x:c r="B1980" s="2" t="n">
        <x:v>4</x:v>
      </x:c>
      <x:c r="C1980" s="2" t="str">
        <x:v>BB</x:v>
      </x:c>
      <x:c r="D1980" s="2" t="str">
        <x:v>Brevicoryne brassicae</x:v>
      </x:c>
      <x:c r="E1980" s="2" t="str">
        <x:v>L7</x:v>
      </x:c>
      <x:c r="F1980" s="2" t="n">
        <x:v>8</x:v>
      </x:c>
      <x:c r="G1980" s="2" t="n">
        <x:v>4</x:v>
      </x:c>
      <x:c r="H1980" s="2" t="n">
        <x:f>G1980+Supuestos!$C$15</x:f>
        <x:v>5</x:v>
      </x:c>
      <x:c r="I1980" s="14" t="n">
        <x:f>E2_plantas!J49+G1980</x:f>
        <x:v>46199</x:v>
      </x:c>
      <x:c r="J1980" s="2" t="str">
        <x:v>N3</x:v>
      </x:c>
      <x:c r="K1980" s="2" t="n">
        <x:v>1</x:v>
      </x:c>
      <x:c r="L1980" s="2" t="n">
        <x:v>0</x:v>
      </x:c>
      <x:c r="M1980" s="2" t="n">
        <x:f>SUM(L$1976:L1980)</x:f>
        <x:v>0</x:v>
      </x:c>
      <x:c r="N1980" s="2" t="n">
        <x:v>0</x:v>
      </x:c>
      <x:c r="O1980" s="2" t="str">
        <x:v>seguimiento</x:v>
      </x:c>
      <x:c r="P1980" s="2" t="n">
        <x:v>0</x:v>
      </x:c>
      <x:c r="Q1980" s="2" t="str">
        <x:v>simulado_didactico</x:v>
      </x:c>
    </x:row>
    <x:row r="1981" ht="19" customHeight="1">
      <x:c r="A1981" s="2" t="str">
        <x:v>SIM-E2-BB-L7-R08</x:v>
      </x:c>
      <x:c r="B1981" s="2" t="n">
        <x:v>4</x:v>
      </x:c>
      <x:c r="C1981" s="2" t="str">
        <x:v>BB</x:v>
      </x:c>
      <x:c r="D1981" s="2" t="str">
        <x:v>Brevicoryne brassicae</x:v>
      </x:c>
      <x:c r="E1981" s="2" t="str">
        <x:v>L7</x:v>
      </x:c>
      <x:c r="F1981" s="2" t="n">
        <x:v>8</x:v>
      </x:c>
      <x:c r="G1981" s="2" t="n">
        <x:v>5</x:v>
      </x:c>
      <x:c r="H1981" s="2" t="n">
        <x:f>G1981+Supuestos!$C$15</x:f>
        <x:v>6</x:v>
      </x:c>
      <x:c r="I1981" s="14" t="n">
        <x:f>E2_plantas!J49+G1981</x:f>
        <x:v>46200</x:v>
      </x:c>
      <x:c r="J1981" s="2" t="str">
        <x:v>N3</x:v>
      </x:c>
      <x:c r="K1981" s="2" t="n">
        <x:v>1</x:v>
      </x:c>
      <x:c r="L1981" s="2" t="n">
        <x:v>0</x:v>
      </x:c>
      <x:c r="M1981" s="2" t="n">
        <x:f>SUM(L$1976:L1981)</x:f>
        <x:v>0</x:v>
      </x:c>
      <x:c r="N1981" s="2" t="n">
        <x:v>0</x:v>
      </x:c>
      <x:c r="O1981" s="2" t="str">
        <x:v>seguimiento</x:v>
      </x:c>
      <x:c r="P1981" s="2" t="n">
        <x:v>0</x:v>
      </x:c>
      <x:c r="Q1981" s="2" t="str">
        <x:v>simulado_didactico</x:v>
      </x:c>
    </x:row>
    <x:row r="1982" ht="19" customHeight="1">
      <x:c r="A1982" s="2" t="str">
        <x:v>SIM-E2-BB-L7-R08</x:v>
      </x:c>
      <x:c r="B1982" s="2" t="n">
        <x:v>4</x:v>
      </x:c>
      <x:c r="C1982" s="2" t="str">
        <x:v>BB</x:v>
      </x:c>
      <x:c r="D1982" s="2" t="str">
        <x:v>Brevicoryne brassicae</x:v>
      </x:c>
      <x:c r="E1982" s="2" t="str">
        <x:v>L7</x:v>
      </x:c>
      <x:c r="F1982" s="2" t="n">
        <x:v>8</x:v>
      </x:c>
      <x:c r="G1982" s="2" t="n">
        <x:v>6</x:v>
      </x:c>
      <x:c r="H1982" s="2" t="n">
        <x:f>G1982+Supuestos!$C$15</x:f>
        <x:v>7</x:v>
      </x:c>
      <x:c r="I1982" s="14" t="n">
        <x:f>E2_plantas!J49+G1982</x:f>
        <x:v>46201</x:v>
      </x:c>
      <x:c r="J1982" s="2" t="str">
        <x:v>N4</x:v>
      </x:c>
      <x:c r="K1982" s="2" t="n">
        <x:v>1</x:v>
      </x:c>
      <x:c r="L1982" s="2" t="n">
        <x:v>0</x:v>
      </x:c>
      <x:c r="M1982" s="2" t="n">
        <x:f>SUM(L$1976:L1982)</x:f>
        <x:v>0</x:v>
      </x:c>
      <x:c r="N1982" s="2" t="n">
        <x:v>0</x:v>
      </x:c>
      <x:c r="O1982" s="2" t="str">
        <x:v>seguimiento</x:v>
      </x:c>
      <x:c r="P1982" s="2" t="n">
        <x:v>0</x:v>
      </x:c>
      <x:c r="Q1982" s="2" t="str">
        <x:v>simulado_didactico</x:v>
      </x:c>
    </x:row>
    <x:row r="1983" ht="19" customHeight="1">
      <x:c r="A1983" s="2" t="str">
        <x:v>SIM-E2-BB-L7-R08</x:v>
      </x:c>
      <x:c r="B1983" s="2" t="n">
        <x:v>4</x:v>
      </x:c>
      <x:c r="C1983" s="2" t="str">
        <x:v>BB</x:v>
      </x:c>
      <x:c r="D1983" s="2" t="str">
        <x:v>Brevicoryne brassicae</x:v>
      </x:c>
      <x:c r="E1983" s="2" t="str">
        <x:v>L7</x:v>
      </x:c>
      <x:c r="F1983" s="2" t="n">
        <x:v>8</x:v>
      </x:c>
      <x:c r="G1983" s="2" t="n">
        <x:v>7</x:v>
      </x:c>
      <x:c r="H1983" s="2" t="n">
        <x:f>G1983+Supuestos!$C$15</x:f>
        <x:v>8</x:v>
      </x:c>
      <x:c r="I1983" s="14" t="n">
        <x:f>E2_plantas!J49+G1983</x:f>
        <x:v>46202</x:v>
      </x:c>
      <x:c r="J1983" s="2" t="str">
        <x:v>N4</x:v>
      </x:c>
      <x:c r="K1983" s="2" t="n">
        <x:v>1</x:v>
      </x:c>
      <x:c r="L1983" s="2" t="n">
        <x:v>0</x:v>
      </x:c>
      <x:c r="M1983" s="2" t="n">
        <x:f>SUM(L$1976:L1983)</x:f>
        <x:v>0</x:v>
      </x:c>
      <x:c r="N1983" s="2" t="n">
        <x:v>0</x:v>
      </x:c>
      <x:c r="O1983" s="2" t="str">
        <x:v>seguimiento</x:v>
      </x:c>
      <x:c r="P1983" s="2" t="n">
        <x:v>0</x:v>
      </x:c>
      <x:c r="Q1983" s="2" t="str">
        <x:v>simulado_didactico</x:v>
      </x:c>
    </x:row>
    <x:row r="1984" ht="19" customHeight="1">
      <x:c r="A1984" s="2" t="str">
        <x:v>SIM-E2-BB-L7-R08</x:v>
      </x:c>
      <x:c r="B1984" s="2" t="n">
        <x:v>4</x:v>
      </x:c>
      <x:c r="C1984" s="2" t="str">
        <x:v>BB</x:v>
      </x:c>
      <x:c r="D1984" s="2" t="str">
        <x:v>Brevicoryne brassicae</x:v>
      </x:c>
      <x:c r="E1984" s="2" t="str">
        <x:v>L7</x:v>
      </x:c>
      <x:c r="F1984" s="2" t="n">
        <x:v>8</x:v>
      </x:c>
      <x:c r="G1984" s="2" t="n">
        <x:v>8</x:v>
      </x:c>
      <x:c r="H1984" s="2" t="n">
        <x:f>G1984+Supuestos!$C$15</x:f>
        <x:v>9</x:v>
      </x:c>
      <x:c r="I1984" s="14" t="n">
        <x:f>E2_plantas!J49+G1984</x:f>
        <x:v>46203</x:v>
      </x:c>
      <x:c r="J1984" s="2" t="str">
        <x:v>N4</x:v>
      </x:c>
      <x:c r="K1984" s="2" t="n">
        <x:v>1</x:v>
      </x:c>
      <x:c r="L1984" s="2" t="n">
        <x:v>0</x:v>
      </x:c>
      <x:c r="M1984" s="2" t="n">
        <x:f>SUM(L$1976:L1984)</x:f>
        <x:v>0</x:v>
      </x:c>
      <x:c r="N1984" s="2" t="n">
        <x:v>0</x:v>
      </x:c>
      <x:c r="O1984" s="2" t="str">
        <x:v>seguimiento</x:v>
      </x:c>
      <x:c r="P1984" s="2" t="n">
        <x:v>0</x:v>
      </x:c>
      <x:c r="Q1984" s="2" t="str">
        <x:v>simulado_didactico</x:v>
      </x:c>
    </x:row>
    <x:row r="1985" ht="19" customHeight="1">
      <x:c r="A1985" s="2" t="str">
        <x:v>SIM-E2-BB-L7-R08</x:v>
      </x:c>
      <x:c r="B1985" s="2" t="n">
        <x:v>4</x:v>
      </x:c>
      <x:c r="C1985" s="2" t="str">
        <x:v>BB</x:v>
      </x:c>
      <x:c r="D1985" s="2" t="str">
        <x:v>Brevicoryne brassicae</x:v>
      </x:c>
      <x:c r="E1985" s="2" t="str">
        <x:v>L7</x:v>
      </x:c>
      <x:c r="F1985" s="2" t="n">
        <x:v>8</x:v>
      </x:c>
      <x:c r="G1985" s="2" t="n">
        <x:v>9</x:v>
      </x:c>
      <x:c r="H1985" s="2" t="n">
        <x:f>G1985+Supuestos!$C$15</x:f>
        <x:v>10</x:v>
      </x:c>
      <x:c r="I1985" s="14" t="n">
        <x:f>E2_plantas!J49+G1985</x:f>
        <x:v>46204</x:v>
      </x:c>
      <x:c r="J1985" s="2" t="str">
        <x:v>adulta</x:v>
      </x:c>
      <x:c r="K1985" s="2" t="n">
        <x:v>1</x:v>
      </x:c>
      <x:c r="L1985" s="2" t="n">
        <x:v>0</x:v>
      </x:c>
      <x:c r="M1985" s="2" t="n">
        <x:f>SUM(L$1976:L1985)</x:f>
        <x:v>0</x:v>
      </x:c>
      <x:c r="N1985" s="2" t="n">
        <x:v>0</x:v>
      </x:c>
      <x:c r="O1985" s="2" t="str">
        <x:v>seguimiento</x:v>
      </x:c>
      <x:c r="P1985" s="2" t="n">
        <x:v>0</x:v>
      </x:c>
      <x:c r="Q1985" s="2" t="str">
        <x:v>simulado_didactico</x:v>
      </x:c>
    </x:row>
    <x:row r="1986" ht="19" customHeight="1">
      <x:c r="A1986" s="2" t="str">
        <x:v>SIM-E2-BB-L7-R08</x:v>
      </x:c>
      <x:c r="B1986" s="2" t="n">
        <x:v>4</x:v>
      </x:c>
      <x:c r="C1986" s="2" t="str">
        <x:v>BB</x:v>
      </x:c>
      <x:c r="D1986" s="2" t="str">
        <x:v>Brevicoryne brassicae</x:v>
      </x:c>
      <x:c r="E1986" s="2" t="str">
        <x:v>L7</x:v>
      </x:c>
      <x:c r="F1986" s="2" t="n">
        <x:v>8</x:v>
      </x:c>
      <x:c r="G1986" s="2" t="n">
        <x:v>10</x:v>
      </x:c>
      <x:c r="H1986" s="2" t="n">
        <x:f>G1986+Supuestos!$C$15</x:f>
        <x:v>11</x:v>
      </x:c>
      <x:c r="I1986" s="14" t="n">
        <x:f>E2_plantas!J49+G1986</x:f>
        <x:v>46205</x:v>
      </x:c>
      <x:c r="J1986" s="2" t="str">
        <x:v>adulta</x:v>
      </x:c>
      <x:c r="K1986" s="2" t="n">
        <x:v>1</x:v>
      </x:c>
      <x:c r="L1986" s="2" t="n">
        <x:v>1</x:v>
      </x:c>
      <x:c r="M1986" s="2" t="n">
        <x:f>SUM(L$1976:L1986)</x:f>
        <x:v>1</x:v>
      </x:c>
      <x:c r="N1986" s="2" t="n">
        <x:v>0</x:v>
      </x:c>
      <x:c r="O1986" s="2" t="str">
        <x:v>seguimiento</x:v>
      </x:c>
      <x:c r="P1986" s="2" t="n">
        <x:v>0</x:v>
      </x:c>
      <x:c r="Q1986" s="2" t="str">
        <x:v>simulado_didactico</x:v>
      </x:c>
    </x:row>
    <x:row r="1987" ht="19" customHeight="1">
      <x:c r="A1987" s="2" t="str">
        <x:v>SIM-E2-BB-L7-R08</x:v>
      </x:c>
      <x:c r="B1987" s="2" t="n">
        <x:v>4</x:v>
      </x:c>
      <x:c r="C1987" s="2" t="str">
        <x:v>BB</x:v>
      </x:c>
      <x:c r="D1987" s="2" t="str">
        <x:v>Brevicoryne brassicae</x:v>
      </x:c>
      <x:c r="E1987" s="2" t="str">
        <x:v>L7</x:v>
      </x:c>
      <x:c r="F1987" s="2" t="n">
        <x:v>8</x:v>
      </x:c>
      <x:c r="G1987" s="2" t="n">
        <x:v>11</x:v>
      </x:c>
      <x:c r="H1987" s="2" t="n">
        <x:f>G1987+Supuestos!$C$15</x:f>
        <x:v>12</x:v>
      </x:c>
      <x:c r="I1987" s="14" t="n">
        <x:f>E2_plantas!J49+G1987</x:f>
        <x:v>46206</x:v>
      </x:c>
      <x:c r="J1987" s="2" t="str">
        <x:v>adulta</x:v>
      </x:c>
      <x:c r="K1987" s="2" t="n">
        <x:v>1</x:v>
      </x:c>
      <x:c r="L1987" s="2" t="n">
        <x:v>2</x:v>
      </x:c>
      <x:c r="M1987" s="2" t="n">
        <x:f>SUM(L$1976:L1987)</x:f>
        <x:v>3</x:v>
      </x:c>
      <x:c r="N1987" s="2" t="n">
        <x:v>0</x:v>
      </x:c>
      <x:c r="O1987" s="2" t="str">
        <x:v>seguimiento</x:v>
      </x:c>
      <x:c r="P1987" s="2" t="n">
        <x:v>0</x:v>
      </x:c>
      <x:c r="Q1987" s="2" t="str">
        <x:v>simulado_didactico</x:v>
      </x:c>
    </x:row>
    <x:row r="1988" ht="19" customHeight="1">
      <x:c r="A1988" s="2" t="str">
        <x:v>SIM-E2-BB-L7-R08</x:v>
      </x:c>
      <x:c r="B1988" s="2" t="n">
        <x:v>4</x:v>
      </x:c>
      <x:c r="C1988" s="2" t="str">
        <x:v>BB</x:v>
      </x:c>
      <x:c r="D1988" s="2" t="str">
        <x:v>Brevicoryne brassicae</x:v>
      </x:c>
      <x:c r="E1988" s="2" t="str">
        <x:v>L7</x:v>
      </x:c>
      <x:c r="F1988" s="2" t="n">
        <x:v>8</x:v>
      </x:c>
      <x:c r="G1988" s="2" t="n">
        <x:v>12</x:v>
      </x:c>
      <x:c r="H1988" s="2" t="n">
        <x:f>G1988+Supuestos!$C$15</x:f>
        <x:v>13</x:v>
      </x:c>
      <x:c r="I1988" s="14" t="n">
        <x:f>E2_plantas!J49+G1988</x:f>
        <x:v>46207</x:v>
      </x:c>
      <x:c r="J1988" s="2" t="str">
        <x:v>adulta</x:v>
      </x:c>
      <x:c r="K1988" s="2" t="n">
        <x:v>1</x:v>
      </x:c>
      <x:c r="L1988" s="2" t="n">
        <x:v>5</x:v>
      </x:c>
      <x:c r="M1988" s="2" t="n">
        <x:f>SUM(L$1976:L1988)</x:f>
        <x:v>8</x:v>
      </x:c>
      <x:c r="N1988" s="2" t="n">
        <x:v>0</x:v>
      </x:c>
      <x:c r="O1988" s="2" t="str">
        <x:v>seguimiento</x:v>
      </x:c>
      <x:c r="P1988" s="2" t="n">
        <x:v>0</x:v>
      </x:c>
      <x:c r="Q1988" s="2" t="str">
        <x:v>simulado_didactico</x:v>
      </x:c>
    </x:row>
    <x:row r="1989" ht="19" customHeight="1">
      <x:c r="A1989" s="2" t="str">
        <x:v>SIM-E2-BB-L7-R08</x:v>
      </x:c>
      <x:c r="B1989" s="2" t="n">
        <x:v>4</x:v>
      </x:c>
      <x:c r="C1989" s="2" t="str">
        <x:v>BB</x:v>
      </x:c>
      <x:c r="D1989" s="2" t="str">
        <x:v>Brevicoryne brassicae</x:v>
      </x:c>
      <x:c r="E1989" s="2" t="str">
        <x:v>L7</x:v>
      </x:c>
      <x:c r="F1989" s="2" t="n">
        <x:v>8</x:v>
      </x:c>
      <x:c r="G1989" s="2" t="n">
        <x:v>13</x:v>
      </x:c>
      <x:c r="H1989" s="2" t="n">
        <x:f>G1989+Supuestos!$C$15</x:f>
        <x:v>14</x:v>
      </x:c>
      <x:c r="I1989" s="14" t="n">
        <x:f>E2_plantas!J49+G1989</x:f>
        <x:v>46208</x:v>
      </x:c>
      <x:c r="J1989" s="2" t="str">
        <x:v>adulta</x:v>
      </x:c>
      <x:c r="K1989" s="2" t="n">
        <x:v>1</x:v>
      </x:c>
      <x:c r="L1989" s="2" t="n">
        <x:v>3</x:v>
      </x:c>
      <x:c r="M1989" s="2" t="n">
        <x:f>SUM(L$1976:L1989)</x:f>
        <x:v>11</x:v>
      </x:c>
      <x:c r="N1989" s="2" t="n">
        <x:v>0</x:v>
      </x:c>
      <x:c r="O1989" s="2" t="str">
        <x:v>seguimiento</x:v>
      </x:c>
      <x:c r="P1989" s="2" t="n">
        <x:v>0</x:v>
      </x:c>
      <x:c r="Q1989" s="2" t="str">
        <x:v>simulado_didactico</x:v>
      </x:c>
    </x:row>
    <x:row r="1990" ht="19" customHeight="1">
      <x:c r="A1990" s="2" t="str">
        <x:v>SIM-E2-BB-L7-R08</x:v>
      </x:c>
      <x:c r="B1990" s="2" t="n">
        <x:v>4</x:v>
      </x:c>
      <x:c r="C1990" s="2" t="str">
        <x:v>BB</x:v>
      </x:c>
      <x:c r="D1990" s="2" t="str">
        <x:v>Brevicoryne brassicae</x:v>
      </x:c>
      <x:c r="E1990" s="2" t="str">
        <x:v>L7</x:v>
      </x:c>
      <x:c r="F1990" s="2" t="n">
        <x:v>8</x:v>
      </x:c>
      <x:c r="G1990" s="2" t="n">
        <x:v>14</x:v>
      </x:c>
      <x:c r="H1990" s="2" t="n">
        <x:f>G1990+Supuestos!$C$15</x:f>
        <x:v>15</x:v>
      </x:c>
      <x:c r="I1990" s="14" t="n">
        <x:f>E2_plantas!J49+G1990</x:f>
        <x:v>46209</x:v>
      </x:c>
      <x:c r="J1990" s="2" t="str">
        <x:v>adulta</x:v>
      </x:c>
      <x:c r="K1990" s="2" t="n">
        <x:v>1</x:v>
      </x:c>
      <x:c r="L1990" s="2" t="n">
        <x:v>2</x:v>
      </x:c>
      <x:c r="M1990" s="2" t="n">
        <x:f>SUM(L$1976:L1990)</x:f>
        <x:v>13</x:v>
      </x:c>
      <x:c r="N1990" s="2" t="n">
        <x:v>0</x:v>
      </x:c>
      <x:c r="O1990" s="2" t="str">
        <x:v>seguimiento</x:v>
      </x:c>
      <x:c r="P1990" s="2" t="n">
        <x:v>0</x:v>
      </x:c>
      <x:c r="Q1990" s="2" t="str">
        <x:v>simulado_didactico</x:v>
      </x:c>
    </x:row>
    <x:row r="1991" ht="19" customHeight="1">
      <x:c r="A1991" s="2" t="str">
        <x:v>SIM-E2-BB-L7-R08</x:v>
      </x:c>
      <x:c r="B1991" s="2" t="n">
        <x:v>4</x:v>
      </x:c>
      <x:c r="C1991" s="2" t="str">
        <x:v>BB</x:v>
      </x:c>
      <x:c r="D1991" s="2" t="str">
        <x:v>Brevicoryne brassicae</x:v>
      </x:c>
      <x:c r="E1991" s="2" t="str">
        <x:v>L7</x:v>
      </x:c>
      <x:c r="F1991" s="2" t="n">
        <x:v>8</x:v>
      </x:c>
      <x:c r="G1991" s="2" t="n">
        <x:v>15</x:v>
      </x:c>
      <x:c r="H1991" s="2" t="n">
        <x:f>G1991+Supuestos!$C$15</x:f>
        <x:v>16</x:v>
      </x:c>
      <x:c r="I1991" s="14" t="n">
        <x:f>E2_plantas!J49+G1991</x:f>
        <x:v>46210</x:v>
      </x:c>
      <x:c r="J1991" s="2" t="str">
        <x:v>adulta</x:v>
      </x:c>
      <x:c r="K1991" s="2" t="n">
        <x:v>1</x:v>
      </x:c>
      <x:c r="L1991" s="2" t="n">
        <x:v>4</x:v>
      </x:c>
      <x:c r="M1991" s="2" t="n">
        <x:f>SUM(L$1976:L1991)</x:f>
        <x:v>17</x:v>
      </x:c>
      <x:c r="N1991" s="2" t="n">
        <x:v>0</x:v>
      </x:c>
      <x:c r="O1991" s="2" t="str">
        <x:v>seguimiento</x:v>
      </x:c>
      <x:c r="P1991" s="2" t="n">
        <x:v>0</x:v>
      </x:c>
      <x:c r="Q1991" s="2" t="str">
        <x:v>simulado_didactico</x:v>
      </x:c>
    </x:row>
    <x:row r="1992" ht="19" customHeight="1">
      <x:c r="A1992" s="2" t="str">
        <x:v>SIM-E2-BB-L7-R08</x:v>
      </x:c>
      <x:c r="B1992" s="2" t="n">
        <x:v>4</x:v>
      </x:c>
      <x:c r="C1992" s="2" t="str">
        <x:v>BB</x:v>
      </x:c>
      <x:c r="D1992" s="2" t="str">
        <x:v>Brevicoryne brassicae</x:v>
      </x:c>
      <x:c r="E1992" s="2" t="str">
        <x:v>L7</x:v>
      </x:c>
      <x:c r="F1992" s="2" t="n">
        <x:v>8</x:v>
      </x:c>
      <x:c r="G1992" s="2" t="n">
        <x:v>16</x:v>
      </x:c>
      <x:c r="H1992" s="2" t="n">
        <x:f>G1992+Supuestos!$C$15</x:f>
        <x:v>17</x:v>
      </x:c>
      <x:c r="I1992" s="14" t="n">
        <x:f>E2_plantas!J49+G1992</x:f>
        <x:v>46211</x:v>
      </x:c>
      <x:c r="J1992" s="2" t="str">
        <x:v>adulta</x:v>
      </x:c>
      <x:c r="K1992" s="2" t="n">
        <x:v>1</x:v>
      </x:c>
      <x:c r="L1992" s="2" t="n">
        <x:v>2</x:v>
      </x:c>
      <x:c r="M1992" s="2" t="n">
        <x:f>SUM(L$1976:L1992)</x:f>
        <x:v>19</x:v>
      </x:c>
      <x:c r="N1992" s="2" t="n">
        <x:v>0</x:v>
      </x:c>
      <x:c r="O1992" s="2" t="str">
        <x:v>seguimiento</x:v>
      </x:c>
      <x:c r="P1992" s="2" t="n">
        <x:v>0</x:v>
      </x:c>
      <x:c r="Q1992" s="2" t="str">
        <x:v>simulado_didactico</x:v>
      </x:c>
    </x:row>
    <x:row r="1993" ht="19" customHeight="1">
      <x:c r="A1993" s="2" t="str">
        <x:v>SIM-E2-BB-L7-R08</x:v>
      </x:c>
      <x:c r="B1993" s="2" t="n">
        <x:v>4</x:v>
      </x:c>
      <x:c r="C1993" s="2" t="str">
        <x:v>BB</x:v>
      </x:c>
      <x:c r="D1993" s="2" t="str">
        <x:v>Brevicoryne brassicae</x:v>
      </x:c>
      <x:c r="E1993" s="2" t="str">
        <x:v>L7</x:v>
      </x:c>
      <x:c r="F1993" s="2" t="n">
        <x:v>8</x:v>
      </x:c>
      <x:c r="G1993" s="2" t="n">
        <x:v>17</x:v>
      </x:c>
      <x:c r="H1993" s="2" t="n">
        <x:f>G1993+Supuestos!$C$15</x:f>
        <x:v>18</x:v>
      </x:c>
      <x:c r="I1993" s="14" t="n">
        <x:f>E2_plantas!J49+G1993</x:f>
        <x:v>46212</x:v>
      </x:c>
      <x:c r="J1993" s="2" t="str">
        <x:v>adulta</x:v>
      </x:c>
      <x:c r="K1993" s="2" t="n">
        <x:v>1</x:v>
      </x:c>
      <x:c r="L1993" s="2" t="n">
        <x:v>5</x:v>
      </x:c>
      <x:c r="M1993" s="2" t="n">
        <x:f>SUM(L$1976:L1993)</x:f>
        <x:v>24</x:v>
      </x:c>
      <x:c r="N1993" s="2" t="n">
        <x:v>0</x:v>
      </x:c>
      <x:c r="O1993" s="2" t="str">
        <x:v>seguimiento</x:v>
      </x:c>
      <x:c r="P1993" s="2" t="n">
        <x:v>0</x:v>
      </x:c>
      <x:c r="Q1993" s="2" t="str">
        <x:v>simulado_didactico</x:v>
      </x:c>
    </x:row>
    <x:row r="1994" ht="19" customHeight="1">
      <x:c r="A1994" s="2" t="str">
        <x:v>SIM-E2-BB-L7-R08</x:v>
      </x:c>
      <x:c r="B1994" s="2" t="n">
        <x:v>4</x:v>
      </x:c>
      <x:c r="C1994" s="2" t="str">
        <x:v>BB</x:v>
      </x:c>
      <x:c r="D1994" s="2" t="str">
        <x:v>Brevicoryne brassicae</x:v>
      </x:c>
      <x:c r="E1994" s="2" t="str">
        <x:v>L7</x:v>
      </x:c>
      <x:c r="F1994" s="2" t="n">
        <x:v>8</x:v>
      </x:c>
      <x:c r="G1994" s="2" t="n">
        <x:v>18</x:v>
      </x:c>
      <x:c r="H1994" s="2" t="n">
        <x:f>G1994+Supuestos!$C$15</x:f>
        <x:v>19</x:v>
      </x:c>
      <x:c r="I1994" s="14" t="n">
        <x:f>E2_plantas!J49+G1994</x:f>
        <x:v>46213</x:v>
      </x:c>
      <x:c r="J1994" s="2" t="str">
        <x:v>adulta</x:v>
      </x:c>
      <x:c r="K1994" s="2" t="n">
        <x:v>1</x:v>
      </x:c>
      <x:c r="L1994" s="2" t="n">
        <x:v>2</x:v>
      </x:c>
      <x:c r="M1994" s="2" t="n">
        <x:f>SUM(L$1976:L1994)</x:f>
        <x:v>26</x:v>
      </x:c>
      <x:c r="N1994" s="2" t="n">
        <x:v>0</x:v>
      </x:c>
      <x:c r="O1994" s="2" t="str">
        <x:v>seguimiento</x:v>
      </x:c>
      <x:c r="P1994" s="2" t="n">
        <x:v>0</x:v>
      </x:c>
      <x:c r="Q1994" s="2" t="str">
        <x:v>simulado_didactico</x:v>
      </x:c>
    </x:row>
    <x:row r="1995" ht="19" customHeight="1">
      <x:c r="A1995" s="2" t="str">
        <x:v>SIM-E2-BB-L7-R08</x:v>
      </x:c>
      <x:c r="B1995" s="2" t="n">
        <x:v>4</x:v>
      </x:c>
      <x:c r="C1995" s="2" t="str">
        <x:v>BB</x:v>
      </x:c>
      <x:c r="D1995" s="2" t="str">
        <x:v>Brevicoryne brassicae</x:v>
      </x:c>
      <x:c r="E1995" s="2" t="str">
        <x:v>L7</x:v>
      </x:c>
      <x:c r="F1995" s="2" t="n">
        <x:v>8</x:v>
      </x:c>
      <x:c r="G1995" s="2" t="n">
        <x:v>19</x:v>
      </x:c>
      <x:c r="H1995" s="2" t="n">
        <x:f>G1995+Supuestos!$C$15</x:f>
        <x:v>20</x:v>
      </x:c>
      <x:c r="I1995" s="14" t="n">
        <x:f>E2_plantas!J49+G1995</x:f>
        <x:v>46214</x:v>
      </x:c>
      <x:c r="J1995" s="2" t="str">
        <x:v>adulta</x:v>
      </x:c>
      <x:c r="K1995" s="2" t="n">
        <x:v>1</x:v>
      </x:c>
      <x:c r="L1995" s="2" t="n">
        <x:v>3</x:v>
      </x:c>
      <x:c r="M1995" s="2" t="n">
        <x:f>SUM(L$1976:L1995)</x:f>
        <x:v>29</x:v>
      </x:c>
      <x:c r="N1995" s="2" t="n">
        <x:v>0</x:v>
      </x:c>
      <x:c r="O1995" s="2" t="str">
        <x:v>seguimiento</x:v>
      </x:c>
      <x:c r="P1995" s="2" t="n">
        <x:v>0</x:v>
      </x:c>
      <x:c r="Q1995" s="2" t="str">
        <x:v>simulado_didactico</x:v>
      </x:c>
    </x:row>
    <x:row r="1996" ht="19" customHeight="1">
      <x:c r="A1996" s="2" t="str">
        <x:v>SIM-E2-BB-L7-R08</x:v>
      </x:c>
      <x:c r="B1996" s="2" t="n">
        <x:v>4</x:v>
      </x:c>
      <x:c r="C1996" s="2" t="str">
        <x:v>BB</x:v>
      </x:c>
      <x:c r="D1996" s="2" t="str">
        <x:v>Brevicoryne brassicae</x:v>
      </x:c>
      <x:c r="E1996" s="2" t="str">
        <x:v>L7</x:v>
      </x:c>
      <x:c r="F1996" s="2" t="n">
        <x:v>8</x:v>
      </x:c>
      <x:c r="G1996" s="2" t="n">
        <x:v>20</x:v>
      </x:c>
      <x:c r="H1996" s="2" t="n">
        <x:f>G1996+Supuestos!$C$15</x:f>
        <x:v>21</x:v>
      </x:c>
      <x:c r="I1996" s="14" t="n">
        <x:f>E2_plantas!J49+G1996</x:f>
        <x:v>46215</x:v>
      </x:c>
      <x:c r="J1996" s="2" t="str">
        <x:v>adulta</x:v>
      </x:c>
      <x:c r="K1996" s="2" t="n">
        <x:v>1</x:v>
      </x:c>
      <x:c r="L1996" s="2" t="n">
        <x:v>4</x:v>
      </x:c>
      <x:c r="M1996" s="2" t="n">
        <x:f>SUM(L$1976:L1996)</x:f>
        <x:v>33</x:v>
      </x:c>
      <x:c r="N1996" s="2" t="n">
        <x:v>0</x:v>
      </x:c>
      <x:c r="O1996" s="2" t="str">
        <x:v>seguimiento</x:v>
      </x:c>
      <x:c r="P1996" s="2" t="n">
        <x:v>0</x:v>
      </x:c>
      <x:c r="Q1996" s="2" t="str">
        <x:v>simulado_didactico</x:v>
      </x:c>
    </x:row>
    <x:row r="1997" ht="19" customHeight="1">
      <x:c r="A1997" s="2" t="str">
        <x:v>SIM-E2-BB-L7-R08</x:v>
      </x:c>
      <x:c r="B1997" s="2" t="n">
        <x:v>4</x:v>
      </x:c>
      <x:c r="C1997" s="2" t="str">
        <x:v>BB</x:v>
      </x:c>
      <x:c r="D1997" s="2" t="str">
        <x:v>Brevicoryne brassicae</x:v>
      </x:c>
      <x:c r="E1997" s="2" t="str">
        <x:v>L7</x:v>
      </x:c>
      <x:c r="F1997" s="2" t="n">
        <x:v>8</x:v>
      </x:c>
      <x:c r="G1997" s="2" t="n">
        <x:v>21</x:v>
      </x:c>
      <x:c r="H1997" s="2" t="n">
        <x:f>G1997+Supuestos!$C$15</x:f>
        <x:v>22</x:v>
      </x:c>
      <x:c r="I1997" s="14" t="n">
        <x:f>E2_plantas!J49+G1997</x:f>
        <x:v>46216</x:v>
      </x:c>
      <x:c r="J1997" s="2" t="str">
        <x:v>adulta</x:v>
      </x:c>
      <x:c r="K1997" s="2" t="n">
        <x:v>1</x:v>
      </x:c>
      <x:c r="L1997" s="2" t="n">
        <x:v>3</x:v>
      </x:c>
      <x:c r="M1997" s="2" t="n">
        <x:f>SUM(L$1976:L1997)</x:f>
        <x:v>36</x:v>
      </x:c>
      <x:c r="N1997" s="2" t="n">
        <x:v>0</x:v>
      </x:c>
      <x:c r="O1997" s="2" t="str">
        <x:v>seguimiento</x:v>
      </x:c>
      <x:c r="P1997" s="2" t="n">
        <x:v>0</x:v>
      </x:c>
      <x:c r="Q1997" s="2" t="str">
        <x:v>simulado_didactico</x:v>
      </x:c>
    </x:row>
    <x:row r="1998" ht="19" customHeight="1">
      <x:c r="A1998" s="2" t="str">
        <x:v>SIM-E2-BB-L7-R08</x:v>
      </x:c>
      <x:c r="B1998" s="2" t="n">
        <x:v>4</x:v>
      </x:c>
      <x:c r="C1998" s="2" t="str">
        <x:v>BB</x:v>
      </x:c>
      <x:c r="D1998" s="2" t="str">
        <x:v>Brevicoryne brassicae</x:v>
      </x:c>
      <x:c r="E1998" s="2" t="str">
        <x:v>L7</x:v>
      </x:c>
      <x:c r="F1998" s="2" t="n">
        <x:v>8</x:v>
      </x:c>
      <x:c r="G1998" s="2" t="n">
        <x:v>22</x:v>
      </x:c>
      <x:c r="H1998" s="2" t="n">
        <x:f>G1998+Supuestos!$C$15</x:f>
        <x:v>23</x:v>
      </x:c>
      <x:c r="I1998" s="14" t="n">
        <x:f>E2_plantas!J49+G1998</x:f>
        <x:v>46217</x:v>
      </x:c>
      <x:c r="J1998" s="2" t="str">
        <x:v>adulta</x:v>
      </x:c>
      <x:c r="K1998" s="2" t="n">
        <x:v>1</x:v>
      </x:c>
      <x:c r="L1998" s="2" t="n">
        <x:v>3</x:v>
      </x:c>
      <x:c r="M1998" s="2" t="n">
        <x:f>SUM(L$1976:L1998)</x:f>
        <x:v>39</x:v>
      </x:c>
      <x:c r="N1998" s="2" t="n">
        <x:v>0</x:v>
      </x:c>
      <x:c r="O1998" s="2" t="str">
        <x:v>seguimiento</x:v>
      </x:c>
      <x:c r="P1998" s="2" t="n">
        <x:v>0</x:v>
      </x:c>
      <x:c r="Q1998" s="2" t="str">
        <x:v>simulado_didactico</x:v>
      </x:c>
    </x:row>
    <x:row r="1999" ht="19" customHeight="1">
      <x:c r="A1999" s="2" t="str">
        <x:v>SIM-E2-BB-L7-R08</x:v>
      </x:c>
      <x:c r="B1999" s="2" t="n">
        <x:v>4</x:v>
      </x:c>
      <x:c r="C1999" s="2" t="str">
        <x:v>BB</x:v>
      </x:c>
      <x:c r="D1999" s="2" t="str">
        <x:v>Brevicoryne brassicae</x:v>
      </x:c>
      <x:c r="E1999" s="2" t="str">
        <x:v>L7</x:v>
      </x:c>
      <x:c r="F1999" s="2" t="n">
        <x:v>8</x:v>
      </x:c>
      <x:c r="G1999" s="2" t="n">
        <x:v>23</x:v>
      </x:c>
      <x:c r="H1999" s="2" t="n">
        <x:f>G1999+Supuestos!$C$15</x:f>
        <x:v>24</x:v>
      </x:c>
      <x:c r="I1999" s="14" t="n">
        <x:f>E2_plantas!J49+G1999</x:f>
        <x:v>46218</x:v>
      </x:c>
      <x:c r="J1999" s="2" t="str">
        <x:v>adulta</x:v>
      </x:c>
      <x:c r="K1999" s="2" t="n">
        <x:v>1</x:v>
      </x:c>
      <x:c r="L1999" s="2" t="n">
        <x:v>0</x:v>
      </x:c>
      <x:c r="M1999" s="2" t="n">
        <x:f>SUM(L$1976:L1999)</x:f>
        <x:v>39</x:v>
      </x:c>
      <x:c r="N1999" s="2" t="n">
        <x:v>0</x:v>
      </x:c>
      <x:c r="O1999" s="2" t="str">
        <x:v>seguimiento</x:v>
      </x:c>
      <x:c r="P1999" s="2" t="n">
        <x:v>0</x:v>
      </x:c>
      <x:c r="Q1999" s="2" t="str">
        <x:v>simulado_didactico</x:v>
      </x:c>
    </x:row>
    <x:row r="2000" ht="19" customHeight="1">
      <x:c r="A2000" s="2" t="str">
        <x:v>SIM-E2-BB-L7-R08</x:v>
      </x:c>
      <x:c r="B2000" s="2" t="n">
        <x:v>4</x:v>
      </x:c>
      <x:c r="C2000" s="2" t="str">
        <x:v>BB</x:v>
      </x:c>
      <x:c r="D2000" s="2" t="str">
        <x:v>Brevicoryne brassicae</x:v>
      </x:c>
      <x:c r="E2000" s="2" t="str">
        <x:v>L7</x:v>
      </x:c>
      <x:c r="F2000" s="2" t="n">
        <x:v>8</x:v>
      </x:c>
      <x:c r="G2000" s="2" t="n">
        <x:v>24</x:v>
      </x:c>
      <x:c r="H2000" s="2" t="n">
        <x:f>G2000+Supuestos!$C$15</x:f>
        <x:v>25</x:v>
      </x:c>
      <x:c r="I2000" s="14" t="n">
        <x:f>E2_plantas!J49+G2000</x:f>
        <x:v>46219</x:v>
      </x:c>
      <x:c r="J2000" s="2" t="str">
        <x:v>adulta</x:v>
      </x:c>
      <x:c r="K2000" s="2" t="n">
        <x:v>1</x:v>
      </x:c>
      <x:c r="L2000" s="2" t="n">
        <x:v>0</x:v>
      </x:c>
      <x:c r="M2000" s="2" t="n">
        <x:f>SUM(L$1976:L2000)</x:f>
        <x:v>39</x:v>
      </x:c>
      <x:c r="N2000" s="2" t="n">
        <x:v>0</x:v>
      </x:c>
      <x:c r="O2000" s="2" t="str">
        <x:v>seguimiento</x:v>
      </x:c>
      <x:c r="P2000" s="2" t="n">
        <x:v>0</x:v>
      </x:c>
      <x:c r="Q2000" s="2" t="str">
        <x:v>simulado_didactico</x:v>
      </x:c>
    </x:row>
    <x:row r="2001" ht="19" customHeight="1">
      <x:c r="A2001" s="2" t="str">
        <x:v>SIM-E2-BB-L7-R08</x:v>
      </x:c>
      <x:c r="B2001" s="2" t="n">
        <x:v>4</x:v>
      </x:c>
      <x:c r="C2001" s="2" t="str">
        <x:v>BB</x:v>
      </x:c>
      <x:c r="D2001" s="2" t="str">
        <x:v>Brevicoryne brassicae</x:v>
      </x:c>
      <x:c r="E2001" s="2" t="str">
        <x:v>L7</x:v>
      </x:c>
      <x:c r="F2001" s="2" t="n">
        <x:v>8</x:v>
      </x:c>
      <x:c r="G2001" s="2" t="n">
        <x:v>25</x:v>
      </x:c>
      <x:c r="H2001" s="2" t="n">
        <x:f>G2001+Supuestos!$C$15</x:f>
        <x:v>26</x:v>
      </x:c>
      <x:c r="I2001" s="14" t="n">
        <x:f>E2_plantas!J49+G2001</x:f>
        <x:v>46220</x:v>
      </x:c>
      <x:c r="J2001" s="2" t="str">
        <x:v>adulta</x:v>
      </x:c>
      <x:c r="K2001" s="2" t="n">
        <x:v>1</x:v>
      </x:c>
      <x:c r="L2001" s="2" t="n">
        <x:v>0</x:v>
      </x:c>
      <x:c r="M2001" s="2" t="n">
        <x:f>SUM(L$1976:L2001)</x:f>
        <x:v>39</x:v>
      </x:c>
      <x:c r="N2001" s="2" t="n">
        <x:v>0</x:v>
      </x:c>
      <x:c r="O2001" s="2" t="str">
        <x:v>seguimiento</x:v>
      </x:c>
      <x:c r="P2001" s="2" t="n">
        <x:v>0</x:v>
      </x:c>
      <x:c r="Q2001" s="2" t="str">
        <x:v>simulado_didactico</x:v>
      </x:c>
    </x:row>
    <x:row r="2002" ht="19" customHeight="1">
      <x:c r="A2002" s="2" t="str">
        <x:v>SIM-E2-BB-L7-R08</x:v>
      </x:c>
      <x:c r="B2002" s="2" t="n">
        <x:v>4</x:v>
      </x:c>
      <x:c r="C2002" s="2" t="str">
        <x:v>BB</x:v>
      </x:c>
      <x:c r="D2002" s="2" t="str">
        <x:v>Brevicoryne brassicae</x:v>
      </x:c>
      <x:c r="E2002" s="2" t="str">
        <x:v>L7</x:v>
      </x:c>
      <x:c r="F2002" s="2" t="n">
        <x:v>8</x:v>
      </x:c>
      <x:c r="G2002" s="2" t="n">
        <x:v>26</x:v>
      </x:c>
      <x:c r="H2002" s="2" t="n">
        <x:f>G2002+Supuestos!$C$15</x:f>
        <x:v>27</x:v>
      </x:c>
      <x:c r="I2002" s="14" t="n">
        <x:f>E2_plantas!J49+G2002</x:f>
        <x:v>46221</x:v>
      </x:c>
      <x:c r="J2002" s="2" t="str">
        <x:v>adulta</x:v>
      </x:c>
      <x:c r="K2002" s="2" t="n">
        <x:v>1</x:v>
      </x:c>
      <x:c r="L2002" s="2" t="n">
        <x:v>0</x:v>
      </x:c>
      <x:c r="M2002" s="2" t="n">
        <x:f>SUM(L$1976:L2002)</x:f>
        <x:v>39</x:v>
      </x:c>
      <x:c r="N2002" s="2" t="n">
        <x:v>0</x:v>
      </x:c>
      <x:c r="O2002" s="2" t="str">
        <x:v>seguimiento</x:v>
      </x:c>
      <x:c r="P2002" s="2" t="n">
        <x:v>0</x:v>
      </x:c>
      <x:c r="Q2002" s="2" t="str">
        <x:v>simulado_didactico</x:v>
      </x:c>
    </x:row>
    <x:row r="2003" ht="19" customHeight="1">
      <x:c r="A2003" s="2" t="str">
        <x:v>SIM-E2-BB-L7-R08</x:v>
      </x:c>
      <x:c r="B2003" s="2" t="n">
        <x:v>4</x:v>
      </x:c>
      <x:c r="C2003" s="2" t="str">
        <x:v>BB</x:v>
      </x:c>
      <x:c r="D2003" s="2" t="str">
        <x:v>Brevicoryne brassicae</x:v>
      </x:c>
      <x:c r="E2003" s="2" t="str">
        <x:v>L7</x:v>
      </x:c>
      <x:c r="F2003" s="2" t="n">
        <x:v>8</x:v>
      </x:c>
      <x:c r="G2003" s="2" t="n">
        <x:v>27</x:v>
      </x:c>
      <x:c r="H2003" s="2" t="n">
        <x:f>G2003+Supuestos!$C$15</x:f>
        <x:v>28</x:v>
      </x:c>
      <x:c r="I2003" s="14" t="n">
        <x:f>E2_plantas!J49+G2003</x:f>
        <x:v>46222</x:v>
      </x:c>
      <x:c r="J2003" s="2" t="str">
        <x:v>adulta</x:v>
      </x:c>
      <x:c r="K2003" s="2" t="n">
        <x:v>1</x:v>
      </x:c>
      <x:c r="L2003" s="2" t="n">
        <x:v>0</x:v>
      </x:c>
      <x:c r="M2003" s="2" t="n">
        <x:f>SUM(L$1976:L2003)</x:f>
        <x:v>39</x:v>
      </x:c>
      <x:c r="N2003" s="2" t="n">
        <x:v>0</x:v>
      </x:c>
      <x:c r="O2003" s="2" t="str">
        <x:v>seguimiento</x:v>
      </x:c>
      <x:c r="P2003" s="2" t="n">
        <x:v>0</x:v>
      </x:c>
      <x:c r="Q2003" s="2" t="str">
        <x:v>simulado_didactico</x:v>
      </x:c>
    </x:row>
    <x:row r="2004" ht="19" customHeight="1">
      <x:c r="A2004" s="2" t="str">
        <x:v>SIM-E2-BB-L7-R08</x:v>
      </x:c>
      <x:c r="B2004" s="2" t="n">
        <x:v>4</x:v>
      </x:c>
      <x:c r="C2004" s="2" t="str">
        <x:v>BB</x:v>
      </x:c>
      <x:c r="D2004" s="2" t="str">
        <x:v>Brevicoryne brassicae</x:v>
      </x:c>
      <x:c r="E2004" s="2" t="str">
        <x:v>L7</x:v>
      </x:c>
      <x:c r="F2004" s="2" t="n">
        <x:v>8</x:v>
      </x:c>
      <x:c r="G2004" s="2" t="n">
        <x:v>28</x:v>
      </x:c>
      <x:c r="H2004" s="2" t="n">
        <x:f>G2004+Supuestos!$C$15</x:f>
        <x:v>29</x:v>
      </x:c>
      <x:c r="I2004" s="14" t="n">
        <x:f>E2_plantas!J49+G2004</x:f>
        <x:v>46223</x:v>
      </x:c>
      <x:c r="J2004" s="2" t="str">
        <x:v>muerta</x:v>
      </x:c>
      <x:c r="K2004" s="2" t="n">
        <x:v>0</x:v>
      </x:c>
      <x:c r="L2004" s="2" t="n">
        <x:v>0</x:v>
      </x:c>
      <x:c r="M2004" s="2" t="n">
        <x:f>SUM(L$1976:L2004)</x:f>
        <x:v>39</x:v>
      </x:c>
      <x:c r="N2004" s="2" t="n">
        <x:v>1</x:v>
      </x:c>
      <x:c r="O2004" s="2" t="str">
        <x:v>muerte</x:v>
      </x:c>
      <x:c r="P2004" s="2" t="n">
        <x:v>0</x:v>
      </x:c>
      <x:c r="Q2004" s="2" t="str">
        <x:v>simulado_didactico</x:v>
      </x:c>
    </x:row>
    <x:row r="2005" ht="19" customHeight="1">
      <x:c r="A2005" s="2" t="str">
        <x:v>SIM-E2-BB-L7-R08</x:v>
      </x:c>
      <x:c r="B2005" s="2" t="n">
        <x:v>4</x:v>
      </x:c>
      <x:c r="C2005" s="2" t="str">
        <x:v>BB</x:v>
      </x:c>
      <x:c r="D2005" s="2" t="str">
        <x:v>Brevicoryne brassicae</x:v>
      </x:c>
      <x:c r="E2005" s="2" t="str">
        <x:v>L7</x:v>
      </x:c>
      <x:c r="F2005" s="2" t="n">
        <x:v>8</x:v>
      </x:c>
      <x:c r="G2005" s="2" t="n">
        <x:v>29</x:v>
      </x:c>
      <x:c r="H2005" s="2" t="n">
        <x:f>G2005+Supuestos!$C$15</x:f>
        <x:v>30</x:v>
      </x:c>
      <x:c r="I2005" s="14" t="n">
        <x:f>E2_plantas!J49+G2005</x:f>
        <x:v>46224</x:v>
      </x:c>
      <x:c r="J2005" s="2" t="str">
        <x:v>muerta</x:v>
      </x:c>
      <x:c r="K2005" s="2" t="n">
        <x:v>0</x:v>
      </x:c>
      <x:c r="L2005" s="2" t="n">
        <x:v>0</x:v>
      </x:c>
      <x:c r="M2005" s="2" t="n">
        <x:f>SUM(L$1976:L2005)</x:f>
        <x:v>39</x:v>
      </x:c>
      <x:c r="N2005" s="2" t="n">
        <x:v>0</x:v>
      </x:c>
      <x:c r="O2005" s="2" t="str">
        <x:v>relleno_postmuerte</x:v>
      </x:c>
      <x:c r="P2005" s="2" t="n">
        <x:v>0</x:v>
      </x:c>
      <x:c r="Q2005" s="2" t="str">
        <x:v>simulado_didactico</x:v>
      </x:c>
    </x:row>
    <x:row r="2006" ht="19" customHeight="1">
      <x:c r="A2006" s="2" t="str">
        <x:v>SIM-E2-BB-L7-R08</x:v>
      </x:c>
      <x:c r="B2006" s="2" t="n">
        <x:v>4</x:v>
      </x:c>
      <x:c r="C2006" s="2" t="str">
        <x:v>BB</x:v>
      </x:c>
      <x:c r="D2006" s="2" t="str">
        <x:v>Brevicoryne brassicae</x:v>
      </x:c>
      <x:c r="E2006" s="2" t="str">
        <x:v>L7</x:v>
      </x:c>
      <x:c r="F2006" s="2" t="n">
        <x:v>8</x:v>
      </x:c>
      <x:c r="G2006" s="2" t="n">
        <x:v>30</x:v>
      </x:c>
      <x:c r="H2006" s="2" t="n">
        <x:f>G2006+Supuestos!$C$15</x:f>
        <x:v>31</x:v>
      </x:c>
      <x:c r="I2006" s="14" t="n">
        <x:f>E2_plantas!J49+G2006</x:f>
        <x:v>46225</x:v>
      </x:c>
      <x:c r="J2006" s="2" t="str">
        <x:v>muerta</x:v>
      </x:c>
      <x:c r="K2006" s="2" t="n">
        <x:v>0</x:v>
      </x:c>
      <x:c r="L2006" s="2" t="n">
        <x:v>0</x:v>
      </x:c>
      <x:c r="M2006" s="2" t="n">
        <x:f>SUM(L$1976:L2006)</x:f>
        <x:v>39</x:v>
      </x:c>
      <x:c r="N2006" s="2" t="n">
        <x:v>0</x:v>
      </x:c>
      <x:c r="O2006" s="2" t="str">
        <x:v>relleno_postmuerte</x:v>
      </x:c>
      <x:c r="P2006" s="2" t="n">
        <x:v>0</x:v>
      </x:c>
      <x:c r="Q2006" s="2" t="str">
        <x:v>simulado_didactico</x:v>
      </x:c>
    </x:row>
    <x:row r="2007" ht="19" customHeight="1">
      <x:c r="A2007" s="2" t="str">
        <x:v>SIM-E2-BB-L7-R08</x:v>
      </x:c>
      <x:c r="B2007" s="2" t="n">
        <x:v>4</x:v>
      </x:c>
      <x:c r="C2007" s="2" t="str">
        <x:v>BB</x:v>
      </x:c>
      <x:c r="D2007" s="2" t="str">
        <x:v>Brevicoryne brassicae</x:v>
      </x:c>
      <x:c r="E2007" s="2" t="str">
        <x:v>L7</x:v>
      </x:c>
      <x:c r="F2007" s="2" t="n">
        <x:v>8</x:v>
      </x:c>
      <x:c r="G2007" s="2" t="n">
        <x:v>31</x:v>
      </x:c>
      <x:c r="H2007" s="2" t="n">
        <x:f>G2007+Supuestos!$C$15</x:f>
        <x:v>32</x:v>
      </x:c>
      <x:c r="I2007" s="14" t="n">
        <x:f>E2_plantas!J49+G2007</x:f>
        <x:v>46226</x:v>
      </x:c>
      <x:c r="J2007" s="2" t="str">
        <x:v>muerta</x:v>
      </x:c>
      <x:c r="K2007" s="2" t="n">
        <x:v>0</x:v>
      </x:c>
      <x:c r="L2007" s="2" t="n">
        <x:v>0</x:v>
      </x:c>
      <x:c r="M2007" s="2" t="n">
        <x:f>SUM(L$1976:L2007)</x:f>
        <x:v>39</x:v>
      </x:c>
      <x:c r="N2007" s="2" t="n">
        <x:v>0</x:v>
      </x:c>
      <x:c r="O2007" s="2" t="str">
        <x:v>relleno_postmuerte</x:v>
      </x:c>
      <x:c r="P2007" s="2" t="n">
        <x:v>0</x:v>
      </x:c>
      <x:c r="Q2007" s="2" t="str">
        <x:v>simulado_didactico</x:v>
      </x:c>
    </x:row>
    <x:row r="2008" ht="19" customHeight="1">
      <x:c r="A2008" s="2" t="str">
        <x:v>SIM-E2-BB-L7-R08</x:v>
      </x:c>
      <x:c r="B2008" s="2" t="n">
        <x:v>4</x:v>
      </x:c>
      <x:c r="C2008" s="2" t="str">
        <x:v>BB</x:v>
      </x:c>
      <x:c r="D2008" s="2" t="str">
        <x:v>Brevicoryne brassicae</x:v>
      </x:c>
      <x:c r="E2008" s="2" t="str">
        <x:v>L7</x:v>
      </x:c>
      <x:c r="F2008" s="2" t="n">
        <x:v>8</x:v>
      </x:c>
      <x:c r="G2008" s="2" t="n">
        <x:v>32</x:v>
      </x:c>
      <x:c r="H2008" s="2" t="n">
        <x:f>G2008+Supuestos!$C$15</x:f>
        <x:v>33</x:v>
      </x:c>
      <x:c r="I2008" s="14" t="n">
        <x:f>E2_plantas!J49+G2008</x:f>
        <x:v>46227</x:v>
      </x:c>
      <x:c r="J2008" s="2" t="str">
        <x:v>muerta</x:v>
      </x:c>
      <x:c r="K2008" s="2" t="n">
        <x:v>0</x:v>
      </x:c>
      <x:c r="L2008" s="2" t="n">
        <x:v>0</x:v>
      </x:c>
      <x:c r="M2008" s="2" t="n">
        <x:f>SUM(L$1976:L2008)</x:f>
        <x:v>39</x:v>
      </x:c>
      <x:c r="N2008" s="2" t="n">
        <x:v>0</x:v>
      </x:c>
      <x:c r="O2008" s="2" t="str">
        <x:v>relleno_postmuerte</x:v>
      </x:c>
      <x:c r="P2008" s="2" t="n">
        <x:v>0</x:v>
      </x:c>
      <x:c r="Q2008" s="2" t="str">
        <x:v>simulado_didactico</x:v>
      </x:c>
    </x:row>
    <x:row r="2009" ht="19" customHeight="1">
      <x:c r="A2009" s="2" t="str">
        <x:v>SIM-E2-BB-L7-R08</x:v>
      </x:c>
      <x:c r="B2009" s="2" t="n">
        <x:v>4</x:v>
      </x:c>
      <x:c r="C2009" s="2" t="str">
        <x:v>BB</x:v>
      </x:c>
      <x:c r="D2009" s="2" t="str">
        <x:v>Brevicoryne brassicae</x:v>
      </x:c>
      <x:c r="E2009" s="2" t="str">
        <x:v>L7</x:v>
      </x:c>
      <x:c r="F2009" s="2" t="n">
        <x:v>8</x:v>
      </x:c>
      <x:c r="G2009" s="2" t="n">
        <x:v>33</x:v>
      </x:c>
      <x:c r="H2009" s="2" t="n">
        <x:f>G2009+Supuestos!$C$15</x:f>
        <x:v>34</x:v>
      </x:c>
      <x:c r="I2009" s="14" t="n">
        <x:f>E2_plantas!J49+G2009</x:f>
        <x:v>46228</x:v>
      </x:c>
      <x:c r="J2009" s="2" t="str">
        <x:v>muerta</x:v>
      </x:c>
      <x:c r="K2009" s="2" t="n">
        <x:v>0</x:v>
      </x:c>
      <x:c r="L2009" s="2" t="n">
        <x:v>0</x:v>
      </x:c>
      <x:c r="M2009" s="2" t="n">
        <x:f>SUM(L$1976:L2009)</x:f>
        <x:v>39</x:v>
      </x:c>
      <x:c r="N2009" s="2" t="n">
        <x:v>0</x:v>
      </x:c>
      <x:c r="O2009" s="2" t="str">
        <x:v>relleno_postmuerte</x:v>
      </x:c>
      <x:c r="P2009" s="2" t="n">
        <x:v>0</x:v>
      </x:c>
      <x:c r="Q2009" s="2" t="str">
        <x:v>simulado_didactico</x:v>
      </x:c>
    </x:row>
    <x:row r="2010" ht="19" customHeight="1">
      <x:c r="A2010" s="2" t="str">
        <x:v>SIM-E2-BB-L7-R08</x:v>
      </x:c>
      <x:c r="B2010" s="2" t="n">
        <x:v>4</x:v>
      </x:c>
      <x:c r="C2010" s="2" t="str">
        <x:v>BB</x:v>
      </x:c>
      <x:c r="D2010" s="2" t="str">
        <x:v>Brevicoryne brassicae</x:v>
      </x:c>
      <x:c r="E2010" s="2" t="str">
        <x:v>L7</x:v>
      </x:c>
      <x:c r="F2010" s="2" t="n">
        <x:v>8</x:v>
      </x:c>
      <x:c r="G2010" s="2" t="n">
        <x:v>34</x:v>
      </x:c>
      <x:c r="H2010" s="2" t="n">
        <x:f>G2010+Supuestos!$C$15</x:f>
        <x:v>35</x:v>
      </x:c>
      <x:c r="I2010" s="14" t="n">
        <x:f>E2_plantas!J49+G2010</x:f>
        <x:v>46229</x:v>
      </x:c>
      <x:c r="J2010" s="2" t="str">
        <x:v>muerta</x:v>
      </x:c>
      <x:c r="K2010" s="2" t="n">
        <x:v>0</x:v>
      </x:c>
      <x:c r="L2010" s="2" t="n">
        <x:v>0</x:v>
      </x:c>
      <x:c r="M2010" s="2" t="n">
        <x:f>SUM(L$1976:L2010)</x:f>
        <x:v>39</x:v>
      </x:c>
      <x:c r="N2010" s="2" t="n">
        <x:v>0</x:v>
      </x:c>
      <x:c r="O2010" s="2" t="str">
        <x:v>relleno_postmuerte</x:v>
      </x:c>
      <x:c r="P2010" s="2" t="n">
        <x:v>0</x:v>
      </x:c>
      <x:c r="Q2010" s="2" t="str">
        <x:v>simulado_didactico</x:v>
      </x:c>
    </x:row>
    <x:row r="2011" ht="19" customHeight="1">
      <x:c r="A2011" s="2" t="str">
        <x:v>SIM-E2-BB-L7-R08</x:v>
      </x:c>
      <x:c r="B2011" s="2" t="n">
        <x:v>4</x:v>
      </x:c>
      <x:c r="C2011" s="2" t="str">
        <x:v>BB</x:v>
      </x:c>
      <x:c r="D2011" s="2" t="str">
        <x:v>Brevicoryne brassicae</x:v>
      </x:c>
      <x:c r="E2011" s="2" t="str">
        <x:v>L7</x:v>
      </x:c>
      <x:c r="F2011" s="2" t="n">
        <x:v>8</x:v>
      </x:c>
      <x:c r="G2011" s="2" t="n">
        <x:v>35</x:v>
      </x:c>
      <x:c r="H2011" s="2" t="n">
        <x:f>G2011+Supuestos!$C$15</x:f>
        <x:v>36</x:v>
      </x:c>
      <x:c r="I2011" s="14" t="n">
        <x:f>E2_plantas!J49+G2011</x:f>
        <x:v>46230</x:v>
      </x:c>
      <x:c r="J2011" s="2" t="str">
        <x:v>muerta</x:v>
      </x:c>
      <x:c r="K2011" s="2" t="n">
        <x:v>0</x:v>
      </x:c>
      <x:c r="L2011" s="2" t="n">
        <x:v>0</x:v>
      </x:c>
      <x:c r="M2011" s="2" t="n">
        <x:f>SUM(L$1976:L2011)</x:f>
        <x:v>39</x:v>
      </x:c>
      <x:c r="N2011" s="2" t="n">
        <x:v>0</x:v>
      </x:c>
      <x:c r="O2011" s="2" t="str">
        <x:v>relleno_postmuerte</x:v>
      </x:c>
      <x:c r="P2011" s="2" t="n">
        <x:v>0</x:v>
      </x:c>
      <x:c r="Q2011" s="2" t="str">
        <x:v>simulado_didactico</x:v>
      </x:c>
    </x:row>
    <x:row r="2012" ht="19" customHeight="1">
      <x:c r="A2012" s="2" t="str">
        <x:v>SIM-E2-BB-L7-R08</x:v>
      </x:c>
      <x:c r="B2012" s="2" t="n">
        <x:v>4</x:v>
      </x:c>
      <x:c r="C2012" s="2" t="str">
        <x:v>BB</x:v>
      </x:c>
      <x:c r="D2012" s="2" t="str">
        <x:v>Brevicoryne brassicae</x:v>
      </x:c>
      <x:c r="E2012" s="2" t="str">
        <x:v>L7</x:v>
      </x:c>
      <x:c r="F2012" s="2" t="n">
        <x:v>8</x:v>
      </x:c>
      <x:c r="G2012" s="2" t="n">
        <x:v>36</x:v>
      </x:c>
      <x:c r="H2012" s="2" t="n">
        <x:f>G2012+Supuestos!$C$15</x:f>
        <x:v>37</x:v>
      </x:c>
      <x:c r="I2012" s="14" t="n">
        <x:f>E2_plantas!J49+G2012</x:f>
        <x:v>46231</x:v>
      </x:c>
      <x:c r="J2012" s="2" t="str">
        <x:v>muerta</x:v>
      </x:c>
      <x:c r="K2012" s="2" t="n">
        <x:v>0</x:v>
      </x:c>
      <x:c r="L2012" s="2" t="n">
        <x:v>0</x:v>
      </x:c>
      <x:c r="M2012" s="2" t="n">
        <x:f>SUM(L$1976:L2012)</x:f>
        <x:v>39</x:v>
      </x:c>
      <x:c r="N2012" s="2" t="n">
        <x:v>0</x:v>
      </x:c>
      <x:c r="O2012" s="2" t="str">
        <x:v>relleno_postmuerte</x:v>
      </x:c>
      <x:c r="P2012" s="2" t="n">
        <x:v>0</x:v>
      </x:c>
      <x:c r="Q2012" s="2" t="str">
        <x:v>simulado_didactico</x:v>
      </x:c>
    </x:row>
    <x:row r="2013" ht="19" customHeight="1">
      <x:c r="A2013" s="2" t="str">
        <x:v>SIM-E2-BB-L7-R08</x:v>
      </x:c>
      <x:c r="B2013" s="2" t="n">
        <x:v>4</x:v>
      </x:c>
      <x:c r="C2013" s="2" t="str">
        <x:v>BB</x:v>
      </x:c>
      <x:c r="D2013" s="2" t="str">
        <x:v>Brevicoryne brassicae</x:v>
      </x:c>
      <x:c r="E2013" s="2" t="str">
        <x:v>L7</x:v>
      </x:c>
      <x:c r="F2013" s="2" t="n">
        <x:v>8</x:v>
      </x:c>
      <x:c r="G2013" s="2" t="n">
        <x:v>37</x:v>
      </x:c>
      <x:c r="H2013" s="2" t="n">
        <x:f>G2013+Supuestos!$C$15</x:f>
        <x:v>38</x:v>
      </x:c>
      <x:c r="I2013" s="14" t="n">
        <x:f>E2_plantas!J49+G2013</x:f>
        <x:v>46232</x:v>
      </x:c>
      <x:c r="J2013" s="2" t="str">
        <x:v>muerta</x:v>
      </x:c>
      <x:c r="K2013" s="2" t="n">
        <x:v>0</x:v>
      </x:c>
      <x:c r="L2013" s="2" t="n">
        <x:v>0</x:v>
      </x:c>
      <x:c r="M2013" s="2" t="n">
        <x:f>SUM(L$1976:L2013)</x:f>
        <x:v>39</x:v>
      </x:c>
      <x:c r="N2013" s="2" t="n">
        <x:v>0</x:v>
      </x:c>
      <x:c r="O2013" s="2" t="str">
        <x:v>relleno_postmuerte</x:v>
      </x:c>
      <x:c r="P2013" s="2" t="n">
        <x:v>0</x:v>
      </x:c>
      <x:c r="Q2013" s="2" t="str">
        <x:v>simulado_didactico</x:v>
      </x:c>
    </x:row>
    <x:row r="2014" ht="19" customHeight="1">
      <x:c r="A2014" s="2" t="str">
        <x:v>SIM-E2-BB-L7-R08</x:v>
      </x:c>
      <x:c r="B2014" s="2" t="n">
        <x:v>4</x:v>
      </x:c>
      <x:c r="C2014" s="2" t="str">
        <x:v>BB</x:v>
      </x:c>
      <x:c r="D2014" s="2" t="str">
        <x:v>Brevicoryne brassicae</x:v>
      </x:c>
      <x:c r="E2014" s="2" t="str">
        <x:v>L7</x:v>
      </x:c>
      <x:c r="F2014" s="2" t="n">
        <x:v>8</x:v>
      </x:c>
      <x:c r="G2014" s="2" t="n">
        <x:v>38</x:v>
      </x:c>
      <x:c r="H2014" s="2" t="n">
        <x:f>G2014+Supuestos!$C$15</x:f>
        <x:v>39</x:v>
      </x:c>
      <x:c r="I2014" s="14" t="n">
        <x:f>E2_plantas!J49+G2014</x:f>
        <x:v>46233</x:v>
      </x:c>
      <x:c r="J2014" s="2" t="str">
        <x:v>muerta</x:v>
      </x:c>
      <x:c r="K2014" s="2" t="n">
        <x:v>0</x:v>
      </x:c>
      <x:c r="L2014" s="2" t="n">
        <x:v>0</x:v>
      </x:c>
      <x:c r="M2014" s="2" t="n">
        <x:f>SUM(L$1976:L2014)</x:f>
        <x:v>39</x:v>
      </x:c>
      <x:c r="N2014" s="2" t="n">
        <x:v>0</x:v>
      </x:c>
      <x:c r="O2014" s="2" t="str">
        <x:v>relleno_postmuerte</x:v>
      </x:c>
      <x:c r="P2014" s="2" t="n">
        <x:v>0</x:v>
      </x:c>
      <x:c r="Q2014" s="2" t="str">
        <x:v>simulado_didactico</x:v>
      </x:c>
    </x:row>
    <x:row r="2015" ht="19" customHeight="1">
      <x:c r="A2015" s="2" t="str">
        <x:v>SIM-E2-BB-L7-R08</x:v>
      </x:c>
      <x:c r="B2015" s="2" t="n">
        <x:v>4</x:v>
      </x:c>
      <x:c r="C2015" s="2" t="str">
        <x:v>BB</x:v>
      </x:c>
      <x:c r="D2015" s="2" t="str">
        <x:v>Brevicoryne brassicae</x:v>
      </x:c>
      <x:c r="E2015" s="2" t="str">
        <x:v>L7</x:v>
      </x:c>
      <x:c r="F2015" s="2" t="n">
        <x:v>8</x:v>
      </x:c>
      <x:c r="G2015" s="2" t="n">
        <x:v>39</x:v>
      </x:c>
      <x:c r="H2015" s="2" t="n">
        <x:f>G2015+Supuestos!$C$15</x:f>
        <x:v>40</x:v>
      </x:c>
      <x:c r="I2015" s="14" t="n">
        <x:f>E2_plantas!J49+G2015</x:f>
        <x:v>46234</x:v>
      </x:c>
      <x:c r="J2015" s="2" t="str">
        <x:v>muerta</x:v>
      </x:c>
      <x:c r="K2015" s="2" t="n">
        <x:v>0</x:v>
      </x:c>
      <x:c r="L2015" s="2" t="n">
        <x:v>0</x:v>
      </x:c>
      <x:c r="M2015" s="2" t="n">
        <x:f>SUM(L$1976:L2015)</x:f>
        <x:v>39</x:v>
      </x:c>
      <x:c r="N2015" s="2" t="n">
        <x:v>0</x:v>
      </x:c>
      <x:c r="O2015" s="2" t="str">
        <x:v>relleno_postmuerte</x:v>
      </x:c>
      <x:c r="P2015" s="2" t="n">
        <x:v>0</x:v>
      </x:c>
      <x:c r="Q2015" s="2" t="str">
        <x:v>simulado_didactico</x:v>
      </x:c>
    </x:row>
    <x:row r="2016" ht="19" customHeight="1">
      <x:c r="A2016" s="2" t="str">
        <x:v>SIM-E2-BB-L7-R08</x:v>
      </x:c>
      <x:c r="B2016" s="2" t="n">
        <x:v>4</x:v>
      </x:c>
      <x:c r="C2016" s="2" t="str">
        <x:v>BB</x:v>
      </x:c>
      <x:c r="D2016" s="2" t="str">
        <x:v>Brevicoryne brassicae</x:v>
      </x:c>
      <x:c r="E2016" s="2" t="str">
        <x:v>L7</x:v>
      </x:c>
      <x:c r="F2016" s="2" t="n">
        <x:v>8</x:v>
      </x:c>
      <x:c r="G2016" s="2" t="n">
        <x:v>40</x:v>
      </x:c>
      <x:c r="H2016" s="2" t="n">
        <x:f>G2016+Supuestos!$C$15</x:f>
        <x:v>41</x:v>
      </x:c>
      <x:c r="I2016" s="14" t="n">
        <x:f>E2_plantas!J49+G2016</x:f>
        <x:v>46235</x:v>
      </x:c>
      <x:c r="J2016" s="2" t="str">
        <x:v>muerta</x:v>
      </x:c>
      <x:c r="K2016" s="2" t="n">
        <x:v>0</x:v>
      </x:c>
      <x:c r="L2016" s="2" t="n">
        <x:v>0</x:v>
      </x:c>
      <x:c r="M2016" s="2" t="n">
        <x:f>SUM(L$1976:L2016)</x:f>
        <x:v>39</x:v>
      </x:c>
      <x:c r="N2016" s="2" t="n">
        <x:v>0</x:v>
      </x:c>
      <x:c r="O2016" s="2" t="str">
        <x:v>relleno_postmuerte</x:v>
      </x:c>
      <x:c r="P2016" s="2" t="n">
        <x:v>0</x:v>
      </x:c>
      <x:c r="Q2016" s="2" t="str">
        <x:v>simulado_didactico</x:v>
      </x:c>
    </x:row>
    <x:row r="2017" ht="19" customHeight="1">
      <x:c r="A2017" s="2" t="str">
        <x:v>SIM-E2-BB-L7-R08</x:v>
      </x:c>
      <x:c r="B2017" s="2" t="n">
        <x:v>4</x:v>
      </x:c>
      <x:c r="C2017" s="2" t="str">
        <x:v>BB</x:v>
      </x:c>
      <x:c r="D2017" s="2" t="str">
        <x:v>Brevicoryne brassicae</x:v>
      </x:c>
      <x:c r="E2017" s="2" t="str">
        <x:v>L7</x:v>
      </x:c>
      <x:c r="F2017" s="2" t="n">
        <x:v>8</x:v>
      </x:c>
      <x:c r="G2017" s="2" t="n">
        <x:v>41</x:v>
      </x:c>
      <x:c r="H2017" s="2" t="n">
        <x:f>G2017+Supuestos!$C$15</x:f>
        <x:v>42</x:v>
      </x:c>
      <x:c r="I2017" s="14" t="n">
        <x:f>E2_plantas!J49+G2017</x:f>
        <x:v>46236</x:v>
      </x:c>
      <x:c r="J2017" s="2" t="str">
        <x:v>muerta</x:v>
      </x:c>
      <x:c r="K2017" s="2" t="n">
        <x:v>0</x:v>
      </x:c>
      <x:c r="L2017" s="2" t="n">
        <x:v>0</x:v>
      </x:c>
      <x:c r="M2017" s="2" t="n">
        <x:f>SUM(L$1976:L2017)</x:f>
        <x:v>39</x:v>
      </x:c>
      <x:c r="N2017" s="2" t="n">
        <x:v>0</x:v>
      </x:c>
      <x:c r="O2017" s="2" t="str">
        <x:v>relleno_postmuerte</x:v>
      </x:c>
      <x:c r="P2017" s="2" t="n">
        <x:v>0</x:v>
      </x:c>
      <x:c r="Q2017" s="2" t="str">
        <x:v>simulado_didactico</x:v>
      </x:c>
    </x:row>
    <x:row r="2018" ht="19" customHeight="1">
      <x:c r="A2018" s="2" t="str">
        <x:v>SIM-E2-MP-L0-R09</x:v>
      </x:c>
      <x:c r="B2018" s="2" t="n">
        <x:v>5</x:v>
      </x:c>
      <x:c r="C2018" s="2" t="str">
        <x:v>MP</x:v>
      </x:c>
      <x:c r="D2018" s="2" t="str">
        <x:v>Myzus persicae</x:v>
      </x:c>
      <x:c r="E2018" s="2" t="str">
        <x:v>L0</x:v>
      </x:c>
      <x:c r="F2018" s="2" t="n">
        <x:v>9</x:v>
      </x:c>
      <x:c r="G2018" s="2" t="n">
        <x:v>0</x:v>
      </x:c>
      <x:c r="H2018" s="2" t="n">
        <x:f>G2018+Supuestos!$C$15</x:f>
        <x:v>1</x:v>
      </x:c>
      <x:c r="I2018" s="14" t="n">
        <x:f>E2_plantas!J50+G2018</x:f>
        <x:v>46202</x:v>
      </x:c>
      <x:c r="J2018" s="2" t="str">
        <x:v>N1</x:v>
      </x:c>
      <x:c r="K2018" s="2" t="n">
        <x:v>1</x:v>
      </x:c>
      <x:c r="L2018" s="2" t="n">
        <x:v>0</x:v>
      </x:c>
      <x:c r="M2018" s="2" t="n">
        <x:f>SUM(L$2018:L2018)</x:f>
        <x:v>0</x:v>
      </x:c>
      <x:c r="N2018" s="2" t="n">
        <x:v>0</x:v>
      </x:c>
      <x:c r="O2018" s="2" t="str">
        <x:v>seguimiento</x:v>
      </x:c>
      <x:c r="P2018" s="2" t="n">
        <x:v>0</x:v>
      </x:c>
      <x:c r="Q2018" s="2" t="str">
        <x:v>simulado_didactico</x:v>
      </x:c>
    </x:row>
    <x:row r="2019" ht="19" customHeight="1">
      <x:c r="A2019" s="2" t="str">
        <x:v>SIM-E2-MP-L0-R09</x:v>
      </x:c>
      <x:c r="B2019" s="2" t="n">
        <x:v>5</x:v>
      </x:c>
      <x:c r="C2019" s="2" t="str">
        <x:v>MP</x:v>
      </x:c>
      <x:c r="D2019" s="2" t="str">
        <x:v>Myzus persicae</x:v>
      </x:c>
      <x:c r="E2019" s="2" t="str">
        <x:v>L0</x:v>
      </x:c>
      <x:c r="F2019" s="2" t="n">
        <x:v>9</x:v>
      </x:c>
      <x:c r="G2019" s="2" t="n">
        <x:v>1</x:v>
      </x:c>
      <x:c r="H2019" s="2" t="n">
        <x:f>G2019+Supuestos!$C$15</x:f>
        <x:v>2</x:v>
      </x:c>
      <x:c r="I2019" s="14" t="n">
        <x:f>E2_plantas!J50+G2019</x:f>
        <x:v>46203</x:v>
      </x:c>
      <x:c r="J2019" s="2" t="str">
        <x:v>N1</x:v>
      </x:c>
      <x:c r="K2019" s="2" t="n">
        <x:v>1</x:v>
      </x:c>
      <x:c r="L2019" s="2" t="n">
        <x:v>0</x:v>
      </x:c>
      <x:c r="M2019" s="2" t="n">
        <x:f>SUM(L$2018:L2019)</x:f>
        <x:v>0</x:v>
      </x:c>
      <x:c r="N2019" s="2" t="n">
        <x:v>0</x:v>
      </x:c>
      <x:c r="O2019" s="2" t="str">
        <x:v>seguimiento</x:v>
      </x:c>
      <x:c r="P2019" s="2" t="n">
        <x:v>0</x:v>
      </x:c>
      <x:c r="Q2019" s="2" t="str">
        <x:v>simulado_didactico</x:v>
      </x:c>
    </x:row>
    <x:row r="2020" ht="19" customHeight="1">
      <x:c r="A2020" s="2" t="str">
        <x:v>SIM-E2-MP-L0-R09</x:v>
      </x:c>
      <x:c r="B2020" s="2" t="n">
        <x:v>5</x:v>
      </x:c>
      <x:c r="C2020" s="2" t="str">
        <x:v>MP</x:v>
      </x:c>
      <x:c r="D2020" s="2" t="str">
        <x:v>Myzus persicae</x:v>
      </x:c>
      <x:c r="E2020" s="2" t="str">
        <x:v>L0</x:v>
      </x:c>
      <x:c r="F2020" s="2" t="n">
        <x:v>9</x:v>
      </x:c>
      <x:c r="G2020" s="2" t="n">
        <x:v>2</x:v>
      </x:c>
      <x:c r="H2020" s="2" t="n">
        <x:f>G2020+Supuestos!$C$15</x:f>
        <x:v>3</x:v>
      </x:c>
      <x:c r="I2020" s="14" t="n">
        <x:f>E2_plantas!J50+G2020</x:f>
        <x:v>46204</x:v>
      </x:c>
      <x:c r="J2020" s="2" t="str">
        <x:v>N2</x:v>
      </x:c>
      <x:c r="K2020" s="2" t="n">
        <x:v>1</x:v>
      </x:c>
      <x:c r="L2020" s="2" t="n">
        <x:v>0</x:v>
      </x:c>
      <x:c r="M2020" s="2" t="n">
        <x:f>SUM(L$2018:L2020)</x:f>
        <x:v>0</x:v>
      </x:c>
      <x:c r="N2020" s="2" t="n">
        <x:v>0</x:v>
      </x:c>
      <x:c r="O2020" s="2" t="str">
        <x:v>seguimiento</x:v>
      </x:c>
      <x:c r="P2020" s="2" t="n">
        <x:v>0</x:v>
      </x:c>
      <x:c r="Q2020" s="2" t="str">
        <x:v>simulado_didactico</x:v>
      </x:c>
    </x:row>
    <x:row r="2021" ht="19" customHeight="1">
      <x:c r="A2021" s="2" t="str">
        <x:v>SIM-E2-MP-L0-R09</x:v>
      </x:c>
      <x:c r="B2021" s="2" t="n">
        <x:v>5</x:v>
      </x:c>
      <x:c r="C2021" s="2" t="str">
        <x:v>MP</x:v>
      </x:c>
      <x:c r="D2021" s="2" t="str">
        <x:v>Myzus persicae</x:v>
      </x:c>
      <x:c r="E2021" s="2" t="str">
        <x:v>L0</x:v>
      </x:c>
      <x:c r="F2021" s="2" t="n">
        <x:v>9</x:v>
      </x:c>
      <x:c r="G2021" s="2" t="n">
        <x:v>3</x:v>
      </x:c>
      <x:c r="H2021" s="2" t="n">
        <x:f>G2021+Supuestos!$C$15</x:f>
        <x:v>4</x:v>
      </x:c>
      <x:c r="I2021" s="14" t="n">
        <x:f>E2_plantas!J50+G2021</x:f>
        <x:v>46205</x:v>
      </x:c>
      <x:c r="J2021" s="2" t="str">
        <x:v>N2</x:v>
      </x:c>
      <x:c r="K2021" s="2" t="n">
        <x:v>1</x:v>
      </x:c>
      <x:c r="L2021" s="2" t="n">
        <x:v>0</x:v>
      </x:c>
      <x:c r="M2021" s="2" t="n">
        <x:f>SUM(L$2018:L2021)</x:f>
        <x:v>0</x:v>
      </x:c>
      <x:c r="N2021" s="2" t="n">
        <x:v>0</x:v>
      </x:c>
      <x:c r="O2021" s="2" t="str">
        <x:v>seguimiento</x:v>
      </x:c>
      <x:c r="P2021" s="2" t="n">
        <x:v>0</x:v>
      </x:c>
      <x:c r="Q2021" s="2" t="str">
        <x:v>simulado_didactico</x:v>
      </x:c>
    </x:row>
    <x:row r="2022" ht="19" customHeight="1">
      <x:c r="A2022" s="2" t="str">
        <x:v>SIM-E2-MP-L0-R09</x:v>
      </x:c>
      <x:c r="B2022" s="2" t="n">
        <x:v>5</x:v>
      </x:c>
      <x:c r="C2022" s="2" t="str">
        <x:v>MP</x:v>
      </x:c>
      <x:c r="D2022" s="2" t="str">
        <x:v>Myzus persicae</x:v>
      </x:c>
      <x:c r="E2022" s="2" t="str">
        <x:v>L0</x:v>
      </x:c>
      <x:c r="F2022" s="2" t="n">
        <x:v>9</x:v>
      </x:c>
      <x:c r="G2022" s="2" t="n">
        <x:v>4</x:v>
      </x:c>
      <x:c r="H2022" s="2" t="n">
        <x:f>G2022+Supuestos!$C$15</x:f>
        <x:v>5</x:v>
      </x:c>
      <x:c r="I2022" s="14" t="n">
        <x:f>E2_plantas!J50+G2022</x:f>
        <x:v>46206</x:v>
      </x:c>
      <x:c r="J2022" s="2" t="str">
        <x:v>N2</x:v>
      </x:c>
      <x:c r="K2022" s="2" t="n">
        <x:v>1</x:v>
      </x:c>
      <x:c r="L2022" s="2" t="n">
        <x:v>0</x:v>
      </x:c>
      <x:c r="M2022" s="2" t="n">
        <x:f>SUM(L$2018:L2022)</x:f>
        <x:v>0</x:v>
      </x:c>
      <x:c r="N2022" s="2" t="n">
        <x:v>0</x:v>
      </x:c>
      <x:c r="O2022" s="2" t="str">
        <x:v>seguimiento</x:v>
      </x:c>
      <x:c r="P2022" s="2" t="n">
        <x:v>0</x:v>
      </x:c>
      <x:c r="Q2022" s="2" t="str">
        <x:v>simulado_didactico</x:v>
      </x:c>
    </x:row>
    <x:row r="2023" ht="19" customHeight="1">
      <x:c r="A2023" s="2" t="str">
        <x:v>SIM-E2-MP-L0-R09</x:v>
      </x:c>
      <x:c r="B2023" s="2" t="n">
        <x:v>5</x:v>
      </x:c>
      <x:c r="C2023" s="2" t="str">
        <x:v>MP</x:v>
      </x:c>
      <x:c r="D2023" s="2" t="str">
        <x:v>Myzus persicae</x:v>
      </x:c>
      <x:c r="E2023" s="2" t="str">
        <x:v>L0</x:v>
      </x:c>
      <x:c r="F2023" s="2" t="n">
        <x:v>9</x:v>
      </x:c>
      <x:c r="G2023" s="2" t="n">
        <x:v>5</x:v>
      </x:c>
      <x:c r="H2023" s="2" t="n">
        <x:f>G2023+Supuestos!$C$15</x:f>
        <x:v>6</x:v>
      </x:c>
      <x:c r="I2023" s="14" t="n">
        <x:f>E2_plantas!J50+G2023</x:f>
        <x:v>46207</x:v>
      </x:c>
      <x:c r="J2023" s="2" t="str">
        <x:v>N2</x:v>
      </x:c>
      <x:c r="K2023" s="2" t="n">
        <x:v>1</x:v>
      </x:c>
      <x:c r="L2023" s="2" t="n">
        <x:v>0</x:v>
      </x:c>
      <x:c r="M2023" s="2" t="n">
        <x:f>SUM(L$2018:L2023)</x:f>
        <x:v>0</x:v>
      </x:c>
      <x:c r="N2023" s="2" t="n">
        <x:v>0</x:v>
      </x:c>
      <x:c r="O2023" s="2" t="str">
        <x:v>seguimiento</x:v>
      </x:c>
      <x:c r="P2023" s="2" t="n">
        <x:v>0</x:v>
      </x:c>
      <x:c r="Q2023" s="2" t="str">
        <x:v>simulado_didactico</x:v>
      </x:c>
    </x:row>
    <x:row r="2024" ht="19" customHeight="1">
      <x:c r="A2024" s="2" t="str">
        <x:v>SIM-E2-MP-L0-R09</x:v>
      </x:c>
      <x:c r="B2024" s="2" t="n">
        <x:v>5</x:v>
      </x:c>
      <x:c r="C2024" s="2" t="str">
        <x:v>MP</x:v>
      </x:c>
      <x:c r="D2024" s="2" t="str">
        <x:v>Myzus persicae</x:v>
      </x:c>
      <x:c r="E2024" s="2" t="str">
        <x:v>L0</x:v>
      </x:c>
      <x:c r="F2024" s="2" t="n">
        <x:v>9</x:v>
      </x:c>
      <x:c r="G2024" s="2" t="n">
        <x:v>6</x:v>
      </x:c>
      <x:c r="H2024" s="2" t="n">
        <x:f>G2024+Supuestos!$C$15</x:f>
        <x:v>7</x:v>
      </x:c>
      <x:c r="I2024" s="14" t="n">
        <x:f>E2_plantas!J50+G2024</x:f>
        <x:v>46208</x:v>
      </x:c>
      <x:c r="J2024" s="2" t="str">
        <x:v>N3</x:v>
      </x:c>
      <x:c r="K2024" s="2" t="n">
        <x:v>1</x:v>
      </x:c>
      <x:c r="L2024" s="2" t="n">
        <x:v>0</x:v>
      </x:c>
      <x:c r="M2024" s="2" t="n">
        <x:f>SUM(L$2018:L2024)</x:f>
        <x:v>0</x:v>
      </x:c>
      <x:c r="N2024" s="2" t="n">
        <x:v>0</x:v>
      </x:c>
      <x:c r="O2024" s="2" t="str">
        <x:v>seguimiento</x:v>
      </x:c>
      <x:c r="P2024" s="2" t="n">
        <x:v>0</x:v>
      </x:c>
      <x:c r="Q2024" s="2" t="str">
        <x:v>simulado_didactico</x:v>
      </x:c>
    </x:row>
    <x:row r="2025" ht="19" customHeight="1">
      <x:c r="A2025" s="2" t="str">
        <x:v>SIM-E2-MP-L0-R09</x:v>
      </x:c>
      <x:c r="B2025" s="2" t="n">
        <x:v>5</x:v>
      </x:c>
      <x:c r="C2025" s="2" t="str">
        <x:v>MP</x:v>
      </x:c>
      <x:c r="D2025" s="2" t="str">
        <x:v>Myzus persicae</x:v>
      </x:c>
      <x:c r="E2025" s="2" t="str">
        <x:v>L0</x:v>
      </x:c>
      <x:c r="F2025" s="2" t="n">
        <x:v>9</x:v>
      </x:c>
      <x:c r="G2025" s="2" t="n">
        <x:v>7</x:v>
      </x:c>
      <x:c r="H2025" s="2" t="n">
        <x:f>G2025+Supuestos!$C$15</x:f>
        <x:v>8</x:v>
      </x:c>
      <x:c r="I2025" s="14" t="n">
        <x:f>E2_plantas!J50+G2025</x:f>
        <x:v>46209</x:v>
      </x:c>
      <x:c r="J2025" s="2" t="str">
        <x:v>N3</x:v>
      </x:c>
      <x:c r="K2025" s="2" t="n">
        <x:v>1</x:v>
      </x:c>
      <x:c r="L2025" s="2" t="n">
        <x:v>0</x:v>
      </x:c>
      <x:c r="M2025" s="2" t="n">
        <x:f>SUM(L$2018:L2025)</x:f>
        <x:v>0</x:v>
      </x:c>
      <x:c r="N2025" s="2" t="n">
        <x:v>0</x:v>
      </x:c>
      <x:c r="O2025" s="2" t="str">
        <x:v>seguimiento</x:v>
      </x:c>
      <x:c r="P2025" s="2" t="n">
        <x:v>0</x:v>
      </x:c>
      <x:c r="Q2025" s="2" t="str">
        <x:v>simulado_didactico</x:v>
      </x:c>
    </x:row>
    <x:row r="2026" ht="19" customHeight="1">
      <x:c r="A2026" s="2" t="str">
        <x:v>SIM-E2-MP-L0-R09</x:v>
      </x:c>
      <x:c r="B2026" s="2" t="n">
        <x:v>5</x:v>
      </x:c>
      <x:c r="C2026" s="2" t="str">
        <x:v>MP</x:v>
      </x:c>
      <x:c r="D2026" s="2" t="str">
        <x:v>Myzus persicae</x:v>
      </x:c>
      <x:c r="E2026" s="2" t="str">
        <x:v>L0</x:v>
      </x:c>
      <x:c r="F2026" s="2" t="n">
        <x:v>9</x:v>
      </x:c>
      <x:c r="G2026" s="2" t="n">
        <x:v>8</x:v>
      </x:c>
      <x:c r="H2026" s="2" t="n">
        <x:f>G2026+Supuestos!$C$15</x:f>
        <x:v>9</x:v>
      </x:c>
      <x:c r="I2026" s="14" t="n">
        <x:f>E2_plantas!J50+G2026</x:f>
        <x:v>46210</x:v>
      </x:c>
      <x:c r="J2026" s="2" t="str">
        <x:v>N4</x:v>
      </x:c>
      <x:c r="K2026" s="2" t="n">
        <x:v>1</x:v>
      </x:c>
      <x:c r="L2026" s="2" t="n">
        <x:v>0</x:v>
      </x:c>
      <x:c r="M2026" s="2" t="n">
        <x:f>SUM(L$2018:L2026)</x:f>
        <x:v>0</x:v>
      </x:c>
      <x:c r="N2026" s="2" t="n">
        <x:v>0</x:v>
      </x:c>
      <x:c r="O2026" s="2" t="str">
        <x:v>seguimiento</x:v>
      </x:c>
      <x:c r="P2026" s="2" t="n">
        <x:v>0</x:v>
      </x:c>
      <x:c r="Q2026" s="2" t="str">
        <x:v>simulado_didactico</x:v>
      </x:c>
    </x:row>
    <x:row r="2027" ht="19" customHeight="1">
      <x:c r="A2027" s="2" t="str">
        <x:v>SIM-E2-MP-L0-R09</x:v>
      </x:c>
      <x:c r="B2027" s="2" t="n">
        <x:v>5</x:v>
      </x:c>
      <x:c r="C2027" s="2" t="str">
        <x:v>MP</x:v>
      </x:c>
      <x:c r="D2027" s="2" t="str">
        <x:v>Myzus persicae</x:v>
      </x:c>
      <x:c r="E2027" s="2" t="str">
        <x:v>L0</x:v>
      </x:c>
      <x:c r="F2027" s="2" t="n">
        <x:v>9</x:v>
      </x:c>
      <x:c r="G2027" s="2" t="n">
        <x:v>9</x:v>
      </x:c>
      <x:c r="H2027" s="2" t="n">
        <x:f>G2027+Supuestos!$C$15</x:f>
        <x:v>10</x:v>
      </x:c>
      <x:c r="I2027" s="14" t="n">
        <x:f>E2_plantas!J50+G2027</x:f>
        <x:v>46211</x:v>
      </x:c>
      <x:c r="J2027" s="2" t="str">
        <x:v>adulta</x:v>
      </x:c>
      <x:c r="K2027" s="2" t="n">
        <x:v>1</x:v>
      </x:c>
      <x:c r="L2027" s="2" t="n">
        <x:v>0</x:v>
      </x:c>
      <x:c r="M2027" s="2" t="n">
        <x:f>SUM(L$2018:L2027)</x:f>
        <x:v>0</x:v>
      </x:c>
      <x:c r="N2027" s="2" t="n">
        <x:v>0</x:v>
      </x:c>
      <x:c r="O2027" s="2" t="str">
        <x:v>seguimiento</x:v>
      </x:c>
      <x:c r="P2027" s="2" t="n">
        <x:v>0</x:v>
      </x:c>
      <x:c r="Q2027" s="2" t="str">
        <x:v>simulado_didactico</x:v>
      </x:c>
    </x:row>
    <x:row r="2028" ht="19" customHeight="1">
      <x:c r="A2028" s="2" t="str">
        <x:v>SIM-E2-MP-L0-R09</x:v>
      </x:c>
      <x:c r="B2028" s="2" t="n">
        <x:v>5</x:v>
      </x:c>
      <x:c r="C2028" s="2" t="str">
        <x:v>MP</x:v>
      </x:c>
      <x:c r="D2028" s="2" t="str">
        <x:v>Myzus persicae</x:v>
      </x:c>
      <x:c r="E2028" s="2" t="str">
        <x:v>L0</x:v>
      </x:c>
      <x:c r="F2028" s="2" t="n">
        <x:v>9</x:v>
      </x:c>
      <x:c r="G2028" s="2" t="n">
        <x:v>10</x:v>
      </x:c>
      <x:c r="H2028" s="2" t="n">
        <x:f>G2028+Supuestos!$C$15</x:f>
        <x:v>11</x:v>
      </x:c>
      <x:c r="I2028" s="14" t="n">
        <x:f>E2_plantas!J50+G2028</x:f>
        <x:v>46212</x:v>
      </x:c>
      <x:c r="J2028" s="2" t="str">
        <x:v>adulta</x:v>
      </x:c>
      <x:c r="K2028" s="2" t="n">
        <x:v>1</x:v>
      </x:c>
      <x:c r="L2028" s="2" t="n">
        <x:v>2</x:v>
      </x:c>
      <x:c r="M2028" s="2" t="n">
        <x:f>SUM(L$2018:L2028)</x:f>
        <x:v>2</x:v>
      </x:c>
      <x:c r="N2028" s="2" t="n">
        <x:v>0</x:v>
      </x:c>
      <x:c r="O2028" s="2" t="str">
        <x:v>seguimiento</x:v>
      </x:c>
      <x:c r="P2028" s="2" t="n">
        <x:v>0</x:v>
      </x:c>
      <x:c r="Q2028" s="2" t="str">
        <x:v>simulado_didactico</x:v>
      </x:c>
    </x:row>
    <x:row r="2029" ht="19" customHeight="1">
      <x:c r="A2029" s="2" t="str">
        <x:v>SIM-E2-MP-L0-R09</x:v>
      </x:c>
      <x:c r="B2029" s="2" t="n">
        <x:v>5</x:v>
      </x:c>
      <x:c r="C2029" s="2" t="str">
        <x:v>MP</x:v>
      </x:c>
      <x:c r="D2029" s="2" t="str">
        <x:v>Myzus persicae</x:v>
      </x:c>
      <x:c r="E2029" s="2" t="str">
        <x:v>L0</x:v>
      </x:c>
      <x:c r="F2029" s="2" t="n">
        <x:v>9</x:v>
      </x:c>
      <x:c r="G2029" s="2" t="n">
        <x:v>11</x:v>
      </x:c>
      <x:c r="H2029" s="2" t="n">
        <x:f>G2029+Supuestos!$C$15</x:f>
        <x:v>12</x:v>
      </x:c>
      <x:c r="I2029" s="14" t="n">
        <x:f>E2_plantas!J50+G2029</x:f>
        <x:v>46213</x:v>
      </x:c>
      <x:c r="J2029" s="2" t="str">
        <x:v>adulta</x:v>
      </x:c>
      <x:c r="K2029" s="2" t="n">
        <x:v>1</x:v>
      </x:c>
      <x:c r="L2029" s="2" t="n">
        <x:v>1</x:v>
      </x:c>
      <x:c r="M2029" s="2" t="n">
        <x:f>SUM(L$2018:L2029)</x:f>
        <x:v>3</x:v>
      </x:c>
      <x:c r="N2029" s="2" t="n">
        <x:v>0</x:v>
      </x:c>
      <x:c r="O2029" s="2" t="str">
        <x:v>seguimiento</x:v>
      </x:c>
      <x:c r="P2029" s="2" t="n">
        <x:v>0</x:v>
      </x:c>
      <x:c r="Q2029" s="2" t="str">
        <x:v>simulado_didactico</x:v>
      </x:c>
    </x:row>
    <x:row r="2030" ht="19" customHeight="1">
      <x:c r="A2030" s="2" t="str">
        <x:v>SIM-E2-MP-L0-R09</x:v>
      </x:c>
      <x:c r="B2030" s="2" t="n">
        <x:v>5</x:v>
      </x:c>
      <x:c r="C2030" s="2" t="str">
        <x:v>MP</x:v>
      </x:c>
      <x:c r="D2030" s="2" t="str">
        <x:v>Myzus persicae</x:v>
      </x:c>
      <x:c r="E2030" s="2" t="str">
        <x:v>L0</x:v>
      </x:c>
      <x:c r="F2030" s="2" t="n">
        <x:v>9</x:v>
      </x:c>
      <x:c r="G2030" s="2" t="n">
        <x:v>12</x:v>
      </x:c>
      <x:c r="H2030" s="2" t="n">
        <x:f>G2030+Supuestos!$C$15</x:f>
        <x:v>13</x:v>
      </x:c>
      <x:c r="I2030" s="14" t="n">
        <x:f>E2_plantas!J50+G2030</x:f>
        <x:v>46214</x:v>
      </x:c>
      <x:c r="J2030" s="2" t="str">
        <x:v>adulta</x:v>
      </x:c>
      <x:c r="K2030" s="2" t="n">
        <x:v>1</x:v>
      </x:c>
      <x:c r="L2030" s="2" t="n">
        <x:v>4</x:v>
      </x:c>
      <x:c r="M2030" s="2" t="n">
        <x:f>SUM(L$2018:L2030)</x:f>
        <x:v>7</x:v>
      </x:c>
      <x:c r="N2030" s="2" t="n">
        <x:v>0</x:v>
      </x:c>
      <x:c r="O2030" s="2" t="str">
        <x:v>seguimiento</x:v>
      </x:c>
      <x:c r="P2030" s="2" t="n">
        <x:v>0</x:v>
      </x:c>
      <x:c r="Q2030" s="2" t="str">
        <x:v>simulado_didactico</x:v>
      </x:c>
    </x:row>
    <x:row r="2031" ht="19" customHeight="1">
      <x:c r="A2031" s="2" t="str">
        <x:v>SIM-E2-MP-L0-R09</x:v>
      </x:c>
      <x:c r="B2031" s="2" t="n">
        <x:v>5</x:v>
      </x:c>
      <x:c r="C2031" s="2" t="str">
        <x:v>MP</x:v>
      </x:c>
      <x:c r="D2031" s="2" t="str">
        <x:v>Myzus persicae</x:v>
      </x:c>
      <x:c r="E2031" s="2" t="str">
        <x:v>L0</x:v>
      </x:c>
      <x:c r="F2031" s="2" t="n">
        <x:v>9</x:v>
      </x:c>
      <x:c r="G2031" s="2" t="n">
        <x:v>13</x:v>
      </x:c>
      <x:c r="H2031" s="2" t="n">
        <x:f>G2031+Supuestos!$C$15</x:f>
        <x:v>14</x:v>
      </x:c>
      <x:c r="I2031" s="14" t="n">
        <x:f>E2_plantas!J50+G2031</x:f>
        <x:v>46215</x:v>
      </x:c>
      <x:c r="J2031" s="2" t="str">
        <x:v>adulta</x:v>
      </x:c>
      <x:c r="K2031" s="2" t="n">
        <x:v>1</x:v>
      </x:c>
      <x:c r="L2031" s="2" t="n">
        <x:v>3</x:v>
      </x:c>
      <x:c r="M2031" s="2" t="n">
        <x:f>SUM(L$2018:L2031)</x:f>
        <x:v>10</x:v>
      </x:c>
      <x:c r="N2031" s="2" t="n">
        <x:v>0</x:v>
      </x:c>
      <x:c r="O2031" s="2" t="str">
        <x:v>seguimiento</x:v>
      </x:c>
      <x:c r="P2031" s="2" t="n">
        <x:v>0</x:v>
      </x:c>
      <x:c r="Q2031" s="2" t="str">
        <x:v>simulado_didactico</x:v>
      </x:c>
    </x:row>
    <x:row r="2032" ht="19" customHeight="1">
      <x:c r="A2032" s="2" t="str">
        <x:v>SIM-E2-MP-L0-R09</x:v>
      </x:c>
      <x:c r="B2032" s="2" t="n">
        <x:v>5</x:v>
      </x:c>
      <x:c r="C2032" s="2" t="str">
        <x:v>MP</x:v>
      </x:c>
      <x:c r="D2032" s="2" t="str">
        <x:v>Myzus persicae</x:v>
      </x:c>
      <x:c r="E2032" s="2" t="str">
        <x:v>L0</x:v>
      </x:c>
      <x:c r="F2032" s="2" t="n">
        <x:v>9</x:v>
      </x:c>
      <x:c r="G2032" s="2" t="n">
        <x:v>14</x:v>
      </x:c>
      <x:c r="H2032" s="2" t="n">
        <x:f>G2032+Supuestos!$C$15</x:f>
        <x:v>15</x:v>
      </x:c>
      <x:c r="I2032" s="14" t="n">
        <x:f>E2_plantas!J50+G2032</x:f>
        <x:v>46216</x:v>
      </x:c>
      <x:c r="J2032" s="2" t="str">
        <x:v>adulta</x:v>
      </x:c>
      <x:c r="K2032" s="2" t="n">
        <x:v>1</x:v>
      </x:c>
      <x:c r="L2032" s="2" t="n">
        <x:v>4</x:v>
      </x:c>
      <x:c r="M2032" s="2" t="n">
        <x:f>SUM(L$2018:L2032)</x:f>
        <x:v>14</x:v>
      </x:c>
      <x:c r="N2032" s="2" t="n">
        <x:v>0</x:v>
      </x:c>
      <x:c r="O2032" s="2" t="str">
        <x:v>seguimiento</x:v>
      </x:c>
      <x:c r="P2032" s="2" t="n">
        <x:v>0</x:v>
      </x:c>
      <x:c r="Q2032" s="2" t="str">
        <x:v>simulado_didactico</x:v>
      </x:c>
    </x:row>
    <x:row r="2033" ht="19" customHeight="1">
      <x:c r="A2033" s="2" t="str">
        <x:v>SIM-E2-MP-L0-R09</x:v>
      </x:c>
      <x:c r="B2033" s="2" t="n">
        <x:v>5</x:v>
      </x:c>
      <x:c r="C2033" s="2" t="str">
        <x:v>MP</x:v>
      </x:c>
      <x:c r="D2033" s="2" t="str">
        <x:v>Myzus persicae</x:v>
      </x:c>
      <x:c r="E2033" s="2" t="str">
        <x:v>L0</x:v>
      </x:c>
      <x:c r="F2033" s="2" t="n">
        <x:v>9</x:v>
      </x:c>
      <x:c r="G2033" s="2" t="n">
        <x:v>15</x:v>
      </x:c>
      <x:c r="H2033" s="2" t="n">
        <x:f>G2033+Supuestos!$C$15</x:f>
        <x:v>16</x:v>
      </x:c>
      <x:c r="I2033" s="14" t="n">
        <x:f>E2_plantas!J50+G2033</x:f>
        <x:v>46217</x:v>
      </x:c>
      <x:c r="J2033" s="2" t="str">
        <x:v>adulta</x:v>
      </x:c>
      <x:c r="K2033" s="2" t="n">
        <x:v>1</x:v>
      </x:c>
      <x:c r="L2033" s="2" t="n">
        <x:v>2</x:v>
      </x:c>
      <x:c r="M2033" s="2" t="n">
        <x:f>SUM(L$2018:L2033)</x:f>
        <x:v>16</x:v>
      </x:c>
      <x:c r="N2033" s="2" t="n">
        <x:v>0</x:v>
      </x:c>
      <x:c r="O2033" s="2" t="str">
        <x:v>seguimiento</x:v>
      </x:c>
      <x:c r="P2033" s="2" t="n">
        <x:v>0</x:v>
      </x:c>
      <x:c r="Q2033" s="2" t="str">
        <x:v>simulado_didactico</x:v>
      </x:c>
    </x:row>
    <x:row r="2034" ht="19" customHeight="1">
      <x:c r="A2034" s="2" t="str">
        <x:v>SIM-E2-MP-L0-R09</x:v>
      </x:c>
      <x:c r="B2034" s="2" t="n">
        <x:v>5</x:v>
      </x:c>
      <x:c r="C2034" s="2" t="str">
        <x:v>MP</x:v>
      </x:c>
      <x:c r="D2034" s="2" t="str">
        <x:v>Myzus persicae</x:v>
      </x:c>
      <x:c r="E2034" s="2" t="str">
        <x:v>L0</x:v>
      </x:c>
      <x:c r="F2034" s="2" t="n">
        <x:v>9</x:v>
      </x:c>
      <x:c r="G2034" s="2" t="n">
        <x:v>16</x:v>
      </x:c>
      <x:c r="H2034" s="2" t="n">
        <x:f>G2034+Supuestos!$C$15</x:f>
        <x:v>17</x:v>
      </x:c>
      <x:c r="I2034" s="14" t="n">
        <x:f>E2_plantas!J50+G2034</x:f>
        <x:v>46218</x:v>
      </x:c>
      <x:c r="J2034" s="2" t="str">
        <x:v>adulta</x:v>
      </x:c>
      <x:c r="K2034" s="2" t="n">
        <x:v>1</x:v>
      </x:c>
      <x:c r="L2034" s="2" t="n">
        <x:v>0</x:v>
      </x:c>
      <x:c r="M2034" s="2" t="n">
        <x:f>SUM(L$2018:L2034)</x:f>
        <x:v>16</x:v>
      </x:c>
      <x:c r="N2034" s="2" t="n">
        <x:v>0</x:v>
      </x:c>
      <x:c r="O2034" s="2" t="str">
        <x:v>seguimiento</x:v>
      </x:c>
      <x:c r="P2034" s="2" t="n">
        <x:v>0</x:v>
      </x:c>
      <x:c r="Q2034" s="2" t="str">
        <x:v>simulado_didactico</x:v>
      </x:c>
    </x:row>
    <x:row r="2035" ht="19" customHeight="1">
      <x:c r="A2035" s="2" t="str">
        <x:v>SIM-E2-MP-L0-R09</x:v>
      </x:c>
      <x:c r="B2035" s="2" t="n">
        <x:v>5</x:v>
      </x:c>
      <x:c r="C2035" s="2" t="str">
        <x:v>MP</x:v>
      </x:c>
      <x:c r="D2035" s="2" t="str">
        <x:v>Myzus persicae</x:v>
      </x:c>
      <x:c r="E2035" s="2" t="str">
        <x:v>L0</x:v>
      </x:c>
      <x:c r="F2035" s="2" t="n">
        <x:v>9</x:v>
      </x:c>
      <x:c r="G2035" s="2" t="n">
        <x:v>17</x:v>
      </x:c>
      <x:c r="H2035" s="2" t="n">
        <x:f>G2035+Supuestos!$C$15</x:f>
        <x:v>18</x:v>
      </x:c>
      <x:c r="I2035" s="14" t="n">
        <x:f>E2_plantas!J50+G2035</x:f>
        <x:v>46219</x:v>
      </x:c>
      <x:c r="J2035" s="2" t="str">
        <x:v>adulta</x:v>
      </x:c>
      <x:c r="K2035" s="2" t="n">
        <x:v>1</x:v>
      </x:c>
      <x:c r="L2035" s="2" t="n">
        <x:v>3</x:v>
      </x:c>
      <x:c r="M2035" s="2" t="n">
        <x:f>SUM(L$2018:L2035)</x:f>
        <x:v>19</x:v>
      </x:c>
      <x:c r="N2035" s="2" t="n">
        <x:v>0</x:v>
      </x:c>
      <x:c r="O2035" s="2" t="str">
        <x:v>seguimiento</x:v>
      </x:c>
      <x:c r="P2035" s="2" t="n">
        <x:v>0</x:v>
      </x:c>
      <x:c r="Q2035" s="2" t="str">
        <x:v>simulado_didactico</x:v>
      </x:c>
    </x:row>
    <x:row r="2036" ht="19" customHeight="1">
      <x:c r="A2036" s="2" t="str">
        <x:v>SIM-E2-MP-L0-R09</x:v>
      </x:c>
      <x:c r="B2036" s="2" t="n">
        <x:v>5</x:v>
      </x:c>
      <x:c r="C2036" s="2" t="str">
        <x:v>MP</x:v>
      </x:c>
      <x:c r="D2036" s="2" t="str">
        <x:v>Myzus persicae</x:v>
      </x:c>
      <x:c r="E2036" s="2" t="str">
        <x:v>L0</x:v>
      </x:c>
      <x:c r="F2036" s="2" t="n">
        <x:v>9</x:v>
      </x:c>
      <x:c r="G2036" s="2" t="n">
        <x:v>18</x:v>
      </x:c>
      <x:c r="H2036" s="2" t="n">
        <x:f>G2036+Supuestos!$C$15</x:f>
        <x:v>19</x:v>
      </x:c>
      <x:c r="I2036" s="14" t="n">
        <x:f>E2_plantas!J50+G2036</x:f>
        <x:v>46220</x:v>
      </x:c>
      <x:c r="J2036" s="2" t="str">
        <x:v>adulta</x:v>
      </x:c>
      <x:c r="K2036" s="2" t="n">
        <x:v>1</x:v>
      </x:c>
      <x:c r="L2036" s="2" t="n">
        <x:v>5</x:v>
      </x:c>
      <x:c r="M2036" s="2" t="n">
        <x:f>SUM(L$2018:L2036)</x:f>
        <x:v>24</x:v>
      </x:c>
      <x:c r="N2036" s="2" t="n">
        <x:v>0</x:v>
      </x:c>
      <x:c r="O2036" s="2" t="str">
        <x:v>seguimiento</x:v>
      </x:c>
      <x:c r="P2036" s="2" t="n">
        <x:v>0</x:v>
      </x:c>
      <x:c r="Q2036" s="2" t="str">
        <x:v>simulado_didactico</x:v>
      </x:c>
    </x:row>
    <x:row r="2037" ht="19" customHeight="1">
      <x:c r="A2037" s="2" t="str">
        <x:v>SIM-E2-MP-L0-R09</x:v>
      </x:c>
      <x:c r="B2037" s="2" t="n">
        <x:v>5</x:v>
      </x:c>
      <x:c r="C2037" s="2" t="str">
        <x:v>MP</x:v>
      </x:c>
      <x:c r="D2037" s="2" t="str">
        <x:v>Myzus persicae</x:v>
      </x:c>
      <x:c r="E2037" s="2" t="str">
        <x:v>L0</x:v>
      </x:c>
      <x:c r="F2037" s="2" t="n">
        <x:v>9</x:v>
      </x:c>
      <x:c r="G2037" s="2" t="n">
        <x:v>19</x:v>
      </x:c>
      <x:c r="H2037" s="2" t="n">
        <x:f>G2037+Supuestos!$C$15</x:f>
        <x:v>20</x:v>
      </x:c>
      <x:c r="I2037" s="14" t="n">
        <x:f>E2_plantas!J50+G2037</x:f>
        <x:v>46221</x:v>
      </x:c>
      <x:c r="J2037" s="2" t="str">
        <x:v>adulta</x:v>
      </x:c>
      <x:c r="K2037" s="2" t="n">
        <x:v>1</x:v>
      </x:c>
      <x:c r="L2037" s="2" t="n">
        <x:v>1</x:v>
      </x:c>
      <x:c r="M2037" s="2" t="n">
        <x:f>SUM(L$2018:L2037)</x:f>
        <x:v>25</x:v>
      </x:c>
      <x:c r="N2037" s="2" t="n">
        <x:v>0</x:v>
      </x:c>
      <x:c r="O2037" s="2" t="str">
        <x:v>seguimiento</x:v>
      </x:c>
      <x:c r="P2037" s="2" t="n">
        <x:v>0</x:v>
      </x:c>
      <x:c r="Q2037" s="2" t="str">
        <x:v>simulado_didactico</x:v>
      </x:c>
    </x:row>
    <x:row r="2038" ht="19" customHeight="1">
      <x:c r="A2038" s="2" t="str">
        <x:v>SIM-E2-MP-L0-R09</x:v>
      </x:c>
      <x:c r="B2038" s="2" t="n">
        <x:v>5</x:v>
      </x:c>
      <x:c r="C2038" s="2" t="str">
        <x:v>MP</x:v>
      </x:c>
      <x:c r="D2038" s="2" t="str">
        <x:v>Myzus persicae</x:v>
      </x:c>
      <x:c r="E2038" s="2" t="str">
        <x:v>L0</x:v>
      </x:c>
      <x:c r="F2038" s="2" t="n">
        <x:v>9</x:v>
      </x:c>
      <x:c r="G2038" s="2" t="n">
        <x:v>20</x:v>
      </x:c>
      <x:c r="H2038" s="2" t="n">
        <x:f>G2038+Supuestos!$C$15</x:f>
        <x:v>21</x:v>
      </x:c>
      <x:c r="I2038" s="14" t="n">
        <x:f>E2_plantas!J50+G2038</x:f>
        <x:v>46222</x:v>
      </x:c>
      <x:c r="J2038" s="2" t="str">
        <x:v>adulta</x:v>
      </x:c>
      <x:c r="K2038" s="2" t="n">
        <x:v>1</x:v>
      </x:c>
      <x:c r="L2038" s="2" t="n">
        <x:v>2</x:v>
      </x:c>
      <x:c r="M2038" s="2" t="n">
        <x:f>SUM(L$2018:L2038)</x:f>
        <x:v>27</x:v>
      </x:c>
      <x:c r="N2038" s="2" t="n">
        <x:v>0</x:v>
      </x:c>
      <x:c r="O2038" s="2" t="str">
        <x:v>seguimiento</x:v>
      </x:c>
      <x:c r="P2038" s="2" t="n">
        <x:v>0</x:v>
      </x:c>
      <x:c r="Q2038" s="2" t="str">
        <x:v>simulado_didactico</x:v>
      </x:c>
    </x:row>
    <x:row r="2039" ht="19" customHeight="1">
      <x:c r="A2039" s="2" t="str">
        <x:v>SIM-E2-MP-L0-R09</x:v>
      </x:c>
      <x:c r="B2039" s="2" t="n">
        <x:v>5</x:v>
      </x:c>
      <x:c r="C2039" s="2" t="str">
        <x:v>MP</x:v>
      </x:c>
      <x:c r="D2039" s="2" t="str">
        <x:v>Myzus persicae</x:v>
      </x:c>
      <x:c r="E2039" s="2" t="str">
        <x:v>L0</x:v>
      </x:c>
      <x:c r="F2039" s="2" t="n">
        <x:v>9</x:v>
      </x:c>
      <x:c r="G2039" s="2" t="n">
        <x:v>21</x:v>
      </x:c>
      <x:c r="H2039" s="2" t="n">
        <x:f>G2039+Supuestos!$C$15</x:f>
        <x:v>22</x:v>
      </x:c>
      <x:c r="I2039" s="14" t="n">
        <x:f>E2_plantas!J50+G2039</x:f>
        <x:v>46223</x:v>
      </x:c>
      <x:c r="J2039" s="2" t="str">
        <x:v>adulta</x:v>
      </x:c>
      <x:c r="K2039" s="2" t="n">
        <x:v>1</x:v>
      </x:c>
      <x:c r="L2039" s="2" t="n">
        <x:v>1</x:v>
      </x:c>
      <x:c r="M2039" s="2" t="n">
        <x:f>SUM(L$2018:L2039)</x:f>
        <x:v>28</x:v>
      </x:c>
      <x:c r="N2039" s="2" t="n">
        <x:v>0</x:v>
      </x:c>
      <x:c r="O2039" s="2" t="str">
        <x:v>seguimiento</x:v>
      </x:c>
      <x:c r="P2039" s="2" t="n">
        <x:v>0</x:v>
      </x:c>
      <x:c r="Q2039" s="2" t="str">
        <x:v>simulado_didactico</x:v>
      </x:c>
    </x:row>
    <x:row r="2040" ht="19" customHeight="1">
      <x:c r="A2040" s="2" t="str">
        <x:v>SIM-E2-MP-L0-R09</x:v>
      </x:c>
      <x:c r="B2040" s="2" t="n">
        <x:v>5</x:v>
      </x:c>
      <x:c r="C2040" s="2" t="str">
        <x:v>MP</x:v>
      </x:c>
      <x:c r="D2040" s="2" t="str">
        <x:v>Myzus persicae</x:v>
      </x:c>
      <x:c r="E2040" s="2" t="str">
        <x:v>L0</x:v>
      </x:c>
      <x:c r="F2040" s="2" t="n">
        <x:v>9</x:v>
      </x:c>
      <x:c r="G2040" s="2" t="n">
        <x:v>22</x:v>
      </x:c>
      <x:c r="H2040" s="2" t="n">
        <x:f>G2040+Supuestos!$C$15</x:f>
        <x:v>23</x:v>
      </x:c>
      <x:c r="I2040" s="14" t="n">
        <x:f>E2_plantas!J50+G2040</x:f>
        <x:v>46224</x:v>
      </x:c>
      <x:c r="J2040" s="2" t="str">
        <x:v>adulta</x:v>
      </x:c>
      <x:c r="K2040" s="2" t="n">
        <x:v>1</x:v>
      </x:c>
      <x:c r="L2040" s="2" t="n">
        <x:v>1</x:v>
      </x:c>
      <x:c r="M2040" s="2" t="n">
        <x:f>SUM(L$2018:L2040)</x:f>
        <x:v>29</x:v>
      </x:c>
      <x:c r="N2040" s="2" t="n">
        <x:v>0</x:v>
      </x:c>
      <x:c r="O2040" s="2" t="str">
        <x:v>seguimiento</x:v>
      </x:c>
      <x:c r="P2040" s="2" t="n">
        <x:v>0</x:v>
      </x:c>
      <x:c r="Q2040" s="2" t="str">
        <x:v>simulado_didactico</x:v>
      </x:c>
    </x:row>
    <x:row r="2041" ht="19" customHeight="1">
      <x:c r="A2041" s="2" t="str">
        <x:v>SIM-E2-MP-L0-R09</x:v>
      </x:c>
      <x:c r="B2041" s="2" t="n">
        <x:v>5</x:v>
      </x:c>
      <x:c r="C2041" s="2" t="str">
        <x:v>MP</x:v>
      </x:c>
      <x:c r="D2041" s="2" t="str">
        <x:v>Myzus persicae</x:v>
      </x:c>
      <x:c r="E2041" s="2" t="str">
        <x:v>L0</x:v>
      </x:c>
      <x:c r="F2041" s="2" t="n">
        <x:v>9</x:v>
      </x:c>
      <x:c r="G2041" s="2" t="n">
        <x:v>23</x:v>
      </x:c>
      <x:c r="H2041" s="2" t="n">
        <x:f>G2041+Supuestos!$C$15</x:f>
        <x:v>24</x:v>
      </x:c>
      <x:c r="I2041" s="14" t="n">
        <x:f>E2_plantas!J50+G2041</x:f>
        <x:v>46225</x:v>
      </x:c>
      <x:c r="J2041" s="2" t="str">
        <x:v>adulta</x:v>
      </x:c>
      <x:c r="K2041" s="2" t="n">
        <x:v>1</x:v>
      </x:c>
      <x:c r="L2041" s="2" t="n">
        <x:v>2</x:v>
      </x:c>
      <x:c r="M2041" s="2" t="n">
        <x:f>SUM(L$2018:L2041)</x:f>
        <x:v>31</x:v>
      </x:c>
      <x:c r="N2041" s="2" t="n">
        <x:v>0</x:v>
      </x:c>
      <x:c r="O2041" s="2" t="str">
        <x:v>seguimiento</x:v>
      </x:c>
      <x:c r="P2041" s="2" t="n">
        <x:v>0</x:v>
      </x:c>
      <x:c r="Q2041" s="2" t="str">
        <x:v>simulado_didactico</x:v>
      </x:c>
    </x:row>
    <x:row r="2042" ht="19" customHeight="1">
      <x:c r="A2042" s="2" t="str">
        <x:v>SIM-E2-MP-L0-R09</x:v>
      </x:c>
      <x:c r="B2042" s="2" t="n">
        <x:v>5</x:v>
      </x:c>
      <x:c r="C2042" s="2" t="str">
        <x:v>MP</x:v>
      </x:c>
      <x:c r="D2042" s="2" t="str">
        <x:v>Myzus persicae</x:v>
      </x:c>
      <x:c r="E2042" s="2" t="str">
        <x:v>L0</x:v>
      </x:c>
      <x:c r="F2042" s="2" t="n">
        <x:v>9</x:v>
      </x:c>
      <x:c r="G2042" s="2" t="n">
        <x:v>24</x:v>
      </x:c>
      <x:c r="H2042" s="2" t="n">
        <x:f>G2042+Supuestos!$C$15</x:f>
        <x:v>25</x:v>
      </x:c>
      <x:c r="I2042" s="14" t="n">
        <x:f>E2_plantas!J50+G2042</x:f>
        <x:v>46226</x:v>
      </x:c>
      <x:c r="J2042" s="2" t="str">
        <x:v>adulta</x:v>
      </x:c>
      <x:c r="K2042" s="2" t="n">
        <x:v>1</x:v>
      </x:c>
      <x:c r="L2042" s="2" t="n">
        <x:v>2</x:v>
      </x:c>
      <x:c r="M2042" s="2" t="n">
        <x:f>SUM(L$2018:L2042)</x:f>
        <x:v>33</x:v>
      </x:c>
      <x:c r="N2042" s="2" t="n">
        <x:v>0</x:v>
      </x:c>
      <x:c r="O2042" s="2" t="str">
        <x:v>seguimiento</x:v>
      </x:c>
      <x:c r="P2042" s="2" t="n">
        <x:v>0</x:v>
      </x:c>
      <x:c r="Q2042" s="2" t="str">
        <x:v>simulado_didactico</x:v>
      </x:c>
    </x:row>
    <x:row r="2043" ht="19" customHeight="1">
      <x:c r="A2043" s="2" t="str">
        <x:v>SIM-E2-MP-L0-R09</x:v>
      </x:c>
      <x:c r="B2043" s="2" t="n">
        <x:v>5</x:v>
      </x:c>
      <x:c r="C2043" s="2" t="str">
        <x:v>MP</x:v>
      </x:c>
      <x:c r="D2043" s="2" t="str">
        <x:v>Myzus persicae</x:v>
      </x:c>
      <x:c r="E2043" s="2" t="str">
        <x:v>L0</x:v>
      </x:c>
      <x:c r="F2043" s="2" t="n">
        <x:v>9</x:v>
      </x:c>
      <x:c r="G2043" s="2" t="n">
        <x:v>25</x:v>
      </x:c>
      <x:c r="H2043" s="2" t="n">
        <x:f>G2043+Supuestos!$C$15</x:f>
        <x:v>26</x:v>
      </x:c>
      <x:c r="I2043" s="14" t="n">
        <x:f>E2_plantas!J50+G2043</x:f>
        <x:v>46227</x:v>
      </x:c>
      <x:c r="J2043" s="2" t="str">
        <x:v>adulta</x:v>
      </x:c>
      <x:c r="K2043" s="2" t="n">
        <x:v>1</x:v>
      </x:c>
      <x:c r="L2043" s="2" t="n">
        <x:v>1</x:v>
      </x:c>
      <x:c r="M2043" s="2" t="n">
        <x:f>SUM(L$2018:L2043)</x:f>
        <x:v>34</x:v>
      </x:c>
      <x:c r="N2043" s="2" t="n">
        <x:v>0</x:v>
      </x:c>
      <x:c r="O2043" s="2" t="str">
        <x:v>seguimiento</x:v>
      </x:c>
      <x:c r="P2043" s="2" t="n">
        <x:v>0</x:v>
      </x:c>
      <x:c r="Q2043" s="2" t="str">
        <x:v>simulado_didactico</x:v>
      </x:c>
    </x:row>
    <x:row r="2044" ht="19" customHeight="1">
      <x:c r="A2044" s="2" t="str">
        <x:v>SIM-E2-MP-L0-R09</x:v>
      </x:c>
      <x:c r="B2044" s="2" t="n">
        <x:v>5</x:v>
      </x:c>
      <x:c r="C2044" s="2" t="str">
        <x:v>MP</x:v>
      </x:c>
      <x:c r="D2044" s="2" t="str">
        <x:v>Myzus persicae</x:v>
      </x:c>
      <x:c r="E2044" s="2" t="str">
        <x:v>L0</x:v>
      </x:c>
      <x:c r="F2044" s="2" t="n">
        <x:v>9</x:v>
      </x:c>
      <x:c r="G2044" s="2" t="n">
        <x:v>26</x:v>
      </x:c>
      <x:c r="H2044" s="2" t="n">
        <x:f>G2044+Supuestos!$C$15</x:f>
        <x:v>27</x:v>
      </x:c>
      <x:c r="I2044" s="14" t="n">
        <x:f>E2_plantas!J50+G2044</x:f>
        <x:v>46228</x:v>
      </x:c>
      <x:c r="J2044" s="2" t="str">
        <x:v>adulta</x:v>
      </x:c>
      <x:c r="K2044" s="2" t="n">
        <x:v>1</x:v>
      </x:c>
      <x:c r="L2044" s="2" t="n">
        <x:v>1</x:v>
      </x:c>
      <x:c r="M2044" s="2" t="n">
        <x:f>SUM(L$2018:L2044)</x:f>
        <x:v>35</x:v>
      </x:c>
      <x:c r="N2044" s="2" t="n">
        <x:v>0</x:v>
      </x:c>
      <x:c r="O2044" s="2" t="str">
        <x:v>seguimiento</x:v>
      </x:c>
      <x:c r="P2044" s="2" t="n">
        <x:v>0</x:v>
      </x:c>
      <x:c r="Q2044" s="2" t="str">
        <x:v>simulado_didactico</x:v>
      </x:c>
    </x:row>
    <x:row r="2045" ht="19" customHeight="1">
      <x:c r="A2045" s="2" t="str">
        <x:v>SIM-E2-MP-L0-R09</x:v>
      </x:c>
      <x:c r="B2045" s="2" t="n">
        <x:v>5</x:v>
      </x:c>
      <x:c r="C2045" s="2" t="str">
        <x:v>MP</x:v>
      </x:c>
      <x:c r="D2045" s="2" t="str">
        <x:v>Myzus persicae</x:v>
      </x:c>
      <x:c r="E2045" s="2" t="str">
        <x:v>L0</x:v>
      </x:c>
      <x:c r="F2045" s="2" t="n">
        <x:v>9</x:v>
      </x:c>
      <x:c r="G2045" s="2" t="n">
        <x:v>27</x:v>
      </x:c>
      <x:c r="H2045" s="2" t="n">
        <x:f>G2045+Supuestos!$C$15</x:f>
        <x:v>28</x:v>
      </x:c>
      <x:c r="I2045" s="14" t="n">
        <x:f>E2_plantas!J50+G2045</x:f>
        <x:v>46229</x:v>
      </x:c>
      <x:c r="J2045" s="2" t="str">
        <x:v>adulta</x:v>
      </x:c>
      <x:c r="K2045" s="2" t="n">
        <x:v>1</x:v>
      </x:c>
      <x:c r="L2045" s="2" t="n">
        <x:v>2</x:v>
      </x:c>
      <x:c r="M2045" s="2" t="n">
        <x:f>SUM(L$2018:L2045)</x:f>
        <x:v>37</x:v>
      </x:c>
      <x:c r="N2045" s="2" t="n">
        <x:v>0</x:v>
      </x:c>
      <x:c r="O2045" s="2" t="str">
        <x:v>seguimiento</x:v>
      </x:c>
      <x:c r="P2045" s="2" t="n">
        <x:v>0</x:v>
      </x:c>
      <x:c r="Q2045" s="2" t="str">
        <x:v>simulado_didactico</x:v>
      </x:c>
    </x:row>
    <x:row r="2046" ht="19" customHeight="1">
      <x:c r="A2046" s="2" t="str">
        <x:v>SIM-E2-MP-L0-R09</x:v>
      </x:c>
      <x:c r="B2046" s="2" t="n">
        <x:v>5</x:v>
      </x:c>
      <x:c r="C2046" s="2" t="str">
        <x:v>MP</x:v>
      </x:c>
      <x:c r="D2046" s="2" t="str">
        <x:v>Myzus persicae</x:v>
      </x:c>
      <x:c r="E2046" s="2" t="str">
        <x:v>L0</x:v>
      </x:c>
      <x:c r="F2046" s="2" t="n">
        <x:v>9</x:v>
      </x:c>
      <x:c r="G2046" s="2" t="n">
        <x:v>28</x:v>
      </x:c>
      <x:c r="H2046" s="2" t="n">
        <x:f>G2046+Supuestos!$C$15</x:f>
        <x:v>29</x:v>
      </x:c>
      <x:c r="I2046" s="14" t="n">
        <x:f>E2_plantas!J50+G2046</x:f>
        <x:v>46230</x:v>
      </x:c>
      <x:c r="J2046" s="2" t="str">
        <x:v>adulta</x:v>
      </x:c>
      <x:c r="K2046" s="2" t="n">
        <x:v>1</x:v>
      </x:c>
      <x:c r="L2046" s="2" t="n">
        <x:v>0</x:v>
      </x:c>
      <x:c r="M2046" s="2" t="n">
        <x:f>SUM(L$2018:L2046)</x:f>
        <x:v>37</x:v>
      </x:c>
      <x:c r="N2046" s="2" t="n">
        <x:v>0</x:v>
      </x:c>
      <x:c r="O2046" s="2" t="str">
        <x:v>seguimiento</x:v>
      </x:c>
      <x:c r="P2046" s="2" t="n">
        <x:v>0</x:v>
      </x:c>
      <x:c r="Q2046" s="2" t="str">
        <x:v>simulado_didactico</x:v>
      </x:c>
    </x:row>
    <x:row r="2047" ht="19" customHeight="1">
      <x:c r="A2047" s="2" t="str">
        <x:v>SIM-E2-MP-L0-R09</x:v>
      </x:c>
      <x:c r="B2047" s="2" t="n">
        <x:v>5</x:v>
      </x:c>
      <x:c r="C2047" s="2" t="str">
        <x:v>MP</x:v>
      </x:c>
      <x:c r="D2047" s="2" t="str">
        <x:v>Myzus persicae</x:v>
      </x:c>
      <x:c r="E2047" s="2" t="str">
        <x:v>L0</x:v>
      </x:c>
      <x:c r="F2047" s="2" t="n">
        <x:v>9</x:v>
      </x:c>
      <x:c r="G2047" s="2" t="n">
        <x:v>29</x:v>
      </x:c>
      <x:c r="H2047" s="2" t="n">
        <x:f>G2047+Supuestos!$C$15</x:f>
        <x:v>30</x:v>
      </x:c>
      <x:c r="I2047" s="14" t="n">
        <x:f>E2_plantas!J50+G2047</x:f>
        <x:v>46231</x:v>
      </x:c>
      <x:c r="J2047" s="2" t="str">
        <x:v>adulta</x:v>
      </x:c>
      <x:c r="K2047" s="2" t="n">
        <x:v>1</x:v>
      </x:c>
      <x:c r="L2047" s="2" t="n">
        <x:v>0</x:v>
      </x:c>
      <x:c r="M2047" s="2" t="n">
        <x:f>SUM(L$2018:L2047)</x:f>
        <x:v>37</x:v>
      </x:c>
      <x:c r="N2047" s="2" t="n">
        <x:v>0</x:v>
      </x:c>
      <x:c r="O2047" s="2" t="str">
        <x:v>seguimiento</x:v>
      </x:c>
      <x:c r="P2047" s="2" t="n">
        <x:v>0</x:v>
      </x:c>
      <x:c r="Q2047" s="2" t="str">
        <x:v>simulado_didactico</x:v>
      </x:c>
    </x:row>
    <x:row r="2048" ht="19" customHeight="1">
      <x:c r="A2048" s="2" t="str">
        <x:v>SIM-E2-MP-L0-R09</x:v>
      </x:c>
      <x:c r="B2048" s="2" t="n">
        <x:v>5</x:v>
      </x:c>
      <x:c r="C2048" s="2" t="str">
        <x:v>MP</x:v>
      </x:c>
      <x:c r="D2048" s="2" t="str">
        <x:v>Myzus persicae</x:v>
      </x:c>
      <x:c r="E2048" s="2" t="str">
        <x:v>L0</x:v>
      </x:c>
      <x:c r="F2048" s="2" t="n">
        <x:v>9</x:v>
      </x:c>
      <x:c r="G2048" s="2" t="n">
        <x:v>30</x:v>
      </x:c>
      <x:c r="H2048" s="2" t="n">
        <x:f>G2048+Supuestos!$C$15</x:f>
        <x:v>31</x:v>
      </x:c>
      <x:c r="I2048" s="14" t="n">
        <x:f>E2_plantas!J50+G2048</x:f>
        <x:v>46232</x:v>
      </x:c>
      <x:c r="J2048" s="2" t="str">
        <x:v>adulta</x:v>
      </x:c>
      <x:c r="K2048" s="2" t="n">
        <x:v>1</x:v>
      </x:c>
      <x:c r="L2048" s="2" t="n">
        <x:v>0</x:v>
      </x:c>
      <x:c r="M2048" s="2" t="n">
        <x:f>SUM(L$2018:L2048)</x:f>
        <x:v>37</x:v>
      </x:c>
      <x:c r="N2048" s="2" t="n">
        <x:v>0</x:v>
      </x:c>
      <x:c r="O2048" s="2" t="str">
        <x:v>seguimiento</x:v>
      </x:c>
      <x:c r="P2048" s="2" t="n">
        <x:v>0</x:v>
      </x:c>
      <x:c r="Q2048" s="2" t="str">
        <x:v>simulado_didactico</x:v>
      </x:c>
    </x:row>
    <x:row r="2049" ht="19" customHeight="1">
      <x:c r="A2049" s="2" t="str">
        <x:v>SIM-E2-MP-L0-R09</x:v>
      </x:c>
      <x:c r="B2049" s="2" t="n">
        <x:v>5</x:v>
      </x:c>
      <x:c r="C2049" s="2" t="str">
        <x:v>MP</x:v>
      </x:c>
      <x:c r="D2049" s="2" t="str">
        <x:v>Myzus persicae</x:v>
      </x:c>
      <x:c r="E2049" s="2" t="str">
        <x:v>L0</x:v>
      </x:c>
      <x:c r="F2049" s="2" t="n">
        <x:v>9</x:v>
      </x:c>
      <x:c r="G2049" s="2" t="n">
        <x:v>31</x:v>
      </x:c>
      <x:c r="H2049" s="2" t="n">
        <x:f>G2049+Supuestos!$C$15</x:f>
        <x:v>32</x:v>
      </x:c>
      <x:c r="I2049" s="14" t="n">
        <x:f>E2_plantas!J50+G2049</x:f>
        <x:v>46233</x:v>
      </x:c>
      <x:c r="J2049" s="2" t="str">
        <x:v>adulta</x:v>
      </x:c>
      <x:c r="K2049" s="2" t="n">
        <x:v>1</x:v>
      </x:c>
      <x:c r="L2049" s="2" t="n">
        <x:v>0</x:v>
      </x:c>
      <x:c r="M2049" s="2" t="n">
        <x:f>SUM(L$2018:L2049)</x:f>
        <x:v>37</x:v>
      </x:c>
      <x:c r="N2049" s="2" t="n">
        <x:v>0</x:v>
      </x:c>
      <x:c r="O2049" s="2" t="str">
        <x:v>seguimiento</x:v>
      </x:c>
      <x:c r="P2049" s="2" t="n">
        <x:v>0</x:v>
      </x:c>
      <x:c r="Q2049" s="2" t="str">
        <x:v>simulado_didactico</x:v>
      </x:c>
    </x:row>
    <x:row r="2050" ht="19" customHeight="1">
      <x:c r="A2050" s="2" t="str">
        <x:v>SIM-E2-MP-L0-R09</x:v>
      </x:c>
      <x:c r="B2050" s="2" t="n">
        <x:v>5</x:v>
      </x:c>
      <x:c r="C2050" s="2" t="str">
        <x:v>MP</x:v>
      </x:c>
      <x:c r="D2050" s="2" t="str">
        <x:v>Myzus persicae</x:v>
      </x:c>
      <x:c r="E2050" s="2" t="str">
        <x:v>L0</x:v>
      </x:c>
      <x:c r="F2050" s="2" t="n">
        <x:v>9</x:v>
      </x:c>
      <x:c r="G2050" s="2" t="n">
        <x:v>32</x:v>
      </x:c>
      <x:c r="H2050" s="2" t="n">
        <x:f>G2050+Supuestos!$C$15</x:f>
        <x:v>33</x:v>
      </x:c>
      <x:c r="I2050" s="14" t="n">
        <x:f>E2_plantas!J50+G2050</x:f>
        <x:v>46234</x:v>
      </x:c>
      <x:c r="J2050" s="2" t="str">
        <x:v>adulta</x:v>
      </x:c>
      <x:c r="K2050" s="2" t="n">
        <x:v>1</x:v>
      </x:c>
      <x:c r="L2050" s="2" t="n">
        <x:v>0</x:v>
      </x:c>
      <x:c r="M2050" s="2" t="n">
        <x:f>SUM(L$2018:L2050)</x:f>
        <x:v>37</x:v>
      </x:c>
      <x:c r="N2050" s="2" t="n">
        <x:v>0</x:v>
      </x:c>
      <x:c r="O2050" s="2" t="str">
        <x:v>seguimiento</x:v>
      </x:c>
      <x:c r="P2050" s="2" t="n">
        <x:v>0</x:v>
      </x:c>
      <x:c r="Q2050" s="2" t="str">
        <x:v>simulado_didactico</x:v>
      </x:c>
    </x:row>
    <x:row r="2051" ht="19" customHeight="1">
      <x:c r="A2051" s="2" t="str">
        <x:v>SIM-E2-MP-L0-R09</x:v>
      </x:c>
      <x:c r="B2051" s="2" t="n">
        <x:v>5</x:v>
      </x:c>
      <x:c r="C2051" s="2" t="str">
        <x:v>MP</x:v>
      </x:c>
      <x:c r="D2051" s="2" t="str">
        <x:v>Myzus persicae</x:v>
      </x:c>
      <x:c r="E2051" s="2" t="str">
        <x:v>L0</x:v>
      </x:c>
      <x:c r="F2051" s="2" t="n">
        <x:v>9</x:v>
      </x:c>
      <x:c r="G2051" s="2" t="n">
        <x:v>33</x:v>
      </x:c>
      <x:c r="H2051" s="2" t="n">
        <x:f>G2051+Supuestos!$C$15</x:f>
        <x:v>34</x:v>
      </x:c>
      <x:c r="I2051" s="14" t="n">
        <x:f>E2_plantas!J50+G2051</x:f>
        <x:v>46235</x:v>
      </x:c>
      <x:c r="J2051" s="2" t="str">
        <x:v>adulta</x:v>
      </x:c>
      <x:c r="K2051" s="2" t="n">
        <x:v>1</x:v>
      </x:c>
      <x:c r="L2051" s="2" t="n">
        <x:v>0</x:v>
      </x:c>
      <x:c r="M2051" s="2" t="n">
        <x:f>SUM(L$2018:L2051)</x:f>
        <x:v>37</x:v>
      </x:c>
      <x:c r="N2051" s="2" t="n">
        <x:v>0</x:v>
      </x:c>
      <x:c r="O2051" s="2" t="str">
        <x:v>seguimiento</x:v>
      </x:c>
      <x:c r="P2051" s="2" t="n">
        <x:v>0</x:v>
      </x:c>
      <x:c r="Q2051" s="2" t="str">
        <x:v>simulado_didactico</x:v>
      </x:c>
    </x:row>
    <x:row r="2052" ht="19" customHeight="1">
      <x:c r="A2052" s="2" t="str">
        <x:v>SIM-E2-MP-L0-R09</x:v>
      </x:c>
      <x:c r="B2052" s="2" t="n">
        <x:v>5</x:v>
      </x:c>
      <x:c r="C2052" s="2" t="str">
        <x:v>MP</x:v>
      </x:c>
      <x:c r="D2052" s="2" t="str">
        <x:v>Myzus persicae</x:v>
      </x:c>
      <x:c r="E2052" s="2" t="str">
        <x:v>L0</x:v>
      </x:c>
      <x:c r="F2052" s="2" t="n">
        <x:v>9</x:v>
      </x:c>
      <x:c r="G2052" s="2" t="n">
        <x:v>34</x:v>
      </x:c>
      <x:c r="H2052" s="2" t="n">
        <x:f>G2052+Supuestos!$C$15</x:f>
        <x:v>35</x:v>
      </x:c>
      <x:c r="I2052" s="14" t="n">
        <x:f>E2_plantas!J50+G2052</x:f>
        <x:v>46236</x:v>
      </x:c>
      <x:c r="J2052" s="2" t="str">
        <x:v>adulta</x:v>
      </x:c>
      <x:c r="K2052" s="2" t="n">
        <x:v>1</x:v>
      </x:c>
      <x:c r="L2052" s="2" t="n">
        <x:v>0</x:v>
      </x:c>
      <x:c r="M2052" s="2" t="n">
        <x:f>SUM(L$2018:L2052)</x:f>
        <x:v>37</x:v>
      </x:c>
      <x:c r="N2052" s="2" t="n">
        <x:v>0</x:v>
      </x:c>
      <x:c r="O2052" s="2" t="str">
        <x:v>seguimiento</x:v>
      </x:c>
      <x:c r="P2052" s="2" t="n">
        <x:v>0</x:v>
      </x:c>
      <x:c r="Q2052" s="2" t="str">
        <x:v>simulado_didactico</x:v>
      </x:c>
    </x:row>
    <x:row r="2053" ht="19" customHeight="1">
      <x:c r="A2053" s="2" t="str">
        <x:v>SIM-E2-MP-L0-R09</x:v>
      </x:c>
      <x:c r="B2053" s="2" t="n">
        <x:v>5</x:v>
      </x:c>
      <x:c r="C2053" s="2" t="str">
        <x:v>MP</x:v>
      </x:c>
      <x:c r="D2053" s="2" t="str">
        <x:v>Myzus persicae</x:v>
      </x:c>
      <x:c r="E2053" s="2" t="str">
        <x:v>L0</x:v>
      </x:c>
      <x:c r="F2053" s="2" t="n">
        <x:v>9</x:v>
      </x:c>
      <x:c r="G2053" s="2" t="n">
        <x:v>35</x:v>
      </x:c>
      <x:c r="H2053" s="2" t="n">
        <x:f>G2053+Supuestos!$C$15</x:f>
        <x:v>36</x:v>
      </x:c>
      <x:c r="I2053" s="14" t="n">
        <x:f>E2_plantas!J50+G2053</x:f>
        <x:v>46237</x:v>
      </x:c>
      <x:c r="J2053" s="2" t="str">
        <x:v>muerta</x:v>
      </x:c>
      <x:c r="K2053" s="2" t="n">
        <x:v>0</x:v>
      </x:c>
      <x:c r="L2053" s="2" t="n">
        <x:v>0</x:v>
      </x:c>
      <x:c r="M2053" s="2" t="n">
        <x:f>SUM(L$2018:L2053)</x:f>
        <x:v>37</x:v>
      </x:c>
      <x:c r="N2053" s="2" t="n">
        <x:v>1</x:v>
      </x:c>
      <x:c r="O2053" s="2" t="str">
        <x:v>muerte</x:v>
      </x:c>
      <x:c r="P2053" s="2" t="n">
        <x:v>0</x:v>
      </x:c>
      <x:c r="Q2053" s="2" t="str">
        <x:v>simulado_didactico</x:v>
      </x:c>
    </x:row>
    <x:row r="2054" ht="19" customHeight="1">
      <x:c r="A2054" s="2" t="str">
        <x:v>SIM-E2-MP-L0-R09</x:v>
      </x:c>
      <x:c r="B2054" s="2" t="n">
        <x:v>5</x:v>
      </x:c>
      <x:c r="C2054" s="2" t="str">
        <x:v>MP</x:v>
      </x:c>
      <x:c r="D2054" s="2" t="str">
        <x:v>Myzus persicae</x:v>
      </x:c>
      <x:c r="E2054" s="2" t="str">
        <x:v>L0</x:v>
      </x:c>
      <x:c r="F2054" s="2" t="n">
        <x:v>9</x:v>
      </x:c>
      <x:c r="G2054" s="2" t="n">
        <x:v>36</x:v>
      </x:c>
      <x:c r="H2054" s="2" t="n">
        <x:f>G2054+Supuestos!$C$15</x:f>
        <x:v>37</x:v>
      </x:c>
      <x:c r="I2054" s="14" t="n">
        <x:f>E2_plantas!J50+G2054</x:f>
        <x:v>46238</x:v>
      </x:c>
      <x:c r="J2054" s="2" t="str">
        <x:v>muerta</x:v>
      </x:c>
      <x:c r="K2054" s="2" t="n">
        <x:v>0</x:v>
      </x:c>
      <x:c r="L2054" s="2" t="n">
        <x:v>0</x:v>
      </x:c>
      <x:c r="M2054" s="2" t="n">
        <x:f>SUM(L$2018:L2054)</x:f>
        <x:v>37</x:v>
      </x:c>
      <x:c r="N2054" s="2" t="n">
        <x:v>0</x:v>
      </x:c>
      <x:c r="O2054" s="2" t="str">
        <x:v>relleno_postmuerte</x:v>
      </x:c>
      <x:c r="P2054" s="2" t="n">
        <x:v>0</x:v>
      </x:c>
      <x:c r="Q2054" s="2" t="str">
        <x:v>simulado_didactico</x:v>
      </x:c>
    </x:row>
    <x:row r="2055" ht="19" customHeight="1">
      <x:c r="A2055" s="2" t="str">
        <x:v>SIM-E2-MP-L0-R09</x:v>
      </x:c>
      <x:c r="B2055" s="2" t="n">
        <x:v>5</x:v>
      </x:c>
      <x:c r="C2055" s="2" t="str">
        <x:v>MP</x:v>
      </x:c>
      <x:c r="D2055" s="2" t="str">
        <x:v>Myzus persicae</x:v>
      </x:c>
      <x:c r="E2055" s="2" t="str">
        <x:v>L0</x:v>
      </x:c>
      <x:c r="F2055" s="2" t="n">
        <x:v>9</x:v>
      </x:c>
      <x:c r="G2055" s="2" t="n">
        <x:v>37</x:v>
      </x:c>
      <x:c r="H2055" s="2" t="n">
        <x:f>G2055+Supuestos!$C$15</x:f>
        <x:v>38</x:v>
      </x:c>
      <x:c r="I2055" s="14" t="n">
        <x:f>E2_plantas!J50+G2055</x:f>
        <x:v>46239</x:v>
      </x:c>
      <x:c r="J2055" s="2" t="str">
        <x:v>muerta</x:v>
      </x:c>
      <x:c r="K2055" s="2" t="n">
        <x:v>0</x:v>
      </x:c>
      <x:c r="L2055" s="2" t="n">
        <x:v>0</x:v>
      </x:c>
      <x:c r="M2055" s="2" t="n">
        <x:f>SUM(L$2018:L2055)</x:f>
        <x:v>37</x:v>
      </x:c>
      <x:c r="N2055" s="2" t="n">
        <x:v>0</x:v>
      </x:c>
      <x:c r="O2055" s="2" t="str">
        <x:v>relleno_postmuerte</x:v>
      </x:c>
      <x:c r="P2055" s="2" t="n">
        <x:v>0</x:v>
      </x:c>
      <x:c r="Q2055" s="2" t="str">
        <x:v>simulado_didactico</x:v>
      </x:c>
    </x:row>
    <x:row r="2056" ht="19" customHeight="1">
      <x:c r="A2056" s="2" t="str">
        <x:v>SIM-E2-MP-L0-R09</x:v>
      </x:c>
      <x:c r="B2056" s="2" t="n">
        <x:v>5</x:v>
      </x:c>
      <x:c r="C2056" s="2" t="str">
        <x:v>MP</x:v>
      </x:c>
      <x:c r="D2056" s="2" t="str">
        <x:v>Myzus persicae</x:v>
      </x:c>
      <x:c r="E2056" s="2" t="str">
        <x:v>L0</x:v>
      </x:c>
      <x:c r="F2056" s="2" t="n">
        <x:v>9</x:v>
      </x:c>
      <x:c r="G2056" s="2" t="n">
        <x:v>38</x:v>
      </x:c>
      <x:c r="H2056" s="2" t="n">
        <x:f>G2056+Supuestos!$C$15</x:f>
        <x:v>39</x:v>
      </x:c>
      <x:c r="I2056" s="14" t="n">
        <x:f>E2_plantas!J50+G2056</x:f>
        <x:v>46240</x:v>
      </x:c>
      <x:c r="J2056" s="2" t="str">
        <x:v>muerta</x:v>
      </x:c>
      <x:c r="K2056" s="2" t="n">
        <x:v>0</x:v>
      </x:c>
      <x:c r="L2056" s="2" t="n">
        <x:v>0</x:v>
      </x:c>
      <x:c r="M2056" s="2" t="n">
        <x:f>SUM(L$2018:L2056)</x:f>
        <x:v>37</x:v>
      </x:c>
      <x:c r="N2056" s="2" t="n">
        <x:v>0</x:v>
      </x:c>
      <x:c r="O2056" s="2" t="str">
        <x:v>relleno_postmuerte</x:v>
      </x:c>
      <x:c r="P2056" s="2" t="n">
        <x:v>0</x:v>
      </x:c>
      <x:c r="Q2056" s="2" t="str">
        <x:v>simulado_didactico</x:v>
      </x:c>
    </x:row>
    <x:row r="2057" ht="19" customHeight="1">
      <x:c r="A2057" s="2" t="str">
        <x:v>SIM-E2-MP-L0-R09</x:v>
      </x:c>
      <x:c r="B2057" s="2" t="n">
        <x:v>5</x:v>
      </x:c>
      <x:c r="C2057" s="2" t="str">
        <x:v>MP</x:v>
      </x:c>
      <x:c r="D2057" s="2" t="str">
        <x:v>Myzus persicae</x:v>
      </x:c>
      <x:c r="E2057" s="2" t="str">
        <x:v>L0</x:v>
      </x:c>
      <x:c r="F2057" s="2" t="n">
        <x:v>9</x:v>
      </x:c>
      <x:c r="G2057" s="2" t="n">
        <x:v>39</x:v>
      </x:c>
      <x:c r="H2057" s="2" t="n">
        <x:f>G2057+Supuestos!$C$15</x:f>
        <x:v>40</x:v>
      </x:c>
      <x:c r="I2057" s="14" t="n">
        <x:f>E2_plantas!J50+G2057</x:f>
        <x:v>46241</x:v>
      </x:c>
      <x:c r="J2057" s="2" t="str">
        <x:v>muerta</x:v>
      </x:c>
      <x:c r="K2057" s="2" t="n">
        <x:v>0</x:v>
      </x:c>
      <x:c r="L2057" s="2" t="n">
        <x:v>0</x:v>
      </x:c>
      <x:c r="M2057" s="2" t="n">
        <x:f>SUM(L$2018:L2057)</x:f>
        <x:v>37</x:v>
      </x:c>
      <x:c r="N2057" s="2" t="n">
        <x:v>0</x:v>
      </x:c>
      <x:c r="O2057" s="2" t="str">
        <x:v>relleno_postmuerte</x:v>
      </x:c>
      <x:c r="P2057" s="2" t="n">
        <x:v>0</x:v>
      </x:c>
      <x:c r="Q2057" s="2" t="str">
        <x:v>simulado_didactico</x:v>
      </x:c>
    </x:row>
    <x:row r="2058" ht="19" customHeight="1">
      <x:c r="A2058" s="2" t="str">
        <x:v>SIM-E2-MP-L0-R09</x:v>
      </x:c>
      <x:c r="B2058" s="2" t="n">
        <x:v>5</x:v>
      </x:c>
      <x:c r="C2058" s="2" t="str">
        <x:v>MP</x:v>
      </x:c>
      <x:c r="D2058" s="2" t="str">
        <x:v>Myzus persicae</x:v>
      </x:c>
      <x:c r="E2058" s="2" t="str">
        <x:v>L0</x:v>
      </x:c>
      <x:c r="F2058" s="2" t="n">
        <x:v>9</x:v>
      </x:c>
      <x:c r="G2058" s="2" t="n">
        <x:v>40</x:v>
      </x:c>
      <x:c r="H2058" s="2" t="n">
        <x:f>G2058+Supuestos!$C$15</x:f>
        <x:v>41</x:v>
      </x:c>
      <x:c r="I2058" s="14" t="n">
        <x:f>E2_plantas!J50+G2058</x:f>
        <x:v>46242</x:v>
      </x:c>
      <x:c r="J2058" s="2" t="str">
        <x:v>muerta</x:v>
      </x:c>
      <x:c r="K2058" s="2" t="n">
        <x:v>0</x:v>
      </x:c>
      <x:c r="L2058" s="2" t="n">
        <x:v>0</x:v>
      </x:c>
      <x:c r="M2058" s="2" t="n">
        <x:f>SUM(L$2018:L2058)</x:f>
        <x:v>37</x:v>
      </x:c>
      <x:c r="N2058" s="2" t="n">
        <x:v>0</x:v>
      </x:c>
      <x:c r="O2058" s="2" t="str">
        <x:v>relleno_postmuerte</x:v>
      </x:c>
      <x:c r="P2058" s="2" t="n">
        <x:v>0</x:v>
      </x:c>
      <x:c r="Q2058" s="2" t="str">
        <x:v>simulado_didactico</x:v>
      </x:c>
    </x:row>
    <x:row r="2059" ht="19" customHeight="1">
      <x:c r="A2059" s="2" t="str">
        <x:v>SIM-E2-MP-L0-R09</x:v>
      </x:c>
      <x:c r="B2059" s="2" t="n">
        <x:v>5</x:v>
      </x:c>
      <x:c r="C2059" s="2" t="str">
        <x:v>MP</x:v>
      </x:c>
      <x:c r="D2059" s="2" t="str">
        <x:v>Myzus persicae</x:v>
      </x:c>
      <x:c r="E2059" s="2" t="str">
        <x:v>L0</x:v>
      </x:c>
      <x:c r="F2059" s="2" t="n">
        <x:v>9</x:v>
      </x:c>
      <x:c r="G2059" s="2" t="n">
        <x:v>41</x:v>
      </x:c>
      <x:c r="H2059" s="2" t="n">
        <x:f>G2059+Supuestos!$C$15</x:f>
        <x:v>42</x:v>
      </x:c>
      <x:c r="I2059" s="14" t="n">
        <x:f>E2_plantas!J50+G2059</x:f>
        <x:v>46243</x:v>
      </x:c>
      <x:c r="J2059" s="2" t="str">
        <x:v>muerta</x:v>
      </x:c>
      <x:c r="K2059" s="2" t="n">
        <x:v>0</x:v>
      </x:c>
      <x:c r="L2059" s="2" t="n">
        <x:v>0</x:v>
      </x:c>
      <x:c r="M2059" s="2" t="n">
        <x:f>SUM(L$2018:L2059)</x:f>
        <x:v>37</x:v>
      </x:c>
      <x:c r="N2059" s="2" t="n">
        <x:v>0</x:v>
      </x:c>
      <x:c r="O2059" s="2" t="str">
        <x:v>relleno_postmuerte</x:v>
      </x:c>
      <x:c r="P2059" s="2" t="n">
        <x:v>0</x:v>
      </x:c>
      <x:c r="Q2059" s="2" t="str">
        <x:v>simulado_didactico</x:v>
      </x:c>
    </x:row>
    <x:row r="2060" ht="19" customHeight="1">
      <x:c r="A2060" s="2" t="str">
        <x:v>SIM-E2-MP-L0-R10</x:v>
      </x:c>
      <x:c r="B2060" s="2" t="n">
        <x:v>5</x:v>
      </x:c>
      <x:c r="C2060" s="2" t="str">
        <x:v>MP</x:v>
      </x:c>
      <x:c r="D2060" s="2" t="str">
        <x:v>Myzus persicae</x:v>
      </x:c>
      <x:c r="E2060" s="2" t="str">
        <x:v>L0</x:v>
      </x:c>
      <x:c r="F2060" s="2" t="n">
        <x:v>10</x:v>
      </x:c>
      <x:c r="G2060" s="2" t="n">
        <x:v>0</x:v>
      </x:c>
      <x:c r="H2060" s="2" t="n">
        <x:f>G2060+Supuestos!$C$15</x:f>
        <x:v>1</x:v>
      </x:c>
      <x:c r="I2060" s="14" t="n">
        <x:f>E2_plantas!J51+G2060</x:f>
        <x:v>46202</x:v>
      </x:c>
      <x:c r="J2060" s="2" t="str">
        <x:v>N1</x:v>
      </x:c>
      <x:c r="K2060" s="2" t="n">
        <x:v>1</x:v>
      </x:c>
      <x:c r="L2060" s="2" t="n">
        <x:v>0</x:v>
      </x:c>
      <x:c r="M2060" s="2" t="n">
        <x:f>SUM(L$2060:L2060)</x:f>
        <x:v>0</x:v>
      </x:c>
      <x:c r="N2060" s="2" t="n">
        <x:v>0</x:v>
      </x:c>
      <x:c r="O2060" s="2" t="str">
        <x:v>seguimiento</x:v>
      </x:c>
      <x:c r="P2060" s="2" t="n">
        <x:v>0</x:v>
      </x:c>
      <x:c r="Q2060" s="2" t="str">
        <x:v>simulado_didactico</x:v>
      </x:c>
    </x:row>
    <x:row r="2061" ht="19" customHeight="1">
      <x:c r="A2061" s="2" t="str">
        <x:v>SIM-E2-MP-L0-R10</x:v>
      </x:c>
      <x:c r="B2061" s="2" t="n">
        <x:v>5</x:v>
      </x:c>
      <x:c r="C2061" s="2" t="str">
        <x:v>MP</x:v>
      </x:c>
      <x:c r="D2061" s="2" t="str">
        <x:v>Myzus persicae</x:v>
      </x:c>
      <x:c r="E2061" s="2" t="str">
        <x:v>L0</x:v>
      </x:c>
      <x:c r="F2061" s="2" t="n">
        <x:v>10</x:v>
      </x:c>
      <x:c r="G2061" s="2" t="n">
        <x:v>1</x:v>
      </x:c>
      <x:c r="H2061" s="2" t="n">
        <x:f>G2061+Supuestos!$C$15</x:f>
        <x:v>2</x:v>
      </x:c>
      <x:c r="I2061" s="14" t="n">
        <x:f>E2_plantas!J51+G2061</x:f>
        <x:v>46203</x:v>
      </x:c>
      <x:c r="J2061" s="2" t="str">
        <x:v>N1</x:v>
      </x:c>
      <x:c r="K2061" s="2" t="n">
        <x:v>1</x:v>
      </x:c>
      <x:c r="L2061" s="2" t="n">
        <x:v>0</x:v>
      </x:c>
      <x:c r="M2061" s="2" t="n">
        <x:f>SUM(L$2060:L2061)</x:f>
        <x:v>0</x:v>
      </x:c>
      <x:c r="N2061" s="2" t="n">
        <x:v>0</x:v>
      </x:c>
      <x:c r="O2061" s="2" t="str">
        <x:v>seguimiento</x:v>
      </x:c>
      <x:c r="P2061" s="2" t="n">
        <x:v>0</x:v>
      </x:c>
      <x:c r="Q2061" s="2" t="str">
        <x:v>simulado_didactico</x:v>
      </x:c>
    </x:row>
    <x:row r="2062" ht="19" customHeight="1">
      <x:c r="A2062" s="2" t="str">
        <x:v>SIM-E2-MP-L0-R10</x:v>
      </x:c>
      <x:c r="B2062" s="2" t="n">
        <x:v>5</x:v>
      </x:c>
      <x:c r="C2062" s="2" t="str">
        <x:v>MP</x:v>
      </x:c>
      <x:c r="D2062" s="2" t="str">
        <x:v>Myzus persicae</x:v>
      </x:c>
      <x:c r="E2062" s="2" t="str">
        <x:v>L0</x:v>
      </x:c>
      <x:c r="F2062" s="2" t="n">
        <x:v>10</x:v>
      </x:c>
      <x:c r="G2062" s="2" t="n">
        <x:v>2</x:v>
      </x:c>
      <x:c r="H2062" s="2" t="n">
        <x:f>G2062+Supuestos!$C$15</x:f>
        <x:v>3</x:v>
      </x:c>
      <x:c r="I2062" s="14" t="n">
        <x:f>E2_plantas!J51+G2062</x:f>
        <x:v>46204</x:v>
      </x:c>
      <x:c r="J2062" s="2" t="str">
        <x:v>N1</x:v>
      </x:c>
      <x:c r="K2062" s="2" t="n">
        <x:v>1</x:v>
      </x:c>
      <x:c r="L2062" s="2" t="n">
        <x:v>0</x:v>
      </x:c>
      <x:c r="M2062" s="2" t="n">
        <x:f>SUM(L$2060:L2062)</x:f>
        <x:v>0</x:v>
      </x:c>
      <x:c r="N2062" s="2" t="n">
        <x:v>0</x:v>
      </x:c>
      <x:c r="O2062" s="2" t="str">
        <x:v>seguimiento</x:v>
      </x:c>
      <x:c r="P2062" s="2" t="n">
        <x:v>0</x:v>
      </x:c>
      <x:c r="Q2062" s="2" t="str">
        <x:v>simulado_didactico</x:v>
      </x:c>
    </x:row>
    <x:row r="2063" ht="19" customHeight="1">
      <x:c r="A2063" s="2" t="str">
        <x:v>SIM-E2-MP-L0-R10</x:v>
      </x:c>
      <x:c r="B2063" s="2" t="n">
        <x:v>5</x:v>
      </x:c>
      <x:c r="C2063" s="2" t="str">
        <x:v>MP</x:v>
      </x:c>
      <x:c r="D2063" s="2" t="str">
        <x:v>Myzus persicae</x:v>
      </x:c>
      <x:c r="E2063" s="2" t="str">
        <x:v>L0</x:v>
      </x:c>
      <x:c r="F2063" s="2" t="n">
        <x:v>10</x:v>
      </x:c>
      <x:c r="G2063" s="2" t="n">
        <x:v>3</x:v>
      </x:c>
      <x:c r="H2063" s="2" t="n">
        <x:f>G2063+Supuestos!$C$15</x:f>
        <x:v>4</x:v>
      </x:c>
      <x:c r="I2063" s="14" t="n">
        <x:f>E2_plantas!J51+G2063</x:f>
        <x:v>46205</x:v>
      </x:c>
      <x:c r="J2063" s="2" t="str">
        <x:v>N1</x:v>
      </x:c>
      <x:c r="K2063" s="2" t="n">
        <x:v>1</x:v>
      </x:c>
      <x:c r="L2063" s="2" t="n">
        <x:v>0</x:v>
      </x:c>
      <x:c r="M2063" s="2" t="n">
        <x:f>SUM(L$2060:L2063)</x:f>
        <x:v>0</x:v>
      </x:c>
      <x:c r="N2063" s="2" t="n">
        <x:v>0</x:v>
      </x:c>
      <x:c r="O2063" s="2" t="str">
        <x:v>seguimiento</x:v>
      </x:c>
      <x:c r="P2063" s="2" t="n">
        <x:v>0</x:v>
      </x:c>
      <x:c r="Q2063" s="2" t="str">
        <x:v>simulado_didactico</x:v>
      </x:c>
    </x:row>
    <x:row r="2064" ht="19" customHeight="1">
      <x:c r="A2064" s="2" t="str">
        <x:v>SIM-E2-MP-L0-R10</x:v>
      </x:c>
      <x:c r="B2064" s="2" t="n">
        <x:v>5</x:v>
      </x:c>
      <x:c r="C2064" s="2" t="str">
        <x:v>MP</x:v>
      </x:c>
      <x:c r="D2064" s="2" t="str">
        <x:v>Myzus persicae</x:v>
      </x:c>
      <x:c r="E2064" s="2" t="str">
        <x:v>L0</x:v>
      </x:c>
      <x:c r="F2064" s="2" t="n">
        <x:v>10</x:v>
      </x:c>
      <x:c r="G2064" s="2" t="n">
        <x:v>4</x:v>
      </x:c>
      <x:c r="H2064" s="2" t="n">
        <x:f>G2064+Supuestos!$C$15</x:f>
        <x:v>5</x:v>
      </x:c>
      <x:c r="I2064" s="14" t="n">
        <x:f>E2_plantas!J51+G2064</x:f>
        <x:v>46206</x:v>
      </x:c>
      <x:c r="J2064" s="2" t="str">
        <x:v>N2</x:v>
      </x:c>
      <x:c r="K2064" s="2" t="n">
        <x:v>1</x:v>
      </x:c>
      <x:c r="L2064" s="2" t="n">
        <x:v>0</x:v>
      </x:c>
      <x:c r="M2064" s="2" t="n">
        <x:f>SUM(L$2060:L2064)</x:f>
        <x:v>0</x:v>
      </x:c>
      <x:c r="N2064" s="2" t="n">
        <x:v>0</x:v>
      </x:c>
      <x:c r="O2064" s="2" t="str">
        <x:v>seguimiento</x:v>
      </x:c>
      <x:c r="P2064" s="2" t="n">
        <x:v>0</x:v>
      </x:c>
      <x:c r="Q2064" s="2" t="str">
        <x:v>simulado_didactico</x:v>
      </x:c>
    </x:row>
    <x:row r="2065" ht="19" customHeight="1">
      <x:c r="A2065" s="2" t="str">
        <x:v>SIM-E2-MP-L0-R10</x:v>
      </x:c>
      <x:c r="B2065" s="2" t="n">
        <x:v>5</x:v>
      </x:c>
      <x:c r="C2065" s="2" t="str">
        <x:v>MP</x:v>
      </x:c>
      <x:c r="D2065" s="2" t="str">
        <x:v>Myzus persicae</x:v>
      </x:c>
      <x:c r="E2065" s="2" t="str">
        <x:v>L0</x:v>
      </x:c>
      <x:c r="F2065" s="2" t="n">
        <x:v>10</x:v>
      </x:c>
      <x:c r="G2065" s="2" t="n">
        <x:v>5</x:v>
      </x:c>
      <x:c r="H2065" s="2" t="n">
        <x:f>G2065+Supuestos!$C$15</x:f>
        <x:v>6</x:v>
      </x:c>
      <x:c r="I2065" s="14" t="n">
        <x:f>E2_plantas!J51+G2065</x:f>
        <x:v>46207</x:v>
      </x:c>
      <x:c r="J2065" s="2" t="str">
        <x:v>N2</x:v>
      </x:c>
      <x:c r="K2065" s="2" t="n">
        <x:v>1</x:v>
      </x:c>
      <x:c r="L2065" s="2" t="n">
        <x:v>0</x:v>
      </x:c>
      <x:c r="M2065" s="2" t="n">
        <x:f>SUM(L$2060:L2065)</x:f>
        <x:v>0</x:v>
      </x:c>
      <x:c r="N2065" s="2" t="n">
        <x:v>0</x:v>
      </x:c>
      <x:c r="O2065" s="2" t="str">
        <x:v>seguimiento</x:v>
      </x:c>
      <x:c r="P2065" s="2" t="n">
        <x:v>0</x:v>
      </x:c>
      <x:c r="Q2065" s="2" t="str">
        <x:v>simulado_didactico</x:v>
      </x:c>
    </x:row>
    <x:row r="2066" ht="19" customHeight="1">
      <x:c r="A2066" s="2" t="str">
        <x:v>SIM-E2-MP-L0-R10</x:v>
      </x:c>
      <x:c r="B2066" s="2" t="n">
        <x:v>5</x:v>
      </x:c>
      <x:c r="C2066" s="2" t="str">
        <x:v>MP</x:v>
      </x:c>
      <x:c r="D2066" s="2" t="str">
        <x:v>Myzus persicae</x:v>
      </x:c>
      <x:c r="E2066" s="2" t="str">
        <x:v>L0</x:v>
      </x:c>
      <x:c r="F2066" s="2" t="n">
        <x:v>10</x:v>
      </x:c>
      <x:c r="G2066" s="2" t="n">
        <x:v>6</x:v>
      </x:c>
      <x:c r="H2066" s="2" t="n">
        <x:f>G2066+Supuestos!$C$15</x:f>
        <x:v>7</x:v>
      </x:c>
      <x:c r="I2066" s="14" t="n">
        <x:f>E2_plantas!J51+G2066</x:f>
        <x:v>46208</x:v>
      </x:c>
      <x:c r="J2066" s="2" t="str">
        <x:v>N3</x:v>
      </x:c>
      <x:c r="K2066" s="2" t="n">
        <x:v>1</x:v>
      </x:c>
      <x:c r="L2066" s="2" t="n">
        <x:v>0</x:v>
      </x:c>
      <x:c r="M2066" s="2" t="n">
        <x:f>SUM(L$2060:L2066)</x:f>
        <x:v>0</x:v>
      </x:c>
      <x:c r="N2066" s="2" t="n">
        <x:v>0</x:v>
      </x:c>
      <x:c r="O2066" s="2" t="str">
        <x:v>seguimiento</x:v>
      </x:c>
      <x:c r="P2066" s="2" t="n">
        <x:v>0</x:v>
      </x:c>
      <x:c r="Q2066" s="2" t="str">
        <x:v>simulado_didactico</x:v>
      </x:c>
    </x:row>
    <x:row r="2067" ht="19" customHeight="1">
      <x:c r="A2067" s="2" t="str">
        <x:v>SIM-E2-MP-L0-R10</x:v>
      </x:c>
      <x:c r="B2067" s="2" t="n">
        <x:v>5</x:v>
      </x:c>
      <x:c r="C2067" s="2" t="str">
        <x:v>MP</x:v>
      </x:c>
      <x:c r="D2067" s="2" t="str">
        <x:v>Myzus persicae</x:v>
      </x:c>
      <x:c r="E2067" s="2" t="str">
        <x:v>L0</x:v>
      </x:c>
      <x:c r="F2067" s="2" t="n">
        <x:v>10</x:v>
      </x:c>
      <x:c r="G2067" s="2" t="n">
        <x:v>7</x:v>
      </x:c>
      <x:c r="H2067" s="2" t="n">
        <x:f>G2067+Supuestos!$C$15</x:f>
        <x:v>8</x:v>
      </x:c>
      <x:c r="I2067" s="14" t="n">
        <x:f>E2_plantas!J51+G2067</x:f>
        <x:v>46209</x:v>
      </x:c>
      <x:c r="J2067" s="2" t="str">
        <x:v>N4</x:v>
      </x:c>
      <x:c r="K2067" s="2" t="n">
        <x:v>1</x:v>
      </x:c>
      <x:c r="L2067" s="2" t="n">
        <x:v>0</x:v>
      </x:c>
      <x:c r="M2067" s="2" t="n">
        <x:f>SUM(L$2060:L2067)</x:f>
        <x:v>0</x:v>
      </x:c>
      <x:c r="N2067" s="2" t="n">
        <x:v>0</x:v>
      </x:c>
      <x:c r="O2067" s="2" t="str">
        <x:v>seguimiento</x:v>
      </x:c>
      <x:c r="P2067" s="2" t="n">
        <x:v>0</x:v>
      </x:c>
      <x:c r="Q2067" s="2" t="str">
        <x:v>simulado_didactico</x:v>
      </x:c>
    </x:row>
    <x:row r="2068" ht="19" customHeight="1">
      <x:c r="A2068" s="2" t="str">
        <x:v>SIM-E2-MP-L0-R10</x:v>
      </x:c>
      <x:c r="B2068" s="2" t="n">
        <x:v>5</x:v>
      </x:c>
      <x:c r="C2068" s="2" t="str">
        <x:v>MP</x:v>
      </x:c>
      <x:c r="D2068" s="2" t="str">
        <x:v>Myzus persicae</x:v>
      </x:c>
      <x:c r="E2068" s="2" t="str">
        <x:v>L0</x:v>
      </x:c>
      <x:c r="F2068" s="2" t="n">
        <x:v>10</x:v>
      </x:c>
      <x:c r="G2068" s="2" t="n">
        <x:v>8</x:v>
      </x:c>
      <x:c r="H2068" s="2" t="n">
        <x:f>G2068+Supuestos!$C$15</x:f>
        <x:v>9</x:v>
      </x:c>
      <x:c r="I2068" s="14" t="n">
        <x:f>E2_plantas!J51+G2068</x:f>
        <x:v>46210</x:v>
      </x:c>
      <x:c r="J2068" s="2" t="str">
        <x:v>N4</x:v>
      </x:c>
      <x:c r="K2068" s="2" t="n">
        <x:v>1</x:v>
      </x:c>
      <x:c r="L2068" s="2" t="n">
        <x:v>0</x:v>
      </x:c>
      <x:c r="M2068" s="2" t="n">
        <x:f>SUM(L$2060:L2068)</x:f>
        <x:v>0</x:v>
      </x:c>
      <x:c r="N2068" s="2" t="n">
        <x:v>0</x:v>
      </x:c>
      <x:c r="O2068" s="2" t="str">
        <x:v>seguimiento</x:v>
      </x:c>
      <x:c r="P2068" s="2" t="n">
        <x:v>0</x:v>
      </x:c>
      <x:c r="Q2068" s="2" t="str">
        <x:v>simulado_didactico</x:v>
      </x:c>
    </x:row>
    <x:row r="2069" ht="19" customHeight="1">
      <x:c r="A2069" s="2" t="str">
        <x:v>SIM-E2-MP-L0-R10</x:v>
      </x:c>
      <x:c r="B2069" s="2" t="n">
        <x:v>5</x:v>
      </x:c>
      <x:c r="C2069" s="2" t="str">
        <x:v>MP</x:v>
      </x:c>
      <x:c r="D2069" s="2" t="str">
        <x:v>Myzus persicae</x:v>
      </x:c>
      <x:c r="E2069" s="2" t="str">
        <x:v>L0</x:v>
      </x:c>
      <x:c r="F2069" s="2" t="n">
        <x:v>10</x:v>
      </x:c>
      <x:c r="G2069" s="2" t="n">
        <x:v>9</x:v>
      </x:c>
      <x:c r="H2069" s="2" t="n">
        <x:f>G2069+Supuestos!$C$15</x:f>
        <x:v>10</x:v>
      </x:c>
      <x:c r="I2069" s="14" t="n">
        <x:f>E2_plantas!J51+G2069</x:f>
        <x:v>46211</x:v>
      </x:c>
      <x:c r="J2069" s="2" t="str">
        <x:v>adulta</x:v>
      </x:c>
      <x:c r="K2069" s="2" t="n">
        <x:v>1</x:v>
      </x:c>
      <x:c r="L2069" s="2" t="n">
        <x:v>0</x:v>
      </x:c>
      <x:c r="M2069" s="2" t="n">
        <x:f>SUM(L$2060:L2069)</x:f>
        <x:v>0</x:v>
      </x:c>
      <x:c r="N2069" s="2" t="n">
        <x:v>0</x:v>
      </x:c>
      <x:c r="O2069" s="2" t="str">
        <x:v>seguimiento</x:v>
      </x:c>
      <x:c r="P2069" s="2" t="n">
        <x:v>0</x:v>
      </x:c>
      <x:c r="Q2069" s="2" t="str">
        <x:v>simulado_didactico</x:v>
      </x:c>
    </x:row>
    <x:row r="2070" ht="19" customHeight="1">
      <x:c r="A2070" s="2" t="str">
        <x:v>SIM-E2-MP-L0-R10</x:v>
      </x:c>
      <x:c r="B2070" s="2" t="n">
        <x:v>5</x:v>
      </x:c>
      <x:c r="C2070" s="2" t="str">
        <x:v>MP</x:v>
      </x:c>
      <x:c r="D2070" s="2" t="str">
        <x:v>Myzus persicae</x:v>
      </x:c>
      <x:c r="E2070" s="2" t="str">
        <x:v>L0</x:v>
      </x:c>
      <x:c r="F2070" s="2" t="n">
        <x:v>10</x:v>
      </x:c>
      <x:c r="G2070" s="2" t="n">
        <x:v>10</x:v>
      </x:c>
      <x:c r="H2070" s="2" t="n">
        <x:f>G2070+Supuestos!$C$15</x:f>
        <x:v>11</x:v>
      </x:c>
      <x:c r="I2070" s="14" t="n">
        <x:f>E2_plantas!J51+G2070</x:f>
        <x:v>46212</x:v>
      </x:c>
      <x:c r="J2070" s="2" t="str">
        <x:v>adulta</x:v>
      </x:c>
      <x:c r="K2070" s="2" t="n">
        <x:v>1</x:v>
      </x:c>
      <x:c r="L2070" s="2" t="n">
        <x:v>0</x:v>
      </x:c>
      <x:c r="M2070" s="2" t="n">
        <x:f>SUM(L$2060:L2070)</x:f>
        <x:v>0</x:v>
      </x:c>
      <x:c r="N2070" s="2" t="n">
        <x:v>0</x:v>
      </x:c>
      <x:c r="O2070" s="2" t="str">
        <x:v>seguimiento</x:v>
      </x:c>
      <x:c r="P2070" s="2" t="n">
        <x:v>0</x:v>
      </x:c>
      <x:c r="Q2070" s="2" t="str">
        <x:v>simulado_didactico</x:v>
      </x:c>
    </x:row>
    <x:row r="2071" ht="19" customHeight="1">
      <x:c r="A2071" s="2" t="str">
        <x:v>SIM-E2-MP-L0-R10</x:v>
      </x:c>
      <x:c r="B2071" s="2" t="n">
        <x:v>5</x:v>
      </x:c>
      <x:c r="C2071" s="2" t="str">
        <x:v>MP</x:v>
      </x:c>
      <x:c r="D2071" s="2" t="str">
        <x:v>Myzus persicae</x:v>
      </x:c>
      <x:c r="E2071" s="2" t="str">
        <x:v>L0</x:v>
      </x:c>
      <x:c r="F2071" s="2" t="n">
        <x:v>10</x:v>
      </x:c>
      <x:c r="G2071" s="2" t="n">
        <x:v>11</x:v>
      </x:c>
      <x:c r="H2071" s="2" t="n">
        <x:f>G2071+Supuestos!$C$15</x:f>
        <x:v>12</x:v>
      </x:c>
      <x:c r="I2071" s="14" t="n">
        <x:f>E2_plantas!J51+G2071</x:f>
        <x:v>46213</x:v>
      </x:c>
      <x:c r="J2071" s="2" t="str">
        <x:v>adulta</x:v>
      </x:c>
      <x:c r="K2071" s="2" t="n">
        <x:v>1</x:v>
      </x:c>
      <x:c r="L2071" s="2" t="n">
        <x:v>1</x:v>
      </x:c>
      <x:c r="M2071" s="2" t="n">
        <x:f>SUM(L$2060:L2071)</x:f>
        <x:v>1</x:v>
      </x:c>
      <x:c r="N2071" s="2" t="n">
        <x:v>0</x:v>
      </x:c>
      <x:c r="O2071" s="2" t="str">
        <x:v>seguimiento</x:v>
      </x:c>
      <x:c r="P2071" s="2" t="n">
        <x:v>0</x:v>
      </x:c>
      <x:c r="Q2071" s="2" t="str">
        <x:v>simulado_didactico</x:v>
      </x:c>
    </x:row>
    <x:row r="2072" ht="19" customHeight="1">
      <x:c r="A2072" s="2" t="str">
        <x:v>SIM-E2-MP-L0-R10</x:v>
      </x:c>
      <x:c r="B2072" s="2" t="n">
        <x:v>5</x:v>
      </x:c>
      <x:c r="C2072" s="2" t="str">
        <x:v>MP</x:v>
      </x:c>
      <x:c r="D2072" s="2" t="str">
        <x:v>Myzus persicae</x:v>
      </x:c>
      <x:c r="E2072" s="2" t="str">
        <x:v>L0</x:v>
      </x:c>
      <x:c r="F2072" s="2" t="n">
        <x:v>10</x:v>
      </x:c>
      <x:c r="G2072" s="2" t="n">
        <x:v>12</x:v>
      </x:c>
      <x:c r="H2072" s="2" t="n">
        <x:f>G2072+Supuestos!$C$15</x:f>
        <x:v>13</x:v>
      </x:c>
      <x:c r="I2072" s="14" t="n">
        <x:f>E2_plantas!J51+G2072</x:f>
        <x:v>46214</x:v>
      </x:c>
      <x:c r="J2072" s="2" t="str">
        <x:v>adulta</x:v>
      </x:c>
      <x:c r="K2072" s="2" t="n">
        <x:v>1</x:v>
      </x:c>
      <x:c r="L2072" s="2" t="n">
        <x:v>6</x:v>
      </x:c>
      <x:c r="M2072" s="2" t="n">
        <x:f>SUM(L$2060:L2072)</x:f>
        <x:v>7</x:v>
      </x:c>
      <x:c r="N2072" s="2" t="n">
        <x:v>0</x:v>
      </x:c>
      <x:c r="O2072" s="2" t="str">
        <x:v>seguimiento</x:v>
      </x:c>
      <x:c r="P2072" s="2" t="n">
        <x:v>0</x:v>
      </x:c>
      <x:c r="Q2072" s="2" t="str">
        <x:v>simulado_didactico</x:v>
      </x:c>
    </x:row>
    <x:row r="2073" ht="19" customHeight="1">
      <x:c r="A2073" s="2" t="str">
        <x:v>SIM-E2-MP-L0-R10</x:v>
      </x:c>
      <x:c r="B2073" s="2" t="n">
        <x:v>5</x:v>
      </x:c>
      <x:c r="C2073" s="2" t="str">
        <x:v>MP</x:v>
      </x:c>
      <x:c r="D2073" s="2" t="str">
        <x:v>Myzus persicae</x:v>
      </x:c>
      <x:c r="E2073" s="2" t="str">
        <x:v>L0</x:v>
      </x:c>
      <x:c r="F2073" s="2" t="n">
        <x:v>10</x:v>
      </x:c>
      <x:c r="G2073" s="2" t="n">
        <x:v>13</x:v>
      </x:c>
      <x:c r="H2073" s="2" t="n">
        <x:f>G2073+Supuestos!$C$15</x:f>
        <x:v>14</x:v>
      </x:c>
      <x:c r="I2073" s="14" t="n">
        <x:f>E2_plantas!J51+G2073</x:f>
        <x:v>46215</x:v>
      </x:c>
      <x:c r="J2073" s="2" t="str">
        <x:v>adulta</x:v>
      </x:c>
      <x:c r="K2073" s="2" t="n">
        <x:v>1</x:v>
      </x:c>
      <x:c r="L2073" s="2" t="n">
        <x:v>4</x:v>
      </x:c>
      <x:c r="M2073" s="2" t="n">
        <x:f>SUM(L$2060:L2073)</x:f>
        <x:v>11</x:v>
      </x:c>
      <x:c r="N2073" s="2" t="n">
        <x:v>0</x:v>
      </x:c>
      <x:c r="O2073" s="2" t="str">
        <x:v>seguimiento</x:v>
      </x:c>
      <x:c r="P2073" s="2" t="n">
        <x:v>0</x:v>
      </x:c>
      <x:c r="Q2073" s="2" t="str">
        <x:v>simulado_didactico</x:v>
      </x:c>
    </x:row>
    <x:row r="2074" ht="19" customHeight="1">
      <x:c r="A2074" s="2" t="str">
        <x:v>SIM-E2-MP-L0-R10</x:v>
      </x:c>
      <x:c r="B2074" s="2" t="n">
        <x:v>5</x:v>
      </x:c>
      <x:c r="C2074" s="2" t="str">
        <x:v>MP</x:v>
      </x:c>
      <x:c r="D2074" s="2" t="str">
        <x:v>Myzus persicae</x:v>
      </x:c>
      <x:c r="E2074" s="2" t="str">
        <x:v>L0</x:v>
      </x:c>
      <x:c r="F2074" s="2" t="n">
        <x:v>10</x:v>
      </x:c>
      <x:c r="G2074" s="2" t="n">
        <x:v>14</x:v>
      </x:c>
      <x:c r="H2074" s="2" t="n">
        <x:f>G2074+Supuestos!$C$15</x:f>
        <x:v>15</x:v>
      </x:c>
      <x:c r="I2074" s="14" t="n">
        <x:f>E2_plantas!J51+G2074</x:f>
        <x:v>46216</x:v>
      </x:c>
      <x:c r="J2074" s="2" t="str">
        <x:v>adulta</x:v>
      </x:c>
      <x:c r="K2074" s="2" t="n">
        <x:v>1</x:v>
      </x:c>
      <x:c r="L2074" s="2" t="n">
        <x:v>0</x:v>
      </x:c>
      <x:c r="M2074" s="2" t="n">
        <x:f>SUM(L$2060:L2074)</x:f>
        <x:v>11</x:v>
      </x:c>
      <x:c r="N2074" s="2" t="n">
        <x:v>0</x:v>
      </x:c>
      <x:c r="O2074" s="2" t="str">
        <x:v>seguimiento</x:v>
      </x:c>
      <x:c r="P2074" s="2" t="n">
        <x:v>0</x:v>
      </x:c>
      <x:c r="Q2074" s="2" t="str">
        <x:v>simulado_didactico</x:v>
      </x:c>
    </x:row>
    <x:row r="2075" ht="19" customHeight="1">
      <x:c r="A2075" s="2" t="str">
        <x:v>SIM-E2-MP-L0-R10</x:v>
      </x:c>
      <x:c r="B2075" s="2" t="n">
        <x:v>5</x:v>
      </x:c>
      <x:c r="C2075" s="2" t="str">
        <x:v>MP</x:v>
      </x:c>
      <x:c r="D2075" s="2" t="str">
        <x:v>Myzus persicae</x:v>
      </x:c>
      <x:c r="E2075" s="2" t="str">
        <x:v>L0</x:v>
      </x:c>
      <x:c r="F2075" s="2" t="n">
        <x:v>10</x:v>
      </x:c>
      <x:c r="G2075" s="2" t="n">
        <x:v>15</x:v>
      </x:c>
      <x:c r="H2075" s="2" t="n">
        <x:f>G2075+Supuestos!$C$15</x:f>
        <x:v>16</x:v>
      </x:c>
      <x:c r="I2075" s="14" t="n">
        <x:f>E2_plantas!J51+G2075</x:f>
        <x:v>46217</x:v>
      </x:c>
      <x:c r="J2075" s="2" t="str">
        <x:v>adulta</x:v>
      </x:c>
      <x:c r="K2075" s="2" t="n">
        <x:v>1</x:v>
      </x:c>
      <x:c r="L2075" s="2" t="n">
        <x:v>6</x:v>
      </x:c>
      <x:c r="M2075" s="2" t="n">
        <x:f>SUM(L$2060:L2075)</x:f>
        <x:v>17</x:v>
      </x:c>
      <x:c r="N2075" s="2" t="n">
        <x:v>0</x:v>
      </x:c>
      <x:c r="O2075" s="2" t="str">
        <x:v>seguimiento</x:v>
      </x:c>
      <x:c r="P2075" s="2" t="n">
        <x:v>0</x:v>
      </x:c>
      <x:c r="Q2075" s="2" t="str">
        <x:v>simulado_didactico</x:v>
      </x:c>
    </x:row>
    <x:row r="2076" ht="19" customHeight="1">
      <x:c r="A2076" s="2" t="str">
        <x:v>SIM-E2-MP-L0-R10</x:v>
      </x:c>
      <x:c r="B2076" s="2" t="n">
        <x:v>5</x:v>
      </x:c>
      <x:c r="C2076" s="2" t="str">
        <x:v>MP</x:v>
      </x:c>
      <x:c r="D2076" s="2" t="str">
        <x:v>Myzus persicae</x:v>
      </x:c>
      <x:c r="E2076" s="2" t="str">
        <x:v>L0</x:v>
      </x:c>
      <x:c r="F2076" s="2" t="n">
        <x:v>10</x:v>
      </x:c>
      <x:c r="G2076" s="2" t="n">
        <x:v>16</x:v>
      </x:c>
      <x:c r="H2076" s="2" t="n">
        <x:f>G2076+Supuestos!$C$15</x:f>
        <x:v>17</x:v>
      </x:c>
      <x:c r="I2076" s="14" t="n">
        <x:f>E2_plantas!J51+G2076</x:f>
        <x:v>46218</x:v>
      </x:c>
      <x:c r="J2076" s="2" t="str">
        <x:v>adulta</x:v>
      </x:c>
      <x:c r="K2076" s="2" t="n">
        <x:v>1</x:v>
      </x:c>
      <x:c r="L2076" s="2" t="n">
        <x:v>5</x:v>
      </x:c>
      <x:c r="M2076" s="2" t="n">
        <x:f>SUM(L$2060:L2076)</x:f>
        <x:v>22</x:v>
      </x:c>
      <x:c r="N2076" s="2" t="n">
        <x:v>0</x:v>
      </x:c>
      <x:c r="O2076" s="2" t="str">
        <x:v>seguimiento</x:v>
      </x:c>
      <x:c r="P2076" s="2" t="n">
        <x:v>0</x:v>
      </x:c>
      <x:c r="Q2076" s="2" t="str">
        <x:v>simulado_didactico</x:v>
      </x:c>
    </x:row>
    <x:row r="2077" ht="19" customHeight="1">
      <x:c r="A2077" s="2" t="str">
        <x:v>SIM-E2-MP-L0-R10</x:v>
      </x:c>
      <x:c r="B2077" s="2" t="n">
        <x:v>5</x:v>
      </x:c>
      <x:c r="C2077" s="2" t="str">
        <x:v>MP</x:v>
      </x:c>
      <x:c r="D2077" s="2" t="str">
        <x:v>Myzus persicae</x:v>
      </x:c>
      <x:c r="E2077" s="2" t="str">
        <x:v>L0</x:v>
      </x:c>
      <x:c r="F2077" s="2" t="n">
        <x:v>10</x:v>
      </x:c>
      <x:c r="G2077" s="2" t="n">
        <x:v>17</x:v>
      </x:c>
      <x:c r="H2077" s="2" t="n">
        <x:f>G2077+Supuestos!$C$15</x:f>
        <x:v>18</x:v>
      </x:c>
      <x:c r="I2077" s="14" t="n">
        <x:f>E2_plantas!J51+G2077</x:f>
        <x:v>46219</x:v>
      </x:c>
      <x:c r="J2077" s="2" t="str">
        <x:v>adulta</x:v>
      </x:c>
      <x:c r="K2077" s="2" t="n">
        <x:v>1</x:v>
      </x:c>
      <x:c r="L2077" s="2" t="n">
        <x:v>5</x:v>
      </x:c>
      <x:c r="M2077" s="2" t="n">
        <x:f>SUM(L$2060:L2077)</x:f>
        <x:v>27</x:v>
      </x:c>
      <x:c r="N2077" s="2" t="n">
        <x:v>0</x:v>
      </x:c>
      <x:c r="O2077" s="2" t="str">
        <x:v>seguimiento</x:v>
      </x:c>
      <x:c r="P2077" s="2" t="n">
        <x:v>0</x:v>
      </x:c>
      <x:c r="Q2077" s="2" t="str">
        <x:v>simulado_didactico</x:v>
      </x:c>
    </x:row>
    <x:row r="2078" ht="19" customHeight="1">
      <x:c r="A2078" s="2" t="str">
        <x:v>SIM-E2-MP-L0-R10</x:v>
      </x:c>
      <x:c r="B2078" s="2" t="n">
        <x:v>5</x:v>
      </x:c>
      <x:c r="C2078" s="2" t="str">
        <x:v>MP</x:v>
      </x:c>
      <x:c r="D2078" s="2" t="str">
        <x:v>Myzus persicae</x:v>
      </x:c>
      <x:c r="E2078" s="2" t="str">
        <x:v>L0</x:v>
      </x:c>
      <x:c r="F2078" s="2" t="n">
        <x:v>10</x:v>
      </x:c>
      <x:c r="G2078" s="2" t="n">
        <x:v>18</x:v>
      </x:c>
      <x:c r="H2078" s="2" t="n">
        <x:f>G2078+Supuestos!$C$15</x:f>
        <x:v>19</x:v>
      </x:c>
      <x:c r="I2078" s="14" t="n">
        <x:f>E2_plantas!J51+G2078</x:f>
        <x:v>46220</x:v>
      </x:c>
      <x:c r="J2078" s="2" t="str">
        <x:v>adulta</x:v>
      </x:c>
      <x:c r="K2078" s="2" t="n">
        <x:v>1</x:v>
      </x:c>
      <x:c r="L2078" s="2" t="n">
        <x:v>6</x:v>
      </x:c>
      <x:c r="M2078" s="2" t="n">
        <x:f>SUM(L$2060:L2078)</x:f>
        <x:v>33</x:v>
      </x:c>
      <x:c r="N2078" s="2" t="n">
        <x:v>0</x:v>
      </x:c>
      <x:c r="O2078" s="2" t="str">
        <x:v>seguimiento</x:v>
      </x:c>
      <x:c r="P2078" s="2" t="n">
        <x:v>0</x:v>
      </x:c>
      <x:c r="Q2078" s="2" t="str">
        <x:v>simulado_didactico</x:v>
      </x:c>
    </x:row>
    <x:row r="2079" ht="19" customHeight="1">
      <x:c r="A2079" s="2" t="str">
        <x:v>SIM-E2-MP-L0-R10</x:v>
      </x:c>
      <x:c r="B2079" s="2" t="n">
        <x:v>5</x:v>
      </x:c>
      <x:c r="C2079" s="2" t="str">
        <x:v>MP</x:v>
      </x:c>
      <x:c r="D2079" s="2" t="str">
        <x:v>Myzus persicae</x:v>
      </x:c>
      <x:c r="E2079" s="2" t="str">
        <x:v>L0</x:v>
      </x:c>
      <x:c r="F2079" s="2" t="n">
        <x:v>10</x:v>
      </x:c>
      <x:c r="G2079" s="2" t="n">
        <x:v>19</x:v>
      </x:c>
      <x:c r="H2079" s="2" t="n">
        <x:f>G2079+Supuestos!$C$15</x:f>
        <x:v>20</x:v>
      </x:c>
      <x:c r="I2079" s="14" t="n">
        <x:f>E2_plantas!J51+G2079</x:f>
        <x:v>46221</x:v>
      </x:c>
      <x:c r="J2079" s="2" t="str">
        <x:v>adulta</x:v>
      </x:c>
      <x:c r="K2079" s="2" t="n">
        <x:v>1</x:v>
      </x:c>
      <x:c r="L2079" s="2" t="n">
        <x:v>4</x:v>
      </x:c>
      <x:c r="M2079" s="2" t="n">
        <x:f>SUM(L$2060:L2079)</x:f>
        <x:v>37</x:v>
      </x:c>
      <x:c r="N2079" s="2" t="n">
        <x:v>0</x:v>
      </x:c>
      <x:c r="O2079" s="2" t="str">
        <x:v>seguimiento</x:v>
      </x:c>
      <x:c r="P2079" s="2" t="n">
        <x:v>0</x:v>
      </x:c>
      <x:c r="Q2079" s="2" t="str">
        <x:v>simulado_didactico</x:v>
      </x:c>
    </x:row>
    <x:row r="2080" ht="19" customHeight="1">
      <x:c r="A2080" s="2" t="str">
        <x:v>SIM-E2-MP-L0-R10</x:v>
      </x:c>
      <x:c r="B2080" s="2" t="n">
        <x:v>5</x:v>
      </x:c>
      <x:c r="C2080" s="2" t="str">
        <x:v>MP</x:v>
      </x:c>
      <x:c r="D2080" s="2" t="str">
        <x:v>Myzus persicae</x:v>
      </x:c>
      <x:c r="E2080" s="2" t="str">
        <x:v>L0</x:v>
      </x:c>
      <x:c r="F2080" s="2" t="n">
        <x:v>10</x:v>
      </x:c>
      <x:c r="G2080" s="2" t="n">
        <x:v>20</x:v>
      </x:c>
      <x:c r="H2080" s="2" t="n">
        <x:f>G2080+Supuestos!$C$15</x:f>
        <x:v>21</x:v>
      </x:c>
      <x:c r="I2080" s="14" t="n">
        <x:f>E2_plantas!J51+G2080</x:f>
        <x:v>46222</x:v>
      </x:c>
      <x:c r="J2080" s="2" t="str">
        <x:v>adulta</x:v>
      </x:c>
      <x:c r="K2080" s="2" t="n">
        <x:v>1</x:v>
      </x:c>
      <x:c r="L2080" s="2" t="n">
        <x:v>3</x:v>
      </x:c>
      <x:c r="M2080" s="2" t="n">
        <x:f>SUM(L$2060:L2080)</x:f>
        <x:v>40</x:v>
      </x:c>
      <x:c r="N2080" s="2" t="n">
        <x:v>0</x:v>
      </x:c>
      <x:c r="O2080" s="2" t="str">
        <x:v>seguimiento</x:v>
      </x:c>
      <x:c r="P2080" s="2" t="n">
        <x:v>0</x:v>
      </x:c>
      <x:c r="Q2080" s="2" t="str">
        <x:v>simulado_didactico</x:v>
      </x:c>
    </x:row>
    <x:row r="2081" ht="19" customHeight="1">
      <x:c r="A2081" s="2" t="str">
        <x:v>SIM-E2-MP-L0-R10</x:v>
      </x:c>
      <x:c r="B2081" s="2" t="n">
        <x:v>5</x:v>
      </x:c>
      <x:c r="C2081" s="2" t="str">
        <x:v>MP</x:v>
      </x:c>
      <x:c r="D2081" s="2" t="str">
        <x:v>Myzus persicae</x:v>
      </x:c>
      <x:c r="E2081" s="2" t="str">
        <x:v>L0</x:v>
      </x:c>
      <x:c r="F2081" s="2" t="n">
        <x:v>10</x:v>
      </x:c>
      <x:c r="G2081" s="2" t="n">
        <x:v>21</x:v>
      </x:c>
      <x:c r="H2081" s="2" t="n">
        <x:f>G2081+Supuestos!$C$15</x:f>
        <x:v>22</x:v>
      </x:c>
      <x:c r="I2081" s="14" t="n">
        <x:f>E2_plantas!J51+G2081</x:f>
        <x:v>46223</x:v>
      </x:c>
      <x:c r="J2081" s="2" t="str">
        <x:v>adulta</x:v>
      </x:c>
      <x:c r="K2081" s="2" t="n">
        <x:v>1</x:v>
      </x:c>
      <x:c r="L2081" s="2" t="n">
        <x:v>4</x:v>
      </x:c>
      <x:c r="M2081" s="2" t="n">
        <x:f>SUM(L$2060:L2081)</x:f>
        <x:v>44</x:v>
      </x:c>
      <x:c r="N2081" s="2" t="n">
        <x:v>0</x:v>
      </x:c>
      <x:c r="O2081" s="2" t="str">
        <x:v>seguimiento</x:v>
      </x:c>
      <x:c r="P2081" s="2" t="n">
        <x:v>0</x:v>
      </x:c>
      <x:c r="Q2081" s="2" t="str">
        <x:v>simulado_didactico</x:v>
      </x:c>
    </x:row>
    <x:row r="2082" ht="19" customHeight="1">
      <x:c r="A2082" s="2" t="str">
        <x:v>SIM-E2-MP-L0-R10</x:v>
      </x:c>
      <x:c r="B2082" s="2" t="n">
        <x:v>5</x:v>
      </x:c>
      <x:c r="C2082" s="2" t="str">
        <x:v>MP</x:v>
      </x:c>
      <x:c r="D2082" s="2" t="str">
        <x:v>Myzus persicae</x:v>
      </x:c>
      <x:c r="E2082" s="2" t="str">
        <x:v>L0</x:v>
      </x:c>
      <x:c r="F2082" s="2" t="n">
        <x:v>10</x:v>
      </x:c>
      <x:c r="G2082" s="2" t="n">
        <x:v>22</x:v>
      </x:c>
      <x:c r="H2082" s="2" t="n">
        <x:f>G2082+Supuestos!$C$15</x:f>
        <x:v>23</x:v>
      </x:c>
      <x:c r="I2082" s="14" t="n">
        <x:f>E2_plantas!J51+G2082</x:f>
        <x:v>46224</x:v>
      </x:c>
      <x:c r="J2082" s="2" t="str">
        <x:v>adulta</x:v>
      </x:c>
      <x:c r="K2082" s="2" t="n">
        <x:v>1</x:v>
      </x:c>
      <x:c r="L2082" s="2" t="n">
        <x:v>2</x:v>
      </x:c>
      <x:c r="M2082" s="2" t="n">
        <x:f>SUM(L$2060:L2082)</x:f>
        <x:v>46</x:v>
      </x:c>
      <x:c r="N2082" s="2" t="n">
        <x:v>0</x:v>
      </x:c>
      <x:c r="O2082" s="2" t="str">
        <x:v>seguimiento</x:v>
      </x:c>
      <x:c r="P2082" s="2" t="n">
        <x:v>0</x:v>
      </x:c>
      <x:c r="Q2082" s="2" t="str">
        <x:v>simulado_didactico</x:v>
      </x:c>
    </x:row>
    <x:row r="2083" ht="19" customHeight="1">
      <x:c r="A2083" s="2" t="str">
        <x:v>SIM-E2-MP-L0-R10</x:v>
      </x:c>
      <x:c r="B2083" s="2" t="n">
        <x:v>5</x:v>
      </x:c>
      <x:c r="C2083" s="2" t="str">
        <x:v>MP</x:v>
      </x:c>
      <x:c r="D2083" s="2" t="str">
        <x:v>Myzus persicae</x:v>
      </x:c>
      <x:c r="E2083" s="2" t="str">
        <x:v>L0</x:v>
      </x:c>
      <x:c r="F2083" s="2" t="n">
        <x:v>10</x:v>
      </x:c>
      <x:c r="G2083" s="2" t="n">
        <x:v>23</x:v>
      </x:c>
      <x:c r="H2083" s="2" t="n">
        <x:f>G2083+Supuestos!$C$15</x:f>
        <x:v>24</x:v>
      </x:c>
      <x:c r="I2083" s="14" t="n">
        <x:f>E2_plantas!J51+G2083</x:f>
        <x:v>46225</x:v>
      </x:c>
      <x:c r="J2083" s="2" t="str">
        <x:v>adulta</x:v>
      </x:c>
      <x:c r="K2083" s="2" t="n">
        <x:v>1</x:v>
      </x:c>
      <x:c r="L2083" s="2" t="n">
        <x:v>2</x:v>
      </x:c>
      <x:c r="M2083" s="2" t="n">
        <x:f>SUM(L$2060:L2083)</x:f>
        <x:v>48</x:v>
      </x:c>
      <x:c r="N2083" s="2" t="n">
        <x:v>0</x:v>
      </x:c>
      <x:c r="O2083" s="2" t="str">
        <x:v>seguimiento</x:v>
      </x:c>
      <x:c r="P2083" s="2" t="n">
        <x:v>0</x:v>
      </x:c>
      <x:c r="Q2083" s="2" t="str">
        <x:v>simulado_didactico</x:v>
      </x:c>
    </x:row>
    <x:row r="2084" ht="19" customHeight="1">
      <x:c r="A2084" s="2" t="str">
        <x:v>SIM-E2-MP-L0-R10</x:v>
      </x:c>
      <x:c r="B2084" s="2" t="n">
        <x:v>5</x:v>
      </x:c>
      <x:c r="C2084" s="2" t="str">
        <x:v>MP</x:v>
      </x:c>
      <x:c r="D2084" s="2" t="str">
        <x:v>Myzus persicae</x:v>
      </x:c>
      <x:c r="E2084" s="2" t="str">
        <x:v>L0</x:v>
      </x:c>
      <x:c r="F2084" s="2" t="n">
        <x:v>10</x:v>
      </x:c>
      <x:c r="G2084" s="2" t="n">
        <x:v>24</x:v>
      </x:c>
      <x:c r="H2084" s="2" t="n">
        <x:f>G2084+Supuestos!$C$15</x:f>
        <x:v>25</x:v>
      </x:c>
      <x:c r="I2084" s="14" t="n">
        <x:f>E2_plantas!J51+G2084</x:f>
        <x:v>46226</x:v>
      </x:c>
      <x:c r="J2084" s="2" t="str">
        <x:v>adulta</x:v>
      </x:c>
      <x:c r="K2084" s="2" t="n">
        <x:v>1</x:v>
      </x:c>
      <x:c r="L2084" s="2" t="n">
        <x:v>4</x:v>
      </x:c>
      <x:c r="M2084" s="2" t="n">
        <x:f>SUM(L$2060:L2084)</x:f>
        <x:v>52</x:v>
      </x:c>
      <x:c r="N2084" s="2" t="n">
        <x:v>0</x:v>
      </x:c>
      <x:c r="O2084" s="2" t="str">
        <x:v>seguimiento</x:v>
      </x:c>
      <x:c r="P2084" s="2" t="n">
        <x:v>0</x:v>
      </x:c>
      <x:c r="Q2084" s="2" t="str">
        <x:v>simulado_didactico</x:v>
      </x:c>
    </x:row>
    <x:row r="2085" ht="19" customHeight="1">
      <x:c r="A2085" s="2" t="str">
        <x:v>SIM-E2-MP-L0-R10</x:v>
      </x:c>
      <x:c r="B2085" s="2" t="n">
        <x:v>5</x:v>
      </x:c>
      <x:c r="C2085" s="2" t="str">
        <x:v>MP</x:v>
      </x:c>
      <x:c r="D2085" s="2" t="str">
        <x:v>Myzus persicae</x:v>
      </x:c>
      <x:c r="E2085" s="2" t="str">
        <x:v>L0</x:v>
      </x:c>
      <x:c r="F2085" s="2" t="n">
        <x:v>10</x:v>
      </x:c>
      <x:c r="G2085" s="2" t="n">
        <x:v>25</x:v>
      </x:c>
      <x:c r="H2085" s="2" t="n">
        <x:f>G2085+Supuestos!$C$15</x:f>
        <x:v>26</x:v>
      </x:c>
      <x:c r="I2085" s="14" t="n">
        <x:f>E2_plantas!J51+G2085</x:f>
        <x:v>46227</x:v>
      </x:c>
      <x:c r="J2085" s="2" t="str">
        <x:v>adulta</x:v>
      </x:c>
      <x:c r="K2085" s="2" t="n">
        <x:v>1</x:v>
      </x:c>
      <x:c r="L2085" s="2" t="n">
        <x:v>4</x:v>
      </x:c>
      <x:c r="M2085" s="2" t="n">
        <x:f>SUM(L$2060:L2085)</x:f>
        <x:v>56</x:v>
      </x:c>
      <x:c r="N2085" s="2" t="n">
        <x:v>0</x:v>
      </x:c>
      <x:c r="O2085" s="2" t="str">
        <x:v>seguimiento</x:v>
      </x:c>
      <x:c r="P2085" s="2" t="n">
        <x:v>0</x:v>
      </x:c>
      <x:c r="Q2085" s="2" t="str">
        <x:v>simulado_didactico</x:v>
      </x:c>
    </x:row>
    <x:row r="2086" ht="19" customHeight="1">
      <x:c r="A2086" s="2" t="str">
        <x:v>SIM-E2-MP-L0-R10</x:v>
      </x:c>
      <x:c r="B2086" s="2" t="n">
        <x:v>5</x:v>
      </x:c>
      <x:c r="C2086" s="2" t="str">
        <x:v>MP</x:v>
      </x:c>
      <x:c r="D2086" s="2" t="str">
        <x:v>Myzus persicae</x:v>
      </x:c>
      <x:c r="E2086" s="2" t="str">
        <x:v>L0</x:v>
      </x:c>
      <x:c r="F2086" s="2" t="n">
        <x:v>10</x:v>
      </x:c>
      <x:c r="G2086" s="2" t="n">
        <x:v>26</x:v>
      </x:c>
      <x:c r="H2086" s="2" t="n">
        <x:f>G2086+Supuestos!$C$15</x:f>
        <x:v>27</x:v>
      </x:c>
      <x:c r="I2086" s="14" t="n">
        <x:f>E2_plantas!J51+G2086</x:f>
        <x:v>46228</x:v>
      </x:c>
      <x:c r="J2086" s="2" t="str">
        <x:v>adulta</x:v>
      </x:c>
      <x:c r="K2086" s="2" t="n">
        <x:v>1</x:v>
      </x:c>
      <x:c r="L2086" s="2" t="n">
        <x:v>1</x:v>
      </x:c>
      <x:c r="M2086" s="2" t="n">
        <x:f>SUM(L$2060:L2086)</x:f>
        <x:v>57</x:v>
      </x:c>
      <x:c r="N2086" s="2" t="n">
        <x:v>0</x:v>
      </x:c>
      <x:c r="O2086" s="2" t="str">
        <x:v>seguimiento</x:v>
      </x:c>
      <x:c r="P2086" s="2" t="n">
        <x:v>0</x:v>
      </x:c>
      <x:c r="Q2086" s="2" t="str">
        <x:v>simulado_didactico</x:v>
      </x:c>
    </x:row>
    <x:row r="2087" ht="19" customHeight="1">
      <x:c r="A2087" s="2" t="str">
        <x:v>SIM-E2-MP-L0-R10</x:v>
      </x:c>
      <x:c r="B2087" s="2" t="n">
        <x:v>5</x:v>
      </x:c>
      <x:c r="C2087" s="2" t="str">
        <x:v>MP</x:v>
      </x:c>
      <x:c r="D2087" s="2" t="str">
        <x:v>Myzus persicae</x:v>
      </x:c>
      <x:c r="E2087" s="2" t="str">
        <x:v>L0</x:v>
      </x:c>
      <x:c r="F2087" s="2" t="n">
        <x:v>10</x:v>
      </x:c>
      <x:c r="G2087" s="2" t="n">
        <x:v>27</x:v>
      </x:c>
      <x:c r="H2087" s="2" t="n">
        <x:f>G2087+Supuestos!$C$15</x:f>
        <x:v>28</x:v>
      </x:c>
      <x:c r="I2087" s="14" t="n">
        <x:f>E2_plantas!J51+G2087</x:f>
        <x:v>46229</x:v>
      </x:c>
      <x:c r="J2087" s="2" t="str">
        <x:v>adulta</x:v>
      </x:c>
      <x:c r="K2087" s="2" t="n">
        <x:v>1</x:v>
      </x:c>
      <x:c r="L2087" s="2" t="n">
        <x:v>4</x:v>
      </x:c>
      <x:c r="M2087" s="2" t="n">
        <x:f>SUM(L$2060:L2087)</x:f>
        <x:v>61</x:v>
      </x:c>
      <x:c r="N2087" s="2" t="n">
        <x:v>0</x:v>
      </x:c>
      <x:c r="O2087" s="2" t="str">
        <x:v>seguimiento</x:v>
      </x:c>
      <x:c r="P2087" s="2" t="n">
        <x:v>0</x:v>
      </x:c>
      <x:c r="Q2087" s="2" t="str">
        <x:v>simulado_didactico</x:v>
      </x:c>
    </x:row>
    <x:row r="2088" ht="19" customHeight="1">
      <x:c r="A2088" s="2" t="str">
        <x:v>SIM-E2-MP-L0-R10</x:v>
      </x:c>
      <x:c r="B2088" s="2" t="n">
        <x:v>5</x:v>
      </x:c>
      <x:c r="C2088" s="2" t="str">
        <x:v>MP</x:v>
      </x:c>
      <x:c r="D2088" s="2" t="str">
        <x:v>Myzus persicae</x:v>
      </x:c>
      <x:c r="E2088" s="2" t="str">
        <x:v>L0</x:v>
      </x:c>
      <x:c r="F2088" s="2" t="n">
        <x:v>10</x:v>
      </x:c>
      <x:c r="G2088" s="2" t="n">
        <x:v>28</x:v>
      </x:c>
      <x:c r="H2088" s="2" t="n">
        <x:f>G2088+Supuestos!$C$15</x:f>
        <x:v>29</x:v>
      </x:c>
      <x:c r="I2088" s="14" t="n">
        <x:f>E2_plantas!J51+G2088</x:f>
        <x:v>46230</x:v>
      </x:c>
      <x:c r="J2088" s="2" t="str">
        <x:v>adulta</x:v>
      </x:c>
      <x:c r="K2088" s="2" t="n">
        <x:v>1</x:v>
      </x:c>
      <x:c r="L2088" s="2" t="n">
        <x:v>3</x:v>
      </x:c>
      <x:c r="M2088" s="2" t="n">
        <x:f>SUM(L$2060:L2088)</x:f>
        <x:v>64</x:v>
      </x:c>
      <x:c r="N2088" s="2" t="n">
        <x:v>0</x:v>
      </x:c>
      <x:c r="O2088" s="2" t="str">
        <x:v>seguimiento</x:v>
      </x:c>
      <x:c r="P2088" s="2" t="n">
        <x:v>0</x:v>
      </x:c>
      <x:c r="Q2088" s="2" t="str">
        <x:v>simulado_didactico</x:v>
      </x:c>
    </x:row>
    <x:row r="2089" ht="19" customHeight="1">
      <x:c r="A2089" s="2" t="str">
        <x:v>SIM-E2-MP-L0-R10</x:v>
      </x:c>
      <x:c r="B2089" s="2" t="n">
        <x:v>5</x:v>
      </x:c>
      <x:c r="C2089" s="2" t="str">
        <x:v>MP</x:v>
      </x:c>
      <x:c r="D2089" s="2" t="str">
        <x:v>Myzus persicae</x:v>
      </x:c>
      <x:c r="E2089" s="2" t="str">
        <x:v>L0</x:v>
      </x:c>
      <x:c r="F2089" s="2" t="n">
        <x:v>10</x:v>
      </x:c>
      <x:c r="G2089" s="2" t="n">
        <x:v>29</x:v>
      </x:c>
      <x:c r="H2089" s="2" t="n">
        <x:f>G2089+Supuestos!$C$15</x:f>
        <x:v>30</x:v>
      </x:c>
      <x:c r="I2089" s="14" t="n">
        <x:f>E2_plantas!J51+G2089</x:f>
        <x:v>46231</x:v>
      </x:c>
      <x:c r="J2089" s="2" t="str">
        <x:v>adulta</x:v>
      </x:c>
      <x:c r="K2089" s="2" t="n">
        <x:v>1</x:v>
      </x:c>
      <x:c r="L2089" s="2" t="n">
        <x:v>0</x:v>
      </x:c>
      <x:c r="M2089" s="2" t="n">
        <x:f>SUM(L$2060:L2089)</x:f>
        <x:v>64</x:v>
      </x:c>
      <x:c r="N2089" s="2" t="n">
        <x:v>0</x:v>
      </x:c>
      <x:c r="O2089" s="2" t="str">
        <x:v>seguimiento</x:v>
      </x:c>
      <x:c r="P2089" s="2" t="n">
        <x:v>0</x:v>
      </x:c>
      <x:c r="Q2089" s="2" t="str">
        <x:v>simulado_didactico</x:v>
      </x:c>
    </x:row>
    <x:row r="2090" ht="19" customHeight="1">
      <x:c r="A2090" s="2" t="str">
        <x:v>SIM-E2-MP-L0-R10</x:v>
      </x:c>
      <x:c r="B2090" s="2" t="n">
        <x:v>5</x:v>
      </x:c>
      <x:c r="C2090" s="2" t="str">
        <x:v>MP</x:v>
      </x:c>
      <x:c r="D2090" s="2" t="str">
        <x:v>Myzus persicae</x:v>
      </x:c>
      <x:c r="E2090" s="2" t="str">
        <x:v>L0</x:v>
      </x:c>
      <x:c r="F2090" s="2" t="n">
        <x:v>10</x:v>
      </x:c>
      <x:c r="G2090" s="2" t="n">
        <x:v>30</x:v>
      </x:c>
      <x:c r="H2090" s="2" t="n">
        <x:f>G2090+Supuestos!$C$15</x:f>
        <x:v>31</x:v>
      </x:c>
      <x:c r="I2090" s="14" t="n">
        <x:f>E2_plantas!J51+G2090</x:f>
        <x:v>46232</x:v>
      </x:c>
      <x:c r="J2090" s="2" t="str">
        <x:v>adulta</x:v>
      </x:c>
      <x:c r="K2090" s="2" t="n">
        <x:v>1</x:v>
      </x:c>
      <x:c r="L2090" s="2" t="n">
        <x:v>0</x:v>
      </x:c>
      <x:c r="M2090" s="2" t="n">
        <x:f>SUM(L$2060:L2090)</x:f>
        <x:v>64</x:v>
      </x:c>
      <x:c r="N2090" s="2" t="n">
        <x:v>0</x:v>
      </x:c>
      <x:c r="O2090" s="2" t="str">
        <x:v>seguimiento</x:v>
      </x:c>
      <x:c r="P2090" s="2" t="n">
        <x:v>0</x:v>
      </x:c>
      <x:c r="Q2090" s="2" t="str">
        <x:v>simulado_didactico</x:v>
      </x:c>
    </x:row>
    <x:row r="2091" ht="19" customHeight="1">
      <x:c r="A2091" s="2" t="str">
        <x:v>SIM-E2-MP-L0-R10</x:v>
      </x:c>
      <x:c r="B2091" s="2" t="n">
        <x:v>5</x:v>
      </x:c>
      <x:c r="C2091" s="2" t="str">
        <x:v>MP</x:v>
      </x:c>
      <x:c r="D2091" s="2" t="str">
        <x:v>Myzus persicae</x:v>
      </x:c>
      <x:c r="E2091" s="2" t="str">
        <x:v>L0</x:v>
      </x:c>
      <x:c r="F2091" s="2" t="n">
        <x:v>10</x:v>
      </x:c>
      <x:c r="G2091" s="2" t="n">
        <x:v>31</x:v>
      </x:c>
      <x:c r="H2091" s="2" t="n">
        <x:f>G2091+Supuestos!$C$15</x:f>
        <x:v>32</x:v>
      </x:c>
      <x:c r="I2091" s="14" t="n">
        <x:f>E2_plantas!J51+G2091</x:f>
        <x:v>46233</x:v>
      </x:c>
      <x:c r="J2091" s="2" t="str">
        <x:v>adulta</x:v>
      </x:c>
      <x:c r="K2091" s="2" t="n">
        <x:v>1</x:v>
      </x:c>
      <x:c r="L2091" s="2" t="n">
        <x:v>0</x:v>
      </x:c>
      <x:c r="M2091" s="2" t="n">
        <x:f>SUM(L$2060:L2091)</x:f>
        <x:v>64</x:v>
      </x:c>
      <x:c r="N2091" s="2" t="n">
        <x:v>0</x:v>
      </x:c>
      <x:c r="O2091" s="2" t="str">
        <x:v>seguimiento</x:v>
      </x:c>
      <x:c r="P2091" s="2" t="n">
        <x:v>0</x:v>
      </x:c>
      <x:c r="Q2091" s="2" t="str">
        <x:v>simulado_didactico</x:v>
      </x:c>
    </x:row>
    <x:row r="2092" ht="19" customHeight="1">
      <x:c r="A2092" s="2" t="str">
        <x:v>SIM-E2-MP-L0-R10</x:v>
      </x:c>
      <x:c r="B2092" s="2" t="n">
        <x:v>5</x:v>
      </x:c>
      <x:c r="C2092" s="2" t="str">
        <x:v>MP</x:v>
      </x:c>
      <x:c r="D2092" s="2" t="str">
        <x:v>Myzus persicae</x:v>
      </x:c>
      <x:c r="E2092" s="2" t="str">
        <x:v>L0</x:v>
      </x:c>
      <x:c r="F2092" s="2" t="n">
        <x:v>10</x:v>
      </x:c>
      <x:c r="G2092" s="2" t="n">
        <x:v>32</x:v>
      </x:c>
      <x:c r="H2092" s="2" t="n">
        <x:f>G2092+Supuestos!$C$15</x:f>
        <x:v>33</x:v>
      </x:c>
      <x:c r="I2092" s="14" t="n">
        <x:f>E2_plantas!J51+G2092</x:f>
        <x:v>46234</x:v>
      </x:c>
      <x:c r="J2092" s="2" t="str">
        <x:v>muerta</x:v>
      </x:c>
      <x:c r="K2092" s="2" t="n">
        <x:v>0</x:v>
      </x:c>
      <x:c r="L2092" s="2" t="n">
        <x:v>0</x:v>
      </x:c>
      <x:c r="M2092" s="2" t="n">
        <x:f>SUM(L$2060:L2092)</x:f>
        <x:v>64</x:v>
      </x:c>
      <x:c r="N2092" s="2" t="n">
        <x:v>1</x:v>
      </x:c>
      <x:c r="O2092" s="2" t="str">
        <x:v>muerte</x:v>
      </x:c>
      <x:c r="P2092" s="2" t="n">
        <x:v>0</x:v>
      </x:c>
      <x:c r="Q2092" s="2" t="str">
        <x:v>simulado_didactico</x:v>
      </x:c>
    </x:row>
    <x:row r="2093" ht="19" customHeight="1">
      <x:c r="A2093" s="2" t="str">
        <x:v>SIM-E2-MP-L0-R10</x:v>
      </x:c>
      <x:c r="B2093" s="2" t="n">
        <x:v>5</x:v>
      </x:c>
      <x:c r="C2093" s="2" t="str">
        <x:v>MP</x:v>
      </x:c>
      <x:c r="D2093" s="2" t="str">
        <x:v>Myzus persicae</x:v>
      </x:c>
      <x:c r="E2093" s="2" t="str">
        <x:v>L0</x:v>
      </x:c>
      <x:c r="F2093" s="2" t="n">
        <x:v>10</x:v>
      </x:c>
      <x:c r="G2093" s="2" t="n">
        <x:v>33</x:v>
      </x:c>
      <x:c r="H2093" s="2" t="n">
        <x:f>G2093+Supuestos!$C$15</x:f>
        <x:v>34</x:v>
      </x:c>
      <x:c r="I2093" s="14" t="n">
        <x:f>E2_plantas!J51+G2093</x:f>
        <x:v>46235</x:v>
      </x:c>
      <x:c r="J2093" s="2" t="str">
        <x:v>muerta</x:v>
      </x:c>
      <x:c r="K2093" s="2" t="n">
        <x:v>0</x:v>
      </x:c>
      <x:c r="L2093" s="2" t="n">
        <x:v>0</x:v>
      </x:c>
      <x:c r="M2093" s="2" t="n">
        <x:f>SUM(L$2060:L2093)</x:f>
        <x:v>64</x:v>
      </x:c>
      <x:c r="N2093" s="2" t="n">
        <x:v>0</x:v>
      </x:c>
      <x:c r="O2093" s="2" t="str">
        <x:v>relleno_postmuerte</x:v>
      </x:c>
      <x:c r="P2093" s="2" t="n">
        <x:v>0</x:v>
      </x:c>
      <x:c r="Q2093" s="2" t="str">
        <x:v>simulado_didactico</x:v>
      </x:c>
    </x:row>
    <x:row r="2094" ht="19" customHeight="1">
      <x:c r="A2094" s="2" t="str">
        <x:v>SIM-E2-MP-L0-R10</x:v>
      </x:c>
      <x:c r="B2094" s="2" t="n">
        <x:v>5</x:v>
      </x:c>
      <x:c r="C2094" s="2" t="str">
        <x:v>MP</x:v>
      </x:c>
      <x:c r="D2094" s="2" t="str">
        <x:v>Myzus persicae</x:v>
      </x:c>
      <x:c r="E2094" s="2" t="str">
        <x:v>L0</x:v>
      </x:c>
      <x:c r="F2094" s="2" t="n">
        <x:v>10</x:v>
      </x:c>
      <x:c r="G2094" s="2" t="n">
        <x:v>34</x:v>
      </x:c>
      <x:c r="H2094" s="2" t="n">
        <x:f>G2094+Supuestos!$C$15</x:f>
        <x:v>35</x:v>
      </x:c>
      <x:c r="I2094" s="14" t="n">
        <x:f>E2_plantas!J51+G2094</x:f>
        <x:v>46236</x:v>
      </x:c>
      <x:c r="J2094" s="2" t="str">
        <x:v>muerta</x:v>
      </x:c>
      <x:c r="K2094" s="2" t="n">
        <x:v>0</x:v>
      </x:c>
      <x:c r="L2094" s="2" t="n">
        <x:v>0</x:v>
      </x:c>
      <x:c r="M2094" s="2" t="n">
        <x:f>SUM(L$2060:L2094)</x:f>
        <x:v>64</x:v>
      </x:c>
      <x:c r="N2094" s="2" t="n">
        <x:v>0</x:v>
      </x:c>
      <x:c r="O2094" s="2" t="str">
        <x:v>relleno_postmuerte</x:v>
      </x:c>
      <x:c r="P2094" s="2" t="n">
        <x:v>0</x:v>
      </x:c>
      <x:c r="Q2094" s="2" t="str">
        <x:v>simulado_didactico</x:v>
      </x:c>
    </x:row>
    <x:row r="2095" ht="19" customHeight="1">
      <x:c r="A2095" s="2" t="str">
        <x:v>SIM-E2-MP-L0-R10</x:v>
      </x:c>
      <x:c r="B2095" s="2" t="n">
        <x:v>5</x:v>
      </x:c>
      <x:c r="C2095" s="2" t="str">
        <x:v>MP</x:v>
      </x:c>
      <x:c r="D2095" s="2" t="str">
        <x:v>Myzus persicae</x:v>
      </x:c>
      <x:c r="E2095" s="2" t="str">
        <x:v>L0</x:v>
      </x:c>
      <x:c r="F2095" s="2" t="n">
        <x:v>10</x:v>
      </x:c>
      <x:c r="G2095" s="2" t="n">
        <x:v>35</x:v>
      </x:c>
      <x:c r="H2095" s="2" t="n">
        <x:f>G2095+Supuestos!$C$15</x:f>
        <x:v>36</x:v>
      </x:c>
      <x:c r="I2095" s="14" t="n">
        <x:f>E2_plantas!J51+G2095</x:f>
        <x:v>46237</x:v>
      </x:c>
      <x:c r="J2095" s="2" t="str">
        <x:v>muerta</x:v>
      </x:c>
      <x:c r="K2095" s="2" t="n">
        <x:v>0</x:v>
      </x:c>
      <x:c r="L2095" s="2" t="n">
        <x:v>0</x:v>
      </x:c>
      <x:c r="M2095" s="2" t="n">
        <x:f>SUM(L$2060:L2095)</x:f>
        <x:v>64</x:v>
      </x:c>
      <x:c r="N2095" s="2" t="n">
        <x:v>0</x:v>
      </x:c>
      <x:c r="O2095" s="2" t="str">
        <x:v>relleno_postmuerte</x:v>
      </x:c>
      <x:c r="P2095" s="2" t="n">
        <x:v>0</x:v>
      </x:c>
      <x:c r="Q2095" s="2" t="str">
        <x:v>simulado_didactico</x:v>
      </x:c>
    </x:row>
    <x:row r="2096" ht="19" customHeight="1">
      <x:c r="A2096" s="2" t="str">
        <x:v>SIM-E2-MP-L0-R10</x:v>
      </x:c>
      <x:c r="B2096" s="2" t="n">
        <x:v>5</x:v>
      </x:c>
      <x:c r="C2096" s="2" t="str">
        <x:v>MP</x:v>
      </x:c>
      <x:c r="D2096" s="2" t="str">
        <x:v>Myzus persicae</x:v>
      </x:c>
      <x:c r="E2096" s="2" t="str">
        <x:v>L0</x:v>
      </x:c>
      <x:c r="F2096" s="2" t="n">
        <x:v>10</x:v>
      </x:c>
      <x:c r="G2096" s="2" t="n">
        <x:v>36</x:v>
      </x:c>
      <x:c r="H2096" s="2" t="n">
        <x:f>G2096+Supuestos!$C$15</x:f>
        <x:v>37</x:v>
      </x:c>
      <x:c r="I2096" s="14" t="n">
        <x:f>E2_plantas!J51+G2096</x:f>
        <x:v>46238</x:v>
      </x:c>
      <x:c r="J2096" s="2" t="str">
        <x:v>muerta</x:v>
      </x:c>
      <x:c r="K2096" s="2" t="n">
        <x:v>0</x:v>
      </x:c>
      <x:c r="L2096" s="2" t="n">
        <x:v>0</x:v>
      </x:c>
      <x:c r="M2096" s="2" t="n">
        <x:f>SUM(L$2060:L2096)</x:f>
        <x:v>64</x:v>
      </x:c>
      <x:c r="N2096" s="2" t="n">
        <x:v>0</x:v>
      </x:c>
      <x:c r="O2096" s="2" t="str">
        <x:v>relleno_postmuerte</x:v>
      </x:c>
      <x:c r="P2096" s="2" t="n">
        <x:v>0</x:v>
      </x:c>
      <x:c r="Q2096" s="2" t="str">
        <x:v>simulado_didactico</x:v>
      </x:c>
    </x:row>
    <x:row r="2097" ht="19" customHeight="1">
      <x:c r="A2097" s="2" t="str">
        <x:v>SIM-E2-MP-L0-R10</x:v>
      </x:c>
      <x:c r="B2097" s="2" t="n">
        <x:v>5</x:v>
      </x:c>
      <x:c r="C2097" s="2" t="str">
        <x:v>MP</x:v>
      </x:c>
      <x:c r="D2097" s="2" t="str">
        <x:v>Myzus persicae</x:v>
      </x:c>
      <x:c r="E2097" s="2" t="str">
        <x:v>L0</x:v>
      </x:c>
      <x:c r="F2097" s="2" t="n">
        <x:v>10</x:v>
      </x:c>
      <x:c r="G2097" s="2" t="n">
        <x:v>37</x:v>
      </x:c>
      <x:c r="H2097" s="2" t="n">
        <x:f>G2097+Supuestos!$C$15</x:f>
        <x:v>38</x:v>
      </x:c>
      <x:c r="I2097" s="14" t="n">
        <x:f>E2_plantas!J51+G2097</x:f>
        <x:v>46239</x:v>
      </x:c>
      <x:c r="J2097" s="2" t="str">
        <x:v>muerta</x:v>
      </x:c>
      <x:c r="K2097" s="2" t="n">
        <x:v>0</x:v>
      </x:c>
      <x:c r="L2097" s="2" t="n">
        <x:v>0</x:v>
      </x:c>
      <x:c r="M2097" s="2" t="n">
        <x:f>SUM(L$2060:L2097)</x:f>
        <x:v>64</x:v>
      </x:c>
      <x:c r="N2097" s="2" t="n">
        <x:v>0</x:v>
      </x:c>
      <x:c r="O2097" s="2" t="str">
        <x:v>relleno_postmuerte</x:v>
      </x:c>
      <x:c r="P2097" s="2" t="n">
        <x:v>0</x:v>
      </x:c>
      <x:c r="Q2097" s="2" t="str">
        <x:v>simulado_didactico</x:v>
      </x:c>
    </x:row>
    <x:row r="2098" ht="19" customHeight="1">
      <x:c r="A2098" s="2" t="str">
        <x:v>SIM-E2-MP-L0-R10</x:v>
      </x:c>
      <x:c r="B2098" s="2" t="n">
        <x:v>5</x:v>
      </x:c>
      <x:c r="C2098" s="2" t="str">
        <x:v>MP</x:v>
      </x:c>
      <x:c r="D2098" s="2" t="str">
        <x:v>Myzus persicae</x:v>
      </x:c>
      <x:c r="E2098" s="2" t="str">
        <x:v>L0</x:v>
      </x:c>
      <x:c r="F2098" s="2" t="n">
        <x:v>10</x:v>
      </x:c>
      <x:c r="G2098" s="2" t="n">
        <x:v>38</x:v>
      </x:c>
      <x:c r="H2098" s="2" t="n">
        <x:f>G2098+Supuestos!$C$15</x:f>
        <x:v>39</x:v>
      </x:c>
      <x:c r="I2098" s="14" t="n">
        <x:f>E2_plantas!J51+G2098</x:f>
        <x:v>46240</x:v>
      </x:c>
      <x:c r="J2098" s="2" t="str">
        <x:v>muerta</x:v>
      </x:c>
      <x:c r="K2098" s="2" t="n">
        <x:v>0</x:v>
      </x:c>
      <x:c r="L2098" s="2" t="n">
        <x:v>0</x:v>
      </x:c>
      <x:c r="M2098" s="2" t="n">
        <x:f>SUM(L$2060:L2098)</x:f>
        <x:v>64</x:v>
      </x:c>
      <x:c r="N2098" s="2" t="n">
        <x:v>0</x:v>
      </x:c>
      <x:c r="O2098" s="2" t="str">
        <x:v>relleno_postmuerte</x:v>
      </x:c>
      <x:c r="P2098" s="2" t="n">
        <x:v>0</x:v>
      </x:c>
      <x:c r="Q2098" s="2" t="str">
        <x:v>simulado_didactico</x:v>
      </x:c>
    </x:row>
    <x:row r="2099" ht="19" customHeight="1">
      <x:c r="A2099" s="2" t="str">
        <x:v>SIM-E2-MP-L0-R10</x:v>
      </x:c>
      <x:c r="B2099" s="2" t="n">
        <x:v>5</x:v>
      </x:c>
      <x:c r="C2099" s="2" t="str">
        <x:v>MP</x:v>
      </x:c>
      <x:c r="D2099" s="2" t="str">
        <x:v>Myzus persicae</x:v>
      </x:c>
      <x:c r="E2099" s="2" t="str">
        <x:v>L0</x:v>
      </x:c>
      <x:c r="F2099" s="2" t="n">
        <x:v>10</x:v>
      </x:c>
      <x:c r="G2099" s="2" t="n">
        <x:v>39</x:v>
      </x:c>
      <x:c r="H2099" s="2" t="n">
        <x:f>G2099+Supuestos!$C$15</x:f>
        <x:v>40</x:v>
      </x:c>
      <x:c r="I2099" s="14" t="n">
        <x:f>E2_plantas!J51+G2099</x:f>
        <x:v>46241</x:v>
      </x:c>
      <x:c r="J2099" s="2" t="str">
        <x:v>muerta</x:v>
      </x:c>
      <x:c r="K2099" s="2" t="n">
        <x:v>0</x:v>
      </x:c>
      <x:c r="L2099" s="2" t="n">
        <x:v>0</x:v>
      </x:c>
      <x:c r="M2099" s="2" t="n">
        <x:f>SUM(L$2060:L2099)</x:f>
        <x:v>64</x:v>
      </x:c>
      <x:c r="N2099" s="2" t="n">
        <x:v>0</x:v>
      </x:c>
      <x:c r="O2099" s="2" t="str">
        <x:v>relleno_postmuerte</x:v>
      </x:c>
      <x:c r="P2099" s="2" t="n">
        <x:v>0</x:v>
      </x:c>
      <x:c r="Q2099" s="2" t="str">
        <x:v>simulado_didactico</x:v>
      </x:c>
    </x:row>
    <x:row r="2100" ht="19" customHeight="1">
      <x:c r="A2100" s="2" t="str">
        <x:v>SIM-E2-MP-L0-R10</x:v>
      </x:c>
      <x:c r="B2100" s="2" t="n">
        <x:v>5</x:v>
      </x:c>
      <x:c r="C2100" s="2" t="str">
        <x:v>MP</x:v>
      </x:c>
      <x:c r="D2100" s="2" t="str">
        <x:v>Myzus persicae</x:v>
      </x:c>
      <x:c r="E2100" s="2" t="str">
        <x:v>L0</x:v>
      </x:c>
      <x:c r="F2100" s="2" t="n">
        <x:v>10</x:v>
      </x:c>
      <x:c r="G2100" s="2" t="n">
        <x:v>40</x:v>
      </x:c>
      <x:c r="H2100" s="2" t="n">
        <x:f>G2100+Supuestos!$C$15</x:f>
        <x:v>41</x:v>
      </x:c>
      <x:c r="I2100" s="14" t="n">
        <x:f>E2_plantas!J51+G2100</x:f>
        <x:v>46242</x:v>
      </x:c>
      <x:c r="J2100" s="2" t="str">
        <x:v>muerta</x:v>
      </x:c>
      <x:c r="K2100" s="2" t="n">
        <x:v>0</x:v>
      </x:c>
      <x:c r="L2100" s="2" t="n">
        <x:v>0</x:v>
      </x:c>
      <x:c r="M2100" s="2" t="n">
        <x:f>SUM(L$2060:L2100)</x:f>
        <x:v>64</x:v>
      </x:c>
      <x:c r="N2100" s="2" t="n">
        <x:v>0</x:v>
      </x:c>
      <x:c r="O2100" s="2" t="str">
        <x:v>relleno_postmuerte</x:v>
      </x:c>
      <x:c r="P2100" s="2" t="n">
        <x:v>0</x:v>
      </x:c>
      <x:c r="Q2100" s="2" t="str">
        <x:v>simulado_didactico</x:v>
      </x:c>
    </x:row>
    <x:row r="2101" ht="19" customHeight="1">
      <x:c r="A2101" s="2" t="str">
        <x:v>SIM-E2-MP-L0-R10</x:v>
      </x:c>
      <x:c r="B2101" s="2" t="n">
        <x:v>5</x:v>
      </x:c>
      <x:c r="C2101" s="2" t="str">
        <x:v>MP</x:v>
      </x:c>
      <x:c r="D2101" s="2" t="str">
        <x:v>Myzus persicae</x:v>
      </x:c>
      <x:c r="E2101" s="2" t="str">
        <x:v>L0</x:v>
      </x:c>
      <x:c r="F2101" s="2" t="n">
        <x:v>10</x:v>
      </x:c>
      <x:c r="G2101" s="2" t="n">
        <x:v>41</x:v>
      </x:c>
      <x:c r="H2101" s="2" t="n">
        <x:f>G2101+Supuestos!$C$15</x:f>
        <x:v>42</x:v>
      </x:c>
      <x:c r="I2101" s="14" t="n">
        <x:f>E2_plantas!J51+G2101</x:f>
        <x:v>46243</x:v>
      </x:c>
      <x:c r="J2101" s="2" t="str">
        <x:v>muerta</x:v>
      </x:c>
      <x:c r="K2101" s="2" t="n">
        <x:v>0</x:v>
      </x:c>
      <x:c r="L2101" s="2" t="n">
        <x:v>0</x:v>
      </x:c>
      <x:c r="M2101" s="2" t="n">
        <x:f>SUM(L$2060:L2101)</x:f>
        <x:v>64</x:v>
      </x:c>
      <x:c r="N2101" s="2" t="n">
        <x:v>0</x:v>
      </x:c>
      <x:c r="O2101" s="2" t="str">
        <x:v>relleno_postmuerte</x:v>
      </x:c>
      <x:c r="P2101" s="2" t="n">
        <x:v>0</x:v>
      </x:c>
      <x:c r="Q2101" s="2" t="str">
        <x:v>simulado_didactico</x:v>
      </x:c>
    </x:row>
    <x:row r="2102" ht="19" customHeight="1">
      <x:c r="A2102" s="2" t="str">
        <x:v>SIM-E2-MP-L8-R09</x:v>
      </x:c>
      <x:c r="B2102" s="2" t="n">
        <x:v>5</x:v>
      </x:c>
      <x:c r="C2102" s="2" t="str">
        <x:v>MP</x:v>
      </x:c>
      <x:c r="D2102" s="2" t="str">
        <x:v>Myzus persicae</x:v>
      </x:c>
      <x:c r="E2102" s="2" t="str">
        <x:v>L8</x:v>
      </x:c>
      <x:c r="F2102" s="2" t="n">
        <x:v>9</x:v>
      </x:c>
      <x:c r="G2102" s="2" t="n">
        <x:v>0</x:v>
      </x:c>
      <x:c r="H2102" s="2" t="n">
        <x:f>G2102+Supuestos!$C$15</x:f>
        <x:v>1</x:v>
      </x:c>
      <x:c r="I2102" s="14" t="n">
        <x:f>E2_plantas!J52+G2102</x:f>
        <x:v>46202</x:v>
      </x:c>
      <x:c r="J2102" s="2" t="str">
        <x:v>N1</x:v>
      </x:c>
      <x:c r="K2102" s="2" t="n">
        <x:v>1</x:v>
      </x:c>
      <x:c r="L2102" s="2" t="n">
        <x:v>0</x:v>
      </x:c>
      <x:c r="M2102" s="2" t="n">
        <x:f>SUM(L$2102:L2102)</x:f>
        <x:v>0</x:v>
      </x:c>
      <x:c r="N2102" s="2" t="n">
        <x:v>0</x:v>
      </x:c>
      <x:c r="O2102" s="2" t="str">
        <x:v>seguimiento</x:v>
      </x:c>
      <x:c r="P2102" s="2" t="n">
        <x:v>0</x:v>
      </x:c>
      <x:c r="Q2102" s="2" t="str">
        <x:v>simulado_didactico</x:v>
      </x:c>
    </x:row>
    <x:row r="2103" ht="19" customHeight="1">
      <x:c r="A2103" s="2" t="str">
        <x:v>SIM-E2-MP-L8-R09</x:v>
      </x:c>
      <x:c r="B2103" s="2" t="n">
        <x:v>5</x:v>
      </x:c>
      <x:c r="C2103" s="2" t="str">
        <x:v>MP</x:v>
      </x:c>
      <x:c r="D2103" s="2" t="str">
        <x:v>Myzus persicae</x:v>
      </x:c>
      <x:c r="E2103" s="2" t="str">
        <x:v>L8</x:v>
      </x:c>
      <x:c r="F2103" s="2" t="n">
        <x:v>9</x:v>
      </x:c>
      <x:c r="G2103" s="2" t="n">
        <x:v>1</x:v>
      </x:c>
      <x:c r="H2103" s="2" t="n">
        <x:f>G2103+Supuestos!$C$15</x:f>
        <x:v>2</x:v>
      </x:c>
      <x:c r="I2103" s="14" t="n">
        <x:f>E2_plantas!J52+G2103</x:f>
        <x:v>46203</x:v>
      </x:c>
      <x:c r="J2103" s="2" t="str">
        <x:v>N2</x:v>
      </x:c>
      <x:c r="K2103" s="2" t="n">
        <x:v>1</x:v>
      </x:c>
      <x:c r="L2103" s="2" t="n">
        <x:v>0</x:v>
      </x:c>
      <x:c r="M2103" s="2" t="n">
        <x:f>SUM(L$2102:L2103)</x:f>
        <x:v>0</x:v>
      </x:c>
      <x:c r="N2103" s="2" t="n">
        <x:v>0</x:v>
      </x:c>
      <x:c r="O2103" s="2" t="str">
        <x:v>seguimiento</x:v>
      </x:c>
      <x:c r="P2103" s="2" t="n">
        <x:v>0</x:v>
      </x:c>
      <x:c r="Q2103" s="2" t="str">
        <x:v>simulado_didactico</x:v>
      </x:c>
    </x:row>
    <x:row r="2104" ht="19" customHeight="1">
      <x:c r="A2104" s="2" t="str">
        <x:v>SIM-E2-MP-L8-R09</x:v>
      </x:c>
      <x:c r="B2104" s="2" t="n">
        <x:v>5</x:v>
      </x:c>
      <x:c r="C2104" s="2" t="str">
        <x:v>MP</x:v>
      </x:c>
      <x:c r="D2104" s="2" t="str">
        <x:v>Myzus persicae</x:v>
      </x:c>
      <x:c r="E2104" s="2" t="str">
        <x:v>L8</x:v>
      </x:c>
      <x:c r="F2104" s="2" t="n">
        <x:v>9</x:v>
      </x:c>
      <x:c r="G2104" s="2" t="n">
        <x:v>2</x:v>
      </x:c>
      <x:c r="H2104" s="2" t="n">
        <x:f>G2104+Supuestos!$C$15</x:f>
        <x:v>3</x:v>
      </x:c>
      <x:c r="I2104" s="14" t="n">
        <x:f>E2_plantas!J52+G2104</x:f>
        <x:v>46204</x:v>
      </x:c>
      <x:c r="J2104" s="2" t="str">
        <x:v>N3</x:v>
      </x:c>
      <x:c r="K2104" s="2" t="n">
        <x:v>1</x:v>
      </x:c>
      <x:c r="L2104" s="2" t="n">
        <x:v>0</x:v>
      </x:c>
      <x:c r="M2104" s="2" t="n">
        <x:f>SUM(L$2102:L2104)</x:f>
        <x:v>0</x:v>
      </x:c>
      <x:c r="N2104" s="2" t="n">
        <x:v>0</x:v>
      </x:c>
      <x:c r="O2104" s="2" t="str">
        <x:v>seguimiento</x:v>
      </x:c>
      <x:c r="P2104" s="2" t="n">
        <x:v>0</x:v>
      </x:c>
      <x:c r="Q2104" s="2" t="str">
        <x:v>simulado_didactico</x:v>
      </x:c>
    </x:row>
    <x:row r="2105" ht="19" customHeight="1">
      <x:c r="A2105" s="2" t="str">
        <x:v>SIM-E2-MP-L8-R09</x:v>
      </x:c>
      <x:c r="B2105" s="2" t="n">
        <x:v>5</x:v>
      </x:c>
      <x:c r="C2105" s="2" t="str">
        <x:v>MP</x:v>
      </x:c>
      <x:c r="D2105" s="2" t="str">
        <x:v>Myzus persicae</x:v>
      </x:c>
      <x:c r="E2105" s="2" t="str">
        <x:v>L8</x:v>
      </x:c>
      <x:c r="F2105" s="2" t="n">
        <x:v>9</x:v>
      </x:c>
      <x:c r="G2105" s="2" t="n">
        <x:v>3</x:v>
      </x:c>
      <x:c r="H2105" s="2" t="n">
        <x:f>G2105+Supuestos!$C$15</x:f>
        <x:v>4</x:v>
      </x:c>
      <x:c r="I2105" s="14" t="n">
        <x:f>E2_plantas!J52+G2105</x:f>
        <x:v>46205</x:v>
      </x:c>
      <x:c r="J2105" s="2" t="str">
        <x:v>N3</x:v>
      </x:c>
      <x:c r="K2105" s="2" t="n">
        <x:v>1</x:v>
      </x:c>
      <x:c r="L2105" s="2" t="n">
        <x:v>0</x:v>
      </x:c>
      <x:c r="M2105" s="2" t="n">
        <x:f>SUM(L$2102:L2105)</x:f>
        <x:v>0</x:v>
      </x:c>
      <x:c r="N2105" s="2" t="n">
        <x:v>0</x:v>
      </x:c>
      <x:c r="O2105" s="2" t="str">
        <x:v>seguimiento</x:v>
      </x:c>
      <x:c r="P2105" s="2" t="n">
        <x:v>0</x:v>
      </x:c>
      <x:c r="Q2105" s="2" t="str">
        <x:v>simulado_didactico</x:v>
      </x:c>
    </x:row>
    <x:row r="2106" ht="19" customHeight="1">
      <x:c r="A2106" s="2" t="str">
        <x:v>SIM-E2-MP-L8-R09</x:v>
      </x:c>
      <x:c r="B2106" s="2" t="n">
        <x:v>5</x:v>
      </x:c>
      <x:c r="C2106" s="2" t="str">
        <x:v>MP</x:v>
      </x:c>
      <x:c r="D2106" s="2" t="str">
        <x:v>Myzus persicae</x:v>
      </x:c>
      <x:c r="E2106" s="2" t="str">
        <x:v>L8</x:v>
      </x:c>
      <x:c r="F2106" s="2" t="n">
        <x:v>9</x:v>
      </x:c>
      <x:c r="G2106" s="2" t="n">
        <x:v>4</x:v>
      </x:c>
      <x:c r="H2106" s="2" t="n">
        <x:f>G2106+Supuestos!$C$15</x:f>
        <x:v>5</x:v>
      </x:c>
      <x:c r="I2106" s="14" t="n">
        <x:f>E2_plantas!J52+G2106</x:f>
        <x:v>46206</x:v>
      </x:c>
      <x:c r="J2106" s="2" t="str">
        <x:v>N4</x:v>
      </x:c>
      <x:c r="K2106" s="2" t="n">
        <x:v>1</x:v>
      </x:c>
      <x:c r="L2106" s="2" t="n">
        <x:v>0</x:v>
      </x:c>
      <x:c r="M2106" s="2" t="n">
        <x:f>SUM(L$2102:L2106)</x:f>
        <x:v>0</x:v>
      </x:c>
      <x:c r="N2106" s="2" t="n">
        <x:v>0</x:v>
      </x:c>
      <x:c r="O2106" s="2" t="str">
        <x:v>seguimiento</x:v>
      </x:c>
      <x:c r="P2106" s="2" t="n">
        <x:v>0</x:v>
      </x:c>
      <x:c r="Q2106" s="2" t="str">
        <x:v>simulado_didactico</x:v>
      </x:c>
    </x:row>
    <x:row r="2107" ht="19" customHeight="1">
      <x:c r="A2107" s="2" t="str">
        <x:v>SIM-E2-MP-L8-R09</x:v>
      </x:c>
      <x:c r="B2107" s="2" t="n">
        <x:v>5</x:v>
      </x:c>
      <x:c r="C2107" s="2" t="str">
        <x:v>MP</x:v>
      </x:c>
      <x:c r="D2107" s="2" t="str">
        <x:v>Myzus persicae</x:v>
      </x:c>
      <x:c r="E2107" s="2" t="str">
        <x:v>L8</x:v>
      </x:c>
      <x:c r="F2107" s="2" t="n">
        <x:v>9</x:v>
      </x:c>
      <x:c r="G2107" s="2" t="n">
        <x:v>5</x:v>
      </x:c>
      <x:c r="H2107" s="2" t="n">
        <x:f>G2107+Supuestos!$C$15</x:f>
        <x:v>6</x:v>
      </x:c>
      <x:c r="I2107" s="14" t="n">
        <x:f>E2_plantas!J52+G2107</x:f>
        <x:v>46207</x:v>
      </x:c>
      <x:c r="J2107" s="2" t="str">
        <x:v>N4</x:v>
      </x:c>
      <x:c r="K2107" s="2" t="n">
        <x:v>1</x:v>
      </x:c>
      <x:c r="L2107" s="2" t="n">
        <x:v>0</x:v>
      </x:c>
      <x:c r="M2107" s="2" t="n">
        <x:f>SUM(L$2102:L2107)</x:f>
        <x:v>0</x:v>
      </x:c>
      <x:c r="N2107" s="2" t="n">
        <x:v>0</x:v>
      </x:c>
      <x:c r="O2107" s="2" t="str">
        <x:v>seguimiento</x:v>
      </x:c>
      <x:c r="P2107" s="2" t="n">
        <x:v>0</x:v>
      </x:c>
      <x:c r="Q2107" s="2" t="str">
        <x:v>simulado_didactico</x:v>
      </x:c>
    </x:row>
    <x:row r="2108" ht="19" customHeight="1">
      <x:c r="A2108" s="2" t="str">
        <x:v>SIM-E2-MP-L8-R09</x:v>
      </x:c>
      <x:c r="B2108" s="2" t="n">
        <x:v>5</x:v>
      </x:c>
      <x:c r="C2108" s="2" t="str">
        <x:v>MP</x:v>
      </x:c>
      <x:c r="D2108" s="2" t="str">
        <x:v>Myzus persicae</x:v>
      </x:c>
      <x:c r="E2108" s="2" t="str">
        <x:v>L8</x:v>
      </x:c>
      <x:c r="F2108" s="2" t="n">
        <x:v>9</x:v>
      </x:c>
      <x:c r="G2108" s="2" t="n">
        <x:v>6</x:v>
      </x:c>
      <x:c r="H2108" s="2" t="n">
        <x:f>G2108+Supuestos!$C$15</x:f>
        <x:v>7</x:v>
      </x:c>
      <x:c r="I2108" s="14" t="n">
        <x:f>E2_plantas!J52+G2108</x:f>
        <x:v>46208</x:v>
      </x:c>
      <x:c r="J2108" s="2" t="str">
        <x:v>adulta</x:v>
      </x:c>
      <x:c r="K2108" s="2" t="n">
        <x:v>1</x:v>
      </x:c>
      <x:c r="L2108" s="2" t="n">
        <x:v>0</x:v>
      </x:c>
      <x:c r="M2108" s="2" t="n">
        <x:f>SUM(L$2102:L2108)</x:f>
        <x:v>0</x:v>
      </x:c>
      <x:c r="N2108" s="2" t="n">
        <x:v>0</x:v>
      </x:c>
      <x:c r="O2108" s="2" t="str">
        <x:v>seguimiento</x:v>
      </x:c>
      <x:c r="P2108" s="2" t="n">
        <x:v>0</x:v>
      </x:c>
      <x:c r="Q2108" s="2" t="str">
        <x:v>simulado_didactico</x:v>
      </x:c>
    </x:row>
    <x:row r="2109" ht="19" customHeight="1">
      <x:c r="A2109" s="2" t="str">
        <x:v>SIM-E2-MP-L8-R09</x:v>
      </x:c>
      <x:c r="B2109" s="2" t="n">
        <x:v>5</x:v>
      </x:c>
      <x:c r="C2109" s="2" t="str">
        <x:v>MP</x:v>
      </x:c>
      <x:c r="D2109" s="2" t="str">
        <x:v>Myzus persicae</x:v>
      </x:c>
      <x:c r="E2109" s="2" t="str">
        <x:v>L8</x:v>
      </x:c>
      <x:c r="F2109" s="2" t="n">
        <x:v>9</x:v>
      </x:c>
      <x:c r="G2109" s="2" t="n">
        <x:v>7</x:v>
      </x:c>
      <x:c r="H2109" s="2" t="n">
        <x:f>G2109+Supuestos!$C$15</x:f>
        <x:v>8</x:v>
      </x:c>
      <x:c r="I2109" s="14" t="n">
        <x:f>E2_plantas!J52+G2109</x:f>
        <x:v>46209</x:v>
      </x:c>
      <x:c r="J2109" s="2" t="str">
        <x:v>adulta</x:v>
      </x:c>
      <x:c r="K2109" s="2" t="n">
        <x:v>1</x:v>
      </x:c>
      <x:c r="L2109" s="2" t="n">
        <x:v>0</x:v>
      </x:c>
      <x:c r="M2109" s="2" t="n">
        <x:f>SUM(L$2102:L2109)</x:f>
        <x:v>0</x:v>
      </x:c>
      <x:c r="N2109" s="2" t="n">
        <x:v>0</x:v>
      </x:c>
      <x:c r="O2109" s="2" t="str">
        <x:v>seguimiento</x:v>
      </x:c>
      <x:c r="P2109" s="2" t="n">
        <x:v>0</x:v>
      </x:c>
      <x:c r="Q2109" s="2" t="str">
        <x:v>simulado_didactico</x:v>
      </x:c>
    </x:row>
    <x:row r="2110" ht="19" customHeight="1">
      <x:c r="A2110" s="2" t="str">
        <x:v>SIM-E2-MP-L8-R09</x:v>
      </x:c>
      <x:c r="B2110" s="2" t="n">
        <x:v>5</x:v>
      </x:c>
      <x:c r="C2110" s="2" t="str">
        <x:v>MP</x:v>
      </x:c>
      <x:c r="D2110" s="2" t="str">
        <x:v>Myzus persicae</x:v>
      </x:c>
      <x:c r="E2110" s="2" t="str">
        <x:v>L8</x:v>
      </x:c>
      <x:c r="F2110" s="2" t="n">
        <x:v>9</x:v>
      </x:c>
      <x:c r="G2110" s="2" t="n">
        <x:v>8</x:v>
      </x:c>
      <x:c r="H2110" s="2" t="n">
        <x:f>G2110+Supuestos!$C$15</x:f>
        <x:v>9</x:v>
      </x:c>
      <x:c r="I2110" s="14" t="n">
        <x:f>E2_plantas!J52+G2110</x:f>
        <x:v>46210</x:v>
      </x:c>
      <x:c r="J2110" s="2" t="str">
        <x:v>adulta</x:v>
      </x:c>
      <x:c r="K2110" s="2" t="n">
        <x:v>1</x:v>
      </x:c>
      <x:c r="L2110" s="2" t="n">
        <x:v>1</x:v>
      </x:c>
      <x:c r="M2110" s="2" t="n">
        <x:f>SUM(L$2102:L2110)</x:f>
        <x:v>1</x:v>
      </x:c>
      <x:c r="N2110" s="2" t="n">
        <x:v>0</x:v>
      </x:c>
      <x:c r="O2110" s="2" t="str">
        <x:v>seguimiento</x:v>
      </x:c>
      <x:c r="P2110" s="2" t="n">
        <x:v>0</x:v>
      </x:c>
      <x:c r="Q2110" s="2" t="str">
        <x:v>simulado_didactico</x:v>
      </x:c>
    </x:row>
    <x:row r="2111" ht="19" customHeight="1">
      <x:c r="A2111" s="2" t="str">
        <x:v>SIM-E2-MP-L8-R09</x:v>
      </x:c>
      <x:c r="B2111" s="2" t="n">
        <x:v>5</x:v>
      </x:c>
      <x:c r="C2111" s="2" t="str">
        <x:v>MP</x:v>
      </x:c>
      <x:c r="D2111" s="2" t="str">
        <x:v>Myzus persicae</x:v>
      </x:c>
      <x:c r="E2111" s="2" t="str">
        <x:v>L8</x:v>
      </x:c>
      <x:c r="F2111" s="2" t="n">
        <x:v>9</x:v>
      </x:c>
      <x:c r="G2111" s="2" t="n">
        <x:v>9</x:v>
      </x:c>
      <x:c r="H2111" s="2" t="n">
        <x:f>G2111+Supuestos!$C$15</x:f>
        <x:v>10</x:v>
      </x:c>
      <x:c r="I2111" s="14" t="n">
        <x:f>E2_plantas!J52+G2111</x:f>
        <x:v>46211</x:v>
      </x:c>
      <x:c r="J2111" s="2" t="str">
        <x:v>adulta</x:v>
      </x:c>
      <x:c r="K2111" s="2" t="n">
        <x:v>1</x:v>
      </x:c>
      <x:c r="L2111" s="2" t="n">
        <x:v>4</x:v>
      </x:c>
      <x:c r="M2111" s="2" t="n">
        <x:f>SUM(L$2102:L2111)</x:f>
        <x:v>5</x:v>
      </x:c>
      <x:c r="N2111" s="2" t="n">
        <x:v>0</x:v>
      </x:c>
      <x:c r="O2111" s="2" t="str">
        <x:v>seguimiento</x:v>
      </x:c>
      <x:c r="P2111" s="2" t="n">
        <x:v>0</x:v>
      </x:c>
      <x:c r="Q2111" s="2" t="str">
        <x:v>simulado_didactico</x:v>
      </x:c>
    </x:row>
    <x:row r="2112" ht="19" customHeight="1">
      <x:c r="A2112" s="2" t="str">
        <x:v>SIM-E2-MP-L8-R09</x:v>
      </x:c>
      <x:c r="B2112" s="2" t="n">
        <x:v>5</x:v>
      </x:c>
      <x:c r="C2112" s="2" t="str">
        <x:v>MP</x:v>
      </x:c>
      <x:c r="D2112" s="2" t="str">
        <x:v>Myzus persicae</x:v>
      </x:c>
      <x:c r="E2112" s="2" t="str">
        <x:v>L8</x:v>
      </x:c>
      <x:c r="F2112" s="2" t="n">
        <x:v>9</x:v>
      </x:c>
      <x:c r="G2112" s="2" t="n">
        <x:v>10</x:v>
      </x:c>
      <x:c r="H2112" s="2" t="n">
        <x:f>G2112+Supuestos!$C$15</x:f>
        <x:v>11</x:v>
      </x:c>
      <x:c r="I2112" s="14" t="n">
        <x:f>E2_plantas!J52+G2112</x:f>
        <x:v>46212</x:v>
      </x:c>
      <x:c r="J2112" s="2" t="str">
        <x:v>adulta</x:v>
      </x:c>
      <x:c r="K2112" s="2" t="n">
        <x:v>1</x:v>
      </x:c>
      <x:c r="L2112" s="2" t="n">
        <x:v>2</x:v>
      </x:c>
      <x:c r="M2112" s="2" t="n">
        <x:f>SUM(L$2102:L2112)</x:f>
        <x:v>7</x:v>
      </x:c>
      <x:c r="N2112" s="2" t="n">
        <x:v>0</x:v>
      </x:c>
      <x:c r="O2112" s="2" t="str">
        <x:v>seguimiento</x:v>
      </x:c>
      <x:c r="P2112" s="2" t="n">
        <x:v>0</x:v>
      </x:c>
      <x:c r="Q2112" s="2" t="str">
        <x:v>simulado_didactico</x:v>
      </x:c>
    </x:row>
    <x:row r="2113" ht="19" customHeight="1">
      <x:c r="A2113" s="2" t="str">
        <x:v>SIM-E2-MP-L8-R09</x:v>
      </x:c>
      <x:c r="B2113" s="2" t="n">
        <x:v>5</x:v>
      </x:c>
      <x:c r="C2113" s="2" t="str">
        <x:v>MP</x:v>
      </x:c>
      <x:c r="D2113" s="2" t="str">
        <x:v>Myzus persicae</x:v>
      </x:c>
      <x:c r="E2113" s="2" t="str">
        <x:v>L8</x:v>
      </x:c>
      <x:c r="F2113" s="2" t="n">
        <x:v>9</x:v>
      </x:c>
      <x:c r="G2113" s="2" t="n">
        <x:v>11</x:v>
      </x:c>
      <x:c r="H2113" s="2" t="n">
        <x:f>G2113+Supuestos!$C$15</x:f>
        <x:v>12</x:v>
      </x:c>
      <x:c r="I2113" s="14" t="n">
        <x:f>E2_plantas!J52+G2113</x:f>
        <x:v>46213</x:v>
      </x:c>
      <x:c r="J2113" s="2" t="str">
        <x:v>adulta</x:v>
      </x:c>
      <x:c r="K2113" s="2" t="n">
        <x:v>1</x:v>
      </x:c>
      <x:c r="L2113" s="2" t="n">
        <x:v>1</x:v>
      </x:c>
      <x:c r="M2113" s="2" t="n">
        <x:f>SUM(L$2102:L2113)</x:f>
        <x:v>8</x:v>
      </x:c>
      <x:c r="N2113" s="2" t="n">
        <x:v>0</x:v>
      </x:c>
      <x:c r="O2113" s="2" t="str">
        <x:v>seguimiento</x:v>
      </x:c>
      <x:c r="P2113" s="2" t="n">
        <x:v>0</x:v>
      </x:c>
      <x:c r="Q2113" s="2" t="str">
        <x:v>simulado_didactico</x:v>
      </x:c>
    </x:row>
    <x:row r="2114" ht="19" customHeight="1">
      <x:c r="A2114" s="2" t="str">
        <x:v>SIM-E2-MP-L8-R09</x:v>
      </x:c>
      <x:c r="B2114" s="2" t="n">
        <x:v>5</x:v>
      </x:c>
      <x:c r="C2114" s="2" t="str">
        <x:v>MP</x:v>
      </x:c>
      <x:c r="D2114" s="2" t="str">
        <x:v>Myzus persicae</x:v>
      </x:c>
      <x:c r="E2114" s="2" t="str">
        <x:v>L8</x:v>
      </x:c>
      <x:c r="F2114" s="2" t="n">
        <x:v>9</x:v>
      </x:c>
      <x:c r="G2114" s="2" t="n">
        <x:v>12</x:v>
      </x:c>
      <x:c r="H2114" s="2" t="n">
        <x:f>G2114+Supuestos!$C$15</x:f>
        <x:v>13</x:v>
      </x:c>
      <x:c r="I2114" s="14" t="n">
        <x:f>E2_plantas!J52+G2114</x:f>
        <x:v>46214</x:v>
      </x:c>
      <x:c r="J2114" s="2" t="str">
        <x:v>adulta</x:v>
      </x:c>
      <x:c r="K2114" s="2" t="n">
        <x:v>1</x:v>
      </x:c>
      <x:c r="L2114" s="2" t="n">
        <x:v>3</x:v>
      </x:c>
      <x:c r="M2114" s="2" t="n">
        <x:f>SUM(L$2102:L2114)</x:f>
        <x:v>11</x:v>
      </x:c>
      <x:c r="N2114" s="2" t="n">
        <x:v>0</x:v>
      </x:c>
      <x:c r="O2114" s="2" t="str">
        <x:v>seguimiento</x:v>
      </x:c>
      <x:c r="P2114" s="2" t="n">
        <x:v>0</x:v>
      </x:c>
      <x:c r="Q2114" s="2" t="str">
        <x:v>simulado_didactico</x:v>
      </x:c>
    </x:row>
    <x:row r="2115" ht="19" customHeight="1">
      <x:c r="A2115" s="2" t="str">
        <x:v>SIM-E2-MP-L8-R09</x:v>
      </x:c>
      <x:c r="B2115" s="2" t="n">
        <x:v>5</x:v>
      </x:c>
      <x:c r="C2115" s="2" t="str">
        <x:v>MP</x:v>
      </x:c>
      <x:c r="D2115" s="2" t="str">
        <x:v>Myzus persicae</x:v>
      </x:c>
      <x:c r="E2115" s="2" t="str">
        <x:v>L8</x:v>
      </x:c>
      <x:c r="F2115" s="2" t="n">
        <x:v>9</x:v>
      </x:c>
      <x:c r="G2115" s="2" t="n">
        <x:v>13</x:v>
      </x:c>
      <x:c r="H2115" s="2" t="n">
        <x:f>G2115+Supuestos!$C$15</x:f>
        <x:v>14</x:v>
      </x:c>
      <x:c r="I2115" s="14" t="n">
        <x:f>E2_plantas!J52+G2115</x:f>
        <x:v>46215</x:v>
      </x:c>
      <x:c r="J2115" s="2" t="str">
        <x:v>adulta</x:v>
      </x:c>
      <x:c r="K2115" s="2" t="n">
        <x:v>1</x:v>
      </x:c>
      <x:c r="L2115" s="2" t="n">
        <x:v>5</x:v>
      </x:c>
      <x:c r="M2115" s="2" t="n">
        <x:f>SUM(L$2102:L2115)</x:f>
        <x:v>16</x:v>
      </x:c>
      <x:c r="N2115" s="2" t="n">
        <x:v>0</x:v>
      </x:c>
      <x:c r="O2115" s="2" t="str">
        <x:v>seguimiento</x:v>
      </x:c>
      <x:c r="P2115" s="2" t="n">
        <x:v>0</x:v>
      </x:c>
      <x:c r="Q2115" s="2" t="str">
        <x:v>simulado_didactico</x:v>
      </x:c>
    </x:row>
    <x:row r="2116" ht="19" customHeight="1">
      <x:c r="A2116" s="2" t="str">
        <x:v>SIM-E2-MP-L8-R09</x:v>
      </x:c>
      <x:c r="B2116" s="2" t="n">
        <x:v>5</x:v>
      </x:c>
      <x:c r="C2116" s="2" t="str">
        <x:v>MP</x:v>
      </x:c>
      <x:c r="D2116" s="2" t="str">
        <x:v>Myzus persicae</x:v>
      </x:c>
      <x:c r="E2116" s="2" t="str">
        <x:v>L8</x:v>
      </x:c>
      <x:c r="F2116" s="2" t="n">
        <x:v>9</x:v>
      </x:c>
      <x:c r="G2116" s="2" t="n">
        <x:v>14</x:v>
      </x:c>
      <x:c r="H2116" s="2" t="n">
        <x:f>G2116+Supuestos!$C$15</x:f>
        <x:v>15</x:v>
      </x:c>
      <x:c r="I2116" s="14" t="n">
        <x:f>E2_plantas!J52+G2116</x:f>
        <x:v>46216</x:v>
      </x:c>
      <x:c r="J2116" s="2" t="str">
        <x:v>adulta</x:v>
      </x:c>
      <x:c r="K2116" s="2" t="n">
        <x:v>1</x:v>
      </x:c>
      <x:c r="L2116" s="2" t="n">
        <x:v>4</x:v>
      </x:c>
      <x:c r="M2116" s="2" t="n">
        <x:f>SUM(L$2102:L2116)</x:f>
        <x:v>20</x:v>
      </x:c>
      <x:c r="N2116" s="2" t="n">
        <x:v>0</x:v>
      </x:c>
      <x:c r="O2116" s="2" t="str">
        <x:v>seguimiento</x:v>
      </x:c>
      <x:c r="P2116" s="2" t="n">
        <x:v>0</x:v>
      </x:c>
      <x:c r="Q2116" s="2" t="str">
        <x:v>simulado_didactico</x:v>
      </x:c>
    </x:row>
    <x:row r="2117" ht="19" customHeight="1">
      <x:c r="A2117" s="2" t="str">
        <x:v>SIM-E2-MP-L8-R09</x:v>
      </x:c>
      <x:c r="B2117" s="2" t="n">
        <x:v>5</x:v>
      </x:c>
      <x:c r="C2117" s="2" t="str">
        <x:v>MP</x:v>
      </x:c>
      <x:c r="D2117" s="2" t="str">
        <x:v>Myzus persicae</x:v>
      </x:c>
      <x:c r="E2117" s="2" t="str">
        <x:v>L8</x:v>
      </x:c>
      <x:c r="F2117" s="2" t="n">
        <x:v>9</x:v>
      </x:c>
      <x:c r="G2117" s="2" t="n">
        <x:v>15</x:v>
      </x:c>
      <x:c r="H2117" s="2" t="n">
        <x:f>G2117+Supuestos!$C$15</x:f>
        <x:v>16</x:v>
      </x:c>
      <x:c r="I2117" s="14" t="n">
        <x:f>E2_plantas!J52+G2117</x:f>
        <x:v>46217</x:v>
      </x:c>
      <x:c r="J2117" s="2" t="str">
        <x:v>adulta</x:v>
      </x:c>
      <x:c r="K2117" s="2" t="n">
        <x:v>1</x:v>
      </x:c>
      <x:c r="L2117" s="2" t="n">
        <x:v>5</x:v>
      </x:c>
      <x:c r="M2117" s="2" t="n">
        <x:f>SUM(L$2102:L2117)</x:f>
        <x:v>25</x:v>
      </x:c>
      <x:c r="N2117" s="2" t="n">
        <x:v>0</x:v>
      </x:c>
      <x:c r="O2117" s="2" t="str">
        <x:v>seguimiento</x:v>
      </x:c>
      <x:c r="P2117" s="2" t="n">
        <x:v>0</x:v>
      </x:c>
      <x:c r="Q2117" s="2" t="str">
        <x:v>simulado_didactico</x:v>
      </x:c>
    </x:row>
    <x:row r="2118" ht="19" customHeight="1">
      <x:c r="A2118" s="2" t="str">
        <x:v>SIM-E2-MP-L8-R09</x:v>
      </x:c>
      <x:c r="B2118" s="2" t="n">
        <x:v>5</x:v>
      </x:c>
      <x:c r="C2118" s="2" t="str">
        <x:v>MP</x:v>
      </x:c>
      <x:c r="D2118" s="2" t="str">
        <x:v>Myzus persicae</x:v>
      </x:c>
      <x:c r="E2118" s="2" t="str">
        <x:v>L8</x:v>
      </x:c>
      <x:c r="F2118" s="2" t="n">
        <x:v>9</x:v>
      </x:c>
      <x:c r="G2118" s="2" t="n">
        <x:v>16</x:v>
      </x:c>
      <x:c r="H2118" s="2" t="n">
        <x:f>G2118+Supuestos!$C$15</x:f>
        <x:v>17</x:v>
      </x:c>
      <x:c r="I2118" s="14" t="n">
        <x:f>E2_plantas!J52+G2118</x:f>
        <x:v>46218</x:v>
      </x:c>
      <x:c r="J2118" s="2" t="str">
        <x:v>adulta</x:v>
      </x:c>
      <x:c r="K2118" s="2" t="n">
        <x:v>1</x:v>
      </x:c>
      <x:c r="L2118" s="2" t="n">
        <x:v>1</x:v>
      </x:c>
      <x:c r="M2118" s="2" t="n">
        <x:f>SUM(L$2102:L2118)</x:f>
        <x:v>26</x:v>
      </x:c>
      <x:c r="N2118" s="2" t="n">
        <x:v>0</x:v>
      </x:c>
      <x:c r="O2118" s="2" t="str">
        <x:v>seguimiento</x:v>
      </x:c>
      <x:c r="P2118" s="2" t="n">
        <x:v>0</x:v>
      </x:c>
      <x:c r="Q2118" s="2" t="str">
        <x:v>simulado_didactico</x:v>
      </x:c>
    </x:row>
    <x:row r="2119" ht="19" customHeight="1">
      <x:c r="A2119" s="2" t="str">
        <x:v>SIM-E2-MP-L8-R09</x:v>
      </x:c>
      <x:c r="B2119" s="2" t="n">
        <x:v>5</x:v>
      </x:c>
      <x:c r="C2119" s="2" t="str">
        <x:v>MP</x:v>
      </x:c>
      <x:c r="D2119" s="2" t="str">
        <x:v>Myzus persicae</x:v>
      </x:c>
      <x:c r="E2119" s="2" t="str">
        <x:v>L8</x:v>
      </x:c>
      <x:c r="F2119" s="2" t="n">
        <x:v>9</x:v>
      </x:c>
      <x:c r="G2119" s="2" t="n">
        <x:v>17</x:v>
      </x:c>
      <x:c r="H2119" s="2" t="n">
        <x:f>G2119+Supuestos!$C$15</x:f>
        <x:v>18</x:v>
      </x:c>
      <x:c r="I2119" s="14" t="n">
        <x:f>E2_plantas!J52+G2119</x:f>
        <x:v>46219</x:v>
      </x:c>
      <x:c r="J2119" s="2" t="str">
        <x:v>adulta</x:v>
      </x:c>
      <x:c r="K2119" s="2" t="n">
        <x:v>1</x:v>
      </x:c>
      <x:c r="L2119" s="2" t="n">
        <x:v>2</x:v>
      </x:c>
      <x:c r="M2119" s="2" t="n">
        <x:f>SUM(L$2102:L2119)</x:f>
        <x:v>28</x:v>
      </x:c>
      <x:c r="N2119" s="2" t="n">
        <x:v>0</x:v>
      </x:c>
      <x:c r="O2119" s="2" t="str">
        <x:v>seguimiento</x:v>
      </x:c>
      <x:c r="P2119" s="2" t="n">
        <x:v>0</x:v>
      </x:c>
      <x:c r="Q2119" s="2" t="str">
        <x:v>simulado_didactico</x:v>
      </x:c>
    </x:row>
    <x:row r="2120" ht="19" customHeight="1">
      <x:c r="A2120" s="2" t="str">
        <x:v>SIM-E2-MP-L8-R09</x:v>
      </x:c>
      <x:c r="B2120" s="2" t="n">
        <x:v>5</x:v>
      </x:c>
      <x:c r="C2120" s="2" t="str">
        <x:v>MP</x:v>
      </x:c>
      <x:c r="D2120" s="2" t="str">
        <x:v>Myzus persicae</x:v>
      </x:c>
      <x:c r="E2120" s="2" t="str">
        <x:v>L8</x:v>
      </x:c>
      <x:c r="F2120" s="2" t="n">
        <x:v>9</x:v>
      </x:c>
      <x:c r="G2120" s="2" t="n">
        <x:v>18</x:v>
      </x:c>
      <x:c r="H2120" s="2" t="n">
        <x:f>G2120+Supuestos!$C$15</x:f>
        <x:v>19</x:v>
      </x:c>
      <x:c r="I2120" s="14" t="n">
        <x:f>E2_plantas!J52+G2120</x:f>
        <x:v>46220</x:v>
      </x:c>
      <x:c r="J2120" s="2" t="str">
        <x:v>adulta</x:v>
      </x:c>
      <x:c r="K2120" s="2" t="n">
        <x:v>1</x:v>
      </x:c>
      <x:c r="L2120" s="2" t="n">
        <x:v>3</x:v>
      </x:c>
      <x:c r="M2120" s="2" t="n">
        <x:f>SUM(L$2102:L2120)</x:f>
        <x:v>31</x:v>
      </x:c>
      <x:c r="N2120" s="2" t="n">
        <x:v>0</x:v>
      </x:c>
      <x:c r="O2120" s="2" t="str">
        <x:v>seguimiento</x:v>
      </x:c>
      <x:c r="P2120" s="2" t="n">
        <x:v>0</x:v>
      </x:c>
      <x:c r="Q2120" s="2" t="str">
        <x:v>simulado_didactico</x:v>
      </x:c>
    </x:row>
    <x:row r="2121" ht="19" customHeight="1">
      <x:c r="A2121" s="2" t="str">
        <x:v>SIM-E2-MP-L8-R09</x:v>
      </x:c>
      <x:c r="B2121" s="2" t="n">
        <x:v>5</x:v>
      </x:c>
      <x:c r="C2121" s="2" t="str">
        <x:v>MP</x:v>
      </x:c>
      <x:c r="D2121" s="2" t="str">
        <x:v>Myzus persicae</x:v>
      </x:c>
      <x:c r="E2121" s="2" t="str">
        <x:v>L8</x:v>
      </x:c>
      <x:c r="F2121" s="2" t="n">
        <x:v>9</x:v>
      </x:c>
      <x:c r="G2121" s="2" t="n">
        <x:v>19</x:v>
      </x:c>
      <x:c r="H2121" s="2" t="n">
        <x:f>G2121+Supuestos!$C$15</x:f>
        <x:v>20</x:v>
      </x:c>
      <x:c r="I2121" s="14" t="n">
        <x:f>E2_plantas!J52+G2121</x:f>
        <x:v>46221</x:v>
      </x:c>
      <x:c r="J2121" s="2" t="str">
        <x:v>adulta</x:v>
      </x:c>
      <x:c r="K2121" s="2" t="n">
        <x:v>1</x:v>
      </x:c>
      <x:c r="L2121" s="2" t="n">
        <x:v>1</x:v>
      </x:c>
      <x:c r="M2121" s="2" t="n">
        <x:f>SUM(L$2102:L2121)</x:f>
        <x:v>32</x:v>
      </x:c>
      <x:c r="N2121" s="2" t="n">
        <x:v>0</x:v>
      </x:c>
      <x:c r="O2121" s="2" t="str">
        <x:v>seguimiento</x:v>
      </x:c>
      <x:c r="P2121" s="2" t="n">
        <x:v>0</x:v>
      </x:c>
      <x:c r="Q2121" s="2" t="str">
        <x:v>simulado_didactico</x:v>
      </x:c>
    </x:row>
    <x:row r="2122" ht="19" customHeight="1">
      <x:c r="A2122" s="2" t="str">
        <x:v>SIM-E2-MP-L8-R09</x:v>
      </x:c>
      <x:c r="B2122" s="2" t="n">
        <x:v>5</x:v>
      </x:c>
      <x:c r="C2122" s="2" t="str">
        <x:v>MP</x:v>
      </x:c>
      <x:c r="D2122" s="2" t="str">
        <x:v>Myzus persicae</x:v>
      </x:c>
      <x:c r="E2122" s="2" t="str">
        <x:v>L8</x:v>
      </x:c>
      <x:c r="F2122" s="2" t="n">
        <x:v>9</x:v>
      </x:c>
      <x:c r="G2122" s="2" t="n">
        <x:v>20</x:v>
      </x:c>
      <x:c r="H2122" s="2" t="n">
        <x:f>G2122+Supuestos!$C$15</x:f>
        <x:v>21</x:v>
      </x:c>
      <x:c r="I2122" s="14" t="n">
        <x:f>E2_plantas!J52+G2122</x:f>
        <x:v>46222</x:v>
      </x:c>
      <x:c r="J2122" s="2" t="str">
        <x:v>adulta</x:v>
      </x:c>
      <x:c r="K2122" s="2" t="n">
        <x:v>1</x:v>
      </x:c>
      <x:c r="L2122" s="2" t="n">
        <x:v>0</x:v>
      </x:c>
      <x:c r="M2122" s="2" t="n">
        <x:f>SUM(L$2102:L2122)</x:f>
        <x:v>32</x:v>
      </x:c>
      <x:c r="N2122" s="2" t="n">
        <x:v>0</x:v>
      </x:c>
      <x:c r="O2122" s="2" t="str">
        <x:v>seguimiento</x:v>
      </x:c>
      <x:c r="P2122" s="2" t="n">
        <x:v>0</x:v>
      </x:c>
      <x:c r="Q2122" s="2" t="str">
        <x:v>simulado_didactico</x:v>
      </x:c>
    </x:row>
    <x:row r="2123" ht="19" customHeight="1">
      <x:c r="A2123" s="2" t="str">
        <x:v>SIM-E2-MP-L8-R09</x:v>
      </x:c>
      <x:c r="B2123" s="2" t="n">
        <x:v>5</x:v>
      </x:c>
      <x:c r="C2123" s="2" t="str">
        <x:v>MP</x:v>
      </x:c>
      <x:c r="D2123" s="2" t="str">
        <x:v>Myzus persicae</x:v>
      </x:c>
      <x:c r="E2123" s="2" t="str">
        <x:v>L8</x:v>
      </x:c>
      <x:c r="F2123" s="2" t="n">
        <x:v>9</x:v>
      </x:c>
      <x:c r="G2123" s="2" t="n">
        <x:v>21</x:v>
      </x:c>
      <x:c r="H2123" s="2" t="n">
        <x:f>G2123+Supuestos!$C$15</x:f>
        <x:v>22</x:v>
      </x:c>
      <x:c r="I2123" s="14" t="n">
        <x:f>E2_plantas!J52+G2123</x:f>
        <x:v>46223</x:v>
      </x:c>
      <x:c r="J2123" s="2" t="str">
        <x:v>adulta</x:v>
      </x:c>
      <x:c r="K2123" s="2" t="n">
        <x:v>1</x:v>
      </x:c>
      <x:c r="L2123" s="2" t="n">
        <x:v>0</x:v>
      </x:c>
      <x:c r="M2123" s="2" t="n">
        <x:f>SUM(L$2102:L2123)</x:f>
        <x:v>32</x:v>
      </x:c>
      <x:c r="N2123" s="2" t="n">
        <x:v>0</x:v>
      </x:c>
      <x:c r="O2123" s="2" t="str">
        <x:v>seguimiento</x:v>
      </x:c>
      <x:c r="P2123" s="2" t="n">
        <x:v>0</x:v>
      </x:c>
      <x:c r="Q2123" s="2" t="str">
        <x:v>simulado_didactico</x:v>
      </x:c>
    </x:row>
    <x:row r="2124" ht="19" customHeight="1">
      <x:c r="A2124" s="2" t="str">
        <x:v>SIM-E2-MP-L8-R09</x:v>
      </x:c>
      <x:c r="B2124" s="2" t="n">
        <x:v>5</x:v>
      </x:c>
      <x:c r="C2124" s="2" t="str">
        <x:v>MP</x:v>
      </x:c>
      <x:c r="D2124" s="2" t="str">
        <x:v>Myzus persicae</x:v>
      </x:c>
      <x:c r="E2124" s="2" t="str">
        <x:v>L8</x:v>
      </x:c>
      <x:c r="F2124" s="2" t="n">
        <x:v>9</x:v>
      </x:c>
      <x:c r="G2124" s="2" t="n">
        <x:v>22</x:v>
      </x:c>
      <x:c r="H2124" s="2" t="n">
        <x:f>G2124+Supuestos!$C$15</x:f>
        <x:v>23</x:v>
      </x:c>
      <x:c r="I2124" s="14" t="n">
        <x:f>E2_plantas!J52+G2124</x:f>
        <x:v>46224</x:v>
      </x:c>
      <x:c r="J2124" s="2" t="str">
        <x:v>muerta</x:v>
      </x:c>
      <x:c r="K2124" s="2" t="n">
        <x:v>0</x:v>
      </x:c>
      <x:c r="L2124" s="2" t="n">
        <x:v>0</x:v>
      </x:c>
      <x:c r="M2124" s="2" t="n">
        <x:f>SUM(L$2102:L2124)</x:f>
        <x:v>32</x:v>
      </x:c>
      <x:c r="N2124" s="2" t="n">
        <x:v>1</x:v>
      </x:c>
      <x:c r="O2124" s="2" t="str">
        <x:v>muerte</x:v>
      </x:c>
      <x:c r="P2124" s="2" t="n">
        <x:v>0</x:v>
      </x:c>
      <x:c r="Q2124" s="2" t="str">
        <x:v>simulado_didactico</x:v>
      </x:c>
    </x:row>
    <x:row r="2125" ht="19" customHeight="1">
      <x:c r="A2125" s="2" t="str">
        <x:v>SIM-E2-MP-L8-R09</x:v>
      </x:c>
      <x:c r="B2125" s="2" t="n">
        <x:v>5</x:v>
      </x:c>
      <x:c r="C2125" s="2" t="str">
        <x:v>MP</x:v>
      </x:c>
      <x:c r="D2125" s="2" t="str">
        <x:v>Myzus persicae</x:v>
      </x:c>
      <x:c r="E2125" s="2" t="str">
        <x:v>L8</x:v>
      </x:c>
      <x:c r="F2125" s="2" t="n">
        <x:v>9</x:v>
      </x:c>
      <x:c r="G2125" s="2" t="n">
        <x:v>23</x:v>
      </x:c>
      <x:c r="H2125" s="2" t="n">
        <x:f>G2125+Supuestos!$C$15</x:f>
        <x:v>24</x:v>
      </x:c>
      <x:c r="I2125" s="14" t="n">
        <x:f>E2_plantas!J52+G2125</x:f>
        <x:v>46225</x:v>
      </x:c>
      <x:c r="J2125" s="2" t="str">
        <x:v>muerta</x:v>
      </x:c>
      <x:c r="K2125" s="2" t="n">
        <x:v>0</x:v>
      </x:c>
      <x:c r="L2125" s="2" t="n">
        <x:v>0</x:v>
      </x:c>
      <x:c r="M2125" s="2" t="n">
        <x:f>SUM(L$2102:L2125)</x:f>
        <x:v>32</x:v>
      </x:c>
      <x:c r="N2125" s="2" t="n">
        <x:v>0</x:v>
      </x:c>
      <x:c r="O2125" s="2" t="str">
        <x:v>relleno_postmuerte</x:v>
      </x:c>
      <x:c r="P2125" s="2" t="n">
        <x:v>0</x:v>
      </x:c>
      <x:c r="Q2125" s="2" t="str">
        <x:v>simulado_didactico</x:v>
      </x:c>
    </x:row>
    <x:row r="2126" ht="19" customHeight="1">
      <x:c r="A2126" s="2" t="str">
        <x:v>SIM-E2-MP-L8-R09</x:v>
      </x:c>
      <x:c r="B2126" s="2" t="n">
        <x:v>5</x:v>
      </x:c>
      <x:c r="C2126" s="2" t="str">
        <x:v>MP</x:v>
      </x:c>
      <x:c r="D2126" s="2" t="str">
        <x:v>Myzus persicae</x:v>
      </x:c>
      <x:c r="E2126" s="2" t="str">
        <x:v>L8</x:v>
      </x:c>
      <x:c r="F2126" s="2" t="n">
        <x:v>9</x:v>
      </x:c>
      <x:c r="G2126" s="2" t="n">
        <x:v>24</x:v>
      </x:c>
      <x:c r="H2126" s="2" t="n">
        <x:f>G2126+Supuestos!$C$15</x:f>
        <x:v>25</x:v>
      </x:c>
      <x:c r="I2126" s="14" t="n">
        <x:f>E2_plantas!J52+G2126</x:f>
        <x:v>46226</x:v>
      </x:c>
      <x:c r="J2126" s="2" t="str">
        <x:v>muerta</x:v>
      </x:c>
      <x:c r="K2126" s="2" t="n">
        <x:v>0</x:v>
      </x:c>
      <x:c r="L2126" s="2" t="n">
        <x:v>0</x:v>
      </x:c>
      <x:c r="M2126" s="2" t="n">
        <x:f>SUM(L$2102:L2126)</x:f>
        <x:v>32</x:v>
      </x:c>
      <x:c r="N2126" s="2" t="n">
        <x:v>0</x:v>
      </x:c>
      <x:c r="O2126" s="2" t="str">
        <x:v>relleno_postmuerte</x:v>
      </x:c>
      <x:c r="P2126" s="2" t="n">
        <x:v>0</x:v>
      </x:c>
      <x:c r="Q2126" s="2" t="str">
        <x:v>simulado_didactico</x:v>
      </x:c>
    </x:row>
    <x:row r="2127" ht="19" customHeight="1">
      <x:c r="A2127" s="2" t="str">
        <x:v>SIM-E2-MP-L8-R09</x:v>
      </x:c>
      <x:c r="B2127" s="2" t="n">
        <x:v>5</x:v>
      </x:c>
      <x:c r="C2127" s="2" t="str">
        <x:v>MP</x:v>
      </x:c>
      <x:c r="D2127" s="2" t="str">
        <x:v>Myzus persicae</x:v>
      </x:c>
      <x:c r="E2127" s="2" t="str">
        <x:v>L8</x:v>
      </x:c>
      <x:c r="F2127" s="2" t="n">
        <x:v>9</x:v>
      </x:c>
      <x:c r="G2127" s="2" t="n">
        <x:v>25</x:v>
      </x:c>
      <x:c r="H2127" s="2" t="n">
        <x:f>G2127+Supuestos!$C$15</x:f>
        <x:v>26</x:v>
      </x:c>
      <x:c r="I2127" s="14" t="n">
        <x:f>E2_plantas!J52+G2127</x:f>
        <x:v>46227</x:v>
      </x:c>
      <x:c r="J2127" s="2" t="str">
        <x:v>muerta</x:v>
      </x:c>
      <x:c r="K2127" s="2" t="n">
        <x:v>0</x:v>
      </x:c>
      <x:c r="L2127" s="2" t="n">
        <x:v>0</x:v>
      </x:c>
      <x:c r="M2127" s="2" t="n">
        <x:f>SUM(L$2102:L2127)</x:f>
        <x:v>32</x:v>
      </x:c>
      <x:c r="N2127" s="2" t="n">
        <x:v>0</x:v>
      </x:c>
      <x:c r="O2127" s="2" t="str">
        <x:v>relleno_postmuerte</x:v>
      </x:c>
      <x:c r="P2127" s="2" t="n">
        <x:v>0</x:v>
      </x:c>
      <x:c r="Q2127" s="2" t="str">
        <x:v>simulado_didactico</x:v>
      </x:c>
    </x:row>
    <x:row r="2128" ht="19" customHeight="1">
      <x:c r="A2128" s="2" t="str">
        <x:v>SIM-E2-MP-L8-R09</x:v>
      </x:c>
      <x:c r="B2128" s="2" t="n">
        <x:v>5</x:v>
      </x:c>
      <x:c r="C2128" s="2" t="str">
        <x:v>MP</x:v>
      </x:c>
      <x:c r="D2128" s="2" t="str">
        <x:v>Myzus persicae</x:v>
      </x:c>
      <x:c r="E2128" s="2" t="str">
        <x:v>L8</x:v>
      </x:c>
      <x:c r="F2128" s="2" t="n">
        <x:v>9</x:v>
      </x:c>
      <x:c r="G2128" s="2" t="n">
        <x:v>26</x:v>
      </x:c>
      <x:c r="H2128" s="2" t="n">
        <x:f>G2128+Supuestos!$C$15</x:f>
        <x:v>27</x:v>
      </x:c>
      <x:c r="I2128" s="14" t="n">
        <x:f>E2_plantas!J52+G2128</x:f>
        <x:v>46228</x:v>
      </x:c>
      <x:c r="J2128" s="2" t="str">
        <x:v>muerta</x:v>
      </x:c>
      <x:c r="K2128" s="2" t="n">
        <x:v>0</x:v>
      </x:c>
      <x:c r="L2128" s="2" t="n">
        <x:v>0</x:v>
      </x:c>
      <x:c r="M2128" s="2" t="n">
        <x:f>SUM(L$2102:L2128)</x:f>
        <x:v>32</x:v>
      </x:c>
      <x:c r="N2128" s="2" t="n">
        <x:v>0</x:v>
      </x:c>
      <x:c r="O2128" s="2" t="str">
        <x:v>relleno_postmuerte</x:v>
      </x:c>
      <x:c r="P2128" s="2" t="n">
        <x:v>0</x:v>
      </x:c>
      <x:c r="Q2128" s="2" t="str">
        <x:v>simulado_didactico</x:v>
      </x:c>
    </x:row>
    <x:row r="2129" ht="19" customHeight="1">
      <x:c r="A2129" s="2" t="str">
        <x:v>SIM-E2-MP-L8-R09</x:v>
      </x:c>
      <x:c r="B2129" s="2" t="n">
        <x:v>5</x:v>
      </x:c>
      <x:c r="C2129" s="2" t="str">
        <x:v>MP</x:v>
      </x:c>
      <x:c r="D2129" s="2" t="str">
        <x:v>Myzus persicae</x:v>
      </x:c>
      <x:c r="E2129" s="2" t="str">
        <x:v>L8</x:v>
      </x:c>
      <x:c r="F2129" s="2" t="n">
        <x:v>9</x:v>
      </x:c>
      <x:c r="G2129" s="2" t="n">
        <x:v>27</x:v>
      </x:c>
      <x:c r="H2129" s="2" t="n">
        <x:f>G2129+Supuestos!$C$15</x:f>
        <x:v>28</x:v>
      </x:c>
      <x:c r="I2129" s="14" t="n">
        <x:f>E2_plantas!J52+G2129</x:f>
        <x:v>46229</x:v>
      </x:c>
      <x:c r="J2129" s="2" t="str">
        <x:v>muerta</x:v>
      </x:c>
      <x:c r="K2129" s="2" t="n">
        <x:v>0</x:v>
      </x:c>
      <x:c r="L2129" s="2" t="n">
        <x:v>0</x:v>
      </x:c>
      <x:c r="M2129" s="2" t="n">
        <x:f>SUM(L$2102:L2129)</x:f>
        <x:v>32</x:v>
      </x:c>
      <x:c r="N2129" s="2" t="n">
        <x:v>0</x:v>
      </x:c>
      <x:c r="O2129" s="2" t="str">
        <x:v>relleno_postmuerte</x:v>
      </x:c>
      <x:c r="P2129" s="2" t="n">
        <x:v>0</x:v>
      </x:c>
      <x:c r="Q2129" s="2" t="str">
        <x:v>simulado_didactico</x:v>
      </x:c>
    </x:row>
    <x:row r="2130" ht="19" customHeight="1">
      <x:c r="A2130" s="2" t="str">
        <x:v>SIM-E2-MP-L8-R09</x:v>
      </x:c>
      <x:c r="B2130" s="2" t="n">
        <x:v>5</x:v>
      </x:c>
      <x:c r="C2130" s="2" t="str">
        <x:v>MP</x:v>
      </x:c>
      <x:c r="D2130" s="2" t="str">
        <x:v>Myzus persicae</x:v>
      </x:c>
      <x:c r="E2130" s="2" t="str">
        <x:v>L8</x:v>
      </x:c>
      <x:c r="F2130" s="2" t="n">
        <x:v>9</x:v>
      </x:c>
      <x:c r="G2130" s="2" t="n">
        <x:v>28</x:v>
      </x:c>
      <x:c r="H2130" s="2" t="n">
        <x:f>G2130+Supuestos!$C$15</x:f>
        <x:v>29</x:v>
      </x:c>
      <x:c r="I2130" s="14" t="n">
        <x:f>E2_plantas!J52+G2130</x:f>
        <x:v>46230</x:v>
      </x:c>
      <x:c r="J2130" s="2" t="str">
        <x:v>muerta</x:v>
      </x:c>
      <x:c r="K2130" s="2" t="n">
        <x:v>0</x:v>
      </x:c>
      <x:c r="L2130" s="2" t="n">
        <x:v>0</x:v>
      </x:c>
      <x:c r="M2130" s="2" t="n">
        <x:f>SUM(L$2102:L2130)</x:f>
        <x:v>32</x:v>
      </x:c>
      <x:c r="N2130" s="2" t="n">
        <x:v>0</x:v>
      </x:c>
      <x:c r="O2130" s="2" t="str">
        <x:v>relleno_postmuerte</x:v>
      </x:c>
      <x:c r="P2130" s="2" t="n">
        <x:v>0</x:v>
      </x:c>
      <x:c r="Q2130" s="2" t="str">
        <x:v>simulado_didactico</x:v>
      </x:c>
    </x:row>
    <x:row r="2131" ht="19" customHeight="1">
      <x:c r="A2131" s="2" t="str">
        <x:v>SIM-E2-MP-L8-R09</x:v>
      </x:c>
      <x:c r="B2131" s="2" t="n">
        <x:v>5</x:v>
      </x:c>
      <x:c r="C2131" s="2" t="str">
        <x:v>MP</x:v>
      </x:c>
      <x:c r="D2131" s="2" t="str">
        <x:v>Myzus persicae</x:v>
      </x:c>
      <x:c r="E2131" s="2" t="str">
        <x:v>L8</x:v>
      </x:c>
      <x:c r="F2131" s="2" t="n">
        <x:v>9</x:v>
      </x:c>
      <x:c r="G2131" s="2" t="n">
        <x:v>29</x:v>
      </x:c>
      <x:c r="H2131" s="2" t="n">
        <x:f>G2131+Supuestos!$C$15</x:f>
        <x:v>30</x:v>
      </x:c>
      <x:c r="I2131" s="14" t="n">
        <x:f>E2_plantas!J52+G2131</x:f>
        <x:v>46231</x:v>
      </x:c>
      <x:c r="J2131" s="2" t="str">
        <x:v>muerta</x:v>
      </x:c>
      <x:c r="K2131" s="2" t="n">
        <x:v>0</x:v>
      </x:c>
      <x:c r="L2131" s="2" t="n">
        <x:v>0</x:v>
      </x:c>
      <x:c r="M2131" s="2" t="n">
        <x:f>SUM(L$2102:L2131)</x:f>
        <x:v>32</x:v>
      </x:c>
      <x:c r="N2131" s="2" t="n">
        <x:v>0</x:v>
      </x:c>
      <x:c r="O2131" s="2" t="str">
        <x:v>relleno_postmuerte</x:v>
      </x:c>
      <x:c r="P2131" s="2" t="n">
        <x:v>0</x:v>
      </x:c>
      <x:c r="Q2131" s="2" t="str">
        <x:v>simulado_didactico</x:v>
      </x:c>
    </x:row>
    <x:row r="2132" ht="19" customHeight="1">
      <x:c r="A2132" s="2" t="str">
        <x:v>SIM-E2-MP-L8-R09</x:v>
      </x:c>
      <x:c r="B2132" s="2" t="n">
        <x:v>5</x:v>
      </x:c>
      <x:c r="C2132" s="2" t="str">
        <x:v>MP</x:v>
      </x:c>
      <x:c r="D2132" s="2" t="str">
        <x:v>Myzus persicae</x:v>
      </x:c>
      <x:c r="E2132" s="2" t="str">
        <x:v>L8</x:v>
      </x:c>
      <x:c r="F2132" s="2" t="n">
        <x:v>9</x:v>
      </x:c>
      <x:c r="G2132" s="2" t="n">
        <x:v>30</x:v>
      </x:c>
      <x:c r="H2132" s="2" t="n">
        <x:f>G2132+Supuestos!$C$15</x:f>
        <x:v>31</x:v>
      </x:c>
      <x:c r="I2132" s="14" t="n">
        <x:f>E2_plantas!J52+G2132</x:f>
        <x:v>46232</x:v>
      </x:c>
      <x:c r="J2132" s="2" t="str">
        <x:v>muerta</x:v>
      </x:c>
      <x:c r="K2132" s="2" t="n">
        <x:v>0</x:v>
      </x:c>
      <x:c r="L2132" s="2" t="n">
        <x:v>0</x:v>
      </x:c>
      <x:c r="M2132" s="2" t="n">
        <x:f>SUM(L$2102:L2132)</x:f>
        <x:v>32</x:v>
      </x:c>
      <x:c r="N2132" s="2" t="n">
        <x:v>0</x:v>
      </x:c>
      <x:c r="O2132" s="2" t="str">
        <x:v>relleno_postmuerte</x:v>
      </x:c>
      <x:c r="P2132" s="2" t="n">
        <x:v>0</x:v>
      </x:c>
      <x:c r="Q2132" s="2" t="str">
        <x:v>simulado_didactico</x:v>
      </x:c>
    </x:row>
    <x:row r="2133" ht="19" customHeight="1">
      <x:c r="A2133" s="2" t="str">
        <x:v>SIM-E2-MP-L8-R09</x:v>
      </x:c>
      <x:c r="B2133" s="2" t="n">
        <x:v>5</x:v>
      </x:c>
      <x:c r="C2133" s="2" t="str">
        <x:v>MP</x:v>
      </x:c>
      <x:c r="D2133" s="2" t="str">
        <x:v>Myzus persicae</x:v>
      </x:c>
      <x:c r="E2133" s="2" t="str">
        <x:v>L8</x:v>
      </x:c>
      <x:c r="F2133" s="2" t="n">
        <x:v>9</x:v>
      </x:c>
      <x:c r="G2133" s="2" t="n">
        <x:v>31</x:v>
      </x:c>
      <x:c r="H2133" s="2" t="n">
        <x:f>G2133+Supuestos!$C$15</x:f>
        <x:v>32</x:v>
      </x:c>
      <x:c r="I2133" s="14" t="n">
        <x:f>E2_plantas!J52+G2133</x:f>
        <x:v>46233</x:v>
      </x:c>
      <x:c r="J2133" s="2" t="str">
        <x:v>muerta</x:v>
      </x:c>
      <x:c r="K2133" s="2" t="n">
        <x:v>0</x:v>
      </x:c>
      <x:c r="L2133" s="2" t="n">
        <x:v>0</x:v>
      </x:c>
      <x:c r="M2133" s="2" t="n">
        <x:f>SUM(L$2102:L2133)</x:f>
        <x:v>32</x:v>
      </x:c>
      <x:c r="N2133" s="2" t="n">
        <x:v>0</x:v>
      </x:c>
      <x:c r="O2133" s="2" t="str">
        <x:v>relleno_postmuerte</x:v>
      </x:c>
      <x:c r="P2133" s="2" t="n">
        <x:v>0</x:v>
      </x:c>
      <x:c r="Q2133" s="2" t="str">
        <x:v>simulado_didactico</x:v>
      </x:c>
    </x:row>
    <x:row r="2134" ht="19" customHeight="1">
      <x:c r="A2134" s="2" t="str">
        <x:v>SIM-E2-MP-L8-R09</x:v>
      </x:c>
      <x:c r="B2134" s="2" t="n">
        <x:v>5</x:v>
      </x:c>
      <x:c r="C2134" s="2" t="str">
        <x:v>MP</x:v>
      </x:c>
      <x:c r="D2134" s="2" t="str">
        <x:v>Myzus persicae</x:v>
      </x:c>
      <x:c r="E2134" s="2" t="str">
        <x:v>L8</x:v>
      </x:c>
      <x:c r="F2134" s="2" t="n">
        <x:v>9</x:v>
      </x:c>
      <x:c r="G2134" s="2" t="n">
        <x:v>32</x:v>
      </x:c>
      <x:c r="H2134" s="2" t="n">
        <x:f>G2134+Supuestos!$C$15</x:f>
        <x:v>33</x:v>
      </x:c>
      <x:c r="I2134" s="14" t="n">
        <x:f>E2_plantas!J52+G2134</x:f>
        <x:v>46234</x:v>
      </x:c>
      <x:c r="J2134" s="2" t="str">
        <x:v>muerta</x:v>
      </x:c>
      <x:c r="K2134" s="2" t="n">
        <x:v>0</x:v>
      </x:c>
      <x:c r="L2134" s="2" t="n">
        <x:v>0</x:v>
      </x:c>
      <x:c r="M2134" s="2" t="n">
        <x:f>SUM(L$2102:L2134)</x:f>
        <x:v>32</x:v>
      </x:c>
      <x:c r="N2134" s="2" t="n">
        <x:v>0</x:v>
      </x:c>
      <x:c r="O2134" s="2" t="str">
        <x:v>relleno_postmuerte</x:v>
      </x:c>
      <x:c r="P2134" s="2" t="n">
        <x:v>0</x:v>
      </x:c>
      <x:c r="Q2134" s="2" t="str">
        <x:v>simulado_didactico</x:v>
      </x:c>
    </x:row>
    <x:row r="2135" ht="19" customHeight="1">
      <x:c r="A2135" s="2" t="str">
        <x:v>SIM-E2-MP-L8-R09</x:v>
      </x:c>
      <x:c r="B2135" s="2" t="n">
        <x:v>5</x:v>
      </x:c>
      <x:c r="C2135" s="2" t="str">
        <x:v>MP</x:v>
      </x:c>
      <x:c r="D2135" s="2" t="str">
        <x:v>Myzus persicae</x:v>
      </x:c>
      <x:c r="E2135" s="2" t="str">
        <x:v>L8</x:v>
      </x:c>
      <x:c r="F2135" s="2" t="n">
        <x:v>9</x:v>
      </x:c>
      <x:c r="G2135" s="2" t="n">
        <x:v>33</x:v>
      </x:c>
      <x:c r="H2135" s="2" t="n">
        <x:f>G2135+Supuestos!$C$15</x:f>
        <x:v>34</x:v>
      </x:c>
      <x:c r="I2135" s="14" t="n">
        <x:f>E2_plantas!J52+G2135</x:f>
        <x:v>46235</x:v>
      </x:c>
      <x:c r="J2135" s="2" t="str">
        <x:v>muerta</x:v>
      </x:c>
      <x:c r="K2135" s="2" t="n">
        <x:v>0</x:v>
      </x:c>
      <x:c r="L2135" s="2" t="n">
        <x:v>0</x:v>
      </x:c>
      <x:c r="M2135" s="2" t="n">
        <x:f>SUM(L$2102:L2135)</x:f>
        <x:v>32</x:v>
      </x:c>
      <x:c r="N2135" s="2" t="n">
        <x:v>0</x:v>
      </x:c>
      <x:c r="O2135" s="2" t="str">
        <x:v>relleno_postmuerte</x:v>
      </x:c>
      <x:c r="P2135" s="2" t="n">
        <x:v>0</x:v>
      </x:c>
      <x:c r="Q2135" s="2" t="str">
        <x:v>simulado_didactico</x:v>
      </x:c>
    </x:row>
    <x:row r="2136" ht="19" customHeight="1">
      <x:c r="A2136" s="2" t="str">
        <x:v>SIM-E2-MP-L8-R09</x:v>
      </x:c>
      <x:c r="B2136" s="2" t="n">
        <x:v>5</x:v>
      </x:c>
      <x:c r="C2136" s="2" t="str">
        <x:v>MP</x:v>
      </x:c>
      <x:c r="D2136" s="2" t="str">
        <x:v>Myzus persicae</x:v>
      </x:c>
      <x:c r="E2136" s="2" t="str">
        <x:v>L8</x:v>
      </x:c>
      <x:c r="F2136" s="2" t="n">
        <x:v>9</x:v>
      </x:c>
      <x:c r="G2136" s="2" t="n">
        <x:v>34</x:v>
      </x:c>
      <x:c r="H2136" s="2" t="n">
        <x:f>G2136+Supuestos!$C$15</x:f>
        <x:v>35</x:v>
      </x:c>
      <x:c r="I2136" s="14" t="n">
        <x:f>E2_plantas!J52+G2136</x:f>
        <x:v>46236</x:v>
      </x:c>
      <x:c r="J2136" s="2" t="str">
        <x:v>muerta</x:v>
      </x:c>
      <x:c r="K2136" s="2" t="n">
        <x:v>0</x:v>
      </x:c>
      <x:c r="L2136" s="2" t="n">
        <x:v>0</x:v>
      </x:c>
      <x:c r="M2136" s="2" t="n">
        <x:f>SUM(L$2102:L2136)</x:f>
        <x:v>32</x:v>
      </x:c>
      <x:c r="N2136" s="2" t="n">
        <x:v>0</x:v>
      </x:c>
      <x:c r="O2136" s="2" t="str">
        <x:v>relleno_postmuerte</x:v>
      </x:c>
      <x:c r="P2136" s="2" t="n">
        <x:v>0</x:v>
      </x:c>
      <x:c r="Q2136" s="2" t="str">
        <x:v>simulado_didactico</x:v>
      </x:c>
    </x:row>
    <x:row r="2137" ht="19" customHeight="1">
      <x:c r="A2137" s="2" t="str">
        <x:v>SIM-E2-MP-L8-R09</x:v>
      </x:c>
      <x:c r="B2137" s="2" t="n">
        <x:v>5</x:v>
      </x:c>
      <x:c r="C2137" s="2" t="str">
        <x:v>MP</x:v>
      </x:c>
      <x:c r="D2137" s="2" t="str">
        <x:v>Myzus persicae</x:v>
      </x:c>
      <x:c r="E2137" s="2" t="str">
        <x:v>L8</x:v>
      </x:c>
      <x:c r="F2137" s="2" t="n">
        <x:v>9</x:v>
      </x:c>
      <x:c r="G2137" s="2" t="n">
        <x:v>35</x:v>
      </x:c>
      <x:c r="H2137" s="2" t="n">
        <x:f>G2137+Supuestos!$C$15</x:f>
        <x:v>36</x:v>
      </x:c>
      <x:c r="I2137" s="14" t="n">
        <x:f>E2_plantas!J52+G2137</x:f>
        <x:v>46237</x:v>
      </x:c>
      <x:c r="J2137" s="2" t="str">
        <x:v>muerta</x:v>
      </x:c>
      <x:c r="K2137" s="2" t="n">
        <x:v>0</x:v>
      </x:c>
      <x:c r="L2137" s="2" t="n">
        <x:v>0</x:v>
      </x:c>
      <x:c r="M2137" s="2" t="n">
        <x:f>SUM(L$2102:L2137)</x:f>
        <x:v>32</x:v>
      </x:c>
      <x:c r="N2137" s="2" t="n">
        <x:v>0</x:v>
      </x:c>
      <x:c r="O2137" s="2" t="str">
        <x:v>relleno_postmuerte</x:v>
      </x:c>
      <x:c r="P2137" s="2" t="n">
        <x:v>0</x:v>
      </x:c>
      <x:c r="Q2137" s="2" t="str">
        <x:v>simulado_didactico</x:v>
      </x:c>
    </x:row>
    <x:row r="2138" ht="19" customHeight="1">
      <x:c r="A2138" s="2" t="str">
        <x:v>SIM-E2-MP-L8-R09</x:v>
      </x:c>
      <x:c r="B2138" s="2" t="n">
        <x:v>5</x:v>
      </x:c>
      <x:c r="C2138" s="2" t="str">
        <x:v>MP</x:v>
      </x:c>
      <x:c r="D2138" s="2" t="str">
        <x:v>Myzus persicae</x:v>
      </x:c>
      <x:c r="E2138" s="2" t="str">
        <x:v>L8</x:v>
      </x:c>
      <x:c r="F2138" s="2" t="n">
        <x:v>9</x:v>
      </x:c>
      <x:c r="G2138" s="2" t="n">
        <x:v>36</x:v>
      </x:c>
      <x:c r="H2138" s="2" t="n">
        <x:f>G2138+Supuestos!$C$15</x:f>
        <x:v>37</x:v>
      </x:c>
      <x:c r="I2138" s="14" t="n">
        <x:f>E2_plantas!J52+G2138</x:f>
        <x:v>46238</x:v>
      </x:c>
      <x:c r="J2138" s="2" t="str">
        <x:v>muerta</x:v>
      </x:c>
      <x:c r="K2138" s="2" t="n">
        <x:v>0</x:v>
      </x:c>
      <x:c r="L2138" s="2" t="n">
        <x:v>0</x:v>
      </x:c>
      <x:c r="M2138" s="2" t="n">
        <x:f>SUM(L$2102:L2138)</x:f>
        <x:v>32</x:v>
      </x:c>
      <x:c r="N2138" s="2" t="n">
        <x:v>0</x:v>
      </x:c>
      <x:c r="O2138" s="2" t="str">
        <x:v>relleno_postmuerte</x:v>
      </x:c>
      <x:c r="P2138" s="2" t="n">
        <x:v>0</x:v>
      </x:c>
      <x:c r="Q2138" s="2" t="str">
        <x:v>simulado_didactico</x:v>
      </x:c>
    </x:row>
    <x:row r="2139" ht="19" customHeight="1">
      <x:c r="A2139" s="2" t="str">
        <x:v>SIM-E2-MP-L8-R09</x:v>
      </x:c>
      <x:c r="B2139" s="2" t="n">
        <x:v>5</x:v>
      </x:c>
      <x:c r="C2139" s="2" t="str">
        <x:v>MP</x:v>
      </x:c>
      <x:c r="D2139" s="2" t="str">
        <x:v>Myzus persicae</x:v>
      </x:c>
      <x:c r="E2139" s="2" t="str">
        <x:v>L8</x:v>
      </x:c>
      <x:c r="F2139" s="2" t="n">
        <x:v>9</x:v>
      </x:c>
      <x:c r="G2139" s="2" t="n">
        <x:v>37</x:v>
      </x:c>
      <x:c r="H2139" s="2" t="n">
        <x:f>G2139+Supuestos!$C$15</x:f>
        <x:v>38</x:v>
      </x:c>
      <x:c r="I2139" s="14" t="n">
        <x:f>E2_plantas!J52+G2139</x:f>
        <x:v>46239</x:v>
      </x:c>
      <x:c r="J2139" s="2" t="str">
        <x:v>muerta</x:v>
      </x:c>
      <x:c r="K2139" s="2" t="n">
        <x:v>0</x:v>
      </x:c>
      <x:c r="L2139" s="2" t="n">
        <x:v>0</x:v>
      </x:c>
      <x:c r="M2139" s="2" t="n">
        <x:f>SUM(L$2102:L2139)</x:f>
        <x:v>32</x:v>
      </x:c>
      <x:c r="N2139" s="2" t="n">
        <x:v>0</x:v>
      </x:c>
      <x:c r="O2139" s="2" t="str">
        <x:v>relleno_postmuerte</x:v>
      </x:c>
      <x:c r="P2139" s="2" t="n">
        <x:v>0</x:v>
      </x:c>
      <x:c r="Q2139" s="2" t="str">
        <x:v>simulado_didactico</x:v>
      </x:c>
    </x:row>
    <x:row r="2140" ht="19" customHeight="1">
      <x:c r="A2140" s="2" t="str">
        <x:v>SIM-E2-MP-L8-R09</x:v>
      </x:c>
      <x:c r="B2140" s="2" t="n">
        <x:v>5</x:v>
      </x:c>
      <x:c r="C2140" s="2" t="str">
        <x:v>MP</x:v>
      </x:c>
      <x:c r="D2140" s="2" t="str">
        <x:v>Myzus persicae</x:v>
      </x:c>
      <x:c r="E2140" s="2" t="str">
        <x:v>L8</x:v>
      </x:c>
      <x:c r="F2140" s="2" t="n">
        <x:v>9</x:v>
      </x:c>
      <x:c r="G2140" s="2" t="n">
        <x:v>38</x:v>
      </x:c>
      <x:c r="H2140" s="2" t="n">
        <x:f>G2140+Supuestos!$C$15</x:f>
        <x:v>39</x:v>
      </x:c>
      <x:c r="I2140" s="14" t="n">
        <x:f>E2_plantas!J52+G2140</x:f>
        <x:v>46240</x:v>
      </x:c>
      <x:c r="J2140" s="2" t="str">
        <x:v>muerta</x:v>
      </x:c>
      <x:c r="K2140" s="2" t="n">
        <x:v>0</x:v>
      </x:c>
      <x:c r="L2140" s="2" t="n">
        <x:v>0</x:v>
      </x:c>
      <x:c r="M2140" s="2" t="n">
        <x:f>SUM(L$2102:L2140)</x:f>
        <x:v>32</x:v>
      </x:c>
      <x:c r="N2140" s="2" t="n">
        <x:v>0</x:v>
      </x:c>
      <x:c r="O2140" s="2" t="str">
        <x:v>relleno_postmuerte</x:v>
      </x:c>
      <x:c r="P2140" s="2" t="n">
        <x:v>0</x:v>
      </x:c>
      <x:c r="Q2140" s="2" t="str">
        <x:v>simulado_didactico</x:v>
      </x:c>
    </x:row>
    <x:row r="2141" ht="19" customHeight="1">
      <x:c r="A2141" s="2" t="str">
        <x:v>SIM-E2-MP-L8-R09</x:v>
      </x:c>
      <x:c r="B2141" s="2" t="n">
        <x:v>5</x:v>
      </x:c>
      <x:c r="C2141" s="2" t="str">
        <x:v>MP</x:v>
      </x:c>
      <x:c r="D2141" s="2" t="str">
        <x:v>Myzus persicae</x:v>
      </x:c>
      <x:c r="E2141" s="2" t="str">
        <x:v>L8</x:v>
      </x:c>
      <x:c r="F2141" s="2" t="n">
        <x:v>9</x:v>
      </x:c>
      <x:c r="G2141" s="2" t="n">
        <x:v>39</x:v>
      </x:c>
      <x:c r="H2141" s="2" t="n">
        <x:f>G2141+Supuestos!$C$15</x:f>
        <x:v>40</x:v>
      </x:c>
      <x:c r="I2141" s="14" t="n">
        <x:f>E2_plantas!J52+G2141</x:f>
        <x:v>46241</x:v>
      </x:c>
      <x:c r="J2141" s="2" t="str">
        <x:v>muerta</x:v>
      </x:c>
      <x:c r="K2141" s="2" t="n">
        <x:v>0</x:v>
      </x:c>
      <x:c r="L2141" s="2" t="n">
        <x:v>0</x:v>
      </x:c>
      <x:c r="M2141" s="2" t="n">
        <x:f>SUM(L$2102:L2141)</x:f>
        <x:v>32</x:v>
      </x:c>
      <x:c r="N2141" s="2" t="n">
        <x:v>0</x:v>
      </x:c>
      <x:c r="O2141" s="2" t="str">
        <x:v>relleno_postmuerte</x:v>
      </x:c>
      <x:c r="P2141" s="2" t="n">
        <x:v>0</x:v>
      </x:c>
      <x:c r="Q2141" s="2" t="str">
        <x:v>simulado_didactico</x:v>
      </x:c>
    </x:row>
    <x:row r="2142" ht="19" customHeight="1">
      <x:c r="A2142" s="2" t="str">
        <x:v>SIM-E2-MP-L8-R09</x:v>
      </x:c>
      <x:c r="B2142" s="2" t="n">
        <x:v>5</x:v>
      </x:c>
      <x:c r="C2142" s="2" t="str">
        <x:v>MP</x:v>
      </x:c>
      <x:c r="D2142" s="2" t="str">
        <x:v>Myzus persicae</x:v>
      </x:c>
      <x:c r="E2142" s="2" t="str">
        <x:v>L8</x:v>
      </x:c>
      <x:c r="F2142" s="2" t="n">
        <x:v>9</x:v>
      </x:c>
      <x:c r="G2142" s="2" t="n">
        <x:v>40</x:v>
      </x:c>
      <x:c r="H2142" s="2" t="n">
        <x:f>G2142+Supuestos!$C$15</x:f>
        <x:v>41</x:v>
      </x:c>
      <x:c r="I2142" s="14" t="n">
        <x:f>E2_plantas!J52+G2142</x:f>
        <x:v>46242</x:v>
      </x:c>
      <x:c r="J2142" s="2" t="str">
        <x:v>muerta</x:v>
      </x:c>
      <x:c r="K2142" s="2" t="n">
        <x:v>0</x:v>
      </x:c>
      <x:c r="L2142" s="2" t="n">
        <x:v>0</x:v>
      </x:c>
      <x:c r="M2142" s="2" t="n">
        <x:f>SUM(L$2102:L2142)</x:f>
        <x:v>32</x:v>
      </x:c>
      <x:c r="N2142" s="2" t="n">
        <x:v>0</x:v>
      </x:c>
      <x:c r="O2142" s="2" t="str">
        <x:v>relleno_postmuerte</x:v>
      </x:c>
      <x:c r="P2142" s="2" t="n">
        <x:v>0</x:v>
      </x:c>
      <x:c r="Q2142" s="2" t="str">
        <x:v>simulado_didactico</x:v>
      </x:c>
    </x:row>
    <x:row r="2143" ht="19" customHeight="1">
      <x:c r="A2143" s="2" t="str">
        <x:v>SIM-E2-MP-L8-R09</x:v>
      </x:c>
      <x:c r="B2143" s="2" t="n">
        <x:v>5</x:v>
      </x:c>
      <x:c r="C2143" s="2" t="str">
        <x:v>MP</x:v>
      </x:c>
      <x:c r="D2143" s="2" t="str">
        <x:v>Myzus persicae</x:v>
      </x:c>
      <x:c r="E2143" s="2" t="str">
        <x:v>L8</x:v>
      </x:c>
      <x:c r="F2143" s="2" t="n">
        <x:v>9</x:v>
      </x:c>
      <x:c r="G2143" s="2" t="n">
        <x:v>41</x:v>
      </x:c>
      <x:c r="H2143" s="2" t="n">
        <x:f>G2143+Supuestos!$C$15</x:f>
        <x:v>42</x:v>
      </x:c>
      <x:c r="I2143" s="14" t="n">
        <x:f>E2_plantas!J52+G2143</x:f>
        <x:v>46243</x:v>
      </x:c>
      <x:c r="J2143" s="2" t="str">
        <x:v>muerta</x:v>
      </x:c>
      <x:c r="K2143" s="2" t="n">
        <x:v>0</x:v>
      </x:c>
      <x:c r="L2143" s="2" t="n">
        <x:v>0</x:v>
      </x:c>
      <x:c r="M2143" s="2" t="n">
        <x:f>SUM(L$2102:L2143)</x:f>
        <x:v>32</x:v>
      </x:c>
      <x:c r="N2143" s="2" t="n">
        <x:v>0</x:v>
      </x:c>
      <x:c r="O2143" s="2" t="str">
        <x:v>relleno_postmuerte</x:v>
      </x:c>
      <x:c r="P2143" s="2" t="n">
        <x:v>0</x:v>
      </x:c>
      <x:c r="Q2143" s="2" t="str">
        <x:v>simulado_didactico</x:v>
      </x:c>
    </x:row>
    <x:row r="2144" ht="19" customHeight="1">
      <x:c r="A2144" s="2" t="str">
        <x:v>SIM-E2-MP-L8-R10</x:v>
      </x:c>
      <x:c r="B2144" s="2" t="n">
        <x:v>5</x:v>
      </x:c>
      <x:c r="C2144" s="2" t="str">
        <x:v>MP</x:v>
      </x:c>
      <x:c r="D2144" s="2" t="str">
        <x:v>Myzus persicae</x:v>
      </x:c>
      <x:c r="E2144" s="2" t="str">
        <x:v>L8</x:v>
      </x:c>
      <x:c r="F2144" s="2" t="n">
        <x:v>10</x:v>
      </x:c>
      <x:c r="G2144" s="2" t="n">
        <x:v>0</x:v>
      </x:c>
      <x:c r="H2144" s="2" t="n">
        <x:f>G2144+Supuestos!$C$15</x:f>
        <x:v>1</x:v>
      </x:c>
      <x:c r="I2144" s="14" t="n">
        <x:f>E2_plantas!J53+G2144</x:f>
        <x:v>46202</x:v>
      </x:c>
      <x:c r="J2144" s="2" t="str">
        <x:v>N1</x:v>
      </x:c>
      <x:c r="K2144" s="2" t="n">
        <x:v>1</x:v>
      </x:c>
      <x:c r="L2144" s="2" t="n">
        <x:v>0</x:v>
      </x:c>
      <x:c r="M2144" s="2" t="n">
        <x:f>SUM(L$2144:L2144)</x:f>
        <x:v>0</x:v>
      </x:c>
      <x:c r="N2144" s="2" t="n">
        <x:v>0</x:v>
      </x:c>
      <x:c r="O2144" s="2" t="str">
        <x:v>seguimiento</x:v>
      </x:c>
      <x:c r="P2144" s="2" t="n">
        <x:v>0</x:v>
      </x:c>
      <x:c r="Q2144" s="2" t="str">
        <x:v>simulado_didactico</x:v>
      </x:c>
    </x:row>
    <x:row r="2145" ht="19" customHeight="1">
      <x:c r="A2145" s="2" t="str">
        <x:v>SIM-E2-MP-L8-R10</x:v>
      </x:c>
      <x:c r="B2145" s="2" t="n">
        <x:v>5</x:v>
      </x:c>
      <x:c r="C2145" s="2" t="str">
        <x:v>MP</x:v>
      </x:c>
      <x:c r="D2145" s="2" t="str">
        <x:v>Myzus persicae</x:v>
      </x:c>
      <x:c r="E2145" s="2" t="str">
        <x:v>L8</x:v>
      </x:c>
      <x:c r="F2145" s="2" t="n">
        <x:v>10</x:v>
      </x:c>
      <x:c r="G2145" s="2" t="n">
        <x:v>1</x:v>
      </x:c>
      <x:c r="H2145" s="2" t="n">
        <x:f>G2145+Supuestos!$C$15</x:f>
        <x:v>2</x:v>
      </x:c>
      <x:c r="I2145" s="14" t="n">
        <x:f>E2_plantas!J53+G2145</x:f>
        <x:v>46203</x:v>
      </x:c>
      <x:c r="J2145" s="2" t="str">
        <x:v>N1</x:v>
      </x:c>
      <x:c r="K2145" s="2" t="n">
        <x:v>1</x:v>
      </x:c>
      <x:c r="L2145" s="2" t="n">
        <x:v>0</x:v>
      </x:c>
      <x:c r="M2145" s="2" t="n">
        <x:f>SUM(L$2144:L2145)</x:f>
        <x:v>0</x:v>
      </x:c>
      <x:c r="N2145" s="2" t="n">
        <x:v>0</x:v>
      </x:c>
      <x:c r="O2145" s="2" t="str">
        <x:v>seguimiento</x:v>
      </x:c>
      <x:c r="P2145" s="2" t="n">
        <x:v>0</x:v>
      </x:c>
      <x:c r="Q2145" s="2" t="str">
        <x:v>simulado_didactico</x:v>
      </x:c>
    </x:row>
    <x:row r="2146" ht="19" customHeight="1">
      <x:c r="A2146" s="2" t="str">
        <x:v>SIM-E2-MP-L8-R10</x:v>
      </x:c>
      <x:c r="B2146" s="2" t="n">
        <x:v>5</x:v>
      </x:c>
      <x:c r="C2146" s="2" t="str">
        <x:v>MP</x:v>
      </x:c>
      <x:c r="D2146" s="2" t="str">
        <x:v>Myzus persicae</x:v>
      </x:c>
      <x:c r="E2146" s="2" t="str">
        <x:v>L8</x:v>
      </x:c>
      <x:c r="F2146" s="2" t="n">
        <x:v>10</x:v>
      </x:c>
      <x:c r="G2146" s="2" t="n">
        <x:v>2</x:v>
      </x:c>
      <x:c r="H2146" s="2" t="n">
        <x:f>G2146+Supuestos!$C$15</x:f>
        <x:v>3</x:v>
      </x:c>
      <x:c r="I2146" s="14" t="n">
        <x:f>E2_plantas!J53+G2146</x:f>
        <x:v>46204</x:v>
      </x:c>
      <x:c r="J2146" s="2" t="str">
        <x:v>N2</x:v>
      </x:c>
      <x:c r="K2146" s="2" t="n">
        <x:v>1</x:v>
      </x:c>
      <x:c r="L2146" s="2" t="n">
        <x:v>0</x:v>
      </x:c>
      <x:c r="M2146" s="2" t="n">
        <x:f>SUM(L$2144:L2146)</x:f>
        <x:v>0</x:v>
      </x:c>
      <x:c r="N2146" s="2" t="n">
        <x:v>0</x:v>
      </x:c>
      <x:c r="O2146" s="2" t="str">
        <x:v>seguimiento</x:v>
      </x:c>
      <x:c r="P2146" s="2" t="n">
        <x:v>0</x:v>
      </x:c>
      <x:c r="Q2146" s="2" t="str">
        <x:v>simulado_didactico</x:v>
      </x:c>
    </x:row>
    <x:row r="2147" ht="19" customHeight="1">
      <x:c r="A2147" s="2" t="str">
        <x:v>SIM-E2-MP-L8-R10</x:v>
      </x:c>
      <x:c r="B2147" s="2" t="n">
        <x:v>5</x:v>
      </x:c>
      <x:c r="C2147" s="2" t="str">
        <x:v>MP</x:v>
      </x:c>
      <x:c r="D2147" s="2" t="str">
        <x:v>Myzus persicae</x:v>
      </x:c>
      <x:c r="E2147" s="2" t="str">
        <x:v>L8</x:v>
      </x:c>
      <x:c r="F2147" s="2" t="n">
        <x:v>10</x:v>
      </x:c>
      <x:c r="G2147" s="2" t="n">
        <x:v>3</x:v>
      </x:c>
      <x:c r="H2147" s="2" t="n">
        <x:f>G2147+Supuestos!$C$15</x:f>
        <x:v>4</x:v>
      </x:c>
      <x:c r="I2147" s="14" t="n">
        <x:f>E2_plantas!J53+G2147</x:f>
        <x:v>46205</x:v>
      </x:c>
      <x:c r="J2147" s="2" t="str">
        <x:v>N2</x:v>
      </x:c>
      <x:c r="K2147" s="2" t="n">
        <x:v>1</x:v>
      </x:c>
      <x:c r="L2147" s="2" t="n">
        <x:v>0</x:v>
      </x:c>
      <x:c r="M2147" s="2" t="n">
        <x:f>SUM(L$2144:L2147)</x:f>
        <x:v>0</x:v>
      </x:c>
      <x:c r="N2147" s="2" t="n">
        <x:v>0</x:v>
      </x:c>
      <x:c r="O2147" s="2" t="str">
        <x:v>seguimiento</x:v>
      </x:c>
      <x:c r="P2147" s="2" t="n">
        <x:v>0</x:v>
      </x:c>
      <x:c r="Q2147" s="2" t="str">
        <x:v>simulado_didactico</x:v>
      </x:c>
    </x:row>
    <x:row r="2148" ht="19" customHeight="1">
      <x:c r="A2148" s="2" t="str">
        <x:v>SIM-E2-MP-L8-R10</x:v>
      </x:c>
      <x:c r="B2148" s="2" t="n">
        <x:v>5</x:v>
      </x:c>
      <x:c r="C2148" s="2" t="str">
        <x:v>MP</x:v>
      </x:c>
      <x:c r="D2148" s="2" t="str">
        <x:v>Myzus persicae</x:v>
      </x:c>
      <x:c r="E2148" s="2" t="str">
        <x:v>L8</x:v>
      </x:c>
      <x:c r="F2148" s="2" t="n">
        <x:v>10</x:v>
      </x:c>
      <x:c r="G2148" s="2" t="n">
        <x:v>4</x:v>
      </x:c>
      <x:c r="H2148" s="2" t="n">
        <x:f>G2148+Supuestos!$C$15</x:f>
        <x:v>5</x:v>
      </x:c>
      <x:c r="I2148" s="14" t="n">
        <x:f>E2_plantas!J53+G2148</x:f>
        <x:v>46206</x:v>
      </x:c>
      <x:c r="J2148" s="2" t="str">
        <x:v>N3</x:v>
      </x:c>
      <x:c r="K2148" s="2" t="n">
        <x:v>1</x:v>
      </x:c>
      <x:c r="L2148" s="2" t="n">
        <x:v>0</x:v>
      </x:c>
      <x:c r="M2148" s="2" t="n">
        <x:f>SUM(L$2144:L2148)</x:f>
        <x:v>0</x:v>
      </x:c>
      <x:c r="N2148" s="2" t="n">
        <x:v>0</x:v>
      </x:c>
      <x:c r="O2148" s="2" t="str">
        <x:v>seguimiento</x:v>
      </x:c>
      <x:c r="P2148" s="2" t="n">
        <x:v>0</x:v>
      </x:c>
      <x:c r="Q2148" s="2" t="str">
        <x:v>simulado_didactico</x:v>
      </x:c>
    </x:row>
    <x:row r="2149" ht="19" customHeight="1">
      <x:c r="A2149" s="2" t="str">
        <x:v>SIM-E2-MP-L8-R10</x:v>
      </x:c>
      <x:c r="B2149" s="2" t="n">
        <x:v>5</x:v>
      </x:c>
      <x:c r="C2149" s="2" t="str">
        <x:v>MP</x:v>
      </x:c>
      <x:c r="D2149" s="2" t="str">
        <x:v>Myzus persicae</x:v>
      </x:c>
      <x:c r="E2149" s="2" t="str">
        <x:v>L8</x:v>
      </x:c>
      <x:c r="F2149" s="2" t="n">
        <x:v>10</x:v>
      </x:c>
      <x:c r="G2149" s="2" t="n">
        <x:v>5</x:v>
      </x:c>
      <x:c r="H2149" s="2" t="n">
        <x:f>G2149+Supuestos!$C$15</x:f>
        <x:v>6</x:v>
      </x:c>
      <x:c r="I2149" s="14" t="n">
        <x:f>E2_plantas!J53+G2149</x:f>
        <x:v>46207</x:v>
      </x:c>
      <x:c r="J2149" s="2" t="str">
        <x:v>N3</x:v>
      </x:c>
      <x:c r="K2149" s="2" t="n">
        <x:v>1</x:v>
      </x:c>
      <x:c r="L2149" s="2" t="n">
        <x:v>0</x:v>
      </x:c>
      <x:c r="M2149" s="2" t="n">
        <x:f>SUM(L$2144:L2149)</x:f>
        <x:v>0</x:v>
      </x:c>
      <x:c r="N2149" s="2" t="n">
        <x:v>0</x:v>
      </x:c>
      <x:c r="O2149" s="2" t="str">
        <x:v>seguimiento</x:v>
      </x:c>
      <x:c r="P2149" s="2" t="n">
        <x:v>0</x:v>
      </x:c>
      <x:c r="Q2149" s="2" t="str">
        <x:v>simulado_didactico</x:v>
      </x:c>
    </x:row>
    <x:row r="2150" ht="19" customHeight="1">
      <x:c r="A2150" s="2" t="str">
        <x:v>SIM-E2-MP-L8-R10</x:v>
      </x:c>
      <x:c r="B2150" s="2" t="n">
        <x:v>5</x:v>
      </x:c>
      <x:c r="C2150" s="2" t="str">
        <x:v>MP</x:v>
      </x:c>
      <x:c r="D2150" s="2" t="str">
        <x:v>Myzus persicae</x:v>
      </x:c>
      <x:c r="E2150" s="2" t="str">
        <x:v>L8</x:v>
      </x:c>
      <x:c r="F2150" s="2" t="n">
        <x:v>10</x:v>
      </x:c>
      <x:c r="G2150" s="2" t="n">
        <x:v>6</x:v>
      </x:c>
      <x:c r="H2150" s="2" t="n">
        <x:f>G2150+Supuestos!$C$15</x:f>
        <x:v>7</x:v>
      </x:c>
      <x:c r="I2150" s="14" t="n">
        <x:f>E2_plantas!J53+G2150</x:f>
        <x:v>46208</x:v>
      </x:c>
      <x:c r="J2150" s="2" t="str">
        <x:v>N3</x:v>
      </x:c>
      <x:c r="K2150" s="2" t="n">
        <x:v>1</x:v>
      </x:c>
      <x:c r="L2150" s="2" t="n">
        <x:v>0</x:v>
      </x:c>
      <x:c r="M2150" s="2" t="n">
        <x:f>SUM(L$2144:L2150)</x:f>
        <x:v>0</x:v>
      </x:c>
      <x:c r="N2150" s="2" t="n">
        <x:v>0</x:v>
      </x:c>
      <x:c r="O2150" s="2" t="str">
        <x:v>seguimiento</x:v>
      </x:c>
      <x:c r="P2150" s="2" t="n">
        <x:v>0</x:v>
      </x:c>
      <x:c r="Q2150" s="2" t="str">
        <x:v>simulado_didactico</x:v>
      </x:c>
    </x:row>
    <x:row r="2151" ht="19" customHeight="1">
      <x:c r="A2151" s="2" t="str">
        <x:v>SIM-E2-MP-L8-R10</x:v>
      </x:c>
      <x:c r="B2151" s="2" t="n">
        <x:v>5</x:v>
      </x:c>
      <x:c r="C2151" s="2" t="str">
        <x:v>MP</x:v>
      </x:c>
      <x:c r="D2151" s="2" t="str">
        <x:v>Myzus persicae</x:v>
      </x:c>
      <x:c r="E2151" s="2" t="str">
        <x:v>L8</x:v>
      </x:c>
      <x:c r="F2151" s="2" t="n">
        <x:v>10</x:v>
      </x:c>
      <x:c r="G2151" s="2" t="n">
        <x:v>7</x:v>
      </x:c>
      <x:c r="H2151" s="2" t="n">
        <x:f>G2151+Supuestos!$C$15</x:f>
        <x:v>8</x:v>
      </x:c>
      <x:c r="I2151" s="14" t="n">
        <x:f>E2_plantas!J53+G2151</x:f>
        <x:v>46209</x:v>
      </x:c>
      <x:c r="J2151" s="2" t="str">
        <x:v>N4</x:v>
      </x:c>
      <x:c r="K2151" s="2" t="n">
        <x:v>1</x:v>
      </x:c>
      <x:c r="L2151" s="2" t="n">
        <x:v>0</x:v>
      </x:c>
      <x:c r="M2151" s="2" t="n">
        <x:f>SUM(L$2144:L2151)</x:f>
        <x:v>0</x:v>
      </x:c>
      <x:c r="N2151" s="2" t="n">
        <x:v>0</x:v>
      </x:c>
      <x:c r="O2151" s="2" t="str">
        <x:v>seguimiento</x:v>
      </x:c>
      <x:c r="P2151" s="2" t="n">
        <x:v>0</x:v>
      </x:c>
      <x:c r="Q2151" s="2" t="str">
        <x:v>simulado_didactico</x:v>
      </x:c>
    </x:row>
    <x:row r="2152" ht="19" customHeight="1">
      <x:c r="A2152" s="2" t="str">
        <x:v>SIM-E2-MP-L8-R10</x:v>
      </x:c>
      <x:c r="B2152" s="2" t="n">
        <x:v>5</x:v>
      </x:c>
      <x:c r="C2152" s="2" t="str">
        <x:v>MP</x:v>
      </x:c>
      <x:c r="D2152" s="2" t="str">
        <x:v>Myzus persicae</x:v>
      </x:c>
      <x:c r="E2152" s="2" t="str">
        <x:v>L8</x:v>
      </x:c>
      <x:c r="F2152" s="2" t="n">
        <x:v>10</x:v>
      </x:c>
      <x:c r="G2152" s="2" t="n">
        <x:v>8</x:v>
      </x:c>
      <x:c r="H2152" s="2" t="n">
        <x:f>G2152+Supuestos!$C$15</x:f>
        <x:v>9</x:v>
      </x:c>
      <x:c r="I2152" s="14" t="n">
        <x:f>E2_plantas!J53+G2152</x:f>
        <x:v>46210</x:v>
      </x:c>
      <x:c r="J2152" s="2" t="str">
        <x:v>N4</x:v>
      </x:c>
      <x:c r="K2152" s="2" t="n">
        <x:v>1</x:v>
      </x:c>
      <x:c r="L2152" s="2" t="n">
        <x:v>0</x:v>
      </x:c>
      <x:c r="M2152" s="2" t="n">
        <x:f>SUM(L$2144:L2152)</x:f>
        <x:v>0</x:v>
      </x:c>
      <x:c r="N2152" s="2" t="n">
        <x:v>0</x:v>
      </x:c>
      <x:c r="O2152" s="2" t="str">
        <x:v>seguimiento</x:v>
      </x:c>
      <x:c r="P2152" s="2" t="n">
        <x:v>0</x:v>
      </x:c>
      <x:c r="Q2152" s="2" t="str">
        <x:v>simulado_didactico</x:v>
      </x:c>
    </x:row>
    <x:row r="2153" ht="19" customHeight="1">
      <x:c r="A2153" s="2" t="str">
        <x:v>SIM-E2-MP-L8-R10</x:v>
      </x:c>
      <x:c r="B2153" s="2" t="n">
        <x:v>5</x:v>
      </x:c>
      <x:c r="C2153" s="2" t="str">
        <x:v>MP</x:v>
      </x:c>
      <x:c r="D2153" s="2" t="str">
        <x:v>Myzus persicae</x:v>
      </x:c>
      <x:c r="E2153" s="2" t="str">
        <x:v>L8</x:v>
      </x:c>
      <x:c r="F2153" s="2" t="n">
        <x:v>10</x:v>
      </x:c>
      <x:c r="G2153" s="2" t="n">
        <x:v>9</x:v>
      </x:c>
      <x:c r="H2153" s="2" t="n">
        <x:f>G2153+Supuestos!$C$15</x:f>
        <x:v>10</x:v>
      </x:c>
      <x:c r="I2153" s="14" t="n">
        <x:f>E2_plantas!J53+G2153</x:f>
        <x:v>46211</x:v>
      </x:c>
      <x:c r="J2153" s="2" t="str">
        <x:v>N4</x:v>
      </x:c>
      <x:c r="K2153" s="2" t="n">
        <x:v>1</x:v>
      </x:c>
      <x:c r="L2153" s="2" t="n">
        <x:v>0</x:v>
      </x:c>
      <x:c r="M2153" s="2" t="n">
        <x:f>SUM(L$2144:L2153)</x:f>
        <x:v>0</x:v>
      </x:c>
      <x:c r="N2153" s="2" t="n">
        <x:v>0</x:v>
      </x:c>
      <x:c r="O2153" s="2" t="str">
        <x:v>seguimiento</x:v>
      </x:c>
      <x:c r="P2153" s="2" t="n">
        <x:v>0</x:v>
      </x:c>
      <x:c r="Q2153" s="2" t="str">
        <x:v>simulado_didactico</x:v>
      </x:c>
    </x:row>
    <x:row r="2154" ht="19" customHeight="1">
      <x:c r="A2154" s="2" t="str">
        <x:v>SIM-E2-MP-L8-R10</x:v>
      </x:c>
      <x:c r="B2154" s="2" t="n">
        <x:v>5</x:v>
      </x:c>
      <x:c r="C2154" s="2" t="str">
        <x:v>MP</x:v>
      </x:c>
      <x:c r="D2154" s="2" t="str">
        <x:v>Myzus persicae</x:v>
      </x:c>
      <x:c r="E2154" s="2" t="str">
        <x:v>L8</x:v>
      </x:c>
      <x:c r="F2154" s="2" t="n">
        <x:v>10</x:v>
      </x:c>
      <x:c r="G2154" s="2" t="n">
        <x:v>10</x:v>
      </x:c>
      <x:c r="H2154" s="2" t="n">
        <x:f>G2154+Supuestos!$C$15</x:f>
        <x:v>11</x:v>
      </x:c>
      <x:c r="I2154" s="14" t="n">
        <x:f>E2_plantas!J53+G2154</x:f>
        <x:v>46212</x:v>
      </x:c>
      <x:c r="J2154" s="2" t="str">
        <x:v>adulta</x:v>
      </x:c>
      <x:c r="K2154" s="2" t="n">
        <x:v>1</x:v>
      </x:c>
      <x:c r="L2154" s="2" t="n">
        <x:v>0</x:v>
      </x:c>
      <x:c r="M2154" s="2" t="n">
        <x:f>SUM(L$2144:L2154)</x:f>
        <x:v>0</x:v>
      </x:c>
      <x:c r="N2154" s="2" t="n">
        <x:v>0</x:v>
      </x:c>
      <x:c r="O2154" s="2" t="str">
        <x:v>seguimiento</x:v>
      </x:c>
      <x:c r="P2154" s="2" t="n">
        <x:v>0</x:v>
      </x:c>
      <x:c r="Q2154" s="2" t="str">
        <x:v>simulado_didactico</x:v>
      </x:c>
    </x:row>
    <x:row r="2155" ht="19" customHeight="1">
      <x:c r="A2155" s="2" t="str">
        <x:v>SIM-E2-MP-L8-R10</x:v>
      </x:c>
      <x:c r="B2155" s="2" t="n">
        <x:v>5</x:v>
      </x:c>
      <x:c r="C2155" s="2" t="str">
        <x:v>MP</x:v>
      </x:c>
      <x:c r="D2155" s="2" t="str">
        <x:v>Myzus persicae</x:v>
      </x:c>
      <x:c r="E2155" s="2" t="str">
        <x:v>L8</x:v>
      </x:c>
      <x:c r="F2155" s="2" t="n">
        <x:v>10</x:v>
      </x:c>
      <x:c r="G2155" s="2" t="n">
        <x:v>11</x:v>
      </x:c>
      <x:c r="H2155" s="2" t="n">
        <x:f>G2155+Supuestos!$C$15</x:f>
        <x:v>12</x:v>
      </x:c>
      <x:c r="I2155" s="14" t="n">
        <x:f>E2_plantas!J53+G2155</x:f>
        <x:v>46213</x:v>
      </x:c>
      <x:c r="J2155" s="2" t="str">
        <x:v>adulta</x:v>
      </x:c>
      <x:c r="K2155" s="2" t="n">
        <x:v>1</x:v>
      </x:c>
      <x:c r="L2155" s="2" t="n">
        <x:v>0</x:v>
      </x:c>
      <x:c r="M2155" s="2" t="n">
        <x:f>SUM(L$2144:L2155)</x:f>
        <x:v>0</x:v>
      </x:c>
      <x:c r="N2155" s="2" t="n">
        <x:v>0</x:v>
      </x:c>
      <x:c r="O2155" s="2" t="str">
        <x:v>seguimiento</x:v>
      </x:c>
      <x:c r="P2155" s="2" t="n">
        <x:v>0</x:v>
      </x:c>
      <x:c r="Q2155" s="2" t="str">
        <x:v>simulado_didactico</x:v>
      </x:c>
    </x:row>
    <x:row r="2156" ht="19" customHeight="1">
      <x:c r="A2156" s="2" t="str">
        <x:v>SIM-E2-MP-L8-R10</x:v>
      </x:c>
      <x:c r="B2156" s="2" t="n">
        <x:v>5</x:v>
      </x:c>
      <x:c r="C2156" s="2" t="str">
        <x:v>MP</x:v>
      </x:c>
      <x:c r="D2156" s="2" t="str">
        <x:v>Myzus persicae</x:v>
      </x:c>
      <x:c r="E2156" s="2" t="str">
        <x:v>L8</x:v>
      </x:c>
      <x:c r="F2156" s="2" t="n">
        <x:v>10</x:v>
      </x:c>
      <x:c r="G2156" s="2" t="n">
        <x:v>12</x:v>
      </x:c>
      <x:c r="H2156" s="2" t="n">
        <x:f>G2156+Supuestos!$C$15</x:f>
        <x:v>13</x:v>
      </x:c>
      <x:c r="I2156" s="14" t="n">
        <x:f>E2_plantas!J53+G2156</x:f>
        <x:v>46214</x:v>
      </x:c>
      <x:c r="J2156" s="2" t="str">
        <x:v>adulta</x:v>
      </x:c>
      <x:c r="K2156" s="2" t="n">
        <x:v>1</x:v>
      </x:c>
      <x:c r="L2156" s="2" t="n">
        <x:v>4</x:v>
      </x:c>
      <x:c r="M2156" s="2" t="n">
        <x:f>SUM(L$2144:L2156)</x:f>
        <x:v>4</x:v>
      </x:c>
      <x:c r="N2156" s="2" t="n">
        <x:v>0</x:v>
      </x:c>
      <x:c r="O2156" s="2" t="str">
        <x:v>seguimiento</x:v>
      </x:c>
      <x:c r="P2156" s="2" t="n">
        <x:v>0</x:v>
      </x:c>
      <x:c r="Q2156" s="2" t="str">
        <x:v>simulado_didactico</x:v>
      </x:c>
    </x:row>
    <x:row r="2157" ht="19" customHeight="1">
      <x:c r="A2157" s="2" t="str">
        <x:v>SIM-E2-MP-L8-R10</x:v>
      </x:c>
      <x:c r="B2157" s="2" t="n">
        <x:v>5</x:v>
      </x:c>
      <x:c r="C2157" s="2" t="str">
        <x:v>MP</x:v>
      </x:c>
      <x:c r="D2157" s="2" t="str">
        <x:v>Myzus persicae</x:v>
      </x:c>
      <x:c r="E2157" s="2" t="str">
        <x:v>L8</x:v>
      </x:c>
      <x:c r="F2157" s="2" t="n">
        <x:v>10</x:v>
      </x:c>
      <x:c r="G2157" s="2" t="n">
        <x:v>13</x:v>
      </x:c>
      <x:c r="H2157" s="2" t="n">
        <x:f>G2157+Supuestos!$C$15</x:f>
        <x:v>14</x:v>
      </x:c>
      <x:c r="I2157" s="14" t="n">
        <x:f>E2_plantas!J53+G2157</x:f>
        <x:v>46215</x:v>
      </x:c>
      <x:c r="J2157" s="2" t="str">
        <x:v>adulta</x:v>
      </x:c>
      <x:c r="K2157" s="2" t="n">
        <x:v>1</x:v>
      </x:c>
      <x:c r="L2157" s="2" t="n">
        <x:v>2</x:v>
      </x:c>
      <x:c r="M2157" s="2" t="n">
        <x:f>SUM(L$2144:L2157)</x:f>
        <x:v>6</x:v>
      </x:c>
      <x:c r="N2157" s="2" t="n">
        <x:v>0</x:v>
      </x:c>
      <x:c r="O2157" s="2" t="str">
        <x:v>seguimiento</x:v>
      </x:c>
      <x:c r="P2157" s="2" t="n">
        <x:v>0</x:v>
      </x:c>
      <x:c r="Q2157" s="2" t="str">
        <x:v>simulado_didactico</x:v>
      </x:c>
    </x:row>
    <x:row r="2158" ht="19" customHeight="1">
      <x:c r="A2158" s="2" t="str">
        <x:v>SIM-E2-MP-L8-R10</x:v>
      </x:c>
      <x:c r="B2158" s="2" t="n">
        <x:v>5</x:v>
      </x:c>
      <x:c r="C2158" s="2" t="str">
        <x:v>MP</x:v>
      </x:c>
      <x:c r="D2158" s="2" t="str">
        <x:v>Myzus persicae</x:v>
      </x:c>
      <x:c r="E2158" s="2" t="str">
        <x:v>L8</x:v>
      </x:c>
      <x:c r="F2158" s="2" t="n">
        <x:v>10</x:v>
      </x:c>
      <x:c r="G2158" s="2" t="n">
        <x:v>14</x:v>
      </x:c>
      <x:c r="H2158" s="2" t="n">
        <x:f>G2158+Supuestos!$C$15</x:f>
        <x:v>15</x:v>
      </x:c>
      <x:c r="I2158" s="14" t="n">
        <x:f>E2_plantas!J53+G2158</x:f>
        <x:v>46216</x:v>
      </x:c>
      <x:c r="J2158" s="2" t="str">
        <x:v>adulta</x:v>
      </x:c>
      <x:c r="K2158" s="2" t="n">
        <x:v>1</x:v>
      </x:c>
      <x:c r="L2158" s="2" t="n">
        <x:v>4</x:v>
      </x:c>
      <x:c r="M2158" s="2" t="n">
        <x:f>SUM(L$2144:L2158)</x:f>
        <x:v>10</x:v>
      </x:c>
      <x:c r="N2158" s="2" t="n">
        <x:v>0</x:v>
      </x:c>
      <x:c r="O2158" s="2" t="str">
        <x:v>seguimiento</x:v>
      </x:c>
      <x:c r="P2158" s="2" t="n">
        <x:v>0</x:v>
      </x:c>
      <x:c r="Q2158" s="2" t="str">
        <x:v>simulado_didactico</x:v>
      </x:c>
    </x:row>
    <x:row r="2159" ht="19" customHeight="1">
      <x:c r="A2159" s="2" t="str">
        <x:v>SIM-E2-MP-L8-R10</x:v>
      </x:c>
      <x:c r="B2159" s="2" t="n">
        <x:v>5</x:v>
      </x:c>
      <x:c r="C2159" s="2" t="str">
        <x:v>MP</x:v>
      </x:c>
      <x:c r="D2159" s="2" t="str">
        <x:v>Myzus persicae</x:v>
      </x:c>
      <x:c r="E2159" s="2" t="str">
        <x:v>L8</x:v>
      </x:c>
      <x:c r="F2159" s="2" t="n">
        <x:v>10</x:v>
      </x:c>
      <x:c r="G2159" s="2" t="n">
        <x:v>15</x:v>
      </x:c>
      <x:c r="H2159" s="2" t="n">
        <x:f>G2159+Supuestos!$C$15</x:f>
        <x:v>16</x:v>
      </x:c>
      <x:c r="I2159" s="14" t="n">
        <x:f>E2_plantas!J53+G2159</x:f>
        <x:v>46217</x:v>
      </x:c>
      <x:c r="J2159" s="2" t="str">
        <x:v>adulta</x:v>
      </x:c>
      <x:c r="K2159" s="2" t="n">
        <x:v>1</x:v>
      </x:c>
      <x:c r="L2159" s="2" t="n">
        <x:v>0</x:v>
      </x:c>
      <x:c r="M2159" s="2" t="n">
        <x:f>SUM(L$2144:L2159)</x:f>
        <x:v>10</x:v>
      </x:c>
      <x:c r="N2159" s="2" t="n">
        <x:v>0</x:v>
      </x:c>
      <x:c r="O2159" s="2" t="str">
        <x:v>seguimiento</x:v>
      </x:c>
      <x:c r="P2159" s="2" t="n">
        <x:v>0</x:v>
      </x:c>
      <x:c r="Q2159" s="2" t="str">
        <x:v>simulado_didactico</x:v>
      </x:c>
    </x:row>
    <x:row r="2160" ht="19" customHeight="1">
      <x:c r="A2160" s="2" t="str">
        <x:v>SIM-E2-MP-L8-R10</x:v>
      </x:c>
      <x:c r="B2160" s="2" t="n">
        <x:v>5</x:v>
      </x:c>
      <x:c r="C2160" s="2" t="str">
        <x:v>MP</x:v>
      </x:c>
      <x:c r="D2160" s="2" t="str">
        <x:v>Myzus persicae</x:v>
      </x:c>
      <x:c r="E2160" s="2" t="str">
        <x:v>L8</x:v>
      </x:c>
      <x:c r="F2160" s="2" t="n">
        <x:v>10</x:v>
      </x:c>
      <x:c r="G2160" s="2" t="n">
        <x:v>16</x:v>
      </x:c>
      <x:c r="H2160" s="2" t="n">
        <x:f>G2160+Supuestos!$C$15</x:f>
        <x:v>17</x:v>
      </x:c>
      <x:c r="I2160" s="14" t="n">
        <x:f>E2_plantas!J53+G2160</x:f>
        <x:v>46218</x:v>
      </x:c>
      <x:c r="J2160" s="2" t="str">
        <x:v>adulta</x:v>
      </x:c>
      <x:c r="K2160" s="2" t="n">
        <x:v>1</x:v>
      </x:c>
      <x:c r="L2160" s="2" t="n">
        <x:v>5</x:v>
      </x:c>
      <x:c r="M2160" s="2" t="n">
        <x:f>SUM(L$2144:L2160)</x:f>
        <x:v>15</x:v>
      </x:c>
      <x:c r="N2160" s="2" t="n">
        <x:v>0</x:v>
      </x:c>
      <x:c r="O2160" s="2" t="str">
        <x:v>seguimiento</x:v>
      </x:c>
      <x:c r="P2160" s="2" t="n">
        <x:v>0</x:v>
      </x:c>
      <x:c r="Q2160" s="2" t="str">
        <x:v>simulado_didactico</x:v>
      </x:c>
    </x:row>
    <x:row r="2161" ht="19" customHeight="1">
      <x:c r="A2161" s="2" t="str">
        <x:v>SIM-E2-MP-L8-R10</x:v>
      </x:c>
      <x:c r="B2161" s="2" t="n">
        <x:v>5</x:v>
      </x:c>
      <x:c r="C2161" s="2" t="str">
        <x:v>MP</x:v>
      </x:c>
      <x:c r="D2161" s="2" t="str">
        <x:v>Myzus persicae</x:v>
      </x:c>
      <x:c r="E2161" s="2" t="str">
        <x:v>L8</x:v>
      </x:c>
      <x:c r="F2161" s="2" t="n">
        <x:v>10</x:v>
      </x:c>
      <x:c r="G2161" s="2" t="n">
        <x:v>17</x:v>
      </x:c>
      <x:c r="H2161" s="2" t="n">
        <x:f>G2161+Supuestos!$C$15</x:f>
        <x:v>18</x:v>
      </x:c>
      <x:c r="I2161" s="14" t="n">
        <x:f>E2_plantas!J53+G2161</x:f>
        <x:v>46219</x:v>
      </x:c>
      <x:c r="J2161" s="2" t="str">
        <x:v>adulta</x:v>
      </x:c>
      <x:c r="K2161" s="2" t="n">
        <x:v>1</x:v>
      </x:c>
      <x:c r="L2161" s="2" t="n">
        <x:v>2</x:v>
      </x:c>
      <x:c r="M2161" s="2" t="n">
        <x:f>SUM(L$2144:L2161)</x:f>
        <x:v>17</x:v>
      </x:c>
      <x:c r="N2161" s="2" t="n">
        <x:v>0</x:v>
      </x:c>
      <x:c r="O2161" s="2" t="str">
        <x:v>seguimiento</x:v>
      </x:c>
      <x:c r="P2161" s="2" t="n">
        <x:v>0</x:v>
      </x:c>
      <x:c r="Q2161" s="2" t="str">
        <x:v>simulado_didactico</x:v>
      </x:c>
    </x:row>
    <x:row r="2162" ht="19" customHeight="1">
      <x:c r="A2162" s="2" t="str">
        <x:v>SIM-E2-MP-L8-R10</x:v>
      </x:c>
      <x:c r="B2162" s="2" t="n">
        <x:v>5</x:v>
      </x:c>
      <x:c r="C2162" s="2" t="str">
        <x:v>MP</x:v>
      </x:c>
      <x:c r="D2162" s="2" t="str">
        <x:v>Myzus persicae</x:v>
      </x:c>
      <x:c r="E2162" s="2" t="str">
        <x:v>L8</x:v>
      </x:c>
      <x:c r="F2162" s="2" t="n">
        <x:v>10</x:v>
      </x:c>
      <x:c r="G2162" s="2" t="n">
        <x:v>18</x:v>
      </x:c>
      <x:c r="H2162" s="2" t="n">
        <x:f>G2162+Supuestos!$C$15</x:f>
        <x:v>19</x:v>
      </x:c>
      <x:c r="I2162" s="14" t="n">
        <x:f>E2_plantas!J53+G2162</x:f>
        <x:v>46220</x:v>
      </x:c>
      <x:c r="J2162" s="2" t="str">
        <x:v>adulta</x:v>
      </x:c>
      <x:c r="K2162" s="2" t="n">
        <x:v>1</x:v>
      </x:c>
      <x:c r="L2162" s="2" t="n">
        <x:v>0</x:v>
      </x:c>
      <x:c r="M2162" s="2" t="n">
        <x:f>SUM(L$2144:L2162)</x:f>
        <x:v>17</x:v>
      </x:c>
      <x:c r="N2162" s="2" t="n">
        <x:v>0</x:v>
      </x:c>
      <x:c r="O2162" s="2" t="str">
        <x:v>seguimiento</x:v>
      </x:c>
      <x:c r="P2162" s="2" t="n">
        <x:v>0</x:v>
      </x:c>
      <x:c r="Q2162" s="2" t="str">
        <x:v>simulado_didactico</x:v>
      </x:c>
    </x:row>
    <x:row r="2163" ht="19" customHeight="1">
      <x:c r="A2163" s="2" t="str">
        <x:v>SIM-E2-MP-L8-R10</x:v>
      </x:c>
      <x:c r="B2163" s="2" t="n">
        <x:v>5</x:v>
      </x:c>
      <x:c r="C2163" s="2" t="str">
        <x:v>MP</x:v>
      </x:c>
      <x:c r="D2163" s="2" t="str">
        <x:v>Myzus persicae</x:v>
      </x:c>
      <x:c r="E2163" s="2" t="str">
        <x:v>L8</x:v>
      </x:c>
      <x:c r="F2163" s="2" t="n">
        <x:v>10</x:v>
      </x:c>
      <x:c r="G2163" s="2" t="n">
        <x:v>19</x:v>
      </x:c>
      <x:c r="H2163" s="2" t="n">
        <x:f>G2163+Supuestos!$C$15</x:f>
        <x:v>20</x:v>
      </x:c>
      <x:c r="I2163" s="14" t="n">
        <x:f>E2_plantas!J53+G2163</x:f>
        <x:v>46221</x:v>
      </x:c>
      <x:c r="J2163" s="2" t="str">
        <x:v>adulta</x:v>
      </x:c>
      <x:c r="K2163" s="2" t="n">
        <x:v>1</x:v>
      </x:c>
      <x:c r="L2163" s="2" t="n">
        <x:v>1</x:v>
      </x:c>
      <x:c r="M2163" s="2" t="n">
        <x:f>SUM(L$2144:L2163)</x:f>
        <x:v>18</x:v>
      </x:c>
      <x:c r="N2163" s="2" t="n">
        <x:v>0</x:v>
      </x:c>
      <x:c r="O2163" s="2" t="str">
        <x:v>seguimiento</x:v>
      </x:c>
      <x:c r="P2163" s="2" t="n">
        <x:v>0</x:v>
      </x:c>
      <x:c r="Q2163" s="2" t="str">
        <x:v>simulado_didactico</x:v>
      </x:c>
    </x:row>
    <x:row r="2164" ht="19" customHeight="1">
      <x:c r="A2164" s="2" t="str">
        <x:v>SIM-E2-MP-L8-R10</x:v>
      </x:c>
      <x:c r="B2164" s="2" t="n">
        <x:v>5</x:v>
      </x:c>
      <x:c r="C2164" s="2" t="str">
        <x:v>MP</x:v>
      </x:c>
      <x:c r="D2164" s="2" t="str">
        <x:v>Myzus persicae</x:v>
      </x:c>
      <x:c r="E2164" s="2" t="str">
        <x:v>L8</x:v>
      </x:c>
      <x:c r="F2164" s="2" t="n">
        <x:v>10</x:v>
      </x:c>
      <x:c r="G2164" s="2" t="n">
        <x:v>20</x:v>
      </x:c>
      <x:c r="H2164" s="2" t="n">
        <x:f>G2164+Supuestos!$C$15</x:f>
        <x:v>21</x:v>
      </x:c>
      <x:c r="I2164" s="14" t="n">
        <x:f>E2_plantas!J53+G2164</x:f>
        <x:v>46222</x:v>
      </x:c>
      <x:c r="J2164" s="2" t="str">
        <x:v>adulta</x:v>
      </x:c>
      <x:c r="K2164" s="2" t="n">
        <x:v>1</x:v>
      </x:c>
      <x:c r="L2164" s="2" t="n">
        <x:v>1</x:v>
      </x:c>
      <x:c r="M2164" s="2" t="n">
        <x:f>SUM(L$2144:L2164)</x:f>
        <x:v>19</x:v>
      </x:c>
      <x:c r="N2164" s="2" t="n">
        <x:v>0</x:v>
      </x:c>
      <x:c r="O2164" s="2" t="str">
        <x:v>seguimiento</x:v>
      </x:c>
      <x:c r="P2164" s="2" t="n">
        <x:v>0</x:v>
      </x:c>
      <x:c r="Q2164" s="2" t="str">
        <x:v>simulado_didactico</x:v>
      </x:c>
    </x:row>
    <x:row r="2165" ht="19" customHeight="1">
      <x:c r="A2165" s="2" t="str">
        <x:v>SIM-E2-MP-L8-R10</x:v>
      </x:c>
      <x:c r="B2165" s="2" t="n">
        <x:v>5</x:v>
      </x:c>
      <x:c r="C2165" s="2" t="str">
        <x:v>MP</x:v>
      </x:c>
      <x:c r="D2165" s="2" t="str">
        <x:v>Myzus persicae</x:v>
      </x:c>
      <x:c r="E2165" s="2" t="str">
        <x:v>L8</x:v>
      </x:c>
      <x:c r="F2165" s="2" t="n">
        <x:v>10</x:v>
      </x:c>
      <x:c r="G2165" s="2" t="n">
        <x:v>21</x:v>
      </x:c>
      <x:c r="H2165" s="2" t="n">
        <x:f>G2165+Supuestos!$C$15</x:f>
        <x:v>22</x:v>
      </x:c>
      <x:c r="I2165" s="14" t="n">
        <x:f>E2_plantas!J53+G2165</x:f>
        <x:v>46223</x:v>
      </x:c>
      <x:c r="J2165" s="2" t="str">
        <x:v>adulta</x:v>
      </x:c>
      <x:c r="K2165" s="2" t="n">
        <x:v>1</x:v>
      </x:c>
      <x:c r="L2165" s="2" t="n">
        <x:v>3</x:v>
      </x:c>
      <x:c r="M2165" s="2" t="n">
        <x:f>SUM(L$2144:L2165)</x:f>
        <x:v>22</x:v>
      </x:c>
      <x:c r="N2165" s="2" t="n">
        <x:v>0</x:v>
      </x:c>
      <x:c r="O2165" s="2" t="str">
        <x:v>seguimiento</x:v>
      </x:c>
      <x:c r="P2165" s="2" t="n">
        <x:v>0</x:v>
      </x:c>
      <x:c r="Q2165" s="2" t="str">
        <x:v>simulado_didactico</x:v>
      </x:c>
    </x:row>
    <x:row r="2166" ht="19" customHeight="1">
      <x:c r="A2166" s="2" t="str">
        <x:v>SIM-E2-MP-L8-R10</x:v>
      </x:c>
      <x:c r="B2166" s="2" t="n">
        <x:v>5</x:v>
      </x:c>
      <x:c r="C2166" s="2" t="str">
        <x:v>MP</x:v>
      </x:c>
      <x:c r="D2166" s="2" t="str">
        <x:v>Myzus persicae</x:v>
      </x:c>
      <x:c r="E2166" s="2" t="str">
        <x:v>L8</x:v>
      </x:c>
      <x:c r="F2166" s="2" t="n">
        <x:v>10</x:v>
      </x:c>
      <x:c r="G2166" s="2" t="n">
        <x:v>22</x:v>
      </x:c>
      <x:c r="H2166" s="2" t="n">
        <x:f>G2166+Supuestos!$C$15</x:f>
        <x:v>23</x:v>
      </x:c>
      <x:c r="I2166" s="14" t="n">
        <x:f>E2_plantas!J53+G2166</x:f>
        <x:v>46224</x:v>
      </x:c>
      <x:c r="J2166" s="2" t="str">
        <x:v>adulta</x:v>
      </x:c>
      <x:c r="K2166" s="2" t="n">
        <x:v>1</x:v>
      </x:c>
      <x:c r="L2166" s="2" t="n">
        <x:v>2</x:v>
      </x:c>
      <x:c r="M2166" s="2" t="n">
        <x:f>SUM(L$2144:L2166)</x:f>
        <x:v>24</x:v>
      </x:c>
      <x:c r="N2166" s="2" t="n">
        <x:v>0</x:v>
      </x:c>
      <x:c r="O2166" s="2" t="str">
        <x:v>seguimiento</x:v>
      </x:c>
      <x:c r="P2166" s="2" t="n">
        <x:v>0</x:v>
      </x:c>
      <x:c r="Q2166" s="2" t="str">
        <x:v>simulado_didactico</x:v>
      </x:c>
    </x:row>
    <x:row r="2167" ht="19" customHeight="1">
      <x:c r="A2167" s="2" t="str">
        <x:v>SIM-E2-MP-L8-R10</x:v>
      </x:c>
      <x:c r="B2167" s="2" t="n">
        <x:v>5</x:v>
      </x:c>
      <x:c r="C2167" s="2" t="str">
        <x:v>MP</x:v>
      </x:c>
      <x:c r="D2167" s="2" t="str">
        <x:v>Myzus persicae</x:v>
      </x:c>
      <x:c r="E2167" s="2" t="str">
        <x:v>L8</x:v>
      </x:c>
      <x:c r="F2167" s="2" t="n">
        <x:v>10</x:v>
      </x:c>
      <x:c r="G2167" s="2" t="n">
        <x:v>23</x:v>
      </x:c>
      <x:c r="H2167" s="2" t="n">
        <x:f>G2167+Supuestos!$C$15</x:f>
        <x:v>24</x:v>
      </x:c>
      <x:c r="I2167" s="14" t="n">
        <x:f>E2_plantas!J53+G2167</x:f>
        <x:v>46225</x:v>
      </x:c>
      <x:c r="J2167" s="2" t="str">
        <x:v>adulta</x:v>
      </x:c>
      <x:c r="K2167" s="2" t="n">
        <x:v>1</x:v>
      </x:c>
      <x:c r="L2167" s="2" t="n">
        <x:v>4</x:v>
      </x:c>
      <x:c r="M2167" s="2" t="n">
        <x:f>SUM(L$2144:L2167)</x:f>
        <x:v>28</x:v>
      </x:c>
      <x:c r="N2167" s="2" t="n">
        <x:v>0</x:v>
      </x:c>
      <x:c r="O2167" s="2" t="str">
        <x:v>seguimiento</x:v>
      </x:c>
      <x:c r="P2167" s="2" t="n">
        <x:v>0</x:v>
      </x:c>
      <x:c r="Q2167" s="2" t="str">
        <x:v>simulado_didactico</x:v>
      </x:c>
    </x:row>
    <x:row r="2168" ht="19" customHeight="1">
      <x:c r="A2168" s="2" t="str">
        <x:v>SIM-E2-MP-L8-R10</x:v>
      </x:c>
      <x:c r="B2168" s="2" t="n">
        <x:v>5</x:v>
      </x:c>
      <x:c r="C2168" s="2" t="str">
        <x:v>MP</x:v>
      </x:c>
      <x:c r="D2168" s="2" t="str">
        <x:v>Myzus persicae</x:v>
      </x:c>
      <x:c r="E2168" s="2" t="str">
        <x:v>L8</x:v>
      </x:c>
      <x:c r="F2168" s="2" t="n">
        <x:v>10</x:v>
      </x:c>
      <x:c r="G2168" s="2" t="n">
        <x:v>24</x:v>
      </x:c>
      <x:c r="H2168" s="2" t="n">
        <x:f>G2168+Supuestos!$C$15</x:f>
        <x:v>25</x:v>
      </x:c>
      <x:c r="I2168" s="14" t="n">
        <x:f>E2_plantas!J53+G2168</x:f>
        <x:v>46226</x:v>
      </x:c>
      <x:c r="J2168" s="2" t="str">
        <x:v>adulta</x:v>
      </x:c>
      <x:c r="K2168" s="2" t="n">
        <x:v>1</x:v>
      </x:c>
      <x:c r="L2168" s="2" t="n">
        <x:v>5</x:v>
      </x:c>
      <x:c r="M2168" s="2" t="n">
        <x:f>SUM(L$2144:L2168)</x:f>
        <x:v>33</x:v>
      </x:c>
      <x:c r="N2168" s="2" t="n">
        <x:v>0</x:v>
      </x:c>
      <x:c r="O2168" s="2" t="str">
        <x:v>seguimiento</x:v>
      </x:c>
      <x:c r="P2168" s="2" t="n">
        <x:v>0</x:v>
      </x:c>
      <x:c r="Q2168" s="2" t="str">
        <x:v>simulado_didactico</x:v>
      </x:c>
    </x:row>
    <x:row r="2169" ht="19" customHeight="1">
      <x:c r="A2169" s="2" t="str">
        <x:v>SIM-E2-MP-L8-R10</x:v>
      </x:c>
      <x:c r="B2169" s="2" t="n">
        <x:v>5</x:v>
      </x:c>
      <x:c r="C2169" s="2" t="str">
        <x:v>MP</x:v>
      </x:c>
      <x:c r="D2169" s="2" t="str">
        <x:v>Myzus persicae</x:v>
      </x:c>
      <x:c r="E2169" s="2" t="str">
        <x:v>L8</x:v>
      </x:c>
      <x:c r="F2169" s="2" t="n">
        <x:v>10</x:v>
      </x:c>
      <x:c r="G2169" s="2" t="n">
        <x:v>25</x:v>
      </x:c>
      <x:c r="H2169" s="2" t="n">
        <x:f>G2169+Supuestos!$C$15</x:f>
        <x:v>26</x:v>
      </x:c>
      <x:c r="I2169" s="14" t="n">
        <x:f>E2_plantas!J53+G2169</x:f>
        <x:v>46227</x:v>
      </x:c>
      <x:c r="J2169" s="2" t="str">
        <x:v>adulta</x:v>
      </x:c>
      <x:c r="K2169" s="2" t="n">
        <x:v>1</x:v>
      </x:c>
      <x:c r="L2169" s="2" t="n">
        <x:v>3</x:v>
      </x:c>
      <x:c r="M2169" s="2" t="n">
        <x:f>SUM(L$2144:L2169)</x:f>
        <x:v>36</x:v>
      </x:c>
      <x:c r="N2169" s="2" t="n">
        <x:v>0</x:v>
      </x:c>
      <x:c r="O2169" s="2" t="str">
        <x:v>seguimiento</x:v>
      </x:c>
      <x:c r="P2169" s="2" t="n">
        <x:v>0</x:v>
      </x:c>
      <x:c r="Q2169" s="2" t="str">
        <x:v>simulado_didactico</x:v>
      </x:c>
    </x:row>
    <x:row r="2170" ht="19" customHeight="1">
      <x:c r="A2170" s="2" t="str">
        <x:v>SIM-E2-MP-L8-R10</x:v>
      </x:c>
      <x:c r="B2170" s="2" t="n">
        <x:v>5</x:v>
      </x:c>
      <x:c r="C2170" s="2" t="str">
        <x:v>MP</x:v>
      </x:c>
      <x:c r="D2170" s="2" t="str">
        <x:v>Myzus persicae</x:v>
      </x:c>
      <x:c r="E2170" s="2" t="str">
        <x:v>L8</x:v>
      </x:c>
      <x:c r="F2170" s="2" t="n">
        <x:v>10</x:v>
      </x:c>
      <x:c r="G2170" s="2" t="n">
        <x:v>26</x:v>
      </x:c>
      <x:c r="H2170" s="2" t="n">
        <x:f>G2170+Supuestos!$C$15</x:f>
        <x:v>27</x:v>
      </x:c>
      <x:c r="I2170" s="14" t="n">
        <x:f>E2_plantas!J53+G2170</x:f>
        <x:v>46228</x:v>
      </x:c>
      <x:c r="J2170" s="2" t="str">
        <x:v>adulta</x:v>
      </x:c>
      <x:c r="K2170" s="2" t="n">
        <x:v>1</x:v>
      </x:c>
      <x:c r="L2170" s="2" t="n">
        <x:v>1</x:v>
      </x:c>
      <x:c r="M2170" s="2" t="n">
        <x:f>SUM(L$2144:L2170)</x:f>
        <x:v>37</x:v>
      </x:c>
      <x:c r="N2170" s="2" t="n">
        <x:v>0</x:v>
      </x:c>
      <x:c r="O2170" s="2" t="str">
        <x:v>seguimiento</x:v>
      </x:c>
      <x:c r="P2170" s="2" t="n">
        <x:v>0</x:v>
      </x:c>
      <x:c r="Q2170" s="2" t="str">
        <x:v>simulado_didactico</x:v>
      </x:c>
    </x:row>
    <x:row r="2171" ht="19" customHeight="1">
      <x:c r="A2171" s="2" t="str">
        <x:v>SIM-E2-MP-L8-R10</x:v>
      </x:c>
      <x:c r="B2171" s="2" t="n">
        <x:v>5</x:v>
      </x:c>
      <x:c r="C2171" s="2" t="str">
        <x:v>MP</x:v>
      </x:c>
      <x:c r="D2171" s="2" t="str">
        <x:v>Myzus persicae</x:v>
      </x:c>
      <x:c r="E2171" s="2" t="str">
        <x:v>L8</x:v>
      </x:c>
      <x:c r="F2171" s="2" t="n">
        <x:v>10</x:v>
      </x:c>
      <x:c r="G2171" s="2" t="n">
        <x:v>27</x:v>
      </x:c>
      <x:c r="H2171" s="2" t="n">
        <x:f>G2171+Supuestos!$C$15</x:f>
        <x:v>28</x:v>
      </x:c>
      <x:c r="I2171" s="14" t="n">
        <x:f>E2_plantas!J53+G2171</x:f>
        <x:v>46229</x:v>
      </x:c>
      <x:c r="J2171" s="2" t="str">
        <x:v>adulta</x:v>
      </x:c>
      <x:c r="K2171" s="2" t="n">
        <x:v>1</x:v>
      </x:c>
      <x:c r="L2171" s="2" t="n">
        <x:v>0</x:v>
      </x:c>
      <x:c r="M2171" s="2" t="n">
        <x:f>SUM(L$2144:L2171)</x:f>
        <x:v>37</x:v>
      </x:c>
      <x:c r="N2171" s="2" t="n">
        <x:v>0</x:v>
      </x:c>
      <x:c r="O2171" s="2" t="str">
        <x:v>seguimiento</x:v>
      </x:c>
      <x:c r="P2171" s="2" t="n">
        <x:v>0</x:v>
      </x:c>
      <x:c r="Q2171" s="2" t="str">
        <x:v>simulado_didactico</x:v>
      </x:c>
    </x:row>
    <x:row r="2172" ht="19" customHeight="1">
      <x:c r="A2172" s="2" t="str">
        <x:v>SIM-E2-MP-L8-R10</x:v>
      </x:c>
      <x:c r="B2172" s="2" t="n">
        <x:v>5</x:v>
      </x:c>
      <x:c r="C2172" s="2" t="str">
        <x:v>MP</x:v>
      </x:c>
      <x:c r="D2172" s="2" t="str">
        <x:v>Myzus persicae</x:v>
      </x:c>
      <x:c r="E2172" s="2" t="str">
        <x:v>L8</x:v>
      </x:c>
      <x:c r="F2172" s="2" t="n">
        <x:v>10</x:v>
      </x:c>
      <x:c r="G2172" s="2" t="n">
        <x:v>28</x:v>
      </x:c>
      <x:c r="H2172" s="2" t="n">
        <x:f>G2172+Supuestos!$C$15</x:f>
        <x:v>29</x:v>
      </x:c>
      <x:c r="I2172" s="14" t="n">
        <x:f>E2_plantas!J53+G2172</x:f>
        <x:v>46230</x:v>
      </x:c>
      <x:c r="J2172" s="2" t="str">
        <x:v>adulta</x:v>
      </x:c>
      <x:c r="K2172" s="2" t="n">
        <x:v>1</x:v>
      </x:c>
      <x:c r="L2172" s="2" t="n">
        <x:v>1</x:v>
      </x:c>
      <x:c r="M2172" s="2" t="n">
        <x:f>SUM(L$2144:L2172)</x:f>
        <x:v>38</x:v>
      </x:c>
      <x:c r="N2172" s="2" t="n">
        <x:v>0</x:v>
      </x:c>
      <x:c r="O2172" s="2" t="str">
        <x:v>seguimiento</x:v>
      </x:c>
      <x:c r="P2172" s="2" t="n">
        <x:v>0</x:v>
      </x:c>
      <x:c r="Q2172" s="2" t="str">
        <x:v>simulado_didactico</x:v>
      </x:c>
    </x:row>
    <x:row r="2173" ht="19" customHeight="1">
      <x:c r="A2173" s="2" t="str">
        <x:v>SIM-E2-MP-L8-R10</x:v>
      </x:c>
      <x:c r="B2173" s="2" t="n">
        <x:v>5</x:v>
      </x:c>
      <x:c r="C2173" s="2" t="str">
        <x:v>MP</x:v>
      </x:c>
      <x:c r="D2173" s="2" t="str">
        <x:v>Myzus persicae</x:v>
      </x:c>
      <x:c r="E2173" s="2" t="str">
        <x:v>L8</x:v>
      </x:c>
      <x:c r="F2173" s="2" t="n">
        <x:v>10</x:v>
      </x:c>
      <x:c r="G2173" s="2" t="n">
        <x:v>29</x:v>
      </x:c>
      <x:c r="H2173" s="2" t="n">
        <x:f>G2173+Supuestos!$C$15</x:f>
        <x:v>30</x:v>
      </x:c>
      <x:c r="I2173" s="14" t="n">
        <x:f>E2_plantas!J53+G2173</x:f>
        <x:v>46231</x:v>
      </x:c>
      <x:c r="J2173" s="2" t="str">
        <x:v>adulta</x:v>
      </x:c>
      <x:c r="K2173" s="2" t="n">
        <x:v>1</x:v>
      </x:c>
      <x:c r="L2173" s="2" t="n">
        <x:v>3</x:v>
      </x:c>
      <x:c r="M2173" s="2" t="n">
        <x:f>SUM(L$2144:L2173)</x:f>
        <x:v>41</x:v>
      </x:c>
      <x:c r="N2173" s="2" t="n">
        <x:v>0</x:v>
      </x:c>
      <x:c r="O2173" s="2" t="str">
        <x:v>seguimiento</x:v>
      </x:c>
      <x:c r="P2173" s="2" t="n">
        <x:v>0</x:v>
      </x:c>
      <x:c r="Q2173" s="2" t="str">
        <x:v>simulado_didactico</x:v>
      </x:c>
    </x:row>
    <x:row r="2174" ht="19" customHeight="1">
      <x:c r="A2174" s="2" t="str">
        <x:v>SIM-E2-MP-L8-R10</x:v>
      </x:c>
      <x:c r="B2174" s="2" t="n">
        <x:v>5</x:v>
      </x:c>
      <x:c r="C2174" s="2" t="str">
        <x:v>MP</x:v>
      </x:c>
      <x:c r="D2174" s="2" t="str">
        <x:v>Myzus persicae</x:v>
      </x:c>
      <x:c r="E2174" s="2" t="str">
        <x:v>L8</x:v>
      </x:c>
      <x:c r="F2174" s="2" t="n">
        <x:v>10</x:v>
      </x:c>
      <x:c r="G2174" s="2" t="n">
        <x:v>30</x:v>
      </x:c>
      <x:c r="H2174" s="2" t="n">
        <x:f>G2174+Supuestos!$C$15</x:f>
        <x:v>31</x:v>
      </x:c>
      <x:c r="I2174" s="14" t="n">
        <x:f>E2_plantas!J53+G2174</x:f>
        <x:v>46232</x:v>
      </x:c>
      <x:c r="J2174" s="2" t="str">
        <x:v>adulta</x:v>
      </x:c>
      <x:c r="K2174" s="2" t="n">
        <x:v>1</x:v>
      </x:c>
      <x:c r="L2174" s="2" t="n">
        <x:v>0</x:v>
      </x:c>
      <x:c r="M2174" s="2" t="n">
        <x:f>SUM(L$2144:L2174)</x:f>
        <x:v>41</x:v>
      </x:c>
      <x:c r="N2174" s="2" t="n">
        <x:v>0</x:v>
      </x:c>
      <x:c r="O2174" s="2" t="str">
        <x:v>seguimiento</x:v>
      </x:c>
      <x:c r="P2174" s="2" t="n">
        <x:v>0</x:v>
      </x:c>
      <x:c r="Q2174" s="2" t="str">
        <x:v>simulado_didactico</x:v>
      </x:c>
    </x:row>
    <x:row r="2175" ht="19" customHeight="1">
      <x:c r="A2175" s="2" t="str">
        <x:v>SIM-E2-MP-L8-R10</x:v>
      </x:c>
      <x:c r="B2175" s="2" t="n">
        <x:v>5</x:v>
      </x:c>
      <x:c r="C2175" s="2" t="str">
        <x:v>MP</x:v>
      </x:c>
      <x:c r="D2175" s="2" t="str">
        <x:v>Myzus persicae</x:v>
      </x:c>
      <x:c r="E2175" s="2" t="str">
        <x:v>L8</x:v>
      </x:c>
      <x:c r="F2175" s="2" t="n">
        <x:v>10</x:v>
      </x:c>
      <x:c r="G2175" s="2" t="n">
        <x:v>31</x:v>
      </x:c>
      <x:c r="H2175" s="2" t="n">
        <x:f>G2175+Supuestos!$C$15</x:f>
        <x:v>32</x:v>
      </x:c>
      <x:c r="I2175" s="14" t="n">
        <x:f>E2_plantas!J53+G2175</x:f>
        <x:v>46233</x:v>
      </x:c>
      <x:c r="J2175" s="2" t="str">
        <x:v>adulta</x:v>
      </x:c>
      <x:c r="K2175" s="2" t="n">
        <x:v>1</x:v>
      </x:c>
      <x:c r="L2175" s="2" t="n">
        <x:v>0</x:v>
      </x:c>
      <x:c r="M2175" s="2" t="n">
        <x:f>SUM(L$2144:L2175)</x:f>
        <x:v>41</x:v>
      </x:c>
      <x:c r="N2175" s="2" t="n">
        <x:v>0</x:v>
      </x:c>
      <x:c r="O2175" s="2" t="str">
        <x:v>seguimiento</x:v>
      </x:c>
      <x:c r="P2175" s="2" t="n">
        <x:v>0</x:v>
      </x:c>
      <x:c r="Q2175" s="2" t="str">
        <x:v>simulado_didactico</x:v>
      </x:c>
    </x:row>
    <x:row r="2176" ht="19" customHeight="1">
      <x:c r="A2176" s="2" t="str">
        <x:v>SIM-E2-MP-L8-R10</x:v>
      </x:c>
      <x:c r="B2176" s="2" t="n">
        <x:v>5</x:v>
      </x:c>
      <x:c r="C2176" s="2" t="str">
        <x:v>MP</x:v>
      </x:c>
      <x:c r="D2176" s="2" t="str">
        <x:v>Myzus persicae</x:v>
      </x:c>
      <x:c r="E2176" s="2" t="str">
        <x:v>L8</x:v>
      </x:c>
      <x:c r="F2176" s="2" t="n">
        <x:v>10</x:v>
      </x:c>
      <x:c r="G2176" s="2" t="n">
        <x:v>32</x:v>
      </x:c>
      <x:c r="H2176" s="2" t="n">
        <x:f>G2176+Supuestos!$C$15</x:f>
        <x:v>33</x:v>
      </x:c>
      <x:c r="I2176" s="14" t="n">
        <x:f>E2_plantas!J53+G2176</x:f>
        <x:v>46234</x:v>
      </x:c>
      <x:c r="J2176" s="2" t="str">
        <x:v>adulta</x:v>
      </x:c>
      <x:c r="K2176" s="2" t="n">
        <x:v>1</x:v>
      </x:c>
      <x:c r="L2176" s="2" t="n">
        <x:v>0</x:v>
      </x:c>
      <x:c r="M2176" s="2" t="n">
        <x:f>SUM(L$2144:L2176)</x:f>
        <x:v>41</x:v>
      </x:c>
      <x:c r="N2176" s="2" t="n">
        <x:v>0</x:v>
      </x:c>
      <x:c r="O2176" s="2" t="str">
        <x:v>seguimiento</x:v>
      </x:c>
      <x:c r="P2176" s="2" t="n">
        <x:v>0</x:v>
      </x:c>
      <x:c r="Q2176" s="2" t="str">
        <x:v>simulado_didactico</x:v>
      </x:c>
    </x:row>
    <x:row r="2177" ht="19" customHeight="1">
      <x:c r="A2177" s="2" t="str">
        <x:v>SIM-E2-MP-L8-R10</x:v>
      </x:c>
      <x:c r="B2177" s="2" t="n">
        <x:v>5</x:v>
      </x:c>
      <x:c r="C2177" s="2" t="str">
        <x:v>MP</x:v>
      </x:c>
      <x:c r="D2177" s="2" t="str">
        <x:v>Myzus persicae</x:v>
      </x:c>
      <x:c r="E2177" s="2" t="str">
        <x:v>L8</x:v>
      </x:c>
      <x:c r="F2177" s="2" t="n">
        <x:v>10</x:v>
      </x:c>
      <x:c r="G2177" s="2" t="n">
        <x:v>33</x:v>
      </x:c>
      <x:c r="H2177" s="2" t="n">
        <x:f>G2177+Supuestos!$C$15</x:f>
        <x:v>34</x:v>
      </x:c>
      <x:c r="I2177" s="14" t="n">
        <x:f>E2_plantas!J53+G2177</x:f>
        <x:v>46235</x:v>
      </x:c>
      <x:c r="J2177" s="2" t="str">
        <x:v>muerta</x:v>
      </x:c>
      <x:c r="K2177" s="2" t="n">
        <x:v>0</x:v>
      </x:c>
      <x:c r="L2177" s="2" t="n">
        <x:v>0</x:v>
      </x:c>
      <x:c r="M2177" s="2" t="n">
        <x:f>SUM(L$2144:L2177)</x:f>
        <x:v>41</x:v>
      </x:c>
      <x:c r="N2177" s="2" t="n">
        <x:v>1</x:v>
      </x:c>
      <x:c r="O2177" s="2" t="str">
        <x:v>muerte</x:v>
      </x:c>
      <x:c r="P2177" s="2" t="n">
        <x:v>0</x:v>
      </x:c>
      <x:c r="Q2177" s="2" t="str">
        <x:v>simulado_didactico</x:v>
      </x:c>
    </x:row>
    <x:row r="2178" ht="19" customHeight="1">
      <x:c r="A2178" s="2" t="str">
        <x:v>SIM-E2-MP-L8-R10</x:v>
      </x:c>
      <x:c r="B2178" s="2" t="n">
        <x:v>5</x:v>
      </x:c>
      <x:c r="C2178" s="2" t="str">
        <x:v>MP</x:v>
      </x:c>
      <x:c r="D2178" s="2" t="str">
        <x:v>Myzus persicae</x:v>
      </x:c>
      <x:c r="E2178" s="2" t="str">
        <x:v>L8</x:v>
      </x:c>
      <x:c r="F2178" s="2" t="n">
        <x:v>10</x:v>
      </x:c>
      <x:c r="G2178" s="2" t="n">
        <x:v>34</x:v>
      </x:c>
      <x:c r="H2178" s="2" t="n">
        <x:f>G2178+Supuestos!$C$15</x:f>
        <x:v>35</x:v>
      </x:c>
      <x:c r="I2178" s="14" t="n">
        <x:f>E2_plantas!J53+G2178</x:f>
        <x:v>46236</x:v>
      </x:c>
      <x:c r="J2178" s="2" t="str">
        <x:v>muerta</x:v>
      </x:c>
      <x:c r="K2178" s="2" t="n">
        <x:v>0</x:v>
      </x:c>
      <x:c r="L2178" s="2" t="n">
        <x:v>0</x:v>
      </x:c>
      <x:c r="M2178" s="2" t="n">
        <x:f>SUM(L$2144:L2178)</x:f>
        <x:v>41</x:v>
      </x:c>
      <x:c r="N2178" s="2" t="n">
        <x:v>0</x:v>
      </x:c>
      <x:c r="O2178" s="2" t="str">
        <x:v>relleno_postmuerte</x:v>
      </x:c>
      <x:c r="P2178" s="2" t="n">
        <x:v>0</x:v>
      </x:c>
      <x:c r="Q2178" s="2" t="str">
        <x:v>simulado_didactico</x:v>
      </x:c>
    </x:row>
    <x:row r="2179" ht="19" customHeight="1">
      <x:c r="A2179" s="2" t="str">
        <x:v>SIM-E2-MP-L8-R10</x:v>
      </x:c>
      <x:c r="B2179" s="2" t="n">
        <x:v>5</x:v>
      </x:c>
      <x:c r="C2179" s="2" t="str">
        <x:v>MP</x:v>
      </x:c>
      <x:c r="D2179" s="2" t="str">
        <x:v>Myzus persicae</x:v>
      </x:c>
      <x:c r="E2179" s="2" t="str">
        <x:v>L8</x:v>
      </x:c>
      <x:c r="F2179" s="2" t="n">
        <x:v>10</x:v>
      </x:c>
      <x:c r="G2179" s="2" t="n">
        <x:v>35</x:v>
      </x:c>
      <x:c r="H2179" s="2" t="n">
        <x:f>G2179+Supuestos!$C$15</x:f>
        <x:v>36</x:v>
      </x:c>
      <x:c r="I2179" s="14" t="n">
        <x:f>E2_plantas!J53+G2179</x:f>
        <x:v>46237</x:v>
      </x:c>
      <x:c r="J2179" s="2" t="str">
        <x:v>muerta</x:v>
      </x:c>
      <x:c r="K2179" s="2" t="n">
        <x:v>0</x:v>
      </x:c>
      <x:c r="L2179" s="2" t="n">
        <x:v>0</x:v>
      </x:c>
      <x:c r="M2179" s="2" t="n">
        <x:f>SUM(L$2144:L2179)</x:f>
        <x:v>41</x:v>
      </x:c>
      <x:c r="N2179" s="2" t="n">
        <x:v>0</x:v>
      </x:c>
      <x:c r="O2179" s="2" t="str">
        <x:v>relleno_postmuerte</x:v>
      </x:c>
      <x:c r="P2179" s="2" t="n">
        <x:v>0</x:v>
      </x:c>
      <x:c r="Q2179" s="2" t="str">
        <x:v>simulado_didactico</x:v>
      </x:c>
    </x:row>
    <x:row r="2180" ht="19" customHeight="1">
      <x:c r="A2180" s="2" t="str">
        <x:v>SIM-E2-MP-L8-R10</x:v>
      </x:c>
      <x:c r="B2180" s="2" t="n">
        <x:v>5</x:v>
      </x:c>
      <x:c r="C2180" s="2" t="str">
        <x:v>MP</x:v>
      </x:c>
      <x:c r="D2180" s="2" t="str">
        <x:v>Myzus persicae</x:v>
      </x:c>
      <x:c r="E2180" s="2" t="str">
        <x:v>L8</x:v>
      </x:c>
      <x:c r="F2180" s="2" t="n">
        <x:v>10</x:v>
      </x:c>
      <x:c r="G2180" s="2" t="n">
        <x:v>36</x:v>
      </x:c>
      <x:c r="H2180" s="2" t="n">
        <x:f>G2180+Supuestos!$C$15</x:f>
        <x:v>37</x:v>
      </x:c>
      <x:c r="I2180" s="14" t="n">
        <x:f>E2_plantas!J53+G2180</x:f>
        <x:v>46238</x:v>
      </x:c>
      <x:c r="J2180" s="2" t="str">
        <x:v>muerta</x:v>
      </x:c>
      <x:c r="K2180" s="2" t="n">
        <x:v>0</x:v>
      </x:c>
      <x:c r="L2180" s="2" t="n">
        <x:v>0</x:v>
      </x:c>
      <x:c r="M2180" s="2" t="n">
        <x:f>SUM(L$2144:L2180)</x:f>
        <x:v>41</x:v>
      </x:c>
      <x:c r="N2180" s="2" t="n">
        <x:v>0</x:v>
      </x:c>
      <x:c r="O2180" s="2" t="str">
        <x:v>relleno_postmuerte</x:v>
      </x:c>
      <x:c r="P2180" s="2" t="n">
        <x:v>0</x:v>
      </x:c>
      <x:c r="Q2180" s="2" t="str">
        <x:v>simulado_didactico</x:v>
      </x:c>
    </x:row>
    <x:row r="2181" ht="19" customHeight="1">
      <x:c r="A2181" s="2" t="str">
        <x:v>SIM-E2-MP-L8-R10</x:v>
      </x:c>
      <x:c r="B2181" s="2" t="n">
        <x:v>5</x:v>
      </x:c>
      <x:c r="C2181" s="2" t="str">
        <x:v>MP</x:v>
      </x:c>
      <x:c r="D2181" s="2" t="str">
        <x:v>Myzus persicae</x:v>
      </x:c>
      <x:c r="E2181" s="2" t="str">
        <x:v>L8</x:v>
      </x:c>
      <x:c r="F2181" s="2" t="n">
        <x:v>10</x:v>
      </x:c>
      <x:c r="G2181" s="2" t="n">
        <x:v>37</x:v>
      </x:c>
      <x:c r="H2181" s="2" t="n">
        <x:f>G2181+Supuestos!$C$15</x:f>
        <x:v>38</x:v>
      </x:c>
      <x:c r="I2181" s="14" t="n">
        <x:f>E2_plantas!J53+G2181</x:f>
        <x:v>46239</x:v>
      </x:c>
      <x:c r="J2181" s="2" t="str">
        <x:v>muerta</x:v>
      </x:c>
      <x:c r="K2181" s="2" t="n">
        <x:v>0</x:v>
      </x:c>
      <x:c r="L2181" s="2" t="n">
        <x:v>0</x:v>
      </x:c>
      <x:c r="M2181" s="2" t="n">
        <x:f>SUM(L$2144:L2181)</x:f>
        <x:v>41</x:v>
      </x:c>
      <x:c r="N2181" s="2" t="n">
        <x:v>0</x:v>
      </x:c>
      <x:c r="O2181" s="2" t="str">
        <x:v>relleno_postmuerte</x:v>
      </x:c>
      <x:c r="P2181" s="2" t="n">
        <x:v>0</x:v>
      </x:c>
      <x:c r="Q2181" s="2" t="str">
        <x:v>simulado_didactico</x:v>
      </x:c>
    </x:row>
    <x:row r="2182" ht="19" customHeight="1">
      <x:c r="A2182" s="2" t="str">
        <x:v>SIM-E2-MP-L8-R10</x:v>
      </x:c>
      <x:c r="B2182" s="2" t="n">
        <x:v>5</x:v>
      </x:c>
      <x:c r="C2182" s="2" t="str">
        <x:v>MP</x:v>
      </x:c>
      <x:c r="D2182" s="2" t="str">
        <x:v>Myzus persicae</x:v>
      </x:c>
      <x:c r="E2182" s="2" t="str">
        <x:v>L8</x:v>
      </x:c>
      <x:c r="F2182" s="2" t="n">
        <x:v>10</x:v>
      </x:c>
      <x:c r="G2182" s="2" t="n">
        <x:v>38</x:v>
      </x:c>
      <x:c r="H2182" s="2" t="n">
        <x:f>G2182+Supuestos!$C$15</x:f>
        <x:v>39</x:v>
      </x:c>
      <x:c r="I2182" s="14" t="n">
        <x:f>E2_plantas!J53+G2182</x:f>
        <x:v>46240</x:v>
      </x:c>
      <x:c r="J2182" s="2" t="str">
        <x:v>muerta</x:v>
      </x:c>
      <x:c r="K2182" s="2" t="n">
        <x:v>0</x:v>
      </x:c>
      <x:c r="L2182" s="2" t="n">
        <x:v>0</x:v>
      </x:c>
      <x:c r="M2182" s="2" t="n">
        <x:f>SUM(L$2144:L2182)</x:f>
        <x:v>41</x:v>
      </x:c>
      <x:c r="N2182" s="2" t="n">
        <x:v>0</x:v>
      </x:c>
      <x:c r="O2182" s="2" t="str">
        <x:v>relleno_postmuerte</x:v>
      </x:c>
      <x:c r="P2182" s="2" t="n">
        <x:v>0</x:v>
      </x:c>
      <x:c r="Q2182" s="2" t="str">
        <x:v>simulado_didactico</x:v>
      </x:c>
    </x:row>
    <x:row r="2183" ht="19" customHeight="1">
      <x:c r="A2183" s="2" t="str">
        <x:v>SIM-E2-MP-L8-R10</x:v>
      </x:c>
      <x:c r="B2183" s="2" t="n">
        <x:v>5</x:v>
      </x:c>
      <x:c r="C2183" s="2" t="str">
        <x:v>MP</x:v>
      </x:c>
      <x:c r="D2183" s="2" t="str">
        <x:v>Myzus persicae</x:v>
      </x:c>
      <x:c r="E2183" s="2" t="str">
        <x:v>L8</x:v>
      </x:c>
      <x:c r="F2183" s="2" t="n">
        <x:v>10</x:v>
      </x:c>
      <x:c r="G2183" s="2" t="n">
        <x:v>39</x:v>
      </x:c>
      <x:c r="H2183" s="2" t="n">
        <x:f>G2183+Supuestos!$C$15</x:f>
        <x:v>40</x:v>
      </x:c>
      <x:c r="I2183" s="14" t="n">
        <x:f>E2_plantas!J53+G2183</x:f>
        <x:v>46241</x:v>
      </x:c>
      <x:c r="J2183" s="2" t="str">
        <x:v>muerta</x:v>
      </x:c>
      <x:c r="K2183" s="2" t="n">
        <x:v>0</x:v>
      </x:c>
      <x:c r="L2183" s="2" t="n">
        <x:v>0</x:v>
      </x:c>
      <x:c r="M2183" s="2" t="n">
        <x:f>SUM(L$2144:L2183)</x:f>
        <x:v>41</x:v>
      </x:c>
      <x:c r="N2183" s="2" t="n">
        <x:v>0</x:v>
      </x:c>
      <x:c r="O2183" s="2" t="str">
        <x:v>relleno_postmuerte</x:v>
      </x:c>
      <x:c r="P2183" s="2" t="n">
        <x:v>0</x:v>
      </x:c>
      <x:c r="Q2183" s="2" t="str">
        <x:v>simulado_didactico</x:v>
      </x:c>
    </x:row>
    <x:row r="2184" ht="19" customHeight="1">
      <x:c r="A2184" s="2" t="str">
        <x:v>SIM-E2-MP-L8-R10</x:v>
      </x:c>
      <x:c r="B2184" s="2" t="n">
        <x:v>5</x:v>
      </x:c>
      <x:c r="C2184" s="2" t="str">
        <x:v>MP</x:v>
      </x:c>
      <x:c r="D2184" s="2" t="str">
        <x:v>Myzus persicae</x:v>
      </x:c>
      <x:c r="E2184" s="2" t="str">
        <x:v>L8</x:v>
      </x:c>
      <x:c r="F2184" s="2" t="n">
        <x:v>10</x:v>
      </x:c>
      <x:c r="G2184" s="2" t="n">
        <x:v>40</x:v>
      </x:c>
      <x:c r="H2184" s="2" t="n">
        <x:f>G2184+Supuestos!$C$15</x:f>
        <x:v>41</x:v>
      </x:c>
      <x:c r="I2184" s="14" t="n">
        <x:f>E2_plantas!J53+G2184</x:f>
        <x:v>46242</x:v>
      </x:c>
      <x:c r="J2184" s="2" t="str">
        <x:v>muerta</x:v>
      </x:c>
      <x:c r="K2184" s="2" t="n">
        <x:v>0</x:v>
      </x:c>
      <x:c r="L2184" s="2" t="n">
        <x:v>0</x:v>
      </x:c>
      <x:c r="M2184" s="2" t="n">
        <x:f>SUM(L$2144:L2184)</x:f>
        <x:v>41</x:v>
      </x:c>
      <x:c r="N2184" s="2" t="n">
        <x:v>0</x:v>
      </x:c>
      <x:c r="O2184" s="2" t="str">
        <x:v>relleno_postmuerte</x:v>
      </x:c>
      <x:c r="P2184" s="2" t="n">
        <x:v>0</x:v>
      </x:c>
      <x:c r="Q2184" s="2" t="str">
        <x:v>simulado_didactico</x:v>
      </x:c>
    </x:row>
    <x:row r="2185" ht="19" customHeight="1">
      <x:c r="A2185" s="2" t="str">
        <x:v>SIM-E2-MP-L8-R10</x:v>
      </x:c>
      <x:c r="B2185" s="2" t="n">
        <x:v>5</x:v>
      </x:c>
      <x:c r="C2185" s="2" t="str">
        <x:v>MP</x:v>
      </x:c>
      <x:c r="D2185" s="2" t="str">
        <x:v>Myzus persicae</x:v>
      </x:c>
      <x:c r="E2185" s="2" t="str">
        <x:v>L8</x:v>
      </x:c>
      <x:c r="F2185" s="2" t="n">
        <x:v>10</x:v>
      </x:c>
      <x:c r="G2185" s="2" t="n">
        <x:v>41</x:v>
      </x:c>
      <x:c r="H2185" s="2" t="n">
        <x:f>G2185+Supuestos!$C$15</x:f>
        <x:v>42</x:v>
      </x:c>
      <x:c r="I2185" s="14" t="n">
        <x:f>E2_plantas!J53+G2185</x:f>
        <x:v>46243</x:v>
      </x:c>
      <x:c r="J2185" s="2" t="str">
        <x:v>muerta</x:v>
      </x:c>
      <x:c r="K2185" s="2" t="n">
        <x:v>0</x:v>
      </x:c>
      <x:c r="L2185" s="2" t="n">
        <x:v>0</x:v>
      </x:c>
      <x:c r="M2185" s="2" t="n">
        <x:f>SUM(L$2144:L2185)</x:f>
        <x:v>41</x:v>
      </x:c>
      <x:c r="N2185" s="2" t="n">
        <x:v>0</x:v>
      </x:c>
      <x:c r="O2185" s="2" t="str">
        <x:v>relleno_postmuerte</x:v>
      </x:c>
      <x:c r="P2185" s="2" t="n">
        <x:v>0</x:v>
      </x:c>
      <x:c r="Q2185" s="2" t="str">
        <x:v>simulado_didactico</x:v>
      </x:c>
    </x:row>
    <x:row r="2186" ht="19" customHeight="1">
      <x:c r="A2186" s="2" t="str">
        <x:v>SIM-E2-MP-L7-R09</x:v>
      </x:c>
      <x:c r="B2186" s="2" t="n">
        <x:v>5</x:v>
      </x:c>
      <x:c r="C2186" s="2" t="str">
        <x:v>MP</x:v>
      </x:c>
      <x:c r="D2186" s="2" t="str">
        <x:v>Myzus persicae</x:v>
      </x:c>
      <x:c r="E2186" s="2" t="str">
        <x:v>L7</x:v>
      </x:c>
      <x:c r="F2186" s="2" t="n">
        <x:v>9</x:v>
      </x:c>
      <x:c r="G2186" s="2" t="n">
        <x:v>0</x:v>
      </x:c>
      <x:c r="H2186" s="2" t="n">
        <x:f>G2186+Supuestos!$C$15</x:f>
        <x:v>1</x:v>
      </x:c>
      <x:c r="I2186" s="14" t="n">
        <x:f>E2_plantas!J54+G2186</x:f>
        <x:v>46202</x:v>
      </x:c>
      <x:c r="J2186" s="2" t="str">
        <x:v>N1</x:v>
      </x:c>
      <x:c r="K2186" s="2" t="n">
        <x:v>1</x:v>
      </x:c>
      <x:c r="L2186" s="2" t="n">
        <x:v>0</x:v>
      </x:c>
      <x:c r="M2186" s="2" t="n">
        <x:f>SUM(L$2186:L2186)</x:f>
        <x:v>0</x:v>
      </x:c>
      <x:c r="N2186" s="2" t="n">
        <x:v>0</x:v>
      </x:c>
      <x:c r="O2186" s="2" t="str">
        <x:v>seguimiento</x:v>
      </x:c>
      <x:c r="P2186" s="2" t="n">
        <x:v>0</x:v>
      </x:c>
      <x:c r="Q2186" s="2" t="str">
        <x:v>simulado_didactico</x:v>
      </x:c>
    </x:row>
    <x:row r="2187" ht="19" customHeight="1">
      <x:c r="A2187" s="2" t="str">
        <x:v>SIM-E2-MP-L7-R09</x:v>
      </x:c>
      <x:c r="B2187" s="2" t="n">
        <x:v>5</x:v>
      </x:c>
      <x:c r="C2187" s="2" t="str">
        <x:v>MP</x:v>
      </x:c>
      <x:c r="D2187" s="2" t="str">
        <x:v>Myzus persicae</x:v>
      </x:c>
      <x:c r="E2187" s="2" t="str">
        <x:v>L7</x:v>
      </x:c>
      <x:c r="F2187" s="2" t="n">
        <x:v>9</x:v>
      </x:c>
      <x:c r="G2187" s="2" t="n">
        <x:v>1</x:v>
      </x:c>
      <x:c r="H2187" s="2" t="n">
        <x:f>G2187+Supuestos!$C$15</x:f>
        <x:v>2</x:v>
      </x:c>
      <x:c r="I2187" s="14" t="n">
        <x:f>E2_plantas!J54+G2187</x:f>
        <x:v>46203</x:v>
      </x:c>
      <x:c r="J2187" s="2" t="str">
        <x:v>N2</x:v>
      </x:c>
      <x:c r="K2187" s="2" t="n">
        <x:v>1</x:v>
      </x:c>
      <x:c r="L2187" s="2" t="n">
        <x:v>0</x:v>
      </x:c>
      <x:c r="M2187" s="2" t="n">
        <x:f>SUM(L$2186:L2187)</x:f>
        <x:v>0</x:v>
      </x:c>
      <x:c r="N2187" s="2" t="n">
        <x:v>0</x:v>
      </x:c>
      <x:c r="O2187" s="2" t="str">
        <x:v>seguimiento</x:v>
      </x:c>
      <x:c r="P2187" s="2" t="n">
        <x:v>0</x:v>
      </x:c>
      <x:c r="Q2187" s="2" t="str">
        <x:v>simulado_didactico</x:v>
      </x:c>
    </x:row>
    <x:row r="2188" ht="19" customHeight="1">
      <x:c r="A2188" s="2" t="str">
        <x:v>SIM-E2-MP-L7-R09</x:v>
      </x:c>
      <x:c r="B2188" s="2" t="n">
        <x:v>5</x:v>
      </x:c>
      <x:c r="C2188" s="2" t="str">
        <x:v>MP</x:v>
      </x:c>
      <x:c r="D2188" s="2" t="str">
        <x:v>Myzus persicae</x:v>
      </x:c>
      <x:c r="E2188" s="2" t="str">
        <x:v>L7</x:v>
      </x:c>
      <x:c r="F2188" s="2" t="n">
        <x:v>9</x:v>
      </x:c>
      <x:c r="G2188" s="2" t="n">
        <x:v>2</x:v>
      </x:c>
      <x:c r="H2188" s="2" t="n">
        <x:f>G2188+Supuestos!$C$15</x:f>
        <x:v>3</x:v>
      </x:c>
      <x:c r="I2188" s="14" t="n">
        <x:f>E2_plantas!J54+G2188</x:f>
        <x:v>46204</x:v>
      </x:c>
      <x:c r="J2188" s="2" t="str">
        <x:v>N2</x:v>
      </x:c>
      <x:c r="K2188" s="2" t="n">
        <x:v>1</x:v>
      </x:c>
      <x:c r="L2188" s="2" t="n">
        <x:v>0</x:v>
      </x:c>
      <x:c r="M2188" s="2" t="n">
        <x:f>SUM(L$2186:L2188)</x:f>
        <x:v>0</x:v>
      </x:c>
      <x:c r="N2188" s="2" t="n">
        <x:v>0</x:v>
      </x:c>
      <x:c r="O2188" s="2" t="str">
        <x:v>seguimiento</x:v>
      </x:c>
      <x:c r="P2188" s="2" t="n">
        <x:v>0</x:v>
      </x:c>
      <x:c r="Q2188" s="2" t="str">
        <x:v>simulado_didactico</x:v>
      </x:c>
    </x:row>
    <x:row r="2189" ht="19" customHeight="1">
      <x:c r="A2189" s="2" t="str">
        <x:v>SIM-E2-MP-L7-R09</x:v>
      </x:c>
      <x:c r="B2189" s="2" t="n">
        <x:v>5</x:v>
      </x:c>
      <x:c r="C2189" s="2" t="str">
        <x:v>MP</x:v>
      </x:c>
      <x:c r="D2189" s="2" t="str">
        <x:v>Myzus persicae</x:v>
      </x:c>
      <x:c r="E2189" s="2" t="str">
        <x:v>L7</x:v>
      </x:c>
      <x:c r="F2189" s="2" t="n">
        <x:v>9</x:v>
      </x:c>
      <x:c r="G2189" s="2" t="n">
        <x:v>3</x:v>
      </x:c>
      <x:c r="H2189" s="2" t="n">
        <x:f>G2189+Supuestos!$C$15</x:f>
        <x:v>4</x:v>
      </x:c>
      <x:c r="I2189" s="14" t="n">
        <x:f>E2_plantas!J54+G2189</x:f>
        <x:v>46205</x:v>
      </x:c>
      <x:c r="J2189" s="2" t="str">
        <x:v>N2</x:v>
      </x:c>
      <x:c r="K2189" s="2" t="n">
        <x:v>1</x:v>
      </x:c>
      <x:c r="L2189" s="2" t="n">
        <x:v>0</x:v>
      </x:c>
      <x:c r="M2189" s="2" t="n">
        <x:f>SUM(L$2186:L2189)</x:f>
        <x:v>0</x:v>
      </x:c>
      <x:c r="N2189" s="2" t="n">
        <x:v>0</x:v>
      </x:c>
      <x:c r="O2189" s="2" t="str">
        <x:v>seguimiento</x:v>
      </x:c>
      <x:c r="P2189" s="2" t="n">
        <x:v>0</x:v>
      </x:c>
      <x:c r="Q2189" s="2" t="str">
        <x:v>simulado_didactico</x:v>
      </x:c>
    </x:row>
    <x:row r="2190" ht="19" customHeight="1">
      <x:c r="A2190" s="2" t="str">
        <x:v>SIM-E2-MP-L7-R09</x:v>
      </x:c>
      <x:c r="B2190" s="2" t="n">
        <x:v>5</x:v>
      </x:c>
      <x:c r="C2190" s="2" t="str">
        <x:v>MP</x:v>
      </x:c>
      <x:c r="D2190" s="2" t="str">
        <x:v>Myzus persicae</x:v>
      </x:c>
      <x:c r="E2190" s="2" t="str">
        <x:v>L7</x:v>
      </x:c>
      <x:c r="F2190" s="2" t="n">
        <x:v>9</x:v>
      </x:c>
      <x:c r="G2190" s="2" t="n">
        <x:v>4</x:v>
      </x:c>
      <x:c r="H2190" s="2" t="n">
        <x:f>G2190+Supuestos!$C$15</x:f>
        <x:v>5</x:v>
      </x:c>
      <x:c r="I2190" s="14" t="n">
        <x:f>E2_plantas!J54+G2190</x:f>
        <x:v>46206</x:v>
      </x:c>
      <x:c r="J2190" s="2" t="str">
        <x:v>N2</x:v>
      </x:c>
      <x:c r="K2190" s="2" t="n">
        <x:v>1</x:v>
      </x:c>
      <x:c r="L2190" s="2" t="n">
        <x:v>0</x:v>
      </x:c>
      <x:c r="M2190" s="2" t="n">
        <x:f>SUM(L$2186:L2190)</x:f>
        <x:v>0</x:v>
      </x:c>
      <x:c r="N2190" s="2" t="n">
        <x:v>0</x:v>
      </x:c>
      <x:c r="O2190" s="2" t="str">
        <x:v>seguimiento</x:v>
      </x:c>
      <x:c r="P2190" s="2" t="n">
        <x:v>0</x:v>
      </x:c>
      <x:c r="Q2190" s="2" t="str">
        <x:v>simulado_didactico</x:v>
      </x:c>
    </x:row>
    <x:row r="2191" ht="19" customHeight="1">
      <x:c r="A2191" s="2" t="str">
        <x:v>SIM-E2-MP-L7-R09</x:v>
      </x:c>
      <x:c r="B2191" s="2" t="n">
        <x:v>5</x:v>
      </x:c>
      <x:c r="C2191" s="2" t="str">
        <x:v>MP</x:v>
      </x:c>
      <x:c r="D2191" s="2" t="str">
        <x:v>Myzus persicae</x:v>
      </x:c>
      <x:c r="E2191" s="2" t="str">
        <x:v>L7</x:v>
      </x:c>
      <x:c r="F2191" s="2" t="n">
        <x:v>9</x:v>
      </x:c>
      <x:c r="G2191" s="2" t="n">
        <x:v>5</x:v>
      </x:c>
      <x:c r="H2191" s="2" t="n">
        <x:f>G2191+Supuestos!$C$15</x:f>
        <x:v>6</x:v>
      </x:c>
      <x:c r="I2191" s="14" t="n">
        <x:f>E2_plantas!J54+G2191</x:f>
        <x:v>46207</x:v>
      </x:c>
      <x:c r="J2191" s="2" t="str">
        <x:v>N2</x:v>
      </x:c>
      <x:c r="K2191" s="2" t="n">
        <x:v>1</x:v>
      </x:c>
      <x:c r="L2191" s="2" t="n">
        <x:v>0</x:v>
      </x:c>
      <x:c r="M2191" s="2" t="n">
        <x:f>SUM(L$2186:L2191)</x:f>
        <x:v>0</x:v>
      </x:c>
      <x:c r="N2191" s="2" t="n">
        <x:v>0</x:v>
      </x:c>
      <x:c r="O2191" s="2" t="str">
        <x:v>seguimiento</x:v>
      </x:c>
      <x:c r="P2191" s="2" t="n">
        <x:v>0</x:v>
      </x:c>
      <x:c r="Q2191" s="2" t="str">
        <x:v>simulado_didactico</x:v>
      </x:c>
    </x:row>
    <x:row r="2192" ht="19" customHeight="1">
      <x:c r="A2192" s="2" t="str">
        <x:v>SIM-E2-MP-L7-R09</x:v>
      </x:c>
      <x:c r="B2192" s="2" t="n">
        <x:v>5</x:v>
      </x:c>
      <x:c r="C2192" s="2" t="str">
        <x:v>MP</x:v>
      </x:c>
      <x:c r="D2192" s="2" t="str">
        <x:v>Myzus persicae</x:v>
      </x:c>
      <x:c r="E2192" s="2" t="str">
        <x:v>L7</x:v>
      </x:c>
      <x:c r="F2192" s="2" t="n">
        <x:v>9</x:v>
      </x:c>
      <x:c r="G2192" s="2" t="n">
        <x:v>6</x:v>
      </x:c>
      <x:c r="H2192" s="2" t="n">
        <x:f>G2192+Supuestos!$C$15</x:f>
        <x:v>7</x:v>
      </x:c>
      <x:c r="I2192" s="14" t="n">
        <x:f>E2_plantas!J54+G2192</x:f>
        <x:v>46208</x:v>
      </x:c>
      <x:c r="J2192" s="2" t="str">
        <x:v>N3</x:v>
      </x:c>
      <x:c r="K2192" s="2" t="n">
        <x:v>1</x:v>
      </x:c>
      <x:c r="L2192" s="2" t="n">
        <x:v>0</x:v>
      </x:c>
      <x:c r="M2192" s="2" t="n">
        <x:f>SUM(L$2186:L2192)</x:f>
        <x:v>0</x:v>
      </x:c>
      <x:c r="N2192" s="2" t="n">
        <x:v>0</x:v>
      </x:c>
      <x:c r="O2192" s="2" t="str">
        <x:v>seguimiento</x:v>
      </x:c>
      <x:c r="P2192" s="2" t="n">
        <x:v>0</x:v>
      </x:c>
      <x:c r="Q2192" s="2" t="str">
        <x:v>simulado_didactico</x:v>
      </x:c>
    </x:row>
    <x:row r="2193" ht="19" customHeight="1">
      <x:c r="A2193" s="2" t="str">
        <x:v>SIM-E2-MP-L7-R09</x:v>
      </x:c>
      <x:c r="B2193" s="2" t="n">
        <x:v>5</x:v>
      </x:c>
      <x:c r="C2193" s="2" t="str">
        <x:v>MP</x:v>
      </x:c>
      <x:c r="D2193" s="2" t="str">
        <x:v>Myzus persicae</x:v>
      </x:c>
      <x:c r="E2193" s="2" t="str">
        <x:v>L7</x:v>
      </x:c>
      <x:c r="F2193" s="2" t="n">
        <x:v>9</x:v>
      </x:c>
      <x:c r="G2193" s="2" t="n">
        <x:v>7</x:v>
      </x:c>
      <x:c r="H2193" s="2" t="n">
        <x:f>G2193+Supuestos!$C$15</x:f>
        <x:v>8</x:v>
      </x:c>
      <x:c r="I2193" s="14" t="n">
        <x:f>E2_plantas!J54+G2193</x:f>
        <x:v>46209</x:v>
      </x:c>
      <x:c r="J2193" s="2" t="str">
        <x:v>N4</x:v>
      </x:c>
      <x:c r="K2193" s="2" t="n">
        <x:v>1</x:v>
      </x:c>
      <x:c r="L2193" s="2" t="n">
        <x:v>0</x:v>
      </x:c>
      <x:c r="M2193" s="2" t="n">
        <x:f>SUM(L$2186:L2193)</x:f>
        <x:v>0</x:v>
      </x:c>
      <x:c r="N2193" s="2" t="n">
        <x:v>0</x:v>
      </x:c>
      <x:c r="O2193" s="2" t="str">
        <x:v>seguimiento</x:v>
      </x:c>
      <x:c r="P2193" s="2" t="n">
        <x:v>0</x:v>
      </x:c>
      <x:c r="Q2193" s="2" t="str">
        <x:v>simulado_didactico</x:v>
      </x:c>
    </x:row>
    <x:row r="2194" ht="19" customHeight="1">
      <x:c r="A2194" s="2" t="str">
        <x:v>SIM-E2-MP-L7-R09</x:v>
      </x:c>
      <x:c r="B2194" s="2" t="n">
        <x:v>5</x:v>
      </x:c>
      <x:c r="C2194" s="2" t="str">
        <x:v>MP</x:v>
      </x:c>
      <x:c r="D2194" s="2" t="str">
        <x:v>Myzus persicae</x:v>
      </x:c>
      <x:c r="E2194" s="2" t="str">
        <x:v>L7</x:v>
      </x:c>
      <x:c r="F2194" s="2" t="n">
        <x:v>9</x:v>
      </x:c>
      <x:c r="G2194" s="2" t="n">
        <x:v>8</x:v>
      </x:c>
      <x:c r="H2194" s="2" t="n">
        <x:f>G2194+Supuestos!$C$15</x:f>
        <x:v>9</x:v>
      </x:c>
      <x:c r="I2194" s="14" t="n">
        <x:f>E2_plantas!J54+G2194</x:f>
        <x:v>46210</x:v>
      </x:c>
      <x:c r="J2194" s="2" t="str">
        <x:v>N4</x:v>
      </x:c>
      <x:c r="K2194" s="2" t="n">
        <x:v>1</x:v>
      </x:c>
      <x:c r="L2194" s="2" t="n">
        <x:v>0</x:v>
      </x:c>
      <x:c r="M2194" s="2" t="n">
        <x:f>SUM(L$2186:L2194)</x:f>
        <x:v>0</x:v>
      </x:c>
      <x:c r="N2194" s="2" t="n">
        <x:v>0</x:v>
      </x:c>
      <x:c r="O2194" s="2" t="str">
        <x:v>seguimiento</x:v>
      </x:c>
      <x:c r="P2194" s="2" t="n">
        <x:v>0</x:v>
      </x:c>
      <x:c r="Q2194" s="2" t="str">
        <x:v>simulado_didactico</x:v>
      </x:c>
    </x:row>
    <x:row r="2195" ht="19" customHeight="1">
      <x:c r="A2195" s="2" t="str">
        <x:v>SIM-E2-MP-L7-R09</x:v>
      </x:c>
      <x:c r="B2195" s="2" t="n">
        <x:v>5</x:v>
      </x:c>
      <x:c r="C2195" s="2" t="str">
        <x:v>MP</x:v>
      </x:c>
      <x:c r="D2195" s="2" t="str">
        <x:v>Myzus persicae</x:v>
      </x:c>
      <x:c r="E2195" s="2" t="str">
        <x:v>L7</x:v>
      </x:c>
      <x:c r="F2195" s="2" t="n">
        <x:v>9</x:v>
      </x:c>
      <x:c r="G2195" s="2" t="n">
        <x:v>9</x:v>
      </x:c>
      <x:c r="H2195" s="2" t="n">
        <x:f>G2195+Supuestos!$C$15</x:f>
        <x:v>10</x:v>
      </x:c>
      <x:c r="I2195" s="14" t="n">
        <x:f>E2_plantas!J54+G2195</x:f>
        <x:v>46211</x:v>
      </x:c>
      <x:c r="J2195" s="2" t="str">
        <x:v>N4</x:v>
      </x:c>
      <x:c r="K2195" s="2" t="n">
        <x:v>1</x:v>
      </x:c>
      <x:c r="L2195" s="2" t="n">
        <x:v>0</x:v>
      </x:c>
      <x:c r="M2195" s="2" t="n">
        <x:f>SUM(L$2186:L2195)</x:f>
        <x:v>0</x:v>
      </x:c>
      <x:c r="N2195" s="2" t="n">
        <x:v>0</x:v>
      </x:c>
      <x:c r="O2195" s="2" t="str">
        <x:v>seguimiento</x:v>
      </x:c>
      <x:c r="P2195" s="2" t="n">
        <x:v>0</x:v>
      </x:c>
      <x:c r="Q2195" s="2" t="str">
        <x:v>simulado_didactico</x:v>
      </x:c>
    </x:row>
    <x:row r="2196" ht="19" customHeight="1">
      <x:c r="A2196" s="2" t="str">
        <x:v>SIM-E2-MP-L7-R09</x:v>
      </x:c>
      <x:c r="B2196" s="2" t="n">
        <x:v>5</x:v>
      </x:c>
      <x:c r="C2196" s="2" t="str">
        <x:v>MP</x:v>
      </x:c>
      <x:c r="D2196" s="2" t="str">
        <x:v>Myzus persicae</x:v>
      </x:c>
      <x:c r="E2196" s="2" t="str">
        <x:v>L7</x:v>
      </x:c>
      <x:c r="F2196" s="2" t="n">
        <x:v>9</x:v>
      </x:c>
      <x:c r="G2196" s="2" t="n">
        <x:v>10</x:v>
      </x:c>
      <x:c r="H2196" s="2" t="n">
        <x:f>G2196+Supuestos!$C$15</x:f>
        <x:v>11</x:v>
      </x:c>
      <x:c r="I2196" s="14" t="n">
        <x:f>E2_plantas!J54+G2196</x:f>
        <x:v>46212</x:v>
      </x:c>
      <x:c r="J2196" s="2" t="str">
        <x:v>adulta</x:v>
      </x:c>
      <x:c r="K2196" s="2" t="n">
        <x:v>1</x:v>
      </x:c>
      <x:c r="L2196" s="2" t="n">
        <x:v>0</x:v>
      </x:c>
      <x:c r="M2196" s="2" t="n">
        <x:f>SUM(L$2186:L2196)</x:f>
        <x:v>0</x:v>
      </x:c>
      <x:c r="N2196" s="2" t="n">
        <x:v>0</x:v>
      </x:c>
      <x:c r="O2196" s="2" t="str">
        <x:v>seguimiento</x:v>
      </x:c>
      <x:c r="P2196" s="2" t="n">
        <x:v>0</x:v>
      </x:c>
      <x:c r="Q2196" s="2" t="str">
        <x:v>simulado_didactico</x:v>
      </x:c>
    </x:row>
    <x:row r="2197" ht="19" customHeight="1">
      <x:c r="A2197" s="2" t="str">
        <x:v>SIM-E2-MP-L7-R09</x:v>
      </x:c>
      <x:c r="B2197" s="2" t="n">
        <x:v>5</x:v>
      </x:c>
      <x:c r="C2197" s="2" t="str">
        <x:v>MP</x:v>
      </x:c>
      <x:c r="D2197" s="2" t="str">
        <x:v>Myzus persicae</x:v>
      </x:c>
      <x:c r="E2197" s="2" t="str">
        <x:v>L7</x:v>
      </x:c>
      <x:c r="F2197" s="2" t="n">
        <x:v>9</x:v>
      </x:c>
      <x:c r="G2197" s="2" t="n">
        <x:v>11</x:v>
      </x:c>
      <x:c r="H2197" s="2" t="n">
        <x:f>G2197+Supuestos!$C$15</x:f>
        <x:v>12</x:v>
      </x:c>
      <x:c r="I2197" s="14" t="n">
        <x:f>E2_plantas!J54+G2197</x:f>
        <x:v>46213</x:v>
      </x:c>
      <x:c r="J2197" s="2" t="str">
        <x:v>adulta</x:v>
      </x:c>
      <x:c r="K2197" s="2" t="n">
        <x:v>1</x:v>
      </x:c>
      <x:c r="L2197" s="2" t="n">
        <x:v>0</x:v>
      </x:c>
      <x:c r="M2197" s="2" t="n">
        <x:f>SUM(L$2186:L2197)</x:f>
        <x:v>0</x:v>
      </x:c>
      <x:c r="N2197" s="2" t="n">
        <x:v>0</x:v>
      </x:c>
      <x:c r="O2197" s="2" t="str">
        <x:v>seguimiento</x:v>
      </x:c>
      <x:c r="P2197" s="2" t="n">
        <x:v>0</x:v>
      </x:c>
      <x:c r="Q2197" s="2" t="str">
        <x:v>simulado_didactico</x:v>
      </x:c>
    </x:row>
    <x:row r="2198" ht="19" customHeight="1">
      <x:c r="A2198" s="2" t="str">
        <x:v>SIM-E2-MP-L7-R09</x:v>
      </x:c>
      <x:c r="B2198" s="2" t="n">
        <x:v>5</x:v>
      </x:c>
      <x:c r="C2198" s="2" t="str">
        <x:v>MP</x:v>
      </x:c>
      <x:c r="D2198" s="2" t="str">
        <x:v>Myzus persicae</x:v>
      </x:c>
      <x:c r="E2198" s="2" t="str">
        <x:v>L7</x:v>
      </x:c>
      <x:c r="F2198" s="2" t="n">
        <x:v>9</x:v>
      </x:c>
      <x:c r="G2198" s="2" t="n">
        <x:v>12</x:v>
      </x:c>
      <x:c r="H2198" s="2" t="n">
        <x:f>G2198+Supuestos!$C$15</x:f>
        <x:v>13</x:v>
      </x:c>
      <x:c r="I2198" s="14" t="n">
        <x:f>E2_plantas!J54+G2198</x:f>
        <x:v>46214</x:v>
      </x:c>
      <x:c r="J2198" s="2" t="str">
        <x:v>adulta</x:v>
      </x:c>
      <x:c r="K2198" s="2" t="n">
        <x:v>1</x:v>
      </x:c>
      <x:c r="L2198" s="2" t="n">
        <x:v>3</x:v>
      </x:c>
      <x:c r="M2198" s="2" t="n">
        <x:f>SUM(L$2186:L2198)</x:f>
        <x:v>3</x:v>
      </x:c>
      <x:c r="N2198" s="2" t="n">
        <x:v>0</x:v>
      </x:c>
      <x:c r="O2198" s="2" t="str">
        <x:v>seguimiento</x:v>
      </x:c>
      <x:c r="P2198" s="2" t="n">
        <x:v>0</x:v>
      </x:c>
      <x:c r="Q2198" s="2" t="str">
        <x:v>simulado_didactico</x:v>
      </x:c>
    </x:row>
    <x:row r="2199" ht="19" customHeight="1">
      <x:c r="A2199" s="2" t="str">
        <x:v>SIM-E2-MP-L7-R09</x:v>
      </x:c>
      <x:c r="B2199" s="2" t="n">
        <x:v>5</x:v>
      </x:c>
      <x:c r="C2199" s="2" t="str">
        <x:v>MP</x:v>
      </x:c>
      <x:c r="D2199" s="2" t="str">
        <x:v>Myzus persicae</x:v>
      </x:c>
      <x:c r="E2199" s="2" t="str">
        <x:v>L7</x:v>
      </x:c>
      <x:c r="F2199" s="2" t="n">
        <x:v>9</x:v>
      </x:c>
      <x:c r="G2199" s="2" t="n">
        <x:v>13</x:v>
      </x:c>
      <x:c r="H2199" s="2" t="n">
        <x:f>G2199+Supuestos!$C$15</x:f>
        <x:v>14</x:v>
      </x:c>
      <x:c r="I2199" s="14" t="n">
        <x:f>E2_plantas!J54+G2199</x:f>
        <x:v>46215</x:v>
      </x:c>
      <x:c r="J2199" s="2" t="str">
        <x:v>adulta</x:v>
      </x:c>
      <x:c r="K2199" s="2" t="n">
        <x:v>1</x:v>
      </x:c>
      <x:c r="L2199" s="2" t="n">
        <x:v>2</x:v>
      </x:c>
      <x:c r="M2199" s="2" t="n">
        <x:f>SUM(L$2186:L2199)</x:f>
        <x:v>5</x:v>
      </x:c>
      <x:c r="N2199" s="2" t="n">
        <x:v>0</x:v>
      </x:c>
      <x:c r="O2199" s="2" t="str">
        <x:v>seguimiento</x:v>
      </x:c>
      <x:c r="P2199" s="2" t="n">
        <x:v>0</x:v>
      </x:c>
      <x:c r="Q2199" s="2" t="str">
        <x:v>simulado_didactico</x:v>
      </x:c>
    </x:row>
    <x:row r="2200" ht="19" customHeight="1">
      <x:c r="A2200" s="2" t="str">
        <x:v>SIM-E2-MP-L7-R09</x:v>
      </x:c>
      <x:c r="B2200" s="2" t="n">
        <x:v>5</x:v>
      </x:c>
      <x:c r="C2200" s="2" t="str">
        <x:v>MP</x:v>
      </x:c>
      <x:c r="D2200" s="2" t="str">
        <x:v>Myzus persicae</x:v>
      </x:c>
      <x:c r="E2200" s="2" t="str">
        <x:v>L7</x:v>
      </x:c>
      <x:c r="F2200" s="2" t="n">
        <x:v>9</x:v>
      </x:c>
      <x:c r="G2200" s="2" t="n">
        <x:v>14</x:v>
      </x:c>
      <x:c r="H2200" s="2" t="n">
        <x:f>G2200+Supuestos!$C$15</x:f>
        <x:v>15</x:v>
      </x:c>
      <x:c r="I2200" s="14" t="n">
        <x:f>E2_plantas!J54+G2200</x:f>
        <x:v>46216</x:v>
      </x:c>
      <x:c r="J2200" s="2" t="str">
        <x:v>adulta</x:v>
      </x:c>
      <x:c r="K2200" s="2" t="n">
        <x:v>1</x:v>
      </x:c>
      <x:c r="L2200" s="2" t="n">
        <x:v>3</x:v>
      </x:c>
      <x:c r="M2200" s="2" t="n">
        <x:f>SUM(L$2186:L2200)</x:f>
        <x:v>8</x:v>
      </x:c>
      <x:c r="N2200" s="2" t="n">
        <x:v>0</x:v>
      </x:c>
      <x:c r="O2200" s="2" t="str">
        <x:v>seguimiento</x:v>
      </x:c>
      <x:c r="P2200" s="2" t="n">
        <x:v>0</x:v>
      </x:c>
      <x:c r="Q2200" s="2" t="str">
        <x:v>simulado_didactico</x:v>
      </x:c>
    </x:row>
    <x:row r="2201" ht="19" customHeight="1">
      <x:c r="A2201" s="2" t="str">
        <x:v>SIM-E2-MP-L7-R09</x:v>
      </x:c>
      <x:c r="B2201" s="2" t="n">
        <x:v>5</x:v>
      </x:c>
      <x:c r="C2201" s="2" t="str">
        <x:v>MP</x:v>
      </x:c>
      <x:c r="D2201" s="2" t="str">
        <x:v>Myzus persicae</x:v>
      </x:c>
      <x:c r="E2201" s="2" t="str">
        <x:v>L7</x:v>
      </x:c>
      <x:c r="F2201" s="2" t="n">
        <x:v>9</x:v>
      </x:c>
      <x:c r="G2201" s="2" t="n">
        <x:v>15</x:v>
      </x:c>
      <x:c r="H2201" s="2" t="n">
        <x:f>G2201+Supuestos!$C$15</x:f>
        <x:v>16</x:v>
      </x:c>
      <x:c r="I2201" s="14" t="n">
        <x:f>E2_plantas!J54+G2201</x:f>
        <x:v>46217</x:v>
      </x:c>
      <x:c r="J2201" s="2" t="str">
        <x:v>adulta</x:v>
      </x:c>
      <x:c r="K2201" s="2" t="n">
        <x:v>1</x:v>
      </x:c>
      <x:c r="L2201" s="2" t="n">
        <x:v>4</x:v>
      </x:c>
      <x:c r="M2201" s="2" t="n">
        <x:f>SUM(L$2186:L2201)</x:f>
        <x:v>12</x:v>
      </x:c>
      <x:c r="N2201" s="2" t="n">
        <x:v>0</x:v>
      </x:c>
      <x:c r="O2201" s="2" t="str">
        <x:v>seguimiento</x:v>
      </x:c>
      <x:c r="P2201" s="2" t="n">
        <x:v>0</x:v>
      </x:c>
      <x:c r="Q2201" s="2" t="str">
        <x:v>simulado_didactico</x:v>
      </x:c>
    </x:row>
    <x:row r="2202" ht="19" customHeight="1">
      <x:c r="A2202" s="2" t="str">
        <x:v>SIM-E2-MP-L7-R09</x:v>
      </x:c>
      <x:c r="B2202" s="2" t="n">
        <x:v>5</x:v>
      </x:c>
      <x:c r="C2202" s="2" t="str">
        <x:v>MP</x:v>
      </x:c>
      <x:c r="D2202" s="2" t="str">
        <x:v>Myzus persicae</x:v>
      </x:c>
      <x:c r="E2202" s="2" t="str">
        <x:v>L7</x:v>
      </x:c>
      <x:c r="F2202" s="2" t="n">
        <x:v>9</x:v>
      </x:c>
      <x:c r="G2202" s="2" t="n">
        <x:v>16</x:v>
      </x:c>
      <x:c r="H2202" s="2" t="n">
        <x:f>G2202+Supuestos!$C$15</x:f>
        <x:v>17</x:v>
      </x:c>
      <x:c r="I2202" s="14" t="n">
        <x:f>E2_plantas!J54+G2202</x:f>
        <x:v>46218</x:v>
      </x:c>
      <x:c r="J2202" s="2" t="str">
        <x:v>adulta</x:v>
      </x:c>
      <x:c r="K2202" s="2" t="n">
        <x:v>1</x:v>
      </x:c>
      <x:c r="L2202" s="2" t="n">
        <x:v>3</x:v>
      </x:c>
      <x:c r="M2202" s="2" t="n">
        <x:f>SUM(L$2186:L2202)</x:f>
        <x:v>15</x:v>
      </x:c>
      <x:c r="N2202" s="2" t="n">
        <x:v>0</x:v>
      </x:c>
      <x:c r="O2202" s="2" t="str">
        <x:v>seguimiento</x:v>
      </x:c>
      <x:c r="P2202" s="2" t="n">
        <x:v>0</x:v>
      </x:c>
      <x:c r="Q2202" s="2" t="str">
        <x:v>simulado_didactico</x:v>
      </x:c>
    </x:row>
    <x:row r="2203" ht="19" customHeight="1">
      <x:c r="A2203" s="2" t="str">
        <x:v>SIM-E2-MP-L7-R09</x:v>
      </x:c>
      <x:c r="B2203" s="2" t="n">
        <x:v>5</x:v>
      </x:c>
      <x:c r="C2203" s="2" t="str">
        <x:v>MP</x:v>
      </x:c>
      <x:c r="D2203" s="2" t="str">
        <x:v>Myzus persicae</x:v>
      </x:c>
      <x:c r="E2203" s="2" t="str">
        <x:v>L7</x:v>
      </x:c>
      <x:c r="F2203" s="2" t="n">
        <x:v>9</x:v>
      </x:c>
      <x:c r="G2203" s="2" t="n">
        <x:v>17</x:v>
      </x:c>
      <x:c r="H2203" s="2" t="n">
        <x:f>G2203+Supuestos!$C$15</x:f>
        <x:v>18</x:v>
      </x:c>
      <x:c r="I2203" s="14" t="n">
        <x:f>E2_plantas!J54+G2203</x:f>
        <x:v>46219</x:v>
      </x:c>
      <x:c r="J2203" s="2" t="str">
        <x:v>adulta</x:v>
      </x:c>
      <x:c r="K2203" s="2" t="n">
        <x:v>1</x:v>
      </x:c>
      <x:c r="L2203" s="2" t="n">
        <x:v>5</x:v>
      </x:c>
      <x:c r="M2203" s="2" t="n">
        <x:f>SUM(L$2186:L2203)</x:f>
        <x:v>20</x:v>
      </x:c>
      <x:c r="N2203" s="2" t="n">
        <x:v>0</x:v>
      </x:c>
      <x:c r="O2203" s="2" t="str">
        <x:v>seguimiento</x:v>
      </x:c>
      <x:c r="P2203" s="2" t="n">
        <x:v>0</x:v>
      </x:c>
      <x:c r="Q2203" s="2" t="str">
        <x:v>simulado_didactico</x:v>
      </x:c>
    </x:row>
    <x:row r="2204" ht="19" customHeight="1">
      <x:c r="A2204" s="2" t="str">
        <x:v>SIM-E2-MP-L7-R09</x:v>
      </x:c>
      <x:c r="B2204" s="2" t="n">
        <x:v>5</x:v>
      </x:c>
      <x:c r="C2204" s="2" t="str">
        <x:v>MP</x:v>
      </x:c>
      <x:c r="D2204" s="2" t="str">
        <x:v>Myzus persicae</x:v>
      </x:c>
      <x:c r="E2204" s="2" t="str">
        <x:v>L7</x:v>
      </x:c>
      <x:c r="F2204" s="2" t="n">
        <x:v>9</x:v>
      </x:c>
      <x:c r="G2204" s="2" t="n">
        <x:v>18</x:v>
      </x:c>
      <x:c r="H2204" s="2" t="n">
        <x:f>G2204+Supuestos!$C$15</x:f>
        <x:v>19</x:v>
      </x:c>
      <x:c r="I2204" s="14" t="n">
        <x:f>E2_plantas!J54+G2204</x:f>
        <x:v>46220</x:v>
      </x:c>
      <x:c r="J2204" s="2" t="str">
        <x:v>adulta</x:v>
      </x:c>
      <x:c r="K2204" s="2" t="n">
        <x:v>1</x:v>
      </x:c>
      <x:c r="L2204" s="2" t="n">
        <x:v>3</x:v>
      </x:c>
      <x:c r="M2204" s="2" t="n">
        <x:f>SUM(L$2186:L2204)</x:f>
        <x:v>23</x:v>
      </x:c>
      <x:c r="N2204" s="2" t="n">
        <x:v>0</x:v>
      </x:c>
      <x:c r="O2204" s="2" t="str">
        <x:v>seguimiento</x:v>
      </x:c>
      <x:c r="P2204" s="2" t="n">
        <x:v>0</x:v>
      </x:c>
      <x:c r="Q2204" s="2" t="str">
        <x:v>simulado_didactico</x:v>
      </x:c>
    </x:row>
    <x:row r="2205" ht="19" customHeight="1">
      <x:c r="A2205" s="2" t="str">
        <x:v>SIM-E2-MP-L7-R09</x:v>
      </x:c>
      <x:c r="B2205" s="2" t="n">
        <x:v>5</x:v>
      </x:c>
      <x:c r="C2205" s="2" t="str">
        <x:v>MP</x:v>
      </x:c>
      <x:c r="D2205" s="2" t="str">
        <x:v>Myzus persicae</x:v>
      </x:c>
      <x:c r="E2205" s="2" t="str">
        <x:v>L7</x:v>
      </x:c>
      <x:c r="F2205" s="2" t="n">
        <x:v>9</x:v>
      </x:c>
      <x:c r="G2205" s="2" t="n">
        <x:v>19</x:v>
      </x:c>
      <x:c r="H2205" s="2" t="n">
        <x:f>G2205+Supuestos!$C$15</x:f>
        <x:v>20</x:v>
      </x:c>
      <x:c r="I2205" s="14" t="n">
        <x:f>E2_plantas!J54+G2205</x:f>
        <x:v>46221</x:v>
      </x:c>
      <x:c r="J2205" s="2" t="str">
        <x:v>adulta</x:v>
      </x:c>
      <x:c r="K2205" s="2" t="n">
        <x:v>1</x:v>
      </x:c>
      <x:c r="L2205" s="2" t="n">
        <x:v>2</x:v>
      </x:c>
      <x:c r="M2205" s="2" t="n">
        <x:f>SUM(L$2186:L2205)</x:f>
        <x:v>25</x:v>
      </x:c>
      <x:c r="N2205" s="2" t="n">
        <x:v>0</x:v>
      </x:c>
      <x:c r="O2205" s="2" t="str">
        <x:v>seguimiento</x:v>
      </x:c>
      <x:c r="P2205" s="2" t="n">
        <x:v>0</x:v>
      </x:c>
      <x:c r="Q2205" s="2" t="str">
        <x:v>simulado_didactico</x:v>
      </x:c>
    </x:row>
    <x:row r="2206" ht="19" customHeight="1">
      <x:c r="A2206" s="2" t="str">
        <x:v>SIM-E2-MP-L7-R09</x:v>
      </x:c>
      <x:c r="B2206" s="2" t="n">
        <x:v>5</x:v>
      </x:c>
      <x:c r="C2206" s="2" t="str">
        <x:v>MP</x:v>
      </x:c>
      <x:c r="D2206" s="2" t="str">
        <x:v>Myzus persicae</x:v>
      </x:c>
      <x:c r="E2206" s="2" t="str">
        <x:v>L7</x:v>
      </x:c>
      <x:c r="F2206" s="2" t="n">
        <x:v>9</x:v>
      </x:c>
      <x:c r="G2206" s="2" t="n">
        <x:v>20</x:v>
      </x:c>
      <x:c r="H2206" s="2" t="n">
        <x:f>G2206+Supuestos!$C$15</x:f>
        <x:v>21</x:v>
      </x:c>
      <x:c r="I2206" s="14" t="n">
        <x:f>E2_plantas!J54+G2206</x:f>
        <x:v>46222</x:v>
      </x:c>
      <x:c r="J2206" s="2" t="str">
        <x:v>adulta</x:v>
      </x:c>
      <x:c r="K2206" s="2" t="n">
        <x:v>1</x:v>
      </x:c>
      <x:c r="L2206" s="2" t="n">
        <x:v>4</x:v>
      </x:c>
      <x:c r="M2206" s="2" t="n">
        <x:f>SUM(L$2186:L2206)</x:f>
        <x:v>29</x:v>
      </x:c>
      <x:c r="N2206" s="2" t="n">
        <x:v>0</x:v>
      </x:c>
      <x:c r="O2206" s="2" t="str">
        <x:v>seguimiento</x:v>
      </x:c>
      <x:c r="P2206" s="2" t="n">
        <x:v>0</x:v>
      </x:c>
      <x:c r="Q2206" s="2" t="str">
        <x:v>simulado_didactico</x:v>
      </x:c>
    </x:row>
    <x:row r="2207" ht="19" customHeight="1">
      <x:c r="A2207" s="2" t="str">
        <x:v>SIM-E2-MP-L7-R09</x:v>
      </x:c>
      <x:c r="B2207" s="2" t="n">
        <x:v>5</x:v>
      </x:c>
      <x:c r="C2207" s="2" t="str">
        <x:v>MP</x:v>
      </x:c>
      <x:c r="D2207" s="2" t="str">
        <x:v>Myzus persicae</x:v>
      </x:c>
      <x:c r="E2207" s="2" t="str">
        <x:v>L7</x:v>
      </x:c>
      <x:c r="F2207" s="2" t="n">
        <x:v>9</x:v>
      </x:c>
      <x:c r="G2207" s="2" t="n">
        <x:v>21</x:v>
      </x:c>
      <x:c r="H2207" s="2" t="n">
        <x:f>G2207+Supuestos!$C$15</x:f>
        <x:v>22</x:v>
      </x:c>
      <x:c r="I2207" s="14" t="n">
        <x:f>E2_plantas!J54+G2207</x:f>
        <x:v>46223</x:v>
      </x:c>
      <x:c r="J2207" s="2" t="str">
        <x:v>adulta</x:v>
      </x:c>
      <x:c r="K2207" s="2" t="n">
        <x:v>1</x:v>
      </x:c>
      <x:c r="L2207" s="2" t="n">
        <x:v>2</x:v>
      </x:c>
      <x:c r="M2207" s="2" t="n">
        <x:f>SUM(L$2186:L2207)</x:f>
        <x:v>31</x:v>
      </x:c>
      <x:c r="N2207" s="2" t="n">
        <x:v>0</x:v>
      </x:c>
      <x:c r="O2207" s="2" t="str">
        <x:v>seguimiento</x:v>
      </x:c>
      <x:c r="P2207" s="2" t="n">
        <x:v>0</x:v>
      </x:c>
      <x:c r="Q2207" s="2" t="str">
        <x:v>simulado_didactico</x:v>
      </x:c>
    </x:row>
    <x:row r="2208" ht="19" customHeight="1">
      <x:c r="A2208" s="2" t="str">
        <x:v>SIM-E2-MP-L7-R09</x:v>
      </x:c>
      <x:c r="B2208" s="2" t="n">
        <x:v>5</x:v>
      </x:c>
      <x:c r="C2208" s="2" t="str">
        <x:v>MP</x:v>
      </x:c>
      <x:c r="D2208" s="2" t="str">
        <x:v>Myzus persicae</x:v>
      </x:c>
      <x:c r="E2208" s="2" t="str">
        <x:v>L7</x:v>
      </x:c>
      <x:c r="F2208" s="2" t="n">
        <x:v>9</x:v>
      </x:c>
      <x:c r="G2208" s="2" t="n">
        <x:v>22</x:v>
      </x:c>
      <x:c r="H2208" s="2" t="n">
        <x:f>G2208+Supuestos!$C$15</x:f>
        <x:v>23</x:v>
      </x:c>
      <x:c r="I2208" s="14" t="n">
        <x:f>E2_plantas!J54+G2208</x:f>
        <x:v>46224</x:v>
      </x:c>
      <x:c r="J2208" s="2" t="str">
        <x:v>adulta</x:v>
      </x:c>
      <x:c r="K2208" s="2" t="n">
        <x:v>1</x:v>
      </x:c>
      <x:c r="L2208" s="2" t="n">
        <x:v>2</x:v>
      </x:c>
      <x:c r="M2208" s="2" t="n">
        <x:f>SUM(L$2186:L2208)</x:f>
        <x:v>33</x:v>
      </x:c>
      <x:c r="N2208" s="2" t="n">
        <x:v>0</x:v>
      </x:c>
      <x:c r="O2208" s="2" t="str">
        <x:v>seguimiento</x:v>
      </x:c>
      <x:c r="P2208" s="2" t="n">
        <x:v>0</x:v>
      </x:c>
      <x:c r="Q2208" s="2" t="str">
        <x:v>simulado_didactico</x:v>
      </x:c>
    </x:row>
    <x:row r="2209" ht="19" customHeight="1">
      <x:c r="A2209" s="2" t="str">
        <x:v>SIM-E2-MP-L7-R09</x:v>
      </x:c>
      <x:c r="B2209" s="2" t="n">
        <x:v>5</x:v>
      </x:c>
      <x:c r="C2209" s="2" t="str">
        <x:v>MP</x:v>
      </x:c>
      <x:c r="D2209" s="2" t="str">
        <x:v>Myzus persicae</x:v>
      </x:c>
      <x:c r="E2209" s="2" t="str">
        <x:v>L7</x:v>
      </x:c>
      <x:c r="F2209" s="2" t="n">
        <x:v>9</x:v>
      </x:c>
      <x:c r="G2209" s="2" t="n">
        <x:v>23</x:v>
      </x:c>
      <x:c r="H2209" s="2" t="n">
        <x:f>G2209+Supuestos!$C$15</x:f>
        <x:v>24</x:v>
      </x:c>
      <x:c r="I2209" s="14" t="n">
        <x:f>E2_plantas!J54+G2209</x:f>
        <x:v>46225</x:v>
      </x:c>
      <x:c r="J2209" s="2" t="str">
        <x:v>adulta</x:v>
      </x:c>
      <x:c r="K2209" s="2" t="n">
        <x:v>1</x:v>
      </x:c>
      <x:c r="L2209" s="2" t="n">
        <x:v>0</x:v>
      </x:c>
      <x:c r="M2209" s="2" t="n">
        <x:f>SUM(L$2186:L2209)</x:f>
        <x:v>33</x:v>
      </x:c>
      <x:c r="N2209" s="2" t="n">
        <x:v>0</x:v>
      </x:c>
      <x:c r="O2209" s="2" t="str">
        <x:v>seguimiento</x:v>
      </x:c>
      <x:c r="P2209" s="2" t="n">
        <x:v>0</x:v>
      </x:c>
      <x:c r="Q2209" s="2" t="str">
        <x:v>simulado_didactico</x:v>
      </x:c>
    </x:row>
    <x:row r="2210" ht="19" customHeight="1">
      <x:c r="A2210" s="2" t="str">
        <x:v>SIM-E2-MP-L7-R09</x:v>
      </x:c>
      <x:c r="B2210" s="2" t="n">
        <x:v>5</x:v>
      </x:c>
      <x:c r="C2210" s="2" t="str">
        <x:v>MP</x:v>
      </x:c>
      <x:c r="D2210" s="2" t="str">
        <x:v>Myzus persicae</x:v>
      </x:c>
      <x:c r="E2210" s="2" t="str">
        <x:v>L7</x:v>
      </x:c>
      <x:c r="F2210" s="2" t="n">
        <x:v>9</x:v>
      </x:c>
      <x:c r="G2210" s="2" t="n">
        <x:v>24</x:v>
      </x:c>
      <x:c r="H2210" s="2" t="n">
        <x:f>G2210+Supuestos!$C$15</x:f>
        <x:v>25</x:v>
      </x:c>
      <x:c r="I2210" s="14" t="n">
        <x:f>E2_plantas!J54+G2210</x:f>
        <x:v>46226</x:v>
      </x:c>
      <x:c r="J2210" s="2" t="str">
        <x:v>muerta</x:v>
      </x:c>
      <x:c r="K2210" s="2" t="n">
        <x:v>0</x:v>
      </x:c>
      <x:c r="L2210" s="2" t="n">
        <x:v>0</x:v>
      </x:c>
      <x:c r="M2210" s="2" t="n">
        <x:f>SUM(L$2186:L2210)</x:f>
        <x:v>33</x:v>
      </x:c>
      <x:c r="N2210" s="2" t="n">
        <x:v>1</x:v>
      </x:c>
      <x:c r="O2210" s="2" t="str">
        <x:v>muerte</x:v>
      </x:c>
      <x:c r="P2210" s="2" t="n">
        <x:v>0</x:v>
      </x:c>
      <x:c r="Q2210" s="2" t="str">
        <x:v>simulado_didactico</x:v>
      </x:c>
    </x:row>
    <x:row r="2211" ht="19" customHeight="1">
      <x:c r="A2211" s="2" t="str">
        <x:v>SIM-E2-MP-L7-R09</x:v>
      </x:c>
      <x:c r="B2211" s="2" t="n">
        <x:v>5</x:v>
      </x:c>
      <x:c r="C2211" s="2" t="str">
        <x:v>MP</x:v>
      </x:c>
      <x:c r="D2211" s="2" t="str">
        <x:v>Myzus persicae</x:v>
      </x:c>
      <x:c r="E2211" s="2" t="str">
        <x:v>L7</x:v>
      </x:c>
      <x:c r="F2211" s="2" t="n">
        <x:v>9</x:v>
      </x:c>
      <x:c r="G2211" s="2" t="n">
        <x:v>25</x:v>
      </x:c>
      <x:c r="H2211" s="2" t="n">
        <x:f>G2211+Supuestos!$C$15</x:f>
        <x:v>26</x:v>
      </x:c>
      <x:c r="I2211" s="14" t="n">
        <x:f>E2_plantas!J54+G2211</x:f>
        <x:v>46227</x:v>
      </x:c>
      <x:c r="J2211" s="2" t="str">
        <x:v>muerta</x:v>
      </x:c>
      <x:c r="K2211" s="2" t="n">
        <x:v>0</x:v>
      </x:c>
      <x:c r="L2211" s="2" t="n">
        <x:v>0</x:v>
      </x:c>
      <x:c r="M2211" s="2" t="n">
        <x:f>SUM(L$2186:L2211)</x:f>
        <x:v>33</x:v>
      </x:c>
      <x:c r="N2211" s="2" t="n">
        <x:v>0</x:v>
      </x:c>
      <x:c r="O2211" s="2" t="str">
        <x:v>relleno_postmuerte</x:v>
      </x:c>
      <x:c r="P2211" s="2" t="n">
        <x:v>0</x:v>
      </x:c>
      <x:c r="Q2211" s="2" t="str">
        <x:v>simulado_didactico</x:v>
      </x:c>
    </x:row>
    <x:row r="2212" ht="19" customHeight="1">
      <x:c r="A2212" s="2" t="str">
        <x:v>SIM-E2-MP-L7-R09</x:v>
      </x:c>
      <x:c r="B2212" s="2" t="n">
        <x:v>5</x:v>
      </x:c>
      <x:c r="C2212" s="2" t="str">
        <x:v>MP</x:v>
      </x:c>
      <x:c r="D2212" s="2" t="str">
        <x:v>Myzus persicae</x:v>
      </x:c>
      <x:c r="E2212" s="2" t="str">
        <x:v>L7</x:v>
      </x:c>
      <x:c r="F2212" s="2" t="n">
        <x:v>9</x:v>
      </x:c>
      <x:c r="G2212" s="2" t="n">
        <x:v>26</x:v>
      </x:c>
      <x:c r="H2212" s="2" t="n">
        <x:f>G2212+Supuestos!$C$15</x:f>
        <x:v>27</x:v>
      </x:c>
      <x:c r="I2212" s="14" t="n">
        <x:f>E2_plantas!J54+G2212</x:f>
        <x:v>46228</x:v>
      </x:c>
      <x:c r="J2212" s="2" t="str">
        <x:v>muerta</x:v>
      </x:c>
      <x:c r="K2212" s="2" t="n">
        <x:v>0</x:v>
      </x:c>
      <x:c r="L2212" s="2" t="n">
        <x:v>0</x:v>
      </x:c>
      <x:c r="M2212" s="2" t="n">
        <x:f>SUM(L$2186:L2212)</x:f>
        <x:v>33</x:v>
      </x:c>
      <x:c r="N2212" s="2" t="n">
        <x:v>0</x:v>
      </x:c>
      <x:c r="O2212" s="2" t="str">
        <x:v>relleno_postmuerte</x:v>
      </x:c>
      <x:c r="P2212" s="2" t="n">
        <x:v>0</x:v>
      </x:c>
      <x:c r="Q2212" s="2" t="str">
        <x:v>simulado_didactico</x:v>
      </x:c>
    </x:row>
    <x:row r="2213" ht="19" customHeight="1">
      <x:c r="A2213" s="2" t="str">
        <x:v>SIM-E2-MP-L7-R09</x:v>
      </x:c>
      <x:c r="B2213" s="2" t="n">
        <x:v>5</x:v>
      </x:c>
      <x:c r="C2213" s="2" t="str">
        <x:v>MP</x:v>
      </x:c>
      <x:c r="D2213" s="2" t="str">
        <x:v>Myzus persicae</x:v>
      </x:c>
      <x:c r="E2213" s="2" t="str">
        <x:v>L7</x:v>
      </x:c>
      <x:c r="F2213" s="2" t="n">
        <x:v>9</x:v>
      </x:c>
      <x:c r="G2213" s="2" t="n">
        <x:v>27</x:v>
      </x:c>
      <x:c r="H2213" s="2" t="n">
        <x:f>G2213+Supuestos!$C$15</x:f>
        <x:v>28</x:v>
      </x:c>
      <x:c r="I2213" s="14" t="n">
        <x:f>E2_plantas!J54+G2213</x:f>
        <x:v>46229</x:v>
      </x:c>
      <x:c r="J2213" s="2" t="str">
        <x:v>muerta</x:v>
      </x:c>
      <x:c r="K2213" s="2" t="n">
        <x:v>0</x:v>
      </x:c>
      <x:c r="L2213" s="2" t="n">
        <x:v>0</x:v>
      </x:c>
      <x:c r="M2213" s="2" t="n">
        <x:f>SUM(L$2186:L2213)</x:f>
        <x:v>33</x:v>
      </x:c>
      <x:c r="N2213" s="2" t="n">
        <x:v>0</x:v>
      </x:c>
      <x:c r="O2213" s="2" t="str">
        <x:v>relleno_postmuerte</x:v>
      </x:c>
      <x:c r="P2213" s="2" t="n">
        <x:v>0</x:v>
      </x:c>
      <x:c r="Q2213" s="2" t="str">
        <x:v>simulado_didactico</x:v>
      </x:c>
    </x:row>
    <x:row r="2214" ht="19" customHeight="1">
      <x:c r="A2214" s="2" t="str">
        <x:v>SIM-E2-MP-L7-R09</x:v>
      </x:c>
      <x:c r="B2214" s="2" t="n">
        <x:v>5</x:v>
      </x:c>
      <x:c r="C2214" s="2" t="str">
        <x:v>MP</x:v>
      </x:c>
      <x:c r="D2214" s="2" t="str">
        <x:v>Myzus persicae</x:v>
      </x:c>
      <x:c r="E2214" s="2" t="str">
        <x:v>L7</x:v>
      </x:c>
      <x:c r="F2214" s="2" t="n">
        <x:v>9</x:v>
      </x:c>
      <x:c r="G2214" s="2" t="n">
        <x:v>28</x:v>
      </x:c>
      <x:c r="H2214" s="2" t="n">
        <x:f>G2214+Supuestos!$C$15</x:f>
        <x:v>29</x:v>
      </x:c>
      <x:c r="I2214" s="14" t="n">
        <x:f>E2_plantas!J54+G2214</x:f>
        <x:v>46230</x:v>
      </x:c>
      <x:c r="J2214" s="2" t="str">
        <x:v>muerta</x:v>
      </x:c>
      <x:c r="K2214" s="2" t="n">
        <x:v>0</x:v>
      </x:c>
      <x:c r="L2214" s="2" t="n">
        <x:v>0</x:v>
      </x:c>
      <x:c r="M2214" s="2" t="n">
        <x:f>SUM(L$2186:L2214)</x:f>
        <x:v>33</x:v>
      </x:c>
      <x:c r="N2214" s="2" t="n">
        <x:v>0</x:v>
      </x:c>
      <x:c r="O2214" s="2" t="str">
        <x:v>relleno_postmuerte</x:v>
      </x:c>
      <x:c r="P2214" s="2" t="n">
        <x:v>0</x:v>
      </x:c>
      <x:c r="Q2214" s="2" t="str">
        <x:v>simulado_didactico</x:v>
      </x:c>
    </x:row>
    <x:row r="2215" ht="19" customHeight="1">
      <x:c r="A2215" s="2" t="str">
        <x:v>SIM-E2-MP-L7-R09</x:v>
      </x:c>
      <x:c r="B2215" s="2" t="n">
        <x:v>5</x:v>
      </x:c>
      <x:c r="C2215" s="2" t="str">
        <x:v>MP</x:v>
      </x:c>
      <x:c r="D2215" s="2" t="str">
        <x:v>Myzus persicae</x:v>
      </x:c>
      <x:c r="E2215" s="2" t="str">
        <x:v>L7</x:v>
      </x:c>
      <x:c r="F2215" s="2" t="n">
        <x:v>9</x:v>
      </x:c>
      <x:c r="G2215" s="2" t="n">
        <x:v>29</x:v>
      </x:c>
      <x:c r="H2215" s="2" t="n">
        <x:f>G2215+Supuestos!$C$15</x:f>
        <x:v>30</x:v>
      </x:c>
      <x:c r="I2215" s="14" t="n">
        <x:f>E2_plantas!J54+G2215</x:f>
        <x:v>46231</x:v>
      </x:c>
      <x:c r="J2215" s="2" t="str">
        <x:v>muerta</x:v>
      </x:c>
      <x:c r="K2215" s="2" t="n">
        <x:v>0</x:v>
      </x:c>
      <x:c r="L2215" s="2" t="n">
        <x:v>0</x:v>
      </x:c>
      <x:c r="M2215" s="2" t="n">
        <x:f>SUM(L$2186:L2215)</x:f>
        <x:v>33</x:v>
      </x:c>
      <x:c r="N2215" s="2" t="n">
        <x:v>0</x:v>
      </x:c>
      <x:c r="O2215" s="2" t="str">
        <x:v>relleno_postmuerte</x:v>
      </x:c>
      <x:c r="P2215" s="2" t="n">
        <x:v>0</x:v>
      </x:c>
      <x:c r="Q2215" s="2" t="str">
        <x:v>simulado_didactico</x:v>
      </x:c>
    </x:row>
    <x:row r="2216" ht="19" customHeight="1">
      <x:c r="A2216" s="2" t="str">
        <x:v>SIM-E2-MP-L7-R09</x:v>
      </x:c>
      <x:c r="B2216" s="2" t="n">
        <x:v>5</x:v>
      </x:c>
      <x:c r="C2216" s="2" t="str">
        <x:v>MP</x:v>
      </x:c>
      <x:c r="D2216" s="2" t="str">
        <x:v>Myzus persicae</x:v>
      </x:c>
      <x:c r="E2216" s="2" t="str">
        <x:v>L7</x:v>
      </x:c>
      <x:c r="F2216" s="2" t="n">
        <x:v>9</x:v>
      </x:c>
      <x:c r="G2216" s="2" t="n">
        <x:v>30</x:v>
      </x:c>
      <x:c r="H2216" s="2" t="n">
        <x:f>G2216+Supuestos!$C$15</x:f>
        <x:v>31</x:v>
      </x:c>
      <x:c r="I2216" s="14" t="n">
        <x:f>E2_plantas!J54+G2216</x:f>
        <x:v>46232</x:v>
      </x:c>
      <x:c r="J2216" s="2" t="str">
        <x:v>muerta</x:v>
      </x:c>
      <x:c r="K2216" s="2" t="n">
        <x:v>0</x:v>
      </x:c>
      <x:c r="L2216" s="2" t="n">
        <x:v>0</x:v>
      </x:c>
      <x:c r="M2216" s="2" t="n">
        <x:f>SUM(L$2186:L2216)</x:f>
        <x:v>33</x:v>
      </x:c>
      <x:c r="N2216" s="2" t="n">
        <x:v>0</x:v>
      </x:c>
      <x:c r="O2216" s="2" t="str">
        <x:v>relleno_postmuerte</x:v>
      </x:c>
      <x:c r="P2216" s="2" t="n">
        <x:v>0</x:v>
      </x:c>
      <x:c r="Q2216" s="2" t="str">
        <x:v>simulado_didactico</x:v>
      </x:c>
    </x:row>
    <x:row r="2217" ht="19" customHeight="1">
      <x:c r="A2217" s="2" t="str">
        <x:v>SIM-E2-MP-L7-R09</x:v>
      </x:c>
      <x:c r="B2217" s="2" t="n">
        <x:v>5</x:v>
      </x:c>
      <x:c r="C2217" s="2" t="str">
        <x:v>MP</x:v>
      </x:c>
      <x:c r="D2217" s="2" t="str">
        <x:v>Myzus persicae</x:v>
      </x:c>
      <x:c r="E2217" s="2" t="str">
        <x:v>L7</x:v>
      </x:c>
      <x:c r="F2217" s="2" t="n">
        <x:v>9</x:v>
      </x:c>
      <x:c r="G2217" s="2" t="n">
        <x:v>31</x:v>
      </x:c>
      <x:c r="H2217" s="2" t="n">
        <x:f>G2217+Supuestos!$C$15</x:f>
        <x:v>32</x:v>
      </x:c>
      <x:c r="I2217" s="14" t="n">
        <x:f>E2_plantas!J54+G2217</x:f>
        <x:v>46233</x:v>
      </x:c>
      <x:c r="J2217" s="2" t="str">
        <x:v>muerta</x:v>
      </x:c>
      <x:c r="K2217" s="2" t="n">
        <x:v>0</x:v>
      </x:c>
      <x:c r="L2217" s="2" t="n">
        <x:v>0</x:v>
      </x:c>
      <x:c r="M2217" s="2" t="n">
        <x:f>SUM(L$2186:L2217)</x:f>
        <x:v>33</x:v>
      </x:c>
      <x:c r="N2217" s="2" t="n">
        <x:v>0</x:v>
      </x:c>
      <x:c r="O2217" s="2" t="str">
        <x:v>relleno_postmuerte</x:v>
      </x:c>
      <x:c r="P2217" s="2" t="n">
        <x:v>0</x:v>
      </x:c>
      <x:c r="Q2217" s="2" t="str">
        <x:v>simulado_didactico</x:v>
      </x:c>
    </x:row>
    <x:row r="2218" ht="19" customHeight="1">
      <x:c r="A2218" s="2" t="str">
        <x:v>SIM-E2-MP-L7-R09</x:v>
      </x:c>
      <x:c r="B2218" s="2" t="n">
        <x:v>5</x:v>
      </x:c>
      <x:c r="C2218" s="2" t="str">
        <x:v>MP</x:v>
      </x:c>
      <x:c r="D2218" s="2" t="str">
        <x:v>Myzus persicae</x:v>
      </x:c>
      <x:c r="E2218" s="2" t="str">
        <x:v>L7</x:v>
      </x:c>
      <x:c r="F2218" s="2" t="n">
        <x:v>9</x:v>
      </x:c>
      <x:c r="G2218" s="2" t="n">
        <x:v>32</x:v>
      </x:c>
      <x:c r="H2218" s="2" t="n">
        <x:f>G2218+Supuestos!$C$15</x:f>
        <x:v>33</x:v>
      </x:c>
      <x:c r="I2218" s="14" t="n">
        <x:f>E2_plantas!J54+G2218</x:f>
        <x:v>46234</x:v>
      </x:c>
      <x:c r="J2218" s="2" t="str">
        <x:v>muerta</x:v>
      </x:c>
      <x:c r="K2218" s="2" t="n">
        <x:v>0</x:v>
      </x:c>
      <x:c r="L2218" s="2" t="n">
        <x:v>0</x:v>
      </x:c>
      <x:c r="M2218" s="2" t="n">
        <x:f>SUM(L$2186:L2218)</x:f>
        <x:v>33</x:v>
      </x:c>
      <x:c r="N2218" s="2" t="n">
        <x:v>0</x:v>
      </x:c>
      <x:c r="O2218" s="2" t="str">
        <x:v>relleno_postmuerte</x:v>
      </x:c>
      <x:c r="P2218" s="2" t="n">
        <x:v>0</x:v>
      </x:c>
      <x:c r="Q2218" s="2" t="str">
        <x:v>simulado_didactico</x:v>
      </x:c>
    </x:row>
    <x:row r="2219" ht="19" customHeight="1">
      <x:c r="A2219" s="2" t="str">
        <x:v>SIM-E2-MP-L7-R09</x:v>
      </x:c>
      <x:c r="B2219" s="2" t="n">
        <x:v>5</x:v>
      </x:c>
      <x:c r="C2219" s="2" t="str">
        <x:v>MP</x:v>
      </x:c>
      <x:c r="D2219" s="2" t="str">
        <x:v>Myzus persicae</x:v>
      </x:c>
      <x:c r="E2219" s="2" t="str">
        <x:v>L7</x:v>
      </x:c>
      <x:c r="F2219" s="2" t="n">
        <x:v>9</x:v>
      </x:c>
      <x:c r="G2219" s="2" t="n">
        <x:v>33</x:v>
      </x:c>
      <x:c r="H2219" s="2" t="n">
        <x:f>G2219+Supuestos!$C$15</x:f>
        <x:v>34</x:v>
      </x:c>
      <x:c r="I2219" s="14" t="n">
        <x:f>E2_plantas!J54+G2219</x:f>
        <x:v>46235</x:v>
      </x:c>
      <x:c r="J2219" s="2" t="str">
        <x:v>muerta</x:v>
      </x:c>
      <x:c r="K2219" s="2" t="n">
        <x:v>0</x:v>
      </x:c>
      <x:c r="L2219" s="2" t="n">
        <x:v>0</x:v>
      </x:c>
      <x:c r="M2219" s="2" t="n">
        <x:f>SUM(L$2186:L2219)</x:f>
        <x:v>33</x:v>
      </x:c>
      <x:c r="N2219" s="2" t="n">
        <x:v>0</x:v>
      </x:c>
      <x:c r="O2219" s="2" t="str">
        <x:v>relleno_postmuerte</x:v>
      </x:c>
      <x:c r="P2219" s="2" t="n">
        <x:v>0</x:v>
      </x:c>
      <x:c r="Q2219" s="2" t="str">
        <x:v>simulado_didactico</x:v>
      </x:c>
    </x:row>
    <x:row r="2220" ht="19" customHeight="1">
      <x:c r="A2220" s="2" t="str">
        <x:v>SIM-E2-MP-L7-R09</x:v>
      </x:c>
      <x:c r="B2220" s="2" t="n">
        <x:v>5</x:v>
      </x:c>
      <x:c r="C2220" s="2" t="str">
        <x:v>MP</x:v>
      </x:c>
      <x:c r="D2220" s="2" t="str">
        <x:v>Myzus persicae</x:v>
      </x:c>
      <x:c r="E2220" s="2" t="str">
        <x:v>L7</x:v>
      </x:c>
      <x:c r="F2220" s="2" t="n">
        <x:v>9</x:v>
      </x:c>
      <x:c r="G2220" s="2" t="n">
        <x:v>34</x:v>
      </x:c>
      <x:c r="H2220" s="2" t="n">
        <x:f>G2220+Supuestos!$C$15</x:f>
        <x:v>35</x:v>
      </x:c>
      <x:c r="I2220" s="14" t="n">
        <x:f>E2_plantas!J54+G2220</x:f>
        <x:v>46236</x:v>
      </x:c>
      <x:c r="J2220" s="2" t="str">
        <x:v>muerta</x:v>
      </x:c>
      <x:c r="K2220" s="2" t="n">
        <x:v>0</x:v>
      </x:c>
      <x:c r="L2220" s="2" t="n">
        <x:v>0</x:v>
      </x:c>
      <x:c r="M2220" s="2" t="n">
        <x:f>SUM(L$2186:L2220)</x:f>
        <x:v>33</x:v>
      </x:c>
      <x:c r="N2220" s="2" t="n">
        <x:v>0</x:v>
      </x:c>
      <x:c r="O2220" s="2" t="str">
        <x:v>relleno_postmuerte</x:v>
      </x:c>
      <x:c r="P2220" s="2" t="n">
        <x:v>0</x:v>
      </x:c>
      <x:c r="Q2220" s="2" t="str">
        <x:v>simulado_didactico</x:v>
      </x:c>
    </x:row>
    <x:row r="2221" ht="19" customHeight="1">
      <x:c r="A2221" s="2" t="str">
        <x:v>SIM-E2-MP-L7-R09</x:v>
      </x:c>
      <x:c r="B2221" s="2" t="n">
        <x:v>5</x:v>
      </x:c>
      <x:c r="C2221" s="2" t="str">
        <x:v>MP</x:v>
      </x:c>
      <x:c r="D2221" s="2" t="str">
        <x:v>Myzus persicae</x:v>
      </x:c>
      <x:c r="E2221" s="2" t="str">
        <x:v>L7</x:v>
      </x:c>
      <x:c r="F2221" s="2" t="n">
        <x:v>9</x:v>
      </x:c>
      <x:c r="G2221" s="2" t="n">
        <x:v>35</x:v>
      </x:c>
      <x:c r="H2221" s="2" t="n">
        <x:f>G2221+Supuestos!$C$15</x:f>
        <x:v>36</x:v>
      </x:c>
      <x:c r="I2221" s="14" t="n">
        <x:f>E2_plantas!J54+G2221</x:f>
        <x:v>46237</x:v>
      </x:c>
      <x:c r="J2221" s="2" t="str">
        <x:v>muerta</x:v>
      </x:c>
      <x:c r="K2221" s="2" t="n">
        <x:v>0</x:v>
      </x:c>
      <x:c r="L2221" s="2" t="n">
        <x:v>0</x:v>
      </x:c>
      <x:c r="M2221" s="2" t="n">
        <x:f>SUM(L$2186:L2221)</x:f>
        <x:v>33</x:v>
      </x:c>
      <x:c r="N2221" s="2" t="n">
        <x:v>0</x:v>
      </x:c>
      <x:c r="O2221" s="2" t="str">
        <x:v>relleno_postmuerte</x:v>
      </x:c>
      <x:c r="P2221" s="2" t="n">
        <x:v>0</x:v>
      </x:c>
      <x:c r="Q2221" s="2" t="str">
        <x:v>simulado_didactico</x:v>
      </x:c>
    </x:row>
    <x:row r="2222" ht="19" customHeight="1">
      <x:c r="A2222" s="2" t="str">
        <x:v>SIM-E2-MP-L7-R09</x:v>
      </x:c>
      <x:c r="B2222" s="2" t="n">
        <x:v>5</x:v>
      </x:c>
      <x:c r="C2222" s="2" t="str">
        <x:v>MP</x:v>
      </x:c>
      <x:c r="D2222" s="2" t="str">
        <x:v>Myzus persicae</x:v>
      </x:c>
      <x:c r="E2222" s="2" t="str">
        <x:v>L7</x:v>
      </x:c>
      <x:c r="F2222" s="2" t="n">
        <x:v>9</x:v>
      </x:c>
      <x:c r="G2222" s="2" t="n">
        <x:v>36</x:v>
      </x:c>
      <x:c r="H2222" s="2" t="n">
        <x:f>G2222+Supuestos!$C$15</x:f>
        <x:v>37</x:v>
      </x:c>
      <x:c r="I2222" s="14" t="n">
        <x:f>E2_plantas!J54+G2222</x:f>
        <x:v>46238</x:v>
      </x:c>
      <x:c r="J2222" s="2" t="str">
        <x:v>muerta</x:v>
      </x:c>
      <x:c r="K2222" s="2" t="n">
        <x:v>0</x:v>
      </x:c>
      <x:c r="L2222" s="2" t="n">
        <x:v>0</x:v>
      </x:c>
      <x:c r="M2222" s="2" t="n">
        <x:f>SUM(L$2186:L2222)</x:f>
        <x:v>33</x:v>
      </x:c>
      <x:c r="N2222" s="2" t="n">
        <x:v>0</x:v>
      </x:c>
      <x:c r="O2222" s="2" t="str">
        <x:v>relleno_postmuerte</x:v>
      </x:c>
      <x:c r="P2222" s="2" t="n">
        <x:v>0</x:v>
      </x:c>
      <x:c r="Q2222" s="2" t="str">
        <x:v>simulado_didactico</x:v>
      </x:c>
    </x:row>
    <x:row r="2223" ht="19" customHeight="1">
      <x:c r="A2223" s="2" t="str">
        <x:v>SIM-E2-MP-L7-R09</x:v>
      </x:c>
      <x:c r="B2223" s="2" t="n">
        <x:v>5</x:v>
      </x:c>
      <x:c r="C2223" s="2" t="str">
        <x:v>MP</x:v>
      </x:c>
      <x:c r="D2223" s="2" t="str">
        <x:v>Myzus persicae</x:v>
      </x:c>
      <x:c r="E2223" s="2" t="str">
        <x:v>L7</x:v>
      </x:c>
      <x:c r="F2223" s="2" t="n">
        <x:v>9</x:v>
      </x:c>
      <x:c r="G2223" s="2" t="n">
        <x:v>37</x:v>
      </x:c>
      <x:c r="H2223" s="2" t="n">
        <x:f>G2223+Supuestos!$C$15</x:f>
        <x:v>38</x:v>
      </x:c>
      <x:c r="I2223" s="14" t="n">
        <x:f>E2_plantas!J54+G2223</x:f>
        <x:v>46239</x:v>
      </x:c>
      <x:c r="J2223" s="2" t="str">
        <x:v>muerta</x:v>
      </x:c>
      <x:c r="K2223" s="2" t="n">
        <x:v>0</x:v>
      </x:c>
      <x:c r="L2223" s="2" t="n">
        <x:v>0</x:v>
      </x:c>
      <x:c r="M2223" s="2" t="n">
        <x:f>SUM(L$2186:L2223)</x:f>
        <x:v>33</x:v>
      </x:c>
      <x:c r="N2223" s="2" t="n">
        <x:v>0</x:v>
      </x:c>
      <x:c r="O2223" s="2" t="str">
        <x:v>relleno_postmuerte</x:v>
      </x:c>
      <x:c r="P2223" s="2" t="n">
        <x:v>0</x:v>
      </x:c>
      <x:c r="Q2223" s="2" t="str">
        <x:v>simulado_didactico</x:v>
      </x:c>
    </x:row>
    <x:row r="2224" ht="19" customHeight="1">
      <x:c r="A2224" s="2" t="str">
        <x:v>SIM-E2-MP-L7-R09</x:v>
      </x:c>
      <x:c r="B2224" s="2" t="n">
        <x:v>5</x:v>
      </x:c>
      <x:c r="C2224" s="2" t="str">
        <x:v>MP</x:v>
      </x:c>
      <x:c r="D2224" s="2" t="str">
        <x:v>Myzus persicae</x:v>
      </x:c>
      <x:c r="E2224" s="2" t="str">
        <x:v>L7</x:v>
      </x:c>
      <x:c r="F2224" s="2" t="n">
        <x:v>9</x:v>
      </x:c>
      <x:c r="G2224" s="2" t="n">
        <x:v>38</x:v>
      </x:c>
      <x:c r="H2224" s="2" t="n">
        <x:f>G2224+Supuestos!$C$15</x:f>
        <x:v>39</x:v>
      </x:c>
      <x:c r="I2224" s="14" t="n">
        <x:f>E2_plantas!J54+G2224</x:f>
        <x:v>46240</x:v>
      </x:c>
      <x:c r="J2224" s="2" t="str">
        <x:v>muerta</x:v>
      </x:c>
      <x:c r="K2224" s="2" t="n">
        <x:v>0</x:v>
      </x:c>
      <x:c r="L2224" s="2" t="n">
        <x:v>0</x:v>
      </x:c>
      <x:c r="M2224" s="2" t="n">
        <x:f>SUM(L$2186:L2224)</x:f>
        <x:v>33</x:v>
      </x:c>
      <x:c r="N2224" s="2" t="n">
        <x:v>0</x:v>
      </x:c>
      <x:c r="O2224" s="2" t="str">
        <x:v>relleno_postmuerte</x:v>
      </x:c>
      <x:c r="P2224" s="2" t="n">
        <x:v>0</x:v>
      </x:c>
      <x:c r="Q2224" s="2" t="str">
        <x:v>simulado_didactico</x:v>
      </x:c>
    </x:row>
    <x:row r="2225" ht="19" customHeight="1">
      <x:c r="A2225" s="2" t="str">
        <x:v>SIM-E2-MP-L7-R09</x:v>
      </x:c>
      <x:c r="B2225" s="2" t="n">
        <x:v>5</x:v>
      </x:c>
      <x:c r="C2225" s="2" t="str">
        <x:v>MP</x:v>
      </x:c>
      <x:c r="D2225" s="2" t="str">
        <x:v>Myzus persicae</x:v>
      </x:c>
      <x:c r="E2225" s="2" t="str">
        <x:v>L7</x:v>
      </x:c>
      <x:c r="F2225" s="2" t="n">
        <x:v>9</x:v>
      </x:c>
      <x:c r="G2225" s="2" t="n">
        <x:v>39</x:v>
      </x:c>
      <x:c r="H2225" s="2" t="n">
        <x:f>G2225+Supuestos!$C$15</x:f>
        <x:v>40</x:v>
      </x:c>
      <x:c r="I2225" s="14" t="n">
        <x:f>E2_plantas!J54+G2225</x:f>
        <x:v>46241</x:v>
      </x:c>
      <x:c r="J2225" s="2" t="str">
        <x:v>muerta</x:v>
      </x:c>
      <x:c r="K2225" s="2" t="n">
        <x:v>0</x:v>
      </x:c>
      <x:c r="L2225" s="2" t="n">
        <x:v>0</x:v>
      </x:c>
      <x:c r="M2225" s="2" t="n">
        <x:f>SUM(L$2186:L2225)</x:f>
        <x:v>33</x:v>
      </x:c>
      <x:c r="N2225" s="2" t="n">
        <x:v>0</x:v>
      </x:c>
      <x:c r="O2225" s="2" t="str">
        <x:v>relleno_postmuerte</x:v>
      </x:c>
      <x:c r="P2225" s="2" t="n">
        <x:v>0</x:v>
      </x:c>
      <x:c r="Q2225" s="2" t="str">
        <x:v>simulado_didactico</x:v>
      </x:c>
    </x:row>
    <x:row r="2226" ht="19" customHeight="1">
      <x:c r="A2226" s="2" t="str">
        <x:v>SIM-E2-MP-L7-R09</x:v>
      </x:c>
      <x:c r="B2226" s="2" t="n">
        <x:v>5</x:v>
      </x:c>
      <x:c r="C2226" s="2" t="str">
        <x:v>MP</x:v>
      </x:c>
      <x:c r="D2226" s="2" t="str">
        <x:v>Myzus persicae</x:v>
      </x:c>
      <x:c r="E2226" s="2" t="str">
        <x:v>L7</x:v>
      </x:c>
      <x:c r="F2226" s="2" t="n">
        <x:v>9</x:v>
      </x:c>
      <x:c r="G2226" s="2" t="n">
        <x:v>40</x:v>
      </x:c>
      <x:c r="H2226" s="2" t="n">
        <x:f>G2226+Supuestos!$C$15</x:f>
        <x:v>41</x:v>
      </x:c>
      <x:c r="I2226" s="14" t="n">
        <x:f>E2_plantas!J54+G2226</x:f>
        <x:v>46242</x:v>
      </x:c>
      <x:c r="J2226" s="2" t="str">
        <x:v>muerta</x:v>
      </x:c>
      <x:c r="K2226" s="2" t="n">
        <x:v>0</x:v>
      </x:c>
      <x:c r="L2226" s="2" t="n">
        <x:v>0</x:v>
      </x:c>
      <x:c r="M2226" s="2" t="n">
        <x:f>SUM(L$2186:L2226)</x:f>
        <x:v>33</x:v>
      </x:c>
      <x:c r="N2226" s="2" t="n">
        <x:v>0</x:v>
      </x:c>
      <x:c r="O2226" s="2" t="str">
        <x:v>relleno_postmuerte</x:v>
      </x:c>
      <x:c r="P2226" s="2" t="n">
        <x:v>0</x:v>
      </x:c>
      <x:c r="Q2226" s="2" t="str">
        <x:v>simulado_didactico</x:v>
      </x:c>
    </x:row>
    <x:row r="2227" ht="19" customHeight="1">
      <x:c r="A2227" s="2" t="str">
        <x:v>SIM-E2-MP-L7-R09</x:v>
      </x:c>
      <x:c r="B2227" s="2" t="n">
        <x:v>5</x:v>
      </x:c>
      <x:c r="C2227" s="2" t="str">
        <x:v>MP</x:v>
      </x:c>
      <x:c r="D2227" s="2" t="str">
        <x:v>Myzus persicae</x:v>
      </x:c>
      <x:c r="E2227" s="2" t="str">
        <x:v>L7</x:v>
      </x:c>
      <x:c r="F2227" s="2" t="n">
        <x:v>9</x:v>
      </x:c>
      <x:c r="G2227" s="2" t="n">
        <x:v>41</x:v>
      </x:c>
      <x:c r="H2227" s="2" t="n">
        <x:f>G2227+Supuestos!$C$15</x:f>
        <x:v>42</x:v>
      </x:c>
      <x:c r="I2227" s="14" t="n">
        <x:f>E2_plantas!J54+G2227</x:f>
        <x:v>46243</x:v>
      </x:c>
      <x:c r="J2227" s="2" t="str">
        <x:v>muerta</x:v>
      </x:c>
      <x:c r="K2227" s="2" t="n">
        <x:v>0</x:v>
      </x:c>
      <x:c r="L2227" s="2" t="n">
        <x:v>0</x:v>
      </x:c>
      <x:c r="M2227" s="2" t="n">
        <x:f>SUM(L$2186:L2227)</x:f>
        <x:v>33</x:v>
      </x:c>
      <x:c r="N2227" s="2" t="n">
        <x:v>0</x:v>
      </x:c>
      <x:c r="O2227" s="2" t="str">
        <x:v>relleno_postmuerte</x:v>
      </x:c>
      <x:c r="P2227" s="2" t="n">
        <x:v>0</x:v>
      </x:c>
      <x:c r="Q2227" s="2" t="str">
        <x:v>simulado_didactico</x:v>
      </x:c>
    </x:row>
    <x:row r="2228" ht="19" customHeight="1">
      <x:c r="A2228" s="2" t="str">
        <x:v>SIM-E2-MP-L7-R10</x:v>
      </x:c>
      <x:c r="B2228" s="2" t="n">
        <x:v>5</x:v>
      </x:c>
      <x:c r="C2228" s="2" t="str">
        <x:v>MP</x:v>
      </x:c>
      <x:c r="D2228" s="2" t="str">
        <x:v>Myzus persicae</x:v>
      </x:c>
      <x:c r="E2228" s="2" t="str">
        <x:v>L7</x:v>
      </x:c>
      <x:c r="F2228" s="2" t="n">
        <x:v>10</x:v>
      </x:c>
      <x:c r="G2228" s="2" t="n">
        <x:v>0</x:v>
      </x:c>
      <x:c r="H2228" s="2" t="n">
        <x:f>G2228+Supuestos!$C$15</x:f>
        <x:v>1</x:v>
      </x:c>
      <x:c r="I2228" s="14" t="n">
        <x:f>E2_plantas!J55+G2228</x:f>
        <x:v>46202</x:v>
      </x:c>
      <x:c r="J2228" s="2" t="str">
        <x:v>N1</x:v>
      </x:c>
      <x:c r="K2228" s="2" t="n">
        <x:v>1</x:v>
      </x:c>
      <x:c r="L2228" s="2" t="n">
        <x:v>0</x:v>
      </x:c>
      <x:c r="M2228" s="2" t="n">
        <x:f>SUM(L$2228:L2228)</x:f>
        <x:v>0</x:v>
      </x:c>
      <x:c r="N2228" s="2" t="n">
        <x:v>0</x:v>
      </x:c>
      <x:c r="O2228" s="2" t="str">
        <x:v>seguimiento</x:v>
      </x:c>
      <x:c r="P2228" s="2" t="n">
        <x:v>0</x:v>
      </x:c>
      <x:c r="Q2228" s="2" t="str">
        <x:v>simulado_didactico</x:v>
      </x:c>
    </x:row>
    <x:row r="2229" ht="19" customHeight="1">
      <x:c r="A2229" s="2" t="str">
        <x:v>SIM-E2-MP-L7-R10</x:v>
      </x:c>
      <x:c r="B2229" s="2" t="n">
        <x:v>5</x:v>
      </x:c>
      <x:c r="C2229" s="2" t="str">
        <x:v>MP</x:v>
      </x:c>
      <x:c r="D2229" s="2" t="str">
        <x:v>Myzus persicae</x:v>
      </x:c>
      <x:c r="E2229" s="2" t="str">
        <x:v>L7</x:v>
      </x:c>
      <x:c r="F2229" s="2" t="n">
        <x:v>10</x:v>
      </x:c>
      <x:c r="G2229" s="2" t="n">
        <x:v>1</x:v>
      </x:c>
      <x:c r="H2229" s="2" t="n">
        <x:f>G2229+Supuestos!$C$15</x:f>
        <x:v>2</x:v>
      </x:c>
      <x:c r="I2229" s="14" t="n">
        <x:f>E2_plantas!J55+G2229</x:f>
        <x:v>46203</x:v>
      </x:c>
      <x:c r="J2229" s="2" t="str">
        <x:v>N1</x:v>
      </x:c>
      <x:c r="K2229" s="2" t="n">
        <x:v>1</x:v>
      </x:c>
      <x:c r="L2229" s="2" t="n">
        <x:v>0</x:v>
      </x:c>
      <x:c r="M2229" s="2" t="n">
        <x:f>SUM(L$2228:L2229)</x:f>
        <x:v>0</x:v>
      </x:c>
      <x:c r="N2229" s="2" t="n">
        <x:v>0</x:v>
      </x:c>
      <x:c r="O2229" s="2" t="str">
        <x:v>seguimiento</x:v>
      </x:c>
      <x:c r="P2229" s="2" t="n">
        <x:v>0</x:v>
      </x:c>
      <x:c r="Q2229" s="2" t="str">
        <x:v>simulado_didactico</x:v>
      </x:c>
    </x:row>
    <x:row r="2230" ht="19" customHeight="1">
      <x:c r="A2230" s="2" t="str">
        <x:v>SIM-E2-MP-L7-R10</x:v>
      </x:c>
      <x:c r="B2230" s="2" t="n">
        <x:v>5</x:v>
      </x:c>
      <x:c r="C2230" s="2" t="str">
        <x:v>MP</x:v>
      </x:c>
      <x:c r="D2230" s="2" t="str">
        <x:v>Myzus persicae</x:v>
      </x:c>
      <x:c r="E2230" s="2" t="str">
        <x:v>L7</x:v>
      </x:c>
      <x:c r="F2230" s="2" t="n">
        <x:v>10</x:v>
      </x:c>
      <x:c r="G2230" s="2" t="n">
        <x:v>2</x:v>
      </x:c>
      <x:c r="H2230" s="2" t="n">
        <x:f>G2230+Supuestos!$C$15</x:f>
        <x:v>3</x:v>
      </x:c>
      <x:c r="I2230" s="14" t="n">
        <x:f>E2_plantas!J55+G2230</x:f>
        <x:v>46204</x:v>
      </x:c>
      <x:c r="J2230" s="2" t="str">
        <x:v>N1</x:v>
      </x:c>
      <x:c r="K2230" s="2" t="n">
        <x:v>1</x:v>
      </x:c>
      <x:c r="L2230" s="2" t="n">
        <x:v>0</x:v>
      </x:c>
      <x:c r="M2230" s="2" t="n">
        <x:f>SUM(L$2228:L2230)</x:f>
        <x:v>0</x:v>
      </x:c>
      <x:c r="N2230" s="2" t="n">
        <x:v>0</x:v>
      </x:c>
      <x:c r="O2230" s="2" t="str">
        <x:v>seguimiento</x:v>
      </x:c>
      <x:c r="P2230" s="2" t="n">
        <x:v>0</x:v>
      </x:c>
      <x:c r="Q2230" s="2" t="str">
        <x:v>simulado_didactico</x:v>
      </x:c>
    </x:row>
    <x:row r="2231" ht="19" customHeight="1">
      <x:c r="A2231" s="2" t="str">
        <x:v>SIM-E2-MP-L7-R10</x:v>
      </x:c>
      <x:c r="B2231" s="2" t="n">
        <x:v>5</x:v>
      </x:c>
      <x:c r="C2231" s="2" t="str">
        <x:v>MP</x:v>
      </x:c>
      <x:c r="D2231" s="2" t="str">
        <x:v>Myzus persicae</x:v>
      </x:c>
      <x:c r="E2231" s="2" t="str">
        <x:v>L7</x:v>
      </x:c>
      <x:c r="F2231" s="2" t="n">
        <x:v>10</x:v>
      </x:c>
      <x:c r="G2231" s="2" t="n">
        <x:v>3</x:v>
      </x:c>
      <x:c r="H2231" s="2" t="n">
        <x:f>G2231+Supuestos!$C$15</x:f>
        <x:v>4</x:v>
      </x:c>
      <x:c r="I2231" s="14" t="n">
        <x:f>E2_plantas!J55+G2231</x:f>
        <x:v>46205</x:v>
      </x:c>
      <x:c r="J2231" s="2" t="str">
        <x:v>N2</x:v>
      </x:c>
      <x:c r="K2231" s="2" t="n">
        <x:v>1</x:v>
      </x:c>
      <x:c r="L2231" s="2" t="n">
        <x:v>0</x:v>
      </x:c>
      <x:c r="M2231" s="2" t="n">
        <x:f>SUM(L$2228:L2231)</x:f>
        <x:v>0</x:v>
      </x:c>
      <x:c r="N2231" s="2" t="n">
        <x:v>0</x:v>
      </x:c>
      <x:c r="O2231" s="2" t="str">
        <x:v>seguimiento</x:v>
      </x:c>
      <x:c r="P2231" s="2" t="n">
        <x:v>0</x:v>
      </x:c>
      <x:c r="Q2231" s="2" t="str">
        <x:v>simulado_didactico</x:v>
      </x:c>
    </x:row>
    <x:row r="2232" ht="19" customHeight="1">
      <x:c r="A2232" s="2" t="str">
        <x:v>SIM-E2-MP-L7-R10</x:v>
      </x:c>
      <x:c r="B2232" s="2" t="n">
        <x:v>5</x:v>
      </x:c>
      <x:c r="C2232" s="2" t="str">
        <x:v>MP</x:v>
      </x:c>
      <x:c r="D2232" s="2" t="str">
        <x:v>Myzus persicae</x:v>
      </x:c>
      <x:c r="E2232" s="2" t="str">
        <x:v>L7</x:v>
      </x:c>
      <x:c r="F2232" s="2" t="n">
        <x:v>10</x:v>
      </x:c>
      <x:c r="G2232" s="2" t="n">
        <x:v>4</x:v>
      </x:c>
      <x:c r="H2232" s="2" t="n">
        <x:f>G2232+Supuestos!$C$15</x:f>
        <x:v>5</x:v>
      </x:c>
      <x:c r="I2232" s="14" t="n">
        <x:f>E2_plantas!J55+G2232</x:f>
        <x:v>46206</x:v>
      </x:c>
      <x:c r="J2232" s="2" t="str">
        <x:v>N2</x:v>
      </x:c>
      <x:c r="K2232" s="2" t="n">
        <x:v>1</x:v>
      </x:c>
      <x:c r="L2232" s="2" t="n">
        <x:v>0</x:v>
      </x:c>
      <x:c r="M2232" s="2" t="n">
        <x:f>SUM(L$2228:L2232)</x:f>
        <x:v>0</x:v>
      </x:c>
      <x:c r="N2232" s="2" t="n">
        <x:v>0</x:v>
      </x:c>
      <x:c r="O2232" s="2" t="str">
        <x:v>seguimiento</x:v>
      </x:c>
      <x:c r="P2232" s="2" t="n">
        <x:v>0</x:v>
      </x:c>
      <x:c r="Q2232" s="2" t="str">
        <x:v>simulado_didactico</x:v>
      </x:c>
    </x:row>
    <x:row r="2233" ht="19" customHeight="1">
      <x:c r="A2233" s="2" t="str">
        <x:v>SIM-E2-MP-L7-R10</x:v>
      </x:c>
      <x:c r="B2233" s="2" t="n">
        <x:v>5</x:v>
      </x:c>
      <x:c r="C2233" s="2" t="str">
        <x:v>MP</x:v>
      </x:c>
      <x:c r="D2233" s="2" t="str">
        <x:v>Myzus persicae</x:v>
      </x:c>
      <x:c r="E2233" s="2" t="str">
        <x:v>L7</x:v>
      </x:c>
      <x:c r="F2233" s="2" t="n">
        <x:v>10</x:v>
      </x:c>
      <x:c r="G2233" s="2" t="n">
        <x:v>5</x:v>
      </x:c>
      <x:c r="H2233" s="2" t="n">
        <x:f>G2233+Supuestos!$C$15</x:f>
        <x:v>6</x:v>
      </x:c>
      <x:c r="I2233" s="14" t="n">
        <x:f>E2_plantas!J55+G2233</x:f>
        <x:v>46207</x:v>
      </x:c>
      <x:c r="J2233" s="2" t="str">
        <x:v>N3</x:v>
      </x:c>
      <x:c r="K2233" s="2" t="n">
        <x:v>1</x:v>
      </x:c>
      <x:c r="L2233" s="2" t="n">
        <x:v>0</x:v>
      </x:c>
      <x:c r="M2233" s="2" t="n">
        <x:f>SUM(L$2228:L2233)</x:f>
        <x:v>0</x:v>
      </x:c>
      <x:c r="N2233" s="2" t="n">
        <x:v>0</x:v>
      </x:c>
      <x:c r="O2233" s="2" t="str">
        <x:v>seguimiento</x:v>
      </x:c>
      <x:c r="P2233" s="2" t="n">
        <x:v>0</x:v>
      </x:c>
      <x:c r="Q2233" s="2" t="str">
        <x:v>simulado_didactico</x:v>
      </x:c>
    </x:row>
    <x:row r="2234" ht="19" customHeight="1">
      <x:c r="A2234" s="2" t="str">
        <x:v>SIM-E2-MP-L7-R10</x:v>
      </x:c>
      <x:c r="B2234" s="2" t="n">
        <x:v>5</x:v>
      </x:c>
      <x:c r="C2234" s="2" t="str">
        <x:v>MP</x:v>
      </x:c>
      <x:c r="D2234" s="2" t="str">
        <x:v>Myzus persicae</x:v>
      </x:c>
      <x:c r="E2234" s="2" t="str">
        <x:v>L7</x:v>
      </x:c>
      <x:c r="F2234" s="2" t="n">
        <x:v>10</x:v>
      </x:c>
      <x:c r="G2234" s="2" t="n">
        <x:v>6</x:v>
      </x:c>
      <x:c r="H2234" s="2" t="n">
        <x:f>G2234+Supuestos!$C$15</x:f>
        <x:v>7</x:v>
      </x:c>
      <x:c r="I2234" s="14" t="n">
        <x:f>E2_plantas!J55+G2234</x:f>
        <x:v>46208</x:v>
      </x:c>
      <x:c r="J2234" s="2" t="str">
        <x:v>N3</x:v>
      </x:c>
      <x:c r="K2234" s="2" t="n">
        <x:v>1</x:v>
      </x:c>
      <x:c r="L2234" s="2" t="n">
        <x:v>0</x:v>
      </x:c>
      <x:c r="M2234" s="2" t="n">
        <x:f>SUM(L$2228:L2234)</x:f>
        <x:v>0</x:v>
      </x:c>
      <x:c r="N2234" s="2" t="n">
        <x:v>0</x:v>
      </x:c>
      <x:c r="O2234" s="2" t="str">
        <x:v>seguimiento</x:v>
      </x:c>
      <x:c r="P2234" s="2" t="n">
        <x:v>0</x:v>
      </x:c>
      <x:c r="Q2234" s="2" t="str">
        <x:v>simulado_didactico</x:v>
      </x:c>
    </x:row>
    <x:row r="2235" ht="19" customHeight="1">
      <x:c r="A2235" s="2" t="str">
        <x:v>SIM-E2-MP-L7-R10</x:v>
      </x:c>
      <x:c r="B2235" s="2" t="n">
        <x:v>5</x:v>
      </x:c>
      <x:c r="C2235" s="2" t="str">
        <x:v>MP</x:v>
      </x:c>
      <x:c r="D2235" s="2" t="str">
        <x:v>Myzus persicae</x:v>
      </x:c>
      <x:c r="E2235" s="2" t="str">
        <x:v>L7</x:v>
      </x:c>
      <x:c r="F2235" s="2" t="n">
        <x:v>10</x:v>
      </x:c>
      <x:c r="G2235" s="2" t="n">
        <x:v>7</x:v>
      </x:c>
      <x:c r="H2235" s="2" t="n">
        <x:f>G2235+Supuestos!$C$15</x:f>
        <x:v>8</x:v>
      </x:c>
      <x:c r="I2235" s="14" t="n">
        <x:f>E2_plantas!J55+G2235</x:f>
        <x:v>46209</x:v>
      </x:c>
      <x:c r="J2235" s="2" t="str">
        <x:v>N4</x:v>
      </x:c>
      <x:c r="K2235" s="2" t="n">
        <x:v>1</x:v>
      </x:c>
      <x:c r="L2235" s="2" t="n">
        <x:v>0</x:v>
      </x:c>
      <x:c r="M2235" s="2" t="n">
        <x:f>SUM(L$2228:L2235)</x:f>
        <x:v>0</x:v>
      </x:c>
      <x:c r="N2235" s="2" t="n">
        <x:v>0</x:v>
      </x:c>
      <x:c r="O2235" s="2" t="str">
        <x:v>seguimiento</x:v>
      </x:c>
      <x:c r="P2235" s="2" t="n">
        <x:v>0</x:v>
      </x:c>
      <x:c r="Q2235" s="2" t="str">
        <x:v>simulado_didactico</x:v>
      </x:c>
    </x:row>
    <x:row r="2236" ht="19" customHeight="1">
      <x:c r="A2236" s="2" t="str">
        <x:v>SIM-E2-MP-L7-R10</x:v>
      </x:c>
      <x:c r="B2236" s="2" t="n">
        <x:v>5</x:v>
      </x:c>
      <x:c r="C2236" s="2" t="str">
        <x:v>MP</x:v>
      </x:c>
      <x:c r="D2236" s="2" t="str">
        <x:v>Myzus persicae</x:v>
      </x:c>
      <x:c r="E2236" s="2" t="str">
        <x:v>L7</x:v>
      </x:c>
      <x:c r="F2236" s="2" t="n">
        <x:v>10</x:v>
      </x:c>
      <x:c r="G2236" s="2" t="n">
        <x:v>8</x:v>
      </x:c>
      <x:c r="H2236" s="2" t="n">
        <x:f>G2236+Supuestos!$C$15</x:f>
        <x:v>9</x:v>
      </x:c>
      <x:c r="I2236" s="14" t="n">
        <x:f>E2_plantas!J55+G2236</x:f>
        <x:v>46210</x:v>
      </x:c>
      <x:c r="J2236" s="2" t="str">
        <x:v>N4</x:v>
      </x:c>
      <x:c r="K2236" s="2" t="n">
        <x:v>1</x:v>
      </x:c>
      <x:c r="L2236" s="2" t="n">
        <x:v>0</x:v>
      </x:c>
      <x:c r="M2236" s="2" t="n">
        <x:f>SUM(L$2228:L2236)</x:f>
        <x:v>0</x:v>
      </x:c>
      <x:c r="N2236" s="2" t="n">
        <x:v>0</x:v>
      </x:c>
      <x:c r="O2236" s="2" t="str">
        <x:v>seguimiento</x:v>
      </x:c>
      <x:c r="P2236" s="2" t="n">
        <x:v>0</x:v>
      </x:c>
      <x:c r="Q2236" s="2" t="str">
        <x:v>simulado_didactico</x:v>
      </x:c>
    </x:row>
    <x:row r="2237" ht="19" customHeight="1">
      <x:c r="A2237" s="2" t="str">
        <x:v>SIM-E2-MP-L7-R10</x:v>
      </x:c>
      <x:c r="B2237" s="2" t="n">
        <x:v>5</x:v>
      </x:c>
      <x:c r="C2237" s="2" t="str">
        <x:v>MP</x:v>
      </x:c>
      <x:c r="D2237" s="2" t="str">
        <x:v>Myzus persicae</x:v>
      </x:c>
      <x:c r="E2237" s="2" t="str">
        <x:v>L7</x:v>
      </x:c>
      <x:c r="F2237" s="2" t="n">
        <x:v>10</x:v>
      </x:c>
      <x:c r="G2237" s="2" t="n">
        <x:v>9</x:v>
      </x:c>
      <x:c r="H2237" s="2" t="n">
        <x:f>G2237+Supuestos!$C$15</x:f>
        <x:v>10</x:v>
      </x:c>
      <x:c r="I2237" s="14" t="n">
        <x:f>E2_plantas!J55+G2237</x:f>
        <x:v>46211</x:v>
      </x:c>
      <x:c r="J2237" s="2" t="str">
        <x:v>N4</x:v>
      </x:c>
      <x:c r="K2237" s="2" t="n">
        <x:v>1</x:v>
      </x:c>
      <x:c r="L2237" s="2" t="n">
        <x:v>0</x:v>
      </x:c>
      <x:c r="M2237" s="2" t="n">
        <x:f>SUM(L$2228:L2237)</x:f>
        <x:v>0</x:v>
      </x:c>
      <x:c r="N2237" s="2" t="n">
        <x:v>0</x:v>
      </x:c>
      <x:c r="O2237" s="2" t="str">
        <x:v>seguimiento</x:v>
      </x:c>
      <x:c r="P2237" s="2" t="n">
        <x:v>0</x:v>
      </x:c>
      <x:c r="Q2237" s="2" t="str">
        <x:v>simulado_didactico</x:v>
      </x:c>
    </x:row>
    <x:row r="2238" ht="19" customHeight="1">
      <x:c r="A2238" s="2" t="str">
        <x:v>SIM-E2-MP-L7-R10</x:v>
      </x:c>
      <x:c r="B2238" s="2" t="n">
        <x:v>5</x:v>
      </x:c>
      <x:c r="C2238" s="2" t="str">
        <x:v>MP</x:v>
      </x:c>
      <x:c r="D2238" s="2" t="str">
        <x:v>Myzus persicae</x:v>
      </x:c>
      <x:c r="E2238" s="2" t="str">
        <x:v>L7</x:v>
      </x:c>
      <x:c r="F2238" s="2" t="n">
        <x:v>10</x:v>
      </x:c>
      <x:c r="G2238" s="2" t="n">
        <x:v>10</x:v>
      </x:c>
      <x:c r="H2238" s="2" t="n">
        <x:f>G2238+Supuestos!$C$15</x:f>
        <x:v>11</x:v>
      </x:c>
      <x:c r="I2238" s="14" t="n">
        <x:f>E2_plantas!J55+G2238</x:f>
        <x:v>46212</x:v>
      </x:c>
      <x:c r="J2238" s="2" t="str">
        <x:v>adulta</x:v>
      </x:c>
      <x:c r="K2238" s="2" t="n">
        <x:v>1</x:v>
      </x:c>
      <x:c r="L2238" s="2" t="n">
        <x:v>0</x:v>
      </x:c>
      <x:c r="M2238" s="2" t="n">
        <x:f>SUM(L$2228:L2238)</x:f>
        <x:v>0</x:v>
      </x:c>
      <x:c r="N2238" s="2" t="n">
        <x:v>0</x:v>
      </x:c>
      <x:c r="O2238" s="2" t="str">
        <x:v>seguimiento</x:v>
      </x:c>
      <x:c r="P2238" s="2" t="n">
        <x:v>0</x:v>
      </x:c>
      <x:c r="Q2238" s="2" t="str">
        <x:v>simulado_didactico</x:v>
      </x:c>
    </x:row>
    <x:row r="2239" ht="19" customHeight="1">
      <x:c r="A2239" s="2" t="str">
        <x:v>SIM-E2-MP-L7-R10</x:v>
      </x:c>
      <x:c r="B2239" s="2" t="n">
        <x:v>5</x:v>
      </x:c>
      <x:c r="C2239" s="2" t="str">
        <x:v>MP</x:v>
      </x:c>
      <x:c r="D2239" s="2" t="str">
        <x:v>Myzus persicae</x:v>
      </x:c>
      <x:c r="E2239" s="2" t="str">
        <x:v>L7</x:v>
      </x:c>
      <x:c r="F2239" s="2" t="n">
        <x:v>10</x:v>
      </x:c>
      <x:c r="G2239" s="2" t="n">
        <x:v>11</x:v>
      </x:c>
      <x:c r="H2239" s="2" t="n">
        <x:f>G2239+Supuestos!$C$15</x:f>
        <x:v>12</x:v>
      </x:c>
      <x:c r="I2239" s="14" t="n">
        <x:f>E2_plantas!J55+G2239</x:f>
        <x:v>46213</x:v>
      </x:c>
      <x:c r="J2239" s="2" t="str">
        <x:v>adulta</x:v>
      </x:c>
      <x:c r="K2239" s="2" t="n">
        <x:v>1</x:v>
      </x:c>
      <x:c r="L2239" s="2" t="n">
        <x:v>0</x:v>
      </x:c>
      <x:c r="M2239" s="2" t="n">
        <x:f>SUM(L$2228:L2239)</x:f>
        <x:v>0</x:v>
      </x:c>
      <x:c r="N2239" s="2" t="n">
        <x:v>0</x:v>
      </x:c>
      <x:c r="O2239" s="2" t="str">
        <x:v>seguimiento</x:v>
      </x:c>
      <x:c r="P2239" s="2" t="n">
        <x:v>0</x:v>
      </x:c>
      <x:c r="Q2239" s="2" t="str">
        <x:v>simulado_didactico</x:v>
      </x:c>
    </x:row>
    <x:row r="2240" ht="19" customHeight="1">
      <x:c r="A2240" s="2" t="str">
        <x:v>SIM-E2-MP-L7-R10</x:v>
      </x:c>
      <x:c r="B2240" s="2" t="n">
        <x:v>5</x:v>
      </x:c>
      <x:c r="C2240" s="2" t="str">
        <x:v>MP</x:v>
      </x:c>
      <x:c r="D2240" s="2" t="str">
        <x:v>Myzus persicae</x:v>
      </x:c>
      <x:c r="E2240" s="2" t="str">
        <x:v>L7</x:v>
      </x:c>
      <x:c r="F2240" s="2" t="n">
        <x:v>10</x:v>
      </x:c>
      <x:c r="G2240" s="2" t="n">
        <x:v>12</x:v>
      </x:c>
      <x:c r="H2240" s="2" t="n">
        <x:f>G2240+Supuestos!$C$15</x:f>
        <x:v>13</x:v>
      </x:c>
      <x:c r="I2240" s="14" t="n">
        <x:f>E2_plantas!J55+G2240</x:f>
        <x:v>46214</x:v>
      </x:c>
      <x:c r="J2240" s="2" t="str">
        <x:v>adulta</x:v>
      </x:c>
      <x:c r="K2240" s="2" t="n">
        <x:v>1</x:v>
      </x:c>
      <x:c r="L2240" s="2" t="n">
        <x:v>1</x:v>
      </x:c>
      <x:c r="M2240" s="2" t="n">
        <x:f>SUM(L$2228:L2240)</x:f>
        <x:v>1</x:v>
      </x:c>
      <x:c r="N2240" s="2" t="n">
        <x:v>0</x:v>
      </x:c>
      <x:c r="O2240" s="2" t="str">
        <x:v>seguimiento</x:v>
      </x:c>
      <x:c r="P2240" s="2" t="n">
        <x:v>0</x:v>
      </x:c>
      <x:c r="Q2240" s="2" t="str">
        <x:v>simulado_didactico</x:v>
      </x:c>
    </x:row>
    <x:row r="2241" ht="19" customHeight="1">
      <x:c r="A2241" s="2" t="str">
        <x:v>SIM-E2-MP-L7-R10</x:v>
      </x:c>
      <x:c r="B2241" s="2" t="n">
        <x:v>5</x:v>
      </x:c>
      <x:c r="C2241" s="2" t="str">
        <x:v>MP</x:v>
      </x:c>
      <x:c r="D2241" s="2" t="str">
        <x:v>Myzus persicae</x:v>
      </x:c>
      <x:c r="E2241" s="2" t="str">
        <x:v>L7</x:v>
      </x:c>
      <x:c r="F2241" s="2" t="n">
        <x:v>10</x:v>
      </x:c>
      <x:c r="G2241" s="2" t="n">
        <x:v>13</x:v>
      </x:c>
      <x:c r="H2241" s="2" t="n">
        <x:f>G2241+Supuestos!$C$15</x:f>
        <x:v>14</x:v>
      </x:c>
      <x:c r="I2241" s="14" t="n">
        <x:f>E2_plantas!J55+G2241</x:f>
        <x:v>46215</x:v>
      </x:c>
      <x:c r="J2241" s="2" t="str">
        <x:v>adulta</x:v>
      </x:c>
      <x:c r="K2241" s="2" t="n">
        <x:v>1</x:v>
      </x:c>
      <x:c r="L2241" s="2" t="n">
        <x:v>7</x:v>
      </x:c>
      <x:c r="M2241" s="2" t="n">
        <x:f>SUM(L$2228:L2241)</x:f>
        <x:v>8</x:v>
      </x:c>
      <x:c r="N2241" s="2" t="n">
        <x:v>0</x:v>
      </x:c>
      <x:c r="O2241" s="2" t="str">
        <x:v>seguimiento</x:v>
      </x:c>
      <x:c r="P2241" s="2" t="n">
        <x:v>0</x:v>
      </x:c>
      <x:c r="Q2241" s="2" t="str">
        <x:v>simulado_didactico</x:v>
      </x:c>
    </x:row>
    <x:row r="2242" ht="19" customHeight="1">
      <x:c r="A2242" s="2" t="str">
        <x:v>SIM-E2-MP-L7-R10</x:v>
      </x:c>
      <x:c r="B2242" s="2" t="n">
        <x:v>5</x:v>
      </x:c>
      <x:c r="C2242" s="2" t="str">
        <x:v>MP</x:v>
      </x:c>
      <x:c r="D2242" s="2" t="str">
        <x:v>Myzus persicae</x:v>
      </x:c>
      <x:c r="E2242" s="2" t="str">
        <x:v>L7</x:v>
      </x:c>
      <x:c r="F2242" s="2" t="n">
        <x:v>10</x:v>
      </x:c>
      <x:c r="G2242" s="2" t="n">
        <x:v>14</x:v>
      </x:c>
      <x:c r="H2242" s="2" t="n">
        <x:f>G2242+Supuestos!$C$15</x:f>
        <x:v>15</x:v>
      </x:c>
      <x:c r="I2242" s="14" t="n">
        <x:f>E2_plantas!J55+G2242</x:f>
        <x:v>46216</x:v>
      </x:c>
      <x:c r="J2242" s="2" t="str">
        <x:v>adulta</x:v>
      </x:c>
      <x:c r="K2242" s="2" t="n">
        <x:v>1</x:v>
      </x:c>
      <x:c r="L2242" s="2" t="n">
        <x:v>2</x:v>
      </x:c>
      <x:c r="M2242" s="2" t="n">
        <x:f>SUM(L$2228:L2242)</x:f>
        <x:v>10</x:v>
      </x:c>
      <x:c r="N2242" s="2" t="n">
        <x:v>0</x:v>
      </x:c>
      <x:c r="O2242" s="2" t="str">
        <x:v>seguimiento</x:v>
      </x:c>
      <x:c r="P2242" s="2" t="n">
        <x:v>0</x:v>
      </x:c>
      <x:c r="Q2242" s="2" t="str">
        <x:v>simulado_didactico</x:v>
      </x:c>
    </x:row>
    <x:row r="2243" ht="19" customHeight="1">
      <x:c r="A2243" s="2" t="str">
        <x:v>SIM-E2-MP-L7-R10</x:v>
      </x:c>
      <x:c r="B2243" s="2" t="n">
        <x:v>5</x:v>
      </x:c>
      <x:c r="C2243" s="2" t="str">
        <x:v>MP</x:v>
      </x:c>
      <x:c r="D2243" s="2" t="str">
        <x:v>Myzus persicae</x:v>
      </x:c>
      <x:c r="E2243" s="2" t="str">
        <x:v>L7</x:v>
      </x:c>
      <x:c r="F2243" s="2" t="n">
        <x:v>10</x:v>
      </x:c>
      <x:c r="G2243" s="2" t="n">
        <x:v>15</x:v>
      </x:c>
      <x:c r="H2243" s="2" t="n">
        <x:f>G2243+Supuestos!$C$15</x:f>
        <x:v>16</x:v>
      </x:c>
      <x:c r="I2243" s="14" t="n">
        <x:f>E2_plantas!J55+G2243</x:f>
        <x:v>46217</x:v>
      </x:c>
      <x:c r="J2243" s="2" t="str">
        <x:v>adulta</x:v>
      </x:c>
      <x:c r="K2243" s="2" t="n">
        <x:v>1</x:v>
      </x:c>
      <x:c r="L2243" s="2" t="n">
        <x:v>3</x:v>
      </x:c>
      <x:c r="M2243" s="2" t="n">
        <x:f>SUM(L$2228:L2243)</x:f>
        <x:v>13</x:v>
      </x:c>
      <x:c r="N2243" s="2" t="n">
        <x:v>0</x:v>
      </x:c>
      <x:c r="O2243" s="2" t="str">
        <x:v>seguimiento</x:v>
      </x:c>
      <x:c r="P2243" s="2" t="n">
        <x:v>0</x:v>
      </x:c>
      <x:c r="Q2243" s="2" t="str">
        <x:v>simulado_didactico</x:v>
      </x:c>
    </x:row>
    <x:row r="2244" ht="19" customHeight="1">
      <x:c r="A2244" s="2" t="str">
        <x:v>SIM-E2-MP-L7-R10</x:v>
      </x:c>
      <x:c r="B2244" s="2" t="n">
        <x:v>5</x:v>
      </x:c>
      <x:c r="C2244" s="2" t="str">
        <x:v>MP</x:v>
      </x:c>
      <x:c r="D2244" s="2" t="str">
        <x:v>Myzus persicae</x:v>
      </x:c>
      <x:c r="E2244" s="2" t="str">
        <x:v>L7</x:v>
      </x:c>
      <x:c r="F2244" s="2" t="n">
        <x:v>10</x:v>
      </x:c>
      <x:c r="G2244" s="2" t="n">
        <x:v>16</x:v>
      </x:c>
      <x:c r="H2244" s="2" t="n">
        <x:f>G2244+Supuestos!$C$15</x:f>
        <x:v>17</x:v>
      </x:c>
      <x:c r="I2244" s="14" t="n">
        <x:f>E2_plantas!J55+G2244</x:f>
        <x:v>46218</x:v>
      </x:c>
      <x:c r="J2244" s="2" t="str">
        <x:v>adulta</x:v>
      </x:c>
      <x:c r="K2244" s="2" t="n">
        <x:v>1</x:v>
      </x:c>
      <x:c r="L2244" s="2" t="n">
        <x:v>3</x:v>
      </x:c>
      <x:c r="M2244" s="2" t="n">
        <x:f>SUM(L$2228:L2244)</x:f>
        <x:v>16</x:v>
      </x:c>
      <x:c r="N2244" s="2" t="n">
        <x:v>0</x:v>
      </x:c>
      <x:c r="O2244" s="2" t="str">
        <x:v>seguimiento</x:v>
      </x:c>
      <x:c r="P2244" s="2" t="n">
        <x:v>0</x:v>
      </x:c>
      <x:c r="Q2244" s="2" t="str">
        <x:v>simulado_didactico</x:v>
      </x:c>
    </x:row>
    <x:row r="2245" ht="19" customHeight="1">
      <x:c r="A2245" s="2" t="str">
        <x:v>SIM-E2-MP-L7-R10</x:v>
      </x:c>
      <x:c r="B2245" s="2" t="n">
        <x:v>5</x:v>
      </x:c>
      <x:c r="C2245" s="2" t="str">
        <x:v>MP</x:v>
      </x:c>
      <x:c r="D2245" s="2" t="str">
        <x:v>Myzus persicae</x:v>
      </x:c>
      <x:c r="E2245" s="2" t="str">
        <x:v>L7</x:v>
      </x:c>
      <x:c r="F2245" s="2" t="n">
        <x:v>10</x:v>
      </x:c>
      <x:c r="G2245" s="2" t="n">
        <x:v>17</x:v>
      </x:c>
      <x:c r="H2245" s="2" t="n">
        <x:f>G2245+Supuestos!$C$15</x:f>
        <x:v>18</x:v>
      </x:c>
      <x:c r="I2245" s="14" t="n">
        <x:f>E2_plantas!J55+G2245</x:f>
        <x:v>46219</x:v>
      </x:c>
      <x:c r="J2245" s="2" t="str">
        <x:v>adulta</x:v>
      </x:c>
      <x:c r="K2245" s="2" t="n">
        <x:v>1</x:v>
      </x:c>
      <x:c r="L2245" s="2" t="n">
        <x:v>4</x:v>
      </x:c>
      <x:c r="M2245" s="2" t="n">
        <x:f>SUM(L$2228:L2245)</x:f>
        <x:v>20</x:v>
      </x:c>
      <x:c r="N2245" s="2" t="n">
        <x:v>0</x:v>
      </x:c>
      <x:c r="O2245" s="2" t="str">
        <x:v>seguimiento</x:v>
      </x:c>
      <x:c r="P2245" s="2" t="n">
        <x:v>0</x:v>
      </x:c>
      <x:c r="Q2245" s="2" t="str">
        <x:v>simulado_didactico</x:v>
      </x:c>
    </x:row>
    <x:row r="2246" ht="19" customHeight="1">
      <x:c r="A2246" s="2" t="str">
        <x:v>SIM-E2-MP-L7-R10</x:v>
      </x:c>
      <x:c r="B2246" s="2" t="n">
        <x:v>5</x:v>
      </x:c>
      <x:c r="C2246" s="2" t="str">
        <x:v>MP</x:v>
      </x:c>
      <x:c r="D2246" s="2" t="str">
        <x:v>Myzus persicae</x:v>
      </x:c>
      <x:c r="E2246" s="2" t="str">
        <x:v>L7</x:v>
      </x:c>
      <x:c r="F2246" s="2" t="n">
        <x:v>10</x:v>
      </x:c>
      <x:c r="G2246" s="2" t="n">
        <x:v>18</x:v>
      </x:c>
      <x:c r="H2246" s="2" t="n">
        <x:f>G2246+Supuestos!$C$15</x:f>
        <x:v>19</x:v>
      </x:c>
      <x:c r="I2246" s="14" t="n">
        <x:f>E2_plantas!J55+G2246</x:f>
        <x:v>46220</x:v>
      </x:c>
      <x:c r="J2246" s="2" t="str">
        <x:v>adulta</x:v>
      </x:c>
      <x:c r="K2246" s="2" t="n">
        <x:v>1</x:v>
      </x:c>
      <x:c r="L2246" s="2" t="n">
        <x:v>5</x:v>
      </x:c>
      <x:c r="M2246" s="2" t="n">
        <x:f>SUM(L$2228:L2246)</x:f>
        <x:v>25</x:v>
      </x:c>
      <x:c r="N2246" s="2" t="n">
        <x:v>0</x:v>
      </x:c>
      <x:c r="O2246" s="2" t="str">
        <x:v>seguimiento</x:v>
      </x:c>
      <x:c r="P2246" s="2" t="n">
        <x:v>0</x:v>
      </x:c>
      <x:c r="Q2246" s="2" t="str">
        <x:v>simulado_didactico</x:v>
      </x:c>
    </x:row>
    <x:row r="2247" ht="19" customHeight="1">
      <x:c r="A2247" s="2" t="str">
        <x:v>SIM-E2-MP-L7-R10</x:v>
      </x:c>
      <x:c r="B2247" s="2" t="n">
        <x:v>5</x:v>
      </x:c>
      <x:c r="C2247" s="2" t="str">
        <x:v>MP</x:v>
      </x:c>
      <x:c r="D2247" s="2" t="str">
        <x:v>Myzus persicae</x:v>
      </x:c>
      <x:c r="E2247" s="2" t="str">
        <x:v>L7</x:v>
      </x:c>
      <x:c r="F2247" s="2" t="n">
        <x:v>10</x:v>
      </x:c>
      <x:c r="G2247" s="2" t="n">
        <x:v>19</x:v>
      </x:c>
      <x:c r="H2247" s="2" t="n">
        <x:f>G2247+Supuestos!$C$15</x:f>
        <x:v>20</x:v>
      </x:c>
      <x:c r="I2247" s="14" t="n">
        <x:f>E2_plantas!J55+G2247</x:f>
        <x:v>46221</x:v>
      </x:c>
      <x:c r="J2247" s="2" t="str">
        <x:v>adulta</x:v>
      </x:c>
      <x:c r="K2247" s="2" t="n">
        <x:v>1</x:v>
      </x:c>
      <x:c r="L2247" s="2" t="n">
        <x:v>5</x:v>
      </x:c>
      <x:c r="M2247" s="2" t="n">
        <x:f>SUM(L$2228:L2247)</x:f>
        <x:v>30</x:v>
      </x:c>
      <x:c r="N2247" s="2" t="n">
        <x:v>0</x:v>
      </x:c>
      <x:c r="O2247" s="2" t="str">
        <x:v>seguimiento</x:v>
      </x:c>
      <x:c r="P2247" s="2" t="n">
        <x:v>0</x:v>
      </x:c>
      <x:c r="Q2247" s="2" t="str">
        <x:v>simulado_didactico</x:v>
      </x:c>
    </x:row>
    <x:row r="2248" ht="19" customHeight="1">
      <x:c r="A2248" s="2" t="str">
        <x:v>SIM-E2-MP-L7-R10</x:v>
      </x:c>
      <x:c r="B2248" s="2" t="n">
        <x:v>5</x:v>
      </x:c>
      <x:c r="C2248" s="2" t="str">
        <x:v>MP</x:v>
      </x:c>
      <x:c r="D2248" s="2" t="str">
        <x:v>Myzus persicae</x:v>
      </x:c>
      <x:c r="E2248" s="2" t="str">
        <x:v>L7</x:v>
      </x:c>
      <x:c r="F2248" s="2" t="n">
        <x:v>10</x:v>
      </x:c>
      <x:c r="G2248" s="2" t="n">
        <x:v>20</x:v>
      </x:c>
      <x:c r="H2248" s="2" t="n">
        <x:f>G2248+Supuestos!$C$15</x:f>
        <x:v>21</x:v>
      </x:c>
      <x:c r="I2248" s="14" t="n">
        <x:f>E2_plantas!J55+G2248</x:f>
        <x:v>46222</x:v>
      </x:c>
      <x:c r="J2248" s="2" t="str">
        <x:v>adulta</x:v>
      </x:c>
      <x:c r="K2248" s="2" t="n">
        <x:v>1</x:v>
      </x:c>
      <x:c r="L2248" s="2" t="n">
        <x:v>0</x:v>
      </x:c>
      <x:c r="M2248" s="2" t="n">
        <x:f>SUM(L$2228:L2248)</x:f>
        <x:v>30</x:v>
      </x:c>
      <x:c r="N2248" s="2" t="n">
        <x:v>0</x:v>
      </x:c>
      <x:c r="O2248" s="2" t="str">
        <x:v>seguimiento</x:v>
      </x:c>
      <x:c r="P2248" s="2" t="n">
        <x:v>0</x:v>
      </x:c>
      <x:c r="Q2248" s="2" t="str">
        <x:v>simulado_didactico</x:v>
      </x:c>
    </x:row>
    <x:row r="2249" ht="19" customHeight="1">
      <x:c r="A2249" s="2" t="str">
        <x:v>SIM-E2-MP-L7-R10</x:v>
      </x:c>
      <x:c r="B2249" s="2" t="n">
        <x:v>5</x:v>
      </x:c>
      <x:c r="C2249" s="2" t="str">
        <x:v>MP</x:v>
      </x:c>
      <x:c r="D2249" s="2" t="str">
        <x:v>Myzus persicae</x:v>
      </x:c>
      <x:c r="E2249" s="2" t="str">
        <x:v>L7</x:v>
      </x:c>
      <x:c r="F2249" s="2" t="n">
        <x:v>10</x:v>
      </x:c>
      <x:c r="G2249" s="2" t="n">
        <x:v>21</x:v>
      </x:c>
      <x:c r="H2249" s="2" t="n">
        <x:f>G2249+Supuestos!$C$15</x:f>
        <x:v>22</x:v>
      </x:c>
      <x:c r="I2249" s="14" t="n">
        <x:f>E2_plantas!J55+G2249</x:f>
        <x:v>46223</x:v>
      </x:c>
      <x:c r="J2249" s="2" t="str">
        <x:v>adulta</x:v>
      </x:c>
      <x:c r="K2249" s="2" t="n">
        <x:v>1</x:v>
      </x:c>
      <x:c r="L2249" s="2" t="n">
        <x:v>0</x:v>
      </x:c>
      <x:c r="M2249" s="2" t="n">
        <x:f>SUM(L$2228:L2249)</x:f>
        <x:v>30</x:v>
      </x:c>
      <x:c r="N2249" s="2" t="n">
        <x:v>0</x:v>
      </x:c>
      <x:c r="O2249" s="2" t="str">
        <x:v>seguimiento</x:v>
      </x:c>
      <x:c r="P2249" s="2" t="n">
        <x:v>0</x:v>
      </x:c>
      <x:c r="Q2249" s="2" t="str">
        <x:v>simulado_didactico</x:v>
      </x:c>
    </x:row>
    <x:row r="2250" ht="19" customHeight="1">
      <x:c r="A2250" s="2" t="str">
        <x:v>SIM-E2-MP-L7-R10</x:v>
      </x:c>
      <x:c r="B2250" s="2" t="n">
        <x:v>5</x:v>
      </x:c>
      <x:c r="C2250" s="2" t="str">
        <x:v>MP</x:v>
      </x:c>
      <x:c r="D2250" s="2" t="str">
        <x:v>Myzus persicae</x:v>
      </x:c>
      <x:c r="E2250" s="2" t="str">
        <x:v>L7</x:v>
      </x:c>
      <x:c r="F2250" s="2" t="n">
        <x:v>10</x:v>
      </x:c>
      <x:c r="G2250" s="2" t="n">
        <x:v>22</x:v>
      </x:c>
      <x:c r="H2250" s="2" t="n">
        <x:f>G2250+Supuestos!$C$15</x:f>
        <x:v>23</x:v>
      </x:c>
      <x:c r="I2250" s="14" t="n">
        <x:f>E2_plantas!J55+G2250</x:f>
        <x:v>46224</x:v>
      </x:c>
      <x:c r="J2250" s="2" t="str">
        <x:v>muerta</x:v>
      </x:c>
      <x:c r="K2250" s="2" t="n">
        <x:v>0</x:v>
      </x:c>
      <x:c r="L2250" s="2" t="n">
        <x:v>0</x:v>
      </x:c>
      <x:c r="M2250" s="2" t="n">
        <x:f>SUM(L$2228:L2250)</x:f>
        <x:v>30</x:v>
      </x:c>
      <x:c r="N2250" s="2" t="n">
        <x:v>1</x:v>
      </x:c>
      <x:c r="O2250" s="2" t="str">
        <x:v>muerte</x:v>
      </x:c>
      <x:c r="P2250" s="2" t="n">
        <x:v>0</x:v>
      </x:c>
      <x:c r="Q2250" s="2" t="str">
        <x:v>simulado_didactico</x:v>
      </x:c>
    </x:row>
    <x:row r="2251" ht="19" customHeight="1">
      <x:c r="A2251" s="2" t="str">
        <x:v>SIM-E2-MP-L7-R10</x:v>
      </x:c>
      <x:c r="B2251" s="2" t="n">
        <x:v>5</x:v>
      </x:c>
      <x:c r="C2251" s="2" t="str">
        <x:v>MP</x:v>
      </x:c>
      <x:c r="D2251" s="2" t="str">
        <x:v>Myzus persicae</x:v>
      </x:c>
      <x:c r="E2251" s="2" t="str">
        <x:v>L7</x:v>
      </x:c>
      <x:c r="F2251" s="2" t="n">
        <x:v>10</x:v>
      </x:c>
      <x:c r="G2251" s="2" t="n">
        <x:v>23</x:v>
      </x:c>
      <x:c r="H2251" s="2" t="n">
        <x:f>G2251+Supuestos!$C$15</x:f>
        <x:v>24</x:v>
      </x:c>
      <x:c r="I2251" s="14" t="n">
        <x:f>E2_plantas!J55+G2251</x:f>
        <x:v>46225</x:v>
      </x:c>
      <x:c r="J2251" s="2" t="str">
        <x:v>muerta</x:v>
      </x:c>
      <x:c r="K2251" s="2" t="n">
        <x:v>0</x:v>
      </x:c>
      <x:c r="L2251" s="2" t="n">
        <x:v>0</x:v>
      </x:c>
      <x:c r="M2251" s="2" t="n">
        <x:f>SUM(L$2228:L2251)</x:f>
        <x:v>30</x:v>
      </x:c>
      <x:c r="N2251" s="2" t="n">
        <x:v>0</x:v>
      </x:c>
      <x:c r="O2251" s="2" t="str">
        <x:v>relleno_postmuerte</x:v>
      </x:c>
      <x:c r="P2251" s="2" t="n">
        <x:v>0</x:v>
      </x:c>
      <x:c r="Q2251" s="2" t="str">
        <x:v>simulado_didactico</x:v>
      </x:c>
    </x:row>
    <x:row r="2252" ht="19" customHeight="1">
      <x:c r="A2252" s="2" t="str">
        <x:v>SIM-E2-MP-L7-R10</x:v>
      </x:c>
      <x:c r="B2252" s="2" t="n">
        <x:v>5</x:v>
      </x:c>
      <x:c r="C2252" s="2" t="str">
        <x:v>MP</x:v>
      </x:c>
      <x:c r="D2252" s="2" t="str">
        <x:v>Myzus persicae</x:v>
      </x:c>
      <x:c r="E2252" s="2" t="str">
        <x:v>L7</x:v>
      </x:c>
      <x:c r="F2252" s="2" t="n">
        <x:v>10</x:v>
      </x:c>
      <x:c r="G2252" s="2" t="n">
        <x:v>24</x:v>
      </x:c>
      <x:c r="H2252" s="2" t="n">
        <x:f>G2252+Supuestos!$C$15</x:f>
        <x:v>25</x:v>
      </x:c>
      <x:c r="I2252" s="14" t="n">
        <x:f>E2_plantas!J55+G2252</x:f>
        <x:v>46226</x:v>
      </x:c>
      <x:c r="J2252" s="2" t="str">
        <x:v>muerta</x:v>
      </x:c>
      <x:c r="K2252" s="2" t="n">
        <x:v>0</x:v>
      </x:c>
      <x:c r="L2252" s="2" t="n">
        <x:v>0</x:v>
      </x:c>
      <x:c r="M2252" s="2" t="n">
        <x:f>SUM(L$2228:L2252)</x:f>
        <x:v>30</x:v>
      </x:c>
      <x:c r="N2252" s="2" t="n">
        <x:v>0</x:v>
      </x:c>
      <x:c r="O2252" s="2" t="str">
        <x:v>relleno_postmuerte</x:v>
      </x:c>
      <x:c r="P2252" s="2" t="n">
        <x:v>0</x:v>
      </x:c>
      <x:c r="Q2252" s="2" t="str">
        <x:v>simulado_didactico</x:v>
      </x:c>
    </x:row>
    <x:row r="2253" ht="19" customHeight="1">
      <x:c r="A2253" s="2" t="str">
        <x:v>SIM-E2-MP-L7-R10</x:v>
      </x:c>
      <x:c r="B2253" s="2" t="n">
        <x:v>5</x:v>
      </x:c>
      <x:c r="C2253" s="2" t="str">
        <x:v>MP</x:v>
      </x:c>
      <x:c r="D2253" s="2" t="str">
        <x:v>Myzus persicae</x:v>
      </x:c>
      <x:c r="E2253" s="2" t="str">
        <x:v>L7</x:v>
      </x:c>
      <x:c r="F2253" s="2" t="n">
        <x:v>10</x:v>
      </x:c>
      <x:c r="G2253" s="2" t="n">
        <x:v>25</x:v>
      </x:c>
      <x:c r="H2253" s="2" t="n">
        <x:f>G2253+Supuestos!$C$15</x:f>
        <x:v>26</x:v>
      </x:c>
      <x:c r="I2253" s="14" t="n">
        <x:f>E2_plantas!J55+G2253</x:f>
        <x:v>46227</x:v>
      </x:c>
      <x:c r="J2253" s="2" t="str">
        <x:v>muerta</x:v>
      </x:c>
      <x:c r="K2253" s="2" t="n">
        <x:v>0</x:v>
      </x:c>
      <x:c r="L2253" s="2" t="n">
        <x:v>0</x:v>
      </x:c>
      <x:c r="M2253" s="2" t="n">
        <x:f>SUM(L$2228:L2253)</x:f>
        <x:v>30</x:v>
      </x:c>
      <x:c r="N2253" s="2" t="n">
        <x:v>0</x:v>
      </x:c>
      <x:c r="O2253" s="2" t="str">
        <x:v>relleno_postmuerte</x:v>
      </x:c>
      <x:c r="P2253" s="2" t="n">
        <x:v>0</x:v>
      </x:c>
      <x:c r="Q2253" s="2" t="str">
        <x:v>simulado_didactico</x:v>
      </x:c>
    </x:row>
    <x:row r="2254" ht="19" customHeight="1">
      <x:c r="A2254" s="2" t="str">
        <x:v>SIM-E2-MP-L7-R10</x:v>
      </x:c>
      <x:c r="B2254" s="2" t="n">
        <x:v>5</x:v>
      </x:c>
      <x:c r="C2254" s="2" t="str">
        <x:v>MP</x:v>
      </x:c>
      <x:c r="D2254" s="2" t="str">
        <x:v>Myzus persicae</x:v>
      </x:c>
      <x:c r="E2254" s="2" t="str">
        <x:v>L7</x:v>
      </x:c>
      <x:c r="F2254" s="2" t="n">
        <x:v>10</x:v>
      </x:c>
      <x:c r="G2254" s="2" t="n">
        <x:v>26</x:v>
      </x:c>
      <x:c r="H2254" s="2" t="n">
        <x:f>G2254+Supuestos!$C$15</x:f>
        <x:v>27</x:v>
      </x:c>
      <x:c r="I2254" s="14" t="n">
        <x:f>E2_plantas!J55+G2254</x:f>
        <x:v>46228</x:v>
      </x:c>
      <x:c r="J2254" s="2" t="str">
        <x:v>muerta</x:v>
      </x:c>
      <x:c r="K2254" s="2" t="n">
        <x:v>0</x:v>
      </x:c>
      <x:c r="L2254" s="2" t="n">
        <x:v>0</x:v>
      </x:c>
      <x:c r="M2254" s="2" t="n">
        <x:f>SUM(L$2228:L2254)</x:f>
        <x:v>30</x:v>
      </x:c>
      <x:c r="N2254" s="2" t="n">
        <x:v>0</x:v>
      </x:c>
      <x:c r="O2254" s="2" t="str">
        <x:v>relleno_postmuerte</x:v>
      </x:c>
      <x:c r="P2254" s="2" t="n">
        <x:v>0</x:v>
      </x:c>
      <x:c r="Q2254" s="2" t="str">
        <x:v>simulado_didactico</x:v>
      </x:c>
    </x:row>
    <x:row r="2255" ht="19" customHeight="1">
      <x:c r="A2255" s="2" t="str">
        <x:v>SIM-E2-MP-L7-R10</x:v>
      </x:c>
      <x:c r="B2255" s="2" t="n">
        <x:v>5</x:v>
      </x:c>
      <x:c r="C2255" s="2" t="str">
        <x:v>MP</x:v>
      </x:c>
      <x:c r="D2255" s="2" t="str">
        <x:v>Myzus persicae</x:v>
      </x:c>
      <x:c r="E2255" s="2" t="str">
        <x:v>L7</x:v>
      </x:c>
      <x:c r="F2255" s="2" t="n">
        <x:v>10</x:v>
      </x:c>
      <x:c r="G2255" s="2" t="n">
        <x:v>27</x:v>
      </x:c>
      <x:c r="H2255" s="2" t="n">
        <x:f>G2255+Supuestos!$C$15</x:f>
        <x:v>28</x:v>
      </x:c>
      <x:c r="I2255" s="14" t="n">
        <x:f>E2_plantas!J55+G2255</x:f>
        <x:v>46229</x:v>
      </x:c>
      <x:c r="J2255" s="2" t="str">
        <x:v>muerta</x:v>
      </x:c>
      <x:c r="K2255" s="2" t="n">
        <x:v>0</x:v>
      </x:c>
      <x:c r="L2255" s="2" t="n">
        <x:v>0</x:v>
      </x:c>
      <x:c r="M2255" s="2" t="n">
        <x:f>SUM(L$2228:L2255)</x:f>
        <x:v>30</x:v>
      </x:c>
      <x:c r="N2255" s="2" t="n">
        <x:v>0</x:v>
      </x:c>
      <x:c r="O2255" s="2" t="str">
        <x:v>relleno_postmuerte</x:v>
      </x:c>
      <x:c r="P2255" s="2" t="n">
        <x:v>0</x:v>
      </x:c>
      <x:c r="Q2255" s="2" t="str">
        <x:v>simulado_didactico</x:v>
      </x:c>
    </x:row>
    <x:row r="2256" ht="19" customHeight="1">
      <x:c r="A2256" s="2" t="str">
        <x:v>SIM-E2-MP-L7-R10</x:v>
      </x:c>
      <x:c r="B2256" s="2" t="n">
        <x:v>5</x:v>
      </x:c>
      <x:c r="C2256" s="2" t="str">
        <x:v>MP</x:v>
      </x:c>
      <x:c r="D2256" s="2" t="str">
        <x:v>Myzus persicae</x:v>
      </x:c>
      <x:c r="E2256" s="2" t="str">
        <x:v>L7</x:v>
      </x:c>
      <x:c r="F2256" s="2" t="n">
        <x:v>10</x:v>
      </x:c>
      <x:c r="G2256" s="2" t="n">
        <x:v>28</x:v>
      </x:c>
      <x:c r="H2256" s="2" t="n">
        <x:f>G2256+Supuestos!$C$15</x:f>
        <x:v>29</x:v>
      </x:c>
      <x:c r="I2256" s="14" t="n">
        <x:f>E2_plantas!J55+G2256</x:f>
        <x:v>46230</x:v>
      </x:c>
      <x:c r="J2256" s="2" t="str">
        <x:v>muerta</x:v>
      </x:c>
      <x:c r="K2256" s="2" t="n">
        <x:v>0</x:v>
      </x:c>
      <x:c r="L2256" s="2" t="n">
        <x:v>0</x:v>
      </x:c>
      <x:c r="M2256" s="2" t="n">
        <x:f>SUM(L$2228:L2256)</x:f>
        <x:v>30</x:v>
      </x:c>
      <x:c r="N2256" s="2" t="n">
        <x:v>0</x:v>
      </x:c>
      <x:c r="O2256" s="2" t="str">
        <x:v>relleno_postmuerte</x:v>
      </x:c>
      <x:c r="P2256" s="2" t="n">
        <x:v>0</x:v>
      </x:c>
      <x:c r="Q2256" s="2" t="str">
        <x:v>simulado_didactico</x:v>
      </x:c>
    </x:row>
    <x:row r="2257" ht="19" customHeight="1">
      <x:c r="A2257" s="2" t="str">
        <x:v>SIM-E2-MP-L7-R10</x:v>
      </x:c>
      <x:c r="B2257" s="2" t="n">
        <x:v>5</x:v>
      </x:c>
      <x:c r="C2257" s="2" t="str">
        <x:v>MP</x:v>
      </x:c>
      <x:c r="D2257" s="2" t="str">
        <x:v>Myzus persicae</x:v>
      </x:c>
      <x:c r="E2257" s="2" t="str">
        <x:v>L7</x:v>
      </x:c>
      <x:c r="F2257" s="2" t="n">
        <x:v>10</x:v>
      </x:c>
      <x:c r="G2257" s="2" t="n">
        <x:v>29</x:v>
      </x:c>
      <x:c r="H2257" s="2" t="n">
        <x:f>G2257+Supuestos!$C$15</x:f>
        <x:v>30</x:v>
      </x:c>
      <x:c r="I2257" s="14" t="n">
        <x:f>E2_plantas!J55+G2257</x:f>
        <x:v>46231</x:v>
      </x:c>
      <x:c r="J2257" s="2" t="str">
        <x:v>muerta</x:v>
      </x:c>
      <x:c r="K2257" s="2" t="n">
        <x:v>0</x:v>
      </x:c>
      <x:c r="L2257" s="2" t="n">
        <x:v>0</x:v>
      </x:c>
      <x:c r="M2257" s="2" t="n">
        <x:f>SUM(L$2228:L2257)</x:f>
        <x:v>30</x:v>
      </x:c>
      <x:c r="N2257" s="2" t="n">
        <x:v>0</x:v>
      </x:c>
      <x:c r="O2257" s="2" t="str">
        <x:v>relleno_postmuerte</x:v>
      </x:c>
      <x:c r="P2257" s="2" t="n">
        <x:v>0</x:v>
      </x:c>
      <x:c r="Q2257" s="2" t="str">
        <x:v>simulado_didactico</x:v>
      </x:c>
    </x:row>
    <x:row r="2258" ht="19" customHeight="1">
      <x:c r="A2258" s="2" t="str">
        <x:v>SIM-E2-MP-L7-R10</x:v>
      </x:c>
      <x:c r="B2258" s="2" t="n">
        <x:v>5</x:v>
      </x:c>
      <x:c r="C2258" s="2" t="str">
        <x:v>MP</x:v>
      </x:c>
      <x:c r="D2258" s="2" t="str">
        <x:v>Myzus persicae</x:v>
      </x:c>
      <x:c r="E2258" s="2" t="str">
        <x:v>L7</x:v>
      </x:c>
      <x:c r="F2258" s="2" t="n">
        <x:v>10</x:v>
      </x:c>
      <x:c r="G2258" s="2" t="n">
        <x:v>30</x:v>
      </x:c>
      <x:c r="H2258" s="2" t="n">
        <x:f>G2258+Supuestos!$C$15</x:f>
        <x:v>31</x:v>
      </x:c>
      <x:c r="I2258" s="14" t="n">
        <x:f>E2_plantas!J55+G2258</x:f>
        <x:v>46232</x:v>
      </x:c>
      <x:c r="J2258" s="2" t="str">
        <x:v>muerta</x:v>
      </x:c>
      <x:c r="K2258" s="2" t="n">
        <x:v>0</x:v>
      </x:c>
      <x:c r="L2258" s="2" t="n">
        <x:v>0</x:v>
      </x:c>
      <x:c r="M2258" s="2" t="n">
        <x:f>SUM(L$2228:L2258)</x:f>
        <x:v>30</x:v>
      </x:c>
      <x:c r="N2258" s="2" t="n">
        <x:v>0</x:v>
      </x:c>
      <x:c r="O2258" s="2" t="str">
        <x:v>relleno_postmuerte</x:v>
      </x:c>
      <x:c r="P2258" s="2" t="n">
        <x:v>0</x:v>
      </x:c>
      <x:c r="Q2258" s="2" t="str">
        <x:v>simulado_didactico</x:v>
      </x:c>
    </x:row>
    <x:row r="2259" ht="19" customHeight="1">
      <x:c r="A2259" s="2" t="str">
        <x:v>SIM-E2-MP-L7-R10</x:v>
      </x:c>
      <x:c r="B2259" s="2" t="n">
        <x:v>5</x:v>
      </x:c>
      <x:c r="C2259" s="2" t="str">
        <x:v>MP</x:v>
      </x:c>
      <x:c r="D2259" s="2" t="str">
        <x:v>Myzus persicae</x:v>
      </x:c>
      <x:c r="E2259" s="2" t="str">
        <x:v>L7</x:v>
      </x:c>
      <x:c r="F2259" s="2" t="n">
        <x:v>10</x:v>
      </x:c>
      <x:c r="G2259" s="2" t="n">
        <x:v>31</x:v>
      </x:c>
      <x:c r="H2259" s="2" t="n">
        <x:f>G2259+Supuestos!$C$15</x:f>
        <x:v>32</x:v>
      </x:c>
      <x:c r="I2259" s="14" t="n">
        <x:f>E2_plantas!J55+G2259</x:f>
        <x:v>46233</x:v>
      </x:c>
      <x:c r="J2259" s="2" t="str">
        <x:v>muerta</x:v>
      </x:c>
      <x:c r="K2259" s="2" t="n">
        <x:v>0</x:v>
      </x:c>
      <x:c r="L2259" s="2" t="n">
        <x:v>0</x:v>
      </x:c>
      <x:c r="M2259" s="2" t="n">
        <x:f>SUM(L$2228:L2259)</x:f>
        <x:v>30</x:v>
      </x:c>
      <x:c r="N2259" s="2" t="n">
        <x:v>0</x:v>
      </x:c>
      <x:c r="O2259" s="2" t="str">
        <x:v>relleno_postmuerte</x:v>
      </x:c>
      <x:c r="P2259" s="2" t="n">
        <x:v>0</x:v>
      </x:c>
      <x:c r="Q2259" s="2" t="str">
        <x:v>simulado_didactico</x:v>
      </x:c>
    </x:row>
    <x:row r="2260" ht="19" customHeight="1">
      <x:c r="A2260" s="2" t="str">
        <x:v>SIM-E2-MP-L7-R10</x:v>
      </x:c>
      <x:c r="B2260" s="2" t="n">
        <x:v>5</x:v>
      </x:c>
      <x:c r="C2260" s="2" t="str">
        <x:v>MP</x:v>
      </x:c>
      <x:c r="D2260" s="2" t="str">
        <x:v>Myzus persicae</x:v>
      </x:c>
      <x:c r="E2260" s="2" t="str">
        <x:v>L7</x:v>
      </x:c>
      <x:c r="F2260" s="2" t="n">
        <x:v>10</x:v>
      </x:c>
      <x:c r="G2260" s="2" t="n">
        <x:v>32</x:v>
      </x:c>
      <x:c r="H2260" s="2" t="n">
        <x:f>G2260+Supuestos!$C$15</x:f>
        <x:v>33</x:v>
      </x:c>
      <x:c r="I2260" s="14" t="n">
        <x:f>E2_plantas!J55+G2260</x:f>
        <x:v>46234</x:v>
      </x:c>
      <x:c r="J2260" s="2" t="str">
        <x:v>muerta</x:v>
      </x:c>
      <x:c r="K2260" s="2" t="n">
        <x:v>0</x:v>
      </x:c>
      <x:c r="L2260" s="2" t="n">
        <x:v>0</x:v>
      </x:c>
      <x:c r="M2260" s="2" t="n">
        <x:f>SUM(L$2228:L2260)</x:f>
        <x:v>30</x:v>
      </x:c>
      <x:c r="N2260" s="2" t="n">
        <x:v>0</x:v>
      </x:c>
      <x:c r="O2260" s="2" t="str">
        <x:v>relleno_postmuerte</x:v>
      </x:c>
      <x:c r="P2260" s="2" t="n">
        <x:v>0</x:v>
      </x:c>
      <x:c r="Q2260" s="2" t="str">
        <x:v>simulado_didactico</x:v>
      </x:c>
    </x:row>
    <x:row r="2261" ht="19" customHeight="1">
      <x:c r="A2261" s="2" t="str">
        <x:v>SIM-E2-MP-L7-R10</x:v>
      </x:c>
      <x:c r="B2261" s="2" t="n">
        <x:v>5</x:v>
      </x:c>
      <x:c r="C2261" s="2" t="str">
        <x:v>MP</x:v>
      </x:c>
      <x:c r="D2261" s="2" t="str">
        <x:v>Myzus persicae</x:v>
      </x:c>
      <x:c r="E2261" s="2" t="str">
        <x:v>L7</x:v>
      </x:c>
      <x:c r="F2261" s="2" t="n">
        <x:v>10</x:v>
      </x:c>
      <x:c r="G2261" s="2" t="n">
        <x:v>33</x:v>
      </x:c>
      <x:c r="H2261" s="2" t="n">
        <x:f>G2261+Supuestos!$C$15</x:f>
        <x:v>34</x:v>
      </x:c>
      <x:c r="I2261" s="14" t="n">
        <x:f>E2_plantas!J55+G2261</x:f>
        <x:v>46235</x:v>
      </x:c>
      <x:c r="J2261" s="2" t="str">
        <x:v>muerta</x:v>
      </x:c>
      <x:c r="K2261" s="2" t="n">
        <x:v>0</x:v>
      </x:c>
      <x:c r="L2261" s="2" t="n">
        <x:v>0</x:v>
      </x:c>
      <x:c r="M2261" s="2" t="n">
        <x:f>SUM(L$2228:L2261)</x:f>
        <x:v>30</x:v>
      </x:c>
      <x:c r="N2261" s="2" t="n">
        <x:v>0</x:v>
      </x:c>
      <x:c r="O2261" s="2" t="str">
        <x:v>relleno_postmuerte</x:v>
      </x:c>
      <x:c r="P2261" s="2" t="n">
        <x:v>0</x:v>
      </x:c>
      <x:c r="Q2261" s="2" t="str">
        <x:v>simulado_didactico</x:v>
      </x:c>
    </x:row>
    <x:row r="2262" ht="19" customHeight="1">
      <x:c r="A2262" s="2" t="str">
        <x:v>SIM-E2-MP-L7-R10</x:v>
      </x:c>
      <x:c r="B2262" s="2" t="n">
        <x:v>5</x:v>
      </x:c>
      <x:c r="C2262" s="2" t="str">
        <x:v>MP</x:v>
      </x:c>
      <x:c r="D2262" s="2" t="str">
        <x:v>Myzus persicae</x:v>
      </x:c>
      <x:c r="E2262" s="2" t="str">
        <x:v>L7</x:v>
      </x:c>
      <x:c r="F2262" s="2" t="n">
        <x:v>10</x:v>
      </x:c>
      <x:c r="G2262" s="2" t="n">
        <x:v>34</x:v>
      </x:c>
      <x:c r="H2262" s="2" t="n">
        <x:f>G2262+Supuestos!$C$15</x:f>
        <x:v>35</x:v>
      </x:c>
      <x:c r="I2262" s="14" t="n">
        <x:f>E2_plantas!J55+G2262</x:f>
        <x:v>46236</x:v>
      </x:c>
      <x:c r="J2262" s="2" t="str">
        <x:v>muerta</x:v>
      </x:c>
      <x:c r="K2262" s="2" t="n">
        <x:v>0</x:v>
      </x:c>
      <x:c r="L2262" s="2" t="n">
        <x:v>0</x:v>
      </x:c>
      <x:c r="M2262" s="2" t="n">
        <x:f>SUM(L$2228:L2262)</x:f>
        <x:v>30</x:v>
      </x:c>
      <x:c r="N2262" s="2" t="n">
        <x:v>0</x:v>
      </x:c>
      <x:c r="O2262" s="2" t="str">
        <x:v>relleno_postmuerte</x:v>
      </x:c>
      <x:c r="P2262" s="2" t="n">
        <x:v>0</x:v>
      </x:c>
      <x:c r="Q2262" s="2" t="str">
        <x:v>simulado_didactico</x:v>
      </x:c>
    </x:row>
    <x:row r="2263" ht="19" customHeight="1">
      <x:c r="A2263" s="2" t="str">
        <x:v>SIM-E2-MP-L7-R10</x:v>
      </x:c>
      <x:c r="B2263" s="2" t="n">
        <x:v>5</x:v>
      </x:c>
      <x:c r="C2263" s="2" t="str">
        <x:v>MP</x:v>
      </x:c>
      <x:c r="D2263" s="2" t="str">
        <x:v>Myzus persicae</x:v>
      </x:c>
      <x:c r="E2263" s="2" t="str">
        <x:v>L7</x:v>
      </x:c>
      <x:c r="F2263" s="2" t="n">
        <x:v>10</x:v>
      </x:c>
      <x:c r="G2263" s="2" t="n">
        <x:v>35</x:v>
      </x:c>
      <x:c r="H2263" s="2" t="n">
        <x:f>G2263+Supuestos!$C$15</x:f>
        <x:v>36</x:v>
      </x:c>
      <x:c r="I2263" s="14" t="n">
        <x:f>E2_plantas!J55+G2263</x:f>
        <x:v>46237</x:v>
      </x:c>
      <x:c r="J2263" s="2" t="str">
        <x:v>muerta</x:v>
      </x:c>
      <x:c r="K2263" s="2" t="n">
        <x:v>0</x:v>
      </x:c>
      <x:c r="L2263" s="2" t="n">
        <x:v>0</x:v>
      </x:c>
      <x:c r="M2263" s="2" t="n">
        <x:f>SUM(L$2228:L2263)</x:f>
        <x:v>30</x:v>
      </x:c>
      <x:c r="N2263" s="2" t="n">
        <x:v>0</x:v>
      </x:c>
      <x:c r="O2263" s="2" t="str">
        <x:v>relleno_postmuerte</x:v>
      </x:c>
      <x:c r="P2263" s="2" t="n">
        <x:v>0</x:v>
      </x:c>
      <x:c r="Q2263" s="2" t="str">
        <x:v>simulado_didactico</x:v>
      </x:c>
    </x:row>
    <x:row r="2264" ht="19" customHeight="1">
      <x:c r="A2264" s="2" t="str">
        <x:v>SIM-E2-MP-L7-R10</x:v>
      </x:c>
      <x:c r="B2264" s="2" t="n">
        <x:v>5</x:v>
      </x:c>
      <x:c r="C2264" s="2" t="str">
        <x:v>MP</x:v>
      </x:c>
      <x:c r="D2264" s="2" t="str">
        <x:v>Myzus persicae</x:v>
      </x:c>
      <x:c r="E2264" s="2" t="str">
        <x:v>L7</x:v>
      </x:c>
      <x:c r="F2264" s="2" t="n">
        <x:v>10</x:v>
      </x:c>
      <x:c r="G2264" s="2" t="n">
        <x:v>36</x:v>
      </x:c>
      <x:c r="H2264" s="2" t="n">
        <x:f>G2264+Supuestos!$C$15</x:f>
        <x:v>37</x:v>
      </x:c>
      <x:c r="I2264" s="14" t="n">
        <x:f>E2_plantas!J55+G2264</x:f>
        <x:v>46238</x:v>
      </x:c>
      <x:c r="J2264" s="2" t="str">
        <x:v>muerta</x:v>
      </x:c>
      <x:c r="K2264" s="2" t="n">
        <x:v>0</x:v>
      </x:c>
      <x:c r="L2264" s="2" t="n">
        <x:v>0</x:v>
      </x:c>
      <x:c r="M2264" s="2" t="n">
        <x:f>SUM(L$2228:L2264)</x:f>
        <x:v>30</x:v>
      </x:c>
      <x:c r="N2264" s="2" t="n">
        <x:v>0</x:v>
      </x:c>
      <x:c r="O2264" s="2" t="str">
        <x:v>relleno_postmuerte</x:v>
      </x:c>
      <x:c r="P2264" s="2" t="n">
        <x:v>0</x:v>
      </x:c>
      <x:c r="Q2264" s="2" t="str">
        <x:v>simulado_didactico</x:v>
      </x:c>
    </x:row>
    <x:row r="2265" ht="19" customHeight="1">
      <x:c r="A2265" s="2" t="str">
        <x:v>SIM-E2-MP-L7-R10</x:v>
      </x:c>
      <x:c r="B2265" s="2" t="n">
        <x:v>5</x:v>
      </x:c>
      <x:c r="C2265" s="2" t="str">
        <x:v>MP</x:v>
      </x:c>
      <x:c r="D2265" s="2" t="str">
        <x:v>Myzus persicae</x:v>
      </x:c>
      <x:c r="E2265" s="2" t="str">
        <x:v>L7</x:v>
      </x:c>
      <x:c r="F2265" s="2" t="n">
        <x:v>10</x:v>
      </x:c>
      <x:c r="G2265" s="2" t="n">
        <x:v>37</x:v>
      </x:c>
      <x:c r="H2265" s="2" t="n">
        <x:f>G2265+Supuestos!$C$15</x:f>
        <x:v>38</x:v>
      </x:c>
      <x:c r="I2265" s="14" t="n">
        <x:f>E2_plantas!J55+G2265</x:f>
        <x:v>46239</x:v>
      </x:c>
      <x:c r="J2265" s="2" t="str">
        <x:v>muerta</x:v>
      </x:c>
      <x:c r="K2265" s="2" t="n">
        <x:v>0</x:v>
      </x:c>
      <x:c r="L2265" s="2" t="n">
        <x:v>0</x:v>
      </x:c>
      <x:c r="M2265" s="2" t="n">
        <x:f>SUM(L$2228:L2265)</x:f>
        <x:v>30</x:v>
      </x:c>
      <x:c r="N2265" s="2" t="n">
        <x:v>0</x:v>
      </x:c>
      <x:c r="O2265" s="2" t="str">
        <x:v>relleno_postmuerte</x:v>
      </x:c>
      <x:c r="P2265" s="2" t="n">
        <x:v>0</x:v>
      </x:c>
      <x:c r="Q2265" s="2" t="str">
        <x:v>simulado_didactico</x:v>
      </x:c>
    </x:row>
    <x:row r="2266" ht="19" customHeight="1">
      <x:c r="A2266" s="2" t="str">
        <x:v>SIM-E2-MP-L7-R10</x:v>
      </x:c>
      <x:c r="B2266" s="2" t="n">
        <x:v>5</x:v>
      </x:c>
      <x:c r="C2266" s="2" t="str">
        <x:v>MP</x:v>
      </x:c>
      <x:c r="D2266" s="2" t="str">
        <x:v>Myzus persicae</x:v>
      </x:c>
      <x:c r="E2266" s="2" t="str">
        <x:v>L7</x:v>
      </x:c>
      <x:c r="F2266" s="2" t="n">
        <x:v>10</x:v>
      </x:c>
      <x:c r="G2266" s="2" t="n">
        <x:v>38</x:v>
      </x:c>
      <x:c r="H2266" s="2" t="n">
        <x:f>G2266+Supuestos!$C$15</x:f>
        <x:v>39</x:v>
      </x:c>
      <x:c r="I2266" s="14" t="n">
        <x:f>E2_plantas!J55+G2266</x:f>
        <x:v>46240</x:v>
      </x:c>
      <x:c r="J2266" s="2" t="str">
        <x:v>muerta</x:v>
      </x:c>
      <x:c r="K2266" s="2" t="n">
        <x:v>0</x:v>
      </x:c>
      <x:c r="L2266" s="2" t="n">
        <x:v>0</x:v>
      </x:c>
      <x:c r="M2266" s="2" t="n">
        <x:f>SUM(L$2228:L2266)</x:f>
        <x:v>30</x:v>
      </x:c>
      <x:c r="N2266" s="2" t="n">
        <x:v>0</x:v>
      </x:c>
      <x:c r="O2266" s="2" t="str">
        <x:v>relleno_postmuerte</x:v>
      </x:c>
      <x:c r="P2266" s="2" t="n">
        <x:v>0</x:v>
      </x:c>
      <x:c r="Q2266" s="2" t="str">
        <x:v>simulado_didactico</x:v>
      </x:c>
    </x:row>
    <x:row r="2267" ht="19" customHeight="1">
      <x:c r="A2267" s="2" t="str">
        <x:v>SIM-E2-MP-L7-R10</x:v>
      </x:c>
      <x:c r="B2267" s="2" t="n">
        <x:v>5</x:v>
      </x:c>
      <x:c r="C2267" s="2" t="str">
        <x:v>MP</x:v>
      </x:c>
      <x:c r="D2267" s="2" t="str">
        <x:v>Myzus persicae</x:v>
      </x:c>
      <x:c r="E2267" s="2" t="str">
        <x:v>L7</x:v>
      </x:c>
      <x:c r="F2267" s="2" t="n">
        <x:v>10</x:v>
      </x:c>
      <x:c r="G2267" s="2" t="n">
        <x:v>39</x:v>
      </x:c>
      <x:c r="H2267" s="2" t="n">
        <x:f>G2267+Supuestos!$C$15</x:f>
        <x:v>40</x:v>
      </x:c>
      <x:c r="I2267" s="14" t="n">
        <x:f>E2_plantas!J55+G2267</x:f>
        <x:v>46241</x:v>
      </x:c>
      <x:c r="J2267" s="2" t="str">
        <x:v>muerta</x:v>
      </x:c>
      <x:c r="K2267" s="2" t="n">
        <x:v>0</x:v>
      </x:c>
      <x:c r="L2267" s="2" t="n">
        <x:v>0</x:v>
      </x:c>
      <x:c r="M2267" s="2" t="n">
        <x:f>SUM(L$2228:L2267)</x:f>
        <x:v>30</x:v>
      </x:c>
      <x:c r="N2267" s="2" t="n">
        <x:v>0</x:v>
      </x:c>
      <x:c r="O2267" s="2" t="str">
        <x:v>relleno_postmuerte</x:v>
      </x:c>
      <x:c r="P2267" s="2" t="n">
        <x:v>0</x:v>
      </x:c>
      <x:c r="Q2267" s="2" t="str">
        <x:v>simulado_didactico</x:v>
      </x:c>
    </x:row>
    <x:row r="2268" ht="19" customHeight="1">
      <x:c r="A2268" s="2" t="str">
        <x:v>SIM-E2-MP-L7-R10</x:v>
      </x:c>
      <x:c r="B2268" s="2" t="n">
        <x:v>5</x:v>
      </x:c>
      <x:c r="C2268" s="2" t="str">
        <x:v>MP</x:v>
      </x:c>
      <x:c r="D2268" s="2" t="str">
        <x:v>Myzus persicae</x:v>
      </x:c>
      <x:c r="E2268" s="2" t="str">
        <x:v>L7</x:v>
      </x:c>
      <x:c r="F2268" s="2" t="n">
        <x:v>10</x:v>
      </x:c>
      <x:c r="G2268" s="2" t="n">
        <x:v>40</x:v>
      </x:c>
      <x:c r="H2268" s="2" t="n">
        <x:f>G2268+Supuestos!$C$15</x:f>
        <x:v>41</x:v>
      </x:c>
      <x:c r="I2268" s="14" t="n">
        <x:f>E2_plantas!J55+G2268</x:f>
        <x:v>46242</x:v>
      </x:c>
      <x:c r="J2268" s="2" t="str">
        <x:v>muerta</x:v>
      </x:c>
      <x:c r="K2268" s="2" t="n">
        <x:v>0</x:v>
      </x:c>
      <x:c r="L2268" s="2" t="n">
        <x:v>0</x:v>
      </x:c>
      <x:c r="M2268" s="2" t="n">
        <x:f>SUM(L$2228:L2268)</x:f>
        <x:v>30</x:v>
      </x:c>
      <x:c r="N2268" s="2" t="n">
        <x:v>0</x:v>
      </x:c>
      <x:c r="O2268" s="2" t="str">
        <x:v>relleno_postmuerte</x:v>
      </x:c>
      <x:c r="P2268" s="2" t="n">
        <x:v>0</x:v>
      </x:c>
      <x:c r="Q2268" s="2" t="str">
        <x:v>simulado_didactico</x:v>
      </x:c>
    </x:row>
    <x:row r="2269" ht="19" customHeight="1">
      <x:c r="A2269" s="2" t="str">
        <x:v>SIM-E2-MP-L7-R10</x:v>
      </x:c>
      <x:c r="B2269" s="2" t="n">
        <x:v>5</x:v>
      </x:c>
      <x:c r="C2269" s="2" t="str">
        <x:v>MP</x:v>
      </x:c>
      <x:c r="D2269" s="2" t="str">
        <x:v>Myzus persicae</x:v>
      </x:c>
      <x:c r="E2269" s="2" t="str">
        <x:v>L7</x:v>
      </x:c>
      <x:c r="F2269" s="2" t="n">
        <x:v>10</x:v>
      </x:c>
      <x:c r="G2269" s="2" t="n">
        <x:v>41</x:v>
      </x:c>
      <x:c r="H2269" s="2" t="n">
        <x:f>G2269+Supuestos!$C$15</x:f>
        <x:v>42</x:v>
      </x:c>
      <x:c r="I2269" s="14" t="n">
        <x:f>E2_plantas!J55+G2269</x:f>
        <x:v>46243</x:v>
      </x:c>
      <x:c r="J2269" s="2" t="str">
        <x:v>muerta</x:v>
      </x:c>
      <x:c r="K2269" s="2" t="n">
        <x:v>0</x:v>
      </x:c>
      <x:c r="L2269" s="2" t="n">
        <x:v>0</x:v>
      </x:c>
      <x:c r="M2269" s="2" t="n">
        <x:f>SUM(L$2228:L2269)</x:f>
        <x:v>30</x:v>
      </x:c>
      <x:c r="N2269" s="2" t="n">
        <x:v>0</x:v>
      </x:c>
      <x:c r="O2269" s="2" t="str">
        <x:v>relleno_postmuerte</x:v>
      </x:c>
      <x:c r="P2269" s="2" t="n">
        <x:v>0</x:v>
      </x:c>
      <x:c r="Q2269" s="2" t="str">
        <x:v>simulado_didactico</x:v>
      </x:c>
    </x:row>
    <x:row r="2270" ht="19" customHeight="1">
      <x:c r="A2270" s="2" t="str">
        <x:v>SIM-E2-BB-L0-R09</x:v>
      </x:c>
      <x:c r="B2270" s="2" t="n">
        <x:v>5</x:v>
      </x:c>
      <x:c r="C2270" s="2" t="str">
        <x:v>BB</x:v>
      </x:c>
      <x:c r="D2270" s="2" t="str">
        <x:v>Brevicoryne brassicae</x:v>
      </x:c>
      <x:c r="E2270" s="2" t="str">
        <x:v>L0</x:v>
      </x:c>
      <x:c r="F2270" s="2" t="n">
        <x:v>9</x:v>
      </x:c>
      <x:c r="G2270" s="2" t="n">
        <x:v>0</x:v>
      </x:c>
      <x:c r="H2270" s="2" t="n">
        <x:f>G2270+Supuestos!$C$15</x:f>
        <x:v>1</x:v>
      </x:c>
      <x:c r="I2270" s="14" t="n">
        <x:f>E2_plantas!J56+G2270</x:f>
        <x:v>46202</x:v>
      </x:c>
      <x:c r="J2270" s="2" t="str">
        <x:v>N1</x:v>
      </x:c>
      <x:c r="K2270" s="2" t="n">
        <x:v>1</x:v>
      </x:c>
      <x:c r="L2270" s="2" t="n">
        <x:v>0</x:v>
      </x:c>
      <x:c r="M2270" s="2" t="n">
        <x:f>SUM(L$2270:L2270)</x:f>
        <x:v>0</x:v>
      </x:c>
      <x:c r="N2270" s="2" t="n">
        <x:v>0</x:v>
      </x:c>
      <x:c r="O2270" s="2" t="str">
        <x:v>seguimiento</x:v>
      </x:c>
      <x:c r="P2270" s="2" t="n">
        <x:v>0</x:v>
      </x:c>
      <x:c r="Q2270" s="2" t="str">
        <x:v>simulado_didactico</x:v>
      </x:c>
    </x:row>
    <x:row r="2271" ht="19" customHeight="1">
      <x:c r="A2271" s="2" t="str">
        <x:v>SIM-E2-BB-L0-R09</x:v>
      </x:c>
      <x:c r="B2271" s="2" t="n">
        <x:v>5</x:v>
      </x:c>
      <x:c r="C2271" s="2" t="str">
        <x:v>BB</x:v>
      </x:c>
      <x:c r="D2271" s="2" t="str">
        <x:v>Brevicoryne brassicae</x:v>
      </x:c>
      <x:c r="E2271" s="2" t="str">
        <x:v>L0</x:v>
      </x:c>
      <x:c r="F2271" s="2" t="n">
        <x:v>9</x:v>
      </x:c>
      <x:c r="G2271" s="2" t="n">
        <x:v>1</x:v>
      </x:c>
      <x:c r="H2271" s="2" t="n">
        <x:f>G2271+Supuestos!$C$15</x:f>
        <x:v>2</x:v>
      </x:c>
      <x:c r="I2271" s="14" t="n">
        <x:f>E2_plantas!J56+G2271</x:f>
        <x:v>46203</x:v>
      </x:c>
      <x:c r="J2271" s="2" t="str">
        <x:v>N2</x:v>
      </x:c>
      <x:c r="K2271" s="2" t="n">
        <x:v>1</x:v>
      </x:c>
      <x:c r="L2271" s="2" t="n">
        <x:v>0</x:v>
      </x:c>
      <x:c r="M2271" s="2" t="n">
        <x:f>SUM(L$2270:L2271)</x:f>
        <x:v>0</x:v>
      </x:c>
      <x:c r="N2271" s="2" t="n">
        <x:v>0</x:v>
      </x:c>
      <x:c r="O2271" s="2" t="str">
        <x:v>seguimiento</x:v>
      </x:c>
      <x:c r="P2271" s="2" t="n">
        <x:v>0</x:v>
      </x:c>
      <x:c r="Q2271" s="2" t="str">
        <x:v>simulado_didactico</x:v>
      </x:c>
    </x:row>
    <x:row r="2272" ht="19" customHeight="1">
      <x:c r="A2272" s="2" t="str">
        <x:v>SIM-E2-BB-L0-R09</x:v>
      </x:c>
      <x:c r="B2272" s="2" t="n">
        <x:v>5</x:v>
      </x:c>
      <x:c r="C2272" s="2" t="str">
        <x:v>BB</x:v>
      </x:c>
      <x:c r="D2272" s="2" t="str">
        <x:v>Brevicoryne brassicae</x:v>
      </x:c>
      <x:c r="E2272" s="2" t="str">
        <x:v>L0</x:v>
      </x:c>
      <x:c r="F2272" s="2" t="n">
        <x:v>9</x:v>
      </x:c>
      <x:c r="G2272" s="2" t="n">
        <x:v>2</x:v>
      </x:c>
      <x:c r="H2272" s="2" t="n">
        <x:f>G2272+Supuestos!$C$15</x:f>
        <x:v>3</x:v>
      </x:c>
      <x:c r="I2272" s="14" t="n">
        <x:f>E2_plantas!J56+G2272</x:f>
        <x:v>46204</x:v>
      </x:c>
      <x:c r="J2272" s="2" t="str">
        <x:v>N3</x:v>
      </x:c>
      <x:c r="K2272" s="2" t="n">
        <x:v>1</x:v>
      </x:c>
      <x:c r="L2272" s="2" t="n">
        <x:v>0</x:v>
      </x:c>
      <x:c r="M2272" s="2" t="n">
        <x:f>SUM(L$2270:L2272)</x:f>
        <x:v>0</x:v>
      </x:c>
      <x:c r="N2272" s="2" t="n">
        <x:v>0</x:v>
      </x:c>
      <x:c r="O2272" s="2" t="str">
        <x:v>seguimiento</x:v>
      </x:c>
      <x:c r="P2272" s="2" t="n">
        <x:v>0</x:v>
      </x:c>
      <x:c r="Q2272" s="2" t="str">
        <x:v>simulado_didactico</x:v>
      </x:c>
    </x:row>
    <x:row r="2273" ht="19" customHeight="1">
      <x:c r="A2273" s="2" t="str">
        <x:v>SIM-E2-BB-L0-R09</x:v>
      </x:c>
      <x:c r="B2273" s="2" t="n">
        <x:v>5</x:v>
      </x:c>
      <x:c r="C2273" s="2" t="str">
        <x:v>BB</x:v>
      </x:c>
      <x:c r="D2273" s="2" t="str">
        <x:v>Brevicoryne brassicae</x:v>
      </x:c>
      <x:c r="E2273" s="2" t="str">
        <x:v>L0</x:v>
      </x:c>
      <x:c r="F2273" s="2" t="n">
        <x:v>9</x:v>
      </x:c>
      <x:c r="G2273" s="2" t="n">
        <x:v>3</x:v>
      </x:c>
      <x:c r="H2273" s="2" t="n">
        <x:f>G2273+Supuestos!$C$15</x:f>
        <x:v>4</x:v>
      </x:c>
      <x:c r="I2273" s="14" t="n">
        <x:f>E2_plantas!J56+G2273</x:f>
        <x:v>46205</x:v>
      </x:c>
      <x:c r="J2273" s="2" t="str">
        <x:v>N3</x:v>
      </x:c>
      <x:c r="K2273" s="2" t="n">
        <x:v>1</x:v>
      </x:c>
      <x:c r="L2273" s="2" t="n">
        <x:v>0</x:v>
      </x:c>
      <x:c r="M2273" s="2" t="n">
        <x:f>SUM(L$2270:L2273)</x:f>
        <x:v>0</x:v>
      </x:c>
      <x:c r="N2273" s="2" t="n">
        <x:v>0</x:v>
      </x:c>
      <x:c r="O2273" s="2" t="str">
        <x:v>seguimiento</x:v>
      </x:c>
      <x:c r="P2273" s="2" t="n">
        <x:v>0</x:v>
      </x:c>
      <x:c r="Q2273" s="2" t="str">
        <x:v>simulado_didactico</x:v>
      </x:c>
    </x:row>
    <x:row r="2274" ht="19" customHeight="1">
      <x:c r="A2274" s="2" t="str">
        <x:v>SIM-E2-BB-L0-R09</x:v>
      </x:c>
      <x:c r="B2274" s="2" t="n">
        <x:v>5</x:v>
      </x:c>
      <x:c r="C2274" s="2" t="str">
        <x:v>BB</x:v>
      </x:c>
      <x:c r="D2274" s="2" t="str">
        <x:v>Brevicoryne brassicae</x:v>
      </x:c>
      <x:c r="E2274" s="2" t="str">
        <x:v>L0</x:v>
      </x:c>
      <x:c r="F2274" s="2" t="n">
        <x:v>9</x:v>
      </x:c>
      <x:c r="G2274" s="2" t="n">
        <x:v>4</x:v>
      </x:c>
      <x:c r="H2274" s="2" t="n">
        <x:f>G2274+Supuestos!$C$15</x:f>
        <x:v>5</x:v>
      </x:c>
      <x:c r="I2274" s="14" t="n">
        <x:f>E2_plantas!J56+G2274</x:f>
        <x:v>46206</x:v>
      </x:c>
      <x:c r="J2274" s="2" t="str">
        <x:v>N4</x:v>
      </x:c>
      <x:c r="K2274" s="2" t="n">
        <x:v>1</x:v>
      </x:c>
      <x:c r="L2274" s="2" t="n">
        <x:v>0</x:v>
      </x:c>
      <x:c r="M2274" s="2" t="n">
        <x:f>SUM(L$2270:L2274)</x:f>
        <x:v>0</x:v>
      </x:c>
      <x:c r="N2274" s="2" t="n">
        <x:v>0</x:v>
      </x:c>
      <x:c r="O2274" s="2" t="str">
        <x:v>seguimiento</x:v>
      </x:c>
      <x:c r="P2274" s="2" t="n">
        <x:v>0</x:v>
      </x:c>
      <x:c r="Q2274" s="2" t="str">
        <x:v>simulado_didactico</x:v>
      </x:c>
    </x:row>
    <x:row r="2275" ht="19" customHeight="1">
      <x:c r="A2275" s="2" t="str">
        <x:v>SIM-E2-BB-L0-R09</x:v>
      </x:c>
      <x:c r="B2275" s="2" t="n">
        <x:v>5</x:v>
      </x:c>
      <x:c r="C2275" s="2" t="str">
        <x:v>BB</x:v>
      </x:c>
      <x:c r="D2275" s="2" t="str">
        <x:v>Brevicoryne brassicae</x:v>
      </x:c>
      <x:c r="E2275" s="2" t="str">
        <x:v>L0</x:v>
      </x:c>
      <x:c r="F2275" s="2" t="n">
        <x:v>9</x:v>
      </x:c>
      <x:c r="G2275" s="2" t="n">
        <x:v>5</x:v>
      </x:c>
      <x:c r="H2275" s="2" t="n">
        <x:f>G2275+Supuestos!$C$15</x:f>
        <x:v>6</x:v>
      </x:c>
      <x:c r="I2275" s="14" t="n">
        <x:f>E2_plantas!J56+G2275</x:f>
        <x:v>46207</x:v>
      </x:c>
      <x:c r="J2275" s="2" t="str">
        <x:v>N4</x:v>
      </x:c>
      <x:c r="K2275" s="2" t="n">
        <x:v>1</x:v>
      </x:c>
      <x:c r="L2275" s="2" t="n">
        <x:v>0</x:v>
      </x:c>
      <x:c r="M2275" s="2" t="n">
        <x:f>SUM(L$2270:L2275)</x:f>
        <x:v>0</x:v>
      </x:c>
      <x:c r="N2275" s="2" t="n">
        <x:v>0</x:v>
      </x:c>
      <x:c r="O2275" s="2" t="str">
        <x:v>seguimiento</x:v>
      </x:c>
      <x:c r="P2275" s="2" t="n">
        <x:v>0</x:v>
      </x:c>
      <x:c r="Q2275" s="2" t="str">
        <x:v>simulado_didactico</x:v>
      </x:c>
    </x:row>
    <x:row r="2276" ht="19" customHeight="1">
      <x:c r="A2276" s="2" t="str">
        <x:v>SIM-E2-BB-L0-R09</x:v>
      </x:c>
      <x:c r="B2276" s="2" t="n">
        <x:v>5</x:v>
      </x:c>
      <x:c r="C2276" s="2" t="str">
        <x:v>BB</x:v>
      </x:c>
      <x:c r="D2276" s="2" t="str">
        <x:v>Brevicoryne brassicae</x:v>
      </x:c>
      <x:c r="E2276" s="2" t="str">
        <x:v>L0</x:v>
      </x:c>
      <x:c r="F2276" s="2" t="n">
        <x:v>9</x:v>
      </x:c>
      <x:c r="G2276" s="2" t="n">
        <x:v>6</x:v>
      </x:c>
      <x:c r="H2276" s="2" t="n">
        <x:f>G2276+Supuestos!$C$15</x:f>
        <x:v>7</x:v>
      </x:c>
      <x:c r="I2276" s="14" t="n">
        <x:f>E2_plantas!J56+G2276</x:f>
        <x:v>46208</x:v>
      </x:c>
      <x:c r="J2276" s="2" t="str">
        <x:v>adulta</x:v>
      </x:c>
      <x:c r="K2276" s="2" t="n">
        <x:v>1</x:v>
      </x:c>
      <x:c r="L2276" s="2" t="n">
        <x:v>0</x:v>
      </x:c>
      <x:c r="M2276" s="2" t="n">
        <x:f>SUM(L$2270:L2276)</x:f>
        <x:v>0</x:v>
      </x:c>
      <x:c r="N2276" s="2" t="n">
        <x:v>0</x:v>
      </x:c>
      <x:c r="O2276" s="2" t="str">
        <x:v>seguimiento</x:v>
      </x:c>
      <x:c r="P2276" s="2" t="n">
        <x:v>0</x:v>
      </x:c>
      <x:c r="Q2276" s="2" t="str">
        <x:v>simulado_didactico</x:v>
      </x:c>
    </x:row>
    <x:row r="2277" ht="19" customHeight="1">
      <x:c r="A2277" s="2" t="str">
        <x:v>SIM-E2-BB-L0-R09</x:v>
      </x:c>
      <x:c r="B2277" s="2" t="n">
        <x:v>5</x:v>
      </x:c>
      <x:c r="C2277" s="2" t="str">
        <x:v>BB</x:v>
      </x:c>
      <x:c r="D2277" s="2" t="str">
        <x:v>Brevicoryne brassicae</x:v>
      </x:c>
      <x:c r="E2277" s="2" t="str">
        <x:v>L0</x:v>
      </x:c>
      <x:c r="F2277" s="2" t="n">
        <x:v>9</x:v>
      </x:c>
      <x:c r="G2277" s="2" t="n">
        <x:v>7</x:v>
      </x:c>
      <x:c r="H2277" s="2" t="n">
        <x:f>G2277+Supuestos!$C$15</x:f>
        <x:v>8</x:v>
      </x:c>
      <x:c r="I2277" s="14" t="n">
        <x:f>E2_plantas!J56+G2277</x:f>
        <x:v>46209</x:v>
      </x:c>
      <x:c r="J2277" s="2" t="str">
        <x:v>adulta</x:v>
      </x:c>
      <x:c r="K2277" s="2" t="n">
        <x:v>1</x:v>
      </x:c>
      <x:c r="L2277" s="2" t="n">
        <x:v>5</x:v>
      </x:c>
      <x:c r="M2277" s="2" t="n">
        <x:f>SUM(L$2270:L2277)</x:f>
        <x:v>5</x:v>
      </x:c>
      <x:c r="N2277" s="2" t="n">
        <x:v>0</x:v>
      </x:c>
      <x:c r="O2277" s="2" t="str">
        <x:v>seguimiento</x:v>
      </x:c>
      <x:c r="P2277" s="2" t="n">
        <x:v>0</x:v>
      </x:c>
      <x:c r="Q2277" s="2" t="str">
        <x:v>simulado_didactico</x:v>
      </x:c>
    </x:row>
    <x:row r="2278" ht="19" customHeight="1">
      <x:c r="A2278" s="2" t="str">
        <x:v>SIM-E2-BB-L0-R09</x:v>
      </x:c>
      <x:c r="B2278" s="2" t="n">
        <x:v>5</x:v>
      </x:c>
      <x:c r="C2278" s="2" t="str">
        <x:v>BB</x:v>
      </x:c>
      <x:c r="D2278" s="2" t="str">
        <x:v>Brevicoryne brassicae</x:v>
      </x:c>
      <x:c r="E2278" s="2" t="str">
        <x:v>L0</x:v>
      </x:c>
      <x:c r="F2278" s="2" t="n">
        <x:v>9</x:v>
      </x:c>
      <x:c r="G2278" s="2" t="n">
        <x:v>8</x:v>
      </x:c>
      <x:c r="H2278" s="2" t="n">
        <x:f>G2278+Supuestos!$C$15</x:f>
        <x:v>9</x:v>
      </x:c>
      <x:c r="I2278" s="14" t="n">
        <x:f>E2_plantas!J56+G2278</x:f>
        <x:v>46210</x:v>
      </x:c>
      <x:c r="J2278" s="2" t="str">
        <x:v>adulta</x:v>
      </x:c>
      <x:c r="K2278" s="2" t="n">
        <x:v>1</x:v>
      </x:c>
      <x:c r="L2278" s="2" t="n">
        <x:v>3</x:v>
      </x:c>
      <x:c r="M2278" s="2" t="n">
        <x:f>SUM(L$2270:L2278)</x:f>
        <x:v>8</x:v>
      </x:c>
      <x:c r="N2278" s="2" t="n">
        <x:v>0</x:v>
      </x:c>
      <x:c r="O2278" s="2" t="str">
        <x:v>seguimiento</x:v>
      </x:c>
      <x:c r="P2278" s="2" t="n">
        <x:v>0</x:v>
      </x:c>
      <x:c r="Q2278" s="2" t="str">
        <x:v>simulado_didactico</x:v>
      </x:c>
    </x:row>
    <x:row r="2279" ht="19" customHeight="1">
      <x:c r="A2279" s="2" t="str">
        <x:v>SIM-E2-BB-L0-R09</x:v>
      </x:c>
      <x:c r="B2279" s="2" t="n">
        <x:v>5</x:v>
      </x:c>
      <x:c r="C2279" s="2" t="str">
        <x:v>BB</x:v>
      </x:c>
      <x:c r="D2279" s="2" t="str">
        <x:v>Brevicoryne brassicae</x:v>
      </x:c>
      <x:c r="E2279" s="2" t="str">
        <x:v>L0</x:v>
      </x:c>
      <x:c r="F2279" s="2" t="n">
        <x:v>9</x:v>
      </x:c>
      <x:c r="G2279" s="2" t="n">
        <x:v>9</x:v>
      </x:c>
      <x:c r="H2279" s="2" t="n">
        <x:f>G2279+Supuestos!$C$15</x:f>
        <x:v>10</x:v>
      </x:c>
      <x:c r="I2279" s="14" t="n">
        <x:f>E2_plantas!J56+G2279</x:f>
        <x:v>46211</x:v>
      </x:c>
      <x:c r="J2279" s="2" t="str">
        <x:v>adulta</x:v>
      </x:c>
      <x:c r="K2279" s="2" t="n">
        <x:v>1</x:v>
      </x:c>
      <x:c r="L2279" s="2" t="n">
        <x:v>5</x:v>
      </x:c>
      <x:c r="M2279" s="2" t="n">
        <x:f>SUM(L$2270:L2279)</x:f>
        <x:v>13</x:v>
      </x:c>
      <x:c r="N2279" s="2" t="n">
        <x:v>0</x:v>
      </x:c>
      <x:c r="O2279" s="2" t="str">
        <x:v>seguimiento</x:v>
      </x:c>
      <x:c r="P2279" s="2" t="n">
        <x:v>0</x:v>
      </x:c>
      <x:c r="Q2279" s="2" t="str">
        <x:v>simulado_didactico</x:v>
      </x:c>
    </x:row>
    <x:row r="2280" ht="19" customHeight="1">
      <x:c r="A2280" s="2" t="str">
        <x:v>SIM-E2-BB-L0-R09</x:v>
      </x:c>
      <x:c r="B2280" s="2" t="n">
        <x:v>5</x:v>
      </x:c>
      <x:c r="C2280" s="2" t="str">
        <x:v>BB</x:v>
      </x:c>
      <x:c r="D2280" s="2" t="str">
        <x:v>Brevicoryne brassicae</x:v>
      </x:c>
      <x:c r="E2280" s="2" t="str">
        <x:v>L0</x:v>
      </x:c>
      <x:c r="F2280" s="2" t="n">
        <x:v>9</x:v>
      </x:c>
      <x:c r="G2280" s="2" t="n">
        <x:v>10</x:v>
      </x:c>
      <x:c r="H2280" s="2" t="n">
        <x:f>G2280+Supuestos!$C$15</x:f>
        <x:v>11</x:v>
      </x:c>
      <x:c r="I2280" s="14" t="n">
        <x:f>E2_plantas!J56+G2280</x:f>
        <x:v>46212</x:v>
      </x:c>
      <x:c r="J2280" s="2" t="str">
        <x:v>adulta</x:v>
      </x:c>
      <x:c r="K2280" s="2" t="n">
        <x:v>1</x:v>
      </x:c>
      <x:c r="L2280" s="2" t="n">
        <x:v>7</x:v>
      </x:c>
      <x:c r="M2280" s="2" t="n">
        <x:f>SUM(L$2270:L2280)</x:f>
        <x:v>20</x:v>
      </x:c>
      <x:c r="N2280" s="2" t="n">
        <x:v>0</x:v>
      </x:c>
      <x:c r="O2280" s="2" t="str">
        <x:v>seguimiento</x:v>
      </x:c>
      <x:c r="P2280" s="2" t="n">
        <x:v>0</x:v>
      </x:c>
      <x:c r="Q2280" s="2" t="str">
        <x:v>simulado_didactico</x:v>
      </x:c>
    </x:row>
    <x:row r="2281" ht="19" customHeight="1">
      <x:c r="A2281" s="2" t="str">
        <x:v>SIM-E2-BB-L0-R09</x:v>
      </x:c>
      <x:c r="B2281" s="2" t="n">
        <x:v>5</x:v>
      </x:c>
      <x:c r="C2281" s="2" t="str">
        <x:v>BB</x:v>
      </x:c>
      <x:c r="D2281" s="2" t="str">
        <x:v>Brevicoryne brassicae</x:v>
      </x:c>
      <x:c r="E2281" s="2" t="str">
        <x:v>L0</x:v>
      </x:c>
      <x:c r="F2281" s="2" t="n">
        <x:v>9</x:v>
      </x:c>
      <x:c r="G2281" s="2" t="n">
        <x:v>11</x:v>
      </x:c>
      <x:c r="H2281" s="2" t="n">
        <x:f>G2281+Supuestos!$C$15</x:f>
        <x:v>12</x:v>
      </x:c>
      <x:c r="I2281" s="14" t="n">
        <x:f>E2_plantas!J56+G2281</x:f>
        <x:v>46213</x:v>
      </x:c>
      <x:c r="J2281" s="2" t="str">
        <x:v>adulta</x:v>
      </x:c>
      <x:c r="K2281" s="2" t="n">
        <x:v>1</x:v>
      </x:c>
      <x:c r="L2281" s="2" t="n">
        <x:v>5</x:v>
      </x:c>
      <x:c r="M2281" s="2" t="n">
        <x:f>SUM(L$2270:L2281)</x:f>
        <x:v>25</x:v>
      </x:c>
      <x:c r="N2281" s="2" t="n">
        <x:v>0</x:v>
      </x:c>
      <x:c r="O2281" s="2" t="str">
        <x:v>seguimiento</x:v>
      </x:c>
      <x:c r="P2281" s="2" t="n">
        <x:v>0</x:v>
      </x:c>
      <x:c r="Q2281" s="2" t="str">
        <x:v>simulado_didactico</x:v>
      </x:c>
    </x:row>
    <x:row r="2282" ht="19" customHeight="1">
      <x:c r="A2282" s="2" t="str">
        <x:v>SIM-E2-BB-L0-R09</x:v>
      </x:c>
      <x:c r="B2282" s="2" t="n">
        <x:v>5</x:v>
      </x:c>
      <x:c r="C2282" s="2" t="str">
        <x:v>BB</x:v>
      </x:c>
      <x:c r="D2282" s="2" t="str">
        <x:v>Brevicoryne brassicae</x:v>
      </x:c>
      <x:c r="E2282" s="2" t="str">
        <x:v>L0</x:v>
      </x:c>
      <x:c r="F2282" s="2" t="n">
        <x:v>9</x:v>
      </x:c>
      <x:c r="G2282" s="2" t="n">
        <x:v>12</x:v>
      </x:c>
      <x:c r="H2282" s="2" t="n">
        <x:f>G2282+Supuestos!$C$15</x:f>
        <x:v>13</x:v>
      </x:c>
      <x:c r="I2282" s="14" t="n">
        <x:f>E2_plantas!J56+G2282</x:f>
        <x:v>46214</x:v>
      </x:c>
      <x:c r="J2282" s="2" t="str">
        <x:v>adulta</x:v>
      </x:c>
      <x:c r="K2282" s="2" t="n">
        <x:v>1</x:v>
      </x:c>
      <x:c r="L2282" s="2" t="n">
        <x:v>7</x:v>
      </x:c>
      <x:c r="M2282" s="2" t="n">
        <x:f>SUM(L$2270:L2282)</x:f>
        <x:v>32</x:v>
      </x:c>
      <x:c r="N2282" s="2" t="n">
        <x:v>0</x:v>
      </x:c>
      <x:c r="O2282" s="2" t="str">
        <x:v>seguimiento</x:v>
      </x:c>
      <x:c r="P2282" s="2" t="n">
        <x:v>0</x:v>
      </x:c>
      <x:c r="Q2282" s="2" t="str">
        <x:v>simulado_didactico</x:v>
      </x:c>
    </x:row>
    <x:row r="2283" ht="19" customHeight="1">
      <x:c r="A2283" s="2" t="str">
        <x:v>SIM-E2-BB-L0-R09</x:v>
      </x:c>
      <x:c r="B2283" s="2" t="n">
        <x:v>5</x:v>
      </x:c>
      <x:c r="C2283" s="2" t="str">
        <x:v>BB</x:v>
      </x:c>
      <x:c r="D2283" s="2" t="str">
        <x:v>Brevicoryne brassicae</x:v>
      </x:c>
      <x:c r="E2283" s="2" t="str">
        <x:v>L0</x:v>
      </x:c>
      <x:c r="F2283" s="2" t="n">
        <x:v>9</x:v>
      </x:c>
      <x:c r="G2283" s="2" t="n">
        <x:v>13</x:v>
      </x:c>
      <x:c r="H2283" s="2" t="n">
        <x:f>G2283+Supuestos!$C$15</x:f>
        <x:v>14</x:v>
      </x:c>
      <x:c r="I2283" s="14" t="n">
        <x:f>E2_plantas!J56+G2283</x:f>
        <x:v>46215</x:v>
      </x:c>
      <x:c r="J2283" s="2" t="str">
        <x:v>adulta</x:v>
      </x:c>
      <x:c r="K2283" s="2" t="n">
        <x:v>1</x:v>
      </x:c>
      <x:c r="L2283" s="2" t="n">
        <x:v>4</x:v>
      </x:c>
      <x:c r="M2283" s="2" t="n">
        <x:f>SUM(L$2270:L2283)</x:f>
        <x:v>36</x:v>
      </x:c>
      <x:c r="N2283" s="2" t="n">
        <x:v>0</x:v>
      </x:c>
      <x:c r="O2283" s="2" t="str">
        <x:v>seguimiento</x:v>
      </x:c>
      <x:c r="P2283" s="2" t="n">
        <x:v>0</x:v>
      </x:c>
      <x:c r="Q2283" s="2" t="str">
        <x:v>simulado_didactico</x:v>
      </x:c>
    </x:row>
    <x:row r="2284" ht="19" customHeight="1">
      <x:c r="A2284" s="2" t="str">
        <x:v>SIM-E2-BB-L0-R09</x:v>
      </x:c>
      <x:c r="B2284" s="2" t="n">
        <x:v>5</x:v>
      </x:c>
      <x:c r="C2284" s="2" t="str">
        <x:v>BB</x:v>
      </x:c>
      <x:c r="D2284" s="2" t="str">
        <x:v>Brevicoryne brassicae</x:v>
      </x:c>
      <x:c r="E2284" s="2" t="str">
        <x:v>L0</x:v>
      </x:c>
      <x:c r="F2284" s="2" t="n">
        <x:v>9</x:v>
      </x:c>
      <x:c r="G2284" s="2" t="n">
        <x:v>14</x:v>
      </x:c>
      <x:c r="H2284" s="2" t="n">
        <x:f>G2284+Supuestos!$C$15</x:f>
        <x:v>15</x:v>
      </x:c>
      <x:c r="I2284" s="14" t="n">
        <x:f>E2_plantas!J56+G2284</x:f>
        <x:v>46216</x:v>
      </x:c>
      <x:c r="J2284" s="2" t="str">
        <x:v>adulta</x:v>
      </x:c>
      <x:c r="K2284" s="2" t="n">
        <x:v>1</x:v>
      </x:c>
      <x:c r="L2284" s="2" t="n">
        <x:v>4</x:v>
      </x:c>
      <x:c r="M2284" s="2" t="n">
        <x:f>SUM(L$2270:L2284)</x:f>
        <x:v>40</x:v>
      </x:c>
      <x:c r="N2284" s="2" t="n">
        <x:v>0</x:v>
      </x:c>
      <x:c r="O2284" s="2" t="str">
        <x:v>seguimiento</x:v>
      </x:c>
      <x:c r="P2284" s="2" t="n">
        <x:v>0</x:v>
      </x:c>
      <x:c r="Q2284" s="2" t="str">
        <x:v>simulado_didactico</x:v>
      </x:c>
    </x:row>
    <x:row r="2285" ht="19" customHeight="1">
      <x:c r="A2285" s="2" t="str">
        <x:v>SIM-E2-BB-L0-R09</x:v>
      </x:c>
      <x:c r="B2285" s="2" t="n">
        <x:v>5</x:v>
      </x:c>
      <x:c r="C2285" s="2" t="str">
        <x:v>BB</x:v>
      </x:c>
      <x:c r="D2285" s="2" t="str">
        <x:v>Brevicoryne brassicae</x:v>
      </x:c>
      <x:c r="E2285" s="2" t="str">
        <x:v>L0</x:v>
      </x:c>
      <x:c r="F2285" s="2" t="n">
        <x:v>9</x:v>
      </x:c>
      <x:c r="G2285" s="2" t="n">
        <x:v>15</x:v>
      </x:c>
      <x:c r="H2285" s="2" t="n">
        <x:f>G2285+Supuestos!$C$15</x:f>
        <x:v>16</x:v>
      </x:c>
      <x:c r="I2285" s="14" t="n">
        <x:f>E2_plantas!J56+G2285</x:f>
        <x:v>46217</x:v>
      </x:c>
      <x:c r="J2285" s="2" t="str">
        <x:v>adulta</x:v>
      </x:c>
      <x:c r="K2285" s="2" t="n">
        <x:v>1</x:v>
      </x:c>
      <x:c r="L2285" s="2" t="n">
        <x:v>3</x:v>
      </x:c>
      <x:c r="M2285" s="2" t="n">
        <x:f>SUM(L$2270:L2285)</x:f>
        <x:v>43</x:v>
      </x:c>
      <x:c r="N2285" s="2" t="n">
        <x:v>0</x:v>
      </x:c>
      <x:c r="O2285" s="2" t="str">
        <x:v>seguimiento</x:v>
      </x:c>
      <x:c r="P2285" s="2" t="n">
        <x:v>0</x:v>
      </x:c>
      <x:c r="Q2285" s="2" t="str">
        <x:v>simulado_didactico</x:v>
      </x:c>
    </x:row>
    <x:row r="2286" ht="19" customHeight="1">
      <x:c r="A2286" s="2" t="str">
        <x:v>SIM-E2-BB-L0-R09</x:v>
      </x:c>
      <x:c r="B2286" s="2" t="n">
        <x:v>5</x:v>
      </x:c>
      <x:c r="C2286" s="2" t="str">
        <x:v>BB</x:v>
      </x:c>
      <x:c r="D2286" s="2" t="str">
        <x:v>Brevicoryne brassicae</x:v>
      </x:c>
      <x:c r="E2286" s="2" t="str">
        <x:v>L0</x:v>
      </x:c>
      <x:c r="F2286" s="2" t="n">
        <x:v>9</x:v>
      </x:c>
      <x:c r="G2286" s="2" t="n">
        <x:v>16</x:v>
      </x:c>
      <x:c r="H2286" s="2" t="n">
        <x:f>G2286+Supuestos!$C$15</x:f>
        <x:v>17</x:v>
      </x:c>
      <x:c r="I2286" s="14" t="n">
        <x:f>E2_plantas!J56+G2286</x:f>
        <x:v>46218</x:v>
      </x:c>
      <x:c r="J2286" s="2" t="str">
        <x:v>adulta</x:v>
      </x:c>
      <x:c r="K2286" s="2" t="n">
        <x:v>1</x:v>
      </x:c>
      <x:c r="L2286" s="2" t="n">
        <x:v>6</x:v>
      </x:c>
      <x:c r="M2286" s="2" t="n">
        <x:f>SUM(L$2270:L2286)</x:f>
        <x:v>49</x:v>
      </x:c>
      <x:c r="N2286" s="2" t="n">
        <x:v>0</x:v>
      </x:c>
      <x:c r="O2286" s="2" t="str">
        <x:v>seguimiento</x:v>
      </x:c>
      <x:c r="P2286" s="2" t="n">
        <x:v>0</x:v>
      </x:c>
      <x:c r="Q2286" s="2" t="str">
        <x:v>simulado_didactico</x:v>
      </x:c>
    </x:row>
    <x:row r="2287" ht="19" customHeight="1">
      <x:c r="A2287" s="2" t="str">
        <x:v>SIM-E2-BB-L0-R09</x:v>
      </x:c>
      <x:c r="B2287" s="2" t="n">
        <x:v>5</x:v>
      </x:c>
      <x:c r="C2287" s="2" t="str">
        <x:v>BB</x:v>
      </x:c>
      <x:c r="D2287" s="2" t="str">
        <x:v>Brevicoryne brassicae</x:v>
      </x:c>
      <x:c r="E2287" s="2" t="str">
        <x:v>L0</x:v>
      </x:c>
      <x:c r="F2287" s="2" t="n">
        <x:v>9</x:v>
      </x:c>
      <x:c r="G2287" s="2" t="n">
        <x:v>17</x:v>
      </x:c>
      <x:c r="H2287" s="2" t="n">
        <x:f>G2287+Supuestos!$C$15</x:f>
        <x:v>18</x:v>
      </x:c>
      <x:c r="I2287" s="14" t="n">
        <x:f>E2_plantas!J56+G2287</x:f>
        <x:v>46219</x:v>
      </x:c>
      <x:c r="J2287" s="2" t="str">
        <x:v>adulta</x:v>
      </x:c>
      <x:c r="K2287" s="2" t="n">
        <x:v>1</x:v>
      </x:c>
      <x:c r="L2287" s="2" t="n">
        <x:v>4</x:v>
      </x:c>
      <x:c r="M2287" s="2" t="n">
        <x:f>SUM(L$2270:L2287)</x:f>
        <x:v>53</x:v>
      </x:c>
      <x:c r="N2287" s="2" t="n">
        <x:v>0</x:v>
      </x:c>
      <x:c r="O2287" s="2" t="str">
        <x:v>seguimiento</x:v>
      </x:c>
      <x:c r="P2287" s="2" t="n">
        <x:v>0</x:v>
      </x:c>
      <x:c r="Q2287" s="2" t="str">
        <x:v>simulado_didactico</x:v>
      </x:c>
    </x:row>
    <x:row r="2288" ht="19" customHeight="1">
      <x:c r="A2288" s="2" t="str">
        <x:v>SIM-E2-BB-L0-R09</x:v>
      </x:c>
      <x:c r="B2288" s="2" t="n">
        <x:v>5</x:v>
      </x:c>
      <x:c r="C2288" s="2" t="str">
        <x:v>BB</x:v>
      </x:c>
      <x:c r="D2288" s="2" t="str">
        <x:v>Brevicoryne brassicae</x:v>
      </x:c>
      <x:c r="E2288" s="2" t="str">
        <x:v>L0</x:v>
      </x:c>
      <x:c r="F2288" s="2" t="n">
        <x:v>9</x:v>
      </x:c>
      <x:c r="G2288" s="2" t="n">
        <x:v>18</x:v>
      </x:c>
      <x:c r="H2288" s="2" t="n">
        <x:f>G2288+Supuestos!$C$15</x:f>
        <x:v>19</x:v>
      </x:c>
      <x:c r="I2288" s="14" t="n">
        <x:f>E2_plantas!J56+G2288</x:f>
        <x:v>46220</x:v>
      </x:c>
      <x:c r="J2288" s="2" t="str">
        <x:v>adulta</x:v>
      </x:c>
      <x:c r="K2288" s="2" t="n">
        <x:v>1</x:v>
      </x:c>
      <x:c r="L2288" s="2" t="n">
        <x:v>1</x:v>
      </x:c>
      <x:c r="M2288" s="2" t="n">
        <x:f>SUM(L$2270:L2288)</x:f>
        <x:v>54</x:v>
      </x:c>
      <x:c r="N2288" s="2" t="n">
        <x:v>0</x:v>
      </x:c>
      <x:c r="O2288" s="2" t="str">
        <x:v>seguimiento</x:v>
      </x:c>
      <x:c r="P2288" s="2" t="n">
        <x:v>0</x:v>
      </x:c>
      <x:c r="Q2288" s="2" t="str">
        <x:v>simulado_didactico</x:v>
      </x:c>
    </x:row>
    <x:row r="2289" ht="19" customHeight="1">
      <x:c r="A2289" s="2" t="str">
        <x:v>SIM-E2-BB-L0-R09</x:v>
      </x:c>
      <x:c r="B2289" s="2" t="n">
        <x:v>5</x:v>
      </x:c>
      <x:c r="C2289" s="2" t="str">
        <x:v>BB</x:v>
      </x:c>
      <x:c r="D2289" s="2" t="str">
        <x:v>Brevicoryne brassicae</x:v>
      </x:c>
      <x:c r="E2289" s="2" t="str">
        <x:v>L0</x:v>
      </x:c>
      <x:c r="F2289" s="2" t="n">
        <x:v>9</x:v>
      </x:c>
      <x:c r="G2289" s="2" t="n">
        <x:v>19</x:v>
      </x:c>
      <x:c r="H2289" s="2" t="n">
        <x:f>G2289+Supuestos!$C$15</x:f>
        <x:v>20</x:v>
      </x:c>
      <x:c r="I2289" s="14" t="n">
        <x:f>E2_plantas!J56+G2289</x:f>
        <x:v>46221</x:v>
      </x:c>
      <x:c r="J2289" s="2" t="str">
        <x:v>adulta</x:v>
      </x:c>
      <x:c r="K2289" s="2" t="n">
        <x:v>1</x:v>
      </x:c>
      <x:c r="L2289" s="2" t="n">
        <x:v>4</x:v>
      </x:c>
      <x:c r="M2289" s="2" t="n">
        <x:f>SUM(L$2270:L2289)</x:f>
        <x:v>58</x:v>
      </x:c>
      <x:c r="N2289" s="2" t="n">
        <x:v>0</x:v>
      </x:c>
      <x:c r="O2289" s="2" t="str">
        <x:v>seguimiento</x:v>
      </x:c>
      <x:c r="P2289" s="2" t="n">
        <x:v>0</x:v>
      </x:c>
      <x:c r="Q2289" s="2" t="str">
        <x:v>simulado_didactico</x:v>
      </x:c>
    </x:row>
    <x:row r="2290" ht="19" customHeight="1">
      <x:c r="A2290" s="2" t="str">
        <x:v>SIM-E2-BB-L0-R09</x:v>
      </x:c>
      <x:c r="B2290" s="2" t="n">
        <x:v>5</x:v>
      </x:c>
      <x:c r="C2290" s="2" t="str">
        <x:v>BB</x:v>
      </x:c>
      <x:c r="D2290" s="2" t="str">
        <x:v>Brevicoryne brassicae</x:v>
      </x:c>
      <x:c r="E2290" s="2" t="str">
        <x:v>L0</x:v>
      </x:c>
      <x:c r="F2290" s="2" t="n">
        <x:v>9</x:v>
      </x:c>
      <x:c r="G2290" s="2" t="n">
        <x:v>20</x:v>
      </x:c>
      <x:c r="H2290" s="2" t="n">
        <x:f>G2290+Supuestos!$C$15</x:f>
        <x:v>21</x:v>
      </x:c>
      <x:c r="I2290" s="14" t="n">
        <x:f>E2_plantas!J56+G2290</x:f>
        <x:v>46222</x:v>
      </x:c>
      <x:c r="J2290" s="2" t="str">
        <x:v>adulta</x:v>
      </x:c>
      <x:c r="K2290" s="2" t="n">
        <x:v>1</x:v>
      </x:c>
      <x:c r="L2290" s="2" t="n">
        <x:v>5</x:v>
      </x:c>
      <x:c r="M2290" s="2" t="n">
        <x:f>SUM(L$2270:L2290)</x:f>
        <x:v>63</x:v>
      </x:c>
      <x:c r="N2290" s="2" t="n">
        <x:v>0</x:v>
      </x:c>
      <x:c r="O2290" s="2" t="str">
        <x:v>seguimiento</x:v>
      </x:c>
      <x:c r="P2290" s="2" t="n">
        <x:v>0</x:v>
      </x:c>
      <x:c r="Q2290" s="2" t="str">
        <x:v>simulado_didactico</x:v>
      </x:c>
    </x:row>
    <x:row r="2291" ht="19" customHeight="1">
      <x:c r="A2291" s="2" t="str">
        <x:v>SIM-E2-BB-L0-R09</x:v>
      </x:c>
      <x:c r="B2291" s="2" t="n">
        <x:v>5</x:v>
      </x:c>
      <x:c r="C2291" s="2" t="str">
        <x:v>BB</x:v>
      </x:c>
      <x:c r="D2291" s="2" t="str">
        <x:v>Brevicoryne brassicae</x:v>
      </x:c>
      <x:c r="E2291" s="2" t="str">
        <x:v>L0</x:v>
      </x:c>
      <x:c r="F2291" s="2" t="n">
        <x:v>9</x:v>
      </x:c>
      <x:c r="G2291" s="2" t="n">
        <x:v>21</x:v>
      </x:c>
      <x:c r="H2291" s="2" t="n">
        <x:f>G2291+Supuestos!$C$15</x:f>
        <x:v>22</x:v>
      </x:c>
      <x:c r="I2291" s="14" t="n">
        <x:f>E2_plantas!J56+G2291</x:f>
        <x:v>46223</x:v>
      </x:c>
      <x:c r="J2291" s="2" t="str">
        <x:v>adulta</x:v>
      </x:c>
      <x:c r="K2291" s="2" t="n">
        <x:v>1</x:v>
      </x:c>
      <x:c r="L2291" s="2" t="n">
        <x:v>3</x:v>
      </x:c>
      <x:c r="M2291" s="2" t="n">
        <x:f>SUM(L$2270:L2291)</x:f>
        <x:v>66</x:v>
      </x:c>
      <x:c r="N2291" s="2" t="n">
        <x:v>0</x:v>
      </x:c>
      <x:c r="O2291" s="2" t="str">
        <x:v>seguimiento</x:v>
      </x:c>
      <x:c r="P2291" s="2" t="n">
        <x:v>0</x:v>
      </x:c>
      <x:c r="Q2291" s="2" t="str">
        <x:v>simulado_didactico</x:v>
      </x:c>
    </x:row>
    <x:row r="2292" ht="19" customHeight="1">
      <x:c r="A2292" s="2" t="str">
        <x:v>SIM-E2-BB-L0-R09</x:v>
      </x:c>
      <x:c r="B2292" s="2" t="n">
        <x:v>5</x:v>
      </x:c>
      <x:c r="C2292" s="2" t="str">
        <x:v>BB</x:v>
      </x:c>
      <x:c r="D2292" s="2" t="str">
        <x:v>Brevicoryne brassicae</x:v>
      </x:c>
      <x:c r="E2292" s="2" t="str">
        <x:v>L0</x:v>
      </x:c>
      <x:c r="F2292" s="2" t="n">
        <x:v>9</x:v>
      </x:c>
      <x:c r="G2292" s="2" t="n">
        <x:v>22</x:v>
      </x:c>
      <x:c r="H2292" s="2" t="n">
        <x:f>G2292+Supuestos!$C$15</x:f>
        <x:v>23</x:v>
      </x:c>
      <x:c r="I2292" s="14" t="n">
        <x:f>E2_plantas!J56+G2292</x:f>
        <x:v>46224</x:v>
      </x:c>
      <x:c r="J2292" s="2" t="str">
        <x:v>adulta</x:v>
      </x:c>
      <x:c r="K2292" s="2" t="n">
        <x:v>1</x:v>
      </x:c>
      <x:c r="L2292" s="2" t="n">
        <x:v>0</x:v>
      </x:c>
      <x:c r="M2292" s="2" t="n">
        <x:f>SUM(L$2270:L2292)</x:f>
        <x:v>66</x:v>
      </x:c>
      <x:c r="N2292" s="2" t="n">
        <x:v>0</x:v>
      </x:c>
      <x:c r="O2292" s="2" t="str">
        <x:v>seguimiento</x:v>
      </x:c>
      <x:c r="P2292" s="2" t="n">
        <x:v>0</x:v>
      </x:c>
      <x:c r="Q2292" s="2" t="str">
        <x:v>simulado_didactico</x:v>
      </x:c>
    </x:row>
    <x:row r="2293" ht="19" customHeight="1">
      <x:c r="A2293" s="2" t="str">
        <x:v>SIM-E2-BB-L0-R09</x:v>
      </x:c>
      <x:c r="B2293" s="2" t="n">
        <x:v>5</x:v>
      </x:c>
      <x:c r="C2293" s="2" t="str">
        <x:v>BB</x:v>
      </x:c>
      <x:c r="D2293" s="2" t="str">
        <x:v>Brevicoryne brassicae</x:v>
      </x:c>
      <x:c r="E2293" s="2" t="str">
        <x:v>L0</x:v>
      </x:c>
      <x:c r="F2293" s="2" t="n">
        <x:v>9</x:v>
      </x:c>
      <x:c r="G2293" s="2" t="n">
        <x:v>23</x:v>
      </x:c>
      <x:c r="H2293" s="2" t="n">
        <x:f>G2293+Supuestos!$C$15</x:f>
        <x:v>24</x:v>
      </x:c>
      <x:c r="I2293" s="14" t="n">
        <x:f>E2_plantas!J56+G2293</x:f>
        <x:v>46225</x:v>
      </x:c>
      <x:c r="J2293" s="2" t="str">
        <x:v>adulta</x:v>
      </x:c>
      <x:c r="K2293" s="2" t="n">
        <x:v>1</x:v>
      </x:c>
      <x:c r="L2293" s="2" t="n">
        <x:v>2</x:v>
      </x:c>
      <x:c r="M2293" s="2" t="n">
        <x:f>SUM(L$2270:L2293)</x:f>
        <x:v>68</x:v>
      </x:c>
      <x:c r="N2293" s="2" t="n">
        <x:v>0</x:v>
      </x:c>
      <x:c r="O2293" s="2" t="str">
        <x:v>seguimiento</x:v>
      </x:c>
      <x:c r="P2293" s="2" t="n">
        <x:v>0</x:v>
      </x:c>
      <x:c r="Q2293" s="2" t="str">
        <x:v>simulado_didactico</x:v>
      </x:c>
    </x:row>
    <x:row r="2294" ht="19" customHeight="1">
      <x:c r="A2294" s="2" t="str">
        <x:v>SIM-E2-BB-L0-R09</x:v>
      </x:c>
      <x:c r="B2294" s="2" t="n">
        <x:v>5</x:v>
      </x:c>
      <x:c r="C2294" s="2" t="str">
        <x:v>BB</x:v>
      </x:c>
      <x:c r="D2294" s="2" t="str">
        <x:v>Brevicoryne brassicae</x:v>
      </x:c>
      <x:c r="E2294" s="2" t="str">
        <x:v>L0</x:v>
      </x:c>
      <x:c r="F2294" s="2" t="n">
        <x:v>9</x:v>
      </x:c>
      <x:c r="G2294" s="2" t="n">
        <x:v>24</x:v>
      </x:c>
      <x:c r="H2294" s="2" t="n">
        <x:f>G2294+Supuestos!$C$15</x:f>
        <x:v>25</x:v>
      </x:c>
      <x:c r="I2294" s="14" t="n">
        <x:f>E2_plantas!J56+G2294</x:f>
        <x:v>46226</x:v>
      </x:c>
      <x:c r="J2294" s="2" t="str">
        <x:v>adulta</x:v>
      </x:c>
      <x:c r="K2294" s="2" t="n">
        <x:v>1</x:v>
      </x:c>
      <x:c r="L2294" s="2" t="n">
        <x:v>0</x:v>
      </x:c>
      <x:c r="M2294" s="2" t="n">
        <x:f>SUM(L$2270:L2294)</x:f>
        <x:v>68</x:v>
      </x:c>
      <x:c r="N2294" s="2" t="n">
        <x:v>0</x:v>
      </x:c>
      <x:c r="O2294" s="2" t="str">
        <x:v>seguimiento</x:v>
      </x:c>
      <x:c r="P2294" s="2" t="n">
        <x:v>0</x:v>
      </x:c>
      <x:c r="Q2294" s="2" t="str">
        <x:v>simulado_didactico</x:v>
      </x:c>
    </x:row>
    <x:row r="2295" ht="19" customHeight="1">
      <x:c r="A2295" s="2" t="str">
        <x:v>SIM-E2-BB-L0-R09</x:v>
      </x:c>
      <x:c r="B2295" s="2" t="n">
        <x:v>5</x:v>
      </x:c>
      <x:c r="C2295" s="2" t="str">
        <x:v>BB</x:v>
      </x:c>
      <x:c r="D2295" s="2" t="str">
        <x:v>Brevicoryne brassicae</x:v>
      </x:c>
      <x:c r="E2295" s="2" t="str">
        <x:v>L0</x:v>
      </x:c>
      <x:c r="F2295" s="2" t="n">
        <x:v>9</x:v>
      </x:c>
      <x:c r="G2295" s="2" t="n">
        <x:v>25</x:v>
      </x:c>
      <x:c r="H2295" s="2" t="n">
        <x:f>G2295+Supuestos!$C$15</x:f>
        <x:v>26</x:v>
      </x:c>
      <x:c r="I2295" s="14" t="n">
        <x:f>E2_plantas!J56+G2295</x:f>
        <x:v>46227</x:v>
      </x:c>
      <x:c r="J2295" s="2" t="str">
        <x:v>adulta</x:v>
      </x:c>
      <x:c r="K2295" s="2" t="n">
        <x:v>1</x:v>
      </x:c>
      <x:c r="L2295" s="2" t="n">
        <x:v>1</x:v>
      </x:c>
      <x:c r="M2295" s="2" t="n">
        <x:f>SUM(L$2270:L2295)</x:f>
        <x:v>69</x:v>
      </x:c>
      <x:c r="N2295" s="2" t="n">
        <x:v>0</x:v>
      </x:c>
      <x:c r="O2295" s="2" t="str">
        <x:v>seguimiento</x:v>
      </x:c>
      <x:c r="P2295" s="2" t="n">
        <x:v>0</x:v>
      </x:c>
      <x:c r="Q2295" s="2" t="str">
        <x:v>simulado_didactico</x:v>
      </x:c>
    </x:row>
    <x:row r="2296" ht="19" customHeight="1">
      <x:c r="A2296" s="2" t="str">
        <x:v>SIM-E2-BB-L0-R09</x:v>
      </x:c>
      <x:c r="B2296" s="2" t="n">
        <x:v>5</x:v>
      </x:c>
      <x:c r="C2296" s="2" t="str">
        <x:v>BB</x:v>
      </x:c>
      <x:c r="D2296" s="2" t="str">
        <x:v>Brevicoryne brassicae</x:v>
      </x:c>
      <x:c r="E2296" s="2" t="str">
        <x:v>L0</x:v>
      </x:c>
      <x:c r="F2296" s="2" t="n">
        <x:v>9</x:v>
      </x:c>
      <x:c r="G2296" s="2" t="n">
        <x:v>26</x:v>
      </x:c>
      <x:c r="H2296" s="2" t="n">
        <x:f>G2296+Supuestos!$C$15</x:f>
        <x:v>27</x:v>
      </x:c>
      <x:c r="I2296" s="14" t="n">
        <x:f>E2_plantas!J56+G2296</x:f>
        <x:v>46228</x:v>
      </x:c>
      <x:c r="J2296" s="2" t="str">
        <x:v>adulta</x:v>
      </x:c>
      <x:c r="K2296" s="2" t="n">
        <x:v>1</x:v>
      </x:c>
      <x:c r="L2296" s="2" t="n">
        <x:v>1</x:v>
      </x:c>
      <x:c r="M2296" s="2" t="n">
        <x:f>SUM(L$2270:L2296)</x:f>
        <x:v>70</x:v>
      </x:c>
      <x:c r="N2296" s="2" t="n">
        <x:v>0</x:v>
      </x:c>
      <x:c r="O2296" s="2" t="str">
        <x:v>seguimiento</x:v>
      </x:c>
      <x:c r="P2296" s="2" t="n">
        <x:v>0</x:v>
      </x:c>
      <x:c r="Q2296" s="2" t="str">
        <x:v>simulado_didactico</x:v>
      </x:c>
    </x:row>
    <x:row r="2297" ht="19" customHeight="1">
      <x:c r="A2297" s="2" t="str">
        <x:v>SIM-E2-BB-L0-R09</x:v>
      </x:c>
      <x:c r="B2297" s="2" t="n">
        <x:v>5</x:v>
      </x:c>
      <x:c r="C2297" s="2" t="str">
        <x:v>BB</x:v>
      </x:c>
      <x:c r="D2297" s="2" t="str">
        <x:v>Brevicoryne brassicae</x:v>
      </x:c>
      <x:c r="E2297" s="2" t="str">
        <x:v>L0</x:v>
      </x:c>
      <x:c r="F2297" s="2" t="n">
        <x:v>9</x:v>
      </x:c>
      <x:c r="G2297" s="2" t="n">
        <x:v>27</x:v>
      </x:c>
      <x:c r="H2297" s="2" t="n">
        <x:f>G2297+Supuestos!$C$15</x:f>
        <x:v>28</x:v>
      </x:c>
      <x:c r="I2297" s="14" t="n">
        <x:f>E2_plantas!J56+G2297</x:f>
        <x:v>46229</x:v>
      </x:c>
      <x:c r="J2297" s="2" t="str">
        <x:v>adulta</x:v>
      </x:c>
      <x:c r="K2297" s="2" t="n">
        <x:v>1</x:v>
      </x:c>
      <x:c r="L2297" s="2" t="n">
        <x:v>1</x:v>
      </x:c>
      <x:c r="M2297" s="2" t="n">
        <x:f>SUM(L$2270:L2297)</x:f>
        <x:v>71</x:v>
      </x:c>
      <x:c r="N2297" s="2" t="n">
        <x:v>0</x:v>
      </x:c>
      <x:c r="O2297" s="2" t="str">
        <x:v>seguimiento</x:v>
      </x:c>
      <x:c r="P2297" s="2" t="n">
        <x:v>0</x:v>
      </x:c>
      <x:c r="Q2297" s="2" t="str">
        <x:v>simulado_didactico</x:v>
      </x:c>
    </x:row>
    <x:row r="2298" ht="19" customHeight="1">
      <x:c r="A2298" s="2" t="str">
        <x:v>SIM-E2-BB-L0-R09</x:v>
      </x:c>
      <x:c r="B2298" s="2" t="n">
        <x:v>5</x:v>
      </x:c>
      <x:c r="C2298" s="2" t="str">
        <x:v>BB</x:v>
      </x:c>
      <x:c r="D2298" s="2" t="str">
        <x:v>Brevicoryne brassicae</x:v>
      </x:c>
      <x:c r="E2298" s="2" t="str">
        <x:v>L0</x:v>
      </x:c>
      <x:c r="F2298" s="2" t="n">
        <x:v>9</x:v>
      </x:c>
      <x:c r="G2298" s="2" t="n">
        <x:v>28</x:v>
      </x:c>
      <x:c r="H2298" s="2" t="n">
        <x:f>G2298+Supuestos!$C$15</x:f>
        <x:v>29</x:v>
      </x:c>
      <x:c r="I2298" s="14" t="n">
        <x:f>E2_plantas!J56+G2298</x:f>
        <x:v>46230</x:v>
      </x:c>
      <x:c r="J2298" s="2" t="str">
        <x:v>adulta</x:v>
      </x:c>
      <x:c r="K2298" s="2" t="n">
        <x:v>1</x:v>
      </x:c>
      <x:c r="L2298" s="2" t="n">
        <x:v>0</x:v>
      </x:c>
      <x:c r="M2298" s="2" t="n">
        <x:f>SUM(L$2270:L2298)</x:f>
        <x:v>71</x:v>
      </x:c>
      <x:c r="N2298" s="2" t="n">
        <x:v>0</x:v>
      </x:c>
      <x:c r="O2298" s="2" t="str">
        <x:v>seguimiento</x:v>
      </x:c>
      <x:c r="P2298" s="2" t="n">
        <x:v>0</x:v>
      </x:c>
      <x:c r="Q2298" s="2" t="str">
        <x:v>simulado_didactico</x:v>
      </x:c>
    </x:row>
    <x:row r="2299" ht="19" customHeight="1">
      <x:c r="A2299" s="2" t="str">
        <x:v>SIM-E2-BB-L0-R09</x:v>
      </x:c>
      <x:c r="B2299" s="2" t="n">
        <x:v>5</x:v>
      </x:c>
      <x:c r="C2299" s="2" t="str">
        <x:v>BB</x:v>
      </x:c>
      <x:c r="D2299" s="2" t="str">
        <x:v>Brevicoryne brassicae</x:v>
      </x:c>
      <x:c r="E2299" s="2" t="str">
        <x:v>L0</x:v>
      </x:c>
      <x:c r="F2299" s="2" t="n">
        <x:v>9</x:v>
      </x:c>
      <x:c r="G2299" s="2" t="n">
        <x:v>29</x:v>
      </x:c>
      <x:c r="H2299" s="2" t="n">
        <x:f>G2299+Supuestos!$C$15</x:f>
        <x:v>30</x:v>
      </x:c>
      <x:c r="I2299" s="14" t="n">
        <x:f>E2_plantas!J56+G2299</x:f>
        <x:v>46231</x:v>
      </x:c>
      <x:c r="J2299" s="2" t="str">
        <x:v>adulta</x:v>
      </x:c>
      <x:c r="K2299" s="2" t="n">
        <x:v>1</x:v>
      </x:c>
      <x:c r="L2299" s="2" t="n">
        <x:v>1</x:v>
      </x:c>
      <x:c r="M2299" s="2" t="n">
        <x:f>SUM(L$2270:L2299)</x:f>
        <x:v>72</x:v>
      </x:c>
      <x:c r="N2299" s="2" t="n">
        <x:v>0</x:v>
      </x:c>
      <x:c r="O2299" s="2" t="str">
        <x:v>seguimiento</x:v>
      </x:c>
      <x:c r="P2299" s="2" t="n">
        <x:v>0</x:v>
      </x:c>
      <x:c r="Q2299" s="2" t="str">
        <x:v>simulado_didactico</x:v>
      </x:c>
    </x:row>
    <x:row r="2300" ht="19" customHeight="1">
      <x:c r="A2300" s="2" t="str">
        <x:v>SIM-E2-BB-L0-R09</x:v>
      </x:c>
      <x:c r="B2300" s="2" t="n">
        <x:v>5</x:v>
      </x:c>
      <x:c r="C2300" s="2" t="str">
        <x:v>BB</x:v>
      </x:c>
      <x:c r="D2300" s="2" t="str">
        <x:v>Brevicoryne brassicae</x:v>
      </x:c>
      <x:c r="E2300" s="2" t="str">
        <x:v>L0</x:v>
      </x:c>
      <x:c r="F2300" s="2" t="n">
        <x:v>9</x:v>
      </x:c>
      <x:c r="G2300" s="2" t="n">
        <x:v>30</x:v>
      </x:c>
      <x:c r="H2300" s="2" t="n">
        <x:f>G2300+Supuestos!$C$15</x:f>
        <x:v>31</x:v>
      </x:c>
      <x:c r="I2300" s="14" t="n">
        <x:f>E2_plantas!J56+G2300</x:f>
        <x:v>46232</x:v>
      </x:c>
      <x:c r="J2300" s="2" t="str">
        <x:v>adulta</x:v>
      </x:c>
      <x:c r="K2300" s="2" t="n">
        <x:v>1</x:v>
      </x:c>
      <x:c r="L2300" s="2" t="n">
        <x:v>0</x:v>
      </x:c>
      <x:c r="M2300" s="2" t="n">
        <x:f>SUM(L$2270:L2300)</x:f>
        <x:v>72</x:v>
      </x:c>
      <x:c r="N2300" s="2" t="n">
        <x:v>0</x:v>
      </x:c>
      <x:c r="O2300" s="2" t="str">
        <x:v>seguimiento</x:v>
      </x:c>
      <x:c r="P2300" s="2" t="n">
        <x:v>0</x:v>
      </x:c>
      <x:c r="Q2300" s="2" t="str">
        <x:v>simulado_didactico</x:v>
      </x:c>
    </x:row>
    <x:row r="2301" ht="19" customHeight="1">
      <x:c r="A2301" s="2" t="str">
        <x:v>SIM-E2-BB-L0-R09</x:v>
      </x:c>
      <x:c r="B2301" s="2" t="n">
        <x:v>5</x:v>
      </x:c>
      <x:c r="C2301" s="2" t="str">
        <x:v>BB</x:v>
      </x:c>
      <x:c r="D2301" s="2" t="str">
        <x:v>Brevicoryne brassicae</x:v>
      </x:c>
      <x:c r="E2301" s="2" t="str">
        <x:v>L0</x:v>
      </x:c>
      <x:c r="F2301" s="2" t="n">
        <x:v>9</x:v>
      </x:c>
      <x:c r="G2301" s="2" t="n">
        <x:v>31</x:v>
      </x:c>
      <x:c r="H2301" s="2" t="n">
        <x:f>G2301+Supuestos!$C$15</x:f>
        <x:v>32</x:v>
      </x:c>
      <x:c r="I2301" s="14" t="n">
        <x:f>E2_plantas!J56+G2301</x:f>
        <x:v>46233</x:v>
      </x:c>
      <x:c r="J2301" s="2" t="str">
        <x:v>adulta</x:v>
      </x:c>
      <x:c r="K2301" s="2" t="n">
        <x:v>1</x:v>
      </x:c>
      <x:c r="L2301" s="2" t="n">
        <x:v>3</x:v>
      </x:c>
      <x:c r="M2301" s="2" t="n">
        <x:f>SUM(L$2270:L2301)</x:f>
        <x:v>75</x:v>
      </x:c>
      <x:c r="N2301" s="2" t="n">
        <x:v>0</x:v>
      </x:c>
      <x:c r="O2301" s="2" t="str">
        <x:v>seguimiento</x:v>
      </x:c>
      <x:c r="P2301" s="2" t="n">
        <x:v>0</x:v>
      </x:c>
      <x:c r="Q2301" s="2" t="str">
        <x:v>simulado_didactico</x:v>
      </x:c>
    </x:row>
    <x:row r="2302" ht="19" customHeight="1">
      <x:c r="A2302" s="2" t="str">
        <x:v>SIM-E2-BB-L0-R09</x:v>
      </x:c>
      <x:c r="B2302" s="2" t="n">
        <x:v>5</x:v>
      </x:c>
      <x:c r="C2302" s="2" t="str">
        <x:v>BB</x:v>
      </x:c>
      <x:c r="D2302" s="2" t="str">
        <x:v>Brevicoryne brassicae</x:v>
      </x:c>
      <x:c r="E2302" s="2" t="str">
        <x:v>L0</x:v>
      </x:c>
      <x:c r="F2302" s="2" t="n">
        <x:v>9</x:v>
      </x:c>
      <x:c r="G2302" s="2" t="n">
        <x:v>32</x:v>
      </x:c>
      <x:c r="H2302" s="2" t="n">
        <x:f>G2302+Supuestos!$C$15</x:f>
        <x:v>33</x:v>
      </x:c>
      <x:c r="I2302" s="14" t="n">
        <x:f>E2_plantas!J56+G2302</x:f>
        <x:v>46234</x:v>
      </x:c>
      <x:c r="J2302" s="2" t="str">
        <x:v>adulta</x:v>
      </x:c>
      <x:c r="K2302" s="2" t="n">
        <x:v>1</x:v>
      </x:c>
      <x:c r="L2302" s="2" t="n">
        <x:v>0</x:v>
      </x:c>
      <x:c r="M2302" s="2" t="n">
        <x:f>SUM(L$2270:L2302)</x:f>
        <x:v>75</x:v>
      </x:c>
      <x:c r="N2302" s="2" t="n">
        <x:v>0</x:v>
      </x:c>
      <x:c r="O2302" s="2" t="str">
        <x:v>seguimiento</x:v>
      </x:c>
      <x:c r="P2302" s="2" t="n">
        <x:v>0</x:v>
      </x:c>
      <x:c r="Q2302" s="2" t="str">
        <x:v>simulado_didactico</x:v>
      </x:c>
    </x:row>
    <x:row r="2303" ht="19" customHeight="1">
      <x:c r="A2303" s="2" t="str">
        <x:v>SIM-E2-BB-L0-R09</x:v>
      </x:c>
      <x:c r="B2303" s="2" t="n">
        <x:v>5</x:v>
      </x:c>
      <x:c r="C2303" s="2" t="str">
        <x:v>BB</x:v>
      </x:c>
      <x:c r="D2303" s="2" t="str">
        <x:v>Brevicoryne brassicae</x:v>
      </x:c>
      <x:c r="E2303" s="2" t="str">
        <x:v>L0</x:v>
      </x:c>
      <x:c r="F2303" s="2" t="n">
        <x:v>9</x:v>
      </x:c>
      <x:c r="G2303" s="2" t="n">
        <x:v>33</x:v>
      </x:c>
      <x:c r="H2303" s="2" t="n">
        <x:f>G2303+Supuestos!$C$15</x:f>
        <x:v>34</x:v>
      </x:c>
      <x:c r="I2303" s="14" t="n">
        <x:f>E2_plantas!J56+G2303</x:f>
        <x:v>46235</x:v>
      </x:c>
      <x:c r="J2303" s="2" t="str">
        <x:v>adulta</x:v>
      </x:c>
      <x:c r="K2303" s="2" t="n">
        <x:v>1</x:v>
      </x:c>
      <x:c r="L2303" s="2" t="n">
        <x:v>3</x:v>
      </x:c>
      <x:c r="M2303" s="2" t="n">
        <x:f>SUM(L$2270:L2303)</x:f>
        <x:v>78</x:v>
      </x:c>
      <x:c r="N2303" s="2" t="n">
        <x:v>0</x:v>
      </x:c>
      <x:c r="O2303" s="2" t="str">
        <x:v>seguimiento</x:v>
      </x:c>
      <x:c r="P2303" s="2" t="n">
        <x:v>0</x:v>
      </x:c>
      <x:c r="Q2303" s="2" t="str">
        <x:v>simulado_didactico</x:v>
      </x:c>
    </x:row>
    <x:row r="2304" ht="19" customHeight="1">
      <x:c r="A2304" s="2" t="str">
        <x:v>SIM-E2-BB-L0-R09</x:v>
      </x:c>
      <x:c r="B2304" s="2" t="n">
        <x:v>5</x:v>
      </x:c>
      <x:c r="C2304" s="2" t="str">
        <x:v>BB</x:v>
      </x:c>
      <x:c r="D2304" s="2" t="str">
        <x:v>Brevicoryne brassicae</x:v>
      </x:c>
      <x:c r="E2304" s="2" t="str">
        <x:v>L0</x:v>
      </x:c>
      <x:c r="F2304" s="2" t="n">
        <x:v>9</x:v>
      </x:c>
      <x:c r="G2304" s="2" t="n">
        <x:v>34</x:v>
      </x:c>
      <x:c r="H2304" s="2" t="n">
        <x:f>G2304+Supuestos!$C$15</x:f>
        <x:v>35</x:v>
      </x:c>
      <x:c r="I2304" s="14" t="n">
        <x:f>E2_plantas!J56+G2304</x:f>
        <x:v>46236</x:v>
      </x:c>
      <x:c r="J2304" s="2" t="str">
        <x:v>adulta</x:v>
      </x:c>
      <x:c r="K2304" s="2" t="n">
        <x:v>1</x:v>
      </x:c>
      <x:c r="L2304" s="2" t="n">
        <x:v>0</x:v>
      </x:c>
      <x:c r="M2304" s="2" t="n">
        <x:f>SUM(L$2270:L2304)</x:f>
        <x:v>78</x:v>
      </x:c>
      <x:c r="N2304" s="2" t="n">
        <x:v>0</x:v>
      </x:c>
      <x:c r="O2304" s="2" t="str">
        <x:v>seguimiento</x:v>
      </x:c>
      <x:c r="P2304" s="2" t="n">
        <x:v>0</x:v>
      </x:c>
      <x:c r="Q2304" s="2" t="str">
        <x:v>simulado_didactico</x:v>
      </x:c>
    </x:row>
    <x:row r="2305" ht="19" customHeight="1">
      <x:c r="A2305" s="2" t="str">
        <x:v>SIM-E2-BB-L0-R09</x:v>
      </x:c>
      <x:c r="B2305" s="2" t="n">
        <x:v>5</x:v>
      </x:c>
      <x:c r="C2305" s="2" t="str">
        <x:v>BB</x:v>
      </x:c>
      <x:c r="D2305" s="2" t="str">
        <x:v>Brevicoryne brassicae</x:v>
      </x:c>
      <x:c r="E2305" s="2" t="str">
        <x:v>L0</x:v>
      </x:c>
      <x:c r="F2305" s="2" t="n">
        <x:v>9</x:v>
      </x:c>
      <x:c r="G2305" s="2" t="n">
        <x:v>35</x:v>
      </x:c>
      <x:c r="H2305" s="2" t="n">
        <x:f>G2305+Supuestos!$C$15</x:f>
        <x:v>36</x:v>
      </x:c>
      <x:c r="I2305" s="14" t="n">
        <x:f>E2_plantas!J56+G2305</x:f>
        <x:v>46237</x:v>
      </x:c>
      <x:c r="J2305" s="2" t="str">
        <x:v>adulta</x:v>
      </x:c>
      <x:c r="K2305" s="2" t="n">
        <x:v>1</x:v>
      </x:c>
      <x:c r="L2305" s="2" t="n">
        <x:v>0</x:v>
      </x:c>
      <x:c r="M2305" s="2" t="n">
        <x:f>SUM(L$2270:L2305)</x:f>
        <x:v>78</x:v>
      </x:c>
      <x:c r="N2305" s="2" t="n">
        <x:v>0</x:v>
      </x:c>
      <x:c r="O2305" s="2" t="str">
        <x:v>seguimiento</x:v>
      </x:c>
      <x:c r="P2305" s="2" t="n">
        <x:v>0</x:v>
      </x:c>
      <x:c r="Q2305" s="2" t="str">
        <x:v>simulado_didactico</x:v>
      </x:c>
    </x:row>
    <x:row r="2306" ht="19" customHeight="1">
      <x:c r="A2306" s="2" t="str">
        <x:v>SIM-E2-BB-L0-R09</x:v>
      </x:c>
      <x:c r="B2306" s="2" t="n">
        <x:v>5</x:v>
      </x:c>
      <x:c r="C2306" s="2" t="str">
        <x:v>BB</x:v>
      </x:c>
      <x:c r="D2306" s="2" t="str">
        <x:v>Brevicoryne brassicae</x:v>
      </x:c>
      <x:c r="E2306" s="2" t="str">
        <x:v>L0</x:v>
      </x:c>
      <x:c r="F2306" s="2" t="n">
        <x:v>9</x:v>
      </x:c>
      <x:c r="G2306" s="2" t="n">
        <x:v>36</x:v>
      </x:c>
      <x:c r="H2306" s="2" t="n">
        <x:f>G2306+Supuestos!$C$15</x:f>
        <x:v>37</x:v>
      </x:c>
      <x:c r="I2306" s="14" t="n">
        <x:f>E2_plantas!J56+G2306</x:f>
        <x:v>46238</x:v>
      </x:c>
      <x:c r="J2306" s="2" t="str">
        <x:v>muerta</x:v>
      </x:c>
      <x:c r="K2306" s="2" t="n">
        <x:v>0</x:v>
      </x:c>
      <x:c r="L2306" s="2" t="n">
        <x:v>0</x:v>
      </x:c>
      <x:c r="M2306" s="2" t="n">
        <x:f>SUM(L$2270:L2306)</x:f>
        <x:v>78</x:v>
      </x:c>
      <x:c r="N2306" s="2" t="n">
        <x:v>1</x:v>
      </x:c>
      <x:c r="O2306" s="2" t="str">
        <x:v>muerte</x:v>
      </x:c>
      <x:c r="P2306" s="2" t="n">
        <x:v>0</x:v>
      </x:c>
      <x:c r="Q2306" s="2" t="str">
        <x:v>simulado_didactico</x:v>
      </x:c>
    </x:row>
    <x:row r="2307" ht="19" customHeight="1">
      <x:c r="A2307" s="2" t="str">
        <x:v>SIM-E2-BB-L0-R09</x:v>
      </x:c>
      <x:c r="B2307" s="2" t="n">
        <x:v>5</x:v>
      </x:c>
      <x:c r="C2307" s="2" t="str">
        <x:v>BB</x:v>
      </x:c>
      <x:c r="D2307" s="2" t="str">
        <x:v>Brevicoryne brassicae</x:v>
      </x:c>
      <x:c r="E2307" s="2" t="str">
        <x:v>L0</x:v>
      </x:c>
      <x:c r="F2307" s="2" t="n">
        <x:v>9</x:v>
      </x:c>
      <x:c r="G2307" s="2" t="n">
        <x:v>37</x:v>
      </x:c>
      <x:c r="H2307" s="2" t="n">
        <x:f>G2307+Supuestos!$C$15</x:f>
        <x:v>38</x:v>
      </x:c>
      <x:c r="I2307" s="14" t="n">
        <x:f>E2_plantas!J56+G2307</x:f>
        <x:v>46239</x:v>
      </x:c>
      <x:c r="J2307" s="2" t="str">
        <x:v>muerta</x:v>
      </x:c>
      <x:c r="K2307" s="2" t="n">
        <x:v>0</x:v>
      </x:c>
      <x:c r="L2307" s="2" t="n">
        <x:v>0</x:v>
      </x:c>
      <x:c r="M2307" s="2" t="n">
        <x:f>SUM(L$2270:L2307)</x:f>
        <x:v>78</x:v>
      </x:c>
      <x:c r="N2307" s="2" t="n">
        <x:v>0</x:v>
      </x:c>
      <x:c r="O2307" s="2" t="str">
        <x:v>relleno_postmuerte</x:v>
      </x:c>
      <x:c r="P2307" s="2" t="n">
        <x:v>0</x:v>
      </x:c>
      <x:c r="Q2307" s="2" t="str">
        <x:v>simulado_didactico</x:v>
      </x:c>
    </x:row>
    <x:row r="2308" ht="19" customHeight="1">
      <x:c r="A2308" s="2" t="str">
        <x:v>SIM-E2-BB-L0-R09</x:v>
      </x:c>
      <x:c r="B2308" s="2" t="n">
        <x:v>5</x:v>
      </x:c>
      <x:c r="C2308" s="2" t="str">
        <x:v>BB</x:v>
      </x:c>
      <x:c r="D2308" s="2" t="str">
        <x:v>Brevicoryne brassicae</x:v>
      </x:c>
      <x:c r="E2308" s="2" t="str">
        <x:v>L0</x:v>
      </x:c>
      <x:c r="F2308" s="2" t="n">
        <x:v>9</x:v>
      </x:c>
      <x:c r="G2308" s="2" t="n">
        <x:v>38</x:v>
      </x:c>
      <x:c r="H2308" s="2" t="n">
        <x:f>G2308+Supuestos!$C$15</x:f>
        <x:v>39</x:v>
      </x:c>
      <x:c r="I2308" s="14" t="n">
        <x:f>E2_plantas!J56+G2308</x:f>
        <x:v>46240</x:v>
      </x:c>
      <x:c r="J2308" s="2" t="str">
        <x:v>muerta</x:v>
      </x:c>
      <x:c r="K2308" s="2" t="n">
        <x:v>0</x:v>
      </x:c>
      <x:c r="L2308" s="2" t="n">
        <x:v>0</x:v>
      </x:c>
      <x:c r="M2308" s="2" t="n">
        <x:f>SUM(L$2270:L2308)</x:f>
        <x:v>78</x:v>
      </x:c>
      <x:c r="N2308" s="2" t="n">
        <x:v>0</x:v>
      </x:c>
      <x:c r="O2308" s="2" t="str">
        <x:v>relleno_postmuerte</x:v>
      </x:c>
      <x:c r="P2308" s="2" t="n">
        <x:v>0</x:v>
      </x:c>
      <x:c r="Q2308" s="2" t="str">
        <x:v>simulado_didactico</x:v>
      </x:c>
    </x:row>
    <x:row r="2309" ht="19" customHeight="1">
      <x:c r="A2309" s="2" t="str">
        <x:v>SIM-E2-BB-L0-R09</x:v>
      </x:c>
      <x:c r="B2309" s="2" t="n">
        <x:v>5</x:v>
      </x:c>
      <x:c r="C2309" s="2" t="str">
        <x:v>BB</x:v>
      </x:c>
      <x:c r="D2309" s="2" t="str">
        <x:v>Brevicoryne brassicae</x:v>
      </x:c>
      <x:c r="E2309" s="2" t="str">
        <x:v>L0</x:v>
      </x:c>
      <x:c r="F2309" s="2" t="n">
        <x:v>9</x:v>
      </x:c>
      <x:c r="G2309" s="2" t="n">
        <x:v>39</x:v>
      </x:c>
      <x:c r="H2309" s="2" t="n">
        <x:f>G2309+Supuestos!$C$15</x:f>
        <x:v>40</x:v>
      </x:c>
      <x:c r="I2309" s="14" t="n">
        <x:f>E2_plantas!J56+G2309</x:f>
        <x:v>46241</x:v>
      </x:c>
      <x:c r="J2309" s="2" t="str">
        <x:v>muerta</x:v>
      </x:c>
      <x:c r="K2309" s="2" t="n">
        <x:v>0</x:v>
      </x:c>
      <x:c r="L2309" s="2" t="n">
        <x:v>0</x:v>
      </x:c>
      <x:c r="M2309" s="2" t="n">
        <x:f>SUM(L$2270:L2309)</x:f>
        <x:v>78</x:v>
      </x:c>
      <x:c r="N2309" s="2" t="n">
        <x:v>0</x:v>
      </x:c>
      <x:c r="O2309" s="2" t="str">
        <x:v>relleno_postmuerte</x:v>
      </x:c>
      <x:c r="P2309" s="2" t="n">
        <x:v>0</x:v>
      </x:c>
      <x:c r="Q2309" s="2" t="str">
        <x:v>simulado_didactico</x:v>
      </x:c>
    </x:row>
    <x:row r="2310" ht="19" customHeight="1">
      <x:c r="A2310" s="2" t="str">
        <x:v>SIM-E2-BB-L0-R09</x:v>
      </x:c>
      <x:c r="B2310" s="2" t="n">
        <x:v>5</x:v>
      </x:c>
      <x:c r="C2310" s="2" t="str">
        <x:v>BB</x:v>
      </x:c>
      <x:c r="D2310" s="2" t="str">
        <x:v>Brevicoryne brassicae</x:v>
      </x:c>
      <x:c r="E2310" s="2" t="str">
        <x:v>L0</x:v>
      </x:c>
      <x:c r="F2310" s="2" t="n">
        <x:v>9</x:v>
      </x:c>
      <x:c r="G2310" s="2" t="n">
        <x:v>40</x:v>
      </x:c>
      <x:c r="H2310" s="2" t="n">
        <x:f>G2310+Supuestos!$C$15</x:f>
        <x:v>41</x:v>
      </x:c>
      <x:c r="I2310" s="14" t="n">
        <x:f>E2_plantas!J56+G2310</x:f>
        <x:v>46242</x:v>
      </x:c>
      <x:c r="J2310" s="2" t="str">
        <x:v>muerta</x:v>
      </x:c>
      <x:c r="K2310" s="2" t="n">
        <x:v>0</x:v>
      </x:c>
      <x:c r="L2310" s="2" t="n">
        <x:v>0</x:v>
      </x:c>
      <x:c r="M2310" s="2" t="n">
        <x:f>SUM(L$2270:L2310)</x:f>
        <x:v>78</x:v>
      </x:c>
      <x:c r="N2310" s="2" t="n">
        <x:v>0</x:v>
      </x:c>
      <x:c r="O2310" s="2" t="str">
        <x:v>relleno_postmuerte</x:v>
      </x:c>
      <x:c r="P2310" s="2" t="n">
        <x:v>0</x:v>
      </x:c>
      <x:c r="Q2310" s="2" t="str">
        <x:v>simulado_didactico</x:v>
      </x:c>
    </x:row>
    <x:row r="2311" ht="19" customHeight="1">
      <x:c r="A2311" s="2" t="str">
        <x:v>SIM-E2-BB-L0-R09</x:v>
      </x:c>
      <x:c r="B2311" s="2" t="n">
        <x:v>5</x:v>
      </x:c>
      <x:c r="C2311" s="2" t="str">
        <x:v>BB</x:v>
      </x:c>
      <x:c r="D2311" s="2" t="str">
        <x:v>Brevicoryne brassicae</x:v>
      </x:c>
      <x:c r="E2311" s="2" t="str">
        <x:v>L0</x:v>
      </x:c>
      <x:c r="F2311" s="2" t="n">
        <x:v>9</x:v>
      </x:c>
      <x:c r="G2311" s="2" t="n">
        <x:v>41</x:v>
      </x:c>
      <x:c r="H2311" s="2" t="n">
        <x:f>G2311+Supuestos!$C$15</x:f>
        <x:v>42</x:v>
      </x:c>
      <x:c r="I2311" s="14" t="n">
        <x:f>E2_plantas!J56+G2311</x:f>
        <x:v>46243</x:v>
      </x:c>
      <x:c r="J2311" s="2" t="str">
        <x:v>muerta</x:v>
      </x:c>
      <x:c r="K2311" s="2" t="n">
        <x:v>0</x:v>
      </x:c>
      <x:c r="L2311" s="2" t="n">
        <x:v>0</x:v>
      </x:c>
      <x:c r="M2311" s="2" t="n">
        <x:f>SUM(L$2270:L2311)</x:f>
        <x:v>78</x:v>
      </x:c>
      <x:c r="N2311" s="2" t="n">
        <x:v>0</x:v>
      </x:c>
      <x:c r="O2311" s="2" t="str">
        <x:v>relleno_postmuerte</x:v>
      </x:c>
      <x:c r="P2311" s="2" t="n">
        <x:v>0</x:v>
      </x:c>
      <x:c r="Q2311" s="2" t="str">
        <x:v>simulado_didactico</x:v>
      </x:c>
    </x:row>
    <x:row r="2312" ht="19" customHeight="1">
      <x:c r="A2312" s="2" t="str">
        <x:v>SIM-E2-BB-L0-R10</x:v>
      </x:c>
      <x:c r="B2312" s="2" t="n">
        <x:v>5</x:v>
      </x:c>
      <x:c r="C2312" s="2" t="str">
        <x:v>BB</x:v>
      </x:c>
      <x:c r="D2312" s="2" t="str">
        <x:v>Brevicoryne brassicae</x:v>
      </x:c>
      <x:c r="E2312" s="2" t="str">
        <x:v>L0</x:v>
      </x:c>
      <x:c r="F2312" s="2" t="n">
        <x:v>10</x:v>
      </x:c>
      <x:c r="G2312" s="2" t="n">
        <x:v>0</x:v>
      </x:c>
      <x:c r="H2312" s="2" t="n">
        <x:f>G2312+Supuestos!$C$15</x:f>
        <x:v>1</x:v>
      </x:c>
      <x:c r="I2312" s="14" t="n">
        <x:f>E2_plantas!J57+G2312</x:f>
        <x:v>46202</x:v>
      </x:c>
      <x:c r="J2312" s="2" t="str">
        <x:v>N1</x:v>
      </x:c>
      <x:c r="K2312" s="2" t="n">
        <x:v>1</x:v>
      </x:c>
      <x:c r="L2312" s="2" t="n">
        <x:v>0</x:v>
      </x:c>
      <x:c r="M2312" s="2" t="n">
        <x:f>SUM(L$2312:L2312)</x:f>
        <x:v>0</x:v>
      </x:c>
      <x:c r="N2312" s="2" t="n">
        <x:v>0</x:v>
      </x:c>
      <x:c r="O2312" s="2" t="str">
        <x:v>seguimiento</x:v>
      </x:c>
      <x:c r="P2312" s="2" t="n">
        <x:v>0</x:v>
      </x:c>
      <x:c r="Q2312" s="2" t="str">
        <x:v>simulado_didactico</x:v>
      </x:c>
    </x:row>
    <x:row r="2313" ht="19" customHeight="1">
      <x:c r="A2313" s="2" t="str">
        <x:v>SIM-E2-BB-L0-R10</x:v>
      </x:c>
      <x:c r="B2313" s="2" t="n">
        <x:v>5</x:v>
      </x:c>
      <x:c r="C2313" s="2" t="str">
        <x:v>BB</x:v>
      </x:c>
      <x:c r="D2313" s="2" t="str">
        <x:v>Brevicoryne brassicae</x:v>
      </x:c>
      <x:c r="E2313" s="2" t="str">
        <x:v>L0</x:v>
      </x:c>
      <x:c r="F2313" s="2" t="n">
        <x:v>10</x:v>
      </x:c>
      <x:c r="G2313" s="2" t="n">
        <x:v>1</x:v>
      </x:c>
      <x:c r="H2313" s="2" t="n">
        <x:f>G2313+Supuestos!$C$15</x:f>
        <x:v>2</x:v>
      </x:c>
      <x:c r="I2313" s="14" t="n">
        <x:f>E2_plantas!J57+G2313</x:f>
        <x:v>46203</x:v>
      </x:c>
      <x:c r="J2313" s="2" t="str">
        <x:v>N1</x:v>
      </x:c>
      <x:c r="K2313" s="2" t="n">
        <x:v>1</x:v>
      </x:c>
      <x:c r="L2313" s="2" t="n">
        <x:v>0</x:v>
      </x:c>
      <x:c r="M2313" s="2" t="n">
        <x:f>SUM(L$2312:L2313)</x:f>
        <x:v>0</x:v>
      </x:c>
      <x:c r="N2313" s="2" t="n">
        <x:v>0</x:v>
      </x:c>
      <x:c r="O2313" s="2" t="str">
        <x:v>seguimiento</x:v>
      </x:c>
      <x:c r="P2313" s="2" t="n">
        <x:v>0</x:v>
      </x:c>
      <x:c r="Q2313" s="2" t="str">
        <x:v>simulado_didactico</x:v>
      </x:c>
    </x:row>
    <x:row r="2314" ht="19" customHeight="1">
      <x:c r="A2314" s="2" t="str">
        <x:v>SIM-E2-BB-L0-R10</x:v>
      </x:c>
      <x:c r="B2314" s="2" t="n">
        <x:v>5</x:v>
      </x:c>
      <x:c r="C2314" s="2" t="str">
        <x:v>BB</x:v>
      </x:c>
      <x:c r="D2314" s="2" t="str">
        <x:v>Brevicoryne brassicae</x:v>
      </x:c>
      <x:c r="E2314" s="2" t="str">
        <x:v>L0</x:v>
      </x:c>
      <x:c r="F2314" s="2" t="n">
        <x:v>10</x:v>
      </x:c>
      <x:c r="G2314" s="2" t="n">
        <x:v>2</x:v>
      </x:c>
      <x:c r="H2314" s="2" t="n">
        <x:f>G2314+Supuestos!$C$15</x:f>
        <x:v>3</x:v>
      </x:c>
      <x:c r="I2314" s="14" t="n">
        <x:f>E2_plantas!J57+G2314</x:f>
        <x:v>46204</x:v>
      </x:c>
      <x:c r="J2314" s="2" t="str">
        <x:v>N1</x:v>
      </x:c>
      <x:c r="K2314" s="2" t="n">
        <x:v>1</x:v>
      </x:c>
      <x:c r="L2314" s="2" t="n">
        <x:v>0</x:v>
      </x:c>
      <x:c r="M2314" s="2" t="n">
        <x:f>SUM(L$2312:L2314)</x:f>
        <x:v>0</x:v>
      </x:c>
      <x:c r="N2314" s="2" t="n">
        <x:v>0</x:v>
      </x:c>
      <x:c r="O2314" s="2" t="str">
        <x:v>seguimiento</x:v>
      </x:c>
      <x:c r="P2314" s="2" t="n">
        <x:v>0</x:v>
      </x:c>
      <x:c r="Q2314" s="2" t="str">
        <x:v>simulado_didactico</x:v>
      </x:c>
    </x:row>
    <x:row r="2315" ht="19" customHeight="1">
      <x:c r="A2315" s="2" t="str">
        <x:v>SIM-E2-BB-L0-R10</x:v>
      </x:c>
      <x:c r="B2315" s="2" t="n">
        <x:v>5</x:v>
      </x:c>
      <x:c r="C2315" s="2" t="str">
        <x:v>BB</x:v>
      </x:c>
      <x:c r="D2315" s="2" t="str">
        <x:v>Brevicoryne brassicae</x:v>
      </x:c>
      <x:c r="E2315" s="2" t="str">
        <x:v>L0</x:v>
      </x:c>
      <x:c r="F2315" s="2" t="n">
        <x:v>10</x:v>
      </x:c>
      <x:c r="G2315" s="2" t="n">
        <x:v>3</x:v>
      </x:c>
      <x:c r="H2315" s="2" t="n">
        <x:f>G2315+Supuestos!$C$15</x:f>
        <x:v>4</x:v>
      </x:c>
      <x:c r="I2315" s="14" t="n">
        <x:f>E2_plantas!J57+G2315</x:f>
        <x:v>46205</x:v>
      </x:c>
      <x:c r="J2315" s="2" t="str">
        <x:v>N1</x:v>
      </x:c>
      <x:c r="K2315" s="2" t="n">
        <x:v>1</x:v>
      </x:c>
      <x:c r="L2315" s="2" t="n">
        <x:v>0</x:v>
      </x:c>
      <x:c r="M2315" s="2" t="n">
        <x:f>SUM(L$2312:L2315)</x:f>
        <x:v>0</x:v>
      </x:c>
      <x:c r="N2315" s="2" t="n">
        <x:v>0</x:v>
      </x:c>
      <x:c r="O2315" s="2" t="str">
        <x:v>seguimiento</x:v>
      </x:c>
      <x:c r="P2315" s="2" t="n">
        <x:v>0</x:v>
      </x:c>
      <x:c r="Q2315" s="2" t="str">
        <x:v>simulado_didactico</x:v>
      </x:c>
    </x:row>
    <x:row r="2316" ht="19" customHeight="1">
      <x:c r="A2316" s="2" t="str">
        <x:v>SIM-E2-BB-L0-R10</x:v>
      </x:c>
      <x:c r="B2316" s="2" t="n">
        <x:v>5</x:v>
      </x:c>
      <x:c r="C2316" s="2" t="str">
        <x:v>BB</x:v>
      </x:c>
      <x:c r="D2316" s="2" t="str">
        <x:v>Brevicoryne brassicae</x:v>
      </x:c>
      <x:c r="E2316" s="2" t="str">
        <x:v>L0</x:v>
      </x:c>
      <x:c r="F2316" s="2" t="n">
        <x:v>10</x:v>
      </x:c>
      <x:c r="G2316" s="2" t="n">
        <x:v>4</x:v>
      </x:c>
      <x:c r="H2316" s="2" t="n">
        <x:f>G2316+Supuestos!$C$15</x:f>
        <x:v>5</x:v>
      </x:c>
      <x:c r="I2316" s="14" t="n">
        <x:f>E2_plantas!J57+G2316</x:f>
        <x:v>46206</x:v>
      </x:c>
      <x:c r="J2316" s="2" t="str">
        <x:v>N2</x:v>
      </x:c>
      <x:c r="K2316" s="2" t="n">
        <x:v>1</x:v>
      </x:c>
      <x:c r="L2316" s="2" t="n">
        <x:v>0</x:v>
      </x:c>
      <x:c r="M2316" s="2" t="n">
        <x:f>SUM(L$2312:L2316)</x:f>
        <x:v>0</x:v>
      </x:c>
      <x:c r="N2316" s="2" t="n">
        <x:v>0</x:v>
      </x:c>
      <x:c r="O2316" s="2" t="str">
        <x:v>seguimiento</x:v>
      </x:c>
      <x:c r="P2316" s="2" t="n">
        <x:v>0</x:v>
      </x:c>
      <x:c r="Q2316" s="2" t="str">
        <x:v>simulado_didactico</x:v>
      </x:c>
    </x:row>
    <x:row r="2317" ht="19" customHeight="1">
      <x:c r="A2317" s="2" t="str">
        <x:v>SIM-E2-BB-L0-R10</x:v>
      </x:c>
      <x:c r="B2317" s="2" t="n">
        <x:v>5</x:v>
      </x:c>
      <x:c r="C2317" s="2" t="str">
        <x:v>BB</x:v>
      </x:c>
      <x:c r="D2317" s="2" t="str">
        <x:v>Brevicoryne brassicae</x:v>
      </x:c>
      <x:c r="E2317" s="2" t="str">
        <x:v>L0</x:v>
      </x:c>
      <x:c r="F2317" s="2" t="n">
        <x:v>10</x:v>
      </x:c>
      <x:c r="G2317" s="2" t="n">
        <x:v>5</x:v>
      </x:c>
      <x:c r="H2317" s="2" t="n">
        <x:f>G2317+Supuestos!$C$15</x:f>
        <x:v>6</x:v>
      </x:c>
      <x:c r="I2317" s="14" t="n">
        <x:f>E2_plantas!J57+G2317</x:f>
        <x:v>46207</x:v>
      </x:c>
      <x:c r="J2317" s="2" t="str">
        <x:v>N2</x:v>
      </x:c>
      <x:c r="K2317" s="2" t="n">
        <x:v>1</x:v>
      </x:c>
      <x:c r="L2317" s="2" t="n">
        <x:v>0</x:v>
      </x:c>
      <x:c r="M2317" s="2" t="n">
        <x:f>SUM(L$2312:L2317)</x:f>
        <x:v>0</x:v>
      </x:c>
      <x:c r="N2317" s="2" t="n">
        <x:v>0</x:v>
      </x:c>
      <x:c r="O2317" s="2" t="str">
        <x:v>seguimiento</x:v>
      </x:c>
      <x:c r="P2317" s="2" t="n">
        <x:v>0</x:v>
      </x:c>
      <x:c r="Q2317" s="2" t="str">
        <x:v>simulado_didactico</x:v>
      </x:c>
    </x:row>
    <x:row r="2318" ht="19" customHeight="1">
      <x:c r="A2318" s="2" t="str">
        <x:v>SIM-E2-BB-L0-R10</x:v>
      </x:c>
      <x:c r="B2318" s="2" t="n">
        <x:v>5</x:v>
      </x:c>
      <x:c r="C2318" s="2" t="str">
        <x:v>BB</x:v>
      </x:c>
      <x:c r="D2318" s="2" t="str">
        <x:v>Brevicoryne brassicae</x:v>
      </x:c>
      <x:c r="E2318" s="2" t="str">
        <x:v>L0</x:v>
      </x:c>
      <x:c r="F2318" s="2" t="n">
        <x:v>10</x:v>
      </x:c>
      <x:c r="G2318" s="2" t="n">
        <x:v>6</x:v>
      </x:c>
      <x:c r="H2318" s="2" t="n">
        <x:f>G2318+Supuestos!$C$15</x:f>
        <x:v>7</x:v>
      </x:c>
      <x:c r="I2318" s="14" t="n">
        <x:f>E2_plantas!J57+G2318</x:f>
        <x:v>46208</x:v>
      </x:c>
      <x:c r="J2318" s="2" t="str">
        <x:v>N3</x:v>
      </x:c>
      <x:c r="K2318" s="2" t="n">
        <x:v>1</x:v>
      </x:c>
      <x:c r="L2318" s="2" t="n">
        <x:v>0</x:v>
      </x:c>
      <x:c r="M2318" s="2" t="n">
        <x:f>SUM(L$2312:L2318)</x:f>
        <x:v>0</x:v>
      </x:c>
      <x:c r="N2318" s="2" t="n">
        <x:v>0</x:v>
      </x:c>
      <x:c r="O2318" s="2" t="str">
        <x:v>seguimiento</x:v>
      </x:c>
      <x:c r="P2318" s="2" t="n">
        <x:v>0</x:v>
      </x:c>
      <x:c r="Q2318" s="2" t="str">
        <x:v>simulado_didactico</x:v>
      </x:c>
    </x:row>
    <x:row r="2319" ht="19" customHeight="1">
      <x:c r="A2319" s="2" t="str">
        <x:v>SIM-E2-BB-L0-R10</x:v>
      </x:c>
      <x:c r="B2319" s="2" t="n">
        <x:v>5</x:v>
      </x:c>
      <x:c r="C2319" s="2" t="str">
        <x:v>BB</x:v>
      </x:c>
      <x:c r="D2319" s="2" t="str">
        <x:v>Brevicoryne brassicae</x:v>
      </x:c>
      <x:c r="E2319" s="2" t="str">
        <x:v>L0</x:v>
      </x:c>
      <x:c r="F2319" s="2" t="n">
        <x:v>10</x:v>
      </x:c>
      <x:c r="G2319" s="2" t="n">
        <x:v>7</x:v>
      </x:c>
      <x:c r="H2319" s="2" t="n">
        <x:f>G2319+Supuestos!$C$15</x:f>
        <x:v>8</x:v>
      </x:c>
      <x:c r="I2319" s="14" t="n">
        <x:f>E2_plantas!J57+G2319</x:f>
        <x:v>46209</x:v>
      </x:c>
      <x:c r="J2319" s="2" t="str">
        <x:v>N4</x:v>
      </x:c>
      <x:c r="K2319" s="2" t="n">
        <x:v>1</x:v>
      </x:c>
      <x:c r="L2319" s="2" t="n">
        <x:v>0</x:v>
      </x:c>
      <x:c r="M2319" s="2" t="n">
        <x:f>SUM(L$2312:L2319)</x:f>
        <x:v>0</x:v>
      </x:c>
      <x:c r="N2319" s="2" t="n">
        <x:v>0</x:v>
      </x:c>
      <x:c r="O2319" s="2" t="str">
        <x:v>seguimiento</x:v>
      </x:c>
      <x:c r="P2319" s="2" t="n">
        <x:v>0</x:v>
      </x:c>
      <x:c r="Q2319" s="2" t="str">
        <x:v>simulado_didactico</x:v>
      </x:c>
    </x:row>
    <x:row r="2320" ht="19" customHeight="1">
      <x:c r="A2320" s="2" t="str">
        <x:v>SIM-E2-BB-L0-R10</x:v>
      </x:c>
      <x:c r="B2320" s="2" t="n">
        <x:v>5</x:v>
      </x:c>
      <x:c r="C2320" s="2" t="str">
        <x:v>BB</x:v>
      </x:c>
      <x:c r="D2320" s="2" t="str">
        <x:v>Brevicoryne brassicae</x:v>
      </x:c>
      <x:c r="E2320" s="2" t="str">
        <x:v>L0</x:v>
      </x:c>
      <x:c r="F2320" s="2" t="n">
        <x:v>10</x:v>
      </x:c>
      <x:c r="G2320" s="2" t="n">
        <x:v>8</x:v>
      </x:c>
      <x:c r="H2320" s="2" t="n">
        <x:f>G2320+Supuestos!$C$15</x:f>
        <x:v>9</x:v>
      </x:c>
      <x:c r="I2320" s="14" t="n">
        <x:f>E2_plantas!J57+G2320</x:f>
        <x:v>46210</x:v>
      </x:c>
      <x:c r="J2320" s="2" t="str">
        <x:v>adulta</x:v>
      </x:c>
      <x:c r="K2320" s="2" t="n">
        <x:v>1</x:v>
      </x:c>
      <x:c r="L2320" s="2" t="n">
        <x:v>0</x:v>
      </x:c>
      <x:c r="M2320" s="2" t="n">
        <x:f>SUM(L$2312:L2320)</x:f>
        <x:v>0</x:v>
      </x:c>
      <x:c r="N2320" s="2" t="n">
        <x:v>0</x:v>
      </x:c>
      <x:c r="O2320" s="2" t="str">
        <x:v>seguimiento</x:v>
      </x:c>
      <x:c r="P2320" s="2" t="n">
        <x:v>0</x:v>
      </x:c>
      <x:c r="Q2320" s="2" t="str">
        <x:v>simulado_didactico</x:v>
      </x:c>
    </x:row>
    <x:row r="2321" ht="19" customHeight="1">
      <x:c r="A2321" s="2" t="str">
        <x:v>SIM-E2-BB-L0-R10</x:v>
      </x:c>
      <x:c r="B2321" s="2" t="n">
        <x:v>5</x:v>
      </x:c>
      <x:c r="C2321" s="2" t="str">
        <x:v>BB</x:v>
      </x:c>
      <x:c r="D2321" s="2" t="str">
        <x:v>Brevicoryne brassicae</x:v>
      </x:c>
      <x:c r="E2321" s="2" t="str">
        <x:v>L0</x:v>
      </x:c>
      <x:c r="F2321" s="2" t="n">
        <x:v>10</x:v>
      </x:c>
      <x:c r="G2321" s="2" t="n">
        <x:v>9</x:v>
      </x:c>
      <x:c r="H2321" s="2" t="n">
        <x:f>G2321+Supuestos!$C$15</x:f>
        <x:v>10</x:v>
      </x:c>
      <x:c r="I2321" s="14" t="n">
        <x:f>E2_plantas!J57+G2321</x:f>
        <x:v>46211</x:v>
      </x:c>
      <x:c r="J2321" s="2" t="str">
        <x:v>adulta</x:v>
      </x:c>
      <x:c r="K2321" s="2" t="n">
        <x:v>1</x:v>
      </x:c>
      <x:c r="L2321" s="2" t="n">
        <x:v>0</x:v>
      </x:c>
      <x:c r="M2321" s="2" t="n">
        <x:f>SUM(L$2312:L2321)</x:f>
        <x:v>0</x:v>
      </x:c>
      <x:c r="N2321" s="2" t="n">
        <x:v>0</x:v>
      </x:c>
      <x:c r="O2321" s="2" t="str">
        <x:v>seguimiento</x:v>
      </x:c>
      <x:c r="P2321" s="2" t="n">
        <x:v>0</x:v>
      </x:c>
      <x:c r="Q2321" s="2" t="str">
        <x:v>simulado_didactico</x:v>
      </x:c>
    </x:row>
    <x:row r="2322" ht="19" customHeight="1">
      <x:c r="A2322" s="2" t="str">
        <x:v>SIM-E2-BB-L0-R10</x:v>
      </x:c>
      <x:c r="B2322" s="2" t="n">
        <x:v>5</x:v>
      </x:c>
      <x:c r="C2322" s="2" t="str">
        <x:v>BB</x:v>
      </x:c>
      <x:c r="D2322" s="2" t="str">
        <x:v>Brevicoryne brassicae</x:v>
      </x:c>
      <x:c r="E2322" s="2" t="str">
        <x:v>L0</x:v>
      </x:c>
      <x:c r="F2322" s="2" t="n">
        <x:v>10</x:v>
      </x:c>
      <x:c r="G2322" s="2" t="n">
        <x:v>10</x:v>
      </x:c>
      <x:c r="H2322" s="2" t="n">
        <x:f>G2322+Supuestos!$C$15</x:f>
        <x:v>11</x:v>
      </x:c>
      <x:c r="I2322" s="14" t="n">
        <x:f>E2_plantas!J57+G2322</x:f>
        <x:v>46212</x:v>
      </x:c>
      <x:c r="J2322" s="2" t="str">
        <x:v>adulta</x:v>
      </x:c>
      <x:c r="K2322" s="2" t="n">
        <x:v>1</x:v>
      </x:c>
      <x:c r="L2322" s="2" t="n">
        <x:v>5</x:v>
      </x:c>
      <x:c r="M2322" s="2" t="n">
        <x:f>SUM(L$2312:L2322)</x:f>
        <x:v>5</x:v>
      </x:c>
      <x:c r="N2322" s="2" t="n">
        <x:v>0</x:v>
      </x:c>
      <x:c r="O2322" s="2" t="str">
        <x:v>seguimiento</x:v>
      </x:c>
      <x:c r="P2322" s="2" t="n">
        <x:v>0</x:v>
      </x:c>
      <x:c r="Q2322" s="2" t="str">
        <x:v>simulado_didactico</x:v>
      </x:c>
    </x:row>
    <x:row r="2323" ht="19" customHeight="1">
      <x:c r="A2323" s="2" t="str">
        <x:v>SIM-E2-BB-L0-R10</x:v>
      </x:c>
      <x:c r="B2323" s="2" t="n">
        <x:v>5</x:v>
      </x:c>
      <x:c r="C2323" s="2" t="str">
        <x:v>BB</x:v>
      </x:c>
      <x:c r="D2323" s="2" t="str">
        <x:v>Brevicoryne brassicae</x:v>
      </x:c>
      <x:c r="E2323" s="2" t="str">
        <x:v>L0</x:v>
      </x:c>
      <x:c r="F2323" s="2" t="n">
        <x:v>10</x:v>
      </x:c>
      <x:c r="G2323" s="2" t="n">
        <x:v>11</x:v>
      </x:c>
      <x:c r="H2323" s="2" t="n">
        <x:f>G2323+Supuestos!$C$15</x:f>
        <x:v>12</x:v>
      </x:c>
      <x:c r="I2323" s="14" t="n">
        <x:f>E2_plantas!J57+G2323</x:f>
        <x:v>46213</x:v>
      </x:c>
      <x:c r="J2323" s="2" t="str">
        <x:v>adulta</x:v>
      </x:c>
      <x:c r="K2323" s="2" t="n">
        <x:v>1</x:v>
      </x:c>
      <x:c r="L2323" s="2" t="n">
        <x:v>3</x:v>
      </x:c>
      <x:c r="M2323" s="2" t="n">
        <x:f>SUM(L$2312:L2323)</x:f>
        <x:v>8</x:v>
      </x:c>
      <x:c r="N2323" s="2" t="n">
        <x:v>0</x:v>
      </x:c>
      <x:c r="O2323" s="2" t="str">
        <x:v>seguimiento</x:v>
      </x:c>
      <x:c r="P2323" s="2" t="n">
        <x:v>0</x:v>
      </x:c>
      <x:c r="Q2323" s="2" t="str">
        <x:v>simulado_didactico</x:v>
      </x:c>
    </x:row>
    <x:row r="2324" ht="19" customHeight="1">
      <x:c r="A2324" s="2" t="str">
        <x:v>SIM-E2-BB-L0-R10</x:v>
      </x:c>
      <x:c r="B2324" s="2" t="n">
        <x:v>5</x:v>
      </x:c>
      <x:c r="C2324" s="2" t="str">
        <x:v>BB</x:v>
      </x:c>
      <x:c r="D2324" s="2" t="str">
        <x:v>Brevicoryne brassicae</x:v>
      </x:c>
      <x:c r="E2324" s="2" t="str">
        <x:v>L0</x:v>
      </x:c>
      <x:c r="F2324" s="2" t="n">
        <x:v>10</x:v>
      </x:c>
      <x:c r="G2324" s="2" t="n">
        <x:v>12</x:v>
      </x:c>
      <x:c r="H2324" s="2" t="n">
        <x:f>G2324+Supuestos!$C$15</x:f>
        <x:v>13</x:v>
      </x:c>
      <x:c r="I2324" s="14" t="n">
        <x:f>E2_plantas!J57+G2324</x:f>
        <x:v>46214</x:v>
      </x:c>
      <x:c r="J2324" s="2" t="str">
        <x:v>adulta</x:v>
      </x:c>
      <x:c r="K2324" s="2" t="n">
        <x:v>1</x:v>
      </x:c>
      <x:c r="L2324" s="2" t="n">
        <x:v>0</x:v>
      </x:c>
      <x:c r="M2324" s="2" t="n">
        <x:f>SUM(L$2312:L2324)</x:f>
        <x:v>8</x:v>
      </x:c>
      <x:c r="N2324" s="2" t="n">
        <x:v>0</x:v>
      </x:c>
      <x:c r="O2324" s="2" t="str">
        <x:v>seguimiento</x:v>
      </x:c>
      <x:c r="P2324" s="2" t="n">
        <x:v>0</x:v>
      </x:c>
      <x:c r="Q2324" s="2" t="str">
        <x:v>simulado_didactico</x:v>
      </x:c>
    </x:row>
    <x:row r="2325" ht="19" customHeight="1">
      <x:c r="A2325" s="2" t="str">
        <x:v>SIM-E2-BB-L0-R10</x:v>
      </x:c>
      <x:c r="B2325" s="2" t="n">
        <x:v>5</x:v>
      </x:c>
      <x:c r="C2325" s="2" t="str">
        <x:v>BB</x:v>
      </x:c>
      <x:c r="D2325" s="2" t="str">
        <x:v>Brevicoryne brassicae</x:v>
      </x:c>
      <x:c r="E2325" s="2" t="str">
        <x:v>L0</x:v>
      </x:c>
      <x:c r="F2325" s="2" t="n">
        <x:v>10</x:v>
      </x:c>
      <x:c r="G2325" s="2" t="n">
        <x:v>13</x:v>
      </x:c>
      <x:c r="H2325" s="2" t="n">
        <x:f>G2325+Supuestos!$C$15</x:f>
        <x:v>14</x:v>
      </x:c>
      <x:c r="I2325" s="14" t="n">
        <x:f>E2_plantas!J57+G2325</x:f>
        <x:v>46215</x:v>
      </x:c>
      <x:c r="J2325" s="2" t="str">
        <x:v>adulta</x:v>
      </x:c>
      <x:c r="K2325" s="2" t="n">
        <x:v>1</x:v>
      </x:c>
      <x:c r="L2325" s="2" t="n">
        <x:v>6</x:v>
      </x:c>
      <x:c r="M2325" s="2" t="n">
        <x:f>SUM(L$2312:L2325)</x:f>
        <x:v>14</x:v>
      </x:c>
      <x:c r="N2325" s="2" t="n">
        <x:v>0</x:v>
      </x:c>
      <x:c r="O2325" s="2" t="str">
        <x:v>seguimiento</x:v>
      </x:c>
      <x:c r="P2325" s="2" t="n">
        <x:v>0</x:v>
      </x:c>
      <x:c r="Q2325" s="2" t="str">
        <x:v>simulado_didactico</x:v>
      </x:c>
    </x:row>
    <x:row r="2326" ht="19" customHeight="1">
      <x:c r="A2326" s="2" t="str">
        <x:v>SIM-E2-BB-L0-R10</x:v>
      </x:c>
      <x:c r="B2326" s="2" t="n">
        <x:v>5</x:v>
      </x:c>
      <x:c r="C2326" s="2" t="str">
        <x:v>BB</x:v>
      </x:c>
      <x:c r="D2326" s="2" t="str">
        <x:v>Brevicoryne brassicae</x:v>
      </x:c>
      <x:c r="E2326" s="2" t="str">
        <x:v>L0</x:v>
      </x:c>
      <x:c r="F2326" s="2" t="n">
        <x:v>10</x:v>
      </x:c>
      <x:c r="G2326" s="2" t="n">
        <x:v>14</x:v>
      </x:c>
      <x:c r="H2326" s="2" t="n">
        <x:f>G2326+Supuestos!$C$15</x:f>
        <x:v>15</x:v>
      </x:c>
      <x:c r="I2326" s="14" t="n">
        <x:f>E2_plantas!J57+G2326</x:f>
        <x:v>46216</x:v>
      </x:c>
      <x:c r="J2326" s="2" t="str">
        <x:v>adulta</x:v>
      </x:c>
      <x:c r="K2326" s="2" t="n">
        <x:v>1</x:v>
      </x:c>
      <x:c r="L2326" s="2" t="n">
        <x:v>7</x:v>
      </x:c>
      <x:c r="M2326" s="2" t="n">
        <x:f>SUM(L$2312:L2326)</x:f>
        <x:v>21</x:v>
      </x:c>
      <x:c r="N2326" s="2" t="n">
        <x:v>0</x:v>
      </x:c>
      <x:c r="O2326" s="2" t="str">
        <x:v>seguimiento</x:v>
      </x:c>
      <x:c r="P2326" s="2" t="n">
        <x:v>0</x:v>
      </x:c>
      <x:c r="Q2326" s="2" t="str">
        <x:v>simulado_didactico</x:v>
      </x:c>
    </x:row>
    <x:row r="2327" ht="19" customHeight="1">
      <x:c r="A2327" s="2" t="str">
        <x:v>SIM-E2-BB-L0-R10</x:v>
      </x:c>
      <x:c r="B2327" s="2" t="n">
        <x:v>5</x:v>
      </x:c>
      <x:c r="C2327" s="2" t="str">
        <x:v>BB</x:v>
      </x:c>
      <x:c r="D2327" s="2" t="str">
        <x:v>Brevicoryne brassicae</x:v>
      </x:c>
      <x:c r="E2327" s="2" t="str">
        <x:v>L0</x:v>
      </x:c>
      <x:c r="F2327" s="2" t="n">
        <x:v>10</x:v>
      </x:c>
      <x:c r="G2327" s="2" t="n">
        <x:v>15</x:v>
      </x:c>
      <x:c r="H2327" s="2" t="n">
        <x:f>G2327+Supuestos!$C$15</x:f>
        <x:v>16</x:v>
      </x:c>
      <x:c r="I2327" s="14" t="n">
        <x:f>E2_plantas!J57+G2327</x:f>
        <x:v>46217</x:v>
      </x:c>
      <x:c r="J2327" s="2" t="str">
        <x:v>adulta</x:v>
      </x:c>
      <x:c r="K2327" s="2" t="n">
        <x:v>1</x:v>
      </x:c>
      <x:c r="L2327" s="2" t="n">
        <x:v>1</x:v>
      </x:c>
      <x:c r="M2327" s="2" t="n">
        <x:f>SUM(L$2312:L2327)</x:f>
        <x:v>22</x:v>
      </x:c>
      <x:c r="N2327" s="2" t="n">
        <x:v>0</x:v>
      </x:c>
      <x:c r="O2327" s="2" t="str">
        <x:v>seguimiento</x:v>
      </x:c>
      <x:c r="P2327" s="2" t="n">
        <x:v>0</x:v>
      </x:c>
      <x:c r="Q2327" s="2" t="str">
        <x:v>simulado_didactico</x:v>
      </x:c>
    </x:row>
    <x:row r="2328" ht="19" customHeight="1">
      <x:c r="A2328" s="2" t="str">
        <x:v>SIM-E2-BB-L0-R10</x:v>
      </x:c>
      <x:c r="B2328" s="2" t="n">
        <x:v>5</x:v>
      </x:c>
      <x:c r="C2328" s="2" t="str">
        <x:v>BB</x:v>
      </x:c>
      <x:c r="D2328" s="2" t="str">
        <x:v>Brevicoryne brassicae</x:v>
      </x:c>
      <x:c r="E2328" s="2" t="str">
        <x:v>L0</x:v>
      </x:c>
      <x:c r="F2328" s="2" t="n">
        <x:v>10</x:v>
      </x:c>
      <x:c r="G2328" s="2" t="n">
        <x:v>16</x:v>
      </x:c>
      <x:c r="H2328" s="2" t="n">
        <x:f>G2328+Supuestos!$C$15</x:f>
        <x:v>17</x:v>
      </x:c>
      <x:c r="I2328" s="14" t="n">
        <x:f>E2_plantas!J57+G2328</x:f>
        <x:v>46218</x:v>
      </x:c>
      <x:c r="J2328" s="2" t="str">
        <x:v>adulta</x:v>
      </x:c>
      <x:c r="K2328" s="2" t="n">
        <x:v>1</x:v>
      </x:c>
      <x:c r="L2328" s="2" t="n">
        <x:v>5</x:v>
      </x:c>
      <x:c r="M2328" s="2" t="n">
        <x:f>SUM(L$2312:L2328)</x:f>
        <x:v>27</x:v>
      </x:c>
      <x:c r="N2328" s="2" t="n">
        <x:v>0</x:v>
      </x:c>
      <x:c r="O2328" s="2" t="str">
        <x:v>seguimiento</x:v>
      </x:c>
      <x:c r="P2328" s="2" t="n">
        <x:v>0</x:v>
      </x:c>
      <x:c r="Q2328" s="2" t="str">
        <x:v>simulado_didactico</x:v>
      </x:c>
    </x:row>
    <x:row r="2329" ht="19" customHeight="1">
      <x:c r="A2329" s="2" t="str">
        <x:v>SIM-E2-BB-L0-R10</x:v>
      </x:c>
      <x:c r="B2329" s="2" t="n">
        <x:v>5</x:v>
      </x:c>
      <x:c r="C2329" s="2" t="str">
        <x:v>BB</x:v>
      </x:c>
      <x:c r="D2329" s="2" t="str">
        <x:v>Brevicoryne brassicae</x:v>
      </x:c>
      <x:c r="E2329" s="2" t="str">
        <x:v>L0</x:v>
      </x:c>
      <x:c r="F2329" s="2" t="n">
        <x:v>10</x:v>
      </x:c>
      <x:c r="G2329" s="2" t="n">
        <x:v>17</x:v>
      </x:c>
      <x:c r="H2329" s="2" t="n">
        <x:f>G2329+Supuestos!$C$15</x:f>
        <x:v>18</x:v>
      </x:c>
      <x:c r="I2329" s="14" t="n">
        <x:f>E2_plantas!J57+G2329</x:f>
        <x:v>46219</x:v>
      </x:c>
      <x:c r="J2329" s="2" t="str">
        <x:v>adulta</x:v>
      </x:c>
      <x:c r="K2329" s="2" t="n">
        <x:v>1</x:v>
      </x:c>
      <x:c r="L2329" s="2" t="n">
        <x:v>4</x:v>
      </x:c>
      <x:c r="M2329" s="2" t="n">
        <x:f>SUM(L$2312:L2329)</x:f>
        <x:v>31</x:v>
      </x:c>
      <x:c r="N2329" s="2" t="n">
        <x:v>0</x:v>
      </x:c>
      <x:c r="O2329" s="2" t="str">
        <x:v>seguimiento</x:v>
      </x:c>
      <x:c r="P2329" s="2" t="n">
        <x:v>0</x:v>
      </x:c>
      <x:c r="Q2329" s="2" t="str">
        <x:v>simulado_didactico</x:v>
      </x:c>
    </x:row>
    <x:row r="2330" ht="19" customHeight="1">
      <x:c r="A2330" s="2" t="str">
        <x:v>SIM-E2-BB-L0-R10</x:v>
      </x:c>
      <x:c r="B2330" s="2" t="n">
        <x:v>5</x:v>
      </x:c>
      <x:c r="C2330" s="2" t="str">
        <x:v>BB</x:v>
      </x:c>
      <x:c r="D2330" s="2" t="str">
        <x:v>Brevicoryne brassicae</x:v>
      </x:c>
      <x:c r="E2330" s="2" t="str">
        <x:v>L0</x:v>
      </x:c>
      <x:c r="F2330" s="2" t="n">
        <x:v>10</x:v>
      </x:c>
      <x:c r="G2330" s="2" t="n">
        <x:v>18</x:v>
      </x:c>
      <x:c r="H2330" s="2" t="n">
        <x:f>G2330+Supuestos!$C$15</x:f>
        <x:v>19</x:v>
      </x:c>
      <x:c r="I2330" s="14" t="n">
        <x:f>E2_plantas!J57+G2330</x:f>
        <x:v>46220</x:v>
      </x:c>
      <x:c r="J2330" s="2" t="str">
        <x:v>adulta</x:v>
      </x:c>
      <x:c r="K2330" s="2" t="n">
        <x:v>1</x:v>
      </x:c>
      <x:c r="L2330" s="2" t="n">
        <x:v>7</x:v>
      </x:c>
      <x:c r="M2330" s="2" t="n">
        <x:f>SUM(L$2312:L2330)</x:f>
        <x:v>38</x:v>
      </x:c>
      <x:c r="N2330" s="2" t="n">
        <x:v>0</x:v>
      </x:c>
      <x:c r="O2330" s="2" t="str">
        <x:v>seguimiento</x:v>
      </x:c>
      <x:c r="P2330" s="2" t="n">
        <x:v>0</x:v>
      </x:c>
      <x:c r="Q2330" s="2" t="str">
        <x:v>simulado_didactico</x:v>
      </x:c>
    </x:row>
    <x:row r="2331" ht="19" customHeight="1">
      <x:c r="A2331" s="2" t="str">
        <x:v>SIM-E2-BB-L0-R10</x:v>
      </x:c>
      <x:c r="B2331" s="2" t="n">
        <x:v>5</x:v>
      </x:c>
      <x:c r="C2331" s="2" t="str">
        <x:v>BB</x:v>
      </x:c>
      <x:c r="D2331" s="2" t="str">
        <x:v>Brevicoryne brassicae</x:v>
      </x:c>
      <x:c r="E2331" s="2" t="str">
        <x:v>L0</x:v>
      </x:c>
      <x:c r="F2331" s="2" t="n">
        <x:v>10</x:v>
      </x:c>
      <x:c r="G2331" s="2" t="n">
        <x:v>19</x:v>
      </x:c>
      <x:c r="H2331" s="2" t="n">
        <x:f>G2331+Supuestos!$C$15</x:f>
        <x:v>20</x:v>
      </x:c>
      <x:c r="I2331" s="14" t="n">
        <x:f>E2_plantas!J57+G2331</x:f>
        <x:v>46221</x:v>
      </x:c>
      <x:c r="J2331" s="2" t="str">
        <x:v>adulta</x:v>
      </x:c>
      <x:c r="K2331" s="2" t="n">
        <x:v>1</x:v>
      </x:c>
      <x:c r="L2331" s="2" t="n">
        <x:v>3</x:v>
      </x:c>
      <x:c r="M2331" s="2" t="n">
        <x:f>SUM(L$2312:L2331)</x:f>
        <x:v>41</x:v>
      </x:c>
      <x:c r="N2331" s="2" t="n">
        <x:v>0</x:v>
      </x:c>
      <x:c r="O2331" s="2" t="str">
        <x:v>seguimiento</x:v>
      </x:c>
      <x:c r="P2331" s="2" t="n">
        <x:v>0</x:v>
      </x:c>
      <x:c r="Q2331" s="2" t="str">
        <x:v>simulado_didactico</x:v>
      </x:c>
    </x:row>
    <x:row r="2332" ht="19" customHeight="1">
      <x:c r="A2332" s="2" t="str">
        <x:v>SIM-E2-BB-L0-R10</x:v>
      </x:c>
      <x:c r="B2332" s="2" t="n">
        <x:v>5</x:v>
      </x:c>
      <x:c r="C2332" s="2" t="str">
        <x:v>BB</x:v>
      </x:c>
      <x:c r="D2332" s="2" t="str">
        <x:v>Brevicoryne brassicae</x:v>
      </x:c>
      <x:c r="E2332" s="2" t="str">
        <x:v>L0</x:v>
      </x:c>
      <x:c r="F2332" s="2" t="n">
        <x:v>10</x:v>
      </x:c>
      <x:c r="G2332" s="2" t="n">
        <x:v>20</x:v>
      </x:c>
      <x:c r="H2332" s="2" t="n">
        <x:f>G2332+Supuestos!$C$15</x:f>
        <x:v>21</x:v>
      </x:c>
      <x:c r="I2332" s="14" t="n">
        <x:f>E2_plantas!J57+G2332</x:f>
        <x:v>46222</x:v>
      </x:c>
      <x:c r="J2332" s="2" t="str">
        <x:v>adulta</x:v>
      </x:c>
      <x:c r="K2332" s="2" t="n">
        <x:v>1</x:v>
      </x:c>
      <x:c r="L2332" s="2" t="n">
        <x:v>0</x:v>
      </x:c>
      <x:c r="M2332" s="2" t="n">
        <x:f>SUM(L$2312:L2332)</x:f>
        <x:v>41</x:v>
      </x:c>
      <x:c r="N2332" s="2" t="n">
        <x:v>0</x:v>
      </x:c>
      <x:c r="O2332" s="2" t="str">
        <x:v>seguimiento</x:v>
      </x:c>
      <x:c r="P2332" s="2" t="n">
        <x:v>0</x:v>
      </x:c>
      <x:c r="Q2332" s="2" t="str">
        <x:v>simulado_didactico</x:v>
      </x:c>
    </x:row>
    <x:row r="2333" ht="19" customHeight="1">
      <x:c r="A2333" s="2" t="str">
        <x:v>SIM-E2-BB-L0-R10</x:v>
      </x:c>
      <x:c r="B2333" s="2" t="n">
        <x:v>5</x:v>
      </x:c>
      <x:c r="C2333" s="2" t="str">
        <x:v>BB</x:v>
      </x:c>
      <x:c r="D2333" s="2" t="str">
        <x:v>Brevicoryne brassicae</x:v>
      </x:c>
      <x:c r="E2333" s="2" t="str">
        <x:v>L0</x:v>
      </x:c>
      <x:c r="F2333" s="2" t="n">
        <x:v>10</x:v>
      </x:c>
      <x:c r="G2333" s="2" t="n">
        <x:v>21</x:v>
      </x:c>
      <x:c r="H2333" s="2" t="n">
        <x:f>G2333+Supuestos!$C$15</x:f>
        <x:v>22</x:v>
      </x:c>
      <x:c r="I2333" s="14" t="n">
        <x:f>E2_plantas!J57+G2333</x:f>
        <x:v>46223</x:v>
      </x:c>
      <x:c r="J2333" s="2" t="str">
        <x:v>adulta</x:v>
      </x:c>
      <x:c r="K2333" s="2" t="n">
        <x:v>1</x:v>
      </x:c>
      <x:c r="L2333" s="2" t="n">
        <x:v>3</x:v>
      </x:c>
      <x:c r="M2333" s="2" t="n">
        <x:f>SUM(L$2312:L2333)</x:f>
        <x:v>44</x:v>
      </x:c>
      <x:c r="N2333" s="2" t="n">
        <x:v>0</x:v>
      </x:c>
      <x:c r="O2333" s="2" t="str">
        <x:v>seguimiento</x:v>
      </x:c>
      <x:c r="P2333" s="2" t="n">
        <x:v>0</x:v>
      </x:c>
      <x:c r="Q2333" s="2" t="str">
        <x:v>simulado_didactico</x:v>
      </x:c>
    </x:row>
    <x:row r="2334" ht="19" customHeight="1">
      <x:c r="A2334" s="2" t="str">
        <x:v>SIM-E2-BB-L0-R10</x:v>
      </x:c>
      <x:c r="B2334" s="2" t="n">
        <x:v>5</x:v>
      </x:c>
      <x:c r="C2334" s="2" t="str">
        <x:v>BB</x:v>
      </x:c>
      <x:c r="D2334" s="2" t="str">
        <x:v>Brevicoryne brassicae</x:v>
      </x:c>
      <x:c r="E2334" s="2" t="str">
        <x:v>L0</x:v>
      </x:c>
      <x:c r="F2334" s="2" t="n">
        <x:v>10</x:v>
      </x:c>
      <x:c r="G2334" s="2" t="n">
        <x:v>22</x:v>
      </x:c>
      <x:c r="H2334" s="2" t="n">
        <x:f>G2334+Supuestos!$C$15</x:f>
        <x:v>23</x:v>
      </x:c>
      <x:c r="I2334" s="14" t="n">
        <x:f>E2_plantas!J57+G2334</x:f>
        <x:v>46224</x:v>
      </x:c>
      <x:c r="J2334" s="2" t="str">
        <x:v>adulta</x:v>
      </x:c>
      <x:c r="K2334" s="2" t="n">
        <x:v>1</x:v>
      </x:c>
      <x:c r="L2334" s="2" t="n">
        <x:v>2</x:v>
      </x:c>
      <x:c r="M2334" s="2" t="n">
        <x:f>SUM(L$2312:L2334)</x:f>
        <x:v>46</x:v>
      </x:c>
      <x:c r="N2334" s="2" t="n">
        <x:v>0</x:v>
      </x:c>
      <x:c r="O2334" s="2" t="str">
        <x:v>seguimiento</x:v>
      </x:c>
      <x:c r="P2334" s="2" t="n">
        <x:v>0</x:v>
      </x:c>
      <x:c r="Q2334" s="2" t="str">
        <x:v>simulado_didactico</x:v>
      </x:c>
    </x:row>
    <x:row r="2335" ht="19" customHeight="1">
      <x:c r="A2335" s="2" t="str">
        <x:v>SIM-E2-BB-L0-R10</x:v>
      </x:c>
      <x:c r="B2335" s="2" t="n">
        <x:v>5</x:v>
      </x:c>
      <x:c r="C2335" s="2" t="str">
        <x:v>BB</x:v>
      </x:c>
      <x:c r="D2335" s="2" t="str">
        <x:v>Brevicoryne brassicae</x:v>
      </x:c>
      <x:c r="E2335" s="2" t="str">
        <x:v>L0</x:v>
      </x:c>
      <x:c r="F2335" s="2" t="n">
        <x:v>10</x:v>
      </x:c>
      <x:c r="G2335" s="2" t="n">
        <x:v>23</x:v>
      </x:c>
      <x:c r="H2335" s="2" t="n">
        <x:f>G2335+Supuestos!$C$15</x:f>
        <x:v>24</x:v>
      </x:c>
      <x:c r="I2335" s="14" t="n">
        <x:f>E2_plantas!J57+G2335</x:f>
        <x:v>46225</x:v>
      </x:c>
      <x:c r="J2335" s="2" t="str">
        <x:v>adulta</x:v>
      </x:c>
      <x:c r="K2335" s="2" t="n">
        <x:v>1</x:v>
      </x:c>
      <x:c r="L2335" s="2" t="n">
        <x:v>5</x:v>
      </x:c>
      <x:c r="M2335" s="2" t="n">
        <x:f>SUM(L$2312:L2335)</x:f>
        <x:v>51</x:v>
      </x:c>
      <x:c r="N2335" s="2" t="n">
        <x:v>0</x:v>
      </x:c>
      <x:c r="O2335" s="2" t="str">
        <x:v>seguimiento</x:v>
      </x:c>
      <x:c r="P2335" s="2" t="n">
        <x:v>0</x:v>
      </x:c>
      <x:c r="Q2335" s="2" t="str">
        <x:v>simulado_didactico</x:v>
      </x:c>
    </x:row>
    <x:row r="2336" ht="19" customHeight="1">
      <x:c r="A2336" s="2" t="str">
        <x:v>SIM-E2-BB-L0-R10</x:v>
      </x:c>
      <x:c r="B2336" s="2" t="n">
        <x:v>5</x:v>
      </x:c>
      <x:c r="C2336" s="2" t="str">
        <x:v>BB</x:v>
      </x:c>
      <x:c r="D2336" s="2" t="str">
        <x:v>Brevicoryne brassicae</x:v>
      </x:c>
      <x:c r="E2336" s="2" t="str">
        <x:v>L0</x:v>
      </x:c>
      <x:c r="F2336" s="2" t="n">
        <x:v>10</x:v>
      </x:c>
      <x:c r="G2336" s="2" t="n">
        <x:v>24</x:v>
      </x:c>
      <x:c r="H2336" s="2" t="n">
        <x:f>G2336+Supuestos!$C$15</x:f>
        <x:v>25</x:v>
      </x:c>
      <x:c r="I2336" s="14" t="n">
        <x:f>E2_plantas!J57+G2336</x:f>
        <x:v>46226</x:v>
      </x:c>
      <x:c r="J2336" s="2" t="str">
        <x:v>adulta</x:v>
      </x:c>
      <x:c r="K2336" s="2" t="n">
        <x:v>1</x:v>
      </x:c>
      <x:c r="L2336" s="2" t="n">
        <x:v>3</x:v>
      </x:c>
      <x:c r="M2336" s="2" t="n">
        <x:f>SUM(L$2312:L2336)</x:f>
        <x:v>54</x:v>
      </x:c>
      <x:c r="N2336" s="2" t="n">
        <x:v>0</x:v>
      </x:c>
      <x:c r="O2336" s="2" t="str">
        <x:v>seguimiento</x:v>
      </x:c>
      <x:c r="P2336" s="2" t="n">
        <x:v>0</x:v>
      </x:c>
      <x:c r="Q2336" s="2" t="str">
        <x:v>simulado_didactico</x:v>
      </x:c>
    </x:row>
    <x:row r="2337" ht="19" customHeight="1">
      <x:c r="A2337" s="2" t="str">
        <x:v>SIM-E2-BB-L0-R10</x:v>
      </x:c>
      <x:c r="B2337" s="2" t="n">
        <x:v>5</x:v>
      </x:c>
      <x:c r="C2337" s="2" t="str">
        <x:v>BB</x:v>
      </x:c>
      <x:c r="D2337" s="2" t="str">
        <x:v>Brevicoryne brassicae</x:v>
      </x:c>
      <x:c r="E2337" s="2" t="str">
        <x:v>L0</x:v>
      </x:c>
      <x:c r="F2337" s="2" t="n">
        <x:v>10</x:v>
      </x:c>
      <x:c r="G2337" s="2" t="n">
        <x:v>25</x:v>
      </x:c>
      <x:c r="H2337" s="2" t="n">
        <x:f>G2337+Supuestos!$C$15</x:f>
        <x:v>26</x:v>
      </x:c>
      <x:c r="I2337" s="14" t="n">
        <x:f>E2_plantas!J57+G2337</x:f>
        <x:v>46227</x:v>
      </x:c>
      <x:c r="J2337" s="2" t="str">
        <x:v>adulta</x:v>
      </x:c>
      <x:c r="K2337" s="2" t="n">
        <x:v>1</x:v>
      </x:c>
      <x:c r="L2337" s="2" t="n">
        <x:v>2</x:v>
      </x:c>
      <x:c r="M2337" s="2" t="n">
        <x:f>SUM(L$2312:L2337)</x:f>
        <x:v>56</x:v>
      </x:c>
      <x:c r="N2337" s="2" t="n">
        <x:v>0</x:v>
      </x:c>
      <x:c r="O2337" s="2" t="str">
        <x:v>seguimiento</x:v>
      </x:c>
      <x:c r="P2337" s="2" t="n">
        <x:v>0</x:v>
      </x:c>
      <x:c r="Q2337" s="2" t="str">
        <x:v>simulado_didactico</x:v>
      </x:c>
    </x:row>
    <x:row r="2338" ht="19" customHeight="1">
      <x:c r="A2338" s="2" t="str">
        <x:v>SIM-E2-BB-L0-R10</x:v>
      </x:c>
      <x:c r="B2338" s="2" t="n">
        <x:v>5</x:v>
      </x:c>
      <x:c r="C2338" s="2" t="str">
        <x:v>BB</x:v>
      </x:c>
      <x:c r="D2338" s="2" t="str">
        <x:v>Brevicoryne brassicae</x:v>
      </x:c>
      <x:c r="E2338" s="2" t="str">
        <x:v>L0</x:v>
      </x:c>
      <x:c r="F2338" s="2" t="n">
        <x:v>10</x:v>
      </x:c>
      <x:c r="G2338" s="2" t="n">
        <x:v>26</x:v>
      </x:c>
      <x:c r="H2338" s="2" t="n">
        <x:f>G2338+Supuestos!$C$15</x:f>
        <x:v>27</x:v>
      </x:c>
      <x:c r="I2338" s="14" t="n">
        <x:f>E2_plantas!J57+G2338</x:f>
        <x:v>46228</x:v>
      </x:c>
      <x:c r="J2338" s="2" t="str">
        <x:v>adulta</x:v>
      </x:c>
      <x:c r="K2338" s="2" t="n">
        <x:v>1</x:v>
      </x:c>
      <x:c r="L2338" s="2" t="n">
        <x:v>0</x:v>
      </x:c>
      <x:c r="M2338" s="2" t="n">
        <x:f>SUM(L$2312:L2338)</x:f>
        <x:v>56</x:v>
      </x:c>
      <x:c r="N2338" s="2" t="n">
        <x:v>0</x:v>
      </x:c>
      <x:c r="O2338" s="2" t="str">
        <x:v>seguimiento</x:v>
      </x:c>
      <x:c r="P2338" s="2" t="n">
        <x:v>0</x:v>
      </x:c>
      <x:c r="Q2338" s="2" t="str">
        <x:v>simulado_didactico</x:v>
      </x:c>
    </x:row>
    <x:row r="2339" ht="19" customHeight="1">
      <x:c r="A2339" s="2" t="str">
        <x:v>SIM-E2-BB-L0-R10</x:v>
      </x:c>
      <x:c r="B2339" s="2" t="n">
        <x:v>5</x:v>
      </x:c>
      <x:c r="C2339" s="2" t="str">
        <x:v>BB</x:v>
      </x:c>
      <x:c r="D2339" s="2" t="str">
        <x:v>Brevicoryne brassicae</x:v>
      </x:c>
      <x:c r="E2339" s="2" t="str">
        <x:v>L0</x:v>
      </x:c>
      <x:c r="F2339" s="2" t="n">
        <x:v>10</x:v>
      </x:c>
      <x:c r="G2339" s="2" t="n">
        <x:v>27</x:v>
      </x:c>
      <x:c r="H2339" s="2" t="n">
        <x:f>G2339+Supuestos!$C$15</x:f>
        <x:v>28</x:v>
      </x:c>
      <x:c r="I2339" s="14" t="n">
        <x:f>E2_plantas!J57+G2339</x:f>
        <x:v>46229</x:v>
      </x:c>
      <x:c r="J2339" s="2" t="str">
        <x:v>adulta</x:v>
      </x:c>
      <x:c r="K2339" s="2" t="n">
        <x:v>1</x:v>
      </x:c>
      <x:c r="L2339" s="2" t="n">
        <x:v>2</x:v>
      </x:c>
      <x:c r="M2339" s="2" t="n">
        <x:f>SUM(L$2312:L2339)</x:f>
        <x:v>58</x:v>
      </x:c>
      <x:c r="N2339" s="2" t="n">
        <x:v>0</x:v>
      </x:c>
      <x:c r="O2339" s="2" t="str">
        <x:v>seguimiento</x:v>
      </x:c>
      <x:c r="P2339" s="2" t="n">
        <x:v>0</x:v>
      </x:c>
      <x:c r="Q2339" s="2" t="str">
        <x:v>simulado_didactico</x:v>
      </x:c>
    </x:row>
    <x:row r="2340" ht="19" customHeight="1">
      <x:c r="A2340" s="2" t="str">
        <x:v>SIM-E2-BB-L0-R10</x:v>
      </x:c>
      <x:c r="B2340" s="2" t="n">
        <x:v>5</x:v>
      </x:c>
      <x:c r="C2340" s="2" t="str">
        <x:v>BB</x:v>
      </x:c>
      <x:c r="D2340" s="2" t="str">
        <x:v>Brevicoryne brassicae</x:v>
      </x:c>
      <x:c r="E2340" s="2" t="str">
        <x:v>L0</x:v>
      </x:c>
      <x:c r="F2340" s="2" t="n">
        <x:v>10</x:v>
      </x:c>
      <x:c r="G2340" s="2" t="n">
        <x:v>28</x:v>
      </x:c>
      <x:c r="H2340" s="2" t="n">
        <x:f>G2340+Supuestos!$C$15</x:f>
        <x:v>29</x:v>
      </x:c>
      <x:c r="I2340" s="14" t="n">
        <x:f>E2_plantas!J57+G2340</x:f>
        <x:v>46230</x:v>
      </x:c>
      <x:c r="J2340" s="2" t="str">
        <x:v>adulta</x:v>
      </x:c>
      <x:c r="K2340" s="2" t="n">
        <x:v>1</x:v>
      </x:c>
      <x:c r="L2340" s="2" t="n">
        <x:v>0</x:v>
      </x:c>
      <x:c r="M2340" s="2" t="n">
        <x:f>SUM(L$2312:L2340)</x:f>
        <x:v>58</x:v>
      </x:c>
      <x:c r="N2340" s="2" t="n">
        <x:v>0</x:v>
      </x:c>
      <x:c r="O2340" s="2" t="str">
        <x:v>seguimiento</x:v>
      </x:c>
      <x:c r="P2340" s="2" t="n">
        <x:v>0</x:v>
      </x:c>
      <x:c r="Q2340" s="2" t="str">
        <x:v>simulado_didactico</x:v>
      </x:c>
    </x:row>
    <x:row r="2341" ht="19" customHeight="1">
      <x:c r="A2341" s="2" t="str">
        <x:v>SIM-E2-BB-L0-R10</x:v>
      </x:c>
      <x:c r="B2341" s="2" t="n">
        <x:v>5</x:v>
      </x:c>
      <x:c r="C2341" s="2" t="str">
        <x:v>BB</x:v>
      </x:c>
      <x:c r="D2341" s="2" t="str">
        <x:v>Brevicoryne brassicae</x:v>
      </x:c>
      <x:c r="E2341" s="2" t="str">
        <x:v>L0</x:v>
      </x:c>
      <x:c r="F2341" s="2" t="n">
        <x:v>10</x:v>
      </x:c>
      <x:c r="G2341" s="2" t="n">
        <x:v>29</x:v>
      </x:c>
      <x:c r="H2341" s="2" t="n">
        <x:f>G2341+Supuestos!$C$15</x:f>
        <x:v>30</x:v>
      </x:c>
      <x:c r="I2341" s="14" t="n">
        <x:f>E2_plantas!J57+G2341</x:f>
        <x:v>46231</x:v>
      </x:c>
      <x:c r="J2341" s="2" t="str">
        <x:v>adulta</x:v>
      </x:c>
      <x:c r="K2341" s="2" t="n">
        <x:v>1</x:v>
      </x:c>
      <x:c r="L2341" s="2" t="n">
        <x:v>1</x:v>
      </x:c>
      <x:c r="M2341" s="2" t="n">
        <x:f>SUM(L$2312:L2341)</x:f>
        <x:v>59</x:v>
      </x:c>
      <x:c r="N2341" s="2" t="n">
        <x:v>0</x:v>
      </x:c>
      <x:c r="O2341" s="2" t="str">
        <x:v>seguimiento</x:v>
      </x:c>
      <x:c r="P2341" s="2" t="n">
        <x:v>0</x:v>
      </x:c>
      <x:c r="Q2341" s="2" t="str">
        <x:v>simulado_didactico</x:v>
      </x:c>
    </x:row>
    <x:row r="2342" ht="19" customHeight="1">
      <x:c r="A2342" s="2" t="str">
        <x:v>SIM-E2-BB-L0-R10</x:v>
      </x:c>
      <x:c r="B2342" s="2" t="n">
        <x:v>5</x:v>
      </x:c>
      <x:c r="C2342" s="2" t="str">
        <x:v>BB</x:v>
      </x:c>
      <x:c r="D2342" s="2" t="str">
        <x:v>Brevicoryne brassicae</x:v>
      </x:c>
      <x:c r="E2342" s="2" t="str">
        <x:v>L0</x:v>
      </x:c>
      <x:c r="F2342" s="2" t="n">
        <x:v>10</x:v>
      </x:c>
      <x:c r="G2342" s="2" t="n">
        <x:v>30</x:v>
      </x:c>
      <x:c r="H2342" s="2" t="n">
        <x:f>G2342+Supuestos!$C$15</x:f>
        <x:v>31</x:v>
      </x:c>
      <x:c r="I2342" s="14" t="n">
        <x:f>E2_plantas!J57+G2342</x:f>
        <x:v>46232</x:v>
      </x:c>
      <x:c r="J2342" s="2" t="str">
        <x:v>adulta</x:v>
      </x:c>
      <x:c r="K2342" s="2" t="n">
        <x:v>1</x:v>
      </x:c>
      <x:c r="L2342" s="2" t="n">
        <x:v>1</x:v>
      </x:c>
      <x:c r="M2342" s="2" t="n">
        <x:f>SUM(L$2312:L2342)</x:f>
        <x:v>60</x:v>
      </x:c>
      <x:c r="N2342" s="2" t="n">
        <x:v>0</x:v>
      </x:c>
      <x:c r="O2342" s="2" t="str">
        <x:v>seguimiento</x:v>
      </x:c>
      <x:c r="P2342" s="2" t="n">
        <x:v>0</x:v>
      </x:c>
      <x:c r="Q2342" s="2" t="str">
        <x:v>simulado_didactico</x:v>
      </x:c>
    </x:row>
    <x:row r="2343" ht="19" customHeight="1">
      <x:c r="A2343" s="2" t="str">
        <x:v>SIM-E2-BB-L0-R10</x:v>
      </x:c>
      <x:c r="B2343" s="2" t="n">
        <x:v>5</x:v>
      </x:c>
      <x:c r="C2343" s="2" t="str">
        <x:v>BB</x:v>
      </x:c>
      <x:c r="D2343" s="2" t="str">
        <x:v>Brevicoryne brassicae</x:v>
      </x:c>
      <x:c r="E2343" s="2" t="str">
        <x:v>L0</x:v>
      </x:c>
      <x:c r="F2343" s="2" t="n">
        <x:v>10</x:v>
      </x:c>
      <x:c r="G2343" s="2" t="n">
        <x:v>31</x:v>
      </x:c>
      <x:c r="H2343" s="2" t="n">
        <x:f>G2343+Supuestos!$C$15</x:f>
        <x:v>32</x:v>
      </x:c>
      <x:c r="I2343" s="14" t="n">
        <x:f>E2_plantas!J57+G2343</x:f>
        <x:v>46233</x:v>
      </x:c>
      <x:c r="J2343" s="2" t="str">
        <x:v>adulta</x:v>
      </x:c>
      <x:c r="K2343" s="2" t="n">
        <x:v>1</x:v>
      </x:c>
      <x:c r="L2343" s="2" t="n">
        <x:v>0</x:v>
      </x:c>
      <x:c r="M2343" s="2" t="n">
        <x:f>SUM(L$2312:L2343)</x:f>
        <x:v>60</x:v>
      </x:c>
      <x:c r="N2343" s="2" t="n">
        <x:v>0</x:v>
      </x:c>
      <x:c r="O2343" s="2" t="str">
        <x:v>seguimiento</x:v>
      </x:c>
      <x:c r="P2343" s="2" t="n">
        <x:v>0</x:v>
      </x:c>
      <x:c r="Q2343" s="2" t="str">
        <x:v>simulado_didactico</x:v>
      </x:c>
    </x:row>
    <x:row r="2344" ht="19" customHeight="1">
      <x:c r="A2344" s="2" t="str">
        <x:v>SIM-E2-BB-L0-R10</x:v>
      </x:c>
      <x:c r="B2344" s="2" t="n">
        <x:v>5</x:v>
      </x:c>
      <x:c r="C2344" s="2" t="str">
        <x:v>BB</x:v>
      </x:c>
      <x:c r="D2344" s="2" t="str">
        <x:v>Brevicoryne brassicae</x:v>
      </x:c>
      <x:c r="E2344" s="2" t="str">
        <x:v>L0</x:v>
      </x:c>
      <x:c r="F2344" s="2" t="n">
        <x:v>10</x:v>
      </x:c>
      <x:c r="G2344" s="2" t="n">
        <x:v>32</x:v>
      </x:c>
      <x:c r="H2344" s="2" t="n">
        <x:f>G2344+Supuestos!$C$15</x:f>
        <x:v>33</x:v>
      </x:c>
      <x:c r="I2344" s="14" t="n">
        <x:f>E2_plantas!J57+G2344</x:f>
        <x:v>46234</x:v>
      </x:c>
      <x:c r="J2344" s="2" t="str">
        <x:v>adulta</x:v>
      </x:c>
      <x:c r="K2344" s="2" t="n">
        <x:v>1</x:v>
      </x:c>
      <x:c r="L2344" s="2" t="n">
        <x:v>0</x:v>
      </x:c>
      <x:c r="M2344" s="2" t="n">
        <x:f>SUM(L$2312:L2344)</x:f>
        <x:v>60</x:v>
      </x:c>
      <x:c r="N2344" s="2" t="n">
        <x:v>0</x:v>
      </x:c>
      <x:c r="O2344" s="2" t="str">
        <x:v>seguimiento</x:v>
      </x:c>
      <x:c r="P2344" s="2" t="n">
        <x:v>0</x:v>
      </x:c>
      <x:c r="Q2344" s="2" t="str">
        <x:v>simulado_didactico</x:v>
      </x:c>
    </x:row>
    <x:row r="2345" ht="19" customHeight="1">
      <x:c r="A2345" s="2" t="str">
        <x:v>SIM-E2-BB-L0-R10</x:v>
      </x:c>
      <x:c r="B2345" s="2" t="n">
        <x:v>5</x:v>
      </x:c>
      <x:c r="C2345" s="2" t="str">
        <x:v>BB</x:v>
      </x:c>
      <x:c r="D2345" s="2" t="str">
        <x:v>Brevicoryne brassicae</x:v>
      </x:c>
      <x:c r="E2345" s="2" t="str">
        <x:v>L0</x:v>
      </x:c>
      <x:c r="F2345" s="2" t="n">
        <x:v>10</x:v>
      </x:c>
      <x:c r="G2345" s="2" t="n">
        <x:v>33</x:v>
      </x:c>
      <x:c r="H2345" s="2" t="n">
        <x:f>G2345+Supuestos!$C$15</x:f>
        <x:v>34</x:v>
      </x:c>
      <x:c r="I2345" s="14" t="n">
        <x:f>E2_plantas!J57+G2345</x:f>
        <x:v>46235</x:v>
      </x:c>
      <x:c r="J2345" s="2" t="str">
        <x:v>adulta</x:v>
      </x:c>
      <x:c r="K2345" s="2" t="n">
        <x:v>1</x:v>
      </x:c>
      <x:c r="L2345" s="2" t="n">
        <x:v>0</x:v>
      </x:c>
      <x:c r="M2345" s="2" t="n">
        <x:f>SUM(L$2312:L2345)</x:f>
        <x:v>60</x:v>
      </x:c>
      <x:c r="N2345" s="2" t="n">
        <x:v>0</x:v>
      </x:c>
      <x:c r="O2345" s="2" t="str">
        <x:v>seguimiento</x:v>
      </x:c>
      <x:c r="P2345" s="2" t="n">
        <x:v>0</x:v>
      </x:c>
      <x:c r="Q2345" s="2" t="str">
        <x:v>simulado_didactico</x:v>
      </x:c>
    </x:row>
    <x:row r="2346" ht="19" customHeight="1">
      <x:c r="A2346" s="2" t="str">
        <x:v>SIM-E2-BB-L0-R10</x:v>
      </x:c>
      <x:c r="B2346" s="2" t="n">
        <x:v>5</x:v>
      </x:c>
      <x:c r="C2346" s="2" t="str">
        <x:v>BB</x:v>
      </x:c>
      <x:c r="D2346" s="2" t="str">
        <x:v>Brevicoryne brassicae</x:v>
      </x:c>
      <x:c r="E2346" s="2" t="str">
        <x:v>L0</x:v>
      </x:c>
      <x:c r="F2346" s="2" t="n">
        <x:v>10</x:v>
      </x:c>
      <x:c r="G2346" s="2" t="n">
        <x:v>34</x:v>
      </x:c>
      <x:c r="H2346" s="2" t="n">
        <x:f>G2346+Supuestos!$C$15</x:f>
        <x:v>35</x:v>
      </x:c>
      <x:c r="I2346" s="14" t="n">
        <x:f>E2_plantas!J57+G2346</x:f>
        <x:v>46236</x:v>
      </x:c>
      <x:c r="J2346" s="2" t="str">
        <x:v>adulta</x:v>
      </x:c>
      <x:c r="K2346" s="2" t="n">
        <x:v>1</x:v>
      </x:c>
      <x:c r="L2346" s="2" t="n">
        <x:v>0</x:v>
      </x:c>
      <x:c r="M2346" s="2" t="n">
        <x:f>SUM(L$2312:L2346)</x:f>
        <x:v>60</x:v>
      </x:c>
      <x:c r="N2346" s="2" t="n">
        <x:v>0</x:v>
      </x:c>
      <x:c r="O2346" s="2" t="str">
        <x:v>seguimiento</x:v>
      </x:c>
      <x:c r="P2346" s="2" t="n">
        <x:v>0</x:v>
      </x:c>
      <x:c r="Q2346" s="2" t="str">
        <x:v>simulado_didactico</x:v>
      </x:c>
    </x:row>
    <x:row r="2347" ht="19" customHeight="1">
      <x:c r="A2347" s="2" t="str">
        <x:v>SIM-E2-BB-L0-R10</x:v>
      </x:c>
      <x:c r="B2347" s="2" t="n">
        <x:v>5</x:v>
      </x:c>
      <x:c r="C2347" s="2" t="str">
        <x:v>BB</x:v>
      </x:c>
      <x:c r="D2347" s="2" t="str">
        <x:v>Brevicoryne brassicae</x:v>
      </x:c>
      <x:c r="E2347" s="2" t="str">
        <x:v>L0</x:v>
      </x:c>
      <x:c r="F2347" s="2" t="n">
        <x:v>10</x:v>
      </x:c>
      <x:c r="G2347" s="2" t="n">
        <x:v>35</x:v>
      </x:c>
      <x:c r="H2347" s="2" t="n">
        <x:f>G2347+Supuestos!$C$15</x:f>
        <x:v>36</x:v>
      </x:c>
      <x:c r="I2347" s="14" t="n">
        <x:f>E2_plantas!J57+G2347</x:f>
        <x:v>46237</x:v>
      </x:c>
      <x:c r="J2347" s="2" t="str">
        <x:v>adulta</x:v>
      </x:c>
      <x:c r="K2347" s="2" t="n">
        <x:v>1</x:v>
      </x:c>
      <x:c r="L2347" s="2" t="n">
        <x:v>0</x:v>
      </x:c>
      <x:c r="M2347" s="2" t="n">
        <x:f>SUM(L$2312:L2347)</x:f>
        <x:v>60</x:v>
      </x:c>
      <x:c r="N2347" s="2" t="n">
        <x:v>0</x:v>
      </x:c>
      <x:c r="O2347" s="2" t="str">
        <x:v>seguimiento</x:v>
      </x:c>
      <x:c r="P2347" s="2" t="n">
        <x:v>0</x:v>
      </x:c>
      <x:c r="Q2347" s="2" t="str">
        <x:v>simulado_didactico</x:v>
      </x:c>
    </x:row>
    <x:row r="2348" ht="19" customHeight="1">
      <x:c r="A2348" s="2" t="str">
        <x:v>SIM-E2-BB-L0-R10</x:v>
      </x:c>
      <x:c r="B2348" s="2" t="n">
        <x:v>5</x:v>
      </x:c>
      <x:c r="C2348" s="2" t="str">
        <x:v>BB</x:v>
      </x:c>
      <x:c r="D2348" s="2" t="str">
        <x:v>Brevicoryne brassicae</x:v>
      </x:c>
      <x:c r="E2348" s="2" t="str">
        <x:v>L0</x:v>
      </x:c>
      <x:c r="F2348" s="2" t="n">
        <x:v>10</x:v>
      </x:c>
      <x:c r="G2348" s="2" t="n">
        <x:v>36</x:v>
      </x:c>
      <x:c r="H2348" s="2" t="n">
        <x:f>G2348+Supuestos!$C$15</x:f>
        <x:v>37</x:v>
      </x:c>
      <x:c r="I2348" s="14" t="n">
        <x:f>E2_plantas!J57+G2348</x:f>
        <x:v>46238</x:v>
      </x:c>
      <x:c r="J2348" s="2" t="str">
        <x:v>muerta</x:v>
      </x:c>
      <x:c r="K2348" s="2" t="n">
        <x:v>0</x:v>
      </x:c>
      <x:c r="L2348" s="2" t="n">
        <x:v>0</x:v>
      </x:c>
      <x:c r="M2348" s="2" t="n">
        <x:f>SUM(L$2312:L2348)</x:f>
        <x:v>60</x:v>
      </x:c>
      <x:c r="N2348" s="2" t="n">
        <x:v>1</x:v>
      </x:c>
      <x:c r="O2348" s="2" t="str">
        <x:v>muerte</x:v>
      </x:c>
      <x:c r="P2348" s="2" t="n">
        <x:v>0</x:v>
      </x:c>
      <x:c r="Q2348" s="2" t="str">
        <x:v>simulado_didactico</x:v>
      </x:c>
    </x:row>
    <x:row r="2349" ht="19" customHeight="1">
      <x:c r="A2349" s="2" t="str">
        <x:v>SIM-E2-BB-L0-R10</x:v>
      </x:c>
      <x:c r="B2349" s="2" t="n">
        <x:v>5</x:v>
      </x:c>
      <x:c r="C2349" s="2" t="str">
        <x:v>BB</x:v>
      </x:c>
      <x:c r="D2349" s="2" t="str">
        <x:v>Brevicoryne brassicae</x:v>
      </x:c>
      <x:c r="E2349" s="2" t="str">
        <x:v>L0</x:v>
      </x:c>
      <x:c r="F2349" s="2" t="n">
        <x:v>10</x:v>
      </x:c>
      <x:c r="G2349" s="2" t="n">
        <x:v>37</x:v>
      </x:c>
      <x:c r="H2349" s="2" t="n">
        <x:f>G2349+Supuestos!$C$15</x:f>
        <x:v>38</x:v>
      </x:c>
      <x:c r="I2349" s="14" t="n">
        <x:f>E2_plantas!J57+G2349</x:f>
        <x:v>46239</x:v>
      </x:c>
      <x:c r="J2349" s="2" t="str">
        <x:v>muerta</x:v>
      </x:c>
      <x:c r="K2349" s="2" t="n">
        <x:v>0</x:v>
      </x:c>
      <x:c r="L2349" s="2" t="n">
        <x:v>0</x:v>
      </x:c>
      <x:c r="M2349" s="2" t="n">
        <x:f>SUM(L$2312:L2349)</x:f>
        <x:v>60</x:v>
      </x:c>
      <x:c r="N2349" s="2" t="n">
        <x:v>0</x:v>
      </x:c>
      <x:c r="O2349" s="2" t="str">
        <x:v>relleno_postmuerte</x:v>
      </x:c>
      <x:c r="P2349" s="2" t="n">
        <x:v>0</x:v>
      </x:c>
      <x:c r="Q2349" s="2" t="str">
        <x:v>simulado_didactico</x:v>
      </x:c>
    </x:row>
    <x:row r="2350" ht="19" customHeight="1">
      <x:c r="A2350" s="2" t="str">
        <x:v>SIM-E2-BB-L0-R10</x:v>
      </x:c>
      <x:c r="B2350" s="2" t="n">
        <x:v>5</x:v>
      </x:c>
      <x:c r="C2350" s="2" t="str">
        <x:v>BB</x:v>
      </x:c>
      <x:c r="D2350" s="2" t="str">
        <x:v>Brevicoryne brassicae</x:v>
      </x:c>
      <x:c r="E2350" s="2" t="str">
        <x:v>L0</x:v>
      </x:c>
      <x:c r="F2350" s="2" t="n">
        <x:v>10</x:v>
      </x:c>
      <x:c r="G2350" s="2" t="n">
        <x:v>38</x:v>
      </x:c>
      <x:c r="H2350" s="2" t="n">
        <x:f>G2350+Supuestos!$C$15</x:f>
        <x:v>39</x:v>
      </x:c>
      <x:c r="I2350" s="14" t="n">
        <x:f>E2_plantas!J57+G2350</x:f>
        <x:v>46240</x:v>
      </x:c>
      <x:c r="J2350" s="2" t="str">
        <x:v>muerta</x:v>
      </x:c>
      <x:c r="K2350" s="2" t="n">
        <x:v>0</x:v>
      </x:c>
      <x:c r="L2350" s="2" t="n">
        <x:v>0</x:v>
      </x:c>
      <x:c r="M2350" s="2" t="n">
        <x:f>SUM(L$2312:L2350)</x:f>
        <x:v>60</x:v>
      </x:c>
      <x:c r="N2350" s="2" t="n">
        <x:v>0</x:v>
      </x:c>
      <x:c r="O2350" s="2" t="str">
        <x:v>relleno_postmuerte</x:v>
      </x:c>
      <x:c r="P2350" s="2" t="n">
        <x:v>0</x:v>
      </x:c>
      <x:c r="Q2350" s="2" t="str">
        <x:v>simulado_didactico</x:v>
      </x:c>
    </x:row>
    <x:row r="2351" ht="19" customHeight="1">
      <x:c r="A2351" s="2" t="str">
        <x:v>SIM-E2-BB-L0-R10</x:v>
      </x:c>
      <x:c r="B2351" s="2" t="n">
        <x:v>5</x:v>
      </x:c>
      <x:c r="C2351" s="2" t="str">
        <x:v>BB</x:v>
      </x:c>
      <x:c r="D2351" s="2" t="str">
        <x:v>Brevicoryne brassicae</x:v>
      </x:c>
      <x:c r="E2351" s="2" t="str">
        <x:v>L0</x:v>
      </x:c>
      <x:c r="F2351" s="2" t="n">
        <x:v>10</x:v>
      </x:c>
      <x:c r="G2351" s="2" t="n">
        <x:v>39</x:v>
      </x:c>
      <x:c r="H2351" s="2" t="n">
        <x:f>G2351+Supuestos!$C$15</x:f>
        <x:v>40</x:v>
      </x:c>
      <x:c r="I2351" s="14" t="n">
        <x:f>E2_plantas!J57+G2351</x:f>
        <x:v>46241</x:v>
      </x:c>
      <x:c r="J2351" s="2" t="str">
        <x:v>muerta</x:v>
      </x:c>
      <x:c r="K2351" s="2" t="n">
        <x:v>0</x:v>
      </x:c>
      <x:c r="L2351" s="2" t="n">
        <x:v>0</x:v>
      </x:c>
      <x:c r="M2351" s="2" t="n">
        <x:f>SUM(L$2312:L2351)</x:f>
        <x:v>60</x:v>
      </x:c>
      <x:c r="N2351" s="2" t="n">
        <x:v>0</x:v>
      </x:c>
      <x:c r="O2351" s="2" t="str">
        <x:v>relleno_postmuerte</x:v>
      </x:c>
      <x:c r="P2351" s="2" t="n">
        <x:v>0</x:v>
      </x:c>
      <x:c r="Q2351" s="2" t="str">
        <x:v>simulado_didactico</x:v>
      </x:c>
    </x:row>
    <x:row r="2352" ht="19" customHeight="1">
      <x:c r="A2352" s="2" t="str">
        <x:v>SIM-E2-BB-L0-R10</x:v>
      </x:c>
      <x:c r="B2352" s="2" t="n">
        <x:v>5</x:v>
      </x:c>
      <x:c r="C2352" s="2" t="str">
        <x:v>BB</x:v>
      </x:c>
      <x:c r="D2352" s="2" t="str">
        <x:v>Brevicoryne brassicae</x:v>
      </x:c>
      <x:c r="E2352" s="2" t="str">
        <x:v>L0</x:v>
      </x:c>
      <x:c r="F2352" s="2" t="n">
        <x:v>10</x:v>
      </x:c>
      <x:c r="G2352" s="2" t="n">
        <x:v>40</x:v>
      </x:c>
      <x:c r="H2352" s="2" t="n">
        <x:f>G2352+Supuestos!$C$15</x:f>
        <x:v>41</x:v>
      </x:c>
      <x:c r="I2352" s="14" t="n">
        <x:f>E2_plantas!J57+G2352</x:f>
        <x:v>46242</x:v>
      </x:c>
      <x:c r="J2352" s="2" t="str">
        <x:v>muerta</x:v>
      </x:c>
      <x:c r="K2352" s="2" t="n">
        <x:v>0</x:v>
      </x:c>
      <x:c r="L2352" s="2" t="n">
        <x:v>0</x:v>
      </x:c>
      <x:c r="M2352" s="2" t="n">
        <x:f>SUM(L$2312:L2352)</x:f>
        <x:v>60</x:v>
      </x:c>
      <x:c r="N2352" s="2" t="n">
        <x:v>0</x:v>
      </x:c>
      <x:c r="O2352" s="2" t="str">
        <x:v>relleno_postmuerte</x:v>
      </x:c>
      <x:c r="P2352" s="2" t="n">
        <x:v>0</x:v>
      </x:c>
      <x:c r="Q2352" s="2" t="str">
        <x:v>simulado_didactico</x:v>
      </x:c>
    </x:row>
    <x:row r="2353" ht="19" customHeight="1">
      <x:c r="A2353" s="2" t="str">
        <x:v>SIM-E2-BB-L0-R10</x:v>
      </x:c>
      <x:c r="B2353" s="2" t="n">
        <x:v>5</x:v>
      </x:c>
      <x:c r="C2353" s="2" t="str">
        <x:v>BB</x:v>
      </x:c>
      <x:c r="D2353" s="2" t="str">
        <x:v>Brevicoryne brassicae</x:v>
      </x:c>
      <x:c r="E2353" s="2" t="str">
        <x:v>L0</x:v>
      </x:c>
      <x:c r="F2353" s="2" t="n">
        <x:v>10</x:v>
      </x:c>
      <x:c r="G2353" s="2" t="n">
        <x:v>41</x:v>
      </x:c>
      <x:c r="H2353" s="2" t="n">
        <x:f>G2353+Supuestos!$C$15</x:f>
        <x:v>42</x:v>
      </x:c>
      <x:c r="I2353" s="14" t="n">
        <x:f>E2_plantas!J57+G2353</x:f>
        <x:v>46243</x:v>
      </x:c>
      <x:c r="J2353" s="2" t="str">
        <x:v>muerta</x:v>
      </x:c>
      <x:c r="K2353" s="2" t="n">
        <x:v>0</x:v>
      </x:c>
      <x:c r="L2353" s="2" t="n">
        <x:v>0</x:v>
      </x:c>
      <x:c r="M2353" s="2" t="n">
        <x:f>SUM(L$2312:L2353)</x:f>
        <x:v>60</x:v>
      </x:c>
      <x:c r="N2353" s="2" t="n">
        <x:v>0</x:v>
      </x:c>
      <x:c r="O2353" s="2" t="str">
        <x:v>relleno_postmuerte</x:v>
      </x:c>
      <x:c r="P2353" s="2" t="n">
        <x:v>0</x:v>
      </x:c>
      <x:c r="Q2353" s="2" t="str">
        <x:v>simulado_didactico</x:v>
      </x:c>
    </x:row>
    <x:row r="2354" ht="19" customHeight="1">
      <x:c r="A2354" s="2" t="str">
        <x:v>SIM-E2-BB-L8-R09</x:v>
      </x:c>
      <x:c r="B2354" s="2" t="n">
        <x:v>5</x:v>
      </x:c>
      <x:c r="C2354" s="2" t="str">
        <x:v>BB</x:v>
      </x:c>
      <x:c r="D2354" s="2" t="str">
        <x:v>Brevicoryne brassicae</x:v>
      </x:c>
      <x:c r="E2354" s="2" t="str">
        <x:v>L8</x:v>
      </x:c>
      <x:c r="F2354" s="2" t="n">
        <x:v>9</x:v>
      </x:c>
      <x:c r="G2354" s="2" t="n">
        <x:v>0</x:v>
      </x:c>
      <x:c r="H2354" s="2" t="n">
        <x:f>G2354+Supuestos!$C$15</x:f>
        <x:v>1</x:v>
      </x:c>
      <x:c r="I2354" s="14" t="n">
        <x:f>E2_plantas!J58+G2354</x:f>
        <x:v>46202</x:v>
      </x:c>
      <x:c r="J2354" s="2" t="str">
        <x:v>N1</x:v>
      </x:c>
      <x:c r="K2354" s="2" t="n">
        <x:v>1</x:v>
      </x:c>
      <x:c r="L2354" s="2" t="n">
        <x:v>0</x:v>
      </x:c>
      <x:c r="M2354" s="2" t="n">
        <x:f>SUM(L$2354:L2354)</x:f>
        <x:v>0</x:v>
      </x:c>
      <x:c r="N2354" s="2" t="n">
        <x:v>0</x:v>
      </x:c>
      <x:c r="O2354" s="2" t="str">
        <x:v>seguimiento</x:v>
      </x:c>
      <x:c r="P2354" s="2" t="n">
        <x:v>0</x:v>
      </x:c>
      <x:c r="Q2354" s="2" t="str">
        <x:v>simulado_didactico</x:v>
      </x:c>
    </x:row>
    <x:row r="2355" ht="19" customHeight="1">
      <x:c r="A2355" s="2" t="str">
        <x:v>SIM-E2-BB-L8-R09</x:v>
      </x:c>
      <x:c r="B2355" s="2" t="n">
        <x:v>5</x:v>
      </x:c>
      <x:c r="C2355" s="2" t="str">
        <x:v>BB</x:v>
      </x:c>
      <x:c r="D2355" s="2" t="str">
        <x:v>Brevicoryne brassicae</x:v>
      </x:c>
      <x:c r="E2355" s="2" t="str">
        <x:v>L8</x:v>
      </x:c>
      <x:c r="F2355" s="2" t="n">
        <x:v>9</x:v>
      </x:c>
      <x:c r="G2355" s="2" t="n">
        <x:v>1</x:v>
      </x:c>
      <x:c r="H2355" s="2" t="n">
        <x:f>G2355+Supuestos!$C$15</x:f>
        <x:v>2</x:v>
      </x:c>
      <x:c r="I2355" s="14" t="n">
        <x:f>E2_plantas!J58+G2355</x:f>
        <x:v>46203</x:v>
      </x:c>
      <x:c r="J2355" s="2" t="str">
        <x:v>N1</x:v>
      </x:c>
      <x:c r="K2355" s="2" t="n">
        <x:v>1</x:v>
      </x:c>
      <x:c r="L2355" s="2" t="n">
        <x:v>0</x:v>
      </x:c>
      <x:c r="M2355" s="2" t="n">
        <x:f>SUM(L$2354:L2355)</x:f>
        <x:v>0</x:v>
      </x:c>
      <x:c r="N2355" s="2" t="n">
        <x:v>0</x:v>
      </x:c>
      <x:c r="O2355" s="2" t="str">
        <x:v>seguimiento</x:v>
      </x:c>
      <x:c r="P2355" s="2" t="n">
        <x:v>0</x:v>
      </x:c>
      <x:c r="Q2355" s="2" t="str">
        <x:v>simulado_didactico</x:v>
      </x:c>
    </x:row>
    <x:row r="2356" ht="19" customHeight="1">
      <x:c r="A2356" s="2" t="str">
        <x:v>SIM-E2-BB-L8-R09</x:v>
      </x:c>
      <x:c r="B2356" s="2" t="n">
        <x:v>5</x:v>
      </x:c>
      <x:c r="C2356" s="2" t="str">
        <x:v>BB</x:v>
      </x:c>
      <x:c r="D2356" s="2" t="str">
        <x:v>Brevicoryne brassicae</x:v>
      </x:c>
      <x:c r="E2356" s="2" t="str">
        <x:v>L8</x:v>
      </x:c>
      <x:c r="F2356" s="2" t="n">
        <x:v>9</x:v>
      </x:c>
      <x:c r="G2356" s="2" t="n">
        <x:v>2</x:v>
      </x:c>
      <x:c r="H2356" s="2" t="n">
        <x:f>G2356+Supuestos!$C$15</x:f>
        <x:v>3</x:v>
      </x:c>
      <x:c r="I2356" s="14" t="n">
        <x:f>E2_plantas!J58+G2356</x:f>
        <x:v>46204</x:v>
      </x:c>
      <x:c r="J2356" s="2" t="str">
        <x:v>N2</x:v>
      </x:c>
      <x:c r="K2356" s="2" t="n">
        <x:v>1</x:v>
      </x:c>
      <x:c r="L2356" s="2" t="n">
        <x:v>0</x:v>
      </x:c>
      <x:c r="M2356" s="2" t="n">
        <x:f>SUM(L$2354:L2356)</x:f>
        <x:v>0</x:v>
      </x:c>
      <x:c r="N2356" s="2" t="n">
        <x:v>0</x:v>
      </x:c>
      <x:c r="O2356" s="2" t="str">
        <x:v>seguimiento</x:v>
      </x:c>
      <x:c r="P2356" s="2" t="n">
        <x:v>0</x:v>
      </x:c>
      <x:c r="Q2356" s="2" t="str">
        <x:v>simulado_didactico</x:v>
      </x:c>
    </x:row>
    <x:row r="2357" ht="19" customHeight="1">
      <x:c r="A2357" s="2" t="str">
        <x:v>SIM-E2-BB-L8-R09</x:v>
      </x:c>
      <x:c r="B2357" s="2" t="n">
        <x:v>5</x:v>
      </x:c>
      <x:c r="C2357" s="2" t="str">
        <x:v>BB</x:v>
      </x:c>
      <x:c r="D2357" s="2" t="str">
        <x:v>Brevicoryne brassicae</x:v>
      </x:c>
      <x:c r="E2357" s="2" t="str">
        <x:v>L8</x:v>
      </x:c>
      <x:c r="F2357" s="2" t="n">
        <x:v>9</x:v>
      </x:c>
      <x:c r="G2357" s="2" t="n">
        <x:v>3</x:v>
      </x:c>
      <x:c r="H2357" s="2" t="n">
        <x:f>G2357+Supuestos!$C$15</x:f>
        <x:v>4</x:v>
      </x:c>
      <x:c r="I2357" s="14" t="n">
        <x:f>E2_plantas!J58+G2357</x:f>
        <x:v>46205</x:v>
      </x:c>
      <x:c r="J2357" s="2" t="str">
        <x:v>N3</x:v>
      </x:c>
      <x:c r="K2357" s="2" t="n">
        <x:v>1</x:v>
      </x:c>
      <x:c r="L2357" s="2" t="n">
        <x:v>0</x:v>
      </x:c>
      <x:c r="M2357" s="2" t="n">
        <x:f>SUM(L$2354:L2357)</x:f>
        <x:v>0</x:v>
      </x:c>
      <x:c r="N2357" s="2" t="n">
        <x:v>0</x:v>
      </x:c>
      <x:c r="O2357" s="2" t="str">
        <x:v>seguimiento</x:v>
      </x:c>
      <x:c r="P2357" s="2" t="n">
        <x:v>0</x:v>
      </x:c>
      <x:c r="Q2357" s="2" t="str">
        <x:v>simulado_didactico</x:v>
      </x:c>
    </x:row>
    <x:row r="2358" ht="19" customHeight="1">
      <x:c r="A2358" s="2" t="str">
        <x:v>SIM-E2-BB-L8-R09</x:v>
      </x:c>
      <x:c r="B2358" s="2" t="n">
        <x:v>5</x:v>
      </x:c>
      <x:c r="C2358" s="2" t="str">
        <x:v>BB</x:v>
      </x:c>
      <x:c r="D2358" s="2" t="str">
        <x:v>Brevicoryne brassicae</x:v>
      </x:c>
      <x:c r="E2358" s="2" t="str">
        <x:v>L8</x:v>
      </x:c>
      <x:c r="F2358" s="2" t="n">
        <x:v>9</x:v>
      </x:c>
      <x:c r="G2358" s="2" t="n">
        <x:v>4</x:v>
      </x:c>
      <x:c r="H2358" s="2" t="n">
        <x:f>G2358+Supuestos!$C$15</x:f>
        <x:v>5</x:v>
      </x:c>
      <x:c r="I2358" s="14" t="n">
        <x:f>E2_plantas!J58+G2358</x:f>
        <x:v>46206</x:v>
      </x:c>
      <x:c r="J2358" s="2" t="str">
        <x:v>N3</x:v>
      </x:c>
      <x:c r="K2358" s="2" t="n">
        <x:v>1</x:v>
      </x:c>
      <x:c r="L2358" s="2" t="n">
        <x:v>0</x:v>
      </x:c>
      <x:c r="M2358" s="2" t="n">
        <x:f>SUM(L$2354:L2358)</x:f>
        <x:v>0</x:v>
      </x:c>
      <x:c r="N2358" s="2" t="n">
        <x:v>0</x:v>
      </x:c>
      <x:c r="O2358" s="2" t="str">
        <x:v>seguimiento</x:v>
      </x:c>
      <x:c r="P2358" s="2" t="n">
        <x:v>0</x:v>
      </x:c>
      <x:c r="Q2358" s="2" t="str">
        <x:v>simulado_didactico</x:v>
      </x:c>
    </x:row>
    <x:row r="2359" ht="19" customHeight="1">
      <x:c r="A2359" s="2" t="str">
        <x:v>SIM-E2-BB-L8-R09</x:v>
      </x:c>
      <x:c r="B2359" s="2" t="n">
        <x:v>5</x:v>
      </x:c>
      <x:c r="C2359" s="2" t="str">
        <x:v>BB</x:v>
      </x:c>
      <x:c r="D2359" s="2" t="str">
        <x:v>Brevicoryne brassicae</x:v>
      </x:c>
      <x:c r="E2359" s="2" t="str">
        <x:v>L8</x:v>
      </x:c>
      <x:c r="F2359" s="2" t="n">
        <x:v>9</x:v>
      </x:c>
      <x:c r="G2359" s="2" t="n">
        <x:v>5</x:v>
      </x:c>
      <x:c r="H2359" s="2" t="n">
        <x:f>G2359+Supuestos!$C$15</x:f>
        <x:v>6</x:v>
      </x:c>
      <x:c r="I2359" s="14" t="n">
        <x:f>E2_plantas!J58+G2359</x:f>
        <x:v>46207</x:v>
      </x:c>
      <x:c r="J2359" s="2" t="str">
        <x:v>N3</x:v>
      </x:c>
      <x:c r="K2359" s="2" t="n">
        <x:v>1</x:v>
      </x:c>
      <x:c r="L2359" s="2" t="n">
        <x:v>0</x:v>
      </x:c>
      <x:c r="M2359" s="2" t="n">
        <x:f>SUM(L$2354:L2359)</x:f>
        <x:v>0</x:v>
      </x:c>
      <x:c r="N2359" s="2" t="n">
        <x:v>0</x:v>
      </x:c>
      <x:c r="O2359" s="2" t="str">
        <x:v>seguimiento</x:v>
      </x:c>
      <x:c r="P2359" s="2" t="n">
        <x:v>0</x:v>
      </x:c>
      <x:c r="Q2359" s="2" t="str">
        <x:v>simulado_didactico</x:v>
      </x:c>
    </x:row>
    <x:row r="2360" ht="19" customHeight="1">
      <x:c r="A2360" s="2" t="str">
        <x:v>SIM-E2-BB-L8-R09</x:v>
      </x:c>
      <x:c r="B2360" s="2" t="n">
        <x:v>5</x:v>
      </x:c>
      <x:c r="C2360" s="2" t="str">
        <x:v>BB</x:v>
      </x:c>
      <x:c r="D2360" s="2" t="str">
        <x:v>Brevicoryne brassicae</x:v>
      </x:c>
      <x:c r="E2360" s="2" t="str">
        <x:v>L8</x:v>
      </x:c>
      <x:c r="F2360" s="2" t="n">
        <x:v>9</x:v>
      </x:c>
      <x:c r="G2360" s="2" t="n">
        <x:v>6</x:v>
      </x:c>
      <x:c r="H2360" s="2" t="n">
        <x:f>G2360+Supuestos!$C$15</x:f>
        <x:v>7</x:v>
      </x:c>
      <x:c r="I2360" s="14" t="n">
        <x:f>E2_plantas!J58+G2360</x:f>
        <x:v>46208</x:v>
      </x:c>
      <x:c r="J2360" s="2" t="str">
        <x:v>N4</x:v>
      </x:c>
      <x:c r="K2360" s="2" t="n">
        <x:v>1</x:v>
      </x:c>
      <x:c r="L2360" s="2" t="n">
        <x:v>0</x:v>
      </x:c>
      <x:c r="M2360" s="2" t="n">
        <x:f>SUM(L$2354:L2360)</x:f>
        <x:v>0</x:v>
      </x:c>
      <x:c r="N2360" s="2" t="n">
        <x:v>0</x:v>
      </x:c>
      <x:c r="O2360" s="2" t="str">
        <x:v>seguimiento</x:v>
      </x:c>
      <x:c r="P2360" s="2" t="n">
        <x:v>0</x:v>
      </x:c>
      <x:c r="Q2360" s="2" t="str">
        <x:v>simulado_didactico</x:v>
      </x:c>
    </x:row>
    <x:row r="2361" ht="19" customHeight="1">
      <x:c r="A2361" s="2" t="str">
        <x:v>SIM-E2-BB-L8-R09</x:v>
      </x:c>
      <x:c r="B2361" s="2" t="n">
        <x:v>5</x:v>
      </x:c>
      <x:c r="C2361" s="2" t="str">
        <x:v>BB</x:v>
      </x:c>
      <x:c r="D2361" s="2" t="str">
        <x:v>Brevicoryne brassicae</x:v>
      </x:c>
      <x:c r="E2361" s="2" t="str">
        <x:v>L8</x:v>
      </x:c>
      <x:c r="F2361" s="2" t="n">
        <x:v>9</x:v>
      </x:c>
      <x:c r="G2361" s="2" t="n">
        <x:v>7</x:v>
      </x:c>
      <x:c r="H2361" s="2" t="n">
        <x:f>G2361+Supuestos!$C$15</x:f>
        <x:v>8</x:v>
      </x:c>
      <x:c r="I2361" s="14" t="n">
        <x:f>E2_plantas!J58+G2361</x:f>
        <x:v>46209</x:v>
      </x:c>
      <x:c r="J2361" s="2" t="str">
        <x:v>N4</x:v>
      </x:c>
      <x:c r="K2361" s="2" t="n">
        <x:v>1</x:v>
      </x:c>
      <x:c r="L2361" s="2" t="n">
        <x:v>0</x:v>
      </x:c>
      <x:c r="M2361" s="2" t="n">
        <x:f>SUM(L$2354:L2361)</x:f>
        <x:v>0</x:v>
      </x:c>
      <x:c r="N2361" s="2" t="n">
        <x:v>0</x:v>
      </x:c>
      <x:c r="O2361" s="2" t="str">
        <x:v>seguimiento</x:v>
      </x:c>
      <x:c r="P2361" s="2" t="n">
        <x:v>0</x:v>
      </x:c>
      <x:c r="Q2361" s="2" t="str">
        <x:v>simulado_didactico</x:v>
      </x:c>
    </x:row>
    <x:row r="2362" ht="19" customHeight="1">
      <x:c r="A2362" s="2" t="str">
        <x:v>SIM-E2-BB-L8-R09</x:v>
      </x:c>
      <x:c r="B2362" s="2" t="n">
        <x:v>5</x:v>
      </x:c>
      <x:c r="C2362" s="2" t="str">
        <x:v>BB</x:v>
      </x:c>
      <x:c r="D2362" s="2" t="str">
        <x:v>Brevicoryne brassicae</x:v>
      </x:c>
      <x:c r="E2362" s="2" t="str">
        <x:v>L8</x:v>
      </x:c>
      <x:c r="F2362" s="2" t="n">
        <x:v>9</x:v>
      </x:c>
      <x:c r="G2362" s="2" t="n">
        <x:v>8</x:v>
      </x:c>
      <x:c r="H2362" s="2" t="n">
        <x:f>G2362+Supuestos!$C$15</x:f>
        <x:v>9</x:v>
      </x:c>
      <x:c r="I2362" s="14" t="n">
        <x:f>E2_plantas!J58+G2362</x:f>
        <x:v>46210</x:v>
      </x:c>
      <x:c r="J2362" s="2" t="str">
        <x:v>N4</x:v>
      </x:c>
      <x:c r="K2362" s="2" t="n">
        <x:v>1</x:v>
      </x:c>
      <x:c r="L2362" s="2" t="n">
        <x:v>0</x:v>
      </x:c>
      <x:c r="M2362" s="2" t="n">
        <x:f>SUM(L$2354:L2362)</x:f>
        <x:v>0</x:v>
      </x:c>
      <x:c r="N2362" s="2" t="n">
        <x:v>0</x:v>
      </x:c>
      <x:c r="O2362" s="2" t="str">
        <x:v>seguimiento</x:v>
      </x:c>
      <x:c r="P2362" s="2" t="n">
        <x:v>0</x:v>
      </x:c>
      <x:c r="Q2362" s="2" t="str">
        <x:v>simulado_didactico</x:v>
      </x:c>
    </x:row>
    <x:row r="2363" ht="19" customHeight="1">
      <x:c r="A2363" s="2" t="str">
        <x:v>SIM-E2-BB-L8-R09</x:v>
      </x:c>
      <x:c r="B2363" s="2" t="n">
        <x:v>5</x:v>
      </x:c>
      <x:c r="C2363" s="2" t="str">
        <x:v>BB</x:v>
      </x:c>
      <x:c r="D2363" s="2" t="str">
        <x:v>Brevicoryne brassicae</x:v>
      </x:c>
      <x:c r="E2363" s="2" t="str">
        <x:v>L8</x:v>
      </x:c>
      <x:c r="F2363" s="2" t="n">
        <x:v>9</x:v>
      </x:c>
      <x:c r="G2363" s="2" t="n">
        <x:v>9</x:v>
      </x:c>
      <x:c r="H2363" s="2" t="n">
        <x:f>G2363+Supuestos!$C$15</x:f>
        <x:v>10</x:v>
      </x:c>
      <x:c r="I2363" s="14" t="n">
        <x:f>E2_plantas!J58+G2363</x:f>
        <x:v>46211</x:v>
      </x:c>
      <x:c r="J2363" s="2" t="str">
        <x:v>adulta</x:v>
      </x:c>
      <x:c r="K2363" s="2" t="n">
        <x:v>1</x:v>
      </x:c>
      <x:c r="L2363" s="2" t="n">
        <x:v>0</x:v>
      </x:c>
      <x:c r="M2363" s="2" t="n">
        <x:f>SUM(L$2354:L2363)</x:f>
        <x:v>0</x:v>
      </x:c>
      <x:c r="N2363" s="2" t="n">
        <x:v>0</x:v>
      </x:c>
      <x:c r="O2363" s="2" t="str">
        <x:v>seguimiento</x:v>
      </x:c>
      <x:c r="P2363" s="2" t="n">
        <x:v>0</x:v>
      </x:c>
      <x:c r="Q2363" s="2" t="str">
        <x:v>simulado_didactico</x:v>
      </x:c>
    </x:row>
    <x:row r="2364" ht="19" customHeight="1">
      <x:c r="A2364" s="2" t="str">
        <x:v>SIM-E2-BB-L8-R09</x:v>
      </x:c>
      <x:c r="B2364" s="2" t="n">
        <x:v>5</x:v>
      </x:c>
      <x:c r="C2364" s="2" t="str">
        <x:v>BB</x:v>
      </x:c>
      <x:c r="D2364" s="2" t="str">
        <x:v>Brevicoryne brassicae</x:v>
      </x:c>
      <x:c r="E2364" s="2" t="str">
        <x:v>L8</x:v>
      </x:c>
      <x:c r="F2364" s="2" t="n">
        <x:v>9</x:v>
      </x:c>
      <x:c r="G2364" s="2" t="n">
        <x:v>10</x:v>
      </x:c>
      <x:c r="H2364" s="2" t="n">
        <x:f>G2364+Supuestos!$C$15</x:f>
        <x:v>11</x:v>
      </x:c>
      <x:c r="I2364" s="14" t="n">
        <x:f>E2_plantas!J58+G2364</x:f>
        <x:v>46212</x:v>
      </x:c>
      <x:c r="J2364" s="2" t="str">
        <x:v>adulta</x:v>
      </x:c>
      <x:c r="K2364" s="2" t="n">
        <x:v>1</x:v>
      </x:c>
      <x:c r="L2364" s="2" t="n">
        <x:v>0</x:v>
      </x:c>
      <x:c r="M2364" s="2" t="n">
        <x:f>SUM(L$2354:L2364)</x:f>
        <x:v>0</x:v>
      </x:c>
      <x:c r="N2364" s="2" t="n">
        <x:v>0</x:v>
      </x:c>
      <x:c r="O2364" s="2" t="str">
        <x:v>seguimiento</x:v>
      </x:c>
      <x:c r="P2364" s="2" t="n">
        <x:v>0</x:v>
      </x:c>
      <x:c r="Q2364" s="2" t="str">
        <x:v>simulado_didactico</x:v>
      </x:c>
    </x:row>
    <x:row r="2365" ht="19" customHeight="1">
      <x:c r="A2365" s="2" t="str">
        <x:v>SIM-E2-BB-L8-R09</x:v>
      </x:c>
      <x:c r="B2365" s="2" t="n">
        <x:v>5</x:v>
      </x:c>
      <x:c r="C2365" s="2" t="str">
        <x:v>BB</x:v>
      </x:c>
      <x:c r="D2365" s="2" t="str">
        <x:v>Brevicoryne brassicae</x:v>
      </x:c>
      <x:c r="E2365" s="2" t="str">
        <x:v>L8</x:v>
      </x:c>
      <x:c r="F2365" s="2" t="n">
        <x:v>9</x:v>
      </x:c>
      <x:c r="G2365" s="2" t="n">
        <x:v>11</x:v>
      </x:c>
      <x:c r="H2365" s="2" t="n">
        <x:f>G2365+Supuestos!$C$15</x:f>
        <x:v>12</x:v>
      </x:c>
      <x:c r="I2365" s="14" t="n">
        <x:f>E2_plantas!J58+G2365</x:f>
        <x:v>46213</x:v>
      </x:c>
      <x:c r="J2365" s="2" t="str">
        <x:v>adulta</x:v>
      </x:c>
      <x:c r="K2365" s="2" t="n">
        <x:v>1</x:v>
      </x:c>
      <x:c r="L2365" s="2" t="n">
        <x:v>0</x:v>
      </x:c>
      <x:c r="M2365" s="2" t="n">
        <x:f>SUM(L$2354:L2365)</x:f>
        <x:v>0</x:v>
      </x:c>
      <x:c r="N2365" s="2" t="n">
        <x:v>0</x:v>
      </x:c>
      <x:c r="O2365" s="2" t="str">
        <x:v>seguimiento</x:v>
      </x:c>
      <x:c r="P2365" s="2" t="n">
        <x:v>0</x:v>
      </x:c>
      <x:c r="Q2365" s="2" t="str">
        <x:v>simulado_didactico</x:v>
      </x:c>
    </x:row>
    <x:row r="2366" ht="19" customHeight="1">
      <x:c r="A2366" s="2" t="str">
        <x:v>SIM-E2-BB-L8-R09</x:v>
      </x:c>
      <x:c r="B2366" s="2" t="n">
        <x:v>5</x:v>
      </x:c>
      <x:c r="C2366" s="2" t="str">
        <x:v>BB</x:v>
      </x:c>
      <x:c r="D2366" s="2" t="str">
        <x:v>Brevicoryne brassicae</x:v>
      </x:c>
      <x:c r="E2366" s="2" t="str">
        <x:v>L8</x:v>
      </x:c>
      <x:c r="F2366" s="2" t="n">
        <x:v>9</x:v>
      </x:c>
      <x:c r="G2366" s="2" t="n">
        <x:v>12</x:v>
      </x:c>
      <x:c r="H2366" s="2" t="n">
        <x:f>G2366+Supuestos!$C$15</x:f>
        <x:v>13</x:v>
      </x:c>
      <x:c r="I2366" s="14" t="n">
        <x:f>E2_plantas!J58+G2366</x:f>
        <x:v>46214</x:v>
      </x:c>
      <x:c r="J2366" s="2" t="str">
        <x:v>adulta</x:v>
      </x:c>
      <x:c r="K2366" s="2" t="n">
        <x:v>1</x:v>
      </x:c>
      <x:c r="L2366" s="2" t="n">
        <x:v>3</x:v>
      </x:c>
      <x:c r="M2366" s="2" t="n">
        <x:f>SUM(L$2354:L2366)</x:f>
        <x:v>3</x:v>
      </x:c>
      <x:c r="N2366" s="2" t="n">
        <x:v>0</x:v>
      </x:c>
      <x:c r="O2366" s="2" t="str">
        <x:v>seguimiento</x:v>
      </x:c>
      <x:c r="P2366" s="2" t="n">
        <x:v>0</x:v>
      </x:c>
      <x:c r="Q2366" s="2" t="str">
        <x:v>simulado_didactico</x:v>
      </x:c>
    </x:row>
    <x:row r="2367" ht="19" customHeight="1">
      <x:c r="A2367" s="2" t="str">
        <x:v>SIM-E2-BB-L8-R09</x:v>
      </x:c>
      <x:c r="B2367" s="2" t="n">
        <x:v>5</x:v>
      </x:c>
      <x:c r="C2367" s="2" t="str">
        <x:v>BB</x:v>
      </x:c>
      <x:c r="D2367" s="2" t="str">
        <x:v>Brevicoryne brassicae</x:v>
      </x:c>
      <x:c r="E2367" s="2" t="str">
        <x:v>L8</x:v>
      </x:c>
      <x:c r="F2367" s="2" t="n">
        <x:v>9</x:v>
      </x:c>
      <x:c r="G2367" s="2" t="n">
        <x:v>13</x:v>
      </x:c>
      <x:c r="H2367" s="2" t="n">
        <x:f>G2367+Supuestos!$C$15</x:f>
        <x:v>14</x:v>
      </x:c>
      <x:c r="I2367" s="14" t="n">
        <x:f>E2_plantas!J58+G2367</x:f>
        <x:v>46215</x:v>
      </x:c>
      <x:c r="J2367" s="2" t="str">
        <x:v>adulta</x:v>
      </x:c>
      <x:c r="K2367" s="2" t="n">
        <x:v>1</x:v>
      </x:c>
      <x:c r="L2367" s="2" t="n">
        <x:v>1</x:v>
      </x:c>
      <x:c r="M2367" s="2" t="n">
        <x:f>SUM(L$2354:L2367)</x:f>
        <x:v>4</x:v>
      </x:c>
      <x:c r="N2367" s="2" t="n">
        <x:v>0</x:v>
      </x:c>
      <x:c r="O2367" s="2" t="str">
        <x:v>seguimiento</x:v>
      </x:c>
      <x:c r="P2367" s="2" t="n">
        <x:v>0</x:v>
      </x:c>
      <x:c r="Q2367" s="2" t="str">
        <x:v>simulado_didactico</x:v>
      </x:c>
    </x:row>
    <x:row r="2368" ht="19" customHeight="1">
      <x:c r="A2368" s="2" t="str">
        <x:v>SIM-E2-BB-L8-R09</x:v>
      </x:c>
      <x:c r="B2368" s="2" t="n">
        <x:v>5</x:v>
      </x:c>
      <x:c r="C2368" s="2" t="str">
        <x:v>BB</x:v>
      </x:c>
      <x:c r="D2368" s="2" t="str">
        <x:v>Brevicoryne brassicae</x:v>
      </x:c>
      <x:c r="E2368" s="2" t="str">
        <x:v>L8</x:v>
      </x:c>
      <x:c r="F2368" s="2" t="n">
        <x:v>9</x:v>
      </x:c>
      <x:c r="G2368" s="2" t="n">
        <x:v>14</x:v>
      </x:c>
      <x:c r="H2368" s="2" t="n">
        <x:f>G2368+Supuestos!$C$15</x:f>
        <x:v>15</x:v>
      </x:c>
      <x:c r="I2368" s="14" t="n">
        <x:f>E2_plantas!J58+G2368</x:f>
        <x:v>46216</x:v>
      </x:c>
      <x:c r="J2368" s="2" t="str">
        <x:v>adulta</x:v>
      </x:c>
      <x:c r="K2368" s="2" t="n">
        <x:v>1</x:v>
      </x:c>
      <x:c r="L2368" s="2" t="n">
        <x:v>5</x:v>
      </x:c>
      <x:c r="M2368" s="2" t="n">
        <x:f>SUM(L$2354:L2368)</x:f>
        <x:v>9</x:v>
      </x:c>
      <x:c r="N2368" s="2" t="n">
        <x:v>0</x:v>
      </x:c>
      <x:c r="O2368" s="2" t="str">
        <x:v>seguimiento</x:v>
      </x:c>
      <x:c r="P2368" s="2" t="n">
        <x:v>0</x:v>
      </x:c>
      <x:c r="Q2368" s="2" t="str">
        <x:v>simulado_didactico</x:v>
      </x:c>
    </x:row>
    <x:row r="2369" ht="19" customHeight="1">
      <x:c r="A2369" s="2" t="str">
        <x:v>SIM-E2-BB-L8-R09</x:v>
      </x:c>
      <x:c r="B2369" s="2" t="n">
        <x:v>5</x:v>
      </x:c>
      <x:c r="C2369" s="2" t="str">
        <x:v>BB</x:v>
      </x:c>
      <x:c r="D2369" s="2" t="str">
        <x:v>Brevicoryne brassicae</x:v>
      </x:c>
      <x:c r="E2369" s="2" t="str">
        <x:v>L8</x:v>
      </x:c>
      <x:c r="F2369" s="2" t="n">
        <x:v>9</x:v>
      </x:c>
      <x:c r="G2369" s="2" t="n">
        <x:v>15</x:v>
      </x:c>
      <x:c r="H2369" s="2" t="n">
        <x:f>G2369+Supuestos!$C$15</x:f>
        <x:v>16</x:v>
      </x:c>
      <x:c r="I2369" s="14" t="n">
        <x:f>E2_plantas!J58+G2369</x:f>
        <x:v>46217</x:v>
      </x:c>
      <x:c r="J2369" s="2" t="str">
        <x:v>adulta</x:v>
      </x:c>
      <x:c r="K2369" s="2" t="n">
        <x:v>1</x:v>
      </x:c>
      <x:c r="L2369" s="2" t="n">
        <x:v>0</x:v>
      </x:c>
      <x:c r="M2369" s="2" t="n">
        <x:f>SUM(L$2354:L2369)</x:f>
        <x:v>9</x:v>
      </x:c>
      <x:c r="N2369" s="2" t="n">
        <x:v>0</x:v>
      </x:c>
      <x:c r="O2369" s="2" t="str">
        <x:v>seguimiento</x:v>
      </x:c>
      <x:c r="P2369" s="2" t="n">
        <x:v>0</x:v>
      </x:c>
      <x:c r="Q2369" s="2" t="str">
        <x:v>simulado_didactico</x:v>
      </x:c>
    </x:row>
    <x:row r="2370" ht="19" customHeight="1">
      <x:c r="A2370" s="2" t="str">
        <x:v>SIM-E2-BB-L8-R09</x:v>
      </x:c>
      <x:c r="B2370" s="2" t="n">
        <x:v>5</x:v>
      </x:c>
      <x:c r="C2370" s="2" t="str">
        <x:v>BB</x:v>
      </x:c>
      <x:c r="D2370" s="2" t="str">
        <x:v>Brevicoryne brassicae</x:v>
      </x:c>
      <x:c r="E2370" s="2" t="str">
        <x:v>L8</x:v>
      </x:c>
      <x:c r="F2370" s="2" t="n">
        <x:v>9</x:v>
      </x:c>
      <x:c r="G2370" s="2" t="n">
        <x:v>16</x:v>
      </x:c>
      <x:c r="H2370" s="2" t="n">
        <x:f>G2370+Supuestos!$C$15</x:f>
        <x:v>17</x:v>
      </x:c>
      <x:c r="I2370" s="14" t="n">
        <x:f>E2_plantas!J58+G2370</x:f>
        <x:v>46218</x:v>
      </x:c>
      <x:c r="J2370" s="2" t="str">
        <x:v>adulta</x:v>
      </x:c>
      <x:c r="K2370" s="2" t="n">
        <x:v>1</x:v>
      </x:c>
      <x:c r="L2370" s="2" t="n">
        <x:v>3</x:v>
      </x:c>
      <x:c r="M2370" s="2" t="n">
        <x:f>SUM(L$2354:L2370)</x:f>
        <x:v>12</x:v>
      </x:c>
      <x:c r="N2370" s="2" t="n">
        <x:v>0</x:v>
      </x:c>
      <x:c r="O2370" s="2" t="str">
        <x:v>seguimiento</x:v>
      </x:c>
      <x:c r="P2370" s="2" t="n">
        <x:v>0</x:v>
      </x:c>
      <x:c r="Q2370" s="2" t="str">
        <x:v>simulado_didactico</x:v>
      </x:c>
    </x:row>
    <x:row r="2371" ht="19" customHeight="1">
      <x:c r="A2371" s="2" t="str">
        <x:v>SIM-E2-BB-L8-R09</x:v>
      </x:c>
      <x:c r="B2371" s="2" t="n">
        <x:v>5</x:v>
      </x:c>
      <x:c r="C2371" s="2" t="str">
        <x:v>BB</x:v>
      </x:c>
      <x:c r="D2371" s="2" t="str">
        <x:v>Brevicoryne brassicae</x:v>
      </x:c>
      <x:c r="E2371" s="2" t="str">
        <x:v>L8</x:v>
      </x:c>
      <x:c r="F2371" s="2" t="n">
        <x:v>9</x:v>
      </x:c>
      <x:c r="G2371" s="2" t="n">
        <x:v>17</x:v>
      </x:c>
      <x:c r="H2371" s="2" t="n">
        <x:f>G2371+Supuestos!$C$15</x:f>
        <x:v>18</x:v>
      </x:c>
      <x:c r="I2371" s="14" t="n">
        <x:f>E2_plantas!J58+G2371</x:f>
        <x:v>46219</x:v>
      </x:c>
      <x:c r="J2371" s="2" t="str">
        <x:v>adulta</x:v>
      </x:c>
      <x:c r="K2371" s="2" t="n">
        <x:v>1</x:v>
      </x:c>
      <x:c r="L2371" s="2" t="n">
        <x:v>3</x:v>
      </x:c>
      <x:c r="M2371" s="2" t="n">
        <x:f>SUM(L$2354:L2371)</x:f>
        <x:v>15</x:v>
      </x:c>
      <x:c r="N2371" s="2" t="n">
        <x:v>0</x:v>
      </x:c>
      <x:c r="O2371" s="2" t="str">
        <x:v>seguimiento</x:v>
      </x:c>
      <x:c r="P2371" s="2" t="n">
        <x:v>0</x:v>
      </x:c>
      <x:c r="Q2371" s="2" t="str">
        <x:v>simulado_didactico</x:v>
      </x:c>
    </x:row>
    <x:row r="2372" ht="19" customHeight="1">
      <x:c r="A2372" s="2" t="str">
        <x:v>SIM-E2-BB-L8-R09</x:v>
      </x:c>
      <x:c r="B2372" s="2" t="n">
        <x:v>5</x:v>
      </x:c>
      <x:c r="C2372" s="2" t="str">
        <x:v>BB</x:v>
      </x:c>
      <x:c r="D2372" s="2" t="str">
        <x:v>Brevicoryne brassicae</x:v>
      </x:c>
      <x:c r="E2372" s="2" t="str">
        <x:v>L8</x:v>
      </x:c>
      <x:c r="F2372" s="2" t="n">
        <x:v>9</x:v>
      </x:c>
      <x:c r="G2372" s="2" t="n">
        <x:v>18</x:v>
      </x:c>
      <x:c r="H2372" s="2" t="n">
        <x:f>G2372+Supuestos!$C$15</x:f>
        <x:v>19</x:v>
      </x:c>
      <x:c r="I2372" s="14" t="n">
        <x:f>E2_plantas!J58+G2372</x:f>
        <x:v>46220</x:v>
      </x:c>
      <x:c r="J2372" s="2" t="str">
        <x:v>adulta</x:v>
      </x:c>
      <x:c r="K2372" s="2" t="n">
        <x:v>1</x:v>
      </x:c>
      <x:c r="L2372" s="2" t="n">
        <x:v>0</x:v>
      </x:c>
      <x:c r="M2372" s="2" t="n">
        <x:f>SUM(L$2354:L2372)</x:f>
        <x:v>15</x:v>
      </x:c>
      <x:c r="N2372" s="2" t="n">
        <x:v>0</x:v>
      </x:c>
      <x:c r="O2372" s="2" t="str">
        <x:v>seguimiento</x:v>
      </x:c>
      <x:c r="P2372" s="2" t="n">
        <x:v>0</x:v>
      </x:c>
      <x:c r="Q2372" s="2" t="str">
        <x:v>simulado_didactico</x:v>
      </x:c>
    </x:row>
    <x:row r="2373" ht="19" customHeight="1">
      <x:c r="A2373" s="2" t="str">
        <x:v>SIM-E2-BB-L8-R09</x:v>
      </x:c>
      <x:c r="B2373" s="2" t="n">
        <x:v>5</x:v>
      </x:c>
      <x:c r="C2373" s="2" t="str">
        <x:v>BB</x:v>
      </x:c>
      <x:c r="D2373" s="2" t="str">
        <x:v>Brevicoryne brassicae</x:v>
      </x:c>
      <x:c r="E2373" s="2" t="str">
        <x:v>L8</x:v>
      </x:c>
      <x:c r="F2373" s="2" t="n">
        <x:v>9</x:v>
      </x:c>
      <x:c r="G2373" s="2" t="n">
        <x:v>19</x:v>
      </x:c>
      <x:c r="H2373" s="2" t="n">
        <x:f>G2373+Supuestos!$C$15</x:f>
        <x:v>20</x:v>
      </x:c>
      <x:c r="I2373" s="14" t="n">
        <x:f>E2_plantas!J58+G2373</x:f>
        <x:v>46221</x:v>
      </x:c>
      <x:c r="J2373" s="2" t="str">
        <x:v>adulta</x:v>
      </x:c>
      <x:c r="K2373" s="2" t="n">
        <x:v>1</x:v>
      </x:c>
      <x:c r="L2373" s="2" t="n">
        <x:v>1</x:v>
      </x:c>
      <x:c r="M2373" s="2" t="n">
        <x:f>SUM(L$2354:L2373)</x:f>
        <x:v>16</x:v>
      </x:c>
      <x:c r="N2373" s="2" t="n">
        <x:v>0</x:v>
      </x:c>
      <x:c r="O2373" s="2" t="str">
        <x:v>seguimiento</x:v>
      </x:c>
      <x:c r="P2373" s="2" t="n">
        <x:v>0</x:v>
      </x:c>
      <x:c r="Q2373" s="2" t="str">
        <x:v>simulado_didactico</x:v>
      </x:c>
    </x:row>
    <x:row r="2374" ht="19" customHeight="1">
      <x:c r="A2374" s="2" t="str">
        <x:v>SIM-E2-BB-L8-R09</x:v>
      </x:c>
      <x:c r="B2374" s="2" t="n">
        <x:v>5</x:v>
      </x:c>
      <x:c r="C2374" s="2" t="str">
        <x:v>BB</x:v>
      </x:c>
      <x:c r="D2374" s="2" t="str">
        <x:v>Brevicoryne brassicae</x:v>
      </x:c>
      <x:c r="E2374" s="2" t="str">
        <x:v>L8</x:v>
      </x:c>
      <x:c r="F2374" s="2" t="n">
        <x:v>9</x:v>
      </x:c>
      <x:c r="G2374" s="2" t="n">
        <x:v>20</x:v>
      </x:c>
      <x:c r="H2374" s="2" t="n">
        <x:f>G2374+Supuestos!$C$15</x:f>
        <x:v>21</x:v>
      </x:c>
      <x:c r="I2374" s="14" t="n">
        <x:f>E2_plantas!J58+G2374</x:f>
        <x:v>46222</x:v>
      </x:c>
      <x:c r="J2374" s="2" t="str">
        <x:v>adulta</x:v>
      </x:c>
      <x:c r="K2374" s="2" t="n">
        <x:v>1</x:v>
      </x:c>
      <x:c r="L2374" s="2" t="n">
        <x:v>3</x:v>
      </x:c>
      <x:c r="M2374" s="2" t="n">
        <x:f>SUM(L$2354:L2374)</x:f>
        <x:v>19</x:v>
      </x:c>
      <x:c r="N2374" s="2" t="n">
        <x:v>0</x:v>
      </x:c>
      <x:c r="O2374" s="2" t="str">
        <x:v>seguimiento</x:v>
      </x:c>
      <x:c r="P2374" s="2" t="n">
        <x:v>0</x:v>
      </x:c>
      <x:c r="Q2374" s="2" t="str">
        <x:v>simulado_didactico</x:v>
      </x:c>
    </x:row>
    <x:row r="2375" ht="19" customHeight="1">
      <x:c r="A2375" s="2" t="str">
        <x:v>SIM-E2-BB-L8-R09</x:v>
      </x:c>
      <x:c r="B2375" s="2" t="n">
        <x:v>5</x:v>
      </x:c>
      <x:c r="C2375" s="2" t="str">
        <x:v>BB</x:v>
      </x:c>
      <x:c r="D2375" s="2" t="str">
        <x:v>Brevicoryne brassicae</x:v>
      </x:c>
      <x:c r="E2375" s="2" t="str">
        <x:v>L8</x:v>
      </x:c>
      <x:c r="F2375" s="2" t="n">
        <x:v>9</x:v>
      </x:c>
      <x:c r="G2375" s="2" t="n">
        <x:v>21</x:v>
      </x:c>
      <x:c r="H2375" s="2" t="n">
        <x:f>G2375+Supuestos!$C$15</x:f>
        <x:v>22</x:v>
      </x:c>
      <x:c r="I2375" s="14" t="n">
        <x:f>E2_plantas!J58+G2375</x:f>
        <x:v>46223</x:v>
      </x:c>
      <x:c r="J2375" s="2" t="str">
        <x:v>adulta</x:v>
      </x:c>
      <x:c r="K2375" s="2" t="n">
        <x:v>1</x:v>
      </x:c>
      <x:c r="L2375" s="2" t="n">
        <x:v>1</x:v>
      </x:c>
      <x:c r="M2375" s="2" t="n">
        <x:f>SUM(L$2354:L2375)</x:f>
        <x:v>20</x:v>
      </x:c>
      <x:c r="N2375" s="2" t="n">
        <x:v>0</x:v>
      </x:c>
      <x:c r="O2375" s="2" t="str">
        <x:v>seguimiento</x:v>
      </x:c>
      <x:c r="P2375" s="2" t="n">
        <x:v>0</x:v>
      </x:c>
      <x:c r="Q2375" s="2" t="str">
        <x:v>simulado_didactico</x:v>
      </x:c>
    </x:row>
    <x:row r="2376" ht="19" customHeight="1">
      <x:c r="A2376" s="2" t="str">
        <x:v>SIM-E2-BB-L8-R09</x:v>
      </x:c>
      <x:c r="B2376" s="2" t="n">
        <x:v>5</x:v>
      </x:c>
      <x:c r="C2376" s="2" t="str">
        <x:v>BB</x:v>
      </x:c>
      <x:c r="D2376" s="2" t="str">
        <x:v>Brevicoryne brassicae</x:v>
      </x:c>
      <x:c r="E2376" s="2" t="str">
        <x:v>L8</x:v>
      </x:c>
      <x:c r="F2376" s="2" t="n">
        <x:v>9</x:v>
      </x:c>
      <x:c r="G2376" s="2" t="n">
        <x:v>22</x:v>
      </x:c>
      <x:c r="H2376" s="2" t="n">
        <x:f>G2376+Supuestos!$C$15</x:f>
        <x:v>23</x:v>
      </x:c>
      <x:c r="I2376" s="14" t="n">
        <x:f>E2_plantas!J58+G2376</x:f>
        <x:v>46224</x:v>
      </x:c>
      <x:c r="J2376" s="2" t="str">
        <x:v>adulta</x:v>
      </x:c>
      <x:c r="K2376" s="2" t="n">
        <x:v>1</x:v>
      </x:c>
      <x:c r="L2376" s="2" t="n">
        <x:v>4</x:v>
      </x:c>
      <x:c r="M2376" s="2" t="n">
        <x:f>SUM(L$2354:L2376)</x:f>
        <x:v>24</x:v>
      </x:c>
      <x:c r="N2376" s="2" t="n">
        <x:v>0</x:v>
      </x:c>
      <x:c r="O2376" s="2" t="str">
        <x:v>seguimiento</x:v>
      </x:c>
      <x:c r="P2376" s="2" t="n">
        <x:v>0</x:v>
      </x:c>
      <x:c r="Q2376" s="2" t="str">
        <x:v>simulado_didactico</x:v>
      </x:c>
    </x:row>
    <x:row r="2377" ht="19" customHeight="1">
      <x:c r="A2377" s="2" t="str">
        <x:v>SIM-E2-BB-L8-R09</x:v>
      </x:c>
      <x:c r="B2377" s="2" t="n">
        <x:v>5</x:v>
      </x:c>
      <x:c r="C2377" s="2" t="str">
        <x:v>BB</x:v>
      </x:c>
      <x:c r="D2377" s="2" t="str">
        <x:v>Brevicoryne brassicae</x:v>
      </x:c>
      <x:c r="E2377" s="2" t="str">
        <x:v>L8</x:v>
      </x:c>
      <x:c r="F2377" s="2" t="n">
        <x:v>9</x:v>
      </x:c>
      <x:c r="G2377" s="2" t="n">
        <x:v>23</x:v>
      </x:c>
      <x:c r="H2377" s="2" t="n">
        <x:f>G2377+Supuestos!$C$15</x:f>
        <x:v>24</x:v>
      </x:c>
      <x:c r="I2377" s="14" t="n">
        <x:f>E2_plantas!J58+G2377</x:f>
        <x:v>46225</x:v>
      </x:c>
      <x:c r="J2377" s="2" t="str">
        <x:v>adulta</x:v>
      </x:c>
      <x:c r="K2377" s="2" t="n">
        <x:v>1</x:v>
      </x:c>
      <x:c r="L2377" s="2" t="n">
        <x:v>2</x:v>
      </x:c>
      <x:c r="M2377" s="2" t="n">
        <x:f>SUM(L$2354:L2377)</x:f>
        <x:v>26</x:v>
      </x:c>
      <x:c r="N2377" s="2" t="n">
        <x:v>0</x:v>
      </x:c>
      <x:c r="O2377" s="2" t="str">
        <x:v>seguimiento</x:v>
      </x:c>
      <x:c r="P2377" s="2" t="n">
        <x:v>0</x:v>
      </x:c>
      <x:c r="Q2377" s="2" t="str">
        <x:v>simulado_didactico</x:v>
      </x:c>
    </x:row>
    <x:row r="2378" ht="19" customHeight="1">
      <x:c r="A2378" s="2" t="str">
        <x:v>SIM-E2-BB-L8-R09</x:v>
      </x:c>
      <x:c r="B2378" s="2" t="n">
        <x:v>5</x:v>
      </x:c>
      <x:c r="C2378" s="2" t="str">
        <x:v>BB</x:v>
      </x:c>
      <x:c r="D2378" s="2" t="str">
        <x:v>Brevicoryne brassicae</x:v>
      </x:c>
      <x:c r="E2378" s="2" t="str">
        <x:v>L8</x:v>
      </x:c>
      <x:c r="F2378" s="2" t="n">
        <x:v>9</x:v>
      </x:c>
      <x:c r="G2378" s="2" t="n">
        <x:v>24</x:v>
      </x:c>
      <x:c r="H2378" s="2" t="n">
        <x:f>G2378+Supuestos!$C$15</x:f>
        <x:v>25</x:v>
      </x:c>
      <x:c r="I2378" s="14" t="n">
        <x:f>E2_plantas!J58+G2378</x:f>
        <x:v>46226</x:v>
      </x:c>
      <x:c r="J2378" s="2" t="str">
        <x:v>adulta</x:v>
      </x:c>
      <x:c r="K2378" s="2" t="n">
        <x:v>1</x:v>
      </x:c>
      <x:c r="L2378" s="2" t="n">
        <x:v>0</x:v>
      </x:c>
      <x:c r="M2378" s="2" t="n">
        <x:f>SUM(L$2354:L2378)</x:f>
        <x:v>26</x:v>
      </x:c>
      <x:c r="N2378" s="2" t="n">
        <x:v>0</x:v>
      </x:c>
      <x:c r="O2378" s="2" t="str">
        <x:v>seguimiento</x:v>
      </x:c>
      <x:c r="P2378" s="2" t="n">
        <x:v>0</x:v>
      </x:c>
      <x:c r="Q2378" s="2" t="str">
        <x:v>simulado_didactico</x:v>
      </x:c>
    </x:row>
    <x:row r="2379" ht="19" customHeight="1">
      <x:c r="A2379" s="2" t="str">
        <x:v>SIM-E2-BB-L8-R09</x:v>
      </x:c>
      <x:c r="B2379" s="2" t="n">
        <x:v>5</x:v>
      </x:c>
      <x:c r="C2379" s="2" t="str">
        <x:v>BB</x:v>
      </x:c>
      <x:c r="D2379" s="2" t="str">
        <x:v>Brevicoryne brassicae</x:v>
      </x:c>
      <x:c r="E2379" s="2" t="str">
        <x:v>L8</x:v>
      </x:c>
      <x:c r="F2379" s="2" t="n">
        <x:v>9</x:v>
      </x:c>
      <x:c r="G2379" s="2" t="n">
        <x:v>25</x:v>
      </x:c>
      <x:c r="H2379" s="2" t="n">
        <x:f>G2379+Supuestos!$C$15</x:f>
        <x:v>26</x:v>
      </x:c>
      <x:c r="I2379" s="14" t="n">
        <x:f>E2_plantas!J58+G2379</x:f>
        <x:v>46227</x:v>
      </x:c>
      <x:c r="J2379" s="2" t="str">
        <x:v>muerta</x:v>
      </x:c>
      <x:c r="K2379" s="2" t="n">
        <x:v>0</x:v>
      </x:c>
      <x:c r="L2379" s="2" t="n">
        <x:v>0</x:v>
      </x:c>
      <x:c r="M2379" s="2" t="n">
        <x:f>SUM(L$2354:L2379)</x:f>
        <x:v>26</x:v>
      </x:c>
      <x:c r="N2379" s="2" t="n">
        <x:v>1</x:v>
      </x:c>
      <x:c r="O2379" s="2" t="str">
        <x:v>muerte</x:v>
      </x:c>
      <x:c r="P2379" s="2" t="n">
        <x:v>0</x:v>
      </x:c>
      <x:c r="Q2379" s="2" t="str">
        <x:v>simulado_didactico</x:v>
      </x:c>
    </x:row>
    <x:row r="2380" ht="19" customHeight="1">
      <x:c r="A2380" s="2" t="str">
        <x:v>SIM-E2-BB-L8-R09</x:v>
      </x:c>
      <x:c r="B2380" s="2" t="n">
        <x:v>5</x:v>
      </x:c>
      <x:c r="C2380" s="2" t="str">
        <x:v>BB</x:v>
      </x:c>
      <x:c r="D2380" s="2" t="str">
        <x:v>Brevicoryne brassicae</x:v>
      </x:c>
      <x:c r="E2380" s="2" t="str">
        <x:v>L8</x:v>
      </x:c>
      <x:c r="F2380" s="2" t="n">
        <x:v>9</x:v>
      </x:c>
      <x:c r="G2380" s="2" t="n">
        <x:v>26</x:v>
      </x:c>
      <x:c r="H2380" s="2" t="n">
        <x:f>G2380+Supuestos!$C$15</x:f>
        <x:v>27</x:v>
      </x:c>
      <x:c r="I2380" s="14" t="n">
        <x:f>E2_plantas!J58+G2380</x:f>
        <x:v>46228</x:v>
      </x:c>
      <x:c r="J2380" s="2" t="str">
        <x:v>muerta</x:v>
      </x:c>
      <x:c r="K2380" s="2" t="n">
        <x:v>0</x:v>
      </x:c>
      <x:c r="L2380" s="2" t="n">
        <x:v>0</x:v>
      </x:c>
      <x:c r="M2380" s="2" t="n">
        <x:f>SUM(L$2354:L2380)</x:f>
        <x:v>26</x:v>
      </x:c>
      <x:c r="N2380" s="2" t="n">
        <x:v>0</x:v>
      </x:c>
      <x:c r="O2380" s="2" t="str">
        <x:v>relleno_postmuerte</x:v>
      </x:c>
      <x:c r="P2380" s="2" t="n">
        <x:v>0</x:v>
      </x:c>
      <x:c r="Q2380" s="2" t="str">
        <x:v>simulado_didactico</x:v>
      </x:c>
    </x:row>
    <x:row r="2381" ht="19" customHeight="1">
      <x:c r="A2381" s="2" t="str">
        <x:v>SIM-E2-BB-L8-R09</x:v>
      </x:c>
      <x:c r="B2381" s="2" t="n">
        <x:v>5</x:v>
      </x:c>
      <x:c r="C2381" s="2" t="str">
        <x:v>BB</x:v>
      </x:c>
      <x:c r="D2381" s="2" t="str">
        <x:v>Brevicoryne brassicae</x:v>
      </x:c>
      <x:c r="E2381" s="2" t="str">
        <x:v>L8</x:v>
      </x:c>
      <x:c r="F2381" s="2" t="n">
        <x:v>9</x:v>
      </x:c>
      <x:c r="G2381" s="2" t="n">
        <x:v>27</x:v>
      </x:c>
      <x:c r="H2381" s="2" t="n">
        <x:f>G2381+Supuestos!$C$15</x:f>
        <x:v>28</x:v>
      </x:c>
      <x:c r="I2381" s="14" t="n">
        <x:f>E2_plantas!J58+G2381</x:f>
        <x:v>46229</x:v>
      </x:c>
      <x:c r="J2381" s="2" t="str">
        <x:v>muerta</x:v>
      </x:c>
      <x:c r="K2381" s="2" t="n">
        <x:v>0</x:v>
      </x:c>
      <x:c r="L2381" s="2" t="n">
        <x:v>0</x:v>
      </x:c>
      <x:c r="M2381" s="2" t="n">
        <x:f>SUM(L$2354:L2381)</x:f>
        <x:v>26</x:v>
      </x:c>
      <x:c r="N2381" s="2" t="n">
        <x:v>0</x:v>
      </x:c>
      <x:c r="O2381" s="2" t="str">
        <x:v>relleno_postmuerte</x:v>
      </x:c>
      <x:c r="P2381" s="2" t="n">
        <x:v>0</x:v>
      </x:c>
      <x:c r="Q2381" s="2" t="str">
        <x:v>simulado_didactico</x:v>
      </x:c>
    </x:row>
    <x:row r="2382" ht="19" customHeight="1">
      <x:c r="A2382" s="2" t="str">
        <x:v>SIM-E2-BB-L8-R09</x:v>
      </x:c>
      <x:c r="B2382" s="2" t="n">
        <x:v>5</x:v>
      </x:c>
      <x:c r="C2382" s="2" t="str">
        <x:v>BB</x:v>
      </x:c>
      <x:c r="D2382" s="2" t="str">
        <x:v>Brevicoryne brassicae</x:v>
      </x:c>
      <x:c r="E2382" s="2" t="str">
        <x:v>L8</x:v>
      </x:c>
      <x:c r="F2382" s="2" t="n">
        <x:v>9</x:v>
      </x:c>
      <x:c r="G2382" s="2" t="n">
        <x:v>28</x:v>
      </x:c>
      <x:c r="H2382" s="2" t="n">
        <x:f>G2382+Supuestos!$C$15</x:f>
        <x:v>29</x:v>
      </x:c>
      <x:c r="I2382" s="14" t="n">
        <x:f>E2_plantas!J58+G2382</x:f>
        <x:v>46230</x:v>
      </x:c>
      <x:c r="J2382" s="2" t="str">
        <x:v>muerta</x:v>
      </x:c>
      <x:c r="K2382" s="2" t="n">
        <x:v>0</x:v>
      </x:c>
      <x:c r="L2382" s="2" t="n">
        <x:v>0</x:v>
      </x:c>
      <x:c r="M2382" s="2" t="n">
        <x:f>SUM(L$2354:L2382)</x:f>
        <x:v>26</x:v>
      </x:c>
      <x:c r="N2382" s="2" t="n">
        <x:v>0</x:v>
      </x:c>
      <x:c r="O2382" s="2" t="str">
        <x:v>relleno_postmuerte</x:v>
      </x:c>
      <x:c r="P2382" s="2" t="n">
        <x:v>0</x:v>
      </x:c>
      <x:c r="Q2382" s="2" t="str">
        <x:v>simulado_didactico</x:v>
      </x:c>
    </x:row>
    <x:row r="2383" ht="19" customHeight="1">
      <x:c r="A2383" s="2" t="str">
        <x:v>SIM-E2-BB-L8-R09</x:v>
      </x:c>
      <x:c r="B2383" s="2" t="n">
        <x:v>5</x:v>
      </x:c>
      <x:c r="C2383" s="2" t="str">
        <x:v>BB</x:v>
      </x:c>
      <x:c r="D2383" s="2" t="str">
        <x:v>Brevicoryne brassicae</x:v>
      </x:c>
      <x:c r="E2383" s="2" t="str">
        <x:v>L8</x:v>
      </x:c>
      <x:c r="F2383" s="2" t="n">
        <x:v>9</x:v>
      </x:c>
      <x:c r="G2383" s="2" t="n">
        <x:v>29</x:v>
      </x:c>
      <x:c r="H2383" s="2" t="n">
        <x:f>G2383+Supuestos!$C$15</x:f>
        <x:v>30</x:v>
      </x:c>
      <x:c r="I2383" s="14" t="n">
        <x:f>E2_plantas!J58+G2383</x:f>
        <x:v>46231</x:v>
      </x:c>
      <x:c r="J2383" s="2" t="str">
        <x:v>muerta</x:v>
      </x:c>
      <x:c r="K2383" s="2" t="n">
        <x:v>0</x:v>
      </x:c>
      <x:c r="L2383" s="2" t="n">
        <x:v>0</x:v>
      </x:c>
      <x:c r="M2383" s="2" t="n">
        <x:f>SUM(L$2354:L2383)</x:f>
        <x:v>26</x:v>
      </x:c>
      <x:c r="N2383" s="2" t="n">
        <x:v>0</x:v>
      </x:c>
      <x:c r="O2383" s="2" t="str">
        <x:v>relleno_postmuerte</x:v>
      </x:c>
      <x:c r="P2383" s="2" t="n">
        <x:v>0</x:v>
      </x:c>
      <x:c r="Q2383" s="2" t="str">
        <x:v>simulado_didactico</x:v>
      </x:c>
    </x:row>
    <x:row r="2384" ht="19" customHeight="1">
      <x:c r="A2384" s="2" t="str">
        <x:v>SIM-E2-BB-L8-R09</x:v>
      </x:c>
      <x:c r="B2384" s="2" t="n">
        <x:v>5</x:v>
      </x:c>
      <x:c r="C2384" s="2" t="str">
        <x:v>BB</x:v>
      </x:c>
      <x:c r="D2384" s="2" t="str">
        <x:v>Brevicoryne brassicae</x:v>
      </x:c>
      <x:c r="E2384" s="2" t="str">
        <x:v>L8</x:v>
      </x:c>
      <x:c r="F2384" s="2" t="n">
        <x:v>9</x:v>
      </x:c>
      <x:c r="G2384" s="2" t="n">
        <x:v>30</x:v>
      </x:c>
      <x:c r="H2384" s="2" t="n">
        <x:f>G2384+Supuestos!$C$15</x:f>
        <x:v>31</x:v>
      </x:c>
      <x:c r="I2384" s="14" t="n">
        <x:f>E2_plantas!J58+G2384</x:f>
        <x:v>46232</x:v>
      </x:c>
      <x:c r="J2384" s="2" t="str">
        <x:v>muerta</x:v>
      </x:c>
      <x:c r="K2384" s="2" t="n">
        <x:v>0</x:v>
      </x:c>
      <x:c r="L2384" s="2" t="n">
        <x:v>0</x:v>
      </x:c>
      <x:c r="M2384" s="2" t="n">
        <x:f>SUM(L$2354:L2384)</x:f>
        <x:v>26</x:v>
      </x:c>
      <x:c r="N2384" s="2" t="n">
        <x:v>0</x:v>
      </x:c>
      <x:c r="O2384" s="2" t="str">
        <x:v>relleno_postmuerte</x:v>
      </x:c>
      <x:c r="P2384" s="2" t="n">
        <x:v>0</x:v>
      </x:c>
      <x:c r="Q2384" s="2" t="str">
        <x:v>simulado_didactico</x:v>
      </x:c>
    </x:row>
    <x:row r="2385" ht="19" customHeight="1">
      <x:c r="A2385" s="2" t="str">
        <x:v>SIM-E2-BB-L8-R09</x:v>
      </x:c>
      <x:c r="B2385" s="2" t="n">
        <x:v>5</x:v>
      </x:c>
      <x:c r="C2385" s="2" t="str">
        <x:v>BB</x:v>
      </x:c>
      <x:c r="D2385" s="2" t="str">
        <x:v>Brevicoryne brassicae</x:v>
      </x:c>
      <x:c r="E2385" s="2" t="str">
        <x:v>L8</x:v>
      </x:c>
      <x:c r="F2385" s="2" t="n">
        <x:v>9</x:v>
      </x:c>
      <x:c r="G2385" s="2" t="n">
        <x:v>31</x:v>
      </x:c>
      <x:c r="H2385" s="2" t="n">
        <x:f>G2385+Supuestos!$C$15</x:f>
        <x:v>32</x:v>
      </x:c>
      <x:c r="I2385" s="14" t="n">
        <x:f>E2_plantas!J58+G2385</x:f>
        <x:v>46233</x:v>
      </x:c>
      <x:c r="J2385" s="2" t="str">
        <x:v>muerta</x:v>
      </x:c>
      <x:c r="K2385" s="2" t="n">
        <x:v>0</x:v>
      </x:c>
      <x:c r="L2385" s="2" t="n">
        <x:v>0</x:v>
      </x:c>
      <x:c r="M2385" s="2" t="n">
        <x:f>SUM(L$2354:L2385)</x:f>
        <x:v>26</x:v>
      </x:c>
      <x:c r="N2385" s="2" t="n">
        <x:v>0</x:v>
      </x:c>
      <x:c r="O2385" s="2" t="str">
        <x:v>relleno_postmuerte</x:v>
      </x:c>
      <x:c r="P2385" s="2" t="n">
        <x:v>0</x:v>
      </x:c>
      <x:c r="Q2385" s="2" t="str">
        <x:v>simulado_didactico</x:v>
      </x:c>
    </x:row>
    <x:row r="2386" ht="19" customHeight="1">
      <x:c r="A2386" s="2" t="str">
        <x:v>SIM-E2-BB-L8-R09</x:v>
      </x:c>
      <x:c r="B2386" s="2" t="n">
        <x:v>5</x:v>
      </x:c>
      <x:c r="C2386" s="2" t="str">
        <x:v>BB</x:v>
      </x:c>
      <x:c r="D2386" s="2" t="str">
        <x:v>Brevicoryne brassicae</x:v>
      </x:c>
      <x:c r="E2386" s="2" t="str">
        <x:v>L8</x:v>
      </x:c>
      <x:c r="F2386" s="2" t="n">
        <x:v>9</x:v>
      </x:c>
      <x:c r="G2386" s="2" t="n">
        <x:v>32</x:v>
      </x:c>
      <x:c r="H2386" s="2" t="n">
        <x:f>G2386+Supuestos!$C$15</x:f>
        <x:v>33</x:v>
      </x:c>
      <x:c r="I2386" s="14" t="n">
        <x:f>E2_plantas!J58+G2386</x:f>
        <x:v>46234</x:v>
      </x:c>
      <x:c r="J2386" s="2" t="str">
        <x:v>muerta</x:v>
      </x:c>
      <x:c r="K2386" s="2" t="n">
        <x:v>0</x:v>
      </x:c>
      <x:c r="L2386" s="2" t="n">
        <x:v>0</x:v>
      </x:c>
      <x:c r="M2386" s="2" t="n">
        <x:f>SUM(L$2354:L2386)</x:f>
        <x:v>26</x:v>
      </x:c>
      <x:c r="N2386" s="2" t="n">
        <x:v>0</x:v>
      </x:c>
      <x:c r="O2386" s="2" t="str">
        <x:v>relleno_postmuerte</x:v>
      </x:c>
      <x:c r="P2386" s="2" t="n">
        <x:v>0</x:v>
      </x:c>
      <x:c r="Q2386" s="2" t="str">
        <x:v>simulado_didactico</x:v>
      </x:c>
    </x:row>
    <x:row r="2387" ht="19" customHeight="1">
      <x:c r="A2387" s="2" t="str">
        <x:v>SIM-E2-BB-L8-R09</x:v>
      </x:c>
      <x:c r="B2387" s="2" t="n">
        <x:v>5</x:v>
      </x:c>
      <x:c r="C2387" s="2" t="str">
        <x:v>BB</x:v>
      </x:c>
      <x:c r="D2387" s="2" t="str">
        <x:v>Brevicoryne brassicae</x:v>
      </x:c>
      <x:c r="E2387" s="2" t="str">
        <x:v>L8</x:v>
      </x:c>
      <x:c r="F2387" s="2" t="n">
        <x:v>9</x:v>
      </x:c>
      <x:c r="G2387" s="2" t="n">
        <x:v>33</x:v>
      </x:c>
      <x:c r="H2387" s="2" t="n">
        <x:f>G2387+Supuestos!$C$15</x:f>
        <x:v>34</x:v>
      </x:c>
      <x:c r="I2387" s="14" t="n">
        <x:f>E2_plantas!J58+G2387</x:f>
        <x:v>46235</x:v>
      </x:c>
      <x:c r="J2387" s="2" t="str">
        <x:v>muerta</x:v>
      </x:c>
      <x:c r="K2387" s="2" t="n">
        <x:v>0</x:v>
      </x:c>
      <x:c r="L2387" s="2" t="n">
        <x:v>0</x:v>
      </x:c>
      <x:c r="M2387" s="2" t="n">
        <x:f>SUM(L$2354:L2387)</x:f>
        <x:v>26</x:v>
      </x:c>
      <x:c r="N2387" s="2" t="n">
        <x:v>0</x:v>
      </x:c>
      <x:c r="O2387" s="2" t="str">
        <x:v>relleno_postmuerte</x:v>
      </x:c>
      <x:c r="P2387" s="2" t="n">
        <x:v>0</x:v>
      </x:c>
      <x:c r="Q2387" s="2" t="str">
        <x:v>simulado_didactico</x:v>
      </x:c>
    </x:row>
    <x:row r="2388" ht="19" customHeight="1">
      <x:c r="A2388" s="2" t="str">
        <x:v>SIM-E2-BB-L8-R09</x:v>
      </x:c>
      <x:c r="B2388" s="2" t="n">
        <x:v>5</x:v>
      </x:c>
      <x:c r="C2388" s="2" t="str">
        <x:v>BB</x:v>
      </x:c>
      <x:c r="D2388" s="2" t="str">
        <x:v>Brevicoryne brassicae</x:v>
      </x:c>
      <x:c r="E2388" s="2" t="str">
        <x:v>L8</x:v>
      </x:c>
      <x:c r="F2388" s="2" t="n">
        <x:v>9</x:v>
      </x:c>
      <x:c r="G2388" s="2" t="n">
        <x:v>34</x:v>
      </x:c>
      <x:c r="H2388" s="2" t="n">
        <x:f>G2388+Supuestos!$C$15</x:f>
        <x:v>35</x:v>
      </x:c>
      <x:c r="I2388" s="14" t="n">
        <x:f>E2_plantas!J58+G2388</x:f>
        <x:v>46236</x:v>
      </x:c>
      <x:c r="J2388" s="2" t="str">
        <x:v>muerta</x:v>
      </x:c>
      <x:c r="K2388" s="2" t="n">
        <x:v>0</x:v>
      </x:c>
      <x:c r="L2388" s="2" t="n">
        <x:v>0</x:v>
      </x:c>
      <x:c r="M2388" s="2" t="n">
        <x:f>SUM(L$2354:L2388)</x:f>
        <x:v>26</x:v>
      </x:c>
      <x:c r="N2388" s="2" t="n">
        <x:v>0</x:v>
      </x:c>
      <x:c r="O2388" s="2" t="str">
        <x:v>relleno_postmuerte</x:v>
      </x:c>
      <x:c r="P2388" s="2" t="n">
        <x:v>0</x:v>
      </x:c>
      <x:c r="Q2388" s="2" t="str">
        <x:v>simulado_didactico</x:v>
      </x:c>
    </x:row>
    <x:row r="2389" ht="19" customHeight="1">
      <x:c r="A2389" s="2" t="str">
        <x:v>SIM-E2-BB-L8-R09</x:v>
      </x:c>
      <x:c r="B2389" s="2" t="n">
        <x:v>5</x:v>
      </x:c>
      <x:c r="C2389" s="2" t="str">
        <x:v>BB</x:v>
      </x:c>
      <x:c r="D2389" s="2" t="str">
        <x:v>Brevicoryne brassicae</x:v>
      </x:c>
      <x:c r="E2389" s="2" t="str">
        <x:v>L8</x:v>
      </x:c>
      <x:c r="F2389" s="2" t="n">
        <x:v>9</x:v>
      </x:c>
      <x:c r="G2389" s="2" t="n">
        <x:v>35</x:v>
      </x:c>
      <x:c r="H2389" s="2" t="n">
        <x:f>G2389+Supuestos!$C$15</x:f>
        <x:v>36</x:v>
      </x:c>
      <x:c r="I2389" s="14" t="n">
        <x:f>E2_plantas!J58+G2389</x:f>
        <x:v>46237</x:v>
      </x:c>
      <x:c r="J2389" s="2" t="str">
        <x:v>muerta</x:v>
      </x:c>
      <x:c r="K2389" s="2" t="n">
        <x:v>0</x:v>
      </x:c>
      <x:c r="L2389" s="2" t="n">
        <x:v>0</x:v>
      </x:c>
      <x:c r="M2389" s="2" t="n">
        <x:f>SUM(L$2354:L2389)</x:f>
        <x:v>26</x:v>
      </x:c>
      <x:c r="N2389" s="2" t="n">
        <x:v>0</x:v>
      </x:c>
      <x:c r="O2389" s="2" t="str">
        <x:v>relleno_postmuerte</x:v>
      </x:c>
      <x:c r="P2389" s="2" t="n">
        <x:v>0</x:v>
      </x:c>
      <x:c r="Q2389" s="2" t="str">
        <x:v>simulado_didactico</x:v>
      </x:c>
    </x:row>
    <x:row r="2390" ht="19" customHeight="1">
      <x:c r="A2390" s="2" t="str">
        <x:v>SIM-E2-BB-L8-R09</x:v>
      </x:c>
      <x:c r="B2390" s="2" t="n">
        <x:v>5</x:v>
      </x:c>
      <x:c r="C2390" s="2" t="str">
        <x:v>BB</x:v>
      </x:c>
      <x:c r="D2390" s="2" t="str">
        <x:v>Brevicoryne brassicae</x:v>
      </x:c>
      <x:c r="E2390" s="2" t="str">
        <x:v>L8</x:v>
      </x:c>
      <x:c r="F2390" s="2" t="n">
        <x:v>9</x:v>
      </x:c>
      <x:c r="G2390" s="2" t="n">
        <x:v>36</x:v>
      </x:c>
      <x:c r="H2390" s="2" t="n">
        <x:f>G2390+Supuestos!$C$15</x:f>
        <x:v>37</x:v>
      </x:c>
      <x:c r="I2390" s="14" t="n">
        <x:f>E2_plantas!J58+G2390</x:f>
        <x:v>46238</x:v>
      </x:c>
      <x:c r="J2390" s="2" t="str">
        <x:v>muerta</x:v>
      </x:c>
      <x:c r="K2390" s="2" t="n">
        <x:v>0</x:v>
      </x:c>
      <x:c r="L2390" s="2" t="n">
        <x:v>0</x:v>
      </x:c>
      <x:c r="M2390" s="2" t="n">
        <x:f>SUM(L$2354:L2390)</x:f>
        <x:v>26</x:v>
      </x:c>
      <x:c r="N2390" s="2" t="n">
        <x:v>0</x:v>
      </x:c>
      <x:c r="O2390" s="2" t="str">
        <x:v>relleno_postmuerte</x:v>
      </x:c>
      <x:c r="P2390" s="2" t="n">
        <x:v>0</x:v>
      </x:c>
      <x:c r="Q2390" s="2" t="str">
        <x:v>simulado_didactico</x:v>
      </x:c>
    </x:row>
    <x:row r="2391" ht="19" customHeight="1">
      <x:c r="A2391" s="2" t="str">
        <x:v>SIM-E2-BB-L8-R09</x:v>
      </x:c>
      <x:c r="B2391" s="2" t="n">
        <x:v>5</x:v>
      </x:c>
      <x:c r="C2391" s="2" t="str">
        <x:v>BB</x:v>
      </x:c>
      <x:c r="D2391" s="2" t="str">
        <x:v>Brevicoryne brassicae</x:v>
      </x:c>
      <x:c r="E2391" s="2" t="str">
        <x:v>L8</x:v>
      </x:c>
      <x:c r="F2391" s="2" t="n">
        <x:v>9</x:v>
      </x:c>
      <x:c r="G2391" s="2" t="n">
        <x:v>37</x:v>
      </x:c>
      <x:c r="H2391" s="2" t="n">
        <x:f>G2391+Supuestos!$C$15</x:f>
        <x:v>38</x:v>
      </x:c>
      <x:c r="I2391" s="14" t="n">
        <x:f>E2_plantas!J58+G2391</x:f>
        <x:v>46239</x:v>
      </x:c>
      <x:c r="J2391" s="2" t="str">
        <x:v>muerta</x:v>
      </x:c>
      <x:c r="K2391" s="2" t="n">
        <x:v>0</x:v>
      </x:c>
      <x:c r="L2391" s="2" t="n">
        <x:v>0</x:v>
      </x:c>
      <x:c r="M2391" s="2" t="n">
        <x:f>SUM(L$2354:L2391)</x:f>
        <x:v>26</x:v>
      </x:c>
      <x:c r="N2391" s="2" t="n">
        <x:v>0</x:v>
      </x:c>
      <x:c r="O2391" s="2" t="str">
        <x:v>relleno_postmuerte</x:v>
      </x:c>
      <x:c r="P2391" s="2" t="n">
        <x:v>0</x:v>
      </x:c>
      <x:c r="Q2391" s="2" t="str">
        <x:v>simulado_didactico</x:v>
      </x:c>
    </x:row>
    <x:row r="2392" ht="19" customHeight="1">
      <x:c r="A2392" s="2" t="str">
        <x:v>SIM-E2-BB-L8-R09</x:v>
      </x:c>
      <x:c r="B2392" s="2" t="n">
        <x:v>5</x:v>
      </x:c>
      <x:c r="C2392" s="2" t="str">
        <x:v>BB</x:v>
      </x:c>
      <x:c r="D2392" s="2" t="str">
        <x:v>Brevicoryne brassicae</x:v>
      </x:c>
      <x:c r="E2392" s="2" t="str">
        <x:v>L8</x:v>
      </x:c>
      <x:c r="F2392" s="2" t="n">
        <x:v>9</x:v>
      </x:c>
      <x:c r="G2392" s="2" t="n">
        <x:v>38</x:v>
      </x:c>
      <x:c r="H2392" s="2" t="n">
        <x:f>G2392+Supuestos!$C$15</x:f>
        <x:v>39</x:v>
      </x:c>
      <x:c r="I2392" s="14" t="n">
        <x:f>E2_plantas!J58+G2392</x:f>
        <x:v>46240</x:v>
      </x:c>
      <x:c r="J2392" s="2" t="str">
        <x:v>muerta</x:v>
      </x:c>
      <x:c r="K2392" s="2" t="n">
        <x:v>0</x:v>
      </x:c>
      <x:c r="L2392" s="2" t="n">
        <x:v>0</x:v>
      </x:c>
      <x:c r="M2392" s="2" t="n">
        <x:f>SUM(L$2354:L2392)</x:f>
        <x:v>26</x:v>
      </x:c>
      <x:c r="N2392" s="2" t="n">
        <x:v>0</x:v>
      </x:c>
      <x:c r="O2392" s="2" t="str">
        <x:v>relleno_postmuerte</x:v>
      </x:c>
      <x:c r="P2392" s="2" t="n">
        <x:v>0</x:v>
      </x:c>
      <x:c r="Q2392" s="2" t="str">
        <x:v>simulado_didactico</x:v>
      </x:c>
    </x:row>
    <x:row r="2393" ht="19" customHeight="1">
      <x:c r="A2393" s="2" t="str">
        <x:v>SIM-E2-BB-L8-R09</x:v>
      </x:c>
      <x:c r="B2393" s="2" t="n">
        <x:v>5</x:v>
      </x:c>
      <x:c r="C2393" s="2" t="str">
        <x:v>BB</x:v>
      </x:c>
      <x:c r="D2393" s="2" t="str">
        <x:v>Brevicoryne brassicae</x:v>
      </x:c>
      <x:c r="E2393" s="2" t="str">
        <x:v>L8</x:v>
      </x:c>
      <x:c r="F2393" s="2" t="n">
        <x:v>9</x:v>
      </x:c>
      <x:c r="G2393" s="2" t="n">
        <x:v>39</x:v>
      </x:c>
      <x:c r="H2393" s="2" t="n">
        <x:f>G2393+Supuestos!$C$15</x:f>
        <x:v>40</x:v>
      </x:c>
      <x:c r="I2393" s="14" t="n">
        <x:f>E2_plantas!J58+G2393</x:f>
        <x:v>46241</x:v>
      </x:c>
      <x:c r="J2393" s="2" t="str">
        <x:v>muerta</x:v>
      </x:c>
      <x:c r="K2393" s="2" t="n">
        <x:v>0</x:v>
      </x:c>
      <x:c r="L2393" s="2" t="n">
        <x:v>0</x:v>
      </x:c>
      <x:c r="M2393" s="2" t="n">
        <x:f>SUM(L$2354:L2393)</x:f>
        <x:v>26</x:v>
      </x:c>
      <x:c r="N2393" s="2" t="n">
        <x:v>0</x:v>
      </x:c>
      <x:c r="O2393" s="2" t="str">
        <x:v>relleno_postmuerte</x:v>
      </x:c>
      <x:c r="P2393" s="2" t="n">
        <x:v>0</x:v>
      </x:c>
      <x:c r="Q2393" s="2" t="str">
        <x:v>simulado_didactico</x:v>
      </x:c>
    </x:row>
    <x:row r="2394" ht="19" customHeight="1">
      <x:c r="A2394" s="2" t="str">
        <x:v>SIM-E2-BB-L8-R09</x:v>
      </x:c>
      <x:c r="B2394" s="2" t="n">
        <x:v>5</x:v>
      </x:c>
      <x:c r="C2394" s="2" t="str">
        <x:v>BB</x:v>
      </x:c>
      <x:c r="D2394" s="2" t="str">
        <x:v>Brevicoryne brassicae</x:v>
      </x:c>
      <x:c r="E2394" s="2" t="str">
        <x:v>L8</x:v>
      </x:c>
      <x:c r="F2394" s="2" t="n">
        <x:v>9</x:v>
      </x:c>
      <x:c r="G2394" s="2" t="n">
        <x:v>40</x:v>
      </x:c>
      <x:c r="H2394" s="2" t="n">
        <x:f>G2394+Supuestos!$C$15</x:f>
        <x:v>41</x:v>
      </x:c>
      <x:c r="I2394" s="14" t="n">
        <x:f>E2_plantas!J58+G2394</x:f>
        <x:v>46242</x:v>
      </x:c>
      <x:c r="J2394" s="2" t="str">
        <x:v>muerta</x:v>
      </x:c>
      <x:c r="K2394" s="2" t="n">
        <x:v>0</x:v>
      </x:c>
      <x:c r="L2394" s="2" t="n">
        <x:v>0</x:v>
      </x:c>
      <x:c r="M2394" s="2" t="n">
        <x:f>SUM(L$2354:L2394)</x:f>
        <x:v>26</x:v>
      </x:c>
      <x:c r="N2394" s="2" t="n">
        <x:v>0</x:v>
      </x:c>
      <x:c r="O2394" s="2" t="str">
        <x:v>relleno_postmuerte</x:v>
      </x:c>
      <x:c r="P2394" s="2" t="n">
        <x:v>0</x:v>
      </x:c>
      <x:c r="Q2394" s="2" t="str">
        <x:v>simulado_didactico</x:v>
      </x:c>
    </x:row>
    <x:row r="2395" ht="19" customHeight="1">
      <x:c r="A2395" s="2" t="str">
        <x:v>SIM-E2-BB-L8-R09</x:v>
      </x:c>
      <x:c r="B2395" s="2" t="n">
        <x:v>5</x:v>
      </x:c>
      <x:c r="C2395" s="2" t="str">
        <x:v>BB</x:v>
      </x:c>
      <x:c r="D2395" s="2" t="str">
        <x:v>Brevicoryne brassicae</x:v>
      </x:c>
      <x:c r="E2395" s="2" t="str">
        <x:v>L8</x:v>
      </x:c>
      <x:c r="F2395" s="2" t="n">
        <x:v>9</x:v>
      </x:c>
      <x:c r="G2395" s="2" t="n">
        <x:v>41</x:v>
      </x:c>
      <x:c r="H2395" s="2" t="n">
        <x:f>G2395+Supuestos!$C$15</x:f>
        <x:v>42</x:v>
      </x:c>
      <x:c r="I2395" s="14" t="n">
        <x:f>E2_plantas!J58+G2395</x:f>
        <x:v>46243</x:v>
      </x:c>
      <x:c r="J2395" s="2" t="str">
        <x:v>muerta</x:v>
      </x:c>
      <x:c r="K2395" s="2" t="n">
        <x:v>0</x:v>
      </x:c>
      <x:c r="L2395" s="2" t="n">
        <x:v>0</x:v>
      </x:c>
      <x:c r="M2395" s="2" t="n">
        <x:f>SUM(L$2354:L2395)</x:f>
        <x:v>26</x:v>
      </x:c>
      <x:c r="N2395" s="2" t="n">
        <x:v>0</x:v>
      </x:c>
      <x:c r="O2395" s="2" t="str">
        <x:v>relleno_postmuerte</x:v>
      </x:c>
      <x:c r="P2395" s="2" t="n">
        <x:v>0</x:v>
      </x:c>
      <x:c r="Q2395" s="2" t="str">
        <x:v>simulado_didactico</x:v>
      </x:c>
    </x:row>
    <x:row r="2396" ht="19" customHeight="1">
      <x:c r="A2396" s="2" t="str">
        <x:v>SIM-E2-BB-L8-R10</x:v>
      </x:c>
      <x:c r="B2396" s="2" t="n">
        <x:v>5</x:v>
      </x:c>
      <x:c r="C2396" s="2" t="str">
        <x:v>BB</x:v>
      </x:c>
      <x:c r="D2396" s="2" t="str">
        <x:v>Brevicoryne brassicae</x:v>
      </x:c>
      <x:c r="E2396" s="2" t="str">
        <x:v>L8</x:v>
      </x:c>
      <x:c r="F2396" s="2" t="n">
        <x:v>10</x:v>
      </x:c>
      <x:c r="G2396" s="2" t="n">
        <x:v>0</x:v>
      </x:c>
      <x:c r="H2396" s="2" t="n">
        <x:f>G2396+Supuestos!$C$15</x:f>
        <x:v>1</x:v>
      </x:c>
      <x:c r="I2396" s="14" t="n">
        <x:f>E2_plantas!J59+G2396</x:f>
        <x:v>46202</x:v>
      </x:c>
      <x:c r="J2396" s="2" t="str">
        <x:v>N1</x:v>
      </x:c>
      <x:c r="K2396" s="2" t="n">
        <x:v>1</x:v>
      </x:c>
      <x:c r="L2396" s="2" t="n">
        <x:v>0</x:v>
      </x:c>
      <x:c r="M2396" s="2" t="n">
        <x:f>SUM(L$2396:L2396)</x:f>
        <x:v>0</x:v>
      </x:c>
      <x:c r="N2396" s="2" t="n">
        <x:v>0</x:v>
      </x:c>
      <x:c r="O2396" s="2" t="str">
        <x:v>seguimiento</x:v>
      </x:c>
      <x:c r="P2396" s="2" t="n">
        <x:v>0</x:v>
      </x:c>
      <x:c r="Q2396" s="2" t="str">
        <x:v>simulado_didactico</x:v>
      </x:c>
    </x:row>
    <x:row r="2397" ht="19" customHeight="1">
      <x:c r="A2397" s="2" t="str">
        <x:v>SIM-E2-BB-L8-R10</x:v>
      </x:c>
      <x:c r="B2397" s="2" t="n">
        <x:v>5</x:v>
      </x:c>
      <x:c r="C2397" s="2" t="str">
        <x:v>BB</x:v>
      </x:c>
      <x:c r="D2397" s="2" t="str">
        <x:v>Brevicoryne brassicae</x:v>
      </x:c>
      <x:c r="E2397" s="2" t="str">
        <x:v>L8</x:v>
      </x:c>
      <x:c r="F2397" s="2" t="n">
        <x:v>10</x:v>
      </x:c>
      <x:c r="G2397" s="2" t="n">
        <x:v>1</x:v>
      </x:c>
      <x:c r="H2397" s="2" t="n">
        <x:f>G2397+Supuestos!$C$15</x:f>
        <x:v>2</x:v>
      </x:c>
      <x:c r="I2397" s="14" t="n">
        <x:f>E2_plantas!J59+G2397</x:f>
        <x:v>46203</x:v>
      </x:c>
      <x:c r="J2397" s="2" t="str">
        <x:v>N1</x:v>
      </x:c>
      <x:c r="K2397" s="2" t="n">
        <x:v>1</x:v>
      </x:c>
      <x:c r="L2397" s="2" t="n">
        <x:v>0</x:v>
      </x:c>
      <x:c r="M2397" s="2" t="n">
        <x:f>SUM(L$2396:L2397)</x:f>
        <x:v>0</x:v>
      </x:c>
      <x:c r="N2397" s="2" t="n">
        <x:v>0</x:v>
      </x:c>
      <x:c r="O2397" s="2" t="str">
        <x:v>seguimiento</x:v>
      </x:c>
      <x:c r="P2397" s="2" t="n">
        <x:v>0</x:v>
      </x:c>
      <x:c r="Q2397" s="2" t="str">
        <x:v>simulado_didactico</x:v>
      </x:c>
    </x:row>
    <x:row r="2398" ht="19" customHeight="1">
      <x:c r="A2398" s="2" t="str">
        <x:v>SIM-E2-BB-L8-R10</x:v>
      </x:c>
      <x:c r="B2398" s="2" t="n">
        <x:v>5</x:v>
      </x:c>
      <x:c r="C2398" s="2" t="str">
        <x:v>BB</x:v>
      </x:c>
      <x:c r="D2398" s="2" t="str">
        <x:v>Brevicoryne brassicae</x:v>
      </x:c>
      <x:c r="E2398" s="2" t="str">
        <x:v>L8</x:v>
      </x:c>
      <x:c r="F2398" s="2" t="n">
        <x:v>10</x:v>
      </x:c>
      <x:c r="G2398" s="2" t="n">
        <x:v>2</x:v>
      </x:c>
      <x:c r="H2398" s="2" t="n">
        <x:f>G2398+Supuestos!$C$15</x:f>
        <x:v>3</x:v>
      </x:c>
      <x:c r="I2398" s="14" t="n">
        <x:f>E2_plantas!J59+G2398</x:f>
        <x:v>46204</x:v>
      </x:c>
      <x:c r="J2398" s="2" t="str">
        <x:v>N2</x:v>
      </x:c>
      <x:c r="K2398" s="2" t="n">
        <x:v>1</x:v>
      </x:c>
      <x:c r="L2398" s="2" t="n">
        <x:v>0</x:v>
      </x:c>
      <x:c r="M2398" s="2" t="n">
        <x:f>SUM(L$2396:L2398)</x:f>
        <x:v>0</x:v>
      </x:c>
      <x:c r="N2398" s="2" t="n">
        <x:v>0</x:v>
      </x:c>
      <x:c r="O2398" s="2" t="str">
        <x:v>seguimiento</x:v>
      </x:c>
      <x:c r="P2398" s="2" t="n">
        <x:v>0</x:v>
      </x:c>
      <x:c r="Q2398" s="2" t="str">
        <x:v>simulado_didactico</x:v>
      </x:c>
    </x:row>
    <x:row r="2399" ht="19" customHeight="1">
      <x:c r="A2399" s="2" t="str">
        <x:v>SIM-E2-BB-L8-R10</x:v>
      </x:c>
      <x:c r="B2399" s="2" t="n">
        <x:v>5</x:v>
      </x:c>
      <x:c r="C2399" s="2" t="str">
        <x:v>BB</x:v>
      </x:c>
      <x:c r="D2399" s="2" t="str">
        <x:v>Brevicoryne brassicae</x:v>
      </x:c>
      <x:c r="E2399" s="2" t="str">
        <x:v>L8</x:v>
      </x:c>
      <x:c r="F2399" s="2" t="n">
        <x:v>10</x:v>
      </x:c>
      <x:c r="G2399" s="2" t="n">
        <x:v>3</x:v>
      </x:c>
      <x:c r="H2399" s="2" t="n">
        <x:f>G2399+Supuestos!$C$15</x:f>
        <x:v>4</x:v>
      </x:c>
      <x:c r="I2399" s="14" t="n">
        <x:f>E2_plantas!J59+G2399</x:f>
        <x:v>46205</x:v>
      </x:c>
      <x:c r="J2399" s="2" t="str">
        <x:v>N2</x:v>
      </x:c>
      <x:c r="K2399" s="2" t="n">
        <x:v>1</x:v>
      </x:c>
      <x:c r="L2399" s="2" t="n">
        <x:v>0</x:v>
      </x:c>
      <x:c r="M2399" s="2" t="n">
        <x:f>SUM(L$2396:L2399)</x:f>
        <x:v>0</x:v>
      </x:c>
      <x:c r="N2399" s="2" t="n">
        <x:v>0</x:v>
      </x:c>
      <x:c r="O2399" s="2" t="str">
        <x:v>seguimiento</x:v>
      </x:c>
      <x:c r="P2399" s="2" t="n">
        <x:v>0</x:v>
      </x:c>
      <x:c r="Q2399" s="2" t="str">
        <x:v>simulado_didactico</x:v>
      </x:c>
    </x:row>
    <x:row r="2400" ht="19" customHeight="1">
      <x:c r="A2400" s="2" t="str">
        <x:v>SIM-E2-BB-L8-R10</x:v>
      </x:c>
      <x:c r="B2400" s="2" t="n">
        <x:v>5</x:v>
      </x:c>
      <x:c r="C2400" s="2" t="str">
        <x:v>BB</x:v>
      </x:c>
      <x:c r="D2400" s="2" t="str">
        <x:v>Brevicoryne brassicae</x:v>
      </x:c>
      <x:c r="E2400" s="2" t="str">
        <x:v>L8</x:v>
      </x:c>
      <x:c r="F2400" s="2" t="n">
        <x:v>10</x:v>
      </x:c>
      <x:c r="G2400" s="2" t="n">
        <x:v>4</x:v>
      </x:c>
      <x:c r="H2400" s="2" t="n">
        <x:f>G2400+Supuestos!$C$15</x:f>
        <x:v>5</x:v>
      </x:c>
      <x:c r="I2400" s="14" t="n">
        <x:f>E2_plantas!J59+G2400</x:f>
        <x:v>46206</x:v>
      </x:c>
      <x:c r="J2400" s="2" t="str">
        <x:v>N3</x:v>
      </x:c>
      <x:c r="K2400" s="2" t="n">
        <x:v>1</x:v>
      </x:c>
      <x:c r="L2400" s="2" t="n">
        <x:v>0</x:v>
      </x:c>
      <x:c r="M2400" s="2" t="n">
        <x:f>SUM(L$2396:L2400)</x:f>
        <x:v>0</x:v>
      </x:c>
      <x:c r="N2400" s="2" t="n">
        <x:v>0</x:v>
      </x:c>
      <x:c r="O2400" s="2" t="str">
        <x:v>seguimiento</x:v>
      </x:c>
      <x:c r="P2400" s="2" t="n">
        <x:v>0</x:v>
      </x:c>
      <x:c r="Q2400" s="2" t="str">
        <x:v>simulado_didactico</x:v>
      </x:c>
    </x:row>
    <x:row r="2401" ht="19" customHeight="1">
      <x:c r="A2401" s="2" t="str">
        <x:v>SIM-E2-BB-L8-R10</x:v>
      </x:c>
      <x:c r="B2401" s="2" t="n">
        <x:v>5</x:v>
      </x:c>
      <x:c r="C2401" s="2" t="str">
        <x:v>BB</x:v>
      </x:c>
      <x:c r="D2401" s="2" t="str">
        <x:v>Brevicoryne brassicae</x:v>
      </x:c>
      <x:c r="E2401" s="2" t="str">
        <x:v>L8</x:v>
      </x:c>
      <x:c r="F2401" s="2" t="n">
        <x:v>10</x:v>
      </x:c>
      <x:c r="G2401" s="2" t="n">
        <x:v>5</x:v>
      </x:c>
      <x:c r="H2401" s="2" t="n">
        <x:f>G2401+Supuestos!$C$15</x:f>
        <x:v>6</x:v>
      </x:c>
      <x:c r="I2401" s="14" t="n">
        <x:f>E2_plantas!J59+G2401</x:f>
        <x:v>46207</x:v>
      </x:c>
      <x:c r="J2401" s="2" t="str">
        <x:v>N3</x:v>
      </x:c>
      <x:c r="K2401" s="2" t="n">
        <x:v>1</x:v>
      </x:c>
      <x:c r="L2401" s="2" t="n">
        <x:v>0</x:v>
      </x:c>
      <x:c r="M2401" s="2" t="n">
        <x:f>SUM(L$2396:L2401)</x:f>
        <x:v>0</x:v>
      </x:c>
      <x:c r="N2401" s="2" t="n">
        <x:v>0</x:v>
      </x:c>
      <x:c r="O2401" s="2" t="str">
        <x:v>seguimiento</x:v>
      </x:c>
      <x:c r="P2401" s="2" t="n">
        <x:v>0</x:v>
      </x:c>
      <x:c r="Q2401" s="2" t="str">
        <x:v>simulado_didactico</x:v>
      </x:c>
    </x:row>
    <x:row r="2402" ht="19" customHeight="1">
      <x:c r="A2402" s="2" t="str">
        <x:v>SIM-E2-BB-L8-R10</x:v>
      </x:c>
      <x:c r="B2402" s="2" t="n">
        <x:v>5</x:v>
      </x:c>
      <x:c r="C2402" s="2" t="str">
        <x:v>BB</x:v>
      </x:c>
      <x:c r="D2402" s="2" t="str">
        <x:v>Brevicoryne brassicae</x:v>
      </x:c>
      <x:c r="E2402" s="2" t="str">
        <x:v>L8</x:v>
      </x:c>
      <x:c r="F2402" s="2" t="n">
        <x:v>10</x:v>
      </x:c>
      <x:c r="G2402" s="2" t="n">
        <x:v>6</x:v>
      </x:c>
      <x:c r="H2402" s="2" t="n">
        <x:f>G2402+Supuestos!$C$15</x:f>
        <x:v>7</x:v>
      </x:c>
      <x:c r="I2402" s="14" t="n">
        <x:f>E2_plantas!J59+G2402</x:f>
        <x:v>46208</x:v>
      </x:c>
      <x:c r="J2402" s="2" t="str">
        <x:v>N3</x:v>
      </x:c>
      <x:c r="K2402" s="2" t="n">
        <x:v>1</x:v>
      </x:c>
      <x:c r="L2402" s="2" t="n">
        <x:v>0</x:v>
      </x:c>
      <x:c r="M2402" s="2" t="n">
        <x:f>SUM(L$2396:L2402)</x:f>
        <x:v>0</x:v>
      </x:c>
      <x:c r="N2402" s="2" t="n">
        <x:v>0</x:v>
      </x:c>
      <x:c r="O2402" s="2" t="str">
        <x:v>seguimiento</x:v>
      </x:c>
      <x:c r="P2402" s="2" t="n">
        <x:v>0</x:v>
      </x:c>
      <x:c r="Q2402" s="2" t="str">
        <x:v>simulado_didactico</x:v>
      </x:c>
    </x:row>
    <x:row r="2403" ht="19" customHeight="1">
      <x:c r="A2403" s="2" t="str">
        <x:v>SIM-E2-BB-L8-R10</x:v>
      </x:c>
      <x:c r="B2403" s="2" t="n">
        <x:v>5</x:v>
      </x:c>
      <x:c r="C2403" s="2" t="str">
        <x:v>BB</x:v>
      </x:c>
      <x:c r="D2403" s="2" t="str">
        <x:v>Brevicoryne brassicae</x:v>
      </x:c>
      <x:c r="E2403" s="2" t="str">
        <x:v>L8</x:v>
      </x:c>
      <x:c r="F2403" s="2" t="n">
        <x:v>10</x:v>
      </x:c>
      <x:c r="G2403" s="2" t="n">
        <x:v>7</x:v>
      </x:c>
      <x:c r="H2403" s="2" t="n">
        <x:f>G2403+Supuestos!$C$15</x:f>
        <x:v>8</x:v>
      </x:c>
      <x:c r="I2403" s="14" t="n">
        <x:f>E2_plantas!J59+G2403</x:f>
        <x:v>46209</x:v>
      </x:c>
      <x:c r="J2403" s="2" t="str">
        <x:v>N4</x:v>
      </x:c>
      <x:c r="K2403" s="2" t="n">
        <x:v>1</x:v>
      </x:c>
      <x:c r="L2403" s="2" t="n">
        <x:v>0</x:v>
      </x:c>
      <x:c r="M2403" s="2" t="n">
        <x:f>SUM(L$2396:L2403)</x:f>
        <x:v>0</x:v>
      </x:c>
      <x:c r="N2403" s="2" t="n">
        <x:v>0</x:v>
      </x:c>
      <x:c r="O2403" s="2" t="str">
        <x:v>seguimiento</x:v>
      </x:c>
      <x:c r="P2403" s="2" t="n">
        <x:v>0</x:v>
      </x:c>
      <x:c r="Q2403" s="2" t="str">
        <x:v>simulado_didactico</x:v>
      </x:c>
    </x:row>
    <x:row r="2404" ht="19" customHeight="1">
      <x:c r="A2404" s="2" t="str">
        <x:v>SIM-E2-BB-L8-R10</x:v>
      </x:c>
      <x:c r="B2404" s="2" t="n">
        <x:v>5</x:v>
      </x:c>
      <x:c r="C2404" s="2" t="str">
        <x:v>BB</x:v>
      </x:c>
      <x:c r="D2404" s="2" t="str">
        <x:v>Brevicoryne brassicae</x:v>
      </x:c>
      <x:c r="E2404" s="2" t="str">
        <x:v>L8</x:v>
      </x:c>
      <x:c r="F2404" s="2" t="n">
        <x:v>10</x:v>
      </x:c>
      <x:c r="G2404" s="2" t="n">
        <x:v>8</x:v>
      </x:c>
      <x:c r="H2404" s="2" t="n">
        <x:f>G2404+Supuestos!$C$15</x:f>
        <x:v>9</x:v>
      </x:c>
      <x:c r="I2404" s="14" t="n">
        <x:f>E2_plantas!J59+G2404</x:f>
        <x:v>46210</x:v>
      </x:c>
      <x:c r="J2404" s="2" t="str">
        <x:v>N4</x:v>
      </x:c>
      <x:c r="K2404" s="2" t="n">
        <x:v>1</x:v>
      </x:c>
      <x:c r="L2404" s="2" t="n">
        <x:v>0</x:v>
      </x:c>
      <x:c r="M2404" s="2" t="n">
        <x:f>SUM(L$2396:L2404)</x:f>
        <x:v>0</x:v>
      </x:c>
      <x:c r="N2404" s="2" t="n">
        <x:v>0</x:v>
      </x:c>
      <x:c r="O2404" s="2" t="str">
        <x:v>seguimiento</x:v>
      </x:c>
      <x:c r="P2404" s="2" t="n">
        <x:v>0</x:v>
      </x:c>
      <x:c r="Q2404" s="2" t="str">
        <x:v>simulado_didactico</x:v>
      </x:c>
    </x:row>
    <x:row r="2405" ht="19" customHeight="1">
      <x:c r="A2405" s="2" t="str">
        <x:v>SIM-E2-BB-L8-R10</x:v>
      </x:c>
      <x:c r="B2405" s="2" t="n">
        <x:v>5</x:v>
      </x:c>
      <x:c r="C2405" s="2" t="str">
        <x:v>BB</x:v>
      </x:c>
      <x:c r="D2405" s="2" t="str">
        <x:v>Brevicoryne brassicae</x:v>
      </x:c>
      <x:c r="E2405" s="2" t="str">
        <x:v>L8</x:v>
      </x:c>
      <x:c r="F2405" s="2" t="n">
        <x:v>10</x:v>
      </x:c>
      <x:c r="G2405" s="2" t="n">
        <x:v>9</x:v>
      </x:c>
      <x:c r="H2405" s="2" t="n">
        <x:f>G2405+Supuestos!$C$15</x:f>
        <x:v>10</x:v>
      </x:c>
      <x:c r="I2405" s="14" t="n">
        <x:f>E2_plantas!J59+G2405</x:f>
        <x:v>46211</x:v>
      </x:c>
      <x:c r="J2405" s="2" t="str">
        <x:v>N4</x:v>
      </x:c>
      <x:c r="K2405" s="2" t="n">
        <x:v>1</x:v>
      </x:c>
      <x:c r="L2405" s="2" t="n">
        <x:v>0</x:v>
      </x:c>
      <x:c r="M2405" s="2" t="n">
        <x:f>SUM(L$2396:L2405)</x:f>
        <x:v>0</x:v>
      </x:c>
      <x:c r="N2405" s="2" t="n">
        <x:v>0</x:v>
      </x:c>
      <x:c r="O2405" s="2" t="str">
        <x:v>seguimiento</x:v>
      </x:c>
      <x:c r="P2405" s="2" t="n">
        <x:v>0</x:v>
      </x:c>
      <x:c r="Q2405" s="2" t="str">
        <x:v>simulado_didactico</x:v>
      </x:c>
    </x:row>
    <x:row r="2406" ht="19" customHeight="1">
      <x:c r="A2406" s="2" t="str">
        <x:v>SIM-E2-BB-L8-R10</x:v>
      </x:c>
      <x:c r="B2406" s="2" t="n">
        <x:v>5</x:v>
      </x:c>
      <x:c r="C2406" s="2" t="str">
        <x:v>BB</x:v>
      </x:c>
      <x:c r="D2406" s="2" t="str">
        <x:v>Brevicoryne brassicae</x:v>
      </x:c>
      <x:c r="E2406" s="2" t="str">
        <x:v>L8</x:v>
      </x:c>
      <x:c r="F2406" s="2" t="n">
        <x:v>10</x:v>
      </x:c>
      <x:c r="G2406" s="2" t="n">
        <x:v>10</x:v>
      </x:c>
      <x:c r="H2406" s="2" t="n">
        <x:f>G2406+Supuestos!$C$15</x:f>
        <x:v>11</x:v>
      </x:c>
      <x:c r="I2406" s="14" t="n">
        <x:f>E2_plantas!J59+G2406</x:f>
        <x:v>46212</x:v>
      </x:c>
      <x:c r="J2406" s="2" t="str">
        <x:v>adulta</x:v>
      </x:c>
      <x:c r="K2406" s="2" t="n">
        <x:v>1</x:v>
      </x:c>
      <x:c r="L2406" s="2" t="n">
        <x:v>0</x:v>
      </x:c>
      <x:c r="M2406" s="2" t="n">
        <x:f>SUM(L$2396:L2406)</x:f>
        <x:v>0</x:v>
      </x:c>
      <x:c r="N2406" s="2" t="n">
        <x:v>0</x:v>
      </x:c>
      <x:c r="O2406" s="2" t="str">
        <x:v>seguimiento</x:v>
      </x:c>
      <x:c r="P2406" s="2" t="n">
        <x:v>0</x:v>
      </x:c>
      <x:c r="Q2406" s="2" t="str">
        <x:v>simulado_didactico</x:v>
      </x:c>
    </x:row>
    <x:row r="2407" ht="19" customHeight="1">
      <x:c r="A2407" s="2" t="str">
        <x:v>SIM-E2-BB-L8-R10</x:v>
      </x:c>
      <x:c r="B2407" s="2" t="n">
        <x:v>5</x:v>
      </x:c>
      <x:c r="C2407" s="2" t="str">
        <x:v>BB</x:v>
      </x:c>
      <x:c r="D2407" s="2" t="str">
        <x:v>Brevicoryne brassicae</x:v>
      </x:c>
      <x:c r="E2407" s="2" t="str">
        <x:v>L8</x:v>
      </x:c>
      <x:c r="F2407" s="2" t="n">
        <x:v>10</x:v>
      </x:c>
      <x:c r="G2407" s="2" t="n">
        <x:v>11</x:v>
      </x:c>
      <x:c r="H2407" s="2" t="n">
        <x:f>G2407+Supuestos!$C$15</x:f>
        <x:v>12</x:v>
      </x:c>
      <x:c r="I2407" s="14" t="n">
        <x:f>E2_plantas!J59+G2407</x:f>
        <x:v>46213</x:v>
      </x:c>
      <x:c r="J2407" s="2" t="str">
        <x:v>adulta</x:v>
      </x:c>
      <x:c r="K2407" s="2" t="n">
        <x:v>1</x:v>
      </x:c>
      <x:c r="L2407" s="2" t="n">
        <x:v>0</x:v>
      </x:c>
      <x:c r="M2407" s="2" t="n">
        <x:f>SUM(L$2396:L2407)</x:f>
        <x:v>0</x:v>
      </x:c>
      <x:c r="N2407" s="2" t="n">
        <x:v>0</x:v>
      </x:c>
      <x:c r="O2407" s="2" t="str">
        <x:v>seguimiento</x:v>
      </x:c>
      <x:c r="P2407" s="2" t="n">
        <x:v>0</x:v>
      </x:c>
      <x:c r="Q2407" s="2" t="str">
        <x:v>simulado_didactico</x:v>
      </x:c>
    </x:row>
    <x:row r="2408" ht="19" customHeight="1">
      <x:c r="A2408" s="2" t="str">
        <x:v>SIM-E2-BB-L8-R10</x:v>
      </x:c>
      <x:c r="B2408" s="2" t="n">
        <x:v>5</x:v>
      </x:c>
      <x:c r="C2408" s="2" t="str">
        <x:v>BB</x:v>
      </x:c>
      <x:c r="D2408" s="2" t="str">
        <x:v>Brevicoryne brassicae</x:v>
      </x:c>
      <x:c r="E2408" s="2" t="str">
        <x:v>L8</x:v>
      </x:c>
      <x:c r="F2408" s="2" t="n">
        <x:v>10</x:v>
      </x:c>
      <x:c r="G2408" s="2" t="n">
        <x:v>12</x:v>
      </x:c>
      <x:c r="H2408" s="2" t="n">
        <x:f>G2408+Supuestos!$C$15</x:f>
        <x:v>13</x:v>
      </x:c>
      <x:c r="I2408" s="14" t="n">
        <x:f>E2_plantas!J59+G2408</x:f>
        <x:v>46214</x:v>
      </x:c>
      <x:c r="J2408" s="2" t="str">
        <x:v>adulta</x:v>
      </x:c>
      <x:c r="K2408" s="2" t="n">
        <x:v>1</x:v>
      </x:c>
      <x:c r="L2408" s="2" t="n">
        <x:v>2</x:v>
      </x:c>
      <x:c r="M2408" s="2" t="n">
        <x:f>SUM(L$2396:L2408)</x:f>
        <x:v>2</x:v>
      </x:c>
      <x:c r="N2408" s="2" t="n">
        <x:v>0</x:v>
      </x:c>
      <x:c r="O2408" s="2" t="str">
        <x:v>seguimiento</x:v>
      </x:c>
      <x:c r="P2408" s="2" t="n">
        <x:v>0</x:v>
      </x:c>
      <x:c r="Q2408" s="2" t="str">
        <x:v>simulado_didactico</x:v>
      </x:c>
    </x:row>
    <x:row r="2409" ht="19" customHeight="1">
      <x:c r="A2409" s="2" t="str">
        <x:v>SIM-E2-BB-L8-R10</x:v>
      </x:c>
      <x:c r="B2409" s="2" t="n">
        <x:v>5</x:v>
      </x:c>
      <x:c r="C2409" s="2" t="str">
        <x:v>BB</x:v>
      </x:c>
      <x:c r="D2409" s="2" t="str">
        <x:v>Brevicoryne brassicae</x:v>
      </x:c>
      <x:c r="E2409" s="2" t="str">
        <x:v>L8</x:v>
      </x:c>
      <x:c r="F2409" s="2" t="n">
        <x:v>10</x:v>
      </x:c>
      <x:c r="G2409" s="2" t="n">
        <x:v>13</x:v>
      </x:c>
      <x:c r="H2409" s="2" t="n">
        <x:f>G2409+Supuestos!$C$15</x:f>
        <x:v>14</x:v>
      </x:c>
      <x:c r="I2409" s="14" t="n">
        <x:f>E2_plantas!J59+G2409</x:f>
        <x:v>46215</x:v>
      </x:c>
      <x:c r="J2409" s="2" t="str">
        <x:v>adulta</x:v>
      </x:c>
      <x:c r="K2409" s="2" t="n">
        <x:v>1</x:v>
      </x:c>
      <x:c r="L2409" s="2" t="n">
        <x:v>3</x:v>
      </x:c>
      <x:c r="M2409" s="2" t="n">
        <x:f>SUM(L$2396:L2409)</x:f>
        <x:v>5</x:v>
      </x:c>
      <x:c r="N2409" s="2" t="n">
        <x:v>0</x:v>
      </x:c>
      <x:c r="O2409" s="2" t="str">
        <x:v>seguimiento</x:v>
      </x:c>
      <x:c r="P2409" s="2" t="n">
        <x:v>0</x:v>
      </x:c>
      <x:c r="Q2409" s="2" t="str">
        <x:v>simulado_didactico</x:v>
      </x:c>
    </x:row>
    <x:row r="2410" ht="19" customHeight="1">
      <x:c r="A2410" s="2" t="str">
        <x:v>SIM-E2-BB-L8-R10</x:v>
      </x:c>
      <x:c r="B2410" s="2" t="n">
        <x:v>5</x:v>
      </x:c>
      <x:c r="C2410" s="2" t="str">
        <x:v>BB</x:v>
      </x:c>
      <x:c r="D2410" s="2" t="str">
        <x:v>Brevicoryne brassicae</x:v>
      </x:c>
      <x:c r="E2410" s="2" t="str">
        <x:v>L8</x:v>
      </x:c>
      <x:c r="F2410" s="2" t="n">
        <x:v>10</x:v>
      </x:c>
      <x:c r="G2410" s="2" t="n">
        <x:v>14</x:v>
      </x:c>
      <x:c r="H2410" s="2" t="n">
        <x:f>G2410+Supuestos!$C$15</x:f>
        <x:v>15</x:v>
      </x:c>
      <x:c r="I2410" s="14" t="n">
        <x:f>E2_plantas!J59+G2410</x:f>
        <x:v>46216</x:v>
      </x:c>
      <x:c r="J2410" s="2" t="str">
        <x:v>adulta</x:v>
      </x:c>
      <x:c r="K2410" s="2" t="n">
        <x:v>1</x:v>
      </x:c>
      <x:c r="L2410" s="2" t="n">
        <x:v>1</x:v>
      </x:c>
      <x:c r="M2410" s="2" t="n">
        <x:f>SUM(L$2396:L2410)</x:f>
        <x:v>6</x:v>
      </x:c>
      <x:c r="N2410" s="2" t="n">
        <x:v>0</x:v>
      </x:c>
      <x:c r="O2410" s="2" t="str">
        <x:v>seguimiento</x:v>
      </x:c>
      <x:c r="P2410" s="2" t="n">
        <x:v>0</x:v>
      </x:c>
      <x:c r="Q2410" s="2" t="str">
        <x:v>simulado_didactico</x:v>
      </x:c>
    </x:row>
    <x:row r="2411" ht="19" customHeight="1">
      <x:c r="A2411" s="2" t="str">
        <x:v>SIM-E2-BB-L8-R10</x:v>
      </x:c>
      <x:c r="B2411" s="2" t="n">
        <x:v>5</x:v>
      </x:c>
      <x:c r="C2411" s="2" t="str">
        <x:v>BB</x:v>
      </x:c>
      <x:c r="D2411" s="2" t="str">
        <x:v>Brevicoryne brassicae</x:v>
      </x:c>
      <x:c r="E2411" s="2" t="str">
        <x:v>L8</x:v>
      </x:c>
      <x:c r="F2411" s="2" t="n">
        <x:v>10</x:v>
      </x:c>
      <x:c r="G2411" s="2" t="n">
        <x:v>15</x:v>
      </x:c>
      <x:c r="H2411" s="2" t="n">
        <x:f>G2411+Supuestos!$C$15</x:f>
        <x:v>16</x:v>
      </x:c>
      <x:c r="I2411" s="14" t="n">
        <x:f>E2_plantas!J59+G2411</x:f>
        <x:v>46217</x:v>
      </x:c>
      <x:c r="J2411" s="2" t="str">
        <x:v>adulta</x:v>
      </x:c>
      <x:c r="K2411" s="2" t="n">
        <x:v>1</x:v>
      </x:c>
      <x:c r="L2411" s="2" t="n">
        <x:v>2</x:v>
      </x:c>
      <x:c r="M2411" s="2" t="n">
        <x:f>SUM(L$2396:L2411)</x:f>
        <x:v>8</x:v>
      </x:c>
      <x:c r="N2411" s="2" t="n">
        <x:v>0</x:v>
      </x:c>
      <x:c r="O2411" s="2" t="str">
        <x:v>seguimiento</x:v>
      </x:c>
      <x:c r="P2411" s="2" t="n">
        <x:v>0</x:v>
      </x:c>
      <x:c r="Q2411" s="2" t="str">
        <x:v>simulado_didactico</x:v>
      </x:c>
    </x:row>
    <x:row r="2412" ht="19" customHeight="1">
      <x:c r="A2412" s="2" t="str">
        <x:v>SIM-E2-BB-L8-R10</x:v>
      </x:c>
      <x:c r="B2412" s="2" t="n">
        <x:v>5</x:v>
      </x:c>
      <x:c r="C2412" s="2" t="str">
        <x:v>BB</x:v>
      </x:c>
      <x:c r="D2412" s="2" t="str">
        <x:v>Brevicoryne brassicae</x:v>
      </x:c>
      <x:c r="E2412" s="2" t="str">
        <x:v>L8</x:v>
      </x:c>
      <x:c r="F2412" s="2" t="n">
        <x:v>10</x:v>
      </x:c>
      <x:c r="G2412" s="2" t="n">
        <x:v>16</x:v>
      </x:c>
      <x:c r="H2412" s="2" t="n">
        <x:f>G2412+Supuestos!$C$15</x:f>
        <x:v>17</x:v>
      </x:c>
      <x:c r="I2412" s="14" t="n">
        <x:f>E2_plantas!J59+G2412</x:f>
        <x:v>46218</x:v>
      </x:c>
      <x:c r="J2412" s="2" t="str">
        <x:v>adulta</x:v>
      </x:c>
      <x:c r="K2412" s="2" t="n">
        <x:v>1</x:v>
      </x:c>
      <x:c r="L2412" s="2" t="n">
        <x:v>2</x:v>
      </x:c>
      <x:c r="M2412" s="2" t="n">
        <x:f>SUM(L$2396:L2412)</x:f>
        <x:v>10</x:v>
      </x:c>
      <x:c r="N2412" s="2" t="n">
        <x:v>0</x:v>
      </x:c>
      <x:c r="O2412" s="2" t="str">
        <x:v>seguimiento</x:v>
      </x:c>
      <x:c r="P2412" s="2" t="n">
        <x:v>0</x:v>
      </x:c>
      <x:c r="Q2412" s="2" t="str">
        <x:v>simulado_didactico</x:v>
      </x:c>
    </x:row>
    <x:row r="2413" ht="19" customHeight="1">
      <x:c r="A2413" s="2" t="str">
        <x:v>SIM-E2-BB-L8-R10</x:v>
      </x:c>
      <x:c r="B2413" s="2" t="n">
        <x:v>5</x:v>
      </x:c>
      <x:c r="C2413" s="2" t="str">
        <x:v>BB</x:v>
      </x:c>
      <x:c r="D2413" s="2" t="str">
        <x:v>Brevicoryne brassicae</x:v>
      </x:c>
      <x:c r="E2413" s="2" t="str">
        <x:v>L8</x:v>
      </x:c>
      <x:c r="F2413" s="2" t="n">
        <x:v>10</x:v>
      </x:c>
      <x:c r="G2413" s="2" t="n">
        <x:v>17</x:v>
      </x:c>
      <x:c r="H2413" s="2" t="n">
        <x:f>G2413+Supuestos!$C$15</x:f>
        <x:v>18</x:v>
      </x:c>
      <x:c r="I2413" s="14" t="n">
        <x:f>E2_plantas!J59+G2413</x:f>
        <x:v>46219</x:v>
      </x:c>
      <x:c r="J2413" s="2" t="str">
        <x:v>adulta</x:v>
      </x:c>
      <x:c r="K2413" s="2" t="n">
        <x:v>1</x:v>
      </x:c>
      <x:c r="L2413" s="2" t="n">
        <x:v>3</x:v>
      </x:c>
      <x:c r="M2413" s="2" t="n">
        <x:f>SUM(L$2396:L2413)</x:f>
        <x:v>13</x:v>
      </x:c>
      <x:c r="N2413" s="2" t="n">
        <x:v>0</x:v>
      </x:c>
      <x:c r="O2413" s="2" t="str">
        <x:v>seguimiento</x:v>
      </x:c>
      <x:c r="P2413" s="2" t="n">
        <x:v>0</x:v>
      </x:c>
      <x:c r="Q2413" s="2" t="str">
        <x:v>simulado_didactico</x:v>
      </x:c>
    </x:row>
    <x:row r="2414" ht="19" customHeight="1">
      <x:c r="A2414" s="2" t="str">
        <x:v>SIM-E2-BB-L8-R10</x:v>
      </x:c>
      <x:c r="B2414" s="2" t="n">
        <x:v>5</x:v>
      </x:c>
      <x:c r="C2414" s="2" t="str">
        <x:v>BB</x:v>
      </x:c>
      <x:c r="D2414" s="2" t="str">
        <x:v>Brevicoryne brassicae</x:v>
      </x:c>
      <x:c r="E2414" s="2" t="str">
        <x:v>L8</x:v>
      </x:c>
      <x:c r="F2414" s="2" t="n">
        <x:v>10</x:v>
      </x:c>
      <x:c r="G2414" s="2" t="n">
        <x:v>18</x:v>
      </x:c>
      <x:c r="H2414" s="2" t="n">
        <x:f>G2414+Supuestos!$C$15</x:f>
        <x:v>19</x:v>
      </x:c>
      <x:c r="I2414" s="14" t="n">
        <x:f>E2_plantas!J59+G2414</x:f>
        <x:v>46220</x:v>
      </x:c>
      <x:c r="J2414" s="2" t="str">
        <x:v>adulta</x:v>
      </x:c>
      <x:c r="K2414" s="2" t="n">
        <x:v>1</x:v>
      </x:c>
      <x:c r="L2414" s="2" t="n">
        <x:v>0</x:v>
      </x:c>
      <x:c r="M2414" s="2" t="n">
        <x:f>SUM(L$2396:L2414)</x:f>
        <x:v>13</x:v>
      </x:c>
      <x:c r="N2414" s="2" t="n">
        <x:v>0</x:v>
      </x:c>
      <x:c r="O2414" s="2" t="str">
        <x:v>seguimiento</x:v>
      </x:c>
      <x:c r="P2414" s="2" t="n">
        <x:v>0</x:v>
      </x:c>
      <x:c r="Q2414" s="2" t="str">
        <x:v>simulado_didactico</x:v>
      </x:c>
    </x:row>
    <x:row r="2415" ht="19" customHeight="1">
      <x:c r="A2415" s="2" t="str">
        <x:v>SIM-E2-BB-L8-R10</x:v>
      </x:c>
      <x:c r="B2415" s="2" t="n">
        <x:v>5</x:v>
      </x:c>
      <x:c r="C2415" s="2" t="str">
        <x:v>BB</x:v>
      </x:c>
      <x:c r="D2415" s="2" t="str">
        <x:v>Brevicoryne brassicae</x:v>
      </x:c>
      <x:c r="E2415" s="2" t="str">
        <x:v>L8</x:v>
      </x:c>
      <x:c r="F2415" s="2" t="n">
        <x:v>10</x:v>
      </x:c>
      <x:c r="G2415" s="2" t="n">
        <x:v>19</x:v>
      </x:c>
      <x:c r="H2415" s="2" t="n">
        <x:f>G2415+Supuestos!$C$15</x:f>
        <x:v>20</x:v>
      </x:c>
      <x:c r="I2415" s="14" t="n">
        <x:f>E2_plantas!J59+G2415</x:f>
        <x:v>46221</x:v>
      </x:c>
      <x:c r="J2415" s="2" t="str">
        <x:v>adulta</x:v>
      </x:c>
      <x:c r="K2415" s="2" t="n">
        <x:v>1</x:v>
      </x:c>
      <x:c r="L2415" s="2" t="n">
        <x:v>0</x:v>
      </x:c>
      <x:c r="M2415" s="2" t="n">
        <x:f>SUM(L$2396:L2415)</x:f>
        <x:v>13</x:v>
      </x:c>
      <x:c r="N2415" s="2" t="n">
        <x:v>0</x:v>
      </x:c>
      <x:c r="O2415" s="2" t="str">
        <x:v>seguimiento</x:v>
      </x:c>
      <x:c r="P2415" s="2" t="n">
        <x:v>0</x:v>
      </x:c>
      <x:c r="Q2415" s="2" t="str">
        <x:v>simulado_didactico</x:v>
      </x:c>
    </x:row>
    <x:row r="2416" ht="19" customHeight="1">
      <x:c r="A2416" s="2" t="str">
        <x:v>SIM-E2-BB-L8-R10</x:v>
      </x:c>
      <x:c r="B2416" s="2" t="n">
        <x:v>5</x:v>
      </x:c>
      <x:c r="C2416" s="2" t="str">
        <x:v>BB</x:v>
      </x:c>
      <x:c r="D2416" s="2" t="str">
        <x:v>Brevicoryne brassicae</x:v>
      </x:c>
      <x:c r="E2416" s="2" t="str">
        <x:v>L8</x:v>
      </x:c>
      <x:c r="F2416" s="2" t="n">
        <x:v>10</x:v>
      </x:c>
      <x:c r="G2416" s="2" t="n">
        <x:v>20</x:v>
      </x:c>
      <x:c r="H2416" s="2" t="n">
        <x:f>G2416+Supuestos!$C$15</x:f>
        <x:v>21</x:v>
      </x:c>
      <x:c r="I2416" s="14" t="n">
        <x:f>E2_plantas!J59+G2416</x:f>
        <x:v>46222</x:v>
      </x:c>
      <x:c r="J2416" s="2" t="str">
        <x:v>adulta</x:v>
      </x:c>
      <x:c r="K2416" s="2" t="n">
        <x:v>1</x:v>
      </x:c>
      <x:c r="L2416" s="2" t="n">
        <x:v>1</x:v>
      </x:c>
      <x:c r="M2416" s="2" t="n">
        <x:f>SUM(L$2396:L2416)</x:f>
        <x:v>14</x:v>
      </x:c>
      <x:c r="N2416" s="2" t="n">
        <x:v>0</x:v>
      </x:c>
      <x:c r="O2416" s="2" t="str">
        <x:v>seguimiento</x:v>
      </x:c>
      <x:c r="P2416" s="2" t="n">
        <x:v>0</x:v>
      </x:c>
      <x:c r="Q2416" s="2" t="str">
        <x:v>simulado_didactico</x:v>
      </x:c>
    </x:row>
    <x:row r="2417" ht="19" customHeight="1">
      <x:c r="A2417" s="2" t="str">
        <x:v>SIM-E2-BB-L8-R10</x:v>
      </x:c>
      <x:c r="B2417" s="2" t="n">
        <x:v>5</x:v>
      </x:c>
      <x:c r="C2417" s="2" t="str">
        <x:v>BB</x:v>
      </x:c>
      <x:c r="D2417" s="2" t="str">
        <x:v>Brevicoryne brassicae</x:v>
      </x:c>
      <x:c r="E2417" s="2" t="str">
        <x:v>L8</x:v>
      </x:c>
      <x:c r="F2417" s="2" t="n">
        <x:v>10</x:v>
      </x:c>
      <x:c r="G2417" s="2" t="n">
        <x:v>21</x:v>
      </x:c>
      <x:c r="H2417" s="2" t="n">
        <x:f>G2417+Supuestos!$C$15</x:f>
        <x:v>22</x:v>
      </x:c>
      <x:c r="I2417" s="14" t="n">
        <x:f>E2_plantas!J59+G2417</x:f>
        <x:v>46223</x:v>
      </x:c>
      <x:c r="J2417" s="2" t="str">
        <x:v>adulta</x:v>
      </x:c>
      <x:c r="K2417" s="2" t="n">
        <x:v>1</x:v>
      </x:c>
      <x:c r="L2417" s="2" t="n">
        <x:v>0</x:v>
      </x:c>
      <x:c r="M2417" s="2" t="n">
        <x:f>SUM(L$2396:L2417)</x:f>
        <x:v>14</x:v>
      </x:c>
      <x:c r="N2417" s="2" t="n">
        <x:v>0</x:v>
      </x:c>
      <x:c r="O2417" s="2" t="str">
        <x:v>seguimiento</x:v>
      </x:c>
      <x:c r="P2417" s="2" t="n">
        <x:v>0</x:v>
      </x:c>
      <x:c r="Q2417" s="2" t="str">
        <x:v>simulado_didactico</x:v>
      </x:c>
    </x:row>
    <x:row r="2418" ht="19" customHeight="1">
      <x:c r="A2418" s="2" t="str">
        <x:v>SIM-E2-BB-L8-R10</x:v>
      </x:c>
      <x:c r="B2418" s="2" t="n">
        <x:v>5</x:v>
      </x:c>
      <x:c r="C2418" s="2" t="str">
        <x:v>BB</x:v>
      </x:c>
      <x:c r="D2418" s="2" t="str">
        <x:v>Brevicoryne brassicae</x:v>
      </x:c>
      <x:c r="E2418" s="2" t="str">
        <x:v>L8</x:v>
      </x:c>
      <x:c r="F2418" s="2" t="n">
        <x:v>10</x:v>
      </x:c>
      <x:c r="G2418" s="2" t="n">
        <x:v>22</x:v>
      </x:c>
      <x:c r="H2418" s="2" t="n">
        <x:f>G2418+Supuestos!$C$15</x:f>
        <x:v>23</x:v>
      </x:c>
      <x:c r="I2418" s="14" t="n">
        <x:f>E2_plantas!J59+G2418</x:f>
        <x:v>46224</x:v>
      </x:c>
      <x:c r="J2418" s="2" t="str">
        <x:v>adulta</x:v>
      </x:c>
      <x:c r="K2418" s="2" t="n">
        <x:v>1</x:v>
      </x:c>
      <x:c r="L2418" s="2" t="n">
        <x:v>3</x:v>
      </x:c>
      <x:c r="M2418" s="2" t="n">
        <x:f>SUM(L$2396:L2418)</x:f>
        <x:v>17</x:v>
      </x:c>
      <x:c r="N2418" s="2" t="n">
        <x:v>0</x:v>
      </x:c>
      <x:c r="O2418" s="2" t="str">
        <x:v>seguimiento</x:v>
      </x:c>
      <x:c r="P2418" s="2" t="n">
        <x:v>0</x:v>
      </x:c>
      <x:c r="Q2418" s="2" t="str">
        <x:v>simulado_didactico</x:v>
      </x:c>
    </x:row>
    <x:row r="2419" ht="19" customHeight="1">
      <x:c r="A2419" s="2" t="str">
        <x:v>SIM-E2-BB-L8-R10</x:v>
      </x:c>
      <x:c r="B2419" s="2" t="n">
        <x:v>5</x:v>
      </x:c>
      <x:c r="C2419" s="2" t="str">
        <x:v>BB</x:v>
      </x:c>
      <x:c r="D2419" s="2" t="str">
        <x:v>Brevicoryne brassicae</x:v>
      </x:c>
      <x:c r="E2419" s="2" t="str">
        <x:v>L8</x:v>
      </x:c>
      <x:c r="F2419" s="2" t="n">
        <x:v>10</x:v>
      </x:c>
      <x:c r="G2419" s="2" t="n">
        <x:v>23</x:v>
      </x:c>
      <x:c r="H2419" s="2" t="n">
        <x:f>G2419+Supuestos!$C$15</x:f>
        <x:v>24</x:v>
      </x:c>
      <x:c r="I2419" s="14" t="n">
        <x:f>E2_plantas!J59+G2419</x:f>
        <x:v>46225</x:v>
      </x:c>
      <x:c r="J2419" s="2" t="str">
        <x:v>adulta</x:v>
      </x:c>
      <x:c r="K2419" s="2" t="n">
        <x:v>1</x:v>
      </x:c>
      <x:c r="L2419" s="2" t="n">
        <x:v>6</x:v>
      </x:c>
      <x:c r="M2419" s="2" t="n">
        <x:f>SUM(L$2396:L2419)</x:f>
        <x:v>23</x:v>
      </x:c>
      <x:c r="N2419" s="2" t="n">
        <x:v>0</x:v>
      </x:c>
      <x:c r="O2419" s="2" t="str">
        <x:v>seguimiento</x:v>
      </x:c>
      <x:c r="P2419" s="2" t="n">
        <x:v>0</x:v>
      </x:c>
      <x:c r="Q2419" s="2" t="str">
        <x:v>simulado_didactico</x:v>
      </x:c>
    </x:row>
    <x:row r="2420" ht="19" customHeight="1">
      <x:c r="A2420" s="2" t="str">
        <x:v>SIM-E2-BB-L8-R10</x:v>
      </x:c>
      <x:c r="B2420" s="2" t="n">
        <x:v>5</x:v>
      </x:c>
      <x:c r="C2420" s="2" t="str">
        <x:v>BB</x:v>
      </x:c>
      <x:c r="D2420" s="2" t="str">
        <x:v>Brevicoryne brassicae</x:v>
      </x:c>
      <x:c r="E2420" s="2" t="str">
        <x:v>L8</x:v>
      </x:c>
      <x:c r="F2420" s="2" t="n">
        <x:v>10</x:v>
      </x:c>
      <x:c r="G2420" s="2" t="n">
        <x:v>24</x:v>
      </x:c>
      <x:c r="H2420" s="2" t="n">
        <x:f>G2420+Supuestos!$C$15</x:f>
        <x:v>25</x:v>
      </x:c>
      <x:c r="I2420" s="14" t="n">
        <x:f>E2_plantas!J59+G2420</x:f>
        <x:v>46226</x:v>
      </x:c>
      <x:c r="J2420" s="2" t="str">
        <x:v>adulta</x:v>
      </x:c>
      <x:c r="K2420" s="2" t="n">
        <x:v>1</x:v>
      </x:c>
      <x:c r="L2420" s="2" t="n">
        <x:v>2</x:v>
      </x:c>
      <x:c r="M2420" s="2" t="n">
        <x:f>SUM(L$2396:L2420)</x:f>
        <x:v>25</x:v>
      </x:c>
      <x:c r="N2420" s="2" t="n">
        <x:v>0</x:v>
      </x:c>
      <x:c r="O2420" s="2" t="str">
        <x:v>seguimiento</x:v>
      </x:c>
      <x:c r="P2420" s="2" t="n">
        <x:v>0</x:v>
      </x:c>
      <x:c r="Q2420" s="2" t="str">
        <x:v>simulado_didactico</x:v>
      </x:c>
    </x:row>
    <x:row r="2421" ht="19" customHeight="1">
      <x:c r="A2421" s="2" t="str">
        <x:v>SIM-E2-BB-L8-R10</x:v>
      </x:c>
      <x:c r="B2421" s="2" t="n">
        <x:v>5</x:v>
      </x:c>
      <x:c r="C2421" s="2" t="str">
        <x:v>BB</x:v>
      </x:c>
      <x:c r="D2421" s="2" t="str">
        <x:v>Brevicoryne brassicae</x:v>
      </x:c>
      <x:c r="E2421" s="2" t="str">
        <x:v>L8</x:v>
      </x:c>
      <x:c r="F2421" s="2" t="n">
        <x:v>10</x:v>
      </x:c>
      <x:c r="G2421" s="2" t="n">
        <x:v>25</x:v>
      </x:c>
      <x:c r="H2421" s="2" t="n">
        <x:f>G2421+Supuestos!$C$15</x:f>
        <x:v>26</x:v>
      </x:c>
      <x:c r="I2421" s="14" t="n">
        <x:f>E2_plantas!J59+G2421</x:f>
        <x:v>46227</x:v>
      </x:c>
      <x:c r="J2421" s="2" t="str">
        <x:v>adulta</x:v>
      </x:c>
      <x:c r="K2421" s="2" t="n">
        <x:v>1</x:v>
      </x:c>
      <x:c r="L2421" s="2" t="n">
        <x:v>1</x:v>
      </x:c>
      <x:c r="M2421" s="2" t="n">
        <x:f>SUM(L$2396:L2421)</x:f>
        <x:v>26</x:v>
      </x:c>
      <x:c r="N2421" s="2" t="n">
        <x:v>0</x:v>
      </x:c>
      <x:c r="O2421" s="2" t="str">
        <x:v>seguimiento</x:v>
      </x:c>
      <x:c r="P2421" s="2" t="n">
        <x:v>0</x:v>
      </x:c>
      <x:c r="Q2421" s="2" t="str">
        <x:v>simulado_didactico</x:v>
      </x:c>
    </x:row>
    <x:row r="2422" ht="19" customHeight="1">
      <x:c r="A2422" s="2" t="str">
        <x:v>SIM-E2-BB-L8-R10</x:v>
      </x:c>
      <x:c r="B2422" s="2" t="n">
        <x:v>5</x:v>
      </x:c>
      <x:c r="C2422" s="2" t="str">
        <x:v>BB</x:v>
      </x:c>
      <x:c r="D2422" s="2" t="str">
        <x:v>Brevicoryne brassicae</x:v>
      </x:c>
      <x:c r="E2422" s="2" t="str">
        <x:v>L8</x:v>
      </x:c>
      <x:c r="F2422" s="2" t="n">
        <x:v>10</x:v>
      </x:c>
      <x:c r="G2422" s="2" t="n">
        <x:v>26</x:v>
      </x:c>
      <x:c r="H2422" s="2" t="n">
        <x:f>G2422+Supuestos!$C$15</x:f>
        <x:v>27</x:v>
      </x:c>
      <x:c r="I2422" s="14" t="n">
        <x:f>E2_plantas!J59+G2422</x:f>
        <x:v>46228</x:v>
      </x:c>
      <x:c r="J2422" s="2" t="str">
        <x:v>adulta</x:v>
      </x:c>
      <x:c r="K2422" s="2" t="n">
        <x:v>1</x:v>
      </x:c>
      <x:c r="L2422" s="2" t="n">
        <x:v>2</x:v>
      </x:c>
      <x:c r="M2422" s="2" t="n">
        <x:f>SUM(L$2396:L2422)</x:f>
        <x:v>28</x:v>
      </x:c>
      <x:c r="N2422" s="2" t="n">
        <x:v>0</x:v>
      </x:c>
      <x:c r="O2422" s="2" t="str">
        <x:v>seguimiento</x:v>
      </x:c>
      <x:c r="P2422" s="2" t="n">
        <x:v>0</x:v>
      </x:c>
      <x:c r="Q2422" s="2" t="str">
        <x:v>simulado_didactico</x:v>
      </x:c>
    </x:row>
    <x:row r="2423" ht="19" customHeight="1">
      <x:c r="A2423" s="2" t="str">
        <x:v>SIM-E2-BB-L8-R10</x:v>
      </x:c>
      <x:c r="B2423" s="2" t="n">
        <x:v>5</x:v>
      </x:c>
      <x:c r="C2423" s="2" t="str">
        <x:v>BB</x:v>
      </x:c>
      <x:c r="D2423" s="2" t="str">
        <x:v>Brevicoryne brassicae</x:v>
      </x:c>
      <x:c r="E2423" s="2" t="str">
        <x:v>L8</x:v>
      </x:c>
      <x:c r="F2423" s="2" t="n">
        <x:v>10</x:v>
      </x:c>
      <x:c r="G2423" s="2" t="n">
        <x:v>27</x:v>
      </x:c>
      <x:c r="H2423" s="2" t="n">
        <x:f>G2423+Supuestos!$C$15</x:f>
        <x:v>28</x:v>
      </x:c>
      <x:c r="I2423" s="14" t="n">
        <x:f>E2_plantas!J59+G2423</x:f>
        <x:v>46229</x:v>
      </x:c>
      <x:c r="J2423" s="2" t="str">
        <x:v>adulta</x:v>
      </x:c>
      <x:c r="K2423" s="2" t="n">
        <x:v>1</x:v>
      </x:c>
      <x:c r="L2423" s="2" t="n">
        <x:v>0</x:v>
      </x:c>
      <x:c r="M2423" s="2" t="n">
        <x:f>SUM(L$2396:L2423)</x:f>
        <x:v>28</x:v>
      </x:c>
      <x:c r="N2423" s="2" t="n">
        <x:v>0</x:v>
      </x:c>
      <x:c r="O2423" s="2" t="str">
        <x:v>seguimiento</x:v>
      </x:c>
      <x:c r="P2423" s="2" t="n">
        <x:v>0</x:v>
      </x:c>
      <x:c r="Q2423" s="2" t="str">
        <x:v>simulado_didactico</x:v>
      </x:c>
    </x:row>
    <x:row r="2424" ht="19" customHeight="1">
      <x:c r="A2424" s="2" t="str">
        <x:v>SIM-E2-BB-L8-R10</x:v>
      </x:c>
      <x:c r="B2424" s="2" t="n">
        <x:v>5</x:v>
      </x:c>
      <x:c r="C2424" s="2" t="str">
        <x:v>BB</x:v>
      </x:c>
      <x:c r="D2424" s="2" t="str">
        <x:v>Brevicoryne brassicae</x:v>
      </x:c>
      <x:c r="E2424" s="2" t="str">
        <x:v>L8</x:v>
      </x:c>
      <x:c r="F2424" s="2" t="n">
        <x:v>10</x:v>
      </x:c>
      <x:c r="G2424" s="2" t="n">
        <x:v>28</x:v>
      </x:c>
      <x:c r="H2424" s="2" t="n">
        <x:f>G2424+Supuestos!$C$15</x:f>
        <x:v>29</x:v>
      </x:c>
      <x:c r="I2424" s="14" t="n">
        <x:f>E2_plantas!J59+G2424</x:f>
        <x:v>46230</x:v>
      </x:c>
      <x:c r="J2424" s="2" t="str">
        <x:v>muerta</x:v>
      </x:c>
      <x:c r="K2424" s="2" t="n">
        <x:v>0</x:v>
      </x:c>
      <x:c r="L2424" s="2" t="n">
        <x:v>0</x:v>
      </x:c>
      <x:c r="M2424" s="2" t="n">
        <x:f>SUM(L$2396:L2424)</x:f>
        <x:v>28</x:v>
      </x:c>
      <x:c r="N2424" s="2" t="n">
        <x:v>1</x:v>
      </x:c>
      <x:c r="O2424" s="2" t="str">
        <x:v>muerte</x:v>
      </x:c>
      <x:c r="P2424" s="2" t="n">
        <x:v>0</x:v>
      </x:c>
      <x:c r="Q2424" s="2" t="str">
        <x:v>simulado_didactico</x:v>
      </x:c>
    </x:row>
    <x:row r="2425" ht="19" customHeight="1">
      <x:c r="A2425" s="2" t="str">
        <x:v>SIM-E2-BB-L8-R10</x:v>
      </x:c>
      <x:c r="B2425" s="2" t="n">
        <x:v>5</x:v>
      </x:c>
      <x:c r="C2425" s="2" t="str">
        <x:v>BB</x:v>
      </x:c>
      <x:c r="D2425" s="2" t="str">
        <x:v>Brevicoryne brassicae</x:v>
      </x:c>
      <x:c r="E2425" s="2" t="str">
        <x:v>L8</x:v>
      </x:c>
      <x:c r="F2425" s="2" t="n">
        <x:v>10</x:v>
      </x:c>
      <x:c r="G2425" s="2" t="n">
        <x:v>29</x:v>
      </x:c>
      <x:c r="H2425" s="2" t="n">
        <x:f>G2425+Supuestos!$C$15</x:f>
        <x:v>30</x:v>
      </x:c>
      <x:c r="I2425" s="14" t="n">
        <x:f>E2_plantas!J59+G2425</x:f>
        <x:v>46231</x:v>
      </x:c>
      <x:c r="J2425" s="2" t="str">
        <x:v>muerta</x:v>
      </x:c>
      <x:c r="K2425" s="2" t="n">
        <x:v>0</x:v>
      </x:c>
      <x:c r="L2425" s="2" t="n">
        <x:v>0</x:v>
      </x:c>
      <x:c r="M2425" s="2" t="n">
        <x:f>SUM(L$2396:L2425)</x:f>
        <x:v>28</x:v>
      </x:c>
      <x:c r="N2425" s="2" t="n">
        <x:v>0</x:v>
      </x:c>
      <x:c r="O2425" s="2" t="str">
        <x:v>relleno_postmuerte</x:v>
      </x:c>
      <x:c r="P2425" s="2" t="n">
        <x:v>0</x:v>
      </x:c>
      <x:c r="Q2425" s="2" t="str">
        <x:v>simulado_didactico</x:v>
      </x:c>
    </x:row>
    <x:row r="2426" ht="19" customHeight="1">
      <x:c r="A2426" s="2" t="str">
        <x:v>SIM-E2-BB-L8-R10</x:v>
      </x:c>
      <x:c r="B2426" s="2" t="n">
        <x:v>5</x:v>
      </x:c>
      <x:c r="C2426" s="2" t="str">
        <x:v>BB</x:v>
      </x:c>
      <x:c r="D2426" s="2" t="str">
        <x:v>Brevicoryne brassicae</x:v>
      </x:c>
      <x:c r="E2426" s="2" t="str">
        <x:v>L8</x:v>
      </x:c>
      <x:c r="F2426" s="2" t="n">
        <x:v>10</x:v>
      </x:c>
      <x:c r="G2426" s="2" t="n">
        <x:v>30</x:v>
      </x:c>
      <x:c r="H2426" s="2" t="n">
        <x:f>G2426+Supuestos!$C$15</x:f>
        <x:v>31</x:v>
      </x:c>
      <x:c r="I2426" s="14" t="n">
        <x:f>E2_plantas!J59+G2426</x:f>
        <x:v>46232</x:v>
      </x:c>
      <x:c r="J2426" s="2" t="str">
        <x:v>muerta</x:v>
      </x:c>
      <x:c r="K2426" s="2" t="n">
        <x:v>0</x:v>
      </x:c>
      <x:c r="L2426" s="2" t="n">
        <x:v>0</x:v>
      </x:c>
      <x:c r="M2426" s="2" t="n">
        <x:f>SUM(L$2396:L2426)</x:f>
        <x:v>28</x:v>
      </x:c>
      <x:c r="N2426" s="2" t="n">
        <x:v>0</x:v>
      </x:c>
      <x:c r="O2426" s="2" t="str">
        <x:v>relleno_postmuerte</x:v>
      </x:c>
      <x:c r="P2426" s="2" t="n">
        <x:v>0</x:v>
      </x:c>
      <x:c r="Q2426" s="2" t="str">
        <x:v>simulado_didactico</x:v>
      </x:c>
    </x:row>
    <x:row r="2427" ht="19" customHeight="1">
      <x:c r="A2427" s="2" t="str">
        <x:v>SIM-E2-BB-L8-R10</x:v>
      </x:c>
      <x:c r="B2427" s="2" t="n">
        <x:v>5</x:v>
      </x:c>
      <x:c r="C2427" s="2" t="str">
        <x:v>BB</x:v>
      </x:c>
      <x:c r="D2427" s="2" t="str">
        <x:v>Brevicoryne brassicae</x:v>
      </x:c>
      <x:c r="E2427" s="2" t="str">
        <x:v>L8</x:v>
      </x:c>
      <x:c r="F2427" s="2" t="n">
        <x:v>10</x:v>
      </x:c>
      <x:c r="G2427" s="2" t="n">
        <x:v>31</x:v>
      </x:c>
      <x:c r="H2427" s="2" t="n">
        <x:f>G2427+Supuestos!$C$15</x:f>
        <x:v>32</x:v>
      </x:c>
      <x:c r="I2427" s="14" t="n">
        <x:f>E2_plantas!J59+G2427</x:f>
        <x:v>46233</x:v>
      </x:c>
      <x:c r="J2427" s="2" t="str">
        <x:v>muerta</x:v>
      </x:c>
      <x:c r="K2427" s="2" t="n">
        <x:v>0</x:v>
      </x:c>
      <x:c r="L2427" s="2" t="n">
        <x:v>0</x:v>
      </x:c>
      <x:c r="M2427" s="2" t="n">
        <x:f>SUM(L$2396:L2427)</x:f>
        <x:v>28</x:v>
      </x:c>
      <x:c r="N2427" s="2" t="n">
        <x:v>0</x:v>
      </x:c>
      <x:c r="O2427" s="2" t="str">
        <x:v>relleno_postmuerte</x:v>
      </x:c>
      <x:c r="P2427" s="2" t="n">
        <x:v>0</x:v>
      </x:c>
      <x:c r="Q2427" s="2" t="str">
        <x:v>simulado_didactico</x:v>
      </x:c>
    </x:row>
    <x:row r="2428" ht="19" customHeight="1">
      <x:c r="A2428" s="2" t="str">
        <x:v>SIM-E2-BB-L8-R10</x:v>
      </x:c>
      <x:c r="B2428" s="2" t="n">
        <x:v>5</x:v>
      </x:c>
      <x:c r="C2428" s="2" t="str">
        <x:v>BB</x:v>
      </x:c>
      <x:c r="D2428" s="2" t="str">
        <x:v>Brevicoryne brassicae</x:v>
      </x:c>
      <x:c r="E2428" s="2" t="str">
        <x:v>L8</x:v>
      </x:c>
      <x:c r="F2428" s="2" t="n">
        <x:v>10</x:v>
      </x:c>
      <x:c r="G2428" s="2" t="n">
        <x:v>32</x:v>
      </x:c>
      <x:c r="H2428" s="2" t="n">
        <x:f>G2428+Supuestos!$C$15</x:f>
        <x:v>33</x:v>
      </x:c>
      <x:c r="I2428" s="14" t="n">
        <x:f>E2_plantas!J59+G2428</x:f>
        <x:v>46234</x:v>
      </x:c>
      <x:c r="J2428" s="2" t="str">
        <x:v>muerta</x:v>
      </x:c>
      <x:c r="K2428" s="2" t="n">
        <x:v>0</x:v>
      </x:c>
      <x:c r="L2428" s="2" t="n">
        <x:v>0</x:v>
      </x:c>
      <x:c r="M2428" s="2" t="n">
        <x:f>SUM(L$2396:L2428)</x:f>
        <x:v>28</x:v>
      </x:c>
      <x:c r="N2428" s="2" t="n">
        <x:v>0</x:v>
      </x:c>
      <x:c r="O2428" s="2" t="str">
        <x:v>relleno_postmuerte</x:v>
      </x:c>
      <x:c r="P2428" s="2" t="n">
        <x:v>0</x:v>
      </x:c>
      <x:c r="Q2428" s="2" t="str">
        <x:v>simulado_didactico</x:v>
      </x:c>
    </x:row>
    <x:row r="2429" ht="19" customHeight="1">
      <x:c r="A2429" s="2" t="str">
        <x:v>SIM-E2-BB-L8-R10</x:v>
      </x:c>
      <x:c r="B2429" s="2" t="n">
        <x:v>5</x:v>
      </x:c>
      <x:c r="C2429" s="2" t="str">
        <x:v>BB</x:v>
      </x:c>
      <x:c r="D2429" s="2" t="str">
        <x:v>Brevicoryne brassicae</x:v>
      </x:c>
      <x:c r="E2429" s="2" t="str">
        <x:v>L8</x:v>
      </x:c>
      <x:c r="F2429" s="2" t="n">
        <x:v>10</x:v>
      </x:c>
      <x:c r="G2429" s="2" t="n">
        <x:v>33</x:v>
      </x:c>
      <x:c r="H2429" s="2" t="n">
        <x:f>G2429+Supuestos!$C$15</x:f>
        <x:v>34</x:v>
      </x:c>
      <x:c r="I2429" s="14" t="n">
        <x:f>E2_plantas!J59+G2429</x:f>
        <x:v>46235</x:v>
      </x:c>
      <x:c r="J2429" s="2" t="str">
        <x:v>muerta</x:v>
      </x:c>
      <x:c r="K2429" s="2" t="n">
        <x:v>0</x:v>
      </x:c>
      <x:c r="L2429" s="2" t="n">
        <x:v>0</x:v>
      </x:c>
      <x:c r="M2429" s="2" t="n">
        <x:f>SUM(L$2396:L2429)</x:f>
        <x:v>28</x:v>
      </x:c>
      <x:c r="N2429" s="2" t="n">
        <x:v>0</x:v>
      </x:c>
      <x:c r="O2429" s="2" t="str">
        <x:v>relleno_postmuerte</x:v>
      </x:c>
      <x:c r="P2429" s="2" t="n">
        <x:v>0</x:v>
      </x:c>
      <x:c r="Q2429" s="2" t="str">
        <x:v>simulado_didactico</x:v>
      </x:c>
    </x:row>
    <x:row r="2430" ht="19" customHeight="1">
      <x:c r="A2430" s="2" t="str">
        <x:v>SIM-E2-BB-L8-R10</x:v>
      </x:c>
      <x:c r="B2430" s="2" t="n">
        <x:v>5</x:v>
      </x:c>
      <x:c r="C2430" s="2" t="str">
        <x:v>BB</x:v>
      </x:c>
      <x:c r="D2430" s="2" t="str">
        <x:v>Brevicoryne brassicae</x:v>
      </x:c>
      <x:c r="E2430" s="2" t="str">
        <x:v>L8</x:v>
      </x:c>
      <x:c r="F2430" s="2" t="n">
        <x:v>10</x:v>
      </x:c>
      <x:c r="G2430" s="2" t="n">
        <x:v>34</x:v>
      </x:c>
      <x:c r="H2430" s="2" t="n">
        <x:f>G2430+Supuestos!$C$15</x:f>
        <x:v>35</x:v>
      </x:c>
      <x:c r="I2430" s="14" t="n">
        <x:f>E2_plantas!J59+G2430</x:f>
        <x:v>46236</x:v>
      </x:c>
      <x:c r="J2430" s="2" t="str">
        <x:v>muerta</x:v>
      </x:c>
      <x:c r="K2430" s="2" t="n">
        <x:v>0</x:v>
      </x:c>
      <x:c r="L2430" s="2" t="n">
        <x:v>0</x:v>
      </x:c>
      <x:c r="M2430" s="2" t="n">
        <x:f>SUM(L$2396:L2430)</x:f>
        <x:v>28</x:v>
      </x:c>
      <x:c r="N2430" s="2" t="n">
        <x:v>0</x:v>
      </x:c>
      <x:c r="O2430" s="2" t="str">
        <x:v>relleno_postmuerte</x:v>
      </x:c>
      <x:c r="P2430" s="2" t="n">
        <x:v>0</x:v>
      </x:c>
      <x:c r="Q2430" s="2" t="str">
        <x:v>simulado_didactico</x:v>
      </x:c>
    </x:row>
    <x:row r="2431" ht="19" customHeight="1">
      <x:c r="A2431" s="2" t="str">
        <x:v>SIM-E2-BB-L8-R10</x:v>
      </x:c>
      <x:c r="B2431" s="2" t="n">
        <x:v>5</x:v>
      </x:c>
      <x:c r="C2431" s="2" t="str">
        <x:v>BB</x:v>
      </x:c>
      <x:c r="D2431" s="2" t="str">
        <x:v>Brevicoryne brassicae</x:v>
      </x:c>
      <x:c r="E2431" s="2" t="str">
        <x:v>L8</x:v>
      </x:c>
      <x:c r="F2431" s="2" t="n">
        <x:v>10</x:v>
      </x:c>
      <x:c r="G2431" s="2" t="n">
        <x:v>35</x:v>
      </x:c>
      <x:c r="H2431" s="2" t="n">
        <x:f>G2431+Supuestos!$C$15</x:f>
        <x:v>36</x:v>
      </x:c>
      <x:c r="I2431" s="14" t="n">
        <x:f>E2_plantas!J59+G2431</x:f>
        <x:v>46237</x:v>
      </x:c>
      <x:c r="J2431" s="2" t="str">
        <x:v>muerta</x:v>
      </x:c>
      <x:c r="K2431" s="2" t="n">
        <x:v>0</x:v>
      </x:c>
      <x:c r="L2431" s="2" t="n">
        <x:v>0</x:v>
      </x:c>
      <x:c r="M2431" s="2" t="n">
        <x:f>SUM(L$2396:L2431)</x:f>
        <x:v>28</x:v>
      </x:c>
      <x:c r="N2431" s="2" t="n">
        <x:v>0</x:v>
      </x:c>
      <x:c r="O2431" s="2" t="str">
        <x:v>relleno_postmuerte</x:v>
      </x:c>
      <x:c r="P2431" s="2" t="n">
        <x:v>0</x:v>
      </x:c>
      <x:c r="Q2431" s="2" t="str">
        <x:v>simulado_didactico</x:v>
      </x:c>
    </x:row>
    <x:row r="2432" ht="19" customHeight="1">
      <x:c r="A2432" s="2" t="str">
        <x:v>SIM-E2-BB-L8-R10</x:v>
      </x:c>
      <x:c r="B2432" s="2" t="n">
        <x:v>5</x:v>
      </x:c>
      <x:c r="C2432" s="2" t="str">
        <x:v>BB</x:v>
      </x:c>
      <x:c r="D2432" s="2" t="str">
        <x:v>Brevicoryne brassicae</x:v>
      </x:c>
      <x:c r="E2432" s="2" t="str">
        <x:v>L8</x:v>
      </x:c>
      <x:c r="F2432" s="2" t="n">
        <x:v>10</x:v>
      </x:c>
      <x:c r="G2432" s="2" t="n">
        <x:v>36</x:v>
      </x:c>
      <x:c r="H2432" s="2" t="n">
        <x:f>G2432+Supuestos!$C$15</x:f>
        <x:v>37</x:v>
      </x:c>
      <x:c r="I2432" s="14" t="n">
        <x:f>E2_plantas!J59+G2432</x:f>
        <x:v>46238</x:v>
      </x:c>
      <x:c r="J2432" s="2" t="str">
        <x:v>muerta</x:v>
      </x:c>
      <x:c r="K2432" s="2" t="n">
        <x:v>0</x:v>
      </x:c>
      <x:c r="L2432" s="2" t="n">
        <x:v>0</x:v>
      </x:c>
      <x:c r="M2432" s="2" t="n">
        <x:f>SUM(L$2396:L2432)</x:f>
        <x:v>28</x:v>
      </x:c>
      <x:c r="N2432" s="2" t="n">
        <x:v>0</x:v>
      </x:c>
      <x:c r="O2432" s="2" t="str">
        <x:v>relleno_postmuerte</x:v>
      </x:c>
      <x:c r="P2432" s="2" t="n">
        <x:v>0</x:v>
      </x:c>
      <x:c r="Q2432" s="2" t="str">
        <x:v>simulado_didactico</x:v>
      </x:c>
    </x:row>
    <x:row r="2433" ht="19" customHeight="1">
      <x:c r="A2433" s="2" t="str">
        <x:v>SIM-E2-BB-L8-R10</x:v>
      </x:c>
      <x:c r="B2433" s="2" t="n">
        <x:v>5</x:v>
      </x:c>
      <x:c r="C2433" s="2" t="str">
        <x:v>BB</x:v>
      </x:c>
      <x:c r="D2433" s="2" t="str">
        <x:v>Brevicoryne brassicae</x:v>
      </x:c>
      <x:c r="E2433" s="2" t="str">
        <x:v>L8</x:v>
      </x:c>
      <x:c r="F2433" s="2" t="n">
        <x:v>10</x:v>
      </x:c>
      <x:c r="G2433" s="2" t="n">
        <x:v>37</x:v>
      </x:c>
      <x:c r="H2433" s="2" t="n">
        <x:f>G2433+Supuestos!$C$15</x:f>
        <x:v>38</x:v>
      </x:c>
      <x:c r="I2433" s="14" t="n">
        <x:f>E2_plantas!J59+G2433</x:f>
        <x:v>46239</x:v>
      </x:c>
      <x:c r="J2433" s="2" t="str">
        <x:v>muerta</x:v>
      </x:c>
      <x:c r="K2433" s="2" t="n">
        <x:v>0</x:v>
      </x:c>
      <x:c r="L2433" s="2" t="n">
        <x:v>0</x:v>
      </x:c>
      <x:c r="M2433" s="2" t="n">
        <x:f>SUM(L$2396:L2433)</x:f>
        <x:v>28</x:v>
      </x:c>
      <x:c r="N2433" s="2" t="n">
        <x:v>0</x:v>
      </x:c>
      <x:c r="O2433" s="2" t="str">
        <x:v>relleno_postmuerte</x:v>
      </x:c>
      <x:c r="P2433" s="2" t="n">
        <x:v>0</x:v>
      </x:c>
      <x:c r="Q2433" s="2" t="str">
        <x:v>simulado_didactico</x:v>
      </x:c>
    </x:row>
    <x:row r="2434" ht="19" customHeight="1">
      <x:c r="A2434" s="2" t="str">
        <x:v>SIM-E2-BB-L8-R10</x:v>
      </x:c>
      <x:c r="B2434" s="2" t="n">
        <x:v>5</x:v>
      </x:c>
      <x:c r="C2434" s="2" t="str">
        <x:v>BB</x:v>
      </x:c>
      <x:c r="D2434" s="2" t="str">
        <x:v>Brevicoryne brassicae</x:v>
      </x:c>
      <x:c r="E2434" s="2" t="str">
        <x:v>L8</x:v>
      </x:c>
      <x:c r="F2434" s="2" t="n">
        <x:v>10</x:v>
      </x:c>
      <x:c r="G2434" s="2" t="n">
        <x:v>38</x:v>
      </x:c>
      <x:c r="H2434" s="2" t="n">
        <x:f>G2434+Supuestos!$C$15</x:f>
        <x:v>39</x:v>
      </x:c>
      <x:c r="I2434" s="14" t="n">
        <x:f>E2_plantas!J59+G2434</x:f>
        <x:v>46240</x:v>
      </x:c>
      <x:c r="J2434" s="2" t="str">
        <x:v>muerta</x:v>
      </x:c>
      <x:c r="K2434" s="2" t="n">
        <x:v>0</x:v>
      </x:c>
      <x:c r="L2434" s="2" t="n">
        <x:v>0</x:v>
      </x:c>
      <x:c r="M2434" s="2" t="n">
        <x:f>SUM(L$2396:L2434)</x:f>
        <x:v>28</x:v>
      </x:c>
      <x:c r="N2434" s="2" t="n">
        <x:v>0</x:v>
      </x:c>
      <x:c r="O2434" s="2" t="str">
        <x:v>relleno_postmuerte</x:v>
      </x:c>
      <x:c r="P2434" s="2" t="n">
        <x:v>0</x:v>
      </x:c>
      <x:c r="Q2434" s="2" t="str">
        <x:v>simulado_didactico</x:v>
      </x:c>
    </x:row>
    <x:row r="2435" ht="19" customHeight="1">
      <x:c r="A2435" s="2" t="str">
        <x:v>SIM-E2-BB-L8-R10</x:v>
      </x:c>
      <x:c r="B2435" s="2" t="n">
        <x:v>5</x:v>
      </x:c>
      <x:c r="C2435" s="2" t="str">
        <x:v>BB</x:v>
      </x:c>
      <x:c r="D2435" s="2" t="str">
        <x:v>Brevicoryne brassicae</x:v>
      </x:c>
      <x:c r="E2435" s="2" t="str">
        <x:v>L8</x:v>
      </x:c>
      <x:c r="F2435" s="2" t="n">
        <x:v>10</x:v>
      </x:c>
      <x:c r="G2435" s="2" t="n">
        <x:v>39</x:v>
      </x:c>
      <x:c r="H2435" s="2" t="n">
        <x:f>G2435+Supuestos!$C$15</x:f>
        <x:v>40</x:v>
      </x:c>
      <x:c r="I2435" s="14" t="n">
        <x:f>E2_plantas!J59+G2435</x:f>
        <x:v>46241</x:v>
      </x:c>
      <x:c r="J2435" s="2" t="str">
        <x:v>muerta</x:v>
      </x:c>
      <x:c r="K2435" s="2" t="n">
        <x:v>0</x:v>
      </x:c>
      <x:c r="L2435" s="2" t="n">
        <x:v>0</x:v>
      </x:c>
      <x:c r="M2435" s="2" t="n">
        <x:f>SUM(L$2396:L2435)</x:f>
        <x:v>28</x:v>
      </x:c>
      <x:c r="N2435" s="2" t="n">
        <x:v>0</x:v>
      </x:c>
      <x:c r="O2435" s="2" t="str">
        <x:v>relleno_postmuerte</x:v>
      </x:c>
      <x:c r="P2435" s="2" t="n">
        <x:v>0</x:v>
      </x:c>
      <x:c r="Q2435" s="2" t="str">
        <x:v>simulado_didactico</x:v>
      </x:c>
    </x:row>
    <x:row r="2436" ht="19" customHeight="1">
      <x:c r="A2436" s="2" t="str">
        <x:v>SIM-E2-BB-L8-R10</x:v>
      </x:c>
      <x:c r="B2436" s="2" t="n">
        <x:v>5</x:v>
      </x:c>
      <x:c r="C2436" s="2" t="str">
        <x:v>BB</x:v>
      </x:c>
      <x:c r="D2436" s="2" t="str">
        <x:v>Brevicoryne brassicae</x:v>
      </x:c>
      <x:c r="E2436" s="2" t="str">
        <x:v>L8</x:v>
      </x:c>
      <x:c r="F2436" s="2" t="n">
        <x:v>10</x:v>
      </x:c>
      <x:c r="G2436" s="2" t="n">
        <x:v>40</x:v>
      </x:c>
      <x:c r="H2436" s="2" t="n">
        <x:f>G2436+Supuestos!$C$15</x:f>
        <x:v>41</x:v>
      </x:c>
      <x:c r="I2436" s="14" t="n">
        <x:f>E2_plantas!J59+G2436</x:f>
        <x:v>46242</x:v>
      </x:c>
      <x:c r="J2436" s="2" t="str">
        <x:v>muerta</x:v>
      </x:c>
      <x:c r="K2436" s="2" t="n">
        <x:v>0</x:v>
      </x:c>
      <x:c r="L2436" s="2" t="n">
        <x:v>0</x:v>
      </x:c>
      <x:c r="M2436" s="2" t="n">
        <x:f>SUM(L$2396:L2436)</x:f>
        <x:v>28</x:v>
      </x:c>
      <x:c r="N2436" s="2" t="n">
        <x:v>0</x:v>
      </x:c>
      <x:c r="O2436" s="2" t="str">
        <x:v>relleno_postmuerte</x:v>
      </x:c>
      <x:c r="P2436" s="2" t="n">
        <x:v>0</x:v>
      </x:c>
      <x:c r="Q2436" s="2" t="str">
        <x:v>simulado_didactico</x:v>
      </x:c>
    </x:row>
    <x:row r="2437" ht="19" customHeight="1">
      <x:c r="A2437" s="2" t="str">
        <x:v>SIM-E2-BB-L8-R10</x:v>
      </x:c>
      <x:c r="B2437" s="2" t="n">
        <x:v>5</x:v>
      </x:c>
      <x:c r="C2437" s="2" t="str">
        <x:v>BB</x:v>
      </x:c>
      <x:c r="D2437" s="2" t="str">
        <x:v>Brevicoryne brassicae</x:v>
      </x:c>
      <x:c r="E2437" s="2" t="str">
        <x:v>L8</x:v>
      </x:c>
      <x:c r="F2437" s="2" t="n">
        <x:v>10</x:v>
      </x:c>
      <x:c r="G2437" s="2" t="n">
        <x:v>41</x:v>
      </x:c>
      <x:c r="H2437" s="2" t="n">
        <x:f>G2437+Supuestos!$C$15</x:f>
        <x:v>42</x:v>
      </x:c>
      <x:c r="I2437" s="14" t="n">
        <x:f>E2_plantas!J59+G2437</x:f>
        <x:v>46243</x:v>
      </x:c>
      <x:c r="J2437" s="2" t="str">
        <x:v>muerta</x:v>
      </x:c>
      <x:c r="K2437" s="2" t="n">
        <x:v>0</x:v>
      </x:c>
      <x:c r="L2437" s="2" t="n">
        <x:v>0</x:v>
      </x:c>
      <x:c r="M2437" s="2" t="n">
        <x:f>SUM(L$2396:L2437)</x:f>
        <x:v>28</x:v>
      </x:c>
      <x:c r="N2437" s="2" t="n">
        <x:v>0</x:v>
      </x:c>
      <x:c r="O2437" s="2" t="str">
        <x:v>relleno_postmuerte</x:v>
      </x:c>
      <x:c r="P2437" s="2" t="n">
        <x:v>0</x:v>
      </x:c>
      <x:c r="Q2437" s="2" t="str">
        <x:v>simulado_didactico</x:v>
      </x:c>
    </x:row>
    <x:row r="2438" ht="19" customHeight="1">
      <x:c r="A2438" s="2" t="str">
        <x:v>SIM-E2-BB-L7-R09</x:v>
      </x:c>
      <x:c r="B2438" s="2" t="n">
        <x:v>5</x:v>
      </x:c>
      <x:c r="C2438" s="2" t="str">
        <x:v>BB</x:v>
      </x:c>
      <x:c r="D2438" s="2" t="str">
        <x:v>Brevicoryne brassicae</x:v>
      </x:c>
      <x:c r="E2438" s="2" t="str">
        <x:v>L7</x:v>
      </x:c>
      <x:c r="F2438" s="2" t="n">
        <x:v>9</x:v>
      </x:c>
      <x:c r="G2438" s="2" t="n">
        <x:v>0</x:v>
      </x:c>
      <x:c r="H2438" s="2" t="n">
        <x:f>G2438+Supuestos!$C$15</x:f>
        <x:v>1</x:v>
      </x:c>
      <x:c r="I2438" s="14" t="n">
        <x:f>E2_plantas!J60+G2438</x:f>
        <x:v>46202</x:v>
      </x:c>
      <x:c r="J2438" s="2" t="str">
        <x:v>N1</x:v>
      </x:c>
      <x:c r="K2438" s="2" t="n">
        <x:v>1</x:v>
      </x:c>
      <x:c r="L2438" s="2" t="n">
        <x:v>0</x:v>
      </x:c>
      <x:c r="M2438" s="2" t="n">
        <x:f>SUM(L$2438:L2438)</x:f>
        <x:v>0</x:v>
      </x:c>
      <x:c r="N2438" s="2" t="n">
        <x:v>0</x:v>
      </x:c>
      <x:c r="O2438" s="2" t="str">
        <x:v>seguimiento</x:v>
      </x:c>
      <x:c r="P2438" s="2" t="n">
        <x:v>0</x:v>
      </x:c>
      <x:c r="Q2438" s="2" t="str">
        <x:v>simulado_didactico</x:v>
      </x:c>
    </x:row>
    <x:row r="2439" ht="19" customHeight="1">
      <x:c r="A2439" s="2" t="str">
        <x:v>SIM-E2-BB-L7-R09</x:v>
      </x:c>
      <x:c r="B2439" s="2" t="n">
        <x:v>5</x:v>
      </x:c>
      <x:c r="C2439" s="2" t="str">
        <x:v>BB</x:v>
      </x:c>
      <x:c r="D2439" s="2" t="str">
        <x:v>Brevicoryne brassicae</x:v>
      </x:c>
      <x:c r="E2439" s="2" t="str">
        <x:v>L7</x:v>
      </x:c>
      <x:c r="F2439" s="2" t="n">
        <x:v>9</x:v>
      </x:c>
      <x:c r="G2439" s="2" t="n">
        <x:v>1</x:v>
      </x:c>
      <x:c r="H2439" s="2" t="n">
        <x:f>G2439+Supuestos!$C$15</x:f>
        <x:v>2</x:v>
      </x:c>
      <x:c r="I2439" s="14" t="n">
        <x:f>E2_plantas!J60+G2439</x:f>
        <x:v>46203</x:v>
      </x:c>
      <x:c r="J2439" s="2" t="str">
        <x:v>N1</x:v>
      </x:c>
      <x:c r="K2439" s="2" t="n">
        <x:v>1</x:v>
      </x:c>
      <x:c r="L2439" s="2" t="n">
        <x:v>0</x:v>
      </x:c>
      <x:c r="M2439" s="2" t="n">
        <x:f>SUM(L$2438:L2439)</x:f>
        <x:v>0</x:v>
      </x:c>
      <x:c r="N2439" s="2" t="n">
        <x:v>0</x:v>
      </x:c>
      <x:c r="O2439" s="2" t="str">
        <x:v>seguimiento</x:v>
      </x:c>
      <x:c r="P2439" s="2" t="n">
        <x:v>0</x:v>
      </x:c>
      <x:c r="Q2439" s="2" t="str">
        <x:v>simulado_didactico</x:v>
      </x:c>
    </x:row>
    <x:row r="2440" ht="19" customHeight="1">
      <x:c r="A2440" s="2" t="str">
        <x:v>SIM-E2-BB-L7-R09</x:v>
      </x:c>
      <x:c r="B2440" s="2" t="n">
        <x:v>5</x:v>
      </x:c>
      <x:c r="C2440" s="2" t="str">
        <x:v>BB</x:v>
      </x:c>
      <x:c r="D2440" s="2" t="str">
        <x:v>Brevicoryne brassicae</x:v>
      </x:c>
      <x:c r="E2440" s="2" t="str">
        <x:v>L7</x:v>
      </x:c>
      <x:c r="F2440" s="2" t="n">
        <x:v>9</x:v>
      </x:c>
      <x:c r="G2440" s="2" t="n">
        <x:v>2</x:v>
      </x:c>
      <x:c r="H2440" s="2" t="n">
        <x:f>G2440+Supuestos!$C$15</x:f>
        <x:v>3</x:v>
      </x:c>
      <x:c r="I2440" s="14" t="n">
        <x:f>E2_plantas!J60+G2440</x:f>
        <x:v>46204</x:v>
      </x:c>
      <x:c r="J2440" s="2" t="str">
        <x:v>N1</x:v>
      </x:c>
      <x:c r="K2440" s="2" t="n">
        <x:v>1</x:v>
      </x:c>
      <x:c r="L2440" s="2" t="n">
        <x:v>0</x:v>
      </x:c>
      <x:c r="M2440" s="2" t="n">
        <x:f>SUM(L$2438:L2440)</x:f>
        <x:v>0</x:v>
      </x:c>
      <x:c r="N2440" s="2" t="n">
        <x:v>0</x:v>
      </x:c>
      <x:c r="O2440" s="2" t="str">
        <x:v>seguimiento</x:v>
      </x:c>
      <x:c r="P2440" s="2" t="n">
        <x:v>0</x:v>
      </x:c>
      <x:c r="Q2440" s="2" t="str">
        <x:v>simulado_didactico</x:v>
      </x:c>
    </x:row>
    <x:row r="2441" ht="19" customHeight="1">
      <x:c r="A2441" s="2" t="str">
        <x:v>SIM-E2-BB-L7-R09</x:v>
      </x:c>
      <x:c r="B2441" s="2" t="n">
        <x:v>5</x:v>
      </x:c>
      <x:c r="C2441" s="2" t="str">
        <x:v>BB</x:v>
      </x:c>
      <x:c r="D2441" s="2" t="str">
        <x:v>Brevicoryne brassicae</x:v>
      </x:c>
      <x:c r="E2441" s="2" t="str">
        <x:v>L7</x:v>
      </x:c>
      <x:c r="F2441" s="2" t="n">
        <x:v>9</x:v>
      </x:c>
      <x:c r="G2441" s="2" t="n">
        <x:v>3</x:v>
      </x:c>
      <x:c r="H2441" s="2" t="n">
        <x:f>G2441+Supuestos!$C$15</x:f>
        <x:v>4</x:v>
      </x:c>
      <x:c r="I2441" s="14" t="n">
        <x:f>E2_plantas!J60+G2441</x:f>
        <x:v>46205</x:v>
      </x:c>
      <x:c r="J2441" s="2" t="str">
        <x:v>N2</x:v>
      </x:c>
      <x:c r="K2441" s="2" t="n">
        <x:v>1</x:v>
      </x:c>
      <x:c r="L2441" s="2" t="n">
        <x:v>0</x:v>
      </x:c>
      <x:c r="M2441" s="2" t="n">
        <x:f>SUM(L$2438:L2441)</x:f>
        <x:v>0</x:v>
      </x:c>
      <x:c r="N2441" s="2" t="n">
        <x:v>0</x:v>
      </x:c>
      <x:c r="O2441" s="2" t="str">
        <x:v>seguimiento</x:v>
      </x:c>
      <x:c r="P2441" s="2" t="n">
        <x:v>0</x:v>
      </x:c>
      <x:c r="Q2441" s="2" t="str">
        <x:v>simulado_didactico</x:v>
      </x:c>
    </x:row>
    <x:row r="2442" ht="19" customHeight="1">
      <x:c r="A2442" s="2" t="str">
        <x:v>SIM-E2-BB-L7-R09</x:v>
      </x:c>
      <x:c r="B2442" s="2" t="n">
        <x:v>5</x:v>
      </x:c>
      <x:c r="C2442" s="2" t="str">
        <x:v>BB</x:v>
      </x:c>
      <x:c r="D2442" s="2" t="str">
        <x:v>Brevicoryne brassicae</x:v>
      </x:c>
      <x:c r="E2442" s="2" t="str">
        <x:v>L7</x:v>
      </x:c>
      <x:c r="F2442" s="2" t="n">
        <x:v>9</x:v>
      </x:c>
      <x:c r="G2442" s="2" t="n">
        <x:v>4</x:v>
      </x:c>
      <x:c r="H2442" s="2" t="n">
        <x:f>G2442+Supuestos!$C$15</x:f>
        <x:v>5</x:v>
      </x:c>
      <x:c r="I2442" s="14" t="n">
        <x:f>E2_plantas!J60+G2442</x:f>
        <x:v>46206</x:v>
      </x:c>
      <x:c r="J2442" s="2" t="str">
        <x:v>N2</x:v>
      </x:c>
      <x:c r="K2442" s="2" t="n">
        <x:v>1</x:v>
      </x:c>
      <x:c r="L2442" s="2" t="n">
        <x:v>0</x:v>
      </x:c>
      <x:c r="M2442" s="2" t="n">
        <x:f>SUM(L$2438:L2442)</x:f>
        <x:v>0</x:v>
      </x:c>
      <x:c r="N2442" s="2" t="n">
        <x:v>0</x:v>
      </x:c>
      <x:c r="O2442" s="2" t="str">
        <x:v>seguimiento</x:v>
      </x:c>
      <x:c r="P2442" s="2" t="n">
        <x:v>0</x:v>
      </x:c>
      <x:c r="Q2442" s="2" t="str">
        <x:v>simulado_didactico</x:v>
      </x:c>
    </x:row>
    <x:row r="2443" ht="19" customHeight="1">
      <x:c r="A2443" s="2" t="str">
        <x:v>SIM-E2-BB-L7-R09</x:v>
      </x:c>
      <x:c r="B2443" s="2" t="n">
        <x:v>5</x:v>
      </x:c>
      <x:c r="C2443" s="2" t="str">
        <x:v>BB</x:v>
      </x:c>
      <x:c r="D2443" s="2" t="str">
        <x:v>Brevicoryne brassicae</x:v>
      </x:c>
      <x:c r="E2443" s="2" t="str">
        <x:v>L7</x:v>
      </x:c>
      <x:c r="F2443" s="2" t="n">
        <x:v>9</x:v>
      </x:c>
      <x:c r="G2443" s="2" t="n">
        <x:v>5</x:v>
      </x:c>
      <x:c r="H2443" s="2" t="n">
        <x:f>G2443+Supuestos!$C$15</x:f>
        <x:v>6</x:v>
      </x:c>
      <x:c r="I2443" s="14" t="n">
        <x:f>E2_plantas!J60+G2443</x:f>
        <x:v>46207</x:v>
      </x:c>
      <x:c r="J2443" s="2" t="str">
        <x:v>N2</x:v>
      </x:c>
      <x:c r="K2443" s="2" t="n">
        <x:v>1</x:v>
      </x:c>
      <x:c r="L2443" s="2" t="n">
        <x:v>0</x:v>
      </x:c>
      <x:c r="M2443" s="2" t="n">
        <x:f>SUM(L$2438:L2443)</x:f>
        <x:v>0</x:v>
      </x:c>
      <x:c r="N2443" s="2" t="n">
        <x:v>0</x:v>
      </x:c>
      <x:c r="O2443" s="2" t="str">
        <x:v>seguimiento</x:v>
      </x:c>
      <x:c r="P2443" s="2" t="n">
        <x:v>0</x:v>
      </x:c>
      <x:c r="Q2443" s="2" t="str">
        <x:v>simulado_didactico</x:v>
      </x:c>
    </x:row>
    <x:row r="2444" ht="19" customHeight="1">
      <x:c r="A2444" s="2" t="str">
        <x:v>SIM-E2-BB-L7-R09</x:v>
      </x:c>
      <x:c r="B2444" s="2" t="n">
        <x:v>5</x:v>
      </x:c>
      <x:c r="C2444" s="2" t="str">
        <x:v>BB</x:v>
      </x:c>
      <x:c r="D2444" s="2" t="str">
        <x:v>Brevicoryne brassicae</x:v>
      </x:c>
      <x:c r="E2444" s="2" t="str">
        <x:v>L7</x:v>
      </x:c>
      <x:c r="F2444" s="2" t="n">
        <x:v>9</x:v>
      </x:c>
      <x:c r="G2444" s="2" t="n">
        <x:v>6</x:v>
      </x:c>
      <x:c r="H2444" s="2" t="n">
        <x:f>G2444+Supuestos!$C$15</x:f>
        <x:v>7</x:v>
      </x:c>
      <x:c r="I2444" s="14" t="n">
        <x:f>E2_plantas!J60+G2444</x:f>
        <x:v>46208</x:v>
      </x:c>
      <x:c r="J2444" s="2" t="str">
        <x:v>N3</x:v>
      </x:c>
      <x:c r="K2444" s="2" t="n">
        <x:v>1</x:v>
      </x:c>
      <x:c r="L2444" s="2" t="n">
        <x:v>0</x:v>
      </x:c>
      <x:c r="M2444" s="2" t="n">
        <x:f>SUM(L$2438:L2444)</x:f>
        <x:v>0</x:v>
      </x:c>
      <x:c r="N2444" s="2" t="n">
        <x:v>0</x:v>
      </x:c>
      <x:c r="O2444" s="2" t="str">
        <x:v>seguimiento</x:v>
      </x:c>
      <x:c r="P2444" s="2" t="n">
        <x:v>0</x:v>
      </x:c>
      <x:c r="Q2444" s="2" t="str">
        <x:v>simulado_didactico</x:v>
      </x:c>
    </x:row>
    <x:row r="2445" ht="19" customHeight="1">
      <x:c r="A2445" s="2" t="str">
        <x:v>SIM-E2-BB-L7-R09</x:v>
      </x:c>
      <x:c r="B2445" s="2" t="n">
        <x:v>5</x:v>
      </x:c>
      <x:c r="C2445" s="2" t="str">
        <x:v>BB</x:v>
      </x:c>
      <x:c r="D2445" s="2" t="str">
        <x:v>Brevicoryne brassicae</x:v>
      </x:c>
      <x:c r="E2445" s="2" t="str">
        <x:v>L7</x:v>
      </x:c>
      <x:c r="F2445" s="2" t="n">
        <x:v>9</x:v>
      </x:c>
      <x:c r="G2445" s="2" t="n">
        <x:v>7</x:v>
      </x:c>
      <x:c r="H2445" s="2" t="n">
        <x:f>G2445+Supuestos!$C$15</x:f>
        <x:v>8</x:v>
      </x:c>
      <x:c r="I2445" s="14" t="n">
        <x:f>E2_plantas!J60+G2445</x:f>
        <x:v>46209</x:v>
      </x:c>
      <x:c r="J2445" s="2" t="str">
        <x:v>N3</x:v>
      </x:c>
      <x:c r="K2445" s="2" t="n">
        <x:v>1</x:v>
      </x:c>
      <x:c r="L2445" s="2" t="n">
        <x:v>0</x:v>
      </x:c>
      <x:c r="M2445" s="2" t="n">
        <x:f>SUM(L$2438:L2445)</x:f>
        <x:v>0</x:v>
      </x:c>
      <x:c r="N2445" s="2" t="n">
        <x:v>0</x:v>
      </x:c>
      <x:c r="O2445" s="2" t="str">
        <x:v>seguimiento</x:v>
      </x:c>
      <x:c r="P2445" s="2" t="n">
        <x:v>0</x:v>
      </x:c>
      <x:c r="Q2445" s="2" t="str">
        <x:v>simulado_didactico</x:v>
      </x:c>
    </x:row>
    <x:row r="2446" ht="19" customHeight="1">
      <x:c r="A2446" s="2" t="str">
        <x:v>SIM-E2-BB-L7-R09</x:v>
      </x:c>
      <x:c r="B2446" s="2" t="n">
        <x:v>5</x:v>
      </x:c>
      <x:c r="C2446" s="2" t="str">
        <x:v>BB</x:v>
      </x:c>
      <x:c r="D2446" s="2" t="str">
        <x:v>Brevicoryne brassicae</x:v>
      </x:c>
      <x:c r="E2446" s="2" t="str">
        <x:v>L7</x:v>
      </x:c>
      <x:c r="F2446" s="2" t="n">
        <x:v>9</x:v>
      </x:c>
      <x:c r="G2446" s="2" t="n">
        <x:v>8</x:v>
      </x:c>
      <x:c r="H2446" s="2" t="n">
        <x:f>G2446+Supuestos!$C$15</x:f>
        <x:v>9</x:v>
      </x:c>
      <x:c r="I2446" s="14" t="n">
        <x:f>E2_plantas!J60+G2446</x:f>
        <x:v>46210</x:v>
      </x:c>
      <x:c r="J2446" s="2" t="str">
        <x:v>N4</x:v>
      </x:c>
      <x:c r="K2446" s="2" t="n">
        <x:v>1</x:v>
      </x:c>
      <x:c r="L2446" s="2" t="n">
        <x:v>0</x:v>
      </x:c>
      <x:c r="M2446" s="2" t="n">
        <x:f>SUM(L$2438:L2446)</x:f>
        <x:v>0</x:v>
      </x:c>
      <x:c r="N2446" s="2" t="n">
        <x:v>0</x:v>
      </x:c>
      <x:c r="O2446" s="2" t="str">
        <x:v>seguimiento</x:v>
      </x:c>
      <x:c r="P2446" s="2" t="n">
        <x:v>0</x:v>
      </x:c>
      <x:c r="Q2446" s="2" t="str">
        <x:v>simulado_didactico</x:v>
      </x:c>
    </x:row>
    <x:row r="2447" ht="19" customHeight="1">
      <x:c r="A2447" s="2" t="str">
        <x:v>SIM-E2-BB-L7-R09</x:v>
      </x:c>
      <x:c r="B2447" s="2" t="n">
        <x:v>5</x:v>
      </x:c>
      <x:c r="C2447" s="2" t="str">
        <x:v>BB</x:v>
      </x:c>
      <x:c r="D2447" s="2" t="str">
        <x:v>Brevicoryne brassicae</x:v>
      </x:c>
      <x:c r="E2447" s="2" t="str">
        <x:v>L7</x:v>
      </x:c>
      <x:c r="F2447" s="2" t="n">
        <x:v>9</x:v>
      </x:c>
      <x:c r="G2447" s="2" t="n">
        <x:v>9</x:v>
      </x:c>
      <x:c r="H2447" s="2" t="n">
        <x:f>G2447+Supuestos!$C$15</x:f>
        <x:v>10</x:v>
      </x:c>
      <x:c r="I2447" s="14" t="n">
        <x:f>E2_plantas!J60+G2447</x:f>
        <x:v>46211</x:v>
      </x:c>
      <x:c r="J2447" s="2" t="str">
        <x:v>adulta</x:v>
      </x:c>
      <x:c r="K2447" s="2" t="n">
        <x:v>1</x:v>
      </x:c>
      <x:c r="L2447" s="2" t="n">
        <x:v>0</x:v>
      </x:c>
      <x:c r="M2447" s="2" t="n">
        <x:f>SUM(L$2438:L2447)</x:f>
        <x:v>0</x:v>
      </x:c>
      <x:c r="N2447" s="2" t="n">
        <x:v>0</x:v>
      </x:c>
      <x:c r="O2447" s="2" t="str">
        <x:v>seguimiento</x:v>
      </x:c>
      <x:c r="P2447" s="2" t="n">
        <x:v>0</x:v>
      </x:c>
      <x:c r="Q2447" s="2" t="str">
        <x:v>simulado_didactico</x:v>
      </x:c>
    </x:row>
    <x:row r="2448" ht="19" customHeight="1">
      <x:c r="A2448" s="2" t="str">
        <x:v>SIM-E2-BB-L7-R09</x:v>
      </x:c>
      <x:c r="B2448" s="2" t="n">
        <x:v>5</x:v>
      </x:c>
      <x:c r="C2448" s="2" t="str">
        <x:v>BB</x:v>
      </x:c>
      <x:c r="D2448" s="2" t="str">
        <x:v>Brevicoryne brassicae</x:v>
      </x:c>
      <x:c r="E2448" s="2" t="str">
        <x:v>L7</x:v>
      </x:c>
      <x:c r="F2448" s="2" t="n">
        <x:v>9</x:v>
      </x:c>
      <x:c r="G2448" s="2" t="n">
        <x:v>10</x:v>
      </x:c>
      <x:c r="H2448" s="2" t="n">
        <x:f>G2448+Supuestos!$C$15</x:f>
        <x:v>11</x:v>
      </x:c>
      <x:c r="I2448" s="14" t="n">
        <x:f>E2_plantas!J60+G2448</x:f>
        <x:v>46212</x:v>
      </x:c>
      <x:c r="J2448" s="2" t="str">
        <x:v>adulta</x:v>
      </x:c>
      <x:c r="K2448" s="2" t="n">
        <x:v>1</x:v>
      </x:c>
      <x:c r="L2448" s="2" t="n">
        <x:v>0</x:v>
      </x:c>
      <x:c r="M2448" s="2" t="n">
        <x:f>SUM(L$2438:L2448)</x:f>
        <x:v>0</x:v>
      </x:c>
      <x:c r="N2448" s="2" t="n">
        <x:v>0</x:v>
      </x:c>
      <x:c r="O2448" s="2" t="str">
        <x:v>seguimiento</x:v>
      </x:c>
      <x:c r="P2448" s="2" t="n">
        <x:v>0</x:v>
      </x:c>
      <x:c r="Q2448" s="2" t="str">
        <x:v>simulado_didactico</x:v>
      </x:c>
    </x:row>
    <x:row r="2449" ht="19" customHeight="1">
      <x:c r="A2449" s="2" t="str">
        <x:v>SIM-E2-BB-L7-R09</x:v>
      </x:c>
      <x:c r="B2449" s="2" t="n">
        <x:v>5</x:v>
      </x:c>
      <x:c r="C2449" s="2" t="str">
        <x:v>BB</x:v>
      </x:c>
      <x:c r="D2449" s="2" t="str">
        <x:v>Brevicoryne brassicae</x:v>
      </x:c>
      <x:c r="E2449" s="2" t="str">
        <x:v>L7</x:v>
      </x:c>
      <x:c r="F2449" s="2" t="n">
        <x:v>9</x:v>
      </x:c>
      <x:c r="G2449" s="2" t="n">
        <x:v>11</x:v>
      </x:c>
      <x:c r="H2449" s="2" t="n">
        <x:f>G2449+Supuestos!$C$15</x:f>
        <x:v>12</x:v>
      </x:c>
      <x:c r="I2449" s="14" t="n">
        <x:f>E2_plantas!J60+G2449</x:f>
        <x:v>46213</x:v>
      </x:c>
      <x:c r="J2449" s="2" t="str">
        <x:v>adulta</x:v>
      </x:c>
      <x:c r="K2449" s="2" t="n">
        <x:v>1</x:v>
      </x:c>
      <x:c r="L2449" s="2" t="n">
        <x:v>0</x:v>
      </x:c>
      <x:c r="M2449" s="2" t="n">
        <x:f>SUM(L$2438:L2449)</x:f>
        <x:v>0</x:v>
      </x:c>
      <x:c r="N2449" s="2" t="n">
        <x:v>0</x:v>
      </x:c>
      <x:c r="O2449" s="2" t="str">
        <x:v>seguimiento</x:v>
      </x:c>
      <x:c r="P2449" s="2" t="n">
        <x:v>0</x:v>
      </x:c>
      <x:c r="Q2449" s="2" t="str">
        <x:v>simulado_didactico</x:v>
      </x:c>
    </x:row>
    <x:row r="2450" ht="19" customHeight="1">
      <x:c r="A2450" s="2" t="str">
        <x:v>SIM-E2-BB-L7-R09</x:v>
      </x:c>
      <x:c r="B2450" s="2" t="n">
        <x:v>5</x:v>
      </x:c>
      <x:c r="C2450" s="2" t="str">
        <x:v>BB</x:v>
      </x:c>
      <x:c r="D2450" s="2" t="str">
        <x:v>Brevicoryne brassicae</x:v>
      </x:c>
      <x:c r="E2450" s="2" t="str">
        <x:v>L7</x:v>
      </x:c>
      <x:c r="F2450" s="2" t="n">
        <x:v>9</x:v>
      </x:c>
      <x:c r="G2450" s="2" t="n">
        <x:v>12</x:v>
      </x:c>
      <x:c r="H2450" s="2" t="n">
        <x:f>G2450+Supuestos!$C$15</x:f>
        <x:v>13</x:v>
      </x:c>
      <x:c r="I2450" s="14" t="n">
        <x:f>E2_plantas!J60+G2450</x:f>
        <x:v>46214</x:v>
      </x:c>
      <x:c r="J2450" s="2" t="str">
        <x:v>adulta</x:v>
      </x:c>
      <x:c r="K2450" s="2" t="n">
        <x:v>1</x:v>
      </x:c>
      <x:c r="L2450" s="2" t="n">
        <x:v>2</x:v>
      </x:c>
      <x:c r="M2450" s="2" t="n">
        <x:f>SUM(L$2438:L2450)</x:f>
        <x:v>2</x:v>
      </x:c>
      <x:c r="N2450" s="2" t="n">
        <x:v>0</x:v>
      </x:c>
      <x:c r="O2450" s="2" t="str">
        <x:v>seguimiento</x:v>
      </x:c>
      <x:c r="P2450" s="2" t="n">
        <x:v>0</x:v>
      </x:c>
      <x:c r="Q2450" s="2" t="str">
        <x:v>simulado_didactico</x:v>
      </x:c>
    </x:row>
    <x:row r="2451" ht="19" customHeight="1">
      <x:c r="A2451" s="2" t="str">
        <x:v>SIM-E2-BB-L7-R09</x:v>
      </x:c>
      <x:c r="B2451" s="2" t="n">
        <x:v>5</x:v>
      </x:c>
      <x:c r="C2451" s="2" t="str">
        <x:v>BB</x:v>
      </x:c>
      <x:c r="D2451" s="2" t="str">
        <x:v>Brevicoryne brassicae</x:v>
      </x:c>
      <x:c r="E2451" s="2" t="str">
        <x:v>L7</x:v>
      </x:c>
      <x:c r="F2451" s="2" t="n">
        <x:v>9</x:v>
      </x:c>
      <x:c r="G2451" s="2" t="n">
        <x:v>13</x:v>
      </x:c>
      <x:c r="H2451" s="2" t="n">
        <x:f>G2451+Supuestos!$C$15</x:f>
        <x:v>14</x:v>
      </x:c>
      <x:c r="I2451" s="14" t="n">
        <x:f>E2_plantas!J60+G2451</x:f>
        <x:v>46215</x:v>
      </x:c>
      <x:c r="J2451" s="2" t="str">
        <x:v>adulta</x:v>
      </x:c>
      <x:c r="K2451" s="2" t="n">
        <x:v>1</x:v>
      </x:c>
      <x:c r="L2451" s="2" t="n">
        <x:v>3</x:v>
      </x:c>
      <x:c r="M2451" s="2" t="n">
        <x:f>SUM(L$2438:L2451)</x:f>
        <x:v>5</x:v>
      </x:c>
      <x:c r="N2451" s="2" t="n">
        <x:v>0</x:v>
      </x:c>
      <x:c r="O2451" s="2" t="str">
        <x:v>seguimiento</x:v>
      </x:c>
      <x:c r="P2451" s="2" t="n">
        <x:v>0</x:v>
      </x:c>
      <x:c r="Q2451" s="2" t="str">
        <x:v>simulado_didactico</x:v>
      </x:c>
    </x:row>
    <x:row r="2452" ht="19" customHeight="1">
      <x:c r="A2452" s="2" t="str">
        <x:v>SIM-E2-BB-L7-R09</x:v>
      </x:c>
      <x:c r="B2452" s="2" t="n">
        <x:v>5</x:v>
      </x:c>
      <x:c r="C2452" s="2" t="str">
        <x:v>BB</x:v>
      </x:c>
      <x:c r="D2452" s="2" t="str">
        <x:v>Brevicoryne brassicae</x:v>
      </x:c>
      <x:c r="E2452" s="2" t="str">
        <x:v>L7</x:v>
      </x:c>
      <x:c r="F2452" s="2" t="n">
        <x:v>9</x:v>
      </x:c>
      <x:c r="G2452" s="2" t="n">
        <x:v>14</x:v>
      </x:c>
      <x:c r="H2452" s="2" t="n">
        <x:f>G2452+Supuestos!$C$15</x:f>
        <x:v>15</x:v>
      </x:c>
      <x:c r="I2452" s="14" t="n">
        <x:f>E2_plantas!J60+G2452</x:f>
        <x:v>46216</x:v>
      </x:c>
      <x:c r="J2452" s="2" t="str">
        <x:v>adulta</x:v>
      </x:c>
      <x:c r="K2452" s="2" t="n">
        <x:v>1</x:v>
      </x:c>
      <x:c r="L2452" s="2" t="n">
        <x:v>4</x:v>
      </x:c>
      <x:c r="M2452" s="2" t="n">
        <x:f>SUM(L$2438:L2452)</x:f>
        <x:v>9</x:v>
      </x:c>
      <x:c r="N2452" s="2" t="n">
        <x:v>0</x:v>
      </x:c>
      <x:c r="O2452" s="2" t="str">
        <x:v>seguimiento</x:v>
      </x:c>
      <x:c r="P2452" s="2" t="n">
        <x:v>0</x:v>
      </x:c>
      <x:c r="Q2452" s="2" t="str">
        <x:v>simulado_didactico</x:v>
      </x:c>
    </x:row>
    <x:row r="2453" ht="19" customHeight="1">
      <x:c r="A2453" s="2" t="str">
        <x:v>SIM-E2-BB-L7-R09</x:v>
      </x:c>
      <x:c r="B2453" s="2" t="n">
        <x:v>5</x:v>
      </x:c>
      <x:c r="C2453" s="2" t="str">
        <x:v>BB</x:v>
      </x:c>
      <x:c r="D2453" s="2" t="str">
        <x:v>Brevicoryne brassicae</x:v>
      </x:c>
      <x:c r="E2453" s="2" t="str">
        <x:v>L7</x:v>
      </x:c>
      <x:c r="F2453" s="2" t="n">
        <x:v>9</x:v>
      </x:c>
      <x:c r="G2453" s="2" t="n">
        <x:v>15</x:v>
      </x:c>
      <x:c r="H2453" s="2" t="n">
        <x:f>G2453+Supuestos!$C$15</x:f>
        <x:v>16</x:v>
      </x:c>
      <x:c r="I2453" s="14" t="n">
        <x:f>E2_plantas!J60+G2453</x:f>
        <x:v>46217</x:v>
      </x:c>
      <x:c r="J2453" s="2" t="str">
        <x:v>adulta</x:v>
      </x:c>
      <x:c r="K2453" s="2" t="n">
        <x:v>1</x:v>
      </x:c>
      <x:c r="L2453" s="2" t="n">
        <x:v>1</x:v>
      </x:c>
      <x:c r="M2453" s="2" t="n">
        <x:f>SUM(L$2438:L2453)</x:f>
        <x:v>10</x:v>
      </x:c>
      <x:c r="N2453" s="2" t="n">
        <x:v>0</x:v>
      </x:c>
      <x:c r="O2453" s="2" t="str">
        <x:v>seguimiento</x:v>
      </x:c>
      <x:c r="P2453" s="2" t="n">
        <x:v>0</x:v>
      </x:c>
      <x:c r="Q2453" s="2" t="str">
        <x:v>simulado_didactico</x:v>
      </x:c>
    </x:row>
    <x:row r="2454" ht="19" customHeight="1">
      <x:c r="A2454" s="2" t="str">
        <x:v>SIM-E2-BB-L7-R09</x:v>
      </x:c>
      <x:c r="B2454" s="2" t="n">
        <x:v>5</x:v>
      </x:c>
      <x:c r="C2454" s="2" t="str">
        <x:v>BB</x:v>
      </x:c>
      <x:c r="D2454" s="2" t="str">
        <x:v>Brevicoryne brassicae</x:v>
      </x:c>
      <x:c r="E2454" s="2" t="str">
        <x:v>L7</x:v>
      </x:c>
      <x:c r="F2454" s="2" t="n">
        <x:v>9</x:v>
      </x:c>
      <x:c r="G2454" s="2" t="n">
        <x:v>16</x:v>
      </x:c>
      <x:c r="H2454" s="2" t="n">
        <x:f>G2454+Supuestos!$C$15</x:f>
        <x:v>17</x:v>
      </x:c>
      <x:c r="I2454" s="14" t="n">
        <x:f>E2_plantas!J60+G2454</x:f>
        <x:v>46218</x:v>
      </x:c>
      <x:c r="J2454" s="2" t="str">
        <x:v>adulta</x:v>
      </x:c>
      <x:c r="K2454" s="2" t="n">
        <x:v>1</x:v>
      </x:c>
      <x:c r="L2454" s="2" t="n">
        <x:v>1</x:v>
      </x:c>
      <x:c r="M2454" s="2" t="n">
        <x:f>SUM(L$2438:L2454)</x:f>
        <x:v>11</x:v>
      </x:c>
      <x:c r="N2454" s="2" t="n">
        <x:v>0</x:v>
      </x:c>
      <x:c r="O2454" s="2" t="str">
        <x:v>seguimiento</x:v>
      </x:c>
      <x:c r="P2454" s="2" t="n">
        <x:v>0</x:v>
      </x:c>
      <x:c r="Q2454" s="2" t="str">
        <x:v>simulado_didactico</x:v>
      </x:c>
    </x:row>
    <x:row r="2455" ht="19" customHeight="1">
      <x:c r="A2455" s="2" t="str">
        <x:v>SIM-E2-BB-L7-R09</x:v>
      </x:c>
      <x:c r="B2455" s="2" t="n">
        <x:v>5</x:v>
      </x:c>
      <x:c r="C2455" s="2" t="str">
        <x:v>BB</x:v>
      </x:c>
      <x:c r="D2455" s="2" t="str">
        <x:v>Brevicoryne brassicae</x:v>
      </x:c>
      <x:c r="E2455" s="2" t="str">
        <x:v>L7</x:v>
      </x:c>
      <x:c r="F2455" s="2" t="n">
        <x:v>9</x:v>
      </x:c>
      <x:c r="G2455" s="2" t="n">
        <x:v>17</x:v>
      </x:c>
      <x:c r="H2455" s="2" t="n">
        <x:f>G2455+Supuestos!$C$15</x:f>
        <x:v>18</x:v>
      </x:c>
      <x:c r="I2455" s="14" t="n">
        <x:f>E2_plantas!J60+G2455</x:f>
        <x:v>46219</x:v>
      </x:c>
      <x:c r="J2455" s="2" t="str">
        <x:v>adulta</x:v>
      </x:c>
      <x:c r="K2455" s="2" t="n">
        <x:v>1</x:v>
      </x:c>
      <x:c r="L2455" s="2" t="n">
        <x:v>3</x:v>
      </x:c>
      <x:c r="M2455" s="2" t="n">
        <x:f>SUM(L$2438:L2455)</x:f>
        <x:v>14</x:v>
      </x:c>
      <x:c r="N2455" s="2" t="n">
        <x:v>0</x:v>
      </x:c>
      <x:c r="O2455" s="2" t="str">
        <x:v>seguimiento</x:v>
      </x:c>
      <x:c r="P2455" s="2" t="n">
        <x:v>0</x:v>
      </x:c>
      <x:c r="Q2455" s="2" t="str">
        <x:v>simulado_didactico</x:v>
      </x:c>
    </x:row>
    <x:row r="2456" ht="19" customHeight="1">
      <x:c r="A2456" s="2" t="str">
        <x:v>SIM-E2-BB-L7-R09</x:v>
      </x:c>
      <x:c r="B2456" s="2" t="n">
        <x:v>5</x:v>
      </x:c>
      <x:c r="C2456" s="2" t="str">
        <x:v>BB</x:v>
      </x:c>
      <x:c r="D2456" s="2" t="str">
        <x:v>Brevicoryne brassicae</x:v>
      </x:c>
      <x:c r="E2456" s="2" t="str">
        <x:v>L7</x:v>
      </x:c>
      <x:c r="F2456" s="2" t="n">
        <x:v>9</x:v>
      </x:c>
      <x:c r="G2456" s="2" t="n">
        <x:v>18</x:v>
      </x:c>
      <x:c r="H2456" s="2" t="n">
        <x:f>G2456+Supuestos!$C$15</x:f>
        <x:v>19</x:v>
      </x:c>
      <x:c r="I2456" s="14" t="n">
        <x:f>E2_plantas!J60+G2456</x:f>
        <x:v>46220</x:v>
      </x:c>
      <x:c r="J2456" s="2" t="str">
        <x:v>adulta</x:v>
      </x:c>
      <x:c r="K2456" s="2" t="n">
        <x:v>1</x:v>
      </x:c>
      <x:c r="L2456" s="2" t="n">
        <x:v>2</x:v>
      </x:c>
      <x:c r="M2456" s="2" t="n">
        <x:f>SUM(L$2438:L2456)</x:f>
        <x:v>16</x:v>
      </x:c>
      <x:c r="N2456" s="2" t="n">
        <x:v>0</x:v>
      </x:c>
      <x:c r="O2456" s="2" t="str">
        <x:v>seguimiento</x:v>
      </x:c>
      <x:c r="P2456" s="2" t="n">
        <x:v>0</x:v>
      </x:c>
      <x:c r="Q2456" s="2" t="str">
        <x:v>simulado_didactico</x:v>
      </x:c>
    </x:row>
    <x:row r="2457" ht="19" customHeight="1">
      <x:c r="A2457" s="2" t="str">
        <x:v>SIM-E2-BB-L7-R09</x:v>
      </x:c>
      <x:c r="B2457" s="2" t="n">
        <x:v>5</x:v>
      </x:c>
      <x:c r="C2457" s="2" t="str">
        <x:v>BB</x:v>
      </x:c>
      <x:c r="D2457" s="2" t="str">
        <x:v>Brevicoryne brassicae</x:v>
      </x:c>
      <x:c r="E2457" s="2" t="str">
        <x:v>L7</x:v>
      </x:c>
      <x:c r="F2457" s="2" t="n">
        <x:v>9</x:v>
      </x:c>
      <x:c r="G2457" s="2" t="n">
        <x:v>19</x:v>
      </x:c>
      <x:c r="H2457" s="2" t="n">
        <x:f>G2457+Supuestos!$C$15</x:f>
        <x:v>20</x:v>
      </x:c>
      <x:c r="I2457" s="14" t="n">
        <x:f>E2_plantas!J60+G2457</x:f>
        <x:v>46221</x:v>
      </x:c>
      <x:c r="J2457" s="2" t="str">
        <x:v>adulta</x:v>
      </x:c>
      <x:c r="K2457" s="2" t="n">
        <x:v>1</x:v>
      </x:c>
      <x:c r="L2457" s="2" t="n">
        <x:v>4</x:v>
      </x:c>
      <x:c r="M2457" s="2" t="n">
        <x:f>SUM(L$2438:L2457)</x:f>
        <x:v>20</x:v>
      </x:c>
      <x:c r="N2457" s="2" t="n">
        <x:v>0</x:v>
      </x:c>
      <x:c r="O2457" s="2" t="str">
        <x:v>seguimiento</x:v>
      </x:c>
      <x:c r="P2457" s="2" t="n">
        <x:v>0</x:v>
      </x:c>
      <x:c r="Q2457" s="2" t="str">
        <x:v>simulado_didactico</x:v>
      </x:c>
    </x:row>
    <x:row r="2458" ht="19" customHeight="1">
      <x:c r="A2458" s="2" t="str">
        <x:v>SIM-E2-BB-L7-R09</x:v>
      </x:c>
      <x:c r="B2458" s="2" t="n">
        <x:v>5</x:v>
      </x:c>
      <x:c r="C2458" s="2" t="str">
        <x:v>BB</x:v>
      </x:c>
      <x:c r="D2458" s="2" t="str">
        <x:v>Brevicoryne brassicae</x:v>
      </x:c>
      <x:c r="E2458" s="2" t="str">
        <x:v>L7</x:v>
      </x:c>
      <x:c r="F2458" s="2" t="n">
        <x:v>9</x:v>
      </x:c>
      <x:c r="G2458" s="2" t="n">
        <x:v>20</x:v>
      </x:c>
      <x:c r="H2458" s="2" t="n">
        <x:f>G2458+Supuestos!$C$15</x:f>
        <x:v>21</x:v>
      </x:c>
      <x:c r="I2458" s="14" t="n">
        <x:f>E2_plantas!J60+G2458</x:f>
        <x:v>46222</x:v>
      </x:c>
      <x:c r="J2458" s="2" t="str">
        <x:v>adulta</x:v>
      </x:c>
      <x:c r="K2458" s="2" t="n">
        <x:v>1</x:v>
      </x:c>
      <x:c r="L2458" s="2" t="n">
        <x:v>0</x:v>
      </x:c>
      <x:c r="M2458" s="2" t="n">
        <x:f>SUM(L$2438:L2458)</x:f>
        <x:v>20</x:v>
      </x:c>
      <x:c r="N2458" s="2" t="n">
        <x:v>0</x:v>
      </x:c>
      <x:c r="O2458" s="2" t="str">
        <x:v>seguimiento</x:v>
      </x:c>
      <x:c r="P2458" s="2" t="n">
        <x:v>0</x:v>
      </x:c>
      <x:c r="Q2458" s="2" t="str">
        <x:v>simulado_didactico</x:v>
      </x:c>
    </x:row>
    <x:row r="2459" ht="19" customHeight="1">
      <x:c r="A2459" s="2" t="str">
        <x:v>SIM-E2-BB-L7-R09</x:v>
      </x:c>
      <x:c r="B2459" s="2" t="n">
        <x:v>5</x:v>
      </x:c>
      <x:c r="C2459" s="2" t="str">
        <x:v>BB</x:v>
      </x:c>
      <x:c r="D2459" s="2" t="str">
        <x:v>Brevicoryne brassicae</x:v>
      </x:c>
      <x:c r="E2459" s="2" t="str">
        <x:v>L7</x:v>
      </x:c>
      <x:c r="F2459" s="2" t="n">
        <x:v>9</x:v>
      </x:c>
      <x:c r="G2459" s="2" t="n">
        <x:v>21</x:v>
      </x:c>
      <x:c r="H2459" s="2" t="n">
        <x:f>G2459+Supuestos!$C$15</x:f>
        <x:v>22</x:v>
      </x:c>
      <x:c r="I2459" s="14" t="n">
        <x:f>E2_plantas!J60+G2459</x:f>
        <x:v>46223</x:v>
      </x:c>
      <x:c r="J2459" s="2" t="str">
        <x:v>adulta</x:v>
      </x:c>
      <x:c r="K2459" s="2" t="n">
        <x:v>1</x:v>
      </x:c>
      <x:c r="L2459" s="2" t="n">
        <x:v>6</x:v>
      </x:c>
      <x:c r="M2459" s="2" t="n">
        <x:f>SUM(L$2438:L2459)</x:f>
        <x:v>26</x:v>
      </x:c>
      <x:c r="N2459" s="2" t="n">
        <x:v>0</x:v>
      </x:c>
      <x:c r="O2459" s="2" t="str">
        <x:v>seguimiento</x:v>
      </x:c>
      <x:c r="P2459" s="2" t="n">
        <x:v>0</x:v>
      </x:c>
      <x:c r="Q2459" s="2" t="str">
        <x:v>simulado_didactico</x:v>
      </x:c>
    </x:row>
    <x:row r="2460" ht="19" customHeight="1">
      <x:c r="A2460" s="2" t="str">
        <x:v>SIM-E2-BB-L7-R09</x:v>
      </x:c>
      <x:c r="B2460" s="2" t="n">
        <x:v>5</x:v>
      </x:c>
      <x:c r="C2460" s="2" t="str">
        <x:v>BB</x:v>
      </x:c>
      <x:c r="D2460" s="2" t="str">
        <x:v>Brevicoryne brassicae</x:v>
      </x:c>
      <x:c r="E2460" s="2" t="str">
        <x:v>L7</x:v>
      </x:c>
      <x:c r="F2460" s="2" t="n">
        <x:v>9</x:v>
      </x:c>
      <x:c r="G2460" s="2" t="n">
        <x:v>22</x:v>
      </x:c>
      <x:c r="H2460" s="2" t="n">
        <x:f>G2460+Supuestos!$C$15</x:f>
        <x:v>23</x:v>
      </x:c>
      <x:c r="I2460" s="14" t="n">
        <x:f>E2_plantas!J60+G2460</x:f>
        <x:v>46224</x:v>
      </x:c>
      <x:c r="J2460" s="2" t="str">
        <x:v>adulta</x:v>
      </x:c>
      <x:c r="K2460" s="2" t="n">
        <x:v>1</x:v>
      </x:c>
      <x:c r="L2460" s="2" t="n">
        <x:v>2</x:v>
      </x:c>
      <x:c r="M2460" s="2" t="n">
        <x:f>SUM(L$2438:L2460)</x:f>
        <x:v>28</x:v>
      </x:c>
      <x:c r="N2460" s="2" t="n">
        <x:v>0</x:v>
      </x:c>
      <x:c r="O2460" s="2" t="str">
        <x:v>seguimiento</x:v>
      </x:c>
      <x:c r="P2460" s="2" t="n">
        <x:v>0</x:v>
      </x:c>
      <x:c r="Q2460" s="2" t="str">
        <x:v>simulado_didactico</x:v>
      </x:c>
    </x:row>
    <x:row r="2461" ht="19" customHeight="1">
      <x:c r="A2461" s="2" t="str">
        <x:v>SIM-E2-BB-L7-R09</x:v>
      </x:c>
      <x:c r="B2461" s="2" t="n">
        <x:v>5</x:v>
      </x:c>
      <x:c r="C2461" s="2" t="str">
        <x:v>BB</x:v>
      </x:c>
      <x:c r="D2461" s="2" t="str">
        <x:v>Brevicoryne brassicae</x:v>
      </x:c>
      <x:c r="E2461" s="2" t="str">
        <x:v>L7</x:v>
      </x:c>
      <x:c r="F2461" s="2" t="n">
        <x:v>9</x:v>
      </x:c>
      <x:c r="G2461" s="2" t="n">
        <x:v>23</x:v>
      </x:c>
      <x:c r="H2461" s="2" t="n">
        <x:f>G2461+Supuestos!$C$15</x:f>
        <x:v>24</x:v>
      </x:c>
      <x:c r="I2461" s="14" t="n">
        <x:f>E2_plantas!J60+G2461</x:f>
        <x:v>46225</x:v>
      </x:c>
      <x:c r="J2461" s="2" t="str">
        <x:v>adulta</x:v>
      </x:c>
      <x:c r="K2461" s="2" t="n">
        <x:v>1</x:v>
      </x:c>
      <x:c r="L2461" s="2" t="n">
        <x:v>1</x:v>
      </x:c>
      <x:c r="M2461" s="2" t="n">
        <x:f>SUM(L$2438:L2461)</x:f>
        <x:v>29</x:v>
      </x:c>
      <x:c r="N2461" s="2" t="n">
        <x:v>0</x:v>
      </x:c>
      <x:c r="O2461" s="2" t="str">
        <x:v>seguimiento</x:v>
      </x:c>
      <x:c r="P2461" s="2" t="n">
        <x:v>0</x:v>
      </x:c>
      <x:c r="Q2461" s="2" t="str">
        <x:v>simulado_didactico</x:v>
      </x:c>
    </x:row>
    <x:row r="2462" ht="19" customHeight="1">
      <x:c r="A2462" s="2" t="str">
        <x:v>SIM-E2-BB-L7-R09</x:v>
      </x:c>
      <x:c r="B2462" s="2" t="n">
        <x:v>5</x:v>
      </x:c>
      <x:c r="C2462" s="2" t="str">
        <x:v>BB</x:v>
      </x:c>
      <x:c r="D2462" s="2" t="str">
        <x:v>Brevicoryne brassicae</x:v>
      </x:c>
      <x:c r="E2462" s="2" t="str">
        <x:v>L7</x:v>
      </x:c>
      <x:c r="F2462" s="2" t="n">
        <x:v>9</x:v>
      </x:c>
      <x:c r="G2462" s="2" t="n">
        <x:v>24</x:v>
      </x:c>
      <x:c r="H2462" s="2" t="n">
        <x:f>G2462+Supuestos!$C$15</x:f>
        <x:v>25</x:v>
      </x:c>
      <x:c r="I2462" s="14" t="n">
        <x:f>E2_plantas!J60+G2462</x:f>
        <x:v>46226</x:v>
      </x:c>
      <x:c r="J2462" s="2" t="str">
        <x:v>adulta</x:v>
      </x:c>
      <x:c r="K2462" s="2" t="n">
        <x:v>1</x:v>
      </x:c>
      <x:c r="L2462" s="2" t="n">
        <x:v>3</x:v>
      </x:c>
      <x:c r="M2462" s="2" t="n">
        <x:f>SUM(L$2438:L2462)</x:f>
        <x:v>32</x:v>
      </x:c>
      <x:c r="N2462" s="2" t="n">
        <x:v>0</x:v>
      </x:c>
      <x:c r="O2462" s="2" t="str">
        <x:v>seguimiento</x:v>
      </x:c>
      <x:c r="P2462" s="2" t="n">
        <x:v>0</x:v>
      </x:c>
      <x:c r="Q2462" s="2" t="str">
        <x:v>simulado_didactico</x:v>
      </x:c>
    </x:row>
    <x:row r="2463" ht="19" customHeight="1">
      <x:c r="A2463" s="2" t="str">
        <x:v>SIM-E2-BB-L7-R09</x:v>
      </x:c>
      <x:c r="B2463" s="2" t="n">
        <x:v>5</x:v>
      </x:c>
      <x:c r="C2463" s="2" t="str">
        <x:v>BB</x:v>
      </x:c>
      <x:c r="D2463" s="2" t="str">
        <x:v>Brevicoryne brassicae</x:v>
      </x:c>
      <x:c r="E2463" s="2" t="str">
        <x:v>L7</x:v>
      </x:c>
      <x:c r="F2463" s="2" t="n">
        <x:v>9</x:v>
      </x:c>
      <x:c r="G2463" s="2" t="n">
        <x:v>25</x:v>
      </x:c>
      <x:c r="H2463" s="2" t="n">
        <x:f>G2463+Supuestos!$C$15</x:f>
        <x:v>26</x:v>
      </x:c>
      <x:c r="I2463" s="14" t="n">
        <x:f>E2_plantas!J60+G2463</x:f>
        <x:v>46227</x:v>
      </x:c>
      <x:c r="J2463" s="2" t="str">
        <x:v>adulta</x:v>
      </x:c>
      <x:c r="K2463" s="2" t="n">
        <x:v>1</x:v>
      </x:c>
      <x:c r="L2463" s="2" t="n">
        <x:v>1</x:v>
      </x:c>
      <x:c r="M2463" s="2" t="n">
        <x:f>SUM(L$2438:L2463)</x:f>
        <x:v>33</x:v>
      </x:c>
      <x:c r="N2463" s="2" t="n">
        <x:v>0</x:v>
      </x:c>
      <x:c r="O2463" s="2" t="str">
        <x:v>seguimiento</x:v>
      </x:c>
      <x:c r="P2463" s="2" t="n">
        <x:v>0</x:v>
      </x:c>
      <x:c r="Q2463" s="2" t="str">
        <x:v>simulado_didactico</x:v>
      </x:c>
    </x:row>
    <x:row r="2464" ht="19" customHeight="1">
      <x:c r="A2464" s="2" t="str">
        <x:v>SIM-E2-BB-L7-R09</x:v>
      </x:c>
      <x:c r="B2464" s="2" t="n">
        <x:v>5</x:v>
      </x:c>
      <x:c r="C2464" s="2" t="str">
        <x:v>BB</x:v>
      </x:c>
      <x:c r="D2464" s="2" t="str">
        <x:v>Brevicoryne brassicae</x:v>
      </x:c>
      <x:c r="E2464" s="2" t="str">
        <x:v>L7</x:v>
      </x:c>
      <x:c r="F2464" s="2" t="n">
        <x:v>9</x:v>
      </x:c>
      <x:c r="G2464" s="2" t="n">
        <x:v>26</x:v>
      </x:c>
      <x:c r="H2464" s="2" t="n">
        <x:f>G2464+Supuestos!$C$15</x:f>
        <x:v>27</x:v>
      </x:c>
      <x:c r="I2464" s="14" t="n">
        <x:f>E2_plantas!J60+G2464</x:f>
        <x:v>46228</x:v>
      </x:c>
      <x:c r="J2464" s="2" t="str">
        <x:v>adulta</x:v>
      </x:c>
      <x:c r="K2464" s="2" t="n">
        <x:v>1</x:v>
      </x:c>
      <x:c r="L2464" s="2" t="n">
        <x:v>0</x:v>
      </x:c>
      <x:c r="M2464" s="2" t="n">
        <x:f>SUM(L$2438:L2464)</x:f>
        <x:v>33</x:v>
      </x:c>
      <x:c r="N2464" s="2" t="n">
        <x:v>0</x:v>
      </x:c>
      <x:c r="O2464" s="2" t="str">
        <x:v>seguimiento</x:v>
      </x:c>
      <x:c r="P2464" s="2" t="n">
        <x:v>0</x:v>
      </x:c>
      <x:c r="Q2464" s="2" t="str">
        <x:v>simulado_didactico</x:v>
      </x:c>
    </x:row>
    <x:row r="2465" ht="19" customHeight="1">
      <x:c r="A2465" s="2" t="str">
        <x:v>SIM-E2-BB-L7-R09</x:v>
      </x:c>
      <x:c r="B2465" s="2" t="n">
        <x:v>5</x:v>
      </x:c>
      <x:c r="C2465" s="2" t="str">
        <x:v>BB</x:v>
      </x:c>
      <x:c r="D2465" s="2" t="str">
        <x:v>Brevicoryne brassicae</x:v>
      </x:c>
      <x:c r="E2465" s="2" t="str">
        <x:v>L7</x:v>
      </x:c>
      <x:c r="F2465" s="2" t="n">
        <x:v>9</x:v>
      </x:c>
      <x:c r="G2465" s="2" t="n">
        <x:v>27</x:v>
      </x:c>
      <x:c r="H2465" s="2" t="n">
        <x:f>G2465+Supuestos!$C$15</x:f>
        <x:v>28</x:v>
      </x:c>
      <x:c r="I2465" s="14" t="n">
        <x:f>E2_plantas!J60+G2465</x:f>
        <x:v>46229</x:v>
      </x:c>
      <x:c r="J2465" s="2" t="str">
        <x:v>adulta</x:v>
      </x:c>
      <x:c r="K2465" s="2" t="n">
        <x:v>1</x:v>
      </x:c>
      <x:c r="L2465" s="2" t="n">
        <x:v>0</x:v>
      </x:c>
      <x:c r="M2465" s="2" t="n">
        <x:f>SUM(L$2438:L2465)</x:f>
        <x:v>33</x:v>
      </x:c>
      <x:c r="N2465" s="2" t="n">
        <x:v>0</x:v>
      </x:c>
      <x:c r="O2465" s="2" t="str">
        <x:v>seguimiento</x:v>
      </x:c>
      <x:c r="P2465" s="2" t="n">
        <x:v>0</x:v>
      </x:c>
      <x:c r="Q2465" s="2" t="str">
        <x:v>simulado_didactico</x:v>
      </x:c>
    </x:row>
    <x:row r="2466" ht="19" customHeight="1">
      <x:c r="A2466" s="2" t="str">
        <x:v>SIM-E2-BB-L7-R09</x:v>
      </x:c>
      <x:c r="B2466" s="2" t="n">
        <x:v>5</x:v>
      </x:c>
      <x:c r="C2466" s="2" t="str">
        <x:v>BB</x:v>
      </x:c>
      <x:c r="D2466" s="2" t="str">
        <x:v>Brevicoryne brassicae</x:v>
      </x:c>
      <x:c r="E2466" s="2" t="str">
        <x:v>L7</x:v>
      </x:c>
      <x:c r="F2466" s="2" t="n">
        <x:v>9</x:v>
      </x:c>
      <x:c r="G2466" s="2" t="n">
        <x:v>28</x:v>
      </x:c>
      <x:c r="H2466" s="2" t="n">
        <x:f>G2466+Supuestos!$C$15</x:f>
        <x:v>29</x:v>
      </x:c>
      <x:c r="I2466" s="14" t="n">
        <x:f>E2_plantas!J60+G2466</x:f>
        <x:v>46230</x:v>
      </x:c>
      <x:c r="J2466" s="2" t="str">
        <x:v>muerta</x:v>
      </x:c>
      <x:c r="K2466" s="2" t="n">
        <x:v>0</x:v>
      </x:c>
      <x:c r="L2466" s="2" t="n">
        <x:v>0</x:v>
      </x:c>
      <x:c r="M2466" s="2" t="n">
        <x:f>SUM(L$2438:L2466)</x:f>
        <x:v>33</x:v>
      </x:c>
      <x:c r="N2466" s="2" t="n">
        <x:v>1</x:v>
      </x:c>
      <x:c r="O2466" s="2" t="str">
        <x:v>muerte</x:v>
      </x:c>
      <x:c r="P2466" s="2" t="n">
        <x:v>0</x:v>
      </x:c>
      <x:c r="Q2466" s="2" t="str">
        <x:v>simulado_didactico</x:v>
      </x:c>
    </x:row>
    <x:row r="2467" ht="19" customHeight="1">
      <x:c r="A2467" s="2" t="str">
        <x:v>SIM-E2-BB-L7-R09</x:v>
      </x:c>
      <x:c r="B2467" s="2" t="n">
        <x:v>5</x:v>
      </x:c>
      <x:c r="C2467" s="2" t="str">
        <x:v>BB</x:v>
      </x:c>
      <x:c r="D2467" s="2" t="str">
        <x:v>Brevicoryne brassicae</x:v>
      </x:c>
      <x:c r="E2467" s="2" t="str">
        <x:v>L7</x:v>
      </x:c>
      <x:c r="F2467" s="2" t="n">
        <x:v>9</x:v>
      </x:c>
      <x:c r="G2467" s="2" t="n">
        <x:v>29</x:v>
      </x:c>
      <x:c r="H2467" s="2" t="n">
        <x:f>G2467+Supuestos!$C$15</x:f>
        <x:v>30</x:v>
      </x:c>
      <x:c r="I2467" s="14" t="n">
        <x:f>E2_plantas!J60+G2467</x:f>
        <x:v>46231</x:v>
      </x:c>
      <x:c r="J2467" s="2" t="str">
        <x:v>muerta</x:v>
      </x:c>
      <x:c r="K2467" s="2" t="n">
        <x:v>0</x:v>
      </x:c>
      <x:c r="L2467" s="2" t="n">
        <x:v>0</x:v>
      </x:c>
      <x:c r="M2467" s="2" t="n">
        <x:f>SUM(L$2438:L2467)</x:f>
        <x:v>33</x:v>
      </x:c>
      <x:c r="N2467" s="2" t="n">
        <x:v>0</x:v>
      </x:c>
      <x:c r="O2467" s="2" t="str">
        <x:v>relleno_postmuerte</x:v>
      </x:c>
      <x:c r="P2467" s="2" t="n">
        <x:v>0</x:v>
      </x:c>
      <x:c r="Q2467" s="2" t="str">
        <x:v>simulado_didactico</x:v>
      </x:c>
    </x:row>
    <x:row r="2468" ht="19" customHeight="1">
      <x:c r="A2468" s="2" t="str">
        <x:v>SIM-E2-BB-L7-R09</x:v>
      </x:c>
      <x:c r="B2468" s="2" t="n">
        <x:v>5</x:v>
      </x:c>
      <x:c r="C2468" s="2" t="str">
        <x:v>BB</x:v>
      </x:c>
      <x:c r="D2468" s="2" t="str">
        <x:v>Brevicoryne brassicae</x:v>
      </x:c>
      <x:c r="E2468" s="2" t="str">
        <x:v>L7</x:v>
      </x:c>
      <x:c r="F2468" s="2" t="n">
        <x:v>9</x:v>
      </x:c>
      <x:c r="G2468" s="2" t="n">
        <x:v>30</x:v>
      </x:c>
      <x:c r="H2468" s="2" t="n">
        <x:f>G2468+Supuestos!$C$15</x:f>
        <x:v>31</x:v>
      </x:c>
      <x:c r="I2468" s="14" t="n">
        <x:f>E2_plantas!J60+G2468</x:f>
        <x:v>46232</x:v>
      </x:c>
      <x:c r="J2468" s="2" t="str">
        <x:v>muerta</x:v>
      </x:c>
      <x:c r="K2468" s="2" t="n">
        <x:v>0</x:v>
      </x:c>
      <x:c r="L2468" s="2" t="n">
        <x:v>0</x:v>
      </x:c>
      <x:c r="M2468" s="2" t="n">
        <x:f>SUM(L$2438:L2468)</x:f>
        <x:v>33</x:v>
      </x:c>
      <x:c r="N2468" s="2" t="n">
        <x:v>0</x:v>
      </x:c>
      <x:c r="O2468" s="2" t="str">
        <x:v>relleno_postmuerte</x:v>
      </x:c>
      <x:c r="P2468" s="2" t="n">
        <x:v>0</x:v>
      </x:c>
      <x:c r="Q2468" s="2" t="str">
        <x:v>simulado_didactico</x:v>
      </x:c>
    </x:row>
    <x:row r="2469" ht="19" customHeight="1">
      <x:c r="A2469" s="2" t="str">
        <x:v>SIM-E2-BB-L7-R09</x:v>
      </x:c>
      <x:c r="B2469" s="2" t="n">
        <x:v>5</x:v>
      </x:c>
      <x:c r="C2469" s="2" t="str">
        <x:v>BB</x:v>
      </x:c>
      <x:c r="D2469" s="2" t="str">
        <x:v>Brevicoryne brassicae</x:v>
      </x:c>
      <x:c r="E2469" s="2" t="str">
        <x:v>L7</x:v>
      </x:c>
      <x:c r="F2469" s="2" t="n">
        <x:v>9</x:v>
      </x:c>
      <x:c r="G2469" s="2" t="n">
        <x:v>31</x:v>
      </x:c>
      <x:c r="H2469" s="2" t="n">
        <x:f>G2469+Supuestos!$C$15</x:f>
        <x:v>32</x:v>
      </x:c>
      <x:c r="I2469" s="14" t="n">
        <x:f>E2_plantas!J60+G2469</x:f>
        <x:v>46233</x:v>
      </x:c>
      <x:c r="J2469" s="2" t="str">
        <x:v>muerta</x:v>
      </x:c>
      <x:c r="K2469" s="2" t="n">
        <x:v>0</x:v>
      </x:c>
      <x:c r="L2469" s="2" t="n">
        <x:v>0</x:v>
      </x:c>
      <x:c r="M2469" s="2" t="n">
        <x:f>SUM(L$2438:L2469)</x:f>
        <x:v>33</x:v>
      </x:c>
      <x:c r="N2469" s="2" t="n">
        <x:v>0</x:v>
      </x:c>
      <x:c r="O2469" s="2" t="str">
        <x:v>relleno_postmuerte</x:v>
      </x:c>
      <x:c r="P2469" s="2" t="n">
        <x:v>0</x:v>
      </x:c>
      <x:c r="Q2469" s="2" t="str">
        <x:v>simulado_didactico</x:v>
      </x:c>
    </x:row>
    <x:row r="2470" ht="19" customHeight="1">
      <x:c r="A2470" s="2" t="str">
        <x:v>SIM-E2-BB-L7-R09</x:v>
      </x:c>
      <x:c r="B2470" s="2" t="n">
        <x:v>5</x:v>
      </x:c>
      <x:c r="C2470" s="2" t="str">
        <x:v>BB</x:v>
      </x:c>
      <x:c r="D2470" s="2" t="str">
        <x:v>Brevicoryne brassicae</x:v>
      </x:c>
      <x:c r="E2470" s="2" t="str">
        <x:v>L7</x:v>
      </x:c>
      <x:c r="F2470" s="2" t="n">
        <x:v>9</x:v>
      </x:c>
      <x:c r="G2470" s="2" t="n">
        <x:v>32</x:v>
      </x:c>
      <x:c r="H2470" s="2" t="n">
        <x:f>G2470+Supuestos!$C$15</x:f>
        <x:v>33</x:v>
      </x:c>
      <x:c r="I2470" s="14" t="n">
        <x:f>E2_plantas!J60+G2470</x:f>
        <x:v>46234</x:v>
      </x:c>
      <x:c r="J2470" s="2" t="str">
        <x:v>muerta</x:v>
      </x:c>
      <x:c r="K2470" s="2" t="n">
        <x:v>0</x:v>
      </x:c>
      <x:c r="L2470" s="2" t="n">
        <x:v>0</x:v>
      </x:c>
      <x:c r="M2470" s="2" t="n">
        <x:f>SUM(L$2438:L2470)</x:f>
        <x:v>33</x:v>
      </x:c>
      <x:c r="N2470" s="2" t="n">
        <x:v>0</x:v>
      </x:c>
      <x:c r="O2470" s="2" t="str">
        <x:v>relleno_postmuerte</x:v>
      </x:c>
      <x:c r="P2470" s="2" t="n">
        <x:v>0</x:v>
      </x:c>
      <x:c r="Q2470" s="2" t="str">
        <x:v>simulado_didactico</x:v>
      </x:c>
    </x:row>
    <x:row r="2471" ht="19" customHeight="1">
      <x:c r="A2471" s="2" t="str">
        <x:v>SIM-E2-BB-L7-R09</x:v>
      </x:c>
      <x:c r="B2471" s="2" t="n">
        <x:v>5</x:v>
      </x:c>
      <x:c r="C2471" s="2" t="str">
        <x:v>BB</x:v>
      </x:c>
      <x:c r="D2471" s="2" t="str">
        <x:v>Brevicoryne brassicae</x:v>
      </x:c>
      <x:c r="E2471" s="2" t="str">
        <x:v>L7</x:v>
      </x:c>
      <x:c r="F2471" s="2" t="n">
        <x:v>9</x:v>
      </x:c>
      <x:c r="G2471" s="2" t="n">
        <x:v>33</x:v>
      </x:c>
      <x:c r="H2471" s="2" t="n">
        <x:f>G2471+Supuestos!$C$15</x:f>
        <x:v>34</x:v>
      </x:c>
      <x:c r="I2471" s="14" t="n">
        <x:f>E2_plantas!J60+G2471</x:f>
        <x:v>46235</x:v>
      </x:c>
      <x:c r="J2471" s="2" t="str">
        <x:v>muerta</x:v>
      </x:c>
      <x:c r="K2471" s="2" t="n">
        <x:v>0</x:v>
      </x:c>
      <x:c r="L2471" s="2" t="n">
        <x:v>0</x:v>
      </x:c>
      <x:c r="M2471" s="2" t="n">
        <x:f>SUM(L$2438:L2471)</x:f>
        <x:v>33</x:v>
      </x:c>
      <x:c r="N2471" s="2" t="n">
        <x:v>0</x:v>
      </x:c>
      <x:c r="O2471" s="2" t="str">
        <x:v>relleno_postmuerte</x:v>
      </x:c>
      <x:c r="P2471" s="2" t="n">
        <x:v>0</x:v>
      </x:c>
      <x:c r="Q2471" s="2" t="str">
        <x:v>simulado_didactico</x:v>
      </x:c>
    </x:row>
    <x:row r="2472" ht="19" customHeight="1">
      <x:c r="A2472" s="2" t="str">
        <x:v>SIM-E2-BB-L7-R09</x:v>
      </x:c>
      <x:c r="B2472" s="2" t="n">
        <x:v>5</x:v>
      </x:c>
      <x:c r="C2472" s="2" t="str">
        <x:v>BB</x:v>
      </x:c>
      <x:c r="D2472" s="2" t="str">
        <x:v>Brevicoryne brassicae</x:v>
      </x:c>
      <x:c r="E2472" s="2" t="str">
        <x:v>L7</x:v>
      </x:c>
      <x:c r="F2472" s="2" t="n">
        <x:v>9</x:v>
      </x:c>
      <x:c r="G2472" s="2" t="n">
        <x:v>34</x:v>
      </x:c>
      <x:c r="H2472" s="2" t="n">
        <x:f>G2472+Supuestos!$C$15</x:f>
        <x:v>35</x:v>
      </x:c>
      <x:c r="I2472" s="14" t="n">
        <x:f>E2_plantas!J60+G2472</x:f>
        <x:v>46236</x:v>
      </x:c>
      <x:c r="J2472" s="2" t="str">
        <x:v>muerta</x:v>
      </x:c>
      <x:c r="K2472" s="2" t="n">
        <x:v>0</x:v>
      </x:c>
      <x:c r="L2472" s="2" t="n">
        <x:v>0</x:v>
      </x:c>
      <x:c r="M2472" s="2" t="n">
        <x:f>SUM(L$2438:L2472)</x:f>
        <x:v>33</x:v>
      </x:c>
      <x:c r="N2472" s="2" t="n">
        <x:v>0</x:v>
      </x:c>
      <x:c r="O2472" s="2" t="str">
        <x:v>relleno_postmuerte</x:v>
      </x:c>
      <x:c r="P2472" s="2" t="n">
        <x:v>0</x:v>
      </x:c>
      <x:c r="Q2472" s="2" t="str">
        <x:v>simulado_didactico</x:v>
      </x:c>
    </x:row>
    <x:row r="2473" ht="19" customHeight="1">
      <x:c r="A2473" s="2" t="str">
        <x:v>SIM-E2-BB-L7-R09</x:v>
      </x:c>
      <x:c r="B2473" s="2" t="n">
        <x:v>5</x:v>
      </x:c>
      <x:c r="C2473" s="2" t="str">
        <x:v>BB</x:v>
      </x:c>
      <x:c r="D2473" s="2" t="str">
        <x:v>Brevicoryne brassicae</x:v>
      </x:c>
      <x:c r="E2473" s="2" t="str">
        <x:v>L7</x:v>
      </x:c>
      <x:c r="F2473" s="2" t="n">
        <x:v>9</x:v>
      </x:c>
      <x:c r="G2473" s="2" t="n">
        <x:v>35</x:v>
      </x:c>
      <x:c r="H2473" s="2" t="n">
        <x:f>G2473+Supuestos!$C$15</x:f>
        <x:v>36</x:v>
      </x:c>
      <x:c r="I2473" s="14" t="n">
        <x:f>E2_plantas!J60+G2473</x:f>
        <x:v>46237</x:v>
      </x:c>
      <x:c r="J2473" s="2" t="str">
        <x:v>muerta</x:v>
      </x:c>
      <x:c r="K2473" s="2" t="n">
        <x:v>0</x:v>
      </x:c>
      <x:c r="L2473" s="2" t="n">
        <x:v>0</x:v>
      </x:c>
      <x:c r="M2473" s="2" t="n">
        <x:f>SUM(L$2438:L2473)</x:f>
        <x:v>33</x:v>
      </x:c>
      <x:c r="N2473" s="2" t="n">
        <x:v>0</x:v>
      </x:c>
      <x:c r="O2473" s="2" t="str">
        <x:v>relleno_postmuerte</x:v>
      </x:c>
      <x:c r="P2473" s="2" t="n">
        <x:v>0</x:v>
      </x:c>
      <x:c r="Q2473" s="2" t="str">
        <x:v>simulado_didactico</x:v>
      </x:c>
    </x:row>
    <x:row r="2474" ht="19" customHeight="1">
      <x:c r="A2474" s="2" t="str">
        <x:v>SIM-E2-BB-L7-R09</x:v>
      </x:c>
      <x:c r="B2474" s="2" t="n">
        <x:v>5</x:v>
      </x:c>
      <x:c r="C2474" s="2" t="str">
        <x:v>BB</x:v>
      </x:c>
      <x:c r="D2474" s="2" t="str">
        <x:v>Brevicoryne brassicae</x:v>
      </x:c>
      <x:c r="E2474" s="2" t="str">
        <x:v>L7</x:v>
      </x:c>
      <x:c r="F2474" s="2" t="n">
        <x:v>9</x:v>
      </x:c>
      <x:c r="G2474" s="2" t="n">
        <x:v>36</x:v>
      </x:c>
      <x:c r="H2474" s="2" t="n">
        <x:f>G2474+Supuestos!$C$15</x:f>
        <x:v>37</x:v>
      </x:c>
      <x:c r="I2474" s="14" t="n">
        <x:f>E2_plantas!J60+G2474</x:f>
        <x:v>46238</x:v>
      </x:c>
      <x:c r="J2474" s="2" t="str">
        <x:v>muerta</x:v>
      </x:c>
      <x:c r="K2474" s="2" t="n">
        <x:v>0</x:v>
      </x:c>
      <x:c r="L2474" s="2" t="n">
        <x:v>0</x:v>
      </x:c>
      <x:c r="M2474" s="2" t="n">
        <x:f>SUM(L$2438:L2474)</x:f>
        <x:v>33</x:v>
      </x:c>
      <x:c r="N2474" s="2" t="n">
        <x:v>0</x:v>
      </x:c>
      <x:c r="O2474" s="2" t="str">
        <x:v>relleno_postmuerte</x:v>
      </x:c>
      <x:c r="P2474" s="2" t="n">
        <x:v>0</x:v>
      </x:c>
      <x:c r="Q2474" s="2" t="str">
        <x:v>simulado_didactico</x:v>
      </x:c>
    </x:row>
    <x:row r="2475" ht="19" customHeight="1">
      <x:c r="A2475" s="2" t="str">
        <x:v>SIM-E2-BB-L7-R09</x:v>
      </x:c>
      <x:c r="B2475" s="2" t="n">
        <x:v>5</x:v>
      </x:c>
      <x:c r="C2475" s="2" t="str">
        <x:v>BB</x:v>
      </x:c>
      <x:c r="D2475" s="2" t="str">
        <x:v>Brevicoryne brassicae</x:v>
      </x:c>
      <x:c r="E2475" s="2" t="str">
        <x:v>L7</x:v>
      </x:c>
      <x:c r="F2475" s="2" t="n">
        <x:v>9</x:v>
      </x:c>
      <x:c r="G2475" s="2" t="n">
        <x:v>37</x:v>
      </x:c>
      <x:c r="H2475" s="2" t="n">
        <x:f>G2475+Supuestos!$C$15</x:f>
        <x:v>38</x:v>
      </x:c>
      <x:c r="I2475" s="14" t="n">
        <x:f>E2_plantas!J60+G2475</x:f>
        <x:v>46239</x:v>
      </x:c>
      <x:c r="J2475" s="2" t="str">
        <x:v>muerta</x:v>
      </x:c>
      <x:c r="K2475" s="2" t="n">
        <x:v>0</x:v>
      </x:c>
      <x:c r="L2475" s="2" t="n">
        <x:v>0</x:v>
      </x:c>
      <x:c r="M2475" s="2" t="n">
        <x:f>SUM(L$2438:L2475)</x:f>
        <x:v>33</x:v>
      </x:c>
      <x:c r="N2475" s="2" t="n">
        <x:v>0</x:v>
      </x:c>
      <x:c r="O2475" s="2" t="str">
        <x:v>relleno_postmuerte</x:v>
      </x:c>
      <x:c r="P2475" s="2" t="n">
        <x:v>0</x:v>
      </x:c>
      <x:c r="Q2475" s="2" t="str">
        <x:v>simulado_didactico</x:v>
      </x:c>
    </x:row>
    <x:row r="2476" ht="19" customHeight="1">
      <x:c r="A2476" s="2" t="str">
        <x:v>SIM-E2-BB-L7-R09</x:v>
      </x:c>
      <x:c r="B2476" s="2" t="n">
        <x:v>5</x:v>
      </x:c>
      <x:c r="C2476" s="2" t="str">
        <x:v>BB</x:v>
      </x:c>
      <x:c r="D2476" s="2" t="str">
        <x:v>Brevicoryne brassicae</x:v>
      </x:c>
      <x:c r="E2476" s="2" t="str">
        <x:v>L7</x:v>
      </x:c>
      <x:c r="F2476" s="2" t="n">
        <x:v>9</x:v>
      </x:c>
      <x:c r="G2476" s="2" t="n">
        <x:v>38</x:v>
      </x:c>
      <x:c r="H2476" s="2" t="n">
        <x:f>G2476+Supuestos!$C$15</x:f>
        <x:v>39</x:v>
      </x:c>
      <x:c r="I2476" s="14" t="n">
        <x:f>E2_plantas!J60+G2476</x:f>
        <x:v>46240</x:v>
      </x:c>
      <x:c r="J2476" s="2" t="str">
        <x:v>muerta</x:v>
      </x:c>
      <x:c r="K2476" s="2" t="n">
        <x:v>0</x:v>
      </x:c>
      <x:c r="L2476" s="2" t="n">
        <x:v>0</x:v>
      </x:c>
      <x:c r="M2476" s="2" t="n">
        <x:f>SUM(L$2438:L2476)</x:f>
        <x:v>33</x:v>
      </x:c>
      <x:c r="N2476" s="2" t="n">
        <x:v>0</x:v>
      </x:c>
      <x:c r="O2476" s="2" t="str">
        <x:v>relleno_postmuerte</x:v>
      </x:c>
      <x:c r="P2476" s="2" t="n">
        <x:v>0</x:v>
      </x:c>
      <x:c r="Q2476" s="2" t="str">
        <x:v>simulado_didactico</x:v>
      </x:c>
    </x:row>
    <x:row r="2477" ht="19" customHeight="1">
      <x:c r="A2477" s="2" t="str">
        <x:v>SIM-E2-BB-L7-R09</x:v>
      </x:c>
      <x:c r="B2477" s="2" t="n">
        <x:v>5</x:v>
      </x:c>
      <x:c r="C2477" s="2" t="str">
        <x:v>BB</x:v>
      </x:c>
      <x:c r="D2477" s="2" t="str">
        <x:v>Brevicoryne brassicae</x:v>
      </x:c>
      <x:c r="E2477" s="2" t="str">
        <x:v>L7</x:v>
      </x:c>
      <x:c r="F2477" s="2" t="n">
        <x:v>9</x:v>
      </x:c>
      <x:c r="G2477" s="2" t="n">
        <x:v>39</x:v>
      </x:c>
      <x:c r="H2477" s="2" t="n">
        <x:f>G2477+Supuestos!$C$15</x:f>
        <x:v>40</x:v>
      </x:c>
      <x:c r="I2477" s="14" t="n">
        <x:f>E2_plantas!J60+G2477</x:f>
        <x:v>46241</x:v>
      </x:c>
      <x:c r="J2477" s="2" t="str">
        <x:v>muerta</x:v>
      </x:c>
      <x:c r="K2477" s="2" t="n">
        <x:v>0</x:v>
      </x:c>
      <x:c r="L2477" s="2" t="n">
        <x:v>0</x:v>
      </x:c>
      <x:c r="M2477" s="2" t="n">
        <x:f>SUM(L$2438:L2477)</x:f>
        <x:v>33</x:v>
      </x:c>
      <x:c r="N2477" s="2" t="n">
        <x:v>0</x:v>
      </x:c>
      <x:c r="O2477" s="2" t="str">
        <x:v>relleno_postmuerte</x:v>
      </x:c>
      <x:c r="P2477" s="2" t="n">
        <x:v>0</x:v>
      </x:c>
      <x:c r="Q2477" s="2" t="str">
        <x:v>simulado_didactico</x:v>
      </x:c>
    </x:row>
    <x:row r="2478" ht="19" customHeight="1">
      <x:c r="A2478" s="2" t="str">
        <x:v>SIM-E2-BB-L7-R09</x:v>
      </x:c>
      <x:c r="B2478" s="2" t="n">
        <x:v>5</x:v>
      </x:c>
      <x:c r="C2478" s="2" t="str">
        <x:v>BB</x:v>
      </x:c>
      <x:c r="D2478" s="2" t="str">
        <x:v>Brevicoryne brassicae</x:v>
      </x:c>
      <x:c r="E2478" s="2" t="str">
        <x:v>L7</x:v>
      </x:c>
      <x:c r="F2478" s="2" t="n">
        <x:v>9</x:v>
      </x:c>
      <x:c r="G2478" s="2" t="n">
        <x:v>40</x:v>
      </x:c>
      <x:c r="H2478" s="2" t="n">
        <x:f>G2478+Supuestos!$C$15</x:f>
        <x:v>41</x:v>
      </x:c>
      <x:c r="I2478" s="14" t="n">
        <x:f>E2_plantas!J60+G2478</x:f>
        <x:v>46242</x:v>
      </x:c>
      <x:c r="J2478" s="2" t="str">
        <x:v>muerta</x:v>
      </x:c>
      <x:c r="K2478" s="2" t="n">
        <x:v>0</x:v>
      </x:c>
      <x:c r="L2478" s="2" t="n">
        <x:v>0</x:v>
      </x:c>
      <x:c r="M2478" s="2" t="n">
        <x:f>SUM(L$2438:L2478)</x:f>
        <x:v>33</x:v>
      </x:c>
      <x:c r="N2478" s="2" t="n">
        <x:v>0</x:v>
      </x:c>
      <x:c r="O2478" s="2" t="str">
        <x:v>relleno_postmuerte</x:v>
      </x:c>
      <x:c r="P2478" s="2" t="n">
        <x:v>0</x:v>
      </x:c>
      <x:c r="Q2478" s="2" t="str">
        <x:v>simulado_didactico</x:v>
      </x:c>
    </x:row>
    <x:row r="2479" ht="19" customHeight="1">
      <x:c r="A2479" s="2" t="str">
        <x:v>SIM-E2-BB-L7-R09</x:v>
      </x:c>
      <x:c r="B2479" s="2" t="n">
        <x:v>5</x:v>
      </x:c>
      <x:c r="C2479" s="2" t="str">
        <x:v>BB</x:v>
      </x:c>
      <x:c r="D2479" s="2" t="str">
        <x:v>Brevicoryne brassicae</x:v>
      </x:c>
      <x:c r="E2479" s="2" t="str">
        <x:v>L7</x:v>
      </x:c>
      <x:c r="F2479" s="2" t="n">
        <x:v>9</x:v>
      </x:c>
      <x:c r="G2479" s="2" t="n">
        <x:v>41</x:v>
      </x:c>
      <x:c r="H2479" s="2" t="n">
        <x:f>G2479+Supuestos!$C$15</x:f>
        <x:v>42</x:v>
      </x:c>
      <x:c r="I2479" s="14" t="n">
        <x:f>E2_plantas!J60+G2479</x:f>
        <x:v>46243</x:v>
      </x:c>
      <x:c r="J2479" s="2" t="str">
        <x:v>muerta</x:v>
      </x:c>
      <x:c r="K2479" s="2" t="n">
        <x:v>0</x:v>
      </x:c>
      <x:c r="L2479" s="2" t="n">
        <x:v>0</x:v>
      </x:c>
      <x:c r="M2479" s="2" t="n">
        <x:f>SUM(L$2438:L2479)</x:f>
        <x:v>33</x:v>
      </x:c>
      <x:c r="N2479" s="2" t="n">
        <x:v>0</x:v>
      </x:c>
      <x:c r="O2479" s="2" t="str">
        <x:v>relleno_postmuerte</x:v>
      </x:c>
      <x:c r="P2479" s="2" t="n">
        <x:v>0</x:v>
      </x:c>
      <x:c r="Q2479" s="2" t="str">
        <x:v>simulado_didactico</x:v>
      </x:c>
    </x:row>
    <x:row r="2480" ht="19" customHeight="1">
      <x:c r="A2480" s="2" t="str">
        <x:v>SIM-E2-BB-L7-R10</x:v>
      </x:c>
      <x:c r="B2480" s="2" t="n">
        <x:v>5</x:v>
      </x:c>
      <x:c r="C2480" s="2" t="str">
        <x:v>BB</x:v>
      </x:c>
      <x:c r="D2480" s="2" t="str">
        <x:v>Brevicoryne brassicae</x:v>
      </x:c>
      <x:c r="E2480" s="2" t="str">
        <x:v>L7</x:v>
      </x:c>
      <x:c r="F2480" s="2" t="n">
        <x:v>10</x:v>
      </x:c>
      <x:c r="G2480" s="2" t="n">
        <x:v>0</x:v>
      </x:c>
      <x:c r="H2480" s="2" t="n">
        <x:f>G2480+Supuestos!$C$15</x:f>
        <x:v>1</x:v>
      </x:c>
      <x:c r="I2480" s="14" t="n">
        <x:f>E2_plantas!J61+G2480</x:f>
        <x:v>46202</x:v>
      </x:c>
      <x:c r="J2480" s="2" t="str">
        <x:v>N1</x:v>
      </x:c>
      <x:c r="K2480" s="2" t="n">
        <x:v>1</x:v>
      </x:c>
      <x:c r="L2480" s="2" t="n">
        <x:v>0</x:v>
      </x:c>
      <x:c r="M2480" s="2" t="n">
        <x:f>SUM(L$2480:L2480)</x:f>
        <x:v>0</x:v>
      </x:c>
      <x:c r="N2480" s="2" t="n">
        <x:v>0</x:v>
      </x:c>
      <x:c r="O2480" s="2" t="str">
        <x:v>seguimiento</x:v>
      </x:c>
      <x:c r="P2480" s="2" t="n">
        <x:v>0</x:v>
      </x:c>
      <x:c r="Q2480" s="2" t="str">
        <x:v>simulado_didactico</x:v>
      </x:c>
    </x:row>
    <x:row r="2481" ht="19" customHeight="1">
      <x:c r="A2481" s="2" t="str">
        <x:v>SIM-E2-BB-L7-R10</x:v>
      </x:c>
      <x:c r="B2481" s="2" t="n">
        <x:v>5</x:v>
      </x:c>
      <x:c r="C2481" s="2" t="str">
        <x:v>BB</x:v>
      </x:c>
      <x:c r="D2481" s="2" t="str">
        <x:v>Brevicoryne brassicae</x:v>
      </x:c>
      <x:c r="E2481" s="2" t="str">
        <x:v>L7</x:v>
      </x:c>
      <x:c r="F2481" s="2" t="n">
        <x:v>10</x:v>
      </x:c>
      <x:c r="G2481" s="2" t="n">
        <x:v>1</x:v>
      </x:c>
      <x:c r="H2481" s="2" t="n">
        <x:f>G2481+Supuestos!$C$15</x:f>
        <x:v>2</x:v>
      </x:c>
      <x:c r="I2481" s="14" t="n">
        <x:f>E2_plantas!J61+G2481</x:f>
        <x:v>46203</x:v>
      </x:c>
      <x:c r="J2481" s="2" t="str">
        <x:v>N1</x:v>
      </x:c>
      <x:c r="K2481" s="2" t="n">
        <x:v>1</x:v>
      </x:c>
      <x:c r="L2481" s="2" t="n">
        <x:v>0</x:v>
      </x:c>
      <x:c r="M2481" s="2" t="n">
        <x:f>SUM(L$2480:L2481)</x:f>
        <x:v>0</x:v>
      </x:c>
      <x:c r="N2481" s="2" t="n">
        <x:v>0</x:v>
      </x:c>
      <x:c r="O2481" s="2" t="str">
        <x:v>seguimiento</x:v>
      </x:c>
      <x:c r="P2481" s="2" t="n">
        <x:v>0</x:v>
      </x:c>
      <x:c r="Q2481" s="2" t="str">
        <x:v>simulado_didactico</x:v>
      </x:c>
    </x:row>
    <x:row r="2482" ht="19" customHeight="1">
      <x:c r="A2482" s="2" t="str">
        <x:v>SIM-E2-BB-L7-R10</x:v>
      </x:c>
      <x:c r="B2482" s="2" t="n">
        <x:v>5</x:v>
      </x:c>
      <x:c r="C2482" s="2" t="str">
        <x:v>BB</x:v>
      </x:c>
      <x:c r="D2482" s="2" t="str">
        <x:v>Brevicoryne brassicae</x:v>
      </x:c>
      <x:c r="E2482" s="2" t="str">
        <x:v>L7</x:v>
      </x:c>
      <x:c r="F2482" s="2" t="n">
        <x:v>10</x:v>
      </x:c>
      <x:c r="G2482" s="2" t="n">
        <x:v>2</x:v>
      </x:c>
      <x:c r="H2482" s="2" t="n">
        <x:f>G2482+Supuestos!$C$15</x:f>
        <x:v>3</x:v>
      </x:c>
      <x:c r="I2482" s="14" t="n">
        <x:f>E2_plantas!J61+G2482</x:f>
        <x:v>46204</x:v>
      </x:c>
      <x:c r="J2482" s="2" t="str">
        <x:v>N2</x:v>
      </x:c>
      <x:c r="K2482" s="2" t="n">
        <x:v>1</x:v>
      </x:c>
      <x:c r="L2482" s="2" t="n">
        <x:v>0</x:v>
      </x:c>
      <x:c r="M2482" s="2" t="n">
        <x:f>SUM(L$2480:L2482)</x:f>
        <x:v>0</x:v>
      </x:c>
      <x:c r="N2482" s="2" t="n">
        <x:v>0</x:v>
      </x:c>
      <x:c r="O2482" s="2" t="str">
        <x:v>seguimiento</x:v>
      </x:c>
      <x:c r="P2482" s="2" t="n">
        <x:v>0</x:v>
      </x:c>
      <x:c r="Q2482" s="2" t="str">
        <x:v>simulado_didactico</x:v>
      </x:c>
    </x:row>
    <x:row r="2483" ht="19" customHeight="1">
      <x:c r="A2483" s="2" t="str">
        <x:v>SIM-E2-BB-L7-R10</x:v>
      </x:c>
      <x:c r="B2483" s="2" t="n">
        <x:v>5</x:v>
      </x:c>
      <x:c r="C2483" s="2" t="str">
        <x:v>BB</x:v>
      </x:c>
      <x:c r="D2483" s="2" t="str">
        <x:v>Brevicoryne brassicae</x:v>
      </x:c>
      <x:c r="E2483" s="2" t="str">
        <x:v>L7</x:v>
      </x:c>
      <x:c r="F2483" s="2" t="n">
        <x:v>10</x:v>
      </x:c>
      <x:c r="G2483" s="2" t="n">
        <x:v>3</x:v>
      </x:c>
      <x:c r="H2483" s="2" t="n">
        <x:f>G2483+Supuestos!$C$15</x:f>
        <x:v>4</x:v>
      </x:c>
      <x:c r="I2483" s="14" t="n">
        <x:f>E2_plantas!J61+G2483</x:f>
        <x:v>46205</x:v>
      </x:c>
      <x:c r="J2483" s="2" t="str">
        <x:v>N2</x:v>
      </x:c>
      <x:c r="K2483" s="2" t="n">
        <x:v>1</x:v>
      </x:c>
      <x:c r="L2483" s="2" t="n">
        <x:v>0</x:v>
      </x:c>
      <x:c r="M2483" s="2" t="n">
        <x:f>SUM(L$2480:L2483)</x:f>
        <x:v>0</x:v>
      </x:c>
      <x:c r="N2483" s="2" t="n">
        <x:v>0</x:v>
      </x:c>
      <x:c r="O2483" s="2" t="str">
        <x:v>seguimiento</x:v>
      </x:c>
      <x:c r="P2483" s="2" t="n">
        <x:v>0</x:v>
      </x:c>
      <x:c r="Q2483" s="2" t="str">
        <x:v>simulado_didactico</x:v>
      </x:c>
    </x:row>
    <x:row r="2484" ht="19" customHeight="1">
      <x:c r="A2484" s="2" t="str">
        <x:v>SIM-E2-BB-L7-R10</x:v>
      </x:c>
      <x:c r="B2484" s="2" t="n">
        <x:v>5</x:v>
      </x:c>
      <x:c r="C2484" s="2" t="str">
        <x:v>BB</x:v>
      </x:c>
      <x:c r="D2484" s="2" t="str">
        <x:v>Brevicoryne brassicae</x:v>
      </x:c>
      <x:c r="E2484" s="2" t="str">
        <x:v>L7</x:v>
      </x:c>
      <x:c r="F2484" s="2" t="n">
        <x:v>10</x:v>
      </x:c>
      <x:c r="G2484" s="2" t="n">
        <x:v>4</x:v>
      </x:c>
      <x:c r="H2484" s="2" t="n">
        <x:f>G2484+Supuestos!$C$15</x:f>
        <x:v>5</x:v>
      </x:c>
      <x:c r="I2484" s="14" t="n">
        <x:f>E2_plantas!J61+G2484</x:f>
        <x:v>46206</x:v>
      </x:c>
      <x:c r="J2484" s="2" t="str">
        <x:v>N2</x:v>
      </x:c>
      <x:c r="K2484" s="2" t="n">
        <x:v>1</x:v>
      </x:c>
      <x:c r="L2484" s="2" t="n">
        <x:v>0</x:v>
      </x:c>
      <x:c r="M2484" s="2" t="n">
        <x:f>SUM(L$2480:L2484)</x:f>
        <x:v>0</x:v>
      </x:c>
      <x:c r="N2484" s="2" t="n">
        <x:v>0</x:v>
      </x:c>
      <x:c r="O2484" s="2" t="str">
        <x:v>seguimiento</x:v>
      </x:c>
      <x:c r="P2484" s="2" t="n">
        <x:v>0</x:v>
      </x:c>
      <x:c r="Q2484" s="2" t="str">
        <x:v>simulado_didactico</x:v>
      </x:c>
    </x:row>
    <x:row r="2485" ht="19" customHeight="1">
      <x:c r="A2485" s="2" t="str">
        <x:v>SIM-E2-BB-L7-R10</x:v>
      </x:c>
      <x:c r="B2485" s="2" t="n">
        <x:v>5</x:v>
      </x:c>
      <x:c r="C2485" s="2" t="str">
        <x:v>BB</x:v>
      </x:c>
      <x:c r="D2485" s="2" t="str">
        <x:v>Brevicoryne brassicae</x:v>
      </x:c>
      <x:c r="E2485" s="2" t="str">
        <x:v>L7</x:v>
      </x:c>
      <x:c r="F2485" s="2" t="n">
        <x:v>10</x:v>
      </x:c>
      <x:c r="G2485" s="2" t="n">
        <x:v>5</x:v>
      </x:c>
      <x:c r="H2485" s="2" t="n">
        <x:f>G2485+Supuestos!$C$15</x:f>
        <x:v>6</x:v>
      </x:c>
      <x:c r="I2485" s="14" t="n">
        <x:f>E2_plantas!J61+G2485</x:f>
        <x:v>46207</x:v>
      </x:c>
      <x:c r="J2485" s="2" t="str">
        <x:v>N3</x:v>
      </x:c>
      <x:c r="K2485" s="2" t="n">
        <x:v>1</x:v>
      </x:c>
      <x:c r="L2485" s="2" t="n">
        <x:v>0</x:v>
      </x:c>
      <x:c r="M2485" s="2" t="n">
        <x:f>SUM(L$2480:L2485)</x:f>
        <x:v>0</x:v>
      </x:c>
      <x:c r="N2485" s="2" t="n">
        <x:v>0</x:v>
      </x:c>
      <x:c r="O2485" s="2" t="str">
        <x:v>seguimiento</x:v>
      </x:c>
      <x:c r="P2485" s="2" t="n">
        <x:v>0</x:v>
      </x:c>
      <x:c r="Q2485" s="2" t="str">
        <x:v>simulado_didactico</x:v>
      </x:c>
    </x:row>
    <x:row r="2486" ht="19" customHeight="1">
      <x:c r="A2486" s="2" t="str">
        <x:v>SIM-E2-BB-L7-R10</x:v>
      </x:c>
      <x:c r="B2486" s="2" t="n">
        <x:v>5</x:v>
      </x:c>
      <x:c r="C2486" s="2" t="str">
        <x:v>BB</x:v>
      </x:c>
      <x:c r="D2486" s="2" t="str">
        <x:v>Brevicoryne brassicae</x:v>
      </x:c>
      <x:c r="E2486" s="2" t="str">
        <x:v>L7</x:v>
      </x:c>
      <x:c r="F2486" s="2" t="n">
        <x:v>10</x:v>
      </x:c>
      <x:c r="G2486" s="2" t="n">
        <x:v>6</x:v>
      </x:c>
      <x:c r="H2486" s="2" t="n">
        <x:f>G2486+Supuestos!$C$15</x:f>
        <x:v>7</x:v>
      </x:c>
      <x:c r="I2486" s="14" t="n">
        <x:f>E2_plantas!J61+G2486</x:f>
        <x:v>46208</x:v>
      </x:c>
      <x:c r="J2486" s="2" t="str">
        <x:v>N3</x:v>
      </x:c>
      <x:c r="K2486" s="2" t="n">
        <x:v>1</x:v>
      </x:c>
      <x:c r="L2486" s="2" t="n">
        <x:v>0</x:v>
      </x:c>
      <x:c r="M2486" s="2" t="n">
        <x:f>SUM(L$2480:L2486)</x:f>
        <x:v>0</x:v>
      </x:c>
      <x:c r="N2486" s="2" t="n">
        <x:v>0</x:v>
      </x:c>
      <x:c r="O2486" s="2" t="str">
        <x:v>seguimiento</x:v>
      </x:c>
      <x:c r="P2486" s="2" t="n">
        <x:v>0</x:v>
      </x:c>
      <x:c r="Q2486" s="2" t="str">
        <x:v>simulado_didactico</x:v>
      </x:c>
    </x:row>
    <x:row r="2487" ht="19" customHeight="1">
      <x:c r="A2487" s="2" t="str">
        <x:v>SIM-E2-BB-L7-R10</x:v>
      </x:c>
      <x:c r="B2487" s="2" t="n">
        <x:v>5</x:v>
      </x:c>
      <x:c r="C2487" s="2" t="str">
        <x:v>BB</x:v>
      </x:c>
      <x:c r="D2487" s="2" t="str">
        <x:v>Brevicoryne brassicae</x:v>
      </x:c>
      <x:c r="E2487" s="2" t="str">
        <x:v>L7</x:v>
      </x:c>
      <x:c r="F2487" s="2" t="n">
        <x:v>10</x:v>
      </x:c>
      <x:c r="G2487" s="2" t="n">
        <x:v>7</x:v>
      </x:c>
      <x:c r="H2487" s="2" t="n">
        <x:f>G2487+Supuestos!$C$15</x:f>
        <x:v>8</x:v>
      </x:c>
      <x:c r="I2487" s="14" t="n">
        <x:f>E2_plantas!J61+G2487</x:f>
        <x:v>46209</x:v>
      </x:c>
      <x:c r="J2487" s="2" t="str">
        <x:v>N3</x:v>
      </x:c>
      <x:c r="K2487" s="2" t="n">
        <x:v>1</x:v>
      </x:c>
      <x:c r="L2487" s="2" t="n">
        <x:v>0</x:v>
      </x:c>
      <x:c r="M2487" s="2" t="n">
        <x:f>SUM(L$2480:L2487)</x:f>
        <x:v>0</x:v>
      </x:c>
      <x:c r="N2487" s="2" t="n">
        <x:v>0</x:v>
      </x:c>
      <x:c r="O2487" s="2" t="str">
        <x:v>seguimiento</x:v>
      </x:c>
      <x:c r="P2487" s="2" t="n">
        <x:v>0</x:v>
      </x:c>
      <x:c r="Q2487" s="2" t="str">
        <x:v>simulado_didactico</x:v>
      </x:c>
    </x:row>
    <x:row r="2488" ht="19" customHeight="1">
      <x:c r="A2488" s="2" t="str">
        <x:v>SIM-E2-BB-L7-R10</x:v>
      </x:c>
      <x:c r="B2488" s="2" t="n">
        <x:v>5</x:v>
      </x:c>
      <x:c r="C2488" s="2" t="str">
        <x:v>BB</x:v>
      </x:c>
      <x:c r="D2488" s="2" t="str">
        <x:v>Brevicoryne brassicae</x:v>
      </x:c>
      <x:c r="E2488" s="2" t="str">
        <x:v>L7</x:v>
      </x:c>
      <x:c r="F2488" s="2" t="n">
        <x:v>10</x:v>
      </x:c>
      <x:c r="G2488" s="2" t="n">
        <x:v>8</x:v>
      </x:c>
      <x:c r="H2488" s="2" t="n">
        <x:f>G2488+Supuestos!$C$15</x:f>
        <x:v>9</x:v>
      </x:c>
      <x:c r="I2488" s="14" t="n">
        <x:f>E2_plantas!J61+G2488</x:f>
        <x:v>46210</x:v>
      </x:c>
      <x:c r="J2488" s="2" t="str">
        <x:v>N4</x:v>
      </x:c>
      <x:c r="K2488" s="2" t="n">
        <x:v>1</x:v>
      </x:c>
      <x:c r="L2488" s="2" t="n">
        <x:v>0</x:v>
      </x:c>
      <x:c r="M2488" s="2" t="n">
        <x:f>SUM(L$2480:L2488)</x:f>
        <x:v>0</x:v>
      </x:c>
      <x:c r="N2488" s="2" t="n">
        <x:v>0</x:v>
      </x:c>
      <x:c r="O2488" s="2" t="str">
        <x:v>seguimiento</x:v>
      </x:c>
      <x:c r="P2488" s="2" t="n">
        <x:v>0</x:v>
      </x:c>
      <x:c r="Q2488" s="2" t="str">
        <x:v>simulado_didactico</x:v>
      </x:c>
    </x:row>
    <x:row r="2489" ht="19" customHeight="1">
      <x:c r="A2489" s="2" t="str">
        <x:v>SIM-E2-BB-L7-R10</x:v>
      </x:c>
      <x:c r="B2489" s="2" t="n">
        <x:v>5</x:v>
      </x:c>
      <x:c r="C2489" s="2" t="str">
        <x:v>BB</x:v>
      </x:c>
      <x:c r="D2489" s="2" t="str">
        <x:v>Brevicoryne brassicae</x:v>
      </x:c>
      <x:c r="E2489" s="2" t="str">
        <x:v>L7</x:v>
      </x:c>
      <x:c r="F2489" s="2" t="n">
        <x:v>10</x:v>
      </x:c>
      <x:c r="G2489" s="2" t="n">
        <x:v>9</x:v>
      </x:c>
      <x:c r="H2489" s="2" t="n">
        <x:f>G2489+Supuestos!$C$15</x:f>
        <x:v>10</x:v>
      </x:c>
      <x:c r="I2489" s="14" t="n">
        <x:f>E2_plantas!J61+G2489</x:f>
        <x:v>46211</x:v>
      </x:c>
      <x:c r="J2489" s="2" t="str">
        <x:v>adulta</x:v>
      </x:c>
      <x:c r="K2489" s="2" t="n">
        <x:v>1</x:v>
      </x:c>
      <x:c r="L2489" s="2" t="n">
        <x:v>0</x:v>
      </x:c>
      <x:c r="M2489" s="2" t="n">
        <x:f>SUM(L$2480:L2489)</x:f>
        <x:v>0</x:v>
      </x:c>
      <x:c r="N2489" s="2" t="n">
        <x:v>0</x:v>
      </x:c>
      <x:c r="O2489" s="2" t="str">
        <x:v>seguimiento</x:v>
      </x:c>
      <x:c r="P2489" s="2" t="n">
        <x:v>0</x:v>
      </x:c>
      <x:c r="Q2489" s="2" t="str">
        <x:v>simulado_didactico</x:v>
      </x:c>
    </x:row>
    <x:row r="2490" ht="19" customHeight="1">
      <x:c r="A2490" s="2" t="str">
        <x:v>SIM-E2-BB-L7-R10</x:v>
      </x:c>
      <x:c r="B2490" s="2" t="n">
        <x:v>5</x:v>
      </x:c>
      <x:c r="C2490" s="2" t="str">
        <x:v>BB</x:v>
      </x:c>
      <x:c r="D2490" s="2" t="str">
        <x:v>Brevicoryne brassicae</x:v>
      </x:c>
      <x:c r="E2490" s="2" t="str">
        <x:v>L7</x:v>
      </x:c>
      <x:c r="F2490" s="2" t="n">
        <x:v>10</x:v>
      </x:c>
      <x:c r="G2490" s="2" t="n">
        <x:v>10</x:v>
      </x:c>
      <x:c r="H2490" s="2" t="n">
        <x:f>G2490+Supuestos!$C$15</x:f>
        <x:v>11</x:v>
      </x:c>
      <x:c r="I2490" s="14" t="n">
        <x:f>E2_plantas!J61+G2490</x:f>
        <x:v>46212</x:v>
      </x:c>
      <x:c r="J2490" s="2" t="str">
        <x:v>adulta</x:v>
      </x:c>
      <x:c r="K2490" s="2" t="n">
        <x:v>1</x:v>
      </x:c>
      <x:c r="L2490" s="2" t="n">
        <x:v>5</x:v>
      </x:c>
      <x:c r="M2490" s="2" t="n">
        <x:f>SUM(L$2480:L2490)</x:f>
        <x:v>5</x:v>
      </x:c>
      <x:c r="N2490" s="2" t="n">
        <x:v>0</x:v>
      </x:c>
      <x:c r="O2490" s="2" t="str">
        <x:v>seguimiento</x:v>
      </x:c>
      <x:c r="P2490" s="2" t="n">
        <x:v>0</x:v>
      </x:c>
      <x:c r="Q2490" s="2" t="str">
        <x:v>simulado_didactico</x:v>
      </x:c>
    </x:row>
    <x:row r="2491" ht="19" customHeight="1">
      <x:c r="A2491" s="2" t="str">
        <x:v>SIM-E2-BB-L7-R10</x:v>
      </x:c>
      <x:c r="B2491" s="2" t="n">
        <x:v>5</x:v>
      </x:c>
      <x:c r="C2491" s="2" t="str">
        <x:v>BB</x:v>
      </x:c>
      <x:c r="D2491" s="2" t="str">
        <x:v>Brevicoryne brassicae</x:v>
      </x:c>
      <x:c r="E2491" s="2" t="str">
        <x:v>L7</x:v>
      </x:c>
      <x:c r="F2491" s="2" t="n">
        <x:v>10</x:v>
      </x:c>
      <x:c r="G2491" s="2" t="n">
        <x:v>11</x:v>
      </x:c>
      <x:c r="H2491" s="2" t="n">
        <x:f>G2491+Supuestos!$C$15</x:f>
        <x:v>12</x:v>
      </x:c>
      <x:c r="I2491" s="14" t="n">
        <x:f>E2_plantas!J61+G2491</x:f>
        <x:v>46213</x:v>
      </x:c>
      <x:c r="J2491" s="2" t="str">
        <x:v>adulta</x:v>
      </x:c>
      <x:c r="K2491" s="2" t="n">
        <x:v>1</x:v>
      </x:c>
      <x:c r="L2491" s="2" t="n">
        <x:v>3</x:v>
      </x:c>
      <x:c r="M2491" s="2" t="n">
        <x:f>SUM(L$2480:L2491)</x:f>
        <x:v>8</x:v>
      </x:c>
      <x:c r="N2491" s="2" t="n">
        <x:v>0</x:v>
      </x:c>
      <x:c r="O2491" s="2" t="str">
        <x:v>seguimiento</x:v>
      </x:c>
      <x:c r="P2491" s="2" t="n">
        <x:v>0</x:v>
      </x:c>
      <x:c r="Q2491" s="2" t="str">
        <x:v>simulado_didactico</x:v>
      </x:c>
    </x:row>
    <x:row r="2492" ht="19" customHeight="1">
      <x:c r="A2492" s="2" t="str">
        <x:v>SIM-E2-BB-L7-R10</x:v>
      </x:c>
      <x:c r="B2492" s="2" t="n">
        <x:v>5</x:v>
      </x:c>
      <x:c r="C2492" s="2" t="str">
        <x:v>BB</x:v>
      </x:c>
      <x:c r="D2492" s="2" t="str">
        <x:v>Brevicoryne brassicae</x:v>
      </x:c>
      <x:c r="E2492" s="2" t="str">
        <x:v>L7</x:v>
      </x:c>
      <x:c r="F2492" s="2" t="n">
        <x:v>10</x:v>
      </x:c>
      <x:c r="G2492" s="2" t="n">
        <x:v>12</x:v>
      </x:c>
      <x:c r="H2492" s="2" t="n">
        <x:f>G2492+Supuestos!$C$15</x:f>
        <x:v>13</x:v>
      </x:c>
      <x:c r="I2492" s="14" t="n">
        <x:f>E2_plantas!J61+G2492</x:f>
        <x:v>46214</x:v>
      </x:c>
      <x:c r="J2492" s="2" t="str">
        <x:v>adulta</x:v>
      </x:c>
      <x:c r="K2492" s="2" t="n">
        <x:v>1</x:v>
      </x:c>
      <x:c r="L2492" s="2" t="n">
        <x:v>2</x:v>
      </x:c>
      <x:c r="M2492" s="2" t="n">
        <x:f>SUM(L$2480:L2492)</x:f>
        <x:v>10</x:v>
      </x:c>
      <x:c r="N2492" s="2" t="n">
        <x:v>0</x:v>
      </x:c>
      <x:c r="O2492" s="2" t="str">
        <x:v>seguimiento</x:v>
      </x:c>
      <x:c r="P2492" s="2" t="n">
        <x:v>0</x:v>
      </x:c>
      <x:c r="Q2492" s="2" t="str">
        <x:v>simulado_didactico</x:v>
      </x:c>
    </x:row>
    <x:row r="2493" ht="19" customHeight="1">
      <x:c r="A2493" s="2" t="str">
        <x:v>SIM-E2-BB-L7-R10</x:v>
      </x:c>
      <x:c r="B2493" s="2" t="n">
        <x:v>5</x:v>
      </x:c>
      <x:c r="C2493" s="2" t="str">
        <x:v>BB</x:v>
      </x:c>
      <x:c r="D2493" s="2" t="str">
        <x:v>Brevicoryne brassicae</x:v>
      </x:c>
      <x:c r="E2493" s="2" t="str">
        <x:v>L7</x:v>
      </x:c>
      <x:c r="F2493" s="2" t="n">
        <x:v>10</x:v>
      </x:c>
      <x:c r="G2493" s="2" t="n">
        <x:v>13</x:v>
      </x:c>
      <x:c r="H2493" s="2" t="n">
        <x:f>G2493+Supuestos!$C$15</x:f>
        <x:v>14</x:v>
      </x:c>
      <x:c r="I2493" s="14" t="n">
        <x:f>E2_plantas!J61+G2493</x:f>
        <x:v>46215</x:v>
      </x:c>
      <x:c r="J2493" s="2" t="str">
        <x:v>adulta</x:v>
      </x:c>
      <x:c r="K2493" s="2" t="n">
        <x:v>1</x:v>
      </x:c>
      <x:c r="L2493" s="2" t="n">
        <x:v>2</x:v>
      </x:c>
      <x:c r="M2493" s="2" t="n">
        <x:f>SUM(L$2480:L2493)</x:f>
        <x:v>12</x:v>
      </x:c>
      <x:c r="N2493" s="2" t="n">
        <x:v>0</x:v>
      </x:c>
      <x:c r="O2493" s="2" t="str">
        <x:v>seguimiento</x:v>
      </x:c>
      <x:c r="P2493" s="2" t="n">
        <x:v>0</x:v>
      </x:c>
      <x:c r="Q2493" s="2" t="str">
        <x:v>simulado_didactico</x:v>
      </x:c>
    </x:row>
    <x:row r="2494" ht="19" customHeight="1">
      <x:c r="A2494" s="2" t="str">
        <x:v>SIM-E2-BB-L7-R10</x:v>
      </x:c>
      <x:c r="B2494" s="2" t="n">
        <x:v>5</x:v>
      </x:c>
      <x:c r="C2494" s="2" t="str">
        <x:v>BB</x:v>
      </x:c>
      <x:c r="D2494" s="2" t="str">
        <x:v>Brevicoryne brassicae</x:v>
      </x:c>
      <x:c r="E2494" s="2" t="str">
        <x:v>L7</x:v>
      </x:c>
      <x:c r="F2494" s="2" t="n">
        <x:v>10</x:v>
      </x:c>
      <x:c r="G2494" s="2" t="n">
        <x:v>14</x:v>
      </x:c>
      <x:c r="H2494" s="2" t="n">
        <x:f>G2494+Supuestos!$C$15</x:f>
        <x:v>15</x:v>
      </x:c>
      <x:c r="I2494" s="14" t="n">
        <x:f>E2_plantas!J61+G2494</x:f>
        <x:v>46216</x:v>
      </x:c>
      <x:c r="J2494" s="2" t="str">
        <x:v>adulta</x:v>
      </x:c>
      <x:c r="K2494" s="2" t="n">
        <x:v>1</x:v>
      </x:c>
      <x:c r="L2494" s="2" t="n">
        <x:v>4</x:v>
      </x:c>
      <x:c r="M2494" s="2" t="n">
        <x:f>SUM(L$2480:L2494)</x:f>
        <x:v>16</x:v>
      </x:c>
      <x:c r="N2494" s="2" t="n">
        <x:v>0</x:v>
      </x:c>
      <x:c r="O2494" s="2" t="str">
        <x:v>seguimiento</x:v>
      </x:c>
      <x:c r="P2494" s="2" t="n">
        <x:v>0</x:v>
      </x:c>
      <x:c r="Q2494" s="2" t="str">
        <x:v>simulado_didactico</x:v>
      </x:c>
    </x:row>
    <x:row r="2495" ht="19" customHeight="1">
      <x:c r="A2495" s="2" t="str">
        <x:v>SIM-E2-BB-L7-R10</x:v>
      </x:c>
      <x:c r="B2495" s="2" t="n">
        <x:v>5</x:v>
      </x:c>
      <x:c r="C2495" s="2" t="str">
        <x:v>BB</x:v>
      </x:c>
      <x:c r="D2495" s="2" t="str">
        <x:v>Brevicoryne brassicae</x:v>
      </x:c>
      <x:c r="E2495" s="2" t="str">
        <x:v>L7</x:v>
      </x:c>
      <x:c r="F2495" s="2" t="n">
        <x:v>10</x:v>
      </x:c>
      <x:c r="G2495" s="2" t="n">
        <x:v>15</x:v>
      </x:c>
      <x:c r="H2495" s="2" t="n">
        <x:f>G2495+Supuestos!$C$15</x:f>
        <x:v>16</x:v>
      </x:c>
      <x:c r="I2495" s="14" t="n">
        <x:f>E2_plantas!J61+G2495</x:f>
        <x:v>46217</x:v>
      </x:c>
      <x:c r="J2495" s="2" t="str">
        <x:v>adulta</x:v>
      </x:c>
      <x:c r="K2495" s="2" t="n">
        <x:v>1</x:v>
      </x:c>
      <x:c r="L2495" s="2" t="n">
        <x:v>4</x:v>
      </x:c>
      <x:c r="M2495" s="2" t="n">
        <x:f>SUM(L$2480:L2495)</x:f>
        <x:v>20</x:v>
      </x:c>
      <x:c r="N2495" s="2" t="n">
        <x:v>0</x:v>
      </x:c>
      <x:c r="O2495" s="2" t="str">
        <x:v>seguimiento</x:v>
      </x:c>
      <x:c r="P2495" s="2" t="n">
        <x:v>0</x:v>
      </x:c>
      <x:c r="Q2495" s="2" t="str">
        <x:v>simulado_didactico</x:v>
      </x:c>
    </x:row>
    <x:row r="2496" ht="19" customHeight="1">
      <x:c r="A2496" s="2" t="str">
        <x:v>SIM-E2-BB-L7-R10</x:v>
      </x:c>
      <x:c r="B2496" s="2" t="n">
        <x:v>5</x:v>
      </x:c>
      <x:c r="C2496" s="2" t="str">
        <x:v>BB</x:v>
      </x:c>
      <x:c r="D2496" s="2" t="str">
        <x:v>Brevicoryne brassicae</x:v>
      </x:c>
      <x:c r="E2496" s="2" t="str">
        <x:v>L7</x:v>
      </x:c>
      <x:c r="F2496" s="2" t="n">
        <x:v>10</x:v>
      </x:c>
      <x:c r="G2496" s="2" t="n">
        <x:v>16</x:v>
      </x:c>
      <x:c r="H2496" s="2" t="n">
        <x:f>G2496+Supuestos!$C$15</x:f>
        <x:v>17</x:v>
      </x:c>
      <x:c r="I2496" s="14" t="n">
        <x:f>E2_plantas!J61+G2496</x:f>
        <x:v>46218</x:v>
      </x:c>
      <x:c r="J2496" s="2" t="str">
        <x:v>adulta</x:v>
      </x:c>
      <x:c r="K2496" s="2" t="n">
        <x:v>1</x:v>
      </x:c>
      <x:c r="L2496" s="2" t="n">
        <x:v>2</x:v>
      </x:c>
      <x:c r="M2496" s="2" t="n">
        <x:f>SUM(L$2480:L2496)</x:f>
        <x:v>22</x:v>
      </x:c>
      <x:c r="N2496" s="2" t="n">
        <x:v>0</x:v>
      </x:c>
      <x:c r="O2496" s="2" t="str">
        <x:v>seguimiento</x:v>
      </x:c>
      <x:c r="P2496" s="2" t="n">
        <x:v>0</x:v>
      </x:c>
      <x:c r="Q2496" s="2" t="str">
        <x:v>simulado_didactico</x:v>
      </x:c>
    </x:row>
    <x:row r="2497" ht="19" customHeight="1">
      <x:c r="A2497" s="2" t="str">
        <x:v>SIM-E2-BB-L7-R10</x:v>
      </x:c>
      <x:c r="B2497" s="2" t="n">
        <x:v>5</x:v>
      </x:c>
      <x:c r="C2497" s="2" t="str">
        <x:v>BB</x:v>
      </x:c>
      <x:c r="D2497" s="2" t="str">
        <x:v>Brevicoryne brassicae</x:v>
      </x:c>
      <x:c r="E2497" s="2" t="str">
        <x:v>L7</x:v>
      </x:c>
      <x:c r="F2497" s="2" t="n">
        <x:v>10</x:v>
      </x:c>
      <x:c r="G2497" s="2" t="n">
        <x:v>17</x:v>
      </x:c>
      <x:c r="H2497" s="2" t="n">
        <x:f>G2497+Supuestos!$C$15</x:f>
        <x:v>18</x:v>
      </x:c>
      <x:c r="I2497" s="14" t="n">
        <x:f>E2_plantas!J61+G2497</x:f>
        <x:v>46219</x:v>
      </x:c>
      <x:c r="J2497" s="2" t="str">
        <x:v>adulta</x:v>
      </x:c>
      <x:c r="K2497" s="2" t="n">
        <x:v>1</x:v>
      </x:c>
      <x:c r="L2497" s="2" t="n">
        <x:v>0</x:v>
      </x:c>
      <x:c r="M2497" s="2" t="n">
        <x:f>SUM(L$2480:L2497)</x:f>
        <x:v>22</x:v>
      </x:c>
      <x:c r="N2497" s="2" t="n">
        <x:v>0</x:v>
      </x:c>
      <x:c r="O2497" s="2" t="str">
        <x:v>seguimiento</x:v>
      </x:c>
      <x:c r="P2497" s="2" t="n">
        <x:v>0</x:v>
      </x:c>
      <x:c r="Q2497" s="2" t="str">
        <x:v>simulado_didactico</x:v>
      </x:c>
    </x:row>
    <x:row r="2498" ht="19" customHeight="1">
      <x:c r="A2498" s="2" t="str">
        <x:v>SIM-E2-BB-L7-R10</x:v>
      </x:c>
      <x:c r="B2498" s="2" t="n">
        <x:v>5</x:v>
      </x:c>
      <x:c r="C2498" s="2" t="str">
        <x:v>BB</x:v>
      </x:c>
      <x:c r="D2498" s="2" t="str">
        <x:v>Brevicoryne brassicae</x:v>
      </x:c>
      <x:c r="E2498" s="2" t="str">
        <x:v>L7</x:v>
      </x:c>
      <x:c r="F2498" s="2" t="n">
        <x:v>10</x:v>
      </x:c>
      <x:c r="G2498" s="2" t="n">
        <x:v>18</x:v>
      </x:c>
      <x:c r="H2498" s="2" t="n">
        <x:f>G2498+Supuestos!$C$15</x:f>
        <x:v>19</x:v>
      </x:c>
      <x:c r="I2498" s="14" t="n">
        <x:f>E2_plantas!J61+G2498</x:f>
        <x:v>46220</x:v>
      </x:c>
      <x:c r="J2498" s="2" t="str">
        <x:v>adulta</x:v>
      </x:c>
      <x:c r="K2498" s="2" t="n">
        <x:v>1</x:v>
      </x:c>
      <x:c r="L2498" s="2" t="n">
        <x:v>4</x:v>
      </x:c>
      <x:c r="M2498" s="2" t="n">
        <x:f>SUM(L$2480:L2498)</x:f>
        <x:v>26</x:v>
      </x:c>
      <x:c r="N2498" s="2" t="n">
        <x:v>0</x:v>
      </x:c>
      <x:c r="O2498" s="2" t="str">
        <x:v>seguimiento</x:v>
      </x:c>
      <x:c r="P2498" s="2" t="n">
        <x:v>0</x:v>
      </x:c>
      <x:c r="Q2498" s="2" t="str">
        <x:v>simulado_didactico</x:v>
      </x:c>
    </x:row>
    <x:row r="2499" ht="19" customHeight="1">
      <x:c r="A2499" s="2" t="str">
        <x:v>SIM-E2-BB-L7-R10</x:v>
      </x:c>
      <x:c r="B2499" s="2" t="n">
        <x:v>5</x:v>
      </x:c>
      <x:c r="C2499" s="2" t="str">
        <x:v>BB</x:v>
      </x:c>
      <x:c r="D2499" s="2" t="str">
        <x:v>Brevicoryne brassicae</x:v>
      </x:c>
      <x:c r="E2499" s="2" t="str">
        <x:v>L7</x:v>
      </x:c>
      <x:c r="F2499" s="2" t="n">
        <x:v>10</x:v>
      </x:c>
      <x:c r="G2499" s="2" t="n">
        <x:v>19</x:v>
      </x:c>
      <x:c r="H2499" s="2" t="n">
        <x:f>G2499+Supuestos!$C$15</x:f>
        <x:v>20</x:v>
      </x:c>
      <x:c r="I2499" s="14" t="n">
        <x:f>E2_plantas!J61+G2499</x:f>
        <x:v>46221</x:v>
      </x:c>
      <x:c r="J2499" s="2" t="str">
        <x:v>adulta</x:v>
      </x:c>
      <x:c r="K2499" s="2" t="n">
        <x:v>1</x:v>
      </x:c>
      <x:c r="L2499" s="2" t="n">
        <x:v>2</x:v>
      </x:c>
      <x:c r="M2499" s="2" t="n">
        <x:f>SUM(L$2480:L2499)</x:f>
        <x:v>28</x:v>
      </x:c>
      <x:c r="N2499" s="2" t="n">
        <x:v>0</x:v>
      </x:c>
      <x:c r="O2499" s="2" t="str">
        <x:v>seguimiento</x:v>
      </x:c>
      <x:c r="P2499" s="2" t="n">
        <x:v>0</x:v>
      </x:c>
      <x:c r="Q2499" s="2" t="str">
        <x:v>simulado_didactico</x:v>
      </x:c>
    </x:row>
    <x:row r="2500" ht="19" customHeight="1">
      <x:c r="A2500" s="2" t="str">
        <x:v>SIM-E2-BB-L7-R10</x:v>
      </x:c>
      <x:c r="B2500" s="2" t="n">
        <x:v>5</x:v>
      </x:c>
      <x:c r="C2500" s="2" t="str">
        <x:v>BB</x:v>
      </x:c>
      <x:c r="D2500" s="2" t="str">
        <x:v>Brevicoryne brassicae</x:v>
      </x:c>
      <x:c r="E2500" s="2" t="str">
        <x:v>L7</x:v>
      </x:c>
      <x:c r="F2500" s="2" t="n">
        <x:v>10</x:v>
      </x:c>
      <x:c r="G2500" s="2" t="n">
        <x:v>20</x:v>
      </x:c>
      <x:c r="H2500" s="2" t="n">
        <x:f>G2500+Supuestos!$C$15</x:f>
        <x:v>21</x:v>
      </x:c>
      <x:c r="I2500" s="14" t="n">
        <x:f>E2_plantas!J61+G2500</x:f>
        <x:v>46222</x:v>
      </x:c>
      <x:c r="J2500" s="2" t="str">
        <x:v>adulta</x:v>
      </x:c>
      <x:c r="K2500" s="2" t="n">
        <x:v>1</x:v>
      </x:c>
      <x:c r="L2500" s="2" t="n">
        <x:v>1</x:v>
      </x:c>
      <x:c r="M2500" s="2" t="n">
        <x:f>SUM(L$2480:L2500)</x:f>
        <x:v>29</x:v>
      </x:c>
      <x:c r="N2500" s="2" t="n">
        <x:v>0</x:v>
      </x:c>
      <x:c r="O2500" s="2" t="str">
        <x:v>seguimiento</x:v>
      </x:c>
      <x:c r="P2500" s="2" t="n">
        <x:v>0</x:v>
      </x:c>
      <x:c r="Q2500" s="2" t="str">
        <x:v>simulado_didactico</x:v>
      </x:c>
    </x:row>
    <x:row r="2501" ht="19" customHeight="1">
      <x:c r="A2501" s="2" t="str">
        <x:v>SIM-E2-BB-L7-R10</x:v>
      </x:c>
      <x:c r="B2501" s="2" t="n">
        <x:v>5</x:v>
      </x:c>
      <x:c r="C2501" s="2" t="str">
        <x:v>BB</x:v>
      </x:c>
      <x:c r="D2501" s="2" t="str">
        <x:v>Brevicoryne brassicae</x:v>
      </x:c>
      <x:c r="E2501" s="2" t="str">
        <x:v>L7</x:v>
      </x:c>
      <x:c r="F2501" s="2" t="n">
        <x:v>10</x:v>
      </x:c>
      <x:c r="G2501" s="2" t="n">
        <x:v>21</x:v>
      </x:c>
      <x:c r="H2501" s="2" t="n">
        <x:f>G2501+Supuestos!$C$15</x:f>
        <x:v>22</x:v>
      </x:c>
      <x:c r="I2501" s="14" t="n">
        <x:f>E2_plantas!J61+G2501</x:f>
        <x:v>46223</x:v>
      </x:c>
      <x:c r="J2501" s="2" t="str">
        <x:v>adulta</x:v>
      </x:c>
      <x:c r="K2501" s="2" t="n">
        <x:v>1</x:v>
      </x:c>
      <x:c r="L2501" s="2" t="n">
        <x:v>3</x:v>
      </x:c>
      <x:c r="M2501" s="2" t="n">
        <x:f>SUM(L$2480:L2501)</x:f>
        <x:v>32</x:v>
      </x:c>
      <x:c r="N2501" s="2" t="n">
        <x:v>0</x:v>
      </x:c>
      <x:c r="O2501" s="2" t="str">
        <x:v>seguimiento</x:v>
      </x:c>
      <x:c r="P2501" s="2" t="n">
        <x:v>0</x:v>
      </x:c>
      <x:c r="Q2501" s="2" t="str">
        <x:v>simulado_didactico</x:v>
      </x:c>
    </x:row>
    <x:row r="2502" ht="19" customHeight="1">
      <x:c r="A2502" s="2" t="str">
        <x:v>SIM-E2-BB-L7-R10</x:v>
      </x:c>
      <x:c r="B2502" s="2" t="n">
        <x:v>5</x:v>
      </x:c>
      <x:c r="C2502" s="2" t="str">
        <x:v>BB</x:v>
      </x:c>
      <x:c r="D2502" s="2" t="str">
        <x:v>Brevicoryne brassicae</x:v>
      </x:c>
      <x:c r="E2502" s="2" t="str">
        <x:v>L7</x:v>
      </x:c>
      <x:c r="F2502" s="2" t="n">
        <x:v>10</x:v>
      </x:c>
      <x:c r="G2502" s="2" t="n">
        <x:v>22</x:v>
      </x:c>
      <x:c r="H2502" s="2" t="n">
        <x:f>G2502+Supuestos!$C$15</x:f>
        <x:v>23</x:v>
      </x:c>
      <x:c r="I2502" s="14" t="n">
        <x:f>E2_plantas!J61+G2502</x:f>
        <x:v>46224</x:v>
      </x:c>
      <x:c r="J2502" s="2" t="str">
        <x:v>adulta</x:v>
      </x:c>
      <x:c r="K2502" s="2" t="n">
        <x:v>1</x:v>
      </x:c>
      <x:c r="L2502" s="2" t="n">
        <x:v>3</x:v>
      </x:c>
      <x:c r="M2502" s="2" t="n">
        <x:f>SUM(L$2480:L2502)</x:f>
        <x:v>35</x:v>
      </x:c>
      <x:c r="N2502" s="2" t="n">
        <x:v>0</x:v>
      </x:c>
      <x:c r="O2502" s="2" t="str">
        <x:v>seguimiento</x:v>
      </x:c>
      <x:c r="P2502" s="2" t="n">
        <x:v>0</x:v>
      </x:c>
      <x:c r="Q2502" s="2" t="str">
        <x:v>simulado_didactico</x:v>
      </x:c>
    </x:row>
    <x:row r="2503" ht="19" customHeight="1">
      <x:c r="A2503" s="2" t="str">
        <x:v>SIM-E2-BB-L7-R10</x:v>
      </x:c>
      <x:c r="B2503" s="2" t="n">
        <x:v>5</x:v>
      </x:c>
      <x:c r="C2503" s="2" t="str">
        <x:v>BB</x:v>
      </x:c>
      <x:c r="D2503" s="2" t="str">
        <x:v>Brevicoryne brassicae</x:v>
      </x:c>
      <x:c r="E2503" s="2" t="str">
        <x:v>L7</x:v>
      </x:c>
      <x:c r="F2503" s="2" t="n">
        <x:v>10</x:v>
      </x:c>
      <x:c r="G2503" s="2" t="n">
        <x:v>23</x:v>
      </x:c>
      <x:c r="H2503" s="2" t="n">
        <x:f>G2503+Supuestos!$C$15</x:f>
        <x:v>24</x:v>
      </x:c>
      <x:c r="I2503" s="14" t="n">
        <x:f>E2_plantas!J61+G2503</x:f>
        <x:v>46225</x:v>
      </x:c>
      <x:c r="J2503" s="2" t="str">
        <x:v>adulta</x:v>
      </x:c>
      <x:c r="K2503" s="2" t="n">
        <x:v>1</x:v>
      </x:c>
      <x:c r="L2503" s="2" t="n">
        <x:v>1</x:v>
      </x:c>
      <x:c r="M2503" s="2" t="n">
        <x:f>SUM(L$2480:L2503)</x:f>
        <x:v>36</x:v>
      </x:c>
      <x:c r="N2503" s="2" t="n">
        <x:v>0</x:v>
      </x:c>
      <x:c r="O2503" s="2" t="str">
        <x:v>seguimiento</x:v>
      </x:c>
      <x:c r="P2503" s="2" t="n">
        <x:v>0</x:v>
      </x:c>
      <x:c r="Q2503" s="2" t="str">
        <x:v>simulado_didactico</x:v>
      </x:c>
    </x:row>
    <x:row r="2504" ht="19" customHeight="1">
      <x:c r="A2504" s="2" t="str">
        <x:v>SIM-E2-BB-L7-R10</x:v>
      </x:c>
      <x:c r="B2504" s="2" t="n">
        <x:v>5</x:v>
      </x:c>
      <x:c r="C2504" s="2" t="str">
        <x:v>BB</x:v>
      </x:c>
      <x:c r="D2504" s="2" t="str">
        <x:v>Brevicoryne brassicae</x:v>
      </x:c>
      <x:c r="E2504" s="2" t="str">
        <x:v>L7</x:v>
      </x:c>
      <x:c r="F2504" s="2" t="n">
        <x:v>10</x:v>
      </x:c>
      <x:c r="G2504" s="2" t="n">
        <x:v>24</x:v>
      </x:c>
      <x:c r="H2504" s="2" t="n">
        <x:f>G2504+Supuestos!$C$15</x:f>
        <x:v>25</x:v>
      </x:c>
      <x:c r="I2504" s="14" t="n">
        <x:f>E2_plantas!J61+G2504</x:f>
        <x:v>46226</x:v>
      </x:c>
      <x:c r="J2504" s="2" t="str">
        <x:v>adulta</x:v>
      </x:c>
      <x:c r="K2504" s="2" t="n">
        <x:v>1</x:v>
      </x:c>
      <x:c r="L2504" s="2" t="n">
        <x:v>1</x:v>
      </x:c>
      <x:c r="M2504" s="2" t="n">
        <x:f>SUM(L$2480:L2504)</x:f>
        <x:v>37</x:v>
      </x:c>
      <x:c r="N2504" s="2" t="n">
        <x:v>0</x:v>
      </x:c>
      <x:c r="O2504" s="2" t="str">
        <x:v>seguimiento</x:v>
      </x:c>
      <x:c r="P2504" s="2" t="n">
        <x:v>0</x:v>
      </x:c>
      <x:c r="Q2504" s="2" t="str">
        <x:v>simulado_didactico</x:v>
      </x:c>
    </x:row>
    <x:row r="2505" ht="19" customHeight="1">
      <x:c r="A2505" s="2" t="str">
        <x:v>SIM-E2-BB-L7-R10</x:v>
      </x:c>
      <x:c r="B2505" s="2" t="n">
        <x:v>5</x:v>
      </x:c>
      <x:c r="C2505" s="2" t="str">
        <x:v>BB</x:v>
      </x:c>
      <x:c r="D2505" s="2" t="str">
        <x:v>Brevicoryne brassicae</x:v>
      </x:c>
      <x:c r="E2505" s="2" t="str">
        <x:v>L7</x:v>
      </x:c>
      <x:c r="F2505" s="2" t="n">
        <x:v>10</x:v>
      </x:c>
      <x:c r="G2505" s="2" t="n">
        <x:v>25</x:v>
      </x:c>
      <x:c r="H2505" s="2" t="n">
        <x:f>G2505+Supuestos!$C$15</x:f>
        <x:v>26</x:v>
      </x:c>
      <x:c r="I2505" s="14" t="n">
        <x:f>E2_plantas!J61+G2505</x:f>
        <x:v>46227</x:v>
      </x:c>
      <x:c r="J2505" s="2" t="str">
        <x:v>adulta</x:v>
      </x:c>
      <x:c r="K2505" s="2" t="n">
        <x:v>1</x:v>
      </x:c>
      <x:c r="L2505" s="2" t="n">
        <x:v>3</x:v>
      </x:c>
      <x:c r="M2505" s="2" t="n">
        <x:f>SUM(L$2480:L2505)</x:f>
        <x:v>40</x:v>
      </x:c>
      <x:c r="N2505" s="2" t="n">
        <x:v>0</x:v>
      </x:c>
      <x:c r="O2505" s="2" t="str">
        <x:v>seguimiento</x:v>
      </x:c>
      <x:c r="P2505" s="2" t="n">
        <x:v>0</x:v>
      </x:c>
      <x:c r="Q2505" s="2" t="str">
        <x:v>simulado_didactico</x:v>
      </x:c>
    </x:row>
    <x:row r="2506" ht="19" customHeight="1">
      <x:c r="A2506" s="2" t="str">
        <x:v>SIM-E2-BB-L7-R10</x:v>
      </x:c>
      <x:c r="B2506" s="2" t="n">
        <x:v>5</x:v>
      </x:c>
      <x:c r="C2506" s="2" t="str">
        <x:v>BB</x:v>
      </x:c>
      <x:c r="D2506" s="2" t="str">
        <x:v>Brevicoryne brassicae</x:v>
      </x:c>
      <x:c r="E2506" s="2" t="str">
        <x:v>L7</x:v>
      </x:c>
      <x:c r="F2506" s="2" t="n">
        <x:v>10</x:v>
      </x:c>
      <x:c r="G2506" s="2" t="n">
        <x:v>26</x:v>
      </x:c>
      <x:c r="H2506" s="2" t="n">
        <x:f>G2506+Supuestos!$C$15</x:f>
        <x:v>27</x:v>
      </x:c>
      <x:c r="I2506" s="14" t="n">
        <x:f>E2_plantas!J61+G2506</x:f>
        <x:v>46228</x:v>
      </x:c>
      <x:c r="J2506" s="2" t="str">
        <x:v>adulta</x:v>
      </x:c>
      <x:c r="K2506" s="2" t="n">
        <x:v>1</x:v>
      </x:c>
      <x:c r="L2506" s="2" t="n">
        <x:v>1</x:v>
      </x:c>
      <x:c r="M2506" s="2" t="n">
        <x:f>SUM(L$2480:L2506)</x:f>
        <x:v>41</x:v>
      </x:c>
      <x:c r="N2506" s="2" t="n">
        <x:v>0</x:v>
      </x:c>
      <x:c r="O2506" s="2" t="str">
        <x:v>seguimiento</x:v>
      </x:c>
      <x:c r="P2506" s="2" t="n">
        <x:v>0</x:v>
      </x:c>
      <x:c r="Q2506" s="2" t="str">
        <x:v>simulado_didactico</x:v>
      </x:c>
    </x:row>
    <x:row r="2507" ht="19" customHeight="1">
      <x:c r="A2507" s="2" t="str">
        <x:v>SIM-E2-BB-L7-R10</x:v>
      </x:c>
      <x:c r="B2507" s="2" t="n">
        <x:v>5</x:v>
      </x:c>
      <x:c r="C2507" s="2" t="str">
        <x:v>BB</x:v>
      </x:c>
      <x:c r="D2507" s="2" t="str">
        <x:v>Brevicoryne brassicae</x:v>
      </x:c>
      <x:c r="E2507" s="2" t="str">
        <x:v>L7</x:v>
      </x:c>
      <x:c r="F2507" s="2" t="n">
        <x:v>10</x:v>
      </x:c>
      <x:c r="G2507" s="2" t="n">
        <x:v>27</x:v>
      </x:c>
      <x:c r="H2507" s="2" t="n">
        <x:f>G2507+Supuestos!$C$15</x:f>
        <x:v>28</x:v>
      </x:c>
      <x:c r="I2507" s="14" t="n">
        <x:f>E2_plantas!J61+G2507</x:f>
        <x:v>46229</x:v>
      </x:c>
      <x:c r="J2507" s="2" t="str">
        <x:v>adulta</x:v>
      </x:c>
      <x:c r="K2507" s="2" t="n">
        <x:v>1</x:v>
      </x:c>
      <x:c r="L2507" s="2" t="n">
        <x:v>4</x:v>
      </x:c>
      <x:c r="M2507" s="2" t="n">
        <x:f>SUM(L$2480:L2507)</x:f>
        <x:v>45</x:v>
      </x:c>
      <x:c r="N2507" s="2" t="n">
        <x:v>0</x:v>
      </x:c>
      <x:c r="O2507" s="2" t="str">
        <x:v>seguimiento</x:v>
      </x:c>
      <x:c r="P2507" s="2" t="n">
        <x:v>0</x:v>
      </x:c>
      <x:c r="Q2507" s="2" t="str">
        <x:v>simulado_didactico</x:v>
      </x:c>
    </x:row>
    <x:row r="2508" ht="19" customHeight="1">
      <x:c r="A2508" s="2" t="str">
        <x:v>SIM-E2-BB-L7-R10</x:v>
      </x:c>
      <x:c r="B2508" s="2" t="n">
        <x:v>5</x:v>
      </x:c>
      <x:c r="C2508" s="2" t="str">
        <x:v>BB</x:v>
      </x:c>
      <x:c r="D2508" s="2" t="str">
        <x:v>Brevicoryne brassicae</x:v>
      </x:c>
      <x:c r="E2508" s="2" t="str">
        <x:v>L7</x:v>
      </x:c>
      <x:c r="F2508" s="2" t="n">
        <x:v>10</x:v>
      </x:c>
      <x:c r="G2508" s="2" t="n">
        <x:v>28</x:v>
      </x:c>
      <x:c r="H2508" s="2" t="n">
        <x:f>G2508+Supuestos!$C$15</x:f>
        <x:v>29</x:v>
      </x:c>
      <x:c r="I2508" s="14" t="n">
        <x:f>E2_plantas!J61+G2508</x:f>
        <x:v>46230</x:v>
      </x:c>
      <x:c r="J2508" s="2" t="str">
        <x:v>adulta</x:v>
      </x:c>
      <x:c r="K2508" s="2" t="n">
        <x:v>1</x:v>
      </x:c>
      <x:c r="L2508" s="2" t="n">
        <x:v>0</x:v>
      </x:c>
      <x:c r="M2508" s="2" t="n">
        <x:f>SUM(L$2480:L2508)</x:f>
        <x:v>45</x:v>
      </x:c>
      <x:c r="N2508" s="2" t="n">
        <x:v>0</x:v>
      </x:c>
      <x:c r="O2508" s="2" t="str">
        <x:v>seguimiento</x:v>
      </x:c>
      <x:c r="P2508" s="2" t="n">
        <x:v>0</x:v>
      </x:c>
      <x:c r="Q2508" s="2" t="str">
        <x:v>simulado_didactico</x:v>
      </x:c>
    </x:row>
    <x:row r="2509" ht="19" customHeight="1">
      <x:c r="A2509" s="2" t="str">
        <x:v>SIM-E2-BB-L7-R10</x:v>
      </x:c>
      <x:c r="B2509" s="2" t="n">
        <x:v>5</x:v>
      </x:c>
      <x:c r="C2509" s="2" t="str">
        <x:v>BB</x:v>
      </x:c>
      <x:c r="D2509" s="2" t="str">
        <x:v>Brevicoryne brassicae</x:v>
      </x:c>
      <x:c r="E2509" s="2" t="str">
        <x:v>L7</x:v>
      </x:c>
      <x:c r="F2509" s="2" t="n">
        <x:v>10</x:v>
      </x:c>
      <x:c r="G2509" s="2" t="n">
        <x:v>29</x:v>
      </x:c>
      <x:c r="H2509" s="2" t="n">
        <x:f>G2509+Supuestos!$C$15</x:f>
        <x:v>30</x:v>
      </x:c>
      <x:c r="I2509" s="14" t="n">
        <x:f>E2_plantas!J61+G2509</x:f>
        <x:v>46231</x:v>
      </x:c>
      <x:c r="J2509" s="2" t="str">
        <x:v>adulta</x:v>
      </x:c>
      <x:c r="K2509" s="2" t="n">
        <x:v>1</x:v>
      </x:c>
      <x:c r="L2509" s="2" t="n">
        <x:v>2</x:v>
      </x:c>
      <x:c r="M2509" s="2" t="n">
        <x:f>SUM(L$2480:L2509)</x:f>
        <x:v>47</x:v>
      </x:c>
      <x:c r="N2509" s="2" t="n">
        <x:v>0</x:v>
      </x:c>
      <x:c r="O2509" s="2" t="str">
        <x:v>seguimiento</x:v>
      </x:c>
      <x:c r="P2509" s="2" t="n">
        <x:v>0</x:v>
      </x:c>
      <x:c r="Q2509" s="2" t="str">
        <x:v>simulado_didactico</x:v>
      </x:c>
    </x:row>
    <x:row r="2510" ht="19" customHeight="1">
      <x:c r="A2510" s="2" t="str">
        <x:v>SIM-E2-BB-L7-R10</x:v>
      </x:c>
      <x:c r="B2510" s="2" t="n">
        <x:v>5</x:v>
      </x:c>
      <x:c r="C2510" s="2" t="str">
        <x:v>BB</x:v>
      </x:c>
      <x:c r="D2510" s="2" t="str">
        <x:v>Brevicoryne brassicae</x:v>
      </x:c>
      <x:c r="E2510" s="2" t="str">
        <x:v>L7</x:v>
      </x:c>
      <x:c r="F2510" s="2" t="n">
        <x:v>10</x:v>
      </x:c>
      <x:c r="G2510" s="2" t="n">
        <x:v>30</x:v>
      </x:c>
      <x:c r="H2510" s="2" t="n">
        <x:f>G2510+Supuestos!$C$15</x:f>
        <x:v>31</x:v>
      </x:c>
      <x:c r="I2510" s="14" t="n">
        <x:f>E2_plantas!J61+G2510</x:f>
        <x:v>46232</x:v>
      </x:c>
      <x:c r="J2510" s="2" t="str">
        <x:v>adulta</x:v>
      </x:c>
      <x:c r="K2510" s="2" t="n">
        <x:v>1</x:v>
      </x:c>
      <x:c r="L2510" s="2" t="n">
        <x:v>2</x:v>
      </x:c>
      <x:c r="M2510" s="2" t="n">
        <x:f>SUM(L$2480:L2510)</x:f>
        <x:v>49</x:v>
      </x:c>
      <x:c r="N2510" s="2" t="n">
        <x:v>0</x:v>
      </x:c>
      <x:c r="O2510" s="2" t="str">
        <x:v>seguimiento</x:v>
      </x:c>
      <x:c r="P2510" s="2" t="n">
        <x:v>0</x:v>
      </x:c>
      <x:c r="Q2510" s="2" t="str">
        <x:v>simulado_didactico</x:v>
      </x:c>
    </x:row>
    <x:row r="2511" ht="19" customHeight="1">
      <x:c r="A2511" s="2" t="str">
        <x:v>SIM-E2-BB-L7-R10</x:v>
      </x:c>
      <x:c r="B2511" s="2" t="n">
        <x:v>5</x:v>
      </x:c>
      <x:c r="C2511" s="2" t="str">
        <x:v>BB</x:v>
      </x:c>
      <x:c r="D2511" s="2" t="str">
        <x:v>Brevicoryne brassicae</x:v>
      </x:c>
      <x:c r="E2511" s="2" t="str">
        <x:v>L7</x:v>
      </x:c>
      <x:c r="F2511" s="2" t="n">
        <x:v>10</x:v>
      </x:c>
      <x:c r="G2511" s="2" t="n">
        <x:v>31</x:v>
      </x:c>
      <x:c r="H2511" s="2" t="n">
        <x:f>G2511+Supuestos!$C$15</x:f>
        <x:v>32</x:v>
      </x:c>
      <x:c r="I2511" s="14" t="n">
        <x:f>E2_plantas!J61+G2511</x:f>
        <x:v>46233</x:v>
      </x:c>
      <x:c r="J2511" s="2" t="str">
        <x:v>adulta</x:v>
      </x:c>
      <x:c r="K2511" s="2" t="n">
        <x:v>1</x:v>
      </x:c>
      <x:c r="L2511" s="2" t="n">
        <x:v>0</x:v>
      </x:c>
      <x:c r="M2511" s="2" t="n">
        <x:f>SUM(L$2480:L2511)</x:f>
        <x:v>49</x:v>
      </x:c>
      <x:c r="N2511" s="2" t="n">
        <x:v>0</x:v>
      </x:c>
      <x:c r="O2511" s="2" t="str">
        <x:v>seguimiento</x:v>
      </x:c>
      <x:c r="P2511" s="2" t="n">
        <x:v>0</x:v>
      </x:c>
      <x:c r="Q2511" s="2" t="str">
        <x:v>simulado_didactico</x:v>
      </x:c>
    </x:row>
    <x:row r="2512" ht="19" customHeight="1">
      <x:c r="A2512" s="2" t="str">
        <x:v>SIM-E2-BB-L7-R10</x:v>
      </x:c>
      <x:c r="B2512" s="2" t="n">
        <x:v>5</x:v>
      </x:c>
      <x:c r="C2512" s="2" t="str">
        <x:v>BB</x:v>
      </x:c>
      <x:c r="D2512" s="2" t="str">
        <x:v>Brevicoryne brassicae</x:v>
      </x:c>
      <x:c r="E2512" s="2" t="str">
        <x:v>L7</x:v>
      </x:c>
      <x:c r="F2512" s="2" t="n">
        <x:v>10</x:v>
      </x:c>
      <x:c r="G2512" s="2" t="n">
        <x:v>32</x:v>
      </x:c>
      <x:c r="H2512" s="2" t="n">
        <x:f>G2512+Supuestos!$C$15</x:f>
        <x:v>33</x:v>
      </x:c>
      <x:c r="I2512" s="14" t="n">
        <x:f>E2_plantas!J61+G2512</x:f>
        <x:v>46234</x:v>
      </x:c>
      <x:c r="J2512" s="2" t="str">
        <x:v>adulta</x:v>
      </x:c>
      <x:c r="K2512" s="2" t="n">
        <x:v>1</x:v>
      </x:c>
      <x:c r="L2512" s="2" t="n">
        <x:v>1</x:v>
      </x:c>
      <x:c r="M2512" s="2" t="n">
        <x:f>SUM(L$2480:L2512)</x:f>
        <x:v>50</x:v>
      </x:c>
      <x:c r="N2512" s="2" t="n">
        <x:v>0</x:v>
      </x:c>
      <x:c r="O2512" s="2" t="str">
        <x:v>seguimiento</x:v>
      </x:c>
      <x:c r="P2512" s="2" t="n">
        <x:v>0</x:v>
      </x:c>
      <x:c r="Q2512" s="2" t="str">
        <x:v>simulado_didactico</x:v>
      </x:c>
    </x:row>
    <x:row r="2513" ht="19" customHeight="1">
      <x:c r="A2513" s="2" t="str">
        <x:v>SIM-E2-BB-L7-R10</x:v>
      </x:c>
      <x:c r="B2513" s="2" t="n">
        <x:v>5</x:v>
      </x:c>
      <x:c r="C2513" s="2" t="str">
        <x:v>BB</x:v>
      </x:c>
      <x:c r="D2513" s="2" t="str">
        <x:v>Brevicoryne brassicae</x:v>
      </x:c>
      <x:c r="E2513" s="2" t="str">
        <x:v>L7</x:v>
      </x:c>
      <x:c r="F2513" s="2" t="n">
        <x:v>10</x:v>
      </x:c>
      <x:c r="G2513" s="2" t="n">
        <x:v>33</x:v>
      </x:c>
      <x:c r="H2513" s="2" t="n">
        <x:f>G2513+Supuestos!$C$15</x:f>
        <x:v>34</x:v>
      </x:c>
      <x:c r="I2513" s="14" t="n">
        <x:f>E2_plantas!J61+G2513</x:f>
        <x:v>46235</x:v>
      </x:c>
      <x:c r="J2513" s="2" t="str">
        <x:v>adulta</x:v>
      </x:c>
      <x:c r="K2513" s="2" t="n">
        <x:v>1</x:v>
      </x:c>
      <x:c r="L2513" s="2" t="n">
        <x:v>0</x:v>
      </x:c>
      <x:c r="M2513" s="2" t="n">
        <x:f>SUM(L$2480:L2513)</x:f>
        <x:v>50</x:v>
      </x:c>
      <x:c r="N2513" s="2" t="n">
        <x:v>0</x:v>
      </x:c>
      <x:c r="O2513" s="2" t="str">
        <x:v>seguimiento</x:v>
      </x:c>
      <x:c r="P2513" s="2" t="n">
        <x:v>0</x:v>
      </x:c>
      <x:c r="Q2513" s="2" t="str">
        <x:v>simulado_didactico</x:v>
      </x:c>
    </x:row>
    <x:row r="2514" ht="19" customHeight="1">
      <x:c r="A2514" s="2" t="str">
        <x:v>SIM-E2-BB-L7-R10</x:v>
      </x:c>
      <x:c r="B2514" s="2" t="n">
        <x:v>5</x:v>
      </x:c>
      <x:c r="C2514" s="2" t="str">
        <x:v>BB</x:v>
      </x:c>
      <x:c r="D2514" s="2" t="str">
        <x:v>Brevicoryne brassicae</x:v>
      </x:c>
      <x:c r="E2514" s="2" t="str">
        <x:v>L7</x:v>
      </x:c>
      <x:c r="F2514" s="2" t="n">
        <x:v>10</x:v>
      </x:c>
      <x:c r="G2514" s="2" t="n">
        <x:v>34</x:v>
      </x:c>
      <x:c r="H2514" s="2" t="n">
        <x:f>G2514+Supuestos!$C$15</x:f>
        <x:v>35</x:v>
      </x:c>
      <x:c r="I2514" s="14" t="n">
        <x:f>E2_plantas!J61+G2514</x:f>
        <x:v>46236</x:v>
      </x:c>
      <x:c r="J2514" s="2" t="str">
        <x:v>adulta</x:v>
      </x:c>
      <x:c r="K2514" s="2" t="n">
        <x:v>1</x:v>
      </x:c>
      <x:c r="L2514" s="2" t="n">
        <x:v>0</x:v>
      </x:c>
      <x:c r="M2514" s="2" t="n">
        <x:f>SUM(L$2480:L2514)</x:f>
        <x:v>50</x:v>
      </x:c>
      <x:c r="N2514" s="2" t="n">
        <x:v>0</x:v>
      </x:c>
      <x:c r="O2514" s="2" t="str">
        <x:v>seguimiento</x:v>
      </x:c>
      <x:c r="P2514" s="2" t="n">
        <x:v>0</x:v>
      </x:c>
      <x:c r="Q2514" s="2" t="str">
        <x:v>simulado_didactico</x:v>
      </x:c>
    </x:row>
    <x:row r="2515" ht="19" customHeight="1">
      <x:c r="A2515" s="2" t="str">
        <x:v>SIM-E2-BB-L7-R10</x:v>
      </x:c>
      <x:c r="B2515" s="2" t="n">
        <x:v>5</x:v>
      </x:c>
      <x:c r="C2515" s="2" t="str">
        <x:v>BB</x:v>
      </x:c>
      <x:c r="D2515" s="2" t="str">
        <x:v>Brevicoryne brassicae</x:v>
      </x:c>
      <x:c r="E2515" s="2" t="str">
        <x:v>L7</x:v>
      </x:c>
      <x:c r="F2515" s="2" t="n">
        <x:v>10</x:v>
      </x:c>
      <x:c r="G2515" s="2" t="n">
        <x:v>35</x:v>
      </x:c>
      <x:c r="H2515" s="2" t="n">
        <x:f>G2515+Supuestos!$C$15</x:f>
        <x:v>36</x:v>
      </x:c>
      <x:c r="I2515" s="14" t="n">
        <x:f>E2_plantas!J61+G2515</x:f>
        <x:v>46237</x:v>
      </x:c>
      <x:c r="J2515" s="2" t="str">
        <x:v>muerta</x:v>
      </x:c>
      <x:c r="K2515" s="2" t="n">
        <x:v>0</x:v>
      </x:c>
      <x:c r="L2515" s="2" t="n">
        <x:v>0</x:v>
      </x:c>
      <x:c r="M2515" s="2" t="n">
        <x:f>SUM(L$2480:L2515)</x:f>
        <x:v>50</x:v>
      </x:c>
      <x:c r="N2515" s="2" t="n">
        <x:v>1</x:v>
      </x:c>
      <x:c r="O2515" s="2" t="str">
        <x:v>muerte</x:v>
      </x:c>
      <x:c r="P2515" s="2" t="n">
        <x:v>0</x:v>
      </x:c>
      <x:c r="Q2515" s="2" t="str">
        <x:v>simulado_didactico</x:v>
      </x:c>
    </x:row>
    <x:row r="2516" ht="19" customHeight="1">
      <x:c r="A2516" s="2" t="str">
        <x:v>SIM-E2-BB-L7-R10</x:v>
      </x:c>
      <x:c r="B2516" s="2" t="n">
        <x:v>5</x:v>
      </x:c>
      <x:c r="C2516" s="2" t="str">
        <x:v>BB</x:v>
      </x:c>
      <x:c r="D2516" s="2" t="str">
        <x:v>Brevicoryne brassicae</x:v>
      </x:c>
      <x:c r="E2516" s="2" t="str">
        <x:v>L7</x:v>
      </x:c>
      <x:c r="F2516" s="2" t="n">
        <x:v>10</x:v>
      </x:c>
      <x:c r="G2516" s="2" t="n">
        <x:v>36</x:v>
      </x:c>
      <x:c r="H2516" s="2" t="n">
        <x:f>G2516+Supuestos!$C$15</x:f>
        <x:v>37</x:v>
      </x:c>
      <x:c r="I2516" s="14" t="n">
        <x:f>E2_plantas!J61+G2516</x:f>
        <x:v>46238</x:v>
      </x:c>
      <x:c r="J2516" s="2" t="str">
        <x:v>muerta</x:v>
      </x:c>
      <x:c r="K2516" s="2" t="n">
        <x:v>0</x:v>
      </x:c>
      <x:c r="L2516" s="2" t="n">
        <x:v>0</x:v>
      </x:c>
      <x:c r="M2516" s="2" t="n">
        <x:f>SUM(L$2480:L2516)</x:f>
        <x:v>50</x:v>
      </x:c>
      <x:c r="N2516" s="2" t="n">
        <x:v>0</x:v>
      </x:c>
      <x:c r="O2516" s="2" t="str">
        <x:v>relleno_postmuerte</x:v>
      </x:c>
      <x:c r="P2516" s="2" t="n">
        <x:v>0</x:v>
      </x:c>
      <x:c r="Q2516" s="2" t="str">
        <x:v>simulado_didactico</x:v>
      </x:c>
    </x:row>
    <x:row r="2517" ht="19" customHeight="1">
      <x:c r="A2517" s="2" t="str">
        <x:v>SIM-E2-BB-L7-R10</x:v>
      </x:c>
      <x:c r="B2517" s="2" t="n">
        <x:v>5</x:v>
      </x:c>
      <x:c r="C2517" s="2" t="str">
        <x:v>BB</x:v>
      </x:c>
      <x:c r="D2517" s="2" t="str">
        <x:v>Brevicoryne brassicae</x:v>
      </x:c>
      <x:c r="E2517" s="2" t="str">
        <x:v>L7</x:v>
      </x:c>
      <x:c r="F2517" s="2" t="n">
        <x:v>10</x:v>
      </x:c>
      <x:c r="G2517" s="2" t="n">
        <x:v>37</x:v>
      </x:c>
      <x:c r="H2517" s="2" t="n">
        <x:f>G2517+Supuestos!$C$15</x:f>
        <x:v>38</x:v>
      </x:c>
      <x:c r="I2517" s="14" t="n">
        <x:f>E2_plantas!J61+G2517</x:f>
        <x:v>46239</x:v>
      </x:c>
      <x:c r="J2517" s="2" t="str">
        <x:v>muerta</x:v>
      </x:c>
      <x:c r="K2517" s="2" t="n">
        <x:v>0</x:v>
      </x:c>
      <x:c r="L2517" s="2" t="n">
        <x:v>0</x:v>
      </x:c>
      <x:c r="M2517" s="2" t="n">
        <x:f>SUM(L$2480:L2517)</x:f>
        <x:v>50</x:v>
      </x:c>
      <x:c r="N2517" s="2" t="n">
        <x:v>0</x:v>
      </x:c>
      <x:c r="O2517" s="2" t="str">
        <x:v>relleno_postmuerte</x:v>
      </x:c>
      <x:c r="P2517" s="2" t="n">
        <x:v>0</x:v>
      </x:c>
      <x:c r="Q2517" s="2" t="str">
        <x:v>simulado_didactico</x:v>
      </x:c>
    </x:row>
    <x:row r="2518" ht="19" customHeight="1">
      <x:c r="A2518" s="2" t="str">
        <x:v>SIM-E2-BB-L7-R10</x:v>
      </x:c>
      <x:c r="B2518" s="2" t="n">
        <x:v>5</x:v>
      </x:c>
      <x:c r="C2518" s="2" t="str">
        <x:v>BB</x:v>
      </x:c>
      <x:c r="D2518" s="2" t="str">
        <x:v>Brevicoryne brassicae</x:v>
      </x:c>
      <x:c r="E2518" s="2" t="str">
        <x:v>L7</x:v>
      </x:c>
      <x:c r="F2518" s="2" t="n">
        <x:v>10</x:v>
      </x:c>
      <x:c r="G2518" s="2" t="n">
        <x:v>38</x:v>
      </x:c>
      <x:c r="H2518" s="2" t="n">
        <x:f>G2518+Supuestos!$C$15</x:f>
        <x:v>39</x:v>
      </x:c>
      <x:c r="I2518" s="14" t="n">
        <x:f>E2_plantas!J61+G2518</x:f>
        <x:v>46240</x:v>
      </x:c>
      <x:c r="J2518" s="2" t="str">
        <x:v>muerta</x:v>
      </x:c>
      <x:c r="K2518" s="2" t="n">
        <x:v>0</x:v>
      </x:c>
      <x:c r="L2518" s="2" t="n">
        <x:v>0</x:v>
      </x:c>
      <x:c r="M2518" s="2" t="n">
        <x:f>SUM(L$2480:L2518)</x:f>
        <x:v>50</x:v>
      </x:c>
      <x:c r="N2518" s="2" t="n">
        <x:v>0</x:v>
      </x:c>
      <x:c r="O2518" s="2" t="str">
        <x:v>relleno_postmuerte</x:v>
      </x:c>
      <x:c r="P2518" s="2" t="n">
        <x:v>0</x:v>
      </x:c>
      <x:c r="Q2518" s="2" t="str">
        <x:v>simulado_didactico</x:v>
      </x:c>
    </x:row>
    <x:row r="2519" ht="19" customHeight="1">
      <x:c r="A2519" s="2" t="str">
        <x:v>SIM-E2-BB-L7-R10</x:v>
      </x:c>
      <x:c r="B2519" s="2" t="n">
        <x:v>5</x:v>
      </x:c>
      <x:c r="C2519" s="2" t="str">
        <x:v>BB</x:v>
      </x:c>
      <x:c r="D2519" s="2" t="str">
        <x:v>Brevicoryne brassicae</x:v>
      </x:c>
      <x:c r="E2519" s="2" t="str">
        <x:v>L7</x:v>
      </x:c>
      <x:c r="F2519" s="2" t="n">
        <x:v>10</x:v>
      </x:c>
      <x:c r="G2519" s="2" t="n">
        <x:v>39</x:v>
      </x:c>
      <x:c r="H2519" s="2" t="n">
        <x:f>G2519+Supuestos!$C$15</x:f>
        <x:v>40</x:v>
      </x:c>
      <x:c r="I2519" s="14" t="n">
        <x:f>E2_plantas!J61+G2519</x:f>
        <x:v>46241</x:v>
      </x:c>
      <x:c r="J2519" s="2" t="str">
        <x:v>muerta</x:v>
      </x:c>
      <x:c r="K2519" s="2" t="n">
        <x:v>0</x:v>
      </x:c>
      <x:c r="L2519" s="2" t="n">
        <x:v>0</x:v>
      </x:c>
      <x:c r="M2519" s="2" t="n">
        <x:f>SUM(L$2480:L2519)</x:f>
        <x:v>50</x:v>
      </x:c>
      <x:c r="N2519" s="2" t="n">
        <x:v>0</x:v>
      </x:c>
      <x:c r="O2519" s="2" t="str">
        <x:v>relleno_postmuerte</x:v>
      </x:c>
      <x:c r="P2519" s="2" t="n">
        <x:v>0</x:v>
      </x:c>
      <x:c r="Q2519" s="2" t="str">
        <x:v>simulado_didactico</x:v>
      </x:c>
    </x:row>
    <x:row r="2520" ht="19" customHeight="1">
      <x:c r="A2520" s="2" t="str">
        <x:v>SIM-E2-BB-L7-R10</x:v>
      </x:c>
      <x:c r="B2520" s="2" t="n">
        <x:v>5</x:v>
      </x:c>
      <x:c r="C2520" s="2" t="str">
        <x:v>BB</x:v>
      </x:c>
      <x:c r="D2520" s="2" t="str">
        <x:v>Brevicoryne brassicae</x:v>
      </x:c>
      <x:c r="E2520" s="2" t="str">
        <x:v>L7</x:v>
      </x:c>
      <x:c r="F2520" s="2" t="n">
        <x:v>10</x:v>
      </x:c>
      <x:c r="G2520" s="2" t="n">
        <x:v>40</x:v>
      </x:c>
      <x:c r="H2520" s="2" t="n">
        <x:f>G2520+Supuestos!$C$15</x:f>
        <x:v>41</x:v>
      </x:c>
      <x:c r="I2520" s="14" t="n">
        <x:f>E2_plantas!J61+G2520</x:f>
        <x:v>46242</x:v>
      </x:c>
      <x:c r="J2520" s="2" t="str">
        <x:v>muerta</x:v>
      </x:c>
      <x:c r="K2520" s="2" t="n">
        <x:v>0</x:v>
      </x:c>
      <x:c r="L2520" s="2" t="n">
        <x:v>0</x:v>
      </x:c>
      <x:c r="M2520" s="2" t="n">
        <x:f>SUM(L$2480:L2520)</x:f>
        <x:v>50</x:v>
      </x:c>
      <x:c r="N2520" s="2" t="n">
        <x:v>0</x:v>
      </x:c>
      <x:c r="O2520" s="2" t="str">
        <x:v>relleno_postmuerte</x:v>
      </x:c>
      <x:c r="P2520" s="2" t="n">
        <x:v>0</x:v>
      </x:c>
      <x:c r="Q2520" s="2" t="str">
        <x:v>simulado_didactico</x:v>
      </x:c>
    </x:row>
    <x:row r="2521" ht="19" customHeight="1">
      <x:c r="A2521" s="2" t="str">
        <x:v>SIM-E2-BB-L7-R10</x:v>
      </x:c>
      <x:c r="B2521" s="2" t="n">
        <x:v>5</x:v>
      </x:c>
      <x:c r="C2521" s="2" t="str">
        <x:v>BB</x:v>
      </x:c>
      <x:c r="D2521" s="2" t="str">
        <x:v>Brevicoryne brassicae</x:v>
      </x:c>
      <x:c r="E2521" s="2" t="str">
        <x:v>L7</x:v>
      </x:c>
      <x:c r="F2521" s="2" t="n">
        <x:v>10</x:v>
      </x:c>
      <x:c r="G2521" s="2" t="n">
        <x:v>41</x:v>
      </x:c>
      <x:c r="H2521" s="2" t="n">
        <x:f>G2521+Supuestos!$C$15</x:f>
        <x:v>42</x:v>
      </x:c>
      <x:c r="I2521" s="14" t="n">
        <x:f>E2_plantas!J61+G2521</x:f>
        <x:v>46243</x:v>
      </x:c>
      <x:c r="J2521" s="2" t="str">
        <x:v>muerta</x:v>
      </x:c>
      <x:c r="K2521" s="2" t="n">
        <x:v>0</x:v>
      </x:c>
      <x:c r="L2521" s="2" t="n">
        <x:v>0</x:v>
      </x:c>
      <x:c r="M2521" s="2" t="n">
        <x:f>SUM(L$2480:L2521)</x:f>
        <x:v>50</x:v>
      </x:c>
      <x:c r="N2521" s="2" t="n">
        <x:v>0</x:v>
      </x:c>
      <x:c r="O2521" s="2" t="str">
        <x:v>relleno_postmuerte</x:v>
      </x:c>
      <x:c r="P2521" s="2" t="n">
        <x:v>0</x:v>
      </x:c>
      <x:c r="Q2521" s="2" t="str">
        <x:v>simulado_didactico</x:v>
      </x:c>
    </x:row>
  </x:sheetData>
  <x:conditionalFormatting sqref="E2:E2521">
    <x:cfRule type="expression" dxfId="54" priority="1">
      <x:formula>E2="L0"</x:formula>
    </x:cfRule>
    <x:cfRule type="expression" dxfId="55" priority="2">
      <x:formula>E2="L1"</x:formula>
    </x:cfRule>
    <x:cfRule type="expression" dxfId="56" priority="3">
      <x:formula>E2="L2"</x:formula>
    </x:cfRule>
    <x:cfRule type="expression" dxfId="57" priority="4">
      <x:formula>E2="L3"</x:formula>
    </x:cfRule>
    <x:cfRule type="expression" dxfId="58" priority="5">
      <x:formula>E2="L5"</x:formula>
    </x:cfRule>
    <x:cfRule type="expression" dxfId="59" priority="6">
      <x:formula>E2="L6"</x:formula>
    </x:cfRule>
    <x:cfRule type="expression" dxfId="60" priority="7">
      <x:formula>E2="L7"</x:formula>
    </x:cfRule>
    <x:cfRule type="expression" dxfId="61" priority="8">
      <x:formula>E2="L8"</x:formula>
    </x:cfRule>
    <x:cfRule type="expression" dxfId="62" priority="9">
      <x:formula>E2="L9"</x:formula>
    </x:cfRule>
  </x:conditionalFormatting>
  <x:dataValidations count="1">
    <x:dataValidation type="list" sqref="J2:J2521">
      <x:formula1>"N1,N2,N3,N4,adulta,muerta"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7c706a1fba416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4" hidden="0" customWidth="1"/>
  </x:cols>
  <x:sheetData>
    <x:row r="1" ht="43" customHeight="1">
      <x:c r="A1" s="7" t="str">
        <x:v>id_individuo</x:v>
      </x:c>
      <x:c r="B1" s="7" t="str">
        <x:v>bloque_temporal</x:v>
      </x:c>
      <x:c r="C1" s="7" t="str">
        <x:v>codigo_especie</x:v>
      </x:c>
      <x:c r="D1" s="7" t="str">
        <x:v>especie</x:v>
      </x:c>
      <x:c r="E1" s="7" t="str">
        <x:v>tratamiento</x:v>
      </x:c>
      <x:c r="F1" s="7" t="str">
        <x:v>repeticion</x:v>
      </x:c>
      <x:c r="G1" s="7" t="str">
        <x:v>sobrevivio_a_adulta</x:v>
      </x:c>
      <x:c r="H1" s="7" t="str">
        <x:v>dias_N1_observados</x:v>
      </x:c>
      <x:c r="I1" s="7" t="str">
        <x:v>dias_N2_observados</x:v>
      </x:c>
      <x:c r="J1" s="7" t="str">
        <x:v>dias_N3_observados</x:v>
      </x:c>
      <x:c r="K1" s="7" t="str">
        <x:v>dias_N4_observados</x:v>
      </x:c>
      <x:c r="L1" s="7" t="str">
        <x:v>desarrollo_ninfal_dias</x:v>
      </x:c>
      <x:c r="M1" s="7" t="str">
        <x:v>longevidad_adulta_dias</x:v>
      </x:c>
      <x:c r="N1" s="7" t="str">
        <x:v>longevidad_total_dias</x:v>
      </x:c>
      <x:c r="O1" s="7" t="str">
        <x:v>primera_reproduccion_x</x:v>
      </x:c>
      <x:c r="P1" s="7" t="str">
        <x:v>ultima_reproduccion_x</x:v>
      </x:c>
      <x:c r="Q1" s="7" t="str">
        <x:v>prerreproductivo_total_dias</x:v>
      </x:c>
      <x:c r="R1" s="7" t="str">
        <x:v>prerreproductivo_adulto_dias</x:v>
      </x:c>
      <x:c r="S1" s="7" t="str">
        <x:v>periodo_reproductivo_dias</x:v>
      </x:c>
      <x:c r="T1" s="7" t="str">
        <x:v>dias_con_reproduccion</x:v>
      </x:c>
      <x:c r="U1" s="7" t="str">
        <x:v>posreproductivo_dias</x:v>
      </x:c>
      <x:c r="V1" s="7" t="str">
        <x:v>fecundidad_total</x:v>
      </x:c>
      <x:c r="W1" s="7" t="str">
        <x:v>censurado</x:v>
      </x:c>
      <x:c r="X1" s="7" t="str">
        <x:v>origen_dato</x:v>
      </x:c>
    </x:row>
    <x:row r="2" ht="19" customHeight="1">
      <x:c r="A2" s="2" t="str">
        <x:v>SIM-E2-MP-L0-R01</x:v>
      </x:c>
      <x:c r="B2" s="2" t="n">
        <x:v>1</x:v>
      </x:c>
      <x:c r="C2" s="2" t="str">
        <x:v>MP</x:v>
      </x:c>
      <x:c r="D2" s="2" t="str">
        <x:v>Myzus persicae</x:v>
      </x:c>
      <x:c r="E2" s="2" t="str">
        <x:v>L0</x:v>
      </x:c>
      <x:c r="F2" s="2" t="n">
        <x:v>1</x:v>
      </x:c>
      <x:c r="G2" s="2" t="n">
        <x:f>IF(COUNTIF(E2_diario!$J$2:$J$43,"adulta")&gt;0,1,0)</x:f>
        <x:v>1</x:v>
      </x:c>
      <x:c r="H2" s="2" t="n">
        <x:f>COUNTIF(E2_diario!$J$2:$J$43,"N1")</x:f>
        <x:v>2</x:v>
      </x:c>
      <x:c r="I2" s="2" t="n">
        <x:f>COUNTIF(E2_diario!$J$2:$J$43,"N2")</x:f>
        <x:v>1</x:v>
      </x:c>
      <x:c r="J2" s="2" t="n">
        <x:f>COUNTIF(E2_diario!$J$2:$J$43,"N3")</x:f>
        <x:v>2</x:v>
      </x:c>
      <x:c r="K2" s="2" t="n">
        <x:f>COUNTIF(E2_diario!$J$2:$J$43,"N4")</x:f>
        <x:v>3</x:v>
      </x:c>
      <x:c r="L2" s="2" t="n">
        <x:f>IF(G2=1,SUM(H2:K2),"")</x:f>
        <x:v>8</x:v>
      </x:c>
      <x:c r="M2" s="2" t="n">
        <x:f>IF(G2=1,COUNTIF(E2_diario!$J$2:$J$43,"adulta"),"")</x:f>
        <x:v>23</x:v>
      </x:c>
      <x:c r="N2" s="2" t="n">
        <x:f>SUM(E2_diario!$K$2:$K$43)</x:f>
        <x:v>31</x:v>
      </x:c>
      <x:c r="O2" s="2" t="n">
        <x:f>IF(V2=0,"",COUNTIF(E2_diario!$M$2:$M$43,0))</x:f>
        <x:v>9</x:v>
      </x:c>
      <x:c r="P2" s="2" t="n">
        <x:f>IF(V2=0,"",COUNTIF(E2_diario!$M$2:$M$43,"&lt;"&amp;V2))</x:f>
        <x:v>29</x:v>
      </x:c>
      <x:c r="Q2" s="2" t="n">
        <x:f>IF(V2=0,"",O2)</x:f>
        <x:v>9</x:v>
      </x:c>
      <x:c r="R2" s="2" t="n">
        <x:f>IF(V2=0,"",O2-L2)</x:f>
        <x:v>1</x:v>
      </x:c>
      <x:c r="S2" s="2" t="n">
        <x:f>IF(V2=0,"",P2-O2+Supuestos!$C$15)</x:f>
        <x:v>21</x:v>
      </x:c>
      <x:c r="T2" s="2" t="n">
        <x:f>COUNTIF(E2_diario!$L$2:$L$43,"&gt;0")</x:f>
        <x:v>18</x:v>
      </x:c>
      <x:c r="U2" s="2" t="n">
        <x:f>IF(V2=0,"",N2-P2-Supuestos!$C$15)</x:f>
        <x:v>1</x:v>
      </x:c>
      <x:c r="V2" s="2" t="n">
        <x:f>SUM(E2_diario!$L$2:$L$43)</x:f>
        <x:v>38</x:v>
      </x:c>
      <x:c r="W2" s="2" t="n">
        <x:f>MAX(E2_diario!$P$2:$P$43)</x:f>
        <x:v>0</x:v>
      </x:c>
      <x:c r="X2" s="2" t="str">
        <x:v>simulado_didactico</x:v>
      </x:c>
    </x:row>
    <x:row r="3" ht="19" customHeight="1">
      <x:c r="A3" s="2" t="str">
        <x:v>SIM-E2-MP-L0-R02</x:v>
      </x:c>
      <x:c r="B3" s="2" t="n">
        <x:v>1</x:v>
      </x:c>
      <x:c r="C3" s="2" t="str">
        <x:v>MP</x:v>
      </x:c>
      <x:c r="D3" s="2" t="str">
        <x:v>Myzus persicae</x:v>
      </x:c>
      <x:c r="E3" s="2" t="str">
        <x:v>L0</x:v>
      </x:c>
      <x:c r="F3" s="2" t="n">
        <x:v>2</x:v>
      </x:c>
      <x:c r="G3" s="2" t="n">
        <x:f>IF(COUNTIF(E2_diario!$J$44:$J$85,"adulta")&gt;0,1,0)</x:f>
        <x:v>1</x:v>
      </x:c>
      <x:c r="H3" s="2" t="n">
        <x:f>COUNTIF(E2_diario!$J$44:$J$85,"N1")</x:f>
        <x:v>3</x:v>
      </x:c>
      <x:c r="I3" s="2" t="n">
        <x:f>COUNTIF(E2_diario!$J$44:$J$85,"N2")</x:f>
        <x:v>1</x:v>
      </x:c>
      <x:c r="J3" s="2" t="n">
        <x:f>COUNTIF(E2_diario!$J$44:$J$85,"N3")</x:f>
        <x:v>1</x:v>
      </x:c>
      <x:c r="K3" s="2" t="n">
        <x:f>COUNTIF(E2_diario!$J$44:$J$85,"N4")</x:f>
        <x:v>3</x:v>
      </x:c>
      <x:c r="L3" s="2" t="n">
        <x:f>IF(G3=1,SUM(H3:K3),"")</x:f>
        <x:v>8</x:v>
      </x:c>
      <x:c r="M3" s="2" t="n">
        <x:f>IF(G3=1,COUNTIF(E2_diario!$J$44:$J$85,"adulta"),"")</x:f>
        <x:v>23</x:v>
      </x:c>
      <x:c r="N3" s="2" t="n">
        <x:f>SUM(E2_diario!$K$44:$K$85)</x:f>
        <x:v>31</x:v>
      </x:c>
      <x:c r="O3" s="2" t="n">
        <x:f>IF(V3=0,"",COUNTIF(E2_diario!$M$44:$M$85,0))</x:f>
        <x:v>10</x:v>
      </x:c>
      <x:c r="P3" s="2" t="n">
        <x:f>IF(V3=0,"",COUNTIF(E2_diario!$M$44:$M$85,"&lt;"&amp;V3))</x:f>
        <x:v>29</x:v>
      </x:c>
      <x:c r="Q3" s="2" t="n">
        <x:f>IF(V3=0,"",O3)</x:f>
        <x:v>10</x:v>
      </x:c>
      <x:c r="R3" s="2" t="n">
        <x:f>IF(V3=0,"",O3-L3)</x:f>
        <x:v>2</x:v>
      </x:c>
      <x:c r="S3" s="2" t="n">
        <x:f>IF(V3=0,"",P3-O3+Supuestos!$C$15)</x:f>
        <x:v>20</x:v>
      </x:c>
      <x:c r="T3" s="2" t="n">
        <x:f>COUNTIF(E2_diario!$L$44:$L$85,"&gt;0")</x:f>
        <x:v>19</x:v>
      </x:c>
      <x:c r="U3" s="2" t="n">
        <x:f>IF(V3=0,"",N3-P3-Supuestos!$C$15)</x:f>
        <x:v>1</x:v>
      </x:c>
      <x:c r="V3" s="2" t="n">
        <x:f>SUM(E2_diario!$L$44:$L$85)</x:f>
        <x:v>58</x:v>
      </x:c>
      <x:c r="W3" s="2" t="n">
        <x:f>MAX(E2_diario!$P$44:$P$85)</x:f>
        <x:v>0</x:v>
      </x:c>
      <x:c r="X3" s="2" t="str">
        <x:v>simulado_didactico</x:v>
      </x:c>
    </x:row>
    <x:row r="4" ht="19" customHeight="1">
      <x:c r="A4" s="2" t="str">
        <x:v>SIM-E2-MP-L8-R01</x:v>
      </x:c>
      <x:c r="B4" s="2" t="n">
        <x:v>1</x:v>
      </x:c>
      <x:c r="C4" s="2" t="str">
        <x:v>MP</x:v>
      </x:c>
      <x:c r="D4" s="2" t="str">
        <x:v>Myzus persicae</x:v>
      </x:c>
      <x:c r="E4" s="2" t="str">
        <x:v>L8</x:v>
      </x:c>
      <x:c r="F4" s="2" t="n">
        <x:v>1</x:v>
      </x:c>
      <x:c r="G4" s="2" t="n">
        <x:f>IF(COUNTIF(E2_diario!$J$86:$J$127,"adulta")&gt;0,1,0)</x:f>
        <x:v>1</x:v>
      </x:c>
      <x:c r="H4" s="2" t="n">
        <x:f>COUNTIF(E2_diario!$J$86:$J$127,"N1")</x:f>
        <x:v>3</x:v>
      </x:c>
      <x:c r="I4" s="2" t="n">
        <x:f>COUNTIF(E2_diario!$J$86:$J$127,"N2")</x:f>
        <x:v>2</x:v>
      </x:c>
      <x:c r="J4" s="2" t="n">
        <x:f>COUNTIF(E2_diario!$J$86:$J$127,"N3")</x:f>
        <x:v>3</x:v>
      </x:c>
      <x:c r="K4" s="2" t="n">
        <x:f>COUNTIF(E2_diario!$J$86:$J$127,"N4")</x:f>
        <x:v>2</x:v>
      </x:c>
      <x:c r="L4" s="2" t="n">
        <x:f>IF(G4=1,SUM(H4:K4),"")</x:f>
        <x:v>10</x:v>
      </x:c>
      <x:c r="M4" s="2" t="n">
        <x:f>IF(G4=1,COUNTIF(E2_diario!$J$86:$J$127,"adulta"),"")</x:f>
        <x:v>15</x:v>
      </x:c>
      <x:c r="N4" s="2" t="n">
        <x:f>SUM(E2_diario!$K$86:$K$127)</x:f>
        <x:v>25</x:v>
      </x:c>
      <x:c r="O4" s="2" t="n">
        <x:f>IF(V4=0,"",COUNTIF(E2_diario!$M$86:$M$127,0))</x:f>
        <x:v>14</x:v>
      </x:c>
      <x:c r="P4" s="2" t="n">
        <x:f>IF(V4=0,"",COUNTIF(E2_diario!$M$86:$M$127,"&lt;"&amp;V4))</x:f>
        <x:v>21</x:v>
      </x:c>
      <x:c r="Q4" s="2" t="n">
        <x:f>IF(V4=0,"",O4)</x:f>
        <x:v>14</x:v>
      </x:c>
      <x:c r="R4" s="2" t="n">
        <x:f>IF(V4=0,"",O4-L4)</x:f>
        <x:v>4</x:v>
      </x:c>
      <x:c r="S4" s="2" t="n">
        <x:f>IF(V4=0,"",P4-O4+Supuestos!$C$15)</x:f>
        <x:v>8</x:v>
      </x:c>
      <x:c r="T4" s="2" t="n">
        <x:f>COUNTIF(E2_diario!$L$86:$L$127,"&gt;0")</x:f>
        <x:v>7</x:v>
      </x:c>
      <x:c r="U4" s="2" t="n">
        <x:f>IF(V4=0,"",N4-P4-Supuestos!$C$15)</x:f>
        <x:v>3</x:v>
      </x:c>
      <x:c r="V4" s="2" t="n">
        <x:f>SUM(E2_diario!$L$86:$L$127)</x:f>
        <x:v>17</x:v>
      </x:c>
      <x:c r="W4" s="2" t="n">
        <x:f>MAX(E2_diario!$P$86:$P$127)</x:f>
        <x:v>0</x:v>
      </x:c>
      <x:c r="X4" s="2" t="str">
        <x:v>simulado_didactico</x:v>
      </x:c>
    </x:row>
    <x:row r="5" ht="19" customHeight="1">
      <x:c r="A5" s="2" t="str">
        <x:v>SIM-E2-MP-L8-R02</x:v>
      </x:c>
      <x:c r="B5" s="2" t="n">
        <x:v>1</x:v>
      </x:c>
      <x:c r="C5" s="2" t="str">
        <x:v>MP</x:v>
      </x:c>
      <x:c r="D5" s="2" t="str">
        <x:v>Myzus persicae</x:v>
      </x:c>
      <x:c r="E5" s="2" t="str">
        <x:v>L8</x:v>
      </x:c>
      <x:c r="F5" s="2" t="n">
        <x:v>2</x:v>
      </x:c>
      <x:c r="G5" s="2" t="n">
        <x:f>IF(COUNTIF(E2_diario!$J$128:$J$169,"adulta")&gt;0,1,0)</x:f>
        <x:v>1</x:v>
      </x:c>
      <x:c r="H5" s="2" t="n">
        <x:f>COUNTIF(E2_diario!$J$128:$J$169,"N1")</x:f>
        <x:v>3</x:v>
      </x:c>
      <x:c r="I5" s="2" t="n">
        <x:f>COUNTIF(E2_diario!$J$128:$J$169,"N2")</x:f>
        <x:v>3</x:v>
      </x:c>
      <x:c r="J5" s="2" t="n">
        <x:f>COUNTIF(E2_diario!$J$128:$J$169,"N3")</x:f>
        <x:v>2</x:v>
      </x:c>
      <x:c r="K5" s="2" t="n">
        <x:f>COUNTIF(E2_diario!$J$128:$J$169,"N4")</x:f>
        <x:v>3</x:v>
      </x:c>
      <x:c r="L5" s="2" t="n">
        <x:f>IF(G5=1,SUM(H5:K5),"")</x:f>
        <x:v>11</x:v>
      </x:c>
      <x:c r="M5" s="2" t="n">
        <x:f>IF(G5=1,COUNTIF(E2_diario!$J$128:$J$169,"adulta"),"")</x:f>
        <x:v>16</x:v>
      </x:c>
      <x:c r="N5" s="2" t="n">
        <x:f>SUM(E2_diario!$K$128:$K$169)</x:f>
        <x:v>27</x:v>
      </x:c>
      <x:c r="O5" s="2" t="n">
        <x:f>IF(V5=0,"",COUNTIF(E2_diario!$M$128:$M$169,0))</x:f>
        <x:v>14</x:v>
      </x:c>
      <x:c r="P5" s="2" t="n">
        <x:f>IF(V5=0,"",COUNTIF(E2_diario!$M$128:$M$169,"&lt;"&amp;V5))</x:f>
        <x:v>23</x:v>
      </x:c>
      <x:c r="Q5" s="2" t="n">
        <x:f>IF(V5=0,"",O5)</x:f>
        <x:v>14</x:v>
      </x:c>
      <x:c r="R5" s="2" t="n">
        <x:f>IF(V5=0,"",O5-L5)</x:f>
        <x:v>3</x:v>
      </x:c>
      <x:c r="S5" s="2" t="n">
        <x:f>IF(V5=0,"",P5-O5+Supuestos!$C$15)</x:f>
        <x:v>10</x:v>
      </x:c>
      <x:c r="T5" s="2" t="n">
        <x:f>COUNTIF(E2_diario!$L$128:$L$169,"&gt;0")</x:f>
        <x:v>8</x:v>
      </x:c>
      <x:c r="U5" s="2" t="n">
        <x:f>IF(V5=0,"",N5-P5-Supuestos!$C$15)</x:f>
        <x:v>3</x:v>
      </x:c>
      <x:c r="V5" s="2" t="n">
        <x:f>SUM(E2_diario!$L$128:$L$169)</x:f>
        <x:v>17</x:v>
      </x:c>
      <x:c r="W5" s="2" t="n">
        <x:f>MAX(E2_diario!$P$128:$P$169)</x:f>
        <x:v>0</x:v>
      </x:c>
      <x:c r="X5" s="2" t="str">
        <x:v>simulado_didactico</x:v>
      </x:c>
    </x:row>
    <x:row r="6" ht="19" customHeight="1">
      <x:c r="A6" s="2" t="str">
        <x:v>SIM-E2-MP-L7-R01</x:v>
      </x:c>
      <x:c r="B6" s="2" t="n">
        <x:v>1</x:v>
      </x:c>
      <x:c r="C6" s="2" t="str">
        <x:v>MP</x:v>
      </x:c>
      <x:c r="D6" s="2" t="str">
        <x:v>Myzus persicae</x:v>
      </x:c>
      <x:c r="E6" s="2" t="str">
        <x:v>L7</x:v>
      </x:c>
      <x:c r="F6" s="2" t="n">
        <x:v>1</x:v>
      </x:c>
      <x:c r="G6" s="2" t="n">
        <x:f>IF(COUNTIF(E2_diario!$J$170:$J$211,"adulta")&gt;0,1,0)</x:f>
        <x:v>0</x:v>
      </x:c>
      <x:c r="H6" s="2" t="n">
        <x:f>COUNTIF(E2_diario!$J$170:$J$211,"N1")</x:f>
        <x:v>2</x:v>
      </x:c>
      <x:c r="I6" s="2" t="n">
        <x:f>COUNTIF(E2_diario!$J$170:$J$211,"N2")</x:f>
        <x:v>1</x:v>
      </x:c>
      <x:c r="J6" s="2" t="n">
        <x:f>COUNTIF(E2_diario!$J$170:$J$211,"N3")</x:f>
        <x:v>3</x:v>
      </x:c>
      <x:c r="K6" s="2" t="n">
        <x:f>COUNTIF(E2_diario!$J$170:$J$211,"N4")</x:f>
        <x:v>1</x:v>
      </x:c>
      <x:c r="L6" s="2" t="str">
        <x:f>IF(G6=1,SUM(H6:K6),"")</x:f>
      </x:c>
      <x:c r="M6" s="2" t="str">
        <x:f>IF(G6=1,COUNTIF(E2_diario!$J$170:$J$211,"adulta"),"")</x:f>
      </x:c>
      <x:c r="N6" s="2" t="n">
        <x:f>SUM(E2_diario!$K$170:$K$211)</x:f>
        <x:v>7</x:v>
      </x:c>
      <x:c r="O6" s="2" t="str">
        <x:f>IF(V6=0,"",COUNTIF(E2_diario!$M$170:$M$211,0))</x:f>
      </x:c>
      <x:c r="P6" s="2" t="str">
        <x:f>IF(V6=0,"",COUNTIF(E2_diario!$M$170:$M$211,"&lt;"&amp;V6))</x:f>
      </x:c>
      <x:c r="Q6" s="2" t="str">
        <x:f>IF(V6=0,"",O6)</x:f>
      </x:c>
      <x:c r="R6" s="2" t="str">
        <x:f>IF(V6=0,"",O6-L6)</x:f>
      </x:c>
      <x:c r="S6" s="2" t="str">
        <x:f>IF(V6=0,"",P6-O6+Supuestos!$C$15)</x:f>
      </x:c>
      <x:c r="T6" s="2" t="n">
        <x:f>COUNTIF(E2_diario!$L$170:$L$211,"&gt;0")</x:f>
        <x:v>0</x:v>
      </x:c>
      <x:c r="U6" s="2" t="str">
        <x:f>IF(V6=0,"",N6-P6-Supuestos!$C$15)</x:f>
      </x:c>
      <x:c r="V6" s="2" t="n">
        <x:f>SUM(E2_diario!$L$170:$L$211)</x:f>
        <x:v>0</x:v>
      </x:c>
      <x:c r="W6" s="2" t="n">
        <x:f>MAX(E2_diario!$P$170:$P$211)</x:f>
        <x:v>0</x:v>
      </x:c>
      <x:c r="X6" s="2" t="str">
        <x:v>simulado_didactico</x:v>
      </x:c>
    </x:row>
    <x:row r="7" ht="19" customHeight="1">
      <x:c r="A7" s="2" t="str">
        <x:v>SIM-E2-MP-L7-R02</x:v>
      </x:c>
      <x:c r="B7" s="2" t="n">
        <x:v>1</x:v>
      </x:c>
      <x:c r="C7" s="2" t="str">
        <x:v>MP</x:v>
      </x:c>
      <x:c r="D7" s="2" t="str">
        <x:v>Myzus persicae</x:v>
      </x:c>
      <x:c r="E7" s="2" t="str">
        <x:v>L7</x:v>
      </x:c>
      <x:c r="F7" s="2" t="n">
        <x:v>2</x:v>
      </x:c>
      <x:c r="G7" s="2" t="n">
        <x:f>IF(COUNTIF(E2_diario!$J$212:$J$253,"adulta")&gt;0,1,0)</x:f>
        <x:v>0</x:v>
      </x:c>
      <x:c r="H7" s="2" t="n">
        <x:f>COUNTIF(E2_diario!$J$212:$J$253,"N1")</x:f>
        <x:v>2</x:v>
      </x:c>
      <x:c r="I7" s="2" t="n">
        <x:f>COUNTIF(E2_diario!$J$212:$J$253,"N2")</x:f>
        <x:v>0</x:v>
      </x:c>
      <x:c r="J7" s="2" t="n">
        <x:f>COUNTIF(E2_diario!$J$212:$J$253,"N3")</x:f>
        <x:v>0</x:v>
      </x:c>
      <x:c r="K7" s="2" t="n">
        <x:f>COUNTIF(E2_diario!$J$212:$J$253,"N4")</x:f>
        <x:v>0</x:v>
      </x:c>
      <x:c r="L7" s="2" t="str">
        <x:f>IF(G7=1,SUM(H7:K7),"")</x:f>
      </x:c>
      <x:c r="M7" s="2" t="str">
        <x:f>IF(G7=1,COUNTIF(E2_diario!$J$212:$J$253,"adulta"),"")</x:f>
      </x:c>
      <x:c r="N7" s="2" t="n">
        <x:f>SUM(E2_diario!$K$212:$K$253)</x:f>
        <x:v>2</x:v>
      </x:c>
      <x:c r="O7" s="2" t="str">
        <x:f>IF(V7=0,"",COUNTIF(E2_diario!$M$212:$M$253,0))</x:f>
      </x:c>
      <x:c r="P7" s="2" t="str">
        <x:f>IF(V7=0,"",COUNTIF(E2_diario!$M$212:$M$253,"&lt;"&amp;V7))</x:f>
      </x:c>
      <x:c r="Q7" s="2" t="str">
        <x:f>IF(V7=0,"",O7)</x:f>
      </x:c>
      <x:c r="R7" s="2" t="str">
        <x:f>IF(V7=0,"",O7-L7)</x:f>
      </x:c>
      <x:c r="S7" s="2" t="str">
        <x:f>IF(V7=0,"",P7-O7+Supuestos!$C$15)</x:f>
      </x:c>
      <x:c r="T7" s="2" t="n">
        <x:f>COUNTIF(E2_diario!$L$212:$L$253,"&gt;0")</x:f>
        <x:v>0</x:v>
      </x:c>
      <x:c r="U7" s="2" t="str">
        <x:f>IF(V7=0,"",N7-P7-Supuestos!$C$15)</x:f>
      </x:c>
      <x:c r="V7" s="2" t="n">
        <x:f>SUM(E2_diario!$L$212:$L$253)</x:f>
        <x:v>0</x:v>
      </x:c>
      <x:c r="W7" s="2" t="n">
        <x:f>MAX(E2_diario!$P$212:$P$253)</x:f>
        <x:v>0</x:v>
      </x:c>
      <x:c r="X7" s="2" t="str">
        <x:v>simulado_didactico</x:v>
      </x:c>
    </x:row>
    <x:row r="8" ht="19" customHeight="1">
      <x:c r="A8" s="2" t="str">
        <x:v>SIM-E2-BB-L0-R01</x:v>
      </x:c>
      <x:c r="B8" s="2" t="n">
        <x:v>1</x:v>
      </x:c>
      <x:c r="C8" s="2" t="str">
        <x:v>BB</x:v>
      </x:c>
      <x:c r="D8" s="2" t="str">
        <x:v>Brevicoryne brassicae</x:v>
      </x:c>
      <x:c r="E8" s="2" t="str">
        <x:v>L0</x:v>
      </x:c>
      <x:c r="F8" s="2" t="n">
        <x:v>1</x:v>
      </x:c>
      <x:c r="G8" s="2" t="n">
        <x:f>IF(COUNTIF(E2_diario!$J$254:$J$295,"adulta")&gt;0,1,0)</x:f>
        <x:v>1</x:v>
      </x:c>
      <x:c r="H8" s="2" t="n">
        <x:f>COUNTIF(E2_diario!$J$254:$J$295,"N1")</x:f>
        <x:v>1</x:v>
      </x:c>
      <x:c r="I8" s="2" t="n">
        <x:f>COUNTIF(E2_diario!$J$254:$J$295,"N2")</x:f>
        <x:v>3</x:v>
      </x:c>
      <x:c r="J8" s="2" t="n">
        <x:f>COUNTIF(E2_diario!$J$254:$J$295,"N3")</x:f>
        <x:v>1</x:v>
      </x:c>
      <x:c r="K8" s="2" t="n">
        <x:f>COUNTIF(E2_diario!$J$254:$J$295,"N4")</x:f>
        <x:v>3</x:v>
      </x:c>
      <x:c r="L8" s="2" t="n">
        <x:f>IF(G8=1,SUM(H8:K8),"")</x:f>
        <x:v>8</x:v>
      </x:c>
      <x:c r="M8" s="2" t="n">
        <x:f>IF(G8=1,COUNTIF(E2_diario!$J$254:$J$295,"adulta"),"")</x:f>
        <x:v>27</x:v>
      </x:c>
      <x:c r="N8" s="2" t="n">
        <x:f>SUM(E2_diario!$K$254:$K$295)</x:f>
        <x:v>35</x:v>
      </x:c>
      <x:c r="O8" s="2" t="n">
        <x:f>IF(V8=0,"",COUNTIF(E2_diario!$M$254:$M$295,0))</x:f>
        <x:v>10</x:v>
      </x:c>
      <x:c r="P8" s="2" t="n">
        <x:f>IF(V8=0,"",COUNTIF(E2_diario!$M$254:$M$295,"&lt;"&amp;V8))</x:f>
        <x:v>31</x:v>
      </x:c>
      <x:c r="Q8" s="2" t="n">
        <x:f>IF(V8=0,"",O8)</x:f>
        <x:v>10</x:v>
      </x:c>
      <x:c r="R8" s="2" t="n">
        <x:f>IF(V8=0,"",O8-L8)</x:f>
        <x:v>2</x:v>
      </x:c>
      <x:c r="S8" s="2" t="n">
        <x:f>IF(V8=0,"",P8-O8+Supuestos!$C$15)</x:f>
        <x:v>22</x:v>
      </x:c>
      <x:c r="T8" s="2" t="n">
        <x:f>COUNTIF(E2_diario!$L$254:$L$295,"&gt;0")</x:f>
        <x:v>20</x:v>
      </x:c>
      <x:c r="U8" s="2" t="n">
        <x:f>IF(V8=0,"",N8-P8-Supuestos!$C$15)</x:f>
        <x:v>3</x:v>
      </x:c>
      <x:c r="V8" s="2" t="n">
        <x:f>SUM(E2_diario!$L$254:$L$295)</x:f>
        <x:v>61</x:v>
      </x:c>
      <x:c r="W8" s="2" t="n">
        <x:f>MAX(E2_diario!$P$254:$P$295)</x:f>
        <x:v>0</x:v>
      </x:c>
      <x:c r="X8" s="2" t="str">
        <x:v>simulado_didactico</x:v>
      </x:c>
    </x:row>
    <x:row r="9" ht="19" customHeight="1">
      <x:c r="A9" s="2" t="str">
        <x:v>SIM-E2-BB-L0-R02</x:v>
      </x:c>
      <x:c r="B9" s="2" t="n">
        <x:v>1</x:v>
      </x:c>
      <x:c r="C9" s="2" t="str">
        <x:v>BB</x:v>
      </x:c>
      <x:c r="D9" s="2" t="str">
        <x:v>Brevicoryne brassicae</x:v>
      </x:c>
      <x:c r="E9" s="2" t="str">
        <x:v>L0</x:v>
      </x:c>
      <x:c r="F9" s="2" t="n">
        <x:v>2</x:v>
      </x:c>
      <x:c r="G9" s="2" t="n">
        <x:f>IF(COUNTIF(E2_diario!$J$296:$J$337,"adulta")&gt;0,1,0)</x:f>
        <x:v>1</x:v>
      </x:c>
      <x:c r="H9" s="2" t="n">
        <x:f>COUNTIF(E2_diario!$J$296:$J$337,"N1")</x:f>
        <x:v>1</x:v>
      </x:c>
      <x:c r="I9" s="2" t="n">
        <x:f>COUNTIF(E2_diario!$J$296:$J$337,"N2")</x:f>
        <x:v>3</x:v>
      </x:c>
      <x:c r="J9" s="2" t="n">
        <x:f>COUNTIF(E2_diario!$J$296:$J$337,"N3")</x:f>
        <x:v>1</x:v>
      </x:c>
      <x:c r="K9" s="2" t="n">
        <x:f>COUNTIF(E2_diario!$J$296:$J$337,"N4")</x:f>
        <x:v>2</x:v>
      </x:c>
      <x:c r="L9" s="2" t="n">
        <x:f>IF(G9=1,SUM(H9:K9),"")</x:f>
        <x:v>7</x:v>
      </x:c>
      <x:c r="M9" s="2" t="n">
        <x:f>IF(G9=1,COUNTIF(E2_diario!$J$296:$J$337,"adulta"),"")</x:f>
        <x:v>24</x:v>
      </x:c>
      <x:c r="N9" s="2" t="n">
        <x:f>SUM(E2_diario!$K$296:$K$337)</x:f>
        <x:v>31</x:v>
      </x:c>
      <x:c r="O9" s="2" t="n">
        <x:f>IF(V9=0,"",COUNTIF(E2_diario!$M$296:$M$337,0))</x:f>
        <x:v>9</x:v>
      </x:c>
      <x:c r="P9" s="2" t="n">
        <x:f>IF(V9=0,"",COUNTIF(E2_diario!$M$296:$M$337,"&lt;"&amp;V9))</x:f>
        <x:v>27</x:v>
      </x:c>
      <x:c r="Q9" s="2" t="n">
        <x:f>IF(V9=0,"",O9)</x:f>
        <x:v>9</x:v>
      </x:c>
      <x:c r="R9" s="2" t="n">
        <x:f>IF(V9=0,"",O9-L9)</x:f>
        <x:v>2</x:v>
      </x:c>
      <x:c r="S9" s="2" t="n">
        <x:f>IF(V9=0,"",P9-O9+Supuestos!$C$15)</x:f>
        <x:v>19</x:v>
      </x:c>
      <x:c r="T9" s="2" t="n">
        <x:f>COUNTIF(E2_diario!$L$296:$L$337,"&gt;0")</x:f>
        <x:v>18</x:v>
      </x:c>
      <x:c r="U9" s="2" t="n">
        <x:f>IF(V9=0,"",N9-P9-Supuestos!$C$15)</x:f>
        <x:v>3</x:v>
      </x:c>
      <x:c r="V9" s="2" t="n">
        <x:f>SUM(E2_diario!$L$296:$L$337)</x:f>
        <x:v>57</x:v>
      </x:c>
      <x:c r="W9" s="2" t="n">
        <x:f>MAX(E2_diario!$P$296:$P$337)</x:f>
        <x:v>0</x:v>
      </x:c>
      <x:c r="X9" s="2" t="str">
        <x:v>simulado_didactico</x:v>
      </x:c>
    </x:row>
    <x:row r="10" ht="19" customHeight="1">
      <x:c r="A10" s="2" t="str">
        <x:v>SIM-E2-BB-L8-R01</x:v>
      </x:c>
      <x:c r="B10" s="2" t="n">
        <x:v>1</x:v>
      </x:c>
      <x:c r="C10" s="2" t="str">
        <x:v>BB</x:v>
      </x:c>
      <x:c r="D10" s="2" t="str">
        <x:v>Brevicoryne brassicae</x:v>
      </x:c>
      <x:c r="E10" s="2" t="str">
        <x:v>L8</x:v>
      </x:c>
      <x:c r="F10" s="2" t="n">
        <x:v>1</x:v>
      </x:c>
      <x:c r="G10" s="2" t="n">
        <x:f>IF(COUNTIF(E2_diario!$J$338:$J$379,"adulta")&gt;0,1,0)</x:f>
        <x:v>1</x:v>
      </x:c>
      <x:c r="H10" s="2" t="n">
        <x:f>COUNTIF(E2_diario!$J$338:$J$379,"N1")</x:f>
        <x:v>2</x:v>
      </x:c>
      <x:c r="I10" s="2" t="n">
        <x:f>COUNTIF(E2_diario!$J$338:$J$379,"N2")</x:f>
        <x:v>3</x:v>
      </x:c>
      <x:c r="J10" s="2" t="n">
        <x:f>COUNTIF(E2_diario!$J$338:$J$379,"N3")</x:f>
        <x:v>4</x:v>
      </x:c>
      <x:c r="K10" s="2" t="n">
        <x:f>COUNTIF(E2_diario!$J$338:$J$379,"N4")</x:f>
        <x:v>2</x:v>
      </x:c>
      <x:c r="L10" s="2" t="n">
        <x:f>IF(G10=1,SUM(H10:K10),"")</x:f>
        <x:v>11</x:v>
      </x:c>
      <x:c r="M10" s="2" t="n">
        <x:f>IF(G10=1,COUNTIF(E2_diario!$J$338:$J$379,"adulta"),"")</x:f>
        <x:v>24</x:v>
      </x:c>
      <x:c r="N10" s="2" t="n">
        <x:f>SUM(E2_diario!$K$338:$K$379)</x:f>
        <x:v>35</x:v>
      </x:c>
      <x:c r="O10" s="2" t="n">
        <x:f>IF(V10=0,"",COUNTIF(E2_diario!$M$338:$M$379,0))</x:f>
        <x:v>14</x:v>
      </x:c>
      <x:c r="P10" s="2" t="n">
        <x:f>IF(V10=0,"",COUNTIF(E2_diario!$M$338:$M$379,"&lt;"&amp;V10))</x:f>
        <x:v>32</x:v>
      </x:c>
      <x:c r="Q10" s="2" t="n">
        <x:f>IF(V10=0,"",O10)</x:f>
        <x:v>14</x:v>
      </x:c>
      <x:c r="R10" s="2" t="n">
        <x:f>IF(V10=0,"",O10-L10)</x:f>
        <x:v>3</x:v>
      </x:c>
      <x:c r="S10" s="2" t="n">
        <x:f>IF(V10=0,"",P10-O10+Supuestos!$C$15)</x:f>
        <x:v>19</x:v>
      </x:c>
      <x:c r="T10" s="2" t="n">
        <x:f>COUNTIF(E2_diario!$L$338:$L$379,"&gt;0")</x:f>
        <x:v>13</x:v>
      </x:c>
      <x:c r="U10" s="2" t="n">
        <x:f>IF(V10=0,"",N10-P10-Supuestos!$C$15)</x:f>
        <x:v>2</x:v>
      </x:c>
      <x:c r="V10" s="2" t="n">
        <x:f>SUM(E2_diario!$L$338:$L$379)</x:f>
        <x:v>23</x:v>
      </x:c>
      <x:c r="W10" s="2" t="n">
        <x:f>MAX(E2_diario!$P$338:$P$379)</x:f>
        <x:v>0</x:v>
      </x:c>
      <x:c r="X10" s="2" t="str">
        <x:v>simulado_didactico</x:v>
      </x:c>
    </x:row>
    <x:row r="11" ht="19" customHeight="1">
      <x:c r="A11" s="2" t="str">
        <x:v>SIM-E2-BB-L8-R02</x:v>
      </x:c>
      <x:c r="B11" s="2" t="n">
        <x:v>1</x:v>
      </x:c>
      <x:c r="C11" s="2" t="str">
        <x:v>BB</x:v>
      </x:c>
      <x:c r="D11" s="2" t="str">
        <x:v>Brevicoryne brassicae</x:v>
      </x:c>
      <x:c r="E11" s="2" t="str">
        <x:v>L8</x:v>
      </x:c>
      <x:c r="F11" s="2" t="n">
        <x:v>2</x:v>
      </x:c>
      <x:c r="G11" s="2" t="n">
        <x:f>IF(COUNTIF(E2_diario!$J$380:$J$421,"adulta")&gt;0,1,0)</x:f>
        <x:v>1</x:v>
      </x:c>
      <x:c r="H11" s="2" t="n">
        <x:f>COUNTIF(E2_diario!$J$380:$J$421,"N1")</x:f>
        <x:v>1</x:v>
      </x:c>
      <x:c r="I11" s="2" t="n">
        <x:f>COUNTIF(E2_diario!$J$380:$J$421,"N2")</x:f>
        <x:v>2</x:v>
      </x:c>
      <x:c r="J11" s="2" t="n">
        <x:f>COUNTIF(E2_diario!$J$380:$J$421,"N3")</x:f>
        <x:v>1</x:v>
      </x:c>
      <x:c r="K11" s="2" t="n">
        <x:f>COUNTIF(E2_diario!$J$380:$J$421,"N4")</x:f>
        <x:v>4</x:v>
      </x:c>
      <x:c r="L11" s="2" t="n">
        <x:f>IF(G11=1,SUM(H11:K11),"")</x:f>
        <x:v>8</x:v>
      </x:c>
      <x:c r="M11" s="2" t="n">
        <x:f>IF(G11=1,COUNTIF(E2_diario!$J$380:$J$421,"adulta"),"")</x:f>
        <x:v>21</x:v>
      </x:c>
      <x:c r="N11" s="2" t="n">
        <x:f>SUM(E2_diario!$K$380:$K$421)</x:f>
        <x:v>29</x:v>
      </x:c>
      <x:c r="O11" s="2" t="n">
        <x:f>IF(V11=0,"",COUNTIF(E2_diario!$M$380:$M$421,0))</x:f>
        <x:v>10</x:v>
      </x:c>
      <x:c r="P11" s="2" t="n">
        <x:f>IF(V11=0,"",COUNTIF(E2_diario!$M$380:$M$421,"&lt;"&amp;V11))</x:f>
        <x:v>26</x:v>
      </x:c>
      <x:c r="Q11" s="2" t="n">
        <x:f>IF(V11=0,"",O11)</x:f>
        <x:v>10</x:v>
      </x:c>
      <x:c r="R11" s="2" t="n">
        <x:f>IF(V11=0,"",O11-L11)</x:f>
        <x:v>2</x:v>
      </x:c>
      <x:c r="S11" s="2" t="n">
        <x:f>IF(V11=0,"",P11-O11+Supuestos!$C$15)</x:f>
        <x:v>17</x:v>
      </x:c>
      <x:c r="T11" s="2" t="n">
        <x:f>COUNTIF(E2_diario!$L$380:$L$421,"&gt;0")</x:f>
        <x:v>11</x:v>
      </x:c>
      <x:c r="U11" s="2" t="n">
        <x:f>IF(V11=0,"",N11-P11-Supuestos!$C$15)</x:f>
        <x:v>2</x:v>
      </x:c>
      <x:c r="V11" s="2" t="n">
        <x:f>SUM(E2_diario!$L$380:$L$421)</x:f>
        <x:v>23</x:v>
      </x:c>
      <x:c r="W11" s="2" t="n">
        <x:f>MAX(E2_diario!$P$380:$P$421)</x:f>
        <x:v>0</x:v>
      </x:c>
      <x:c r="X11" s="2" t="str">
        <x:v>simulado_didactico</x:v>
      </x:c>
    </x:row>
    <x:row r="12" ht="19" customHeight="1">
      <x:c r="A12" s="2" t="str">
        <x:v>SIM-E2-BB-L7-R01</x:v>
      </x:c>
      <x:c r="B12" s="2" t="n">
        <x:v>1</x:v>
      </x:c>
      <x:c r="C12" s="2" t="str">
        <x:v>BB</x:v>
      </x:c>
      <x:c r="D12" s="2" t="str">
        <x:v>Brevicoryne brassicae</x:v>
      </x:c>
      <x:c r="E12" s="2" t="str">
        <x:v>L7</x:v>
      </x:c>
      <x:c r="F12" s="2" t="n">
        <x:v>1</x:v>
      </x:c>
      <x:c r="G12" s="2" t="n">
        <x:f>IF(COUNTIF(E2_diario!$J$422:$J$463,"adulta")&gt;0,1,0)</x:f>
        <x:v>0</x:v>
      </x:c>
      <x:c r="H12" s="2" t="n">
        <x:f>COUNTIF(E2_diario!$J$422:$J$463,"N1")</x:f>
        <x:v>2</x:v>
      </x:c>
      <x:c r="I12" s="2" t="n">
        <x:f>COUNTIF(E2_diario!$J$422:$J$463,"N2")</x:f>
        <x:v>2</x:v>
      </x:c>
      <x:c r="J12" s="2" t="n">
        <x:f>COUNTIF(E2_diario!$J$422:$J$463,"N3")</x:f>
        <x:v>0</x:v>
      </x:c>
      <x:c r="K12" s="2" t="n">
        <x:f>COUNTIF(E2_diario!$J$422:$J$463,"N4")</x:f>
        <x:v>0</x:v>
      </x:c>
      <x:c r="L12" s="2" t="str">
        <x:f>IF(G12=1,SUM(H12:K12),"")</x:f>
      </x:c>
      <x:c r="M12" s="2" t="str">
        <x:f>IF(G12=1,COUNTIF(E2_diario!$J$422:$J$463,"adulta"),"")</x:f>
      </x:c>
      <x:c r="N12" s="2" t="n">
        <x:f>SUM(E2_diario!$K$422:$K$463)</x:f>
        <x:v>4</x:v>
      </x:c>
      <x:c r="O12" s="2" t="str">
        <x:f>IF(V12=0,"",COUNTIF(E2_diario!$M$422:$M$463,0))</x:f>
      </x:c>
      <x:c r="P12" s="2" t="str">
        <x:f>IF(V12=0,"",COUNTIF(E2_diario!$M$422:$M$463,"&lt;"&amp;V12))</x:f>
      </x:c>
      <x:c r="Q12" s="2" t="str">
        <x:f>IF(V12=0,"",O12)</x:f>
      </x:c>
      <x:c r="R12" s="2" t="str">
        <x:f>IF(V12=0,"",O12-L12)</x:f>
      </x:c>
      <x:c r="S12" s="2" t="str">
        <x:f>IF(V12=0,"",P12-O12+Supuestos!$C$15)</x:f>
      </x:c>
      <x:c r="T12" s="2" t="n">
        <x:f>COUNTIF(E2_diario!$L$422:$L$463,"&gt;0")</x:f>
        <x:v>0</x:v>
      </x:c>
      <x:c r="U12" s="2" t="str">
        <x:f>IF(V12=0,"",N12-P12-Supuestos!$C$15)</x:f>
      </x:c>
      <x:c r="V12" s="2" t="n">
        <x:f>SUM(E2_diario!$L$422:$L$463)</x:f>
        <x:v>0</x:v>
      </x:c>
      <x:c r="W12" s="2" t="n">
        <x:f>MAX(E2_diario!$P$422:$P$463)</x:f>
        <x:v>0</x:v>
      </x:c>
      <x:c r="X12" s="2" t="str">
        <x:v>simulado_didactico</x:v>
      </x:c>
    </x:row>
    <x:row r="13" ht="19" customHeight="1">
      <x:c r="A13" s="2" t="str">
        <x:v>SIM-E2-BB-L7-R02</x:v>
      </x:c>
      <x:c r="B13" s="2" t="n">
        <x:v>1</x:v>
      </x:c>
      <x:c r="C13" s="2" t="str">
        <x:v>BB</x:v>
      </x:c>
      <x:c r="D13" s="2" t="str">
        <x:v>Brevicoryne brassicae</x:v>
      </x:c>
      <x:c r="E13" s="2" t="str">
        <x:v>L7</x:v>
      </x:c>
      <x:c r="F13" s="2" t="n">
        <x:v>2</x:v>
      </x:c>
      <x:c r="G13" s="2" t="n">
        <x:f>IF(COUNTIF(E2_diario!$J$464:$J$505,"adulta")&gt;0,1,0)</x:f>
        <x:v>1</x:v>
      </x:c>
      <x:c r="H13" s="2" t="n">
        <x:f>COUNTIF(E2_diario!$J$464:$J$505,"N1")</x:f>
        <x:v>3</x:v>
      </x:c>
      <x:c r="I13" s="2" t="n">
        <x:f>COUNTIF(E2_diario!$J$464:$J$505,"N2")</x:f>
        <x:v>1</x:v>
      </x:c>
      <x:c r="J13" s="2" t="n">
        <x:f>COUNTIF(E2_diario!$J$464:$J$505,"N3")</x:f>
        <x:v>4</x:v>
      </x:c>
      <x:c r="K13" s="2" t="n">
        <x:f>COUNTIF(E2_diario!$J$464:$J$505,"N4")</x:f>
        <x:v>3</x:v>
      </x:c>
      <x:c r="L13" s="2" t="n">
        <x:f>IF(G13=1,SUM(H13:K13),"")</x:f>
        <x:v>11</x:v>
      </x:c>
      <x:c r="M13" s="2" t="n">
        <x:f>IF(G13=1,COUNTIF(E2_diario!$J$464:$J$505,"adulta"),"")</x:f>
        <x:v>20</x:v>
      </x:c>
      <x:c r="N13" s="2" t="n">
        <x:f>SUM(E2_diario!$K$464:$K$505)</x:f>
        <x:v>31</x:v>
      </x:c>
      <x:c r="O13" s="2" t="n">
        <x:f>IF(V13=0,"",COUNTIF(E2_diario!$M$464:$M$505,0))</x:f>
        <x:v>13</x:v>
      </x:c>
      <x:c r="P13" s="2" t="n">
        <x:f>IF(V13=0,"",COUNTIF(E2_diario!$M$464:$M$505,"&lt;"&amp;V13))</x:f>
        <x:v>27</x:v>
      </x:c>
      <x:c r="Q13" s="2" t="n">
        <x:f>IF(V13=0,"",O13)</x:f>
        <x:v>13</x:v>
      </x:c>
      <x:c r="R13" s="2" t="n">
        <x:f>IF(V13=0,"",O13-L13)</x:f>
        <x:v>2</x:v>
      </x:c>
      <x:c r="S13" s="2" t="n">
        <x:f>IF(V13=0,"",P13-O13+Supuestos!$C$15)</x:f>
        <x:v>15</x:v>
      </x:c>
      <x:c r="T13" s="2" t="n">
        <x:f>COUNTIF(E2_diario!$L$464:$L$505,"&gt;0")</x:f>
        <x:v>15</x:v>
      </x:c>
      <x:c r="U13" s="2" t="n">
        <x:f>IF(V13=0,"",N13-P13-Supuestos!$C$15)</x:f>
        <x:v>3</x:v>
      </x:c>
      <x:c r="V13" s="2" t="n">
        <x:f>SUM(E2_diario!$L$464:$L$505)</x:f>
        <x:v>31</x:v>
      </x:c>
      <x:c r="W13" s="2" t="n">
        <x:f>MAX(E2_diario!$P$464:$P$505)</x:f>
        <x:v>0</x:v>
      </x:c>
      <x:c r="X13" s="2" t="str">
        <x:v>simulado_didactico</x:v>
      </x:c>
    </x:row>
    <x:row r="14" ht="19" customHeight="1">
      <x:c r="A14" s="2" t="str">
        <x:v>SIM-E2-MP-L0-R03</x:v>
      </x:c>
      <x:c r="B14" s="2" t="n">
        <x:v>2</x:v>
      </x:c>
      <x:c r="C14" s="2" t="str">
        <x:v>MP</x:v>
      </x:c>
      <x:c r="D14" s="2" t="str">
        <x:v>Myzus persicae</x:v>
      </x:c>
      <x:c r="E14" s="2" t="str">
        <x:v>L0</x:v>
      </x:c>
      <x:c r="F14" s="2" t="n">
        <x:v>3</x:v>
      </x:c>
      <x:c r="G14" s="2" t="n">
        <x:f>IF(COUNTIF(E2_diario!$J$506:$J$547,"adulta")&gt;0,1,0)</x:f>
        <x:v>1</x:v>
      </x:c>
      <x:c r="H14" s="2" t="n">
        <x:f>COUNTIF(E2_diario!$J$506:$J$547,"N1")</x:f>
        <x:v>1</x:v>
      </x:c>
      <x:c r="I14" s="2" t="n">
        <x:f>COUNTIF(E2_diario!$J$506:$J$547,"N2")</x:f>
        <x:v>2</x:v>
      </x:c>
      <x:c r="J14" s="2" t="n">
        <x:f>COUNTIF(E2_diario!$J$506:$J$547,"N3")</x:f>
        <x:v>3</x:v>
      </x:c>
      <x:c r="K14" s="2" t="n">
        <x:f>COUNTIF(E2_diario!$J$506:$J$547,"N4")</x:f>
        <x:v>2</x:v>
      </x:c>
      <x:c r="L14" s="2" t="n">
        <x:f>IF(G14=1,SUM(H14:K14),"")</x:f>
        <x:v>8</x:v>
      </x:c>
      <x:c r="M14" s="2" t="n">
        <x:f>IF(G14=1,COUNTIF(E2_diario!$J$506:$J$547,"adulta"),"")</x:f>
        <x:v>25</x:v>
      </x:c>
      <x:c r="N14" s="2" t="n">
        <x:f>SUM(E2_diario!$K$506:$K$547)</x:f>
        <x:v>33</x:v>
      </x:c>
      <x:c r="O14" s="2" t="n">
        <x:f>IF(V14=0,"",COUNTIF(E2_diario!$M$506:$M$547,0))</x:f>
        <x:v>9</x:v>
      </x:c>
      <x:c r="P14" s="2" t="n">
        <x:f>IF(V14=0,"",COUNTIF(E2_diario!$M$506:$M$547,"&lt;"&amp;V14))</x:f>
        <x:v>30</x:v>
      </x:c>
      <x:c r="Q14" s="2" t="n">
        <x:f>IF(V14=0,"",O14)</x:f>
        <x:v>9</x:v>
      </x:c>
      <x:c r="R14" s="2" t="n">
        <x:f>IF(V14=0,"",O14-L14)</x:f>
        <x:v>1</x:v>
      </x:c>
      <x:c r="S14" s="2" t="n">
        <x:f>IF(V14=0,"",P14-O14+Supuestos!$C$15)</x:f>
        <x:v>22</x:v>
      </x:c>
      <x:c r="T14" s="2" t="n">
        <x:f>COUNTIF(E2_diario!$L$506:$L$547,"&gt;0")</x:f>
        <x:v>21</x:v>
      </x:c>
      <x:c r="U14" s="2" t="n">
        <x:f>IF(V14=0,"",N14-P14-Supuestos!$C$15)</x:f>
        <x:v>2</x:v>
      </x:c>
      <x:c r="V14" s="2" t="n">
        <x:f>SUM(E2_diario!$L$506:$L$547)</x:f>
        <x:v>55</x:v>
      </x:c>
      <x:c r="W14" s="2" t="n">
        <x:f>MAX(E2_diario!$P$506:$P$547)</x:f>
        <x:v>0</x:v>
      </x:c>
      <x:c r="X14" s="2" t="str">
        <x:v>simulado_didactico</x:v>
      </x:c>
    </x:row>
    <x:row r="15" ht="19" customHeight="1">
      <x:c r="A15" s="2" t="str">
        <x:v>SIM-E2-MP-L0-R04</x:v>
      </x:c>
      <x:c r="B15" s="2" t="n">
        <x:v>2</x:v>
      </x:c>
      <x:c r="C15" s="2" t="str">
        <x:v>MP</x:v>
      </x:c>
      <x:c r="D15" s="2" t="str">
        <x:v>Myzus persicae</x:v>
      </x:c>
      <x:c r="E15" s="2" t="str">
        <x:v>L0</x:v>
      </x:c>
      <x:c r="F15" s="2" t="n">
        <x:v>4</x:v>
      </x:c>
      <x:c r="G15" s="2" t="n">
        <x:f>IF(COUNTIF(E2_diario!$J$548:$J$589,"adulta")&gt;0,1,0)</x:f>
        <x:v>1</x:v>
      </x:c>
      <x:c r="H15" s="2" t="n">
        <x:f>COUNTIF(E2_diario!$J$548:$J$589,"N1")</x:f>
        <x:v>2</x:v>
      </x:c>
      <x:c r="I15" s="2" t="n">
        <x:f>COUNTIF(E2_diario!$J$548:$J$589,"N2")</x:f>
        <x:v>2</x:v>
      </x:c>
      <x:c r="J15" s="2" t="n">
        <x:f>COUNTIF(E2_diario!$J$548:$J$589,"N3")</x:f>
        <x:v>3</x:v>
      </x:c>
      <x:c r="K15" s="2" t="n">
        <x:f>COUNTIF(E2_diario!$J$548:$J$589,"N4")</x:f>
        <x:v>1</x:v>
      </x:c>
      <x:c r="L15" s="2" t="n">
        <x:f>IF(G15=1,SUM(H15:K15),"")</x:f>
        <x:v>8</x:v>
      </x:c>
      <x:c r="M15" s="2" t="n">
        <x:f>IF(G15=1,COUNTIF(E2_diario!$J$548:$J$589,"adulta"),"")</x:f>
        <x:v>20</x:v>
      </x:c>
      <x:c r="N15" s="2" t="n">
        <x:f>SUM(E2_diario!$K$548:$K$589)</x:f>
        <x:v>28</x:v>
      </x:c>
      <x:c r="O15" s="2" t="n">
        <x:f>IF(V15=0,"",COUNTIF(E2_diario!$M$548:$M$589,0))</x:f>
        <x:v>10</x:v>
      </x:c>
      <x:c r="P15" s="2" t="n">
        <x:f>IF(V15=0,"",COUNTIF(E2_diario!$M$548:$M$589,"&lt;"&amp;V15))</x:f>
        <x:v>24</x:v>
      </x:c>
      <x:c r="Q15" s="2" t="n">
        <x:f>IF(V15=0,"",O15)</x:f>
        <x:v>10</x:v>
      </x:c>
      <x:c r="R15" s="2" t="n">
        <x:f>IF(V15=0,"",O15-L15)</x:f>
        <x:v>2</x:v>
      </x:c>
      <x:c r="S15" s="2" t="n">
        <x:f>IF(V15=0,"",P15-O15+Supuestos!$C$15)</x:f>
        <x:v>15</x:v>
      </x:c>
      <x:c r="T15" s="2" t="n">
        <x:f>COUNTIF(E2_diario!$L$548:$L$589,"&gt;0")</x:f>
        <x:v>14</x:v>
      </x:c>
      <x:c r="U15" s="2" t="n">
        <x:f>IF(V15=0,"",N15-P15-Supuestos!$C$15)</x:f>
        <x:v>3</x:v>
      </x:c>
      <x:c r="V15" s="2" t="n">
        <x:f>SUM(E2_diario!$L$548:$L$589)</x:f>
        <x:v>51</x:v>
      </x:c>
      <x:c r="W15" s="2" t="n">
        <x:f>MAX(E2_diario!$P$548:$P$589)</x:f>
        <x:v>0</x:v>
      </x:c>
      <x:c r="X15" s="2" t="str">
        <x:v>simulado_didactico</x:v>
      </x:c>
    </x:row>
    <x:row r="16" ht="19" customHeight="1">
      <x:c r="A16" s="2" t="str">
        <x:v>SIM-E2-MP-L8-R03</x:v>
      </x:c>
      <x:c r="B16" s="2" t="n">
        <x:v>2</x:v>
      </x:c>
      <x:c r="C16" s="2" t="str">
        <x:v>MP</x:v>
      </x:c>
      <x:c r="D16" s="2" t="str">
        <x:v>Myzus persicae</x:v>
      </x:c>
      <x:c r="E16" s="2" t="str">
        <x:v>L8</x:v>
      </x:c>
      <x:c r="F16" s="2" t="n">
        <x:v>3</x:v>
      </x:c>
      <x:c r="G16" s="2" t="n">
        <x:f>IF(COUNTIF(E2_diario!$J$590:$J$631,"adulta")&gt;0,1,0)</x:f>
        <x:v>1</x:v>
      </x:c>
      <x:c r="H16" s="2" t="n">
        <x:f>COUNTIF(E2_diario!$J$590:$J$631,"N1")</x:f>
        <x:v>4</x:v>
      </x:c>
      <x:c r="I16" s="2" t="n">
        <x:f>COUNTIF(E2_diario!$J$590:$J$631,"N2")</x:f>
        <x:v>1</x:v>
      </x:c>
      <x:c r="J16" s="2" t="n">
        <x:f>COUNTIF(E2_diario!$J$590:$J$631,"N3")</x:f>
        <x:v>3</x:v>
      </x:c>
      <x:c r="K16" s="2" t="n">
        <x:f>COUNTIF(E2_diario!$J$590:$J$631,"N4")</x:f>
        <x:v>1</x:v>
      </x:c>
      <x:c r="L16" s="2" t="n">
        <x:f>IF(G16=1,SUM(H16:K16),"")</x:f>
        <x:v>9</x:v>
      </x:c>
      <x:c r="M16" s="2" t="n">
        <x:f>IF(G16=1,COUNTIF(E2_diario!$J$590:$J$631,"adulta"),"")</x:f>
        <x:v>21</x:v>
      </x:c>
      <x:c r="N16" s="2" t="n">
        <x:f>SUM(E2_diario!$K$590:$K$631)</x:f>
        <x:v>30</x:v>
      </x:c>
      <x:c r="O16" s="2" t="n">
        <x:f>IF(V16=0,"",COUNTIF(E2_diario!$M$590:$M$631,0))</x:f>
        <x:v>12</x:v>
      </x:c>
      <x:c r="P16" s="2" t="n">
        <x:f>IF(V16=0,"",COUNTIF(E2_diario!$M$590:$M$631,"&lt;"&amp;V16))</x:f>
        <x:v>26</x:v>
      </x:c>
      <x:c r="Q16" s="2" t="n">
        <x:f>IF(V16=0,"",O16)</x:f>
        <x:v>12</x:v>
      </x:c>
      <x:c r="R16" s="2" t="n">
        <x:f>IF(V16=0,"",O16-L16)</x:f>
        <x:v>3</x:v>
      </x:c>
      <x:c r="S16" s="2" t="n">
        <x:f>IF(V16=0,"",P16-O16+Supuestos!$C$15)</x:f>
        <x:v>15</x:v>
      </x:c>
      <x:c r="T16" s="2" t="n">
        <x:f>COUNTIF(E2_diario!$L$590:$L$631,"&gt;0")</x:f>
        <x:v>15</x:v>
      </x:c>
      <x:c r="U16" s="2" t="n">
        <x:f>IF(V16=0,"",N16-P16-Supuestos!$C$15)</x:f>
        <x:v>3</x:v>
      </x:c>
      <x:c r="V16" s="2" t="n">
        <x:f>SUM(E2_diario!$L$590:$L$631)</x:f>
        <x:v>49</x:v>
      </x:c>
      <x:c r="W16" s="2" t="n">
        <x:f>MAX(E2_diario!$P$590:$P$631)</x:f>
        <x:v>0</x:v>
      </x:c>
      <x:c r="X16" s="2" t="str">
        <x:v>simulado_didactico</x:v>
      </x:c>
    </x:row>
    <x:row r="17" ht="19" customHeight="1">
      <x:c r="A17" s="2" t="str">
        <x:v>SIM-E2-MP-L8-R04</x:v>
      </x:c>
      <x:c r="B17" s="2" t="n">
        <x:v>2</x:v>
      </x:c>
      <x:c r="C17" s="2" t="str">
        <x:v>MP</x:v>
      </x:c>
      <x:c r="D17" s="2" t="str">
        <x:v>Myzus persicae</x:v>
      </x:c>
      <x:c r="E17" s="2" t="str">
        <x:v>L8</x:v>
      </x:c>
      <x:c r="F17" s="2" t="n">
        <x:v>4</x:v>
      </x:c>
      <x:c r="G17" s="2" t="n">
        <x:f>IF(COUNTIF(E2_diario!$J$632:$J$673,"adulta")&gt;0,1,0)</x:f>
        <x:v>1</x:v>
      </x:c>
      <x:c r="H17" s="2" t="n">
        <x:f>COUNTIF(E2_diario!$J$632:$J$673,"N1")</x:f>
        <x:v>3</x:v>
      </x:c>
      <x:c r="I17" s="2" t="n">
        <x:f>COUNTIF(E2_diario!$J$632:$J$673,"N2")</x:f>
        <x:v>1</x:v>
      </x:c>
      <x:c r="J17" s="2" t="n">
        <x:f>COUNTIF(E2_diario!$J$632:$J$673,"N3")</x:f>
        <x:v>1</x:v>
      </x:c>
      <x:c r="K17" s="2" t="n">
        <x:f>COUNTIF(E2_diario!$J$632:$J$673,"N4")</x:f>
        <x:v>4</x:v>
      </x:c>
      <x:c r="L17" s="2" t="n">
        <x:f>IF(G17=1,SUM(H17:K17),"")</x:f>
        <x:v>9</x:v>
      </x:c>
      <x:c r="M17" s="2" t="n">
        <x:f>IF(G17=1,COUNTIF(E2_diario!$J$632:$J$673,"adulta"),"")</x:f>
        <x:v>16</x:v>
      </x:c>
      <x:c r="N17" s="2" t="n">
        <x:f>SUM(E2_diario!$K$632:$K$673)</x:f>
        <x:v>25</x:v>
      </x:c>
      <x:c r="O17" s="2" t="n">
        <x:f>IF(V17=0,"",COUNTIF(E2_diario!$M$632:$M$673,0))</x:f>
        <x:v>12</x:v>
      </x:c>
      <x:c r="P17" s="2" t="n">
        <x:f>IF(V17=0,"",COUNTIF(E2_diario!$M$632:$M$673,"&lt;"&amp;V17))</x:f>
        <x:v>22</x:v>
      </x:c>
      <x:c r="Q17" s="2" t="n">
        <x:f>IF(V17=0,"",O17)</x:f>
        <x:v>12</x:v>
      </x:c>
      <x:c r="R17" s="2" t="n">
        <x:f>IF(V17=0,"",O17-L17)</x:f>
        <x:v>3</x:v>
      </x:c>
      <x:c r="S17" s="2" t="n">
        <x:f>IF(V17=0,"",P17-O17+Supuestos!$C$15)</x:f>
        <x:v>11</x:v>
      </x:c>
      <x:c r="T17" s="2" t="n">
        <x:f>COUNTIF(E2_diario!$L$632:$L$673,"&gt;0")</x:f>
        <x:v>9</x:v>
      </x:c>
      <x:c r="U17" s="2" t="n">
        <x:f>IF(V17=0,"",N17-P17-Supuestos!$C$15)</x:f>
        <x:v>2</x:v>
      </x:c>
      <x:c r="V17" s="2" t="n">
        <x:f>SUM(E2_diario!$L$632:$L$673)</x:f>
        <x:v>25</x:v>
      </x:c>
      <x:c r="W17" s="2" t="n">
        <x:f>MAX(E2_diario!$P$632:$P$673)</x:f>
        <x:v>0</x:v>
      </x:c>
      <x:c r="X17" s="2" t="str">
        <x:v>simulado_didactico</x:v>
      </x:c>
    </x:row>
    <x:row r="18" ht="19" customHeight="1">
      <x:c r="A18" s="2" t="str">
        <x:v>SIM-E2-MP-L7-R03</x:v>
      </x:c>
      <x:c r="B18" s="2" t="n">
        <x:v>2</x:v>
      </x:c>
      <x:c r="C18" s="2" t="str">
        <x:v>MP</x:v>
      </x:c>
      <x:c r="D18" s="2" t="str">
        <x:v>Myzus persicae</x:v>
      </x:c>
      <x:c r="E18" s="2" t="str">
        <x:v>L7</x:v>
      </x:c>
      <x:c r="F18" s="2" t="n">
        <x:v>3</x:v>
      </x:c>
      <x:c r="G18" s="2" t="n">
        <x:f>IF(COUNTIF(E2_diario!$J$674:$J$715,"adulta")&gt;0,1,0)</x:f>
        <x:v>0</x:v>
      </x:c>
      <x:c r="H18" s="2" t="n">
        <x:f>COUNTIF(E2_diario!$J$674:$J$715,"N1")</x:f>
        <x:v>3</x:v>
      </x:c>
      <x:c r="I18" s="2" t="n">
        <x:f>COUNTIF(E2_diario!$J$674:$J$715,"N2")</x:f>
        <x:v>2</x:v>
      </x:c>
      <x:c r="J18" s="2" t="n">
        <x:f>COUNTIF(E2_diario!$J$674:$J$715,"N3")</x:f>
        <x:v>2</x:v>
      </x:c>
      <x:c r="K18" s="2" t="n">
        <x:f>COUNTIF(E2_diario!$J$674:$J$715,"N4")</x:f>
        <x:v>0</x:v>
      </x:c>
      <x:c r="L18" s="2" t="str">
        <x:f>IF(G18=1,SUM(H18:K18),"")</x:f>
      </x:c>
      <x:c r="M18" s="2" t="str">
        <x:f>IF(G18=1,COUNTIF(E2_diario!$J$674:$J$715,"adulta"),"")</x:f>
      </x:c>
      <x:c r="N18" s="2" t="n">
        <x:f>SUM(E2_diario!$K$674:$K$715)</x:f>
        <x:v>7</x:v>
      </x:c>
      <x:c r="O18" s="2" t="str">
        <x:f>IF(V18=0,"",COUNTIF(E2_diario!$M$674:$M$715,0))</x:f>
      </x:c>
      <x:c r="P18" s="2" t="str">
        <x:f>IF(V18=0,"",COUNTIF(E2_diario!$M$674:$M$715,"&lt;"&amp;V18))</x:f>
      </x:c>
      <x:c r="Q18" s="2" t="str">
        <x:f>IF(V18=0,"",O18)</x:f>
      </x:c>
      <x:c r="R18" s="2" t="str">
        <x:f>IF(V18=0,"",O18-L18)</x:f>
      </x:c>
      <x:c r="S18" s="2" t="str">
        <x:f>IF(V18=0,"",P18-O18+Supuestos!$C$15)</x:f>
      </x:c>
      <x:c r="T18" s="2" t="n">
        <x:f>COUNTIF(E2_diario!$L$674:$L$715,"&gt;0")</x:f>
        <x:v>0</x:v>
      </x:c>
      <x:c r="U18" s="2" t="str">
        <x:f>IF(V18=0,"",N18-P18-Supuestos!$C$15)</x:f>
      </x:c>
      <x:c r="V18" s="2" t="n">
        <x:f>SUM(E2_diario!$L$674:$L$715)</x:f>
        <x:v>0</x:v>
      </x:c>
      <x:c r="W18" s="2" t="n">
        <x:f>MAX(E2_diario!$P$674:$P$715)</x:f>
        <x:v>0</x:v>
      </x:c>
      <x:c r="X18" s="2" t="str">
        <x:v>simulado_didactico</x:v>
      </x:c>
    </x:row>
    <x:row r="19" ht="19" customHeight="1">
      <x:c r="A19" s="2" t="str">
        <x:v>SIM-E2-MP-L7-R04</x:v>
      </x:c>
      <x:c r="B19" s="2" t="n">
        <x:v>2</x:v>
      </x:c>
      <x:c r="C19" s="2" t="str">
        <x:v>MP</x:v>
      </x:c>
      <x:c r="D19" s="2" t="str">
        <x:v>Myzus persicae</x:v>
      </x:c>
      <x:c r="E19" s="2" t="str">
        <x:v>L7</x:v>
      </x:c>
      <x:c r="F19" s="2" t="n">
        <x:v>4</x:v>
      </x:c>
      <x:c r="G19" s="2" t="n">
        <x:f>IF(COUNTIF(E2_diario!$J$716:$J$757,"adulta")&gt;0,1,0)</x:f>
        <x:v>1</x:v>
      </x:c>
      <x:c r="H19" s="2" t="n">
        <x:f>COUNTIF(E2_diario!$J$716:$J$757,"N1")</x:f>
        <x:v>2</x:v>
      </x:c>
      <x:c r="I19" s="2" t="n">
        <x:f>COUNTIF(E2_diario!$J$716:$J$757,"N2")</x:f>
        <x:v>4</x:v>
      </x:c>
      <x:c r="J19" s="2" t="n">
        <x:f>COUNTIF(E2_diario!$J$716:$J$757,"N3")</x:f>
        <x:v>1</x:v>
      </x:c>
      <x:c r="K19" s="2" t="n">
        <x:f>COUNTIF(E2_diario!$J$716:$J$757,"N4")</x:f>
        <x:v>4</x:v>
      </x:c>
      <x:c r="L19" s="2" t="n">
        <x:f>IF(G19=1,SUM(H19:K19),"")</x:f>
        <x:v>11</x:v>
      </x:c>
      <x:c r="M19" s="2" t="n">
        <x:f>IF(G19=1,COUNTIF(E2_diario!$J$716:$J$757,"adulta"),"")</x:f>
        <x:v>19</x:v>
      </x:c>
      <x:c r="N19" s="2" t="n">
        <x:f>SUM(E2_diario!$K$716:$K$757)</x:f>
        <x:v>30</x:v>
      </x:c>
      <x:c r="O19" s="2" t="n">
        <x:f>IF(V19=0,"",COUNTIF(E2_diario!$M$716:$M$757,0))</x:f>
        <x:v>14</x:v>
      </x:c>
      <x:c r="P19" s="2" t="n">
        <x:f>IF(V19=0,"",COUNTIF(E2_diario!$M$716:$M$757,"&lt;"&amp;V19))</x:f>
        <x:v>26</x:v>
      </x:c>
      <x:c r="Q19" s="2" t="n">
        <x:f>IF(V19=0,"",O19)</x:f>
        <x:v>14</x:v>
      </x:c>
      <x:c r="R19" s="2" t="n">
        <x:f>IF(V19=0,"",O19-L19)</x:f>
        <x:v>3</x:v>
      </x:c>
      <x:c r="S19" s="2" t="n">
        <x:f>IF(V19=0,"",P19-O19+Supuestos!$C$15)</x:f>
        <x:v>13</x:v>
      </x:c>
      <x:c r="T19" s="2" t="n">
        <x:f>COUNTIF(E2_diario!$L$716:$L$757,"&gt;0")</x:f>
        <x:v>13</x:v>
      </x:c>
      <x:c r="U19" s="2" t="n">
        <x:f>IF(V19=0,"",N19-P19-Supuestos!$C$15)</x:f>
        <x:v>3</x:v>
      </x:c>
      <x:c r="V19" s="2" t="n">
        <x:f>SUM(E2_diario!$L$716:$L$757)</x:f>
        <x:v>42</x:v>
      </x:c>
      <x:c r="W19" s="2" t="n">
        <x:f>MAX(E2_diario!$P$716:$P$757)</x:f>
        <x:v>0</x:v>
      </x:c>
      <x:c r="X19" s="2" t="str">
        <x:v>simulado_didactico</x:v>
      </x:c>
    </x:row>
    <x:row r="20" ht="19" customHeight="1">
      <x:c r="A20" s="2" t="str">
        <x:v>SIM-E2-BB-L0-R03</x:v>
      </x:c>
      <x:c r="B20" s="2" t="n">
        <x:v>2</x:v>
      </x:c>
      <x:c r="C20" s="2" t="str">
        <x:v>BB</x:v>
      </x:c>
      <x:c r="D20" s="2" t="str">
        <x:v>Brevicoryne brassicae</x:v>
      </x:c>
      <x:c r="E20" s="2" t="str">
        <x:v>L0</x:v>
      </x:c>
      <x:c r="F20" s="2" t="n">
        <x:v>3</x:v>
      </x:c>
      <x:c r="G20" s="2" t="n">
        <x:f>IF(COUNTIF(E2_diario!$J$758:$J$799,"adulta")&gt;0,1,0)</x:f>
        <x:v>1</x:v>
      </x:c>
      <x:c r="H20" s="2" t="n">
        <x:f>COUNTIF(E2_diario!$J$758:$J$799,"N1")</x:f>
        <x:v>1</x:v>
      </x:c>
      <x:c r="I20" s="2" t="n">
        <x:f>COUNTIF(E2_diario!$J$758:$J$799,"N2")</x:f>
        <x:v>1</x:v>
      </x:c>
      <x:c r="J20" s="2" t="n">
        <x:f>COUNTIF(E2_diario!$J$758:$J$799,"N3")</x:f>
        <x:v>3</x:v>
      </x:c>
      <x:c r="K20" s="2" t="n">
        <x:f>COUNTIF(E2_diario!$J$758:$J$799,"N4")</x:f>
        <x:v>2</x:v>
      </x:c>
      <x:c r="L20" s="2" t="n">
        <x:f>IF(G20=1,SUM(H20:K20),"")</x:f>
        <x:v>7</x:v>
      </x:c>
      <x:c r="M20" s="2" t="n">
        <x:f>IF(G20=1,COUNTIF(E2_diario!$J$758:$J$799,"adulta"),"")</x:f>
        <x:v>20</x:v>
      </x:c>
      <x:c r="N20" s="2" t="n">
        <x:f>SUM(E2_diario!$K$758:$K$799)</x:f>
        <x:v>27</x:v>
      </x:c>
      <x:c r="O20" s="2" t="n">
        <x:f>IF(V20=0,"",COUNTIF(E2_diario!$M$758:$M$799,0))</x:f>
        <x:v>8</x:v>
      </x:c>
      <x:c r="P20" s="2" t="n">
        <x:f>IF(V20=0,"",COUNTIF(E2_diario!$M$758:$M$799,"&lt;"&amp;V20))</x:f>
        <x:v>24</x:v>
      </x:c>
      <x:c r="Q20" s="2" t="n">
        <x:f>IF(V20=0,"",O20)</x:f>
        <x:v>8</x:v>
      </x:c>
      <x:c r="R20" s="2" t="n">
        <x:f>IF(V20=0,"",O20-L20)</x:f>
        <x:v>1</x:v>
      </x:c>
      <x:c r="S20" s="2" t="n">
        <x:f>IF(V20=0,"",P20-O20+Supuestos!$C$15)</x:f>
        <x:v>17</x:v>
      </x:c>
      <x:c r="T20" s="2" t="n">
        <x:f>COUNTIF(E2_diario!$L$758:$L$799,"&gt;0")</x:f>
        <x:v>16</x:v>
      </x:c>
      <x:c r="U20" s="2" t="n">
        <x:f>IF(V20=0,"",N20-P20-Supuestos!$C$15)</x:f>
        <x:v>2</x:v>
      </x:c>
      <x:c r="V20" s="2" t="n">
        <x:f>SUM(E2_diario!$L$758:$L$799)</x:f>
        <x:v>56</x:v>
      </x:c>
      <x:c r="W20" s="2" t="n">
        <x:f>MAX(E2_diario!$P$758:$P$799)</x:f>
        <x:v>0</x:v>
      </x:c>
      <x:c r="X20" s="2" t="str">
        <x:v>simulado_didactico</x:v>
      </x:c>
    </x:row>
    <x:row r="21" ht="19" customHeight="1">
      <x:c r="A21" s="2" t="str">
        <x:v>SIM-E2-BB-L0-R04</x:v>
      </x:c>
      <x:c r="B21" s="2" t="n">
        <x:v>2</x:v>
      </x:c>
      <x:c r="C21" s="2" t="str">
        <x:v>BB</x:v>
      </x:c>
      <x:c r="D21" s="2" t="str">
        <x:v>Brevicoryne brassicae</x:v>
      </x:c>
      <x:c r="E21" s="2" t="str">
        <x:v>L0</x:v>
      </x:c>
      <x:c r="F21" s="2" t="n">
        <x:v>4</x:v>
      </x:c>
      <x:c r="G21" s="2" t="n">
        <x:f>IF(COUNTIF(E2_diario!$J$800:$J$841,"adulta")&gt;0,1,0)</x:f>
        <x:v>0</x:v>
      </x:c>
      <x:c r="H21" s="2" t="n">
        <x:f>COUNTIF(E2_diario!$J$800:$J$841,"N1")</x:f>
        <x:v>2</x:v>
      </x:c>
      <x:c r="I21" s="2" t="n">
        <x:f>COUNTIF(E2_diario!$J$800:$J$841,"N2")</x:f>
        <x:v>1</x:v>
      </x:c>
      <x:c r="J21" s="2" t="n">
        <x:f>COUNTIF(E2_diario!$J$800:$J$841,"N3")</x:f>
        <x:v>3</x:v>
      </x:c>
      <x:c r="K21" s="2" t="n">
        <x:f>COUNTIF(E2_diario!$J$800:$J$841,"N4")</x:f>
        <x:v>0</x:v>
      </x:c>
      <x:c r="L21" s="2" t="str">
        <x:f>IF(G21=1,SUM(H21:K21),"")</x:f>
      </x:c>
      <x:c r="M21" s="2" t="str">
        <x:f>IF(G21=1,COUNTIF(E2_diario!$J$800:$J$841,"adulta"),"")</x:f>
      </x:c>
      <x:c r="N21" s="2" t="n">
        <x:f>SUM(E2_diario!$K$800:$K$841)</x:f>
        <x:v>6</x:v>
      </x:c>
      <x:c r="O21" s="2" t="str">
        <x:f>IF(V21=0,"",COUNTIF(E2_diario!$M$800:$M$841,0))</x:f>
      </x:c>
      <x:c r="P21" s="2" t="str">
        <x:f>IF(V21=0,"",COUNTIF(E2_diario!$M$800:$M$841,"&lt;"&amp;V21))</x:f>
      </x:c>
      <x:c r="Q21" s="2" t="str">
        <x:f>IF(V21=0,"",O21)</x:f>
      </x:c>
      <x:c r="R21" s="2" t="str">
        <x:f>IF(V21=0,"",O21-L21)</x:f>
      </x:c>
      <x:c r="S21" s="2" t="str">
        <x:f>IF(V21=0,"",P21-O21+Supuestos!$C$15)</x:f>
      </x:c>
      <x:c r="T21" s="2" t="n">
        <x:f>COUNTIF(E2_diario!$L$800:$L$841,"&gt;0")</x:f>
        <x:v>0</x:v>
      </x:c>
      <x:c r="U21" s="2" t="str">
        <x:f>IF(V21=0,"",N21-P21-Supuestos!$C$15)</x:f>
      </x:c>
      <x:c r="V21" s="2" t="n">
        <x:f>SUM(E2_diario!$L$800:$L$841)</x:f>
        <x:v>0</x:v>
      </x:c>
      <x:c r="W21" s="2" t="n">
        <x:f>MAX(E2_diario!$P$800:$P$841)</x:f>
        <x:v>0</x:v>
      </x:c>
      <x:c r="X21" s="2" t="str">
        <x:v>simulado_didactico</x:v>
      </x:c>
    </x:row>
    <x:row r="22" ht="19" customHeight="1">
      <x:c r="A22" s="2" t="str">
        <x:v>SIM-E2-BB-L8-R03</x:v>
      </x:c>
      <x:c r="B22" s="2" t="n">
        <x:v>2</x:v>
      </x:c>
      <x:c r="C22" s="2" t="str">
        <x:v>BB</x:v>
      </x:c>
      <x:c r="D22" s="2" t="str">
        <x:v>Brevicoryne brassicae</x:v>
      </x:c>
      <x:c r="E22" s="2" t="str">
        <x:v>L8</x:v>
      </x:c>
      <x:c r="F22" s="2" t="n">
        <x:v>3</x:v>
      </x:c>
      <x:c r="G22" s="2" t="n">
        <x:f>IF(COUNTIF(E2_diario!$J$842:$J$883,"adulta")&gt;0,1,0)</x:f>
        <x:v>1</x:v>
      </x:c>
      <x:c r="H22" s="2" t="n">
        <x:f>COUNTIF(E2_diario!$J$842:$J$883,"N1")</x:f>
        <x:v>2</x:v>
      </x:c>
      <x:c r="I22" s="2" t="n">
        <x:f>COUNTIF(E2_diario!$J$842:$J$883,"N2")</x:f>
        <x:v>2</x:v>
      </x:c>
      <x:c r="J22" s="2" t="n">
        <x:f>COUNTIF(E2_diario!$J$842:$J$883,"N3")</x:f>
        <x:v>4</x:v>
      </x:c>
      <x:c r="K22" s="2" t="n">
        <x:f>COUNTIF(E2_diario!$J$842:$J$883,"N4")</x:f>
        <x:v>1</x:v>
      </x:c>
      <x:c r="L22" s="2" t="n">
        <x:f>IF(G22=1,SUM(H22:K22),"")</x:f>
        <x:v>9</x:v>
      </x:c>
      <x:c r="M22" s="2" t="n">
        <x:f>IF(G22=1,COUNTIF(E2_diario!$J$842:$J$883,"adulta"),"")</x:f>
        <x:v>15</x:v>
      </x:c>
      <x:c r="N22" s="2" t="n">
        <x:f>SUM(E2_diario!$K$842:$K$883)</x:f>
        <x:v>24</x:v>
      </x:c>
      <x:c r="O22" s="2" t="n">
        <x:f>IF(V22=0,"",COUNTIF(E2_diario!$M$842:$M$883,0))</x:f>
        <x:v>11</x:v>
      </x:c>
      <x:c r="P22" s="2" t="n">
        <x:f>IF(V22=0,"",COUNTIF(E2_diario!$M$842:$M$883,"&lt;"&amp;V22))</x:f>
        <x:v>19</x:v>
      </x:c>
      <x:c r="Q22" s="2" t="n">
        <x:f>IF(V22=0,"",O22)</x:f>
        <x:v>11</x:v>
      </x:c>
      <x:c r="R22" s="2" t="n">
        <x:f>IF(V22=0,"",O22-L22)</x:f>
        <x:v>2</x:v>
      </x:c>
      <x:c r="S22" s="2" t="n">
        <x:f>IF(V22=0,"",P22-O22+Supuestos!$C$15)</x:f>
        <x:v>9</x:v>
      </x:c>
      <x:c r="T22" s="2" t="n">
        <x:f>COUNTIF(E2_diario!$L$842:$L$883,"&gt;0")</x:f>
        <x:v>8</x:v>
      </x:c>
      <x:c r="U22" s="2" t="n">
        <x:f>IF(V22=0,"",N22-P22-Supuestos!$C$15)</x:f>
        <x:v>4</x:v>
      </x:c>
      <x:c r="V22" s="2" t="n">
        <x:f>SUM(E2_diario!$L$842:$L$883)</x:f>
        <x:v>18</x:v>
      </x:c>
      <x:c r="W22" s="2" t="n">
        <x:f>MAX(E2_diario!$P$842:$P$883)</x:f>
        <x:v>0</x:v>
      </x:c>
      <x:c r="X22" s="2" t="str">
        <x:v>simulado_didactico</x:v>
      </x:c>
    </x:row>
    <x:row r="23" ht="19" customHeight="1">
      <x:c r="A23" s="2" t="str">
        <x:v>SIM-E2-BB-L8-R04</x:v>
      </x:c>
      <x:c r="B23" s="2" t="n">
        <x:v>2</x:v>
      </x:c>
      <x:c r="C23" s="2" t="str">
        <x:v>BB</x:v>
      </x:c>
      <x:c r="D23" s="2" t="str">
        <x:v>Brevicoryne brassicae</x:v>
      </x:c>
      <x:c r="E23" s="2" t="str">
        <x:v>L8</x:v>
      </x:c>
      <x:c r="F23" s="2" t="n">
        <x:v>4</x:v>
      </x:c>
      <x:c r="G23" s="2" t="n">
        <x:f>IF(COUNTIF(E2_diario!$J$884:$J$925,"adulta")&gt;0,1,0)</x:f>
        <x:v>1</x:v>
      </x:c>
      <x:c r="H23" s="2" t="n">
        <x:f>COUNTIF(E2_diario!$J$884:$J$925,"N1")</x:f>
        <x:v>3</x:v>
      </x:c>
      <x:c r="I23" s="2" t="n">
        <x:f>COUNTIF(E2_diario!$J$884:$J$925,"N2")</x:f>
        <x:v>1</x:v>
      </x:c>
      <x:c r="J23" s="2" t="n">
        <x:f>COUNTIF(E2_diario!$J$884:$J$925,"N3")</x:f>
        <x:v>2</x:v>
      </x:c>
      <x:c r="K23" s="2" t="n">
        <x:f>COUNTIF(E2_diario!$J$884:$J$925,"N4")</x:f>
        <x:v>4</x:v>
      </x:c>
      <x:c r="L23" s="2" t="n">
        <x:f>IF(G23=1,SUM(H23:K23),"")</x:f>
        <x:v>10</x:v>
      </x:c>
      <x:c r="M23" s="2" t="n">
        <x:f>IF(G23=1,COUNTIF(E2_diario!$J$884:$J$925,"adulta"),"")</x:f>
        <x:v>17</x:v>
      </x:c>
      <x:c r="N23" s="2" t="n">
        <x:f>SUM(E2_diario!$K$884:$K$925)</x:f>
        <x:v>27</x:v>
      </x:c>
      <x:c r="O23" s="2" t="n">
        <x:f>IF(V23=0,"",COUNTIF(E2_diario!$M$884:$M$925,0))</x:f>
        <x:v>13</x:v>
      </x:c>
      <x:c r="P23" s="2" t="n">
        <x:f>IF(V23=0,"",COUNTIF(E2_diario!$M$884:$M$925,"&lt;"&amp;V23))</x:f>
        <x:v>25</x:v>
      </x:c>
      <x:c r="Q23" s="2" t="n">
        <x:f>IF(V23=0,"",O23)</x:f>
        <x:v>13</x:v>
      </x:c>
      <x:c r="R23" s="2" t="n">
        <x:f>IF(V23=0,"",O23-L23)</x:f>
        <x:v>3</x:v>
      </x:c>
      <x:c r="S23" s="2" t="n">
        <x:f>IF(V23=0,"",P23-O23+Supuestos!$C$15)</x:f>
        <x:v>13</x:v>
      </x:c>
      <x:c r="T23" s="2" t="n">
        <x:f>COUNTIF(E2_diario!$L$884:$L$925,"&gt;0")</x:f>
        <x:v>11</x:v>
      </x:c>
      <x:c r="U23" s="2" t="n">
        <x:f>IF(V23=0,"",N23-P23-Supuestos!$C$15)</x:f>
        <x:v>1</x:v>
      </x:c>
      <x:c r="V23" s="2" t="n">
        <x:f>SUM(E2_diario!$L$884:$L$925)</x:f>
        <x:v>37</x:v>
      </x:c>
      <x:c r="W23" s="2" t="n">
        <x:f>MAX(E2_diario!$P$884:$P$925)</x:f>
        <x:v>0</x:v>
      </x:c>
      <x:c r="X23" s="2" t="str">
        <x:v>simulado_didactico</x:v>
      </x:c>
    </x:row>
    <x:row r="24" ht="19" customHeight="1">
      <x:c r="A24" s="2" t="str">
        <x:v>SIM-E2-BB-L7-R03</x:v>
      </x:c>
      <x:c r="B24" s="2" t="n">
        <x:v>2</x:v>
      </x:c>
      <x:c r="C24" s="2" t="str">
        <x:v>BB</x:v>
      </x:c>
      <x:c r="D24" s="2" t="str">
        <x:v>Brevicoryne brassicae</x:v>
      </x:c>
      <x:c r="E24" s="2" t="str">
        <x:v>L7</x:v>
      </x:c>
      <x:c r="F24" s="2" t="n">
        <x:v>3</x:v>
      </x:c>
      <x:c r="G24" s="2" t="n">
        <x:f>IF(COUNTIF(E2_diario!$J$926:$J$967,"adulta")&gt;0,1,0)</x:f>
        <x:v>1</x:v>
      </x:c>
      <x:c r="H24" s="2" t="n">
        <x:f>COUNTIF(E2_diario!$J$926:$J$967,"N1")</x:f>
        <x:v>1</x:v>
      </x:c>
      <x:c r="I24" s="2" t="n">
        <x:f>COUNTIF(E2_diario!$J$926:$J$967,"N2")</x:f>
        <x:v>2</x:v>
      </x:c>
      <x:c r="J24" s="2" t="n">
        <x:f>COUNTIF(E2_diario!$J$926:$J$967,"N3")</x:f>
        <x:v>2</x:v>
      </x:c>
      <x:c r="K24" s="2" t="n">
        <x:f>COUNTIF(E2_diario!$J$926:$J$967,"N4")</x:f>
        <x:v>3</x:v>
      </x:c>
      <x:c r="L24" s="2" t="n">
        <x:f>IF(G24=1,SUM(H24:K24),"")</x:f>
        <x:v>8</x:v>
      </x:c>
      <x:c r="M24" s="2" t="n">
        <x:f>IF(G24=1,COUNTIF(E2_diario!$J$926:$J$967,"adulta"),"")</x:f>
        <x:v>23</x:v>
      </x:c>
      <x:c r="N24" s="2" t="n">
        <x:f>SUM(E2_diario!$K$926:$K$967)</x:f>
        <x:v>31</x:v>
      </x:c>
      <x:c r="O24" s="2" t="n">
        <x:f>IF(V24=0,"",COUNTIF(E2_diario!$M$926:$M$967,0))</x:f>
        <x:v>11</x:v>
      </x:c>
      <x:c r="P24" s="2" t="n">
        <x:f>IF(V24=0,"",COUNTIF(E2_diario!$M$926:$M$967,"&lt;"&amp;V24))</x:f>
        <x:v>27</x:v>
      </x:c>
      <x:c r="Q24" s="2" t="n">
        <x:f>IF(V24=0,"",O24)</x:f>
        <x:v>11</x:v>
      </x:c>
      <x:c r="R24" s="2" t="n">
        <x:f>IF(V24=0,"",O24-L24)</x:f>
        <x:v>3</x:v>
      </x:c>
      <x:c r="S24" s="2" t="n">
        <x:f>IF(V24=0,"",P24-O24+Supuestos!$C$15)</x:f>
        <x:v>17</x:v>
      </x:c>
      <x:c r="T24" s="2" t="n">
        <x:f>COUNTIF(E2_diario!$L$926:$L$967,"&gt;0")</x:f>
        <x:v>15</x:v>
      </x:c>
      <x:c r="U24" s="2" t="n">
        <x:f>IF(V24=0,"",N24-P24-Supuestos!$C$15)</x:f>
        <x:v>3</x:v>
      </x:c>
      <x:c r="V24" s="2" t="n">
        <x:f>SUM(E2_diario!$L$926:$L$967)</x:f>
        <x:v>49</x:v>
      </x:c>
      <x:c r="W24" s="2" t="n">
        <x:f>MAX(E2_diario!$P$926:$P$967)</x:f>
        <x:v>0</x:v>
      </x:c>
      <x:c r="X24" s="2" t="str">
        <x:v>simulado_didactico</x:v>
      </x:c>
    </x:row>
    <x:row r="25" ht="19" customHeight="1">
      <x:c r="A25" s="2" t="str">
        <x:v>SIM-E2-BB-L7-R04</x:v>
      </x:c>
      <x:c r="B25" s="2" t="n">
        <x:v>2</x:v>
      </x:c>
      <x:c r="C25" s="2" t="str">
        <x:v>BB</x:v>
      </x:c>
      <x:c r="D25" s="2" t="str">
        <x:v>Brevicoryne brassicae</x:v>
      </x:c>
      <x:c r="E25" s="2" t="str">
        <x:v>L7</x:v>
      </x:c>
      <x:c r="F25" s="2" t="n">
        <x:v>4</x:v>
      </x:c>
      <x:c r="G25" s="2" t="n">
        <x:f>IF(COUNTIF(E2_diario!$J$968:$J$1009,"adulta")&gt;0,1,0)</x:f>
        <x:v>1</x:v>
      </x:c>
      <x:c r="H25" s="2" t="n">
        <x:f>COUNTIF(E2_diario!$J$968:$J$1009,"N1")</x:f>
        <x:v>1</x:v>
      </x:c>
      <x:c r="I25" s="2" t="n">
        <x:f>COUNTIF(E2_diario!$J$968:$J$1009,"N2")</x:f>
        <x:v>1</x:v>
      </x:c>
      <x:c r="J25" s="2" t="n">
        <x:f>COUNTIF(E2_diario!$J$968:$J$1009,"N3")</x:f>
        <x:v>2</x:v>
      </x:c>
      <x:c r="K25" s="2" t="n">
        <x:f>COUNTIF(E2_diario!$J$968:$J$1009,"N4")</x:f>
        <x:v>4</x:v>
      </x:c>
      <x:c r="L25" s="2" t="n">
        <x:f>IF(G25=1,SUM(H25:K25),"")</x:f>
        <x:v>8</x:v>
      </x:c>
      <x:c r="M25" s="2" t="n">
        <x:f>IF(G25=1,COUNTIF(E2_diario!$J$968:$J$1009,"adulta"),"")</x:f>
        <x:v>22</x:v>
      </x:c>
      <x:c r="N25" s="2" t="n">
        <x:f>SUM(E2_diario!$K$968:$K$1009)</x:f>
        <x:v>30</x:v>
      </x:c>
      <x:c r="O25" s="2" t="n">
        <x:f>IF(V25=0,"",COUNTIF(E2_diario!$M$968:$M$1009,0))</x:f>
        <x:v>10</x:v>
      </x:c>
      <x:c r="P25" s="2" t="n">
        <x:f>IF(V25=0,"",COUNTIF(E2_diario!$M$968:$M$1009,"&lt;"&amp;V25))</x:f>
        <x:v>26</x:v>
      </x:c>
      <x:c r="Q25" s="2" t="n">
        <x:f>IF(V25=0,"",O25)</x:f>
        <x:v>10</x:v>
      </x:c>
      <x:c r="R25" s="2" t="n">
        <x:f>IF(V25=0,"",O25-L25)</x:f>
        <x:v>2</x:v>
      </x:c>
      <x:c r="S25" s="2" t="n">
        <x:f>IF(V25=0,"",P25-O25+Supuestos!$C$15)</x:f>
        <x:v>17</x:v>
      </x:c>
      <x:c r="T25" s="2" t="n">
        <x:f>COUNTIF(E2_diario!$L$968:$L$1009,"&gt;0")</x:f>
        <x:v>17</x:v>
      </x:c>
      <x:c r="U25" s="2" t="n">
        <x:f>IF(V25=0,"",N25-P25-Supuestos!$C$15)</x:f>
        <x:v>3</x:v>
      </x:c>
      <x:c r="V25" s="2" t="n">
        <x:f>SUM(E2_diario!$L$968:$L$1009)</x:f>
        <x:v>35</x:v>
      </x:c>
      <x:c r="W25" s="2" t="n">
        <x:f>MAX(E2_diario!$P$968:$P$1009)</x:f>
        <x:v>0</x:v>
      </x:c>
      <x:c r="X25" s="2" t="str">
        <x:v>simulado_didactico</x:v>
      </x:c>
    </x:row>
    <x:row r="26" ht="19" customHeight="1">
      <x:c r="A26" s="2" t="str">
        <x:v>SIM-E2-MP-L0-R05</x:v>
      </x:c>
      <x:c r="B26" s="2" t="n">
        <x:v>3</x:v>
      </x:c>
      <x:c r="C26" s="2" t="str">
        <x:v>MP</x:v>
      </x:c>
      <x:c r="D26" s="2" t="str">
        <x:v>Myzus persicae</x:v>
      </x:c>
      <x:c r="E26" s="2" t="str">
        <x:v>L0</x:v>
      </x:c>
      <x:c r="F26" s="2" t="n">
        <x:v>5</x:v>
      </x:c>
      <x:c r="G26" s="2" t="n">
        <x:f>IF(COUNTIF(E2_diario!$J$1010:$J$1051,"adulta")&gt;0,1,0)</x:f>
        <x:v>1</x:v>
      </x:c>
      <x:c r="H26" s="2" t="n">
        <x:f>COUNTIF(E2_diario!$J$1010:$J$1051,"N1")</x:f>
        <x:v>3</x:v>
      </x:c>
      <x:c r="I26" s="2" t="n">
        <x:f>COUNTIF(E2_diario!$J$1010:$J$1051,"N2")</x:f>
        <x:v>1</x:v>
      </x:c>
      <x:c r="J26" s="2" t="n">
        <x:f>COUNTIF(E2_diario!$J$1010:$J$1051,"N3")</x:f>
        <x:v>2</x:v>
      </x:c>
      <x:c r="K26" s="2" t="n">
        <x:f>COUNTIF(E2_diario!$J$1010:$J$1051,"N4")</x:f>
        <x:v>1</x:v>
      </x:c>
      <x:c r="L26" s="2" t="n">
        <x:f>IF(G26=1,SUM(H26:K26),"")</x:f>
        <x:v>7</x:v>
      </x:c>
      <x:c r="M26" s="2" t="n">
        <x:f>IF(G26=1,COUNTIF(E2_diario!$J$1010:$J$1051,"adulta"),"")</x:f>
        <x:v>27</x:v>
      </x:c>
      <x:c r="N26" s="2" t="n">
        <x:f>SUM(E2_diario!$K$1010:$K$1051)</x:f>
        <x:v>34</x:v>
      </x:c>
      <x:c r="O26" s="2" t="n">
        <x:f>IF(V26=0,"",COUNTIF(E2_diario!$M$1010:$M$1051,0))</x:f>
        <x:v>8</x:v>
      </x:c>
      <x:c r="P26" s="2" t="n">
        <x:f>IF(V26=0,"",COUNTIF(E2_diario!$M$1010:$M$1051,"&lt;"&amp;V26))</x:f>
        <x:v>29</x:v>
      </x:c>
      <x:c r="Q26" s="2" t="n">
        <x:f>IF(V26=0,"",O26)</x:f>
        <x:v>8</x:v>
      </x:c>
      <x:c r="R26" s="2" t="n">
        <x:f>IF(V26=0,"",O26-L26)</x:f>
        <x:v>1</x:v>
      </x:c>
      <x:c r="S26" s="2" t="n">
        <x:f>IF(V26=0,"",P26-O26+Supuestos!$C$15)</x:f>
        <x:v>22</x:v>
      </x:c>
      <x:c r="T26" s="2" t="n">
        <x:f>COUNTIF(E2_diario!$L$1010:$L$1051,"&gt;0")</x:f>
        <x:v>19</x:v>
      </x:c>
      <x:c r="U26" s="2" t="n">
        <x:f>IF(V26=0,"",N26-P26-Supuestos!$C$15)</x:f>
        <x:v>4</x:v>
      </x:c>
      <x:c r="V26" s="2" t="n">
        <x:f>SUM(E2_diario!$L$1010:$L$1051)</x:f>
        <x:v>65</x:v>
      </x:c>
      <x:c r="W26" s="2" t="n">
        <x:f>MAX(E2_diario!$P$1010:$P$1051)</x:f>
        <x:v>0</x:v>
      </x:c>
      <x:c r="X26" s="2" t="str">
        <x:v>simulado_didactico</x:v>
      </x:c>
    </x:row>
    <x:row r="27" ht="19" customHeight="1">
      <x:c r="A27" s="2" t="str">
        <x:v>SIM-E2-MP-L0-R06</x:v>
      </x:c>
      <x:c r="B27" s="2" t="n">
        <x:v>3</x:v>
      </x:c>
      <x:c r="C27" s="2" t="str">
        <x:v>MP</x:v>
      </x:c>
      <x:c r="D27" s="2" t="str">
        <x:v>Myzus persicae</x:v>
      </x:c>
      <x:c r="E27" s="2" t="str">
        <x:v>L0</x:v>
      </x:c>
      <x:c r="F27" s="2" t="n">
        <x:v>6</x:v>
      </x:c>
      <x:c r="G27" s="2" t="n">
        <x:f>IF(COUNTIF(E2_diario!$J$1052:$J$1093,"adulta")&gt;0,1,0)</x:f>
        <x:v>1</x:v>
      </x:c>
      <x:c r="H27" s="2" t="n">
        <x:f>COUNTIF(E2_diario!$J$1052:$J$1093,"N1")</x:f>
        <x:v>2</x:v>
      </x:c>
      <x:c r="I27" s="2" t="n">
        <x:f>COUNTIF(E2_diario!$J$1052:$J$1093,"N2")</x:f>
        <x:v>3</x:v>
      </x:c>
      <x:c r="J27" s="2" t="n">
        <x:f>COUNTIF(E2_diario!$J$1052:$J$1093,"N3")</x:f>
        <x:v>2</x:v>
      </x:c>
      <x:c r="K27" s="2" t="n">
        <x:f>COUNTIF(E2_diario!$J$1052:$J$1093,"N4")</x:f>
        <x:v>2</x:v>
      </x:c>
      <x:c r="L27" s="2" t="n">
        <x:f>IF(G27=1,SUM(H27:K27),"")</x:f>
        <x:v>9</x:v>
      </x:c>
      <x:c r="M27" s="2" t="n">
        <x:f>IF(G27=1,COUNTIF(E2_diario!$J$1052:$J$1093,"adulta"),"")</x:f>
        <x:v>32</x:v>
      </x:c>
      <x:c r="N27" s="2" t="n">
        <x:f>SUM(E2_diario!$K$1052:$K$1093)</x:f>
        <x:v>41</x:v>
      </x:c>
      <x:c r="O27" s="2" t="n">
        <x:f>IF(V27=0,"",COUNTIF(E2_diario!$M$1052:$M$1093,0))</x:f>
        <x:v>11</x:v>
      </x:c>
      <x:c r="P27" s="2" t="n">
        <x:f>IF(V27=0,"",COUNTIF(E2_diario!$M$1052:$M$1093,"&lt;"&amp;V27))</x:f>
        <x:v>37</x:v>
      </x:c>
      <x:c r="Q27" s="2" t="n">
        <x:f>IF(V27=0,"",O27)</x:f>
        <x:v>11</x:v>
      </x:c>
      <x:c r="R27" s="2" t="n">
        <x:f>IF(V27=0,"",O27-L27)</x:f>
        <x:v>2</x:v>
      </x:c>
      <x:c r="S27" s="2" t="n">
        <x:f>IF(V27=0,"",P27-O27+Supuestos!$C$15)</x:f>
        <x:v>27</x:v>
      </x:c>
      <x:c r="T27" s="2" t="n">
        <x:f>COUNTIF(E2_diario!$L$1052:$L$1093,"&gt;0")</x:f>
        <x:v>21</x:v>
      </x:c>
      <x:c r="U27" s="2" t="n">
        <x:f>IF(V27=0,"",N27-P27-Supuestos!$C$15)</x:f>
        <x:v>3</x:v>
      </x:c>
      <x:c r="V27" s="2" t="n">
        <x:f>SUM(E2_diario!$L$1052:$L$1093)</x:f>
        <x:v>53</x:v>
      </x:c>
      <x:c r="W27" s="2" t="n">
        <x:f>MAX(E2_diario!$P$1052:$P$1093)</x:f>
        <x:v>0</x:v>
      </x:c>
      <x:c r="X27" s="2" t="str">
        <x:v>simulado_didactico</x:v>
      </x:c>
    </x:row>
    <x:row r="28" ht="19" customHeight="1">
      <x:c r="A28" s="2" t="str">
        <x:v>SIM-E2-MP-L8-R05</x:v>
      </x:c>
      <x:c r="B28" s="2" t="n">
        <x:v>3</x:v>
      </x:c>
      <x:c r="C28" s="2" t="str">
        <x:v>MP</x:v>
      </x:c>
      <x:c r="D28" s="2" t="str">
        <x:v>Myzus persicae</x:v>
      </x:c>
      <x:c r="E28" s="2" t="str">
        <x:v>L8</x:v>
      </x:c>
      <x:c r="F28" s="2" t="n">
        <x:v>5</x:v>
      </x:c>
      <x:c r="G28" s="2" t="n">
        <x:f>IF(COUNTIF(E2_diario!$J$1094:$J$1135,"adulta")&gt;0,1,0)</x:f>
        <x:v>1</x:v>
      </x:c>
      <x:c r="H28" s="2" t="n">
        <x:f>COUNTIF(E2_diario!$J$1094:$J$1135,"N1")</x:f>
        <x:v>2</x:v>
      </x:c>
      <x:c r="I28" s="2" t="n">
        <x:f>COUNTIF(E2_diario!$J$1094:$J$1135,"N2")</x:f>
        <x:v>2</x:v>
      </x:c>
      <x:c r="J28" s="2" t="n">
        <x:f>COUNTIF(E2_diario!$J$1094:$J$1135,"N3")</x:f>
        <x:v>2</x:v>
      </x:c>
      <x:c r="K28" s="2" t="n">
        <x:f>COUNTIF(E2_diario!$J$1094:$J$1135,"N4")</x:f>
        <x:v>4</x:v>
      </x:c>
      <x:c r="L28" s="2" t="n">
        <x:f>IF(G28=1,SUM(H28:K28),"")</x:f>
        <x:v>10</x:v>
      </x:c>
      <x:c r="M28" s="2" t="n">
        <x:f>IF(G28=1,COUNTIF(E2_diario!$J$1094:$J$1135,"adulta"),"")</x:f>
        <x:v>13</x:v>
      </x:c>
      <x:c r="N28" s="2" t="n">
        <x:f>SUM(E2_diario!$K$1094:$K$1135)</x:f>
        <x:v>23</x:v>
      </x:c>
      <x:c r="O28" s="2" t="n">
        <x:f>IF(V28=0,"",COUNTIF(E2_diario!$M$1094:$M$1135,0))</x:f>
        <x:v>13</x:v>
      </x:c>
      <x:c r="P28" s="2" t="n">
        <x:f>IF(V28=0,"",COUNTIF(E2_diario!$M$1094:$M$1135,"&lt;"&amp;V28))</x:f>
        <x:v>21</x:v>
      </x:c>
      <x:c r="Q28" s="2" t="n">
        <x:f>IF(V28=0,"",O28)</x:f>
        <x:v>13</x:v>
      </x:c>
      <x:c r="R28" s="2" t="n">
        <x:f>IF(V28=0,"",O28-L28)</x:f>
        <x:v>3</x:v>
      </x:c>
      <x:c r="S28" s="2" t="n">
        <x:f>IF(V28=0,"",P28-O28+Supuestos!$C$15)</x:f>
        <x:v>9</x:v>
      </x:c>
      <x:c r="T28" s="2" t="n">
        <x:f>COUNTIF(E2_diario!$L$1094:$L$1135,"&gt;0")</x:f>
        <x:v>9</x:v>
      </x:c>
      <x:c r="U28" s="2" t="n">
        <x:f>IF(V28=0,"",N28-P28-Supuestos!$C$15)</x:f>
        <x:v>1</x:v>
      </x:c>
      <x:c r="V28" s="2" t="n">
        <x:f>SUM(E2_diario!$L$1094:$L$1135)</x:f>
        <x:v>28</x:v>
      </x:c>
      <x:c r="W28" s="2" t="n">
        <x:f>MAX(E2_diario!$P$1094:$P$1135)</x:f>
        <x:v>0</x:v>
      </x:c>
      <x:c r="X28" s="2" t="str">
        <x:v>simulado_didactico</x:v>
      </x:c>
    </x:row>
    <x:row r="29" ht="19" customHeight="1">
      <x:c r="A29" s="2" t="str">
        <x:v>SIM-E2-MP-L8-R06</x:v>
      </x:c>
      <x:c r="B29" s="2" t="n">
        <x:v>3</x:v>
      </x:c>
      <x:c r="C29" s="2" t="str">
        <x:v>MP</x:v>
      </x:c>
      <x:c r="D29" s="2" t="str">
        <x:v>Myzus persicae</x:v>
      </x:c>
      <x:c r="E29" s="2" t="str">
        <x:v>L8</x:v>
      </x:c>
      <x:c r="F29" s="2" t="n">
        <x:v>6</x:v>
      </x:c>
      <x:c r="G29" s="2" t="n">
        <x:f>IF(COUNTIF(E2_diario!$J$1136:$J$1177,"adulta")&gt;0,1,0)</x:f>
        <x:v>1</x:v>
      </x:c>
      <x:c r="H29" s="2" t="n">
        <x:f>COUNTIF(E2_diario!$J$1136:$J$1177,"N1")</x:f>
        <x:v>2</x:v>
      </x:c>
      <x:c r="I29" s="2" t="n">
        <x:f>COUNTIF(E2_diario!$J$1136:$J$1177,"N2")</x:f>
        <x:v>3</x:v>
      </x:c>
      <x:c r="J29" s="2" t="n">
        <x:f>COUNTIF(E2_diario!$J$1136:$J$1177,"N3")</x:f>
        <x:v>4</x:v>
      </x:c>
      <x:c r="K29" s="2" t="n">
        <x:f>COUNTIF(E2_diario!$J$1136:$J$1177,"N4")</x:f>
        <x:v>2</x:v>
      </x:c>
      <x:c r="L29" s="2" t="n">
        <x:f>IF(G29=1,SUM(H29:K29),"")</x:f>
        <x:v>11</x:v>
      </x:c>
      <x:c r="M29" s="2" t="n">
        <x:f>IF(G29=1,COUNTIF(E2_diario!$J$1136:$J$1177,"adulta"),"")</x:f>
        <x:v>16</x:v>
      </x:c>
      <x:c r="N29" s="2" t="n">
        <x:f>SUM(E2_diario!$K$1136:$K$1177)</x:f>
        <x:v>27</x:v>
      </x:c>
      <x:c r="O29" s="2" t="n">
        <x:f>IF(V29=0,"",COUNTIF(E2_diario!$M$1136:$M$1177,0))</x:f>
        <x:v>12</x:v>
      </x:c>
      <x:c r="P29" s="2" t="n">
        <x:f>IF(V29=0,"",COUNTIF(E2_diario!$M$1136:$M$1177,"&lt;"&amp;V29))</x:f>
        <x:v>24</x:v>
      </x:c>
      <x:c r="Q29" s="2" t="n">
        <x:f>IF(V29=0,"",O29)</x:f>
        <x:v>12</x:v>
      </x:c>
      <x:c r="R29" s="2" t="n">
        <x:f>IF(V29=0,"",O29-L29)</x:f>
        <x:v>1</x:v>
      </x:c>
      <x:c r="S29" s="2" t="n">
        <x:f>IF(V29=0,"",P29-O29+Supuestos!$C$15)</x:f>
        <x:v>13</x:v>
      </x:c>
      <x:c r="T29" s="2" t="n">
        <x:f>COUNTIF(E2_diario!$L$1136:$L$1177,"&gt;0")</x:f>
        <x:v>11</x:v>
      </x:c>
      <x:c r="U29" s="2" t="n">
        <x:f>IF(V29=0,"",N29-P29-Supuestos!$C$15)</x:f>
        <x:v>2</x:v>
      </x:c>
      <x:c r="V29" s="2" t="n">
        <x:f>SUM(E2_diario!$L$1136:$L$1177)</x:f>
        <x:v>29</x:v>
      </x:c>
      <x:c r="W29" s="2" t="n">
        <x:f>MAX(E2_diario!$P$1136:$P$1177)</x:f>
        <x:v>0</x:v>
      </x:c>
      <x:c r="X29" s="2" t="str">
        <x:v>simulado_didactico</x:v>
      </x:c>
    </x:row>
    <x:row r="30" ht="19" customHeight="1">
      <x:c r="A30" s="2" t="str">
        <x:v>SIM-E2-MP-L7-R05</x:v>
      </x:c>
      <x:c r="B30" s="2" t="n">
        <x:v>3</x:v>
      </x:c>
      <x:c r="C30" s="2" t="str">
        <x:v>MP</x:v>
      </x:c>
      <x:c r="D30" s="2" t="str">
        <x:v>Myzus persicae</x:v>
      </x:c>
      <x:c r="E30" s="2" t="str">
        <x:v>L7</x:v>
      </x:c>
      <x:c r="F30" s="2" t="n">
        <x:v>5</x:v>
      </x:c>
      <x:c r="G30" s="2" t="n">
        <x:f>IF(COUNTIF(E2_diario!$J$1178:$J$1219,"adulta")&gt;0,1,0)</x:f>
        <x:v>1</x:v>
      </x:c>
      <x:c r="H30" s="2" t="n">
        <x:f>COUNTIF(E2_diario!$J$1178:$J$1219,"N1")</x:f>
        <x:v>3</x:v>
      </x:c>
      <x:c r="I30" s="2" t="n">
        <x:f>COUNTIF(E2_diario!$J$1178:$J$1219,"N2")</x:f>
        <x:v>3</x:v>
      </x:c>
      <x:c r="J30" s="2" t="n">
        <x:f>COUNTIF(E2_diario!$J$1178:$J$1219,"N3")</x:f>
        <x:v>1</x:v>
      </x:c>
      <x:c r="K30" s="2" t="n">
        <x:f>COUNTIF(E2_diario!$J$1178:$J$1219,"N4")</x:f>
        <x:v>1</x:v>
      </x:c>
      <x:c r="L30" s="2" t="n">
        <x:f>IF(G30=1,SUM(H30:K30),"")</x:f>
        <x:v>8</x:v>
      </x:c>
      <x:c r="M30" s="2" t="n">
        <x:f>IF(G30=1,COUNTIF(E2_diario!$J$1178:$J$1219,"adulta"),"")</x:f>
        <x:v>16</x:v>
      </x:c>
      <x:c r="N30" s="2" t="n">
        <x:f>SUM(E2_diario!$K$1178:$K$1219)</x:f>
        <x:v>24</x:v>
      </x:c>
      <x:c r="O30" s="2" t="n">
        <x:f>IF(V30=0,"",COUNTIF(E2_diario!$M$1178:$M$1219,0))</x:f>
        <x:v>9</x:v>
      </x:c>
      <x:c r="P30" s="2" t="n">
        <x:f>IF(V30=0,"",COUNTIF(E2_diario!$M$1178:$M$1219,"&lt;"&amp;V30))</x:f>
        <x:v>20</x:v>
      </x:c>
      <x:c r="Q30" s="2" t="n">
        <x:f>IF(V30=0,"",O30)</x:f>
        <x:v>9</x:v>
      </x:c>
      <x:c r="R30" s="2" t="n">
        <x:f>IF(V30=0,"",O30-L30)</x:f>
        <x:v>1</x:v>
      </x:c>
      <x:c r="S30" s="2" t="n">
        <x:f>IF(V30=0,"",P30-O30+Supuestos!$C$15)</x:f>
        <x:v>12</x:v>
      </x:c>
      <x:c r="T30" s="2" t="n">
        <x:f>COUNTIF(E2_diario!$L$1178:$L$1219,"&gt;0")</x:f>
        <x:v>12</x:v>
      </x:c>
      <x:c r="U30" s="2" t="n">
        <x:f>IF(V30=0,"",N30-P30-Supuestos!$C$15)</x:f>
        <x:v>3</x:v>
      </x:c>
      <x:c r="V30" s="2" t="n">
        <x:f>SUM(E2_diario!$L$1178:$L$1219)</x:f>
        <x:v>27</x:v>
      </x:c>
      <x:c r="W30" s="2" t="n">
        <x:f>MAX(E2_diario!$P$1178:$P$1219)</x:f>
        <x:v>0</x:v>
      </x:c>
      <x:c r="X30" s="2" t="str">
        <x:v>simulado_didactico</x:v>
      </x:c>
    </x:row>
    <x:row r="31" ht="19" customHeight="1">
      <x:c r="A31" s="2" t="str">
        <x:v>SIM-E2-MP-L7-R06</x:v>
      </x:c>
      <x:c r="B31" s="2" t="n">
        <x:v>3</x:v>
      </x:c>
      <x:c r="C31" s="2" t="str">
        <x:v>MP</x:v>
      </x:c>
      <x:c r="D31" s="2" t="str">
        <x:v>Myzus persicae</x:v>
      </x:c>
      <x:c r="E31" s="2" t="str">
        <x:v>L7</x:v>
      </x:c>
      <x:c r="F31" s="2" t="n">
        <x:v>6</x:v>
      </x:c>
      <x:c r="G31" s="2" t="n">
        <x:f>IF(COUNTIF(E2_diario!$J$1220:$J$1261,"adulta")&gt;0,1,0)</x:f>
        <x:v>1</x:v>
      </x:c>
      <x:c r="H31" s="2" t="n">
        <x:f>COUNTIF(E2_diario!$J$1220:$J$1261,"N1")</x:f>
        <x:v>2</x:v>
      </x:c>
      <x:c r="I31" s="2" t="n">
        <x:f>COUNTIF(E2_diario!$J$1220:$J$1261,"N2")</x:f>
        <x:v>2</x:v>
      </x:c>
      <x:c r="J31" s="2" t="n">
        <x:f>COUNTIF(E2_diario!$J$1220:$J$1261,"N3")</x:f>
        <x:v>2</x:v>
      </x:c>
      <x:c r="K31" s="2" t="n">
        <x:f>COUNTIF(E2_diario!$J$1220:$J$1261,"N4")</x:f>
        <x:v>3</x:v>
      </x:c>
      <x:c r="L31" s="2" t="n">
        <x:f>IF(G31=1,SUM(H31:K31),"")</x:f>
        <x:v>9</x:v>
      </x:c>
      <x:c r="M31" s="2" t="n">
        <x:f>IF(G31=1,COUNTIF(E2_diario!$J$1220:$J$1261,"adulta"),"")</x:f>
        <x:v>11</x:v>
      </x:c>
      <x:c r="N31" s="2" t="n">
        <x:f>SUM(E2_diario!$K$1220:$K$1261)</x:f>
        <x:v>20</x:v>
      </x:c>
      <x:c r="O31" s="2" t="n">
        <x:f>IF(V31=0,"",COUNTIF(E2_diario!$M$1220:$M$1261,0))</x:f>
        <x:v>12</x:v>
      </x:c>
      <x:c r="P31" s="2" t="n">
        <x:f>IF(V31=0,"",COUNTIF(E2_diario!$M$1220:$M$1261,"&lt;"&amp;V31))</x:f>
        <x:v>15</x:v>
      </x:c>
      <x:c r="Q31" s="2" t="n">
        <x:f>IF(V31=0,"",O31)</x:f>
        <x:v>12</x:v>
      </x:c>
      <x:c r="R31" s="2" t="n">
        <x:f>IF(V31=0,"",O31-L31)</x:f>
        <x:v>3</x:v>
      </x:c>
      <x:c r="S31" s="2" t="n">
        <x:f>IF(V31=0,"",P31-O31+Supuestos!$C$15)</x:f>
        <x:v>4</x:v>
      </x:c>
      <x:c r="T31" s="2" t="n">
        <x:f>COUNTIF(E2_diario!$L$1220:$L$1261,"&gt;0")</x:f>
        <x:v>3</x:v>
      </x:c>
      <x:c r="U31" s="2" t="n">
        <x:f>IF(V31=0,"",N31-P31-Supuestos!$C$15)</x:f>
        <x:v>4</x:v>
      </x:c>
      <x:c r="V31" s="2" t="n">
        <x:f>SUM(E2_diario!$L$1220:$L$1261)</x:f>
        <x:v>7</x:v>
      </x:c>
      <x:c r="W31" s="2" t="n">
        <x:f>MAX(E2_diario!$P$1220:$P$1261)</x:f>
        <x:v>0</x:v>
      </x:c>
      <x:c r="X31" s="2" t="str">
        <x:v>simulado_didactico</x:v>
      </x:c>
    </x:row>
    <x:row r="32" ht="19" customHeight="1">
      <x:c r="A32" s="2" t="str">
        <x:v>SIM-E2-BB-L0-R05</x:v>
      </x:c>
      <x:c r="B32" s="2" t="n">
        <x:v>3</x:v>
      </x:c>
      <x:c r="C32" s="2" t="str">
        <x:v>BB</x:v>
      </x:c>
      <x:c r="D32" s="2" t="str">
        <x:v>Brevicoryne brassicae</x:v>
      </x:c>
      <x:c r="E32" s="2" t="str">
        <x:v>L0</x:v>
      </x:c>
      <x:c r="F32" s="2" t="n">
        <x:v>5</x:v>
      </x:c>
      <x:c r="G32" s="2" t="n">
        <x:f>IF(COUNTIF(E2_diario!$J$1262:$J$1303,"adulta")&gt;0,1,0)</x:f>
        <x:v>1</x:v>
      </x:c>
      <x:c r="H32" s="2" t="n">
        <x:f>COUNTIF(E2_diario!$J$1262:$J$1303,"N1")</x:f>
        <x:v>3</x:v>
      </x:c>
      <x:c r="I32" s="2" t="n">
        <x:f>COUNTIF(E2_diario!$J$1262:$J$1303,"N2")</x:f>
        <x:v>2</x:v>
      </x:c>
      <x:c r="J32" s="2" t="n">
        <x:f>COUNTIF(E2_diario!$J$1262:$J$1303,"N3")</x:f>
        <x:v>1</x:v>
      </x:c>
      <x:c r="K32" s="2" t="n">
        <x:f>COUNTIF(E2_diario!$J$1262:$J$1303,"N4")</x:f>
        <x:v>2</x:v>
      </x:c>
      <x:c r="L32" s="2" t="n">
        <x:f>IF(G32=1,SUM(H32:K32),"")</x:f>
        <x:v>8</x:v>
      </x:c>
      <x:c r="M32" s="2" t="n">
        <x:f>IF(G32=1,COUNTIF(E2_diario!$J$1262:$J$1303,"adulta"),"")</x:f>
        <x:v>25</x:v>
      </x:c>
      <x:c r="N32" s="2" t="n">
        <x:f>SUM(E2_diario!$K$1262:$K$1303)</x:f>
        <x:v>33</x:v>
      </x:c>
      <x:c r="O32" s="2" t="n">
        <x:f>IF(V32=0,"",COUNTIF(E2_diario!$M$1262:$M$1303,0))</x:f>
        <x:v>9</x:v>
      </x:c>
      <x:c r="P32" s="2" t="n">
        <x:f>IF(V32=0,"",COUNTIF(E2_diario!$M$1262:$M$1303,"&lt;"&amp;V32))</x:f>
        <x:v>29</x:v>
      </x:c>
      <x:c r="Q32" s="2" t="n">
        <x:f>IF(V32=0,"",O32)</x:f>
        <x:v>9</x:v>
      </x:c>
      <x:c r="R32" s="2" t="n">
        <x:f>IF(V32=0,"",O32-L32)</x:f>
        <x:v>1</x:v>
      </x:c>
      <x:c r="S32" s="2" t="n">
        <x:f>IF(V32=0,"",P32-O32+Supuestos!$C$15)</x:f>
        <x:v>21</x:v>
      </x:c>
      <x:c r="T32" s="2" t="n">
        <x:f>COUNTIF(E2_diario!$L$1262:$L$1303,"&gt;0")</x:f>
        <x:v>21</x:v>
      </x:c>
      <x:c r="U32" s="2" t="n">
        <x:f>IF(V32=0,"",N32-P32-Supuestos!$C$15)</x:f>
        <x:v>3</x:v>
      </x:c>
      <x:c r="V32" s="2" t="n">
        <x:f>SUM(E2_diario!$L$1262:$L$1303)</x:f>
        <x:v>90</x:v>
      </x:c>
      <x:c r="W32" s="2" t="n">
        <x:f>MAX(E2_diario!$P$1262:$P$1303)</x:f>
        <x:v>0</x:v>
      </x:c>
      <x:c r="X32" s="2" t="str">
        <x:v>simulado_didactico</x:v>
      </x:c>
    </x:row>
    <x:row r="33" ht="19" customHeight="1">
      <x:c r="A33" s="2" t="str">
        <x:v>SIM-E2-BB-L0-R06</x:v>
      </x:c>
      <x:c r="B33" s="2" t="n">
        <x:v>3</x:v>
      </x:c>
      <x:c r="C33" s="2" t="str">
        <x:v>BB</x:v>
      </x:c>
      <x:c r="D33" s="2" t="str">
        <x:v>Brevicoryne brassicae</x:v>
      </x:c>
      <x:c r="E33" s="2" t="str">
        <x:v>L0</x:v>
      </x:c>
      <x:c r="F33" s="2" t="n">
        <x:v>6</x:v>
      </x:c>
      <x:c r="G33" s="2" t="n">
        <x:f>IF(COUNTIF(E2_diario!$J$1304:$J$1345,"adulta")&gt;0,1,0)</x:f>
        <x:v>1</x:v>
      </x:c>
      <x:c r="H33" s="2" t="n">
        <x:f>COUNTIF(E2_diario!$J$1304:$J$1345,"N1")</x:f>
        <x:v>2</x:v>
      </x:c>
      <x:c r="I33" s="2" t="n">
        <x:f>COUNTIF(E2_diario!$J$1304:$J$1345,"N2")</x:f>
        <x:v>3</x:v>
      </x:c>
      <x:c r="J33" s="2" t="n">
        <x:f>COUNTIF(E2_diario!$J$1304:$J$1345,"N3")</x:f>
        <x:v>1</x:v>
      </x:c>
      <x:c r="K33" s="2" t="n">
        <x:f>COUNTIF(E2_diario!$J$1304:$J$1345,"N4")</x:f>
        <x:v>1</x:v>
      </x:c>
      <x:c r="L33" s="2" t="n">
        <x:f>IF(G33=1,SUM(H33:K33),"")</x:f>
        <x:v>7</x:v>
      </x:c>
      <x:c r="M33" s="2" t="n">
        <x:f>IF(G33=1,COUNTIF(E2_diario!$J$1304:$J$1345,"adulta"),"")</x:f>
        <x:v>23</x:v>
      </x:c>
      <x:c r="N33" s="2" t="n">
        <x:f>SUM(E2_diario!$K$1304:$K$1345)</x:f>
        <x:v>30</x:v>
      </x:c>
      <x:c r="O33" s="2" t="n">
        <x:f>IF(V33=0,"",COUNTIF(E2_diario!$M$1304:$M$1345,0))</x:f>
        <x:v>9</x:v>
      </x:c>
      <x:c r="P33" s="2" t="n">
        <x:f>IF(V33=0,"",COUNTIF(E2_diario!$M$1304:$M$1345,"&lt;"&amp;V33))</x:f>
        <x:v>25</x:v>
      </x:c>
      <x:c r="Q33" s="2" t="n">
        <x:f>IF(V33=0,"",O33)</x:f>
        <x:v>9</x:v>
      </x:c>
      <x:c r="R33" s="2" t="n">
        <x:f>IF(V33=0,"",O33-L33)</x:f>
        <x:v>2</x:v>
      </x:c>
      <x:c r="S33" s="2" t="n">
        <x:f>IF(V33=0,"",P33-O33+Supuestos!$C$15)</x:f>
        <x:v>17</x:v>
      </x:c>
      <x:c r="T33" s="2" t="n">
        <x:f>COUNTIF(E2_diario!$L$1304:$L$1345,"&gt;0")</x:f>
        <x:v>16</x:v>
      </x:c>
      <x:c r="U33" s="2" t="n">
        <x:f>IF(V33=0,"",N33-P33-Supuestos!$C$15)</x:f>
        <x:v>4</x:v>
      </x:c>
      <x:c r="V33" s="2" t="n">
        <x:f>SUM(E2_diario!$L$1304:$L$1345)</x:f>
        <x:v>44</x:v>
      </x:c>
      <x:c r="W33" s="2" t="n">
        <x:f>MAX(E2_diario!$P$1304:$P$1345)</x:f>
        <x:v>0</x:v>
      </x:c>
      <x:c r="X33" s="2" t="str">
        <x:v>simulado_didactico</x:v>
      </x:c>
    </x:row>
    <x:row r="34" ht="19" customHeight="1">
      <x:c r="A34" s="2" t="str">
        <x:v>SIM-E2-BB-L8-R05</x:v>
      </x:c>
      <x:c r="B34" s="2" t="n">
        <x:v>3</x:v>
      </x:c>
      <x:c r="C34" s="2" t="str">
        <x:v>BB</x:v>
      </x:c>
      <x:c r="D34" s="2" t="str">
        <x:v>Brevicoryne brassicae</x:v>
      </x:c>
      <x:c r="E34" s="2" t="str">
        <x:v>L8</x:v>
      </x:c>
      <x:c r="F34" s="2" t="n">
        <x:v>5</x:v>
      </x:c>
      <x:c r="G34" s="2" t="n">
        <x:f>IF(COUNTIF(E2_diario!$J$1346:$J$1387,"adulta")&gt;0,1,0)</x:f>
        <x:v>0</x:v>
      </x:c>
      <x:c r="H34" s="2" t="n">
        <x:f>COUNTIF(E2_diario!$J$1346:$J$1387,"N1")</x:f>
        <x:v>1</x:v>
      </x:c>
      <x:c r="I34" s="2" t="n">
        <x:f>COUNTIF(E2_diario!$J$1346:$J$1387,"N2")</x:f>
        <x:v>1</x:v>
      </x:c>
      <x:c r="J34" s="2" t="n">
        <x:f>COUNTIF(E2_diario!$J$1346:$J$1387,"N3")</x:f>
        <x:v>1</x:v>
      </x:c>
      <x:c r="K34" s="2" t="n">
        <x:f>COUNTIF(E2_diario!$J$1346:$J$1387,"N4")</x:f>
        <x:v>0</x:v>
      </x:c>
      <x:c r="L34" s="2" t="str">
        <x:f>IF(G34=1,SUM(H34:K34),"")</x:f>
      </x:c>
      <x:c r="M34" s="2" t="str">
        <x:f>IF(G34=1,COUNTIF(E2_diario!$J$1346:$J$1387,"adulta"),"")</x:f>
      </x:c>
      <x:c r="N34" s="2" t="n">
        <x:f>SUM(E2_diario!$K$1346:$K$1387)</x:f>
        <x:v>3</x:v>
      </x:c>
      <x:c r="O34" s="2" t="str">
        <x:f>IF(V34=0,"",COUNTIF(E2_diario!$M$1346:$M$1387,0))</x:f>
      </x:c>
      <x:c r="P34" s="2" t="str">
        <x:f>IF(V34=0,"",COUNTIF(E2_diario!$M$1346:$M$1387,"&lt;"&amp;V34))</x:f>
      </x:c>
      <x:c r="Q34" s="2" t="str">
        <x:f>IF(V34=0,"",O34)</x:f>
      </x:c>
      <x:c r="R34" s="2" t="str">
        <x:f>IF(V34=0,"",O34-L34)</x:f>
      </x:c>
      <x:c r="S34" s="2" t="str">
        <x:f>IF(V34=0,"",P34-O34+Supuestos!$C$15)</x:f>
      </x:c>
      <x:c r="T34" s="2" t="n">
        <x:f>COUNTIF(E2_diario!$L$1346:$L$1387,"&gt;0")</x:f>
        <x:v>0</x:v>
      </x:c>
      <x:c r="U34" s="2" t="str">
        <x:f>IF(V34=0,"",N34-P34-Supuestos!$C$15)</x:f>
      </x:c>
      <x:c r="V34" s="2" t="n">
        <x:f>SUM(E2_diario!$L$1346:$L$1387)</x:f>
        <x:v>0</x:v>
      </x:c>
      <x:c r="W34" s="2" t="n">
        <x:f>MAX(E2_diario!$P$1346:$P$1387)</x:f>
        <x:v>0</x:v>
      </x:c>
      <x:c r="X34" s="2" t="str">
        <x:v>simulado_didactico</x:v>
      </x:c>
    </x:row>
    <x:row r="35" ht="19" customHeight="1">
      <x:c r="A35" s="2" t="str">
        <x:v>SIM-E2-BB-L8-R06</x:v>
      </x:c>
      <x:c r="B35" s="2" t="n">
        <x:v>3</x:v>
      </x:c>
      <x:c r="C35" s="2" t="str">
        <x:v>BB</x:v>
      </x:c>
      <x:c r="D35" s="2" t="str">
        <x:v>Brevicoryne brassicae</x:v>
      </x:c>
      <x:c r="E35" s="2" t="str">
        <x:v>L8</x:v>
      </x:c>
      <x:c r="F35" s="2" t="n">
        <x:v>6</x:v>
      </x:c>
      <x:c r="G35" s="2" t="n">
        <x:f>IF(COUNTIF(E2_diario!$J$1388:$J$1429,"adulta")&gt;0,1,0)</x:f>
        <x:v>1</x:v>
      </x:c>
      <x:c r="H35" s="2" t="n">
        <x:f>COUNTIF(E2_diario!$J$1388:$J$1429,"N1")</x:f>
        <x:v>2</x:v>
      </x:c>
      <x:c r="I35" s="2" t="n">
        <x:f>COUNTIF(E2_diario!$J$1388:$J$1429,"N2")</x:f>
        <x:v>1</x:v>
      </x:c>
      <x:c r="J35" s="2" t="n">
        <x:f>COUNTIF(E2_diario!$J$1388:$J$1429,"N3")</x:f>
        <x:v>4</x:v>
      </x:c>
      <x:c r="K35" s="2" t="n">
        <x:f>COUNTIF(E2_diario!$J$1388:$J$1429,"N4")</x:f>
        <x:v>1</x:v>
      </x:c>
      <x:c r="L35" s="2" t="n">
        <x:f>IF(G35=1,SUM(H35:K35),"")</x:f>
        <x:v>8</x:v>
      </x:c>
      <x:c r="M35" s="2" t="n">
        <x:f>IF(G35=1,COUNTIF(E2_diario!$J$1388:$J$1429,"adulta"),"")</x:f>
        <x:v>21</x:v>
      </x:c>
      <x:c r="N35" s="2" t="n">
        <x:f>SUM(E2_diario!$K$1388:$K$1429)</x:f>
        <x:v>29</x:v>
      </x:c>
      <x:c r="O35" s="2" t="n">
        <x:f>IF(V35=0,"",COUNTIF(E2_diario!$M$1388:$M$1429,0))</x:f>
        <x:v>9</x:v>
      </x:c>
      <x:c r="P35" s="2" t="n">
        <x:f>IF(V35=0,"",COUNTIF(E2_diario!$M$1388:$M$1429,"&lt;"&amp;V35))</x:f>
        <x:v>26</x:v>
      </x:c>
      <x:c r="Q35" s="2" t="n">
        <x:f>IF(V35=0,"",O35)</x:f>
        <x:v>9</x:v>
      </x:c>
      <x:c r="R35" s="2" t="n">
        <x:f>IF(V35=0,"",O35-L35)</x:f>
        <x:v>1</x:v>
      </x:c>
      <x:c r="S35" s="2" t="n">
        <x:f>IF(V35=0,"",P35-O35+Supuestos!$C$15)</x:f>
        <x:v>18</x:v>
      </x:c>
      <x:c r="T35" s="2" t="n">
        <x:f>COUNTIF(E2_diario!$L$1388:$L$1429,"&gt;0")</x:f>
        <x:v>16</x:v>
      </x:c>
      <x:c r="U35" s="2" t="n">
        <x:f>IF(V35=0,"",N35-P35-Supuestos!$C$15)</x:f>
        <x:v>2</x:v>
      </x:c>
      <x:c r="V35" s="2" t="n">
        <x:f>SUM(E2_diario!$L$1388:$L$1429)</x:f>
        <x:v>38</x:v>
      </x:c>
      <x:c r="W35" s="2" t="n">
        <x:f>MAX(E2_diario!$P$1388:$P$1429)</x:f>
        <x:v>0</x:v>
      </x:c>
      <x:c r="X35" s="2" t="str">
        <x:v>simulado_didactico</x:v>
      </x:c>
    </x:row>
    <x:row r="36" ht="19" customHeight="1">
      <x:c r="A36" s="2" t="str">
        <x:v>SIM-E2-BB-L7-R05</x:v>
      </x:c>
      <x:c r="B36" s="2" t="n">
        <x:v>3</x:v>
      </x:c>
      <x:c r="C36" s="2" t="str">
        <x:v>BB</x:v>
      </x:c>
      <x:c r="D36" s="2" t="str">
        <x:v>Brevicoryne brassicae</x:v>
      </x:c>
      <x:c r="E36" s="2" t="str">
        <x:v>L7</x:v>
      </x:c>
      <x:c r="F36" s="2" t="n">
        <x:v>5</x:v>
      </x:c>
      <x:c r="G36" s="2" t="n">
        <x:f>IF(COUNTIF(E2_diario!$J$1430:$J$1471,"adulta")&gt;0,1,0)</x:f>
        <x:v>1</x:v>
      </x:c>
      <x:c r="H36" s="2" t="n">
        <x:f>COUNTIF(E2_diario!$J$1430:$J$1471,"N1")</x:f>
        <x:v>4</x:v>
      </x:c>
      <x:c r="I36" s="2" t="n">
        <x:f>COUNTIF(E2_diario!$J$1430:$J$1471,"N2")</x:f>
        <x:v>1</x:v>
      </x:c>
      <x:c r="J36" s="2" t="n">
        <x:f>COUNTIF(E2_diario!$J$1430:$J$1471,"N3")</x:f>
        <x:v>1</x:v>
      </x:c>
      <x:c r="K36" s="2" t="n">
        <x:f>COUNTIF(E2_diario!$J$1430:$J$1471,"N4")</x:f>
        <x:v>3</x:v>
      </x:c>
      <x:c r="L36" s="2" t="n">
        <x:f>IF(G36=1,SUM(H36:K36),"")</x:f>
        <x:v>9</x:v>
      </x:c>
      <x:c r="M36" s="2" t="n">
        <x:f>IF(G36=1,COUNTIF(E2_diario!$J$1430:$J$1471,"adulta"),"")</x:f>
        <x:v>24</x:v>
      </x:c>
      <x:c r="N36" s="2" t="n">
        <x:f>SUM(E2_diario!$K$1430:$K$1471)</x:f>
        <x:v>33</x:v>
      </x:c>
      <x:c r="O36" s="2" t="n">
        <x:f>IF(V36=0,"",COUNTIF(E2_diario!$M$1430:$M$1471,0))</x:f>
        <x:v>11</x:v>
      </x:c>
      <x:c r="P36" s="2" t="n">
        <x:f>IF(V36=0,"",COUNTIF(E2_diario!$M$1430:$M$1471,"&lt;"&amp;V36))</x:f>
        <x:v>31</x:v>
      </x:c>
      <x:c r="Q36" s="2" t="n">
        <x:f>IF(V36=0,"",O36)</x:f>
        <x:v>11</x:v>
      </x:c>
      <x:c r="R36" s="2" t="n">
        <x:f>IF(V36=0,"",O36-L36)</x:f>
        <x:v>2</x:v>
      </x:c>
      <x:c r="S36" s="2" t="n">
        <x:f>IF(V36=0,"",P36-O36+Supuestos!$C$15)</x:f>
        <x:v>21</x:v>
      </x:c>
      <x:c r="T36" s="2" t="n">
        <x:f>COUNTIF(E2_diario!$L$1430:$L$1471,"&gt;0")</x:f>
        <x:v>18</x:v>
      </x:c>
      <x:c r="U36" s="2" t="n">
        <x:f>IF(V36=0,"",N36-P36-Supuestos!$C$15)</x:f>
        <x:v>1</x:v>
      </x:c>
      <x:c r="V36" s="2" t="n">
        <x:f>SUM(E2_diario!$L$1430:$L$1471)</x:f>
        <x:v>43</x:v>
      </x:c>
      <x:c r="W36" s="2" t="n">
        <x:f>MAX(E2_diario!$P$1430:$P$1471)</x:f>
        <x:v>0</x:v>
      </x:c>
      <x:c r="X36" s="2" t="str">
        <x:v>simulado_didactico</x:v>
      </x:c>
    </x:row>
    <x:row r="37" ht="19" customHeight="1">
      <x:c r="A37" s="2" t="str">
        <x:v>SIM-E2-BB-L7-R06</x:v>
      </x:c>
      <x:c r="B37" s="2" t="n">
        <x:v>3</x:v>
      </x:c>
      <x:c r="C37" s="2" t="str">
        <x:v>BB</x:v>
      </x:c>
      <x:c r="D37" s="2" t="str">
        <x:v>Brevicoryne brassicae</x:v>
      </x:c>
      <x:c r="E37" s="2" t="str">
        <x:v>L7</x:v>
      </x:c>
      <x:c r="F37" s="2" t="n">
        <x:v>6</x:v>
      </x:c>
      <x:c r="G37" s="2" t="n">
        <x:f>IF(COUNTIF(E2_diario!$J$1472:$J$1513,"adulta")&gt;0,1,0)</x:f>
        <x:v>1</x:v>
      </x:c>
      <x:c r="H37" s="2" t="n">
        <x:f>COUNTIF(E2_diario!$J$1472:$J$1513,"N1")</x:f>
        <x:v>2</x:v>
      </x:c>
      <x:c r="I37" s="2" t="n">
        <x:f>COUNTIF(E2_diario!$J$1472:$J$1513,"N2")</x:f>
        <x:v>4</x:v>
      </x:c>
      <x:c r="J37" s="2" t="n">
        <x:f>COUNTIF(E2_diario!$J$1472:$J$1513,"N3")</x:f>
        <x:v>2</x:v>
      </x:c>
      <x:c r="K37" s="2" t="n">
        <x:f>COUNTIF(E2_diario!$J$1472:$J$1513,"N4")</x:f>
        <x:v>1</x:v>
      </x:c>
      <x:c r="L37" s="2" t="n">
        <x:f>IF(G37=1,SUM(H37:K37),"")</x:f>
        <x:v>9</x:v>
      </x:c>
      <x:c r="M37" s="2" t="n">
        <x:f>IF(G37=1,COUNTIF(E2_diario!$J$1472:$J$1513,"adulta"),"")</x:f>
        <x:v>16</x:v>
      </x:c>
      <x:c r="N37" s="2" t="n">
        <x:f>SUM(E2_diario!$K$1472:$K$1513)</x:f>
        <x:v>25</x:v>
      </x:c>
      <x:c r="O37" s="2" t="n">
        <x:f>IF(V37=0,"",COUNTIF(E2_diario!$M$1472:$M$1513,0))</x:f>
        <x:v>12</x:v>
      </x:c>
      <x:c r="P37" s="2" t="n">
        <x:f>IF(V37=0,"",COUNTIF(E2_diario!$M$1472:$M$1513,"&lt;"&amp;V37))</x:f>
        <x:v>20</x:v>
      </x:c>
      <x:c r="Q37" s="2" t="n">
        <x:f>IF(V37=0,"",O37)</x:f>
        <x:v>12</x:v>
      </x:c>
      <x:c r="R37" s="2" t="n">
        <x:f>IF(V37=0,"",O37-L37)</x:f>
        <x:v>3</x:v>
      </x:c>
      <x:c r="S37" s="2" t="n">
        <x:f>IF(V37=0,"",P37-O37+Supuestos!$C$15)</x:f>
        <x:v>9</x:v>
      </x:c>
      <x:c r="T37" s="2" t="n">
        <x:f>COUNTIF(E2_diario!$L$1472:$L$1513,"&gt;0")</x:f>
        <x:v>9</x:v>
      </x:c>
      <x:c r="U37" s="2" t="n">
        <x:f>IF(V37=0,"",N37-P37-Supuestos!$C$15)</x:f>
        <x:v>4</x:v>
      </x:c>
      <x:c r="V37" s="2" t="n">
        <x:f>SUM(E2_diario!$L$1472:$L$1513)</x:f>
        <x:v>21</x:v>
      </x:c>
      <x:c r="W37" s="2" t="n">
        <x:f>MAX(E2_diario!$P$1472:$P$1513)</x:f>
        <x:v>0</x:v>
      </x:c>
      <x:c r="X37" s="2" t="str">
        <x:v>simulado_didactico</x:v>
      </x:c>
    </x:row>
    <x:row r="38" ht="19" customHeight="1">
      <x:c r="A38" s="2" t="str">
        <x:v>SIM-E2-MP-L0-R07</x:v>
      </x:c>
      <x:c r="B38" s="2" t="n">
        <x:v>4</x:v>
      </x:c>
      <x:c r="C38" s="2" t="str">
        <x:v>MP</x:v>
      </x:c>
      <x:c r="D38" s="2" t="str">
        <x:v>Myzus persicae</x:v>
      </x:c>
      <x:c r="E38" s="2" t="str">
        <x:v>L0</x:v>
      </x:c>
      <x:c r="F38" s="2" t="n">
        <x:v>7</x:v>
      </x:c>
      <x:c r="G38" s="2" t="n">
        <x:f>IF(COUNTIF(E2_diario!$J$1514:$J$1555,"adulta")&gt;0,1,0)</x:f>
        <x:v>1</x:v>
      </x:c>
      <x:c r="H38" s="2" t="n">
        <x:f>COUNTIF(E2_diario!$J$1514:$J$1555,"N1")</x:f>
        <x:v>2</x:v>
      </x:c>
      <x:c r="I38" s="2" t="n">
        <x:f>COUNTIF(E2_diario!$J$1514:$J$1555,"N2")</x:f>
        <x:v>2</x:v>
      </x:c>
      <x:c r="J38" s="2" t="n">
        <x:f>COUNTIF(E2_diario!$J$1514:$J$1555,"N3")</x:f>
        <x:v>3</x:v>
      </x:c>
      <x:c r="K38" s="2" t="n">
        <x:f>COUNTIF(E2_diario!$J$1514:$J$1555,"N4")</x:f>
        <x:v>1</x:v>
      </x:c>
      <x:c r="L38" s="2" t="n">
        <x:f>IF(G38=1,SUM(H38:K38),"")</x:f>
        <x:v>8</x:v>
      </x:c>
      <x:c r="M38" s="2" t="n">
        <x:f>IF(G38=1,COUNTIF(E2_diario!$J$1514:$J$1555,"adulta"),"")</x:f>
        <x:v>19</x:v>
      </x:c>
      <x:c r="N38" s="2" t="n">
        <x:f>SUM(E2_diario!$K$1514:$K$1555)</x:f>
        <x:v>27</x:v>
      </x:c>
      <x:c r="O38" s="2" t="n">
        <x:f>IF(V38=0,"",COUNTIF(E2_diario!$M$1514:$M$1555,0))</x:f>
        <x:v>9</x:v>
      </x:c>
      <x:c r="P38" s="2" t="n">
        <x:f>IF(V38=0,"",COUNTIF(E2_diario!$M$1514:$M$1555,"&lt;"&amp;V38))</x:f>
        <x:v>24</x:v>
      </x:c>
      <x:c r="Q38" s="2" t="n">
        <x:f>IF(V38=0,"",O38)</x:f>
        <x:v>9</x:v>
      </x:c>
      <x:c r="R38" s="2" t="n">
        <x:f>IF(V38=0,"",O38-L38)</x:f>
        <x:v>1</x:v>
      </x:c>
      <x:c r="S38" s="2" t="n">
        <x:f>IF(V38=0,"",P38-O38+Supuestos!$C$15)</x:f>
        <x:v>16</x:v>
      </x:c>
      <x:c r="T38" s="2" t="n">
        <x:f>COUNTIF(E2_diario!$L$1514:$L$1555,"&gt;0")</x:f>
        <x:v>16</x:v>
      </x:c>
      <x:c r="U38" s="2" t="n">
        <x:f>IF(V38=0,"",N38-P38-Supuestos!$C$15)</x:f>
        <x:v>2</x:v>
      </x:c>
      <x:c r="V38" s="2" t="n">
        <x:f>SUM(E2_diario!$L$1514:$L$1555)</x:f>
        <x:v>91</x:v>
      </x:c>
      <x:c r="W38" s="2" t="n">
        <x:f>MAX(E2_diario!$P$1514:$P$1555)</x:f>
        <x:v>0</x:v>
      </x:c>
      <x:c r="X38" s="2" t="str">
        <x:v>simulado_didactico</x:v>
      </x:c>
    </x:row>
    <x:row r="39" ht="19" customHeight="1">
      <x:c r="A39" s="2" t="str">
        <x:v>SIM-E2-MP-L0-R08</x:v>
      </x:c>
      <x:c r="B39" s="2" t="n">
        <x:v>4</x:v>
      </x:c>
      <x:c r="C39" s="2" t="str">
        <x:v>MP</x:v>
      </x:c>
      <x:c r="D39" s="2" t="str">
        <x:v>Myzus persicae</x:v>
      </x:c>
      <x:c r="E39" s="2" t="str">
        <x:v>L0</x:v>
      </x:c>
      <x:c r="F39" s="2" t="n">
        <x:v>8</x:v>
      </x:c>
      <x:c r="G39" s="2" t="n">
        <x:f>IF(COUNTIF(E2_diario!$J$1556:$J$1597,"adulta")&gt;0,1,0)</x:f>
        <x:v>1</x:v>
      </x:c>
      <x:c r="H39" s="2" t="n">
        <x:f>COUNTIF(E2_diario!$J$1556:$J$1597,"N1")</x:f>
        <x:v>3</x:v>
      </x:c>
      <x:c r="I39" s="2" t="n">
        <x:f>COUNTIF(E2_diario!$J$1556:$J$1597,"N2")</x:f>
        <x:v>3</x:v>
      </x:c>
      <x:c r="J39" s="2" t="n">
        <x:f>COUNTIF(E2_diario!$J$1556:$J$1597,"N3")</x:f>
        <x:v>2</x:v>
      </x:c>
      <x:c r="K39" s="2" t="n">
        <x:f>COUNTIF(E2_diario!$J$1556:$J$1597,"N4")</x:f>
        <x:v>1</x:v>
      </x:c>
      <x:c r="L39" s="2" t="n">
        <x:f>IF(G39=1,SUM(H39:K39),"")</x:f>
        <x:v>9</x:v>
      </x:c>
      <x:c r="M39" s="2" t="n">
        <x:f>IF(G39=1,COUNTIF(E2_diario!$J$1556:$J$1597,"adulta"),"")</x:f>
        <x:v>21</x:v>
      </x:c>
      <x:c r="N39" s="2" t="n">
        <x:f>SUM(E2_diario!$K$1556:$K$1597)</x:f>
        <x:v>30</x:v>
      </x:c>
      <x:c r="O39" s="2" t="n">
        <x:f>IF(V39=0,"",COUNTIF(E2_diario!$M$1556:$M$1597,0))</x:f>
        <x:v>10</x:v>
      </x:c>
      <x:c r="P39" s="2" t="n">
        <x:f>IF(V39=0,"",COUNTIF(E2_diario!$M$1556:$M$1597,"&lt;"&amp;V39))</x:f>
        <x:v>26</x:v>
      </x:c>
      <x:c r="Q39" s="2" t="n">
        <x:f>IF(V39=0,"",O39)</x:f>
        <x:v>10</x:v>
      </x:c>
      <x:c r="R39" s="2" t="n">
        <x:f>IF(V39=0,"",O39-L39)</x:f>
        <x:v>1</x:v>
      </x:c>
      <x:c r="S39" s="2" t="n">
        <x:f>IF(V39=0,"",P39-O39+Supuestos!$C$15)</x:f>
        <x:v>17</x:v>
      </x:c>
      <x:c r="T39" s="2" t="n">
        <x:f>COUNTIF(E2_diario!$L$1556:$L$1597,"&gt;0")</x:f>
        <x:v>17</x:v>
      </x:c>
      <x:c r="U39" s="2" t="n">
        <x:f>IF(V39=0,"",N39-P39-Supuestos!$C$15)</x:f>
        <x:v>3</x:v>
      </x:c>
      <x:c r="V39" s="2" t="n">
        <x:f>SUM(E2_diario!$L$1556:$L$1597)</x:f>
        <x:v>67</x:v>
      </x:c>
      <x:c r="W39" s="2" t="n">
        <x:f>MAX(E2_diario!$P$1556:$P$1597)</x:f>
        <x:v>0</x:v>
      </x:c>
      <x:c r="X39" s="2" t="str">
        <x:v>simulado_didactico</x:v>
      </x:c>
    </x:row>
    <x:row r="40" ht="19" customHeight="1">
      <x:c r="A40" s="2" t="str">
        <x:v>SIM-E2-MP-L8-R07</x:v>
      </x:c>
      <x:c r="B40" s="2" t="n">
        <x:v>4</x:v>
      </x:c>
      <x:c r="C40" s="2" t="str">
        <x:v>MP</x:v>
      </x:c>
      <x:c r="D40" s="2" t="str">
        <x:v>Myzus persicae</x:v>
      </x:c>
      <x:c r="E40" s="2" t="str">
        <x:v>L8</x:v>
      </x:c>
      <x:c r="F40" s="2" t="n">
        <x:v>7</x:v>
      </x:c>
      <x:c r="G40" s="2" t="n">
        <x:f>IF(COUNTIF(E2_diario!$J$1598:$J$1639,"adulta")&gt;0,1,0)</x:f>
        <x:v>0</x:v>
      </x:c>
      <x:c r="H40" s="2" t="n">
        <x:f>COUNTIF(E2_diario!$J$1598:$J$1639,"N1")</x:f>
        <x:v>3</x:v>
      </x:c>
      <x:c r="I40" s="2" t="n">
        <x:f>COUNTIF(E2_diario!$J$1598:$J$1639,"N2")</x:f>
        <x:v>0</x:v>
      </x:c>
      <x:c r="J40" s="2" t="n">
        <x:f>COUNTIF(E2_diario!$J$1598:$J$1639,"N3")</x:f>
        <x:v>0</x:v>
      </x:c>
      <x:c r="K40" s="2" t="n">
        <x:f>COUNTIF(E2_diario!$J$1598:$J$1639,"N4")</x:f>
        <x:v>0</x:v>
      </x:c>
      <x:c r="L40" s="2" t="str">
        <x:f>IF(G40=1,SUM(H40:K40),"")</x:f>
      </x:c>
      <x:c r="M40" s="2" t="str">
        <x:f>IF(G40=1,COUNTIF(E2_diario!$J$1598:$J$1639,"adulta"),"")</x:f>
      </x:c>
      <x:c r="N40" s="2" t="n">
        <x:f>SUM(E2_diario!$K$1598:$K$1639)</x:f>
        <x:v>3</x:v>
      </x:c>
      <x:c r="O40" s="2" t="str">
        <x:f>IF(V40=0,"",COUNTIF(E2_diario!$M$1598:$M$1639,0))</x:f>
      </x:c>
      <x:c r="P40" s="2" t="str">
        <x:f>IF(V40=0,"",COUNTIF(E2_diario!$M$1598:$M$1639,"&lt;"&amp;V40))</x:f>
      </x:c>
      <x:c r="Q40" s="2" t="str">
        <x:f>IF(V40=0,"",O40)</x:f>
      </x:c>
      <x:c r="R40" s="2" t="str">
        <x:f>IF(V40=0,"",O40-L40)</x:f>
      </x:c>
      <x:c r="S40" s="2" t="str">
        <x:f>IF(V40=0,"",P40-O40+Supuestos!$C$15)</x:f>
      </x:c>
      <x:c r="T40" s="2" t="n">
        <x:f>COUNTIF(E2_diario!$L$1598:$L$1639,"&gt;0")</x:f>
        <x:v>0</x:v>
      </x:c>
      <x:c r="U40" s="2" t="str">
        <x:f>IF(V40=0,"",N40-P40-Supuestos!$C$15)</x:f>
      </x:c>
      <x:c r="V40" s="2" t="n">
        <x:f>SUM(E2_diario!$L$1598:$L$1639)</x:f>
        <x:v>0</x:v>
      </x:c>
      <x:c r="W40" s="2" t="n">
        <x:f>MAX(E2_diario!$P$1598:$P$1639)</x:f>
        <x:v>0</x:v>
      </x:c>
      <x:c r="X40" s="2" t="str">
        <x:v>simulado_didactico</x:v>
      </x:c>
    </x:row>
    <x:row r="41" ht="19" customHeight="1">
      <x:c r="A41" s="2" t="str">
        <x:v>SIM-E2-MP-L8-R08</x:v>
      </x:c>
      <x:c r="B41" s="2" t="n">
        <x:v>4</x:v>
      </x:c>
      <x:c r="C41" s="2" t="str">
        <x:v>MP</x:v>
      </x:c>
      <x:c r="D41" s="2" t="str">
        <x:v>Myzus persicae</x:v>
      </x:c>
      <x:c r="E41" s="2" t="str">
        <x:v>L8</x:v>
      </x:c>
      <x:c r="F41" s="2" t="n">
        <x:v>8</x:v>
      </x:c>
      <x:c r="G41" s="2" t="n">
        <x:f>IF(COUNTIF(E2_diario!$J$1640:$J$1681,"adulta")&gt;0,1,0)</x:f>
        <x:v>1</x:v>
      </x:c>
      <x:c r="H41" s="2" t="n">
        <x:f>COUNTIF(E2_diario!$J$1640:$J$1681,"N1")</x:f>
        <x:v>3</x:v>
      </x:c>
      <x:c r="I41" s="2" t="n">
        <x:f>COUNTIF(E2_diario!$J$1640:$J$1681,"N2")</x:f>
        <x:v>1</x:v>
      </x:c>
      <x:c r="J41" s="2" t="n">
        <x:f>COUNTIF(E2_diario!$J$1640:$J$1681,"N3")</x:f>
        <x:v>3</x:v>
      </x:c>
      <x:c r="K41" s="2" t="n">
        <x:f>COUNTIF(E2_diario!$J$1640:$J$1681,"N4")</x:f>
        <x:v>2</x:v>
      </x:c>
      <x:c r="L41" s="2" t="n">
        <x:f>IF(G41=1,SUM(H41:K41),"")</x:f>
        <x:v>9</x:v>
      </x:c>
      <x:c r="M41" s="2" t="n">
        <x:f>IF(G41=1,COUNTIF(E2_diario!$J$1640:$J$1681,"adulta"),"")</x:f>
        <x:v>20</x:v>
      </x:c>
      <x:c r="N41" s="2" t="n">
        <x:f>SUM(E2_diario!$K$1640:$K$1681)</x:f>
        <x:v>29</x:v>
      </x:c>
      <x:c r="O41" s="2" t="n">
        <x:f>IF(V41=0,"",COUNTIF(E2_diario!$M$1640:$M$1681,0))</x:f>
        <x:v>11</x:v>
      </x:c>
      <x:c r="P41" s="2" t="n">
        <x:f>IF(V41=0,"",COUNTIF(E2_diario!$M$1640:$M$1681,"&lt;"&amp;V41))</x:f>
        <x:v>27</x:v>
      </x:c>
      <x:c r="Q41" s="2" t="n">
        <x:f>IF(V41=0,"",O41)</x:f>
        <x:v>11</x:v>
      </x:c>
      <x:c r="R41" s="2" t="n">
        <x:f>IF(V41=0,"",O41-L41)</x:f>
        <x:v>2</x:v>
      </x:c>
      <x:c r="S41" s="2" t="n">
        <x:f>IF(V41=0,"",P41-O41+Supuestos!$C$15)</x:f>
        <x:v>17</x:v>
      </x:c>
      <x:c r="T41" s="2" t="n">
        <x:f>COUNTIF(E2_diario!$L$1640:$L$1681,"&gt;0")</x:f>
        <x:v>16</x:v>
      </x:c>
      <x:c r="U41" s="2" t="n">
        <x:f>IF(V41=0,"",N41-P41-Supuestos!$C$15)</x:f>
        <x:v>1</x:v>
      </x:c>
      <x:c r="V41" s="2" t="n">
        <x:f>SUM(E2_diario!$L$1640:$L$1681)</x:f>
        <x:v>48</x:v>
      </x:c>
      <x:c r="W41" s="2" t="n">
        <x:f>MAX(E2_diario!$P$1640:$P$1681)</x:f>
        <x:v>0</x:v>
      </x:c>
      <x:c r="X41" s="2" t="str">
        <x:v>simulado_didactico</x:v>
      </x:c>
    </x:row>
    <x:row r="42" ht="19" customHeight="1">
      <x:c r="A42" s="2" t="str">
        <x:v>SIM-E2-MP-L7-R07</x:v>
      </x:c>
      <x:c r="B42" s="2" t="n">
        <x:v>4</x:v>
      </x:c>
      <x:c r="C42" s="2" t="str">
        <x:v>MP</x:v>
      </x:c>
      <x:c r="D42" s="2" t="str">
        <x:v>Myzus persicae</x:v>
      </x:c>
      <x:c r="E42" s="2" t="str">
        <x:v>L7</x:v>
      </x:c>
      <x:c r="F42" s="2" t="n">
        <x:v>7</x:v>
      </x:c>
      <x:c r="G42" s="2" t="n">
        <x:f>IF(COUNTIF(E2_diario!$J$1682:$J$1723,"adulta")&gt;0,1,0)</x:f>
        <x:v>1</x:v>
      </x:c>
      <x:c r="H42" s="2" t="n">
        <x:f>COUNTIF(E2_diario!$J$1682:$J$1723,"N1")</x:f>
        <x:v>3</x:v>
      </x:c>
      <x:c r="I42" s="2" t="n">
        <x:f>COUNTIF(E2_diario!$J$1682:$J$1723,"N2")</x:f>
        <x:v>2</x:v>
      </x:c>
      <x:c r="J42" s="2" t="n">
        <x:f>COUNTIF(E2_diario!$J$1682:$J$1723,"N3")</x:f>
        <x:v>2</x:v>
      </x:c>
      <x:c r="K42" s="2" t="n">
        <x:f>COUNTIF(E2_diario!$J$1682:$J$1723,"N4")</x:f>
        <x:v>2</x:v>
      </x:c>
      <x:c r="L42" s="2" t="n">
        <x:f>IF(G42=1,SUM(H42:K42),"")</x:f>
        <x:v>9</x:v>
      </x:c>
      <x:c r="M42" s="2" t="n">
        <x:f>IF(G42=1,COUNTIF(E2_diario!$J$1682:$J$1723,"adulta"),"")</x:f>
        <x:v>19</x:v>
      </x:c>
      <x:c r="N42" s="2" t="n">
        <x:f>SUM(E2_diario!$K$1682:$K$1723)</x:f>
        <x:v>28</x:v>
      </x:c>
      <x:c r="O42" s="2" t="n">
        <x:f>IF(V42=0,"",COUNTIF(E2_diario!$M$1682:$M$1723,0))</x:f>
        <x:v>12</x:v>
      </x:c>
      <x:c r="P42" s="2" t="n">
        <x:f>IF(V42=0,"",COUNTIF(E2_diario!$M$1682:$M$1723,"&lt;"&amp;V42))</x:f>
        <x:v>26</x:v>
      </x:c>
      <x:c r="Q42" s="2" t="n">
        <x:f>IF(V42=0,"",O42)</x:f>
        <x:v>12</x:v>
      </x:c>
      <x:c r="R42" s="2" t="n">
        <x:f>IF(V42=0,"",O42-L42)</x:f>
        <x:v>3</x:v>
      </x:c>
      <x:c r="S42" s="2" t="n">
        <x:f>IF(V42=0,"",P42-O42+Supuestos!$C$15)</x:f>
        <x:v>15</x:v>
      </x:c>
      <x:c r="T42" s="2" t="n">
        <x:f>COUNTIF(E2_diario!$L$1682:$L$1723,"&gt;0")</x:f>
        <x:v>13</x:v>
      </x:c>
      <x:c r="U42" s="2" t="n">
        <x:f>IF(V42=0,"",N42-P42-Supuestos!$C$15)</x:f>
        <x:v>1</x:v>
      </x:c>
      <x:c r="V42" s="2" t="n">
        <x:f>SUM(E2_diario!$L$1682:$L$1723)</x:f>
        <x:v>33</x:v>
      </x:c>
      <x:c r="W42" s="2" t="n">
        <x:f>MAX(E2_diario!$P$1682:$P$1723)</x:f>
        <x:v>0</x:v>
      </x:c>
      <x:c r="X42" s="2" t="str">
        <x:v>simulado_didactico</x:v>
      </x:c>
    </x:row>
    <x:row r="43" ht="19" customHeight="1">
      <x:c r="A43" s="2" t="str">
        <x:v>SIM-E2-MP-L7-R08</x:v>
      </x:c>
      <x:c r="B43" s="2" t="n">
        <x:v>4</x:v>
      </x:c>
      <x:c r="C43" s="2" t="str">
        <x:v>MP</x:v>
      </x:c>
      <x:c r="D43" s="2" t="str">
        <x:v>Myzus persicae</x:v>
      </x:c>
      <x:c r="E43" s="2" t="str">
        <x:v>L7</x:v>
      </x:c>
      <x:c r="F43" s="2" t="n">
        <x:v>8</x:v>
      </x:c>
      <x:c r="G43" s="2" t="n">
        <x:f>IF(COUNTIF(E2_diario!$J$1724:$J$1765,"adulta")&gt;0,1,0)</x:f>
        <x:v>1</x:v>
      </x:c>
      <x:c r="H43" s="2" t="n">
        <x:f>COUNTIF(E2_diario!$J$1724:$J$1765,"N1")</x:f>
        <x:v>4</x:v>
      </x:c>
      <x:c r="I43" s="2" t="n">
        <x:f>COUNTIF(E2_diario!$J$1724:$J$1765,"N2")</x:f>
        <x:v>3</x:v>
      </x:c>
      <x:c r="J43" s="2" t="n">
        <x:f>COUNTIF(E2_diario!$J$1724:$J$1765,"N3")</x:f>
        <x:v>1</x:v>
      </x:c>
      <x:c r="K43" s="2" t="n">
        <x:f>COUNTIF(E2_diario!$J$1724:$J$1765,"N4")</x:f>
        <x:v>2</x:v>
      </x:c>
      <x:c r="L43" s="2" t="n">
        <x:f>IF(G43=1,SUM(H43:K43),"")</x:f>
        <x:v>10</x:v>
      </x:c>
      <x:c r="M43" s="2" t="n">
        <x:f>IF(G43=1,COUNTIF(E2_diario!$J$1724:$J$1765,"adulta"),"")</x:f>
        <x:v>20</x:v>
      </x:c>
      <x:c r="N43" s="2" t="n">
        <x:f>SUM(E2_diario!$K$1724:$K$1765)</x:f>
        <x:v>30</x:v>
      </x:c>
      <x:c r="O43" s="2" t="n">
        <x:f>IF(V43=0,"",COUNTIF(E2_diario!$M$1724:$M$1765,0))</x:f>
        <x:v>12</x:v>
      </x:c>
      <x:c r="P43" s="2" t="n">
        <x:f>IF(V43=0,"",COUNTIF(E2_diario!$M$1724:$M$1765,"&lt;"&amp;V43))</x:f>
        <x:v>26</x:v>
      </x:c>
      <x:c r="Q43" s="2" t="n">
        <x:f>IF(V43=0,"",O43)</x:f>
        <x:v>12</x:v>
      </x:c>
      <x:c r="R43" s="2" t="n">
        <x:f>IF(V43=0,"",O43-L43)</x:f>
        <x:v>2</x:v>
      </x:c>
      <x:c r="S43" s="2" t="n">
        <x:f>IF(V43=0,"",P43-O43+Supuestos!$C$15)</x:f>
        <x:v>15</x:v>
      </x:c>
      <x:c r="T43" s="2" t="n">
        <x:f>COUNTIF(E2_diario!$L$1724:$L$1765,"&gt;0")</x:f>
        <x:v>15</x:v>
      </x:c>
      <x:c r="U43" s="2" t="n">
        <x:f>IF(V43=0,"",N43-P43-Supuestos!$C$15)</x:f>
        <x:v>3</x:v>
      </x:c>
      <x:c r="V43" s="2" t="n">
        <x:f>SUM(E2_diario!$L$1724:$L$1765)</x:f>
        <x:v>46</x:v>
      </x:c>
      <x:c r="W43" s="2" t="n">
        <x:f>MAX(E2_diario!$P$1724:$P$1765)</x:f>
        <x:v>0</x:v>
      </x:c>
      <x:c r="X43" s="2" t="str">
        <x:v>simulado_didactico</x:v>
      </x:c>
    </x:row>
    <x:row r="44" ht="19" customHeight="1">
      <x:c r="A44" s="2" t="str">
        <x:v>SIM-E2-BB-L0-R07</x:v>
      </x:c>
      <x:c r="B44" s="2" t="n">
        <x:v>4</x:v>
      </x:c>
      <x:c r="C44" s="2" t="str">
        <x:v>BB</x:v>
      </x:c>
      <x:c r="D44" s="2" t="str">
        <x:v>Brevicoryne brassicae</x:v>
      </x:c>
      <x:c r="E44" s="2" t="str">
        <x:v>L0</x:v>
      </x:c>
      <x:c r="F44" s="2" t="n">
        <x:v>7</x:v>
      </x:c>
      <x:c r="G44" s="2" t="n">
        <x:f>IF(COUNTIF(E2_diario!$J$1766:$J$1807,"adulta")&gt;0,1,0)</x:f>
        <x:v>1</x:v>
      </x:c>
      <x:c r="H44" s="2" t="n">
        <x:f>COUNTIF(E2_diario!$J$1766:$J$1807,"N1")</x:f>
        <x:v>2</x:v>
      </x:c>
      <x:c r="I44" s="2" t="n">
        <x:f>COUNTIF(E2_diario!$J$1766:$J$1807,"N2")</x:f>
        <x:v>2</x:v>
      </x:c>
      <x:c r="J44" s="2" t="n">
        <x:f>COUNTIF(E2_diario!$J$1766:$J$1807,"N3")</x:f>
        <x:v>4</x:v>
      </x:c>
      <x:c r="K44" s="2" t="n">
        <x:f>COUNTIF(E2_diario!$J$1766:$J$1807,"N4")</x:f>
        <x:v>1</x:v>
      </x:c>
      <x:c r="L44" s="2" t="n">
        <x:f>IF(G44=1,SUM(H44:K44),"")</x:f>
        <x:v>9</x:v>
      </x:c>
      <x:c r="M44" s="2" t="n">
        <x:f>IF(G44=1,COUNTIF(E2_diario!$J$1766:$J$1807,"adulta"),"")</x:f>
        <x:v>27</x:v>
      </x:c>
      <x:c r="N44" s="2" t="n">
        <x:f>SUM(E2_diario!$K$1766:$K$1807)</x:f>
        <x:v>36</x:v>
      </x:c>
      <x:c r="O44" s="2" t="n">
        <x:f>IF(V44=0,"",COUNTIF(E2_diario!$M$1766:$M$1807,0))</x:f>
        <x:v>10</x:v>
      </x:c>
      <x:c r="P44" s="2" t="n">
        <x:f>IF(V44=0,"",COUNTIF(E2_diario!$M$1766:$M$1807,"&lt;"&amp;V44))</x:f>
        <x:v>32</x:v>
      </x:c>
      <x:c r="Q44" s="2" t="n">
        <x:f>IF(V44=0,"",O44)</x:f>
        <x:v>10</x:v>
      </x:c>
      <x:c r="R44" s="2" t="n">
        <x:f>IF(V44=0,"",O44-L44)</x:f>
        <x:v>1</x:v>
      </x:c>
      <x:c r="S44" s="2" t="n">
        <x:f>IF(V44=0,"",P44-O44+Supuestos!$C$15)</x:f>
        <x:v>23</x:v>
      </x:c>
      <x:c r="T44" s="2" t="n">
        <x:f>COUNTIF(E2_diario!$L$1766:$L$1807,"&gt;0")</x:f>
        <x:v>23</x:v>
      </x:c>
      <x:c r="U44" s="2" t="n">
        <x:f>IF(V44=0,"",N44-P44-Supuestos!$C$15)</x:f>
        <x:v>3</x:v>
      </x:c>
      <x:c r="V44" s="2" t="n">
        <x:f>SUM(E2_diario!$L$1766:$L$1807)</x:f>
        <x:v>66</x:v>
      </x:c>
      <x:c r="W44" s="2" t="n">
        <x:f>MAX(E2_diario!$P$1766:$P$1807)</x:f>
        <x:v>0</x:v>
      </x:c>
      <x:c r="X44" s="2" t="str">
        <x:v>simulado_didactico</x:v>
      </x:c>
    </x:row>
    <x:row r="45" ht="19" customHeight="1">
      <x:c r="A45" s="2" t="str">
        <x:v>SIM-E2-BB-L0-R08</x:v>
      </x:c>
      <x:c r="B45" s="2" t="n">
        <x:v>4</x:v>
      </x:c>
      <x:c r="C45" s="2" t="str">
        <x:v>BB</x:v>
      </x:c>
      <x:c r="D45" s="2" t="str">
        <x:v>Brevicoryne brassicae</x:v>
      </x:c>
      <x:c r="E45" s="2" t="str">
        <x:v>L0</x:v>
      </x:c>
      <x:c r="F45" s="2" t="n">
        <x:v>8</x:v>
      </x:c>
      <x:c r="G45" s="2" t="n">
        <x:f>IF(COUNTIF(E2_diario!$J$1808:$J$1849,"adulta")&gt;0,1,0)</x:f>
        <x:v>0</x:v>
      </x:c>
      <x:c r="H45" s="2" t="n">
        <x:f>COUNTIF(E2_diario!$J$1808:$J$1849,"N1")</x:f>
        <x:v>1</x:v>
      </x:c>
      <x:c r="I45" s="2" t="n">
        <x:f>COUNTIF(E2_diario!$J$1808:$J$1849,"N2")</x:f>
        <x:v>2</x:v>
      </x:c>
      <x:c r="J45" s="2" t="n">
        <x:f>COUNTIF(E2_diario!$J$1808:$J$1849,"N3")</x:f>
        <x:v>2</x:v>
      </x:c>
      <x:c r="K45" s="2" t="n">
        <x:f>COUNTIF(E2_diario!$J$1808:$J$1849,"N4")</x:f>
        <x:v>0</x:v>
      </x:c>
      <x:c r="L45" s="2" t="str">
        <x:f>IF(G45=1,SUM(H45:K45),"")</x:f>
      </x:c>
      <x:c r="M45" s="2" t="str">
        <x:f>IF(G45=1,COUNTIF(E2_diario!$J$1808:$J$1849,"adulta"),"")</x:f>
      </x:c>
      <x:c r="N45" s="2" t="n">
        <x:f>SUM(E2_diario!$K$1808:$K$1849)</x:f>
        <x:v>5</x:v>
      </x:c>
      <x:c r="O45" s="2" t="str">
        <x:f>IF(V45=0,"",COUNTIF(E2_diario!$M$1808:$M$1849,0))</x:f>
      </x:c>
      <x:c r="P45" s="2" t="str">
        <x:f>IF(V45=0,"",COUNTIF(E2_diario!$M$1808:$M$1849,"&lt;"&amp;V45))</x:f>
      </x:c>
      <x:c r="Q45" s="2" t="str">
        <x:f>IF(V45=0,"",O45)</x:f>
      </x:c>
      <x:c r="R45" s="2" t="str">
        <x:f>IF(V45=0,"",O45-L45)</x:f>
      </x:c>
      <x:c r="S45" s="2" t="str">
        <x:f>IF(V45=0,"",P45-O45+Supuestos!$C$15)</x:f>
      </x:c>
      <x:c r="T45" s="2" t="n">
        <x:f>COUNTIF(E2_diario!$L$1808:$L$1849,"&gt;0")</x:f>
        <x:v>0</x:v>
      </x:c>
      <x:c r="U45" s="2" t="str">
        <x:f>IF(V45=0,"",N45-P45-Supuestos!$C$15)</x:f>
      </x:c>
      <x:c r="V45" s="2" t="n">
        <x:f>SUM(E2_diario!$L$1808:$L$1849)</x:f>
        <x:v>0</x:v>
      </x:c>
      <x:c r="W45" s="2" t="n">
        <x:f>MAX(E2_diario!$P$1808:$P$1849)</x:f>
        <x:v>0</x:v>
      </x:c>
      <x:c r="X45" s="2" t="str">
        <x:v>simulado_didactico</x:v>
      </x:c>
    </x:row>
    <x:row r="46" ht="19" customHeight="1">
      <x:c r="A46" s="2" t="str">
        <x:v>SIM-E2-BB-L8-R07</x:v>
      </x:c>
      <x:c r="B46" s="2" t="n">
        <x:v>4</x:v>
      </x:c>
      <x:c r="C46" s="2" t="str">
        <x:v>BB</x:v>
      </x:c>
      <x:c r="D46" s="2" t="str">
        <x:v>Brevicoryne brassicae</x:v>
      </x:c>
      <x:c r="E46" s="2" t="str">
        <x:v>L8</x:v>
      </x:c>
      <x:c r="F46" s="2" t="n">
        <x:v>7</x:v>
      </x:c>
      <x:c r="G46" s="2" t="n">
        <x:f>IF(COUNTIF(E2_diario!$J$1850:$J$1891,"adulta")&gt;0,1,0)</x:f>
        <x:v>1</x:v>
      </x:c>
      <x:c r="H46" s="2" t="n">
        <x:f>COUNTIF(E2_diario!$J$1850:$J$1891,"N1")</x:f>
        <x:v>2</x:v>
      </x:c>
      <x:c r="I46" s="2" t="n">
        <x:f>COUNTIF(E2_diario!$J$1850:$J$1891,"N2")</x:f>
        <x:v>3</x:v>
      </x:c>
      <x:c r="J46" s="2" t="n">
        <x:f>COUNTIF(E2_diario!$J$1850:$J$1891,"N3")</x:f>
        <x:v>2</x:v>
      </x:c>
      <x:c r="K46" s="2" t="n">
        <x:f>COUNTIF(E2_diario!$J$1850:$J$1891,"N4")</x:f>
        <x:v>1</x:v>
      </x:c>
      <x:c r="L46" s="2" t="n">
        <x:f>IF(G46=1,SUM(H46:K46),"")</x:f>
        <x:v>8</x:v>
      </x:c>
      <x:c r="M46" s="2" t="n">
        <x:f>IF(G46=1,COUNTIF(E2_diario!$J$1850:$J$1891,"adulta"),"")</x:f>
        <x:v>17</x:v>
      </x:c>
      <x:c r="N46" s="2" t="n">
        <x:f>SUM(E2_diario!$K$1850:$K$1891)</x:f>
        <x:v>25</x:v>
      </x:c>
      <x:c r="O46" s="2" t="n">
        <x:f>IF(V46=0,"",COUNTIF(E2_diario!$M$1850:$M$1891,0))</x:f>
        <x:v>9</x:v>
      </x:c>
      <x:c r="P46" s="2" t="n">
        <x:f>IF(V46=0,"",COUNTIF(E2_diario!$M$1850:$M$1891,"&lt;"&amp;V46))</x:f>
        <x:v>19</x:v>
      </x:c>
      <x:c r="Q46" s="2" t="n">
        <x:f>IF(V46=0,"",O46)</x:f>
        <x:v>9</x:v>
      </x:c>
      <x:c r="R46" s="2" t="n">
        <x:f>IF(V46=0,"",O46-L46)</x:f>
        <x:v>1</x:v>
      </x:c>
      <x:c r="S46" s="2" t="n">
        <x:f>IF(V46=0,"",P46-O46+Supuestos!$C$15)</x:f>
        <x:v>11</x:v>
      </x:c>
      <x:c r="T46" s="2" t="n">
        <x:f>COUNTIF(E2_diario!$L$1850:$L$1891,"&gt;0")</x:f>
        <x:v>11</x:v>
      </x:c>
      <x:c r="U46" s="2" t="n">
        <x:f>IF(V46=0,"",N46-P46-Supuestos!$C$15)</x:f>
        <x:v>5</x:v>
      </x:c>
      <x:c r="V46" s="2" t="n">
        <x:f>SUM(E2_diario!$L$1850:$L$1891)</x:f>
        <x:v>17</x:v>
      </x:c>
      <x:c r="W46" s="2" t="n">
        <x:f>MAX(E2_diario!$P$1850:$P$1891)</x:f>
        <x:v>0</x:v>
      </x:c>
      <x:c r="X46" s="2" t="str">
        <x:v>simulado_didactico</x:v>
      </x:c>
    </x:row>
    <x:row r="47" ht="19" customHeight="1">
      <x:c r="A47" s="2" t="str">
        <x:v>SIM-E2-BB-L8-R08</x:v>
      </x:c>
      <x:c r="B47" s="2" t="n">
        <x:v>4</x:v>
      </x:c>
      <x:c r="C47" s="2" t="str">
        <x:v>BB</x:v>
      </x:c>
      <x:c r="D47" s="2" t="str">
        <x:v>Brevicoryne brassicae</x:v>
      </x:c>
      <x:c r="E47" s="2" t="str">
        <x:v>L8</x:v>
      </x:c>
      <x:c r="F47" s="2" t="n">
        <x:v>8</x:v>
      </x:c>
      <x:c r="G47" s="2" t="n">
        <x:f>IF(COUNTIF(E2_diario!$J$1892:$J$1933,"adulta")&gt;0,1,0)</x:f>
        <x:v>1</x:v>
      </x:c>
      <x:c r="H47" s="2" t="n">
        <x:f>COUNTIF(E2_diario!$J$1892:$J$1933,"N1")</x:f>
        <x:v>1</x:v>
      </x:c>
      <x:c r="I47" s="2" t="n">
        <x:f>COUNTIF(E2_diario!$J$1892:$J$1933,"N2")</x:f>
        <x:v>2</x:v>
      </x:c>
      <x:c r="J47" s="2" t="n">
        <x:f>COUNTIF(E2_diario!$J$1892:$J$1933,"N3")</x:f>
        <x:v>2</x:v>
      </x:c>
      <x:c r="K47" s="2" t="n">
        <x:f>COUNTIF(E2_diario!$J$1892:$J$1933,"N4")</x:f>
        <x:v>4</x:v>
      </x:c>
      <x:c r="L47" s="2" t="n">
        <x:f>IF(G47=1,SUM(H47:K47),"")</x:f>
        <x:v>9</x:v>
      </x:c>
      <x:c r="M47" s="2" t="n">
        <x:f>IF(G47=1,COUNTIF(E2_diario!$J$1892:$J$1933,"adulta"),"")</x:f>
        <x:v>18</x:v>
      </x:c>
      <x:c r="N47" s="2" t="n">
        <x:f>SUM(E2_diario!$K$1892:$K$1933)</x:f>
        <x:v>27</x:v>
      </x:c>
      <x:c r="O47" s="2" t="n">
        <x:f>IF(V47=0,"",COUNTIF(E2_diario!$M$1892:$M$1933,0))</x:f>
        <x:v>12</x:v>
      </x:c>
      <x:c r="P47" s="2" t="n">
        <x:f>IF(V47=0,"",COUNTIF(E2_diario!$M$1892:$M$1933,"&lt;"&amp;V47))</x:f>
        <x:v>25</x:v>
      </x:c>
      <x:c r="Q47" s="2" t="n">
        <x:f>IF(V47=0,"",O47)</x:f>
        <x:v>12</x:v>
      </x:c>
      <x:c r="R47" s="2" t="n">
        <x:f>IF(V47=0,"",O47-L47)</x:f>
        <x:v>3</x:v>
      </x:c>
      <x:c r="S47" s="2" t="n">
        <x:f>IF(V47=0,"",P47-O47+Supuestos!$C$15)</x:f>
        <x:v>14</x:v>
      </x:c>
      <x:c r="T47" s="2" t="n">
        <x:f>COUNTIF(E2_diario!$L$1892:$L$1933,"&gt;0")</x:f>
        <x:v>13</x:v>
      </x:c>
      <x:c r="U47" s="2" t="n">
        <x:f>IF(V47=0,"",N47-P47-Supuestos!$C$15)</x:f>
        <x:v>1</x:v>
      </x:c>
      <x:c r="V47" s="2" t="n">
        <x:f>SUM(E2_diario!$L$1892:$L$1933)</x:f>
        <x:v>39</x:v>
      </x:c>
      <x:c r="W47" s="2" t="n">
        <x:f>MAX(E2_diario!$P$1892:$P$1933)</x:f>
        <x:v>0</x:v>
      </x:c>
      <x:c r="X47" s="2" t="str">
        <x:v>simulado_didactico</x:v>
      </x:c>
    </x:row>
    <x:row r="48" ht="19" customHeight="1">
      <x:c r="A48" s="2" t="str">
        <x:v>SIM-E2-BB-L7-R07</x:v>
      </x:c>
      <x:c r="B48" s="2" t="n">
        <x:v>4</x:v>
      </x:c>
      <x:c r="C48" s="2" t="str">
        <x:v>BB</x:v>
      </x:c>
      <x:c r="D48" s="2" t="str">
        <x:v>Brevicoryne brassicae</x:v>
      </x:c>
      <x:c r="E48" s="2" t="str">
        <x:v>L7</x:v>
      </x:c>
      <x:c r="F48" s="2" t="n">
        <x:v>7</x:v>
      </x:c>
      <x:c r="G48" s="2" t="n">
        <x:f>IF(COUNTIF(E2_diario!$J$1934:$J$1975,"adulta")&gt;0,1,0)</x:f>
        <x:v>1</x:v>
      </x:c>
      <x:c r="H48" s="2" t="n">
        <x:f>COUNTIF(E2_diario!$J$1934:$J$1975,"N1")</x:f>
        <x:v>1</x:v>
      </x:c>
      <x:c r="I48" s="2" t="n">
        <x:f>COUNTIF(E2_diario!$J$1934:$J$1975,"N2")</x:f>
        <x:v>4</x:v>
      </x:c>
      <x:c r="J48" s="2" t="n">
        <x:f>COUNTIF(E2_diario!$J$1934:$J$1975,"N3")</x:f>
        <x:v>3</x:v>
      </x:c>
      <x:c r="K48" s="2" t="n">
        <x:f>COUNTIF(E2_diario!$J$1934:$J$1975,"N4")</x:f>
        <x:v>1</x:v>
      </x:c>
      <x:c r="L48" s="2" t="n">
        <x:f>IF(G48=1,SUM(H48:K48),"")</x:f>
        <x:v>9</x:v>
      </x:c>
      <x:c r="M48" s="2" t="n">
        <x:f>IF(G48=1,COUNTIF(E2_diario!$J$1934:$J$1975,"adulta"),"")</x:f>
        <x:v>25</x:v>
      </x:c>
      <x:c r="N48" s="2" t="n">
        <x:f>SUM(E2_diario!$K$1934:$K$1975)</x:f>
        <x:v>34</x:v>
      </x:c>
      <x:c r="O48" s="2" t="n">
        <x:f>IF(V48=0,"",COUNTIF(E2_diario!$M$1934:$M$1975,0))</x:f>
        <x:v>11</x:v>
      </x:c>
      <x:c r="P48" s="2" t="n">
        <x:f>IF(V48=0,"",COUNTIF(E2_diario!$M$1934:$M$1975,"&lt;"&amp;V48))</x:f>
        <x:v>31</x:v>
      </x:c>
      <x:c r="Q48" s="2" t="n">
        <x:f>IF(V48=0,"",O48)</x:f>
        <x:v>11</x:v>
      </x:c>
      <x:c r="R48" s="2" t="n">
        <x:f>IF(V48=0,"",O48-L48)</x:f>
        <x:v>2</x:v>
      </x:c>
      <x:c r="S48" s="2" t="n">
        <x:f>IF(V48=0,"",P48-O48+Supuestos!$C$15)</x:f>
        <x:v>21</x:v>
      </x:c>
      <x:c r="T48" s="2" t="n">
        <x:f>COUNTIF(E2_diario!$L$1934:$L$1975,"&gt;0")</x:f>
        <x:v>18</x:v>
      </x:c>
      <x:c r="U48" s="2" t="n">
        <x:f>IF(V48=0,"",N48-P48-Supuestos!$C$15)</x:f>
        <x:v>2</x:v>
      </x:c>
      <x:c r="V48" s="2" t="n">
        <x:f>SUM(E2_diario!$L$1934:$L$1975)</x:f>
        <x:v>57</x:v>
      </x:c>
      <x:c r="W48" s="2" t="n">
        <x:f>MAX(E2_diario!$P$1934:$P$1975)</x:f>
        <x:v>0</x:v>
      </x:c>
      <x:c r="X48" s="2" t="str">
        <x:v>simulado_didactico</x:v>
      </x:c>
    </x:row>
    <x:row r="49" ht="19" customHeight="1">
      <x:c r="A49" s="2" t="str">
        <x:v>SIM-E2-BB-L7-R08</x:v>
      </x:c>
      <x:c r="B49" s="2" t="n">
        <x:v>4</x:v>
      </x:c>
      <x:c r="C49" s="2" t="str">
        <x:v>BB</x:v>
      </x:c>
      <x:c r="D49" s="2" t="str">
        <x:v>Brevicoryne brassicae</x:v>
      </x:c>
      <x:c r="E49" s="2" t="str">
        <x:v>L7</x:v>
      </x:c>
      <x:c r="F49" s="2" t="n">
        <x:v>8</x:v>
      </x:c>
      <x:c r="G49" s="2" t="n">
        <x:f>IF(COUNTIF(E2_diario!$J$1976:$J$2017,"adulta")&gt;0,1,0)</x:f>
        <x:v>1</x:v>
      </x:c>
      <x:c r="H49" s="2" t="n">
        <x:f>COUNTIF(E2_diario!$J$1976:$J$2017,"N1")</x:f>
        <x:v>3</x:v>
      </x:c>
      <x:c r="I49" s="2" t="n">
        <x:f>COUNTIF(E2_diario!$J$1976:$J$2017,"N2")</x:f>
        <x:v>1</x:v>
      </x:c>
      <x:c r="J49" s="2" t="n">
        <x:f>COUNTIF(E2_diario!$J$1976:$J$2017,"N3")</x:f>
        <x:v>2</x:v>
      </x:c>
      <x:c r="K49" s="2" t="n">
        <x:f>COUNTIF(E2_diario!$J$1976:$J$2017,"N4")</x:f>
        <x:v>3</x:v>
      </x:c>
      <x:c r="L49" s="2" t="n">
        <x:f>IF(G49=1,SUM(H49:K49),"")</x:f>
        <x:v>9</x:v>
      </x:c>
      <x:c r="M49" s="2" t="n">
        <x:f>IF(G49=1,COUNTIF(E2_diario!$J$1976:$J$2017,"adulta"),"")</x:f>
        <x:v>19</x:v>
      </x:c>
      <x:c r="N49" s="2" t="n">
        <x:f>SUM(E2_diario!$K$1976:$K$2017)</x:f>
        <x:v>28</x:v>
      </x:c>
      <x:c r="O49" s="2" t="n">
        <x:f>IF(V49=0,"",COUNTIF(E2_diario!$M$1976:$M$2017,0))</x:f>
        <x:v>10</x:v>
      </x:c>
      <x:c r="P49" s="2" t="n">
        <x:f>IF(V49=0,"",COUNTIF(E2_diario!$M$1976:$M$2017,"&lt;"&amp;V49))</x:f>
        <x:v>22</x:v>
      </x:c>
      <x:c r="Q49" s="2" t="n">
        <x:f>IF(V49=0,"",O49)</x:f>
        <x:v>10</x:v>
      </x:c>
      <x:c r="R49" s="2" t="n">
        <x:f>IF(V49=0,"",O49-L49)</x:f>
        <x:v>1</x:v>
      </x:c>
      <x:c r="S49" s="2" t="n">
        <x:f>IF(V49=0,"",P49-O49+Supuestos!$C$15)</x:f>
        <x:v>13</x:v>
      </x:c>
      <x:c r="T49" s="2" t="n">
        <x:f>COUNTIF(E2_diario!$L$1976:$L$2017,"&gt;0")</x:f>
        <x:v>13</x:v>
      </x:c>
      <x:c r="U49" s="2" t="n">
        <x:f>IF(V49=0,"",N49-P49-Supuestos!$C$15)</x:f>
        <x:v>5</x:v>
      </x:c>
      <x:c r="V49" s="2" t="n">
        <x:f>SUM(E2_diario!$L$1976:$L$2017)</x:f>
        <x:v>39</x:v>
      </x:c>
      <x:c r="W49" s="2" t="n">
        <x:f>MAX(E2_diario!$P$1976:$P$2017)</x:f>
        <x:v>0</x:v>
      </x:c>
      <x:c r="X49" s="2" t="str">
        <x:v>simulado_didactico</x:v>
      </x:c>
    </x:row>
    <x:row r="50" ht="19" customHeight="1">
      <x:c r="A50" s="2" t="str">
        <x:v>SIM-E2-MP-L0-R09</x:v>
      </x:c>
      <x:c r="B50" s="2" t="n">
        <x:v>5</x:v>
      </x:c>
      <x:c r="C50" s="2" t="str">
        <x:v>MP</x:v>
      </x:c>
      <x:c r="D50" s="2" t="str">
        <x:v>Myzus persicae</x:v>
      </x:c>
      <x:c r="E50" s="2" t="str">
        <x:v>L0</x:v>
      </x:c>
      <x:c r="F50" s="2" t="n">
        <x:v>9</x:v>
      </x:c>
      <x:c r="G50" s="2" t="n">
        <x:f>IF(COUNTIF(E2_diario!$J$2018:$J$2059,"adulta")&gt;0,1,0)</x:f>
        <x:v>1</x:v>
      </x:c>
      <x:c r="H50" s="2" t="n">
        <x:f>COUNTIF(E2_diario!$J$2018:$J$2059,"N1")</x:f>
        <x:v>2</x:v>
      </x:c>
      <x:c r="I50" s="2" t="n">
        <x:f>COUNTIF(E2_diario!$J$2018:$J$2059,"N2")</x:f>
        <x:v>4</x:v>
      </x:c>
      <x:c r="J50" s="2" t="n">
        <x:f>COUNTIF(E2_diario!$J$2018:$J$2059,"N3")</x:f>
        <x:v>2</x:v>
      </x:c>
      <x:c r="K50" s="2" t="n">
        <x:f>COUNTIF(E2_diario!$J$2018:$J$2059,"N4")</x:f>
        <x:v>1</x:v>
      </x:c>
      <x:c r="L50" s="2" t="n">
        <x:f>IF(G50=1,SUM(H50:K50),"")</x:f>
        <x:v>9</x:v>
      </x:c>
      <x:c r="M50" s="2" t="n">
        <x:f>IF(G50=1,COUNTIF(E2_diario!$J$2018:$J$2059,"adulta"),"")</x:f>
        <x:v>26</x:v>
      </x:c>
      <x:c r="N50" s="2" t="n">
        <x:f>SUM(E2_diario!$K$2018:$K$2059)</x:f>
        <x:v>35</x:v>
      </x:c>
      <x:c r="O50" s="2" t="n">
        <x:f>IF(V50=0,"",COUNTIF(E2_diario!$M$2018:$M$2059,0))</x:f>
        <x:v>10</x:v>
      </x:c>
      <x:c r="P50" s="2" t="n">
        <x:f>IF(V50=0,"",COUNTIF(E2_diario!$M$2018:$M$2059,"&lt;"&amp;V50))</x:f>
        <x:v>27</x:v>
      </x:c>
      <x:c r="Q50" s="2" t="n">
        <x:f>IF(V50=0,"",O50)</x:f>
        <x:v>10</x:v>
      </x:c>
      <x:c r="R50" s="2" t="n">
        <x:f>IF(V50=0,"",O50-L50)</x:f>
        <x:v>1</x:v>
      </x:c>
      <x:c r="S50" s="2" t="n">
        <x:f>IF(V50=0,"",P50-O50+Supuestos!$C$15)</x:f>
        <x:v>18</x:v>
      </x:c>
      <x:c r="T50" s="2" t="n">
        <x:f>COUNTIF(E2_diario!$L$2018:$L$2059,"&gt;0")</x:f>
        <x:v>17</x:v>
      </x:c>
      <x:c r="U50" s="2" t="n">
        <x:f>IF(V50=0,"",N50-P50-Supuestos!$C$15)</x:f>
        <x:v>7</x:v>
      </x:c>
      <x:c r="V50" s="2" t="n">
        <x:f>SUM(E2_diario!$L$2018:$L$2059)</x:f>
        <x:v>37</x:v>
      </x:c>
      <x:c r="W50" s="2" t="n">
        <x:f>MAX(E2_diario!$P$2018:$P$2059)</x:f>
        <x:v>0</x:v>
      </x:c>
      <x:c r="X50" s="2" t="str">
        <x:v>simulado_didactico</x:v>
      </x:c>
    </x:row>
    <x:row r="51" ht="19" customHeight="1">
      <x:c r="A51" s="2" t="str">
        <x:v>SIM-E2-MP-L0-R10</x:v>
      </x:c>
      <x:c r="B51" s="2" t="n">
        <x:v>5</x:v>
      </x:c>
      <x:c r="C51" s="2" t="str">
        <x:v>MP</x:v>
      </x:c>
      <x:c r="D51" s="2" t="str">
        <x:v>Myzus persicae</x:v>
      </x:c>
      <x:c r="E51" s="2" t="str">
        <x:v>L0</x:v>
      </x:c>
      <x:c r="F51" s="2" t="n">
        <x:v>10</x:v>
      </x:c>
      <x:c r="G51" s="2" t="n">
        <x:f>IF(COUNTIF(E2_diario!$J$2060:$J$2101,"adulta")&gt;0,1,0)</x:f>
        <x:v>1</x:v>
      </x:c>
      <x:c r="H51" s="2" t="n">
        <x:f>COUNTIF(E2_diario!$J$2060:$J$2101,"N1")</x:f>
        <x:v>4</x:v>
      </x:c>
      <x:c r="I51" s="2" t="n">
        <x:f>COUNTIF(E2_diario!$J$2060:$J$2101,"N2")</x:f>
        <x:v>2</x:v>
      </x:c>
      <x:c r="J51" s="2" t="n">
        <x:f>COUNTIF(E2_diario!$J$2060:$J$2101,"N3")</x:f>
        <x:v>1</x:v>
      </x:c>
      <x:c r="K51" s="2" t="n">
        <x:f>COUNTIF(E2_diario!$J$2060:$J$2101,"N4")</x:f>
        <x:v>2</x:v>
      </x:c>
      <x:c r="L51" s="2" t="n">
        <x:f>IF(G51=1,SUM(H51:K51),"")</x:f>
        <x:v>9</x:v>
      </x:c>
      <x:c r="M51" s="2" t="n">
        <x:f>IF(G51=1,COUNTIF(E2_diario!$J$2060:$J$2101,"adulta"),"")</x:f>
        <x:v>23</x:v>
      </x:c>
      <x:c r="N51" s="2" t="n">
        <x:f>SUM(E2_diario!$K$2060:$K$2101)</x:f>
        <x:v>32</x:v>
      </x:c>
      <x:c r="O51" s="2" t="n">
        <x:f>IF(V51=0,"",COUNTIF(E2_diario!$M$2060:$M$2101,0))</x:f>
        <x:v>11</x:v>
      </x:c>
      <x:c r="P51" s="2" t="n">
        <x:f>IF(V51=0,"",COUNTIF(E2_diario!$M$2060:$M$2101,"&lt;"&amp;V51))</x:f>
        <x:v>28</x:v>
      </x:c>
      <x:c r="Q51" s="2" t="n">
        <x:f>IF(V51=0,"",O51)</x:f>
        <x:v>11</x:v>
      </x:c>
      <x:c r="R51" s="2" t="n">
        <x:f>IF(V51=0,"",O51-L51)</x:f>
        <x:v>2</x:v>
      </x:c>
      <x:c r="S51" s="2" t="n">
        <x:f>IF(V51=0,"",P51-O51+Supuestos!$C$15)</x:f>
        <x:v>18</x:v>
      </x:c>
      <x:c r="T51" s="2" t="n">
        <x:f>COUNTIF(E2_diario!$L$2060:$L$2101,"&gt;0")</x:f>
        <x:v>17</x:v>
      </x:c>
      <x:c r="U51" s="2" t="n">
        <x:f>IF(V51=0,"",N51-P51-Supuestos!$C$15)</x:f>
        <x:v>3</x:v>
      </x:c>
      <x:c r="V51" s="2" t="n">
        <x:f>SUM(E2_diario!$L$2060:$L$2101)</x:f>
        <x:v>64</x:v>
      </x:c>
      <x:c r="W51" s="2" t="n">
        <x:f>MAX(E2_diario!$P$2060:$P$2101)</x:f>
        <x:v>0</x:v>
      </x:c>
      <x:c r="X51" s="2" t="str">
        <x:v>simulado_didactico</x:v>
      </x:c>
    </x:row>
    <x:row r="52" ht="19" customHeight="1">
      <x:c r="A52" s="2" t="str">
        <x:v>SIM-E2-MP-L8-R09</x:v>
      </x:c>
      <x:c r="B52" s="2" t="n">
        <x:v>5</x:v>
      </x:c>
      <x:c r="C52" s="2" t="str">
        <x:v>MP</x:v>
      </x:c>
      <x:c r="D52" s="2" t="str">
        <x:v>Myzus persicae</x:v>
      </x:c>
      <x:c r="E52" s="2" t="str">
        <x:v>L8</x:v>
      </x:c>
      <x:c r="F52" s="2" t="n">
        <x:v>9</x:v>
      </x:c>
      <x:c r="G52" s="2" t="n">
        <x:f>IF(COUNTIF(E2_diario!$J$2102:$J$2143,"adulta")&gt;0,1,0)</x:f>
        <x:v>1</x:v>
      </x:c>
      <x:c r="H52" s="2" t="n">
        <x:f>COUNTIF(E2_diario!$J$2102:$J$2143,"N1")</x:f>
        <x:v>1</x:v>
      </x:c>
      <x:c r="I52" s="2" t="n">
        <x:f>COUNTIF(E2_diario!$J$2102:$J$2143,"N2")</x:f>
        <x:v>1</x:v>
      </x:c>
      <x:c r="J52" s="2" t="n">
        <x:f>COUNTIF(E2_diario!$J$2102:$J$2143,"N3")</x:f>
        <x:v>2</x:v>
      </x:c>
      <x:c r="K52" s="2" t="n">
        <x:f>COUNTIF(E2_diario!$J$2102:$J$2143,"N4")</x:f>
        <x:v>2</x:v>
      </x:c>
      <x:c r="L52" s="2" t="n">
        <x:f>IF(G52=1,SUM(H52:K52),"")</x:f>
        <x:v>6</x:v>
      </x:c>
      <x:c r="M52" s="2" t="n">
        <x:f>IF(G52=1,COUNTIF(E2_diario!$J$2102:$J$2143,"adulta"),"")</x:f>
        <x:v>16</x:v>
      </x:c>
      <x:c r="N52" s="2" t="n">
        <x:f>SUM(E2_diario!$K$2102:$K$2143)</x:f>
        <x:v>22</x:v>
      </x:c>
      <x:c r="O52" s="2" t="n">
        <x:f>IF(V52=0,"",COUNTIF(E2_diario!$M$2102:$M$2143,0))</x:f>
        <x:v>8</x:v>
      </x:c>
      <x:c r="P52" s="2" t="n">
        <x:f>IF(V52=0,"",COUNTIF(E2_diario!$M$2102:$M$2143,"&lt;"&amp;V52))</x:f>
        <x:v>19</x:v>
      </x:c>
      <x:c r="Q52" s="2" t="n">
        <x:f>IF(V52=0,"",O52)</x:f>
        <x:v>8</x:v>
      </x:c>
      <x:c r="R52" s="2" t="n">
        <x:f>IF(V52=0,"",O52-L52)</x:f>
        <x:v>2</x:v>
      </x:c>
      <x:c r="S52" s="2" t="n">
        <x:f>IF(V52=0,"",P52-O52+Supuestos!$C$15)</x:f>
        <x:v>12</x:v>
      </x:c>
      <x:c r="T52" s="2" t="n">
        <x:f>COUNTIF(E2_diario!$L$2102:$L$2143,"&gt;0")</x:f>
        <x:v>12</x:v>
      </x:c>
      <x:c r="U52" s="2" t="n">
        <x:f>IF(V52=0,"",N52-P52-Supuestos!$C$15)</x:f>
        <x:v>2</x:v>
      </x:c>
      <x:c r="V52" s="2" t="n">
        <x:f>SUM(E2_diario!$L$2102:$L$2143)</x:f>
        <x:v>32</x:v>
      </x:c>
      <x:c r="W52" s="2" t="n">
        <x:f>MAX(E2_diario!$P$2102:$P$2143)</x:f>
        <x:v>0</x:v>
      </x:c>
      <x:c r="X52" s="2" t="str">
        <x:v>simulado_didactico</x:v>
      </x:c>
    </x:row>
    <x:row r="53" ht="19" customHeight="1">
      <x:c r="A53" s="2" t="str">
        <x:v>SIM-E2-MP-L8-R10</x:v>
      </x:c>
      <x:c r="B53" s="2" t="n">
        <x:v>5</x:v>
      </x:c>
      <x:c r="C53" s="2" t="str">
        <x:v>MP</x:v>
      </x:c>
      <x:c r="D53" s="2" t="str">
        <x:v>Myzus persicae</x:v>
      </x:c>
      <x:c r="E53" s="2" t="str">
        <x:v>L8</x:v>
      </x:c>
      <x:c r="F53" s="2" t="n">
        <x:v>10</x:v>
      </x:c>
      <x:c r="G53" s="2" t="n">
        <x:f>IF(COUNTIF(E2_diario!$J$2144:$J$2185,"adulta")&gt;0,1,0)</x:f>
        <x:v>1</x:v>
      </x:c>
      <x:c r="H53" s="2" t="n">
        <x:f>COUNTIF(E2_diario!$J$2144:$J$2185,"N1")</x:f>
        <x:v>2</x:v>
      </x:c>
      <x:c r="I53" s="2" t="n">
        <x:f>COUNTIF(E2_diario!$J$2144:$J$2185,"N2")</x:f>
        <x:v>2</x:v>
      </x:c>
      <x:c r="J53" s="2" t="n">
        <x:f>COUNTIF(E2_diario!$J$2144:$J$2185,"N3")</x:f>
        <x:v>3</x:v>
      </x:c>
      <x:c r="K53" s="2" t="n">
        <x:f>COUNTIF(E2_diario!$J$2144:$J$2185,"N4")</x:f>
        <x:v>3</x:v>
      </x:c>
      <x:c r="L53" s="2" t="n">
        <x:f>IF(G53=1,SUM(H53:K53),"")</x:f>
        <x:v>10</x:v>
      </x:c>
      <x:c r="M53" s="2" t="n">
        <x:f>IF(G53=1,COUNTIF(E2_diario!$J$2144:$J$2185,"adulta"),"")</x:f>
        <x:v>23</x:v>
      </x:c>
      <x:c r="N53" s="2" t="n">
        <x:f>SUM(E2_diario!$K$2144:$K$2185)</x:f>
        <x:v>33</x:v>
      </x:c>
      <x:c r="O53" s="2" t="n">
        <x:f>IF(V53=0,"",COUNTIF(E2_diario!$M$2144:$M$2185,0))</x:f>
        <x:v>12</x:v>
      </x:c>
      <x:c r="P53" s="2" t="n">
        <x:f>IF(V53=0,"",COUNTIF(E2_diario!$M$2144:$M$2185,"&lt;"&amp;V53))</x:f>
        <x:v>29</x:v>
      </x:c>
      <x:c r="Q53" s="2" t="n">
        <x:f>IF(V53=0,"",O53)</x:f>
        <x:v>12</x:v>
      </x:c>
      <x:c r="R53" s="2" t="n">
        <x:f>IF(V53=0,"",O53-L53)</x:f>
        <x:v>2</x:v>
      </x:c>
      <x:c r="S53" s="2" t="n">
        <x:f>IF(V53=0,"",P53-O53+Supuestos!$C$15)</x:f>
        <x:v>18</x:v>
      </x:c>
      <x:c r="T53" s="2" t="n">
        <x:f>COUNTIF(E2_diario!$L$2144:$L$2185,"&gt;0")</x:f>
        <x:v>15</x:v>
      </x:c>
      <x:c r="U53" s="2" t="n">
        <x:f>IF(V53=0,"",N53-P53-Supuestos!$C$15)</x:f>
        <x:v>3</x:v>
      </x:c>
      <x:c r="V53" s="2" t="n">
        <x:f>SUM(E2_diario!$L$2144:$L$2185)</x:f>
        <x:v>41</x:v>
      </x:c>
      <x:c r="W53" s="2" t="n">
        <x:f>MAX(E2_diario!$P$2144:$P$2185)</x:f>
        <x:v>0</x:v>
      </x:c>
      <x:c r="X53" s="2" t="str">
        <x:v>simulado_didactico</x:v>
      </x:c>
    </x:row>
    <x:row r="54" ht="19" customHeight="1">
      <x:c r="A54" s="2" t="str">
        <x:v>SIM-E2-MP-L7-R09</x:v>
      </x:c>
      <x:c r="B54" s="2" t="n">
        <x:v>5</x:v>
      </x:c>
      <x:c r="C54" s="2" t="str">
        <x:v>MP</x:v>
      </x:c>
      <x:c r="D54" s="2" t="str">
        <x:v>Myzus persicae</x:v>
      </x:c>
      <x:c r="E54" s="2" t="str">
        <x:v>L7</x:v>
      </x:c>
      <x:c r="F54" s="2" t="n">
        <x:v>9</x:v>
      </x:c>
      <x:c r="G54" s="2" t="n">
        <x:f>IF(COUNTIF(E2_diario!$J$2186:$J$2227,"adulta")&gt;0,1,0)</x:f>
        <x:v>1</x:v>
      </x:c>
      <x:c r="H54" s="2" t="n">
        <x:f>COUNTIF(E2_diario!$J$2186:$J$2227,"N1")</x:f>
        <x:v>1</x:v>
      </x:c>
      <x:c r="I54" s="2" t="n">
        <x:f>COUNTIF(E2_diario!$J$2186:$J$2227,"N2")</x:f>
        <x:v>5</x:v>
      </x:c>
      <x:c r="J54" s="2" t="n">
        <x:f>COUNTIF(E2_diario!$J$2186:$J$2227,"N3")</x:f>
        <x:v>1</x:v>
      </x:c>
      <x:c r="K54" s="2" t="n">
        <x:f>COUNTIF(E2_diario!$J$2186:$J$2227,"N4")</x:f>
        <x:v>3</x:v>
      </x:c>
      <x:c r="L54" s="2" t="n">
        <x:f>IF(G54=1,SUM(H54:K54),"")</x:f>
        <x:v>10</x:v>
      </x:c>
      <x:c r="M54" s="2" t="n">
        <x:f>IF(G54=1,COUNTIF(E2_diario!$J$2186:$J$2227,"adulta"),"")</x:f>
        <x:v>14</x:v>
      </x:c>
      <x:c r="N54" s="2" t="n">
        <x:f>SUM(E2_diario!$K$2186:$K$2227)</x:f>
        <x:v>24</x:v>
      </x:c>
      <x:c r="O54" s="2" t="n">
        <x:f>IF(V54=0,"",COUNTIF(E2_diario!$M$2186:$M$2227,0))</x:f>
        <x:v>12</x:v>
      </x:c>
      <x:c r="P54" s="2" t="n">
        <x:f>IF(V54=0,"",COUNTIF(E2_diario!$M$2186:$M$2227,"&lt;"&amp;V54))</x:f>
        <x:v>22</x:v>
      </x:c>
      <x:c r="Q54" s="2" t="n">
        <x:f>IF(V54=0,"",O54)</x:f>
        <x:v>12</x:v>
      </x:c>
      <x:c r="R54" s="2" t="n">
        <x:f>IF(V54=0,"",O54-L54)</x:f>
        <x:v>2</x:v>
      </x:c>
      <x:c r="S54" s="2" t="n">
        <x:f>IF(V54=0,"",P54-O54+Supuestos!$C$15)</x:f>
        <x:v>11</x:v>
      </x:c>
      <x:c r="T54" s="2" t="n">
        <x:f>COUNTIF(E2_diario!$L$2186:$L$2227,"&gt;0")</x:f>
        <x:v>11</x:v>
      </x:c>
      <x:c r="U54" s="2" t="n">
        <x:f>IF(V54=0,"",N54-P54-Supuestos!$C$15)</x:f>
        <x:v>1</x:v>
      </x:c>
      <x:c r="V54" s="2" t="n">
        <x:f>SUM(E2_diario!$L$2186:$L$2227)</x:f>
        <x:v>33</x:v>
      </x:c>
      <x:c r="W54" s="2" t="n">
        <x:f>MAX(E2_diario!$P$2186:$P$2227)</x:f>
        <x:v>0</x:v>
      </x:c>
      <x:c r="X54" s="2" t="str">
        <x:v>simulado_didactico</x:v>
      </x:c>
    </x:row>
    <x:row r="55" ht="19" customHeight="1">
      <x:c r="A55" s="2" t="str">
        <x:v>SIM-E2-MP-L7-R10</x:v>
      </x:c>
      <x:c r="B55" s="2" t="n">
        <x:v>5</x:v>
      </x:c>
      <x:c r="C55" s="2" t="str">
        <x:v>MP</x:v>
      </x:c>
      <x:c r="D55" s="2" t="str">
        <x:v>Myzus persicae</x:v>
      </x:c>
      <x:c r="E55" s="2" t="str">
        <x:v>L7</x:v>
      </x:c>
      <x:c r="F55" s="2" t="n">
        <x:v>10</x:v>
      </x:c>
      <x:c r="G55" s="2" t="n">
        <x:f>IF(COUNTIF(E2_diario!$J$2228:$J$2269,"adulta")&gt;0,1,0)</x:f>
        <x:v>1</x:v>
      </x:c>
      <x:c r="H55" s="2" t="n">
        <x:f>COUNTIF(E2_diario!$J$2228:$J$2269,"N1")</x:f>
        <x:v>3</x:v>
      </x:c>
      <x:c r="I55" s="2" t="n">
        <x:f>COUNTIF(E2_diario!$J$2228:$J$2269,"N2")</x:f>
        <x:v>2</x:v>
      </x:c>
      <x:c r="J55" s="2" t="n">
        <x:f>COUNTIF(E2_diario!$J$2228:$J$2269,"N3")</x:f>
        <x:v>2</x:v>
      </x:c>
      <x:c r="K55" s="2" t="n">
        <x:f>COUNTIF(E2_diario!$J$2228:$J$2269,"N4")</x:f>
        <x:v>3</x:v>
      </x:c>
      <x:c r="L55" s="2" t="n">
        <x:f>IF(G55=1,SUM(H55:K55),"")</x:f>
        <x:v>10</x:v>
      </x:c>
      <x:c r="M55" s="2" t="n">
        <x:f>IF(G55=1,COUNTIF(E2_diario!$J$2228:$J$2269,"adulta"),"")</x:f>
        <x:v>12</x:v>
      </x:c>
      <x:c r="N55" s="2" t="n">
        <x:f>SUM(E2_diario!$K$2228:$K$2269)</x:f>
        <x:v>22</x:v>
      </x:c>
      <x:c r="O55" s="2" t="n">
        <x:f>IF(V55=0,"",COUNTIF(E2_diario!$M$2228:$M$2269,0))</x:f>
        <x:v>12</x:v>
      </x:c>
      <x:c r="P55" s="2" t="n">
        <x:f>IF(V55=0,"",COUNTIF(E2_diario!$M$2228:$M$2269,"&lt;"&amp;V55))</x:f>
        <x:v>19</x:v>
      </x:c>
      <x:c r="Q55" s="2" t="n">
        <x:f>IF(V55=0,"",O55)</x:f>
        <x:v>12</x:v>
      </x:c>
      <x:c r="R55" s="2" t="n">
        <x:f>IF(V55=0,"",O55-L55)</x:f>
        <x:v>2</x:v>
      </x:c>
      <x:c r="S55" s="2" t="n">
        <x:f>IF(V55=0,"",P55-O55+Supuestos!$C$15)</x:f>
        <x:v>8</x:v>
      </x:c>
      <x:c r="T55" s="2" t="n">
        <x:f>COUNTIF(E2_diario!$L$2228:$L$2269,"&gt;0")</x:f>
        <x:v>8</x:v>
      </x:c>
      <x:c r="U55" s="2" t="n">
        <x:f>IF(V55=0,"",N55-P55-Supuestos!$C$15)</x:f>
        <x:v>2</x:v>
      </x:c>
      <x:c r="V55" s="2" t="n">
        <x:f>SUM(E2_diario!$L$2228:$L$2269)</x:f>
        <x:v>30</x:v>
      </x:c>
      <x:c r="W55" s="2" t="n">
        <x:f>MAX(E2_diario!$P$2228:$P$2269)</x:f>
        <x:v>0</x:v>
      </x:c>
      <x:c r="X55" s="2" t="str">
        <x:v>simulado_didactico</x:v>
      </x:c>
    </x:row>
    <x:row r="56" ht="19" customHeight="1">
      <x:c r="A56" s="2" t="str">
        <x:v>SIM-E2-BB-L0-R09</x:v>
      </x:c>
      <x:c r="B56" s="2" t="n">
        <x:v>5</x:v>
      </x:c>
      <x:c r="C56" s="2" t="str">
        <x:v>BB</x:v>
      </x:c>
      <x:c r="D56" s="2" t="str">
        <x:v>Brevicoryne brassicae</x:v>
      </x:c>
      <x:c r="E56" s="2" t="str">
        <x:v>L0</x:v>
      </x:c>
      <x:c r="F56" s="2" t="n">
        <x:v>9</x:v>
      </x:c>
      <x:c r="G56" s="2" t="n">
        <x:f>IF(COUNTIF(E2_diario!$J$2270:$J$2311,"adulta")&gt;0,1,0)</x:f>
        <x:v>1</x:v>
      </x:c>
      <x:c r="H56" s="2" t="n">
        <x:f>COUNTIF(E2_diario!$J$2270:$J$2311,"N1")</x:f>
        <x:v>1</x:v>
      </x:c>
      <x:c r="I56" s="2" t="n">
        <x:f>COUNTIF(E2_diario!$J$2270:$J$2311,"N2")</x:f>
        <x:v>1</x:v>
      </x:c>
      <x:c r="J56" s="2" t="n">
        <x:f>COUNTIF(E2_diario!$J$2270:$J$2311,"N3")</x:f>
        <x:v>2</x:v>
      </x:c>
      <x:c r="K56" s="2" t="n">
        <x:f>COUNTIF(E2_diario!$J$2270:$J$2311,"N4")</x:f>
        <x:v>2</x:v>
      </x:c>
      <x:c r="L56" s="2" t="n">
        <x:f>IF(G56=1,SUM(H56:K56),"")</x:f>
        <x:v>6</x:v>
      </x:c>
      <x:c r="M56" s="2" t="n">
        <x:f>IF(G56=1,COUNTIF(E2_diario!$J$2270:$J$2311,"adulta"),"")</x:f>
        <x:v>30</x:v>
      </x:c>
      <x:c r="N56" s="2" t="n">
        <x:f>SUM(E2_diario!$K$2270:$K$2311)</x:f>
        <x:v>36</x:v>
      </x:c>
      <x:c r="O56" s="2" t="n">
        <x:f>IF(V56=0,"",COUNTIF(E2_diario!$M$2270:$M$2311,0))</x:f>
        <x:v>7</x:v>
      </x:c>
      <x:c r="P56" s="2" t="n">
        <x:f>IF(V56=0,"",COUNTIF(E2_diario!$M$2270:$M$2311,"&lt;"&amp;V56))</x:f>
        <x:v>33</x:v>
      </x:c>
      <x:c r="Q56" s="2" t="n">
        <x:f>IF(V56=0,"",O56)</x:f>
        <x:v>7</x:v>
      </x:c>
      <x:c r="R56" s="2" t="n">
        <x:f>IF(V56=0,"",O56-L56)</x:f>
        <x:v>1</x:v>
      </x:c>
      <x:c r="S56" s="2" t="n">
        <x:f>IF(V56=0,"",P56-O56+Supuestos!$C$15)</x:f>
        <x:v>27</x:v>
      </x:c>
      <x:c r="T56" s="2" t="n">
        <x:f>COUNTIF(E2_diario!$L$2270:$L$2311,"&gt;0")</x:f>
        <x:v>22</x:v>
      </x:c>
      <x:c r="U56" s="2" t="n">
        <x:f>IF(V56=0,"",N56-P56-Supuestos!$C$15)</x:f>
        <x:v>2</x:v>
      </x:c>
      <x:c r="V56" s="2" t="n">
        <x:f>SUM(E2_diario!$L$2270:$L$2311)</x:f>
        <x:v>78</x:v>
      </x:c>
      <x:c r="W56" s="2" t="n">
        <x:f>MAX(E2_diario!$P$2270:$P$2311)</x:f>
        <x:v>0</x:v>
      </x:c>
      <x:c r="X56" s="2" t="str">
        <x:v>simulado_didactico</x:v>
      </x:c>
    </x:row>
    <x:row r="57" ht="19" customHeight="1">
      <x:c r="A57" s="2" t="str">
        <x:v>SIM-E2-BB-L0-R10</x:v>
      </x:c>
      <x:c r="B57" s="2" t="n">
        <x:v>5</x:v>
      </x:c>
      <x:c r="C57" s="2" t="str">
        <x:v>BB</x:v>
      </x:c>
      <x:c r="D57" s="2" t="str">
        <x:v>Brevicoryne brassicae</x:v>
      </x:c>
      <x:c r="E57" s="2" t="str">
        <x:v>L0</x:v>
      </x:c>
      <x:c r="F57" s="2" t="n">
        <x:v>10</x:v>
      </x:c>
      <x:c r="G57" s="2" t="n">
        <x:f>IF(COUNTIF(E2_diario!$J$2312:$J$2353,"adulta")&gt;0,1,0)</x:f>
        <x:v>1</x:v>
      </x:c>
      <x:c r="H57" s="2" t="n">
        <x:f>COUNTIF(E2_diario!$J$2312:$J$2353,"N1")</x:f>
        <x:v>4</x:v>
      </x:c>
      <x:c r="I57" s="2" t="n">
        <x:f>COUNTIF(E2_diario!$J$2312:$J$2353,"N2")</x:f>
        <x:v>2</x:v>
      </x:c>
      <x:c r="J57" s="2" t="n">
        <x:f>COUNTIF(E2_diario!$J$2312:$J$2353,"N3")</x:f>
        <x:v>1</x:v>
      </x:c>
      <x:c r="K57" s="2" t="n">
        <x:f>COUNTIF(E2_diario!$J$2312:$J$2353,"N4")</x:f>
        <x:v>1</x:v>
      </x:c>
      <x:c r="L57" s="2" t="n">
        <x:f>IF(G57=1,SUM(H57:K57),"")</x:f>
        <x:v>8</x:v>
      </x:c>
      <x:c r="M57" s="2" t="n">
        <x:f>IF(G57=1,COUNTIF(E2_diario!$J$2312:$J$2353,"adulta"),"")</x:f>
        <x:v>28</x:v>
      </x:c>
      <x:c r="N57" s="2" t="n">
        <x:f>SUM(E2_diario!$K$2312:$K$2353)</x:f>
        <x:v>36</x:v>
      </x:c>
      <x:c r="O57" s="2" t="n">
        <x:f>IF(V57=0,"",COUNTIF(E2_diario!$M$2312:$M$2353,0))</x:f>
        <x:v>10</x:v>
      </x:c>
      <x:c r="P57" s="2" t="n">
        <x:f>IF(V57=0,"",COUNTIF(E2_diario!$M$2312:$M$2353,"&lt;"&amp;V57))</x:f>
        <x:v>30</x:v>
      </x:c>
      <x:c r="Q57" s="2" t="n">
        <x:f>IF(V57=0,"",O57)</x:f>
        <x:v>10</x:v>
      </x:c>
      <x:c r="R57" s="2" t="n">
        <x:f>IF(V57=0,"",O57-L57)</x:f>
        <x:v>2</x:v>
      </x:c>
      <x:c r="S57" s="2" t="n">
        <x:f>IF(V57=0,"",P57-O57+Supuestos!$C$15)</x:f>
        <x:v>21</x:v>
      </x:c>
      <x:c r="T57" s="2" t="n">
        <x:f>COUNTIF(E2_diario!$L$2312:$L$2353,"&gt;0")</x:f>
        <x:v>17</x:v>
      </x:c>
      <x:c r="U57" s="2" t="n">
        <x:f>IF(V57=0,"",N57-P57-Supuestos!$C$15)</x:f>
        <x:v>5</x:v>
      </x:c>
      <x:c r="V57" s="2" t="n">
        <x:f>SUM(E2_diario!$L$2312:$L$2353)</x:f>
        <x:v>60</x:v>
      </x:c>
      <x:c r="W57" s="2" t="n">
        <x:f>MAX(E2_diario!$P$2312:$P$2353)</x:f>
        <x:v>0</x:v>
      </x:c>
      <x:c r="X57" s="2" t="str">
        <x:v>simulado_didactico</x:v>
      </x:c>
    </x:row>
    <x:row r="58" ht="19" customHeight="1">
      <x:c r="A58" s="2" t="str">
        <x:v>SIM-E2-BB-L8-R09</x:v>
      </x:c>
      <x:c r="B58" s="2" t="n">
        <x:v>5</x:v>
      </x:c>
      <x:c r="C58" s="2" t="str">
        <x:v>BB</x:v>
      </x:c>
      <x:c r="D58" s="2" t="str">
        <x:v>Brevicoryne brassicae</x:v>
      </x:c>
      <x:c r="E58" s="2" t="str">
        <x:v>L8</x:v>
      </x:c>
      <x:c r="F58" s="2" t="n">
        <x:v>9</x:v>
      </x:c>
      <x:c r="G58" s="2" t="n">
        <x:f>IF(COUNTIF(E2_diario!$J$2354:$J$2395,"adulta")&gt;0,1,0)</x:f>
        <x:v>1</x:v>
      </x:c>
      <x:c r="H58" s="2" t="n">
        <x:f>COUNTIF(E2_diario!$J$2354:$J$2395,"N1")</x:f>
        <x:v>2</x:v>
      </x:c>
      <x:c r="I58" s="2" t="n">
        <x:f>COUNTIF(E2_diario!$J$2354:$J$2395,"N2")</x:f>
        <x:v>1</x:v>
      </x:c>
      <x:c r="J58" s="2" t="n">
        <x:f>COUNTIF(E2_diario!$J$2354:$J$2395,"N3")</x:f>
        <x:v>3</x:v>
      </x:c>
      <x:c r="K58" s="2" t="n">
        <x:f>COUNTIF(E2_diario!$J$2354:$J$2395,"N4")</x:f>
        <x:v>3</x:v>
      </x:c>
      <x:c r="L58" s="2" t="n">
        <x:f>IF(G58=1,SUM(H58:K58),"")</x:f>
        <x:v>9</x:v>
      </x:c>
      <x:c r="M58" s="2" t="n">
        <x:f>IF(G58=1,COUNTIF(E2_diario!$J$2354:$J$2395,"adulta"),"")</x:f>
        <x:v>16</x:v>
      </x:c>
      <x:c r="N58" s="2" t="n">
        <x:f>SUM(E2_diario!$K$2354:$K$2395)</x:f>
        <x:v>25</x:v>
      </x:c>
      <x:c r="O58" s="2" t="n">
        <x:f>IF(V58=0,"",COUNTIF(E2_diario!$M$2354:$M$2395,0))</x:f>
        <x:v>12</x:v>
      </x:c>
      <x:c r="P58" s="2" t="n">
        <x:f>IF(V58=0,"",COUNTIF(E2_diario!$M$2354:$M$2395,"&lt;"&amp;V58))</x:f>
        <x:v>23</x:v>
      </x:c>
      <x:c r="Q58" s="2" t="n">
        <x:f>IF(V58=0,"",O58)</x:f>
        <x:v>12</x:v>
      </x:c>
      <x:c r="R58" s="2" t="n">
        <x:f>IF(V58=0,"",O58-L58)</x:f>
        <x:v>3</x:v>
      </x:c>
      <x:c r="S58" s="2" t="n">
        <x:f>IF(V58=0,"",P58-O58+Supuestos!$C$15)</x:f>
        <x:v>12</x:v>
      </x:c>
      <x:c r="T58" s="2" t="n">
        <x:f>COUNTIF(E2_diario!$L$2354:$L$2395,"&gt;0")</x:f>
        <x:v>10</x:v>
      </x:c>
      <x:c r="U58" s="2" t="n">
        <x:f>IF(V58=0,"",N58-P58-Supuestos!$C$15)</x:f>
        <x:v>1</x:v>
      </x:c>
      <x:c r="V58" s="2" t="n">
        <x:f>SUM(E2_diario!$L$2354:$L$2395)</x:f>
        <x:v>26</x:v>
      </x:c>
      <x:c r="W58" s="2" t="n">
        <x:f>MAX(E2_diario!$P$2354:$P$2395)</x:f>
        <x:v>0</x:v>
      </x:c>
      <x:c r="X58" s="2" t="str">
        <x:v>simulado_didactico</x:v>
      </x:c>
    </x:row>
    <x:row r="59" ht="19" customHeight="1">
      <x:c r="A59" s="2" t="str">
        <x:v>SIM-E2-BB-L8-R10</x:v>
      </x:c>
      <x:c r="B59" s="2" t="n">
        <x:v>5</x:v>
      </x:c>
      <x:c r="C59" s="2" t="str">
        <x:v>BB</x:v>
      </x:c>
      <x:c r="D59" s="2" t="str">
        <x:v>Brevicoryne brassicae</x:v>
      </x:c>
      <x:c r="E59" s="2" t="str">
        <x:v>L8</x:v>
      </x:c>
      <x:c r="F59" s="2" t="n">
        <x:v>10</x:v>
      </x:c>
      <x:c r="G59" s="2" t="n">
        <x:f>IF(COUNTIF(E2_diario!$J$2396:$J$2437,"adulta")&gt;0,1,0)</x:f>
        <x:v>1</x:v>
      </x:c>
      <x:c r="H59" s="2" t="n">
        <x:f>COUNTIF(E2_diario!$J$2396:$J$2437,"N1")</x:f>
        <x:v>2</x:v>
      </x:c>
      <x:c r="I59" s="2" t="n">
        <x:f>COUNTIF(E2_diario!$J$2396:$J$2437,"N2")</x:f>
        <x:v>2</x:v>
      </x:c>
      <x:c r="J59" s="2" t="n">
        <x:f>COUNTIF(E2_diario!$J$2396:$J$2437,"N3")</x:f>
        <x:v>3</x:v>
      </x:c>
      <x:c r="K59" s="2" t="n">
        <x:f>COUNTIF(E2_diario!$J$2396:$J$2437,"N4")</x:f>
        <x:v>3</x:v>
      </x:c>
      <x:c r="L59" s="2" t="n">
        <x:f>IF(G59=1,SUM(H59:K59),"")</x:f>
        <x:v>10</x:v>
      </x:c>
      <x:c r="M59" s="2" t="n">
        <x:f>IF(G59=1,COUNTIF(E2_diario!$J$2396:$J$2437,"adulta"),"")</x:f>
        <x:v>18</x:v>
      </x:c>
      <x:c r="N59" s="2" t="n">
        <x:f>SUM(E2_diario!$K$2396:$K$2437)</x:f>
        <x:v>28</x:v>
      </x:c>
      <x:c r="O59" s="2" t="n">
        <x:f>IF(V59=0,"",COUNTIF(E2_diario!$M$2396:$M$2437,0))</x:f>
        <x:v>12</x:v>
      </x:c>
      <x:c r="P59" s="2" t="n">
        <x:f>IF(V59=0,"",COUNTIF(E2_diario!$M$2396:$M$2437,"&lt;"&amp;V59))</x:f>
        <x:v>26</x:v>
      </x:c>
      <x:c r="Q59" s="2" t="n">
        <x:f>IF(V59=0,"",O59)</x:f>
        <x:v>12</x:v>
      </x:c>
      <x:c r="R59" s="2" t="n">
        <x:f>IF(V59=0,"",O59-L59)</x:f>
        <x:v>2</x:v>
      </x:c>
      <x:c r="S59" s="2" t="n">
        <x:f>IF(V59=0,"",P59-O59+Supuestos!$C$15)</x:f>
        <x:v>15</x:v>
      </x:c>
      <x:c r="T59" s="2" t="n">
        <x:f>COUNTIF(E2_diario!$L$2396:$L$2437,"&gt;0")</x:f>
        <x:v>12</x:v>
      </x:c>
      <x:c r="U59" s="2" t="n">
        <x:f>IF(V59=0,"",N59-P59-Supuestos!$C$15)</x:f>
        <x:v>1</x:v>
      </x:c>
      <x:c r="V59" s="2" t="n">
        <x:f>SUM(E2_diario!$L$2396:$L$2437)</x:f>
        <x:v>28</x:v>
      </x:c>
      <x:c r="W59" s="2" t="n">
        <x:f>MAX(E2_diario!$P$2396:$P$2437)</x:f>
        <x:v>0</x:v>
      </x:c>
      <x:c r="X59" s="2" t="str">
        <x:v>simulado_didactico</x:v>
      </x:c>
    </x:row>
    <x:row r="60" ht="19" customHeight="1">
      <x:c r="A60" s="2" t="str">
        <x:v>SIM-E2-BB-L7-R09</x:v>
      </x:c>
      <x:c r="B60" s="2" t="n">
        <x:v>5</x:v>
      </x:c>
      <x:c r="C60" s="2" t="str">
        <x:v>BB</x:v>
      </x:c>
      <x:c r="D60" s="2" t="str">
        <x:v>Brevicoryne brassicae</x:v>
      </x:c>
      <x:c r="E60" s="2" t="str">
        <x:v>L7</x:v>
      </x:c>
      <x:c r="F60" s="2" t="n">
        <x:v>9</x:v>
      </x:c>
      <x:c r="G60" s="2" t="n">
        <x:f>IF(COUNTIF(E2_diario!$J$2438:$J$2479,"adulta")&gt;0,1,0)</x:f>
        <x:v>1</x:v>
      </x:c>
      <x:c r="H60" s="2" t="n">
        <x:f>COUNTIF(E2_diario!$J$2438:$J$2479,"N1")</x:f>
        <x:v>3</x:v>
      </x:c>
      <x:c r="I60" s="2" t="n">
        <x:f>COUNTIF(E2_diario!$J$2438:$J$2479,"N2")</x:f>
        <x:v>3</x:v>
      </x:c>
      <x:c r="J60" s="2" t="n">
        <x:f>COUNTIF(E2_diario!$J$2438:$J$2479,"N3")</x:f>
        <x:v>2</x:v>
      </x:c>
      <x:c r="K60" s="2" t="n">
        <x:f>COUNTIF(E2_diario!$J$2438:$J$2479,"N4")</x:f>
        <x:v>1</x:v>
      </x:c>
      <x:c r="L60" s="2" t="n">
        <x:f>IF(G60=1,SUM(H60:K60),"")</x:f>
        <x:v>9</x:v>
      </x:c>
      <x:c r="M60" s="2" t="n">
        <x:f>IF(G60=1,COUNTIF(E2_diario!$J$2438:$J$2479,"adulta"),"")</x:f>
        <x:v>19</x:v>
      </x:c>
      <x:c r="N60" s="2" t="n">
        <x:f>SUM(E2_diario!$K$2438:$K$2479)</x:f>
        <x:v>28</x:v>
      </x:c>
      <x:c r="O60" s="2" t="n">
        <x:f>IF(V60=0,"",COUNTIF(E2_diario!$M$2438:$M$2479,0))</x:f>
        <x:v>12</x:v>
      </x:c>
      <x:c r="P60" s="2" t="n">
        <x:f>IF(V60=0,"",COUNTIF(E2_diario!$M$2438:$M$2479,"&lt;"&amp;V60))</x:f>
        <x:v>25</x:v>
      </x:c>
      <x:c r="Q60" s="2" t="n">
        <x:f>IF(V60=0,"",O60)</x:f>
        <x:v>12</x:v>
      </x:c>
      <x:c r="R60" s="2" t="n">
        <x:f>IF(V60=0,"",O60-L60)</x:f>
        <x:v>3</x:v>
      </x:c>
      <x:c r="S60" s="2" t="n">
        <x:f>IF(V60=0,"",P60-O60+Supuestos!$C$15)</x:f>
        <x:v>14</x:v>
      </x:c>
      <x:c r="T60" s="2" t="n">
        <x:f>COUNTIF(E2_diario!$L$2438:$L$2479,"&gt;0")</x:f>
        <x:v>13</x:v>
      </x:c>
      <x:c r="U60" s="2" t="n">
        <x:f>IF(V60=0,"",N60-P60-Supuestos!$C$15)</x:f>
        <x:v>2</x:v>
      </x:c>
      <x:c r="V60" s="2" t="n">
        <x:f>SUM(E2_diario!$L$2438:$L$2479)</x:f>
        <x:v>33</x:v>
      </x:c>
      <x:c r="W60" s="2" t="n">
        <x:f>MAX(E2_diario!$P$2438:$P$2479)</x:f>
        <x:v>0</x:v>
      </x:c>
      <x:c r="X60" s="2" t="str">
        <x:v>simulado_didactico</x:v>
      </x:c>
    </x:row>
    <x:row r="61" ht="19" customHeight="1">
      <x:c r="A61" s="2" t="str">
        <x:v>SIM-E2-BB-L7-R10</x:v>
      </x:c>
      <x:c r="B61" s="2" t="n">
        <x:v>5</x:v>
      </x:c>
      <x:c r="C61" s="2" t="str">
        <x:v>BB</x:v>
      </x:c>
      <x:c r="D61" s="2" t="str">
        <x:v>Brevicoryne brassicae</x:v>
      </x:c>
      <x:c r="E61" s="2" t="str">
        <x:v>L7</x:v>
      </x:c>
      <x:c r="F61" s="2" t="n">
        <x:v>10</x:v>
      </x:c>
      <x:c r="G61" s="2" t="n">
        <x:f>IF(COUNTIF(E2_diario!$J$2480:$J$2521,"adulta")&gt;0,1,0)</x:f>
        <x:v>1</x:v>
      </x:c>
      <x:c r="H61" s="2" t="n">
        <x:f>COUNTIF(E2_diario!$J$2480:$J$2521,"N1")</x:f>
        <x:v>2</x:v>
      </x:c>
      <x:c r="I61" s="2" t="n">
        <x:f>COUNTIF(E2_diario!$J$2480:$J$2521,"N2")</x:f>
        <x:v>3</x:v>
      </x:c>
      <x:c r="J61" s="2" t="n">
        <x:f>COUNTIF(E2_diario!$J$2480:$J$2521,"N3")</x:f>
        <x:v>3</x:v>
      </x:c>
      <x:c r="K61" s="2" t="n">
        <x:f>COUNTIF(E2_diario!$J$2480:$J$2521,"N4")</x:f>
        <x:v>1</x:v>
      </x:c>
      <x:c r="L61" s="2" t="n">
        <x:f>IF(G61=1,SUM(H61:K61),"")</x:f>
        <x:v>9</x:v>
      </x:c>
      <x:c r="M61" s="2" t="n">
        <x:f>IF(G61=1,COUNTIF(E2_diario!$J$2480:$J$2521,"adulta"),"")</x:f>
        <x:v>26</x:v>
      </x:c>
      <x:c r="N61" s="2" t="n">
        <x:f>SUM(E2_diario!$K$2480:$K$2521)</x:f>
        <x:v>35</x:v>
      </x:c>
      <x:c r="O61" s="2" t="n">
        <x:f>IF(V61=0,"",COUNTIF(E2_diario!$M$2480:$M$2521,0))</x:f>
        <x:v>10</x:v>
      </x:c>
      <x:c r="P61" s="2" t="n">
        <x:f>IF(V61=0,"",COUNTIF(E2_diario!$M$2480:$M$2521,"&lt;"&amp;V61))</x:f>
        <x:v>32</x:v>
      </x:c>
      <x:c r="Q61" s="2" t="n">
        <x:f>IF(V61=0,"",O61)</x:f>
        <x:v>10</x:v>
      </x:c>
      <x:c r="R61" s="2" t="n">
        <x:f>IF(V61=0,"",O61-L61)</x:f>
        <x:v>1</x:v>
      </x:c>
      <x:c r="S61" s="2" t="n">
        <x:f>IF(V61=0,"",P61-O61+Supuestos!$C$15)</x:f>
        <x:v>23</x:v>
      </x:c>
      <x:c r="T61" s="2" t="n">
        <x:f>COUNTIF(E2_diario!$L$2480:$L$2521,"&gt;0")</x:f>
        <x:v>20</x:v>
      </x:c>
      <x:c r="U61" s="2" t="n">
        <x:f>IF(V61=0,"",N61-P61-Supuestos!$C$15)</x:f>
        <x:v>2</x:v>
      </x:c>
      <x:c r="V61" s="2" t="n">
        <x:f>SUM(E2_diario!$L$2480:$L$2521)</x:f>
        <x:v>50</x:v>
      </x:c>
      <x:c r="W61" s="2" t="n">
        <x:f>MAX(E2_diario!$P$2480:$P$2521)</x:f>
        <x:v>0</x:v>
      </x:c>
      <x:c r="X61" s="2" t="str">
        <x:v>simulado_didactico</x:v>
      </x:c>
    </x:row>
  </x:sheetData>
  <x:conditionalFormatting sqref="E2:E61">
    <x:cfRule type="expression" dxfId="63" priority="1">
      <x:formula>E2="L0"</x:formula>
    </x:cfRule>
    <x:cfRule type="expression" dxfId="64" priority="2">
      <x:formula>E2="L1"</x:formula>
    </x:cfRule>
    <x:cfRule type="expression" dxfId="65" priority="3">
      <x:formula>E2="L2"</x:formula>
    </x:cfRule>
    <x:cfRule type="expression" dxfId="66" priority="4">
      <x:formula>E2="L3"</x:formula>
    </x:cfRule>
    <x:cfRule type="expression" dxfId="67" priority="5">
      <x:formula>E2="L5"</x:formula>
    </x:cfRule>
    <x:cfRule type="expression" dxfId="68" priority="6">
      <x:formula>E2="L6"</x:formula>
    </x:cfRule>
    <x:cfRule type="expression" dxfId="69" priority="7">
      <x:formula>E2="L7"</x:formula>
    </x:cfRule>
    <x:cfRule type="expression" dxfId="70" priority="8">
      <x:formula>E2="L8"</x:formula>
    </x:cfRule>
    <x:cfRule type="expression" dxfId="71" priority="9">
      <x:formula>E2="L9"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94a4c66cb5420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2" hidden="0" customWidth="1"/>
    <x:col min="24" max="24" width="24" hidden="0" customWidth="1"/>
    <x:col min="25" max="25" width="25" hidden="0" customWidth="1"/>
    <x:col min="26" max="26" width="24" hidden="0" customWidth="1"/>
  </x:cols>
  <x:sheetData>
    <x:row r="1" ht="43" customHeight="1">
      <x:c r="A1" s="7" t="str">
        <x:v>cohorte</x:v>
      </x:c>
      <x:c r="B1" s="7" t="str">
        <x:v>codigo_especie</x:v>
      </x:c>
      <x:c r="C1" s="7" t="str">
        <x:v>especie</x:v>
      </x:c>
      <x:c r="D1" s="7" t="str">
        <x:v>tratamiento</x:v>
      </x:c>
      <x:c r="E1" s="7" t="str">
        <x:v>edad_dias</x:v>
      </x:c>
      <x:c r="F1" s="7" t="str">
        <x:v>n_inicial</x:v>
      </x:c>
      <x:c r="G1" s="7" t="str">
        <x:v>n_vivos</x:v>
      </x:c>
      <x:c r="H1" s="7" t="str">
        <x:v>n_N1</x:v>
      </x:c>
      <x:c r="I1" s="7" t="str">
        <x:v>n_N2</x:v>
      </x:c>
      <x:c r="J1" s="7" t="str">
        <x:v>n_N3</x:v>
      </x:c>
      <x:c r="K1" s="7" t="str">
        <x:v>n_N4</x:v>
      </x:c>
      <x:c r="L1" s="7" t="str">
        <x:v>n_adultas</x:v>
      </x:c>
      <x:c r="M1" s="7" t="str">
        <x:v>crias_totales</x:v>
      </x:c>
      <x:c r="N1" s="7" t="str">
        <x:v>lx</x:v>
      </x:c>
      <x:c r="O1" s="7" t="str">
        <x:v>mx</x:v>
      </x:c>
      <x:c r="P1" s="7" t="str">
        <x:v>lxmx</x:v>
      </x:c>
      <x:c r="Q1" s="7" t="str">
        <x:v>sx_N1</x:v>
      </x:c>
      <x:c r="R1" s="7" t="str">
        <x:v>sx_N2</x:v>
      </x:c>
      <x:c r="S1" s="7" t="str">
        <x:v>sx_N3</x:v>
      </x:c>
      <x:c r="T1" s="7" t="str">
        <x:v>sx_N4</x:v>
      </x:c>
      <x:c r="U1" s="7" t="str">
        <x:v>sx_adulta</x:v>
      </x:c>
      <x:c r="V1" s="7" t="str">
        <x:v>fx_adulta</x:v>
      </x:c>
      <x:c r="W1" s="7" t="str">
        <x:v>Rx_acumulado</x:v>
      </x:c>
      <x:c r="X1" s="7" t="str">
        <x:v>tiempo_euler_dias</x:v>
      </x:c>
      <x:c r="Y1" s="7" t="str">
        <x:v>n_muertos_acumulados</x:v>
      </x:c>
      <x:c r="Z1" s="7" t="str">
        <x:v>origen_dato</x:v>
      </x:c>
    </x:row>
    <x:row r="2" ht="19" customHeight="1">
      <x:c r="A2" s="2" t="str">
        <x:v>MP_L0</x:v>
      </x:c>
      <x:c r="B2" s="2" t="str">
        <x:v>MP</x:v>
      </x:c>
      <x:c r="C2" s="2" t="str">
        <x:v>Myzus persicae</x:v>
      </x:c>
      <x:c r="D2" s="2" t="str">
        <x:v>L0</x:v>
      </x:c>
      <x:c r="E2" s="2" t="n">
        <x:v>0</x:v>
      </x:c>
      <x:c r="F2" s="2" t="n">
        <x:f>COUNTA(E2_plantas!A2,E2_plantas!A3,E2_plantas!A14,E2_plantas!A15,E2_plantas!A26,E2_plantas!A27,E2_plantas!A38,E2_plantas!A39,E2_plantas!A50,E2_plantas!A51)</x:f>
        <x:v>10</x:v>
      </x:c>
      <x:c r="G2" s="2" t="n">
        <x:f>SUM(E2_diario!K2,E2_diario!K44,E2_diario!K506,E2_diario!K548,E2_diario!K1010,E2_diario!K1052,E2_diario!K1514,E2_diario!K1556,E2_diario!K2018,E2_diario!K2060)</x:f>
        <x:v>10</x:v>
      </x:c>
      <x:c r="H2" s="2" t="n">
        <x:f>SUM(IF(E2_diario!J2="N1",1,0),IF(E2_diario!J44="N1",1,0),IF(E2_diario!J506="N1",1,0),IF(E2_diario!J548="N1",1,0),IF(E2_diario!J1010="N1",1,0),IF(E2_diario!J1052="N1",1,0),IF(E2_diario!J1514="N1",1,0),IF(E2_diario!J1556="N1",1,0),IF(E2_diario!J2018="N1",1,0),IF(E2_diario!J2060="N1",1,0))</x:f>
        <x:v>10</x:v>
      </x:c>
      <x:c r="I2" s="2" t="n">
        <x:f>SUM(IF(E2_diario!J2="N2",1,0),IF(E2_diario!J44="N2",1,0),IF(E2_diario!J506="N2",1,0),IF(E2_diario!J548="N2",1,0),IF(E2_diario!J1010="N2",1,0),IF(E2_diario!J1052="N2",1,0),IF(E2_diario!J1514="N2",1,0),IF(E2_diario!J1556="N2",1,0),IF(E2_diario!J2018="N2",1,0),IF(E2_diario!J2060="N2",1,0))</x:f>
        <x:v>0</x:v>
      </x:c>
      <x:c r="J2" s="2" t="n">
        <x:f>SUM(IF(E2_diario!J2="N3",1,0),IF(E2_diario!J44="N3",1,0),IF(E2_diario!J506="N3",1,0),IF(E2_diario!J548="N3",1,0),IF(E2_diario!J1010="N3",1,0),IF(E2_diario!J1052="N3",1,0),IF(E2_diario!J1514="N3",1,0),IF(E2_diario!J1556="N3",1,0),IF(E2_diario!J2018="N3",1,0),IF(E2_diario!J2060="N3",1,0))</x:f>
        <x:v>0</x:v>
      </x:c>
      <x:c r="K2" s="2" t="n">
        <x:f>SUM(IF(E2_diario!J2="N4",1,0),IF(E2_diario!J44="N4",1,0),IF(E2_diario!J506="N4",1,0),IF(E2_diario!J548="N4",1,0),IF(E2_diario!J1010="N4",1,0),IF(E2_diario!J1052="N4",1,0),IF(E2_diario!J1514="N4",1,0),IF(E2_diario!J1556="N4",1,0),IF(E2_diario!J2018="N4",1,0),IF(E2_diario!J2060="N4",1,0))</x:f>
        <x:v>0</x:v>
      </x:c>
      <x:c r="L2" s="2" t="n">
        <x:f>SUM(IF(E2_diario!J2="adulta",1,0),IF(E2_diario!J44="adulta",1,0),IF(E2_diario!J506="adulta",1,0),IF(E2_diario!J548="adulta",1,0),IF(E2_diario!J1010="adulta",1,0),IF(E2_diario!J1052="adulta",1,0),IF(E2_diario!J1514="adulta",1,0),IF(E2_diario!J1556="adulta",1,0),IF(E2_diario!J2018="adulta",1,0),IF(E2_diario!J2060="adulta",1,0))</x:f>
        <x:v>0</x:v>
      </x:c>
      <x:c r="M2" s="2" t="n">
        <x:f>SUM(E2_diario!L2,E2_diario!L44,E2_diario!L506,E2_diario!L548,E2_diario!L1010,E2_diario!L1052,E2_diario!L1514,E2_diario!L1556,E2_diario!L2018,E2_diario!L2060)</x:f>
        <x:v>0</x:v>
      </x:c>
      <x:c r="N2" s="20" t="n">
        <x:f>G2/F2</x:f>
        <x:v>1</x:v>
      </x:c>
      <x:c r="O2" s="20" t="n">
        <x:f>IF(G2=0,0,M2/G2)</x:f>
        <x:v>0</x:v>
      </x:c>
      <x:c r="P2" s="20" t="n">
        <x:f>N2*O2</x:f>
        <x:v>0</x:v>
      </x:c>
      <x:c r="Q2" s="20" t="n">
        <x:f>H2/F2</x:f>
        <x:v>1</x:v>
      </x:c>
      <x:c r="R2" s="20" t="n">
        <x:f>I2/F2</x:f>
        <x:v>0</x:v>
      </x:c>
      <x:c r="S2" s="20" t="n">
        <x:f>J2/F2</x:f>
        <x:v>0</x:v>
      </x:c>
      <x:c r="T2" s="20" t="n">
        <x:f>K2/F2</x:f>
        <x:v>0</x:v>
      </x:c>
      <x:c r="U2" s="20" t="n">
        <x:f>L2/F2</x:f>
        <x:v>0</x:v>
      </x:c>
      <x:c r="V2" s="20" t="n">
        <x:f>IF(L2=0,0,M2/L2)</x:f>
        <x:v>0</x:v>
      </x:c>
      <x:c r="W2" s="20" t="n">
        <x:f>SUM(P$2:P2)</x:f>
        <x:v>0</x:v>
      </x:c>
      <x:c r="X2" s="2" t="n">
        <x:f>E2+Supuestos!$C$15</x:f>
        <x:v>1</x:v>
      </x:c>
      <x:c r="Y2" s="2" t="n">
        <x:f>F2-G2</x:f>
        <x:v>0</x:v>
      </x:c>
      <x:c r="Z2" s="2" t="str">
        <x:v>simulado_didactico</x:v>
      </x:c>
    </x:row>
    <x:row r="3" ht="19" customHeight="1">
      <x:c r="A3" s="2" t="str">
        <x:v>MP_L0</x:v>
      </x:c>
      <x:c r="B3" s="2" t="str">
        <x:v>MP</x:v>
      </x:c>
      <x:c r="C3" s="2" t="str">
        <x:v>Myzus persicae</x:v>
      </x:c>
      <x:c r="D3" s="2" t="str">
        <x:v>L0</x:v>
      </x:c>
      <x:c r="E3" s="2" t="n">
        <x:v>1</x:v>
      </x:c>
      <x:c r="F3" s="2" t="n">
        <x:f>COUNTA(E2_plantas!A2,E2_plantas!A3,E2_plantas!A14,E2_plantas!A15,E2_plantas!A26,E2_plantas!A27,E2_plantas!A38,E2_plantas!A39,E2_plantas!A50,E2_plantas!A51)</x:f>
        <x:v>10</x:v>
      </x:c>
      <x:c r="G3" s="2" t="n">
        <x:f>SUM(E2_diario!K3,E2_diario!K45,E2_diario!K507,E2_diario!K549,E2_diario!K1011,E2_diario!K1053,E2_diario!K1515,E2_diario!K1557,E2_diario!K2019,E2_diario!K2061)</x:f>
        <x:v>10</x:v>
      </x:c>
      <x:c r="H3" s="2" t="n">
        <x:f>SUM(IF(E2_diario!J3="N1",1,0),IF(E2_diario!J45="N1",1,0),IF(E2_diario!J507="N1",1,0),IF(E2_diario!J549="N1",1,0),IF(E2_diario!J1011="N1",1,0),IF(E2_diario!J1053="N1",1,0),IF(E2_diario!J1515="N1",1,0),IF(E2_diario!J1557="N1",1,0),IF(E2_diario!J2019="N1",1,0),IF(E2_diario!J2061="N1",1,0))</x:f>
        <x:v>9</x:v>
      </x:c>
      <x:c r="I3" s="2" t="n">
        <x:f>SUM(IF(E2_diario!J3="N2",1,0),IF(E2_diario!J45="N2",1,0),IF(E2_diario!J507="N2",1,0),IF(E2_diario!J549="N2",1,0),IF(E2_diario!J1011="N2",1,0),IF(E2_diario!J1053="N2",1,0),IF(E2_diario!J1515="N2",1,0),IF(E2_diario!J1557="N2",1,0),IF(E2_diario!J2019="N2",1,0),IF(E2_diario!J2061="N2",1,0))</x:f>
        <x:v>1</x:v>
      </x:c>
      <x:c r="J3" s="2" t="n">
        <x:f>SUM(IF(E2_diario!J3="N3",1,0),IF(E2_diario!J45="N3",1,0),IF(E2_diario!J507="N3",1,0),IF(E2_diario!J549="N3",1,0),IF(E2_diario!J1011="N3",1,0),IF(E2_diario!J1053="N3",1,0),IF(E2_diario!J1515="N3",1,0),IF(E2_diario!J1557="N3",1,0),IF(E2_diario!J2019="N3",1,0),IF(E2_diario!J2061="N3",1,0))</x:f>
        <x:v>0</x:v>
      </x:c>
      <x:c r="K3" s="2" t="n">
        <x:f>SUM(IF(E2_diario!J3="N4",1,0),IF(E2_diario!J45="N4",1,0),IF(E2_diario!J507="N4",1,0),IF(E2_diario!J549="N4",1,0),IF(E2_diario!J1011="N4",1,0),IF(E2_diario!J1053="N4",1,0),IF(E2_diario!J1515="N4",1,0),IF(E2_diario!J1557="N4",1,0),IF(E2_diario!J2019="N4",1,0),IF(E2_diario!J2061="N4",1,0))</x:f>
        <x:v>0</x:v>
      </x:c>
      <x:c r="L3" s="2" t="n">
        <x:f>SUM(IF(E2_diario!J3="adulta",1,0),IF(E2_diario!J45="adulta",1,0),IF(E2_diario!J507="adulta",1,0),IF(E2_diario!J549="adulta",1,0),IF(E2_diario!J1011="adulta",1,0),IF(E2_diario!J1053="adulta",1,0),IF(E2_diario!J1515="adulta",1,0),IF(E2_diario!J1557="adulta",1,0),IF(E2_diario!J2019="adulta",1,0),IF(E2_diario!J2061="adulta",1,0))</x:f>
        <x:v>0</x:v>
      </x:c>
      <x:c r="M3" s="2" t="n">
        <x:f>SUM(E2_diario!L3,E2_diario!L45,E2_diario!L507,E2_diario!L549,E2_diario!L1011,E2_diario!L1053,E2_diario!L1515,E2_diario!L1557,E2_diario!L2019,E2_diario!L2061)</x:f>
        <x:v>0</x:v>
      </x:c>
      <x:c r="N3" s="20" t="n">
        <x:f>G3/F3</x:f>
        <x:v>1</x:v>
      </x:c>
      <x:c r="O3" s="20" t="n">
        <x:f>IF(G3=0,0,M3/G3)</x:f>
        <x:v>0</x:v>
      </x:c>
      <x:c r="P3" s="20" t="n">
        <x:f>N3*O3</x:f>
        <x:v>0</x:v>
      </x:c>
      <x:c r="Q3" s="20" t="n">
        <x:f>H3/F3</x:f>
        <x:v>0.9</x:v>
      </x:c>
      <x:c r="R3" s="20" t="n">
        <x:f>I3/F3</x:f>
        <x:v>0.1</x:v>
      </x:c>
      <x:c r="S3" s="20" t="n">
        <x:f>J3/F3</x:f>
        <x:v>0</x:v>
      </x:c>
      <x:c r="T3" s="20" t="n">
        <x:f>K3/F3</x:f>
        <x:v>0</x:v>
      </x:c>
      <x:c r="U3" s="20" t="n">
        <x:f>L3/F3</x:f>
        <x:v>0</x:v>
      </x:c>
      <x:c r="V3" s="20" t="n">
        <x:f>IF(L3=0,0,M3/L3)</x:f>
        <x:v>0</x:v>
      </x:c>
      <x:c r="W3" s="20" t="n">
        <x:f>SUM(P$2:P3)</x:f>
        <x:v>0</x:v>
      </x:c>
      <x:c r="X3" s="2" t="n">
        <x:f>E3+Supuestos!$C$15</x:f>
        <x:v>2</x:v>
      </x:c>
      <x:c r="Y3" s="2" t="n">
        <x:f>F3-G3</x:f>
        <x:v>0</x:v>
      </x:c>
      <x:c r="Z3" s="2" t="str">
        <x:v>simulado_didactico</x:v>
      </x:c>
    </x:row>
    <x:row r="4" ht="19" customHeight="1">
      <x:c r="A4" s="2" t="str">
        <x:v>MP_L0</x:v>
      </x:c>
      <x:c r="B4" s="2" t="str">
        <x:v>MP</x:v>
      </x:c>
      <x:c r="C4" s="2" t="str">
        <x:v>Myzus persicae</x:v>
      </x:c>
      <x:c r="D4" s="2" t="str">
        <x:v>L0</x:v>
      </x:c>
      <x:c r="E4" s="2" t="n">
        <x:v>2</x:v>
      </x:c>
      <x:c r="F4" s="2" t="n">
        <x:f>COUNTA(E2_plantas!A2,E2_plantas!A3,E2_plantas!A14,E2_plantas!A15,E2_plantas!A26,E2_plantas!A27,E2_plantas!A38,E2_plantas!A39,E2_plantas!A50,E2_plantas!A51)</x:f>
        <x:v>10</x:v>
      </x:c>
      <x:c r="G4" s="2" t="n">
        <x:f>SUM(E2_diario!K4,E2_diario!K46,E2_diario!K508,E2_diario!K550,E2_diario!K1012,E2_diario!K1054,E2_diario!K1516,E2_diario!K1558,E2_diario!K2020,E2_diario!K2062)</x:f>
        <x:v>10</x:v>
      </x:c>
      <x:c r="H4" s="2" t="n">
        <x:f>SUM(IF(E2_diario!J4="N1",1,0),IF(E2_diario!J46="N1",1,0),IF(E2_diario!J508="N1",1,0),IF(E2_diario!J550="N1",1,0),IF(E2_diario!J1012="N1",1,0),IF(E2_diario!J1054="N1",1,0),IF(E2_diario!J1516="N1",1,0),IF(E2_diario!J1558="N1",1,0),IF(E2_diario!J2020="N1",1,0),IF(E2_diario!J2062="N1",1,0))</x:f>
        <x:v>4</x:v>
      </x:c>
      <x:c r="I4" s="2" t="n">
        <x:f>SUM(IF(E2_diario!J4="N2",1,0),IF(E2_diario!J46="N2",1,0),IF(E2_diario!J508="N2",1,0),IF(E2_diario!J550="N2",1,0),IF(E2_diario!J1012="N2",1,0),IF(E2_diario!J1054="N2",1,0),IF(E2_diario!J1516="N2",1,0),IF(E2_diario!J1558="N2",1,0),IF(E2_diario!J2020="N2",1,0),IF(E2_diario!J2062="N2",1,0))</x:f>
        <x:v>6</x:v>
      </x:c>
      <x:c r="J4" s="2" t="n">
        <x:f>SUM(IF(E2_diario!J4="N3",1,0),IF(E2_diario!J46="N3",1,0),IF(E2_diario!J508="N3",1,0),IF(E2_diario!J550="N3",1,0),IF(E2_diario!J1012="N3",1,0),IF(E2_diario!J1054="N3",1,0),IF(E2_diario!J1516="N3",1,0),IF(E2_diario!J1558="N3",1,0),IF(E2_diario!J2020="N3",1,0),IF(E2_diario!J2062="N3",1,0))</x:f>
        <x:v>0</x:v>
      </x:c>
      <x:c r="K4" s="2" t="n">
        <x:f>SUM(IF(E2_diario!J4="N4",1,0),IF(E2_diario!J46="N4",1,0),IF(E2_diario!J508="N4",1,0),IF(E2_diario!J550="N4",1,0),IF(E2_diario!J1012="N4",1,0),IF(E2_diario!J1054="N4",1,0),IF(E2_diario!J1516="N4",1,0),IF(E2_diario!J1558="N4",1,0),IF(E2_diario!J2020="N4",1,0),IF(E2_diario!J2062="N4",1,0))</x:f>
        <x:v>0</x:v>
      </x:c>
      <x:c r="L4" s="2" t="n">
        <x:f>SUM(IF(E2_diario!J4="adulta",1,0),IF(E2_diario!J46="adulta",1,0),IF(E2_diario!J508="adulta",1,0),IF(E2_diario!J550="adulta",1,0),IF(E2_diario!J1012="adulta",1,0),IF(E2_diario!J1054="adulta",1,0),IF(E2_diario!J1516="adulta",1,0),IF(E2_diario!J1558="adulta",1,0),IF(E2_diario!J2020="adulta",1,0),IF(E2_diario!J2062="adulta",1,0))</x:f>
        <x:v>0</x:v>
      </x:c>
      <x:c r="M4" s="2" t="n">
        <x:f>SUM(E2_diario!L4,E2_diario!L46,E2_diario!L508,E2_diario!L550,E2_diario!L1012,E2_diario!L1054,E2_diario!L1516,E2_diario!L1558,E2_diario!L2020,E2_diario!L2062)</x:f>
        <x:v>0</x:v>
      </x:c>
      <x:c r="N4" s="20" t="n">
        <x:f>G4/F4</x:f>
        <x:v>1</x:v>
      </x:c>
      <x:c r="O4" s="20" t="n">
        <x:f>IF(G4=0,0,M4/G4)</x:f>
        <x:v>0</x:v>
      </x:c>
      <x:c r="P4" s="20" t="n">
        <x:f>N4*O4</x:f>
        <x:v>0</x:v>
      </x:c>
      <x:c r="Q4" s="20" t="n">
        <x:f>H4/F4</x:f>
        <x:v>0.4</x:v>
      </x:c>
      <x:c r="R4" s="20" t="n">
        <x:f>I4/F4</x:f>
        <x:v>0.6</x:v>
      </x:c>
      <x:c r="S4" s="20" t="n">
        <x:f>J4/F4</x:f>
        <x:v>0</x:v>
      </x:c>
      <x:c r="T4" s="20" t="n">
        <x:f>K4/F4</x:f>
        <x:v>0</x:v>
      </x:c>
      <x:c r="U4" s="20" t="n">
        <x:f>L4/F4</x:f>
        <x:v>0</x:v>
      </x:c>
      <x:c r="V4" s="20" t="n">
        <x:f>IF(L4=0,0,M4/L4)</x:f>
        <x:v>0</x:v>
      </x:c>
      <x:c r="W4" s="20" t="n">
        <x:f>SUM(P$2:P4)</x:f>
        <x:v>0</x:v>
      </x:c>
      <x:c r="X4" s="2" t="n">
        <x:f>E4+Supuestos!$C$15</x:f>
        <x:v>3</x:v>
      </x:c>
      <x:c r="Y4" s="2" t="n">
        <x:f>F4-G4</x:f>
        <x:v>0</x:v>
      </x:c>
      <x:c r="Z4" s="2" t="str">
        <x:v>simulado_didactico</x:v>
      </x:c>
    </x:row>
    <x:row r="5" ht="19" customHeight="1">
      <x:c r="A5" s="2" t="str">
        <x:v>MP_L0</x:v>
      </x:c>
      <x:c r="B5" s="2" t="str">
        <x:v>MP</x:v>
      </x:c>
      <x:c r="C5" s="2" t="str">
        <x:v>Myzus persicae</x:v>
      </x:c>
      <x:c r="D5" s="2" t="str">
        <x:v>L0</x:v>
      </x:c>
      <x:c r="E5" s="2" t="n">
        <x:v>3</x:v>
      </x:c>
      <x:c r="F5" s="2" t="n">
        <x:f>COUNTA(E2_plantas!A2,E2_plantas!A3,E2_plantas!A14,E2_plantas!A15,E2_plantas!A26,E2_plantas!A27,E2_plantas!A38,E2_plantas!A39,E2_plantas!A50,E2_plantas!A51)</x:f>
        <x:v>10</x:v>
      </x:c>
      <x:c r="G5" s="2" t="n">
        <x:f>SUM(E2_diario!K5,E2_diario!K47,E2_diario!K509,E2_diario!K551,E2_diario!K1013,E2_diario!K1055,E2_diario!K1517,E2_diario!K1559,E2_diario!K2021,E2_diario!K2063)</x:f>
        <x:v>10</x:v>
      </x:c>
      <x:c r="H5" s="2" t="n">
        <x:f>SUM(IF(E2_diario!J5="N1",1,0),IF(E2_diario!J47="N1",1,0),IF(E2_diario!J509="N1",1,0),IF(E2_diario!J551="N1",1,0),IF(E2_diario!J1013="N1",1,0),IF(E2_diario!J1055="N1",1,0),IF(E2_diario!J1517="N1",1,0),IF(E2_diario!J1559="N1",1,0),IF(E2_diario!J2021="N1",1,0),IF(E2_diario!J2063="N1",1,0))</x:f>
        <x:v>1</x:v>
      </x:c>
      <x:c r="I5" s="2" t="n">
        <x:f>SUM(IF(E2_diario!J5="N2",1,0),IF(E2_diario!J47="N2",1,0),IF(E2_diario!J509="N2",1,0),IF(E2_diario!J551="N2",1,0),IF(E2_diario!J1013="N2",1,0),IF(E2_diario!J1055="N2",1,0),IF(E2_diario!J1517="N2",1,0),IF(E2_diario!J1559="N2",1,0),IF(E2_diario!J2021="N2",1,0),IF(E2_diario!J2063="N2",1,0))</x:f>
        <x:v>7</x:v>
      </x:c>
      <x:c r="J5" s="2" t="n">
        <x:f>SUM(IF(E2_diario!J5="N3",1,0),IF(E2_diario!J47="N3",1,0),IF(E2_diario!J509="N3",1,0),IF(E2_diario!J551="N3",1,0),IF(E2_diario!J1013="N3",1,0),IF(E2_diario!J1055="N3",1,0),IF(E2_diario!J1517="N3",1,0),IF(E2_diario!J1559="N3",1,0),IF(E2_diario!J2021="N3",1,0),IF(E2_diario!J2063="N3",1,0))</x:f>
        <x:v>2</x:v>
      </x:c>
      <x:c r="K5" s="2" t="n">
        <x:f>SUM(IF(E2_diario!J5="N4",1,0),IF(E2_diario!J47="N4",1,0),IF(E2_diario!J509="N4",1,0),IF(E2_diario!J551="N4",1,0),IF(E2_diario!J1013="N4",1,0),IF(E2_diario!J1055="N4",1,0),IF(E2_diario!J1517="N4",1,0),IF(E2_diario!J1559="N4",1,0),IF(E2_diario!J2021="N4",1,0),IF(E2_diario!J2063="N4",1,0))</x:f>
        <x:v>0</x:v>
      </x:c>
      <x:c r="L5" s="2" t="n">
        <x:f>SUM(IF(E2_diario!J5="adulta",1,0),IF(E2_diario!J47="adulta",1,0),IF(E2_diario!J509="adulta",1,0),IF(E2_diario!J551="adulta",1,0),IF(E2_diario!J1013="adulta",1,0),IF(E2_diario!J1055="adulta",1,0),IF(E2_diario!J1517="adulta",1,0),IF(E2_diario!J1559="adulta",1,0),IF(E2_diario!J2021="adulta",1,0),IF(E2_diario!J2063="adulta",1,0))</x:f>
        <x:v>0</x:v>
      </x:c>
      <x:c r="M5" s="2" t="n">
        <x:f>SUM(E2_diario!L5,E2_diario!L47,E2_diario!L509,E2_diario!L551,E2_diario!L1013,E2_diario!L1055,E2_diario!L1517,E2_diario!L1559,E2_diario!L2021,E2_diario!L2063)</x:f>
        <x:v>0</x:v>
      </x:c>
      <x:c r="N5" s="20" t="n">
        <x:f>G5/F5</x:f>
        <x:v>1</x:v>
      </x:c>
      <x:c r="O5" s="20" t="n">
        <x:f>IF(G5=0,0,M5/G5)</x:f>
        <x:v>0</x:v>
      </x:c>
      <x:c r="P5" s="20" t="n">
        <x:f>N5*O5</x:f>
        <x:v>0</x:v>
      </x:c>
      <x:c r="Q5" s="20" t="n">
        <x:f>H5/F5</x:f>
        <x:v>0.1</x:v>
      </x:c>
      <x:c r="R5" s="20" t="n">
        <x:f>I5/F5</x:f>
        <x:v>0.7</x:v>
      </x:c>
      <x:c r="S5" s="20" t="n">
        <x:f>J5/F5</x:f>
        <x:v>0.2</x:v>
      </x:c>
      <x:c r="T5" s="20" t="n">
        <x:f>K5/F5</x:f>
        <x:v>0</x:v>
      </x:c>
      <x:c r="U5" s="20" t="n">
        <x:f>L5/F5</x:f>
        <x:v>0</x:v>
      </x:c>
      <x:c r="V5" s="20" t="n">
        <x:f>IF(L5=0,0,M5/L5)</x:f>
        <x:v>0</x:v>
      </x:c>
      <x:c r="W5" s="20" t="n">
        <x:f>SUM(P$2:P5)</x:f>
        <x:v>0</x:v>
      </x:c>
      <x:c r="X5" s="2" t="n">
        <x:f>E5+Supuestos!$C$15</x:f>
        <x:v>4</x:v>
      </x:c>
      <x:c r="Y5" s="2" t="n">
        <x:f>F5-G5</x:f>
        <x:v>0</x:v>
      </x:c>
      <x:c r="Z5" s="2" t="str">
        <x:v>simulado_didactico</x:v>
      </x:c>
    </x:row>
    <x:row r="6" ht="19" customHeight="1">
      <x:c r="A6" s="2" t="str">
        <x:v>MP_L0</x:v>
      </x:c>
      <x:c r="B6" s="2" t="str">
        <x:v>MP</x:v>
      </x:c>
      <x:c r="C6" s="2" t="str">
        <x:v>Myzus persicae</x:v>
      </x:c>
      <x:c r="D6" s="2" t="str">
        <x:v>L0</x:v>
      </x:c>
      <x:c r="E6" s="2" t="n">
        <x:v>4</x:v>
      </x:c>
      <x:c r="F6" s="2" t="n">
        <x:f>COUNTA(E2_plantas!A2,E2_plantas!A3,E2_plantas!A14,E2_plantas!A15,E2_plantas!A26,E2_plantas!A27,E2_plantas!A38,E2_plantas!A39,E2_plantas!A50,E2_plantas!A51)</x:f>
        <x:v>10</x:v>
      </x:c>
      <x:c r="G6" s="2" t="n">
        <x:f>SUM(E2_diario!K6,E2_diario!K48,E2_diario!K510,E2_diario!K552,E2_diario!K1014,E2_diario!K1056,E2_diario!K1518,E2_diario!K1560,E2_diario!K2022,E2_diario!K2064)</x:f>
        <x:v>10</x:v>
      </x:c>
      <x:c r="H6" s="2" t="n">
        <x:f>SUM(IF(E2_diario!J6="N1",1,0),IF(E2_diario!J48="N1",1,0),IF(E2_diario!J510="N1",1,0),IF(E2_diario!J552="N1",1,0),IF(E2_diario!J1014="N1",1,0),IF(E2_diario!J1056="N1",1,0),IF(E2_diario!J1518="N1",1,0),IF(E2_diario!J1560="N1",1,0),IF(E2_diario!J2022="N1",1,0),IF(E2_diario!J2064="N1",1,0))</x:f>
        <x:v>0</x:v>
      </x:c>
      <x:c r="I6" s="2" t="n">
        <x:f>SUM(IF(E2_diario!J6="N2",1,0),IF(E2_diario!J48="N2",1,0),IF(E2_diario!J510="N2",1,0),IF(E2_diario!J552="N2",1,0),IF(E2_diario!J1014="N2",1,0),IF(E2_diario!J1056="N2",1,0),IF(E2_diario!J1518="N2",1,0),IF(E2_diario!J1560="N2",1,0),IF(E2_diario!J2022="N2",1,0),IF(E2_diario!J2064="N2",1,0))</x:f>
        <x:v>4</x:v>
      </x:c>
      <x:c r="J6" s="2" t="n">
        <x:f>SUM(IF(E2_diario!J6="N3",1,0),IF(E2_diario!J48="N3",1,0),IF(E2_diario!J510="N3",1,0),IF(E2_diario!J552="N3",1,0),IF(E2_diario!J1014="N3",1,0),IF(E2_diario!J1056="N3",1,0),IF(E2_diario!J1518="N3",1,0),IF(E2_diario!J1560="N3",1,0),IF(E2_diario!J2022="N3",1,0),IF(E2_diario!J2064="N3",1,0))</x:f>
        <x:v>6</x:v>
      </x:c>
      <x:c r="K6" s="2" t="n">
        <x:f>SUM(IF(E2_diario!J6="N4",1,0),IF(E2_diario!J48="N4",1,0),IF(E2_diario!J510="N4",1,0),IF(E2_diario!J552="N4",1,0),IF(E2_diario!J1014="N4",1,0),IF(E2_diario!J1056="N4",1,0),IF(E2_diario!J1518="N4",1,0),IF(E2_diario!J1560="N4",1,0),IF(E2_diario!J2022="N4",1,0),IF(E2_diario!J2064="N4",1,0))</x:f>
        <x:v>0</x:v>
      </x:c>
      <x:c r="L6" s="2" t="n">
        <x:f>SUM(IF(E2_diario!J6="adulta",1,0),IF(E2_diario!J48="adulta",1,0),IF(E2_diario!J510="adulta",1,0),IF(E2_diario!J552="adulta",1,0),IF(E2_diario!J1014="adulta",1,0),IF(E2_diario!J1056="adulta",1,0),IF(E2_diario!J1518="adulta",1,0),IF(E2_diario!J1560="adulta",1,0),IF(E2_diario!J2022="adulta",1,0),IF(E2_diario!J2064="adulta",1,0))</x:f>
        <x:v>0</x:v>
      </x:c>
      <x:c r="M6" s="2" t="n">
        <x:f>SUM(E2_diario!L6,E2_diario!L48,E2_diario!L510,E2_diario!L552,E2_diario!L1014,E2_diario!L1056,E2_diario!L1518,E2_diario!L1560,E2_diario!L2022,E2_diario!L2064)</x:f>
        <x:v>0</x:v>
      </x:c>
      <x:c r="N6" s="20" t="n">
        <x:f>G6/F6</x:f>
        <x:v>1</x:v>
      </x:c>
      <x:c r="O6" s="20" t="n">
        <x:f>IF(G6=0,0,M6/G6)</x:f>
        <x:v>0</x:v>
      </x:c>
      <x:c r="P6" s="20" t="n">
        <x:f>N6*O6</x:f>
        <x:v>0</x:v>
      </x:c>
      <x:c r="Q6" s="20" t="n">
        <x:f>H6/F6</x:f>
        <x:v>0</x:v>
      </x:c>
      <x:c r="R6" s="20" t="n">
        <x:f>I6/F6</x:f>
        <x:v>0.4</x:v>
      </x:c>
      <x:c r="S6" s="20" t="n">
        <x:f>J6/F6</x:f>
        <x:v>0.6</x:v>
      </x:c>
      <x:c r="T6" s="20" t="n">
        <x:f>K6/F6</x:f>
        <x:v>0</x:v>
      </x:c>
      <x:c r="U6" s="20" t="n">
        <x:f>L6/F6</x:f>
        <x:v>0</x:v>
      </x:c>
      <x:c r="V6" s="20" t="n">
        <x:f>IF(L6=0,0,M6/L6)</x:f>
        <x:v>0</x:v>
      </x:c>
      <x:c r="W6" s="20" t="n">
        <x:f>SUM(P$2:P6)</x:f>
        <x:v>0</x:v>
      </x:c>
      <x:c r="X6" s="2" t="n">
        <x:f>E6+Supuestos!$C$15</x:f>
        <x:v>5</x:v>
      </x:c>
      <x:c r="Y6" s="2" t="n">
        <x:f>F6-G6</x:f>
        <x:v>0</x:v>
      </x:c>
      <x:c r="Z6" s="2" t="str">
        <x:v>simulado_didactico</x:v>
      </x:c>
    </x:row>
    <x:row r="7" ht="19" customHeight="1">
      <x:c r="A7" s="2" t="str">
        <x:v>MP_L0</x:v>
      </x:c>
      <x:c r="B7" s="2" t="str">
        <x:v>MP</x:v>
      </x:c>
      <x:c r="C7" s="2" t="str">
        <x:v>Myzus persicae</x:v>
      </x:c>
      <x:c r="D7" s="2" t="str">
        <x:v>L0</x:v>
      </x:c>
      <x:c r="E7" s="2" t="n">
        <x:v>5</x:v>
      </x:c>
      <x:c r="F7" s="2" t="n">
        <x:f>COUNTA(E2_plantas!A2,E2_plantas!A3,E2_plantas!A14,E2_plantas!A15,E2_plantas!A26,E2_plantas!A27,E2_plantas!A38,E2_plantas!A39,E2_plantas!A50,E2_plantas!A51)</x:f>
        <x:v>10</x:v>
      </x:c>
      <x:c r="G7" s="2" t="n">
        <x:f>SUM(E2_diario!K7,E2_diario!K49,E2_diario!K511,E2_diario!K553,E2_diario!K1015,E2_diario!K1057,E2_diario!K1519,E2_diario!K1561,E2_diario!K2023,E2_diario!K2065)</x:f>
        <x:v>10</x:v>
      </x:c>
      <x:c r="H7" s="2" t="n">
        <x:f>SUM(IF(E2_diario!J7="N1",1,0),IF(E2_diario!J49="N1",1,0),IF(E2_diario!J511="N1",1,0),IF(E2_diario!J553="N1",1,0),IF(E2_diario!J1015="N1",1,0),IF(E2_diario!J1057="N1",1,0),IF(E2_diario!J1519="N1",1,0),IF(E2_diario!J1561="N1",1,0),IF(E2_diario!J2023="N1",1,0),IF(E2_diario!J2065="N1",1,0))</x:f>
        <x:v>0</x:v>
      </x:c>
      <x:c r="I7" s="2" t="n">
        <x:f>SUM(IF(E2_diario!J7="N2",1,0),IF(E2_diario!J49="N2",1,0),IF(E2_diario!J511="N2",1,0),IF(E2_diario!J553="N2",1,0),IF(E2_diario!J1015="N2",1,0),IF(E2_diario!J1057="N2",1,0),IF(E2_diario!J1519="N2",1,0),IF(E2_diario!J1561="N2",1,0),IF(E2_diario!J2023="N2",1,0),IF(E2_diario!J2065="N2",1,0))</x:f>
        <x:v>3</x:v>
      </x:c>
      <x:c r="J7" s="2" t="n">
        <x:f>SUM(IF(E2_diario!J7="N3",1,0),IF(E2_diario!J49="N3",1,0),IF(E2_diario!J511="N3",1,0),IF(E2_diario!J553="N3",1,0),IF(E2_diario!J1015="N3",1,0),IF(E2_diario!J1057="N3",1,0),IF(E2_diario!J1519="N3",1,0),IF(E2_diario!J1561="N3",1,0),IF(E2_diario!J2023="N3",1,0),IF(E2_diario!J2065="N3",1,0))</x:f>
        <x:v>5</x:v>
      </x:c>
      <x:c r="K7" s="2" t="n">
        <x:f>SUM(IF(E2_diario!J7="N4",1,0),IF(E2_diario!J49="N4",1,0),IF(E2_diario!J511="N4",1,0),IF(E2_diario!J553="N4",1,0),IF(E2_diario!J1015="N4",1,0),IF(E2_diario!J1057="N4",1,0),IF(E2_diario!J1519="N4",1,0),IF(E2_diario!J1561="N4",1,0),IF(E2_diario!J2023="N4",1,0),IF(E2_diario!J2065="N4",1,0))</x:f>
        <x:v>2</x:v>
      </x:c>
      <x:c r="L7" s="2" t="n">
        <x:f>SUM(IF(E2_diario!J7="adulta",1,0),IF(E2_diario!J49="adulta",1,0),IF(E2_diario!J511="adulta",1,0),IF(E2_diario!J553="adulta",1,0),IF(E2_diario!J1015="adulta",1,0),IF(E2_diario!J1057="adulta",1,0),IF(E2_diario!J1519="adulta",1,0),IF(E2_diario!J1561="adulta",1,0),IF(E2_diario!J2023="adulta",1,0),IF(E2_diario!J2065="adulta",1,0))</x:f>
        <x:v>0</x:v>
      </x:c>
      <x:c r="M7" s="2" t="n">
        <x:f>SUM(E2_diario!L7,E2_diario!L49,E2_diario!L511,E2_diario!L553,E2_diario!L1015,E2_diario!L1057,E2_diario!L1519,E2_diario!L1561,E2_diario!L2023,E2_diario!L2065)</x:f>
        <x:v>0</x:v>
      </x:c>
      <x:c r="N7" s="20" t="n">
        <x:f>G7/F7</x:f>
        <x:v>1</x:v>
      </x:c>
      <x:c r="O7" s="20" t="n">
        <x:f>IF(G7=0,0,M7/G7)</x:f>
        <x:v>0</x:v>
      </x:c>
      <x:c r="P7" s="20" t="n">
        <x:f>N7*O7</x:f>
        <x:v>0</x:v>
      </x:c>
      <x:c r="Q7" s="20" t="n">
        <x:f>H7/F7</x:f>
        <x:v>0</x:v>
      </x:c>
      <x:c r="R7" s="20" t="n">
        <x:f>I7/F7</x:f>
        <x:v>0.3</x:v>
      </x:c>
      <x:c r="S7" s="20" t="n">
        <x:f>J7/F7</x:f>
        <x:v>0.5</x:v>
      </x:c>
      <x:c r="T7" s="20" t="n">
        <x:f>K7/F7</x:f>
        <x:v>0.2</x:v>
      </x:c>
      <x:c r="U7" s="20" t="n">
        <x:f>L7/F7</x:f>
        <x:v>0</x:v>
      </x:c>
      <x:c r="V7" s="20" t="n">
        <x:f>IF(L7=0,0,M7/L7)</x:f>
        <x:v>0</x:v>
      </x:c>
      <x:c r="W7" s="20" t="n">
        <x:f>SUM(P$2:P7)</x:f>
        <x:v>0</x:v>
      </x:c>
      <x:c r="X7" s="2" t="n">
        <x:f>E7+Supuestos!$C$15</x:f>
        <x:v>6</x:v>
      </x:c>
      <x:c r="Y7" s="2" t="n">
        <x:f>F7-G7</x:f>
        <x:v>0</x:v>
      </x:c>
      <x:c r="Z7" s="2" t="str">
        <x:v>simulado_didactico</x:v>
      </x:c>
    </x:row>
    <x:row r="8" ht="19" customHeight="1">
      <x:c r="A8" s="2" t="str">
        <x:v>MP_L0</x:v>
      </x:c>
      <x:c r="B8" s="2" t="str">
        <x:v>MP</x:v>
      </x:c>
      <x:c r="C8" s="2" t="str">
        <x:v>Myzus persicae</x:v>
      </x:c>
      <x:c r="D8" s="2" t="str">
        <x:v>L0</x:v>
      </x:c>
      <x:c r="E8" s="2" t="n">
        <x:v>6</x:v>
      </x:c>
      <x:c r="F8" s="2" t="n">
        <x:f>COUNTA(E2_plantas!A2,E2_plantas!A3,E2_plantas!A14,E2_plantas!A15,E2_plantas!A26,E2_plantas!A27,E2_plantas!A38,E2_plantas!A39,E2_plantas!A50,E2_plantas!A51)</x:f>
        <x:v>10</x:v>
      </x:c>
      <x:c r="G8" s="2" t="n">
        <x:f>SUM(E2_diario!K8,E2_diario!K50,E2_diario!K512,E2_diario!K554,E2_diario!K1016,E2_diario!K1058,E2_diario!K1520,E2_diario!K1562,E2_diario!K2024,E2_diario!K2066)</x:f>
        <x:v>10</x:v>
      </x:c>
      <x:c r="H8" s="2" t="n">
        <x:f>SUM(IF(E2_diario!J8="N1",1,0),IF(E2_diario!J50="N1",1,0),IF(E2_diario!J512="N1",1,0),IF(E2_diario!J554="N1",1,0),IF(E2_diario!J1016="N1",1,0),IF(E2_diario!J1058="N1",1,0),IF(E2_diario!J1520="N1",1,0),IF(E2_diario!J1562="N1",1,0),IF(E2_diario!J2024="N1",1,0),IF(E2_diario!J2066="N1",1,0))</x:f>
        <x:v>0</x:v>
      </x:c>
      <x:c r="I8" s="2" t="n">
        <x:f>SUM(IF(E2_diario!J8="N2",1,0),IF(E2_diario!J50="N2",1,0),IF(E2_diario!J512="N2",1,0),IF(E2_diario!J554="N2",1,0),IF(E2_diario!J1016="N2",1,0),IF(E2_diario!J1058="N2",1,0),IF(E2_diario!J1520="N2",1,0),IF(E2_diario!J1562="N2",1,0),IF(E2_diario!J2024="N2",1,0),IF(E2_diario!J2066="N2",1,0))</x:f>
        <x:v>0</x:v>
      </x:c>
      <x:c r="J8" s="2" t="n">
        <x:f>SUM(IF(E2_diario!J8="N3",1,0),IF(E2_diario!J50="N3",1,0),IF(E2_diario!J512="N3",1,0),IF(E2_diario!J554="N3",1,0),IF(E2_diario!J1016="N3",1,0),IF(E2_diario!J1058="N3",1,0),IF(E2_diario!J1520="N3",1,0),IF(E2_diario!J1562="N3",1,0),IF(E2_diario!J2024="N3",1,0),IF(E2_diario!J2066="N3",1,0))</x:f>
        <x:v>6</x:v>
      </x:c>
      <x:c r="K8" s="2" t="n">
        <x:f>SUM(IF(E2_diario!J8="N4",1,0),IF(E2_diario!J50="N4",1,0),IF(E2_diario!J512="N4",1,0),IF(E2_diario!J554="N4",1,0),IF(E2_diario!J1016="N4",1,0),IF(E2_diario!J1058="N4",1,0),IF(E2_diario!J1520="N4",1,0),IF(E2_diario!J1562="N4",1,0),IF(E2_diario!J2024="N4",1,0),IF(E2_diario!J2066="N4",1,0))</x:f>
        <x:v>4</x:v>
      </x:c>
      <x:c r="L8" s="2" t="n">
        <x:f>SUM(IF(E2_diario!J8="adulta",1,0),IF(E2_diario!J50="adulta",1,0),IF(E2_diario!J512="adulta",1,0),IF(E2_diario!J554="adulta",1,0),IF(E2_diario!J1016="adulta",1,0),IF(E2_diario!J1058="adulta",1,0),IF(E2_diario!J1520="adulta",1,0),IF(E2_diario!J1562="adulta",1,0),IF(E2_diario!J2024="adulta",1,0),IF(E2_diario!J2066="adulta",1,0))</x:f>
        <x:v>0</x:v>
      </x:c>
      <x:c r="M8" s="2" t="n">
        <x:f>SUM(E2_diario!L8,E2_diario!L50,E2_diario!L512,E2_diario!L554,E2_diario!L1016,E2_diario!L1058,E2_diario!L1520,E2_diario!L1562,E2_diario!L2024,E2_diario!L2066)</x:f>
        <x:v>0</x:v>
      </x:c>
      <x:c r="N8" s="20" t="n">
        <x:f>G8/F8</x:f>
        <x:v>1</x:v>
      </x:c>
      <x:c r="O8" s="20" t="n">
        <x:f>IF(G8=0,0,M8/G8)</x:f>
        <x:v>0</x:v>
      </x:c>
      <x:c r="P8" s="20" t="n">
        <x:f>N8*O8</x:f>
        <x:v>0</x:v>
      </x:c>
      <x:c r="Q8" s="20" t="n">
        <x:f>H8/F8</x:f>
        <x:v>0</x:v>
      </x:c>
      <x:c r="R8" s="20" t="n">
        <x:f>I8/F8</x:f>
        <x:v>0</x:v>
      </x:c>
      <x:c r="S8" s="20" t="n">
        <x:f>J8/F8</x:f>
        <x:v>0.6</x:v>
      </x:c>
      <x:c r="T8" s="20" t="n">
        <x:f>K8/F8</x:f>
        <x:v>0.4</x:v>
      </x:c>
      <x:c r="U8" s="20" t="n">
        <x:f>L8/F8</x:f>
        <x:v>0</x:v>
      </x:c>
      <x:c r="V8" s="20" t="n">
        <x:f>IF(L8=0,0,M8/L8)</x:f>
        <x:v>0</x:v>
      </x:c>
      <x:c r="W8" s="20" t="n">
        <x:f>SUM(P$2:P8)</x:f>
        <x:v>0</x:v>
      </x:c>
      <x:c r="X8" s="2" t="n">
        <x:f>E8+Supuestos!$C$15</x:f>
        <x:v>7</x:v>
      </x:c>
      <x:c r="Y8" s="2" t="n">
        <x:f>F8-G8</x:f>
        <x:v>0</x:v>
      </x:c>
      <x:c r="Z8" s="2" t="str">
        <x:v>simulado_didactico</x:v>
      </x:c>
    </x:row>
    <x:row r="9" ht="19" customHeight="1">
      <x:c r="A9" s="2" t="str">
        <x:v>MP_L0</x:v>
      </x:c>
      <x:c r="B9" s="2" t="str">
        <x:v>MP</x:v>
      </x:c>
      <x:c r="C9" s="2" t="str">
        <x:v>Myzus persicae</x:v>
      </x:c>
      <x:c r="D9" s="2" t="str">
        <x:v>L0</x:v>
      </x:c>
      <x:c r="E9" s="2" t="n">
        <x:v>7</x:v>
      </x:c>
      <x:c r="F9" s="2" t="n">
        <x:f>COUNTA(E2_plantas!A2,E2_plantas!A3,E2_plantas!A14,E2_plantas!A15,E2_plantas!A26,E2_plantas!A27,E2_plantas!A38,E2_plantas!A39,E2_plantas!A50,E2_plantas!A51)</x:f>
        <x:v>10</x:v>
      </x:c>
      <x:c r="G9" s="2" t="n">
        <x:f>SUM(E2_diario!K9,E2_diario!K51,E2_diario!K513,E2_diario!K555,E2_diario!K1017,E2_diario!K1059,E2_diario!K1521,E2_diario!K1563,E2_diario!K2025,E2_diario!K2067)</x:f>
        <x:v>10</x:v>
      </x:c>
      <x:c r="H9" s="2" t="n">
        <x:f>SUM(IF(E2_diario!J9="N1",1,0),IF(E2_diario!J51="N1",1,0),IF(E2_diario!J513="N1",1,0),IF(E2_diario!J555="N1",1,0),IF(E2_diario!J1017="N1",1,0),IF(E2_diario!J1059="N1",1,0),IF(E2_diario!J1521="N1",1,0),IF(E2_diario!J1563="N1",1,0),IF(E2_diario!J2025="N1",1,0),IF(E2_diario!J2067="N1",1,0))</x:f>
        <x:v>0</x:v>
      </x:c>
      <x:c r="I9" s="2" t="n">
        <x:f>SUM(IF(E2_diario!J9="N2",1,0),IF(E2_diario!J51="N2",1,0),IF(E2_diario!J513="N2",1,0),IF(E2_diario!J555="N2",1,0),IF(E2_diario!J1017="N2",1,0),IF(E2_diario!J1059="N2",1,0),IF(E2_diario!J1521="N2",1,0),IF(E2_diario!J1563="N2",1,0),IF(E2_diario!J2025="N2",1,0),IF(E2_diario!J2067="N2",1,0))</x:f>
        <x:v>0</x:v>
      </x:c>
      <x:c r="J9" s="2" t="n">
        <x:f>SUM(IF(E2_diario!J9="N3",1,0),IF(E2_diario!J51="N3",1,0),IF(E2_diario!J513="N3",1,0),IF(E2_diario!J555="N3",1,0),IF(E2_diario!J1017="N3",1,0),IF(E2_diario!J1059="N3",1,0),IF(E2_diario!J1521="N3",1,0),IF(E2_diario!J1563="N3",1,0),IF(E2_diario!J2025="N3",1,0),IF(E2_diario!J2067="N3",1,0))</x:f>
        <x:v>2</x:v>
      </x:c>
      <x:c r="K9" s="2" t="n">
        <x:f>SUM(IF(E2_diario!J9="N4",1,0),IF(E2_diario!J51="N4",1,0),IF(E2_diario!J513="N4",1,0),IF(E2_diario!J555="N4",1,0),IF(E2_diario!J1017="N4",1,0),IF(E2_diario!J1059="N4",1,0),IF(E2_diario!J1521="N4",1,0),IF(E2_diario!J1563="N4",1,0),IF(E2_diario!J2025="N4",1,0),IF(E2_diario!J2067="N4",1,0))</x:f>
        <x:v>7</x:v>
      </x:c>
      <x:c r="L9" s="2" t="n">
        <x:f>SUM(IF(E2_diario!J9="adulta",1,0),IF(E2_diario!J51="adulta",1,0),IF(E2_diario!J513="adulta",1,0),IF(E2_diario!J555="adulta",1,0),IF(E2_diario!J1017="adulta",1,0),IF(E2_diario!J1059="adulta",1,0),IF(E2_diario!J1521="adulta",1,0),IF(E2_diario!J1563="adulta",1,0),IF(E2_diario!J2025="adulta",1,0),IF(E2_diario!J2067="adulta",1,0))</x:f>
        <x:v>1</x:v>
      </x:c>
      <x:c r="M9" s="2" t="n">
        <x:f>SUM(E2_diario!L9,E2_diario!L51,E2_diario!L513,E2_diario!L555,E2_diario!L1017,E2_diario!L1059,E2_diario!L1521,E2_diario!L1563,E2_diario!L2025,E2_diario!L2067)</x:f>
        <x:v>0</x:v>
      </x:c>
      <x:c r="N9" s="20" t="n">
        <x:f>G9/F9</x:f>
        <x:v>1</x:v>
      </x:c>
      <x:c r="O9" s="20" t="n">
        <x:f>IF(G9=0,0,M9/G9)</x:f>
        <x:v>0</x:v>
      </x:c>
      <x:c r="P9" s="20" t="n">
        <x:f>N9*O9</x:f>
        <x:v>0</x:v>
      </x:c>
      <x:c r="Q9" s="20" t="n">
        <x:f>H9/F9</x:f>
        <x:v>0</x:v>
      </x:c>
      <x:c r="R9" s="20" t="n">
        <x:f>I9/F9</x:f>
        <x:v>0</x:v>
      </x:c>
      <x:c r="S9" s="20" t="n">
        <x:f>J9/F9</x:f>
        <x:v>0.2</x:v>
      </x:c>
      <x:c r="T9" s="20" t="n">
        <x:f>K9/F9</x:f>
        <x:v>0.7</x:v>
      </x:c>
      <x:c r="U9" s="20" t="n">
        <x:f>L9/F9</x:f>
        <x:v>0.1</x:v>
      </x:c>
      <x:c r="V9" s="20" t="n">
        <x:f>IF(L9=0,0,M9/L9)</x:f>
        <x:v>0</x:v>
      </x:c>
      <x:c r="W9" s="20" t="n">
        <x:f>SUM(P$2:P9)</x:f>
        <x:v>0</x:v>
      </x:c>
      <x:c r="X9" s="2" t="n">
        <x:f>E9+Supuestos!$C$15</x:f>
        <x:v>8</x:v>
      </x:c>
      <x:c r="Y9" s="2" t="n">
        <x:f>F9-G9</x:f>
        <x:v>0</x:v>
      </x:c>
      <x:c r="Z9" s="2" t="str">
        <x:v>simulado_didactico</x:v>
      </x:c>
    </x:row>
    <x:row r="10" ht="19" customHeight="1">
      <x:c r="A10" s="2" t="str">
        <x:v>MP_L0</x:v>
      </x:c>
      <x:c r="B10" s="2" t="str">
        <x:v>MP</x:v>
      </x:c>
      <x:c r="C10" s="2" t="str">
        <x:v>Myzus persicae</x:v>
      </x:c>
      <x:c r="D10" s="2" t="str">
        <x:v>L0</x:v>
      </x:c>
      <x:c r="E10" s="2" t="n">
        <x:v>8</x:v>
      </x:c>
      <x:c r="F10" s="2" t="n">
        <x:f>COUNTA(E2_plantas!A2,E2_plantas!A3,E2_plantas!A14,E2_plantas!A15,E2_plantas!A26,E2_plantas!A27,E2_plantas!A38,E2_plantas!A39,E2_plantas!A50,E2_plantas!A51)</x:f>
        <x:v>10</x:v>
      </x:c>
      <x:c r="G10" s="2" t="n">
        <x:f>SUM(E2_diario!K10,E2_diario!K52,E2_diario!K514,E2_diario!K556,E2_diario!K1018,E2_diario!K1060,E2_diario!K1522,E2_diario!K1564,E2_diario!K2026,E2_diario!K2068)</x:f>
        <x:v>10</x:v>
      </x:c>
      <x:c r="H10" s="2" t="n">
        <x:f>SUM(IF(E2_diario!J10="N1",1,0),IF(E2_diario!J52="N1",1,0),IF(E2_diario!J514="N1",1,0),IF(E2_diario!J556="N1",1,0),IF(E2_diario!J1018="N1",1,0),IF(E2_diario!J1060="N1",1,0),IF(E2_diario!J1522="N1",1,0),IF(E2_diario!J1564="N1",1,0),IF(E2_diario!J2026="N1",1,0),IF(E2_diario!J2068="N1",1,0))</x:f>
        <x:v>0</x:v>
      </x:c>
      <x:c r="I10" s="2" t="n">
        <x:f>SUM(IF(E2_diario!J10="N2",1,0),IF(E2_diario!J52="N2",1,0),IF(E2_diario!J514="N2",1,0),IF(E2_diario!J556="N2",1,0),IF(E2_diario!J1018="N2",1,0),IF(E2_diario!J1060="N2",1,0),IF(E2_diario!J1522="N2",1,0),IF(E2_diario!J1564="N2",1,0),IF(E2_diario!J2026="N2",1,0),IF(E2_diario!J2068="N2",1,0))</x:f>
        <x:v>0</x:v>
      </x:c>
      <x:c r="J10" s="2" t="n">
        <x:f>SUM(IF(E2_diario!J10="N3",1,0),IF(E2_diario!J52="N3",1,0),IF(E2_diario!J514="N3",1,0),IF(E2_diario!J556="N3",1,0),IF(E2_diario!J1018="N3",1,0),IF(E2_diario!J1060="N3",1,0),IF(E2_diario!J1522="N3",1,0),IF(E2_diario!J1564="N3",1,0),IF(E2_diario!J2026="N3",1,0),IF(E2_diario!J2068="N3",1,0))</x:f>
        <x:v>0</x:v>
      </x:c>
      <x:c r="K10" s="2" t="n">
        <x:f>SUM(IF(E2_diario!J10="N4",1,0),IF(E2_diario!J52="N4",1,0),IF(E2_diario!J514="N4",1,0),IF(E2_diario!J556="N4",1,0),IF(E2_diario!J1018="N4",1,0),IF(E2_diario!J1060="N4",1,0),IF(E2_diario!J1522="N4",1,0),IF(E2_diario!J1564="N4",1,0),IF(E2_diario!J2026="N4",1,0),IF(E2_diario!J2068="N4",1,0))</x:f>
        <x:v>4</x:v>
      </x:c>
      <x:c r="L10" s="2" t="n">
        <x:f>SUM(IF(E2_diario!J10="adulta",1,0),IF(E2_diario!J52="adulta",1,0),IF(E2_diario!J514="adulta",1,0),IF(E2_diario!J556="adulta",1,0),IF(E2_diario!J1018="adulta",1,0),IF(E2_diario!J1060="adulta",1,0),IF(E2_diario!J1522="adulta",1,0),IF(E2_diario!J1564="adulta",1,0),IF(E2_diario!J2026="adulta",1,0),IF(E2_diario!J2068="adulta",1,0))</x:f>
        <x:v>6</x:v>
      </x:c>
      <x:c r="M10" s="2" t="n">
        <x:f>SUM(E2_diario!L10,E2_diario!L52,E2_diario!L514,E2_diario!L556,E2_diario!L1018,E2_diario!L1060,E2_diario!L1522,E2_diario!L1564,E2_diario!L2026,E2_diario!L2068)</x:f>
        <x:v>6</x:v>
      </x:c>
      <x:c r="N10" s="20" t="n">
        <x:f>G10/F10</x:f>
        <x:v>1</x:v>
      </x:c>
      <x:c r="O10" s="20" t="n">
        <x:f>IF(G10=0,0,M10/G10)</x:f>
        <x:v>0.6</x:v>
      </x:c>
      <x:c r="P10" s="20" t="n">
        <x:f>N10*O10</x:f>
        <x:v>0.6</x:v>
      </x:c>
      <x:c r="Q10" s="20" t="n">
        <x:f>H10/F10</x:f>
        <x:v>0</x:v>
      </x:c>
      <x:c r="R10" s="20" t="n">
        <x:f>I10/F10</x:f>
        <x:v>0</x:v>
      </x:c>
      <x:c r="S10" s="20" t="n">
        <x:f>J10/F10</x:f>
        <x:v>0</x:v>
      </x:c>
      <x:c r="T10" s="20" t="n">
        <x:f>K10/F10</x:f>
        <x:v>0.4</x:v>
      </x:c>
      <x:c r="U10" s="20" t="n">
        <x:f>L10/F10</x:f>
        <x:v>0.6</x:v>
      </x:c>
      <x:c r="V10" s="20" t="n">
        <x:f>IF(L10=0,0,M10/L10)</x:f>
        <x:v>1</x:v>
      </x:c>
      <x:c r="W10" s="20" t="n">
        <x:f>SUM(P$2:P10)</x:f>
        <x:v>0.6</x:v>
      </x:c>
      <x:c r="X10" s="2" t="n">
        <x:f>E10+Supuestos!$C$15</x:f>
        <x:v>9</x:v>
      </x:c>
      <x:c r="Y10" s="2" t="n">
        <x:f>F10-G10</x:f>
        <x:v>0</x:v>
      </x:c>
      <x:c r="Z10" s="2" t="str">
        <x:v>simulado_didactico</x:v>
      </x:c>
    </x:row>
    <x:row r="11" ht="19" customHeight="1">
      <x:c r="A11" s="2" t="str">
        <x:v>MP_L0</x:v>
      </x:c>
      <x:c r="B11" s="2" t="str">
        <x:v>MP</x:v>
      </x:c>
      <x:c r="C11" s="2" t="str">
        <x:v>Myzus persicae</x:v>
      </x:c>
      <x:c r="D11" s="2" t="str">
        <x:v>L0</x:v>
      </x:c>
      <x:c r="E11" s="2" t="n">
        <x:v>9</x:v>
      </x:c>
      <x:c r="F11" s="2" t="n">
        <x:f>COUNTA(E2_plantas!A2,E2_plantas!A3,E2_plantas!A14,E2_plantas!A15,E2_plantas!A26,E2_plantas!A27,E2_plantas!A38,E2_plantas!A39,E2_plantas!A50,E2_plantas!A51)</x:f>
        <x:v>10</x:v>
      </x:c>
      <x:c r="G11" s="2" t="n">
        <x:f>SUM(E2_diario!K11,E2_diario!K53,E2_diario!K515,E2_diario!K557,E2_diario!K1019,E2_diario!K1061,E2_diario!K1523,E2_diario!K1565,E2_diario!K2027,E2_diario!K2069)</x:f>
        <x:v>10</x:v>
      </x:c>
      <x:c r="H11" s="2" t="n">
        <x:f>SUM(IF(E2_diario!J11="N1",1,0),IF(E2_diario!J53="N1",1,0),IF(E2_diario!J515="N1",1,0),IF(E2_diario!J557="N1",1,0),IF(E2_diario!J1019="N1",1,0),IF(E2_diario!J1061="N1",1,0),IF(E2_diario!J1523="N1",1,0),IF(E2_diario!J1565="N1",1,0),IF(E2_diario!J2027="N1",1,0),IF(E2_diario!J2069="N1",1,0))</x:f>
        <x:v>0</x:v>
      </x:c>
      <x:c r="I11" s="2" t="n">
        <x:f>SUM(IF(E2_diario!J11="N2",1,0),IF(E2_diario!J53="N2",1,0),IF(E2_diario!J515="N2",1,0),IF(E2_diario!J557="N2",1,0),IF(E2_diario!J1019="N2",1,0),IF(E2_diario!J1061="N2",1,0),IF(E2_diario!J1523="N2",1,0),IF(E2_diario!J1565="N2",1,0),IF(E2_diario!J2027="N2",1,0),IF(E2_diario!J2069="N2",1,0))</x:f>
        <x:v>0</x:v>
      </x:c>
      <x:c r="J11" s="2" t="n">
        <x:f>SUM(IF(E2_diario!J11="N3",1,0),IF(E2_diario!J53="N3",1,0),IF(E2_diario!J515="N3",1,0),IF(E2_diario!J557="N3",1,0),IF(E2_diario!J1019="N3",1,0),IF(E2_diario!J1061="N3",1,0),IF(E2_diario!J1523="N3",1,0),IF(E2_diario!J1565="N3",1,0),IF(E2_diario!J2027="N3",1,0),IF(E2_diario!J2069="N3",1,0))</x:f>
        <x:v>0</x:v>
      </x:c>
      <x:c r="K11" s="2" t="n">
        <x:f>SUM(IF(E2_diario!J11="N4",1,0),IF(E2_diario!J53="N4",1,0),IF(E2_diario!J515="N4",1,0),IF(E2_diario!J557="N4",1,0),IF(E2_diario!J1019="N4",1,0),IF(E2_diario!J1061="N4",1,0),IF(E2_diario!J1523="N4",1,0),IF(E2_diario!J1565="N4",1,0),IF(E2_diario!J2027="N4",1,0),IF(E2_diario!J2069="N4",1,0))</x:f>
        <x:v>0</x:v>
      </x:c>
      <x:c r="L11" s="2" t="n">
        <x:f>SUM(IF(E2_diario!J11="adulta",1,0),IF(E2_diario!J53="adulta",1,0),IF(E2_diario!J515="adulta",1,0),IF(E2_diario!J557="adulta",1,0),IF(E2_diario!J1019="adulta",1,0),IF(E2_diario!J1061="adulta",1,0),IF(E2_diario!J1523="adulta",1,0),IF(E2_diario!J1565="adulta",1,0),IF(E2_diario!J2027="adulta",1,0),IF(E2_diario!J2069="adulta",1,0))</x:f>
        <x:v>10</x:v>
      </x:c>
      <x:c r="M11" s="2" t="n">
        <x:f>SUM(E2_diario!L11,E2_diario!L53,E2_diario!L515,E2_diario!L557,E2_diario!L1019,E2_diario!L1061,E2_diario!L1523,E2_diario!L1565,E2_diario!L2027,E2_diario!L2069)</x:f>
        <x:v>13</x:v>
      </x:c>
      <x:c r="N11" s="20" t="n">
        <x:f>G11/F11</x:f>
        <x:v>1</x:v>
      </x:c>
      <x:c r="O11" s="20" t="n">
        <x:f>IF(G11=0,0,M11/G11)</x:f>
        <x:v>1.3</x:v>
      </x:c>
      <x:c r="P11" s="20" t="n">
        <x:f>N11*O11</x:f>
        <x:v>1.3</x:v>
      </x:c>
      <x:c r="Q11" s="20" t="n">
        <x:f>H11/F11</x:f>
        <x:v>0</x:v>
      </x:c>
      <x:c r="R11" s="20" t="n">
        <x:f>I11/F11</x:f>
        <x:v>0</x:v>
      </x:c>
      <x:c r="S11" s="20" t="n">
        <x:f>J11/F11</x:f>
        <x:v>0</x:v>
      </x:c>
      <x:c r="T11" s="20" t="n">
        <x:f>K11/F11</x:f>
        <x:v>0</x:v>
      </x:c>
      <x:c r="U11" s="20" t="n">
        <x:f>L11/F11</x:f>
        <x:v>1</x:v>
      </x:c>
      <x:c r="V11" s="20" t="n">
        <x:f>IF(L11=0,0,M11/L11)</x:f>
        <x:v>1.3</x:v>
      </x:c>
      <x:c r="W11" s="20" t="n">
        <x:f>SUM(P$2:P11)</x:f>
        <x:v>1.9</x:v>
      </x:c>
      <x:c r="X11" s="2" t="n">
        <x:f>E11+Supuestos!$C$15</x:f>
        <x:v>10</x:v>
      </x:c>
      <x:c r="Y11" s="2" t="n">
        <x:f>F11-G11</x:f>
        <x:v>0</x:v>
      </x:c>
      <x:c r="Z11" s="2" t="str">
        <x:v>simulado_didactico</x:v>
      </x:c>
    </x:row>
    <x:row r="12" ht="19" customHeight="1">
      <x:c r="A12" s="2" t="str">
        <x:v>MP_L0</x:v>
      </x:c>
      <x:c r="B12" s="2" t="str">
        <x:v>MP</x:v>
      </x:c>
      <x:c r="C12" s="2" t="str">
        <x:v>Myzus persicae</x:v>
      </x:c>
      <x:c r="D12" s="2" t="str">
        <x:v>L0</x:v>
      </x:c>
      <x:c r="E12" s="2" t="n">
        <x:v>10</x:v>
      </x:c>
      <x:c r="F12" s="2" t="n">
        <x:f>COUNTA(E2_plantas!A2,E2_plantas!A3,E2_plantas!A14,E2_plantas!A15,E2_plantas!A26,E2_plantas!A27,E2_plantas!A38,E2_plantas!A39,E2_plantas!A50,E2_plantas!A51)</x:f>
        <x:v>10</x:v>
      </x:c>
      <x:c r="G12" s="2" t="n">
        <x:f>SUM(E2_diario!K12,E2_diario!K54,E2_diario!K516,E2_diario!K558,E2_diario!K1020,E2_diario!K1062,E2_diario!K1524,E2_diario!K1566,E2_diario!K2028,E2_diario!K2070)</x:f>
        <x:v>10</x:v>
      </x:c>
      <x:c r="H12" s="2" t="n">
        <x:f>SUM(IF(E2_diario!J12="N1",1,0),IF(E2_diario!J54="N1",1,0),IF(E2_diario!J516="N1",1,0),IF(E2_diario!J558="N1",1,0),IF(E2_diario!J1020="N1",1,0),IF(E2_diario!J1062="N1",1,0),IF(E2_diario!J1524="N1",1,0),IF(E2_diario!J1566="N1",1,0),IF(E2_diario!J2028="N1",1,0),IF(E2_diario!J2070="N1",1,0))</x:f>
        <x:v>0</x:v>
      </x:c>
      <x:c r="I12" s="2" t="n">
        <x:f>SUM(IF(E2_diario!J12="N2",1,0),IF(E2_diario!J54="N2",1,0),IF(E2_diario!J516="N2",1,0),IF(E2_diario!J558="N2",1,0),IF(E2_diario!J1020="N2",1,0),IF(E2_diario!J1062="N2",1,0),IF(E2_diario!J1524="N2",1,0),IF(E2_diario!J1566="N2",1,0),IF(E2_diario!J2028="N2",1,0),IF(E2_diario!J2070="N2",1,0))</x:f>
        <x:v>0</x:v>
      </x:c>
      <x:c r="J12" s="2" t="n">
        <x:f>SUM(IF(E2_diario!J12="N3",1,0),IF(E2_diario!J54="N3",1,0),IF(E2_diario!J516="N3",1,0),IF(E2_diario!J558="N3",1,0),IF(E2_diario!J1020="N3",1,0),IF(E2_diario!J1062="N3",1,0),IF(E2_diario!J1524="N3",1,0),IF(E2_diario!J1566="N3",1,0),IF(E2_diario!J2028="N3",1,0),IF(E2_diario!J2070="N3",1,0))</x:f>
        <x:v>0</x:v>
      </x:c>
      <x:c r="K12" s="2" t="n">
        <x:f>SUM(IF(E2_diario!J12="N4",1,0),IF(E2_diario!J54="N4",1,0),IF(E2_diario!J516="N4",1,0),IF(E2_diario!J558="N4",1,0),IF(E2_diario!J1020="N4",1,0),IF(E2_diario!J1062="N4",1,0),IF(E2_diario!J1524="N4",1,0),IF(E2_diario!J1566="N4",1,0),IF(E2_diario!J2028="N4",1,0),IF(E2_diario!J2070="N4",1,0))</x:f>
        <x:v>0</x:v>
      </x:c>
      <x:c r="L12" s="2" t="n">
        <x:f>SUM(IF(E2_diario!J12="adulta",1,0),IF(E2_diario!J54="adulta",1,0),IF(E2_diario!J516="adulta",1,0),IF(E2_diario!J558="adulta",1,0),IF(E2_diario!J1020="adulta",1,0),IF(E2_diario!J1062="adulta",1,0),IF(E2_diario!J1524="adulta",1,0),IF(E2_diario!J1566="adulta",1,0),IF(E2_diario!J2028="adulta",1,0),IF(E2_diario!J2070="adulta",1,0))</x:f>
        <x:v>10</x:v>
      </x:c>
      <x:c r="M12" s="2" t="n">
        <x:f>SUM(E2_diario!L12,E2_diario!L54,E2_diario!L516,E2_diario!L558,E2_diario!L1020,E2_diario!L1062,E2_diario!L1524,E2_diario!L1566,E2_diario!L2028,E2_diario!L2070)</x:f>
        <x:v>33</x:v>
      </x:c>
      <x:c r="N12" s="20" t="n">
        <x:f>G12/F12</x:f>
        <x:v>1</x:v>
      </x:c>
      <x:c r="O12" s="20" t="n">
        <x:f>IF(G12=0,0,M12/G12)</x:f>
        <x:v>3.3</x:v>
      </x:c>
      <x:c r="P12" s="20" t="n">
        <x:f>N12*O12</x:f>
        <x:v>3.3</x:v>
      </x:c>
      <x:c r="Q12" s="20" t="n">
        <x:f>H12/F12</x:f>
        <x:v>0</x:v>
      </x:c>
      <x:c r="R12" s="20" t="n">
        <x:f>I12/F12</x:f>
        <x:v>0</x:v>
      </x:c>
      <x:c r="S12" s="20" t="n">
        <x:f>J12/F12</x:f>
        <x:v>0</x:v>
      </x:c>
      <x:c r="T12" s="20" t="n">
        <x:f>K12/F12</x:f>
        <x:v>0</x:v>
      </x:c>
      <x:c r="U12" s="20" t="n">
        <x:f>L12/F12</x:f>
        <x:v>1</x:v>
      </x:c>
      <x:c r="V12" s="20" t="n">
        <x:f>IF(L12=0,0,M12/L12)</x:f>
        <x:v>3.3</x:v>
      </x:c>
      <x:c r="W12" s="20" t="n">
        <x:f>SUM(P$2:P12)</x:f>
        <x:v>5.199999999999999</x:v>
      </x:c>
      <x:c r="X12" s="2" t="n">
        <x:f>E12+Supuestos!$C$15</x:f>
        <x:v>11</x:v>
      </x:c>
      <x:c r="Y12" s="2" t="n">
        <x:f>F12-G12</x:f>
        <x:v>0</x:v>
      </x:c>
      <x:c r="Z12" s="2" t="str">
        <x:v>simulado_didactico</x:v>
      </x:c>
    </x:row>
    <x:row r="13" ht="19" customHeight="1">
      <x:c r="A13" s="2" t="str">
        <x:v>MP_L0</x:v>
      </x:c>
      <x:c r="B13" s="2" t="str">
        <x:v>MP</x:v>
      </x:c>
      <x:c r="C13" s="2" t="str">
        <x:v>Myzus persicae</x:v>
      </x:c>
      <x:c r="D13" s="2" t="str">
        <x:v>L0</x:v>
      </x:c>
      <x:c r="E13" s="2" t="n">
        <x:v>11</x:v>
      </x:c>
      <x:c r="F13" s="2" t="n">
        <x:f>COUNTA(E2_plantas!A2,E2_plantas!A3,E2_plantas!A14,E2_plantas!A15,E2_plantas!A26,E2_plantas!A27,E2_plantas!A38,E2_plantas!A39,E2_plantas!A50,E2_plantas!A51)</x:f>
        <x:v>10</x:v>
      </x:c>
      <x:c r="G13" s="2" t="n">
        <x:f>SUM(E2_diario!K13,E2_diario!K55,E2_diario!K517,E2_diario!K559,E2_diario!K1021,E2_diario!K1063,E2_diario!K1525,E2_diario!K1567,E2_diario!K2029,E2_diario!K2071)</x:f>
        <x:v>10</x:v>
      </x:c>
      <x:c r="H13" s="2" t="n">
        <x:f>SUM(IF(E2_diario!J13="N1",1,0),IF(E2_diario!J55="N1",1,0),IF(E2_diario!J517="N1",1,0),IF(E2_diario!J559="N1",1,0),IF(E2_diario!J1021="N1",1,0),IF(E2_diario!J1063="N1",1,0),IF(E2_diario!J1525="N1",1,0),IF(E2_diario!J1567="N1",1,0),IF(E2_diario!J2029="N1",1,0),IF(E2_diario!J2071="N1",1,0))</x:f>
        <x:v>0</x:v>
      </x:c>
      <x:c r="I13" s="2" t="n">
        <x:f>SUM(IF(E2_diario!J13="N2",1,0),IF(E2_diario!J55="N2",1,0),IF(E2_diario!J517="N2",1,0),IF(E2_diario!J559="N2",1,0),IF(E2_diario!J1021="N2",1,0),IF(E2_diario!J1063="N2",1,0),IF(E2_diario!J1525="N2",1,0),IF(E2_diario!J1567="N2",1,0),IF(E2_diario!J2029="N2",1,0),IF(E2_diario!J2071="N2",1,0))</x:f>
        <x:v>0</x:v>
      </x:c>
      <x:c r="J13" s="2" t="n">
        <x:f>SUM(IF(E2_diario!J13="N3",1,0),IF(E2_diario!J55="N3",1,0),IF(E2_diario!J517="N3",1,0),IF(E2_diario!J559="N3",1,0),IF(E2_diario!J1021="N3",1,0),IF(E2_diario!J1063="N3",1,0),IF(E2_diario!J1525="N3",1,0),IF(E2_diario!J1567="N3",1,0),IF(E2_diario!J2029="N3",1,0),IF(E2_diario!J2071="N3",1,0))</x:f>
        <x:v>0</x:v>
      </x:c>
      <x:c r="K13" s="2" t="n">
        <x:f>SUM(IF(E2_diario!J13="N4",1,0),IF(E2_diario!J55="N4",1,0),IF(E2_diario!J517="N4",1,0),IF(E2_diario!J559="N4",1,0),IF(E2_diario!J1021="N4",1,0),IF(E2_diario!J1063="N4",1,0),IF(E2_diario!J1525="N4",1,0),IF(E2_diario!J1567="N4",1,0),IF(E2_diario!J2029="N4",1,0),IF(E2_diario!J2071="N4",1,0))</x:f>
        <x:v>0</x:v>
      </x:c>
      <x:c r="L13" s="2" t="n">
        <x:f>SUM(IF(E2_diario!J13="adulta",1,0),IF(E2_diario!J55="adulta",1,0),IF(E2_diario!J517="adulta",1,0),IF(E2_diario!J559="adulta",1,0),IF(E2_diario!J1021="adulta",1,0),IF(E2_diario!J1063="adulta",1,0),IF(E2_diario!J1525="adulta",1,0),IF(E2_diario!J1567="adulta",1,0),IF(E2_diario!J2029="adulta",1,0),IF(E2_diario!J2071="adulta",1,0))</x:f>
        <x:v>10</x:v>
      </x:c>
      <x:c r="M13" s="2" t="n">
        <x:f>SUM(E2_diario!L13,E2_diario!L55,E2_diario!L517,E2_diario!L559,E2_diario!L1021,E2_diario!L1063,E2_diario!L1525,E2_diario!L1567,E2_diario!L2029,E2_diario!L2071)</x:f>
        <x:v>34</x:v>
      </x:c>
      <x:c r="N13" s="20" t="n">
        <x:f>G13/F13</x:f>
        <x:v>1</x:v>
      </x:c>
      <x:c r="O13" s="20" t="n">
        <x:f>IF(G13=0,0,M13/G13)</x:f>
        <x:v>3.4</x:v>
      </x:c>
      <x:c r="P13" s="20" t="n">
        <x:f>N13*O13</x:f>
        <x:v>3.4</x:v>
      </x:c>
      <x:c r="Q13" s="20" t="n">
        <x:f>H13/F13</x:f>
        <x:v>0</x:v>
      </x:c>
      <x:c r="R13" s="20" t="n">
        <x:f>I13/F13</x:f>
        <x:v>0</x:v>
      </x:c>
      <x:c r="S13" s="20" t="n">
        <x:f>J13/F13</x:f>
        <x:v>0</x:v>
      </x:c>
      <x:c r="T13" s="20" t="n">
        <x:f>K13/F13</x:f>
        <x:v>0</x:v>
      </x:c>
      <x:c r="U13" s="20" t="n">
        <x:f>L13/F13</x:f>
        <x:v>1</x:v>
      </x:c>
      <x:c r="V13" s="20" t="n">
        <x:f>IF(L13=0,0,M13/L13)</x:f>
        <x:v>3.4</x:v>
      </x:c>
      <x:c r="W13" s="20" t="n">
        <x:f>SUM(P$2:P13)</x:f>
        <x:v>8.6</x:v>
      </x:c>
      <x:c r="X13" s="2" t="n">
        <x:f>E13+Supuestos!$C$15</x:f>
        <x:v>12</x:v>
      </x:c>
      <x:c r="Y13" s="2" t="n">
        <x:f>F13-G13</x:f>
        <x:v>0</x:v>
      </x:c>
      <x:c r="Z13" s="2" t="str">
        <x:v>simulado_didactico</x:v>
      </x:c>
    </x:row>
    <x:row r="14" ht="19" customHeight="1">
      <x:c r="A14" s="2" t="str">
        <x:v>MP_L0</x:v>
      </x:c>
      <x:c r="B14" s="2" t="str">
        <x:v>MP</x:v>
      </x:c>
      <x:c r="C14" s="2" t="str">
        <x:v>Myzus persicae</x:v>
      </x:c>
      <x:c r="D14" s="2" t="str">
        <x:v>L0</x:v>
      </x:c>
      <x:c r="E14" s="2" t="n">
        <x:v>12</x:v>
      </x:c>
      <x:c r="F14" s="2" t="n">
        <x:f>COUNTA(E2_plantas!A2,E2_plantas!A3,E2_plantas!A14,E2_plantas!A15,E2_plantas!A26,E2_plantas!A27,E2_plantas!A38,E2_plantas!A39,E2_plantas!A50,E2_plantas!A51)</x:f>
        <x:v>10</x:v>
      </x:c>
      <x:c r="G14" s="2" t="n">
        <x:f>SUM(E2_diario!K14,E2_diario!K56,E2_diario!K518,E2_diario!K560,E2_diario!K1022,E2_diario!K1064,E2_diario!K1526,E2_diario!K1568,E2_diario!K2030,E2_diario!K2072)</x:f>
        <x:v>10</x:v>
      </x:c>
      <x:c r="H14" s="2" t="n">
        <x:f>SUM(IF(E2_diario!J14="N1",1,0),IF(E2_diario!J56="N1",1,0),IF(E2_diario!J518="N1",1,0),IF(E2_diario!J560="N1",1,0),IF(E2_diario!J1022="N1",1,0),IF(E2_diario!J1064="N1",1,0),IF(E2_diario!J1526="N1",1,0),IF(E2_diario!J1568="N1",1,0),IF(E2_diario!J2030="N1",1,0),IF(E2_diario!J2072="N1",1,0))</x:f>
        <x:v>0</x:v>
      </x:c>
      <x:c r="I14" s="2" t="n">
        <x:f>SUM(IF(E2_diario!J14="N2",1,0),IF(E2_diario!J56="N2",1,0),IF(E2_diario!J518="N2",1,0),IF(E2_diario!J560="N2",1,0),IF(E2_diario!J1022="N2",1,0),IF(E2_diario!J1064="N2",1,0),IF(E2_diario!J1526="N2",1,0),IF(E2_diario!J1568="N2",1,0),IF(E2_diario!J2030="N2",1,0),IF(E2_diario!J2072="N2",1,0))</x:f>
        <x:v>0</x:v>
      </x:c>
      <x:c r="J14" s="2" t="n">
        <x:f>SUM(IF(E2_diario!J14="N3",1,0),IF(E2_diario!J56="N3",1,0),IF(E2_diario!J518="N3",1,0),IF(E2_diario!J560="N3",1,0),IF(E2_diario!J1022="N3",1,0),IF(E2_diario!J1064="N3",1,0),IF(E2_diario!J1526="N3",1,0),IF(E2_diario!J1568="N3",1,0),IF(E2_diario!J2030="N3",1,0),IF(E2_diario!J2072="N3",1,0))</x:f>
        <x:v>0</x:v>
      </x:c>
      <x:c r="K14" s="2" t="n">
        <x:f>SUM(IF(E2_diario!J14="N4",1,0),IF(E2_diario!J56="N4",1,0),IF(E2_diario!J518="N4",1,0),IF(E2_diario!J560="N4",1,0),IF(E2_diario!J1022="N4",1,0),IF(E2_diario!J1064="N4",1,0),IF(E2_diario!J1526="N4",1,0),IF(E2_diario!J1568="N4",1,0),IF(E2_diario!J2030="N4",1,0),IF(E2_diario!J2072="N4",1,0))</x:f>
        <x:v>0</x:v>
      </x:c>
      <x:c r="L14" s="2" t="n">
        <x:f>SUM(IF(E2_diario!J14="adulta",1,0),IF(E2_diario!J56="adulta",1,0),IF(E2_diario!J518="adulta",1,0),IF(E2_diario!J560="adulta",1,0),IF(E2_diario!J1022="adulta",1,0),IF(E2_diario!J1064="adulta",1,0),IF(E2_diario!J1526="adulta",1,0),IF(E2_diario!J1568="adulta",1,0),IF(E2_diario!J2030="adulta",1,0),IF(E2_diario!J2072="adulta",1,0))</x:f>
        <x:v>10</x:v>
      </x:c>
      <x:c r="M14" s="2" t="n">
        <x:f>SUM(E2_diario!L14,E2_diario!L56,E2_diario!L518,E2_diario!L560,E2_diario!L1022,E2_diario!L1064,E2_diario!L1526,E2_diario!L1568,E2_diario!L2030,E2_diario!L2072)</x:f>
        <x:v>45</x:v>
      </x:c>
      <x:c r="N14" s="20" t="n">
        <x:f>G14/F14</x:f>
        <x:v>1</x:v>
      </x:c>
      <x:c r="O14" s="20" t="n">
        <x:f>IF(G14=0,0,M14/G14)</x:f>
        <x:v>4.5</x:v>
      </x:c>
      <x:c r="P14" s="20" t="n">
        <x:f>N14*O14</x:f>
        <x:v>4.5</x:v>
      </x:c>
      <x:c r="Q14" s="20" t="n">
        <x:f>H14/F14</x:f>
        <x:v>0</x:v>
      </x:c>
      <x:c r="R14" s="20" t="n">
        <x:f>I14/F14</x:f>
        <x:v>0</x:v>
      </x:c>
      <x:c r="S14" s="20" t="n">
        <x:f>J14/F14</x:f>
        <x:v>0</x:v>
      </x:c>
      <x:c r="T14" s="20" t="n">
        <x:f>K14/F14</x:f>
        <x:v>0</x:v>
      </x:c>
      <x:c r="U14" s="20" t="n">
        <x:f>L14/F14</x:f>
        <x:v>1</x:v>
      </x:c>
      <x:c r="V14" s="20" t="n">
        <x:f>IF(L14=0,0,M14/L14)</x:f>
        <x:v>4.5</x:v>
      </x:c>
      <x:c r="W14" s="20" t="n">
        <x:f>SUM(P$2:P14)</x:f>
        <x:v>13.1</x:v>
      </x:c>
      <x:c r="X14" s="2" t="n">
        <x:f>E14+Supuestos!$C$15</x:f>
        <x:v>13</x:v>
      </x:c>
      <x:c r="Y14" s="2" t="n">
        <x:f>F14-G14</x:f>
        <x:v>0</x:v>
      </x:c>
      <x:c r="Z14" s="2" t="str">
        <x:v>simulado_didactico</x:v>
      </x:c>
    </x:row>
    <x:row r="15" ht="19" customHeight="1">
      <x:c r="A15" s="2" t="str">
        <x:v>MP_L0</x:v>
      </x:c>
      <x:c r="B15" s="2" t="str">
        <x:v>MP</x:v>
      </x:c>
      <x:c r="C15" s="2" t="str">
        <x:v>Myzus persicae</x:v>
      </x:c>
      <x:c r="D15" s="2" t="str">
        <x:v>L0</x:v>
      </x:c>
      <x:c r="E15" s="2" t="n">
        <x:v>13</x:v>
      </x:c>
      <x:c r="F15" s="2" t="n">
        <x:f>COUNTA(E2_plantas!A2,E2_plantas!A3,E2_plantas!A14,E2_plantas!A15,E2_plantas!A26,E2_plantas!A27,E2_plantas!A38,E2_plantas!A39,E2_plantas!A50,E2_plantas!A51)</x:f>
        <x:v>10</x:v>
      </x:c>
      <x:c r="G15" s="2" t="n">
        <x:f>SUM(E2_diario!K15,E2_diario!K57,E2_diario!K519,E2_diario!K561,E2_diario!K1023,E2_diario!K1065,E2_diario!K1527,E2_diario!K1569,E2_diario!K2031,E2_diario!K2073)</x:f>
        <x:v>10</x:v>
      </x:c>
      <x:c r="H15" s="2" t="n">
        <x:f>SUM(IF(E2_diario!J15="N1",1,0),IF(E2_diario!J57="N1",1,0),IF(E2_diario!J519="N1",1,0),IF(E2_diario!J561="N1",1,0),IF(E2_diario!J1023="N1",1,0),IF(E2_diario!J1065="N1",1,0),IF(E2_diario!J1527="N1",1,0),IF(E2_diario!J1569="N1",1,0),IF(E2_diario!J2031="N1",1,0),IF(E2_diario!J2073="N1",1,0))</x:f>
        <x:v>0</x:v>
      </x:c>
      <x:c r="I15" s="2" t="n">
        <x:f>SUM(IF(E2_diario!J15="N2",1,0),IF(E2_diario!J57="N2",1,0),IF(E2_diario!J519="N2",1,0),IF(E2_diario!J561="N2",1,0),IF(E2_diario!J1023="N2",1,0),IF(E2_diario!J1065="N2",1,0),IF(E2_diario!J1527="N2",1,0),IF(E2_diario!J1569="N2",1,0),IF(E2_diario!J2031="N2",1,0),IF(E2_diario!J2073="N2",1,0))</x:f>
        <x:v>0</x:v>
      </x:c>
      <x:c r="J15" s="2" t="n">
        <x:f>SUM(IF(E2_diario!J15="N3",1,0),IF(E2_diario!J57="N3",1,0),IF(E2_diario!J519="N3",1,0),IF(E2_diario!J561="N3",1,0),IF(E2_diario!J1023="N3",1,0),IF(E2_diario!J1065="N3",1,0),IF(E2_diario!J1527="N3",1,0),IF(E2_diario!J1569="N3",1,0),IF(E2_diario!J2031="N3",1,0),IF(E2_diario!J2073="N3",1,0))</x:f>
        <x:v>0</x:v>
      </x:c>
      <x:c r="K15" s="2" t="n">
        <x:f>SUM(IF(E2_diario!J15="N4",1,0),IF(E2_diario!J57="N4",1,0),IF(E2_diario!J519="N4",1,0),IF(E2_diario!J561="N4",1,0),IF(E2_diario!J1023="N4",1,0),IF(E2_diario!J1065="N4",1,0),IF(E2_diario!J1527="N4",1,0),IF(E2_diario!J1569="N4",1,0),IF(E2_diario!J2031="N4",1,0),IF(E2_diario!J2073="N4",1,0))</x:f>
        <x:v>0</x:v>
      </x:c>
      <x:c r="L15" s="2" t="n">
        <x:f>SUM(IF(E2_diario!J15="adulta",1,0),IF(E2_diario!J57="adulta",1,0),IF(E2_diario!J519="adulta",1,0),IF(E2_diario!J561="adulta",1,0),IF(E2_diario!J1023="adulta",1,0),IF(E2_diario!J1065="adulta",1,0),IF(E2_diario!J1527="adulta",1,0),IF(E2_diario!J1569="adulta",1,0),IF(E2_diario!J2031="adulta",1,0),IF(E2_diario!J2073="adulta",1,0))</x:f>
        <x:v>10</x:v>
      </x:c>
      <x:c r="M15" s="2" t="n">
        <x:f>SUM(E2_diario!L15,E2_diario!L57,E2_diario!L519,E2_diario!L561,E2_diario!L1023,E2_diario!L1065,E2_diario!L1527,E2_diario!L1569,E2_diario!L2031,E2_diario!L2073)</x:f>
        <x:v>29</x:v>
      </x:c>
      <x:c r="N15" s="20" t="n">
        <x:f>G15/F15</x:f>
        <x:v>1</x:v>
      </x:c>
      <x:c r="O15" s="20" t="n">
        <x:f>IF(G15=0,0,M15/G15)</x:f>
        <x:v>2.9</x:v>
      </x:c>
      <x:c r="P15" s="20" t="n">
        <x:f>N15*O15</x:f>
        <x:v>2.9</x:v>
      </x:c>
      <x:c r="Q15" s="20" t="n">
        <x:f>H15/F15</x:f>
        <x:v>0</x:v>
      </x:c>
      <x:c r="R15" s="20" t="n">
        <x:f>I15/F15</x:f>
        <x:v>0</x:v>
      </x:c>
      <x:c r="S15" s="20" t="n">
        <x:f>J15/F15</x:f>
        <x:v>0</x:v>
      </x:c>
      <x:c r="T15" s="20" t="n">
        <x:f>K15/F15</x:f>
        <x:v>0</x:v>
      </x:c>
      <x:c r="U15" s="20" t="n">
        <x:f>L15/F15</x:f>
        <x:v>1</x:v>
      </x:c>
      <x:c r="V15" s="20" t="n">
        <x:f>IF(L15=0,0,M15/L15)</x:f>
        <x:v>2.9</x:v>
      </x:c>
      <x:c r="W15" s="20" t="n">
        <x:f>SUM(P$2:P15)</x:f>
        <x:v>16</x:v>
      </x:c>
      <x:c r="X15" s="2" t="n">
        <x:f>E15+Supuestos!$C$15</x:f>
        <x:v>14</x:v>
      </x:c>
      <x:c r="Y15" s="2" t="n">
        <x:f>F15-G15</x:f>
        <x:v>0</x:v>
      </x:c>
      <x:c r="Z15" s="2" t="str">
        <x:v>simulado_didactico</x:v>
      </x:c>
    </x:row>
    <x:row r="16" ht="19" customHeight="1">
      <x:c r="A16" s="2" t="str">
        <x:v>MP_L0</x:v>
      </x:c>
      <x:c r="B16" s="2" t="str">
        <x:v>MP</x:v>
      </x:c>
      <x:c r="C16" s="2" t="str">
        <x:v>Myzus persicae</x:v>
      </x:c>
      <x:c r="D16" s="2" t="str">
        <x:v>L0</x:v>
      </x:c>
      <x:c r="E16" s="2" t="n">
        <x:v>14</x:v>
      </x:c>
      <x:c r="F16" s="2" t="n">
        <x:f>COUNTA(E2_plantas!A2,E2_plantas!A3,E2_plantas!A14,E2_plantas!A15,E2_plantas!A26,E2_plantas!A27,E2_plantas!A38,E2_plantas!A39,E2_plantas!A50,E2_plantas!A51)</x:f>
        <x:v>10</x:v>
      </x:c>
      <x:c r="G16" s="2" t="n">
        <x:f>SUM(E2_diario!K16,E2_diario!K58,E2_diario!K520,E2_diario!K562,E2_diario!K1024,E2_diario!K1066,E2_diario!K1528,E2_diario!K1570,E2_diario!K2032,E2_diario!K2074)</x:f>
        <x:v>10</x:v>
      </x:c>
      <x:c r="H16" s="2" t="n">
        <x:f>SUM(IF(E2_diario!J16="N1",1,0),IF(E2_diario!J58="N1",1,0),IF(E2_diario!J520="N1",1,0),IF(E2_diario!J562="N1",1,0),IF(E2_diario!J1024="N1",1,0),IF(E2_diario!J1066="N1",1,0),IF(E2_diario!J1528="N1",1,0),IF(E2_diario!J1570="N1",1,0),IF(E2_diario!J2032="N1",1,0),IF(E2_diario!J2074="N1",1,0))</x:f>
        <x:v>0</x:v>
      </x:c>
      <x:c r="I16" s="2" t="n">
        <x:f>SUM(IF(E2_diario!J16="N2",1,0),IF(E2_diario!J58="N2",1,0),IF(E2_diario!J520="N2",1,0),IF(E2_diario!J562="N2",1,0),IF(E2_diario!J1024="N2",1,0),IF(E2_diario!J1066="N2",1,0),IF(E2_diario!J1528="N2",1,0),IF(E2_diario!J1570="N2",1,0),IF(E2_diario!J2032="N2",1,0),IF(E2_diario!J2074="N2",1,0))</x:f>
        <x:v>0</x:v>
      </x:c>
      <x:c r="J16" s="2" t="n">
        <x:f>SUM(IF(E2_diario!J16="N3",1,0),IF(E2_diario!J58="N3",1,0),IF(E2_diario!J520="N3",1,0),IF(E2_diario!J562="N3",1,0),IF(E2_diario!J1024="N3",1,0),IF(E2_diario!J1066="N3",1,0),IF(E2_diario!J1528="N3",1,0),IF(E2_diario!J1570="N3",1,0),IF(E2_diario!J2032="N3",1,0),IF(E2_diario!J2074="N3",1,0))</x:f>
        <x:v>0</x:v>
      </x:c>
      <x:c r="K16" s="2" t="n">
        <x:f>SUM(IF(E2_diario!J16="N4",1,0),IF(E2_diario!J58="N4",1,0),IF(E2_diario!J520="N4",1,0),IF(E2_diario!J562="N4",1,0),IF(E2_diario!J1024="N4",1,0),IF(E2_diario!J1066="N4",1,0),IF(E2_diario!J1528="N4",1,0),IF(E2_diario!J1570="N4",1,0),IF(E2_diario!J2032="N4",1,0),IF(E2_diario!J2074="N4",1,0))</x:f>
        <x:v>0</x:v>
      </x:c>
      <x:c r="L16" s="2" t="n">
        <x:f>SUM(IF(E2_diario!J16="adulta",1,0),IF(E2_diario!J58="adulta",1,0),IF(E2_diario!J520="adulta",1,0),IF(E2_diario!J562="adulta",1,0),IF(E2_diario!J1024="adulta",1,0),IF(E2_diario!J1066="adulta",1,0),IF(E2_diario!J1528="adulta",1,0),IF(E2_diario!J1570="adulta",1,0),IF(E2_diario!J2032="adulta",1,0),IF(E2_diario!J2074="adulta",1,0))</x:f>
        <x:v>10</x:v>
      </x:c>
      <x:c r="M16" s="2" t="n">
        <x:f>SUM(E2_diario!L16,E2_diario!L58,E2_diario!L520,E2_diario!L562,E2_diario!L1024,E2_diario!L1066,E2_diario!L1528,E2_diario!L1570,E2_diario!L2032,E2_diario!L2074)</x:f>
        <x:v>27</x:v>
      </x:c>
      <x:c r="N16" s="20" t="n">
        <x:f>G16/F16</x:f>
        <x:v>1</x:v>
      </x:c>
      <x:c r="O16" s="20" t="n">
        <x:f>IF(G16=0,0,M16/G16)</x:f>
        <x:v>2.7</x:v>
      </x:c>
      <x:c r="P16" s="20" t="n">
        <x:f>N16*O16</x:f>
        <x:v>2.7</x:v>
      </x:c>
      <x:c r="Q16" s="20" t="n">
        <x:f>H16/F16</x:f>
        <x:v>0</x:v>
      </x:c>
      <x:c r="R16" s="20" t="n">
        <x:f>I16/F16</x:f>
        <x:v>0</x:v>
      </x:c>
      <x:c r="S16" s="20" t="n">
        <x:f>J16/F16</x:f>
        <x:v>0</x:v>
      </x:c>
      <x:c r="T16" s="20" t="n">
        <x:f>K16/F16</x:f>
        <x:v>0</x:v>
      </x:c>
      <x:c r="U16" s="20" t="n">
        <x:f>L16/F16</x:f>
        <x:v>1</x:v>
      </x:c>
      <x:c r="V16" s="20" t="n">
        <x:f>IF(L16=0,0,M16/L16)</x:f>
        <x:v>2.7</x:v>
      </x:c>
      <x:c r="W16" s="20" t="n">
        <x:f>SUM(P$2:P16)</x:f>
        <x:v>18.7</x:v>
      </x:c>
      <x:c r="X16" s="2" t="n">
        <x:f>E16+Supuestos!$C$15</x:f>
        <x:v>15</x:v>
      </x:c>
      <x:c r="Y16" s="2" t="n">
        <x:f>F16-G16</x:f>
        <x:v>0</x:v>
      </x:c>
      <x:c r="Z16" s="2" t="str">
        <x:v>simulado_didactico</x:v>
      </x:c>
    </x:row>
    <x:row r="17" ht="19" customHeight="1">
      <x:c r="A17" s="2" t="str">
        <x:v>MP_L0</x:v>
      </x:c>
      <x:c r="B17" s="2" t="str">
        <x:v>MP</x:v>
      </x:c>
      <x:c r="C17" s="2" t="str">
        <x:v>Myzus persicae</x:v>
      </x:c>
      <x:c r="D17" s="2" t="str">
        <x:v>L0</x:v>
      </x:c>
      <x:c r="E17" s="2" t="n">
        <x:v>15</x:v>
      </x:c>
      <x:c r="F17" s="2" t="n">
        <x:f>COUNTA(E2_plantas!A2,E2_plantas!A3,E2_plantas!A14,E2_plantas!A15,E2_plantas!A26,E2_plantas!A27,E2_plantas!A38,E2_plantas!A39,E2_plantas!A50,E2_plantas!A51)</x:f>
        <x:v>10</x:v>
      </x:c>
      <x:c r="G17" s="2" t="n">
        <x:f>SUM(E2_diario!K17,E2_diario!K59,E2_diario!K521,E2_diario!K563,E2_diario!K1025,E2_diario!K1067,E2_diario!K1529,E2_diario!K1571,E2_diario!K2033,E2_diario!K2075)</x:f>
        <x:v>10</x:v>
      </x:c>
      <x:c r="H17" s="2" t="n">
        <x:f>SUM(IF(E2_diario!J17="N1",1,0),IF(E2_diario!J59="N1",1,0),IF(E2_diario!J521="N1",1,0),IF(E2_diario!J563="N1",1,0),IF(E2_diario!J1025="N1",1,0),IF(E2_diario!J1067="N1",1,0),IF(E2_diario!J1529="N1",1,0),IF(E2_diario!J1571="N1",1,0),IF(E2_diario!J2033="N1",1,0),IF(E2_diario!J2075="N1",1,0))</x:f>
        <x:v>0</x:v>
      </x:c>
      <x:c r="I17" s="2" t="n">
        <x:f>SUM(IF(E2_diario!J17="N2",1,0),IF(E2_diario!J59="N2",1,0),IF(E2_diario!J521="N2",1,0),IF(E2_diario!J563="N2",1,0),IF(E2_diario!J1025="N2",1,0),IF(E2_diario!J1067="N2",1,0),IF(E2_diario!J1529="N2",1,0),IF(E2_diario!J1571="N2",1,0),IF(E2_diario!J2033="N2",1,0),IF(E2_diario!J2075="N2",1,0))</x:f>
        <x:v>0</x:v>
      </x:c>
      <x:c r="J17" s="2" t="n">
        <x:f>SUM(IF(E2_diario!J17="N3",1,0),IF(E2_diario!J59="N3",1,0),IF(E2_diario!J521="N3",1,0),IF(E2_diario!J563="N3",1,0),IF(E2_diario!J1025="N3",1,0),IF(E2_diario!J1067="N3",1,0),IF(E2_diario!J1529="N3",1,0),IF(E2_diario!J1571="N3",1,0),IF(E2_diario!J2033="N3",1,0),IF(E2_diario!J2075="N3",1,0))</x:f>
        <x:v>0</x:v>
      </x:c>
      <x:c r="K17" s="2" t="n">
        <x:f>SUM(IF(E2_diario!J17="N4",1,0),IF(E2_diario!J59="N4",1,0),IF(E2_diario!J521="N4",1,0),IF(E2_diario!J563="N4",1,0),IF(E2_diario!J1025="N4",1,0),IF(E2_diario!J1067="N4",1,0),IF(E2_diario!J1529="N4",1,0),IF(E2_diario!J1571="N4",1,0),IF(E2_diario!J2033="N4",1,0),IF(E2_diario!J2075="N4",1,0))</x:f>
        <x:v>0</x:v>
      </x:c>
      <x:c r="L17" s="2" t="n">
        <x:f>SUM(IF(E2_diario!J17="adulta",1,0),IF(E2_diario!J59="adulta",1,0),IF(E2_diario!J521="adulta",1,0),IF(E2_diario!J563="adulta",1,0),IF(E2_diario!J1025="adulta",1,0),IF(E2_diario!J1067="adulta",1,0),IF(E2_diario!J1529="adulta",1,0),IF(E2_diario!J1571="adulta",1,0),IF(E2_diario!J2033="adulta",1,0),IF(E2_diario!J2075="adulta",1,0))</x:f>
        <x:v>10</x:v>
      </x:c>
      <x:c r="M17" s="2" t="n">
        <x:f>SUM(E2_diario!L17,E2_diario!L59,E2_diario!L521,E2_diario!L563,E2_diario!L1025,E2_diario!L1067,E2_diario!L1529,E2_diario!L1571,E2_diario!L2033,E2_diario!L2075)</x:f>
        <x:v>41</x:v>
      </x:c>
      <x:c r="N17" s="20" t="n">
        <x:f>G17/F17</x:f>
        <x:v>1</x:v>
      </x:c>
      <x:c r="O17" s="20" t="n">
        <x:f>IF(G17=0,0,M17/G17)</x:f>
        <x:v>4.1</x:v>
      </x:c>
      <x:c r="P17" s="20" t="n">
        <x:f>N17*O17</x:f>
        <x:v>4.1</x:v>
      </x:c>
      <x:c r="Q17" s="20" t="n">
        <x:f>H17/F17</x:f>
        <x:v>0</x:v>
      </x:c>
      <x:c r="R17" s="20" t="n">
        <x:f>I17/F17</x:f>
        <x:v>0</x:v>
      </x:c>
      <x:c r="S17" s="20" t="n">
        <x:f>J17/F17</x:f>
        <x:v>0</x:v>
      </x:c>
      <x:c r="T17" s="20" t="n">
        <x:f>K17/F17</x:f>
        <x:v>0</x:v>
      </x:c>
      <x:c r="U17" s="20" t="n">
        <x:f>L17/F17</x:f>
        <x:v>1</x:v>
      </x:c>
      <x:c r="V17" s="20" t="n">
        <x:f>IF(L17=0,0,M17/L17)</x:f>
        <x:v>4.1</x:v>
      </x:c>
      <x:c r="W17" s="20" t="n">
        <x:f>SUM(P$2:P17)</x:f>
        <x:v>22.799999999999997</x:v>
      </x:c>
      <x:c r="X17" s="2" t="n">
        <x:f>E17+Supuestos!$C$15</x:f>
        <x:v>16</x:v>
      </x:c>
      <x:c r="Y17" s="2" t="n">
        <x:f>F17-G17</x:f>
        <x:v>0</x:v>
      </x:c>
      <x:c r="Z17" s="2" t="str">
        <x:v>simulado_didactico</x:v>
      </x:c>
    </x:row>
    <x:row r="18" ht="19" customHeight="1">
      <x:c r="A18" s="2" t="str">
        <x:v>MP_L0</x:v>
      </x:c>
      <x:c r="B18" s="2" t="str">
        <x:v>MP</x:v>
      </x:c>
      <x:c r="C18" s="2" t="str">
        <x:v>Myzus persicae</x:v>
      </x:c>
      <x:c r="D18" s="2" t="str">
        <x:v>L0</x:v>
      </x:c>
      <x:c r="E18" s="2" t="n">
        <x:v>16</x:v>
      </x:c>
      <x:c r="F18" s="2" t="n">
        <x:f>COUNTA(E2_plantas!A2,E2_plantas!A3,E2_plantas!A14,E2_plantas!A15,E2_plantas!A26,E2_plantas!A27,E2_plantas!A38,E2_plantas!A39,E2_plantas!A50,E2_plantas!A51)</x:f>
        <x:v>10</x:v>
      </x:c>
      <x:c r="G18" s="2" t="n">
        <x:f>SUM(E2_diario!K18,E2_diario!K60,E2_diario!K522,E2_diario!K564,E2_diario!K1026,E2_diario!K1068,E2_diario!K1530,E2_diario!K1572,E2_diario!K2034,E2_diario!K2076)</x:f>
        <x:v>10</x:v>
      </x:c>
      <x:c r="H18" s="2" t="n">
        <x:f>SUM(IF(E2_diario!J18="N1",1,0),IF(E2_diario!J60="N1",1,0),IF(E2_diario!J522="N1",1,0),IF(E2_diario!J564="N1",1,0),IF(E2_diario!J1026="N1",1,0),IF(E2_diario!J1068="N1",1,0),IF(E2_diario!J1530="N1",1,0),IF(E2_diario!J1572="N1",1,0),IF(E2_diario!J2034="N1",1,0),IF(E2_diario!J2076="N1",1,0))</x:f>
        <x:v>0</x:v>
      </x:c>
      <x:c r="I18" s="2" t="n">
        <x:f>SUM(IF(E2_diario!J18="N2",1,0),IF(E2_diario!J60="N2",1,0),IF(E2_diario!J522="N2",1,0),IF(E2_diario!J564="N2",1,0),IF(E2_diario!J1026="N2",1,0),IF(E2_diario!J1068="N2",1,0),IF(E2_diario!J1530="N2",1,0),IF(E2_diario!J1572="N2",1,0),IF(E2_diario!J2034="N2",1,0),IF(E2_diario!J2076="N2",1,0))</x:f>
        <x:v>0</x:v>
      </x:c>
      <x:c r="J18" s="2" t="n">
        <x:f>SUM(IF(E2_diario!J18="N3",1,0),IF(E2_diario!J60="N3",1,0),IF(E2_diario!J522="N3",1,0),IF(E2_diario!J564="N3",1,0),IF(E2_diario!J1026="N3",1,0),IF(E2_diario!J1068="N3",1,0),IF(E2_diario!J1530="N3",1,0),IF(E2_diario!J1572="N3",1,0),IF(E2_diario!J2034="N3",1,0),IF(E2_diario!J2076="N3",1,0))</x:f>
        <x:v>0</x:v>
      </x:c>
      <x:c r="K18" s="2" t="n">
        <x:f>SUM(IF(E2_diario!J18="N4",1,0),IF(E2_diario!J60="N4",1,0),IF(E2_diario!J522="N4",1,0),IF(E2_diario!J564="N4",1,0),IF(E2_diario!J1026="N4",1,0),IF(E2_diario!J1068="N4",1,0),IF(E2_diario!J1530="N4",1,0),IF(E2_diario!J1572="N4",1,0),IF(E2_diario!J2034="N4",1,0),IF(E2_diario!J2076="N4",1,0))</x:f>
        <x:v>0</x:v>
      </x:c>
      <x:c r="L18" s="2" t="n">
        <x:f>SUM(IF(E2_diario!J18="adulta",1,0),IF(E2_diario!J60="adulta",1,0),IF(E2_diario!J522="adulta",1,0),IF(E2_diario!J564="adulta",1,0),IF(E2_diario!J1026="adulta",1,0),IF(E2_diario!J1068="adulta",1,0),IF(E2_diario!J1530="adulta",1,0),IF(E2_diario!J1572="adulta",1,0),IF(E2_diario!J2034="adulta",1,0),IF(E2_diario!J2076="adulta",1,0))</x:f>
        <x:v>10</x:v>
      </x:c>
      <x:c r="M18" s="2" t="n">
        <x:f>SUM(E2_diario!L18,E2_diario!L60,E2_diario!L522,E2_diario!L564,E2_diario!L1026,E2_diario!L1068,E2_diario!L1530,E2_diario!L1572,E2_diario!L2034,E2_diario!L2076)</x:f>
        <x:v>40</x:v>
      </x:c>
      <x:c r="N18" s="20" t="n">
        <x:f>G18/F18</x:f>
        <x:v>1</x:v>
      </x:c>
      <x:c r="O18" s="20" t="n">
        <x:f>IF(G18=0,0,M18/G18)</x:f>
        <x:v>4</x:v>
      </x:c>
      <x:c r="P18" s="20" t="n">
        <x:f>N18*O18</x:f>
        <x:v>4</x:v>
      </x:c>
      <x:c r="Q18" s="20" t="n">
        <x:f>H18/F18</x:f>
        <x:v>0</x:v>
      </x:c>
      <x:c r="R18" s="20" t="n">
        <x:f>I18/F18</x:f>
        <x:v>0</x:v>
      </x:c>
      <x:c r="S18" s="20" t="n">
        <x:f>J18/F18</x:f>
        <x:v>0</x:v>
      </x:c>
      <x:c r="T18" s="20" t="n">
        <x:f>K18/F18</x:f>
        <x:v>0</x:v>
      </x:c>
      <x:c r="U18" s="20" t="n">
        <x:f>L18/F18</x:f>
        <x:v>1</x:v>
      </x:c>
      <x:c r="V18" s="20" t="n">
        <x:f>IF(L18=0,0,M18/L18)</x:f>
        <x:v>4</x:v>
      </x:c>
      <x:c r="W18" s="20" t="n">
        <x:f>SUM(P$2:P18)</x:f>
        <x:v>26.799999999999997</x:v>
      </x:c>
      <x:c r="X18" s="2" t="n">
        <x:f>E18+Supuestos!$C$15</x:f>
        <x:v>17</x:v>
      </x:c>
      <x:c r="Y18" s="2" t="n">
        <x:f>F18-G18</x:f>
        <x:v>0</x:v>
      </x:c>
      <x:c r="Z18" s="2" t="str">
        <x:v>simulado_didactico</x:v>
      </x:c>
    </x:row>
    <x:row r="19" ht="19" customHeight="1">
      <x:c r="A19" s="2" t="str">
        <x:v>MP_L0</x:v>
      </x:c>
      <x:c r="B19" s="2" t="str">
        <x:v>MP</x:v>
      </x:c>
      <x:c r="C19" s="2" t="str">
        <x:v>Myzus persicae</x:v>
      </x:c>
      <x:c r="D19" s="2" t="str">
        <x:v>L0</x:v>
      </x:c>
      <x:c r="E19" s="2" t="n">
        <x:v>17</x:v>
      </x:c>
      <x:c r="F19" s="2" t="n">
        <x:f>COUNTA(E2_plantas!A2,E2_plantas!A3,E2_plantas!A14,E2_plantas!A15,E2_plantas!A26,E2_plantas!A27,E2_plantas!A38,E2_plantas!A39,E2_plantas!A50,E2_plantas!A51)</x:f>
        <x:v>10</x:v>
      </x:c>
      <x:c r="G19" s="2" t="n">
        <x:f>SUM(E2_diario!K19,E2_diario!K61,E2_diario!K523,E2_diario!K565,E2_diario!K1027,E2_diario!K1069,E2_diario!K1531,E2_diario!K1573,E2_diario!K2035,E2_diario!K2077)</x:f>
        <x:v>10</x:v>
      </x:c>
      <x:c r="H19" s="2" t="n">
        <x:f>SUM(IF(E2_diario!J19="N1",1,0),IF(E2_diario!J61="N1",1,0),IF(E2_diario!J523="N1",1,0),IF(E2_diario!J565="N1",1,0),IF(E2_diario!J1027="N1",1,0),IF(E2_diario!J1069="N1",1,0),IF(E2_diario!J1531="N1",1,0),IF(E2_diario!J1573="N1",1,0),IF(E2_diario!J2035="N1",1,0),IF(E2_diario!J2077="N1",1,0))</x:f>
        <x:v>0</x:v>
      </x:c>
      <x:c r="I19" s="2" t="n">
        <x:f>SUM(IF(E2_diario!J19="N2",1,0),IF(E2_diario!J61="N2",1,0),IF(E2_diario!J523="N2",1,0),IF(E2_diario!J565="N2",1,0),IF(E2_diario!J1027="N2",1,0),IF(E2_diario!J1069="N2",1,0),IF(E2_diario!J1531="N2",1,0),IF(E2_diario!J1573="N2",1,0),IF(E2_diario!J2035="N2",1,0),IF(E2_diario!J2077="N2",1,0))</x:f>
        <x:v>0</x:v>
      </x:c>
      <x:c r="J19" s="2" t="n">
        <x:f>SUM(IF(E2_diario!J19="N3",1,0),IF(E2_diario!J61="N3",1,0),IF(E2_diario!J523="N3",1,0),IF(E2_diario!J565="N3",1,0),IF(E2_diario!J1027="N3",1,0),IF(E2_diario!J1069="N3",1,0),IF(E2_diario!J1531="N3",1,0),IF(E2_diario!J1573="N3",1,0),IF(E2_diario!J2035="N3",1,0),IF(E2_diario!J2077="N3",1,0))</x:f>
        <x:v>0</x:v>
      </x:c>
      <x:c r="K19" s="2" t="n">
        <x:f>SUM(IF(E2_diario!J19="N4",1,0),IF(E2_diario!J61="N4",1,0),IF(E2_diario!J523="N4",1,0),IF(E2_diario!J565="N4",1,0),IF(E2_diario!J1027="N4",1,0),IF(E2_diario!J1069="N4",1,0),IF(E2_diario!J1531="N4",1,0),IF(E2_diario!J1573="N4",1,0),IF(E2_diario!J2035="N4",1,0),IF(E2_diario!J2077="N4",1,0))</x:f>
        <x:v>0</x:v>
      </x:c>
      <x:c r="L19" s="2" t="n">
        <x:f>SUM(IF(E2_diario!J19="adulta",1,0),IF(E2_diario!J61="adulta",1,0),IF(E2_diario!J523="adulta",1,0),IF(E2_diario!J565="adulta",1,0),IF(E2_diario!J1027="adulta",1,0),IF(E2_diario!J1069="adulta",1,0),IF(E2_diario!J1531="adulta",1,0),IF(E2_diario!J1573="adulta",1,0),IF(E2_diario!J2035="adulta",1,0),IF(E2_diario!J2077="adulta",1,0))</x:f>
        <x:v>10</x:v>
      </x:c>
      <x:c r="M19" s="2" t="n">
        <x:f>SUM(E2_diario!L19,E2_diario!L61,E2_diario!L523,E2_diario!L565,E2_diario!L1027,E2_diario!L1069,E2_diario!L1531,E2_diario!L1573,E2_diario!L2035,E2_diario!L2077)</x:f>
        <x:v>38</x:v>
      </x:c>
      <x:c r="N19" s="20" t="n">
        <x:f>G19/F19</x:f>
        <x:v>1</x:v>
      </x:c>
      <x:c r="O19" s="20" t="n">
        <x:f>IF(G19=0,0,M19/G19)</x:f>
        <x:v>3.8</x:v>
      </x:c>
      <x:c r="P19" s="20" t="n">
        <x:f>N19*O19</x:f>
        <x:v>3.8</x:v>
      </x:c>
      <x:c r="Q19" s="20" t="n">
        <x:f>H19/F19</x:f>
        <x:v>0</x:v>
      </x:c>
      <x:c r="R19" s="20" t="n">
        <x:f>I19/F19</x:f>
        <x:v>0</x:v>
      </x:c>
      <x:c r="S19" s="20" t="n">
        <x:f>J19/F19</x:f>
        <x:v>0</x:v>
      </x:c>
      <x:c r="T19" s="20" t="n">
        <x:f>K19/F19</x:f>
        <x:v>0</x:v>
      </x:c>
      <x:c r="U19" s="20" t="n">
        <x:f>L19/F19</x:f>
        <x:v>1</x:v>
      </x:c>
      <x:c r="V19" s="20" t="n">
        <x:f>IF(L19=0,0,M19/L19)</x:f>
        <x:v>3.8</x:v>
      </x:c>
      <x:c r="W19" s="20" t="n">
        <x:f>SUM(P$2:P19)</x:f>
        <x:v>30.599999999999998</x:v>
      </x:c>
      <x:c r="X19" s="2" t="n">
        <x:f>E19+Supuestos!$C$15</x:f>
        <x:v>18</x:v>
      </x:c>
      <x:c r="Y19" s="2" t="n">
        <x:f>F19-G19</x:f>
        <x:v>0</x:v>
      </x:c>
      <x:c r="Z19" s="2" t="str">
        <x:v>simulado_didactico</x:v>
      </x:c>
    </x:row>
    <x:row r="20" ht="19" customHeight="1">
      <x:c r="A20" s="2" t="str">
        <x:v>MP_L0</x:v>
      </x:c>
      <x:c r="B20" s="2" t="str">
        <x:v>MP</x:v>
      </x:c>
      <x:c r="C20" s="2" t="str">
        <x:v>Myzus persicae</x:v>
      </x:c>
      <x:c r="D20" s="2" t="str">
        <x:v>L0</x:v>
      </x:c>
      <x:c r="E20" s="2" t="n">
        <x:v>18</x:v>
      </x:c>
      <x:c r="F20" s="2" t="n">
        <x:f>COUNTA(E2_plantas!A2,E2_plantas!A3,E2_plantas!A14,E2_plantas!A15,E2_plantas!A26,E2_plantas!A27,E2_plantas!A38,E2_plantas!A39,E2_plantas!A50,E2_plantas!A51)</x:f>
        <x:v>10</x:v>
      </x:c>
      <x:c r="G20" s="2" t="n">
        <x:f>SUM(E2_diario!K20,E2_diario!K62,E2_diario!K524,E2_diario!K566,E2_diario!K1028,E2_diario!K1070,E2_diario!K1532,E2_diario!K1574,E2_diario!K2036,E2_diario!K2078)</x:f>
        <x:v>10</x:v>
      </x:c>
      <x:c r="H20" s="2" t="n">
        <x:f>SUM(IF(E2_diario!J20="N1",1,0),IF(E2_diario!J62="N1",1,0),IF(E2_diario!J524="N1",1,0),IF(E2_diario!J566="N1",1,0),IF(E2_diario!J1028="N1",1,0),IF(E2_diario!J1070="N1",1,0),IF(E2_diario!J1532="N1",1,0),IF(E2_diario!J1574="N1",1,0),IF(E2_diario!J2036="N1",1,0),IF(E2_diario!J2078="N1",1,0))</x:f>
        <x:v>0</x:v>
      </x:c>
      <x:c r="I20" s="2" t="n">
        <x:f>SUM(IF(E2_diario!J20="N2",1,0),IF(E2_diario!J62="N2",1,0),IF(E2_diario!J524="N2",1,0),IF(E2_diario!J566="N2",1,0),IF(E2_diario!J1028="N2",1,0),IF(E2_diario!J1070="N2",1,0),IF(E2_diario!J1532="N2",1,0),IF(E2_diario!J1574="N2",1,0),IF(E2_diario!J2036="N2",1,0),IF(E2_diario!J2078="N2",1,0))</x:f>
        <x:v>0</x:v>
      </x:c>
      <x:c r="J20" s="2" t="n">
        <x:f>SUM(IF(E2_diario!J20="N3",1,0),IF(E2_diario!J62="N3",1,0),IF(E2_diario!J524="N3",1,0),IF(E2_diario!J566="N3",1,0),IF(E2_diario!J1028="N3",1,0),IF(E2_diario!J1070="N3",1,0),IF(E2_diario!J1532="N3",1,0),IF(E2_diario!J1574="N3",1,0),IF(E2_diario!J2036="N3",1,0),IF(E2_diario!J2078="N3",1,0))</x:f>
        <x:v>0</x:v>
      </x:c>
      <x:c r="K20" s="2" t="n">
        <x:f>SUM(IF(E2_diario!J20="N4",1,0),IF(E2_diario!J62="N4",1,0),IF(E2_diario!J524="N4",1,0),IF(E2_diario!J566="N4",1,0),IF(E2_diario!J1028="N4",1,0),IF(E2_diario!J1070="N4",1,0),IF(E2_diario!J1532="N4",1,0),IF(E2_diario!J1574="N4",1,0),IF(E2_diario!J2036="N4",1,0),IF(E2_diario!J2078="N4",1,0))</x:f>
        <x:v>0</x:v>
      </x:c>
      <x:c r="L20" s="2" t="n">
        <x:f>SUM(IF(E2_diario!J20="adulta",1,0),IF(E2_diario!J62="adulta",1,0),IF(E2_diario!J524="adulta",1,0),IF(E2_diario!J566="adulta",1,0),IF(E2_diario!J1028="adulta",1,0),IF(E2_diario!J1070="adulta",1,0),IF(E2_diario!J1532="adulta",1,0),IF(E2_diario!J1574="adulta",1,0),IF(E2_diario!J2036="adulta",1,0),IF(E2_diario!J2078="adulta",1,0))</x:f>
        <x:v>10</x:v>
      </x:c>
      <x:c r="M20" s="2" t="n">
        <x:f>SUM(E2_diario!L20,E2_diario!L62,E2_diario!L524,E2_diario!L566,E2_diario!L1028,E2_diario!L1070,E2_diario!L1532,E2_diario!L1574,E2_diario!L2036,E2_diario!L2078)</x:f>
        <x:v>41</x:v>
      </x:c>
      <x:c r="N20" s="20" t="n">
        <x:f>G20/F20</x:f>
        <x:v>1</x:v>
      </x:c>
      <x:c r="O20" s="20" t="n">
        <x:f>IF(G20=0,0,M20/G20)</x:f>
        <x:v>4.1</x:v>
      </x:c>
      <x:c r="P20" s="20" t="n">
        <x:f>N20*O20</x:f>
        <x:v>4.1</x:v>
      </x:c>
      <x:c r="Q20" s="20" t="n">
        <x:f>H20/F20</x:f>
        <x:v>0</x:v>
      </x:c>
      <x:c r="R20" s="20" t="n">
        <x:f>I20/F20</x:f>
        <x:v>0</x:v>
      </x:c>
      <x:c r="S20" s="20" t="n">
        <x:f>J20/F20</x:f>
        <x:v>0</x:v>
      </x:c>
      <x:c r="T20" s="20" t="n">
        <x:f>K20/F20</x:f>
        <x:v>0</x:v>
      </x:c>
      <x:c r="U20" s="20" t="n">
        <x:f>L20/F20</x:f>
        <x:v>1</x:v>
      </x:c>
      <x:c r="V20" s="20" t="n">
        <x:f>IF(L20=0,0,M20/L20)</x:f>
        <x:v>4.1</x:v>
      </x:c>
      <x:c r="W20" s="20" t="n">
        <x:f>SUM(P$2:P20)</x:f>
        <x:v>34.699999999999996</x:v>
      </x:c>
      <x:c r="X20" s="2" t="n">
        <x:f>E20+Supuestos!$C$15</x:f>
        <x:v>19</x:v>
      </x:c>
      <x:c r="Y20" s="2" t="n">
        <x:f>F20-G20</x:f>
        <x:v>0</x:v>
      </x:c>
      <x:c r="Z20" s="2" t="str">
        <x:v>simulado_didactico</x:v>
      </x:c>
    </x:row>
    <x:row r="21" ht="19" customHeight="1">
      <x:c r="A21" s="2" t="str">
        <x:v>MP_L0</x:v>
      </x:c>
      <x:c r="B21" s="2" t="str">
        <x:v>MP</x:v>
      </x:c>
      <x:c r="C21" s="2" t="str">
        <x:v>Myzus persicae</x:v>
      </x:c>
      <x:c r="D21" s="2" t="str">
        <x:v>L0</x:v>
      </x:c>
      <x:c r="E21" s="2" t="n">
        <x:v>19</x:v>
      </x:c>
      <x:c r="F21" s="2" t="n">
        <x:f>COUNTA(E2_plantas!A2,E2_plantas!A3,E2_plantas!A14,E2_plantas!A15,E2_plantas!A26,E2_plantas!A27,E2_plantas!A38,E2_plantas!A39,E2_plantas!A50,E2_plantas!A51)</x:f>
        <x:v>10</x:v>
      </x:c>
      <x:c r="G21" s="2" t="n">
        <x:f>SUM(E2_diario!K21,E2_diario!K63,E2_diario!K525,E2_diario!K567,E2_diario!K1029,E2_diario!K1071,E2_diario!K1533,E2_diario!K1575,E2_diario!K2037,E2_diario!K2079)</x:f>
        <x:v>10</x:v>
      </x:c>
      <x:c r="H21" s="2" t="n">
        <x:f>SUM(IF(E2_diario!J21="N1",1,0),IF(E2_diario!J63="N1",1,0),IF(E2_diario!J525="N1",1,0),IF(E2_diario!J567="N1",1,0),IF(E2_diario!J1029="N1",1,0),IF(E2_diario!J1071="N1",1,0),IF(E2_diario!J1533="N1",1,0),IF(E2_diario!J1575="N1",1,0),IF(E2_diario!J2037="N1",1,0),IF(E2_diario!J2079="N1",1,0))</x:f>
        <x:v>0</x:v>
      </x:c>
      <x:c r="I21" s="2" t="n">
        <x:f>SUM(IF(E2_diario!J21="N2",1,0),IF(E2_diario!J63="N2",1,0),IF(E2_diario!J525="N2",1,0),IF(E2_diario!J567="N2",1,0),IF(E2_diario!J1029="N2",1,0),IF(E2_diario!J1071="N2",1,0),IF(E2_diario!J1533="N2",1,0),IF(E2_diario!J1575="N2",1,0),IF(E2_diario!J2037="N2",1,0),IF(E2_diario!J2079="N2",1,0))</x:f>
        <x:v>0</x:v>
      </x:c>
      <x:c r="J21" s="2" t="n">
        <x:f>SUM(IF(E2_diario!J21="N3",1,0),IF(E2_diario!J63="N3",1,0),IF(E2_diario!J525="N3",1,0),IF(E2_diario!J567="N3",1,0),IF(E2_diario!J1029="N3",1,0),IF(E2_diario!J1071="N3",1,0),IF(E2_diario!J1533="N3",1,0),IF(E2_diario!J1575="N3",1,0),IF(E2_diario!J2037="N3",1,0),IF(E2_diario!J2079="N3",1,0))</x:f>
        <x:v>0</x:v>
      </x:c>
      <x:c r="K21" s="2" t="n">
        <x:f>SUM(IF(E2_diario!J21="N4",1,0),IF(E2_diario!J63="N4",1,0),IF(E2_diario!J525="N4",1,0),IF(E2_diario!J567="N4",1,0),IF(E2_diario!J1029="N4",1,0),IF(E2_diario!J1071="N4",1,0),IF(E2_diario!J1533="N4",1,0),IF(E2_diario!J1575="N4",1,0),IF(E2_diario!J2037="N4",1,0),IF(E2_diario!J2079="N4",1,0))</x:f>
        <x:v>0</x:v>
      </x:c>
      <x:c r="L21" s="2" t="n">
        <x:f>SUM(IF(E2_diario!J21="adulta",1,0),IF(E2_diario!J63="adulta",1,0),IF(E2_diario!J525="adulta",1,0),IF(E2_diario!J567="adulta",1,0),IF(E2_diario!J1029="adulta",1,0),IF(E2_diario!J1071="adulta",1,0),IF(E2_diario!J1533="adulta",1,0),IF(E2_diario!J1575="adulta",1,0),IF(E2_diario!J2037="adulta",1,0),IF(E2_diario!J2079="adulta",1,0))</x:f>
        <x:v>10</x:v>
      </x:c>
      <x:c r="M21" s="2" t="n">
        <x:f>SUM(E2_diario!L21,E2_diario!L63,E2_diario!L525,E2_diario!L567,E2_diario!L1029,E2_diario!L1071,E2_diario!L1533,E2_diario!L1575,E2_diario!L2037,E2_diario!L2079)</x:f>
        <x:v>28</x:v>
      </x:c>
      <x:c r="N21" s="20" t="n">
        <x:f>G21/F21</x:f>
        <x:v>1</x:v>
      </x:c>
      <x:c r="O21" s="20" t="n">
        <x:f>IF(G21=0,0,M21/G21)</x:f>
        <x:v>2.8</x:v>
      </x:c>
      <x:c r="P21" s="20" t="n">
        <x:f>N21*O21</x:f>
        <x:v>2.8</x:v>
      </x:c>
      <x:c r="Q21" s="20" t="n">
        <x:f>H21/F21</x:f>
        <x:v>0</x:v>
      </x:c>
      <x:c r="R21" s="20" t="n">
        <x:f>I21/F21</x:f>
        <x:v>0</x:v>
      </x:c>
      <x:c r="S21" s="20" t="n">
        <x:f>J21/F21</x:f>
        <x:v>0</x:v>
      </x:c>
      <x:c r="T21" s="20" t="n">
        <x:f>K21/F21</x:f>
        <x:v>0</x:v>
      </x:c>
      <x:c r="U21" s="20" t="n">
        <x:f>L21/F21</x:f>
        <x:v>1</x:v>
      </x:c>
      <x:c r="V21" s="20" t="n">
        <x:f>IF(L21=0,0,M21/L21)</x:f>
        <x:v>2.8</x:v>
      </x:c>
      <x:c r="W21" s="20" t="n">
        <x:f>SUM(P$2:P21)</x:f>
        <x:v>37.49999999999999</x:v>
      </x:c>
      <x:c r="X21" s="2" t="n">
        <x:f>E21+Supuestos!$C$15</x:f>
        <x:v>20</x:v>
      </x:c>
      <x:c r="Y21" s="2" t="n">
        <x:f>F21-G21</x:f>
        <x:v>0</x:v>
      </x:c>
      <x:c r="Z21" s="2" t="str">
        <x:v>simulado_didactico</x:v>
      </x:c>
    </x:row>
    <x:row r="22" ht="19" customHeight="1">
      <x:c r="A22" s="2" t="str">
        <x:v>MP_L0</x:v>
      </x:c>
      <x:c r="B22" s="2" t="str">
        <x:v>MP</x:v>
      </x:c>
      <x:c r="C22" s="2" t="str">
        <x:v>Myzus persicae</x:v>
      </x:c>
      <x:c r="D22" s="2" t="str">
        <x:v>L0</x:v>
      </x:c>
      <x:c r="E22" s="2" t="n">
        <x:v>20</x:v>
      </x:c>
      <x:c r="F22" s="2" t="n">
        <x:f>COUNTA(E2_plantas!A2,E2_plantas!A3,E2_plantas!A14,E2_plantas!A15,E2_plantas!A26,E2_plantas!A27,E2_plantas!A38,E2_plantas!A39,E2_plantas!A50,E2_plantas!A51)</x:f>
        <x:v>10</x:v>
      </x:c>
      <x:c r="G22" s="2" t="n">
        <x:f>SUM(E2_diario!K22,E2_diario!K64,E2_diario!K526,E2_diario!K568,E2_diario!K1030,E2_diario!K1072,E2_diario!K1534,E2_diario!K1576,E2_diario!K2038,E2_diario!K2080)</x:f>
        <x:v>10</x:v>
      </x:c>
      <x:c r="H22" s="2" t="n">
        <x:f>SUM(IF(E2_diario!J22="N1",1,0),IF(E2_diario!J64="N1",1,0),IF(E2_diario!J526="N1",1,0),IF(E2_diario!J568="N1",1,0),IF(E2_diario!J1030="N1",1,0),IF(E2_diario!J1072="N1",1,0),IF(E2_diario!J1534="N1",1,0),IF(E2_diario!J1576="N1",1,0),IF(E2_diario!J2038="N1",1,0),IF(E2_diario!J2080="N1",1,0))</x:f>
        <x:v>0</x:v>
      </x:c>
      <x:c r="I22" s="2" t="n">
        <x:f>SUM(IF(E2_diario!J22="N2",1,0),IF(E2_diario!J64="N2",1,0),IF(E2_diario!J526="N2",1,0),IF(E2_diario!J568="N2",1,0),IF(E2_diario!J1030="N2",1,0),IF(E2_diario!J1072="N2",1,0),IF(E2_diario!J1534="N2",1,0),IF(E2_diario!J1576="N2",1,0),IF(E2_diario!J2038="N2",1,0),IF(E2_diario!J2080="N2",1,0))</x:f>
        <x:v>0</x:v>
      </x:c>
      <x:c r="J22" s="2" t="n">
        <x:f>SUM(IF(E2_diario!J22="N3",1,0),IF(E2_diario!J64="N3",1,0),IF(E2_diario!J526="N3",1,0),IF(E2_diario!J568="N3",1,0),IF(E2_diario!J1030="N3",1,0),IF(E2_diario!J1072="N3",1,0),IF(E2_diario!J1534="N3",1,0),IF(E2_diario!J1576="N3",1,0),IF(E2_diario!J2038="N3",1,0),IF(E2_diario!J2080="N3",1,0))</x:f>
        <x:v>0</x:v>
      </x:c>
      <x:c r="K22" s="2" t="n">
        <x:f>SUM(IF(E2_diario!J22="N4",1,0),IF(E2_diario!J64="N4",1,0),IF(E2_diario!J526="N4",1,0),IF(E2_diario!J568="N4",1,0),IF(E2_diario!J1030="N4",1,0),IF(E2_diario!J1072="N4",1,0),IF(E2_diario!J1534="N4",1,0),IF(E2_diario!J1576="N4",1,0),IF(E2_diario!J2038="N4",1,0),IF(E2_diario!J2080="N4",1,0))</x:f>
        <x:v>0</x:v>
      </x:c>
      <x:c r="L22" s="2" t="n">
        <x:f>SUM(IF(E2_diario!J22="adulta",1,0),IF(E2_diario!J64="adulta",1,0),IF(E2_diario!J526="adulta",1,0),IF(E2_diario!J568="adulta",1,0),IF(E2_diario!J1030="adulta",1,0),IF(E2_diario!J1072="adulta",1,0),IF(E2_diario!J1534="adulta",1,0),IF(E2_diario!J1576="adulta",1,0),IF(E2_diario!J2038="adulta",1,0),IF(E2_diario!J2080="adulta",1,0))</x:f>
        <x:v>10</x:v>
      </x:c>
      <x:c r="M22" s="2" t="n">
        <x:f>SUM(E2_diario!L22,E2_diario!L64,E2_diario!L526,E2_diario!L568,E2_diario!L1030,E2_diario!L1072,E2_diario!L1534,E2_diario!L1576,E2_diario!L2038,E2_diario!L2080)</x:f>
        <x:v>26</x:v>
      </x:c>
      <x:c r="N22" s="20" t="n">
        <x:f>G22/F22</x:f>
        <x:v>1</x:v>
      </x:c>
      <x:c r="O22" s="20" t="n">
        <x:f>IF(G22=0,0,M22/G22)</x:f>
        <x:v>2.6</x:v>
      </x:c>
      <x:c r="P22" s="20" t="n">
        <x:f>N22*O22</x:f>
        <x:v>2.6</x:v>
      </x:c>
      <x:c r="Q22" s="20" t="n">
        <x:f>H22/F22</x:f>
        <x:v>0</x:v>
      </x:c>
      <x:c r="R22" s="20" t="n">
        <x:f>I22/F22</x:f>
        <x:v>0</x:v>
      </x:c>
      <x:c r="S22" s="20" t="n">
        <x:f>J22/F22</x:f>
        <x:v>0</x:v>
      </x:c>
      <x:c r="T22" s="20" t="n">
        <x:f>K22/F22</x:f>
        <x:v>0</x:v>
      </x:c>
      <x:c r="U22" s="20" t="n">
        <x:f>L22/F22</x:f>
        <x:v>1</x:v>
      </x:c>
      <x:c r="V22" s="20" t="n">
        <x:f>IF(L22=0,0,M22/L22)</x:f>
        <x:v>2.6</x:v>
      </x:c>
      <x:c r="W22" s="20" t="n">
        <x:f>SUM(P$2:P22)</x:f>
        <x:v>40.099999999999994</x:v>
      </x:c>
      <x:c r="X22" s="2" t="n">
        <x:f>E22+Supuestos!$C$15</x:f>
        <x:v>21</x:v>
      </x:c>
      <x:c r="Y22" s="2" t="n">
        <x:f>F22-G22</x:f>
        <x:v>0</x:v>
      </x:c>
      <x:c r="Z22" s="2" t="str">
        <x:v>simulado_didactico</x:v>
      </x:c>
    </x:row>
    <x:row r="23" ht="19" customHeight="1">
      <x:c r="A23" s="2" t="str">
        <x:v>MP_L0</x:v>
      </x:c>
      <x:c r="B23" s="2" t="str">
        <x:v>MP</x:v>
      </x:c>
      <x:c r="C23" s="2" t="str">
        <x:v>Myzus persicae</x:v>
      </x:c>
      <x:c r="D23" s="2" t="str">
        <x:v>L0</x:v>
      </x:c>
      <x:c r="E23" s="2" t="n">
        <x:v>21</x:v>
      </x:c>
      <x:c r="F23" s="2" t="n">
        <x:f>COUNTA(E2_plantas!A2,E2_plantas!A3,E2_plantas!A14,E2_plantas!A15,E2_plantas!A26,E2_plantas!A27,E2_plantas!A38,E2_plantas!A39,E2_plantas!A50,E2_plantas!A51)</x:f>
        <x:v>10</x:v>
      </x:c>
      <x:c r="G23" s="2" t="n">
        <x:f>SUM(E2_diario!K23,E2_diario!K65,E2_diario!K527,E2_diario!K569,E2_diario!K1031,E2_diario!K1073,E2_diario!K1535,E2_diario!K1577,E2_diario!K2039,E2_diario!K2081)</x:f>
        <x:v>10</x:v>
      </x:c>
      <x:c r="H23" s="2" t="n">
        <x:f>SUM(IF(E2_diario!J23="N1",1,0),IF(E2_diario!J65="N1",1,0),IF(E2_diario!J527="N1",1,0),IF(E2_diario!J569="N1",1,0),IF(E2_diario!J1031="N1",1,0),IF(E2_diario!J1073="N1",1,0),IF(E2_diario!J1535="N1",1,0),IF(E2_diario!J1577="N1",1,0),IF(E2_diario!J2039="N1",1,0),IF(E2_diario!J2081="N1",1,0))</x:f>
        <x:v>0</x:v>
      </x:c>
      <x:c r="I23" s="2" t="n">
        <x:f>SUM(IF(E2_diario!J23="N2",1,0),IF(E2_diario!J65="N2",1,0),IF(E2_diario!J527="N2",1,0),IF(E2_diario!J569="N2",1,0),IF(E2_diario!J1031="N2",1,0),IF(E2_diario!J1073="N2",1,0),IF(E2_diario!J1535="N2",1,0),IF(E2_diario!J1577="N2",1,0),IF(E2_diario!J2039="N2",1,0),IF(E2_diario!J2081="N2",1,0))</x:f>
        <x:v>0</x:v>
      </x:c>
      <x:c r="J23" s="2" t="n">
        <x:f>SUM(IF(E2_diario!J23="N3",1,0),IF(E2_diario!J65="N3",1,0),IF(E2_diario!J527="N3",1,0),IF(E2_diario!J569="N3",1,0),IF(E2_diario!J1031="N3",1,0),IF(E2_diario!J1073="N3",1,0),IF(E2_diario!J1535="N3",1,0),IF(E2_diario!J1577="N3",1,0),IF(E2_diario!J2039="N3",1,0),IF(E2_diario!J2081="N3",1,0))</x:f>
        <x:v>0</x:v>
      </x:c>
      <x:c r="K23" s="2" t="n">
        <x:f>SUM(IF(E2_diario!J23="N4",1,0),IF(E2_diario!J65="N4",1,0),IF(E2_diario!J527="N4",1,0),IF(E2_diario!J569="N4",1,0),IF(E2_diario!J1031="N4",1,0),IF(E2_diario!J1073="N4",1,0),IF(E2_diario!J1535="N4",1,0),IF(E2_diario!J1577="N4",1,0),IF(E2_diario!J2039="N4",1,0),IF(E2_diario!J2081="N4",1,0))</x:f>
        <x:v>0</x:v>
      </x:c>
      <x:c r="L23" s="2" t="n">
        <x:f>SUM(IF(E2_diario!J23="adulta",1,0),IF(E2_diario!J65="adulta",1,0),IF(E2_diario!J527="adulta",1,0),IF(E2_diario!J569="adulta",1,0),IF(E2_diario!J1031="adulta",1,0),IF(E2_diario!J1073="adulta",1,0),IF(E2_diario!J1535="adulta",1,0),IF(E2_diario!J1577="adulta",1,0),IF(E2_diario!J2039="adulta",1,0),IF(E2_diario!J2081="adulta",1,0))</x:f>
        <x:v>10</x:v>
      </x:c>
      <x:c r="M23" s="2" t="n">
        <x:f>SUM(E2_diario!L23,E2_diario!L65,E2_diario!L527,E2_diario!L569,E2_diario!L1031,E2_diario!L1073,E2_diario!L1535,E2_diario!L1577,E2_diario!L2039,E2_diario!L2081)</x:f>
        <x:v>46</x:v>
      </x:c>
      <x:c r="N23" s="20" t="n">
        <x:f>G23/F23</x:f>
        <x:v>1</x:v>
      </x:c>
      <x:c r="O23" s="20" t="n">
        <x:f>IF(G23=0,0,M23/G23)</x:f>
        <x:v>4.6</x:v>
      </x:c>
      <x:c r="P23" s="20" t="n">
        <x:f>N23*O23</x:f>
        <x:v>4.6</x:v>
      </x:c>
      <x:c r="Q23" s="20" t="n">
        <x:f>H23/F23</x:f>
        <x:v>0</x:v>
      </x:c>
      <x:c r="R23" s="20" t="n">
        <x:f>I23/F23</x:f>
        <x:v>0</x:v>
      </x:c>
      <x:c r="S23" s="20" t="n">
        <x:f>J23/F23</x:f>
        <x:v>0</x:v>
      </x:c>
      <x:c r="T23" s="20" t="n">
        <x:f>K23/F23</x:f>
        <x:v>0</x:v>
      </x:c>
      <x:c r="U23" s="20" t="n">
        <x:f>L23/F23</x:f>
        <x:v>1</x:v>
      </x:c>
      <x:c r="V23" s="20" t="n">
        <x:f>IF(L23=0,0,M23/L23)</x:f>
        <x:v>4.6</x:v>
      </x:c>
      <x:c r="W23" s="20" t="n">
        <x:f>SUM(P$2:P23)</x:f>
        <x:v>44.699999999999996</x:v>
      </x:c>
      <x:c r="X23" s="2" t="n">
        <x:f>E23+Supuestos!$C$15</x:f>
        <x:v>22</x:v>
      </x:c>
      <x:c r="Y23" s="2" t="n">
        <x:f>F23-G23</x:f>
        <x:v>0</x:v>
      </x:c>
      <x:c r="Z23" s="2" t="str">
        <x:v>simulado_didactico</x:v>
      </x:c>
    </x:row>
    <x:row r="24" ht="19" customHeight="1">
      <x:c r="A24" s="2" t="str">
        <x:v>MP_L0</x:v>
      </x:c>
      <x:c r="B24" s="2" t="str">
        <x:v>MP</x:v>
      </x:c>
      <x:c r="C24" s="2" t="str">
        <x:v>Myzus persicae</x:v>
      </x:c>
      <x:c r="D24" s="2" t="str">
        <x:v>L0</x:v>
      </x:c>
      <x:c r="E24" s="2" t="n">
        <x:v>22</x:v>
      </x:c>
      <x:c r="F24" s="2" t="n">
        <x:f>COUNTA(E2_plantas!A2,E2_plantas!A3,E2_plantas!A14,E2_plantas!A15,E2_plantas!A26,E2_plantas!A27,E2_plantas!A38,E2_plantas!A39,E2_plantas!A50,E2_plantas!A51)</x:f>
        <x:v>10</x:v>
      </x:c>
      <x:c r="G24" s="2" t="n">
        <x:f>SUM(E2_diario!K24,E2_diario!K66,E2_diario!K528,E2_diario!K570,E2_diario!K1032,E2_diario!K1074,E2_diario!K1536,E2_diario!K1578,E2_diario!K2040,E2_diario!K2082)</x:f>
        <x:v>10</x:v>
      </x:c>
      <x:c r="H24" s="2" t="n">
        <x:f>SUM(IF(E2_diario!J24="N1",1,0),IF(E2_diario!J66="N1",1,0),IF(E2_diario!J528="N1",1,0),IF(E2_diario!J570="N1",1,0),IF(E2_diario!J1032="N1",1,0),IF(E2_diario!J1074="N1",1,0),IF(E2_diario!J1536="N1",1,0),IF(E2_diario!J1578="N1",1,0),IF(E2_diario!J2040="N1",1,0),IF(E2_diario!J2082="N1",1,0))</x:f>
        <x:v>0</x:v>
      </x:c>
      <x:c r="I24" s="2" t="n">
        <x:f>SUM(IF(E2_diario!J24="N2",1,0),IF(E2_diario!J66="N2",1,0),IF(E2_diario!J528="N2",1,0),IF(E2_diario!J570="N2",1,0),IF(E2_diario!J1032="N2",1,0),IF(E2_diario!J1074="N2",1,0),IF(E2_diario!J1536="N2",1,0),IF(E2_diario!J1578="N2",1,0),IF(E2_diario!J2040="N2",1,0),IF(E2_diario!J2082="N2",1,0))</x:f>
        <x:v>0</x:v>
      </x:c>
      <x:c r="J24" s="2" t="n">
        <x:f>SUM(IF(E2_diario!J24="N3",1,0),IF(E2_diario!J66="N3",1,0),IF(E2_diario!J528="N3",1,0),IF(E2_diario!J570="N3",1,0),IF(E2_diario!J1032="N3",1,0),IF(E2_diario!J1074="N3",1,0),IF(E2_diario!J1536="N3",1,0),IF(E2_diario!J1578="N3",1,0),IF(E2_diario!J2040="N3",1,0),IF(E2_diario!J2082="N3",1,0))</x:f>
        <x:v>0</x:v>
      </x:c>
      <x:c r="K24" s="2" t="n">
        <x:f>SUM(IF(E2_diario!J24="N4",1,0),IF(E2_diario!J66="N4",1,0),IF(E2_diario!J528="N4",1,0),IF(E2_diario!J570="N4",1,0),IF(E2_diario!J1032="N4",1,0),IF(E2_diario!J1074="N4",1,0),IF(E2_diario!J1536="N4",1,0),IF(E2_diario!J1578="N4",1,0),IF(E2_diario!J2040="N4",1,0),IF(E2_diario!J2082="N4",1,0))</x:f>
        <x:v>0</x:v>
      </x:c>
      <x:c r="L24" s="2" t="n">
        <x:f>SUM(IF(E2_diario!J24="adulta",1,0),IF(E2_diario!J66="adulta",1,0),IF(E2_diario!J528="adulta",1,0),IF(E2_diario!J570="adulta",1,0),IF(E2_diario!J1032="adulta",1,0),IF(E2_diario!J1074="adulta",1,0),IF(E2_diario!J1536="adulta",1,0),IF(E2_diario!J1578="adulta",1,0),IF(E2_diario!J2040="adulta",1,0),IF(E2_diario!J2082="adulta",1,0))</x:f>
        <x:v>10</x:v>
      </x:c>
      <x:c r="M24" s="2" t="n">
        <x:f>SUM(E2_diario!L24,E2_diario!L66,E2_diario!L528,E2_diario!L570,E2_diario!L1032,E2_diario!L1074,E2_diario!L1536,E2_diario!L1578,E2_diario!L2040,E2_diario!L2082)</x:f>
        <x:v>24</x:v>
      </x:c>
      <x:c r="N24" s="20" t="n">
        <x:f>G24/F24</x:f>
        <x:v>1</x:v>
      </x:c>
      <x:c r="O24" s="20" t="n">
        <x:f>IF(G24=0,0,M24/G24)</x:f>
        <x:v>2.4</x:v>
      </x:c>
      <x:c r="P24" s="20" t="n">
        <x:f>N24*O24</x:f>
        <x:v>2.4</x:v>
      </x:c>
      <x:c r="Q24" s="20" t="n">
        <x:f>H24/F24</x:f>
        <x:v>0</x:v>
      </x:c>
      <x:c r="R24" s="20" t="n">
        <x:f>I24/F24</x:f>
        <x:v>0</x:v>
      </x:c>
      <x:c r="S24" s="20" t="n">
        <x:f>J24/F24</x:f>
        <x:v>0</x:v>
      </x:c>
      <x:c r="T24" s="20" t="n">
        <x:f>K24/F24</x:f>
        <x:v>0</x:v>
      </x:c>
      <x:c r="U24" s="20" t="n">
        <x:f>L24/F24</x:f>
        <x:v>1</x:v>
      </x:c>
      <x:c r="V24" s="20" t="n">
        <x:f>IF(L24=0,0,M24/L24)</x:f>
        <x:v>2.4</x:v>
      </x:c>
      <x:c r="W24" s="20" t="n">
        <x:f>SUM(P$2:P24)</x:f>
        <x:v>47.099999999999994</x:v>
      </x:c>
      <x:c r="X24" s="2" t="n">
        <x:f>E24+Supuestos!$C$15</x:f>
        <x:v>23</x:v>
      </x:c>
      <x:c r="Y24" s="2" t="n">
        <x:f>F24-G24</x:f>
        <x:v>0</x:v>
      </x:c>
      <x:c r="Z24" s="2" t="str">
        <x:v>simulado_didactico</x:v>
      </x:c>
    </x:row>
    <x:row r="25" ht="19" customHeight="1">
      <x:c r="A25" s="2" t="str">
        <x:v>MP_L0</x:v>
      </x:c>
      <x:c r="B25" s="2" t="str">
        <x:v>MP</x:v>
      </x:c>
      <x:c r="C25" s="2" t="str">
        <x:v>Myzus persicae</x:v>
      </x:c>
      <x:c r="D25" s="2" t="str">
        <x:v>L0</x:v>
      </x:c>
      <x:c r="E25" s="2" t="n">
        <x:v>23</x:v>
      </x:c>
      <x:c r="F25" s="2" t="n">
        <x:f>COUNTA(E2_plantas!A2,E2_plantas!A3,E2_plantas!A14,E2_plantas!A15,E2_plantas!A26,E2_plantas!A27,E2_plantas!A38,E2_plantas!A39,E2_plantas!A50,E2_plantas!A51)</x:f>
        <x:v>10</x:v>
      </x:c>
      <x:c r="G25" s="2" t="n">
        <x:f>SUM(E2_diario!K25,E2_diario!K67,E2_diario!K529,E2_diario!K571,E2_diario!K1033,E2_diario!K1075,E2_diario!K1537,E2_diario!K1579,E2_diario!K2041,E2_diario!K2083)</x:f>
        <x:v>10</x:v>
      </x:c>
      <x:c r="H25" s="2" t="n">
        <x:f>SUM(IF(E2_diario!J25="N1",1,0),IF(E2_diario!J67="N1",1,0),IF(E2_diario!J529="N1",1,0),IF(E2_diario!J571="N1",1,0),IF(E2_diario!J1033="N1",1,0),IF(E2_diario!J1075="N1",1,0),IF(E2_diario!J1537="N1",1,0),IF(E2_diario!J1579="N1",1,0),IF(E2_diario!J2041="N1",1,0),IF(E2_diario!J2083="N1",1,0))</x:f>
        <x:v>0</x:v>
      </x:c>
      <x:c r="I25" s="2" t="n">
        <x:f>SUM(IF(E2_diario!J25="N2",1,0),IF(E2_diario!J67="N2",1,0),IF(E2_diario!J529="N2",1,0),IF(E2_diario!J571="N2",1,0),IF(E2_diario!J1033="N2",1,0),IF(E2_diario!J1075="N2",1,0),IF(E2_diario!J1537="N2",1,0),IF(E2_diario!J1579="N2",1,0),IF(E2_diario!J2041="N2",1,0),IF(E2_diario!J2083="N2",1,0))</x:f>
        <x:v>0</x:v>
      </x:c>
      <x:c r="J25" s="2" t="n">
        <x:f>SUM(IF(E2_diario!J25="N3",1,0),IF(E2_diario!J67="N3",1,0),IF(E2_diario!J529="N3",1,0),IF(E2_diario!J571="N3",1,0),IF(E2_diario!J1033="N3",1,0),IF(E2_diario!J1075="N3",1,0),IF(E2_diario!J1537="N3",1,0),IF(E2_diario!J1579="N3",1,0),IF(E2_diario!J2041="N3",1,0),IF(E2_diario!J2083="N3",1,0))</x:f>
        <x:v>0</x:v>
      </x:c>
      <x:c r="K25" s="2" t="n">
        <x:f>SUM(IF(E2_diario!J25="N4",1,0),IF(E2_diario!J67="N4",1,0),IF(E2_diario!J529="N4",1,0),IF(E2_diario!J571="N4",1,0),IF(E2_diario!J1033="N4",1,0),IF(E2_diario!J1075="N4",1,0),IF(E2_diario!J1537="N4",1,0),IF(E2_diario!J1579="N4",1,0),IF(E2_diario!J2041="N4",1,0),IF(E2_diario!J2083="N4",1,0))</x:f>
        <x:v>0</x:v>
      </x:c>
      <x:c r="L25" s="2" t="n">
        <x:f>SUM(IF(E2_diario!J25="adulta",1,0),IF(E2_diario!J67="adulta",1,0),IF(E2_diario!J529="adulta",1,0),IF(E2_diario!J571="adulta",1,0),IF(E2_diario!J1033="adulta",1,0),IF(E2_diario!J1075="adulta",1,0),IF(E2_diario!J1537="adulta",1,0),IF(E2_diario!J1579="adulta",1,0),IF(E2_diario!J2041="adulta",1,0),IF(E2_diario!J2083="adulta",1,0))</x:f>
        <x:v>10</x:v>
      </x:c>
      <x:c r="M25" s="2" t="n">
        <x:f>SUM(E2_diario!L25,E2_diario!L67,E2_diario!L529,E2_diario!L571,E2_diario!L1033,E2_diario!L1075,E2_diario!L1537,E2_diario!L1579,E2_diario!L2041,E2_diario!L2083)</x:f>
        <x:v>23</x:v>
      </x:c>
      <x:c r="N25" s="20" t="n">
        <x:f>G25/F25</x:f>
        <x:v>1</x:v>
      </x:c>
      <x:c r="O25" s="20" t="n">
        <x:f>IF(G25=0,0,M25/G25)</x:f>
        <x:v>2.3</x:v>
      </x:c>
      <x:c r="P25" s="20" t="n">
        <x:f>N25*O25</x:f>
        <x:v>2.3</x:v>
      </x:c>
      <x:c r="Q25" s="20" t="n">
        <x:f>H25/F25</x:f>
        <x:v>0</x:v>
      </x:c>
      <x:c r="R25" s="20" t="n">
        <x:f>I25/F25</x:f>
        <x:v>0</x:v>
      </x:c>
      <x:c r="S25" s="20" t="n">
        <x:f>J25/F25</x:f>
        <x:v>0</x:v>
      </x:c>
      <x:c r="T25" s="20" t="n">
        <x:f>K25/F25</x:f>
        <x:v>0</x:v>
      </x:c>
      <x:c r="U25" s="20" t="n">
        <x:f>L25/F25</x:f>
        <x:v>1</x:v>
      </x:c>
      <x:c r="V25" s="20" t="n">
        <x:f>IF(L25=0,0,M25/L25)</x:f>
        <x:v>2.3</x:v>
      </x:c>
      <x:c r="W25" s="20" t="n">
        <x:f>SUM(P$2:P25)</x:f>
        <x:v>49.39999999999999</x:v>
      </x:c>
      <x:c r="X25" s="2" t="n">
        <x:f>E25+Supuestos!$C$15</x:f>
        <x:v>24</x:v>
      </x:c>
      <x:c r="Y25" s="2" t="n">
        <x:f>F25-G25</x:f>
        <x:v>0</x:v>
      </x:c>
      <x:c r="Z25" s="2" t="str">
        <x:v>simulado_didactico</x:v>
      </x:c>
    </x:row>
    <x:row r="26" ht="19" customHeight="1">
      <x:c r="A26" s="2" t="str">
        <x:v>MP_L0</x:v>
      </x:c>
      <x:c r="B26" s="2" t="str">
        <x:v>MP</x:v>
      </x:c>
      <x:c r="C26" s="2" t="str">
        <x:v>Myzus persicae</x:v>
      </x:c>
      <x:c r="D26" s="2" t="str">
        <x:v>L0</x:v>
      </x:c>
      <x:c r="E26" s="2" t="n">
        <x:v>24</x:v>
      </x:c>
      <x:c r="F26" s="2" t="n">
        <x:f>COUNTA(E2_plantas!A2,E2_plantas!A3,E2_plantas!A14,E2_plantas!A15,E2_plantas!A26,E2_plantas!A27,E2_plantas!A38,E2_plantas!A39,E2_plantas!A50,E2_plantas!A51)</x:f>
        <x:v>10</x:v>
      </x:c>
      <x:c r="G26" s="2" t="n">
        <x:f>SUM(E2_diario!K26,E2_diario!K68,E2_diario!K530,E2_diario!K572,E2_diario!K1034,E2_diario!K1076,E2_diario!K1538,E2_diario!K1580,E2_diario!K2042,E2_diario!K2084)</x:f>
        <x:v>10</x:v>
      </x:c>
      <x:c r="H26" s="2" t="n">
        <x:f>SUM(IF(E2_diario!J26="N1",1,0),IF(E2_diario!J68="N1",1,0),IF(E2_diario!J530="N1",1,0),IF(E2_diario!J572="N1",1,0),IF(E2_diario!J1034="N1",1,0),IF(E2_diario!J1076="N1",1,0),IF(E2_diario!J1538="N1",1,0),IF(E2_diario!J1580="N1",1,0),IF(E2_diario!J2042="N1",1,0),IF(E2_diario!J2084="N1",1,0))</x:f>
        <x:v>0</x:v>
      </x:c>
      <x:c r="I26" s="2" t="n">
        <x:f>SUM(IF(E2_diario!J26="N2",1,0),IF(E2_diario!J68="N2",1,0),IF(E2_diario!J530="N2",1,0),IF(E2_diario!J572="N2",1,0),IF(E2_diario!J1034="N2",1,0),IF(E2_diario!J1076="N2",1,0),IF(E2_diario!J1538="N2",1,0),IF(E2_diario!J1580="N2",1,0),IF(E2_diario!J2042="N2",1,0),IF(E2_diario!J2084="N2",1,0))</x:f>
        <x:v>0</x:v>
      </x:c>
      <x:c r="J26" s="2" t="n">
        <x:f>SUM(IF(E2_diario!J26="N3",1,0),IF(E2_diario!J68="N3",1,0),IF(E2_diario!J530="N3",1,0),IF(E2_diario!J572="N3",1,0),IF(E2_diario!J1034="N3",1,0),IF(E2_diario!J1076="N3",1,0),IF(E2_diario!J1538="N3",1,0),IF(E2_diario!J1580="N3",1,0),IF(E2_diario!J2042="N3",1,0),IF(E2_diario!J2084="N3",1,0))</x:f>
        <x:v>0</x:v>
      </x:c>
      <x:c r="K26" s="2" t="n">
        <x:f>SUM(IF(E2_diario!J26="N4",1,0),IF(E2_diario!J68="N4",1,0),IF(E2_diario!J530="N4",1,0),IF(E2_diario!J572="N4",1,0),IF(E2_diario!J1034="N4",1,0),IF(E2_diario!J1076="N4",1,0),IF(E2_diario!J1538="N4",1,0),IF(E2_diario!J1580="N4",1,0),IF(E2_diario!J2042="N4",1,0),IF(E2_diario!J2084="N4",1,0))</x:f>
        <x:v>0</x:v>
      </x:c>
      <x:c r="L26" s="2" t="n">
        <x:f>SUM(IF(E2_diario!J26="adulta",1,0),IF(E2_diario!J68="adulta",1,0),IF(E2_diario!J530="adulta",1,0),IF(E2_diario!J572="adulta",1,0),IF(E2_diario!J1034="adulta",1,0),IF(E2_diario!J1076="adulta",1,0),IF(E2_diario!J1538="adulta",1,0),IF(E2_diario!J1580="adulta",1,0),IF(E2_diario!J2042="adulta",1,0),IF(E2_diario!J2084="adulta",1,0))</x:f>
        <x:v>10</x:v>
      </x:c>
      <x:c r="M26" s="2" t="n">
        <x:f>SUM(E2_diario!L26,E2_diario!L68,E2_diario!L530,E2_diario!L572,E2_diario!L1034,E2_diario!L1076,E2_diario!L1538,E2_diario!L1580,E2_diario!L2042,E2_diario!L2084)</x:f>
        <x:v>26</x:v>
      </x:c>
      <x:c r="N26" s="20" t="n">
        <x:f>G26/F26</x:f>
        <x:v>1</x:v>
      </x:c>
      <x:c r="O26" s="20" t="n">
        <x:f>IF(G26=0,0,M26/G26)</x:f>
        <x:v>2.6</x:v>
      </x:c>
      <x:c r="P26" s="20" t="n">
        <x:f>N26*O26</x:f>
        <x:v>2.6</x:v>
      </x:c>
      <x:c r="Q26" s="20" t="n">
        <x:f>H26/F26</x:f>
        <x:v>0</x:v>
      </x:c>
      <x:c r="R26" s="20" t="n">
        <x:f>I26/F26</x:f>
        <x:v>0</x:v>
      </x:c>
      <x:c r="S26" s="20" t="n">
        <x:f>J26/F26</x:f>
        <x:v>0</x:v>
      </x:c>
      <x:c r="T26" s="20" t="n">
        <x:f>K26/F26</x:f>
        <x:v>0</x:v>
      </x:c>
      <x:c r="U26" s="20" t="n">
        <x:f>L26/F26</x:f>
        <x:v>1</x:v>
      </x:c>
      <x:c r="V26" s="20" t="n">
        <x:f>IF(L26=0,0,M26/L26)</x:f>
        <x:v>2.6</x:v>
      </x:c>
      <x:c r="W26" s="20" t="n">
        <x:f>SUM(P$2:P26)</x:f>
        <x:v>51.99999999999999</x:v>
      </x:c>
      <x:c r="X26" s="2" t="n">
        <x:f>E26+Supuestos!$C$15</x:f>
        <x:v>25</x:v>
      </x:c>
      <x:c r="Y26" s="2" t="n">
        <x:f>F26-G26</x:f>
        <x:v>0</x:v>
      </x:c>
      <x:c r="Z26" s="2" t="str">
        <x:v>simulado_didactico</x:v>
      </x:c>
    </x:row>
    <x:row r="27" ht="19" customHeight="1">
      <x:c r="A27" s="2" t="str">
        <x:v>MP_L0</x:v>
      </x:c>
      <x:c r="B27" s="2" t="str">
        <x:v>MP</x:v>
      </x:c>
      <x:c r="C27" s="2" t="str">
        <x:v>Myzus persicae</x:v>
      </x:c>
      <x:c r="D27" s="2" t="str">
        <x:v>L0</x:v>
      </x:c>
      <x:c r="E27" s="2" t="n">
        <x:v>25</x:v>
      </x:c>
      <x:c r="F27" s="2" t="n">
        <x:f>COUNTA(E2_plantas!A2,E2_plantas!A3,E2_plantas!A14,E2_plantas!A15,E2_plantas!A26,E2_plantas!A27,E2_plantas!A38,E2_plantas!A39,E2_plantas!A50,E2_plantas!A51)</x:f>
        <x:v>10</x:v>
      </x:c>
      <x:c r="G27" s="2" t="n">
        <x:f>SUM(E2_diario!K27,E2_diario!K69,E2_diario!K531,E2_diario!K573,E2_diario!K1035,E2_diario!K1077,E2_diario!K1539,E2_diario!K1581,E2_diario!K2043,E2_diario!K2085)</x:f>
        <x:v>10</x:v>
      </x:c>
      <x:c r="H27" s="2" t="n">
        <x:f>SUM(IF(E2_diario!J27="N1",1,0),IF(E2_diario!J69="N1",1,0),IF(E2_diario!J531="N1",1,0),IF(E2_diario!J573="N1",1,0),IF(E2_diario!J1035="N1",1,0),IF(E2_diario!J1077="N1",1,0),IF(E2_diario!J1539="N1",1,0),IF(E2_diario!J1581="N1",1,0),IF(E2_diario!J2043="N1",1,0),IF(E2_diario!J2085="N1",1,0))</x:f>
        <x:v>0</x:v>
      </x:c>
      <x:c r="I27" s="2" t="n">
        <x:f>SUM(IF(E2_diario!J27="N2",1,0),IF(E2_diario!J69="N2",1,0),IF(E2_diario!J531="N2",1,0),IF(E2_diario!J573="N2",1,0),IF(E2_diario!J1035="N2",1,0),IF(E2_diario!J1077="N2",1,0),IF(E2_diario!J1539="N2",1,0),IF(E2_diario!J1581="N2",1,0),IF(E2_diario!J2043="N2",1,0),IF(E2_diario!J2085="N2",1,0))</x:f>
        <x:v>0</x:v>
      </x:c>
      <x:c r="J27" s="2" t="n">
        <x:f>SUM(IF(E2_diario!J27="N3",1,0),IF(E2_diario!J69="N3",1,0),IF(E2_diario!J531="N3",1,0),IF(E2_diario!J573="N3",1,0),IF(E2_diario!J1035="N3",1,0),IF(E2_diario!J1077="N3",1,0),IF(E2_diario!J1539="N3",1,0),IF(E2_diario!J1581="N3",1,0),IF(E2_diario!J2043="N3",1,0),IF(E2_diario!J2085="N3",1,0))</x:f>
        <x:v>0</x:v>
      </x:c>
      <x:c r="K27" s="2" t="n">
        <x:f>SUM(IF(E2_diario!J27="N4",1,0),IF(E2_diario!J69="N4",1,0),IF(E2_diario!J531="N4",1,0),IF(E2_diario!J573="N4",1,0),IF(E2_diario!J1035="N4",1,0),IF(E2_diario!J1077="N4",1,0),IF(E2_diario!J1539="N4",1,0),IF(E2_diario!J1581="N4",1,0),IF(E2_diario!J2043="N4",1,0),IF(E2_diario!J2085="N4",1,0))</x:f>
        <x:v>0</x:v>
      </x:c>
      <x:c r="L27" s="2" t="n">
        <x:f>SUM(IF(E2_diario!J27="adulta",1,0),IF(E2_diario!J69="adulta",1,0),IF(E2_diario!J531="adulta",1,0),IF(E2_diario!J573="adulta",1,0),IF(E2_diario!J1035="adulta",1,0),IF(E2_diario!J1077="adulta",1,0),IF(E2_diario!J1539="adulta",1,0),IF(E2_diario!J1581="adulta",1,0),IF(E2_diario!J2043="adulta",1,0),IF(E2_diario!J2085="adulta",1,0))</x:f>
        <x:v>10</x:v>
      </x:c>
      <x:c r="M27" s="2" t="n">
        <x:f>SUM(E2_diario!L27,E2_diario!L69,E2_diario!L531,E2_diario!L573,E2_diario!L1035,E2_diario!L1077,E2_diario!L1539,E2_diario!L1581,E2_diario!L2043,E2_diario!L2085)</x:f>
        <x:v>16</x:v>
      </x:c>
      <x:c r="N27" s="20" t="n">
        <x:f>G27/F27</x:f>
        <x:v>1</x:v>
      </x:c>
      <x:c r="O27" s="20" t="n">
        <x:f>IF(G27=0,0,M27/G27)</x:f>
        <x:v>1.6</x:v>
      </x:c>
      <x:c r="P27" s="20" t="n">
        <x:f>N27*O27</x:f>
        <x:v>1.6</x:v>
      </x:c>
      <x:c r="Q27" s="20" t="n">
        <x:f>H27/F27</x:f>
        <x:v>0</x:v>
      </x:c>
      <x:c r="R27" s="20" t="n">
        <x:f>I27/F27</x:f>
        <x:v>0</x:v>
      </x:c>
      <x:c r="S27" s="20" t="n">
        <x:f>J27/F27</x:f>
        <x:v>0</x:v>
      </x:c>
      <x:c r="T27" s="20" t="n">
        <x:f>K27/F27</x:f>
        <x:v>0</x:v>
      </x:c>
      <x:c r="U27" s="20" t="n">
        <x:f>L27/F27</x:f>
        <x:v>1</x:v>
      </x:c>
      <x:c r="V27" s="20" t="n">
        <x:f>IF(L27=0,0,M27/L27)</x:f>
        <x:v>1.6</x:v>
      </x:c>
      <x:c r="W27" s="20" t="n">
        <x:f>SUM(P$2:P27)</x:f>
        <x:v>53.599999999999994</x:v>
      </x:c>
      <x:c r="X27" s="2" t="n">
        <x:f>E27+Supuestos!$C$15</x:f>
        <x:v>26</x:v>
      </x:c>
      <x:c r="Y27" s="2" t="n">
        <x:f>F27-G27</x:f>
        <x:v>0</x:v>
      </x:c>
      <x:c r="Z27" s="2" t="str">
        <x:v>simulado_didactico</x:v>
      </x:c>
    </x:row>
    <x:row r="28" ht="19" customHeight="1">
      <x:c r="A28" s="2" t="str">
        <x:v>MP_L0</x:v>
      </x:c>
      <x:c r="B28" s="2" t="str">
        <x:v>MP</x:v>
      </x:c>
      <x:c r="C28" s="2" t="str">
        <x:v>Myzus persicae</x:v>
      </x:c>
      <x:c r="D28" s="2" t="str">
        <x:v>L0</x:v>
      </x:c>
      <x:c r="E28" s="2" t="n">
        <x:v>26</x:v>
      </x:c>
      <x:c r="F28" s="2" t="n">
        <x:f>COUNTA(E2_plantas!A2,E2_plantas!A3,E2_plantas!A14,E2_plantas!A15,E2_plantas!A26,E2_plantas!A27,E2_plantas!A38,E2_plantas!A39,E2_plantas!A50,E2_plantas!A51)</x:f>
        <x:v>10</x:v>
      </x:c>
      <x:c r="G28" s="2" t="n">
        <x:f>SUM(E2_diario!K28,E2_diario!K70,E2_diario!K532,E2_diario!K574,E2_diario!K1036,E2_diario!K1078,E2_diario!K1540,E2_diario!K1582,E2_diario!K2044,E2_diario!K2086)</x:f>
        <x:v>10</x:v>
      </x:c>
      <x:c r="H28" s="2" t="n">
        <x:f>SUM(IF(E2_diario!J28="N1",1,0),IF(E2_diario!J70="N1",1,0),IF(E2_diario!J532="N1",1,0),IF(E2_diario!J574="N1",1,0),IF(E2_diario!J1036="N1",1,0),IF(E2_diario!J1078="N1",1,0),IF(E2_diario!J1540="N1",1,0),IF(E2_diario!J1582="N1",1,0),IF(E2_diario!J2044="N1",1,0),IF(E2_diario!J2086="N1",1,0))</x:f>
        <x:v>0</x:v>
      </x:c>
      <x:c r="I28" s="2" t="n">
        <x:f>SUM(IF(E2_diario!J28="N2",1,0),IF(E2_diario!J70="N2",1,0),IF(E2_diario!J532="N2",1,0),IF(E2_diario!J574="N2",1,0),IF(E2_diario!J1036="N2",1,0),IF(E2_diario!J1078="N2",1,0),IF(E2_diario!J1540="N2",1,0),IF(E2_diario!J1582="N2",1,0),IF(E2_diario!J2044="N2",1,0),IF(E2_diario!J2086="N2",1,0))</x:f>
        <x:v>0</x:v>
      </x:c>
      <x:c r="J28" s="2" t="n">
        <x:f>SUM(IF(E2_diario!J28="N3",1,0),IF(E2_diario!J70="N3",1,0),IF(E2_diario!J532="N3",1,0),IF(E2_diario!J574="N3",1,0),IF(E2_diario!J1036="N3",1,0),IF(E2_diario!J1078="N3",1,0),IF(E2_diario!J1540="N3",1,0),IF(E2_diario!J1582="N3",1,0),IF(E2_diario!J2044="N3",1,0),IF(E2_diario!J2086="N3",1,0))</x:f>
        <x:v>0</x:v>
      </x:c>
      <x:c r="K28" s="2" t="n">
        <x:f>SUM(IF(E2_diario!J28="N4",1,0),IF(E2_diario!J70="N4",1,0),IF(E2_diario!J532="N4",1,0),IF(E2_diario!J574="N4",1,0),IF(E2_diario!J1036="N4",1,0),IF(E2_diario!J1078="N4",1,0),IF(E2_diario!J1540="N4",1,0),IF(E2_diario!J1582="N4",1,0),IF(E2_diario!J2044="N4",1,0),IF(E2_diario!J2086="N4",1,0))</x:f>
        <x:v>0</x:v>
      </x:c>
      <x:c r="L28" s="2" t="n">
        <x:f>SUM(IF(E2_diario!J28="adulta",1,0),IF(E2_diario!J70="adulta",1,0),IF(E2_diario!J532="adulta",1,0),IF(E2_diario!J574="adulta",1,0),IF(E2_diario!J1036="adulta",1,0),IF(E2_diario!J1078="adulta",1,0),IF(E2_diario!J1540="adulta",1,0),IF(E2_diario!J1582="adulta",1,0),IF(E2_diario!J2044="adulta",1,0),IF(E2_diario!J2086="adulta",1,0))</x:f>
        <x:v>10</x:v>
      </x:c>
      <x:c r="M28" s="2" t="n">
        <x:f>SUM(E2_diario!L28,E2_diario!L70,E2_diario!L532,E2_diario!L574,E2_diario!L1036,E2_diario!L1078,E2_diario!L1540,E2_diario!L1582,E2_diario!L2044,E2_diario!L2086)</x:f>
        <x:v>10</x:v>
      </x:c>
      <x:c r="N28" s="20" t="n">
        <x:f>G28/F28</x:f>
        <x:v>1</x:v>
      </x:c>
      <x:c r="O28" s="20" t="n">
        <x:f>IF(G28=0,0,M28/G28)</x:f>
        <x:v>1</x:v>
      </x:c>
      <x:c r="P28" s="20" t="n">
        <x:f>N28*O28</x:f>
        <x:v>1</x:v>
      </x:c>
      <x:c r="Q28" s="20" t="n">
        <x:f>H28/F28</x:f>
        <x:v>0</x:v>
      </x:c>
      <x:c r="R28" s="20" t="n">
        <x:f>I28/F28</x:f>
        <x:v>0</x:v>
      </x:c>
      <x:c r="S28" s="20" t="n">
        <x:f>J28/F28</x:f>
        <x:v>0</x:v>
      </x:c>
      <x:c r="T28" s="20" t="n">
        <x:f>K28/F28</x:f>
        <x:v>0</x:v>
      </x:c>
      <x:c r="U28" s="20" t="n">
        <x:f>L28/F28</x:f>
        <x:v>1</x:v>
      </x:c>
      <x:c r="V28" s="20" t="n">
        <x:f>IF(L28=0,0,M28/L28)</x:f>
        <x:v>1</x:v>
      </x:c>
      <x:c r="W28" s="20" t="n">
        <x:f>SUM(P$2:P28)</x:f>
        <x:v>54.599999999999994</x:v>
      </x:c>
      <x:c r="X28" s="2" t="n">
        <x:f>E28+Supuestos!$C$15</x:f>
        <x:v>27</x:v>
      </x:c>
      <x:c r="Y28" s="2" t="n">
        <x:f>F28-G28</x:f>
        <x:v>0</x:v>
      </x:c>
      <x:c r="Z28" s="2" t="str">
        <x:v>simulado_didactico</x:v>
      </x:c>
    </x:row>
    <x:row r="29" ht="19" customHeight="1">
      <x:c r="A29" s="2" t="str">
        <x:v>MP_L0</x:v>
      </x:c>
      <x:c r="B29" s="2" t="str">
        <x:v>MP</x:v>
      </x:c>
      <x:c r="C29" s="2" t="str">
        <x:v>Myzus persicae</x:v>
      </x:c>
      <x:c r="D29" s="2" t="str">
        <x:v>L0</x:v>
      </x:c>
      <x:c r="E29" s="2" t="n">
        <x:v>27</x:v>
      </x:c>
      <x:c r="F29" s="2" t="n">
        <x:f>COUNTA(E2_plantas!A2,E2_plantas!A3,E2_plantas!A14,E2_plantas!A15,E2_plantas!A26,E2_plantas!A27,E2_plantas!A38,E2_plantas!A39,E2_plantas!A50,E2_plantas!A51)</x:f>
        <x:v>10</x:v>
      </x:c>
      <x:c r="G29" s="2" t="n">
        <x:f>SUM(E2_diario!K29,E2_diario!K71,E2_diario!K533,E2_diario!K575,E2_diario!K1037,E2_diario!K1079,E2_diario!K1541,E2_diario!K1583,E2_diario!K2045,E2_diario!K2087)</x:f>
        <x:v>9</x:v>
      </x:c>
      <x:c r="H29" s="2" t="n">
        <x:f>SUM(IF(E2_diario!J29="N1",1,0),IF(E2_diario!J71="N1",1,0),IF(E2_diario!J533="N1",1,0),IF(E2_diario!J575="N1",1,0),IF(E2_diario!J1037="N1",1,0),IF(E2_diario!J1079="N1",1,0),IF(E2_diario!J1541="N1",1,0),IF(E2_diario!J1583="N1",1,0),IF(E2_diario!J2045="N1",1,0),IF(E2_diario!J2087="N1",1,0))</x:f>
        <x:v>0</x:v>
      </x:c>
      <x:c r="I29" s="2" t="n">
        <x:f>SUM(IF(E2_diario!J29="N2",1,0),IF(E2_diario!J71="N2",1,0),IF(E2_diario!J533="N2",1,0),IF(E2_diario!J575="N2",1,0),IF(E2_diario!J1037="N2",1,0),IF(E2_diario!J1079="N2",1,0),IF(E2_diario!J1541="N2",1,0),IF(E2_diario!J1583="N2",1,0),IF(E2_diario!J2045="N2",1,0),IF(E2_diario!J2087="N2",1,0))</x:f>
        <x:v>0</x:v>
      </x:c>
      <x:c r="J29" s="2" t="n">
        <x:f>SUM(IF(E2_diario!J29="N3",1,0),IF(E2_diario!J71="N3",1,0),IF(E2_diario!J533="N3",1,0),IF(E2_diario!J575="N3",1,0),IF(E2_diario!J1037="N3",1,0),IF(E2_diario!J1079="N3",1,0),IF(E2_diario!J1541="N3",1,0),IF(E2_diario!J1583="N3",1,0),IF(E2_diario!J2045="N3",1,0),IF(E2_diario!J2087="N3",1,0))</x:f>
        <x:v>0</x:v>
      </x:c>
      <x:c r="K29" s="2" t="n">
        <x:f>SUM(IF(E2_diario!J29="N4",1,0),IF(E2_diario!J71="N4",1,0),IF(E2_diario!J533="N4",1,0),IF(E2_diario!J575="N4",1,0),IF(E2_diario!J1037="N4",1,0),IF(E2_diario!J1079="N4",1,0),IF(E2_diario!J1541="N4",1,0),IF(E2_diario!J1583="N4",1,0),IF(E2_diario!J2045="N4",1,0),IF(E2_diario!J2087="N4",1,0))</x:f>
        <x:v>0</x:v>
      </x:c>
      <x:c r="L29" s="2" t="n">
        <x:f>SUM(IF(E2_diario!J29="adulta",1,0),IF(E2_diario!J71="adulta",1,0),IF(E2_diario!J533="adulta",1,0),IF(E2_diario!J575="adulta",1,0),IF(E2_diario!J1037="adulta",1,0),IF(E2_diario!J1079="adulta",1,0),IF(E2_diario!J1541="adulta",1,0),IF(E2_diario!J1583="adulta",1,0),IF(E2_diario!J2045="adulta",1,0),IF(E2_diario!J2087="adulta",1,0))</x:f>
        <x:v>9</x:v>
      </x:c>
      <x:c r="M29" s="2" t="n">
        <x:f>SUM(E2_diario!L29,E2_diario!L71,E2_diario!L533,E2_diario!L575,E2_diario!L1037,E2_diario!L1079,E2_diario!L1541,E2_diario!L1583,E2_diario!L2045,E2_diario!L2087)</x:f>
        <x:v>10</x:v>
      </x:c>
      <x:c r="N29" s="20" t="n">
        <x:f>G29/F29</x:f>
        <x:v>0.9</x:v>
      </x:c>
      <x:c r="O29" s="20" t="n">
        <x:f>IF(G29=0,0,M29/G29)</x:f>
        <x:v>1.1111111111111112</x:v>
      </x:c>
      <x:c r="P29" s="20" t="n">
        <x:f>N29*O29</x:f>
        <x:v>1</x:v>
      </x:c>
      <x:c r="Q29" s="20" t="n">
        <x:f>H29/F29</x:f>
        <x:v>0</x:v>
      </x:c>
      <x:c r="R29" s="20" t="n">
        <x:f>I29/F29</x:f>
        <x:v>0</x:v>
      </x:c>
      <x:c r="S29" s="20" t="n">
        <x:f>J29/F29</x:f>
        <x:v>0</x:v>
      </x:c>
      <x:c r="T29" s="20" t="n">
        <x:f>K29/F29</x:f>
        <x:v>0</x:v>
      </x:c>
      <x:c r="U29" s="20" t="n">
        <x:f>L29/F29</x:f>
        <x:v>0.9</x:v>
      </x:c>
      <x:c r="V29" s="20" t="n">
        <x:f>IF(L29=0,0,M29/L29)</x:f>
        <x:v>1.1111111111111112</x:v>
      </x:c>
      <x:c r="W29" s="20" t="n">
        <x:f>SUM(P$2:P29)</x:f>
        <x:v>55.599999999999994</x:v>
      </x:c>
      <x:c r="X29" s="2" t="n">
        <x:f>E29+Supuestos!$C$15</x:f>
        <x:v>28</x:v>
      </x:c>
      <x:c r="Y29" s="2" t="n">
        <x:f>F29-G29</x:f>
        <x:v>1</x:v>
      </x:c>
      <x:c r="Z29" s="2" t="str">
        <x:v>simulado_didactico</x:v>
      </x:c>
    </x:row>
    <x:row r="30" ht="19" customHeight="1">
      <x:c r="A30" s="2" t="str">
        <x:v>MP_L0</x:v>
      </x:c>
      <x:c r="B30" s="2" t="str">
        <x:v>MP</x:v>
      </x:c>
      <x:c r="C30" s="2" t="str">
        <x:v>Myzus persicae</x:v>
      </x:c>
      <x:c r="D30" s="2" t="str">
        <x:v>L0</x:v>
      </x:c>
      <x:c r="E30" s="2" t="n">
        <x:v>28</x:v>
      </x:c>
      <x:c r="F30" s="2" t="n">
        <x:f>COUNTA(E2_plantas!A2,E2_plantas!A3,E2_plantas!A14,E2_plantas!A15,E2_plantas!A26,E2_plantas!A27,E2_plantas!A38,E2_plantas!A39,E2_plantas!A50,E2_plantas!A51)</x:f>
        <x:v>10</x:v>
      </x:c>
      <x:c r="G30" s="2" t="n">
        <x:f>SUM(E2_diario!K30,E2_diario!K72,E2_diario!K534,E2_diario!K576,E2_diario!K1038,E2_diario!K1080,E2_diario!K1542,E2_diario!K1584,E2_diario!K2046,E2_diario!K2088)</x:f>
        <x:v>8</x:v>
      </x:c>
      <x:c r="H30" s="2" t="n">
        <x:f>SUM(IF(E2_diario!J30="N1",1,0),IF(E2_diario!J72="N1",1,0),IF(E2_diario!J534="N1",1,0),IF(E2_diario!J576="N1",1,0),IF(E2_diario!J1038="N1",1,0),IF(E2_diario!J1080="N1",1,0),IF(E2_diario!J1542="N1",1,0),IF(E2_diario!J1584="N1",1,0),IF(E2_diario!J2046="N1",1,0),IF(E2_diario!J2088="N1",1,0))</x:f>
        <x:v>0</x:v>
      </x:c>
      <x:c r="I30" s="2" t="n">
        <x:f>SUM(IF(E2_diario!J30="N2",1,0),IF(E2_diario!J72="N2",1,0),IF(E2_diario!J534="N2",1,0),IF(E2_diario!J576="N2",1,0),IF(E2_diario!J1038="N2",1,0),IF(E2_diario!J1080="N2",1,0),IF(E2_diario!J1542="N2",1,0),IF(E2_diario!J1584="N2",1,0),IF(E2_diario!J2046="N2",1,0),IF(E2_diario!J2088="N2",1,0))</x:f>
        <x:v>0</x:v>
      </x:c>
      <x:c r="J30" s="2" t="n">
        <x:f>SUM(IF(E2_diario!J30="N3",1,0),IF(E2_diario!J72="N3",1,0),IF(E2_diario!J534="N3",1,0),IF(E2_diario!J576="N3",1,0),IF(E2_diario!J1038="N3",1,0),IF(E2_diario!J1080="N3",1,0),IF(E2_diario!J1542="N3",1,0),IF(E2_diario!J1584="N3",1,0),IF(E2_diario!J2046="N3",1,0),IF(E2_diario!J2088="N3",1,0))</x:f>
        <x:v>0</x:v>
      </x:c>
      <x:c r="K30" s="2" t="n">
        <x:f>SUM(IF(E2_diario!J30="N4",1,0),IF(E2_diario!J72="N4",1,0),IF(E2_diario!J534="N4",1,0),IF(E2_diario!J576="N4",1,0),IF(E2_diario!J1038="N4",1,0),IF(E2_diario!J1080="N4",1,0),IF(E2_diario!J1542="N4",1,0),IF(E2_diario!J1584="N4",1,0),IF(E2_diario!J2046="N4",1,0),IF(E2_diario!J2088="N4",1,0))</x:f>
        <x:v>0</x:v>
      </x:c>
      <x:c r="L30" s="2" t="n">
        <x:f>SUM(IF(E2_diario!J30="adulta",1,0),IF(E2_diario!J72="adulta",1,0),IF(E2_diario!J534="adulta",1,0),IF(E2_diario!J576="adulta",1,0),IF(E2_diario!J1038="adulta",1,0),IF(E2_diario!J1080="adulta",1,0),IF(E2_diario!J1542="adulta",1,0),IF(E2_diario!J1584="adulta",1,0),IF(E2_diario!J2046="adulta",1,0),IF(E2_diario!J2088="adulta",1,0))</x:f>
        <x:v>8</x:v>
      </x:c>
      <x:c r="M30" s="2" t="n">
        <x:f>SUM(E2_diario!L30,E2_diario!L72,E2_diario!L534,E2_diario!L576,E2_diario!L1038,E2_diario!L1080,E2_diario!L1542,E2_diario!L1584,E2_diario!L2046,E2_diario!L2088)</x:f>
        <x:v>8</x:v>
      </x:c>
      <x:c r="N30" s="20" t="n">
        <x:f>G30/F30</x:f>
        <x:v>0.8</x:v>
      </x:c>
      <x:c r="O30" s="20" t="n">
        <x:f>IF(G30=0,0,M30/G30)</x:f>
        <x:v>1</x:v>
      </x:c>
      <x:c r="P30" s="20" t="n">
        <x:f>N30*O30</x:f>
        <x:v>0.8</x:v>
      </x:c>
      <x:c r="Q30" s="20" t="n">
        <x:f>H30/F30</x:f>
        <x:v>0</x:v>
      </x:c>
      <x:c r="R30" s="20" t="n">
        <x:f>I30/F30</x:f>
        <x:v>0</x:v>
      </x:c>
      <x:c r="S30" s="20" t="n">
        <x:f>J30/F30</x:f>
        <x:v>0</x:v>
      </x:c>
      <x:c r="T30" s="20" t="n">
        <x:f>K30/F30</x:f>
        <x:v>0</x:v>
      </x:c>
      <x:c r="U30" s="20" t="n">
        <x:f>L30/F30</x:f>
        <x:v>0.8</x:v>
      </x:c>
      <x:c r="V30" s="20" t="n">
        <x:f>IF(L30=0,0,M30/L30)</x:f>
        <x:v>1</x:v>
      </x:c>
      <x:c r="W30" s="20" t="n">
        <x:f>SUM(P$2:P30)</x:f>
        <x:v>56.39999999999999</x:v>
      </x:c>
      <x:c r="X30" s="2" t="n">
        <x:f>E30+Supuestos!$C$15</x:f>
        <x:v>29</x:v>
      </x:c>
      <x:c r="Y30" s="2" t="n">
        <x:f>F30-G30</x:f>
        <x:v>2</x:v>
      </x:c>
      <x:c r="Z30" s="2" t="str">
        <x:v>simulado_didactico</x:v>
      </x:c>
    </x:row>
    <x:row r="31" ht="19" customHeight="1">
      <x:c r="A31" s="2" t="str">
        <x:v>MP_L0</x:v>
      </x:c>
      <x:c r="B31" s="2" t="str">
        <x:v>MP</x:v>
      </x:c>
      <x:c r="C31" s="2" t="str">
        <x:v>Myzus persicae</x:v>
      </x:c>
      <x:c r="D31" s="2" t="str">
        <x:v>L0</x:v>
      </x:c>
      <x:c r="E31" s="2" t="n">
        <x:v>29</x:v>
      </x:c>
      <x:c r="F31" s="2" t="n">
        <x:f>COUNTA(E2_plantas!A2,E2_plantas!A3,E2_plantas!A14,E2_plantas!A15,E2_plantas!A26,E2_plantas!A27,E2_plantas!A38,E2_plantas!A39,E2_plantas!A50,E2_plantas!A51)</x:f>
        <x:v>10</x:v>
      </x:c>
      <x:c r="G31" s="2" t="n">
        <x:f>SUM(E2_diario!K31,E2_diario!K73,E2_diario!K535,E2_diario!K577,E2_diario!K1039,E2_diario!K1081,E2_diario!K1543,E2_diario!K1585,E2_diario!K2047,E2_diario!K2089)</x:f>
        <x:v>8</x:v>
      </x:c>
      <x:c r="H31" s="2" t="n">
        <x:f>SUM(IF(E2_diario!J31="N1",1,0),IF(E2_diario!J73="N1",1,0),IF(E2_diario!J535="N1",1,0),IF(E2_diario!J577="N1",1,0),IF(E2_diario!J1039="N1",1,0),IF(E2_diario!J1081="N1",1,0),IF(E2_diario!J1543="N1",1,0),IF(E2_diario!J1585="N1",1,0),IF(E2_diario!J2047="N1",1,0),IF(E2_diario!J2089="N1",1,0))</x:f>
        <x:v>0</x:v>
      </x:c>
      <x:c r="I31" s="2" t="n">
        <x:f>SUM(IF(E2_diario!J31="N2",1,0),IF(E2_diario!J73="N2",1,0),IF(E2_diario!J535="N2",1,0),IF(E2_diario!J577="N2",1,0),IF(E2_diario!J1039="N2",1,0),IF(E2_diario!J1081="N2",1,0),IF(E2_diario!J1543="N2",1,0),IF(E2_diario!J1585="N2",1,0),IF(E2_diario!J2047="N2",1,0),IF(E2_diario!J2089="N2",1,0))</x:f>
        <x:v>0</x:v>
      </x:c>
      <x:c r="J31" s="2" t="n">
        <x:f>SUM(IF(E2_diario!J31="N3",1,0),IF(E2_diario!J73="N3",1,0),IF(E2_diario!J535="N3",1,0),IF(E2_diario!J577="N3",1,0),IF(E2_diario!J1039="N3",1,0),IF(E2_diario!J1081="N3",1,0),IF(E2_diario!J1543="N3",1,0),IF(E2_diario!J1585="N3",1,0),IF(E2_diario!J2047="N3",1,0),IF(E2_diario!J2089="N3",1,0))</x:f>
        <x:v>0</x:v>
      </x:c>
      <x:c r="K31" s="2" t="n">
        <x:f>SUM(IF(E2_diario!J31="N4",1,0),IF(E2_diario!J73="N4",1,0),IF(E2_diario!J535="N4",1,0),IF(E2_diario!J577="N4",1,0),IF(E2_diario!J1039="N4",1,0),IF(E2_diario!J1081="N4",1,0),IF(E2_diario!J1543="N4",1,0),IF(E2_diario!J1585="N4",1,0),IF(E2_diario!J2047="N4",1,0),IF(E2_diario!J2089="N4",1,0))</x:f>
        <x:v>0</x:v>
      </x:c>
      <x:c r="L31" s="2" t="n">
        <x:f>SUM(IF(E2_diario!J31="adulta",1,0),IF(E2_diario!J73="adulta",1,0),IF(E2_diario!J535="adulta",1,0),IF(E2_diario!J577="adulta",1,0),IF(E2_diario!J1039="adulta",1,0),IF(E2_diario!J1081="adulta",1,0),IF(E2_diario!J1543="adulta",1,0),IF(E2_diario!J1585="adulta",1,0),IF(E2_diario!J2047="adulta",1,0),IF(E2_diario!J2089="adulta",1,0))</x:f>
        <x:v>8</x:v>
      </x:c>
      <x:c r="M31" s="2" t="n">
        <x:f>SUM(E2_diario!L31,E2_diario!L73,E2_diario!L535,E2_diario!L577,E2_diario!L1039,E2_diario!L1081,E2_diario!L1543,E2_diario!L1585,E2_diario!L2047,E2_diario!L2089)</x:f>
        <x:v>6</x:v>
      </x:c>
      <x:c r="N31" s="20" t="n">
        <x:f>G31/F31</x:f>
        <x:v>0.8</x:v>
      </x:c>
      <x:c r="O31" s="20" t="n">
        <x:f>IF(G31=0,0,M31/G31)</x:f>
        <x:v>0.75</x:v>
      </x:c>
      <x:c r="P31" s="20" t="n">
        <x:f>N31*O31</x:f>
        <x:v>0.6000000000000001</x:v>
      </x:c>
      <x:c r="Q31" s="20" t="n">
        <x:f>H31/F31</x:f>
        <x:v>0</x:v>
      </x:c>
      <x:c r="R31" s="20" t="n">
        <x:f>I31/F31</x:f>
        <x:v>0</x:v>
      </x:c>
      <x:c r="S31" s="20" t="n">
        <x:f>J31/F31</x:f>
        <x:v>0</x:v>
      </x:c>
      <x:c r="T31" s="20" t="n">
        <x:f>K31/F31</x:f>
        <x:v>0</x:v>
      </x:c>
      <x:c r="U31" s="20" t="n">
        <x:f>L31/F31</x:f>
        <x:v>0.8</x:v>
      </x:c>
      <x:c r="V31" s="20" t="n">
        <x:f>IF(L31=0,0,M31/L31)</x:f>
        <x:v>0.75</x:v>
      </x:c>
      <x:c r="W31" s="20" t="n">
        <x:f>SUM(P$2:P31)</x:f>
        <x:v>56.99999999999999</x:v>
      </x:c>
      <x:c r="X31" s="2" t="n">
        <x:f>E31+Supuestos!$C$15</x:f>
        <x:v>30</x:v>
      </x:c>
      <x:c r="Y31" s="2" t="n">
        <x:f>F31-G31</x:f>
        <x:v>2</x:v>
      </x:c>
      <x:c r="Z31" s="2" t="str">
        <x:v>simulado_didactico</x:v>
      </x:c>
    </x:row>
    <x:row r="32" ht="19" customHeight="1">
      <x:c r="A32" s="2" t="str">
        <x:v>MP_L0</x:v>
      </x:c>
      <x:c r="B32" s="2" t="str">
        <x:v>MP</x:v>
      </x:c>
      <x:c r="C32" s="2" t="str">
        <x:v>Myzus persicae</x:v>
      </x:c>
      <x:c r="D32" s="2" t="str">
        <x:v>L0</x:v>
      </x:c>
      <x:c r="E32" s="2" t="n">
        <x:v>30</x:v>
      </x:c>
      <x:c r="F32" s="2" t="n">
        <x:f>COUNTA(E2_plantas!A2,E2_plantas!A3,E2_plantas!A14,E2_plantas!A15,E2_plantas!A26,E2_plantas!A27,E2_plantas!A38,E2_plantas!A39,E2_plantas!A50,E2_plantas!A51)</x:f>
        <x:v>10</x:v>
      </x:c>
      <x:c r="G32" s="2" t="n">
        <x:f>SUM(E2_diario!K32,E2_diario!K74,E2_diario!K536,E2_diario!K578,E2_diario!K1040,E2_diario!K1082,E2_diario!K1544,E2_diario!K1586,E2_diario!K2048,E2_diario!K2090)</x:f>
        <x:v>7</x:v>
      </x:c>
      <x:c r="H32" s="2" t="n">
        <x:f>SUM(IF(E2_diario!J32="N1",1,0),IF(E2_diario!J74="N1",1,0),IF(E2_diario!J536="N1",1,0),IF(E2_diario!J578="N1",1,0),IF(E2_diario!J1040="N1",1,0),IF(E2_diario!J1082="N1",1,0),IF(E2_diario!J1544="N1",1,0),IF(E2_diario!J1586="N1",1,0),IF(E2_diario!J2048="N1",1,0),IF(E2_diario!J2090="N1",1,0))</x:f>
        <x:v>0</x:v>
      </x:c>
      <x:c r="I32" s="2" t="n">
        <x:f>SUM(IF(E2_diario!J32="N2",1,0),IF(E2_diario!J74="N2",1,0),IF(E2_diario!J536="N2",1,0),IF(E2_diario!J578="N2",1,0),IF(E2_diario!J1040="N2",1,0),IF(E2_diario!J1082="N2",1,0),IF(E2_diario!J1544="N2",1,0),IF(E2_diario!J1586="N2",1,0),IF(E2_diario!J2048="N2",1,0),IF(E2_diario!J2090="N2",1,0))</x:f>
        <x:v>0</x:v>
      </x:c>
      <x:c r="J32" s="2" t="n">
        <x:f>SUM(IF(E2_diario!J32="N3",1,0),IF(E2_diario!J74="N3",1,0),IF(E2_diario!J536="N3",1,0),IF(E2_diario!J578="N3",1,0),IF(E2_diario!J1040="N3",1,0),IF(E2_diario!J1082="N3",1,0),IF(E2_diario!J1544="N3",1,0),IF(E2_diario!J1586="N3",1,0),IF(E2_diario!J2048="N3",1,0),IF(E2_diario!J2090="N3",1,0))</x:f>
        <x:v>0</x:v>
      </x:c>
      <x:c r="K32" s="2" t="n">
        <x:f>SUM(IF(E2_diario!J32="N4",1,0),IF(E2_diario!J74="N4",1,0),IF(E2_diario!J536="N4",1,0),IF(E2_diario!J578="N4",1,0),IF(E2_diario!J1040="N4",1,0),IF(E2_diario!J1082="N4",1,0),IF(E2_diario!J1544="N4",1,0),IF(E2_diario!J1586="N4",1,0),IF(E2_diario!J2048="N4",1,0),IF(E2_diario!J2090="N4",1,0))</x:f>
        <x:v>0</x:v>
      </x:c>
      <x:c r="L32" s="2" t="n">
        <x:f>SUM(IF(E2_diario!J32="adulta",1,0),IF(E2_diario!J74="adulta",1,0),IF(E2_diario!J536="adulta",1,0),IF(E2_diario!J578="adulta",1,0),IF(E2_diario!J1040="adulta",1,0),IF(E2_diario!J1082="adulta",1,0),IF(E2_diario!J1544="adulta",1,0),IF(E2_diario!J1586="adulta",1,0),IF(E2_diario!J2048="adulta",1,0),IF(E2_diario!J2090="adulta",1,0))</x:f>
        <x:v>7</x:v>
      </x:c>
      <x:c r="M32" s="2" t="n">
        <x:f>SUM(E2_diario!L32,E2_diario!L74,E2_diario!L536,E2_diario!L578,E2_diario!L1040,E2_diario!L1082,E2_diario!L1544,E2_diario!L1586,E2_diario!L2048,E2_diario!L2090)</x:f>
        <x:v>2</x:v>
      </x:c>
      <x:c r="N32" s="20" t="n">
        <x:f>G32/F32</x:f>
        <x:v>0.7</x:v>
      </x:c>
      <x:c r="O32" s="20" t="n">
        <x:f>IF(G32=0,0,M32/G32)</x:f>
        <x:v>0.2857142857142857</x:v>
      </x:c>
      <x:c r="P32" s="20" t="n">
        <x:f>N32*O32</x:f>
        <x:v>0.19999999999999998</x:v>
      </x:c>
      <x:c r="Q32" s="20" t="n">
        <x:f>H32/F32</x:f>
        <x:v>0</x:v>
      </x:c>
      <x:c r="R32" s="20" t="n">
        <x:f>I32/F32</x:f>
        <x:v>0</x:v>
      </x:c>
      <x:c r="S32" s="20" t="n">
        <x:f>J32/F32</x:f>
        <x:v>0</x:v>
      </x:c>
      <x:c r="T32" s="20" t="n">
        <x:f>K32/F32</x:f>
        <x:v>0</x:v>
      </x:c>
      <x:c r="U32" s="20" t="n">
        <x:f>L32/F32</x:f>
        <x:v>0.7</x:v>
      </x:c>
      <x:c r="V32" s="20" t="n">
        <x:f>IF(L32=0,0,M32/L32)</x:f>
        <x:v>0.2857142857142857</x:v>
      </x:c>
      <x:c r="W32" s="20" t="n">
        <x:f>SUM(P$2:P32)</x:f>
        <x:v>57.199999999999996</x:v>
      </x:c>
      <x:c r="X32" s="2" t="n">
        <x:f>E32+Supuestos!$C$15</x:f>
        <x:v>31</x:v>
      </x:c>
      <x:c r="Y32" s="2" t="n">
        <x:f>F32-G32</x:f>
        <x:v>3</x:v>
      </x:c>
      <x:c r="Z32" s="2" t="str">
        <x:v>simulado_didactico</x:v>
      </x:c>
    </x:row>
    <x:row r="33" ht="19" customHeight="1">
      <x:c r="A33" s="2" t="str">
        <x:v>MP_L0</x:v>
      </x:c>
      <x:c r="B33" s="2" t="str">
        <x:v>MP</x:v>
      </x:c>
      <x:c r="C33" s="2" t="str">
        <x:v>Myzus persicae</x:v>
      </x:c>
      <x:c r="D33" s="2" t="str">
        <x:v>L0</x:v>
      </x:c>
      <x:c r="E33" s="2" t="n">
        <x:v>31</x:v>
      </x:c>
      <x:c r="F33" s="2" t="n">
        <x:f>COUNTA(E2_plantas!A2,E2_plantas!A3,E2_plantas!A14,E2_plantas!A15,E2_plantas!A26,E2_plantas!A27,E2_plantas!A38,E2_plantas!A39,E2_plantas!A50,E2_plantas!A51)</x:f>
        <x:v>10</x:v>
      </x:c>
      <x:c r="G33" s="2" t="n">
        <x:f>SUM(E2_diario!K33,E2_diario!K75,E2_diario!K537,E2_diario!K579,E2_diario!K1041,E2_diario!K1083,E2_diario!K1545,E2_diario!K1587,E2_diario!K2049,E2_diario!K2091)</x:f>
        <x:v>5</x:v>
      </x:c>
      <x:c r="H33" s="2" t="n">
        <x:f>SUM(IF(E2_diario!J33="N1",1,0),IF(E2_diario!J75="N1",1,0),IF(E2_diario!J537="N1",1,0),IF(E2_diario!J579="N1",1,0),IF(E2_diario!J1041="N1",1,0),IF(E2_diario!J1083="N1",1,0),IF(E2_diario!J1545="N1",1,0),IF(E2_diario!J1587="N1",1,0),IF(E2_diario!J2049="N1",1,0),IF(E2_diario!J2091="N1",1,0))</x:f>
        <x:v>0</x:v>
      </x:c>
      <x:c r="I33" s="2" t="n">
        <x:f>SUM(IF(E2_diario!J33="N2",1,0),IF(E2_diario!J75="N2",1,0),IF(E2_diario!J537="N2",1,0),IF(E2_diario!J579="N2",1,0),IF(E2_diario!J1041="N2",1,0),IF(E2_diario!J1083="N2",1,0),IF(E2_diario!J1545="N2",1,0),IF(E2_diario!J1587="N2",1,0),IF(E2_diario!J2049="N2",1,0),IF(E2_diario!J2091="N2",1,0))</x:f>
        <x:v>0</x:v>
      </x:c>
      <x:c r="J33" s="2" t="n">
        <x:f>SUM(IF(E2_diario!J33="N3",1,0),IF(E2_diario!J75="N3",1,0),IF(E2_diario!J537="N3",1,0),IF(E2_diario!J579="N3",1,0),IF(E2_diario!J1041="N3",1,0),IF(E2_diario!J1083="N3",1,0),IF(E2_diario!J1545="N3",1,0),IF(E2_diario!J1587="N3",1,0),IF(E2_diario!J2049="N3",1,0),IF(E2_diario!J2091="N3",1,0))</x:f>
        <x:v>0</x:v>
      </x:c>
      <x:c r="K33" s="2" t="n">
        <x:f>SUM(IF(E2_diario!J33="N4",1,0),IF(E2_diario!J75="N4",1,0),IF(E2_diario!J537="N4",1,0),IF(E2_diario!J579="N4",1,0),IF(E2_diario!J1041="N4",1,0),IF(E2_diario!J1083="N4",1,0),IF(E2_diario!J1545="N4",1,0),IF(E2_diario!J1587="N4",1,0),IF(E2_diario!J2049="N4",1,0),IF(E2_diario!J2091="N4",1,0))</x:f>
        <x:v>0</x:v>
      </x:c>
      <x:c r="L33" s="2" t="n">
        <x:f>SUM(IF(E2_diario!J33="adulta",1,0),IF(E2_diario!J75="adulta",1,0),IF(E2_diario!J537="adulta",1,0),IF(E2_diario!J579="adulta",1,0),IF(E2_diario!J1041="adulta",1,0),IF(E2_diario!J1083="adulta",1,0),IF(E2_diario!J1545="adulta",1,0),IF(E2_diario!J1587="adulta",1,0),IF(E2_diario!J2049="adulta",1,0),IF(E2_diario!J2091="adulta",1,0))</x:f>
        <x:v>5</x:v>
      </x:c>
      <x:c r="M33" s="2" t="n">
        <x:f>SUM(E2_diario!L33,E2_diario!L75,E2_diario!L537,E2_diario!L579,E2_diario!L1041,E2_diario!L1083,E2_diario!L1545,E2_diario!L1587,E2_diario!L2049,E2_diario!L2091)</x:f>
        <x:v>2</x:v>
      </x:c>
      <x:c r="N33" s="20" t="n">
        <x:f>G33/F33</x:f>
        <x:v>0.5</x:v>
      </x:c>
      <x:c r="O33" s="20" t="n">
        <x:f>IF(G33=0,0,M33/G33)</x:f>
        <x:v>0.4</x:v>
      </x:c>
      <x:c r="P33" s="20" t="n">
        <x:f>N33*O33</x:f>
        <x:v>0.2</x:v>
      </x:c>
      <x:c r="Q33" s="20" t="n">
        <x:f>H33/F33</x:f>
        <x:v>0</x:v>
      </x:c>
      <x:c r="R33" s="20" t="n">
        <x:f>I33/F33</x:f>
        <x:v>0</x:v>
      </x:c>
      <x:c r="S33" s="20" t="n">
        <x:f>J33/F33</x:f>
        <x:v>0</x:v>
      </x:c>
      <x:c r="T33" s="20" t="n">
        <x:f>K33/F33</x:f>
        <x:v>0</x:v>
      </x:c>
      <x:c r="U33" s="20" t="n">
        <x:f>L33/F33</x:f>
        <x:v>0.5</x:v>
      </x:c>
      <x:c r="V33" s="20" t="n">
        <x:f>IF(L33=0,0,M33/L33)</x:f>
        <x:v>0.4</x:v>
      </x:c>
      <x:c r="W33" s="20" t="n">
        <x:f>SUM(P$2:P33)</x:f>
        <x:v>57.4</x:v>
      </x:c>
      <x:c r="X33" s="2" t="n">
        <x:f>E33+Supuestos!$C$15</x:f>
        <x:v>32</x:v>
      </x:c>
      <x:c r="Y33" s="2" t="n">
        <x:f>F33-G33</x:f>
        <x:v>5</x:v>
      </x:c>
      <x:c r="Z33" s="2" t="str">
        <x:v>simulado_didactico</x:v>
      </x:c>
    </x:row>
    <x:row r="34" ht="19" customHeight="1">
      <x:c r="A34" s="2" t="str">
        <x:v>MP_L0</x:v>
      </x:c>
      <x:c r="B34" s="2" t="str">
        <x:v>MP</x:v>
      </x:c>
      <x:c r="C34" s="2" t="str">
        <x:v>Myzus persicae</x:v>
      </x:c>
      <x:c r="D34" s="2" t="str">
        <x:v>L0</x:v>
      </x:c>
      <x:c r="E34" s="2" t="n">
        <x:v>32</x:v>
      </x:c>
      <x:c r="F34" s="2" t="n">
        <x:f>COUNTA(E2_plantas!A2,E2_plantas!A3,E2_plantas!A14,E2_plantas!A15,E2_plantas!A26,E2_plantas!A27,E2_plantas!A38,E2_plantas!A39,E2_plantas!A50,E2_plantas!A51)</x:f>
        <x:v>10</x:v>
      </x:c>
      <x:c r="G34" s="2" t="n">
        <x:f>SUM(E2_diario!K34,E2_diario!K76,E2_diario!K538,E2_diario!K580,E2_diario!K1042,E2_diario!K1084,E2_diario!K1546,E2_diario!K1588,E2_diario!K2050,E2_diario!K2092)</x:f>
        <x:v>4</x:v>
      </x:c>
      <x:c r="H34" s="2" t="n">
        <x:f>SUM(IF(E2_diario!J34="N1",1,0),IF(E2_diario!J76="N1",1,0),IF(E2_diario!J538="N1",1,0),IF(E2_diario!J580="N1",1,0),IF(E2_diario!J1042="N1",1,0),IF(E2_diario!J1084="N1",1,0),IF(E2_diario!J1546="N1",1,0),IF(E2_diario!J1588="N1",1,0),IF(E2_diario!J2050="N1",1,0),IF(E2_diario!J2092="N1",1,0))</x:f>
        <x:v>0</x:v>
      </x:c>
      <x:c r="I34" s="2" t="n">
        <x:f>SUM(IF(E2_diario!J34="N2",1,0),IF(E2_diario!J76="N2",1,0),IF(E2_diario!J538="N2",1,0),IF(E2_diario!J580="N2",1,0),IF(E2_diario!J1042="N2",1,0),IF(E2_diario!J1084="N2",1,0),IF(E2_diario!J1546="N2",1,0),IF(E2_diario!J1588="N2",1,0),IF(E2_diario!J2050="N2",1,0),IF(E2_diario!J2092="N2",1,0))</x:f>
        <x:v>0</x:v>
      </x:c>
      <x:c r="J34" s="2" t="n">
        <x:f>SUM(IF(E2_diario!J34="N3",1,0),IF(E2_diario!J76="N3",1,0),IF(E2_diario!J538="N3",1,0),IF(E2_diario!J580="N3",1,0),IF(E2_diario!J1042="N3",1,0),IF(E2_diario!J1084="N3",1,0),IF(E2_diario!J1546="N3",1,0),IF(E2_diario!J1588="N3",1,0),IF(E2_diario!J2050="N3",1,0),IF(E2_diario!J2092="N3",1,0))</x:f>
        <x:v>0</x:v>
      </x:c>
      <x:c r="K34" s="2" t="n">
        <x:f>SUM(IF(E2_diario!J34="N4",1,0),IF(E2_diario!J76="N4",1,0),IF(E2_diario!J538="N4",1,0),IF(E2_diario!J580="N4",1,0),IF(E2_diario!J1042="N4",1,0),IF(E2_diario!J1084="N4",1,0),IF(E2_diario!J1546="N4",1,0),IF(E2_diario!J1588="N4",1,0),IF(E2_diario!J2050="N4",1,0),IF(E2_diario!J2092="N4",1,0))</x:f>
        <x:v>0</x:v>
      </x:c>
      <x:c r="L34" s="2" t="n">
        <x:f>SUM(IF(E2_diario!J34="adulta",1,0),IF(E2_diario!J76="adulta",1,0),IF(E2_diario!J538="adulta",1,0),IF(E2_diario!J580="adulta",1,0),IF(E2_diario!J1042="adulta",1,0),IF(E2_diario!J1084="adulta",1,0),IF(E2_diario!J1546="adulta",1,0),IF(E2_diario!J1588="adulta",1,0),IF(E2_diario!J2050="adulta",1,0),IF(E2_diario!J2092="adulta",1,0))</x:f>
        <x:v>4</x:v>
      </x:c>
      <x:c r="M34" s="2" t="n">
        <x:f>SUM(E2_diario!L34,E2_diario!L76,E2_diario!L538,E2_diario!L580,E2_diario!L1042,E2_diario!L1084,E2_diario!L1546,E2_diario!L1588,E2_diario!L2050,E2_diario!L2092)</x:f>
        <x:v>1</x:v>
      </x:c>
      <x:c r="N34" s="20" t="n">
        <x:f>G34/F34</x:f>
        <x:v>0.4</x:v>
      </x:c>
      <x:c r="O34" s="20" t="n">
        <x:f>IF(G34=0,0,M34/G34)</x:f>
        <x:v>0.25</x:v>
      </x:c>
      <x:c r="P34" s="20" t="n">
        <x:f>N34*O34</x:f>
        <x:v>0.1</x:v>
      </x:c>
      <x:c r="Q34" s="20" t="n">
        <x:f>H34/F34</x:f>
        <x:v>0</x:v>
      </x:c>
      <x:c r="R34" s="20" t="n">
        <x:f>I34/F34</x:f>
        <x:v>0</x:v>
      </x:c>
      <x:c r="S34" s="20" t="n">
        <x:f>J34/F34</x:f>
        <x:v>0</x:v>
      </x:c>
      <x:c r="T34" s="20" t="n">
        <x:f>K34/F34</x:f>
        <x:v>0</x:v>
      </x:c>
      <x:c r="U34" s="20" t="n">
        <x:f>L34/F34</x:f>
        <x:v>0.4</x:v>
      </x:c>
      <x:c r="V34" s="20" t="n">
        <x:f>IF(L34=0,0,M34/L34)</x:f>
        <x:v>0.25</x:v>
      </x:c>
      <x:c r="W34" s="20" t="n">
        <x:f>SUM(P$2:P34)</x:f>
        <x:v>57.5</x:v>
      </x:c>
      <x:c r="X34" s="2" t="n">
        <x:f>E34+Supuestos!$C$15</x:f>
        <x:v>33</x:v>
      </x:c>
      <x:c r="Y34" s="2" t="n">
        <x:f>F34-G34</x:f>
        <x:v>6</x:v>
      </x:c>
      <x:c r="Z34" s="2" t="str">
        <x:v>simulado_didactico</x:v>
      </x:c>
    </x:row>
    <x:row r="35" ht="19" customHeight="1">
      <x:c r="A35" s="2" t="str">
        <x:v>MP_L0</x:v>
      </x:c>
      <x:c r="B35" s="2" t="str">
        <x:v>MP</x:v>
      </x:c>
      <x:c r="C35" s="2" t="str">
        <x:v>Myzus persicae</x:v>
      </x:c>
      <x:c r="D35" s="2" t="str">
        <x:v>L0</x:v>
      </x:c>
      <x:c r="E35" s="2" t="n">
        <x:v>33</x:v>
      </x:c>
      <x:c r="F35" s="2" t="n">
        <x:f>COUNTA(E2_plantas!A2,E2_plantas!A3,E2_plantas!A14,E2_plantas!A15,E2_plantas!A26,E2_plantas!A27,E2_plantas!A38,E2_plantas!A39,E2_plantas!A50,E2_plantas!A51)</x:f>
        <x:v>10</x:v>
      </x:c>
      <x:c r="G35" s="2" t="n">
        <x:f>SUM(E2_diario!K35,E2_diario!K77,E2_diario!K539,E2_diario!K581,E2_diario!K1043,E2_diario!K1085,E2_diario!K1547,E2_diario!K1589,E2_diario!K2051,E2_diario!K2093)</x:f>
        <x:v>3</x:v>
      </x:c>
      <x:c r="H35" s="2" t="n">
        <x:f>SUM(IF(E2_diario!J35="N1",1,0),IF(E2_diario!J77="N1",1,0),IF(E2_diario!J539="N1",1,0),IF(E2_diario!J581="N1",1,0),IF(E2_diario!J1043="N1",1,0),IF(E2_diario!J1085="N1",1,0),IF(E2_diario!J1547="N1",1,0),IF(E2_diario!J1589="N1",1,0),IF(E2_diario!J2051="N1",1,0),IF(E2_diario!J2093="N1",1,0))</x:f>
        <x:v>0</x:v>
      </x:c>
      <x:c r="I35" s="2" t="n">
        <x:f>SUM(IF(E2_diario!J35="N2",1,0),IF(E2_diario!J77="N2",1,0),IF(E2_diario!J539="N2",1,0),IF(E2_diario!J581="N2",1,0),IF(E2_diario!J1043="N2",1,0),IF(E2_diario!J1085="N2",1,0),IF(E2_diario!J1547="N2",1,0),IF(E2_diario!J1589="N2",1,0),IF(E2_diario!J2051="N2",1,0),IF(E2_diario!J2093="N2",1,0))</x:f>
        <x:v>0</x:v>
      </x:c>
      <x:c r="J35" s="2" t="n">
        <x:f>SUM(IF(E2_diario!J35="N3",1,0),IF(E2_diario!J77="N3",1,0),IF(E2_diario!J539="N3",1,0),IF(E2_diario!J581="N3",1,0),IF(E2_diario!J1043="N3",1,0),IF(E2_diario!J1085="N3",1,0),IF(E2_diario!J1547="N3",1,0),IF(E2_diario!J1589="N3",1,0),IF(E2_diario!J2051="N3",1,0),IF(E2_diario!J2093="N3",1,0))</x:f>
        <x:v>0</x:v>
      </x:c>
      <x:c r="K35" s="2" t="n">
        <x:f>SUM(IF(E2_diario!J35="N4",1,0),IF(E2_diario!J77="N4",1,0),IF(E2_diario!J539="N4",1,0),IF(E2_diario!J581="N4",1,0),IF(E2_diario!J1043="N4",1,0),IF(E2_diario!J1085="N4",1,0),IF(E2_diario!J1547="N4",1,0),IF(E2_diario!J1589="N4",1,0),IF(E2_diario!J2051="N4",1,0),IF(E2_diario!J2093="N4",1,0))</x:f>
        <x:v>0</x:v>
      </x:c>
      <x:c r="L35" s="2" t="n">
        <x:f>SUM(IF(E2_diario!J35="adulta",1,0),IF(E2_diario!J77="adulta",1,0),IF(E2_diario!J539="adulta",1,0),IF(E2_diario!J581="adulta",1,0),IF(E2_diario!J1043="adulta",1,0),IF(E2_diario!J1085="adulta",1,0),IF(E2_diario!J1547="adulta",1,0),IF(E2_diario!J1589="adulta",1,0),IF(E2_diario!J2051="adulta",1,0),IF(E2_diario!J2093="adulta",1,0))</x:f>
        <x:v>3</x:v>
      </x:c>
      <x:c r="M35" s="2" t="n">
        <x:f>SUM(E2_diario!L35,E2_diario!L77,E2_diario!L539,E2_diario!L581,E2_diario!L1043,E2_diario!L1085,E2_diario!L1547,E2_diario!L1589,E2_diario!L2051,E2_diario!L2093)</x:f>
        <x:v>1</x:v>
      </x:c>
      <x:c r="N35" s="20" t="n">
        <x:f>G35/F35</x:f>
        <x:v>0.3</x:v>
      </x:c>
      <x:c r="O35" s="20" t="n">
        <x:f>IF(G35=0,0,M35/G35)</x:f>
        <x:v>0.3333333333333333</x:v>
      </x:c>
      <x:c r="P35" s="20" t="n">
        <x:f>N35*O35</x:f>
        <x:v>0.09999999999999999</x:v>
      </x:c>
      <x:c r="Q35" s="20" t="n">
        <x:f>H35/F35</x:f>
        <x:v>0</x:v>
      </x:c>
      <x:c r="R35" s="20" t="n">
        <x:f>I35/F35</x:f>
        <x:v>0</x:v>
      </x:c>
      <x:c r="S35" s="20" t="n">
        <x:f>J35/F35</x:f>
        <x:v>0</x:v>
      </x:c>
      <x:c r="T35" s="20" t="n">
        <x:f>K35/F35</x:f>
        <x:v>0</x:v>
      </x:c>
      <x:c r="U35" s="20" t="n">
        <x:f>L35/F35</x:f>
        <x:v>0.3</x:v>
      </x:c>
      <x:c r="V35" s="20" t="n">
        <x:f>IF(L35=0,0,M35/L35)</x:f>
        <x:v>0.3333333333333333</x:v>
      </x:c>
      <x:c r="W35" s="20" t="n">
        <x:f>SUM(P$2:P35)</x:f>
        <x:v>57.6</x:v>
      </x:c>
      <x:c r="X35" s="2" t="n">
        <x:f>E35+Supuestos!$C$15</x:f>
        <x:v>34</x:v>
      </x:c>
      <x:c r="Y35" s="2" t="n">
        <x:f>F35-G35</x:f>
        <x:v>7</x:v>
      </x:c>
      <x:c r="Z35" s="2" t="str">
        <x:v>simulado_didactico</x:v>
      </x:c>
    </x:row>
    <x:row r="36" ht="19" customHeight="1">
      <x:c r="A36" s="2" t="str">
        <x:v>MP_L0</x:v>
      </x:c>
      <x:c r="B36" s="2" t="str">
        <x:v>MP</x:v>
      </x:c>
      <x:c r="C36" s="2" t="str">
        <x:v>Myzus persicae</x:v>
      </x:c>
      <x:c r="D36" s="2" t="str">
        <x:v>L0</x:v>
      </x:c>
      <x:c r="E36" s="2" t="n">
        <x:v>34</x:v>
      </x:c>
      <x:c r="F36" s="2" t="n">
        <x:f>COUNTA(E2_plantas!A2,E2_plantas!A3,E2_plantas!A14,E2_plantas!A15,E2_plantas!A26,E2_plantas!A27,E2_plantas!A38,E2_plantas!A39,E2_plantas!A50,E2_plantas!A51)</x:f>
        <x:v>10</x:v>
      </x:c>
      <x:c r="G36" s="2" t="n">
        <x:f>SUM(E2_diario!K36,E2_diario!K78,E2_diario!K540,E2_diario!K582,E2_diario!K1044,E2_diario!K1086,E2_diario!K1548,E2_diario!K1590,E2_diario!K2052,E2_diario!K2094)</x:f>
        <x:v>2</x:v>
      </x:c>
      <x:c r="H36" s="2" t="n">
        <x:f>SUM(IF(E2_diario!J36="N1",1,0),IF(E2_diario!J78="N1",1,0),IF(E2_diario!J540="N1",1,0),IF(E2_diario!J582="N1",1,0),IF(E2_diario!J1044="N1",1,0),IF(E2_diario!J1086="N1",1,0),IF(E2_diario!J1548="N1",1,0),IF(E2_diario!J1590="N1",1,0),IF(E2_diario!J2052="N1",1,0),IF(E2_diario!J2094="N1",1,0))</x:f>
        <x:v>0</x:v>
      </x:c>
      <x:c r="I36" s="2" t="n">
        <x:f>SUM(IF(E2_diario!J36="N2",1,0),IF(E2_diario!J78="N2",1,0),IF(E2_diario!J540="N2",1,0),IF(E2_diario!J582="N2",1,0),IF(E2_diario!J1044="N2",1,0),IF(E2_diario!J1086="N2",1,0),IF(E2_diario!J1548="N2",1,0),IF(E2_diario!J1590="N2",1,0),IF(E2_diario!J2052="N2",1,0),IF(E2_diario!J2094="N2",1,0))</x:f>
        <x:v>0</x:v>
      </x:c>
      <x:c r="J36" s="2" t="n">
        <x:f>SUM(IF(E2_diario!J36="N3",1,0),IF(E2_diario!J78="N3",1,0),IF(E2_diario!J540="N3",1,0),IF(E2_diario!J582="N3",1,0),IF(E2_diario!J1044="N3",1,0),IF(E2_diario!J1086="N3",1,0),IF(E2_diario!J1548="N3",1,0),IF(E2_diario!J1590="N3",1,0),IF(E2_diario!J2052="N3",1,0),IF(E2_diario!J2094="N3",1,0))</x:f>
        <x:v>0</x:v>
      </x:c>
      <x:c r="K36" s="2" t="n">
        <x:f>SUM(IF(E2_diario!J36="N4",1,0),IF(E2_diario!J78="N4",1,0),IF(E2_diario!J540="N4",1,0),IF(E2_diario!J582="N4",1,0),IF(E2_diario!J1044="N4",1,0),IF(E2_diario!J1086="N4",1,0),IF(E2_diario!J1548="N4",1,0),IF(E2_diario!J1590="N4",1,0),IF(E2_diario!J2052="N4",1,0),IF(E2_diario!J2094="N4",1,0))</x:f>
        <x:v>0</x:v>
      </x:c>
      <x:c r="L36" s="2" t="n">
        <x:f>SUM(IF(E2_diario!J36="adulta",1,0),IF(E2_diario!J78="adulta",1,0),IF(E2_diario!J540="adulta",1,0),IF(E2_diario!J582="adulta",1,0),IF(E2_diario!J1044="adulta",1,0),IF(E2_diario!J1086="adulta",1,0),IF(E2_diario!J1548="adulta",1,0),IF(E2_diario!J1590="adulta",1,0),IF(E2_diario!J2052="adulta",1,0),IF(E2_diario!J2094="adulta",1,0))</x:f>
        <x:v>2</x:v>
      </x:c>
      <x:c r="M36" s="2" t="n">
        <x:f>SUM(E2_diario!L36,E2_diario!L78,E2_diario!L540,E2_diario!L582,E2_diario!L1044,E2_diario!L1086,E2_diario!L1548,E2_diario!L1590,E2_diario!L2052,E2_diario!L2094)</x:f>
        <x:v>1</x:v>
      </x:c>
      <x:c r="N36" s="20" t="n">
        <x:f>G36/F36</x:f>
        <x:v>0.2</x:v>
      </x:c>
      <x:c r="O36" s="20" t="n">
        <x:f>IF(G36=0,0,M36/G36)</x:f>
        <x:v>0.5</x:v>
      </x:c>
      <x:c r="P36" s="20" t="n">
        <x:f>N36*O36</x:f>
        <x:v>0.1</x:v>
      </x:c>
      <x:c r="Q36" s="20" t="n">
        <x:f>H36/F36</x:f>
        <x:v>0</x:v>
      </x:c>
      <x:c r="R36" s="20" t="n">
        <x:f>I36/F36</x:f>
        <x:v>0</x:v>
      </x:c>
      <x:c r="S36" s="20" t="n">
        <x:f>J36/F36</x:f>
        <x:v>0</x:v>
      </x:c>
      <x:c r="T36" s="20" t="n">
        <x:f>K36/F36</x:f>
        <x:v>0</x:v>
      </x:c>
      <x:c r="U36" s="20" t="n">
        <x:f>L36/F36</x:f>
        <x:v>0.2</x:v>
      </x:c>
      <x:c r="V36" s="20" t="n">
        <x:f>IF(L36=0,0,M36/L36)</x:f>
        <x:v>0.5</x:v>
      </x:c>
      <x:c r="W36" s="20" t="n">
        <x:f>SUM(P$2:P36)</x:f>
        <x:v>57.7</x:v>
      </x:c>
      <x:c r="X36" s="2" t="n">
        <x:f>E36+Supuestos!$C$15</x:f>
        <x:v>35</x:v>
      </x:c>
      <x:c r="Y36" s="2" t="n">
        <x:f>F36-G36</x:f>
        <x:v>8</x:v>
      </x:c>
      <x:c r="Z36" s="2" t="str">
        <x:v>simulado_didactico</x:v>
      </x:c>
    </x:row>
    <x:row r="37" ht="19" customHeight="1">
      <x:c r="A37" s="2" t="str">
        <x:v>MP_L0</x:v>
      </x:c>
      <x:c r="B37" s="2" t="str">
        <x:v>MP</x:v>
      </x:c>
      <x:c r="C37" s="2" t="str">
        <x:v>Myzus persicae</x:v>
      </x:c>
      <x:c r="D37" s="2" t="str">
        <x:v>L0</x:v>
      </x:c>
      <x:c r="E37" s="2" t="n">
        <x:v>35</x:v>
      </x:c>
      <x:c r="F37" s="2" t="n">
        <x:f>COUNTA(E2_plantas!A2,E2_plantas!A3,E2_plantas!A14,E2_plantas!A15,E2_plantas!A26,E2_plantas!A27,E2_plantas!A38,E2_plantas!A39,E2_plantas!A50,E2_plantas!A51)</x:f>
        <x:v>10</x:v>
      </x:c>
      <x:c r="G37" s="2" t="n">
        <x:f>SUM(E2_diario!K37,E2_diario!K79,E2_diario!K541,E2_diario!K583,E2_diario!K1045,E2_diario!K1087,E2_diario!K1549,E2_diario!K1591,E2_diario!K2053,E2_diario!K2095)</x:f>
        <x:v>1</x:v>
      </x:c>
      <x:c r="H37" s="2" t="n">
        <x:f>SUM(IF(E2_diario!J37="N1",1,0),IF(E2_diario!J79="N1",1,0),IF(E2_diario!J541="N1",1,0),IF(E2_diario!J583="N1",1,0),IF(E2_diario!J1045="N1",1,0),IF(E2_diario!J1087="N1",1,0),IF(E2_diario!J1549="N1",1,0),IF(E2_diario!J1591="N1",1,0),IF(E2_diario!J2053="N1",1,0),IF(E2_diario!J2095="N1",1,0))</x:f>
        <x:v>0</x:v>
      </x:c>
      <x:c r="I37" s="2" t="n">
        <x:f>SUM(IF(E2_diario!J37="N2",1,0),IF(E2_diario!J79="N2",1,0),IF(E2_diario!J541="N2",1,0),IF(E2_diario!J583="N2",1,0),IF(E2_diario!J1045="N2",1,0),IF(E2_diario!J1087="N2",1,0),IF(E2_diario!J1549="N2",1,0),IF(E2_diario!J1591="N2",1,0),IF(E2_diario!J2053="N2",1,0),IF(E2_diario!J2095="N2",1,0))</x:f>
        <x:v>0</x:v>
      </x:c>
      <x:c r="J37" s="2" t="n">
        <x:f>SUM(IF(E2_diario!J37="N3",1,0),IF(E2_diario!J79="N3",1,0),IF(E2_diario!J541="N3",1,0),IF(E2_diario!J583="N3",1,0),IF(E2_diario!J1045="N3",1,0),IF(E2_diario!J1087="N3",1,0),IF(E2_diario!J1549="N3",1,0),IF(E2_diario!J1591="N3",1,0),IF(E2_diario!J2053="N3",1,0),IF(E2_diario!J2095="N3",1,0))</x:f>
        <x:v>0</x:v>
      </x:c>
      <x:c r="K37" s="2" t="n">
        <x:f>SUM(IF(E2_diario!J37="N4",1,0),IF(E2_diario!J79="N4",1,0),IF(E2_diario!J541="N4",1,0),IF(E2_diario!J583="N4",1,0),IF(E2_diario!J1045="N4",1,0),IF(E2_diario!J1087="N4",1,0),IF(E2_diario!J1549="N4",1,0),IF(E2_diario!J1591="N4",1,0),IF(E2_diario!J2053="N4",1,0),IF(E2_diario!J2095="N4",1,0))</x:f>
        <x:v>0</x:v>
      </x:c>
      <x:c r="L37" s="2" t="n">
        <x:f>SUM(IF(E2_diario!J37="adulta",1,0),IF(E2_diario!J79="adulta",1,0),IF(E2_diario!J541="adulta",1,0),IF(E2_diario!J583="adulta",1,0),IF(E2_diario!J1045="adulta",1,0),IF(E2_diario!J1087="adulta",1,0),IF(E2_diario!J1549="adulta",1,0),IF(E2_diario!J1591="adulta",1,0),IF(E2_diario!J2053="adulta",1,0),IF(E2_diario!J2095="adulta",1,0))</x:f>
        <x:v>1</x:v>
      </x:c>
      <x:c r="M37" s="2" t="n">
        <x:f>SUM(E2_diario!L37,E2_diario!L79,E2_diario!L541,E2_diario!L583,E2_diario!L1045,E2_diario!L1087,E2_diario!L1549,E2_diario!L1591,E2_diario!L2053,E2_diario!L2095)</x:f>
        <x:v>0</x:v>
      </x:c>
      <x:c r="N37" s="20" t="n">
        <x:f>G37/F37</x:f>
        <x:v>0.1</x:v>
      </x:c>
      <x:c r="O37" s="20" t="n">
        <x:f>IF(G37=0,0,M37/G37)</x:f>
        <x:v>0</x:v>
      </x:c>
      <x:c r="P37" s="20" t="n">
        <x:f>N37*O37</x:f>
        <x:v>0</x:v>
      </x:c>
      <x:c r="Q37" s="20" t="n">
        <x:f>H37/F37</x:f>
        <x:v>0</x:v>
      </x:c>
      <x:c r="R37" s="20" t="n">
        <x:f>I37/F37</x:f>
        <x:v>0</x:v>
      </x:c>
      <x:c r="S37" s="20" t="n">
        <x:f>J37/F37</x:f>
        <x:v>0</x:v>
      </x:c>
      <x:c r="T37" s="20" t="n">
        <x:f>K37/F37</x:f>
        <x:v>0</x:v>
      </x:c>
      <x:c r="U37" s="20" t="n">
        <x:f>L37/F37</x:f>
        <x:v>0.1</x:v>
      </x:c>
      <x:c r="V37" s="20" t="n">
        <x:f>IF(L37=0,0,M37/L37)</x:f>
        <x:v>0</x:v>
      </x:c>
      <x:c r="W37" s="20" t="n">
        <x:f>SUM(P$2:P37)</x:f>
        <x:v>57.7</x:v>
      </x:c>
      <x:c r="X37" s="2" t="n">
        <x:f>E37+Supuestos!$C$15</x:f>
        <x:v>36</x:v>
      </x:c>
      <x:c r="Y37" s="2" t="n">
        <x:f>F37-G37</x:f>
        <x:v>9</x:v>
      </x:c>
      <x:c r="Z37" s="2" t="str">
        <x:v>simulado_didactico</x:v>
      </x:c>
    </x:row>
    <x:row r="38" ht="19" customHeight="1">
      <x:c r="A38" s="2" t="str">
        <x:v>MP_L0</x:v>
      </x:c>
      <x:c r="B38" s="2" t="str">
        <x:v>MP</x:v>
      </x:c>
      <x:c r="C38" s="2" t="str">
        <x:v>Myzus persicae</x:v>
      </x:c>
      <x:c r="D38" s="2" t="str">
        <x:v>L0</x:v>
      </x:c>
      <x:c r="E38" s="2" t="n">
        <x:v>36</x:v>
      </x:c>
      <x:c r="F38" s="2" t="n">
        <x:f>COUNTA(E2_plantas!A2,E2_plantas!A3,E2_plantas!A14,E2_plantas!A15,E2_plantas!A26,E2_plantas!A27,E2_plantas!A38,E2_plantas!A39,E2_plantas!A50,E2_plantas!A51)</x:f>
        <x:v>10</x:v>
      </x:c>
      <x:c r="G38" s="2" t="n">
        <x:f>SUM(E2_diario!K38,E2_diario!K80,E2_diario!K542,E2_diario!K584,E2_diario!K1046,E2_diario!K1088,E2_diario!K1550,E2_diario!K1592,E2_diario!K2054,E2_diario!K2096)</x:f>
        <x:v>1</x:v>
      </x:c>
      <x:c r="H38" s="2" t="n">
        <x:f>SUM(IF(E2_diario!J38="N1",1,0),IF(E2_diario!J80="N1",1,0),IF(E2_diario!J542="N1",1,0),IF(E2_diario!J584="N1",1,0),IF(E2_diario!J1046="N1",1,0),IF(E2_diario!J1088="N1",1,0),IF(E2_diario!J1550="N1",1,0),IF(E2_diario!J1592="N1",1,0),IF(E2_diario!J2054="N1",1,0),IF(E2_diario!J2096="N1",1,0))</x:f>
        <x:v>0</x:v>
      </x:c>
      <x:c r="I38" s="2" t="n">
        <x:f>SUM(IF(E2_diario!J38="N2",1,0),IF(E2_diario!J80="N2",1,0),IF(E2_diario!J542="N2",1,0),IF(E2_diario!J584="N2",1,0),IF(E2_diario!J1046="N2",1,0),IF(E2_diario!J1088="N2",1,0),IF(E2_diario!J1550="N2",1,0),IF(E2_diario!J1592="N2",1,0),IF(E2_diario!J2054="N2",1,0),IF(E2_diario!J2096="N2",1,0))</x:f>
        <x:v>0</x:v>
      </x:c>
      <x:c r="J38" s="2" t="n">
        <x:f>SUM(IF(E2_diario!J38="N3",1,0),IF(E2_diario!J80="N3",1,0),IF(E2_diario!J542="N3",1,0),IF(E2_diario!J584="N3",1,0),IF(E2_diario!J1046="N3",1,0),IF(E2_diario!J1088="N3",1,0),IF(E2_diario!J1550="N3",1,0),IF(E2_diario!J1592="N3",1,0),IF(E2_diario!J2054="N3",1,0),IF(E2_diario!J2096="N3",1,0))</x:f>
        <x:v>0</x:v>
      </x:c>
      <x:c r="K38" s="2" t="n">
        <x:f>SUM(IF(E2_diario!J38="N4",1,0),IF(E2_diario!J80="N4",1,0),IF(E2_diario!J542="N4",1,0),IF(E2_diario!J584="N4",1,0),IF(E2_diario!J1046="N4",1,0),IF(E2_diario!J1088="N4",1,0),IF(E2_diario!J1550="N4",1,0),IF(E2_diario!J1592="N4",1,0),IF(E2_diario!J2054="N4",1,0),IF(E2_diario!J2096="N4",1,0))</x:f>
        <x:v>0</x:v>
      </x:c>
      <x:c r="L38" s="2" t="n">
        <x:f>SUM(IF(E2_diario!J38="adulta",1,0),IF(E2_diario!J80="adulta",1,0),IF(E2_diario!J542="adulta",1,0),IF(E2_diario!J584="adulta",1,0),IF(E2_diario!J1046="adulta",1,0),IF(E2_diario!J1088="adulta",1,0),IF(E2_diario!J1550="adulta",1,0),IF(E2_diario!J1592="adulta",1,0),IF(E2_diario!J2054="adulta",1,0),IF(E2_diario!J2096="adulta",1,0))</x:f>
        <x:v>1</x:v>
      </x:c>
      <x:c r="M38" s="2" t="n">
        <x:f>SUM(E2_diario!L38,E2_diario!L80,E2_diario!L542,E2_diario!L584,E2_diario!L1046,E2_diario!L1088,E2_diario!L1550,E2_diario!L1592,E2_diario!L2054,E2_diario!L2096)</x:f>
        <x:v>1</x:v>
      </x:c>
      <x:c r="N38" s="20" t="n">
        <x:f>G38/F38</x:f>
        <x:v>0.1</x:v>
      </x:c>
      <x:c r="O38" s="20" t="n">
        <x:f>IF(G38=0,0,M38/G38)</x:f>
        <x:v>1</x:v>
      </x:c>
      <x:c r="P38" s="20" t="n">
        <x:f>N38*O38</x:f>
        <x:v>0.1</x:v>
      </x:c>
      <x:c r="Q38" s="20" t="n">
        <x:f>H38/F38</x:f>
        <x:v>0</x:v>
      </x:c>
      <x:c r="R38" s="20" t="n">
        <x:f>I38/F38</x:f>
        <x:v>0</x:v>
      </x:c>
      <x:c r="S38" s="20" t="n">
        <x:f>J38/F38</x:f>
        <x:v>0</x:v>
      </x:c>
      <x:c r="T38" s="20" t="n">
        <x:f>K38/F38</x:f>
        <x:v>0</x:v>
      </x:c>
      <x:c r="U38" s="20" t="n">
        <x:f>L38/F38</x:f>
        <x:v>0.1</x:v>
      </x:c>
      <x:c r="V38" s="20" t="n">
        <x:f>IF(L38=0,0,M38/L38)</x:f>
        <x:v>1</x:v>
      </x:c>
      <x:c r="W38" s="20" t="n">
        <x:f>SUM(P$2:P38)</x:f>
        <x:v>57.800000000000004</x:v>
      </x:c>
      <x:c r="X38" s="2" t="n">
        <x:f>E38+Supuestos!$C$15</x:f>
        <x:v>37</x:v>
      </x:c>
      <x:c r="Y38" s="2" t="n">
        <x:f>F38-G38</x:f>
        <x:v>9</x:v>
      </x:c>
      <x:c r="Z38" s="2" t="str">
        <x:v>simulado_didactico</x:v>
      </x:c>
    </x:row>
    <x:row r="39" ht="19" customHeight="1">
      <x:c r="A39" s="2" t="str">
        <x:v>MP_L0</x:v>
      </x:c>
      <x:c r="B39" s="2" t="str">
        <x:v>MP</x:v>
      </x:c>
      <x:c r="C39" s="2" t="str">
        <x:v>Myzus persicae</x:v>
      </x:c>
      <x:c r="D39" s="2" t="str">
        <x:v>L0</x:v>
      </x:c>
      <x:c r="E39" s="2" t="n">
        <x:v>37</x:v>
      </x:c>
      <x:c r="F39" s="2" t="n">
        <x:f>COUNTA(E2_plantas!A2,E2_plantas!A3,E2_plantas!A14,E2_plantas!A15,E2_plantas!A26,E2_plantas!A27,E2_plantas!A38,E2_plantas!A39,E2_plantas!A50,E2_plantas!A51)</x:f>
        <x:v>10</x:v>
      </x:c>
      <x:c r="G39" s="2" t="n">
        <x:f>SUM(E2_diario!K39,E2_diario!K81,E2_diario!K543,E2_diario!K585,E2_diario!K1047,E2_diario!K1089,E2_diario!K1551,E2_diario!K1593,E2_diario!K2055,E2_diario!K2097)</x:f>
        <x:v>1</x:v>
      </x:c>
      <x:c r="H39" s="2" t="n">
        <x:f>SUM(IF(E2_diario!J39="N1",1,0),IF(E2_diario!J81="N1",1,0),IF(E2_diario!J543="N1",1,0),IF(E2_diario!J585="N1",1,0),IF(E2_diario!J1047="N1",1,0),IF(E2_diario!J1089="N1",1,0),IF(E2_diario!J1551="N1",1,0),IF(E2_diario!J1593="N1",1,0),IF(E2_diario!J2055="N1",1,0),IF(E2_diario!J2097="N1",1,0))</x:f>
        <x:v>0</x:v>
      </x:c>
      <x:c r="I39" s="2" t="n">
        <x:f>SUM(IF(E2_diario!J39="N2",1,0),IF(E2_diario!J81="N2",1,0),IF(E2_diario!J543="N2",1,0),IF(E2_diario!J585="N2",1,0),IF(E2_diario!J1047="N2",1,0),IF(E2_diario!J1089="N2",1,0),IF(E2_diario!J1551="N2",1,0),IF(E2_diario!J1593="N2",1,0),IF(E2_diario!J2055="N2",1,0),IF(E2_diario!J2097="N2",1,0))</x:f>
        <x:v>0</x:v>
      </x:c>
      <x:c r="J39" s="2" t="n">
        <x:f>SUM(IF(E2_diario!J39="N3",1,0),IF(E2_diario!J81="N3",1,0),IF(E2_diario!J543="N3",1,0),IF(E2_diario!J585="N3",1,0),IF(E2_diario!J1047="N3",1,0),IF(E2_diario!J1089="N3",1,0),IF(E2_diario!J1551="N3",1,0),IF(E2_diario!J1593="N3",1,0),IF(E2_diario!J2055="N3",1,0),IF(E2_diario!J2097="N3",1,0))</x:f>
        <x:v>0</x:v>
      </x:c>
      <x:c r="K39" s="2" t="n">
        <x:f>SUM(IF(E2_diario!J39="N4",1,0),IF(E2_diario!J81="N4",1,0),IF(E2_diario!J543="N4",1,0),IF(E2_diario!J585="N4",1,0),IF(E2_diario!J1047="N4",1,0),IF(E2_diario!J1089="N4",1,0),IF(E2_diario!J1551="N4",1,0),IF(E2_diario!J1593="N4",1,0),IF(E2_diario!J2055="N4",1,0),IF(E2_diario!J2097="N4",1,0))</x:f>
        <x:v>0</x:v>
      </x:c>
      <x:c r="L39" s="2" t="n">
        <x:f>SUM(IF(E2_diario!J39="adulta",1,0),IF(E2_diario!J81="adulta",1,0),IF(E2_diario!J543="adulta",1,0),IF(E2_diario!J585="adulta",1,0),IF(E2_diario!J1047="adulta",1,0),IF(E2_diario!J1089="adulta",1,0),IF(E2_diario!J1551="adulta",1,0),IF(E2_diario!J1593="adulta",1,0),IF(E2_diario!J2055="adulta",1,0),IF(E2_diario!J2097="adulta",1,0))</x:f>
        <x:v>1</x:v>
      </x:c>
      <x:c r="M39" s="2" t="n">
        <x:f>SUM(E2_diario!L39,E2_diario!L81,E2_diario!L543,E2_diario!L585,E2_diario!L1047,E2_diario!L1089,E2_diario!L1551,E2_diario!L1593,E2_diario!L2055,E2_diario!L2097)</x:f>
        <x:v>1</x:v>
      </x:c>
      <x:c r="N39" s="20" t="n">
        <x:f>G39/F39</x:f>
        <x:v>0.1</x:v>
      </x:c>
      <x:c r="O39" s="20" t="n">
        <x:f>IF(G39=0,0,M39/G39)</x:f>
        <x:v>1</x:v>
      </x:c>
      <x:c r="P39" s="20" t="n">
        <x:f>N39*O39</x:f>
        <x:v>0.1</x:v>
      </x:c>
      <x:c r="Q39" s="20" t="n">
        <x:f>H39/F39</x:f>
        <x:v>0</x:v>
      </x:c>
      <x:c r="R39" s="20" t="n">
        <x:f>I39/F39</x:f>
        <x:v>0</x:v>
      </x:c>
      <x:c r="S39" s="20" t="n">
        <x:f>J39/F39</x:f>
        <x:v>0</x:v>
      </x:c>
      <x:c r="T39" s="20" t="n">
        <x:f>K39/F39</x:f>
        <x:v>0</x:v>
      </x:c>
      <x:c r="U39" s="20" t="n">
        <x:f>L39/F39</x:f>
        <x:v>0.1</x:v>
      </x:c>
      <x:c r="V39" s="20" t="n">
        <x:f>IF(L39=0,0,M39/L39)</x:f>
        <x:v>1</x:v>
      </x:c>
      <x:c r="W39" s="20" t="n">
        <x:f>SUM(P$2:P39)</x:f>
        <x:v>57.900000000000006</x:v>
      </x:c>
      <x:c r="X39" s="2" t="n">
        <x:f>E39+Supuestos!$C$15</x:f>
        <x:v>38</x:v>
      </x:c>
      <x:c r="Y39" s="2" t="n">
        <x:f>F39-G39</x:f>
        <x:v>9</x:v>
      </x:c>
      <x:c r="Z39" s="2" t="str">
        <x:v>simulado_didactico</x:v>
      </x:c>
    </x:row>
    <x:row r="40" ht="19" customHeight="1">
      <x:c r="A40" s="2" t="str">
        <x:v>MP_L0</x:v>
      </x:c>
      <x:c r="B40" s="2" t="str">
        <x:v>MP</x:v>
      </x:c>
      <x:c r="C40" s="2" t="str">
        <x:v>Myzus persicae</x:v>
      </x:c>
      <x:c r="D40" s="2" t="str">
        <x:v>L0</x:v>
      </x:c>
      <x:c r="E40" s="2" t="n">
        <x:v>38</x:v>
      </x:c>
      <x:c r="F40" s="2" t="n">
        <x:f>COUNTA(E2_plantas!A2,E2_plantas!A3,E2_plantas!A14,E2_plantas!A15,E2_plantas!A26,E2_plantas!A27,E2_plantas!A38,E2_plantas!A39,E2_plantas!A50,E2_plantas!A51)</x:f>
        <x:v>10</x:v>
      </x:c>
      <x:c r="G40" s="2" t="n">
        <x:f>SUM(E2_diario!K40,E2_diario!K82,E2_diario!K544,E2_diario!K586,E2_diario!K1048,E2_diario!K1090,E2_diario!K1552,E2_diario!K1594,E2_diario!K2056,E2_diario!K2098)</x:f>
        <x:v>1</x:v>
      </x:c>
      <x:c r="H40" s="2" t="n">
        <x:f>SUM(IF(E2_diario!J40="N1",1,0),IF(E2_diario!J82="N1",1,0),IF(E2_diario!J544="N1",1,0),IF(E2_diario!J586="N1",1,0),IF(E2_diario!J1048="N1",1,0),IF(E2_diario!J1090="N1",1,0),IF(E2_diario!J1552="N1",1,0),IF(E2_diario!J1594="N1",1,0),IF(E2_diario!J2056="N1",1,0),IF(E2_diario!J2098="N1",1,0))</x:f>
        <x:v>0</x:v>
      </x:c>
      <x:c r="I40" s="2" t="n">
        <x:f>SUM(IF(E2_diario!J40="N2",1,0),IF(E2_diario!J82="N2",1,0),IF(E2_diario!J544="N2",1,0),IF(E2_diario!J586="N2",1,0),IF(E2_diario!J1048="N2",1,0),IF(E2_diario!J1090="N2",1,0),IF(E2_diario!J1552="N2",1,0),IF(E2_diario!J1594="N2",1,0),IF(E2_diario!J2056="N2",1,0),IF(E2_diario!J2098="N2",1,0))</x:f>
        <x:v>0</x:v>
      </x:c>
      <x:c r="J40" s="2" t="n">
        <x:f>SUM(IF(E2_diario!J40="N3",1,0),IF(E2_diario!J82="N3",1,0),IF(E2_diario!J544="N3",1,0),IF(E2_diario!J586="N3",1,0),IF(E2_diario!J1048="N3",1,0),IF(E2_diario!J1090="N3",1,0),IF(E2_diario!J1552="N3",1,0),IF(E2_diario!J1594="N3",1,0),IF(E2_diario!J2056="N3",1,0),IF(E2_diario!J2098="N3",1,0))</x:f>
        <x:v>0</x:v>
      </x:c>
      <x:c r="K40" s="2" t="n">
        <x:f>SUM(IF(E2_diario!J40="N4",1,0),IF(E2_diario!J82="N4",1,0),IF(E2_diario!J544="N4",1,0),IF(E2_diario!J586="N4",1,0),IF(E2_diario!J1048="N4",1,0),IF(E2_diario!J1090="N4",1,0),IF(E2_diario!J1552="N4",1,0),IF(E2_diario!J1594="N4",1,0),IF(E2_diario!J2056="N4",1,0),IF(E2_diario!J2098="N4",1,0))</x:f>
        <x:v>0</x:v>
      </x:c>
      <x:c r="L40" s="2" t="n">
        <x:f>SUM(IF(E2_diario!J40="adulta",1,0),IF(E2_diario!J82="adulta",1,0),IF(E2_diario!J544="adulta",1,0),IF(E2_diario!J586="adulta",1,0),IF(E2_diario!J1048="adulta",1,0),IF(E2_diario!J1090="adulta",1,0),IF(E2_diario!J1552="adulta",1,0),IF(E2_diario!J1594="adulta",1,0),IF(E2_diario!J2056="adulta",1,0),IF(E2_diario!J2098="adulta",1,0))</x:f>
        <x:v>1</x:v>
      </x:c>
      <x:c r="M40" s="2" t="n">
        <x:f>SUM(E2_diario!L40,E2_diario!L82,E2_diario!L544,E2_diario!L586,E2_diario!L1048,E2_diario!L1090,E2_diario!L1552,E2_diario!L1594,E2_diario!L2056,E2_diario!L2098)</x:f>
        <x:v>0</x:v>
      </x:c>
      <x:c r="N40" s="20" t="n">
        <x:f>G40/F40</x:f>
        <x:v>0.1</x:v>
      </x:c>
      <x:c r="O40" s="20" t="n">
        <x:f>IF(G40=0,0,M40/G40)</x:f>
        <x:v>0</x:v>
      </x:c>
      <x:c r="P40" s="20" t="n">
        <x:f>N40*O40</x:f>
        <x:v>0</x:v>
      </x:c>
      <x:c r="Q40" s="20" t="n">
        <x:f>H40/F40</x:f>
        <x:v>0</x:v>
      </x:c>
      <x:c r="R40" s="20" t="n">
        <x:f>I40/F40</x:f>
        <x:v>0</x:v>
      </x:c>
      <x:c r="S40" s="20" t="n">
        <x:f>J40/F40</x:f>
        <x:v>0</x:v>
      </x:c>
      <x:c r="T40" s="20" t="n">
        <x:f>K40/F40</x:f>
        <x:v>0</x:v>
      </x:c>
      <x:c r="U40" s="20" t="n">
        <x:f>L40/F40</x:f>
        <x:v>0.1</x:v>
      </x:c>
      <x:c r="V40" s="20" t="n">
        <x:f>IF(L40=0,0,M40/L40)</x:f>
        <x:v>0</x:v>
      </x:c>
      <x:c r="W40" s="20" t="n">
        <x:f>SUM(P$2:P40)</x:f>
        <x:v>57.900000000000006</x:v>
      </x:c>
      <x:c r="X40" s="2" t="n">
        <x:f>E40+Supuestos!$C$15</x:f>
        <x:v>39</x:v>
      </x:c>
      <x:c r="Y40" s="2" t="n">
        <x:f>F40-G40</x:f>
        <x:v>9</x:v>
      </x:c>
      <x:c r="Z40" s="2" t="str">
        <x:v>simulado_didactico</x:v>
      </x:c>
    </x:row>
    <x:row r="41" ht="19" customHeight="1">
      <x:c r="A41" s="2" t="str">
        <x:v>MP_L0</x:v>
      </x:c>
      <x:c r="B41" s="2" t="str">
        <x:v>MP</x:v>
      </x:c>
      <x:c r="C41" s="2" t="str">
        <x:v>Myzus persicae</x:v>
      </x:c>
      <x:c r="D41" s="2" t="str">
        <x:v>L0</x:v>
      </x:c>
      <x:c r="E41" s="2" t="n">
        <x:v>39</x:v>
      </x:c>
      <x:c r="F41" s="2" t="n">
        <x:f>COUNTA(E2_plantas!A2,E2_plantas!A3,E2_plantas!A14,E2_plantas!A15,E2_plantas!A26,E2_plantas!A27,E2_plantas!A38,E2_plantas!A39,E2_plantas!A50,E2_plantas!A51)</x:f>
        <x:v>10</x:v>
      </x:c>
      <x:c r="G41" s="2" t="n">
        <x:f>SUM(E2_diario!K41,E2_diario!K83,E2_diario!K545,E2_diario!K587,E2_diario!K1049,E2_diario!K1091,E2_diario!K1553,E2_diario!K1595,E2_diario!K2057,E2_diario!K2099)</x:f>
        <x:v>1</x:v>
      </x:c>
      <x:c r="H41" s="2" t="n">
        <x:f>SUM(IF(E2_diario!J41="N1",1,0),IF(E2_diario!J83="N1",1,0),IF(E2_diario!J545="N1",1,0),IF(E2_diario!J587="N1",1,0),IF(E2_diario!J1049="N1",1,0),IF(E2_diario!J1091="N1",1,0),IF(E2_diario!J1553="N1",1,0),IF(E2_diario!J1595="N1",1,0),IF(E2_diario!J2057="N1",1,0),IF(E2_diario!J2099="N1",1,0))</x:f>
        <x:v>0</x:v>
      </x:c>
      <x:c r="I41" s="2" t="n">
        <x:f>SUM(IF(E2_diario!J41="N2",1,0),IF(E2_diario!J83="N2",1,0),IF(E2_diario!J545="N2",1,0),IF(E2_diario!J587="N2",1,0),IF(E2_diario!J1049="N2",1,0),IF(E2_diario!J1091="N2",1,0),IF(E2_diario!J1553="N2",1,0),IF(E2_diario!J1595="N2",1,0),IF(E2_diario!J2057="N2",1,0),IF(E2_diario!J2099="N2",1,0))</x:f>
        <x:v>0</x:v>
      </x:c>
      <x:c r="J41" s="2" t="n">
        <x:f>SUM(IF(E2_diario!J41="N3",1,0),IF(E2_diario!J83="N3",1,0),IF(E2_diario!J545="N3",1,0),IF(E2_diario!J587="N3",1,0),IF(E2_diario!J1049="N3",1,0),IF(E2_diario!J1091="N3",1,0),IF(E2_diario!J1553="N3",1,0),IF(E2_diario!J1595="N3",1,0),IF(E2_diario!J2057="N3",1,0),IF(E2_diario!J2099="N3",1,0))</x:f>
        <x:v>0</x:v>
      </x:c>
      <x:c r="K41" s="2" t="n">
        <x:f>SUM(IF(E2_diario!J41="N4",1,0),IF(E2_diario!J83="N4",1,0),IF(E2_diario!J545="N4",1,0),IF(E2_diario!J587="N4",1,0),IF(E2_diario!J1049="N4",1,0),IF(E2_diario!J1091="N4",1,0),IF(E2_diario!J1553="N4",1,0),IF(E2_diario!J1595="N4",1,0),IF(E2_diario!J2057="N4",1,0),IF(E2_diario!J2099="N4",1,0))</x:f>
        <x:v>0</x:v>
      </x:c>
      <x:c r="L41" s="2" t="n">
        <x:f>SUM(IF(E2_diario!J41="adulta",1,0),IF(E2_diario!J83="adulta",1,0),IF(E2_diario!J545="adulta",1,0),IF(E2_diario!J587="adulta",1,0),IF(E2_diario!J1049="adulta",1,0),IF(E2_diario!J1091="adulta",1,0),IF(E2_diario!J1553="adulta",1,0),IF(E2_diario!J1595="adulta",1,0),IF(E2_diario!J2057="adulta",1,0),IF(E2_diario!J2099="adulta",1,0))</x:f>
        <x:v>1</x:v>
      </x:c>
      <x:c r="M41" s="2" t="n">
        <x:f>SUM(E2_diario!L41,E2_diario!L83,E2_diario!L545,E2_diario!L587,E2_diario!L1049,E2_diario!L1091,E2_diario!L1553,E2_diario!L1595,E2_diario!L2057,E2_diario!L2099)</x:f>
        <x:v>0</x:v>
      </x:c>
      <x:c r="N41" s="20" t="n">
        <x:f>G41/F41</x:f>
        <x:v>0.1</x:v>
      </x:c>
      <x:c r="O41" s="20" t="n">
        <x:f>IF(G41=0,0,M41/G41)</x:f>
        <x:v>0</x:v>
      </x:c>
      <x:c r="P41" s="20" t="n">
        <x:f>N41*O41</x:f>
        <x:v>0</x:v>
      </x:c>
      <x:c r="Q41" s="20" t="n">
        <x:f>H41/F41</x:f>
        <x:v>0</x:v>
      </x:c>
      <x:c r="R41" s="20" t="n">
        <x:f>I41/F41</x:f>
        <x:v>0</x:v>
      </x:c>
      <x:c r="S41" s="20" t="n">
        <x:f>J41/F41</x:f>
        <x:v>0</x:v>
      </x:c>
      <x:c r="T41" s="20" t="n">
        <x:f>K41/F41</x:f>
        <x:v>0</x:v>
      </x:c>
      <x:c r="U41" s="20" t="n">
        <x:f>L41/F41</x:f>
        <x:v>0.1</x:v>
      </x:c>
      <x:c r="V41" s="20" t="n">
        <x:f>IF(L41=0,0,M41/L41)</x:f>
        <x:v>0</x:v>
      </x:c>
      <x:c r="W41" s="20" t="n">
        <x:f>SUM(P$2:P41)</x:f>
        <x:v>57.900000000000006</x:v>
      </x:c>
      <x:c r="X41" s="2" t="n">
        <x:f>E41+Supuestos!$C$15</x:f>
        <x:v>40</x:v>
      </x:c>
      <x:c r="Y41" s="2" t="n">
        <x:f>F41-G41</x:f>
        <x:v>9</x:v>
      </x:c>
      <x:c r="Z41" s="2" t="str">
        <x:v>simulado_didactico</x:v>
      </x:c>
    </x:row>
    <x:row r="42" ht="19" customHeight="1">
      <x:c r="A42" s="2" t="str">
        <x:v>MP_L0</x:v>
      </x:c>
      <x:c r="B42" s="2" t="str">
        <x:v>MP</x:v>
      </x:c>
      <x:c r="C42" s="2" t="str">
        <x:v>Myzus persicae</x:v>
      </x:c>
      <x:c r="D42" s="2" t="str">
        <x:v>L0</x:v>
      </x:c>
      <x:c r="E42" s="2" t="n">
        <x:v>40</x:v>
      </x:c>
      <x:c r="F42" s="2" t="n">
        <x:f>COUNTA(E2_plantas!A2,E2_plantas!A3,E2_plantas!A14,E2_plantas!A15,E2_plantas!A26,E2_plantas!A27,E2_plantas!A38,E2_plantas!A39,E2_plantas!A50,E2_plantas!A51)</x:f>
        <x:v>10</x:v>
      </x:c>
      <x:c r="G42" s="2" t="n">
        <x:f>SUM(E2_diario!K42,E2_diario!K84,E2_diario!K546,E2_diario!K588,E2_diario!K1050,E2_diario!K1092,E2_diario!K1554,E2_diario!K1596,E2_diario!K2058,E2_diario!K2100)</x:f>
        <x:v>1</x:v>
      </x:c>
      <x:c r="H42" s="2" t="n">
        <x:f>SUM(IF(E2_diario!J42="N1",1,0),IF(E2_diario!J84="N1",1,0),IF(E2_diario!J546="N1",1,0),IF(E2_diario!J588="N1",1,0),IF(E2_diario!J1050="N1",1,0),IF(E2_diario!J1092="N1",1,0),IF(E2_diario!J1554="N1",1,0),IF(E2_diario!J1596="N1",1,0),IF(E2_diario!J2058="N1",1,0),IF(E2_diario!J2100="N1",1,0))</x:f>
        <x:v>0</x:v>
      </x:c>
      <x:c r="I42" s="2" t="n">
        <x:f>SUM(IF(E2_diario!J42="N2",1,0),IF(E2_diario!J84="N2",1,0),IF(E2_diario!J546="N2",1,0),IF(E2_diario!J588="N2",1,0),IF(E2_diario!J1050="N2",1,0),IF(E2_diario!J1092="N2",1,0),IF(E2_diario!J1554="N2",1,0),IF(E2_diario!J1596="N2",1,0),IF(E2_diario!J2058="N2",1,0),IF(E2_diario!J2100="N2",1,0))</x:f>
        <x:v>0</x:v>
      </x:c>
      <x:c r="J42" s="2" t="n">
        <x:f>SUM(IF(E2_diario!J42="N3",1,0),IF(E2_diario!J84="N3",1,0),IF(E2_diario!J546="N3",1,0),IF(E2_diario!J588="N3",1,0),IF(E2_diario!J1050="N3",1,0),IF(E2_diario!J1092="N3",1,0),IF(E2_diario!J1554="N3",1,0),IF(E2_diario!J1596="N3",1,0),IF(E2_diario!J2058="N3",1,0),IF(E2_diario!J2100="N3",1,0))</x:f>
        <x:v>0</x:v>
      </x:c>
      <x:c r="K42" s="2" t="n">
        <x:f>SUM(IF(E2_diario!J42="N4",1,0),IF(E2_diario!J84="N4",1,0),IF(E2_diario!J546="N4",1,0),IF(E2_diario!J588="N4",1,0),IF(E2_diario!J1050="N4",1,0),IF(E2_diario!J1092="N4",1,0),IF(E2_diario!J1554="N4",1,0),IF(E2_diario!J1596="N4",1,0),IF(E2_diario!J2058="N4",1,0),IF(E2_diario!J2100="N4",1,0))</x:f>
        <x:v>0</x:v>
      </x:c>
      <x:c r="L42" s="2" t="n">
        <x:f>SUM(IF(E2_diario!J42="adulta",1,0),IF(E2_diario!J84="adulta",1,0),IF(E2_diario!J546="adulta",1,0),IF(E2_diario!J588="adulta",1,0),IF(E2_diario!J1050="adulta",1,0),IF(E2_diario!J1092="adulta",1,0),IF(E2_diario!J1554="adulta",1,0),IF(E2_diario!J1596="adulta",1,0),IF(E2_diario!J2058="adulta",1,0),IF(E2_diario!J2100="adulta",1,0))</x:f>
        <x:v>1</x:v>
      </x:c>
      <x:c r="M42" s="2" t="n">
        <x:f>SUM(E2_diario!L42,E2_diario!L84,E2_diario!L546,E2_diario!L588,E2_diario!L1050,E2_diario!L1092,E2_diario!L1554,E2_diario!L1596,E2_diario!L2058,E2_diario!L2100)</x:f>
        <x:v>0</x:v>
      </x:c>
      <x:c r="N42" s="20" t="n">
        <x:f>G42/F42</x:f>
        <x:v>0.1</x:v>
      </x:c>
      <x:c r="O42" s="20" t="n">
        <x:f>IF(G42=0,0,M42/G42)</x:f>
        <x:v>0</x:v>
      </x:c>
      <x:c r="P42" s="20" t="n">
        <x:f>N42*O42</x:f>
        <x:v>0</x:v>
      </x:c>
      <x:c r="Q42" s="20" t="n">
        <x:f>H42/F42</x:f>
        <x:v>0</x:v>
      </x:c>
      <x:c r="R42" s="20" t="n">
        <x:f>I42/F42</x:f>
        <x:v>0</x:v>
      </x:c>
      <x:c r="S42" s="20" t="n">
        <x:f>J42/F42</x:f>
        <x:v>0</x:v>
      </x:c>
      <x:c r="T42" s="20" t="n">
        <x:f>K42/F42</x:f>
        <x:v>0</x:v>
      </x:c>
      <x:c r="U42" s="20" t="n">
        <x:f>L42/F42</x:f>
        <x:v>0.1</x:v>
      </x:c>
      <x:c r="V42" s="20" t="n">
        <x:f>IF(L42=0,0,M42/L42)</x:f>
        <x:v>0</x:v>
      </x:c>
      <x:c r="W42" s="20" t="n">
        <x:f>SUM(P$2:P42)</x:f>
        <x:v>57.900000000000006</x:v>
      </x:c>
      <x:c r="X42" s="2" t="n">
        <x:f>E42+Supuestos!$C$15</x:f>
        <x:v>41</x:v>
      </x:c>
      <x:c r="Y42" s="2" t="n">
        <x:f>F42-G42</x:f>
        <x:v>9</x:v>
      </x:c>
      <x:c r="Z42" s="2" t="str">
        <x:v>simulado_didactico</x:v>
      </x:c>
    </x:row>
    <x:row r="43" ht="19" customHeight="1">
      <x:c r="A43" s="2" t="str">
        <x:v>MP_L0</x:v>
      </x:c>
      <x:c r="B43" s="2" t="str">
        <x:v>MP</x:v>
      </x:c>
      <x:c r="C43" s="2" t="str">
        <x:v>Myzus persicae</x:v>
      </x:c>
      <x:c r="D43" s="2" t="str">
        <x:v>L0</x:v>
      </x:c>
      <x:c r="E43" s="2" t="n">
        <x:v>41</x:v>
      </x:c>
      <x:c r="F43" s="2" t="n">
        <x:f>COUNTA(E2_plantas!A2,E2_plantas!A3,E2_plantas!A14,E2_plantas!A15,E2_plantas!A26,E2_plantas!A27,E2_plantas!A38,E2_plantas!A39,E2_plantas!A50,E2_plantas!A51)</x:f>
        <x:v>10</x:v>
      </x:c>
      <x:c r="G43" s="2" t="n">
        <x:f>SUM(E2_diario!K43,E2_diario!K85,E2_diario!K547,E2_diario!K589,E2_diario!K1051,E2_diario!K1093,E2_diario!K1555,E2_diario!K1597,E2_diario!K2059,E2_diario!K2101)</x:f>
        <x:v>0</x:v>
      </x:c>
      <x:c r="H43" s="2" t="n">
        <x:f>SUM(IF(E2_diario!J43="N1",1,0),IF(E2_diario!J85="N1",1,0),IF(E2_diario!J547="N1",1,0),IF(E2_diario!J589="N1",1,0),IF(E2_diario!J1051="N1",1,0),IF(E2_diario!J1093="N1",1,0),IF(E2_diario!J1555="N1",1,0),IF(E2_diario!J1597="N1",1,0),IF(E2_diario!J2059="N1",1,0),IF(E2_diario!J2101="N1",1,0))</x:f>
        <x:v>0</x:v>
      </x:c>
      <x:c r="I43" s="2" t="n">
        <x:f>SUM(IF(E2_diario!J43="N2",1,0),IF(E2_diario!J85="N2",1,0),IF(E2_diario!J547="N2",1,0),IF(E2_diario!J589="N2",1,0),IF(E2_diario!J1051="N2",1,0),IF(E2_diario!J1093="N2",1,0),IF(E2_diario!J1555="N2",1,0),IF(E2_diario!J1597="N2",1,0),IF(E2_diario!J2059="N2",1,0),IF(E2_diario!J2101="N2",1,0))</x:f>
        <x:v>0</x:v>
      </x:c>
      <x:c r="J43" s="2" t="n">
        <x:f>SUM(IF(E2_diario!J43="N3",1,0),IF(E2_diario!J85="N3",1,0),IF(E2_diario!J547="N3",1,0),IF(E2_diario!J589="N3",1,0),IF(E2_diario!J1051="N3",1,0),IF(E2_diario!J1093="N3",1,0),IF(E2_diario!J1555="N3",1,0),IF(E2_diario!J1597="N3",1,0),IF(E2_diario!J2059="N3",1,0),IF(E2_diario!J2101="N3",1,0))</x:f>
        <x:v>0</x:v>
      </x:c>
      <x:c r="K43" s="2" t="n">
        <x:f>SUM(IF(E2_diario!J43="N4",1,0),IF(E2_diario!J85="N4",1,0),IF(E2_diario!J547="N4",1,0),IF(E2_diario!J589="N4",1,0),IF(E2_diario!J1051="N4",1,0),IF(E2_diario!J1093="N4",1,0),IF(E2_diario!J1555="N4",1,0),IF(E2_diario!J1597="N4",1,0),IF(E2_diario!J2059="N4",1,0),IF(E2_diario!J2101="N4",1,0))</x:f>
        <x:v>0</x:v>
      </x:c>
      <x:c r="L43" s="2" t="n">
        <x:f>SUM(IF(E2_diario!J43="adulta",1,0),IF(E2_diario!J85="adulta",1,0),IF(E2_diario!J547="adulta",1,0),IF(E2_diario!J589="adulta",1,0),IF(E2_diario!J1051="adulta",1,0),IF(E2_diario!J1093="adulta",1,0),IF(E2_diario!J1555="adulta",1,0),IF(E2_diario!J1597="adulta",1,0),IF(E2_diario!J2059="adulta",1,0),IF(E2_diario!J2101="adulta",1,0))</x:f>
        <x:v>0</x:v>
      </x:c>
      <x:c r="M43" s="2" t="n">
        <x:f>SUM(E2_diario!L43,E2_diario!L85,E2_diario!L547,E2_diario!L589,E2_diario!L1051,E2_diario!L1093,E2_diario!L1555,E2_diario!L1597,E2_diario!L2059,E2_diario!L2101)</x:f>
        <x:v>0</x:v>
      </x:c>
      <x:c r="N43" s="20" t="n">
        <x:f>G43/F43</x:f>
        <x:v>0</x:v>
      </x:c>
      <x:c r="O43" s="20" t="n">
        <x:f>IF(G43=0,0,M43/G43)</x:f>
        <x:v>0</x:v>
      </x:c>
      <x:c r="P43" s="20" t="n">
        <x:f>N43*O43</x:f>
        <x:v>0</x:v>
      </x:c>
      <x:c r="Q43" s="20" t="n">
        <x:f>H43/F43</x:f>
        <x:v>0</x:v>
      </x:c>
      <x:c r="R43" s="20" t="n">
        <x:f>I43/F43</x:f>
        <x:v>0</x:v>
      </x:c>
      <x:c r="S43" s="20" t="n">
        <x:f>J43/F43</x:f>
        <x:v>0</x:v>
      </x:c>
      <x:c r="T43" s="20" t="n">
        <x:f>K43/F43</x:f>
        <x:v>0</x:v>
      </x:c>
      <x:c r="U43" s="20" t="n">
        <x:f>L43/F43</x:f>
        <x:v>0</x:v>
      </x:c>
      <x:c r="V43" s="20" t="n">
        <x:f>IF(L43=0,0,M43/L43)</x:f>
        <x:v>0</x:v>
      </x:c>
      <x:c r="W43" s="20" t="n">
        <x:f>SUM(P$2:P43)</x:f>
        <x:v>57.900000000000006</x:v>
      </x:c>
      <x:c r="X43" s="2" t="n">
        <x:f>E43+Supuestos!$C$15</x:f>
        <x:v>42</x:v>
      </x:c>
      <x:c r="Y43" s="2" t="n">
        <x:f>F43-G43</x:f>
        <x:v>10</x:v>
      </x:c>
      <x:c r="Z43" s="2" t="str">
        <x:v>simulado_didactico</x:v>
      </x:c>
    </x:row>
    <x:row r="44" ht="19" customHeight="1">
      <x:c r="A44" s="2" t="str">
        <x:v>MP_L8</x:v>
      </x:c>
      <x:c r="B44" s="2" t="str">
        <x:v>MP</x:v>
      </x:c>
      <x:c r="C44" s="2" t="str">
        <x:v>Myzus persicae</x:v>
      </x:c>
      <x:c r="D44" s="2" t="str">
        <x:v>L8</x:v>
      </x:c>
      <x:c r="E44" s="2" t="n">
        <x:v>0</x:v>
      </x:c>
      <x:c r="F44" s="2" t="n">
        <x:f>COUNTA(E2_plantas!A4,E2_plantas!A5,E2_plantas!A16,E2_plantas!A17,E2_plantas!A28,E2_plantas!A29,E2_plantas!A40,E2_plantas!A41,E2_plantas!A52,E2_plantas!A53)</x:f>
        <x:v>10</x:v>
      </x:c>
      <x:c r="G44" s="2" t="n">
        <x:f>SUM(E2_diario!K86,E2_diario!K128,E2_diario!K590,E2_diario!K632,E2_diario!K1094,E2_diario!K1136,E2_diario!K1598,E2_diario!K1640,E2_diario!K2102,E2_diario!K2144)</x:f>
        <x:v>10</x:v>
      </x:c>
      <x:c r="H44" s="2" t="n">
        <x:f>SUM(IF(E2_diario!J86="N1",1,0),IF(E2_diario!J128="N1",1,0),IF(E2_diario!J590="N1",1,0),IF(E2_diario!J632="N1",1,0),IF(E2_diario!J1094="N1",1,0),IF(E2_diario!J1136="N1",1,0),IF(E2_diario!J1598="N1",1,0),IF(E2_diario!J1640="N1",1,0),IF(E2_diario!J2102="N1",1,0),IF(E2_diario!J2144="N1",1,0))</x:f>
        <x:v>10</x:v>
      </x:c>
      <x:c r="I44" s="2" t="n">
        <x:f>SUM(IF(E2_diario!J86="N2",1,0),IF(E2_diario!J128="N2",1,0),IF(E2_diario!J590="N2",1,0),IF(E2_diario!J632="N2",1,0),IF(E2_diario!J1094="N2",1,0),IF(E2_diario!J1136="N2",1,0),IF(E2_diario!J1598="N2",1,0),IF(E2_diario!J1640="N2",1,0),IF(E2_diario!J2102="N2",1,0),IF(E2_diario!J2144="N2",1,0))</x:f>
        <x:v>0</x:v>
      </x:c>
      <x:c r="J44" s="2" t="n">
        <x:f>SUM(IF(E2_diario!J86="N3",1,0),IF(E2_diario!J128="N3",1,0),IF(E2_diario!J590="N3",1,0),IF(E2_diario!J632="N3",1,0),IF(E2_diario!J1094="N3",1,0),IF(E2_diario!J1136="N3",1,0),IF(E2_diario!J1598="N3",1,0),IF(E2_diario!J1640="N3",1,0),IF(E2_diario!J2102="N3",1,0),IF(E2_diario!J2144="N3",1,0))</x:f>
        <x:v>0</x:v>
      </x:c>
      <x:c r="K44" s="2" t="n">
        <x:f>SUM(IF(E2_diario!J86="N4",1,0),IF(E2_diario!J128="N4",1,0),IF(E2_diario!J590="N4",1,0),IF(E2_diario!J632="N4",1,0),IF(E2_diario!J1094="N4",1,0),IF(E2_diario!J1136="N4",1,0),IF(E2_diario!J1598="N4",1,0),IF(E2_diario!J1640="N4",1,0),IF(E2_diario!J2102="N4",1,0),IF(E2_diario!J2144="N4",1,0))</x:f>
        <x:v>0</x:v>
      </x:c>
      <x:c r="L44" s="2" t="n">
        <x:f>SUM(IF(E2_diario!J86="adulta",1,0),IF(E2_diario!J128="adulta",1,0),IF(E2_diario!J590="adulta",1,0),IF(E2_diario!J632="adulta",1,0),IF(E2_diario!J1094="adulta",1,0),IF(E2_diario!J1136="adulta",1,0),IF(E2_diario!J1598="adulta",1,0),IF(E2_diario!J1640="adulta",1,0),IF(E2_diario!J2102="adulta",1,0),IF(E2_diario!J2144="adulta",1,0))</x:f>
        <x:v>0</x:v>
      </x:c>
      <x:c r="M44" s="2" t="n">
        <x:f>SUM(E2_diario!L86,E2_diario!L128,E2_diario!L590,E2_diario!L632,E2_diario!L1094,E2_diario!L1136,E2_diario!L1598,E2_diario!L1640,E2_diario!L2102,E2_diario!L2144)</x:f>
        <x:v>0</x:v>
      </x:c>
      <x:c r="N44" s="20" t="n">
        <x:f>G44/F44</x:f>
        <x:v>1</x:v>
      </x:c>
      <x:c r="O44" s="20" t="n">
        <x:f>IF(G44=0,0,M44/G44)</x:f>
        <x:v>0</x:v>
      </x:c>
      <x:c r="P44" s="20" t="n">
        <x:f>N44*O44</x:f>
        <x:v>0</x:v>
      </x:c>
      <x:c r="Q44" s="20" t="n">
        <x:f>H44/F44</x:f>
        <x:v>1</x:v>
      </x:c>
      <x:c r="R44" s="20" t="n">
        <x:f>I44/F44</x:f>
        <x:v>0</x:v>
      </x:c>
      <x:c r="S44" s="20" t="n">
        <x:f>J44/F44</x:f>
        <x:v>0</x:v>
      </x:c>
      <x:c r="T44" s="20" t="n">
        <x:f>K44/F44</x:f>
        <x:v>0</x:v>
      </x:c>
      <x:c r="U44" s="20" t="n">
        <x:f>L44/F44</x:f>
        <x:v>0</x:v>
      </x:c>
      <x:c r="V44" s="20" t="n">
        <x:f>IF(L44=0,0,M44/L44)</x:f>
        <x:v>0</x:v>
      </x:c>
      <x:c r="W44" s="20" t="n">
        <x:f>SUM(P$44:P44)</x:f>
        <x:v>0</x:v>
      </x:c>
      <x:c r="X44" s="2" t="n">
        <x:f>E44+Supuestos!$C$15</x:f>
        <x:v>1</x:v>
      </x:c>
      <x:c r="Y44" s="2" t="n">
        <x:f>F44-G44</x:f>
        <x:v>0</x:v>
      </x:c>
      <x:c r="Z44" s="2" t="str">
        <x:v>simulado_didactico</x:v>
      </x:c>
    </x:row>
    <x:row r="45" ht="19" customHeight="1">
      <x:c r="A45" s="2" t="str">
        <x:v>MP_L8</x:v>
      </x:c>
      <x:c r="B45" s="2" t="str">
        <x:v>MP</x:v>
      </x:c>
      <x:c r="C45" s="2" t="str">
        <x:v>Myzus persicae</x:v>
      </x:c>
      <x:c r="D45" s="2" t="str">
        <x:v>L8</x:v>
      </x:c>
      <x:c r="E45" s="2" t="n">
        <x:v>1</x:v>
      </x:c>
      <x:c r="F45" s="2" t="n">
        <x:f>COUNTA(E2_plantas!A4,E2_plantas!A5,E2_plantas!A16,E2_plantas!A17,E2_plantas!A28,E2_plantas!A29,E2_plantas!A40,E2_plantas!A41,E2_plantas!A52,E2_plantas!A53)</x:f>
        <x:v>10</x:v>
      </x:c>
      <x:c r="G45" s="2" t="n">
        <x:f>SUM(E2_diario!K87,E2_diario!K129,E2_diario!K591,E2_diario!K633,E2_diario!K1095,E2_diario!K1137,E2_diario!K1599,E2_diario!K1641,E2_diario!K2103,E2_diario!K2145)</x:f>
        <x:v>10</x:v>
      </x:c>
      <x:c r="H45" s="2" t="n">
        <x:f>SUM(IF(E2_diario!J87="N1",1,0),IF(E2_diario!J129="N1",1,0),IF(E2_diario!J591="N1",1,0),IF(E2_diario!J633="N1",1,0),IF(E2_diario!J1095="N1",1,0),IF(E2_diario!J1137="N1",1,0),IF(E2_diario!J1599="N1",1,0),IF(E2_diario!J1641="N1",1,0),IF(E2_diario!J2103="N1",1,0),IF(E2_diario!J2145="N1",1,0))</x:f>
        <x:v>9</x:v>
      </x:c>
      <x:c r="I45" s="2" t="n">
        <x:f>SUM(IF(E2_diario!J87="N2",1,0),IF(E2_diario!J129="N2",1,0),IF(E2_diario!J591="N2",1,0),IF(E2_diario!J633="N2",1,0),IF(E2_diario!J1095="N2",1,0),IF(E2_diario!J1137="N2",1,0),IF(E2_diario!J1599="N2",1,0),IF(E2_diario!J1641="N2",1,0),IF(E2_diario!J2103="N2",1,0),IF(E2_diario!J2145="N2",1,0))</x:f>
        <x:v>1</x:v>
      </x:c>
      <x:c r="J45" s="2" t="n">
        <x:f>SUM(IF(E2_diario!J87="N3",1,0),IF(E2_diario!J129="N3",1,0),IF(E2_diario!J591="N3",1,0),IF(E2_diario!J633="N3",1,0),IF(E2_diario!J1095="N3",1,0),IF(E2_diario!J1137="N3",1,0),IF(E2_diario!J1599="N3",1,0),IF(E2_diario!J1641="N3",1,0),IF(E2_diario!J2103="N3",1,0),IF(E2_diario!J2145="N3",1,0))</x:f>
        <x:v>0</x:v>
      </x:c>
      <x:c r="K45" s="2" t="n">
        <x:f>SUM(IF(E2_diario!J87="N4",1,0),IF(E2_diario!J129="N4",1,0),IF(E2_diario!J591="N4",1,0),IF(E2_diario!J633="N4",1,0),IF(E2_diario!J1095="N4",1,0),IF(E2_diario!J1137="N4",1,0),IF(E2_diario!J1599="N4",1,0),IF(E2_diario!J1641="N4",1,0),IF(E2_diario!J2103="N4",1,0),IF(E2_diario!J2145="N4",1,0))</x:f>
        <x:v>0</x:v>
      </x:c>
      <x:c r="L45" s="2" t="n">
        <x:f>SUM(IF(E2_diario!J87="adulta",1,0),IF(E2_diario!J129="adulta",1,0),IF(E2_diario!J591="adulta",1,0),IF(E2_diario!J633="adulta",1,0),IF(E2_diario!J1095="adulta",1,0),IF(E2_diario!J1137="adulta",1,0),IF(E2_diario!J1599="adulta",1,0),IF(E2_diario!J1641="adulta",1,0),IF(E2_diario!J2103="adulta",1,0),IF(E2_diario!J2145="adulta",1,0))</x:f>
        <x:v>0</x:v>
      </x:c>
      <x:c r="M45" s="2" t="n">
        <x:f>SUM(E2_diario!L87,E2_diario!L129,E2_diario!L591,E2_diario!L633,E2_diario!L1095,E2_diario!L1137,E2_diario!L1599,E2_diario!L1641,E2_diario!L2103,E2_diario!L2145)</x:f>
        <x:v>0</x:v>
      </x:c>
      <x:c r="N45" s="20" t="n">
        <x:f>G45/F45</x:f>
        <x:v>1</x:v>
      </x:c>
      <x:c r="O45" s="20" t="n">
        <x:f>IF(G45=0,0,M45/G45)</x:f>
        <x:v>0</x:v>
      </x:c>
      <x:c r="P45" s="20" t="n">
        <x:f>N45*O45</x:f>
        <x:v>0</x:v>
      </x:c>
      <x:c r="Q45" s="20" t="n">
        <x:f>H45/F45</x:f>
        <x:v>0.9</x:v>
      </x:c>
      <x:c r="R45" s="20" t="n">
        <x:f>I45/F45</x:f>
        <x:v>0.1</x:v>
      </x:c>
      <x:c r="S45" s="20" t="n">
        <x:f>J45/F45</x:f>
        <x:v>0</x:v>
      </x:c>
      <x:c r="T45" s="20" t="n">
        <x:f>K45/F45</x:f>
        <x:v>0</x:v>
      </x:c>
      <x:c r="U45" s="20" t="n">
        <x:f>L45/F45</x:f>
        <x:v>0</x:v>
      </x:c>
      <x:c r="V45" s="20" t="n">
        <x:f>IF(L45=0,0,M45/L45)</x:f>
        <x:v>0</x:v>
      </x:c>
      <x:c r="W45" s="20" t="n">
        <x:f>SUM(P$44:P45)</x:f>
        <x:v>0</x:v>
      </x:c>
      <x:c r="X45" s="2" t="n">
        <x:f>E45+Supuestos!$C$15</x:f>
        <x:v>2</x:v>
      </x:c>
      <x:c r="Y45" s="2" t="n">
        <x:f>F45-G45</x:f>
        <x:v>0</x:v>
      </x:c>
      <x:c r="Z45" s="2" t="str">
        <x:v>simulado_didactico</x:v>
      </x:c>
    </x:row>
    <x:row r="46" ht="19" customHeight="1">
      <x:c r="A46" s="2" t="str">
        <x:v>MP_L8</x:v>
      </x:c>
      <x:c r="B46" s="2" t="str">
        <x:v>MP</x:v>
      </x:c>
      <x:c r="C46" s="2" t="str">
        <x:v>Myzus persicae</x:v>
      </x:c>
      <x:c r="D46" s="2" t="str">
        <x:v>L8</x:v>
      </x:c>
      <x:c r="E46" s="2" t="n">
        <x:v>2</x:v>
      </x:c>
      <x:c r="F46" s="2" t="n">
        <x:f>COUNTA(E2_plantas!A4,E2_plantas!A5,E2_plantas!A16,E2_plantas!A17,E2_plantas!A28,E2_plantas!A29,E2_plantas!A40,E2_plantas!A41,E2_plantas!A52,E2_plantas!A53)</x:f>
        <x:v>10</x:v>
      </x:c>
      <x:c r="G46" s="2" t="n">
        <x:f>SUM(E2_diario!K88,E2_diario!K130,E2_diario!K592,E2_diario!K634,E2_diario!K1096,E2_diario!K1138,E2_diario!K1600,E2_diario!K1642,E2_diario!K2104,E2_diario!K2146)</x:f>
        <x:v>10</x:v>
      </x:c>
      <x:c r="H46" s="2" t="n">
        <x:f>SUM(IF(E2_diario!J88="N1",1,0),IF(E2_diario!J130="N1",1,0),IF(E2_diario!J592="N1",1,0),IF(E2_diario!J634="N1",1,0),IF(E2_diario!J1096="N1",1,0),IF(E2_diario!J1138="N1",1,0),IF(E2_diario!J1600="N1",1,0),IF(E2_diario!J1642="N1",1,0),IF(E2_diario!J2104="N1",1,0),IF(E2_diario!J2146="N1",1,0))</x:f>
        <x:v>6</x:v>
      </x:c>
      <x:c r="I46" s="2" t="n">
        <x:f>SUM(IF(E2_diario!J88="N2",1,0),IF(E2_diario!J130="N2",1,0),IF(E2_diario!J592="N2",1,0),IF(E2_diario!J634="N2",1,0),IF(E2_diario!J1096="N2",1,0),IF(E2_diario!J1138="N2",1,0),IF(E2_diario!J1600="N2",1,0),IF(E2_diario!J1642="N2",1,0),IF(E2_diario!J2104="N2",1,0),IF(E2_diario!J2146="N2",1,0))</x:f>
        <x:v>3</x:v>
      </x:c>
      <x:c r="J46" s="2" t="n">
        <x:f>SUM(IF(E2_diario!J88="N3",1,0),IF(E2_diario!J130="N3",1,0),IF(E2_diario!J592="N3",1,0),IF(E2_diario!J634="N3",1,0),IF(E2_diario!J1096="N3",1,0),IF(E2_diario!J1138="N3",1,0),IF(E2_diario!J1600="N3",1,0),IF(E2_diario!J1642="N3",1,0),IF(E2_diario!J2104="N3",1,0),IF(E2_diario!J2146="N3",1,0))</x:f>
        <x:v>1</x:v>
      </x:c>
      <x:c r="K46" s="2" t="n">
        <x:f>SUM(IF(E2_diario!J88="N4",1,0),IF(E2_diario!J130="N4",1,0),IF(E2_diario!J592="N4",1,0),IF(E2_diario!J634="N4",1,0),IF(E2_diario!J1096="N4",1,0),IF(E2_diario!J1138="N4",1,0),IF(E2_diario!J1600="N4",1,0),IF(E2_diario!J1642="N4",1,0),IF(E2_diario!J2104="N4",1,0),IF(E2_diario!J2146="N4",1,0))</x:f>
        <x:v>0</x:v>
      </x:c>
      <x:c r="L46" s="2" t="n">
        <x:f>SUM(IF(E2_diario!J88="adulta",1,0),IF(E2_diario!J130="adulta",1,0),IF(E2_diario!J592="adulta",1,0),IF(E2_diario!J634="adulta",1,0),IF(E2_diario!J1096="adulta",1,0),IF(E2_diario!J1138="adulta",1,0),IF(E2_diario!J1600="adulta",1,0),IF(E2_diario!J1642="adulta",1,0),IF(E2_diario!J2104="adulta",1,0),IF(E2_diario!J2146="adulta",1,0))</x:f>
        <x:v>0</x:v>
      </x:c>
      <x:c r="M46" s="2" t="n">
        <x:f>SUM(E2_diario!L88,E2_diario!L130,E2_diario!L592,E2_diario!L634,E2_diario!L1096,E2_diario!L1138,E2_diario!L1600,E2_diario!L1642,E2_diario!L2104,E2_diario!L2146)</x:f>
        <x:v>0</x:v>
      </x:c>
      <x:c r="N46" s="20" t="n">
        <x:f>G46/F46</x:f>
        <x:v>1</x:v>
      </x:c>
      <x:c r="O46" s="20" t="n">
        <x:f>IF(G46=0,0,M46/G46)</x:f>
        <x:v>0</x:v>
      </x:c>
      <x:c r="P46" s="20" t="n">
        <x:f>N46*O46</x:f>
        <x:v>0</x:v>
      </x:c>
      <x:c r="Q46" s="20" t="n">
        <x:f>H46/F46</x:f>
        <x:v>0.6</x:v>
      </x:c>
      <x:c r="R46" s="20" t="n">
        <x:f>I46/F46</x:f>
        <x:v>0.3</x:v>
      </x:c>
      <x:c r="S46" s="20" t="n">
        <x:f>J46/F46</x:f>
        <x:v>0.1</x:v>
      </x:c>
      <x:c r="T46" s="20" t="n">
        <x:f>K46/F46</x:f>
        <x:v>0</x:v>
      </x:c>
      <x:c r="U46" s="20" t="n">
        <x:f>L46/F46</x:f>
        <x:v>0</x:v>
      </x:c>
      <x:c r="V46" s="20" t="n">
        <x:f>IF(L46=0,0,M46/L46)</x:f>
        <x:v>0</x:v>
      </x:c>
      <x:c r="W46" s="20" t="n">
        <x:f>SUM(P$44:P46)</x:f>
        <x:v>0</x:v>
      </x:c>
      <x:c r="X46" s="2" t="n">
        <x:f>E46+Supuestos!$C$15</x:f>
        <x:v>3</x:v>
      </x:c>
      <x:c r="Y46" s="2" t="n">
        <x:f>F46-G46</x:f>
        <x:v>0</x:v>
      </x:c>
      <x:c r="Z46" s="2" t="str">
        <x:v>simulado_didactico</x:v>
      </x:c>
    </x:row>
    <x:row r="47" ht="19" customHeight="1">
      <x:c r="A47" s="2" t="str">
        <x:v>MP_L8</x:v>
      </x:c>
      <x:c r="B47" s="2" t="str">
        <x:v>MP</x:v>
      </x:c>
      <x:c r="C47" s="2" t="str">
        <x:v>Myzus persicae</x:v>
      </x:c>
      <x:c r="D47" s="2" t="str">
        <x:v>L8</x:v>
      </x:c>
      <x:c r="E47" s="2" t="n">
        <x:v>3</x:v>
      </x:c>
      <x:c r="F47" s="2" t="n">
        <x:f>COUNTA(E2_plantas!A4,E2_plantas!A5,E2_plantas!A16,E2_plantas!A17,E2_plantas!A28,E2_plantas!A29,E2_plantas!A40,E2_plantas!A41,E2_plantas!A52,E2_plantas!A53)</x:f>
        <x:v>10</x:v>
      </x:c>
      <x:c r="G47" s="2" t="n">
        <x:f>SUM(E2_diario!K89,E2_diario!K131,E2_diario!K593,E2_diario!K635,E2_diario!K1097,E2_diario!K1139,E2_diario!K1601,E2_diario!K1643,E2_diario!K2105,E2_diario!K2147)</x:f>
        <x:v>9</x:v>
      </x:c>
      <x:c r="H47" s="2" t="n">
        <x:f>SUM(IF(E2_diario!J89="N1",1,0),IF(E2_diario!J131="N1",1,0),IF(E2_diario!J593="N1",1,0),IF(E2_diario!J635="N1",1,0),IF(E2_diario!J1097="N1",1,0),IF(E2_diario!J1139="N1",1,0),IF(E2_diario!J1601="N1",1,0),IF(E2_diario!J1643="N1",1,0),IF(E2_diario!J2105="N1",1,0),IF(E2_diario!J2147="N1",1,0))</x:f>
        <x:v>1</x:v>
      </x:c>
      <x:c r="I47" s="2" t="n">
        <x:f>SUM(IF(E2_diario!J89="N2",1,0),IF(E2_diario!J131="N2",1,0),IF(E2_diario!J593="N2",1,0),IF(E2_diario!J635="N2",1,0),IF(E2_diario!J1097="N2",1,0),IF(E2_diario!J1139="N2",1,0),IF(E2_diario!J1601="N2",1,0),IF(E2_diario!J1643="N2",1,0),IF(E2_diario!J2105="N2",1,0),IF(E2_diario!J2147="N2",1,0))</x:f>
        <x:v>7</x:v>
      </x:c>
      <x:c r="J47" s="2" t="n">
        <x:f>SUM(IF(E2_diario!J89="N3",1,0),IF(E2_diario!J131="N3",1,0),IF(E2_diario!J593="N3",1,0),IF(E2_diario!J635="N3",1,0),IF(E2_diario!J1097="N3",1,0),IF(E2_diario!J1139="N3",1,0),IF(E2_diario!J1601="N3",1,0),IF(E2_diario!J1643="N3",1,0),IF(E2_diario!J2105="N3",1,0),IF(E2_diario!J2147="N3",1,0))</x:f>
        <x:v>1</x:v>
      </x:c>
      <x:c r="K47" s="2" t="n">
        <x:f>SUM(IF(E2_diario!J89="N4",1,0),IF(E2_diario!J131="N4",1,0),IF(E2_diario!J593="N4",1,0),IF(E2_diario!J635="N4",1,0),IF(E2_diario!J1097="N4",1,0),IF(E2_diario!J1139="N4",1,0),IF(E2_diario!J1601="N4",1,0),IF(E2_diario!J1643="N4",1,0),IF(E2_diario!J2105="N4",1,0),IF(E2_diario!J2147="N4",1,0))</x:f>
        <x:v>0</x:v>
      </x:c>
      <x:c r="L47" s="2" t="n">
        <x:f>SUM(IF(E2_diario!J89="adulta",1,0),IF(E2_diario!J131="adulta",1,0),IF(E2_diario!J593="adulta",1,0),IF(E2_diario!J635="adulta",1,0),IF(E2_diario!J1097="adulta",1,0),IF(E2_diario!J1139="adulta",1,0),IF(E2_diario!J1601="adulta",1,0),IF(E2_diario!J1643="adulta",1,0),IF(E2_diario!J2105="adulta",1,0),IF(E2_diario!J2147="adulta",1,0))</x:f>
        <x:v>0</x:v>
      </x:c>
      <x:c r="M47" s="2" t="n">
        <x:f>SUM(E2_diario!L89,E2_diario!L131,E2_diario!L593,E2_diario!L635,E2_diario!L1097,E2_diario!L1139,E2_diario!L1601,E2_diario!L1643,E2_diario!L2105,E2_diario!L2147)</x:f>
        <x:v>0</x:v>
      </x:c>
      <x:c r="N47" s="20" t="n">
        <x:f>G47/F47</x:f>
        <x:v>0.9</x:v>
      </x:c>
      <x:c r="O47" s="20" t="n">
        <x:f>IF(G47=0,0,M47/G47)</x:f>
        <x:v>0</x:v>
      </x:c>
      <x:c r="P47" s="20" t="n">
        <x:f>N47*O47</x:f>
        <x:v>0</x:v>
      </x:c>
      <x:c r="Q47" s="20" t="n">
        <x:f>H47/F47</x:f>
        <x:v>0.1</x:v>
      </x:c>
      <x:c r="R47" s="20" t="n">
        <x:f>I47/F47</x:f>
        <x:v>0.7</x:v>
      </x:c>
      <x:c r="S47" s="20" t="n">
        <x:f>J47/F47</x:f>
        <x:v>0.1</x:v>
      </x:c>
      <x:c r="T47" s="20" t="n">
        <x:f>K47/F47</x:f>
        <x:v>0</x:v>
      </x:c>
      <x:c r="U47" s="20" t="n">
        <x:f>L47/F47</x:f>
        <x:v>0</x:v>
      </x:c>
      <x:c r="V47" s="20" t="n">
        <x:f>IF(L47=0,0,M47/L47)</x:f>
        <x:v>0</x:v>
      </x:c>
      <x:c r="W47" s="20" t="n">
        <x:f>SUM(P$44:P47)</x:f>
        <x:v>0</x:v>
      </x:c>
      <x:c r="X47" s="2" t="n">
        <x:f>E47+Supuestos!$C$15</x:f>
        <x:v>4</x:v>
      </x:c>
      <x:c r="Y47" s="2" t="n">
        <x:f>F47-G47</x:f>
        <x:v>1</x:v>
      </x:c>
      <x:c r="Z47" s="2" t="str">
        <x:v>simulado_didactico</x:v>
      </x:c>
    </x:row>
    <x:row r="48" ht="19" customHeight="1">
      <x:c r="A48" s="2" t="str">
        <x:v>MP_L8</x:v>
      </x:c>
      <x:c r="B48" s="2" t="str">
        <x:v>MP</x:v>
      </x:c>
      <x:c r="C48" s="2" t="str">
        <x:v>Myzus persicae</x:v>
      </x:c>
      <x:c r="D48" s="2" t="str">
        <x:v>L8</x:v>
      </x:c>
      <x:c r="E48" s="2" t="n">
        <x:v>4</x:v>
      </x:c>
      <x:c r="F48" s="2" t="n">
        <x:f>COUNTA(E2_plantas!A4,E2_plantas!A5,E2_plantas!A16,E2_plantas!A17,E2_plantas!A28,E2_plantas!A29,E2_plantas!A40,E2_plantas!A41,E2_plantas!A52,E2_plantas!A53)</x:f>
        <x:v>10</x:v>
      </x:c>
      <x:c r="G48" s="2" t="n">
        <x:f>SUM(E2_diario!K90,E2_diario!K132,E2_diario!K594,E2_diario!K636,E2_diario!K1098,E2_diario!K1140,E2_diario!K1602,E2_diario!K1644,E2_diario!K2106,E2_diario!K2148)</x:f>
        <x:v>9</x:v>
      </x:c>
      <x:c r="H48" s="2" t="n">
        <x:f>SUM(IF(E2_diario!J90="N1",1,0),IF(E2_diario!J132="N1",1,0),IF(E2_diario!J594="N1",1,0),IF(E2_diario!J636="N1",1,0),IF(E2_diario!J1098="N1",1,0),IF(E2_diario!J1140="N1",1,0),IF(E2_diario!J1602="N1",1,0),IF(E2_diario!J1644="N1",1,0),IF(E2_diario!J2106="N1",1,0),IF(E2_diario!J2148="N1",1,0))</x:f>
        <x:v>0</x:v>
      </x:c>
      <x:c r="I48" s="2" t="n">
        <x:f>SUM(IF(E2_diario!J90="N2",1,0),IF(E2_diario!J132="N2",1,0),IF(E2_diario!J594="N2",1,0),IF(E2_diario!J636="N2",1,0),IF(E2_diario!J1098="N2",1,0),IF(E2_diario!J1140="N2",1,0),IF(E2_diario!J1602="N2",1,0),IF(E2_diario!J1644="N2",1,0),IF(E2_diario!J2106="N2",1,0),IF(E2_diario!J2148="N2",1,0))</x:f>
        <x:v>4</x:v>
      </x:c>
      <x:c r="J48" s="2" t="n">
        <x:f>SUM(IF(E2_diario!J90="N3",1,0),IF(E2_diario!J132="N3",1,0),IF(E2_diario!J594="N3",1,0),IF(E2_diario!J636="N3",1,0),IF(E2_diario!J1098="N3",1,0),IF(E2_diario!J1140="N3",1,0),IF(E2_diario!J1602="N3",1,0),IF(E2_diario!J1644="N3",1,0),IF(E2_diario!J2106="N3",1,0),IF(E2_diario!J2148="N3",1,0))</x:f>
        <x:v>4</x:v>
      </x:c>
      <x:c r="K48" s="2" t="n">
        <x:f>SUM(IF(E2_diario!J90="N4",1,0),IF(E2_diario!J132="N4",1,0),IF(E2_diario!J594="N4",1,0),IF(E2_diario!J636="N4",1,0),IF(E2_diario!J1098="N4",1,0),IF(E2_diario!J1140="N4",1,0),IF(E2_diario!J1602="N4",1,0),IF(E2_diario!J1644="N4",1,0),IF(E2_diario!J2106="N4",1,0),IF(E2_diario!J2148="N4",1,0))</x:f>
        <x:v>1</x:v>
      </x:c>
      <x:c r="L48" s="2" t="n">
        <x:f>SUM(IF(E2_diario!J90="adulta",1,0),IF(E2_diario!J132="adulta",1,0),IF(E2_diario!J594="adulta",1,0),IF(E2_diario!J636="adulta",1,0),IF(E2_diario!J1098="adulta",1,0),IF(E2_diario!J1140="adulta",1,0),IF(E2_diario!J1602="adulta",1,0),IF(E2_diario!J1644="adulta",1,0),IF(E2_diario!J2106="adulta",1,0),IF(E2_diario!J2148="adulta",1,0))</x:f>
        <x:v>0</x:v>
      </x:c>
      <x:c r="M48" s="2" t="n">
        <x:f>SUM(E2_diario!L90,E2_diario!L132,E2_diario!L594,E2_diario!L636,E2_diario!L1098,E2_diario!L1140,E2_diario!L1602,E2_diario!L1644,E2_diario!L2106,E2_diario!L2148)</x:f>
        <x:v>0</x:v>
      </x:c>
      <x:c r="N48" s="20" t="n">
        <x:f>G48/F48</x:f>
        <x:v>0.9</x:v>
      </x:c>
      <x:c r="O48" s="20" t="n">
        <x:f>IF(G48=0,0,M48/G48)</x:f>
        <x:v>0</x:v>
      </x:c>
      <x:c r="P48" s="20" t="n">
        <x:f>N48*O48</x:f>
        <x:v>0</x:v>
      </x:c>
      <x:c r="Q48" s="20" t="n">
        <x:f>H48/F48</x:f>
        <x:v>0</x:v>
      </x:c>
      <x:c r="R48" s="20" t="n">
        <x:f>I48/F48</x:f>
        <x:v>0.4</x:v>
      </x:c>
      <x:c r="S48" s="20" t="n">
        <x:f>J48/F48</x:f>
        <x:v>0.4</x:v>
      </x:c>
      <x:c r="T48" s="20" t="n">
        <x:f>K48/F48</x:f>
        <x:v>0.1</x:v>
      </x:c>
      <x:c r="U48" s="20" t="n">
        <x:f>L48/F48</x:f>
        <x:v>0</x:v>
      </x:c>
      <x:c r="V48" s="20" t="n">
        <x:f>IF(L48=0,0,M48/L48)</x:f>
        <x:v>0</x:v>
      </x:c>
      <x:c r="W48" s="20" t="n">
        <x:f>SUM(P$44:P48)</x:f>
        <x:v>0</x:v>
      </x:c>
      <x:c r="X48" s="2" t="n">
        <x:f>E48+Supuestos!$C$15</x:f>
        <x:v>5</x:v>
      </x:c>
      <x:c r="Y48" s="2" t="n">
        <x:f>F48-G48</x:f>
        <x:v>1</x:v>
      </x:c>
      <x:c r="Z48" s="2" t="str">
        <x:v>simulado_didactico</x:v>
      </x:c>
    </x:row>
    <x:row r="49" ht="19" customHeight="1">
      <x:c r="A49" s="2" t="str">
        <x:v>MP_L8</x:v>
      </x:c>
      <x:c r="B49" s="2" t="str">
        <x:v>MP</x:v>
      </x:c>
      <x:c r="C49" s="2" t="str">
        <x:v>Myzus persicae</x:v>
      </x:c>
      <x:c r="D49" s="2" t="str">
        <x:v>L8</x:v>
      </x:c>
      <x:c r="E49" s="2" t="n">
        <x:v>5</x:v>
      </x:c>
      <x:c r="F49" s="2" t="n">
        <x:f>COUNTA(E2_plantas!A4,E2_plantas!A5,E2_plantas!A16,E2_plantas!A17,E2_plantas!A28,E2_plantas!A29,E2_plantas!A40,E2_plantas!A41,E2_plantas!A52,E2_plantas!A53)</x:f>
        <x:v>10</x:v>
      </x:c>
      <x:c r="G49" s="2" t="n">
        <x:f>SUM(E2_diario!K91,E2_diario!K133,E2_diario!K595,E2_diario!K637,E2_diario!K1099,E2_diario!K1141,E2_diario!K1603,E2_diario!K1645,E2_diario!K2107,E2_diario!K2149)</x:f>
        <x:v>9</x:v>
      </x:c>
      <x:c r="H49" s="2" t="n">
        <x:f>SUM(IF(E2_diario!J91="N1",1,0),IF(E2_diario!J133="N1",1,0),IF(E2_diario!J595="N1",1,0),IF(E2_diario!J637="N1",1,0),IF(E2_diario!J1099="N1",1,0),IF(E2_diario!J1141="N1",1,0),IF(E2_diario!J1603="N1",1,0),IF(E2_diario!J1645="N1",1,0),IF(E2_diario!J2107="N1",1,0),IF(E2_diario!J2149="N1",1,0))</x:f>
        <x:v>0</x:v>
      </x:c>
      <x:c r="I49" s="2" t="n">
        <x:f>SUM(IF(E2_diario!J91="N2",1,0),IF(E2_diario!J133="N2",1,0),IF(E2_diario!J595="N2",1,0),IF(E2_diario!J637="N2",1,0),IF(E2_diario!J1099="N2",1,0),IF(E2_diario!J1141="N2",1,0),IF(E2_diario!J1603="N2",1,0),IF(E2_diario!J1645="N2",1,0),IF(E2_diario!J2107="N2",1,0),IF(E2_diario!J2149="N2",1,0))</x:f>
        <x:v>1</x:v>
      </x:c>
      <x:c r="J49" s="2" t="n">
        <x:f>SUM(IF(E2_diario!J91="N3",1,0),IF(E2_diario!J133="N3",1,0),IF(E2_diario!J595="N3",1,0),IF(E2_diario!J637="N3",1,0),IF(E2_diario!J1099="N3",1,0),IF(E2_diario!J1141="N3",1,0),IF(E2_diario!J1603="N3",1,0),IF(E2_diario!J1645="N3",1,0),IF(E2_diario!J2107="N3",1,0),IF(E2_diario!J2149="N3",1,0))</x:f>
        <x:v>6</x:v>
      </x:c>
      <x:c r="K49" s="2" t="n">
        <x:f>SUM(IF(E2_diario!J91="N4",1,0),IF(E2_diario!J133="N4",1,0),IF(E2_diario!J595="N4",1,0),IF(E2_diario!J637="N4",1,0),IF(E2_diario!J1099="N4",1,0),IF(E2_diario!J1141="N4",1,0),IF(E2_diario!J1603="N4",1,0),IF(E2_diario!J1645="N4",1,0),IF(E2_diario!J2107="N4",1,0),IF(E2_diario!J2149="N4",1,0))</x:f>
        <x:v>2</x:v>
      </x:c>
      <x:c r="L49" s="2" t="n">
        <x:f>SUM(IF(E2_diario!J91="adulta",1,0),IF(E2_diario!J133="adulta",1,0),IF(E2_diario!J595="adulta",1,0),IF(E2_diario!J637="adulta",1,0),IF(E2_diario!J1099="adulta",1,0),IF(E2_diario!J1141="adulta",1,0),IF(E2_diario!J1603="adulta",1,0),IF(E2_diario!J1645="adulta",1,0),IF(E2_diario!J2107="adulta",1,0),IF(E2_diario!J2149="adulta",1,0))</x:f>
        <x:v>0</x:v>
      </x:c>
      <x:c r="M49" s="2" t="n">
        <x:f>SUM(E2_diario!L91,E2_diario!L133,E2_diario!L595,E2_diario!L637,E2_diario!L1099,E2_diario!L1141,E2_diario!L1603,E2_diario!L1645,E2_diario!L2107,E2_diario!L2149)</x:f>
        <x:v>0</x:v>
      </x:c>
      <x:c r="N49" s="20" t="n">
        <x:f>G49/F49</x:f>
        <x:v>0.9</x:v>
      </x:c>
      <x:c r="O49" s="20" t="n">
        <x:f>IF(G49=0,0,M49/G49)</x:f>
        <x:v>0</x:v>
      </x:c>
      <x:c r="P49" s="20" t="n">
        <x:f>N49*O49</x:f>
        <x:v>0</x:v>
      </x:c>
      <x:c r="Q49" s="20" t="n">
        <x:f>H49/F49</x:f>
        <x:v>0</x:v>
      </x:c>
      <x:c r="R49" s="20" t="n">
        <x:f>I49/F49</x:f>
        <x:v>0.1</x:v>
      </x:c>
      <x:c r="S49" s="20" t="n">
        <x:f>J49/F49</x:f>
        <x:v>0.6</x:v>
      </x:c>
      <x:c r="T49" s="20" t="n">
        <x:f>K49/F49</x:f>
        <x:v>0.2</x:v>
      </x:c>
      <x:c r="U49" s="20" t="n">
        <x:f>L49/F49</x:f>
        <x:v>0</x:v>
      </x:c>
      <x:c r="V49" s="20" t="n">
        <x:f>IF(L49=0,0,M49/L49)</x:f>
        <x:v>0</x:v>
      </x:c>
      <x:c r="W49" s="20" t="n">
        <x:f>SUM(P$44:P49)</x:f>
        <x:v>0</x:v>
      </x:c>
      <x:c r="X49" s="2" t="n">
        <x:f>E49+Supuestos!$C$15</x:f>
        <x:v>6</x:v>
      </x:c>
      <x:c r="Y49" s="2" t="n">
        <x:f>F49-G49</x:f>
        <x:v>1</x:v>
      </x:c>
      <x:c r="Z49" s="2" t="str">
        <x:v>simulado_didactico</x:v>
      </x:c>
    </x:row>
    <x:row r="50" ht="19" customHeight="1">
      <x:c r="A50" s="2" t="str">
        <x:v>MP_L8</x:v>
      </x:c>
      <x:c r="B50" s="2" t="str">
        <x:v>MP</x:v>
      </x:c>
      <x:c r="C50" s="2" t="str">
        <x:v>Myzus persicae</x:v>
      </x:c>
      <x:c r="D50" s="2" t="str">
        <x:v>L8</x:v>
      </x:c>
      <x:c r="E50" s="2" t="n">
        <x:v>6</x:v>
      </x:c>
      <x:c r="F50" s="2" t="n">
        <x:f>COUNTA(E2_plantas!A4,E2_plantas!A5,E2_plantas!A16,E2_plantas!A17,E2_plantas!A28,E2_plantas!A29,E2_plantas!A40,E2_plantas!A41,E2_plantas!A52,E2_plantas!A53)</x:f>
        <x:v>10</x:v>
      </x:c>
      <x:c r="G50" s="2" t="n">
        <x:f>SUM(E2_diario!K92,E2_diario!K134,E2_diario!K596,E2_diario!K638,E2_diario!K1100,E2_diario!K1142,E2_diario!K1604,E2_diario!K1646,E2_diario!K2108,E2_diario!K2150)</x:f>
        <x:v>9</x:v>
      </x:c>
      <x:c r="H50" s="2" t="n">
        <x:f>SUM(IF(E2_diario!J92="N1",1,0),IF(E2_diario!J134="N1",1,0),IF(E2_diario!J596="N1",1,0),IF(E2_diario!J638="N1",1,0),IF(E2_diario!J1100="N1",1,0),IF(E2_diario!J1142="N1",1,0),IF(E2_diario!J1604="N1",1,0),IF(E2_diario!J1646="N1",1,0),IF(E2_diario!J2108="N1",1,0),IF(E2_diario!J2150="N1",1,0))</x:f>
        <x:v>0</x:v>
      </x:c>
      <x:c r="I50" s="2" t="n">
        <x:f>SUM(IF(E2_diario!J92="N2",1,0),IF(E2_diario!J134="N2",1,0),IF(E2_diario!J596="N2",1,0),IF(E2_diario!J638="N2",1,0),IF(E2_diario!J1100="N2",1,0),IF(E2_diario!J1142="N2",1,0),IF(E2_diario!J1604="N2",1,0),IF(E2_diario!J1646="N2",1,0),IF(E2_diario!J2108="N2",1,0),IF(E2_diario!J2150="N2",1,0))</x:f>
        <x:v>0</x:v>
      </x:c>
      <x:c r="J50" s="2" t="n">
        <x:f>SUM(IF(E2_diario!J92="N3",1,0),IF(E2_diario!J134="N3",1,0),IF(E2_diario!J596="N3",1,0),IF(E2_diario!J638="N3",1,0),IF(E2_diario!J1100="N3",1,0),IF(E2_diario!J1142="N3",1,0),IF(E2_diario!J1604="N3",1,0),IF(E2_diario!J1646="N3",1,0),IF(E2_diario!J2108="N3",1,0),IF(E2_diario!J2150="N3",1,0))</x:f>
        <x:v>6</x:v>
      </x:c>
      <x:c r="K50" s="2" t="n">
        <x:f>SUM(IF(E2_diario!J92="N4",1,0),IF(E2_diario!J134="N4",1,0),IF(E2_diario!J596="N4",1,0),IF(E2_diario!J638="N4",1,0),IF(E2_diario!J1100="N4",1,0),IF(E2_diario!J1142="N4",1,0),IF(E2_diario!J1604="N4",1,0),IF(E2_diario!J1646="N4",1,0),IF(E2_diario!J2108="N4",1,0),IF(E2_diario!J2150="N4",1,0))</x:f>
        <x:v>2</x:v>
      </x:c>
      <x:c r="L50" s="2" t="n">
        <x:f>SUM(IF(E2_diario!J92="adulta",1,0),IF(E2_diario!J134="adulta",1,0),IF(E2_diario!J596="adulta",1,0),IF(E2_diario!J638="adulta",1,0),IF(E2_diario!J1100="adulta",1,0),IF(E2_diario!J1142="adulta",1,0),IF(E2_diario!J1604="adulta",1,0),IF(E2_diario!J1646="adulta",1,0),IF(E2_diario!J2108="adulta",1,0),IF(E2_diario!J2150="adulta",1,0))</x:f>
        <x:v>1</x:v>
      </x:c>
      <x:c r="M50" s="2" t="n">
        <x:f>SUM(E2_diario!L92,E2_diario!L134,E2_diario!L596,E2_diario!L638,E2_diario!L1100,E2_diario!L1142,E2_diario!L1604,E2_diario!L1646,E2_diario!L2108,E2_diario!L2150)</x:f>
        <x:v>0</x:v>
      </x:c>
      <x:c r="N50" s="20" t="n">
        <x:f>G50/F50</x:f>
        <x:v>0.9</x:v>
      </x:c>
      <x:c r="O50" s="20" t="n">
        <x:f>IF(G50=0,0,M50/G50)</x:f>
        <x:v>0</x:v>
      </x:c>
      <x:c r="P50" s="20" t="n">
        <x:f>N50*O50</x:f>
        <x:v>0</x:v>
      </x:c>
      <x:c r="Q50" s="20" t="n">
        <x:f>H50/F50</x:f>
        <x:v>0</x:v>
      </x:c>
      <x:c r="R50" s="20" t="n">
        <x:f>I50/F50</x:f>
        <x:v>0</x:v>
      </x:c>
      <x:c r="S50" s="20" t="n">
        <x:f>J50/F50</x:f>
        <x:v>0.6</x:v>
      </x:c>
      <x:c r="T50" s="20" t="n">
        <x:f>K50/F50</x:f>
        <x:v>0.2</x:v>
      </x:c>
      <x:c r="U50" s="20" t="n">
        <x:f>L50/F50</x:f>
        <x:v>0.1</x:v>
      </x:c>
      <x:c r="V50" s="20" t="n">
        <x:f>IF(L50=0,0,M50/L50)</x:f>
        <x:v>0</x:v>
      </x:c>
      <x:c r="W50" s="20" t="n">
        <x:f>SUM(P$44:P50)</x:f>
        <x:v>0</x:v>
      </x:c>
      <x:c r="X50" s="2" t="n">
        <x:f>E50+Supuestos!$C$15</x:f>
        <x:v>7</x:v>
      </x:c>
      <x:c r="Y50" s="2" t="n">
        <x:f>F50-G50</x:f>
        <x:v>1</x:v>
      </x:c>
      <x:c r="Z50" s="2" t="str">
        <x:v>simulado_didactico</x:v>
      </x:c>
    </x:row>
    <x:row r="51" ht="19" customHeight="1">
      <x:c r="A51" s="2" t="str">
        <x:v>MP_L8</x:v>
      </x:c>
      <x:c r="B51" s="2" t="str">
        <x:v>MP</x:v>
      </x:c>
      <x:c r="C51" s="2" t="str">
        <x:v>Myzus persicae</x:v>
      </x:c>
      <x:c r="D51" s="2" t="str">
        <x:v>L8</x:v>
      </x:c>
      <x:c r="E51" s="2" t="n">
        <x:v>7</x:v>
      </x:c>
      <x:c r="F51" s="2" t="n">
        <x:f>COUNTA(E2_plantas!A4,E2_plantas!A5,E2_plantas!A16,E2_plantas!A17,E2_plantas!A28,E2_plantas!A29,E2_plantas!A40,E2_plantas!A41,E2_plantas!A52,E2_plantas!A53)</x:f>
        <x:v>10</x:v>
      </x:c>
      <x:c r="G51" s="2" t="n">
        <x:f>SUM(E2_diario!K93,E2_diario!K135,E2_diario!K597,E2_diario!K639,E2_diario!K1101,E2_diario!K1143,E2_diario!K1605,E2_diario!K1647,E2_diario!K2109,E2_diario!K2151)</x:f>
        <x:v>9</x:v>
      </x:c>
      <x:c r="H51" s="2" t="n">
        <x:f>SUM(IF(E2_diario!J93="N1",1,0),IF(E2_diario!J135="N1",1,0),IF(E2_diario!J597="N1",1,0),IF(E2_diario!J639="N1",1,0),IF(E2_diario!J1101="N1",1,0),IF(E2_diario!J1143="N1",1,0),IF(E2_diario!J1605="N1",1,0),IF(E2_diario!J1647="N1",1,0),IF(E2_diario!J2109="N1",1,0),IF(E2_diario!J2151="N1",1,0))</x:f>
        <x:v>0</x:v>
      </x:c>
      <x:c r="I51" s="2" t="n">
        <x:f>SUM(IF(E2_diario!J93="N2",1,0),IF(E2_diario!J135="N2",1,0),IF(E2_diario!J597="N2",1,0),IF(E2_diario!J639="N2",1,0),IF(E2_diario!J1101="N2",1,0),IF(E2_diario!J1143="N2",1,0),IF(E2_diario!J1605="N2",1,0),IF(E2_diario!J1647="N2",1,0),IF(E2_diario!J2109="N2",1,0),IF(E2_diario!J2151="N2",1,0))</x:f>
        <x:v>0</x:v>
      </x:c>
      <x:c r="J51" s="2" t="n">
        <x:f>SUM(IF(E2_diario!J93="N3",1,0),IF(E2_diario!J135="N3",1,0),IF(E2_diario!J597="N3",1,0),IF(E2_diario!J639="N3",1,0),IF(E2_diario!J1101="N3",1,0),IF(E2_diario!J1143="N3",1,0),IF(E2_diario!J1605="N3",1,0),IF(E2_diario!J1647="N3",1,0),IF(E2_diario!J2109="N3",1,0),IF(E2_diario!J2151="N3",1,0))</x:f>
        <x:v>4</x:v>
      </x:c>
      <x:c r="K51" s="2" t="n">
        <x:f>SUM(IF(E2_diario!J93="N4",1,0),IF(E2_diario!J135="N4",1,0),IF(E2_diario!J597="N4",1,0),IF(E2_diario!J639="N4",1,0),IF(E2_diario!J1101="N4",1,0),IF(E2_diario!J1143="N4",1,0),IF(E2_diario!J1605="N4",1,0),IF(E2_diario!J1647="N4",1,0),IF(E2_diario!J2109="N4",1,0),IF(E2_diario!J2151="N4",1,0))</x:f>
        <x:v>4</x:v>
      </x:c>
      <x:c r="L51" s="2" t="n">
        <x:f>SUM(IF(E2_diario!J93="adulta",1,0),IF(E2_diario!J135="adulta",1,0),IF(E2_diario!J597="adulta",1,0),IF(E2_diario!J639="adulta",1,0),IF(E2_diario!J1101="adulta",1,0),IF(E2_diario!J1143="adulta",1,0),IF(E2_diario!J1605="adulta",1,0),IF(E2_diario!J1647="adulta",1,0),IF(E2_diario!J2109="adulta",1,0),IF(E2_diario!J2151="adulta",1,0))</x:f>
        <x:v>1</x:v>
      </x:c>
      <x:c r="M51" s="2" t="n">
        <x:f>SUM(E2_diario!L93,E2_diario!L135,E2_diario!L597,E2_diario!L639,E2_diario!L1101,E2_diario!L1143,E2_diario!L1605,E2_diario!L1647,E2_diario!L2109,E2_diario!L2151)</x:f>
        <x:v>0</x:v>
      </x:c>
      <x:c r="N51" s="20" t="n">
        <x:f>G51/F51</x:f>
        <x:v>0.9</x:v>
      </x:c>
      <x:c r="O51" s="20" t="n">
        <x:f>IF(G51=0,0,M51/G51)</x:f>
        <x:v>0</x:v>
      </x:c>
      <x:c r="P51" s="20" t="n">
        <x:f>N51*O51</x:f>
        <x:v>0</x:v>
      </x:c>
      <x:c r="Q51" s="20" t="n">
        <x:f>H51/F51</x:f>
        <x:v>0</x:v>
      </x:c>
      <x:c r="R51" s="20" t="n">
        <x:f>I51/F51</x:f>
        <x:v>0</x:v>
      </x:c>
      <x:c r="S51" s="20" t="n">
        <x:f>J51/F51</x:f>
        <x:v>0.4</x:v>
      </x:c>
      <x:c r="T51" s="20" t="n">
        <x:f>K51/F51</x:f>
        <x:v>0.4</x:v>
      </x:c>
      <x:c r="U51" s="20" t="n">
        <x:f>L51/F51</x:f>
        <x:v>0.1</x:v>
      </x:c>
      <x:c r="V51" s="20" t="n">
        <x:f>IF(L51=0,0,M51/L51)</x:f>
        <x:v>0</x:v>
      </x:c>
      <x:c r="W51" s="20" t="n">
        <x:f>SUM(P$44:P51)</x:f>
        <x:v>0</x:v>
      </x:c>
      <x:c r="X51" s="2" t="n">
        <x:f>E51+Supuestos!$C$15</x:f>
        <x:v>8</x:v>
      </x:c>
      <x:c r="Y51" s="2" t="n">
        <x:f>F51-G51</x:f>
        <x:v>1</x:v>
      </x:c>
      <x:c r="Z51" s="2" t="str">
        <x:v>simulado_didactico</x:v>
      </x:c>
    </x:row>
    <x:row r="52" ht="19" customHeight="1">
      <x:c r="A52" s="2" t="str">
        <x:v>MP_L8</x:v>
      </x:c>
      <x:c r="B52" s="2" t="str">
        <x:v>MP</x:v>
      </x:c>
      <x:c r="C52" s="2" t="str">
        <x:v>Myzus persicae</x:v>
      </x:c>
      <x:c r="D52" s="2" t="str">
        <x:v>L8</x:v>
      </x:c>
      <x:c r="E52" s="2" t="n">
        <x:v>8</x:v>
      </x:c>
      <x:c r="F52" s="2" t="n">
        <x:f>COUNTA(E2_plantas!A4,E2_plantas!A5,E2_plantas!A16,E2_plantas!A17,E2_plantas!A28,E2_plantas!A29,E2_plantas!A40,E2_plantas!A41,E2_plantas!A52,E2_plantas!A53)</x:f>
        <x:v>10</x:v>
      </x:c>
      <x:c r="G52" s="2" t="n">
        <x:f>SUM(E2_diario!K94,E2_diario!K136,E2_diario!K598,E2_diario!K640,E2_diario!K1102,E2_diario!K1144,E2_diario!K1606,E2_diario!K1648,E2_diario!K2110,E2_diario!K2152)</x:f>
        <x:v>9</x:v>
      </x:c>
      <x:c r="H52" s="2" t="n">
        <x:f>SUM(IF(E2_diario!J94="N1",1,0),IF(E2_diario!J136="N1",1,0),IF(E2_diario!J598="N1",1,0),IF(E2_diario!J640="N1",1,0),IF(E2_diario!J1102="N1",1,0),IF(E2_diario!J1144="N1",1,0),IF(E2_diario!J1606="N1",1,0),IF(E2_diario!J1648="N1",1,0),IF(E2_diario!J2110="N1",1,0),IF(E2_diario!J2152="N1",1,0))</x:f>
        <x:v>0</x:v>
      </x:c>
      <x:c r="I52" s="2" t="n">
        <x:f>SUM(IF(E2_diario!J94="N2",1,0),IF(E2_diario!J136="N2",1,0),IF(E2_diario!J598="N2",1,0),IF(E2_diario!J640="N2",1,0),IF(E2_diario!J1102="N2",1,0),IF(E2_diario!J1144="N2",1,0),IF(E2_diario!J1606="N2",1,0),IF(E2_diario!J1648="N2",1,0),IF(E2_diario!J2110="N2",1,0),IF(E2_diario!J2152="N2",1,0))</x:f>
        <x:v>0</x:v>
      </x:c>
      <x:c r="J52" s="2" t="n">
        <x:f>SUM(IF(E2_diario!J94="N3",1,0),IF(E2_diario!J136="N3",1,0),IF(E2_diario!J598="N3",1,0),IF(E2_diario!J640="N3",1,0),IF(E2_diario!J1102="N3",1,0),IF(E2_diario!J1144="N3",1,0),IF(E2_diario!J1606="N3",1,0),IF(E2_diario!J1648="N3",1,0),IF(E2_diario!J2110="N3",1,0),IF(E2_diario!J2152="N3",1,0))</x:f>
        <x:v>1</x:v>
      </x:c>
      <x:c r="K52" s="2" t="n">
        <x:f>SUM(IF(E2_diario!J94="N4",1,0),IF(E2_diario!J136="N4",1,0),IF(E2_diario!J598="N4",1,0),IF(E2_diario!J640="N4",1,0),IF(E2_diario!J1102="N4",1,0),IF(E2_diario!J1144="N4",1,0),IF(E2_diario!J1606="N4",1,0),IF(E2_diario!J1648="N4",1,0),IF(E2_diario!J2110="N4",1,0),IF(E2_diario!J2152="N4",1,0))</x:f>
        <x:v>7</x:v>
      </x:c>
      <x:c r="L52" s="2" t="n">
        <x:f>SUM(IF(E2_diario!J94="adulta",1,0),IF(E2_diario!J136="adulta",1,0),IF(E2_diario!J598="adulta",1,0),IF(E2_diario!J640="adulta",1,0),IF(E2_diario!J1102="adulta",1,0),IF(E2_diario!J1144="adulta",1,0),IF(E2_diario!J1606="adulta",1,0),IF(E2_diario!J1648="adulta",1,0),IF(E2_diario!J2110="adulta",1,0),IF(E2_diario!J2152="adulta",1,0))</x:f>
        <x:v>1</x:v>
      </x:c>
      <x:c r="M52" s="2" t="n">
        <x:f>SUM(E2_diario!L94,E2_diario!L136,E2_diario!L598,E2_diario!L640,E2_diario!L1102,E2_diario!L1144,E2_diario!L1606,E2_diario!L1648,E2_diario!L2110,E2_diario!L2152)</x:f>
        <x:v>1</x:v>
      </x:c>
      <x:c r="N52" s="20" t="n">
        <x:f>G52/F52</x:f>
        <x:v>0.9</x:v>
      </x:c>
      <x:c r="O52" s="20" t="n">
        <x:f>IF(G52=0,0,M52/G52)</x:f>
        <x:v>0.1111111111111111</x:v>
      </x:c>
      <x:c r="P52" s="20" t="n">
        <x:f>N52*O52</x:f>
        <x:v>0.09999999999999999</x:v>
      </x:c>
      <x:c r="Q52" s="20" t="n">
        <x:f>H52/F52</x:f>
        <x:v>0</x:v>
      </x:c>
      <x:c r="R52" s="20" t="n">
        <x:f>I52/F52</x:f>
        <x:v>0</x:v>
      </x:c>
      <x:c r="S52" s="20" t="n">
        <x:f>J52/F52</x:f>
        <x:v>0.1</x:v>
      </x:c>
      <x:c r="T52" s="20" t="n">
        <x:f>K52/F52</x:f>
        <x:v>0.7</x:v>
      </x:c>
      <x:c r="U52" s="20" t="n">
        <x:f>L52/F52</x:f>
        <x:v>0.1</x:v>
      </x:c>
      <x:c r="V52" s="20" t="n">
        <x:f>IF(L52=0,0,M52/L52)</x:f>
        <x:v>1</x:v>
      </x:c>
      <x:c r="W52" s="20" t="n">
        <x:f>SUM(P$44:P52)</x:f>
        <x:v>0.09999999999999999</x:v>
      </x:c>
      <x:c r="X52" s="2" t="n">
        <x:f>E52+Supuestos!$C$15</x:f>
        <x:v>9</x:v>
      </x:c>
      <x:c r="Y52" s="2" t="n">
        <x:f>F52-G52</x:f>
        <x:v>1</x:v>
      </x:c>
      <x:c r="Z52" s="2" t="str">
        <x:v>simulado_didactico</x:v>
      </x:c>
    </x:row>
    <x:row r="53" ht="19" customHeight="1">
      <x:c r="A53" s="2" t="str">
        <x:v>MP_L8</x:v>
      </x:c>
      <x:c r="B53" s="2" t="str">
        <x:v>MP</x:v>
      </x:c>
      <x:c r="C53" s="2" t="str">
        <x:v>Myzus persicae</x:v>
      </x:c>
      <x:c r="D53" s="2" t="str">
        <x:v>L8</x:v>
      </x:c>
      <x:c r="E53" s="2" t="n">
        <x:v>9</x:v>
      </x:c>
      <x:c r="F53" s="2" t="n">
        <x:f>COUNTA(E2_plantas!A4,E2_plantas!A5,E2_plantas!A16,E2_plantas!A17,E2_plantas!A28,E2_plantas!A29,E2_plantas!A40,E2_plantas!A41,E2_plantas!A52,E2_plantas!A53)</x:f>
        <x:v>10</x:v>
      </x:c>
      <x:c r="G53" s="2" t="n">
        <x:f>SUM(E2_diario!K95,E2_diario!K137,E2_diario!K599,E2_diario!K641,E2_diario!K1103,E2_diario!K1145,E2_diario!K1607,E2_diario!K1649,E2_diario!K2111,E2_diario!K2153)</x:f>
        <x:v>9</x:v>
      </x:c>
      <x:c r="H53" s="2" t="n">
        <x:f>SUM(IF(E2_diario!J95="N1",1,0),IF(E2_diario!J137="N1",1,0),IF(E2_diario!J599="N1",1,0),IF(E2_diario!J641="N1",1,0),IF(E2_diario!J1103="N1",1,0),IF(E2_diario!J1145="N1",1,0),IF(E2_diario!J1607="N1",1,0),IF(E2_diario!J1649="N1",1,0),IF(E2_diario!J2111="N1",1,0),IF(E2_diario!J2153="N1",1,0))</x:f>
        <x:v>0</x:v>
      </x:c>
      <x:c r="I53" s="2" t="n">
        <x:f>SUM(IF(E2_diario!J95="N2",1,0),IF(E2_diario!J137="N2",1,0),IF(E2_diario!J599="N2",1,0),IF(E2_diario!J641="N2",1,0),IF(E2_diario!J1103="N2",1,0),IF(E2_diario!J1145="N2",1,0),IF(E2_diario!J1607="N2",1,0),IF(E2_diario!J1649="N2",1,0),IF(E2_diario!J2111="N2",1,0),IF(E2_diario!J2153="N2",1,0))</x:f>
        <x:v>0</x:v>
      </x:c>
      <x:c r="J53" s="2" t="n">
        <x:f>SUM(IF(E2_diario!J95="N3",1,0),IF(E2_diario!J137="N3",1,0),IF(E2_diario!J599="N3",1,0),IF(E2_diario!J641="N3",1,0),IF(E2_diario!J1103="N3",1,0),IF(E2_diario!J1145="N3",1,0),IF(E2_diario!J1607="N3",1,0),IF(E2_diario!J1649="N3",1,0),IF(E2_diario!J2111="N3",1,0),IF(E2_diario!J2153="N3",1,0))</x:f>
        <x:v>0</x:v>
      </x:c>
      <x:c r="K53" s="2" t="n">
        <x:f>SUM(IF(E2_diario!J95="N4",1,0),IF(E2_diario!J137="N4",1,0),IF(E2_diario!J599="N4",1,0),IF(E2_diario!J641="N4",1,0),IF(E2_diario!J1103="N4",1,0),IF(E2_diario!J1145="N4",1,0),IF(E2_diario!J1607="N4",1,0),IF(E2_diario!J1649="N4",1,0),IF(E2_diario!J2111="N4",1,0),IF(E2_diario!J2153="N4",1,0))</x:f>
        <x:v>5</x:v>
      </x:c>
      <x:c r="L53" s="2" t="n">
        <x:f>SUM(IF(E2_diario!J95="adulta",1,0),IF(E2_diario!J137="adulta",1,0),IF(E2_diario!J599="adulta",1,0),IF(E2_diario!J641="adulta",1,0),IF(E2_diario!J1103="adulta",1,0),IF(E2_diario!J1145="adulta",1,0),IF(E2_diario!J1607="adulta",1,0),IF(E2_diario!J1649="adulta",1,0),IF(E2_diario!J2111="adulta",1,0),IF(E2_diario!J2153="adulta",1,0))</x:f>
        <x:v>4</x:v>
      </x:c>
      <x:c r="M53" s="2" t="n">
        <x:f>SUM(E2_diario!L95,E2_diario!L137,E2_diario!L599,E2_diario!L641,E2_diario!L1103,E2_diario!L1145,E2_diario!L1607,E2_diario!L1649,E2_diario!L2111,E2_diario!L2153)</x:f>
        <x:v>4</x:v>
      </x:c>
      <x:c r="N53" s="20" t="n">
        <x:f>G53/F53</x:f>
        <x:v>0.9</x:v>
      </x:c>
      <x:c r="O53" s="20" t="n">
        <x:f>IF(G53=0,0,M53/G53)</x:f>
        <x:v>0.4444444444444444</x:v>
      </x:c>
      <x:c r="P53" s="20" t="n">
        <x:f>N53*O53</x:f>
        <x:v>0.39999999999999997</x:v>
      </x:c>
      <x:c r="Q53" s="20" t="n">
        <x:f>H53/F53</x:f>
        <x:v>0</x:v>
      </x:c>
      <x:c r="R53" s="20" t="n">
        <x:f>I53/F53</x:f>
        <x:v>0</x:v>
      </x:c>
      <x:c r="S53" s="20" t="n">
        <x:f>J53/F53</x:f>
        <x:v>0</x:v>
      </x:c>
      <x:c r="T53" s="20" t="n">
        <x:f>K53/F53</x:f>
        <x:v>0.5</x:v>
      </x:c>
      <x:c r="U53" s="20" t="n">
        <x:f>L53/F53</x:f>
        <x:v>0.4</x:v>
      </x:c>
      <x:c r="V53" s="20" t="n">
        <x:f>IF(L53=0,0,M53/L53)</x:f>
        <x:v>1</x:v>
      </x:c>
      <x:c r="W53" s="20" t="n">
        <x:f>SUM(P$44:P53)</x:f>
        <x:v>0.49999999999999994</x:v>
      </x:c>
      <x:c r="X53" s="2" t="n">
        <x:f>E53+Supuestos!$C$15</x:f>
        <x:v>10</x:v>
      </x:c>
      <x:c r="Y53" s="2" t="n">
        <x:f>F53-G53</x:f>
        <x:v>1</x:v>
      </x:c>
      <x:c r="Z53" s="2" t="str">
        <x:v>simulado_didactico</x:v>
      </x:c>
    </x:row>
    <x:row r="54" ht="19" customHeight="1">
      <x:c r="A54" s="2" t="str">
        <x:v>MP_L8</x:v>
      </x:c>
      <x:c r="B54" s="2" t="str">
        <x:v>MP</x:v>
      </x:c>
      <x:c r="C54" s="2" t="str">
        <x:v>Myzus persicae</x:v>
      </x:c>
      <x:c r="D54" s="2" t="str">
        <x:v>L8</x:v>
      </x:c>
      <x:c r="E54" s="2" t="n">
        <x:v>10</x:v>
      </x:c>
      <x:c r="F54" s="2" t="n">
        <x:f>COUNTA(E2_plantas!A4,E2_plantas!A5,E2_plantas!A16,E2_plantas!A17,E2_plantas!A28,E2_plantas!A29,E2_plantas!A40,E2_plantas!A41,E2_plantas!A52,E2_plantas!A53)</x:f>
        <x:v>10</x:v>
      </x:c>
      <x:c r="G54" s="2" t="n">
        <x:f>SUM(E2_diario!K96,E2_diario!K138,E2_diario!K600,E2_diario!K642,E2_diario!K1104,E2_diario!K1146,E2_diario!K1608,E2_diario!K1650,E2_diario!K2112,E2_diario!K2154)</x:f>
        <x:v>9</x:v>
      </x:c>
      <x:c r="H54" s="2" t="n">
        <x:f>SUM(IF(E2_diario!J96="N1",1,0),IF(E2_diario!J138="N1",1,0),IF(E2_diario!J600="N1",1,0),IF(E2_diario!J642="N1",1,0),IF(E2_diario!J1104="N1",1,0),IF(E2_diario!J1146="N1",1,0),IF(E2_diario!J1608="N1",1,0),IF(E2_diario!J1650="N1",1,0),IF(E2_diario!J2112="N1",1,0),IF(E2_diario!J2154="N1",1,0))</x:f>
        <x:v>0</x:v>
      </x:c>
      <x:c r="I54" s="2" t="n">
        <x:f>SUM(IF(E2_diario!J96="N2",1,0),IF(E2_diario!J138="N2",1,0),IF(E2_diario!J600="N2",1,0),IF(E2_diario!J642="N2",1,0),IF(E2_diario!J1104="N2",1,0),IF(E2_diario!J1146="N2",1,0),IF(E2_diario!J1608="N2",1,0),IF(E2_diario!J1650="N2",1,0),IF(E2_diario!J2112="N2",1,0),IF(E2_diario!J2154="N2",1,0))</x:f>
        <x:v>0</x:v>
      </x:c>
      <x:c r="J54" s="2" t="n">
        <x:f>SUM(IF(E2_diario!J96="N3",1,0),IF(E2_diario!J138="N3",1,0),IF(E2_diario!J600="N3",1,0),IF(E2_diario!J642="N3",1,0),IF(E2_diario!J1104="N3",1,0),IF(E2_diario!J1146="N3",1,0),IF(E2_diario!J1608="N3",1,0),IF(E2_diario!J1650="N3",1,0),IF(E2_diario!J2112="N3",1,0),IF(E2_diario!J2154="N3",1,0))</x:f>
        <x:v>0</x:v>
      </x:c>
      <x:c r="K54" s="2" t="n">
        <x:f>SUM(IF(E2_diario!J96="N4",1,0),IF(E2_diario!J138="N4",1,0),IF(E2_diario!J600="N4",1,0),IF(E2_diario!J642="N4",1,0),IF(E2_diario!J1104="N4",1,0),IF(E2_diario!J1146="N4",1,0),IF(E2_diario!J1608="N4",1,0),IF(E2_diario!J1650="N4",1,0),IF(E2_diario!J2112="N4",1,0),IF(E2_diario!J2154="N4",1,0))</x:f>
        <x:v>2</x:v>
      </x:c>
      <x:c r="L54" s="2" t="n">
        <x:f>SUM(IF(E2_diario!J96="adulta",1,0),IF(E2_diario!J138="adulta",1,0),IF(E2_diario!J600="adulta",1,0),IF(E2_diario!J642="adulta",1,0),IF(E2_diario!J1104="adulta",1,0),IF(E2_diario!J1146="adulta",1,0),IF(E2_diario!J1608="adulta",1,0),IF(E2_diario!J1650="adulta",1,0),IF(E2_diario!J2112="adulta",1,0),IF(E2_diario!J2154="adulta",1,0))</x:f>
        <x:v>7</x:v>
      </x:c>
      <x:c r="M54" s="2" t="n">
        <x:f>SUM(E2_diario!L96,E2_diario!L138,E2_diario!L600,E2_diario!L642,E2_diario!L1104,E2_diario!L1146,E2_diario!L1608,E2_diario!L1650,E2_diario!L2112,E2_diario!L2154)</x:f>
        <x:v>2</x:v>
      </x:c>
      <x:c r="N54" s="20" t="n">
        <x:f>G54/F54</x:f>
        <x:v>0.9</x:v>
      </x:c>
      <x:c r="O54" s="20" t="n">
        <x:f>IF(G54=0,0,M54/G54)</x:f>
        <x:v>0.2222222222222222</x:v>
      </x:c>
      <x:c r="P54" s="20" t="n">
        <x:f>N54*O54</x:f>
        <x:v>0.19999999999999998</x:v>
      </x:c>
      <x:c r="Q54" s="20" t="n">
        <x:f>H54/F54</x:f>
        <x:v>0</x:v>
      </x:c>
      <x:c r="R54" s="20" t="n">
        <x:f>I54/F54</x:f>
        <x:v>0</x:v>
      </x:c>
      <x:c r="S54" s="20" t="n">
        <x:f>J54/F54</x:f>
        <x:v>0</x:v>
      </x:c>
      <x:c r="T54" s="20" t="n">
        <x:f>K54/F54</x:f>
        <x:v>0.2</x:v>
      </x:c>
      <x:c r="U54" s="20" t="n">
        <x:f>L54/F54</x:f>
        <x:v>0.7</x:v>
      </x:c>
      <x:c r="V54" s="20" t="n">
        <x:f>IF(L54=0,0,M54/L54)</x:f>
        <x:v>0.2857142857142857</x:v>
      </x:c>
      <x:c r="W54" s="20" t="n">
        <x:f>SUM(P$44:P54)</x:f>
        <x:v>0.7</x:v>
      </x:c>
      <x:c r="X54" s="2" t="n">
        <x:f>E54+Supuestos!$C$15</x:f>
        <x:v>11</x:v>
      </x:c>
      <x:c r="Y54" s="2" t="n">
        <x:f>F54-G54</x:f>
        <x:v>1</x:v>
      </x:c>
      <x:c r="Z54" s="2" t="str">
        <x:v>simulado_didactico</x:v>
      </x:c>
    </x:row>
    <x:row r="55" ht="19" customHeight="1">
      <x:c r="A55" s="2" t="str">
        <x:v>MP_L8</x:v>
      </x:c>
      <x:c r="B55" s="2" t="str">
        <x:v>MP</x:v>
      </x:c>
      <x:c r="C55" s="2" t="str">
        <x:v>Myzus persicae</x:v>
      </x:c>
      <x:c r="D55" s="2" t="str">
        <x:v>L8</x:v>
      </x:c>
      <x:c r="E55" s="2" t="n">
        <x:v>11</x:v>
      </x:c>
      <x:c r="F55" s="2" t="n">
        <x:f>COUNTA(E2_plantas!A4,E2_plantas!A5,E2_plantas!A16,E2_plantas!A17,E2_plantas!A28,E2_plantas!A29,E2_plantas!A40,E2_plantas!A41,E2_plantas!A52,E2_plantas!A53)</x:f>
        <x:v>10</x:v>
      </x:c>
      <x:c r="G55" s="2" t="n">
        <x:f>SUM(E2_diario!K97,E2_diario!K139,E2_diario!K601,E2_diario!K643,E2_diario!K1105,E2_diario!K1147,E2_diario!K1609,E2_diario!K1651,E2_diario!K2113,E2_diario!K2155)</x:f>
        <x:v>9</x:v>
      </x:c>
      <x:c r="H55" s="2" t="n">
        <x:f>SUM(IF(E2_diario!J97="N1",1,0),IF(E2_diario!J139="N1",1,0),IF(E2_diario!J601="N1",1,0),IF(E2_diario!J643="N1",1,0),IF(E2_diario!J1105="N1",1,0),IF(E2_diario!J1147="N1",1,0),IF(E2_diario!J1609="N1",1,0),IF(E2_diario!J1651="N1",1,0),IF(E2_diario!J2113="N1",1,0),IF(E2_diario!J2155="N1",1,0))</x:f>
        <x:v>0</x:v>
      </x:c>
      <x:c r="I55" s="2" t="n">
        <x:f>SUM(IF(E2_diario!J97="N2",1,0),IF(E2_diario!J139="N2",1,0),IF(E2_diario!J601="N2",1,0),IF(E2_diario!J643="N2",1,0),IF(E2_diario!J1105="N2",1,0),IF(E2_diario!J1147="N2",1,0),IF(E2_diario!J1609="N2",1,0),IF(E2_diario!J1651="N2",1,0),IF(E2_diario!J2113="N2",1,0),IF(E2_diario!J2155="N2",1,0))</x:f>
        <x:v>0</x:v>
      </x:c>
      <x:c r="J55" s="2" t="n">
        <x:f>SUM(IF(E2_diario!J97="N3",1,0),IF(E2_diario!J139="N3",1,0),IF(E2_diario!J601="N3",1,0),IF(E2_diario!J643="N3",1,0),IF(E2_diario!J1105="N3",1,0),IF(E2_diario!J1147="N3",1,0),IF(E2_diario!J1609="N3",1,0),IF(E2_diario!J1651="N3",1,0),IF(E2_diario!J2113="N3",1,0),IF(E2_diario!J2155="N3",1,0))</x:f>
        <x:v>0</x:v>
      </x:c>
      <x:c r="K55" s="2" t="n">
        <x:f>SUM(IF(E2_diario!J97="N4",1,0),IF(E2_diario!J139="N4",1,0),IF(E2_diario!J601="N4",1,0),IF(E2_diario!J643="N4",1,0),IF(E2_diario!J1105="N4",1,0),IF(E2_diario!J1147="N4",1,0),IF(E2_diario!J1609="N4",1,0),IF(E2_diario!J1651="N4",1,0),IF(E2_diario!J2113="N4",1,0),IF(E2_diario!J2155="N4",1,0))</x:f>
        <x:v>0</x:v>
      </x:c>
      <x:c r="L55" s="2" t="n">
        <x:f>SUM(IF(E2_diario!J97="adulta",1,0),IF(E2_diario!J139="adulta",1,0),IF(E2_diario!J601="adulta",1,0),IF(E2_diario!J643="adulta",1,0),IF(E2_diario!J1105="adulta",1,0),IF(E2_diario!J1147="adulta",1,0),IF(E2_diario!J1609="adulta",1,0),IF(E2_diario!J1651="adulta",1,0),IF(E2_diario!J2113="adulta",1,0),IF(E2_diario!J2155="adulta",1,0))</x:f>
        <x:v>9</x:v>
      </x:c>
      <x:c r="M55" s="2" t="n">
        <x:f>SUM(E2_diario!L97,E2_diario!L139,E2_diario!L601,E2_diario!L643,E2_diario!L1105,E2_diario!L1147,E2_diario!L1609,E2_diario!L1651,E2_diario!L2113,E2_diario!L2155)</x:f>
        <x:v>6</x:v>
      </x:c>
      <x:c r="N55" s="20" t="n">
        <x:f>G55/F55</x:f>
        <x:v>0.9</x:v>
      </x:c>
      <x:c r="O55" s="20" t="n">
        <x:f>IF(G55=0,0,M55/G55)</x:f>
        <x:v>0.6666666666666666</x:v>
      </x:c>
      <x:c r="P55" s="20" t="n">
        <x:f>N55*O55</x:f>
        <x:v>0.6</x:v>
      </x:c>
      <x:c r="Q55" s="20" t="n">
        <x:f>H55/F55</x:f>
        <x:v>0</x:v>
      </x:c>
      <x:c r="R55" s="20" t="n">
        <x:f>I55/F55</x:f>
        <x:v>0</x:v>
      </x:c>
      <x:c r="S55" s="20" t="n">
        <x:f>J55/F55</x:f>
        <x:v>0</x:v>
      </x:c>
      <x:c r="T55" s="20" t="n">
        <x:f>K55/F55</x:f>
        <x:v>0</x:v>
      </x:c>
      <x:c r="U55" s="20" t="n">
        <x:f>L55/F55</x:f>
        <x:v>0.9</x:v>
      </x:c>
      <x:c r="V55" s="20" t="n">
        <x:f>IF(L55=0,0,M55/L55)</x:f>
        <x:v>0.6666666666666666</x:v>
      </x:c>
      <x:c r="W55" s="20" t="n">
        <x:f>SUM(P$44:P55)</x:f>
        <x:v>1.2999999999999998</x:v>
      </x:c>
      <x:c r="X55" s="2" t="n">
        <x:f>E55+Supuestos!$C$15</x:f>
        <x:v>12</x:v>
      </x:c>
      <x:c r="Y55" s="2" t="n">
        <x:f>F55-G55</x:f>
        <x:v>1</x:v>
      </x:c>
      <x:c r="Z55" s="2" t="str">
        <x:v>simulado_didactico</x:v>
      </x:c>
    </x:row>
    <x:row r="56" ht="19" customHeight="1">
      <x:c r="A56" s="2" t="str">
        <x:v>MP_L8</x:v>
      </x:c>
      <x:c r="B56" s="2" t="str">
        <x:v>MP</x:v>
      </x:c>
      <x:c r="C56" s="2" t="str">
        <x:v>Myzus persicae</x:v>
      </x:c>
      <x:c r="D56" s="2" t="str">
        <x:v>L8</x:v>
      </x:c>
      <x:c r="E56" s="2" t="n">
        <x:v>12</x:v>
      </x:c>
      <x:c r="F56" s="2" t="n">
        <x:f>COUNTA(E2_plantas!A4,E2_plantas!A5,E2_plantas!A16,E2_plantas!A17,E2_plantas!A28,E2_plantas!A29,E2_plantas!A40,E2_plantas!A41,E2_plantas!A52,E2_plantas!A53)</x:f>
        <x:v>10</x:v>
      </x:c>
      <x:c r="G56" s="2" t="n">
        <x:f>SUM(E2_diario!K98,E2_diario!K140,E2_diario!K602,E2_diario!K644,E2_diario!K1106,E2_diario!K1148,E2_diario!K1610,E2_diario!K1652,E2_diario!K2114,E2_diario!K2156)</x:f>
        <x:v>9</x:v>
      </x:c>
      <x:c r="H56" s="2" t="n">
        <x:f>SUM(IF(E2_diario!J98="N1",1,0),IF(E2_diario!J140="N1",1,0),IF(E2_diario!J602="N1",1,0),IF(E2_diario!J644="N1",1,0),IF(E2_diario!J1106="N1",1,0),IF(E2_diario!J1148="N1",1,0),IF(E2_diario!J1610="N1",1,0),IF(E2_diario!J1652="N1",1,0),IF(E2_diario!J2114="N1",1,0),IF(E2_diario!J2156="N1",1,0))</x:f>
        <x:v>0</x:v>
      </x:c>
      <x:c r="I56" s="2" t="n">
        <x:f>SUM(IF(E2_diario!J98="N2",1,0),IF(E2_diario!J140="N2",1,0),IF(E2_diario!J602="N2",1,0),IF(E2_diario!J644="N2",1,0),IF(E2_diario!J1106="N2",1,0),IF(E2_diario!J1148="N2",1,0),IF(E2_diario!J1610="N2",1,0),IF(E2_diario!J1652="N2",1,0),IF(E2_diario!J2114="N2",1,0),IF(E2_diario!J2156="N2",1,0))</x:f>
        <x:v>0</x:v>
      </x:c>
      <x:c r="J56" s="2" t="n">
        <x:f>SUM(IF(E2_diario!J98="N3",1,0),IF(E2_diario!J140="N3",1,0),IF(E2_diario!J602="N3",1,0),IF(E2_diario!J644="N3",1,0),IF(E2_diario!J1106="N3",1,0),IF(E2_diario!J1148="N3",1,0),IF(E2_diario!J1610="N3",1,0),IF(E2_diario!J1652="N3",1,0),IF(E2_diario!J2114="N3",1,0),IF(E2_diario!J2156="N3",1,0))</x:f>
        <x:v>0</x:v>
      </x:c>
      <x:c r="K56" s="2" t="n">
        <x:f>SUM(IF(E2_diario!J98="N4",1,0),IF(E2_diario!J140="N4",1,0),IF(E2_diario!J602="N4",1,0),IF(E2_diario!J644="N4",1,0),IF(E2_diario!J1106="N4",1,0),IF(E2_diario!J1148="N4",1,0),IF(E2_diario!J1610="N4",1,0),IF(E2_diario!J1652="N4",1,0),IF(E2_diario!J2114="N4",1,0),IF(E2_diario!J2156="N4",1,0))</x:f>
        <x:v>0</x:v>
      </x:c>
      <x:c r="L56" s="2" t="n">
        <x:f>SUM(IF(E2_diario!J98="adulta",1,0),IF(E2_diario!J140="adulta",1,0),IF(E2_diario!J602="adulta",1,0),IF(E2_diario!J644="adulta",1,0),IF(E2_diario!J1106="adulta",1,0),IF(E2_diario!J1148="adulta",1,0),IF(E2_diario!J1610="adulta",1,0),IF(E2_diario!J1652="adulta",1,0),IF(E2_diario!J2114="adulta",1,0),IF(E2_diario!J2156="adulta",1,0))</x:f>
        <x:v>9</x:v>
      </x:c>
      <x:c r="M56" s="2" t="n">
        <x:f>SUM(E2_diario!L98,E2_diario!L140,E2_diario!L602,E2_diario!L644,E2_diario!L1106,E2_diario!L1148,E2_diario!L1610,E2_diario!L1652,E2_diario!L2114,E2_diario!L2156)</x:f>
        <x:v>18</x:v>
      </x:c>
      <x:c r="N56" s="20" t="n">
        <x:f>G56/F56</x:f>
        <x:v>0.9</x:v>
      </x:c>
      <x:c r="O56" s="20" t="n">
        <x:f>IF(G56=0,0,M56/G56)</x:f>
        <x:v>2</x:v>
      </x:c>
      <x:c r="P56" s="20" t="n">
        <x:f>N56*O56</x:f>
        <x:v>1.8</x:v>
      </x:c>
      <x:c r="Q56" s="20" t="n">
        <x:f>H56/F56</x:f>
        <x:v>0</x:v>
      </x:c>
      <x:c r="R56" s="20" t="n">
        <x:f>I56/F56</x:f>
        <x:v>0</x:v>
      </x:c>
      <x:c r="S56" s="20" t="n">
        <x:f>J56/F56</x:f>
        <x:v>0</x:v>
      </x:c>
      <x:c r="T56" s="20" t="n">
        <x:f>K56/F56</x:f>
        <x:v>0</x:v>
      </x:c>
      <x:c r="U56" s="20" t="n">
        <x:f>L56/F56</x:f>
        <x:v>0.9</x:v>
      </x:c>
      <x:c r="V56" s="20" t="n">
        <x:f>IF(L56=0,0,M56/L56)</x:f>
        <x:v>2</x:v>
      </x:c>
      <x:c r="W56" s="20" t="n">
        <x:f>SUM(P$44:P56)</x:f>
        <x:v>3.0999999999999996</x:v>
      </x:c>
      <x:c r="X56" s="2" t="n">
        <x:f>E56+Supuestos!$C$15</x:f>
        <x:v>13</x:v>
      </x:c>
      <x:c r="Y56" s="2" t="n">
        <x:f>F56-G56</x:f>
        <x:v>1</x:v>
      </x:c>
      <x:c r="Z56" s="2" t="str">
        <x:v>simulado_didactico</x:v>
      </x:c>
    </x:row>
    <x:row r="57" ht="19" customHeight="1">
      <x:c r="A57" s="2" t="str">
        <x:v>MP_L8</x:v>
      </x:c>
      <x:c r="B57" s="2" t="str">
        <x:v>MP</x:v>
      </x:c>
      <x:c r="C57" s="2" t="str">
        <x:v>Myzus persicae</x:v>
      </x:c>
      <x:c r="D57" s="2" t="str">
        <x:v>L8</x:v>
      </x:c>
      <x:c r="E57" s="2" t="n">
        <x:v>13</x:v>
      </x:c>
      <x:c r="F57" s="2" t="n">
        <x:f>COUNTA(E2_plantas!A4,E2_plantas!A5,E2_plantas!A16,E2_plantas!A17,E2_plantas!A28,E2_plantas!A29,E2_plantas!A40,E2_plantas!A41,E2_plantas!A52,E2_plantas!A53)</x:f>
        <x:v>10</x:v>
      </x:c>
      <x:c r="G57" s="2" t="n">
        <x:f>SUM(E2_diario!K99,E2_diario!K141,E2_diario!K603,E2_diario!K645,E2_diario!K1107,E2_diario!K1149,E2_diario!K1611,E2_diario!K1653,E2_diario!K2115,E2_diario!K2157)</x:f>
        <x:v>9</x:v>
      </x:c>
      <x:c r="H57" s="2" t="n">
        <x:f>SUM(IF(E2_diario!J99="N1",1,0),IF(E2_diario!J141="N1",1,0),IF(E2_diario!J603="N1",1,0),IF(E2_diario!J645="N1",1,0),IF(E2_diario!J1107="N1",1,0),IF(E2_diario!J1149="N1",1,0),IF(E2_diario!J1611="N1",1,0),IF(E2_diario!J1653="N1",1,0),IF(E2_diario!J2115="N1",1,0),IF(E2_diario!J2157="N1",1,0))</x:f>
        <x:v>0</x:v>
      </x:c>
      <x:c r="I57" s="2" t="n">
        <x:f>SUM(IF(E2_diario!J99="N2",1,0),IF(E2_diario!J141="N2",1,0),IF(E2_diario!J603="N2",1,0),IF(E2_diario!J645="N2",1,0),IF(E2_diario!J1107="N2",1,0),IF(E2_diario!J1149="N2",1,0),IF(E2_diario!J1611="N2",1,0),IF(E2_diario!J1653="N2",1,0),IF(E2_diario!J2115="N2",1,0),IF(E2_diario!J2157="N2",1,0))</x:f>
        <x:v>0</x:v>
      </x:c>
      <x:c r="J57" s="2" t="n">
        <x:f>SUM(IF(E2_diario!J99="N3",1,0),IF(E2_diario!J141="N3",1,0),IF(E2_diario!J603="N3",1,0),IF(E2_diario!J645="N3",1,0),IF(E2_diario!J1107="N3",1,0),IF(E2_diario!J1149="N3",1,0),IF(E2_diario!J1611="N3",1,0),IF(E2_diario!J1653="N3",1,0),IF(E2_diario!J2115="N3",1,0),IF(E2_diario!J2157="N3",1,0))</x:f>
        <x:v>0</x:v>
      </x:c>
      <x:c r="K57" s="2" t="n">
        <x:f>SUM(IF(E2_diario!J99="N4",1,0),IF(E2_diario!J141="N4",1,0),IF(E2_diario!J603="N4",1,0),IF(E2_diario!J645="N4",1,0),IF(E2_diario!J1107="N4",1,0),IF(E2_diario!J1149="N4",1,0),IF(E2_diario!J1611="N4",1,0),IF(E2_diario!J1653="N4",1,0),IF(E2_diario!J2115="N4",1,0),IF(E2_diario!J2157="N4",1,0))</x:f>
        <x:v>0</x:v>
      </x:c>
      <x:c r="L57" s="2" t="n">
        <x:f>SUM(IF(E2_diario!J99="adulta",1,0),IF(E2_diario!J141="adulta",1,0),IF(E2_diario!J603="adulta",1,0),IF(E2_diario!J645="adulta",1,0),IF(E2_diario!J1107="adulta",1,0),IF(E2_diario!J1149="adulta",1,0),IF(E2_diario!J1611="adulta",1,0),IF(E2_diario!J1653="adulta",1,0),IF(E2_diario!J2115="adulta",1,0),IF(E2_diario!J2157="adulta",1,0))</x:f>
        <x:v>9</x:v>
      </x:c>
      <x:c r="M57" s="2" t="n">
        <x:f>SUM(E2_diario!L99,E2_diario!L141,E2_diario!L603,E2_diario!L645,E2_diario!L1107,E2_diario!L1149,E2_diario!L1611,E2_diario!L1653,E2_diario!L2115,E2_diario!L2157)</x:f>
        <x:v>24</x:v>
      </x:c>
      <x:c r="N57" s="20" t="n">
        <x:f>G57/F57</x:f>
        <x:v>0.9</x:v>
      </x:c>
      <x:c r="O57" s="20" t="n">
        <x:f>IF(G57=0,0,M57/G57)</x:f>
        <x:v>2.6666666666666665</x:v>
      </x:c>
      <x:c r="P57" s="20" t="n">
        <x:f>N57*O57</x:f>
        <x:v>2.4</x:v>
      </x:c>
      <x:c r="Q57" s="20" t="n">
        <x:f>H57/F57</x:f>
        <x:v>0</x:v>
      </x:c>
      <x:c r="R57" s="20" t="n">
        <x:f>I57/F57</x:f>
        <x:v>0</x:v>
      </x:c>
      <x:c r="S57" s="20" t="n">
        <x:f>J57/F57</x:f>
        <x:v>0</x:v>
      </x:c>
      <x:c r="T57" s="20" t="n">
        <x:f>K57/F57</x:f>
        <x:v>0</x:v>
      </x:c>
      <x:c r="U57" s="20" t="n">
        <x:f>L57/F57</x:f>
        <x:v>0.9</x:v>
      </x:c>
      <x:c r="V57" s="20" t="n">
        <x:f>IF(L57=0,0,M57/L57)</x:f>
        <x:v>2.6666666666666665</x:v>
      </x:c>
      <x:c r="W57" s="20" t="n">
        <x:f>SUM(P$44:P57)</x:f>
        <x:v>5.5</x:v>
      </x:c>
      <x:c r="X57" s="2" t="n">
        <x:f>E57+Supuestos!$C$15</x:f>
        <x:v>14</x:v>
      </x:c>
      <x:c r="Y57" s="2" t="n">
        <x:f>F57-G57</x:f>
        <x:v>1</x:v>
      </x:c>
      <x:c r="Z57" s="2" t="str">
        <x:v>simulado_didactico</x:v>
      </x:c>
    </x:row>
    <x:row r="58" ht="19" customHeight="1">
      <x:c r="A58" s="2" t="str">
        <x:v>MP_L8</x:v>
      </x:c>
      <x:c r="B58" s="2" t="str">
        <x:v>MP</x:v>
      </x:c>
      <x:c r="C58" s="2" t="str">
        <x:v>Myzus persicae</x:v>
      </x:c>
      <x:c r="D58" s="2" t="str">
        <x:v>L8</x:v>
      </x:c>
      <x:c r="E58" s="2" t="n">
        <x:v>14</x:v>
      </x:c>
      <x:c r="F58" s="2" t="n">
        <x:f>COUNTA(E2_plantas!A4,E2_plantas!A5,E2_plantas!A16,E2_plantas!A17,E2_plantas!A28,E2_plantas!A29,E2_plantas!A40,E2_plantas!A41,E2_plantas!A52,E2_plantas!A53)</x:f>
        <x:v>10</x:v>
      </x:c>
      <x:c r="G58" s="2" t="n">
        <x:f>SUM(E2_diario!K100,E2_diario!K142,E2_diario!K604,E2_diario!K646,E2_diario!K1108,E2_diario!K1150,E2_diario!K1612,E2_diario!K1654,E2_diario!K2116,E2_diario!K2158)</x:f>
        <x:v>9</x:v>
      </x:c>
      <x:c r="H58" s="2" t="n">
        <x:f>SUM(IF(E2_diario!J100="N1",1,0),IF(E2_diario!J142="N1",1,0),IF(E2_diario!J604="N1",1,0),IF(E2_diario!J646="N1",1,0),IF(E2_diario!J1108="N1",1,0),IF(E2_diario!J1150="N1",1,0),IF(E2_diario!J1612="N1",1,0),IF(E2_diario!J1654="N1",1,0),IF(E2_diario!J2116="N1",1,0),IF(E2_diario!J2158="N1",1,0))</x:f>
        <x:v>0</x:v>
      </x:c>
      <x:c r="I58" s="2" t="n">
        <x:f>SUM(IF(E2_diario!J100="N2",1,0),IF(E2_diario!J142="N2",1,0),IF(E2_diario!J604="N2",1,0),IF(E2_diario!J646="N2",1,0),IF(E2_diario!J1108="N2",1,0),IF(E2_diario!J1150="N2",1,0),IF(E2_diario!J1612="N2",1,0),IF(E2_diario!J1654="N2",1,0),IF(E2_diario!J2116="N2",1,0),IF(E2_diario!J2158="N2",1,0))</x:f>
        <x:v>0</x:v>
      </x:c>
      <x:c r="J58" s="2" t="n">
        <x:f>SUM(IF(E2_diario!J100="N3",1,0),IF(E2_diario!J142="N3",1,0),IF(E2_diario!J604="N3",1,0),IF(E2_diario!J646="N3",1,0),IF(E2_diario!J1108="N3",1,0),IF(E2_diario!J1150="N3",1,0),IF(E2_diario!J1612="N3",1,0),IF(E2_diario!J1654="N3",1,0),IF(E2_diario!J2116="N3",1,0),IF(E2_diario!J2158="N3",1,0))</x:f>
        <x:v>0</x:v>
      </x:c>
      <x:c r="K58" s="2" t="n">
        <x:f>SUM(IF(E2_diario!J100="N4",1,0),IF(E2_diario!J142="N4",1,0),IF(E2_diario!J604="N4",1,0),IF(E2_diario!J646="N4",1,0),IF(E2_diario!J1108="N4",1,0),IF(E2_diario!J1150="N4",1,0),IF(E2_diario!J1612="N4",1,0),IF(E2_diario!J1654="N4",1,0),IF(E2_diario!J2116="N4",1,0),IF(E2_diario!J2158="N4",1,0))</x:f>
        <x:v>0</x:v>
      </x:c>
      <x:c r="L58" s="2" t="n">
        <x:f>SUM(IF(E2_diario!J100="adulta",1,0),IF(E2_diario!J142="adulta",1,0),IF(E2_diario!J604="adulta",1,0),IF(E2_diario!J646="adulta",1,0),IF(E2_diario!J1108="adulta",1,0),IF(E2_diario!J1150="adulta",1,0),IF(E2_diario!J1612="adulta",1,0),IF(E2_diario!J1654="adulta",1,0),IF(E2_diario!J2116="adulta",1,0),IF(E2_diario!J2158="adulta",1,0))</x:f>
        <x:v>9</x:v>
      </x:c>
      <x:c r="M58" s="2" t="n">
        <x:f>SUM(E2_diario!L100,E2_diario!L142,E2_diario!L604,E2_diario!L646,E2_diario!L1108,E2_diario!L1150,E2_diario!L1612,E2_diario!L1654,E2_diario!L2116,E2_diario!L2158)</x:f>
        <x:v>22</x:v>
      </x:c>
      <x:c r="N58" s="20" t="n">
        <x:f>G58/F58</x:f>
        <x:v>0.9</x:v>
      </x:c>
      <x:c r="O58" s="20" t="n">
        <x:f>IF(G58=0,0,M58/G58)</x:f>
        <x:v>2.4444444444444446</x:v>
      </x:c>
      <x:c r="P58" s="20" t="n">
        <x:f>N58*O58</x:f>
        <x:v>2.2</x:v>
      </x:c>
      <x:c r="Q58" s="20" t="n">
        <x:f>H58/F58</x:f>
        <x:v>0</x:v>
      </x:c>
      <x:c r="R58" s="20" t="n">
        <x:f>I58/F58</x:f>
        <x:v>0</x:v>
      </x:c>
      <x:c r="S58" s="20" t="n">
        <x:f>J58/F58</x:f>
        <x:v>0</x:v>
      </x:c>
      <x:c r="T58" s="20" t="n">
        <x:f>K58/F58</x:f>
        <x:v>0</x:v>
      </x:c>
      <x:c r="U58" s="20" t="n">
        <x:f>L58/F58</x:f>
        <x:v>0.9</x:v>
      </x:c>
      <x:c r="V58" s="20" t="n">
        <x:f>IF(L58=0,0,M58/L58)</x:f>
        <x:v>2.4444444444444446</x:v>
      </x:c>
      <x:c r="W58" s="20" t="n">
        <x:f>SUM(P$44:P58)</x:f>
        <x:v>7.7</x:v>
      </x:c>
      <x:c r="X58" s="2" t="n">
        <x:f>E58+Supuestos!$C$15</x:f>
        <x:v>15</x:v>
      </x:c>
      <x:c r="Y58" s="2" t="n">
        <x:f>F58-G58</x:f>
        <x:v>1</x:v>
      </x:c>
      <x:c r="Z58" s="2" t="str">
        <x:v>simulado_didactico</x:v>
      </x:c>
    </x:row>
    <x:row r="59" ht="19" customHeight="1">
      <x:c r="A59" s="2" t="str">
        <x:v>MP_L8</x:v>
      </x:c>
      <x:c r="B59" s="2" t="str">
        <x:v>MP</x:v>
      </x:c>
      <x:c r="C59" s="2" t="str">
        <x:v>Myzus persicae</x:v>
      </x:c>
      <x:c r="D59" s="2" t="str">
        <x:v>L8</x:v>
      </x:c>
      <x:c r="E59" s="2" t="n">
        <x:v>15</x:v>
      </x:c>
      <x:c r="F59" s="2" t="n">
        <x:f>COUNTA(E2_plantas!A4,E2_plantas!A5,E2_plantas!A16,E2_plantas!A17,E2_plantas!A28,E2_plantas!A29,E2_plantas!A40,E2_plantas!A41,E2_plantas!A52,E2_plantas!A53)</x:f>
        <x:v>10</x:v>
      </x:c>
      <x:c r="G59" s="2" t="n">
        <x:f>SUM(E2_diario!K101,E2_diario!K143,E2_diario!K605,E2_diario!K647,E2_diario!K1109,E2_diario!K1151,E2_diario!K1613,E2_diario!K1655,E2_diario!K2117,E2_diario!K2159)</x:f>
        <x:v>9</x:v>
      </x:c>
      <x:c r="H59" s="2" t="n">
        <x:f>SUM(IF(E2_diario!J101="N1",1,0),IF(E2_diario!J143="N1",1,0),IF(E2_diario!J605="N1",1,0),IF(E2_diario!J647="N1",1,0),IF(E2_diario!J1109="N1",1,0),IF(E2_diario!J1151="N1",1,0),IF(E2_diario!J1613="N1",1,0),IF(E2_diario!J1655="N1",1,0),IF(E2_diario!J2117="N1",1,0),IF(E2_diario!J2159="N1",1,0))</x:f>
        <x:v>0</x:v>
      </x:c>
      <x:c r="I59" s="2" t="n">
        <x:f>SUM(IF(E2_diario!J101="N2",1,0),IF(E2_diario!J143="N2",1,0),IF(E2_diario!J605="N2",1,0),IF(E2_diario!J647="N2",1,0),IF(E2_diario!J1109="N2",1,0),IF(E2_diario!J1151="N2",1,0),IF(E2_diario!J1613="N2",1,0),IF(E2_diario!J1655="N2",1,0),IF(E2_diario!J2117="N2",1,0),IF(E2_diario!J2159="N2",1,0))</x:f>
        <x:v>0</x:v>
      </x:c>
      <x:c r="J59" s="2" t="n">
        <x:f>SUM(IF(E2_diario!J101="N3",1,0),IF(E2_diario!J143="N3",1,0),IF(E2_diario!J605="N3",1,0),IF(E2_diario!J647="N3",1,0),IF(E2_diario!J1109="N3",1,0),IF(E2_diario!J1151="N3",1,0),IF(E2_diario!J1613="N3",1,0),IF(E2_diario!J1655="N3",1,0),IF(E2_diario!J2117="N3",1,0),IF(E2_diario!J2159="N3",1,0))</x:f>
        <x:v>0</x:v>
      </x:c>
      <x:c r="K59" s="2" t="n">
        <x:f>SUM(IF(E2_diario!J101="N4",1,0),IF(E2_diario!J143="N4",1,0),IF(E2_diario!J605="N4",1,0),IF(E2_diario!J647="N4",1,0),IF(E2_diario!J1109="N4",1,0),IF(E2_diario!J1151="N4",1,0),IF(E2_diario!J1613="N4",1,0),IF(E2_diario!J1655="N4",1,0),IF(E2_diario!J2117="N4",1,0),IF(E2_diario!J2159="N4",1,0))</x:f>
        <x:v>0</x:v>
      </x:c>
      <x:c r="L59" s="2" t="n">
        <x:f>SUM(IF(E2_diario!J101="adulta",1,0),IF(E2_diario!J143="adulta",1,0),IF(E2_diario!J605="adulta",1,0),IF(E2_diario!J647="adulta",1,0),IF(E2_diario!J1109="adulta",1,0),IF(E2_diario!J1151="adulta",1,0),IF(E2_diario!J1613="adulta",1,0),IF(E2_diario!J1655="adulta",1,0),IF(E2_diario!J2117="adulta",1,0),IF(E2_diario!J2159="adulta",1,0))</x:f>
        <x:v>9</x:v>
      </x:c>
      <x:c r="M59" s="2" t="n">
        <x:f>SUM(E2_diario!L101,E2_diario!L143,E2_diario!L605,E2_diario!L647,E2_diario!L1109,E2_diario!L1151,E2_diario!L1613,E2_diario!L1655,E2_diario!L2117,E2_diario!L2159)</x:f>
        <x:v>17</x:v>
      </x:c>
      <x:c r="N59" s="20" t="n">
        <x:f>G59/F59</x:f>
        <x:v>0.9</x:v>
      </x:c>
      <x:c r="O59" s="20" t="n">
        <x:f>IF(G59=0,0,M59/G59)</x:f>
        <x:v>1.8888888888888888</x:v>
      </x:c>
      <x:c r="P59" s="20" t="n">
        <x:f>N59*O59</x:f>
        <x:v>1.7</x:v>
      </x:c>
      <x:c r="Q59" s="20" t="n">
        <x:f>H59/F59</x:f>
        <x:v>0</x:v>
      </x:c>
      <x:c r="R59" s="20" t="n">
        <x:f>I59/F59</x:f>
        <x:v>0</x:v>
      </x:c>
      <x:c r="S59" s="20" t="n">
        <x:f>J59/F59</x:f>
        <x:v>0</x:v>
      </x:c>
      <x:c r="T59" s="20" t="n">
        <x:f>K59/F59</x:f>
        <x:v>0</x:v>
      </x:c>
      <x:c r="U59" s="20" t="n">
        <x:f>L59/F59</x:f>
        <x:v>0.9</x:v>
      </x:c>
      <x:c r="V59" s="20" t="n">
        <x:f>IF(L59=0,0,M59/L59)</x:f>
        <x:v>1.8888888888888888</x:v>
      </x:c>
      <x:c r="W59" s="20" t="n">
        <x:f>SUM(P$44:P59)</x:f>
        <x:v>9.4</x:v>
      </x:c>
      <x:c r="X59" s="2" t="n">
        <x:f>E59+Supuestos!$C$15</x:f>
        <x:v>16</x:v>
      </x:c>
      <x:c r="Y59" s="2" t="n">
        <x:f>F59-G59</x:f>
        <x:v>1</x:v>
      </x:c>
      <x:c r="Z59" s="2" t="str">
        <x:v>simulado_didactico</x:v>
      </x:c>
    </x:row>
    <x:row r="60" ht="19" customHeight="1">
      <x:c r="A60" s="2" t="str">
        <x:v>MP_L8</x:v>
      </x:c>
      <x:c r="B60" s="2" t="str">
        <x:v>MP</x:v>
      </x:c>
      <x:c r="C60" s="2" t="str">
        <x:v>Myzus persicae</x:v>
      </x:c>
      <x:c r="D60" s="2" t="str">
        <x:v>L8</x:v>
      </x:c>
      <x:c r="E60" s="2" t="n">
        <x:v>16</x:v>
      </x:c>
      <x:c r="F60" s="2" t="n">
        <x:f>COUNTA(E2_plantas!A4,E2_plantas!A5,E2_plantas!A16,E2_plantas!A17,E2_plantas!A28,E2_plantas!A29,E2_plantas!A40,E2_plantas!A41,E2_plantas!A52,E2_plantas!A53)</x:f>
        <x:v>10</x:v>
      </x:c>
      <x:c r="G60" s="2" t="n">
        <x:f>SUM(E2_diario!K102,E2_diario!K144,E2_diario!K606,E2_diario!K648,E2_diario!K1110,E2_diario!K1152,E2_diario!K1614,E2_diario!K1656,E2_diario!K2118,E2_diario!K2160)</x:f>
        <x:v>9</x:v>
      </x:c>
      <x:c r="H60" s="2" t="n">
        <x:f>SUM(IF(E2_diario!J102="N1",1,0),IF(E2_diario!J144="N1",1,0),IF(E2_diario!J606="N1",1,0),IF(E2_diario!J648="N1",1,0),IF(E2_diario!J1110="N1",1,0),IF(E2_diario!J1152="N1",1,0),IF(E2_diario!J1614="N1",1,0),IF(E2_diario!J1656="N1",1,0),IF(E2_diario!J2118="N1",1,0),IF(E2_diario!J2160="N1",1,0))</x:f>
        <x:v>0</x:v>
      </x:c>
      <x:c r="I60" s="2" t="n">
        <x:f>SUM(IF(E2_diario!J102="N2",1,0),IF(E2_diario!J144="N2",1,0),IF(E2_diario!J606="N2",1,0),IF(E2_diario!J648="N2",1,0),IF(E2_diario!J1110="N2",1,0),IF(E2_diario!J1152="N2",1,0),IF(E2_diario!J1614="N2",1,0),IF(E2_diario!J1656="N2",1,0),IF(E2_diario!J2118="N2",1,0),IF(E2_diario!J2160="N2",1,0))</x:f>
        <x:v>0</x:v>
      </x:c>
      <x:c r="J60" s="2" t="n">
        <x:f>SUM(IF(E2_diario!J102="N3",1,0),IF(E2_diario!J144="N3",1,0),IF(E2_diario!J606="N3",1,0),IF(E2_diario!J648="N3",1,0),IF(E2_diario!J1110="N3",1,0),IF(E2_diario!J1152="N3",1,0),IF(E2_diario!J1614="N3",1,0),IF(E2_diario!J1656="N3",1,0),IF(E2_diario!J2118="N3",1,0),IF(E2_diario!J2160="N3",1,0))</x:f>
        <x:v>0</x:v>
      </x:c>
      <x:c r="K60" s="2" t="n">
        <x:f>SUM(IF(E2_diario!J102="N4",1,0),IF(E2_diario!J144="N4",1,0),IF(E2_diario!J606="N4",1,0),IF(E2_diario!J648="N4",1,0),IF(E2_diario!J1110="N4",1,0),IF(E2_diario!J1152="N4",1,0),IF(E2_diario!J1614="N4",1,0),IF(E2_diario!J1656="N4",1,0),IF(E2_diario!J2118="N4",1,0),IF(E2_diario!J2160="N4",1,0))</x:f>
        <x:v>0</x:v>
      </x:c>
      <x:c r="L60" s="2" t="n">
        <x:f>SUM(IF(E2_diario!J102="adulta",1,0),IF(E2_diario!J144="adulta",1,0),IF(E2_diario!J606="adulta",1,0),IF(E2_diario!J648="adulta",1,0),IF(E2_diario!J1110="adulta",1,0),IF(E2_diario!J1152="adulta",1,0),IF(E2_diario!J1614="adulta",1,0),IF(E2_diario!J1656="adulta",1,0),IF(E2_diario!J2118="adulta",1,0),IF(E2_diario!J2160="adulta",1,0))</x:f>
        <x:v>9</x:v>
      </x:c>
      <x:c r="M60" s="2" t="n">
        <x:f>SUM(E2_diario!L102,E2_diario!L144,E2_diario!L606,E2_diario!L648,E2_diario!L1110,E2_diario!L1152,E2_diario!L1614,E2_diario!L1656,E2_diario!L2118,E2_diario!L2160)</x:f>
        <x:v>19</x:v>
      </x:c>
      <x:c r="N60" s="20" t="n">
        <x:f>G60/F60</x:f>
        <x:v>0.9</x:v>
      </x:c>
      <x:c r="O60" s="20" t="n">
        <x:f>IF(G60=0,0,M60/G60)</x:f>
        <x:v>2.111111111111111</x:v>
      </x:c>
      <x:c r="P60" s="20" t="n">
        <x:f>N60*O60</x:f>
        <x:v>1.9000000000000001</x:v>
      </x:c>
      <x:c r="Q60" s="20" t="n">
        <x:f>H60/F60</x:f>
        <x:v>0</x:v>
      </x:c>
      <x:c r="R60" s="20" t="n">
        <x:f>I60/F60</x:f>
        <x:v>0</x:v>
      </x:c>
      <x:c r="S60" s="20" t="n">
        <x:f>J60/F60</x:f>
        <x:v>0</x:v>
      </x:c>
      <x:c r="T60" s="20" t="n">
        <x:f>K60/F60</x:f>
        <x:v>0</x:v>
      </x:c>
      <x:c r="U60" s="20" t="n">
        <x:f>L60/F60</x:f>
        <x:v>0.9</x:v>
      </x:c>
      <x:c r="V60" s="20" t="n">
        <x:f>IF(L60=0,0,M60/L60)</x:f>
        <x:v>2.111111111111111</x:v>
      </x:c>
      <x:c r="W60" s="20" t="n">
        <x:f>SUM(P$44:P60)</x:f>
        <x:v>11.3</x:v>
      </x:c>
      <x:c r="X60" s="2" t="n">
        <x:f>E60+Supuestos!$C$15</x:f>
        <x:v>17</x:v>
      </x:c>
      <x:c r="Y60" s="2" t="n">
        <x:f>F60-G60</x:f>
        <x:v>1</x:v>
      </x:c>
      <x:c r="Z60" s="2" t="str">
        <x:v>simulado_didactico</x:v>
      </x:c>
    </x:row>
    <x:row r="61" ht="19" customHeight="1">
      <x:c r="A61" s="2" t="str">
        <x:v>MP_L8</x:v>
      </x:c>
      <x:c r="B61" s="2" t="str">
        <x:v>MP</x:v>
      </x:c>
      <x:c r="C61" s="2" t="str">
        <x:v>Myzus persicae</x:v>
      </x:c>
      <x:c r="D61" s="2" t="str">
        <x:v>L8</x:v>
      </x:c>
      <x:c r="E61" s="2" t="n">
        <x:v>17</x:v>
      </x:c>
      <x:c r="F61" s="2" t="n">
        <x:f>COUNTA(E2_plantas!A4,E2_plantas!A5,E2_plantas!A16,E2_plantas!A17,E2_plantas!A28,E2_plantas!A29,E2_plantas!A40,E2_plantas!A41,E2_plantas!A52,E2_plantas!A53)</x:f>
        <x:v>10</x:v>
      </x:c>
      <x:c r="G61" s="2" t="n">
        <x:f>SUM(E2_diario!K103,E2_diario!K145,E2_diario!K607,E2_diario!K649,E2_diario!K1111,E2_diario!K1153,E2_diario!K1615,E2_diario!K1657,E2_diario!K2119,E2_diario!K2161)</x:f>
        <x:v>9</x:v>
      </x:c>
      <x:c r="H61" s="2" t="n">
        <x:f>SUM(IF(E2_diario!J103="N1",1,0),IF(E2_diario!J145="N1",1,0),IF(E2_diario!J607="N1",1,0),IF(E2_diario!J649="N1",1,0),IF(E2_diario!J1111="N1",1,0),IF(E2_diario!J1153="N1",1,0),IF(E2_diario!J1615="N1",1,0),IF(E2_diario!J1657="N1",1,0),IF(E2_diario!J2119="N1",1,0),IF(E2_diario!J2161="N1",1,0))</x:f>
        <x:v>0</x:v>
      </x:c>
      <x:c r="I61" s="2" t="n">
        <x:f>SUM(IF(E2_diario!J103="N2",1,0),IF(E2_diario!J145="N2",1,0),IF(E2_diario!J607="N2",1,0),IF(E2_diario!J649="N2",1,0),IF(E2_diario!J1111="N2",1,0),IF(E2_diario!J1153="N2",1,0),IF(E2_diario!J1615="N2",1,0),IF(E2_diario!J1657="N2",1,0),IF(E2_diario!J2119="N2",1,0),IF(E2_diario!J2161="N2",1,0))</x:f>
        <x:v>0</x:v>
      </x:c>
      <x:c r="J61" s="2" t="n">
        <x:f>SUM(IF(E2_diario!J103="N3",1,0),IF(E2_diario!J145="N3",1,0),IF(E2_diario!J607="N3",1,0),IF(E2_diario!J649="N3",1,0),IF(E2_diario!J1111="N3",1,0),IF(E2_diario!J1153="N3",1,0),IF(E2_diario!J1615="N3",1,0),IF(E2_diario!J1657="N3",1,0),IF(E2_diario!J2119="N3",1,0),IF(E2_diario!J2161="N3",1,0))</x:f>
        <x:v>0</x:v>
      </x:c>
      <x:c r="K61" s="2" t="n">
        <x:f>SUM(IF(E2_diario!J103="N4",1,0),IF(E2_diario!J145="N4",1,0),IF(E2_diario!J607="N4",1,0),IF(E2_diario!J649="N4",1,0),IF(E2_diario!J1111="N4",1,0),IF(E2_diario!J1153="N4",1,0),IF(E2_diario!J1615="N4",1,0),IF(E2_diario!J1657="N4",1,0),IF(E2_diario!J2119="N4",1,0),IF(E2_diario!J2161="N4",1,0))</x:f>
        <x:v>0</x:v>
      </x:c>
      <x:c r="L61" s="2" t="n">
        <x:f>SUM(IF(E2_diario!J103="adulta",1,0),IF(E2_diario!J145="adulta",1,0),IF(E2_diario!J607="adulta",1,0),IF(E2_diario!J649="adulta",1,0),IF(E2_diario!J1111="adulta",1,0),IF(E2_diario!J1153="adulta",1,0),IF(E2_diario!J1615="adulta",1,0),IF(E2_diario!J1657="adulta",1,0),IF(E2_diario!J2119="adulta",1,0),IF(E2_diario!J2161="adulta",1,0))</x:f>
        <x:v>9</x:v>
      </x:c>
      <x:c r="M61" s="2" t="n">
        <x:f>SUM(E2_diario!L103,E2_diario!L145,E2_diario!L607,E2_diario!L649,E2_diario!L1111,E2_diario!L1153,E2_diario!L1615,E2_diario!L1657,E2_diario!L2119,E2_diario!L2161)</x:f>
        <x:v>24</x:v>
      </x:c>
      <x:c r="N61" s="20" t="n">
        <x:f>G61/F61</x:f>
        <x:v>0.9</x:v>
      </x:c>
      <x:c r="O61" s="20" t="n">
        <x:f>IF(G61=0,0,M61/G61)</x:f>
        <x:v>2.6666666666666665</x:v>
      </x:c>
      <x:c r="P61" s="20" t="n">
        <x:f>N61*O61</x:f>
        <x:v>2.4</x:v>
      </x:c>
      <x:c r="Q61" s="20" t="n">
        <x:f>H61/F61</x:f>
        <x:v>0</x:v>
      </x:c>
      <x:c r="R61" s="20" t="n">
        <x:f>I61/F61</x:f>
        <x:v>0</x:v>
      </x:c>
      <x:c r="S61" s="20" t="n">
        <x:f>J61/F61</x:f>
        <x:v>0</x:v>
      </x:c>
      <x:c r="T61" s="20" t="n">
        <x:f>K61/F61</x:f>
        <x:v>0</x:v>
      </x:c>
      <x:c r="U61" s="20" t="n">
        <x:f>L61/F61</x:f>
        <x:v>0.9</x:v>
      </x:c>
      <x:c r="V61" s="20" t="n">
        <x:f>IF(L61=0,0,M61/L61)</x:f>
        <x:v>2.6666666666666665</x:v>
      </x:c>
      <x:c r="W61" s="20" t="n">
        <x:f>SUM(P$44:P61)</x:f>
        <x:v>13.700000000000001</x:v>
      </x:c>
      <x:c r="X61" s="2" t="n">
        <x:f>E61+Supuestos!$C$15</x:f>
        <x:v>18</x:v>
      </x:c>
      <x:c r="Y61" s="2" t="n">
        <x:f>F61-G61</x:f>
        <x:v>1</x:v>
      </x:c>
      <x:c r="Z61" s="2" t="str">
        <x:v>simulado_didactico</x:v>
      </x:c>
    </x:row>
    <x:row r="62" ht="19" customHeight="1">
      <x:c r="A62" s="2" t="str">
        <x:v>MP_L8</x:v>
      </x:c>
      <x:c r="B62" s="2" t="str">
        <x:v>MP</x:v>
      </x:c>
      <x:c r="C62" s="2" t="str">
        <x:v>Myzus persicae</x:v>
      </x:c>
      <x:c r="D62" s="2" t="str">
        <x:v>L8</x:v>
      </x:c>
      <x:c r="E62" s="2" t="n">
        <x:v>18</x:v>
      </x:c>
      <x:c r="F62" s="2" t="n">
        <x:f>COUNTA(E2_plantas!A4,E2_plantas!A5,E2_plantas!A16,E2_plantas!A17,E2_plantas!A28,E2_plantas!A29,E2_plantas!A40,E2_plantas!A41,E2_plantas!A52,E2_plantas!A53)</x:f>
        <x:v>10</x:v>
      </x:c>
      <x:c r="G62" s="2" t="n">
        <x:f>SUM(E2_diario!K104,E2_diario!K146,E2_diario!K608,E2_diario!K650,E2_diario!K1112,E2_diario!K1154,E2_diario!K1616,E2_diario!K1658,E2_diario!K2120,E2_diario!K2162)</x:f>
        <x:v>9</x:v>
      </x:c>
      <x:c r="H62" s="2" t="n">
        <x:f>SUM(IF(E2_diario!J104="N1",1,0),IF(E2_diario!J146="N1",1,0),IF(E2_diario!J608="N1",1,0),IF(E2_diario!J650="N1",1,0),IF(E2_diario!J1112="N1",1,0),IF(E2_diario!J1154="N1",1,0),IF(E2_diario!J1616="N1",1,0),IF(E2_diario!J1658="N1",1,0),IF(E2_diario!J2120="N1",1,0),IF(E2_diario!J2162="N1",1,0))</x:f>
        <x:v>0</x:v>
      </x:c>
      <x:c r="I62" s="2" t="n">
        <x:f>SUM(IF(E2_diario!J104="N2",1,0),IF(E2_diario!J146="N2",1,0),IF(E2_diario!J608="N2",1,0),IF(E2_diario!J650="N2",1,0),IF(E2_diario!J1112="N2",1,0),IF(E2_diario!J1154="N2",1,0),IF(E2_diario!J1616="N2",1,0),IF(E2_diario!J1658="N2",1,0),IF(E2_diario!J2120="N2",1,0),IF(E2_diario!J2162="N2",1,0))</x:f>
        <x:v>0</x:v>
      </x:c>
      <x:c r="J62" s="2" t="n">
        <x:f>SUM(IF(E2_diario!J104="N3",1,0),IF(E2_diario!J146="N3",1,0),IF(E2_diario!J608="N3",1,0),IF(E2_diario!J650="N3",1,0),IF(E2_diario!J1112="N3",1,0),IF(E2_diario!J1154="N3",1,0),IF(E2_diario!J1616="N3",1,0),IF(E2_diario!J1658="N3",1,0),IF(E2_diario!J2120="N3",1,0),IF(E2_diario!J2162="N3",1,0))</x:f>
        <x:v>0</x:v>
      </x:c>
      <x:c r="K62" s="2" t="n">
        <x:f>SUM(IF(E2_diario!J104="N4",1,0),IF(E2_diario!J146="N4",1,0),IF(E2_diario!J608="N4",1,0),IF(E2_diario!J650="N4",1,0),IF(E2_diario!J1112="N4",1,0),IF(E2_diario!J1154="N4",1,0),IF(E2_diario!J1616="N4",1,0),IF(E2_diario!J1658="N4",1,0),IF(E2_diario!J2120="N4",1,0),IF(E2_diario!J2162="N4",1,0))</x:f>
        <x:v>0</x:v>
      </x:c>
      <x:c r="L62" s="2" t="n">
        <x:f>SUM(IF(E2_diario!J104="adulta",1,0),IF(E2_diario!J146="adulta",1,0),IF(E2_diario!J608="adulta",1,0),IF(E2_diario!J650="adulta",1,0),IF(E2_diario!J1112="adulta",1,0),IF(E2_diario!J1154="adulta",1,0),IF(E2_diario!J1616="adulta",1,0),IF(E2_diario!J1658="adulta",1,0),IF(E2_diario!J2120="adulta",1,0),IF(E2_diario!J2162="adulta",1,0))</x:f>
        <x:v>9</x:v>
      </x:c>
      <x:c r="M62" s="2" t="n">
        <x:f>SUM(E2_diario!L104,E2_diario!L146,E2_diario!L608,E2_diario!L650,E2_diario!L1112,E2_diario!L1154,E2_diario!L1616,E2_diario!L1658,E2_diario!L2120,E2_diario!L2162)</x:f>
        <x:v>19</x:v>
      </x:c>
      <x:c r="N62" s="20" t="n">
        <x:f>G62/F62</x:f>
        <x:v>0.9</x:v>
      </x:c>
      <x:c r="O62" s="20" t="n">
        <x:f>IF(G62=0,0,M62/G62)</x:f>
        <x:v>2.111111111111111</x:v>
      </x:c>
      <x:c r="P62" s="20" t="n">
        <x:f>N62*O62</x:f>
        <x:v>1.9000000000000001</x:v>
      </x:c>
      <x:c r="Q62" s="20" t="n">
        <x:f>H62/F62</x:f>
        <x:v>0</x:v>
      </x:c>
      <x:c r="R62" s="20" t="n">
        <x:f>I62/F62</x:f>
        <x:v>0</x:v>
      </x:c>
      <x:c r="S62" s="20" t="n">
        <x:f>J62/F62</x:f>
        <x:v>0</x:v>
      </x:c>
      <x:c r="T62" s="20" t="n">
        <x:f>K62/F62</x:f>
        <x:v>0</x:v>
      </x:c>
      <x:c r="U62" s="20" t="n">
        <x:f>L62/F62</x:f>
        <x:v>0.9</x:v>
      </x:c>
      <x:c r="V62" s="20" t="n">
        <x:f>IF(L62=0,0,M62/L62)</x:f>
        <x:v>2.111111111111111</x:v>
      </x:c>
      <x:c r="W62" s="20" t="n">
        <x:f>SUM(P$44:P62)</x:f>
        <x:v>15.600000000000001</x:v>
      </x:c>
      <x:c r="X62" s="2" t="n">
        <x:f>E62+Supuestos!$C$15</x:f>
        <x:v>19</x:v>
      </x:c>
      <x:c r="Y62" s="2" t="n">
        <x:f>F62-G62</x:f>
        <x:v>1</x:v>
      </x:c>
      <x:c r="Z62" s="2" t="str">
        <x:v>simulado_didactico</x:v>
      </x:c>
    </x:row>
    <x:row r="63" ht="19" customHeight="1">
      <x:c r="A63" s="2" t="str">
        <x:v>MP_L8</x:v>
      </x:c>
      <x:c r="B63" s="2" t="str">
        <x:v>MP</x:v>
      </x:c>
      <x:c r="C63" s="2" t="str">
        <x:v>Myzus persicae</x:v>
      </x:c>
      <x:c r="D63" s="2" t="str">
        <x:v>L8</x:v>
      </x:c>
      <x:c r="E63" s="2" t="n">
        <x:v>19</x:v>
      </x:c>
      <x:c r="F63" s="2" t="n">
        <x:f>COUNTA(E2_plantas!A4,E2_plantas!A5,E2_plantas!A16,E2_plantas!A17,E2_plantas!A28,E2_plantas!A29,E2_plantas!A40,E2_plantas!A41,E2_plantas!A52,E2_plantas!A53)</x:f>
        <x:v>10</x:v>
      </x:c>
      <x:c r="G63" s="2" t="n">
        <x:f>SUM(E2_diario!K105,E2_diario!K147,E2_diario!K609,E2_diario!K651,E2_diario!K1113,E2_diario!K1155,E2_diario!K1617,E2_diario!K1659,E2_diario!K2121,E2_diario!K2163)</x:f>
        <x:v>9</x:v>
      </x:c>
      <x:c r="H63" s="2" t="n">
        <x:f>SUM(IF(E2_diario!J105="N1",1,0),IF(E2_diario!J147="N1",1,0),IF(E2_diario!J609="N1",1,0),IF(E2_diario!J651="N1",1,0),IF(E2_diario!J1113="N1",1,0),IF(E2_diario!J1155="N1",1,0),IF(E2_diario!J1617="N1",1,0),IF(E2_diario!J1659="N1",1,0),IF(E2_diario!J2121="N1",1,0),IF(E2_diario!J2163="N1",1,0))</x:f>
        <x:v>0</x:v>
      </x:c>
      <x:c r="I63" s="2" t="n">
        <x:f>SUM(IF(E2_diario!J105="N2",1,0),IF(E2_diario!J147="N2",1,0),IF(E2_diario!J609="N2",1,0),IF(E2_diario!J651="N2",1,0),IF(E2_diario!J1113="N2",1,0),IF(E2_diario!J1155="N2",1,0),IF(E2_diario!J1617="N2",1,0),IF(E2_diario!J1659="N2",1,0),IF(E2_diario!J2121="N2",1,0),IF(E2_diario!J2163="N2",1,0))</x:f>
        <x:v>0</x:v>
      </x:c>
      <x:c r="J63" s="2" t="n">
        <x:f>SUM(IF(E2_diario!J105="N3",1,0),IF(E2_diario!J147="N3",1,0),IF(E2_diario!J609="N3",1,0),IF(E2_diario!J651="N3",1,0),IF(E2_diario!J1113="N3",1,0),IF(E2_diario!J1155="N3",1,0),IF(E2_diario!J1617="N3",1,0),IF(E2_diario!J1659="N3",1,0),IF(E2_diario!J2121="N3",1,0),IF(E2_diario!J2163="N3",1,0))</x:f>
        <x:v>0</x:v>
      </x:c>
      <x:c r="K63" s="2" t="n">
        <x:f>SUM(IF(E2_diario!J105="N4",1,0),IF(E2_diario!J147="N4",1,0),IF(E2_diario!J609="N4",1,0),IF(E2_diario!J651="N4",1,0),IF(E2_diario!J1113="N4",1,0),IF(E2_diario!J1155="N4",1,0),IF(E2_diario!J1617="N4",1,0),IF(E2_diario!J1659="N4",1,0),IF(E2_diario!J2121="N4",1,0),IF(E2_diario!J2163="N4",1,0))</x:f>
        <x:v>0</x:v>
      </x:c>
      <x:c r="L63" s="2" t="n">
        <x:f>SUM(IF(E2_diario!J105="adulta",1,0),IF(E2_diario!J147="adulta",1,0),IF(E2_diario!J609="adulta",1,0),IF(E2_diario!J651="adulta",1,0),IF(E2_diario!J1113="adulta",1,0),IF(E2_diario!J1155="adulta",1,0),IF(E2_diario!J1617="adulta",1,0),IF(E2_diario!J1659="adulta",1,0),IF(E2_diario!J2121="adulta",1,0),IF(E2_diario!J2163="adulta",1,0))</x:f>
        <x:v>9</x:v>
      </x:c>
      <x:c r="M63" s="2" t="n">
        <x:f>SUM(E2_diario!L105,E2_diario!L147,E2_diario!L609,E2_diario!L651,E2_diario!L1113,E2_diario!L1155,E2_diario!L1617,E2_diario!L1659,E2_diario!L2121,E2_diario!L2163)</x:f>
        <x:v>33</x:v>
      </x:c>
      <x:c r="N63" s="20" t="n">
        <x:f>G63/F63</x:f>
        <x:v>0.9</x:v>
      </x:c>
      <x:c r="O63" s="20" t="n">
        <x:f>IF(G63=0,0,M63/G63)</x:f>
        <x:v>3.6666666666666665</x:v>
      </x:c>
      <x:c r="P63" s="20" t="n">
        <x:f>N63*O63</x:f>
        <x:v>3.3</x:v>
      </x:c>
      <x:c r="Q63" s="20" t="n">
        <x:f>H63/F63</x:f>
        <x:v>0</x:v>
      </x:c>
      <x:c r="R63" s="20" t="n">
        <x:f>I63/F63</x:f>
        <x:v>0</x:v>
      </x:c>
      <x:c r="S63" s="20" t="n">
        <x:f>J63/F63</x:f>
        <x:v>0</x:v>
      </x:c>
      <x:c r="T63" s="20" t="n">
        <x:f>K63/F63</x:f>
        <x:v>0</x:v>
      </x:c>
      <x:c r="U63" s="20" t="n">
        <x:f>L63/F63</x:f>
        <x:v>0.9</x:v>
      </x:c>
      <x:c r="V63" s="20" t="n">
        <x:f>IF(L63=0,0,M63/L63)</x:f>
        <x:v>3.6666666666666665</x:v>
      </x:c>
      <x:c r="W63" s="20" t="n">
        <x:f>SUM(P$44:P63)</x:f>
        <x:v>18.900000000000002</x:v>
      </x:c>
      <x:c r="X63" s="2" t="n">
        <x:f>E63+Supuestos!$C$15</x:f>
        <x:v>20</x:v>
      </x:c>
      <x:c r="Y63" s="2" t="n">
        <x:f>F63-G63</x:f>
        <x:v>1</x:v>
      </x:c>
      <x:c r="Z63" s="2" t="str">
        <x:v>simulado_didactico</x:v>
      </x:c>
    </x:row>
    <x:row r="64" ht="19" customHeight="1">
      <x:c r="A64" s="2" t="str">
        <x:v>MP_L8</x:v>
      </x:c>
      <x:c r="B64" s="2" t="str">
        <x:v>MP</x:v>
      </x:c>
      <x:c r="C64" s="2" t="str">
        <x:v>Myzus persicae</x:v>
      </x:c>
      <x:c r="D64" s="2" t="str">
        <x:v>L8</x:v>
      </x:c>
      <x:c r="E64" s="2" t="n">
        <x:v>20</x:v>
      </x:c>
      <x:c r="F64" s="2" t="n">
        <x:f>COUNTA(E2_plantas!A4,E2_plantas!A5,E2_plantas!A16,E2_plantas!A17,E2_plantas!A28,E2_plantas!A29,E2_plantas!A40,E2_plantas!A41,E2_plantas!A52,E2_plantas!A53)</x:f>
        <x:v>10</x:v>
      </x:c>
      <x:c r="G64" s="2" t="n">
        <x:f>SUM(E2_diario!K106,E2_diario!K148,E2_diario!K610,E2_diario!K652,E2_diario!K1114,E2_diario!K1156,E2_diario!K1618,E2_diario!K1660,E2_diario!K2122,E2_diario!K2164)</x:f>
        <x:v>9</x:v>
      </x:c>
      <x:c r="H64" s="2" t="n">
        <x:f>SUM(IF(E2_diario!J106="N1",1,0),IF(E2_diario!J148="N1",1,0),IF(E2_diario!J610="N1",1,0),IF(E2_diario!J652="N1",1,0),IF(E2_diario!J1114="N1",1,0),IF(E2_diario!J1156="N1",1,0),IF(E2_diario!J1618="N1",1,0),IF(E2_diario!J1660="N1",1,0),IF(E2_diario!J2122="N1",1,0),IF(E2_diario!J2164="N1",1,0))</x:f>
        <x:v>0</x:v>
      </x:c>
      <x:c r="I64" s="2" t="n">
        <x:f>SUM(IF(E2_diario!J106="N2",1,0),IF(E2_diario!J148="N2",1,0),IF(E2_diario!J610="N2",1,0),IF(E2_diario!J652="N2",1,0),IF(E2_diario!J1114="N2",1,0),IF(E2_diario!J1156="N2",1,0),IF(E2_diario!J1618="N2",1,0),IF(E2_diario!J1660="N2",1,0),IF(E2_diario!J2122="N2",1,0),IF(E2_diario!J2164="N2",1,0))</x:f>
        <x:v>0</x:v>
      </x:c>
      <x:c r="J64" s="2" t="n">
        <x:f>SUM(IF(E2_diario!J106="N3",1,0),IF(E2_diario!J148="N3",1,0),IF(E2_diario!J610="N3",1,0),IF(E2_diario!J652="N3",1,0),IF(E2_diario!J1114="N3",1,0),IF(E2_diario!J1156="N3",1,0),IF(E2_diario!J1618="N3",1,0),IF(E2_diario!J1660="N3",1,0),IF(E2_diario!J2122="N3",1,0),IF(E2_diario!J2164="N3",1,0))</x:f>
        <x:v>0</x:v>
      </x:c>
      <x:c r="K64" s="2" t="n">
        <x:f>SUM(IF(E2_diario!J106="N4",1,0),IF(E2_diario!J148="N4",1,0),IF(E2_diario!J610="N4",1,0),IF(E2_diario!J652="N4",1,0),IF(E2_diario!J1114="N4",1,0),IF(E2_diario!J1156="N4",1,0),IF(E2_diario!J1618="N4",1,0),IF(E2_diario!J1660="N4",1,0),IF(E2_diario!J2122="N4",1,0),IF(E2_diario!J2164="N4",1,0))</x:f>
        <x:v>0</x:v>
      </x:c>
      <x:c r="L64" s="2" t="n">
        <x:f>SUM(IF(E2_diario!J106="adulta",1,0),IF(E2_diario!J148="adulta",1,0),IF(E2_diario!J610="adulta",1,0),IF(E2_diario!J652="adulta",1,0),IF(E2_diario!J1114="adulta",1,0),IF(E2_diario!J1156="adulta",1,0),IF(E2_diario!J1618="adulta",1,0),IF(E2_diario!J1660="adulta",1,0),IF(E2_diario!J2122="adulta",1,0),IF(E2_diario!J2164="adulta",1,0))</x:f>
        <x:v>9</x:v>
      </x:c>
      <x:c r="M64" s="2" t="n">
        <x:f>SUM(E2_diario!L106,E2_diario!L148,E2_diario!L610,E2_diario!L652,E2_diario!L1114,E2_diario!L1156,E2_diario!L1618,E2_diario!L1660,E2_diario!L2122,E2_diario!L2164)</x:f>
        <x:v>24</x:v>
      </x:c>
      <x:c r="N64" s="20" t="n">
        <x:f>G64/F64</x:f>
        <x:v>0.9</x:v>
      </x:c>
      <x:c r="O64" s="20" t="n">
        <x:f>IF(G64=0,0,M64/G64)</x:f>
        <x:v>2.6666666666666665</x:v>
      </x:c>
      <x:c r="P64" s="20" t="n">
        <x:f>N64*O64</x:f>
        <x:v>2.4</x:v>
      </x:c>
      <x:c r="Q64" s="20" t="n">
        <x:f>H64/F64</x:f>
        <x:v>0</x:v>
      </x:c>
      <x:c r="R64" s="20" t="n">
        <x:f>I64/F64</x:f>
        <x:v>0</x:v>
      </x:c>
      <x:c r="S64" s="20" t="n">
        <x:f>J64/F64</x:f>
        <x:v>0</x:v>
      </x:c>
      <x:c r="T64" s="20" t="n">
        <x:f>K64/F64</x:f>
        <x:v>0</x:v>
      </x:c>
      <x:c r="U64" s="20" t="n">
        <x:f>L64/F64</x:f>
        <x:v>0.9</x:v>
      </x:c>
      <x:c r="V64" s="20" t="n">
        <x:f>IF(L64=0,0,M64/L64)</x:f>
        <x:v>2.6666666666666665</x:v>
      </x:c>
      <x:c r="W64" s="20" t="n">
        <x:f>SUM(P$44:P64)</x:f>
        <x:v>21.3</x:v>
      </x:c>
      <x:c r="X64" s="2" t="n">
        <x:f>E64+Supuestos!$C$15</x:f>
        <x:v>21</x:v>
      </x:c>
      <x:c r="Y64" s="2" t="n">
        <x:f>F64-G64</x:f>
        <x:v>1</x:v>
      </x:c>
      <x:c r="Z64" s="2" t="str">
        <x:v>simulado_didactico</x:v>
      </x:c>
    </x:row>
    <x:row r="65" ht="19" customHeight="1">
      <x:c r="A65" s="2" t="str">
        <x:v>MP_L8</x:v>
      </x:c>
      <x:c r="B65" s="2" t="str">
        <x:v>MP</x:v>
      </x:c>
      <x:c r="C65" s="2" t="str">
        <x:v>Myzus persicae</x:v>
      </x:c>
      <x:c r="D65" s="2" t="str">
        <x:v>L8</x:v>
      </x:c>
      <x:c r="E65" s="2" t="n">
        <x:v>21</x:v>
      </x:c>
      <x:c r="F65" s="2" t="n">
        <x:f>COUNTA(E2_plantas!A4,E2_plantas!A5,E2_plantas!A16,E2_plantas!A17,E2_plantas!A28,E2_plantas!A29,E2_plantas!A40,E2_plantas!A41,E2_plantas!A52,E2_plantas!A53)</x:f>
        <x:v>10</x:v>
      </x:c>
      <x:c r="G65" s="2" t="n">
        <x:f>SUM(E2_diario!K107,E2_diario!K149,E2_diario!K611,E2_diario!K653,E2_diario!K1115,E2_diario!K1157,E2_diario!K1619,E2_diario!K1661,E2_diario!K2123,E2_diario!K2165)</x:f>
        <x:v>9</x:v>
      </x:c>
      <x:c r="H65" s="2" t="n">
        <x:f>SUM(IF(E2_diario!J107="N1",1,0),IF(E2_diario!J149="N1",1,0),IF(E2_diario!J611="N1",1,0),IF(E2_diario!J653="N1",1,0),IF(E2_diario!J1115="N1",1,0),IF(E2_diario!J1157="N1",1,0),IF(E2_diario!J1619="N1",1,0),IF(E2_diario!J1661="N1",1,0),IF(E2_diario!J2123="N1",1,0),IF(E2_diario!J2165="N1",1,0))</x:f>
        <x:v>0</x:v>
      </x:c>
      <x:c r="I65" s="2" t="n">
        <x:f>SUM(IF(E2_diario!J107="N2",1,0),IF(E2_diario!J149="N2",1,0),IF(E2_diario!J611="N2",1,0),IF(E2_diario!J653="N2",1,0),IF(E2_diario!J1115="N2",1,0),IF(E2_diario!J1157="N2",1,0),IF(E2_diario!J1619="N2",1,0),IF(E2_diario!J1661="N2",1,0),IF(E2_diario!J2123="N2",1,0),IF(E2_diario!J2165="N2",1,0))</x:f>
        <x:v>0</x:v>
      </x:c>
      <x:c r="J65" s="2" t="n">
        <x:f>SUM(IF(E2_diario!J107="N3",1,0),IF(E2_diario!J149="N3",1,0),IF(E2_diario!J611="N3",1,0),IF(E2_diario!J653="N3",1,0),IF(E2_diario!J1115="N3",1,0),IF(E2_diario!J1157="N3",1,0),IF(E2_diario!J1619="N3",1,0),IF(E2_diario!J1661="N3",1,0),IF(E2_diario!J2123="N3",1,0),IF(E2_diario!J2165="N3",1,0))</x:f>
        <x:v>0</x:v>
      </x:c>
      <x:c r="K65" s="2" t="n">
        <x:f>SUM(IF(E2_diario!J107="N4",1,0),IF(E2_diario!J149="N4",1,0),IF(E2_diario!J611="N4",1,0),IF(E2_diario!J653="N4",1,0),IF(E2_diario!J1115="N4",1,0),IF(E2_diario!J1157="N4",1,0),IF(E2_diario!J1619="N4",1,0),IF(E2_diario!J1661="N4",1,0),IF(E2_diario!J2123="N4",1,0),IF(E2_diario!J2165="N4",1,0))</x:f>
        <x:v>0</x:v>
      </x:c>
      <x:c r="L65" s="2" t="n">
        <x:f>SUM(IF(E2_diario!J107="adulta",1,0),IF(E2_diario!J149="adulta",1,0),IF(E2_diario!J611="adulta",1,0),IF(E2_diario!J653="adulta",1,0),IF(E2_diario!J1115="adulta",1,0),IF(E2_diario!J1157="adulta",1,0),IF(E2_diario!J1619="adulta",1,0),IF(E2_diario!J1661="adulta",1,0),IF(E2_diario!J2123="adulta",1,0),IF(E2_diario!J2165="adulta",1,0))</x:f>
        <x:v>9</x:v>
      </x:c>
      <x:c r="M65" s="2" t="n">
        <x:f>SUM(E2_diario!L107,E2_diario!L149,E2_diario!L611,E2_diario!L653,E2_diario!L1115,E2_diario!L1157,E2_diario!L1619,E2_diario!L1661,E2_diario!L2123,E2_diario!L2165)</x:f>
        <x:v>20</x:v>
      </x:c>
      <x:c r="N65" s="20" t="n">
        <x:f>G65/F65</x:f>
        <x:v>0.9</x:v>
      </x:c>
      <x:c r="O65" s="20" t="n">
        <x:f>IF(G65=0,0,M65/G65)</x:f>
        <x:v>2.2222222222222223</x:v>
      </x:c>
      <x:c r="P65" s="20" t="n">
        <x:f>N65*O65</x:f>
        <x:v>2</x:v>
      </x:c>
      <x:c r="Q65" s="20" t="n">
        <x:f>H65/F65</x:f>
        <x:v>0</x:v>
      </x:c>
      <x:c r="R65" s="20" t="n">
        <x:f>I65/F65</x:f>
        <x:v>0</x:v>
      </x:c>
      <x:c r="S65" s="20" t="n">
        <x:f>J65/F65</x:f>
        <x:v>0</x:v>
      </x:c>
      <x:c r="T65" s="20" t="n">
        <x:f>K65/F65</x:f>
        <x:v>0</x:v>
      </x:c>
      <x:c r="U65" s="20" t="n">
        <x:f>L65/F65</x:f>
        <x:v>0.9</x:v>
      </x:c>
      <x:c r="V65" s="20" t="n">
        <x:f>IF(L65=0,0,M65/L65)</x:f>
        <x:v>2.2222222222222223</x:v>
      </x:c>
      <x:c r="W65" s="20" t="n">
        <x:f>SUM(P$44:P65)</x:f>
        <x:v>23.3</x:v>
      </x:c>
      <x:c r="X65" s="2" t="n">
        <x:f>E65+Supuestos!$C$15</x:f>
        <x:v>22</x:v>
      </x:c>
      <x:c r="Y65" s="2" t="n">
        <x:f>F65-G65</x:f>
        <x:v>1</x:v>
      </x:c>
      <x:c r="Z65" s="2" t="str">
        <x:v>simulado_didactico</x:v>
      </x:c>
    </x:row>
    <x:row r="66" ht="19" customHeight="1">
      <x:c r="A66" s="2" t="str">
        <x:v>MP_L8</x:v>
      </x:c>
      <x:c r="B66" s="2" t="str">
        <x:v>MP</x:v>
      </x:c>
      <x:c r="C66" s="2" t="str">
        <x:v>Myzus persicae</x:v>
      </x:c>
      <x:c r="D66" s="2" t="str">
        <x:v>L8</x:v>
      </x:c>
      <x:c r="E66" s="2" t="n">
        <x:v>22</x:v>
      </x:c>
      <x:c r="F66" s="2" t="n">
        <x:f>COUNTA(E2_plantas!A4,E2_plantas!A5,E2_plantas!A16,E2_plantas!A17,E2_plantas!A28,E2_plantas!A29,E2_plantas!A40,E2_plantas!A41,E2_plantas!A52,E2_plantas!A53)</x:f>
        <x:v>10</x:v>
      </x:c>
      <x:c r="G66" s="2" t="n">
        <x:f>SUM(E2_diario!K108,E2_diario!K150,E2_diario!K612,E2_diario!K654,E2_diario!K1116,E2_diario!K1158,E2_diario!K1620,E2_diario!K1662,E2_diario!K2124,E2_diario!K2166)</x:f>
        <x:v>8</x:v>
      </x:c>
      <x:c r="H66" s="2" t="n">
        <x:f>SUM(IF(E2_diario!J108="N1",1,0),IF(E2_diario!J150="N1",1,0),IF(E2_diario!J612="N1",1,0),IF(E2_diario!J654="N1",1,0),IF(E2_diario!J1116="N1",1,0),IF(E2_diario!J1158="N1",1,0),IF(E2_diario!J1620="N1",1,0),IF(E2_diario!J1662="N1",1,0),IF(E2_diario!J2124="N1",1,0),IF(E2_diario!J2166="N1",1,0))</x:f>
        <x:v>0</x:v>
      </x:c>
      <x:c r="I66" s="2" t="n">
        <x:f>SUM(IF(E2_diario!J108="N2",1,0),IF(E2_diario!J150="N2",1,0),IF(E2_diario!J612="N2",1,0),IF(E2_diario!J654="N2",1,0),IF(E2_diario!J1116="N2",1,0),IF(E2_diario!J1158="N2",1,0),IF(E2_diario!J1620="N2",1,0),IF(E2_diario!J1662="N2",1,0),IF(E2_diario!J2124="N2",1,0),IF(E2_diario!J2166="N2",1,0))</x:f>
        <x:v>0</x:v>
      </x:c>
      <x:c r="J66" s="2" t="n">
        <x:f>SUM(IF(E2_diario!J108="N3",1,0),IF(E2_diario!J150="N3",1,0),IF(E2_diario!J612="N3",1,0),IF(E2_diario!J654="N3",1,0),IF(E2_diario!J1116="N3",1,0),IF(E2_diario!J1158="N3",1,0),IF(E2_diario!J1620="N3",1,0),IF(E2_diario!J1662="N3",1,0),IF(E2_diario!J2124="N3",1,0),IF(E2_diario!J2166="N3",1,0))</x:f>
        <x:v>0</x:v>
      </x:c>
      <x:c r="K66" s="2" t="n">
        <x:f>SUM(IF(E2_diario!J108="N4",1,0),IF(E2_diario!J150="N4",1,0),IF(E2_diario!J612="N4",1,0),IF(E2_diario!J654="N4",1,0),IF(E2_diario!J1116="N4",1,0),IF(E2_diario!J1158="N4",1,0),IF(E2_diario!J1620="N4",1,0),IF(E2_diario!J1662="N4",1,0),IF(E2_diario!J2124="N4",1,0),IF(E2_diario!J2166="N4",1,0))</x:f>
        <x:v>0</x:v>
      </x:c>
      <x:c r="L66" s="2" t="n">
        <x:f>SUM(IF(E2_diario!J108="adulta",1,0),IF(E2_diario!J150="adulta",1,0),IF(E2_diario!J612="adulta",1,0),IF(E2_diario!J654="adulta",1,0),IF(E2_diario!J1116="adulta",1,0),IF(E2_diario!J1158="adulta",1,0),IF(E2_diario!J1620="adulta",1,0),IF(E2_diario!J1662="adulta",1,0),IF(E2_diario!J2124="adulta",1,0),IF(E2_diario!J2166="adulta",1,0))</x:f>
        <x:v>8</x:v>
      </x:c>
      <x:c r="M66" s="2" t="n">
        <x:f>SUM(E2_diario!L108,E2_diario!L150,E2_diario!L612,E2_diario!L654,E2_diario!L1116,E2_diario!L1158,E2_diario!L1620,E2_diario!L1662,E2_diario!L2124,E2_diario!L2166)</x:f>
        <x:v>10</x:v>
      </x:c>
      <x:c r="N66" s="20" t="n">
        <x:f>G66/F66</x:f>
        <x:v>0.8</x:v>
      </x:c>
      <x:c r="O66" s="20" t="n">
        <x:f>IF(G66=0,0,M66/G66)</x:f>
        <x:v>1.25</x:v>
      </x:c>
      <x:c r="P66" s="20" t="n">
        <x:f>N66*O66</x:f>
        <x:v>1</x:v>
      </x:c>
      <x:c r="Q66" s="20" t="n">
        <x:f>H66/F66</x:f>
        <x:v>0</x:v>
      </x:c>
      <x:c r="R66" s="20" t="n">
        <x:f>I66/F66</x:f>
        <x:v>0</x:v>
      </x:c>
      <x:c r="S66" s="20" t="n">
        <x:f>J66/F66</x:f>
        <x:v>0</x:v>
      </x:c>
      <x:c r="T66" s="20" t="n">
        <x:f>K66/F66</x:f>
        <x:v>0</x:v>
      </x:c>
      <x:c r="U66" s="20" t="n">
        <x:f>L66/F66</x:f>
        <x:v>0.8</x:v>
      </x:c>
      <x:c r="V66" s="20" t="n">
        <x:f>IF(L66=0,0,M66/L66)</x:f>
        <x:v>1.25</x:v>
      </x:c>
      <x:c r="W66" s="20" t="n">
        <x:f>SUM(P$44:P66)</x:f>
        <x:v>24.3</x:v>
      </x:c>
      <x:c r="X66" s="2" t="n">
        <x:f>E66+Supuestos!$C$15</x:f>
        <x:v>23</x:v>
      </x:c>
      <x:c r="Y66" s="2" t="n">
        <x:f>F66-G66</x:f>
        <x:v>2</x:v>
      </x:c>
      <x:c r="Z66" s="2" t="str">
        <x:v>simulado_didactico</x:v>
      </x:c>
    </x:row>
    <x:row r="67" ht="19" customHeight="1">
      <x:c r="A67" s="2" t="str">
        <x:v>MP_L8</x:v>
      </x:c>
      <x:c r="B67" s="2" t="str">
        <x:v>MP</x:v>
      </x:c>
      <x:c r="C67" s="2" t="str">
        <x:v>Myzus persicae</x:v>
      </x:c>
      <x:c r="D67" s="2" t="str">
        <x:v>L8</x:v>
      </x:c>
      <x:c r="E67" s="2" t="n">
        <x:v>23</x:v>
      </x:c>
      <x:c r="F67" s="2" t="n">
        <x:f>COUNTA(E2_plantas!A4,E2_plantas!A5,E2_plantas!A16,E2_plantas!A17,E2_plantas!A28,E2_plantas!A29,E2_plantas!A40,E2_plantas!A41,E2_plantas!A52,E2_plantas!A53)</x:f>
        <x:v>10</x:v>
      </x:c>
      <x:c r="G67" s="2" t="n">
        <x:f>SUM(E2_diario!K109,E2_diario!K151,E2_diario!K613,E2_diario!K655,E2_diario!K1117,E2_diario!K1159,E2_diario!K1621,E2_diario!K1663,E2_diario!K2125,E2_diario!K2167)</x:f>
        <x:v>7</x:v>
      </x:c>
      <x:c r="H67" s="2" t="n">
        <x:f>SUM(IF(E2_diario!J109="N1",1,0),IF(E2_diario!J151="N1",1,0),IF(E2_diario!J613="N1",1,0),IF(E2_diario!J655="N1",1,0),IF(E2_diario!J1117="N1",1,0),IF(E2_diario!J1159="N1",1,0),IF(E2_diario!J1621="N1",1,0),IF(E2_diario!J1663="N1",1,0),IF(E2_diario!J2125="N1",1,0),IF(E2_diario!J2167="N1",1,0))</x:f>
        <x:v>0</x:v>
      </x:c>
      <x:c r="I67" s="2" t="n">
        <x:f>SUM(IF(E2_diario!J109="N2",1,0),IF(E2_diario!J151="N2",1,0),IF(E2_diario!J613="N2",1,0),IF(E2_diario!J655="N2",1,0),IF(E2_diario!J1117="N2",1,0),IF(E2_diario!J1159="N2",1,0),IF(E2_diario!J1621="N2",1,0),IF(E2_diario!J1663="N2",1,0),IF(E2_diario!J2125="N2",1,0),IF(E2_diario!J2167="N2",1,0))</x:f>
        <x:v>0</x:v>
      </x:c>
      <x:c r="J67" s="2" t="n">
        <x:f>SUM(IF(E2_diario!J109="N3",1,0),IF(E2_diario!J151="N3",1,0),IF(E2_diario!J613="N3",1,0),IF(E2_diario!J655="N3",1,0),IF(E2_diario!J1117="N3",1,0),IF(E2_diario!J1159="N3",1,0),IF(E2_diario!J1621="N3",1,0),IF(E2_diario!J1663="N3",1,0),IF(E2_diario!J2125="N3",1,0),IF(E2_diario!J2167="N3",1,0))</x:f>
        <x:v>0</x:v>
      </x:c>
      <x:c r="K67" s="2" t="n">
        <x:f>SUM(IF(E2_diario!J109="N4",1,0),IF(E2_diario!J151="N4",1,0),IF(E2_diario!J613="N4",1,0),IF(E2_diario!J655="N4",1,0),IF(E2_diario!J1117="N4",1,0),IF(E2_diario!J1159="N4",1,0),IF(E2_diario!J1621="N4",1,0),IF(E2_diario!J1663="N4",1,0),IF(E2_diario!J2125="N4",1,0),IF(E2_diario!J2167="N4",1,0))</x:f>
        <x:v>0</x:v>
      </x:c>
      <x:c r="L67" s="2" t="n">
        <x:f>SUM(IF(E2_diario!J109="adulta",1,0),IF(E2_diario!J151="adulta",1,0),IF(E2_diario!J613="adulta",1,0),IF(E2_diario!J655="adulta",1,0),IF(E2_diario!J1117="adulta",1,0),IF(E2_diario!J1159="adulta",1,0),IF(E2_diario!J1621="adulta",1,0),IF(E2_diario!J1663="adulta",1,0),IF(E2_diario!J2125="adulta",1,0),IF(E2_diario!J2167="adulta",1,0))</x:f>
        <x:v>7</x:v>
      </x:c>
      <x:c r="M67" s="2" t="n">
        <x:f>SUM(E2_diario!L109,E2_diario!L151,E2_diario!L613,E2_diario!L655,E2_diario!L1117,E2_diario!L1159,E2_diario!L1621,E2_diario!L1663,E2_diario!L2125,E2_diario!L2167)</x:f>
        <x:v>13</x:v>
      </x:c>
      <x:c r="N67" s="20" t="n">
        <x:f>G67/F67</x:f>
        <x:v>0.7</x:v>
      </x:c>
      <x:c r="O67" s="20" t="n">
        <x:f>IF(G67=0,0,M67/G67)</x:f>
        <x:v>1.8571428571428572</x:v>
      </x:c>
      <x:c r="P67" s="20" t="n">
        <x:f>N67*O67</x:f>
        <x:v>1.3</x:v>
      </x:c>
      <x:c r="Q67" s="20" t="n">
        <x:f>H67/F67</x:f>
        <x:v>0</x:v>
      </x:c>
      <x:c r="R67" s="20" t="n">
        <x:f>I67/F67</x:f>
        <x:v>0</x:v>
      </x:c>
      <x:c r="S67" s="20" t="n">
        <x:f>J67/F67</x:f>
        <x:v>0</x:v>
      </x:c>
      <x:c r="T67" s="20" t="n">
        <x:f>K67/F67</x:f>
        <x:v>0</x:v>
      </x:c>
      <x:c r="U67" s="20" t="n">
        <x:f>L67/F67</x:f>
        <x:v>0.7</x:v>
      </x:c>
      <x:c r="V67" s="20" t="n">
        <x:f>IF(L67=0,0,M67/L67)</x:f>
        <x:v>1.8571428571428572</x:v>
      </x:c>
      <x:c r="W67" s="20" t="n">
        <x:f>SUM(P$44:P67)</x:f>
        <x:v>25.6</x:v>
      </x:c>
      <x:c r="X67" s="2" t="n">
        <x:f>E67+Supuestos!$C$15</x:f>
        <x:v>24</x:v>
      </x:c>
      <x:c r="Y67" s="2" t="n">
        <x:f>F67-G67</x:f>
        <x:v>3</x:v>
      </x:c>
      <x:c r="Z67" s="2" t="str">
        <x:v>simulado_didactico</x:v>
      </x:c>
    </x:row>
    <x:row r="68" ht="19" customHeight="1">
      <x:c r="A68" s="2" t="str">
        <x:v>MP_L8</x:v>
      </x:c>
      <x:c r="B68" s="2" t="str">
        <x:v>MP</x:v>
      </x:c>
      <x:c r="C68" s="2" t="str">
        <x:v>Myzus persicae</x:v>
      </x:c>
      <x:c r="D68" s="2" t="str">
        <x:v>L8</x:v>
      </x:c>
      <x:c r="E68" s="2" t="n">
        <x:v>24</x:v>
      </x:c>
      <x:c r="F68" s="2" t="n">
        <x:f>COUNTA(E2_plantas!A4,E2_plantas!A5,E2_plantas!A16,E2_plantas!A17,E2_plantas!A28,E2_plantas!A29,E2_plantas!A40,E2_plantas!A41,E2_plantas!A52,E2_plantas!A53)</x:f>
        <x:v>10</x:v>
      </x:c>
      <x:c r="G68" s="2" t="n">
        <x:f>SUM(E2_diario!K110,E2_diario!K152,E2_diario!K614,E2_diario!K656,E2_diario!K1118,E2_diario!K1160,E2_diario!K1622,E2_diario!K1664,E2_diario!K2126,E2_diario!K2168)</x:f>
        <x:v>7</x:v>
      </x:c>
      <x:c r="H68" s="2" t="n">
        <x:f>SUM(IF(E2_diario!J110="N1",1,0),IF(E2_diario!J152="N1",1,0),IF(E2_diario!J614="N1",1,0),IF(E2_diario!J656="N1",1,0),IF(E2_diario!J1118="N1",1,0),IF(E2_diario!J1160="N1",1,0),IF(E2_diario!J1622="N1",1,0),IF(E2_diario!J1664="N1",1,0),IF(E2_diario!J2126="N1",1,0),IF(E2_diario!J2168="N1",1,0))</x:f>
        <x:v>0</x:v>
      </x:c>
      <x:c r="I68" s="2" t="n">
        <x:f>SUM(IF(E2_diario!J110="N2",1,0),IF(E2_diario!J152="N2",1,0),IF(E2_diario!J614="N2",1,0),IF(E2_diario!J656="N2",1,0),IF(E2_diario!J1118="N2",1,0),IF(E2_diario!J1160="N2",1,0),IF(E2_diario!J1622="N2",1,0),IF(E2_diario!J1664="N2",1,0),IF(E2_diario!J2126="N2",1,0),IF(E2_diario!J2168="N2",1,0))</x:f>
        <x:v>0</x:v>
      </x:c>
      <x:c r="J68" s="2" t="n">
        <x:f>SUM(IF(E2_diario!J110="N3",1,0),IF(E2_diario!J152="N3",1,0),IF(E2_diario!J614="N3",1,0),IF(E2_diario!J656="N3",1,0),IF(E2_diario!J1118="N3",1,0),IF(E2_diario!J1160="N3",1,0),IF(E2_diario!J1622="N3",1,0),IF(E2_diario!J1664="N3",1,0),IF(E2_diario!J2126="N3",1,0),IF(E2_diario!J2168="N3",1,0))</x:f>
        <x:v>0</x:v>
      </x:c>
      <x:c r="K68" s="2" t="n">
        <x:f>SUM(IF(E2_diario!J110="N4",1,0),IF(E2_diario!J152="N4",1,0),IF(E2_diario!J614="N4",1,0),IF(E2_diario!J656="N4",1,0),IF(E2_diario!J1118="N4",1,0),IF(E2_diario!J1160="N4",1,0),IF(E2_diario!J1622="N4",1,0),IF(E2_diario!J1664="N4",1,0),IF(E2_diario!J2126="N4",1,0),IF(E2_diario!J2168="N4",1,0))</x:f>
        <x:v>0</x:v>
      </x:c>
      <x:c r="L68" s="2" t="n">
        <x:f>SUM(IF(E2_diario!J110="adulta",1,0),IF(E2_diario!J152="adulta",1,0),IF(E2_diario!J614="adulta",1,0),IF(E2_diario!J656="adulta",1,0),IF(E2_diario!J1118="adulta",1,0),IF(E2_diario!J1160="adulta",1,0),IF(E2_diario!J1622="adulta",1,0),IF(E2_diario!J1664="adulta",1,0),IF(E2_diario!J2126="adulta",1,0),IF(E2_diario!J2168="adulta",1,0))</x:f>
        <x:v>7</x:v>
      </x:c>
      <x:c r="M68" s="2" t="n">
        <x:f>SUM(E2_diario!L110,E2_diario!L152,E2_diario!L614,E2_diario!L656,E2_diario!L1118,E2_diario!L1160,E2_diario!L1622,E2_diario!L1664,E2_diario!L2126,E2_diario!L2168)</x:f>
        <x:v>13</x:v>
      </x:c>
      <x:c r="N68" s="20" t="n">
        <x:f>G68/F68</x:f>
        <x:v>0.7</x:v>
      </x:c>
      <x:c r="O68" s="20" t="n">
        <x:f>IF(G68=0,0,M68/G68)</x:f>
        <x:v>1.8571428571428572</x:v>
      </x:c>
      <x:c r="P68" s="20" t="n">
        <x:f>N68*O68</x:f>
        <x:v>1.3</x:v>
      </x:c>
      <x:c r="Q68" s="20" t="n">
        <x:f>H68/F68</x:f>
        <x:v>0</x:v>
      </x:c>
      <x:c r="R68" s="20" t="n">
        <x:f>I68/F68</x:f>
        <x:v>0</x:v>
      </x:c>
      <x:c r="S68" s="20" t="n">
        <x:f>J68/F68</x:f>
        <x:v>0</x:v>
      </x:c>
      <x:c r="T68" s="20" t="n">
        <x:f>K68/F68</x:f>
        <x:v>0</x:v>
      </x:c>
      <x:c r="U68" s="20" t="n">
        <x:f>L68/F68</x:f>
        <x:v>0.7</x:v>
      </x:c>
      <x:c r="V68" s="20" t="n">
        <x:f>IF(L68=0,0,M68/L68)</x:f>
        <x:v>1.8571428571428572</x:v>
      </x:c>
      <x:c r="W68" s="20" t="n">
        <x:f>SUM(P$44:P68)</x:f>
        <x:v>26.900000000000002</x:v>
      </x:c>
      <x:c r="X68" s="2" t="n">
        <x:f>E68+Supuestos!$C$15</x:f>
        <x:v>25</x:v>
      </x:c>
      <x:c r="Y68" s="2" t="n">
        <x:f>F68-G68</x:f>
        <x:v>3</x:v>
      </x:c>
      <x:c r="Z68" s="2" t="str">
        <x:v>simulado_didactico</x:v>
      </x:c>
    </x:row>
    <x:row r="69" ht="19" customHeight="1">
      <x:c r="A69" s="2" t="str">
        <x:v>MP_L8</x:v>
      </x:c>
      <x:c r="B69" s="2" t="str">
        <x:v>MP</x:v>
      </x:c>
      <x:c r="C69" s="2" t="str">
        <x:v>Myzus persicae</x:v>
      </x:c>
      <x:c r="D69" s="2" t="str">
        <x:v>L8</x:v>
      </x:c>
      <x:c r="E69" s="2" t="n">
        <x:v>25</x:v>
      </x:c>
      <x:c r="F69" s="2" t="n">
        <x:f>COUNTA(E2_plantas!A4,E2_plantas!A5,E2_plantas!A16,E2_plantas!A17,E2_plantas!A28,E2_plantas!A29,E2_plantas!A40,E2_plantas!A41,E2_plantas!A52,E2_plantas!A53)</x:f>
        <x:v>10</x:v>
      </x:c>
      <x:c r="G69" s="2" t="n">
        <x:f>SUM(E2_diario!K111,E2_diario!K153,E2_diario!K615,E2_diario!K657,E2_diario!K1119,E2_diario!K1161,E2_diario!K1623,E2_diario!K1665,E2_diario!K2127,E2_diario!K2169)</x:f>
        <x:v>5</x:v>
      </x:c>
      <x:c r="H69" s="2" t="n">
        <x:f>SUM(IF(E2_diario!J111="N1",1,0),IF(E2_diario!J153="N1",1,0),IF(E2_diario!J615="N1",1,0),IF(E2_diario!J657="N1",1,0),IF(E2_diario!J1119="N1",1,0),IF(E2_diario!J1161="N1",1,0),IF(E2_diario!J1623="N1",1,0),IF(E2_diario!J1665="N1",1,0),IF(E2_diario!J2127="N1",1,0),IF(E2_diario!J2169="N1",1,0))</x:f>
        <x:v>0</x:v>
      </x:c>
      <x:c r="I69" s="2" t="n">
        <x:f>SUM(IF(E2_diario!J111="N2",1,0),IF(E2_diario!J153="N2",1,0),IF(E2_diario!J615="N2",1,0),IF(E2_diario!J657="N2",1,0),IF(E2_diario!J1119="N2",1,0),IF(E2_diario!J1161="N2",1,0),IF(E2_diario!J1623="N2",1,0),IF(E2_diario!J1665="N2",1,0),IF(E2_diario!J2127="N2",1,0),IF(E2_diario!J2169="N2",1,0))</x:f>
        <x:v>0</x:v>
      </x:c>
      <x:c r="J69" s="2" t="n">
        <x:f>SUM(IF(E2_diario!J111="N3",1,0),IF(E2_diario!J153="N3",1,0),IF(E2_diario!J615="N3",1,0),IF(E2_diario!J657="N3",1,0),IF(E2_diario!J1119="N3",1,0),IF(E2_diario!J1161="N3",1,0),IF(E2_diario!J1623="N3",1,0),IF(E2_diario!J1665="N3",1,0),IF(E2_diario!J2127="N3",1,0),IF(E2_diario!J2169="N3",1,0))</x:f>
        <x:v>0</x:v>
      </x:c>
      <x:c r="K69" s="2" t="n">
        <x:f>SUM(IF(E2_diario!J111="N4",1,0),IF(E2_diario!J153="N4",1,0),IF(E2_diario!J615="N4",1,0),IF(E2_diario!J657="N4",1,0),IF(E2_diario!J1119="N4",1,0),IF(E2_diario!J1161="N4",1,0),IF(E2_diario!J1623="N4",1,0),IF(E2_diario!J1665="N4",1,0),IF(E2_diario!J2127="N4",1,0),IF(E2_diario!J2169="N4",1,0))</x:f>
        <x:v>0</x:v>
      </x:c>
      <x:c r="L69" s="2" t="n">
        <x:f>SUM(IF(E2_diario!J111="adulta",1,0),IF(E2_diario!J153="adulta",1,0),IF(E2_diario!J615="adulta",1,0),IF(E2_diario!J657="adulta",1,0),IF(E2_diario!J1119="adulta",1,0),IF(E2_diario!J1161="adulta",1,0),IF(E2_diario!J1623="adulta",1,0),IF(E2_diario!J1665="adulta",1,0),IF(E2_diario!J2127="adulta",1,0),IF(E2_diario!J2169="adulta",1,0))</x:f>
        <x:v>5</x:v>
      </x:c>
      <x:c r="M69" s="2" t="n">
        <x:f>SUM(E2_diario!L111,E2_diario!L153,E2_diario!L615,E2_diario!L657,E2_diario!L1119,E2_diario!L1161,E2_diario!L1623,E2_diario!L1665,E2_diario!L2127,E2_diario!L2169)</x:f>
        <x:v>8</x:v>
      </x:c>
      <x:c r="N69" s="20" t="n">
        <x:f>G69/F69</x:f>
        <x:v>0.5</x:v>
      </x:c>
      <x:c r="O69" s="20" t="n">
        <x:f>IF(G69=0,0,M69/G69)</x:f>
        <x:v>1.6</x:v>
      </x:c>
      <x:c r="P69" s="20" t="n">
        <x:f>N69*O69</x:f>
        <x:v>0.8</x:v>
      </x:c>
      <x:c r="Q69" s="20" t="n">
        <x:f>H69/F69</x:f>
        <x:v>0</x:v>
      </x:c>
      <x:c r="R69" s="20" t="n">
        <x:f>I69/F69</x:f>
        <x:v>0</x:v>
      </x:c>
      <x:c r="S69" s="20" t="n">
        <x:f>J69/F69</x:f>
        <x:v>0</x:v>
      </x:c>
      <x:c r="T69" s="20" t="n">
        <x:f>K69/F69</x:f>
        <x:v>0</x:v>
      </x:c>
      <x:c r="U69" s="20" t="n">
        <x:f>L69/F69</x:f>
        <x:v>0.5</x:v>
      </x:c>
      <x:c r="V69" s="20" t="n">
        <x:f>IF(L69=0,0,M69/L69)</x:f>
        <x:v>1.6</x:v>
      </x:c>
      <x:c r="W69" s="20" t="n">
        <x:f>SUM(P$44:P69)</x:f>
        <x:v>27.700000000000003</x:v>
      </x:c>
      <x:c r="X69" s="2" t="n">
        <x:f>E69+Supuestos!$C$15</x:f>
        <x:v>26</x:v>
      </x:c>
      <x:c r="Y69" s="2" t="n">
        <x:f>F69-G69</x:f>
        <x:v>5</x:v>
      </x:c>
      <x:c r="Z69" s="2" t="str">
        <x:v>simulado_didactico</x:v>
      </x:c>
    </x:row>
    <x:row r="70" ht="19" customHeight="1">
      <x:c r="A70" s="2" t="str">
        <x:v>MP_L8</x:v>
      </x:c>
      <x:c r="B70" s="2" t="str">
        <x:v>MP</x:v>
      </x:c>
      <x:c r="C70" s="2" t="str">
        <x:v>Myzus persicae</x:v>
      </x:c>
      <x:c r="D70" s="2" t="str">
        <x:v>L8</x:v>
      </x:c>
      <x:c r="E70" s="2" t="n">
        <x:v>26</x:v>
      </x:c>
      <x:c r="F70" s="2" t="n">
        <x:f>COUNTA(E2_plantas!A4,E2_plantas!A5,E2_plantas!A16,E2_plantas!A17,E2_plantas!A28,E2_plantas!A29,E2_plantas!A40,E2_plantas!A41,E2_plantas!A52,E2_plantas!A53)</x:f>
        <x:v>10</x:v>
      </x:c>
      <x:c r="G70" s="2" t="n">
        <x:f>SUM(E2_diario!K112,E2_diario!K154,E2_diario!K616,E2_diario!K658,E2_diario!K1120,E2_diario!K1162,E2_diario!K1624,E2_diario!K1666,E2_diario!K2128,E2_diario!K2170)</x:f>
        <x:v>5</x:v>
      </x:c>
      <x:c r="H70" s="2" t="n">
        <x:f>SUM(IF(E2_diario!J112="N1",1,0),IF(E2_diario!J154="N1",1,0),IF(E2_diario!J616="N1",1,0),IF(E2_diario!J658="N1",1,0),IF(E2_diario!J1120="N1",1,0),IF(E2_diario!J1162="N1",1,0),IF(E2_diario!J1624="N1",1,0),IF(E2_diario!J1666="N1",1,0),IF(E2_diario!J2128="N1",1,0),IF(E2_diario!J2170="N1",1,0))</x:f>
        <x:v>0</x:v>
      </x:c>
      <x:c r="I70" s="2" t="n">
        <x:f>SUM(IF(E2_diario!J112="N2",1,0),IF(E2_diario!J154="N2",1,0),IF(E2_diario!J616="N2",1,0),IF(E2_diario!J658="N2",1,0),IF(E2_diario!J1120="N2",1,0),IF(E2_diario!J1162="N2",1,0),IF(E2_diario!J1624="N2",1,0),IF(E2_diario!J1666="N2",1,0),IF(E2_diario!J2128="N2",1,0),IF(E2_diario!J2170="N2",1,0))</x:f>
        <x:v>0</x:v>
      </x:c>
      <x:c r="J70" s="2" t="n">
        <x:f>SUM(IF(E2_diario!J112="N3",1,0),IF(E2_diario!J154="N3",1,0),IF(E2_diario!J616="N3",1,0),IF(E2_diario!J658="N3",1,0),IF(E2_diario!J1120="N3",1,0),IF(E2_diario!J1162="N3",1,0),IF(E2_diario!J1624="N3",1,0),IF(E2_diario!J1666="N3",1,0),IF(E2_diario!J2128="N3",1,0),IF(E2_diario!J2170="N3",1,0))</x:f>
        <x:v>0</x:v>
      </x:c>
      <x:c r="K70" s="2" t="n">
        <x:f>SUM(IF(E2_diario!J112="N4",1,0),IF(E2_diario!J154="N4",1,0),IF(E2_diario!J616="N4",1,0),IF(E2_diario!J658="N4",1,0),IF(E2_diario!J1120="N4",1,0),IF(E2_diario!J1162="N4",1,0),IF(E2_diario!J1624="N4",1,0),IF(E2_diario!J1666="N4",1,0),IF(E2_diario!J2128="N4",1,0),IF(E2_diario!J2170="N4",1,0))</x:f>
        <x:v>0</x:v>
      </x:c>
      <x:c r="L70" s="2" t="n">
        <x:f>SUM(IF(E2_diario!J112="adulta",1,0),IF(E2_diario!J154="adulta",1,0),IF(E2_diario!J616="adulta",1,0),IF(E2_diario!J658="adulta",1,0),IF(E2_diario!J1120="adulta",1,0),IF(E2_diario!J1162="adulta",1,0),IF(E2_diario!J1624="adulta",1,0),IF(E2_diario!J1666="adulta",1,0),IF(E2_diario!J2128="adulta",1,0),IF(E2_diario!J2170="adulta",1,0))</x:f>
        <x:v>5</x:v>
      </x:c>
      <x:c r="M70" s="2" t="n">
        <x:f>SUM(E2_diario!L112,E2_diario!L154,E2_diario!L616,E2_diario!L658,E2_diario!L1120,E2_diario!L1162,E2_diario!L1624,E2_diario!L1666,E2_diario!L2128,E2_diario!L2170)</x:f>
        <x:v>4</x:v>
      </x:c>
      <x:c r="N70" s="20" t="n">
        <x:f>G70/F70</x:f>
        <x:v>0.5</x:v>
      </x:c>
      <x:c r="O70" s="20" t="n">
        <x:f>IF(G70=0,0,M70/G70)</x:f>
        <x:v>0.8</x:v>
      </x:c>
      <x:c r="P70" s="20" t="n">
        <x:f>N70*O70</x:f>
        <x:v>0.4</x:v>
      </x:c>
      <x:c r="Q70" s="20" t="n">
        <x:f>H70/F70</x:f>
        <x:v>0</x:v>
      </x:c>
      <x:c r="R70" s="20" t="n">
        <x:f>I70/F70</x:f>
        <x:v>0</x:v>
      </x:c>
      <x:c r="S70" s="20" t="n">
        <x:f>J70/F70</x:f>
        <x:v>0</x:v>
      </x:c>
      <x:c r="T70" s="20" t="n">
        <x:f>K70/F70</x:f>
        <x:v>0</x:v>
      </x:c>
      <x:c r="U70" s="20" t="n">
        <x:f>L70/F70</x:f>
        <x:v>0.5</x:v>
      </x:c>
      <x:c r="V70" s="20" t="n">
        <x:f>IF(L70=0,0,M70/L70)</x:f>
        <x:v>0.8</x:v>
      </x:c>
      <x:c r="W70" s="20" t="n">
        <x:f>SUM(P$44:P70)</x:f>
        <x:v>28.1</x:v>
      </x:c>
      <x:c r="X70" s="2" t="n">
        <x:f>E70+Supuestos!$C$15</x:f>
        <x:v>27</x:v>
      </x:c>
      <x:c r="Y70" s="2" t="n">
        <x:f>F70-G70</x:f>
        <x:v>5</x:v>
      </x:c>
      <x:c r="Z70" s="2" t="str">
        <x:v>simulado_didactico</x:v>
      </x:c>
    </x:row>
    <x:row r="71" ht="19" customHeight="1">
      <x:c r="A71" s="2" t="str">
        <x:v>MP_L8</x:v>
      </x:c>
      <x:c r="B71" s="2" t="str">
        <x:v>MP</x:v>
      </x:c>
      <x:c r="C71" s="2" t="str">
        <x:v>Myzus persicae</x:v>
      </x:c>
      <x:c r="D71" s="2" t="str">
        <x:v>L8</x:v>
      </x:c>
      <x:c r="E71" s="2" t="n">
        <x:v>27</x:v>
      </x:c>
      <x:c r="F71" s="2" t="n">
        <x:f>COUNTA(E2_plantas!A4,E2_plantas!A5,E2_plantas!A16,E2_plantas!A17,E2_plantas!A28,E2_plantas!A29,E2_plantas!A40,E2_plantas!A41,E2_plantas!A52,E2_plantas!A53)</x:f>
        <x:v>10</x:v>
      </x:c>
      <x:c r="G71" s="2" t="n">
        <x:f>SUM(E2_diario!K113,E2_diario!K155,E2_diario!K617,E2_diario!K659,E2_diario!K1121,E2_diario!K1163,E2_diario!K1625,E2_diario!K1667,E2_diario!K2129,E2_diario!K2171)</x:f>
        <x:v>3</x:v>
      </x:c>
      <x:c r="H71" s="2" t="n">
        <x:f>SUM(IF(E2_diario!J113="N1",1,0),IF(E2_diario!J155="N1",1,0),IF(E2_diario!J617="N1",1,0),IF(E2_diario!J659="N1",1,0),IF(E2_diario!J1121="N1",1,0),IF(E2_diario!J1163="N1",1,0),IF(E2_diario!J1625="N1",1,0),IF(E2_diario!J1667="N1",1,0),IF(E2_diario!J2129="N1",1,0),IF(E2_diario!J2171="N1",1,0))</x:f>
        <x:v>0</x:v>
      </x:c>
      <x:c r="I71" s="2" t="n">
        <x:f>SUM(IF(E2_diario!J113="N2",1,0),IF(E2_diario!J155="N2",1,0),IF(E2_diario!J617="N2",1,0),IF(E2_diario!J659="N2",1,0),IF(E2_diario!J1121="N2",1,0),IF(E2_diario!J1163="N2",1,0),IF(E2_diario!J1625="N2",1,0),IF(E2_diario!J1667="N2",1,0),IF(E2_diario!J2129="N2",1,0),IF(E2_diario!J2171="N2",1,0))</x:f>
        <x:v>0</x:v>
      </x:c>
      <x:c r="J71" s="2" t="n">
        <x:f>SUM(IF(E2_diario!J113="N3",1,0),IF(E2_diario!J155="N3",1,0),IF(E2_diario!J617="N3",1,0),IF(E2_diario!J659="N3",1,0),IF(E2_diario!J1121="N3",1,0),IF(E2_diario!J1163="N3",1,0),IF(E2_diario!J1625="N3",1,0),IF(E2_diario!J1667="N3",1,0),IF(E2_diario!J2129="N3",1,0),IF(E2_diario!J2171="N3",1,0))</x:f>
        <x:v>0</x:v>
      </x:c>
      <x:c r="K71" s="2" t="n">
        <x:f>SUM(IF(E2_diario!J113="N4",1,0),IF(E2_diario!J155="N4",1,0),IF(E2_diario!J617="N4",1,0),IF(E2_diario!J659="N4",1,0),IF(E2_diario!J1121="N4",1,0),IF(E2_diario!J1163="N4",1,0),IF(E2_diario!J1625="N4",1,0),IF(E2_diario!J1667="N4",1,0),IF(E2_diario!J2129="N4",1,0),IF(E2_diario!J2171="N4",1,0))</x:f>
        <x:v>0</x:v>
      </x:c>
      <x:c r="L71" s="2" t="n">
        <x:f>SUM(IF(E2_diario!J113="adulta",1,0),IF(E2_diario!J155="adulta",1,0),IF(E2_diario!J617="adulta",1,0),IF(E2_diario!J659="adulta",1,0),IF(E2_diario!J1121="adulta",1,0),IF(E2_diario!J1163="adulta",1,0),IF(E2_diario!J1625="adulta",1,0),IF(E2_diario!J1667="adulta",1,0),IF(E2_diario!J2129="adulta",1,0),IF(E2_diario!J2171="adulta",1,0))</x:f>
        <x:v>3</x:v>
      </x:c>
      <x:c r="M71" s="2" t="n">
        <x:f>SUM(E2_diario!L113,E2_diario!L155,E2_diario!L617,E2_diario!L659,E2_diario!L1121,E2_diario!L1163,E2_diario!L1625,E2_diario!L1667,E2_diario!L2129,E2_diario!L2171)</x:f>
        <x:v>1</x:v>
      </x:c>
      <x:c r="N71" s="20" t="n">
        <x:f>G71/F71</x:f>
        <x:v>0.3</x:v>
      </x:c>
      <x:c r="O71" s="20" t="n">
        <x:f>IF(G71=0,0,M71/G71)</x:f>
        <x:v>0.3333333333333333</x:v>
      </x:c>
      <x:c r="P71" s="20" t="n">
        <x:f>N71*O71</x:f>
        <x:v>0.09999999999999999</x:v>
      </x:c>
      <x:c r="Q71" s="20" t="n">
        <x:f>H71/F71</x:f>
        <x:v>0</x:v>
      </x:c>
      <x:c r="R71" s="20" t="n">
        <x:f>I71/F71</x:f>
        <x:v>0</x:v>
      </x:c>
      <x:c r="S71" s="20" t="n">
        <x:f>J71/F71</x:f>
        <x:v>0</x:v>
      </x:c>
      <x:c r="T71" s="20" t="n">
        <x:f>K71/F71</x:f>
        <x:v>0</x:v>
      </x:c>
      <x:c r="U71" s="20" t="n">
        <x:f>L71/F71</x:f>
        <x:v>0.3</x:v>
      </x:c>
      <x:c r="V71" s="20" t="n">
        <x:f>IF(L71=0,0,M71/L71)</x:f>
        <x:v>0.3333333333333333</x:v>
      </x:c>
      <x:c r="W71" s="20" t="n">
        <x:f>SUM(P$44:P71)</x:f>
        <x:v>28.200000000000003</x:v>
      </x:c>
      <x:c r="X71" s="2" t="n">
        <x:f>E71+Supuestos!$C$15</x:f>
        <x:v>28</x:v>
      </x:c>
      <x:c r="Y71" s="2" t="n">
        <x:f>F71-G71</x:f>
        <x:v>7</x:v>
      </x:c>
      <x:c r="Z71" s="2" t="str">
        <x:v>simulado_didactico</x:v>
      </x:c>
    </x:row>
    <x:row r="72" ht="19" customHeight="1">
      <x:c r="A72" s="2" t="str">
        <x:v>MP_L8</x:v>
      </x:c>
      <x:c r="B72" s="2" t="str">
        <x:v>MP</x:v>
      </x:c>
      <x:c r="C72" s="2" t="str">
        <x:v>Myzus persicae</x:v>
      </x:c>
      <x:c r="D72" s="2" t="str">
        <x:v>L8</x:v>
      </x:c>
      <x:c r="E72" s="2" t="n">
        <x:v>28</x:v>
      </x:c>
      <x:c r="F72" s="2" t="n">
        <x:f>COUNTA(E2_plantas!A4,E2_plantas!A5,E2_plantas!A16,E2_plantas!A17,E2_plantas!A28,E2_plantas!A29,E2_plantas!A40,E2_plantas!A41,E2_plantas!A52,E2_plantas!A53)</x:f>
        <x:v>10</x:v>
      </x:c>
      <x:c r="G72" s="2" t="n">
        <x:f>SUM(E2_diario!K114,E2_diario!K156,E2_diario!K618,E2_diario!K660,E2_diario!K1122,E2_diario!K1164,E2_diario!K1626,E2_diario!K1668,E2_diario!K2130,E2_diario!K2172)</x:f>
        <x:v>3</x:v>
      </x:c>
      <x:c r="H72" s="2" t="n">
        <x:f>SUM(IF(E2_diario!J114="N1",1,0),IF(E2_diario!J156="N1",1,0),IF(E2_diario!J618="N1",1,0),IF(E2_diario!J660="N1",1,0),IF(E2_diario!J1122="N1",1,0),IF(E2_diario!J1164="N1",1,0),IF(E2_diario!J1626="N1",1,0),IF(E2_diario!J1668="N1",1,0),IF(E2_diario!J2130="N1",1,0),IF(E2_diario!J2172="N1",1,0))</x:f>
        <x:v>0</x:v>
      </x:c>
      <x:c r="I72" s="2" t="n">
        <x:f>SUM(IF(E2_diario!J114="N2",1,0),IF(E2_diario!J156="N2",1,0),IF(E2_diario!J618="N2",1,0),IF(E2_diario!J660="N2",1,0),IF(E2_diario!J1122="N2",1,0),IF(E2_diario!J1164="N2",1,0),IF(E2_diario!J1626="N2",1,0),IF(E2_diario!J1668="N2",1,0),IF(E2_diario!J2130="N2",1,0),IF(E2_diario!J2172="N2",1,0))</x:f>
        <x:v>0</x:v>
      </x:c>
      <x:c r="J72" s="2" t="n">
        <x:f>SUM(IF(E2_diario!J114="N3",1,0),IF(E2_diario!J156="N3",1,0),IF(E2_diario!J618="N3",1,0),IF(E2_diario!J660="N3",1,0),IF(E2_diario!J1122="N3",1,0),IF(E2_diario!J1164="N3",1,0),IF(E2_diario!J1626="N3",1,0),IF(E2_diario!J1668="N3",1,0),IF(E2_diario!J2130="N3",1,0),IF(E2_diario!J2172="N3",1,0))</x:f>
        <x:v>0</x:v>
      </x:c>
      <x:c r="K72" s="2" t="n">
        <x:f>SUM(IF(E2_diario!J114="N4",1,0),IF(E2_diario!J156="N4",1,0),IF(E2_diario!J618="N4",1,0),IF(E2_diario!J660="N4",1,0),IF(E2_diario!J1122="N4",1,0),IF(E2_diario!J1164="N4",1,0),IF(E2_diario!J1626="N4",1,0),IF(E2_diario!J1668="N4",1,0),IF(E2_diario!J2130="N4",1,0),IF(E2_diario!J2172="N4",1,0))</x:f>
        <x:v>0</x:v>
      </x:c>
      <x:c r="L72" s="2" t="n">
        <x:f>SUM(IF(E2_diario!J114="adulta",1,0),IF(E2_diario!J156="adulta",1,0),IF(E2_diario!J618="adulta",1,0),IF(E2_diario!J660="adulta",1,0),IF(E2_diario!J1122="adulta",1,0),IF(E2_diario!J1164="adulta",1,0),IF(E2_diario!J1626="adulta",1,0),IF(E2_diario!J1668="adulta",1,0),IF(E2_diario!J2130="adulta",1,0),IF(E2_diario!J2172="adulta",1,0))</x:f>
        <x:v>3</x:v>
      </x:c>
      <x:c r="M72" s="2" t="n">
        <x:f>SUM(E2_diario!L114,E2_diario!L156,E2_diario!L618,E2_diario!L660,E2_diario!L1122,E2_diario!L1164,E2_diario!L1626,E2_diario!L1668,E2_diario!L2130,E2_diario!L2172)</x:f>
        <x:v>1</x:v>
      </x:c>
      <x:c r="N72" s="20" t="n">
        <x:f>G72/F72</x:f>
        <x:v>0.3</x:v>
      </x:c>
      <x:c r="O72" s="20" t="n">
        <x:f>IF(G72=0,0,M72/G72)</x:f>
        <x:v>0.3333333333333333</x:v>
      </x:c>
      <x:c r="P72" s="20" t="n">
        <x:f>N72*O72</x:f>
        <x:v>0.09999999999999999</x:v>
      </x:c>
      <x:c r="Q72" s="20" t="n">
        <x:f>H72/F72</x:f>
        <x:v>0</x:v>
      </x:c>
      <x:c r="R72" s="20" t="n">
        <x:f>I72/F72</x:f>
        <x:v>0</x:v>
      </x:c>
      <x:c r="S72" s="20" t="n">
        <x:f>J72/F72</x:f>
        <x:v>0</x:v>
      </x:c>
      <x:c r="T72" s="20" t="n">
        <x:f>K72/F72</x:f>
        <x:v>0</x:v>
      </x:c>
      <x:c r="U72" s="20" t="n">
        <x:f>L72/F72</x:f>
        <x:v>0.3</x:v>
      </x:c>
      <x:c r="V72" s="20" t="n">
        <x:f>IF(L72=0,0,M72/L72)</x:f>
        <x:v>0.3333333333333333</x:v>
      </x:c>
      <x:c r="W72" s="20" t="n">
        <x:f>SUM(P$44:P72)</x:f>
        <x:v>28.300000000000004</x:v>
      </x:c>
      <x:c r="X72" s="2" t="n">
        <x:f>E72+Supuestos!$C$15</x:f>
        <x:v>29</x:v>
      </x:c>
      <x:c r="Y72" s="2" t="n">
        <x:f>F72-G72</x:f>
        <x:v>7</x:v>
      </x:c>
      <x:c r="Z72" s="2" t="str">
        <x:v>simulado_didactico</x:v>
      </x:c>
    </x:row>
    <x:row r="73" ht="19" customHeight="1">
      <x:c r="A73" s="2" t="str">
        <x:v>MP_L8</x:v>
      </x:c>
      <x:c r="B73" s="2" t="str">
        <x:v>MP</x:v>
      </x:c>
      <x:c r="C73" s="2" t="str">
        <x:v>Myzus persicae</x:v>
      </x:c>
      <x:c r="D73" s="2" t="str">
        <x:v>L8</x:v>
      </x:c>
      <x:c r="E73" s="2" t="n">
        <x:v>29</x:v>
      </x:c>
      <x:c r="F73" s="2" t="n">
        <x:f>COUNTA(E2_plantas!A4,E2_plantas!A5,E2_plantas!A16,E2_plantas!A17,E2_plantas!A28,E2_plantas!A29,E2_plantas!A40,E2_plantas!A41,E2_plantas!A52,E2_plantas!A53)</x:f>
        <x:v>10</x:v>
      </x:c>
      <x:c r="G73" s="2" t="n">
        <x:f>SUM(E2_diario!K115,E2_diario!K157,E2_diario!K619,E2_diario!K661,E2_diario!K1123,E2_diario!K1165,E2_diario!K1627,E2_diario!K1669,E2_diario!K2131,E2_diario!K2173)</x:f>
        <x:v>2</x:v>
      </x:c>
      <x:c r="H73" s="2" t="n">
        <x:f>SUM(IF(E2_diario!J115="N1",1,0),IF(E2_diario!J157="N1",1,0),IF(E2_diario!J619="N1",1,0),IF(E2_diario!J661="N1",1,0),IF(E2_diario!J1123="N1",1,0),IF(E2_diario!J1165="N1",1,0),IF(E2_diario!J1627="N1",1,0),IF(E2_diario!J1669="N1",1,0),IF(E2_diario!J2131="N1",1,0),IF(E2_diario!J2173="N1",1,0))</x:f>
        <x:v>0</x:v>
      </x:c>
      <x:c r="I73" s="2" t="n">
        <x:f>SUM(IF(E2_diario!J115="N2",1,0),IF(E2_diario!J157="N2",1,0),IF(E2_diario!J619="N2",1,0),IF(E2_diario!J661="N2",1,0),IF(E2_diario!J1123="N2",1,0),IF(E2_diario!J1165="N2",1,0),IF(E2_diario!J1627="N2",1,0),IF(E2_diario!J1669="N2",1,0),IF(E2_diario!J2131="N2",1,0),IF(E2_diario!J2173="N2",1,0))</x:f>
        <x:v>0</x:v>
      </x:c>
      <x:c r="J73" s="2" t="n">
        <x:f>SUM(IF(E2_diario!J115="N3",1,0),IF(E2_diario!J157="N3",1,0),IF(E2_diario!J619="N3",1,0),IF(E2_diario!J661="N3",1,0),IF(E2_diario!J1123="N3",1,0),IF(E2_diario!J1165="N3",1,0),IF(E2_diario!J1627="N3",1,0),IF(E2_diario!J1669="N3",1,0),IF(E2_diario!J2131="N3",1,0),IF(E2_diario!J2173="N3",1,0))</x:f>
        <x:v>0</x:v>
      </x:c>
      <x:c r="K73" s="2" t="n">
        <x:f>SUM(IF(E2_diario!J115="N4",1,0),IF(E2_diario!J157="N4",1,0),IF(E2_diario!J619="N4",1,0),IF(E2_diario!J661="N4",1,0),IF(E2_diario!J1123="N4",1,0),IF(E2_diario!J1165="N4",1,0),IF(E2_diario!J1627="N4",1,0),IF(E2_diario!J1669="N4",1,0),IF(E2_diario!J2131="N4",1,0),IF(E2_diario!J2173="N4",1,0))</x:f>
        <x:v>0</x:v>
      </x:c>
      <x:c r="L73" s="2" t="n">
        <x:f>SUM(IF(E2_diario!J115="adulta",1,0),IF(E2_diario!J157="adulta",1,0),IF(E2_diario!J619="adulta",1,0),IF(E2_diario!J661="adulta",1,0),IF(E2_diario!J1123="adulta",1,0),IF(E2_diario!J1165="adulta",1,0),IF(E2_diario!J1627="adulta",1,0),IF(E2_diario!J1669="adulta",1,0),IF(E2_diario!J2131="adulta",1,0),IF(E2_diario!J2173="adulta",1,0))</x:f>
        <x:v>2</x:v>
      </x:c>
      <x:c r="M73" s="2" t="n">
        <x:f>SUM(E2_diario!L115,E2_diario!L157,E2_diario!L619,E2_diario!L661,E2_diario!L1123,E2_diario!L1165,E2_diario!L1627,E2_diario!L1669,E2_diario!L2131,E2_diario!L2173)</x:f>
        <x:v>3</x:v>
      </x:c>
      <x:c r="N73" s="20" t="n">
        <x:f>G73/F73</x:f>
        <x:v>0.2</x:v>
      </x:c>
      <x:c r="O73" s="20" t="n">
        <x:f>IF(G73=0,0,M73/G73)</x:f>
        <x:v>1.5</x:v>
      </x:c>
      <x:c r="P73" s="20" t="n">
        <x:f>N73*O73</x:f>
        <x:v>0.30000000000000004</x:v>
      </x:c>
      <x:c r="Q73" s="20" t="n">
        <x:f>H73/F73</x:f>
        <x:v>0</x:v>
      </x:c>
      <x:c r="R73" s="20" t="n">
        <x:f>I73/F73</x:f>
        <x:v>0</x:v>
      </x:c>
      <x:c r="S73" s="20" t="n">
        <x:f>J73/F73</x:f>
        <x:v>0</x:v>
      </x:c>
      <x:c r="T73" s="20" t="n">
        <x:f>K73/F73</x:f>
        <x:v>0</x:v>
      </x:c>
      <x:c r="U73" s="20" t="n">
        <x:f>L73/F73</x:f>
        <x:v>0.2</x:v>
      </x:c>
      <x:c r="V73" s="20" t="n">
        <x:f>IF(L73=0,0,M73/L73)</x:f>
        <x:v>1.5</x:v>
      </x:c>
      <x:c r="W73" s="20" t="n">
        <x:f>SUM(P$44:P73)</x:f>
        <x:v>28.600000000000005</x:v>
      </x:c>
      <x:c r="X73" s="2" t="n">
        <x:f>E73+Supuestos!$C$15</x:f>
        <x:v>30</x:v>
      </x:c>
      <x:c r="Y73" s="2" t="n">
        <x:f>F73-G73</x:f>
        <x:v>8</x:v>
      </x:c>
      <x:c r="Z73" s="2" t="str">
        <x:v>simulado_didactico</x:v>
      </x:c>
    </x:row>
    <x:row r="74" ht="19" customHeight="1">
      <x:c r="A74" s="2" t="str">
        <x:v>MP_L8</x:v>
      </x:c>
      <x:c r="B74" s="2" t="str">
        <x:v>MP</x:v>
      </x:c>
      <x:c r="C74" s="2" t="str">
        <x:v>Myzus persicae</x:v>
      </x:c>
      <x:c r="D74" s="2" t="str">
        <x:v>L8</x:v>
      </x:c>
      <x:c r="E74" s="2" t="n">
        <x:v>30</x:v>
      </x:c>
      <x:c r="F74" s="2" t="n">
        <x:f>COUNTA(E2_plantas!A4,E2_plantas!A5,E2_plantas!A16,E2_plantas!A17,E2_plantas!A28,E2_plantas!A29,E2_plantas!A40,E2_plantas!A41,E2_plantas!A52,E2_plantas!A53)</x:f>
        <x:v>10</x:v>
      </x:c>
      <x:c r="G74" s="2" t="n">
        <x:f>SUM(E2_diario!K116,E2_diario!K158,E2_diario!K620,E2_diario!K662,E2_diario!K1124,E2_diario!K1166,E2_diario!K1628,E2_diario!K1670,E2_diario!K2132,E2_diario!K2174)</x:f>
        <x:v>1</x:v>
      </x:c>
      <x:c r="H74" s="2" t="n">
        <x:f>SUM(IF(E2_diario!J116="N1",1,0),IF(E2_diario!J158="N1",1,0),IF(E2_diario!J620="N1",1,0),IF(E2_diario!J662="N1",1,0),IF(E2_diario!J1124="N1",1,0),IF(E2_diario!J1166="N1",1,0),IF(E2_diario!J1628="N1",1,0),IF(E2_diario!J1670="N1",1,0),IF(E2_diario!J2132="N1",1,0),IF(E2_diario!J2174="N1",1,0))</x:f>
        <x:v>0</x:v>
      </x:c>
      <x:c r="I74" s="2" t="n">
        <x:f>SUM(IF(E2_diario!J116="N2",1,0),IF(E2_diario!J158="N2",1,0),IF(E2_diario!J620="N2",1,0),IF(E2_diario!J662="N2",1,0),IF(E2_diario!J1124="N2",1,0),IF(E2_diario!J1166="N2",1,0),IF(E2_diario!J1628="N2",1,0),IF(E2_diario!J1670="N2",1,0),IF(E2_diario!J2132="N2",1,0),IF(E2_diario!J2174="N2",1,0))</x:f>
        <x:v>0</x:v>
      </x:c>
      <x:c r="J74" s="2" t="n">
        <x:f>SUM(IF(E2_diario!J116="N3",1,0),IF(E2_diario!J158="N3",1,0),IF(E2_diario!J620="N3",1,0),IF(E2_diario!J662="N3",1,0),IF(E2_diario!J1124="N3",1,0),IF(E2_diario!J1166="N3",1,0),IF(E2_diario!J1628="N3",1,0),IF(E2_diario!J1670="N3",1,0),IF(E2_diario!J2132="N3",1,0),IF(E2_diario!J2174="N3",1,0))</x:f>
        <x:v>0</x:v>
      </x:c>
      <x:c r="K74" s="2" t="n">
        <x:f>SUM(IF(E2_diario!J116="N4",1,0),IF(E2_diario!J158="N4",1,0),IF(E2_diario!J620="N4",1,0),IF(E2_diario!J662="N4",1,0),IF(E2_diario!J1124="N4",1,0),IF(E2_diario!J1166="N4",1,0),IF(E2_diario!J1628="N4",1,0),IF(E2_diario!J1670="N4",1,0),IF(E2_diario!J2132="N4",1,0),IF(E2_diario!J2174="N4",1,0))</x:f>
        <x:v>0</x:v>
      </x:c>
      <x:c r="L74" s="2" t="n">
        <x:f>SUM(IF(E2_diario!J116="adulta",1,0),IF(E2_diario!J158="adulta",1,0),IF(E2_diario!J620="adulta",1,0),IF(E2_diario!J662="adulta",1,0),IF(E2_diario!J1124="adulta",1,0),IF(E2_diario!J1166="adulta",1,0),IF(E2_diario!J1628="adulta",1,0),IF(E2_diario!J1670="adulta",1,0),IF(E2_diario!J2132="adulta",1,0),IF(E2_diario!J2174="adulta",1,0))</x:f>
        <x:v>1</x:v>
      </x:c>
      <x:c r="M74" s="2" t="n">
        <x:f>SUM(E2_diario!L116,E2_diario!L158,E2_diario!L620,E2_diario!L662,E2_diario!L1124,E2_diario!L1166,E2_diario!L1628,E2_diario!L1670,E2_diario!L2132,E2_diario!L2174)</x:f>
        <x:v>0</x:v>
      </x:c>
      <x:c r="N74" s="20" t="n">
        <x:f>G74/F74</x:f>
        <x:v>0.1</x:v>
      </x:c>
      <x:c r="O74" s="20" t="n">
        <x:f>IF(G74=0,0,M74/G74)</x:f>
        <x:v>0</x:v>
      </x:c>
      <x:c r="P74" s="20" t="n">
        <x:f>N74*O74</x:f>
        <x:v>0</x:v>
      </x:c>
      <x:c r="Q74" s="20" t="n">
        <x:f>H74/F74</x:f>
        <x:v>0</x:v>
      </x:c>
      <x:c r="R74" s="20" t="n">
        <x:f>I74/F74</x:f>
        <x:v>0</x:v>
      </x:c>
      <x:c r="S74" s="20" t="n">
        <x:f>J74/F74</x:f>
        <x:v>0</x:v>
      </x:c>
      <x:c r="T74" s="20" t="n">
        <x:f>K74/F74</x:f>
        <x:v>0</x:v>
      </x:c>
      <x:c r="U74" s="20" t="n">
        <x:f>L74/F74</x:f>
        <x:v>0.1</x:v>
      </x:c>
      <x:c r="V74" s="20" t="n">
        <x:f>IF(L74=0,0,M74/L74)</x:f>
        <x:v>0</x:v>
      </x:c>
      <x:c r="W74" s="20" t="n">
        <x:f>SUM(P$44:P74)</x:f>
        <x:v>28.600000000000005</x:v>
      </x:c>
      <x:c r="X74" s="2" t="n">
        <x:f>E74+Supuestos!$C$15</x:f>
        <x:v>31</x:v>
      </x:c>
      <x:c r="Y74" s="2" t="n">
        <x:f>F74-G74</x:f>
        <x:v>9</x:v>
      </x:c>
      <x:c r="Z74" s="2" t="str">
        <x:v>simulado_didactico</x:v>
      </x:c>
    </x:row>
    <x:row r="75" ht="19" customHeight="1">
      <x:c r="A75" s="2" t="str">
        <x:v>MP_L8</x:v>
      </x:c>
      <x:c r="B75" s="2" t="str">
        <x:v>MP</x:v>
      </x:c>
      <x:c r="C75" s="2" t="str">
        <x:v>Myzus persicae</x:v>
      </x:c>
      <x:c r="D75" s="2" t="str">
        <x:v>L8</x:v>
      </x:c>
      <x:c r="E75" s="2" t="n">
        <x:v>31</x:v>
      </x:c>
      <x:c r="F75" s="2" t="n">
        <x:f>COUNTA(E2_plantas!A4,E2_plantas!A5,E2_plantas!A16,E2_plantas!A17,E2_plantas!A28,E2_plantas!A29,E2_plantas!A40,E2_plantas!A41,E2_plantas!A52,E2_plantas!A53)</x:f>
        <x:v>10</x:v>
      </x:c>
      <x:c r="G75" s="2" t="n">
        <x:f>SUM(E2_diario!K117,E2_diario!K159,E2_diario!K621,E2_diario!K663,E2_diario!K1125,E2_diario!K1167,E2_diario!K1629,E2_diario!K1671,E2_diario!K2133,E2_diario!K2175)</x:f>
        <x:v>1</x:v>
      </x:c>
      <x:c r="H75" s="2" t="n">
        <x:f>SUM(IF(E2_diario!J117="N1",1,0),IF(E2_diario!J159="N1",1,0),IF(E2_diario!J621="N1",1,0),IF(E2_diario!J663="N1",1,0),IF(E2_diario!J1125="N1",1,0),IF(E2_diario!J1167="N1",1,0),IF(E2_diario!J1629="N1",1,0),IF(E2_diario!J1671="N1",1,0),IF(E2_diario!J2133="N1",1,0),IF(E2_diario!J2175="N1",1,0))</x:f>
        <x:v>0</x:v>
      </x:c>
      <x:c r="I75" s="2" t="n">
        <x:f>SUM(IF(E2_diario!J117="N2",1,0),IF(E2_diario!J159="N2",1,0),IF(E2_diario!J621="N2",1,0),IF(E2_diario!J663="N2",1,0),IF(E2_diario!J1125="N2",1,0),IF(E2_diario!J1167="N2",1,0),IF(E2_diario!J1629="N2",1,0),IF(E2_diario!J1671="N2",1,0),IF(E2_diario!J2133="N2",1,0),IF(E2_diario!J2175="N2",1,0))</x:f>
        <x:v>0</x:v>
      </x:c>
      <x:c r="J75" s="2" t="n">
        <x:f>SUM(IF(E2_diario!J117="N3",1,0),IF(E2_diario!J159="N3",1,0),IF(E2_diario!J621="N3",1,0),IF(E2_diario!J663="N3",1,0),IF(E2_diario!J1125="N3",1,0),IF(E2_diario!J1167="N3",1,0),IF(E2_diario!J1629="N3",1,0),IF(E2_diario!J1671="N3",1,0),IF(E2_diario!J2133="N3",1,0),IF(E2_diario!J2175="N3",1,0))</x:f>
        <x:v>0</x:v>
      </x:c>
      <x:c r="K75" s="2" t="n">
        <x:f>SUM(IF(E2_diario!J117="N4",1,0),IF(E2_diario!J159="N4",1,0),IF(E2_diario!J621="N4",1,0),IF(E2_diario!J663="N4",1,0),IF(E2_diario!J1125="N4",1,0),IF(E2_diario!J1167="N4",1,0),IF(E2_diario!J1629="N4",1,0),IF(E2_diario!J1671="N4",1,0),IF(E2_diario!J2133="N4",1,0),IF(E2_diario!J2175="N4",1,0))</x:f>
        <x:v>0</x:v>
      </x:c>
      <x:c r="L75" s="2" t="n">
        <x:f>SUM(IF(E2_diario!J117="adulta",1,0),IF(E2_diario!J159="adulta",1,0),IF(E2_diario!J621="adulta",1,0),IF(E2_diario!J663="adulta",1,0),IF(E2_diario!J1125="adulta",1,0),IF(E2_diario!J1167="adulta",1,0),IF(E2_diario!J1629="adulta",1,0),IF(E2_diario!J1671="adulta",1,0),IF(E2_diario!J2133="adulta",1,0),IF(E2_diario!J2175="adulta",1,0))</x:f>
        <x:v>1</x:v>
      </x:c>
      <x:c r="M75" s="2" t="n">
        <x:f>SUM(E2_diario!L117,E2_diario!L159,E2_diario!L621,E2_diario!L663,E2_diario!L1125,E2_diario!L1167,E2_diario!L1629,E2_diario!L1671,E2_diario!L2133,E2_diario!L2175)</x:f>
        <x:v>0</x:v>
      </x:c>
      <x:c r="N75" s="20" t="n">
        <x:f>G75/F75</x:f>
        <x:v>0.1</x:v>
      </x:c>
      <x:c r="O75" s="20" t="n">
        <x:f>IF(G75=0,0,M75/G75)</x:f>
        <x:v>0</x:v>
      </x:c>
      <x:c r="P75" s="20" t="n">
        <x:f>N75*O75</x:f>
        <x:v>0</x:v>
      </x:c>
      <x:c r="Q75" s="20" t="n">
        <x:f>H75/F75</x:f>
        <x:v>0</x:v>
      </x:c>
      <x:c r="R75" s="20" t="n">
        <x:f>I75/F75</x:f>
        <x:v>0</x:v>
      </x:c>
      <x:c r="S75" s="20" t="n">
        <x:f>J75/F75</x:f>
        <x:v>0</x:v>
      </x:c>
      <x:c r="T75" s="20" t="n">
        <x:f>K75/F75</x:f>
        <x:v>0</x:v>
      </x:c>
      <x:c r="U75" s="20" t="n">
        <x:f>L75/F75</x:f>
        <x:v>0.1</x:v>
      </x:c>
      <x:c r="V75" s="20" t="n">
        <x:f>IF(L75=0,0,M75/L75)</x:f>
        <x:v>0</x:v>
      </x:c>
      <x:c r="W75" s="20" t="n">
        <x:f>SUM(P$44:P75)</x:f>
        <x:v>28.600000000000005</x:v>
      </x:c>
      <x:c r="X75" s="2" t="n">
        <x:f>E75+Supuestos!$C$15</x:f>
        <x:v>32</x:v>
      </x:c>
      <x:c r="Y75" s="2" t="n">
        <x:f>F75-G75</x:f>
        <x:v>9</x:v>
      </x:c>
      <x:c r="Z75" s="2" t="str">
        <x:v>simulado_didactico</x:v>
      </x:c>
    </x:row>
    <x:row r="76" ht="19" customHeight="1">
      <x:c r="A76" s="2" t="str">
        <x:v>MP_L8</x:v>
      </x:c>
      <x:c r="B76" s="2" t="str">
        <x:v>MP</x:v>
      </x:c>
      <x:c r="C76" s="2" t="str">
        <x:v>Myzus persicae</x:v>
      </x:c>
      <x:c r="D76" s="2" t="str">
        <x:v>L8</x:v>
      </x:c>
      <x:c r="E76" s="2" t="n">
        <x:v>32</x:v>
      </x:c>
      <x:c r="F76" s="2" t="n">
        <x:f>COUNTA(E2_plantas!A4,E2_plantas!A5,E2_plantas!A16,E2_plantas!A17,E2_plantas!A28,E2_plantas!A29,E2_plantas!A40,E2_plantas!A41,E2_plantas!A52,E2_plantas!A53)</x:f>
        <x:v>10</x:v>
      </x:c>
      <x:c r="G76" s="2" t="n">
        <x:f>SUM(E2_diario!K118,E2_diario!K160,E2_diario!K622,E2_diario!K664,E2_diario!K1126,E2_diario!K1168,E2_diario!K1630,E2_diario!K1672,E2_diario!K2134,E2_diario!K2176)</x:f>
        <x:v>1</x:v>
      </x:c>
      <x:c r="H76" s="2" t="n">
        <x:f>SUM(IF(E2_diario!J118="N1",1,0),IF(E2_diario!J160="N1",1,0),IF(E2_diario!J622="N1",1,0),IF(E2_diario!J664="N1",1,0),IF(E2_diario!J1126="N1",1,0),IF(E2_diario!J1168="N1",1,0),IF(E2_diario!J1630="N1",1,0),IF(E2_diario!J1672="N1",1,0),IF(E2_diario!J2134="N1",1,0),IF(E2_diario!J2176="N1",1,0))</x:f>
        <x:v>0</x:v>
      </x:c>
      <x:c r="I76" s="2" t="n">
        <x:f>SUM(IF(E2_diario!J118="N2",1,0),IF(E2_diario!J160="N2",1,0),IF(E2_diario!J622="N2",1,0),IF(E2_diario!J664="N2",1,0),IF(E2_diario!J1126="N2",1,0),IF(E2_diario!J1168="N2",1,0),IF(E2_diario!J1630="N2",1,0),IF(E2_diario!J1672="N2",1,0),IF(E2_diario!J2134="N2",1,0),IF(E2_diario!J2176="N2",1,0))</x:f>
        <x:v>0</x:v>
      </x:c>
      <x:c r="J76" s="2" t="n">
        <x:f>SUM(IF(E2_diario!J118="N3",1,0),IF(E2_diario!J160="N3",1,0),IF(E2_diario!J622="N3",1,0),IF(E2_diario!J664="N3",1,0),IF(E2_diario!J1126="N3",1,0),IF(E2_diario!J1168="N3",1,0),IF(E2_diario!J1630="N3",1,0),IF(E2_diario!J1672="N3",1,0),IF(E2_diario!J2134="N3",1,0),IF(E2_diario!J2176="N3",1,0))</x:f>
        <x:v>0</x:v>
      </x:c>
      <x:c r="K76" s="2" t="n">
        <x:f>SUM(IF(E2_diario!J118="N4",1,0),IF(E2_diario!J160="N4",1,0),IF(E2_diario!J622="N4",1,0),IF(E2_diario!J664="N4",1,0),IF(E2_diario!J1126="N4",1,0),IF(E2_diario!J1168="N4",1,0),IF(E2_diario!J1630="N4",1,0),IF(E2_diario!J1672="N4",1,0),IF(E2_diario!J2134="N4",1,0),IF(E2_diario!J2176="N4",1,0))</x:f>
        <x:v>0</x:v>
      </x:c>
      <x:c r="L76" s="2" t="n">
        <x:f>SUM(IF(E2_diario!J118="adulta",1,0),IF(E2_diario!J160="adulta",1,0),IF(E2_diario!J622="adulta",1,0),IF(E2_diario!J664="adulta",1,0),IF(E2_diario!J1126="adulta",1,0),IF(E2_diario!J1168="adulta",1,0),IF(E2_diario!J1630="adulta",1,0),IF(E2_diario!J1672="adulta",1,0),IF(E2_diario!J2134="adulta",1,0),IF(E2_diario!J2176="adulta",1,0))</x:f>
        <x:v>1</x:v>
      </x:c>
      <x:c r="M76" s="2" t="n">
        <x:f>SUM(E2_diario!L118,E2_diario!L160,E2_diario!L622,E2_diario!L664,E2_diario!L1126,E2_diario!L1168,E2_diario!L1630,E2_diario!L1672,E2_diario!L2134,E2_diario!L2176)</x:f>
        <x:v>0</x:v>
      </x:c>
      <x:c r="N76" s="20" t="n">
        <x:f>G76/F76</x:f>
        <x:v>0.1</x:v>
      </x:c>
      <x:c r="O76" s="20" t="n">
        <x:f>IF(G76=0,0,M76/G76)</x:f>
        <x:v>0</x:v>
      </x:c>
      <x:c r="P76" s="20" t="n">
        <x:f>N76*O76</x:f>
        <x:v>0</x:v>
      </x:c>
      <x:c r="Q76" s="20" t="n">
        <x:f>H76/F76</x:f>
        <x:v>0</x:v>
      </x:c>
      <x:c r="R76" s="20" t="n">
        <x:f>I76/F76</x:f>
        <x:v>0</x:v>
      </x:c>
      <x:c r="S76" s="20" t="n">
        <x:f>J76/F76</x:f>
        <x:v>0</x:v>
      </x:c>
      <x:c r="T76" s="20" t="n">
        <x:f>K76/F76</x:f>
        <x:v>0</x:v>
      </x:c>
      <x:c r="U76" s="20" t="n">
        <x:f>L76/F76</x:f>
        <x:v>0.1</x:v>
      </x:c>
      <x:c r="V76" s="20" t="n">
        <x:f>IF(L76=0,0,M76/L76)</x:f>
        <x:v>0</x:v>
      </x:c>
      <x:c r="W76" s="20" t="n">
        <x:f>SUM(P$44:P76)</x:f>
        <x:v>28.600000000000005</x:v>
      </x:c>
      <x:c r="X76" s="2" t="n">
        <x:f>E76+Supuestos!$C$15</x:f>
        <x:v>33</x:v>
      </x:c>
      <x:c r="Y76" s="2" t="n">
        <x:f>F76-G76</x:f>
        <x:v>9</x:v>
      </x:c>
      <x:c r="Z76" s="2" t="str">
        <x:v>simulado_didactico</x:v>
      </x:c>
    </x:row>
    <x:row r="77" ht="19" customHeight="1">
      <x:c r="A77" s="2" t="str">
        <x:v>MP_L8</x:v>
      </x:c>
      <x:c r="B77" s="2" t="str">
        <x:v>MP</x:v>
      </x:c>
      <x:c r="C77" s="2" t="str">
        <x:v>Myzus persicae</x:v>
      </x:c>
      <x:c r="D77" s="2" t="str">
        <x:v>L8</x:v>
      </x:c>
      <x:c r="E77" s="2" t="n">
        <x:v>33</x:v>
      </x:c>
      <x:c r="F77" s="2" t="n">
        <x:f>COUNTA(E2_plantas!A4,E2_plantas!A5,E2_plantas!A16,E2_plantas!A17,E2_plantas!A28,E2_plantas!A29,E2_plantas!A40,E2_plantas!A41,E2_plantas!A52,E2_plantas!A53)</x:f>
        <x:v>10</x:v>
      </x:c>
      <x:c r="G77" s="2" t="n">
        <x:f>SUM(E2_diario!K119,E2_diario!K161,E2_diario!K623,E2_diario!K665,E2_diario!K1127,E2_diario!K1169,E2_diario!K1631,E2_diario!K1673,E2_diario!K2135,E2_diario!K2177)</x:f>
        <x:v>0</x:v>
      </x:c>
      <x:c r="H77" s="2" t="n">
        <x:f>SUM(IF(E2_diario!J119="N1",1,0),IF(E2_diario!J161="N1",1,0),IF(E2_diario!J623="N1",1,0),IF(E2_diario!J665="N1",1,0),IF(E2_diario!J1127="N1",1,0),IF(E2_diario!J1169="N1",1,0),IF(E2_diario!J1631="N1",1,0),IF(E2_diario!J1673="N1",1,0),IF(E2_diario!J2135="N1",1,0),IF(E2_diario!J2177="N1",1,0))</x:f>
        <x:v>0</x:v>
      </x:c>
      <x:c r="I77" s="2" t="n">
        <x:f>SUM(IF(E2_diario!J119="N2",1,0),IF(E2_diario!J161="N2",1,0),IF(E2_diario!J623="N2",1,0),IF(E2_diario!J665="N2",1,0),IF(E2_diario!J1127="N2",1,0),IF(E2_diario!J1169="N2",1,0),IF(E2_diario!J1631="N2",1,0),IF(E2_diario!J1673="N2",1,0),IF(E2_diario!J2135="N2",1,0),IF(E2_diario!J2177="N2",1,0))</x:f>
        <x:v>0</x:v>
      </x:c>
      <x:c r="J77" s="2" t="n">
        <x:f>SUM(IF(E2_diario!J119="N3",1,0),IF(E2_diario!J161="N3",1,0),IF(E2_diario!J623="N3",1,0),IF(E2_diario!J665="N3",1,0),IF(E2_diario!J1127="N3",1,0),IF(E2_diario!J1169="N3",1,0),IF(E2_diario!J1631="N3",1,0),IF(E2_diario!J1673="N3",1,0),IF(E2_diario!J2135="N3",1,0),IF(E2_diario!J2177="N3",1,0))</x:f>
        <x:v>0</x:v>
      </x:c>
      <x:c r="K77" s="2" t="n">
        <x:f>SUM(IF(E2_diario!J119="N4",1,0),IF(E2_diario!J161="N4",1,0),IF(E2_diario!J623="N4",1,0),IF(E2_diario!J665="N4",1,0),IF(E2_diario!J1127="N4",1,0),IF(E2_diario!J1169="N4",1,0),IF(E2_diario!J1631="N4",1,0),IF(E2_diario!J1673="N4",1,0),IF(E2_diario!J2135="N4",1,0),IF(E2_diario!J2177="N4",1,0))</x:f>
        <x:v>0</x:v>
      </x:c>
      <x:c r="L77" s="2" t="n">
        <x:f>SUM(IF(E2_diario!J119="adulta",1,0),IF(E2_diario!J161="adulta",1,0),IF(E2_diario!J623="adulta",1,0),IF(E2_diario!J665="adulta",1,0),IF(E2_diario!J1127="adulta",1,0),IF(E2_diario!J1169="adulta",1,0),IF(E2_diario!J1631="adulta",1,0),IF(E2_diario!J1673="adulta",1,0),IF(E2_diario!J2135="adulta",1,0),IF(E2_diario!J2177="adulta",1,0))</x:f>
        <x:v>0</x:v>
      </x:c>
      <x:c r="M77" s="2" t="n">
        <x:f>SUM(E2_diario!L119,E2_diario!L161,E2_diario!L623,E2_diario!L665,E2_diario!L1127,E2_diario!L1169,E2_diario!L1631,E2_diario!L1673,E2_diario!L2135,E2_diario!L2177)</x:f>
        <x:v>0</x:v>
      </x:c>
      <x:c r="N77" s="20" t="n">
        <x:f>G77/F77</x:f>
        <x:v>0</x:v>
      </x:c>
      <x:c r="O77" s="20" t="n">
        <x:f>IF(G77=0,0,M77/G77)</x:f>
        <x:v>0</x:v>
      </x:c>
      <x:c r="P77" s="20" t="n">
        <x:f>N77*O77</x:f>
        <x:v>0</x:v>
      </x:c>
      <x:c r="Q77" s="20" t="n">
        <x:f>H77/F77</x:f>
        <x:v>0</x:v>
      </x:c>
      <x:c r="R77" s="20" t="n">
        <x:f>I77/F77</x:f>
        <x:v>0</x:v>
      </x:c>
      <x:c r="S77" s="20" t="n">
        <x:f>J77/F77</x:f>
        <x:v>0</x:v>
      </x:c>
      <x:c r="T77" s="20" t="n">
        <x:f>K77/F77</x:f>
        <x:v>0</x:v>
      </x:c>
      <x:c r="U77" s="20" t="n">
        <x:f>L77/F77</x:f>
        <x:v>0</x:v>
      </x:c>
      <x:c r="V77" s="20" t="n">
        <x:f>IF(L77=0,0,M77/L77)</x:f>
        <x:v>0</x:v>
      </x:c>
      <x:c r="W77" s="20" t="n">
        <x:f>SUM(P$44:P77)</x:f>
        <x:v>28.600000000000005</x:v>
      </x:c>
      <x:c r="X77" s="2" t="n">
        <x:f>E77+Supuestos!$C$15</x:f>
        <x:v>34</x:v>
      </x:c>
      <x:c r="Y77" s="2" t="n">
        <x:f>F77-G77</x:f>
        <x:v>10</x:v>
      </x:c>
      <x:c r="Z77" s="2" t="str">
        <x:v>simulado_didactico</x:v>
      </x:c>
    </x:row>
    <x:row r="78" ht="19" customHeight="1">
      <x:c r="A78" s="2" t="str">
        <x:v>MP_L8</x:v>
      </x:c>
      <x:c r="B78" s="2" t="str">
        <x:v>MP</x:v>
      </x:c>
      <x:c r="C78" s="2" t="str">
        <x:v>Myzus persicae</x:v>
      </x:c>
      <x:c r="D78" s="2" t="str">
        <x:v>L8</x:v>
      </x:c>
      <x:c r="E78" s="2" t="n">
        <x:v>34</x:v>
      </x:c>
      <x:c r="F78" s="2" t="n">
        <x:f>COUNTA(E2_plantas!A4,E2_plantas!A5,E2_plantas!A16,E2_plantas!A17,E2_plantas!A28,E2_plantas!A29,E2_plantas!A40,E2_plantas!A41,E2_plantas!A52,E2_plantas!A53)</x:f>
        <x:v>10</x:v>
      </x:c>
      <x:c r="G78" s="2" t="n">
        <x:f>SUM(E2_diario!K120,E2_diario!K162,E2_diario!K624,E2_diario!K666,E2_diario!K1128,E2_diario!K1170,E2_diario!K1632,E2_diario!K1674,E2_diario!K2136,E2_diario!K2178)</x:f>
        <x:v>0</x:v>
      </x:c>
      <x:c r="H78" s="2" t="n">
        <x:f>SUM(IF(E2_diario!J120="N1",1,0),IF(E2_diario!J162="N1",1,0),IF(E2_diario!J624="N1",1,0),IF(E2_diario!J666="N1",1,0),IF(E2_diario!J1128="N1",1,0),IF(E2_diario!J1170="N1",1,0),IF(E2_diario!J1632="N1",1,0),IF(E2_diario!J1674="N1",1,0),IF(E2_diario!J2136="N1",1,0),IF(E2_diario!J2178="N1",1,0))</x:f>
        <x:v>0</x:v>
      </x:c>
      <x:c r="I78" s="2" t="n">
        <x:f>SUM(IF(E2_diario!J120="N2",1,0),IF(E2_diario!J162="N2",1,0),IF(E2_diario!J624="N2",1,0),IF(E2_diario!J666="N2",1,0),IF(E2_diario!J1128="N2",1,0),IF(E2_diario!J1170="N2",1,0),IF(E2_diario!J1632="N2",1,0),IF(E2_diario!J1674="N2",1,0),IF(E2_diario!J2136="N2",1,0),IF(E2_diario!J2178="N2",1,0))</x:f>
        <x:v>0</x:v>
      </x:c>
      <x:c r="J78" s="2" t="n">
        <x:f>SUM(IF(E2_diario!J120="N3",1,0),IF(E2_diario!J162="N3",1,0),IF(E2_diario!J624="N3",1,0),IF(E2_diario!J666="N3",1,0),IF(E2_diario!J1128="N3",1,0),IF(E2_diario!J1170="N3",1,0),IF(E2_diario!J1632="N3",1,0),IF(E2_diario!J1674="N3",1,0),IF(E2_diario!J2136="N3",1,0),IF(E2_diario!J2178="N3",1,0))</x:f>
        <x:v>0</x:v>
      </x:c>
      <x:c r="K78" s="2" t="n">
        <x:f>SUM(IF(E2_diario!J120="N4",1,0),IF(E2_diario!J162="N4",1,0),IF(E2_diario!J624="N4",1,0),IF(E2_diario!J666="N4",1,0),IF(E2_diario!J1128="N4",1,0),IF(E2_diario!J1170="N4",1,0),IF(E2_diario!J1632="N4",1,0),IF(E2_diario!J1674="N4",1,0),IF(E2_diario!J2136="N4",1,0),IF(E2_diario!J2178="N4",1,0))</x:f>
        <x:v>0</x:v>
      </x:c>
      <x:c r="L78" s="2" t="n">
        <x:f>SUM(IF(E2_diario!J120="adulta",1,0),IF(E2_diario!J162="adulta",1,0),IF(E2_diario!J624="adulta",1,0),IF(E2_diario!J666="adulta",1,0),IF(E2_diario!J1128="adulta",1,0),IF(E2_diario!J1170="adulta",1,0),IF(E2_diario!J1632="adulta",1,0),IF(E2_diario!J1674="adulta",1,0),IF(E2_diario!J2136="adulta",1,0),IF(E2_diario!J2178="adulta",1,0))</x:f>
        <x:v>0</x:v>
      </x:c>
      <x:c r="M78" s="2" t="n">
        <x:f>SUM(E2_diario!L120,E2_diario!L162,E2_diario!L624,E2_diario!L666,E2_diario!L1128,E2_diario!L1170,E2_diario!L1632,E2_diario!L1674,E2_diario!L2136,E2_diario!L2178)</x:f>
        <x:v>0</x:v>
      </x:c>
      <x:c r="N78" s="20" t="n">
        <x:f>G78/F78</x:f>
        <x:v>0</x:v>
      </x:c>
      <x:c r="O78" s="20" t="n">
        <x:f>IF(G78=0,0,M78/G78)</x:f>
        <x:v>0</x:v>
      </x:c>
      <x:c r="P78" s="20" t="n">
        <x:f>N78*O78</x:f>
        <x:v>0</x:v>
      </x:c>
      <x:c r="Q78" s="20" t="n">
        <x:f>H78/F78</x:f>
        <x:v>0</x:v>
      </x:c>
      <x:c r="R78" s="20" t="n">
        <x:f>I78/F78</x:f>
        <x:v>0</x:v>
      </x:c>
      <x:c r="S78" s="20" t="n">
        <x:f>J78/F78</x:f>
        <x:v>0</x:v>
      </x:c>
      <x:c r="T78" s="20" t="n">
        <x:f>K78/F78</x:f>
        <x:v>0</x:v>
      </x:c>
      <x:c r="U78" s="20" t="n">
        <x:f>L78/F78</x:f>
        <x:v>0</x:v>
      </x:c>
      <x:c r="V78" s="20" t="n">
        <x:f>IF(L78=0,0,M78/L78)</x:f>
        <x:v>0</x:v>
      </x:c>
      <x:c r="W78" s="20" t="n">
        <x:f>SUM(P$44:P78)</x:f>
        <x:v>28.600000000000005</x:v>
      </x:c>
      <x:c r="X78" s="2" t="n">
        <x:f>E78+Supuestos!$C$15</x:f>
        <x:v>35</x:v>
      </x:c>
      <x:c r="Y78" s="2" t="n">
        <x:f>F78-G78</x:f>
        <x:v>10</x:v>
      </x:c>
      <x:c r="Z78" s="2" t="str">
        <x:v>simulado_didactico</x:v>
      </x:c>
    </x:row>
    <x:row r="79" ht="19" customHeight="1">
      <x:c r="A79" s="2" t="str">
        <x:v>MP_L8</x:v>
      </x:c>
      <x:c r="B79" s="2" t="str">
        <x:v>MP</x:v>
      </x:c>
      <x:c r="C79" s="2" t="str">
        <x:v>Myzus persicae</x:v>
      </x:c>
      <x:c r="D79" s="2" t="str">
        <x:v>L8</x:v>
      </x:c>
      <x:c r="E79" s="2" t="n">
        <x:v>35</x:v>
      </x:c>
      <x:c r="F79" s="2" t="n">
        <x:f>COUNTA(E2_plantas!A4,E2_plantas!A5,E2_plantas!A16,E2_plantas!A17,E2_plantas!A28,E2_plantas!A29,E2_plantas!A40,E2_plantas!A41,E2_plantas!A52,E2_plantas!A53)</x:f>
        <x:v>10</x:v>
      </x:c>
      <x:c r="G79" s="2" t="n">
        <x:f>SUM(E2_diario!K121,E2_diario!K163,E2_diario!K625,E2_diario!K667,E2_diario!K1129,E2_diario!K1171,E2_diario!K1633,E2_diario!K1675,E2_diario!K2137,E2_diario!K2179)</x:f>
        <x:v>0</x:v>
      </x:c>
      <x:c r="H79" s="2" t="n">
        <x:f>SUM(IF(E2_diario!J121="N1",1,0),IF(E2_diario!J163="N1",1,0),IF(E2_diario!J625="N1",1,0),IF(E2_diario!J667="N1",1,0),IF(E2_diario!J1129="N1",1,0),IF(E2_diario!J1171="N1",1,0),IF(E2_diario!J1633="N1",1,0),IF(E2_diario!J1675="N1",1,0),IF(E2_diario!J2137="N1",1,0),IF(E2_diario!J2179="N1",1,0))</x:f>
        <x:v>0</x:v>
      </x:c>
      <x:c r="I79" s="2" t="n">
        <x:f>SUM(IF(E2_diario!J121="N2",1,0),IF(E2_diario!J163="N2",1,0),IF(E2_diario!J625="N2",1,0),IF(E2_diario!J667="N2",1,0),IF(E2_diario!J1129="N2",1,0),IF(E2_diario!J1171="N2",1,0),IF(E2_diario!J1633="N2",1,0),IF(E2_diario!J1675="N2",1,0),IF(E2_diario!J2137="N2",1,0),IF(E2_diario!J2179="N2",1,0))</x:f>
        <x:v>0</x:v>
      </x:c>
      <x:c r="J79" s="2" t="n">
        <x:f>SUM(IF(E2_diario!J121="N3",1,0),IF(E2_diario!J163="N3",1,0),IF(E2_diario!J625="N3",1,0),IF(E2_diario!J667="N3",1,0),IF(E2_diario!J1129="N3",1,0),IF(E2_diario!J1171="N3",1,0),IF(E2_diario!J1633="N3",1,0),IF(E2_diario!J1675="N3",1,0),IF(E2_diario!J2137="N3",1,0),IF(E2_diario!J2179="N3",1,0))</x:f>
        <x:v>0</x:v>
      </x:c>
      <x:c r="K79" s="2" t="n">
        <x:f>SUM(IF(E2_diario!J121="N4",1,0),IF(E2_diario!J163="N4",1,0),IF(E2_diario!J625="N4",1,0),IF(E2_diario!J667="N4",1,0),IF(E2_diario!J1129="N4",1,0),IF(E2_diario!J1171="N4",1,0),IF(E2_diario!J1633="N4",1,0),IF(E2_diario!J1675="N4",1,0),IF(E2_diario!J2137="N4",1,0),IF(E2_diario!J2179="N4",1,0))</x:f>
        <x:v>0</x:v>
      </x:c>
      <x:c r="L79" s="2" t="n">
        <x:f>SUM(IF(E2_diario!J121="adulta",1,0),IF(E2_diario!J163="adulta",1,0),IF(E2_diario!J625="adulta",1,0),IF(E2_diario!J667="adulta",1,0),IF(E2_diario!J1129="adulta",1,0),IF(E2_diario!J1171="adulta",1,0),IF(E2_diario!J1633="adulta",1,0),IF(E2_diario!J1675="adulta",1,0),IF(E2_diario!J2137="adulta",1,0),IF(E2_diario!J2179="adulta",1,0))</x:f>
        <x:v>0</x:v>
      </x:c>
      <x:c r="M79" s="2" t="n">
        <x:f>SUM(E2_diario!L121,E2_diario!L163,E2_diario!L625,E2_diario!L667,E2_diario!L1129,E2_diario!L1171,E2_diario!L1633,E2_diario!L1675,E2_diario!L2137,E2_diario!L2179)</x:f>
        <x:v>0</x:v>
      </x:c>
      <x:c r="N79" s="20" t="n">
        <x:f>G79/F79</x:f>
        <x:v>0</x:v>
      </x:c>
      <x:c r="O79" s="20" t="n">
        <x:f>IF(G79=0,0,M79/G79)</x:f>
        <x:v>0</x:v>
      </x:c>
      <x:c r="P79" s="20" t="n">
        <x:f>N79*O79</x:f>
        <x:v>0</x:v>
      </x:c>
      <x:c r="Q79" s="20" t="n">
        <x:f>H79/F79</x:f>
        <x:v>0</x:v>
      </x:c>
      <x:c r="R79" s="20" t="n">
        <x:f>I79/F79</x:f>
        <x:v>0</x:v>
      </x:c>
      <x:c r="S79" s="20" t="n">
        <x:f>J79/F79</x:f>
        <x:v>0</x:v>
      </x:c>
      <x:c r="T79" s="20" t="n">
        <x:f>K79/F79</x:f>
        <x:v>0</x:v>
      </x:c>
      <x:c r="U79" s="20" t="n">
        <x:f>L79/F79</x:f>
        <x:v>0</x:v>
      </x:c>
      <x:c r="V79" s="20" t="n">
        <x:f>IF(L79=0,0,M79/L79)</x:f>
        <x:v>0</x:v>
      </x:c>
      <x:c r="W79" s="20" t="n">
        <x:f>SUM(P$44:P79)</x:f>
        <x:v>28.600000000000005</x:v>
      </x:c>
      <x:c r="X79" s="2" t="n">
        <x:f>E79+Supuestos!$C$15</x:f>
        <x:v>36</x:v>
      </x:c>
      <x:c r="Y79" s="2" t="n">
        <x:f>F79-G79</x:f>
        <x:v>10</x:v>
      </x:c>
      <x:c r="Z79" s="2" t="str">
        <x:v>simulado_didactico</x:v>
      </x:c>
    </x:row>
    <x:row r="80" ht="19" customHeight="1">
      <x:c r="A80" s="2" t="str">
        <x:v>MP_L8</x:v>
      </x:c>
      <x:c r="B80" s="2" t="str">
        <x:v>MP</x:v>
      </x:c>
      <x:c r="C80" s="2" t="str">
        <x:v>Myzus persicae</x:v>
      </x:c>
      <x:c r="D80" s="2" t="str">
        <x:v>L8</x:v>
      </x:c>
      <x:c r="E80" s="2" t="n">
        <x:v>36</x:v>
      </x:c>
      <x:c r="F80" s="2" t="n">
        <x:f>COUNTA(E2_plantas!A4,E2_plantas!A5,E2_plantas!A16,E2_plantas!A17,E2_plantas!A28,E2_plantas!A29,E2_plantas!A40,E2_plantas!A41,E2_plantas!A52,E2_plantas!A53)</x:f>
        <x:v>10</x:v>
      </x:c>
      <x:c r="G80" s="2" t="n">
        <x:f>SUM(E2_diario!K122,E2_diario!K164,E2_diario!K626,E2_diario!K668,E2_diario!K1130,E2_diario!K1172,E2_diario!K1634,E2_diario!K1676,E2_diario!K2138,E2_diario!K2180)</x:f>
        <x:v>0</x:v>
      </x:c>
      <x:c r="H80" s="2" t="n">
        <x:f>SUM(IF(E2_diario!J122="N1",1,0),IF(E2_diario!J164="N1",1,0),IF(E2_diario!J626="N1",1,0),IF(E2_diario!J668="N1",1,0),IF(E2_diario!J1130="N1",1,0),IF(E2_diario!J1172="N1",1,0),IF(E2_diario!J1634="N1",1,0),IF(E2_diario!J1676="N1",1,0),IF(E2_diario!J2138="N1",1,0),IF(E2_diario!J2180="N1",1,0))</x:f>
        <x:v>0</x:v>
      </x:c>
      <x:c r="I80" s="2" t="n">
        <x:f>SUM(IF(E2_diario!J122="N2",1,0),IF(E2_diario!J164="N2",1,0),IF(E2_diario!J626="N2",1,0),IF(E2_diario!J668="N2",1,0),IF(E2_diario!J1130="N2",1,0),IF(E2_diario!J1172="N2",1,0),IF(E2_diario!J1634="N2",1,0),IF(E2_diario!J1676="N2",1,0),IF(E2_diario!J2138="N2",1,0),IF(E2_diario!J2180="N2",1,0))</x:f>
        <x:v>0</x:v>
      </x:c>
      <x:c r="J80" s="2" t="n">
        <x:f>SUM(IF(E2_diario!J122="N3",1,0),IF(E2_diario!J164="N3",1,0),IF(E2_diario!J626="N3",1,0),IF(E2_diario!J668="N3",1,0),IF(E2_diario!J1130="N3",1,0),IF(E2_diario!J1172="N3",1,0),IF(E2_diario!J1634="N3",1,0),IF(E2_diario!J1676="N3",1,0),IF(E2_diario!J2138="N3",1,0),IF(E2_diario!J2180="N3",1,0))</x:f>
        <x:v>0</x:v>
      </x:c>
      <x:c r="K80" s="2" t="n">
        <x:f>SUM(IF(E2_diario!J122="N4",1,0),IF(E2_diario!J164="N4",1,0),IF(E2_diario!J626="N4",1,0),IF(E2_diario!J668="N4",1,0),IF(E2_diario!J1130="N4",1,0),IF(E2_diario!J1172="N4",1,0),IF(E2_diario!J1634="N4",1,0),IF(E2_diario!J1676="N4",1,0),IF(E2_diario!J2138="N4",1,0),IF(E2_diario!J2180="N4",1,0))</x:f>
        <x:v>0</x:v>
      </x:c>
      <x:c r="L80" s="2" t="n">
        <x:f>SUM(IF(E2_diario!J122="adulta",1,0),IF(E2_diario!J164="adulta",1,0),IF(E2_diario!J626="adulta",1,0),IF(E2_diario!J668="adulta",1,0),IF(E2_diario!J1130="adulta",1,0),IF(E2_diario!J1172="adulta",1,0),IF(E2_diario!J1634="adulta",1,0),IF(E2_diario!J1676="adulta",1,0),IF(E2_diario!J2138="adulta",1,0),IF(E2_diario!J2180="adulta",1,0))</x:f>
        <x:v>0</x:v>
      </x:c>
      <x:c r="M80" s="2" t="n">
        <x:f>SUM(E2_diario!L122,E2_diario!L164,E2_diario!L626,E2_diario!L668,E2_diario!L1130,E2_diario!L1172,E2_diario!L1634,E2_diario!L1676,E2_diario!L2138,E2_diario!L2180)</x:f>
        <x:v>0</x:v>
      </x:c>
      <x:c r="N80" s="20" t="n">
        <x:f>G80/F80</x:f>
        <x:v>0</x:v>
      </x:c>
      <x:c r="O80" s="20" t="n">
        <x:f>IF(G80=0,0,M80/G80)</x:f>
        <x:v>0</x:v>
      </x:c>
      <x:c r="P80" s="20" t="n">
        <x:f>N80*O80</x:f>
        <x:v>0</x:v>
      </x:c>
      <x:c r="Q80" s="20" t="n">
        <x:f>H80/F80</x:f>
        <x:v>0</x:v>
      </x:c>
      <x:c r="R80" s="20" t="n">
        <x:f>I80/F80</x:f>
        <x:v>0</x:v>
      </x:c>
      <x:c r="S80" s="20" t="n">
        <x:f>J80/F80</x:f>
        <x:v>0</x:v>
      </x:c>
      <x:c r="T80" s="20" t="n">
        <x:f>K80/F80</x:f>
        <x:v>0</x:v>
      </x:c>
      <x:c r="U80" s="20" t="n">
        <x:f>L80/F80</x:f>
        <x:v>0</x:v>
      </x:c>
      <x:c r="V80" s="20" t="n">
        <x:f>IF(L80=0,0,M80/L80)</x:f>
        <x:v>0</x:v>
      </x:c>
      <x:c r="W80" s="20" t="n">
        <x:f>SUM(P$44:P80)</x:f>
        <x:v>28.600000000000005</x:v>
      </x:c>
      <x:c r="X80" s="2" t="n">
        <x:f>E80+Supuestos!$C$15</x:f>
        <x:v>37</x:v>
      </x:c>
      <x:c r="Y80" s="2" t="n">
        <x:f>F80-G80</x:f>
        <x:v>10</x:v>
      </x:c>
      <x:c r="Z80" s="2" t="str">
        <x:v>simulado_didactico</x:v>
      </x:c>
    </x:row>
    <x:row r="81" ht="19" customHeight="1">
      <x:c r="A81" s="2" t="str">
        <x:v>MP_L8</x:v>
      </x:c>
      <x:c r="B81" s="2" t="str">
        <x:v>MP</x:v>
      </x:c>
      <x:c r="C81" s="2" t="str">
        <x:v>Myzus persicae</x:v>
      </x:c>
      <x:c r="D81" s="2" t="str">
        <x:v>L8</x:v>
      </x:c>
      <x:c r="E81" s="2" t="n">
        <x:v>37</x:v>
      </x:c>
      <x:c r="F81" s="2" t="n">
        <x:f>COUNTA(E2_plantas!A4,E2_plantas!A5,E2_plantas!A16,E2_plantas!A17,E2_plantas!A28,E2_plantas!A29,E2_plantas!A40,E2_plantas!A41,E2_plantas!A52,E2_plantas!A53)</x:f>
        <x:v>10</x:v>
      </x:c>
      <x:c r="G81" s="2" t="n">
        <x:f>SUM(E2_diario!K123,E2_diario!K165,E2_diario!K627,E2_diario!K669,E2_diario!K1131,E2_diario!K1173,E2_diario!K1635,E2_diario!K1677,E2_diario!K2139,E2_diario!K2181)</x:f>
        <x:v>0</x:v>
      </x:c>
      <x:c r="H81" s="2" t="n">
        <x:f>SUM(IF(E2_diario!J123="N1",1,0),IF(E2_diario!J165="N1",1,0),IF(E2_diario!J627="N1",1,0),IF(E2_diario!J669="N1",1,0),IF(E2_diario!J1131="N1",1,0),IF(E2_diario!J1173="N1",1,0),IF(E2_diario!J1635="N1",1,0),IF(E2_diario!J1677="N1",1,0),IF(E2_diario!J2139="N1",1,0),IF(E2_diario!J2181="N1",1,0))</x:f>
        <x:v>0</x:v>
      </x:c>
      <x:c r="I81" s="2" t="n">
        <x:f>SUM(IF(E2_diario!J123="N2",1,0),IF(E2_diario!J165="N2",1,0),IF(E2_diario!J627="N2",1,0),IF(E2_diario!J669="N2",1,0),IF(E2_diario!J1131="N2",1,0),IF(E2_diario!J1173="N2",1,0),IF(E2_diario!J1635="N2",1,0),IF(E2_diario!J1677="N2",1,0),IF(E2_diario!J2139="N2",1,0),IF(E2_diario!J2181="N2",1,0))</x:f>
        <x:v>0</x:v>
      </x:c>
      <x:c r="J81" s="2" t="n">
        <x:f>SUM(IF(E2_diario!J123="N3",1,0),IF(E2_diario!J165="N3",1,0),IF(E2_diario!J627="N3",1,0),IF(E2_diario!J669="N3",1,0),IF(E2_diario!J1131="N3",1,0),IF(E2_diario!J1173="N3",1,0),IF(E2_diario!J1635="N3",1,0),IF(E2_diario!J1677="N3",1,0),IF(E2_diario!J2139="N3",1,0),IF(E2_diario!J2181="N3",1,0))</x:f>
        <x:v>0</x:v>
      </x:c>
      <x:c r="K81" s="2" t="n">
        <x:f>SUM(IF(E2_diario!J123="N4",1,0),IF(E2_diario!J165="N4",1,0),IF(E2_diario!J627="N4",1,0),IF(E2_diario!J669="N4",1,0),IF(E2_diario!J1131="N4",1,0),IF(E2_diario!J1173="N4",1,0),IF(E2_diario!J1635="N4",1,0),IF(E2_diario!J1677="N4",1,0),IF(E2_diario!J2139="N4",1,0),IF(E2_diario!J2181="N4",1,0))</x:f>
        <x:v>0</x:v>
      </x:c>
      <x:c r="L81" s="2" t="n">
        <x:f>SUM(IF(E2_diario!J123="adulta",1,0),IF(E2_diario!J165="adulta",1,0),IF(E2_diario!J627="adulta",1,0),IF(E2_diario!J669="adulta",1,0),IF(E2_diario!J1131="adulta",1,0),IF(E2_diario!J1173="adulta",1,0),IF(E2_diario!J1635="adulta",1,0),IF(E2_diario!J1677="adulta",1,0),IF(E2_diario!J2139="adulta",1,0),IF(E2_diario!J2181="adulta",1,0))</x:f>
        <x:v>0</x:v>
      </x:c>
      <x:c r="M81" s="2" t="n">
        <x:f>SUM(E2_diario!L123,E2_diario!L165,E2_diario!L627,E2_diario!L669,E2_diario!L1131,E2_diario!L1173,E2_diario!L1635,E2_diario!L1677,E2_diario!L2139,E2_diario!L2181)</x:f>
        <x:v>0</x:v>
      </x:c>
      <x:c r="N81" s="20" t="n">
        <x:f>G81/F81</x:f>
        <x:v>0</x:v>
      </x:c>
      <x:c r="O81" s="20" t="n">
        <x:f>IF(G81=0,0,M81/G81)</x:f>
        <x:v>0</x:v>
      </x:c>
      <x:c r="P81" s="20" t="n">
        <x:f>N81*O81</x:f>
        <x:v>0</x:v>
      </x:c>
      <x:c r="Q81" s="20" t="n">
        <x:f>H81/F81</x:f>
        <x:v>0</x:v>
      </x:c>
      <x:c r="R81" s="20" t="n">
        <x:f>I81/F81</x:f>
        <x:v>0</x:v>
      </x:c>
      <x:c r="S81" s="20" t="n">
        <x:f>J81/F81</x:f>
        <x:v>0</x:v>
      </x:c>
      <x:c r="T81" s="20" t="n">
        <x:f>K81/F81</x:f>
        <x:v>0</x:v>
      </x:c>
      <x:c r="U81" s="20" t="n">
        <x:f>L81/F81</x:f>
        <x:v>0</x:v>
      </x:c>
      <x:c r="V81" s="20" t="n">
        <x:f>IF(L81=0,0,M81/L81)</x:f>
        <x:v>0</x:v>
      </x:c>
      <x:c r="W81" s="20" t="n">
        <x:f>SUM(P$44:P81)</x:f>
        <x:v>28.600000000000005</x:v>
      </x:c>
      <x:c r="X81" s="2" t="n">
        <x:f>E81+Supuestos!$C$15</x:f>
        <x:v>38</x:v>
      </x:c>
      <x:c r="Y81" s="2" t="n">
        <x:f>F81-G81</x:f>
        <x:v>10</x:v>
      </x:c>
      <x:c r="Z81" s="2" t="str">
        <x:v>simulado_didactico</x:v>
      </x:c>
    </x:row>
    <x:row r="82" ht="19" customHeight="1">
      <x:c r="A82" s="2" t="str">
        <x:v>MP_L8</x:v>
      </x:c>
      <x:c r="B82" s="2" t="str">
        <x:v>MP</x:v>
      </x:c>
      <x:c r="C82" s="2" t="str">
        <x:v>Myzus persicae</x:v>
      </x:c>
      <x:c r="D82" s="2" t="str">
        <x:v>L8</x:v>
      </x:c>
      <x:c r="E82" s="2" t="n">
        <x:v>38</x:v>
      </x:c>
      <x:c r="F82" s="2" t="n">
        <x:f>COUNTA(E2_plantas!A4,E2_plantas!A5,E2_plantas!A16,E2_plantas!A17,E2_plantas!A28,E2_plantas!A29,E2_plantas!A40,E2_plantas!A41,E2_plantas!A52,E2_plantas!A53)</x:f>
        <x:v>10</x:v>
      </x:c>
      <x:c r="G82" s="2" t="n">
        <x:f>SUM(E2_diario!K124,E2_diario!K166,E2_diario!K628,E2_diario!K670,E2_diario!K1132,E2_diario!K1174,E2_diario!K1636,E2_diario!K1678,E2_diario!K2140,E2_diario!K2182)</x:f>
        <x:v>0</x:v>
      </x:c>
      <x:c r="H82" s="2" t="n">
        <x:f>SUM(IF(E2_diario!J124="N1",1,0),IF(E2_diario!J166="N1",1,0),IF(E2_diario!J628="N1",1,0),IF(E2_diario!J670="N1",1,0),IF(E2_diario!J1132="N1",1,0),IF(E2_diario!J1174="N1",1,0),IF(E2_diario!J1636="N1",1,0),IF(E2_diario!J1678="N1",1,0),IF(E2_diario!J2140="N1",1,0),IF(E2_diario!J2182="N1",1,0))</x:f>
        <x:v>0</x:v>
      </x:c>
      <x:c r="I82" s="2" t="n">
        <x:f>SUM(IF(E2_diario!J124="N2",1,0),IF(E2_diario!J166="N2",1,0),IF(E2_diario!J628="N2",1,0),IF(E2_diario!J670="N2",1,0),IF(E2_diario!J1132="N2",1,0),IF(E2_diario!J1174="N2",1,0),IF(E2_diario!J1636="N2",1,0),IF(E2_diario!J1678="N2",1,0),IF(E2_diario!J2140="N2",1,0),IF(E2_diario!J2182="N2",1,0))</x:f>
        <x:v>0</x:v>
      </x:c>
      <x:c r="J82" s="2" t="n">
        <x:f>SUM(IF(E2_diario!J124="N3",1,0),IF(E2_diario!J166="N3",1,0),IF(E2_diario!J628="N3",1,0),IF(E2_diario!J670="N3",1,0),IF(E2_diario!J1132="N3",1,0),IF(E2_diario!J1174="N3",1,0),IF(E2_diario!J1636="N3",1,0),IF(E2_diario!J1678="N3",1,0),IF(E2_diario!J2140="N3",1,0),IF(E2_diario!J2182="N3",1,0))</x:f>
        <x:v>0</x:v>
      </x:c>
      <x:c r="K82" s="2" t="n">
        <x:f>SUM(IF(E2_diario!J124="N4",1,0),IF(E2_diario!J166="N4",1,0),IF(E2_diario!J628="N4",1,0),IF(E2_diario!J670="N4",1,0),IF(E2_diario!J1132="N4",1,0),IF(E2_diario!J1174="N4",1,0),IF(E2_diario!J1636="N4",1,0),IF(E2_diario!J1678="N4",1,0),IF(E2_diario!J2140="N4",1,0),IF(E2_diario!J2182="N4",1,0))</x:f>
        <x:v>0</x:v>
      </x:c>
      <x:c r="L82" s="2" t="n">
        <x:f>SUM(IF(E2_diario!J124="adulta",1,0),IF(E2_diario!J166="adulta",1,0),IF(E2_diario!J628="adulta",1,0),IF(E2_diario!J670="adulta",1,0),IF(E2_diario!J1132="adulta",1,0),IF(E2_diario!J1174="adulta",1,0),IF(E2_diario!J1636="adulta",1,0),IF(E2_diario!J1678="adulta",1,0),IF(E2_diario!J2140="adulta",1,0),IF(E2_diario!J2182="adulta",1,0))</x:f>
        <x:v>0</x:v>
      </x:c>
      <x:c r="M82" s="2" t="n">
        <x:f>SUM(E2_diario!L124,E2_diario!L166,E2_diario!L628,E2_diario!L670,E2_diario!L1132,E2_diario!L1174,E2_diario!L1636,E2_diario!L1678,E2_diario!L2140,E2_diario!L2182)</x:f>
        <x:v>0</x:v>
      </x:c>
      <x:c r="N82" s="20" t="n">
        <x:f>G82/F82</x:f>
        <x:v>0</x:v>
      </x:c>
      <x:c r="O82" s="20" t="n">
        <x:f>IF(G82=0,0,M82/G82)</x:f>
        <x:v>0</x:v>
      </x:c>
      <x:c r="P82" s="20" t="n">
        <x:f>N82*O82</x:f>
        <x:v>0</x:v>
      </x:c>
      <x:c r="Q82" s="20" t="n">
        <x:f>H82/F82</x:f>
        <x:v>0</x:v>
      </x:c>
      <x:c r="R82" s="20" t="n">
        <x:f>I82/F82</x:f>
        <x:v>0</x:v>
      </x:c>
      <x:c r="S82" s="20" t="n">
        <x:f>J82/F82</x:f>
        <x:v>0</x:v>
      </x:c>
      <x:c r="T82" s="20" t="n">
        <x:f>K82/F82</x:f>
        <x:v>0</x:v>
      </x:c>
      <x:c r="U82" s="20" t="n">
        <x:f>L82/F82</x:f>
        <x:v>0</x:v>
      </x:c>
      <x:c r="V82" s="20" t="n">
        <x:f>IF(L82=0,0,M82/L82)</x:f>
        <x:v>0</x:v>
      </x:c>
      <x:c r="W82" s="20" t="n">
        <x:f>SUM(P$44:P82)</x:f>
        <x:v>28.600000000000005</x:v>
      </x:c>
      <x:c r="X82" s="2" t="n">
        <x:f>E82+Supuestos!$C$15</x:f>
        <x:v>39</x:v>
      </x:c>
      <x:c r="Y82" s="2" t="n">
        <x:f>F82-G82</x:f>
        <x:v>10</x:v>
      </x:c>
      <x:c r="Z82" s="2" t="str">
        <x:v>simulado_didactico</x:v>
      </x:c>
    </x:row>
    <x:row r="83" ht="19" customHeight="1">
      <x:c r="A83" s="2" t="str">
        <x:v>MP_L8</x:v>
      </x:c>
      <x:c r="B83" s="2" t="str">
        <x:v>MP</x:v>
      </x:c>
      <x:c r="C83" s="2" t="str">
        <x:v>Myzus persicae</x:v>
      </x:c>
      <x:c r="D83" s="2" t="str">
        <x:v>L8</x:v>
      </x:c>
      <x:c r="E83" s="2" t="n">
        <x:v>39</x:v>
      </x:c>
      <x:c r="F83" s="2" t="n">
        <x:f>COUNTA(E2_plantas!A4,E2_plantas!A5,E2_plantas!A16,E2_plantas!A17,E2_plantas!A28,E2_plantas!A29,E2_plantas!A40,E2_plantas!A41,E2_plantas!A52,E2_plantas!A53)</x:f>
        <x:v>10</x:v>
      </x:c>
      <x:c r="G83" s="2" t="n">
        <x:f>SUM(E2_diario!K125,E2_diario!K167,E2_diario!K629,E2_diario!K671,E2_diario!K1133,E2_diario!K1175,E2_diario!K1637,E2_diario!K1679,E2_diario!K2141,E2_diario!K2183)</x:f>
        <x:v>0</x:v>
      </x:c>
      <x:c r="H83" s="2" t="n">
        <x:f>SUM(IF(E2_diario!J125="N1",1,0),IF(E2_diario!J167="N1",1,0),IF(E2_diario!J629="N1",1,0),IF(E2_diario!J671="N1",1,0),IF(E2_diario!J1133="N1",1,0),IF(E2_diario!J1175="N1",1,0),IF(E2_diario!J1637="N1",1,0),IF(E2_diario!J1679="N1",1,0),IF(E2_diario!J2141="N1",1,0),IF(E2_diario!J2183="N1",1,0))</x:f>
        <x:v>0</x:v>
      </x:c>
      <x:c r="I83" s="2" t="n">
        <x:f>SUM(IF(E2_diario!J125="N2",1,0),IF(E2_diario!J167="N2",1,0),IF(E2_diario!J629="N2",1,0),IF(E2_diario!J671="N2",1,0),IF(E2_diario!J1133="N2",1,0),IF(E2_diario!J1175="N2",1,0),IF(E2_diario!J1637="N2",1,0),IF(E2_diario!J1679="N2",1,0),IF(E2_diario!J2141="N2",1,0),IF(E2_diario!J2183="N2",1,0))</x:f>
        <x:v>0</x:v>
      </x:c>
      <x:c r="J83" s="2" t="n">
        <x:f>SUM(IF(E2_diario!J125="N3",1,0),IF(E2_diario!J167="N3",1,0),IF(E2_diario!J629="N3",1,0),IF(E2_diario!J671="N3",1,0),IF(E2_diario!J1133="N3",1,0),IF(E2_diario!J1175="N3",1,0),IF(E2_diario!J1637="N3",1,0),IF(E2_diario!J1679="N3",1,0),IF(E2_diario!J2141="N3",1,0),IF(E2_diario!J2183="N3",1,0))</x:f>
        <x:v>0</x:v>
      </x:c>
      <x:c r="K83" s="2" t="n">
        <x:f>SUM(IF(E2_diario!J125="N4",1,0),IF(E2_diario!J167="N4",1,0),IF(E2_diario!J629="N4",1,0),IF(E2_diario!J671="N4",1,0),IF(E2_diario!J1133="N4",1,0),IF(E2_diario!J1175="N4",1,0),IF(E2_diario!J1637="N4",1,0),IF(E2_diario!J1679="N4",1,0),IF(E2_diario!J2141="N4",1,0),IF(E2_diario!J2183="N4",1,0))</x:f>
        <x:v>0</x:v>
      </x:c>
      <x:c r="L83" s="2" t="n">
        <x:f>SUM(IF(E2_diario!J125="adulta",1,0),IF(E2_diario!J167="adulta",1,0),IF(E2_diario!J629="adulta",1,0),IF(E2_diario!J671="adulta",1,0),IF(E2_diario!J1133="adulta",1,0),IF(E2_diario!J1175="adulta",1,0),IF(E2_diario!J1637="adulta",1,0),IF(E2_diario!J1679="adulta",1,0),IF(E2_diario!J2141="adulta",1,0),IF(E2_diario!J2183="adulta",1,0))</x:f>
        <x:v>0</x:v>
      </x:c>
      <x:c r="M83" s="2" t="n">
        <x:f>SUM(E2_diario!L125,E2_diario!L167,E2_diario!L629,E2_diario!L671,E2_diario!L1133,E2_diario!L1175,E2_diario!L1637,E2_diario!L1679,E2_diario!L2141,E2_diario!L2183)</x:f>
        <x:v>0</x:v>
      </x:c>
      <x:c r="N83" s="20" t="n">
        <x:f>G83/F83</x:f>
        <x:v>0</x:v>
      </x:c>
      <x:c r="O83" s="20" t="n">
        <x:f>IF(G83=0,0,M83/G83)</x:f>
        <x:v>0</x:v>
      </x:c>
      <x:c r="P83" s="20" t="n">
        <x:f>N83*O83</x:f>
        <x:v>0</x:v>
      </x:c>
      <x:c r="Q83" s="20" t="n">
        <x:f>H83/F83</x:f>
        <x:v>0</x:v>
      </x:c>
      <x:c r="R83" s="20" t="n">
        <x:f>I83/F83</x:f>
        <x:v>0</x:v>
      </x:c>
      <x:c r="S83" s="20" t="n">
        <x:f>J83/F83</x:f>
        <x:v>0</x:v>
      </x:c>
      <x:c r="T83" s="20" t="n">
        <x:f>K83/F83</x:f>
        <x:v>0</x:v>
      </x:c>
      <x:c r="U83" s="20" t="n">
        <x:f>L83/F83</x:f>
        <x:v>0</x:v>
      </x:c>
      <x:c r="V83" s="20" t="n">
        <x:f>IF(L83=0,0,M83/L83)</x:f>
        <x:v>0</x:v>
      </x:c>
      <x:c r="W83" s="20" t="n">
        <x:f>SUM(P$44:P83)</x:f>
        <x:v>28.600000000000005</x:v>
      </x:c>
      <x:c r="X83" s="2" t="n">
        <x:f>E83+Supuestos!$C$15</x:f>
        <x:v>40</x:v>
      </x:c>
      <x:c r="Y83" s="2" t="n">
        <x:f>F83-G83</x:f>
        <x:v>10</x:v>
      </x:c>
      <x:c r="Z83" s="2" t="str">
        <x:v>simulado_didactico</x:v>
      </x:c>
    </x:row>
    <x:row r="84" ht="19" customHeight="1">
      <x:c r="A84" s="2" t="str">
        <x:v>MP_L8</x:v>
      </x:c>
      <x:c r="B84" s="2" t="str">
        <x:v>MP</x:v>
      </x:c>
      <x:c r="C84" s="2" t="str">
        <x:v>Myzus persicae</x:v>
      </x:c>
      <x:c r="D84" s="2" t="str">
        <x:v>L8</x:v>
      </x:c>
      <x:c r="E84" s="2" t="n">
        <x:v>40</x:v>
      </x:c>
      <x:c r="F84" s="2" t="n">
        <x:f>COUNTA(E2_plantas!A4,E2_plantas!A5,E2_plantas!A16,E2_plantas!A17,E2_plantas!A28,E2_plantas!A29,E2_plantas!A40,E2_plantas!A41,E2_plantas!A52,E2_plantas!A53)</x:f>
        <x:v>10</x:v>
      </x:c>
      <x:c r="G84" s="2" t="n">
        <x:f>SUM(E2_diario!K126,E2_diario!K168,E2_diario!K630,E2_diario!K672,E2_diario!K1134,E2_diario!K1176,E2_diario!K1638,E2_diario!K1680,E2_diario!K2142,E2_diario!K2184)</x:f>
        <x:v>0</x:v>
      </x:c>
      <x:c r="H84" s="2" t="n">
        <x:f>SUM(IF(E2_diario!J126="N1",1,0),IF(E2_diario!J168="N1",1,0),IF(E2_diario!J630="N1",1,0),IF(E2_diario!J672="N1",1,0),IF(E2_diario!J1134="N1",1,0),IF(E2_diario!J1176="N1",1,0),IF(E2_diario!J1638="N1",1,0),IF(E2_diario!J1680="N1",1,0),IF(E2_diario!J2142="N1",1,0),IF(E2_diario!J2184="N1",1,0))</x:f>
        <x:v>0</x:v>
      </x:c>
      <x:c r="I84" s="2" t="n">
        <x:f>SUM(IF(E2_diario!J126="N2",1,0),IF(E2_diario!J168="N2",1,0),IF(E2_diario!J630="N2",1,0),IF(E2_diario!J672="N2",1,0),IF(E2_diario!J1134="N2",1,0),IF(E2_diario!J1176="N2",1,0),IF(E2_diario!J1638="N2",1,0),IF(E2_diario!J1680="N2",1,0),IF(E2_diario!J2142="N2",1,0),IF(E2_diario!J2184="N2",1,0))</x:f>
        <x:v>0</x:v>
      </x:c>
      <x:c r="J84" s="2" t="n">
        <x:f>SUM(IF(E2_diario!J126="N3",1,0),IF(E2_diario!J168="N3",1,0),IF(E2_diario!J630="N3",1,0),IF(E2_diario!J672="N3",1,0),IF(E2_diario!J1134="N3",1,0),IF(E2_diario!J1176="N3",1,0),IF(E2_diario!J1638="N3",1,0),IF(E2_diario!J1680="N3",1,0),IF(E2_diario!J2142="N3",1,0),IF(E2_diario!J2184="N3",1,0))</x:f>
        <x:v>0</x:v>
      </x:c>
      <x:c r="K84" s="2" t="n">
        <x:f>SUM(IF(E2_diario!J126="N4",1,0),IF(E2_diario!J168="N4",1,0),IF(E2_diario!J630="N4",1,0),IF(E2_diario!J672="N4",1,0),IF(E2_diario!J1134="N4",1,0),IF(E2_diario!J1176="N4",1,0),IF(E2_diario!J1638="N4",1,0),IF(E2_diario!J1680="N4",1,0),IF(E2_diario!J2142="N4",1,0),IF(E2_diario!J2184="N4",1,0))</x:f>
        <x:v>0</x:v>
      </x:c>
      <x:c r="L84" s="2" t="n">
        <x:f>SUM(IF(E2_diario!J126="adulta",1,0),IF(E2_diario!J168="adulta",1,0),IF(E2_diario!J630="adulta",1,0),IF(E2_diario!J672="adulta",1,0),IF(E2_diario!J1134="adulta",1,0),IF(E2_diario!J1176="adulta",1,0),IF(E2_diario!J1638="adulta",1,0),IF(E2_diario!J1680="adulta",1,0),IF(E2_diario!J2142="adulta",1,0),IF(E2_diario!J2184="adulta",1,0))</x:f>
        <x:v>0</x:v>
      </x:c>
      <x:c r="M84" s="2" t="n">
        <x:f>SUM(E2_diario!L126,E2_diario!L168,E2_diario!L630,E2_diario!L672,E2_diario!L1134,E2_diario!L1176,E2_diario!L1638,E2_diario!L1680,E2_diario!L2142,E2_diario!L2184)</x:f>
        <x:v>0</x:v>
      </x:c>
      <x:c r="N84" s="20" t="n">
        <x:f>G84/F84</x:f>
        <x:v>0</x:v>
      </x:c>
      <x:c r="O84" s="20" t="n">
        <x:f>IF(G84=0,0,M84/G84)</x:f>
        <x:v>0</x:v>
      </x:c>
      <x:c r="P84" s="20" t="n">
        <x:f>N84*O84</x:f>
        <x:v>0</x:v>
      </x:c>
      <x:c r="Q84" s="20" t="n">
        <x:f>H84/F84</x:f>
        <x:v>0</x:v>
      </x:c>
      <x:c r="R84" s="20" t="n">
        <x:f>I84/F84</x:f>
        <x:v>0</x:v>
      </x:c>
      <x:c r="S84" s="20" t="n">
        <x:f>J84/F84</x:f>
        <x:v>0</x:v>
      </x:c>
      <x:c r="T84" s="20" t="n">
        <x:f>K84/F84</x:f>
        <x:v>0</x:v>
      </x:c>
      <x:c r="U84" s="20" t="n">
        <x:f>L84/F84</x:f>
        <x:v>0</x:v>
      </x:c>
      <x:c r="V84" s="20" t="n">
        <x:f>IF(L84=0,0,M84/L84)</x:f>
        <x:v>0</x:v>
      </x:c>
      <x:c r="W84" s="20" t="n">
        <x:f>SUM(P$44:P84)</x:f>
        <x:v>28.600000000000005</x:v>
      </x:c>
      <x:c r="X84" s="2" t="n">
        <x:f>E84+Supuestos!$C$15</x:f>
        <x:v>41</x:v>
      </x:c>
      <x:c r="Y84" s="2" t="n">
        <x:f>F84-G84</x:f>
        <x:v>10</x:v>
      </x:c>
      <x:c r="Z84" s="2" t="str">
        <x:v>simulado_didactico</x:v>
      </x:c>
    </x:row>
    <x:row r="85" ht="19" customHeight="1">
      <x:c r="A85" s="2" t="str">
        <x:v>MP_L8</x:v>
      </x:c>
      <x:c r="B85" s="2" t="str">
        <x:v>MP</x:v>
      </x:c>
      <x:c r="C85" s="2" t="str">
        <x:v>Myzus persicae</x:v>
      </x:c>
      <x:c r="D85" s="2" t="str">
        <x:v>L8</x:v>
      </x:c>
      <x:c r="E85" s="2" t="n">
        <x:v>41</x:v>
      </x:c>
      <x:c r="F85" s="2" t="n">
        <x:f>COUNTA(E2_plantas!A4,E2_plantas!A5,E2_plantas!A16,E2_plantas!A17,E2_plantas!A28,E2_plantas!A29,E2_plantas!A40,E2_plantas!A41,E2_plantas!A52,E2_plantas!A53)</x:f>
        <x:v>10</x:v>
      </x:c>
      <x:c r="G85" s="2" t="n">
        <x:f>SUM(E2_diario!K127,E2_diario!K169,E2_diario!K631,E2_diario!K673,E2_diario!K1135,E2_diario!K1177,E2_diario!K1639,E2_diario!K1681,E2_diario!K2143,E2_diario!K2185)</x:f>
        <x:v>0</x:v>
      </x:c>
      <x:c r="H85" s="2" t="n">
        <x:f>SUM(IF(E2_diario!J127="N1",1,0),IF(E2_diario!J169="N1",1,0),IF(E2_diario!J631="N1",1,0),IF(E2_diario!J673="N1",1,0),IF(E2_diario!J1135="N1",1,0),IF(E2_diario!J1177="N1",1,0),IF(E2_diario!J1639="N1",1,0),IF(E2_diario!J1681="N1",1,0),IF(E2_diario!J2143="N1",1,0),IF(E2_diario!J2185="N1",1,0))</x:f>
        <x:v>0</x:v>
      </x:c>
      <x:c r="I85" s="2" t="n">
        <x:f>SUM(IF(E2_diario!J127="N2",1,0),IF(E2_diario!J169="N2",1,0),IF(E2_diario!J631="N2",1,0),IF(E2_diario!J673="N2",1,0),IF(E2_diario!J1135="N2",1,0),IF(E2_diario!J1177="N2",1,0),IF(E2_diario!J1639="N2",1,0),IF(E2_diario!J1681="N2",1,0),IF(E2_diario!J2143="N2",1,0),IF(E2_diario!J2185="N2",1,0))</x:f>
        <x:v>0</x:v>
      </x:c>
      <x:c r="J85" s="2" t="n">
        <x:f>SUM(IF(E2_diario!J127="N3",1,0),IF(E2_diario!J169="N3",1,0),IF(E2_diario!J631="N3",1,0),IF(E2_diario!J673="N3",1,0),IF(E2_diario!J1135="N3",1,0),IF(E2_diario!J1177="N3",1,0),IF(E2_diario!J1639="N3",1,0),IF(E2_diario!J1681="N3",1,0),IF(E2_diario!J2143="N3",1,0),IF(E2_diario!J2185="N3",1,0))</x:f>
        <x:v>0</x:v>
      </x:c>
      <x:c r="K85" s="2" t="n">
        <x:f>SUM(IF(E2_diario!J127="N4",1,0),IF(E2_diario!J169="N4",1,0),IF(E2_diario!J631="N4",1,0),IF(E2_diario!J673="N4",1,0),IF(E2_diario!J1135="N4",1,0),IF(E2_diario!J1177="N4",1,0),IF(E2_diario!J1639="N4",1,0),IF(E2_diario!J1681="N4",1,0),IF(E2_diario!J2143="N4",1,0),IF(E2_diario!J2185="N4",1,0))</x:f>
        <x:v>0</x:v>
      </x:c>
      <x:c r="L85" s="2" t="n">
        <x:f>SUM(IF(E2_diario!J127="adulta",1,0),IF(E2_diario!J169="adulta",1,0),IF(E2_diario!J631="adulta",1,0),IF(E2_diario!J673="adulta",1,0),IF(E2_diario!J1135="adulta",1,0),IF(E2_diario!J1177="adulta",1,0),IF(E2_diario!J1639="adulta",1,0),IF(E2_diario!J1681="adulta",1,0),IF(E2_diario!J2143="adulta",1,0),IF(E2_diario!J2185="adulta",1,0))</x:f>
        <x:v>0</x:v>
      </x:c>
      <x:c r="M85" s="2" t="n">
        <x:f>SUM(E2_diario!L127,E2_diario!L169,E2_diario!L631,E2_diario!L673,E2_diario!L1135,E2_diario!L1177,E2_diario!L1639,E2_diario!L1681,E2_diario!L2143,E2_diario!L2185)</x:f>
        <x:v>0</x:v>
      </x:c>
      <x:c r="N85" s="20" t="n">
        <x:f>G85/F85</x:f>
        <x:v>0</x:v>
      </x:c>
      <x:c r="O85" s="20" t="n">
        <x:f>IF(G85=0,0,M85/G85)</x:f>
        <x:v>0</x:v>
      </x:c>
      <x:c r="P85" s="20" t="n">
        <x:f>N85*O85</x:f>
        <x:v>0</x:v>
      </x:c>
      <x:c r="Q85" s="20" t="n">
        <x:f>H85/F85</x:f>
        <x:v>0</x:v>
      </x:c>
      <x:c r="R85" s="20" t="n">
        <x:f>I85/F85</x:f>
        <x:v>0</x:v>
      </x:c>
      <x:c r="S85" s="20" t="n">
        <x:f>J85/F85</x:f>
        <x:v>0</x:v>
      </x:c>
      <x:c r="T85" s="20" t="n">
        <x:f>K85/F85</x:f>
        <x:v>0</x:v>
      </x:c>
      <x:c r="U85" s="20" t="n">
        <x:f>L85/F85</x:f>
        <x:v>0</x:v>
      </x:c>
      <x:c r="V85" s="20" t="n">
        <x:f>IF(L85=0,0,M85/L85)</x:f>
        <x:v>0</x:v>
      </x:c>
      <x:c r="W85" s="20" t="n">
        <x:f>SUM(P$44:P85)</x:f>
        <x:v>28.600000000000005</x:v>
      </x:c>
      <x:c r="X85" s="2" t="n">
        <x:f>E85+Supuestos!$C$15</x:f>
        <x:v>42</x:v>
      </x:c>
      <x:c r="Y85" s="2" t="n">
        <x:f>F85-G85</x:f>
        <x:v>10</x:v>
      </x:c>
      <x:c r="Z85" s="2" t="str">
        <x:v>simulado_didactico</x:v>
      </x:c>
    </x:row>
    <x:row r="86" ht="19" customHeight="1">
      <x:c r="A86" s="2" t="str">
        <x:v>MP_L7</x:v>
      </x:c>
      <x:c r="B86" s="2" t="str">
        <x:v>MP</x:v>
      </x:c>
      <x:c r="C86" s="2" t="str">
        <x:v>Myzus persicae</x:v>
      </x:c>
      <x:c r="D86" s="2" t="str">
        <x:v>L7</x:v>
      </x:c>
      <x:c r="E86" s="2" t="n">
        <x:v>0</x:v>
      </x:c>
      <x:c r="F86" s="2" t="n">
        <x:f>COUNTA(E2_plantas!A6,E2_plantas!A7,E2_plantas!A18,E2_plantas!A19,E2_plantas!A30,E2_plantas!A31,E2_plantas!A42,E2_plantas!A43,E2_plantas!A54,E2_plantas!A55)</x:f>
        <x:v>10</x:v>
      </x:c>
      <x:c r="G86" s="2" t="n">
        <x:f>SUM(E2_diario!K170,E2_diario!K212,E2_diario!K674,E2_diario!K716,E2_diario!K1178,E2_diario!K1220,E2_diario!K1682,E2_diario!K1724,E2_diario!K2186,E2_diario!K2228)</x:f>
        <x:v>10</x:v>
      </x:c>
      <x:c r="H86" s="2" t="n">
        <x:f>SUM(IF(E2_diario!J170="N1",1,0),IF(E2_diario!J212="N1",1,0),IF(E2_diario!J674="N1",1,0),IF(E2_diario!J716="N1",1,0),IF(E2_diario!J1178="N1",1,0),IF(E2_diario!J1220="N1",1,0),IF(E2_diario!J1682="N1",1,0),IF(E2_diario!J1724="N1",1,0),IF(E2_diario!J2186="N1",1,0),IF(E2_diario!J2228="N1",1,0))</x:f>
        <x:v>10</x:v>
      </x:c>
      <x:c r="I86" s="2" t="n">
        <x:f>SUM(IF(E2_diario!J170="N2",1,0),IF(E2_diario!J212="N2",1,0),IF(E2_diario!J674="N2",1,0),IF(E2_diario!J716="N2",1,0),IF(E2_diario!J1178="N2",1,0),IF(E2_diario!J1220="N2",1,0),IF(E2_diario!J1682="N2",1,0),IF(E2_diario!J1724="N2",1,0),IF(E2_diario!J2186="N2",1,0),IF(E2_diario!J2228="N2",1,0))</x:f>
        <x:v>0</x:v>
      </x:c>
      <x:c r="J86" s="2" t="n">
        <x:f>SUM(IF(E2_diario!J170="N3",1,0),IF(E2_diario!J212="N3",1,0),IF(E2_diario!J674="N3",1,0),IF(E2_diario!J716="N3",1,0),IF(E2_diario!J1178="N3",1,0),IF(E2_diario!J1220="N3",1,0),IF(E2_diario!J1682="N3",1,0),IF(E2_diario!J1724="N3",1,0),IF(E2_diario!J2186="N3",1,0),IF(E2_diario!J2228="N3",1,0))</x:f>
        <x:v>0</x:v>
      </x:c>
      <x:c r="K86" s="2" t="n">
        <x:f>SUM(IF(E2_diario!J170="N4",1,0),IF(E2_diario!J212="N4",1,0),IF(E2_diario!J674="N4",1,0),IF(E2_diario!J716="N4",1,0),IF(E2_diario!J1178="N4",1,0),IF(E2_diario!J1220="N4",1,0),IF(E2_diario!J1682="N4",1,0),IF(E2_diario!J1724="N4",1,0),IF(E2_diario!J2186="N4",1,0),IF(E2_diario!J2228="N4",1,0))</x:f>
        <x:v>0</x:v>
      </x:c>
      <x:c r="L86" s="2" t="n">
        <x:f>SUM(IF(E2_diario!J170="adulta",1,0),IF(E2_diario!J212="adulta",1,0),IF(E2_diario!J674="adulta",1,0),IF(E2_diario!J716="adulta",1,0),IF(E2_diario!J1178="adulta",1,0),IF(E2_diario!J1220="adulta",1,0),IF(E2_diario!J1682="adulta",1,0),IF(E2_diario!J1724="adulta",1,0),IF(E2_diario!J2186="adulta",1,0),IF(E2_diario!J2228="adulta",1,0))</x:f>
        <x:v>0</x:v>
      </x:c>
      <x:c r="M86" s="2" t="n">
        <x:f>SUM(E2_diario!L170,E2_diario!L212,E2_diario!L674,E2_diario!L716,E2_diario!L1178,E2_diario!L1220,E2_diario!L1682,E2_diario!L1724,E2_diario!L2186,E2_diario!L2228)</x:f>
        <x:v>0</x:v>
      </x:c>
      <x:c r="N86" s="20" t="n">
        <x:f>G86/F86</x:f>
        <x:v>1</x:v>
      </x:c>
      <x:c r="O86" s="20" t="n">
        <x:f>IF(G86=0,0,M86/G86)</x:f>
        <x:v>0</x:v>
      </x:c>
      <x:c r="P86" s="20" t="n">
        <x:f>N86*O86</x:f>
        <x:v>0</x:v>
      </x:c>
      <x:c r="Q86" s="20" t="n">
        <x:f>H86/F86</x:f>
        <x:v>1</x:v>
      </x:c>
      <x:c r="R86" s="20" t="n">
        <x:f>I86/F86</x:f>
        <x:v>0</x:v>
      </x:c>
      <x:c r="S86" s="20" t="n">
        <x:f>J86/F86</x:f>
        <x:v>0</x:v>
      </x:c>
      <x:c r="T86" s="20" t="n">
        <x:f>K86/F86</x:f>
        <x:v>0</x:v>
      </x:c>
      <x:c r="U86" s="20" t="n">
        <x:f>L86/F86</x:f>
        <x:v>0</x:v>
      </x:c>
      <x:c r="V86" s="20" t="n">
        <x:f>IF(L86=0,0,M86/L86)</x:f>
        <x:v>0</x:v>
      </x:c>
      <x:c r="W86" s="20" t="n">
        <x:f>SUM(P$86:P86)</x:f>
        <x:v>0</x:v>
      </x:c>
      <x:c r="X86" s="2" t="n">
        <x:f>E86+Supuestos!$C$15</x:f>
        <x:v>1</x:v>
      </x:c>
      <x:c r="Y86" s="2" t="n">
        <x:f>F86-G86</x:f>
        <x:v>0</x:v>
      </x:c>
      <x:c r="Z86" s="2" t="str">
        <x:v>simulado_didactico</x:v>
      </x:c>
    </x:row>
    <x:row r="87" ht="19" customHeight="1">
      <x:c r="A87" s="2" t="str">
        <x:v>MP_L7</x:v>
      </x:c>
      <x:c r="B87" s="2" t="str">
        <x:v>MP</x:v>
      </x:c>
      <x:c r="C87" s="2" t="str">
        <x:v>Myzus persicae</x:v>
      </x:c>
      <x:c r="D87" s="2" t="str">
        <x:v>L7</x:v>
      </x:c>
      <x:c r="E87" s="2" t="n">
        <x:v>1</x:v>
      </x:c>
      <x:c r="F87" s="2" t="n">
        <x:f>COUNTA(E2_plantas!A6,E2_plantas!A7,E2_plantas!A18,E2_plantas!A19,E2_plantas!A30,E2_plantas!A31,E2_plantas!A42,E2_plantas!A43,E2_plantas!A54,E2_plantas!A55)</x:f>
        <x:v>10</x:v>
      </x:c>
      <x:c r="G87" s="2" t="n">
        <x:f>SUM(E2_diario!K171,E2_diario!K213,E2_diario!K675,E2_diario!K717,E2_diario!K1179,E2_diario!K1221,E2_diario!K1683,E2_diario!K1725,E2_diario!K2187,E2_diario!K2229)</x:f>
        <x:v>10</x:v>
      </x:c>
      <x:c r="H87" s="2" t="n">
        <x:f>SUM(IF(E2_diario!J171="N1",1,0),IF(E2_diario!J213="N1",1,0),IF(E2_diario!J675="N1",1,0),IF(E2_diario!J717="N1",1,0),IF(E2_diario!J1179="N1",1,0),IF(E2_diario!J1221="N1",1,0),IF(E2_diario!J1683="N1",1,0),IF(E2_diario!J1725="N1",1,0),IF(E2_diario!J2187="N1",1,0),IF(E2_diario!J2229="N1",1,0))</x:f>
        <x:v>9</x:v>
      </x:c>
      <x:c r="I87" s="2" t="n">
        <x:f>SUM(IF(E2_diario!J171="N2",1,0),IF(E2_diario!J213="N2",1,0),IF(E2_diario!J675="N2",1,0),IF(E2_diario!J717="N2",1,0),IF(E2_diario!J1179="N2",1,0),IF(E2_diario!J1221="N2",1,0),IF(E2_diario!J1683="N2",1,0),IF(E2_diario!J1725="N2",1,0),IF(E2_diario!J2187="N2",1,0),IF(E2_diario!J2229="N2",1,0))</x:f>
        <x:v>1</x:v>
      </x:c>
      <x:c r="J87" s="2" t="n">
        <x:f>SUM(IF(E2_diario!J171="N3",1,0),IF(E2_diario!J213="N3",1,0),IF(E2_diario!J675="N3",1,0),IF(E2_diario!J717="N3",1,0),IF(E2_diario!J1179="N3",1,0),IF(E2_diario!J1221="N3",1,0),IF(E2_diario!J1683="N3",1,0),IF(E2_diario!J1725="N3",1,0),IF(E2_diario!J2187="N3",1,0),IF(E2_diario!J2229="N3",1,0))</x:f>
        <x:v>0</x:v>
      </x:c>
      <x:c r="K87" s="2" t="n">
        <x:f>SUM(IF(E2_diario!J171="N4",1,0),IF(E2_diario!J213="N4",1,0),IF(E2_diario!J675="N4",1,0),IF(E2_diario!J717="N4",1,0),IF(E2_diario!J1179="N4",1,0),IF(E2_diario!J1221="N4",1,0),IF(E2_diario!J1683="N4",1,0),IF(E2_diario!J1725="N4",1,0),IF(E2_diario!J2187="N4",1,0),IF(E2_diario!J2229="N4",1,0))</x:f>
        <x:v>0</x:v>
      </x:c>
      <x:c r="L87" s="2" t="n">
        <x:f>SUM(IF(E2_diario!J171="adulta",1,0),IF(E2_diario!J213="adulta",1,0),IF(E2_diario!J675="adulta",1,0),IF(E2_diario!J717="adulta",1,0),IF(E2_diario!J1179="adulta",1,0),IF(E2_diario!J1221="adulta",1,0),IF(E2_diario!J1683="adulta",1,0),IF(E2_diario!J1725="adulta",1,0),IF(E2_diario!J2187="adulta",1,0),IF(E2_diario!J2229="adulta",1,0))</x:f>
        <x:v>0</x:v>
      </x:c>
      <x:c r="M87" s="2" t="n">
        <x:f>SUM(E2_diario!L171,E2_diario!L213,E2_diario!L675,E2_diario!L717,E2_diario!L1179,E2_diario!L1221,E2_diario!L1683,E2_diario!L1725,E2_diario!L2187,E2_diario!L2229)</x:f>
        <x:v>0</x:v>
      </x:c>
      <x:c r="N87" s="20" t="n">
        <x:f>G87/F87</x:f>
        <x:v>1</x:v>
      </x:c>
      <x:c r="O87" s="20" t="n">
        <x:f>IF(G87=0,0,M87/G87)</x:f>
        <x:v>0</x:v>
      </x:c>
      <x:c r="P87" s="20" t="n">
        <x:f>N87*O87</x:f>
        <x:v>0</x:v>
      </x:c>
      <x:c r="Q87" s="20" t="n">
        <x:f>H87/F87</x:f>
        <x:v>0.9</x:v>
      </x:c>
      <x:c r="R87" s="20" t="n">
        <x:f>I87/F87</x:f>
        <x:v>0.1</x:v>
      </x:c>
      <x:c r="S87" s="20" t="n">
        <x:f>J87/F87</x:f>
        <x:v>0</x:v>
      </x:c>
      <x:c r="T87" s="20" t="n">
        <x:f>K87/F87</x:f>
        <x:v>0</x:v>
      </x:c>
      <x:c r="U87" s="20" t="n">
        <x:f>L87/F87</x:f>
        <x:v>0</x:v>
      </x:c>
      <x:c r="V87" s="20" t="n">
        <x:f>IF(L87=0,0,M87/L87)</x:f>
        <x:v>0</x:v>
      </x:c>
      <x:c r="W87" s="20" t="n">
        <x:f>SUM(P$86:P87)</x:f>
        <x:v>0</x:v>
      </x:c>
      <x:c r="X87" s="2" t="n">
        <x:f>E87+Supuestos!$C$15</x:f>
        <x:v>2</x:v>
      </x:c>
      <x:c r="Y87" s="2" t="n">
        <x:f>F87-G87</x:f>
        <x:v>0</x:v>
      </x:c>
      <x:c r="Z87" s="2" t="str">
        <x:v>simulado_didactico</x:v>
      </x:c>
    </x:row>
    <x:row r="88" ht="19" customHeight="1">
      <x:c r="A88" s="2" t="str">
        <x:v>MP_L7</x:v>
      </x:c>
      <x:c r="B88" s="2" t="str">
        <x:v>MP</x:v>
      </x:c>
      <x:c r="C88" s="2" t="str">
        <x:v>Myzus persicae</x:v>
      </x:c>
      <x:c r="D88" s="2" t="str">
        <x:v>L7</x:v>
      </x:c>
      <x:c r="E88" s="2" t="n">
        <x:v>2</x:v>
      </x:c>
      <x:c r="F88" s="2" t="n">
        <x:f>COUNTA(E2_plantas!A6,E2_plantas!A7,E2_plantas!A18,E2_plantas!A19,E2_plantas!A30,E2_plantas!A31,E2_plantas!A42,E2_plantas!A43,E2_plantas!A54,E2_plantas!A55)</x:f>
        <x:v>10</x:v>
      </x:c>
      <x:c r="G88" s="2" t="n">
        <x:f>SUM(E2_diario!K172,E2_diario!K214,E2_diario!K676,E2_diario!K718,E2_diario!K1180,E2_diario!K1222,E2_diario!K1684,E2_diario!K1726,E2_diario!K2188,E2_diario!K2230)</x:f>
        <x:v>9</x:v>
      </x:c>
      <x:c r="H88" s="2" t="n">
        <x:f>SUM(IF(E2_diario!J172="N1",1,0),IF(E2_diario!J214="N1",1,0),IF(E2_diario!J676="N1",1,0),IF(E2_diario!J718="N1",1,0),IF(E2_diario!J1180="N1",1,0),IF(E2_diario!J1222="N1",1,0),IF(E2_diario!J1684="N1",1,0),IF(E2_diario!J1726="N1",1,0),IF(E2_diario!J2188="N1",1,0),IF(E2_diario!J2230="N1",1,0))</x:f>
        <x:v>5</x:v>
      </x:c>
      <x:c r="I88" s="2" t="n">
        <x:f>SUM(IF(E2_diario!J172="N2",1,0),IF(E2_diario!J214="N2",1,0),IF(E2_diario!J676="N2",1,0),IF(E2_diario!J718="N2",1,0),IF(E2_diario!J1180="N2",1,0),IF(E2_diario!J1222="N2",1,0),IF(E2_diario!J1684="N2",1,0),IF(E2_diario!J1726="N2",1,0),IF(E2_diario!J2188="N2",1,0),IF(E2_diario!J2230="N2",1,0))</x:f>
        <x:v>4</x:v>
      </x:c>
      <x:c r="J88" s="2" t="n">
        <x:f>SUM(IF(E2_diario!J172="N3",1,0),IF(E2_diario!J214="N3",1,0),IF(E2_diario!J676="N3",1,0),IF(E2_diario!J718="N3",1,0),IF(E2_diario!J1180="N3",1,0),IF(E2_diario!J1222="N3",1,0),IF(E2_diario!J1684="N3",1,0),IF(E2_diario!J1726="N3",1,0),IF(E2_diario!J2188="N3",1,0),IF(E2_diario!J2230="N3",1,0))</x:f>
        <x:v>0</x:v>
      </x:c>
      <x:c r="K88" s="2" t="n">
        <x:f>SUM(IF(E2_diario!J172="N4",1,0),IF(E2_diario!J214="N4",1,0),IF(E2_diario!J676="N4",1,0),IF(E2_diario!J718="N4",1,0),IF(E2_diario!J1180="N4",1,0),IF(E2_diario!J1222="N4",1,0),IF(E2_diario!J1684="N4",1,0),IF(E2_diario!J1726="N4",1,0),IF(E2_diario!J2188="N4",1,0),IF(E2_diario!J2230="N4",1,0))</x:f>
        <x:v>0</x:v>
      </x:c>
      <x:c r="L88" s="2" t="n">
        <x:f>SUM(IF(E2_diario!J172="adulta",1,0),IF(E2_diario!J214="adulta",1,0),IF(E2_diario!J676="adulta",1,0),IF(E2_diario!J718="adulta",1,0),IF(E2_diario!J1180="adulta",1,0),IF(E2_diario!J1222="adulta",1,0),IF(E2_diario!J1684="adulta",1,0),IF(E2_diario!J1726="adulta",1,0),IF(E2_diario!J2188="adulta",1,0),IF(E2_diario!J2230="adulta",1,0))</x:f>
        <x:v>0</x:v>
      </x:c>
      <x:c r="M88" s="2" t="n">
        <x:f>SUM(E2_diario!L172,E2_diario!L214,E2_diario!L676,E2_diario!L718,E2_diario!L1180,E2_diario!L1222,E2_diario!L1684,E2_diario!L1726,E2_diario!L2188,E2_diario!L2230)</x:f>
        <x:v>0</x:v>
      </x:c>
      <x:c r="N88" s="20" t="n">
        <x:f>G88/F88</x:f>
        <x:v>0.9</x:v>
      </x:c>
      <x:c r="O88" s="20" t="n">
        <x:f>IF(G88=0,0,M88/G88)</x:f>
        <x:v>0</x:v>
      </x:c>
      <x:c r="P88" s="20" t="n">
        <x:f>N88*O88</x:f>
        <x:v>0</x:v>
      </x:c>
      <x:c r="Q88" s="20" t="n">
        <x:f>H88/F88</x:f>
        <x:v>0.5</x:v>
      </x:c>
      <x:c r="R88" s="20" t="n">
        <x:f>I88/F88</x:f>
        <x:v>0.4</x:v>
      </x:c>
      <x:c r="S88" s="20" t="n">
        <x:f>J88/F88</x:f>
        <x:v>0</x:v>
      </x:c>
      <x:c r="T88" s="20" t="n">
        <x:f>K88/F88</x:f>
        <x:v>0</x:v>
      </x:c>
      <x:c r="U88" s="20" t="n">
        <x:f>L88/F88</x:f>
        <x:v>0</x:v>
      </x:c>
      <x:c r="V88" s="20" t="n">
        <x:f>IF(L88=0,0,M88/L88)</x:f>
        <x:v>0</x:v>
      </x:c>
      <x:c r="W88" s="20" t="n">
        <x:f>SUM(P$86:P88)</x:f>
        <x:v>0</x:v>
      </x:c>
      <x:c r="X88" s="2" t="n">
        <x:f>E88+Supuestos!$C$15</x:f>
        <x:v>3</x:v>
      </x:c>
      <x:c r="Y88" s="2" t="n">
        <x:f>F88-G88</x:f>
        <x:v>1</x:v>
      </x:c>
      <x:c r="Z88" s="2" t="str">
        <x:v>simulado_didactico</x:v>
      </x:c>
    </x:row>
    <x:row r="89" ht="19" customHeight="1">
      <x:c r="A89" s="2" t="str">
        <x:v>MP_L7</x:v>
      </x:c>
      <x:c r="B89" s="2" t="str">
        <x:v>MP</x:v>
      </x:c>
      <x:c r="C89" s="2" t="str">
        <x:v>Myzus persicae</x:v>
      </x:c>
      <x:c r="D89" s="2" t="str">
        <x:v>L7</x:v>
      </x:c>
      <x:c r="E89" s="2" t="n">
        <x:v>3</x:v>
      </x:c>
      <x:c r="F89" s="2" t="n">
        <x:f>COUNTA(E2_plantas!A6,E2_plantas!A7,E2_plantas!A18,E2_plantas!A19,E2_plantas!A30,E2_plantas!A31,E2_plantas!A42,E2_plantas!A43,E2_plantas!A54,E2_plantas!A55)</x:f>
        <x:v>10</x:v>
      </x:c>
      <x:c r="G89" s="2" t="n">
        <x:f>SUM(E2_diario!K173,E2_diario!K215,E2_diario!K677,E2_diario!K719,E2_diario!K1181,E2_diario!K1223,E2_diario!K1685,E2_diario!K1727,E2_diario!K2189,E2_diario!K2231)</x:f>
        <x:v>9</x:v>
      </x:c>
      <x:c r="H89" s="2" t="n">
        <x:f>SUM(IF(E2_diario!J173="N1",1,0),IF(E2_diario!J215="N1",1,0),IF(E2_diario!J677="N1",1,0),IF(E2_diario!J719="N1",1,0),IF(E2_diario!J1181="N1",1,0),IF(E2_diario!J1223="N1",1,0),IF(E2_diario!J1685="N1",1,0),IF(E2_diario!J1727="N1",1,0),IF(E2_diario!J2189="N1",1,0),IF(E2_diario!J2231="N1",1,0))</x:f>
        <x:v>1</x:v>
      </x:c>
      <x:c r="I89" s="2" t="n">
        <x:f>SUM(IF(E2_diario!J173="N2",1,0),IF(E2_diario!J215="N2",1,0),IF(E2_diario!J677="N2",1,0),IF(E2_diario!J719="N2",1,0),IF(E2_diario!J1181="N2",1,0),IF(E2_diario!J1223="N2",1,0),IF(E2_diario!J1685="N2",1,0),IF(E2_diario!J1727="N2",1,0),IF(E2_diario!J2189="N2",1,0),IF(E2_diario!J2231="N2",1,0))</x:f>
        <x:v>7</x:v>
      </x:c>
      <x:c r="J89" s="2" t="n">
        <x:f>SUM(IF(E2_diario!J173="N3",1,0),IF(E2_diario!J215="N3",1,0),IF(E2_diario!J677="N3",1,0),IF(E2_diario!J719="N3",1,0),IF(E2_diario!J1181="N3",1,0),IF(E2_diario!J1223="N3",1,0),IF(E2_diario!J1685="N3",1,0),IF(E2_diario!J1727="N3",1,0),IF(E2_diario!J2189="N3",1,0),IF(E2_diario!J2231="N3",1,0))</x:f>
        <x:v>1</x:v>
      </x:c>
      <x:c r="K89" s="2" t="n">
        <x:f>SUM(IF(E2_diario!J173="N4",1,0),IF(E2_diario!J215="N4",1,0),IF(E2_diario!J677="N4",1,0),IF(E2_diario!J719="N4",1,0),IF(E2_diario!J1181="N4",1,0),IF(E2_diario!J1223="N4",1,0),IF(E2_diario!J1685="N4",1,0),IF(E2_diario!J1727="N4",1,0),IF(E2_diario!J2189="N4",1,0),IF(E2_diario!J2231="N4",1,0))</x:f>
        <x:v>0</x:v>
      </x:c>
      <x:c r="L89" s="2" t="n">
        <x:f>SUM(IF(E2_diario!J173="adulta",1,0),IF(E2_diario!J215="adulta",1,0),IF(E2_diario!J677="adulta",1,0),IF(E2_diario!J719="adulta",1,0),IF(E2_diario!J1181="adulta",1,0),IF(E2_diario!J1223="adulta",1,0),IF(E2_diario!J1685="adulta",1,0),IF(E2_diario!J1727="adulta",1,0),IF(E2_diario!J2189="adulta",1,0),IF(E2_diario!J2231="adulta",1,0))</x:f>
        <x:v>0</x:v>
      </x:c>
      <x:c r="M89" s="2" t="n">
        <x:f>SUM(E2_diario!L173,E2_diario!L215,E2_diario!L677,E2_diario!L719,E2_diario!L1181,E2_diario!L1223,E2_diario!L1685,E2_diario!L1727,E2_diario!L2189,E2_diario!L2231)</x:f>
        <x:v>0</x:v>
      </x:c>
      <x:c r="N89" s="20" t="n">
        <x:f>G89/F89</x:f>
        <x:v>0.9</x:v>
      </x:c>
      <x:c r="O89" s="20" t="n">
        <x:f>IF(G89=0,0,M89/G89)</x:f>
        <x:v>0</x:v>
      </x:c>
      <x:c r="P89" s="20" t="n">
        <x:f>N89*O89</x:f>
        <x:v>0</x:v>
      </x:c>
      <x:c r="Q89" s="20" t="n">
        <x:f>H89/F89</x:f>
        <x:v>0.1</x:v>
      </x:c>
      <x:c r="R89" s="20" t="n">
        <x:f>I89/F89</x:f>
        <x:v>0.7</x:v>
      </x:c>
      <x:c r="S89" s="20" t="n">
        <x:f>J89/F89</x:f>
        <x:v>0.1</x:v>
      </x:c>
      <x:c r="T89" s="20" t="n">
        <x:f>K89/F89</x:f>
        <x:v>0</x:v>
      </x:c>
      <x:c r="U89" s="20" t="n">
        <x:f>L89/F89</x:f>
        <x:v>0</x:v>
      </x:c>
      <x:c r="V89" s="20" t="n">
        <x:f>IF(L89=0,0,M89/L89)</x:f>
        <x:v>0</x:v>
      </x:c>
      <x:c r="W89" s="20" t="n">
        <x:f>SUM(P$86:P89)</x:f>
        <x:v>0</x:v>
      </x:c>
      <x:c r="X89" s="2" t="n">
        <x:f>E89+Supuestos!$C$15</x:f>
        <x:v>4</x:v>
      </x:c>
      <x:c r="Y89" s="2" t="n">
        <x:f>F89-G89</x:f>
        <x:v>1</x:v>
      </x:c>
      <x:c r="Z89" s="2" t="str">
        <x:v>simulado_didactico</x:v>
      </x:c>
    </x:row>
    <x:row r="90" ht="19" customHeight="1">
      <x:c r="A90" s="2" t="str">
        <x:v>MP_L7</x:v>
      </x:c>
      <x:c r="B90" s="2" t="str">
        <x:v>MP</x:v>
      </x:c>
      <x:c r="C90" s="2" t="str">
        <x:v>Myzus persicae</x:v>
      </x:c>
      <x:c r="D90" s="2" t="str">
        <x:v>L7</x:v>
      </x:c>
      <x:c r="E90" s="2" t="n">
        <x:v>4</x:v>
      </x:c>
      <x:c r="F90" s="2" t="n">
        <x:f>COUNTA(E2_plantas!A6,E2_plantas!A7,E2_plantas!A18,E2_plantas!A19,E2_plantas!A30,E2_plantas!A31,E2_plantas!A42,E2_plantas!A43,E2_plantas!A54,E2_plantas!A55)</x:f>
        <x:v>10</x:v>
      </x:c>
      <x:c r="G90" s="2" t="n">
        <x:f>SUM(E2_diario!K174,E2_diario!K216,E2_diario!K678,E2_diario!K720,E2_diario!K1182,E2_diario!K1224,E2_diario!K1686,E2_diario!K1728,E2_diario!K2190,E2_diario!K2232)</x:f>
        <x:v>9</x:v>
      </x:c>
      <x:c r="H90" s="2" t="n">
        <x:f>SUM(IF(E2_diario!J174="N1",1,0),IF(E2_diario!J216="N1",1,0),IF(E2_diario!J678="N1",1,0),IF(E2_diario!J720="N1",1,0),IF(E2_diario!J1182="N1",1,0),IF(E2_diario!J1224="N1",1,0),IF(E2_diario!J1686="N1",1,0),IF(E2_diario!J1728="N1",1,0),IF(E2_diario!J2190="N1",1,0),IF(E2_diario!J2232="N1",1,0))</x:f>
        <x:v>0</x:v>
      </x:c>
      <x:c r="I90" s="2" t="n">
        <x:f>SUM(IF(E2_diario!J174="N2",1,0),IF(E2_diario!J216="N2",1,0),IF(E2_diario!J678="N2",1,0),IF(E2_diario!J720="N2",1,0),IF(E2_diario!J1182="N2",1,0),IF(E2_diario!J1224="N2",1,0),IF(E2_diario!J1686="N2",1,0),IF(E2_diario!J1728="N2",1,0),IF(E2_diario!J2190="N2",1,0),IF(E2_diario!J2232="N2",1,0))</x:f>
        <x:v>7</x:v>
      </x:c>
      <x:c r="J90" s="2" t="n">
        <x:f>SUM(IF(E2_diario!J174="N3",1,0),IF(E2_diario!J216="N3",1,0),IF(E2_diario!J678="N3",1,0),IF(E2_diario!J720="N3",1,0),IF(E2_diario!J1182="N3",1,0),IF(E2_diario!J1224="N3",1,0),IF(E2_diario!J1686="N3",1,0),IF(E2_diario!J1728="N3",1,0),IF(E2_diario!J2190="N3",1,0),IF(E2_diario!J2232="N3",1,0))</x:f>
        <x:v>2</x:v>
      </x:c>
      <x:c r="K90" s="2" t="n">
        <x:f>SUM(IF(E2_diario!J174="N4",1,0),IF(E2_diario!J216="N4",1,0),IF(E2_diario!J678="N4",1,0),IF(E2_diario!J720="N4",1,0),IF(E2_diario!J1182="N4",1,0),IF(E2_diario!J1224="N4",1,0),IF(E2_diario!J1686="N4",1,0),IF(E2_diario!J1728="N4",1,0),IF(E2_diario!J2190="N4",1,0),IF(E2_diario!J2232="N4",1,0))</x:f>
        <x:v>0</x:v>
      </x:c>
      <x:c r="L90" s="2" t="n">
        <x:f>SUM(IF(E2_diario!J174="adulta",1,0),IF(E2_diario!J216="adulta",1,0),IF(E2_diario!J678="adulta",1,0),IF(E2_diario!J720="adulta",1,0),IF(E2_diario!J1182="adulta",1,0),IF(E2_diario!J1224="adulta",1,0),IF(E2_diario!J1686="adulta",1,0),IF(E2_diario!J1728="adulta",1,0),IF(E2_diario!J2190="adulta",1,0),IF(E2_diario!J2232="adulta",1,0))</x:f>
        <x:v>0</x:v>
      </x:c>
      <x:c r="M90" s="2" t="n">
        <x:f>SUM(E2_diario!L174,E2_diario!L216,E2_diario!L678,E2_diario!L720,E2_diario!L1182,E2_diario!L1224,E2_diario!L1686,E2_diario!L1728,E2_diario!L2190,E2_diario!L2232)</x:f>
        <x:v>0</x:v>
      </x:c>
      <x:c r="N90" s="20" t="n">
        <x:f>G90/F90</x:f>
        <x:v>0.9</x:v>
      </x:c>
      <x:c r="O90" s="20" t="n">
        <x:f>IF(G90=0,0,M90/G90)</x:f>
        <x:v>0</x:v>
      </x:c>
      <x:c r="P90" s="20" t="n">
        <x:f>N90*O90</x:f>
        <x:v>0</x:v>
      </x:c>
      <x:c r="Q90" s="20" t="n">
        <x:f>H90/F90</x:f>
        <x:v>0</x:v>
      </x:c>
      <x:c r="R90" s="20" t="n">
        <x:f>I90/F90</x:f>
        <x:v>0.7</x:v>
      </x:c>
      <x:c r="S90" s="20" t="n">
        <x:f>J90/F90</x:f>
        <x:v>0.2</x:v>
      </x:c>
      <x:c r="T90" s="20" t="n">
        <x:f>K90/F90</x:f>
        <x:v>0</x:v>
      </x:c>
      <x:c r="U90" s="20" t="n">
        <x:f>L90/F90</x:f>
        <x:v>0</x:v>
      </x:c>
      <x:c r="V90" s="20" t="n">
        <x:f>IF(L90=0,0,M90/L90)</x:f>
        <x:v>0</x:v>
      </x:c>
      <x:c r="W90" s="20" t="n">
        <x:f>SUM(P$86:P90)</x:f>
        <x:v>0</x:v>
      </x:c>
      <x:c r="X90" s="2" t="n">
        <x:f>E90+Supuestos!$C$15</x:f>
        <x:v>5</x:v>
      </x:c>
      <x:c r="Y90" s="2" t="n">
        <x:f>F90-G90</x:f>
        <x:v>1</x:v>
      </x:c>
      <x:c r="Z90" s="2" t="str">
        <x:v>simulado_didactico</x:v>
      </x:c>
    </x:row>
    <x:row r="91" ht="19" customHeight="1">
      <x:c r="A91" s="2" t="str">
        <x:v>MP_L7</x:v>
      </x:c>
      <x:c r="B91" s="2" t="str">
        <x:v>MP</x:v>
      </x:c>
      <x:c r="C91" s="2" t="str">
        <x:v>Myzus persicae</x:v>
      </x:c>
      <x:c r="D91" s="2" t="str">
        <x:v>L7</x:v>
      </x:c>
      <x:c r="E91" s="2" t="n">
        <x:v>5</x:v>
      </x:c>
      <x:c r="F91" s="2" t="n">
        <x:f>COUNTA(E2_plantas!A6,E2_plantas!A7,E2_plantas!A18,E2_plantas!A19,E2_plantas!A30,E2_plantas!A31,E2_plantas!A42,E2_plantas!A43,E2_plantas!A54,E2_plantas!A55)</x:f>
        <x:v>10</x:v>
      </x:c>
      <x:c r="G91" s="2" t="n">
        <x:f>SUM(E2_diario!K175,E2_diario!K217,E2_diario!K679,E2_diario!K721,E2_diario!K1183,E2_diario!K1225,E2_diario!K1687,E2_diario!K1729,E2_diario!K2191,E2_diario!K2233)</x:f>
        <x:v>9</x:v>
      </x:c>
      <x:c r="H91" s="2" t="n">
        <x:f>SUM(IF(E2_diario!J175="N1",1,0),IF(E2_diario!J217="N1",1,0),IF(E2_diario!J679="N1",1,0),IF(E2_diario!J721="N1",1,0),IF(E2_diario!J1183="N1",1,0),IF(E2_diario!J1225="N1",1,0),IF(E2_diario!J1687="N1",1,0),IF(E2_diario!J1729="N1",1,0),IF(E2_diario!J2191="N1",1,0),IF(E2_diario!J2233="N1",1,0))</x:f>
        <x:v>0</x:v>
      </x:c>
      <x:c r="I91" s="2" t="n">
        <x:f>SUM(IF(E2_diario!J175="N2",1,0),IF(E2_diario!J217="N2",1,0),IF(E2_diario!J679="N2",1,0),IF(E2_diario!J721="N2",1,0),IF(E2_diario!J1183="N2",1,0),IF(E2_diario!J1225="N2",1,0),IF(E2_diario!J1687="N2",1,0),IF(E2_diario!J1729="N2",1,0),IF(E2_diario!J2191="N2",1,0),IF(E2_diario!J2233="N2",1,0))</x:f>
        <x:v>4</x:v>
      </x:c>
      <x:c r="J91" s="2" t="n">
        <x:f>SUM(IF(E2_diario!J175="N3",1,0),IF(E2_diario!J217="N3",1,0),IF(E2_diario!J679="N3",1,0),IF(E2_diario!J721="N3",1,0),IF(E2_diario!J1183="N3",1,0),IF(E2_diario!J1225="N3",1,0),IF(E2_diario!J1687="N3",1,0),IF(E2_diario!J1729="N3",1,0),IF(E2_diario!J2191="N3",1,0),IF(E2_diario!J2233="N3",1,0))</x:f>
        <x:v>5</x:v>
      </x:c>
      <x:c r="K91" s="2" t="n">
        <x:f>SUM(IF(E2_diario!J175="N4",1,0),IF(E2_diario!J217="N4",1,0),IF(E2_diario!J679="N4",1,0),IF(E2_diario!J721="N4",1,0),IF(E2_diario!J1183="N4",1,0),IF(E2_diario!J1225="N4",1,0),IF(E2_diario!J1687="N4",1,0),IF(E2_diario!J1729="N4",1,0),IF(E2_diario!J2191="N4",1,0),IF(E2_diario!J2233="N4",1,0))</x:f>
        <x:v>0</x:v>
      </x:c>
      <x:c r="L91" s="2" t="n">
        <x:f>SUM(IF(E2_diario!J175="adulta",1,0),IF(E2_diario!J217="adulta",1,0),IF(E2_diario!J679="adulta",1,0),IF(E2_diario!J721="adulta",1,0),IF(E2_diario!J1183="adulta",1,0),IF(E2_diario!J1225="adulta",1,0),IF(E2_diario!J1687="adulta",1,0),IF(E2_diario!J1729="adulta",1,0),IF(E2_diario!J2191="adulta",1,0),IF(E2_diario!J2233="adulta",1,0))</x:f>
        <x:v>0</x:v>
      </x:c>
      <x:c r="M91" s="2" t="n">
        <x:f>SUM(E2_diario!L175,E2_diario!L217,E2_diario!L679,E2_diario!L721,E2_diario!L1183,E2_diario!L1225,E2_diario!L1687,E2_diario!L1729,E2_diario!L2191,E2_diario!L2233)</x:f>
        <x:v>0</x:v>
      </x:c>
      <x:c r="N91" s="20" t="n">
        <x:f>G91/F91</x:f>
        <x:v>0.9</x:v>
      </x:c>
      <x:c r="O91" s="20" t="n">
        <x:f>IF(G91=0,0,M91/G91)</x:f>
        <x:v>0</x:v>
      </x:c>
      <x:c r="P91" s="20" t="n">
        <x:f>N91*O91</x:f>
        <x:v>0</x:v>
      </x:c>
      <x:c r="Q91" s="20" t="n">
        <x:f>H91/F91</x:f>
        <x:v>0</x:v>
      </x:c>
      <x:c r="R91" s="20" t="n">
        <x:f>I91/F91</x:f>
        <x:v>0.4</x:v>
      </x:c>
      <x:c r="S91" s="20" t="n">
        <x:f>J91/F91</x:f>
        <x:v>0.5</x:v>
      </x:c>
      <x:c r="T91" s="20" t="n">
        <x:f>K91/F91</x:f>
        <x:v>0</x:v>
      </x:c>
      <x:c r="U91" s="20" t="n">
        <x:f>L91/F91</x:f>
        <x:v>0</x:v>
      </x:c>
      <x:c r="V91" s="20" t="n">
        <x:f>IF(L91=0,0,M91/L91)</x:f>
        <x:v>0</x:v>
      </x:c>
      <x:c r="W91" s="20" t="n">
        <x:f>SUM(P$86:P91)</x:f>
        <x:v>0</x:v>
      </x:c>
      <x:c r="X91" s="2" t="n">
        <x:f>E91+Supuestos!$C$15</x:f>
        <x:v>6</x:v>
      </x:c>
      <x:c r="Y91" s="2" t="n">
        <x:f>F91-G91</x:f>
        <x:v>1</x:v>
      </x:c>
      <x:c r="Z91" s="2" t="str">
        <x:v>simulado_didactico</x:v>
      </x:c>
    </x:row>
    <x:row r="92" ht="19" customHeight="1">
      <x:c r="A92" s="2" t="str">
        <x:v>MP_L7</x:v>
      </x:c>
      <x:c r="B92" s="2" t="str">
        <x:v>MP</x:v>
      </x:c>
      <x:c r="C92" s="2" t="str">
        <x:v>Myzus persicae</x:v>
      </x:c>
      <x:c r="D92" s="2" t="str">
        <x:v>L7</x:v>
      </x:c>
      <x:c r="E92" s="2" t="n">
        <x:v>6</x:v>
      </x:c>
      <x:c r="F92" s="2" t="n">
        <x:f>COUNTA(E2_plantas!A6,E2_plantas!A7,E2_plantas!A18,E2_plantas!A19,E2_plantas!A30,E2_plantas!A31,E2_plantas!A42,E2_plantas!A43,E2_plantas!A54,E2_plantas!A55)</x:f>
        <x:v>10</x:v>
      </x:c>
      <x:c r="G92" s="2" t="n">
        <x:f>SUM(E2_diario!K176,E2_diario!K218,E2_diario!K680,E2_diario!K722,E2_diario!K1184,E2_diario!K1226,E2_diario!K1688,E2_diario!K1730,E2_diario!K2192,E2_diario!K2234)</x:f>
        <x:v>9</x:v>
      </x:c>
      <x:c r="H92" s="2" t="n">
        <x:f>SUM(IF(E2_diario!J176="N1",1,0),IF(E2_diario!J218="N1",1,0),IF(E2_diario!J680="N1",1,0),IF(E2_diario!J722="N1",1,0),IF(E2_diario!J1184="N1",1,0),IF(E2_diario!J1226="N1",1,0),IF(E2_diario!J1688="N1",1,0),IF(E2_diario!J1730="N1",1,0),IF(E2_diario!J2192="N1",1,0),IF(E2_diario!J2234="N1",1,0))</x:f>
        <x:v>0</x:v>
      </x:c>
      <x:c r="I92" s="2" t="n">
        <x:f>SUM(IF(E2_diario!J176="N2",1,0),IF(E2_diario!J218="N2",1,0),IF(E2_diario!J680="N2",1,0),IF(E2_diario!J722="N2",1,0),IF(E2_diario!J1184="N2",1,0),IF(E2_diario!J1226="N2",1,0),IF(E2_diario!J1688="N2",1,0),IF(E2_diario!J1730="N2",1,0),IF(E2_diario!J2192="N2",1,0),IF(E2_diario!J2234="N2",1,0))</x:f>
        <x:v>1</x:v>
      </x:c>
      <x:c r="J92" s="2" t="n">
        <x:f>SUM(IF(E2_diario!J176="N3",1,0),IF(E2_diario!J218="N3",1,0),IF(E2_diario!J680="N3",1,0),IF(E2_diario!J722="N3",1,0),IF(E2_diario!J1184="N3",1,0),IF(E2_diario!J1226="N3",1,0),IF(E2_diario!J1688="N3",1,0),IF(E2_diario!J1730="N3",1,0),IF(E2_diario!J2192="N3",1,0),IF(E2_diario!J2234="N3",1,0))</x:f>
        <x:v>6</x:v>
      </x:c>
      <x:c r="K92" s="2" t="n">
        <x:f>SUM(IF(E2_diario!J176="N4",1,0),IF(E2_diario!J218="N4",1,0),IF(E2_diario!J680="N4",1,0),IF(E2_diario!J722="N4",1,0),IF(E2_diario!J1184="N4",1,0),IF(E2_diario!J1226="N4",1,0),IF(E2_diario!J1688="N4",1,0),IF(E2_diario!J1730="N4",1,0),IF(E2_diario!J2192="N4",1,0),IF(E2_diario!J2234="N4",1,0))</x:f>
        <x:v>2</x:v>
      </x:c>
      <x:c r="L92" s="2" t="n">
        <x:f>SUM(IF(E2_diario!J176="adulta",1,0),IF(E2_diario!J218="adulta",1,0),IF(E2_diario!J680="adulta",1,0),IF(E2_diario!J722="adulta",1,0),IF(E2_diario!J1184="adulta",1,0),IF(E2_diario!J1226="adulta",1,0),IF(E2_diario!J1688="adulta",1,0),IF(E2_diario!J1730="adulta",1,0),IF(E2_diario!J2192="adulta",1,0),IF(E2_diario!J2234="adulta",1,0))</x:f>
        <x:v>0</x:v>
      </x:c>
      <x:c r="M92" s="2" t="n">
        <x:f>SUM(E2_diario!L176,E2_diario!L218,E2_diario!L680,E2_diario!L722,E2_diario!L1184,E2_diario!L1226,E2_diario!L1688,E2_diario!L1730,E2_diario!L2192,E2_diario!L2234)</x:f>
        <x:v>0</x:v>
      </x:c>
      <x:c r="N92" s="20" t="n">
        <x:f>G92/F92</x:f>
        <x:v>0.9</x:v>
      </x:c>
      <x:c r="O92" s="20" t="n">
        <x:f>IF(G92=0,0,M92/G92)</x:f>
        <x:v>0</x:v>
      </x:c>
      <x:c r="P92" s="20" t="n">
        <x:f>N92*O92</x:f>
        <x:v>0</x:v>
      </x:c>
      <x:c r="Q92" s="20" t="n">
        <x:f>H92/F92</x:f>
        <x:v>0</x:v>
      </x:c>
      <x:c r="R92" s="20" t="n">
        <x:f>I92/F92</x:f>
        <x:v>0.1</x:v>
      </x:c>
      <x:c r="S92" s="20" t="n">
        <x:f>J92/F92</x:f>
        <x:v>0.6</x:v>
      </x:c>
      <x:c r="T92" s="20" t="n">
        <x:f>K92/F92</x:f>
        <x:v>0.2</x:v>
      </x:c>
      <x:c r="U92" s="20" t="n">
        <x:f>L92/F92</x:f>
        <x:v>0</x:v>
      </x:c>
      <x:c r="V92" s="20" t="n">
        <x:f>IF(L92=0,0,M92/L92)</x:f>
        <x:v>0</x:v>
      </x:c>
      <x:c r="W92" s="20" t="n">
        <x:f>SUM(P$86:P92)</x:f>
        <x:v>0</x:v>
      </x:c>
      <x:c r="X92" s="2" t="n">
        <x:f>E92+Supuestos!$C$15</x:f>
        <x:v>7</x:v>
      </x:c>
      <x:c r="Y92" s="2" t="n">
        <x:f>F92-G92</x:f>
        <x:v>1</x:v>
      </x:c>
      <x:c r="Z92" s="2" t="str">
        <x:v>simulado_didactico</x:v>
      </x:c>
    </x:row>
    <x:row r="93" ht="19" customHeight="1">
      <x:c r="A93" s="2" t="str">
        <x:v>MP_L7</x:v>
      </x:c>
      <x:c r="B93" s="2" t="str">
        <x:v>MP</x:v>
      </x:c>
      <x:c r="C93" s="2" t="str">
        <x:v>Myzus persicae</x:v>
      </x:c>
      <x:c r="D93" s="2" t="str">
        <x:v>L7</x:v>
      </x:c>
      <x:c r="E93" s="2" t="n">
        <x:v>7</x:v>
      </x:c>
      <x:c r="F93" s="2" t="n">
        <x:f>COUNTA(E2_plantas!A6,E2_plantas!A7,E2_plantas!A18,E2_plantas!A19,E2_plantas!A30,E2_plantas!A31,E2_plantas!A42,E2_plantas!A43,E2_plantas!A54,E2_plantas!A55)</x:f>
        <x:v>10</x:v>
      </x:c>
      <x:c r="G93" s="2" t="n">
        <x:f>SUM(E2_diario!K177,E2_diario!K219,E2_diario!K681,E2_diario!K723,E2_diario!K1185,E2_diario!K1227,E2_diario!K1689,E2_diario!K1731,E2_diario!K2193,E2_diario!K2235)</x:f>
        <x:v>7</x:v>
      </x:c>
      <x:c r="H93" s="2" t="n">
        <x:f>SUM(IF(E2_diario!J177="N1",1,0),IF(E2_diario!J219="N1",1,0),IF(E2_diario!J681="N1",1,0),IF(E2_diario!J723="N1",1,0),IF(E2_diario!J1185="N1",1,0),IF(E2_diario!J1227="N1",1,0),IF(E2_diario!J1689="N1",1,0),IF(E2_diario!J1731="N1",1,0),IF(E2_diario!J2193="N1",1,0),IF(E2_diario!J2235="N1",1,0))</x:f>
        <x:v>0</x:v>
      </x:c>
      <x:c r="I93" s="2" t="n">
        <x:f>SUM(IF(E2_diario!J177="N2",1,0),IF(E2_diario!J219="N2",1,0),IF(E2_diario!J681="N2",1,0),IF(E2_diario!J723="N2",1,0),IF(E2_diario!J1185="N2",1,0),IF(E2_diario!J1227="N2",1,0),IF(E2_diario!J1689="N2",1,0),IF(E2_diario!J1731="N2",1,0),IF(E2_diario!J2193="N2",1,0),IF(E2_diario!J2235="N2",1,0))</x:f>
        <x:v>0</x:v>
      </x:c>
      <x:c r="J93" s="2" t="n">
        <x:f>SUM(IF(E2_diario!J177="N3",1,0),IF(E2_diario!J219="N3",1,0),IF(E2_diario!J681="N3",1,0),IF(E2_diario!J723="N3",1,0),IF(E2_diario!J1185="N3",1,0),IF(E2_diario!J1227="N3",1,0),IF(E2_diario!J1689="N3",1,0),IF(E2_diario!J1731="N3",1,0),IF(E2_diario!J2193="N3",1,0),IF(E2_diario!J2235="N3",1,0))</x:f>
        <x:v>1</x:v>
      </x:c>
      <x:c r="K93" s="2" t="n">
        <x:f>SUM(IF(E2_diario!J177="N4",1,0),IF(E2_diario!J219="N4",1,0),IF(E2_diario!J681="N4",1,0),IF(E2_diario!J723="N4",1,0),IF(E2_diario!J1185="N4",1,0),IF(E2_diario!J1227="N4",1,0),IF(E2_diario!J1689="N4",1,0),IF(E2_diario!J1731="N4",1,0),IF(E2_diario!J2193="N4",1,0),IF(E2_diario!J2235="N4",1,0))</x:f>
        <x:v>6</x:v>
      </x:c>
      <x:c r="L93" s="2" t="n">
        <x:f>SUM(IF(E2_diario!J177="adulta",1,0),IF(E2_diario!J219="adulta",1,0),IF(E2_diario!J681="adulta",1,0),IF(E2_diario!J723="adulta",1,0),IF(E2_diario!J1185="adulta",1,0),IF(E2_diario!J1227="adulta",1,0),IF(E2_diario!J1689="adulta",1,0),IF(E2_diario!J1731="adulta",1,0),IF(E2_diario!J2193="adulta",1,0),IF(E2_diario!J2235="adulta",1,0))</x:f>
        <x:v>0</x:v>
      </x:c>
      <x:c r="M93" s="2" t="n">
        <x:f>SUM(E2_diario!L177,E2_diario!L219,E2_diario!L681,E2_diario!L723,E2_diario!L1185,E2_diario!L1227,E2_diario!L1689,E2_diario!L1731,E2_diario!L2193,E2_diario!L2235)</x:f>
        <x:v>0</x:v>
      </x:c>
      <x:c r="N93" s="20" t="n">
        <x:f>G93/F93</x:f>
        <x:v>0.7</x:v>
      </x:c>
      <x:c r="O93" s="20" t="n">
        <x:f>IF(G93=0,0,M93/G93)</x:f>
        <x:v>0</x:v>
      </x:c>
      <x:c r="P93" s="20" t="n">
        <x:f>N93*O93</x:f>
        <x:v>0</x:v>
      </x:c>
      <x:c r="Q93" s="20" t="n">
        <x:f>H93/F93</x:f>
        <x:v>0</x:v>
      </x:c>
      <x:c r="R93" s="20" t="n">
        <x:f>I93/F93</x:f>
        <x:v>0</x:v>
      </x:c>
      <x:c r="S93" s="20" t="n">
        <x:f>J93/F93</x:f>
        <x:v>0.1</x:v>
      </x:c>
      <x:c r="T93" s="20" t="n">
        <x:f>K93/F93</x:f>
        <x:v>0.6</x:v>
      </x:c>
      <x:c r="U93" s="20" t="n">
        <x:f>L93/F93</x:f>
        <x:v>0</x:v>
      </x:c>
      <x:c r="V93" s="20" t="n">
        <x:f>IF(L93=0,0,M93/L93)</x:f>
        <x:v>0</x:v>
      </x:c>
      <x:c r="W93" s="20" t="n">
        <x:f>SUM(P$86:P93)</x:f>
        <x:v>0</x:v>
      </x:c>
      <x:c r="X93" s="2" t="n">
        <x:f>E93+Supuestos!$C$15</x:f>
        <x:v>8</x:v>
      </x:c>
      <x:c r="Y93" s="2" t="n">
        <x:f>F93-G93</x:f>
        <x:v>3</x:v>
      </x:c>
      <x:c r="Z93" s="2" t="str">
        <x:v>simulado_didactico</x:v>
      </x:c>
    </x:row>
    <x:row r="94" ht="19" customHeight="1">
      <x:c r="A94" s="2" t="str">
        <x:v>MP_L7</x:v>
      </x:c>
      <x:c r="B94" s="2" t="str">
        <x:v>MP</x:v>
      </x:c>
      <x:c r="C94" s="2" t="str">
        <x:v>Myzus persicae</x:v>
      </x:c>
      <x:c r="D94" s="2" t="str">
        <x:v>L7</x:v>
      </x:c>
      <x:c r="E94" s="2" t="n">
        <x:v>8</x:v>
      </x:c>
      <x:c r="F94" s="2" t="n">
        <x:f>COUNTA(E2_plantas!A6,E2_plantas!A7,E2_plantas!A18,E2_plantas!A19,E2_plantas!A30,E2_plantas!A31,E2_plantas!A42,E2_plantas!A43,E2_plantas!A54,E2_plantas!A55)</x:f>
        <x:v>10</x:v>
      </x:c>
      <x:c r="G94" s="2" t="n">
        <x:f>SUM(E2_diario!K178,E2_diario!K220,E2_diario!K682,E2_diario!K724,E2_diario!K1186,E2_diario!K1228,E2_diario!K1690,E2_diario!K1732,E2_diario!K2194,E2_diario!K2236)</x:f>
        <x:v>7</x:v>
      </x:c>
      <x:c r="H94" s="2" t="n">
        <x:f>SUM(IF(E2_diario!J178="N1",1,0),IF(E2_diario!J220="N1",1,0),IF(E2_diario!J682="N1",1,0),IF(E2_diario!J724="N1",1,0),IF(E2_diario!J1186="N1",1,0),IF(E2_diario!J1228="N1",1,0),IF(E2_diario!J1690="N1",1,0),IF(E2_diario!J1732="N1",1,0),IF(E2_diario!J2194="N1",1,0),IF(E2_diario!J2236="N1",1,0))</x:f>
        <x:v>0</x:v>
      </x:c>
      <x:c r="I94" s="2" t="n">
        <x:f>SUM(IF(E2_diario!J178="N2",1,0),IF(E2_diario!J220="N2",1,0),IF(E2_diario!J682="N2",1,0),IF(E2_diario!J724="N2",1,0),IF(E2_diario!J1186="N2",1,0),IF(E2_diario!J1228="N2",1,0),IF(E2_diario!J1690="N2",1,0),IF(E2_diario!J1732="N2",1,0),IF(E2_diario!J2194="N2",1,0),IF(E2_diario!J2236="N2",1,0))</x:f>
        <x:v>0</x:v>
      </x:c>
      <x:c r="J94" s="2" t="n">
        <x:f>SUM(IF(E2_diario!J178="N3",1,0),IF(E2_diario!J220="N3",1,0),IF(E2_diario!J682="N3",1,0),IF(E2_diario!J724="N3",1,0),IF(E2_diario!J1186="N3",1,0),IF(E2_diario!J1228="N3",1,0),IF(E2_diario!J1690="N3",1,0),IF(E2_diario!J1732="N3",1,0),IF(E2_diario!J2194="N3",1,0),IF(E2_diario!J2236="N3",1,0))</x:f>
        <x:v>0</x:v>
      </x:c>
      <x:c r="K94" s="2" t="n">
        <x:f>SUM(IF(E2_diario!J178="N4",1,0),IF(E2_diario!J220="N4",1,0),IF(E2_diario!J682="N4",1,0),IF(E2_diario!J724="N4",1,0),IF(E2_diario!J1186="N4",1,0),IF(E2_diario!J1228="N4",1,0),IF(E2_diario!J1690="N4",1,0),IF(E2_diario!J1732="N4",1,0),IF(E2_diario!J2194="N4",1,0),IF(E2_diario!J2236="N4",1,0))</x:f>
        <x:v>6</x:v>
      </x:c>
      <x:c r="L94" s="2" t="n">
        <x:f>SUM(IF(E2_diario!J178="adulta",1,0),IF(E2_diario!J220="adulta",1,0),IF(E2_diario!J682="adulta",1,0),IF(E2_diario!J724="adulta",1,0),IF(E2_diario!J1186="adulta",1,0),IF(E2_diario!J1228="adulta",1,0),IF(E2_diario!J1690="adulta",1,0),IF(E2_diario!J1732="adulta",1,0),IF(E2_diario!J2194="adulta",1,0),IF(E2_diario!J2236="adulta",1,0))</x:f>
        <x:v>1</x:v>
      </x:c>
      <x:c r="M94" s="2" t="n">
        <x:f>SUM(E2_diario!L178,E2_diario!L220,E2_diario!L682,E2_diario!L724,E2_diario!L1186,E2_diario!L1228,E2_diario!L1690,E2_diario!L1732,E2_diario!L2194,E2_diario!L2236)</x:f>
        <x:v>0</x:v>
      </x:c>
      <x:c r="N94" s="20" t="n">
        <x:f>G94/F94</x:f>
        <x:v>0.7</x:v>
      </x:c>
      <x:c r="O94" s="20" t="n">
        <x:f>IF(G94=0,0,M94/G94)</x:f>
        <x:v>0</x:v>
      </x:c>
      <x:c r="P94" s="20" t="n">
        <x:f>N94*O94</x:f>
        <x:v>0</x:v>
      </x:c>
      <x:c r="Q94" s="20" t="n">
        <x:f>H94/F94</x:f>
        <x:v>0</x:v>
      </x:c>
      <x:c r="R94" s="20" t="n">
        <x:f>I94/F94</x:f>
        <x:v>0</x:v>
      </x:c>
      <x:c r="S94" s="20" t="n">
        <x:f>J94/F94</x:f>
        <x:v>0</x:v>
      </x:c>
      <x:c r="T94" s="20" t="n">
        <x:f>K94/F94</x:f>
        <x:v>0.6</x:v>
      </x:c>
      <x:c r="U94" s="20" t="n">
        <x:f>L94/F94</x:f>
        <x:v>0.1</x:v>
      </x:c>
      <x:c r="V94" s="20" t="n">
        <x:f>IF(L94=0,0,M94/L94)</x:f>
        <x:v>0</x:v>
      </x:c>
      <x:c r="W94" s="20" t="n">
        <x:f>SUM(P$86:P94)</x:f>
        <x:v>0</x:v>
      </x:c>
      <x:c r="X94" s="2" t="n">
        <x:f>E94+Supuestos!$C$15</x:f>
        <x:v>9</x:v>
      </x:c>
      <x:c r="Y94" s="2" t="n">
        <x:f>F94-G94</x:f>
        <x:v>3</x:v>
      </x:c>
      <x:c r="Z94" s="2" t="str">
        <x:v>simulado_didactico</x:v>
      </x:c>
    </x:row>
    <x:row r="95" ht="19" customHeight="1">
      <x:c r="A95" s="2" t="str">
        <x:v>MP_L7</x:v>
      </x:c>
      <x:c r="B95" s="2" t="str">
        <x:v>MP</x:v>
      </x:c>
      <x:c r="C95" s="2" t="str">
        <x:v>Myzus persicae</x:v>
      </x:c>
      <x:c r="D95" s="2" t="str">
        <x:v>L7</x:v>
      </x:c>
      <x:c r="E95" s="2" t="n">
        <x:v>9</x:v>
      </x:c>
      <x:c r="F95" s="2" t="n">
        <x:f>COUNTA(E2_plantas!A6,E2_plantas!A7,E2_plantas!A18,E2_plantas!A19,E2_plantas!A30,E2_plantas!A31,E2_plantas!A42,E2_plantas!A43,E2_plantas!A54,E2_plantas!A55)</x:f>
        <x:v>10</x:v>
      </x:c>
      <x:c r="G95" s="2" t="n">
        <x:f>SUM(E2_diario!K179,E2_diario!K221,E2_diario!K683,E2_diario!K725,E2_diario!K1187,E2_diario!K1229,E2_diario!K1691,E2_diario!K1733,E2_diario!K2195,E2_diario!K2237)</x:f>
        <x:v>7</x:v>
      </x:c>
      <x:c r="H95" s="2" t="n">
        <x:f>SUM(IF(E2_diario!J179="N1",1,0),IF(E2_diario!J221="N1",1,0),IF(E2_diario!J683="N1",1,0),IF(E2_diario!J725="N1",1,0),IF(E2_diario!J1187="N1",1,0),IF(E2_diario!J1229="N1",1,0),IF(E2_diario!J1691="N1",1,0),IF(E2_diario!J1733="N1",1,0),IF(E2_diario!J2195="N1",1,0),IF(E2_diario!J2237="N1",1,0))</x:f>
        <x:v>0</x:v>
      </x:c>
      <x:c r="I95" s="2" t="n">
        <x:f>SUM(IF(E2_diario!J179="N2",1,0),IF(E2_diario!J221="N2",1,0),IF(E2_diario!J683="N2",1,0),IF(E2_diario!J725="N2",1,0),IF(E2_diario!J1187="N2",1,0),IF(E2_diario!J1229="N2",1,0),IF(E2_diario!J1691="N2",1,0),IF(E2_diario!J1733="N2",1,0),IF(E2_diario!J2195="N2",1,0),IF(E2_diario!J2237="N2",1,0))</x:f>
        <x:v>0</x:v>
      </x:c>
      <x:c r="J95" s="2" t="n">
        <x:f>SUM(IF(E2_diario!J179="N3",1,0),IF(E2_diario!J221="N3",1,0),IF(E2_diario!J683="N3",1,0),IF(E2_diario!J725="N3",1,0),IF(E2_diario!J1187="N3",1,0),IF(E2_diario!J1229="N3",1,0),IF(E2_diario!J1691="N3",1,0),IF(E2_diario!J1733="N3",1,0),IF(E2_diario!J2195="N3",1,0),IF(E2_diario!J2237="N3",1,0))</x:f>
        <x:v>0</x:v>
      </x:c>
      <x:c r="K95" s="2" t="n">
        <x:f>SUM(IF(E2_diario!J179="N4",1,0),IF(E2_diario!J221="N4",1,0),IF(E2_diario!J683="N4",1,0),IF(E2_diario!J725="N4",1,0),IF(E2_diario!J1187="N4",1,0),IF(E2_diario!J1229="N4",1,0),IF(E2_diario!J1691="N4",1,0),IF(E2_diario!J1733="N4",1,0),IF(E2_diario!J2195="N4",1,0),IF(E2_diario!J2237="N4",1,0))</x:f>
        <x:v>4</x:v>
      </x:c>
      <x:c r="L95" s="2" t="n">
        <x:f>SUM(IF(E2_diario!J179="adulta",1,0),IF(E2_diario!J221="adulta",1,0),IF(E2_diario!J683="adulta",1,0),IF(E2_diario!J725="adulta",1,0),IF(E2_diario!J1187="adulta",1,0),IF(E2_diario!J1229="adulta",1,0),IF(E2_diario!J1691="adulta",1,0),IF(E2_diario!J1733="adulta",1,0),IF(E2_diario!J2195="adulta",1,0),IF(E2_diario!J2237="adulta",1,0))</x:f>
        <x:v>3</x:v>
      </x:c>
      <x:c r="M95" s="2" t="n">
        <x:f>SUM(E2_diario!L179,E2_diario!L221,E2_diario!L683,E2_diario!L725,E2_diario!L1187,E2_diario!L1229,E2_diario!L1691,E2_diario!L1733,E2_diario!L2195,E2_diario!L2237)</x:f>
        <x:v>1</x:v>
      </x:c>
      <x:c r="N95" s="20" t="n">
        <x:f>G95/F95</x:f>
        <x:v>0.7</x:v>
      </x:c>
      <x:c r="O95" s="20" t="n">
        <x:f>IF(G95=0,0,M95/G95)</x:f>
        <x:v>0.14285714285714285</x:v>
      </x:c>
      <x:c r="P95" s="20" t="n">
        <x:f>N95*O95</x:f>
        <x:v>0.09999999999999999</x:v>
      </x:c>
      <x:c r="Q95" s="20" t="n">
        <x:f>H95/F95</x:f>
        <x:v>0</x:v>
      </x:c>
      <x:c r="R95" s="20" t="n">
        <x:f>I95/F95</x:f>
        <x:v>0</x:v>
      </x:c>
      <x:c r="S95" s="20" t="n">
        <x:f>J95/F95</x:f>
        <x:v>0</x:v>
      </x:c>
      <x:c r="T95" s="20" t="n">
        <x:f>K95/F95</x:f>
        <x:v>0.4</x:v>
      </x:c>
      <x:c r="U95" s="20" t="n">
        <x:f>L95/F95</x:f>
        <x:v>0.3</x:v>
      </x:c>
      <x:c r="V95" s="20" t="n">
        <x:f>IF(L95=0,0,M95/L95)</x:f>
        <x:v>0.3333333333333333</x:v>
      </x:c>
      <x:c r="W95" s="20" t="n">
        <x:f>SUM(P$86:P95)</x:f>
        <x:v>0.09999999999999999</x:v>
      </x:c>
      <x:c r="X95" s="2" t="n">
        <x:f>E95+Supuestos!$C$15</x:f>
        <x:v>10</x:v>
      </x:c>
      <x:c r="Y95" s="2" t="n">
        <x:f>F95-G95</x:f>
        <x:v>3</x:v>
      </x:c>
      <x:c r="Z95" s="2" t="str">
        <x:v>simulado_didactico</x:v>
      </x:c>
    </x:row>
    <x:row r="96" ht="19" customHeight="1">
      <x:c r="A96" s="2" t="str">
        <x:v>MP_L7</x:v>
      </x:c>
      <x:c r="B96" s="2" t="str">
        <x:v>MP</x:v>
      </x:c>
      <x:c r="C96" s="2" t="str">
        <x:v>Myzus persicae</x:v>
      </x:c>
      <x:c r="D96" s="2" t="str">
        <x:v>L7</x:v>
      </x:c>
      <x:c r="E96" s="2" t="n">
        <x:v>10</x:v>
      </x:c>
      <x:c r="F96" s="2" t="n">
        <x:f>COUNTA(E2_plantas!A6,E2_plantas!A7,E2_plantas!A18,E2_plantas!A19,E2_plantas!A30,E2_plantas!A31,E2_plantas!A42,E2_plantas!A43,E2_plantas!A54,E2_plantas!A55)</x:f>
        <x:v>10</x:v>
      </x:c>
      <x:c r="G96" s="2" t="n">
        <x:f>SUM(E2_diario!K180,E2_diario!K222,E2_diario!K684,E2_diario!K726,E2_diario!K1188,E2_diario!K1230,E2_diario!K1692,E2_diario!K1734,E2_diario!K2196,E2_diario!K2238)</x:f>
        <x:v>7</x:v>
      </x:c>
      <x:c r="H96" s="2" t="n">
        <x:f>SUM(IF(E2_diario!J180="N1",1,0),IF(E2_diario!J222="N1",1,0),IF(E2_diario!J684="N1",1,0),IF(E2_diario!J726="N1",1,0),IF(E2_diario!J1188="N1",1,0),IF(E2_diario!J1230="N1",1,0),IF(E2_diario!J1692="N1",1,0),IF(E2_diario!J1734="N1",1,0),IF(E2_diario!J2196="N1",1,0),IF(E2_diario!J2238="N1",1,0))</x:f>
        <x:v>0</x:v>
      </x:c>
      <x:c r="I96" s="2" t="n">
        <x:f>SUM(IF(E2_diario!J180="N2",1,0),IF(E2_diario!J222="N2",1,0),IF(E2_diario!J684="N2",1,0),IF(E2_diario!J726="N2",1,0),IF(E2_diario!J1188="N2",1,0),IF(E2_diario!J1230="N2",1,0),IF(E2_diario!J1692="N2",1,0),IF(E2_diario!J1734="N2",1,0),IF(E2_diario!J2196="N2",1,0),IF(E2_diario!J2238="N2",1,0))</x:f>
        <x:v>0</x:v>
      </x:c>
      <x:c r="J96" s="2" t="n">
        <x:f>SUM(IF(E2_diario!J180="N3",1,0),IF(E2_diario!J222="N3",1,0),IF(E2_diario!J684="N3",1,0),IF(E2_diario!J726="N3",1,0),IF(E2_diario!J1188="N3",1,0),IF(E2_diario!J1230="N3",1,0),IF(E2_diario!J1692="N3",1,0),IF(E2_diario!J1734="N3",1,0),IF(E2_diario!J2196="N3",1,0),IF(E2_diario!J2238="N3",1,0))</x:f>
        <x:v>0</x:v>
      </x:c>
      <x:c r="K96" s="2" t="n">
        <x:f>SUM(IF(E2_diario!J180="N4",1,0),IF(E2_diario!J222="N4",1,0),IF(E2_diario!J684="N4",1,0),IF(E2_diario!J726="N4",1,0),IF(E2_diario!J1188="N4",1,0),IF(E2_diario!J1230="N4",1,0),IF(E2_diario!J1692="N4",1,0),IF(E2_diario!J1734="N4",1,0),IF(E2_diario!J2196="N4",1,0),IF(E2_diario!J2238="N4",1,0))</x:f>
        <x:v>1</x:v>
      </x:c>
      <x:c r="L96" s="2" t="n">
        <x:f>SUM(IF(E2_diario!J180="adulta",1,0),IF(E2_diario!J222="adulta",1,0),IF(E2_diario!J684="adulta",1,0),IF(E2_diario!J726="adulta",1,0),IF(E2_diario!J1188="adulta",1,0),IF(E2_diario!J1230="adulta",1,0),IF(E2_diario!J1692="adulta",1,0),IF(E2_diario!J1734="adulta",1,0),IF(E2_diario!J2196="adulta",1,0),IF(E2_diario!J2238="adulta",1,0))</x:f>
        <x:v>6</x:v>
      </x:c>
      <x:c r="M96" s="2" t="n">
        <x:f>SUM(E2_diario!L180,E2_diario!L222,E2_diario!L684,E2_diario!L726,E2_diario!L1188,E2_diario!L1230,E2_diario!L1692,E2_diario!L1734,E2_diario!L2196,E2_diario!L2238)</x:f>
        <x:v>2</x:v>
      </x:c>
      <x:c r="N96" s="20" t="n">
        <x:f>G96/F96</x:f>
        <x:v>0.7</x:v>
      </x:c>
      <x:c r="O96" s="20" t="n">
        <x:f>IF(G96=0,0,M96/G96)</x:f>
        <x:v>0.2857142857142857</x:v>
      </x:c>
      <x:c r="P96" s="20" t="n">
        <x:f>N96*O96</x:f>
        <x:v>0.19999999999999998</x:v>
      </x:c>
      <x:c r="Q96" s="20" t="n">
        <x:f>H96/F96</x:f>
        <x:v>0</x:v>
      </x:c>
      <x:c r="R96" s="20" t="n">
        <x:f>I96/F96</x:f>
        <x:v>0</x:v>
      </x:c>
      <x:c r="S96" s="20" t="n">
        <x:f>J96/F96</x:f>
        <x:v>0</x:v>
      </x:c>
      <x:c r="T96" s="20" t="n">
        <x:f>K96/F96</x:f>
        <x:v>0.1</x:v>
      </x:c>
      <x:c r="U96" s="20" t="n">
        <x:f>L96/F96</x:f>
        <x:v>0.6</x:v>
      </x:c>
      <x:c r="V96" s="20" t="n">
        <x:f>IF(L96=0,0,M96/L96)</x:f>
        <x:v>0.3333333333333333</x:v>
      </x:c>
      <x:c r="W96" s="20" t="n">
        <x:f>SUM(P$86:P96)</x:f>
        <x:v>0.3</x:v>
      </x:c>
      <x:c r="X96" s="2" t="n">
        <x:f>E96+Supuestos!$C$15</x:f>
        <x:v>11</x:v>
      </x:c>
      <x:c r="Y96" s="2" t="n">
        <x:f>F96-G96</x:f>
        <x:v>3</x:v>
      </x:c>
      <x:c r="Z96" s="2" t="str">
        <x:v>simulado_didactico</x:v>
      </x:c>
    </x:row>
    <x:row r="97" ht="19" customHeight="1">
      <x:c r="A97" s="2" t="str">
        <x:v>MP_L7</x:v>
      </x:c>
      <x:c r="B97" s="2" t="str">
        <x:v>MP</x:v>
      </x:c>
      <x:c r="C97" s="2" t="str">
        <x:v>Myzus persicae</x:v>
      </x:c>
      <x:c r="D97" s="2" t="str">
        <x:v>L7</x:v>
      </x:c>
      <x:c r="E97" s="2" t="n">
        <x:v>11</x:v>
      </x:c>
      <x:c r="F97" s="2" t="n">
        <x:f>COUNTA(E2_plantas!A6,E2_plantas!A7,E2_plantas!A18,E2_plantas!A19,E2_plantas!A30,E2_plantas!A31,E2_plantas!A42,E2_plantas!A43,E2_plantas!A54,E2_plantas!A55)</x:f>
        <x:v>10</x:v>
      </x:c>
      <x:c r="G97" s="2" t="n">
        <x:f>SUM(E2_diario!K181,E2_diario!K223,E2_diario!K685,E2_diario!K727,E2_diario!K1189,E2_diario!K1231,E2_diario!K1693,E2_diario!K1735,E2_diario!K2197,E2_diario!K2239)</x:f>
        <x:v>7</x:v>
      </x:c>
      <x:c r="H97" s="2" t="n">
        <x:f>SUM(IF(E2_diario!J181="N1",1,0),IF(E2_diario!J223="N1",1,0),IF(E2_diario!J685="N1",1,0),IF(E2_diario!J727="N1",1,0),IF(E2_diario!J1189="N1",1,0),IF(E2_diario!J1231="N1",1,0),IF(E2_diario!J1693="N1",1,0),IF(E2_diario!J1735="N1",1,0),IF(E2_diario!J2197="N1",1,0),IF(E2_diario!J2239="N1",1,0))</x:f>
        <x:v>0</x:v>
      </x:c>
      <x:c r="I97" s="2" t="n">
        <x:f>SUM(IF(E2_diario!J181="N2",1,0),IF(E2_diario!J223="N2",1,0),IF(E2_diario!J685="N2",1,0),IF(E2_diario!J727="N2",1,0),IF(E2_diario!J1189="N2",1,0),IF(E2_diario!J1231="N2",1,0),IF(E2_diario!J1693="N2",1,0),IF(E2_diario!J1735="N2",1,0),IF(E2_diario!J2197="N2",1,0),IF(E2_diario!J2239="N2",1,0))</x:f>
        <x:v>0</x:v>
      </x:c>
      <x:c r="J97" s="2" t="n">
        <x:f>SUM(IF(E2_diario!J181="N3",1,0),IF(E2_diario!J223="N3",1,0),IF(E2_diario!J685="N3",1,0),IF(E2_diario!J727="N3",1,0),IF(E2_diario!J1189="N3",1,0),IF(E2_diario!J1231="N3",1,0),IF(E2_diario!J1693="N3",1,0),IF(E2_diario!J1735="N3",1,0),IF(E2_diario!J2197="N3",1,0),IF(E2_diario!J2239="N3",1,0))</x:f>
        <x:v>0</x:v>
      </x:c>
      <x:c r="K97" s="2" t="n">
        <x:f>SUM(IF(E2_diario!J181="N4",1,0),IF(E2_diario!J223="N4",1,0),IF(E2_diario!J685="N4",1,0),IF(E2_diario!J727="N4",1,0),IF(E2_diario!J1189="N4",1,0),IF(E2_diario!J1231="N4",1,0),IF(E2_diario!J1693="N4",1,0),IF(E2_diario!J1735="N4",1,0),IF(E2_diario!J2197="N4",1,0),IF(E2_diario!J2239="N4",1,0))</x:f>
        <x:v>0</x:v>
      </x:c>
      <x:c r="L97" s="2" t="n">
        <x:f>SUM(IF(E2_diario!J181="adulta",1,0),IF(E2_diario!J223="adulta",1,0),IF(E2_diario!J685="adulta",1,0),IF(E2_diario!J727="adulta",1,0),IF(E2_diario!J1189="adulta",1,0),IF(E2_diario!J1231="adulta",1,0),IF(E2_diario!J1693="adulta",1,0),IF(E2_diario!J1735="adulta",1,0),IF(E2_diario!J2197="adulta",1,0),IF(E2_diario!J2239="adulta",1,0))</x:f>
        <x:v>7</x:v>
      </x:c>
      <x:c r="M97" s="2" t="n">
        <x:f>SUM(E2_diario!L181,E2_diario!L223,E2_diario!L685,E2_diario!L727,E2_diario!L1189,E2_diario!L1231,E2_diario!L1693,E2_diario!L1735,E2_diario!L2197,E2_diario!L2239)</x:f>
        <x:v>2</x:v>
      </x:c>
      <x:c r="N97" s="20" t="n">
        <x:f>G97/F97</x:f>
        <x:v>0.7</x:v>
      </x:c>
      <x:c r="O97" s="20" t="n">
        <x:f>IF(G97=0,0,M97/G97)</x:f>
        <x:v>0.2857142857142857</x:v>
      </x:c>
      <x:c r="P97" s="20" t="n">
        <x:f>N97*O97</x:f>
        <x:v>0.19999999999999998</x:v>
      </x:c>
      <x:c r="Q97" s="20" t="n">
        <x:f>H97/F97</x:f>
        <x:v>0</x:v>
      </x:c>
      <x:c r="R97" s="20" t="n">
        <x:f>I97/F97</x:f>
        <x:v>0</x:v>
      </x:c>
      <x:c r="S97" s="20" t="n">
        <x:f>J97/F97</x:f>
        <x:v>0</x:v>
      </x:c>
      <x:c r="T97" s="20" t="n">
        <x:f>K97/F97</x:f>
        <x:v>0</x:v>
      </x:c>
      <x:c r="U97" s="20" t="n">
        <x:f>L97/F97</x:f>
        <x:v>0.7</x:v>
      </x:c>
      <x:c r="V97" s="20" t="n">
        <x:f>IF(L97=0,0,M97/L97)</x:f>
        <x:v>0.2857142857142857</x:v>
      </x:c>
      <x:c r="W97" s="20" t="n">
        <x:f>SUM(P$86:P97)</x:f>
        <x:v>0.5</x:v>
      </x:c>
      <x:c r="X97" s="2" t="n">
        <x:f>E97+Supuestos!$C$15</x:f>
        <x:v>12</x:v>
      </x:c>
      <x:c r="Y97" s="2" t="n">
        <x:f>F97-G97</x:f>
        <x:v>3</x:v>
      </x:c>
      <x:c r="Z97" s="2" t="str">
        <x:v>simulado_didactico</x:v>
      </x:c>
    </x:row>
    <x:row r="98" ht="19" customHeight="1">
      <x:c r="A98" s="2" t="str">
        <x:v>MP_L7</x:v>
      </x:c>
      <x:c r="B98" s="2" t="str">
        <x:v>MP</x:v>
      </x:c>
      <x:c r="C98" s="2" t="str">
        <x:v>Myzus persicae</x:v>
      </x:c>
      <x:c r="D98" s="2" t="str">
        <x:v>L7</x:v>
      </x:c>
      <x:c r="E98" s="2" t="n">
        <x:v>12</x:v>
      </x:c>
      <x:c r="F98" s="2" t="n">
        <x:f>COUNTA(E2_plantas!A6,E2_plantas!A7,E2_plantas!A18,E2_plantas!A19,E2_plantas!A30,E2_plantas!A31,E2_plantas!A42,E2_plantas!A43,E2_plantas!A54,E2_plantas!A55)</x:f>
        <x:v>10</x:v>
      </x:c>
      <x:c r="G98" s="2" t="n">
        <x:f>SUM(E2_diario!K182,E2_diario!K224,E2_diario!K686,E2_diario!K728,E2_diario!K1190,E2_diario!K1232,E2_diario!K1694,E2_diario!K1736,E2_diario!K2198,E2_diario!K2240)</x:f>
        <x:v>7</x:v>
      </x:c>
      <x:c r="H98" s="2" t="n">
        <x:f>SUM(IF(E2_diario!J182="N1",1,0),IF(E2_diario!J224="N1",1,0),IF(E2_diario!J686="N1",1,0),IF(E2_diario!J728="N1",1,0),IF(E2_diario!J1190="N1",1,0),IF(E2_diario!J1232="N1",1,0),IF(E2_diario!J1694="N1",1,0),IF(E2_diario!J1736="N1",1,0),IF(E2_diario!J2198="N1",1,0),IF(E2_diario!J2240="N1",1,0))</x:f>
        <x:v>0</x:v>
      </x:c>
      <x:c r="I98" s="2" t="n">
        <x:f>SUM(IF(E2_diario!J182="N2",1,0),IF(E2_diario!J224="N2",1,0),IF(E2_diario!J686="N2",1,0),IF(E2_diario!J728="N2",1,0),IF(E2_diario!J1190="N2",1,0),IF(E2_diario!J1232="N2",1,0),IF(E2_diario!J1694="N2",1,0),IF(E2_diario!J1736="N2",1,0),IF(E2_diario!J2198="N2",1,0),IF(E2_diario!J2240="N2",1,0))</x:f>
        <x:v>0</x:v>
      </x:c>
      <x:c r="J98" s="2" t="n">
        <x:f>SUM(IF(E2_diario!J182="N3",1,0),IF(E2_diario!J224="N3",1,0),IF(E2_diario!J686="N3",1,0),IF(E2_diario!J728="N3",1,0),IF(E2_diario!J1190="N3",1,0),IF(E2_diario!J1232="N3",1,0),IF(E2_diario!J1694="N3",1,0),IF(E2_diario!J1736="N3",1,0),IF(E2_diario!J2198="N3",1,0),IF(E2_diario!J2240="N3",1,0))</x:f>
        <x:v>0</x:v>
      </x:c>
      <x:c r="K98" s="2" t="n">
        <x:f>SUM(IF(E2_diario!J182="N4",1,0),IF(E2_diario!J224="N4",1,0),IF(E2_diario!J686="N4",1,0),IF(E2_diario!J728="N4",1,0),IF(E2_diario!J1190="N4",1,0),IF(E2_diario!J1232="N4",1,0),IF(E2_diario!J1694="N4",1,0),IF(E2_diario!J1736="N4",1,0),IF(E2_diario!J2198="N4",1,0),IF(E2_diario!J2240="N4",1,0))</x:f>
        <x:v>0</x:v>
      </x:c>
      <x:c r="L98" s="2" t="n">
        <x:f>SUM(IF(E2_diario!J182="adulta",1,0),IF(E2_diario!J224="adulta",1,0),IF(E2_diario!J686="adulta",1,0),IF(E2_diario!J728="adulta",1,0),IF(E2_diario!J1190="adulta",1,0),IF(E2_diario!J1232="adulta",1,0),IF(E2_diario!J1694="adulta",1,0),IF(E2_diario!J1736="adulta",1,0),IF(E2_diario!J2198="adulta",1,0),IF(E2_diario!J2240="adulta",1,0))</x:f>
        <x:v>7</x:v>
      </x:c>
      <x:c r="M98" s="2" t="n">
        <x:f>SUM(E2_diario!L182,E2_diario!L224,E2_diario!L686,E2_diario!L728,E2_diario!L1190,E2_diario!L1232,E2_diario!L1694,E2_diario!L1736,E2_diario!L2198,E2_diario!L2240)</x:f>
        <x:v>15</x:v>
      </x:c>
      <x:c r="N98" s="20" t="n">
        <x:f>G98/F98</x:f>
        <x:v>0.7</x:v>
      </x:c>
      <x:c r="O98" s="20" t="n">
        <x:f>IF(G98=0,0,M98/G98)</x:f>
        <x:v>2.142857142857143</x:v>
      </x:c>
      <x:c r="P98" s="20" t="n">
        <x:f>N98*O98</x:f>
        <x:v>1.4999999999999998</x:v>
      </x:c>
      <x:c r="Q98" s="20" t="n">
        <x:f>H98/F98</x:f>
        <x:v>0</x:v>
      </x:c>
      <x:c r="R98" s="20" t="n">
        <x:f>I98/F98</x:f>
        <x:v>0</x:v>
      </x:c>
      <x:c r="S98" s="20" t="n">
        <x:f>J98/F98</x:f>
        <x:v>0</x:v>
      </x:c>
      <x:c r="T98" s="20" t="n">
        <x:f>K98/F98</x:f>
        <x:v>0</x:v>
      </x:c>
      <x:c r="U98" s="20" t="n">
        <x:f>L98/F98</x:f>
        <x:v>0.7</x:v>
      </x:c>
      <x:c r="V98" s="20" t="n">
        <x:f>IF(L98=0,0,M98/L98)</x:f>
        <x:v>2.142857142857143</x:v>
      </x:c>
      <x:c r="W98" s="20" t="n">
        <x:f>SUM(P$86:P98)</x:f>
        <x:v>1.9999999999999998</x:v>
      </x:c>
      <x:c r="X98" s="2" t="n">
        <x:f>E98+Supuestos!$C$15</x:f>
        <x:v>13</x:v>
      </x:c>
      <x:c r="Y98" s="2" t="n">
        <x:f>F98-G98</x:f>
        <x:v>3</x:v>
      </x:c>
      <x:c r="Z98" s="2" t="str">
        <x:v>simulado_didactico</x:v>
      </x:c>
    </x:row>
    <x:row r="99" ht="19" customHeight="1">
      <x:c r="A99" s="2" t="str">
        <x:v>MP_L7</x:v>
      </x:c>
      <x:c r="B99" s="2" t="str">
        <x:v>MP</x:v>
      </x:c>
      <x:c r="C99" s="2" t="str">
        <x:v>Myzus persicae</x:v>
      </x:c>
      <x:c r="D99" s="2" t="str">
        <x:v>L7</x:v>
      </x:c>
      <x:c r="E99" s="2" t="n">
        <x:v>13</x:v>
      </x:c>
      <x:c r="F99" s="2" t="n">
        <x:f>COUNTA(E2_plantas!A6,E2_plantas!A7,E2_plantas!A18,E2_plantas!A19,E2_plantas!A30,E2_plantas!A31,E2_plantas!A42,E2_plantas!A43,E2_plantas!A54,E2_plantas!A55)</x:f>
        <x:v>10</x:v>
      </x:c>
      <x:c r="G99" s="2" t="n">
        <x:f>SUM(E2_diario!K183,E2_diario!K225,E2_diario!K687,E2_diario!K729,E2_diario!K1191,E2_diario!K1233,E2_diario!K1695,E2_diario!K1737,E2_diario!K2199,E2_diario!K2241)</x:f>
        <x:v>7</x:v>
      </x:c>
      <x:c r="H99" s="2" t="n">
        <x:f>SUM(IF(E2_diario!J183="N1",1,0),IF(E2_diario!J225="N1",1,0),IF(E2_diario!J687="N1",1,0),IF(E2_diario!J729="N1",1,0),IF(E2_diario!J1191="N1",1,0),IF(E2_diario!J1233="N1",1,0),IF(E2_diario!J1695="N1",1,0),IF(E2_diario!J1737="N1",1,0),IF(E2_diario!J2199="N1",1,0),IF(E2_diario!J2241="N1",1,0))</x:f>
        <x:v>0</x:v>
      </x:c>
      <x:c r="I99" s="2" t="n">
        <x:f>SUM(IF(E2_diario!J183="N2",1,0),IF(E2_diario!J225="N2",1,0),IF(E2_diario!J687="N2",1,0),IF(E2_diario!J729="N2",1,0),IF(E2_diario!J1191="N2",1,0),IF(E2_diario!J1233="N2",1,0),IF(E2_diario!J1695="N2",1,0),IF(E2_diario!J1737="N2",1,0),IF(E2_diario!J2199="N2",1,0),IF(E2_diario!J2241="N2",1,0))</x:f>
        <x:v>0</x:v>
      </x:c>
      <x:c r="J99" s="2" t="n">
        <x:f>SUM(IF(E2_diario!J183="N3",1,0),IF(E2_diario!J225="N3",1,0),IF(E2_diario!J687="N3",1,0),IF(E2_diario!J729="N3",1,0),IF(E2_diario!J1191="N3",1,0),IF(E2_diario!J1233="N3",1,0),IF(E2_diario!J1695="N3",1,0),IF(E2_diario!J1737="N3",1,0),IF(E2_diario!J2199="N3",1,0),IF(E2_diario!J2241="N3",1,0))</x:f>
        <x:v>0</x:v>
      </x:c>
      <x:c r="K99" s="2" t="n">
        <x:f>SUM(IF(E2_diario!J183="N4",1,0),IF(E2_diario!J225="N4",1,0),IF(E2_diario!J687="N4",1,0),IF(E2_diario!J729="N4",1,0),IF(E2_diario!J1191="N4",1,0),IF(E2_diario!J1233="N4",1,0),IF(E2_diario!J1695="N4",1,0),IF(E2_diario!J1737="N4",1,0),IF(E2_diario!J2199="N4",1,0),IF(E2_diario!J2241="N4",1,0))</x:f>
        <x:v>0</x:v>
      </x:c>
      <x:c r="L99" s="2" t="n">
        <x:f>SUM(IF(E2_diario!J183="adulta",1,0),IF(E2_diario!J225="adulta",1,0),IF(E2_diario!J687="adulta",1,0),IF(E2_diario!J729="adulta",1,0),IF(E2_diario!J1191="adulta",1,0),IF(E2_diario!J1233="adulta",1,0),IF(E2_diario!J1695="adulta",1,0),IF(E2_diario!J1737="adulta",1,0),IF(E2_diario!J2199="adulta",1,0),IF(E2_diario!J2241="adulta",1,0))</x:f>
        <x:v>7</x:v>
      </x:c>
      <x:c r="M99" s="2" t="n">
        <x:f>SUM(E2_diario!L183,E2_diario!L225,E2_diario!L687,E2_diario!L729,E2_diario!L1191,E2_diario!L1233,E2_diario!L1695,E2_diario!L1737,E2_diario!L2199,E2_diario!L2241)</x:f>
        <x:v>24</x:v>
      </x:c>
      <x:c r="N99" s="20" t="n">
        <x:f>G99/F99</x:f>
        <x:v>0.7</x:v>
      </x:c>
      <x:c r="O99" s="20" t="n">
        <x:f>IF(G99=0,0,M99/G99)</x:f>
        <x:v>3.4285714285714284</x:v>
      </x:c>
      <x:c r="P99" s="20" t="n">
        <x:f>N99*O99</x:f>
        <x:v>2.4</x:v>
      </x:c>
      <x:c r="Q99" s="20" t="n">
        <x:f>H99/F99</x:f>
        <x:v>0</x:v>
      </x:c>
      <x:c r="R99" s="20" t="n">
        <x:f>I99/F99</x:f>
        <x:v>0</x:v>
      </x:c>
      <x:c r="S99" s="20" t="n">
        <x:f>J99/F99</x:f>
        <x:v>0</x:v>
      </x:c>
      <x:c r="T99" s="20" t="n">
        <x:f>K99/F99</x:f>
        <x:v>0</x:v>
      </x:c>
      <x:c r="U99" s="20" t="n">
        <x:f>L99/F99</x:f>
        <x:v>0.7</x:v>
      </x:c>
      <x:c r="V99" s="20" t="n">
        <x:f>IF(L99=0,0,M99/L99)</x:f>
        <x:v>3.4285714285714284</x:v>
      </x:c>
      <x:c r="W99" s="20" t="n">
        <x:f>SUM(P$86:P99)</x:f>
        <x:v>4.3999999999999995</x:v>
      </x:c>
      <x:c r="X99" s="2" t="n">
        <x:f>E99+Supuestos!$C$15</x:f>
        <x:v>14</x:v>
      </x:c>
      <x:c r="Y99" s="2" t="n">
        <x:f>F99-G99</x:f>
        <x:v>3</x:v>
      </x:c>
      <x:c r="Z99" s="2" t="str">
        <x:v>simulado_didactico</x:v>
      </x:c>
    </x:row>
    <x:row r="100" ht="19" customHeight="1">
      <x:c r="A100" s="2" t="str">
        <x:v>MP_L7</x:v>
      </x:c>
      <x:c r="B100" s="2" t="str">
        <x:v>MP</x:v>
      </x:c>
      <x:c r="C100" s="2" t="str">
        <x:v>Myzus persicae</x:v>
      </x:c>
      <x:c r="D100" s="2" t="str">
        <x:v>L7</x:v>
      </x:c>
      <x:c r="E100" s="2" t="n">
        <x:v>14</x:v>
      </x:c>
      <x:c r="F100" s="2" t="n">
        <x:f>COUNTA(E2_plantas!A6,E2_plantas!A7,E2_plantas!A18,E2_plantas!A19,E2_plantas!A30,E2_plantas!A31,E2_plantas!A42,E2_plantas!A43,E2_plantas!A54,E2_plantas!A55)</x:f>
        <x:v>10</x:v>
      </x:c>
      <x:c r="G100" s="2" t="n">
        <x:f>SUM(E2_diario!K184,E2_diario!K226,E2_diario!K688,E2_diario!K730,E2_diario!K1192,E2_diario!K1234,E2_diario!K1696,E2_diario!K1738,E2_diario!K2200,E2_diario!K2242)</x:f>
        <x:v>7</x:v>
      </x:c>
      <x:c r="H100" s="2" t="n">
        <x:f>SUM(IF(E2_diario!J184="N1",1,0),IF(E2_diario!J226="N1",1,0),IF(E2_diario!J688="N1",1,0),IF(E2_diario!J730="N1",1,0),IF(E2_diario!J1192="N1",1,0),IF(E2_diario!J1234="N1",1,0),IF(E2_diario!J1696="N1",1,0),IF(E2_diario!J1738="N1",1,0),IF(E2_diario!J2200="N1",1,0),IF(E2_diario!J2242="N1",1,0))</x:f>
        <x:v>0</x:v>
      </x:c>
      <x:c r="I100" s="2" t="n">
        <x:f>SUM(IF(E2_diario!J184="N2",1,0),IF(E2_diario!J226="N2",1,0),IF(E2_diario!J688="N2",1,0),IF(E2_diario!J730="N2",1,0),IF(E2_diario!J1192="N2",1,0),IF(E2_diario!J1234="N2",1,0),IF(E2_diario!J1696="N2",1,0),IF(E2_diario!J1738="N2",1,0),IF(E2_diario!J2200="N2",1,0),IF(E2_diario!J2242="N2",1,0))</x:f>
        <x:v>0</x:v>
      </x:c>
      <x:c r="J100" s="2" t="n">
        <x:f>SUM(IF(E2_diario!J184="N3",1,0),IF(E2_diario!J226="N3",1,0),IF(E2_diario!J688="N3",1,0),IF(E2_diario!J730="N3",1,0),IF(E2_diario!J1192="N3",1,0),IF(E2_diario!J1234="N3",1,0),IF(E2_diario!J1696="N3",1,0),IF(E2_diario!J1738="N3",1,0),IF(E2_diario!J2200="N3",1,0),IF(E2_diario!J2242="N3",1,0))</x:f>
        <x:v>0</x:v>
      </x:c>
      <x:c r="K100" s="2" t="n">
        <x:f>SUM(IF(E2_diario!J184="N4",1,0),IF(E2_diario!J226="N4",1,0),IF(E2_diario!J688="N4",1,0),IF(E2_diario!J730="N4",1,0),IF(E2_diario!J1192="N4",1,0),IF(E2_diario!J1234="N4",1,0),IF(E2_diario!J1696="N4",1,0),IF(E2_diario!J1738="N4",1,0),IF(E2_diario!J2200="N4",1,0),IF(E2_diario!J2242="N4",1,0))</x:f>
        <x:v>0</x:v>
      </x:c>
      <x:c r="L100" s="2" t="n">
        <x:f>SUM(IF(E2_diario!J184="adulta",1,0),IF(E2_diario!J226="adulta",1,0),IF(E2_diario!J688="adulta",1,0),IF(E2_diario!J730="adulta",1,0),IF(E2_diario!J1192="adulta",1,0),IF(E2_diario!J1234="adulta",1,0),IF(E2_diario!J1696="adulta",1,0),IF(E2_diario!J1738="adulta",1,0),IF(E2_diario!J2200="adulta",1,0),IF(E2_diario!J2242="adulta",1,0))</x:f>
        <x:v>7</x:v>
      </x:c>
      <x:c r="M100" s="2" t="n">
        <x:f>SUM(E2_diario!L184,E2_diario!L226,E2_diario!L688,E2_diario!L730,E2_diario!L1192,E2_diario!L1234,E2_diario!L1696,E2_diario!L1738,E2_diario!L2200,E2_diario!L2242)</x:f>
        <x:v>14</x:v>
      </x:c>
      <x:c r="N100" s="20" t="n">
        <x:f>G100/F100</x:f>
        <x:v>0.7</x:v>
      </x:c>
      <x:c r="O100" s="20" t="n">
        <x:f>IF(G100=0,0,M100/G100)</x:f>
        <x:v>2</x:v>
      </x:c>
      <x:c r="P100" s="20" t="n">
        <x:f>N100*O100</x:f>
        <x:v>1.4</x:v>
      </x:c>
      <x:c r="Q100" s="20" t="n">
        <x:f>H100/F100</x:f>
        <x:v>0</x:v>
      </x:c>
      <x:c r="R100" s="20" t="n">
        <x:f>I100/F100</x:f>
        <x:v>0</x:v>
      </x:c>
      <x:c r="S100" s="20" t="n">
        <x:f>J100/F100</x:f>
        <x:v>0</x:v>
      </x:c>
      <x:c r="T100" s="20" t="n">
        <x:f>K100/F100</x:f>
        <x:v>0</x:v>
      </x:c>
      <x:c r="U100" s="20" t="n">
        <x:f>L100/F100</x:f>
        <x:v>0.7</x:v>
      </x:c>
      <x:c r="V100" s="20" t="n">
        <x:f>IF(L100=0,0,M100/L100)</x:f>
        <x:v>2</x:v>
      </x:c>
      <x:c r="W100" s="20" t="n">
        <x:f>SUM(P$86:P100)</x:f>
        <x:v>5.799999999999999</x:v>
      </x:c>
      <x:c r="X100" s="2" t="n">
        <x:f>E100+Supuestos!$C$15</x:f>
        <x:v>15</x:v>
      </x:c>
      <x:c r="Y100" s="2" t="n">
        <x:f>F100-G100</x:f>
        <x:v>3</x:v>
      </x:c>
      <x:c r="Z100" s="2" t="str">
        <x:v>simulado_didactico</x:v>
      </x:c>
    </x:row>
    <x:row r="101" ht="19" customHeight="1">
      <x:c r="A101" s="2" t="str">
        <x:v>MP_L7</x:v>
      </x:c>
      <x:c r="B101" s="2" t="str">
        <x:v>MP</x:v>
      </x:c>
      <x:c r="C101" s="2" t="str">
        <x:v>Myzus persicae</x:v>
      </x:c>
      <x:c r="D101" s="2" t="str">
        <x:v>L7</x:v>
      </x:c>
      <x:c r="E101" s="2" t="n">
        <x:v>15</x:v>
      </x:c>
      <x:c r="F101" s="2" t="n">
        <x:f>COUNTA(E2_plantas!A6,E2_plantas!A7,E2_plantas!A18,E2_plantas!A19,E2_plantas!A30,E2_plantas!A31,E2_plantas!A42,E2_plantas!A43,E2_plantas!A54,E2_plantas!A55)</x:f>
        <x:v>10</x:v>
      </x:c>
      <x:c r="G101" s="2" t="n">
        <x:f>SUM(E2_diario!K185,E2_diario!K227,E2_diario!K689,E2_diario!K731,E2_diario!K1193,E2_diario!K1235,E2_diario!K1697,E2_diario!K1739,E2_diario!K2201,E2_diario!K2243)</x:f>
        <x:v>7</x:v>
      </x:c>
      <x:c r="H101" s="2" t="n">
        <x:f>SUM(IF(E2_diario!J185="N1",1,0),IF(E2_diario!J227="N1",1,0),IF(E2_diario!J689="N1",1,0),IF(E2_diario!J731="N1",1,0),IF(E2_diario!J1193="N1",1,0),IF(E2_diario!J1235="N1",1,0),IF(E2_diario!J1697="N1",1,0),IF(E2_diario!J1739="N1",1,0),IF(E2_diario!J2201="N1",1,0),IF(E2_diario!J2243="N1",1,0))</x:f>
        <x:v>0</x:v>
      </x:c>
      <x:c r="I101" s="2" t="n">
        <x:f>SUM(IF(E2_diario!J185="N2",1,0),IF(E2_diario!J227="N2",1,0),IF(E2_diario!J689="N2",1,0),IF(E2_diario!J731="N2",1,0),IF(E2_diario!J1193="N2",1,0),IF(E2_diario!J1235="N2",1,0),IF(E2_diario!J1697="N2",1,0),IF(E2_diario!J1739="N2",1,0),IF(E2_diario!J2201="N2",1,0),IF(E2_diario!J2243="N2",1,0))</x:f>
        <x:v>0</x:v>
      </x:c>
      <x:c r="J101" s="2" t="n">
        <x:f>SUM(IF(E2_diario!J185="N3",1,0),IF(E2_diario!J227="N3",1,0),IF(E2_diario!J689="N3",1,0),IF(E2_diario!J731="N3",1,0),IF(E2_diario!J1193="N3",1,0),IF(E2_diario!J1235="N3",1,0),IF(E2_diario!J1697="N3",1,0),IF(E2_diario!J1739="N3",1,0),IF(E2_diario!J2201="N3",1,0),IF(E2_diario!J2243="N3",1,0))</x:f>
        <x:v>0</x:v>
      </x:c>
      <x:c r="K101" s="2" t="n">
        <x:f>SUM(IF(E2_diario!J185="N4",1,0),IF(E2_diario!J227="N4",1,0),IF(E2_diario!J689="N4",1,0),IF(E2_diario!J731="N4",1,0),IF(E2_diario!J1193="N4",1,0),IF(E2_diario!J1235="N4",1,0),IF(E2_diario!J1697="N4",1,0),IF(E2_diario!J1739="N4",1,0),IF(E2_diario!J2201="N4",1,0),IF(E2_diario!J2243="N4",1,0))</x:f>
        <x:v>0</x:v>
      </x:c>
      <x:c r="L101" s="2" t="n">
        <x:f>SUM(IF(E2_diario!J185="adulta",1,0),IF(E2_diario!J227="adulta",1,0),IF(E2_diario!J689="adulta",1,0),IF(E2_diario!J731="adulta",1,0),IF(E2_diario!J1193="adulta",1,0),IF(E2_diario!J1235="adulta",1,0),IF(E2_diario!J1697="adulta",1,0),IF(E2_diario!J1739="adulta",1,0),IF(E2_diario!J2201="adulta",1,0),IF(E2_diario!J2243="adulta",1,0))</x:f>
        <x:v>7</x:v>
      </x:c>
      <x:c r="M101" s="2" t="n">
        <x:f>SUM(E2_diario!L185,E2_diario!L227,E2_diario!L689,E2_diario!L731,E2_diario!L1193,E2_diario!L1235,E2_diario!L1697,E2_diario!L1739,E2_diario!L2201,E2_diario!L2243)</x:f>
        <x:v>17</x:v>
      </x:c>
      <x:c r="N101" s="20" t="n">
        <x:f>G101/F101</x:f>
        <x:v>0.7</x:v>
      </x:c>
      <x:c r="O101" s="20" t="n">
        <x:f>IF(G101=0,0,M101/G101)</x:f>
        <x:v>2.4285714285714284</x:v>
      </x:c>
      <x:c r="P101" s="20" t="n">
        <x:f>N101*O101</x:f>
        <x:v>1.6999999999999997</x:v>
      </x:c>
      <x:c r="Q101" s="20" t="n">
        <x:f>H101/F101</x:f>
        <x:v>0</x:v>
      </x:c>
      <x:c r="R101" s="20" t="n">
        <x:f>I101/F101</x:f>
        <x:v>0</x:v>
      </x:c>
      <x:c r="S101" s="20" t="n">
        <x:f>J101/F101</x:f>
        <x:v>0</x:v>
      </x:c>
      <x:c r="T101" s="20" t="n">
        <x:f>K101/F101</x:f>
        <x:v>0</x:v>
      </x:c>
      <x:c r="U101" s="20" t="n">
        <x:f>L101/F101</x:f>
        <x:v>0.7</x:v>
      </x:c>
      <x:c r="V101" s="20" t="n">
        <x:f>IF(L101=0,0,M101/L101)</x:f>
        <x:v>2.4285714285714284</x:v>
      </x:c>
      <x:c r="W101" s="20" t="n">
        <x:f>SUM(P$86:P101)</x:f>
        <x:v>7.499999999999998</x:v>
      </x:c>
      <x:c r="X101" s="2" t="n">
        <x:f>E101+Supuestos!$C$15</x:f>
        <x:v>16</x:v>
      </x:c>
      <x:c r="Y101" s="2" t="n">
        <x:f>F101-G101</x:f>
        <x:v>3</x:v>
      </x:c>
      <x:c r="Z101" s="2" t="str">
        <x:v>simulado_didactico</x:v>
      </x:c>
    </x:row>
    <x:row r="102" ht="19" customHeight="1">
      <x:c r="A102" s="2" t="str">
        <x:v>MP_L7</x:v>
      </x:c>
      <x:c r="B102" s="2" t="str">
        <x:v>MP</x:v>
      </x:c>
      <x:c r="C102" s="2" t="str">
        <x:v>Myzus persicae</x:v>
      </x:c>
      <x:c r="D102" s="2" t="str">
        <x:v>L7</x:v>
      </x:c>
      <x:c r="E102" s="2" t="n">
        <x:v>16</x:v>
      </x:c>
      <x:c r="F102" s="2" t="n">
        <x:f>COUNTA(E2_plantas!A6,E2_plantas!A7,E2_plantas!A18,E2_plantas!A19,E2_plantas!A30,E2_plantas!A31,E2_plantas!A42,E2_plantas!A43,E2_plantas!A54,E2_plantas!A55)</x:f>
        <x:v>10</x:v>
      </x:c>
      <x:c r="G102" s="2" t="n">
        <x:f>SUM(E2_diario!K186,E2_diario!K228,E2_diario!K690,E2_diario!K732,E2_diario!K1194,E2_diario!K1236,E2_diario!K1698,E2_diario!K1740,E2_diario!K2202,E2_diario!K2244)</x:f>
        <x:v>7</x:v>
      </x:c>
      <x:c r="H102" s="2" t="n">
        <x:f>SUM(IF(E2_diario!J186="N1",1,0),IF(E2_diario!J228="N1",1,0),IF(E2_diario!J690="N1",1,0),IF(E2_diario!J732="N1",1,0),IF(E2_diario!J1194="N1",1,0),IF(E2_diario!J1236="N1",1,0),IF(E2_diario!J1698="N1",1,0),IF(E2_diario!J1740="N1",1,0),IF(E2_diario!J2202="N1",1,0),IF(E2_diario!J2244="N1",1,0))</x:f>
        <x:v>0</x:v>
      </x:c>
      <x:c r="I102" s="2" t="n">
        <x:f>SUM(IF(E2_diario!J186="N2",1,0),IF(E2_diario!J228="N2",1,0),IF(E2_diario!J690="N2",1,0),IF(E2_diario!J732="N2",1,0),IF(E2_diario!J1194="N2",1,0),IF(E2_diario!J1236="N2",1,0),IF(E2_diario!J1698="N2",1,0),IF(E2_diario!J1740="N2",1,0),IF(E2_diario!J2202="N2",1,0),IF(E2_diario!J2244="N2",1,0))</x:f>
        <x:v>0</x:v>
      </x:c>
      <x:c r="J102" s="2" t="n">
        <x:f>SUM(IF(E2_diario!J186="N3",1,0),IF(E2_diario!J228="N3",1,0),IF(E2_diario!J690="N3",1,0),IF(E2_diario!J732="N3",1,0),IF(E2_diario!J1194="N3",1,0),IF(E2_diario!J1236="N3",1,0),IF(E2_diario!J1698="N3",1,0),IF(E2_diario!J1740="N3",1,0),IF(E2_diario!J2202="N3",1,0),IF(E2_diario!J2244="N3",1,0))</x:f>
        <x:v>0</x:v>
      </x:c>
      <x:c r="K102" s="2" t="n">
        <x:f>SUM(IF(E2_diario!J186="N4",1,0),IF(E2_diario!J228="N4",1,0),IF(E2_diario!J690="N4",1,0),IF(E2_diario!J732="N4",1,0),IF(E2_diario!J1194="N4",1,0),IF(E2_diario!J1236="N4",1,0),IF(E2_diario!J1698="N4",1,0),IF(E2_diario!J1740="N4",1,0),IF(E2_diario!J2202="N4",1,0),IF(E2_diario!J2244="N4",1,0))</x:f>
        <x:v>0</x:v>
      </x:c>
      <x:c r="L102" s="2" t="n">
        <x:f>SUM(IF(E2_diario!J186="adulta",1,0),IF(E2_diario!J228="adulta",1,0),IF(E2_diario!J690="adulta",1,0),IF(E2_diario!J732="adulta",1,0),IF(E2_diario!J1194="adulta",1,0),IF(E2_diario!J1236="adulta",1,0),IF(E2_diario!J1698="adulta",1,0),IF(E2_diario!J1740="adulta",1,0),IF(E2_diario!J2202="adulta",1,0),IF(E2_diario!J2244="adulta",1,0))</x:f>
        <x:v>7</x:v>
      </x:c>
      <x:c r="M102" s="2" t="n">
        <x:f>SUM(E2_diario!L186,E2_diario!L228,E2_diario!L690,E2_diario!L732,E2_diario!L1194,E2_diario!L1236,E2_diario!L1698,E2_diario!L1740,E2_diario!L2202,E2_diario!L2244)</x:f>
        <x:v>18</x:v>
      </x:c>
      <x:c r="N102" s="20" t="n">
        <x:f>G102/F102</x:f>
        <x:v>0.7</x:v>
      </x:c>
      <x:c r="O102" s="20" t="n">
        <x:f>IF(G102=0,0,M102/G102)</x:f>
        <x:v>2.5714285714285716</x:v>
      </x:c>
      <x:c r="P102" s="20" t="n">
        <x:f>N102*O102</x:f>
        <x:v>1.8</x:v>
      </x:c>
      <x:c r="Q102" s="20" t="n">
        <x:f>H102/F102</x:f>
        <x:v>0</x:v>
      </x:c>
      <x:c r="R102" s="20" t="n">
        <x:f>I102/F102</x:f>
        <x:v>0</x:v>
      </x:c>
      <x:c r="S102" s="20" t="n">
        <x:f>J102/F102</x:f>
        <x:v>0</x:v>
      </x:c>
      <x:c r="T102" s="20" t="n">
        <x:f>K102/F102</x:f>
        <x:v>0</x:v>
      </x:c>
      <x:c r="U102" s="20" t="n">
        <x:f>L102/F102</x:f>
        <x:v>0.7</x:v>
      </x:c>
      <x:c r="V102" s="20" t="n">
        <x:f>IF(L102=0,0,M102/L102)</x:f>
        <x:v>2.5714285714285716</x:v>
      </x:c>
      <x:c r="W102" s="20" t="n">
        <x:f>SUM(P$86:P102)</x:f>
        <x:v>9.299999999999999</x:v>
      </x:c>
      <x:c r="X102" s="2" t="n">
        <x:f>E102+Supuestos!$C$15</x:f>
        <x:v>17</x:v>
      </x:c>
      <x:c r="Y102" s="2" t="n">
        <x:f>F102-G102</x:f>
        <x:v>3</x:v>
      </x:c>
      <x:c r="Z102" s="2" t="str">
        <x:v>simulado_didactico</x:v>
      </x:c>
    </x:row>
    <x:row r="103" ht="19" customHeight="1">
      <x:c r="A103" s="2" t="str">
        <x:v>MP_L7</x:v>
      </x:c>
      <x:c r="B103" s="2" t="str">
        <x:v>MP</x:v>
      </x:c>
      <x:c r="C103" s="2" t="str">
        <x:v>Myzus persicae</x:v>
      </x:c>
      <x:c r="D103" s="2" t="str">
        <x:v>L7</x:v>
      </x:c>
      <x:c r="E103" s="2" t="n">
        <x:v>17</x:v>
      </x:c>
      <x:c r="F103" s="2" t="n">
        <x:f>COUNTA(E2_plantas!A6,E2_plantas!A7,E2_plantas!A18,E2_plantas!A19,E2_plantas!A30,E2_plantas!A31,E2_plantas!A42,E2_plantas!A43,E2_plantas!A54,E2_plantas!A55)</x:f>
        <x:v>10</x:v>
      </x:c>
      <x:c r="G103" s="2" t="n">
        <x:f>SUM(E2_diario!K187,E2_diario!K229,E2_diario!K691,E2_diario!K733,E2_diario!K1195,E2_diario!K1237,E2_diario!K1699,E2_diario!K1741,E2_diario!K2203,E2_diario!K2245)</x:f>
        <x:v>7</x:v>
      </x:c>
      <x:c r="H103" s="2" t="n">
        <x:f>SUM(IF(E2_diario!J187="N1",1,0),IF(E2_diario!J229="N1",1,0),IF(E2_diario!J691="N1",1,0),IF(E2_diario!J733="N1",1,0),IF(E2_diario!J1195="N1",1,0),IF(E2_diario!J1237="N1",1,0),IF(E2_diario!J1699="N1",1,0),IF(E2_diario!J1741="N1",1,0),IF(E2_diario!J2203="N1",1,0),IF(E2_diario!J2245="N1",1,0))</x:f>
        <x:v>0</x:v>
      </x:c>
      <x:c r="I103" s="2" t="n">
        <x:f>SUM(IF(E2_diario!J187="N2",1,0),IF(E2_diario!J229="N2",1,0),IF(E2_diario!J691="N2",1,0),IF(E2_diario!J733="N2",1,0),IF(E2_diario!J1195="N2",1,0),IF(E2_diario!J1237="N2",1,0),IF(E2_diario!J1699="N2",1,0),IF(E2_diario!J1741="N2",1,0),IF(E2_diario!J2203="N2",1,0),IF(E2_diario!J2245="N2",1,0))</x:f>
        <x:v>0</x:v>
      </x:c>
      <x:c r="J103" s="2" t="n">
        <x:f>SUM(IF(E2_diario!J187="N3",1,0),IF(E2_diario!J229="N3",1,0),IF(E2_diario!J691="N3",1,0),IF(E2_diario!J733="N3",1,0),IF(E2_diario!J1195="N3",1,0),IF(E2_diario!J1237="N3",1,0),IF(E2_diario!J1699="N3",1,0),IF(E2_diario!J1741="N3",1,0),IF(E2_diario!J2203="N3",1,0),IF(E2_diario!J2245="N3",1,0))</x:f>
        <x:v>0</x:v>
      </x:c>
      <x:c r="K103" s="2" t="n">
        <x:f>SUM(IF(E2_diario!J187="N4",1,0),IF(E2_diario!J229="N4",1,0),IF(E2_diario!J691="N4",1,0),IF(E2_diario!J733="N4",1,0),IF(E2_diario!J1195="N4",1,0),IF(E2_diario!J1237="N4",1,0),IF(E2_diario!J1699="N4",1,0),IF(E2_diario!J1741="N4",1,0),IF(E2_diario!J2203="N4",1,0),IF(E2_diario!J2245="N4",1,0))</x:f>
        <x:v>0</x:v>
      </x:c>
      <x:c r="L103" s="2" t="n">
        <x:f>SUM(IF(E2_diario!J187="adulta",1,0),IF(E2_diario!J229="adulta",1,0),IF(E2_diario!J691="adulta",1,0),IF(E2_diario!J733="adulta",1,0),IF(E2_diario!J1195="adulta",1,0),IF(E2_diario!J1237="adulta",1,0),IF(E2_diario!J1699="adulta",1,0),IF(E2_diario!J1741="adulta",1,0),IF(E2_diario!J2203="adulta",1,0),IF(E2_diario!J2245="adulta",1,0))</x:f>
        <x:v>7</x:v>
      </x:c>
      <x:c r="M103" s="2" t="n">
        <x:f>SUM(E2_diario!L187,E2_diario!L229,E2_diario!L691,E2_diario!L733,E2_diario!L1195,E2_diario!L1237,E2_diario!L1699,E2_diario!L1741,E2_diario!L2203,E2_diario!L2245)</x:f>
        <x:v>29</x:v>
      </x:c>
      <x:c r="N103" s="20" t="n">
        <x:f>G103/F103</x:f>
        <x:v>0.7</x:v>
      </x:c>
      <x:c r="O103" s="20" t="n">
        <x:f>IF(G103=0,0,M103/G103)</x:f>
        <x:v>4.142857142857143</x:v>
      </x:c>
      <x:c r="P103" s="20" t="n">
        <x:f>N103*O103</x:f>
        <x:v>2.9</x:v>
      </x:c>
      <x:c r="Q103" s="20" t="n">
        <x:f>H103/F103</x:f>
        <x:v>0</x:v>
      </x:c>
      <x:c r="R103" s="20" t="n">
        <x:f>I103/F103</x:f>
        <x:v>0</x:v>
      </x:c>
      <x:c r="S103" s="20" t="n">
        <x:f>J103/F103</x:f>
        <x:v>0</x:v>
      </x:c>
      <x:c r="T103" s="20" t="n">
        <x:f>K103/F103</x:f>
        <x:v>0</x:v>
      </x:c>
      <x:c r="U103" s="20" t="n">
        <x:f>L103/F103</x:f>
        <x:v>0.7</x:v>
      </x:c>
      <x:c r="V103" s="20" t="n">
        <x:f>IF(L103=0,0,M103/L103)</x:f>
        <x:v>4.142857142857143</x:v>
      </x:c>
      <x:c r="W103" s="20" t="n">
        <x:f>SUM(P$86:P103)</x:f>
        <x:v>12.2</x:v>
      </x:c>
      <x:c r="X103" s="2" t="n">
        <x:f>E103+Supuestos!$C$15</x:f>
        <x:v>18</x:v>
      </x:c>
      <x:c r="Y103" s="2" t="n">
        <x:f>F103-G103</x:f>
        <x:v>3</x:v>
      </x:c>
      <x:c r="Z103" s="2" t="str">
        <x:v>simulado_didactico</x:v>
      </x:c>
    </x:row>
    <x:row r="104" ht="19" customHeight="1">
      <x:c r="A104" s="2" t="str">
        <x:v>MP_L7</x:v>
      </x:c>
      <x:c r="B104" s="2" t="str">
        <x:v>MP</x:v>
      </x:c>
      <x:c r="C104" s="2" t="str">
        <x:v>Myzus persicae</x:v>
      </x:c>
      <x:c r="D104" s="2" t="str">
        <x:v>L7</x:v>
      </x:c>
      <x:c r="E104" s="2" t="n">
        <x:v>18</x:v>
      </x:c>
      <x:c r="F104" s="2" t="n">
        <x:f>COUNTA(E2_plantas!A6,E2_plantas!A7,E2_plantas!A18,E2_plantas!A19,E2_plantas!A30,E2_plantas!A31,E2_plantas!A42,E2_plantas!A43,E2_plantas!A54,E2_plantas!A55)</x:f>
        <x:v>10</x:v>
      </x:c>
      <x:c r="G104" s="2" t="n">
        <x:f>SUM(E2_diario!K188,E2_diario!K230,E2_diario!K692,E2_diario!K734,E2_diario!K1196,E2_diario!K1238,E2_diario!K1700,E2_diario!K1742,E2_diario!K2204,E2_diario!K2246)</x:f>
        <x:v>7</x:v>
      </x:c>
      <x:c r="H104" s="2" t="n">
        <x:f>SUM(IF(E2_diario!J188="N1",1,0),IF(E2_diario!J230="N1",1,0),IF(E2_diario!J692="N1",1,0),IF(E2_diario!J734="N1",1,0),IF(E2_diario!J1196="N1",1,0),IF(E2_diario!J1238="N1",1,0),IF(E2_diario!J1700="N1",1,0),IF(E2_diario!J1742="N1",1,0),IF(E2_diario!J2204="N1",1,0),IF(E2_diario!J2246="N1",1,0))</x:f>
        <x:v>0</x:v>
      </x:c>
      <x:c r="I104" s="2" t="n">
        <x:f>SUM(IF(E2_diario!J188="N2",1,0),IF(E2_diario!J230="N2",1,0),IF(E2_diario!J692="N2",1,0),IF(E2_diario!J734="N2",1,0),IF(E2_diario!J1196="N2",1,0),IF(E2_diario!J1238="N2",1,0),IF(E2_diario!J1700="N2",1,0),IF(E2_diario!J1742="N2",1,0),IF(E2_diario!J2204="N2",1,0),IF(E2_diario!J2246="N2",1,0))</x:f>
        <x:v>0</x:v>
      </x:c>
      <x:c r="J104" s="2" t="n">
        <x:f>SUM(IF(E2_diario!J188="N3",1,0),IF(E2_diario!J230="N3",1,0),IF(E2_diario!J692="N3",1,0),IF(E2_diario!J734="N3",1,0),IF(E2_diario!J1196="N3",1,0),IF(E2_diario!J1238="N3",1,0),IF(E2_diario!J1700="N3",1,0),IF(E2_diario!J1742="N3",1,0),IF(E2_diario!J2204="N3",1,0),IF(E2_diario!J2246="N3",1,0))</x:f>
        <x:v>0</x:v>
      </x:c>
      <x:c r="K104" s="2" t="n">
        <x:f>SUM(IF(E2_diario!J188="N4",1,0),IF(E2_diario!J230="N4",1,0),IF(E2_diario!J692="N4",1,0),IF(E2_diario!J734="N4",1,0),IF(E2_diario!J1196="N4",1,0),IF(E2_diario!J1238="N4",1,0),IF(E2_diario!J1700="N4",1,0),IF(E2_diario!J1742="N4",1,0),IF(E2_diario!J2204="N4",1,0),IF(E2_diario!J2246="N4",1,0))</x:f>
        <x:v>0</x:v>
      </x:c>
      <x:c r="L104" s="2" t="n">
        <x:f>SUM(IF(E2_diario!J188="adulta",1,0),IF(E2_diario!J230="adulta",1,0),IF(E2_diario!J692="adulta",1,0),IF(E2_diario!J734="adulta",1,0),IF(E2_diario!J1196="adulta",1,0),IF(E2_diario!J1238="adulta",1,0),IF(E2_diario!J1700="adulta",1,0),IF(E2_diario!J1742="adulta",1,0),IF(E2_diario!J2204="adulta",1,0),IF(E2_diario!J2246="adulta",1,0))</x:f>
        <x:v>7</x:v>
      </x:c>
      <x:c r="M104" s="2" t="n">
        <x:f>SUM(E2_diario!L188,E2_diario!L230,E2_diario!L692,E2_diario!L734,E2_diario!L1196,E2_diario!L1238,E2_diario!L1700,E2_diario!L1742,E2_diario!L2204,E2_diario!L2246)</x:f>
        <x:v>20</x:v>
      </x:c>
      <x:c r="N104" s="20" t="n">
        <x:f>G104/F104</x:f>
        <x:v>0.7</x:v>
      </x:c>
      <x:c r="O104" s="20" t="n">
        <x:f>IF(G104=0,0,M104/G104)</x:f>
        <x:v>2.857142857142857</x:v>
      </x:c>
      <x:c r="P104" s="20" t="n">
        <x:f>N104*O104</x:f>
        <x:v>2</x:v>
      </x:c>
      <x:c r="Q104" s="20" t="n">
        <x:f>H104/F104</x:f>
        <x:v>0</x:v>
      </x:c>
      <x:c r="R104" s="20" t="n">
        <x:f>I104/F104</x:f>
        <x:v>0</x:v>
      </x:c>
      <x:c r="S104" s="20" t="n">
        <x:f>J104/F104</x:f>
        <x:v>0</x:v>
      </x:c>
      <x:c r="T104" s="20" t="n">
        <x:f>K104/F104</x:f>
        <x:v>0</x:v>
      </x:c>
      <x:c r="U104" s="20" t="n">
        <x:f>L104/F104</x:f>
        <x:v>0.7</x:v>
      </x:c>
      <x:c r="V104" s="20" t="n">
        <x:f>IF(L104=0,0,M104/L104)</x:f>
        <x:v>2.857142857142857</x:v>
      </x:c>
      <x:c r="W104" s="20" t="n">
        <x:f>SUM(P$86:P104)</x:f>
        <x:v>14.2</x:v>
      </x:c>
      <x:c r="X104" s="2" t="n">
        <x:f>E104+Supuestos!$C$15</x:f>
        <x:v>19</x:v>
      </x:c>
      <x:c r="Y104" s="2" t="n">
        <x:f>F104-G104</x:f>
        <x:v>3</x:v>
      </x:c>
      <x:c r="Z104" s="2" t="str">
        <x:v>simulado_didactico</x:v>
      </x:c>
    </x:row>
    <x:row r="105" ht="19" customHeight="1">
      <x:c r="A105" s="2" t="str">
        <x:v>MP_L7</x:v>
      </x:c>
      <x:c r="B105" s="2" t="str">
        <x:v>MP</x:v>
      </x:c>
      <x:c r="C105" s="2" t="str">
        <x:v>Myzus persicae</x:v>
      </x:c>
      <x:c r="D105" s="2" t="str">
        <x:v>L7</x:v>
      </x:c>
      <x:c r="E105" s="2" t="n">
        <x:v>19</x:v>
      </x:c>
      <x:c r="F105" s="2" t="n">
        <x:f>COUNTA(E2_plantas!A6,E2_plantas!A7,E2_plantas!A18,E2_plantas!A19,E2_plantas!A30,E2_plantas!A31,E2_plantas!A42,E2_plantas!A43,E2_plantas!A54,E2_plantas!A55)</x:f>
        <x:v>10</x:v>
      </x:c>
      <x:c r="G105" s="2" t="n">
        <x:f>SUM(E2_diario!K189,E2_diario!K231,E2_diario!K693,E2_diario!K735,E2_diario!K1197,E2_diario!K1239,E2_diario!K1701,E2_diario!K1743,E2_diario!K2205,E2_diario!K2247)</x:f>
        <x:v>7</x:v>
      </x:c>
      <x:c r="H105" s="2" t="n">
        <x:f>SUM(IF(E2_diario!J189="N1",1,0),IF(E2_diario!J231="N1",1,0),IF(E2_diario!J693="N1",1,0),IF(E2_diario!J735="N1",1,0),IF(E2_diario!J1197="N1",1,0),IF(E2_diario!J1239="N1",1,0),IF(E2_diario!J1701="N1",1,0),IF(E2_diario!J1743="N1",1,0),IF(E2_diario!J2205="N1",1,0),IF(E2_diario!J2247="N1",1,0))</x:f>
        <x:v>0</x:v>
      </x:c>
      <x:c r="I105" s="2" t="n">
        <x:f>SUM(IF(E2_diario!J189="N2",1,0),IF(E2_diario!J231="N2",1,0),IF(E2_diario!J693="N2",1,0),IF(E2_diario!J735="N2",1,0),IF(E2_diario!J1197="N2",1,0),IF(E2_diario!J1239="N2",1,0),IF(E2_diario!J1701="N2",1,0),IF(E2_diario!J1743="N2",1,0),IF(E2_diario!J2205="N2",1,0),IF(E2_diario!J2247="N2",1,0))</x:f>
        <x:v>0</x:v>
      </x:c>
      <x:c r="J105" s="2" t="n">
        <x:f>SUM(IF(E2_diario!J189="N3",1,0),IF(E2_diario!J231="N3",1,0),IF(E2_diario!J693="N3",1,0),IF(E2_diario!J735="N3",1,0),IF(E2_diario!J1197="N3",1,0),IF(E2_diario!J1239="N3",1,0),IF(E2_diario!J1701="N3",1,0),IF(E2_diario!J1743="N3",1,0),IF(E2_diario!J2205="N3",1,0),IF(E2_diario!J2247="N3",1,0))</x:f>
        <x:v>0</x:v>
      </x:c>
      <x:c r="K105" s="2" t="n">
        <x:f>SUM(IF(E2_diario!J189="N4",1,0),IF(E2_diario!J231="N4",1,0),IF(E2_diario!J693="N4",1,0),IF(E2_diario!J735="N4",1,0),IF(E2_diario!J1197="N4",1,0),IF(E2_diario!J1239="N4",1,0),IF(E2_diario!J1701="N4",1,0),IF(E2_diario!J1743="N4",1,0),IF(E2_diario!J2205="N4",1,0),IF(E2_diario!J2247="N4",1,0))</x:f>
        <x:v>0</x:v>
      </x:c>
      <x:c r="L105" s="2" t="n">
        <x:f>SUM(IF(E2_diario!J189="adulta",1,0),IF(E2_diario!J231="adulta",1,0),IF(E2_diario!J693="adulta",1,0),IF(E2_diario!J735="adulta",1,0),IF(E2_diario!J1197="adulta",1,0),IF(E2_diario!J1239="adulta",1,0),IF(E2_diario!J1701="adulta",1,0),IF(E2_diario!J1743="adulta",1,0),IF(E2_diario!J2205="adulta",1,0),IF(E2_diario!J2247="adulta",1,0))</x:f>
        <x:v>7</x:v>
      </x:c>
      <x:c r="M105" s="2" t="n">
        <x:f>SUM(E2_diario!L189,E2_diario!L231,E2_diario!L693,E2_diario!L735,E2_diario!L1197,E2_diario!L1239,E2_diario!L1701,E2_diario!L1743,E2_diario!L2205,E2_diario!L2247)</x:f>
        <x:v>14</x:v>
      </x:c>
      <x:c r="N105" s="20" t="n">
        <x:f>G105/F105</x:f>
        <x:v>0.7</x:v>
      </x:c>
      <x:c r="O105" s="20" t="n">
        <x:f>IF(G105=0,0,M105/G105)</x:f>
        <x:v>2</x:v>
      </x:c>
      <x:c r="P105" s="20" t="n">
        <x:f>N105*O105</x:f>
        <x:v>1.4</x:v>
      </x:c>
      <x:c r="Q105" s="20" t="n">
        <x:f>H105/F105</x:f>
        <x:v>0</x:v>
      </x:c>
      <x:c r="R105" s="20" t="n">
        <x:f>I105/F105</x:f>
        <x:v>0</x:v>
      </x:c>
      <x:c r="S105" s="20" t="n">
        <x:f>J105/F105</x:f>
        <x:v>0</x:v>
      </x:c>
      <x:c r="T105" s="20" t="n">
        <x:f>K105/F105</x:f>
        <x:v>0</x:v>
      </x:c>
      <x:c r="U105" s="20" t="n">
        <x:f>L105/F105</x:f>
        <x:v>0.7</x:v>
      </x:c>
      <x:c r="V105" s="20" t="n">
        <x:f>IF(L105=0,0,M105/L105)</x:f>
        <x:v>2</x:v>
      </x:c>
      <x:c r="W105" s="20" t="n">
        <x:f>SUM(P$86:P105)</x:f>
        <x:v>15.6</x:v>
      </x:c>
      <x:c r="X105" s="2" t="n">
        <x:f>E105+Supuestos!$C$15</x:f>
        <x:v>20</x:v>
      </x:c>
      <x:c r="Y105" s="2" t="n">
        <x:f>F105-G105</x:f>
        <x:v>3</x:v>
      </x:c>
      <x:c r="Z105" s="2" t="str">
        <x:v>simulado_didactico</x:v>
      </x:c>
    </x:row>
    <x:row r="106" ht="19" customHeight="1">
      <x:c r="A106" s="2" t="str">
        <x:v>MP_L7</x:v>
      </x:c>
      <x:c r="B106" s="2" t="str">
        <x:v>MP</x:v>
      </x:c>
      <x:c r="C106" s="2" t="str">
        <x:v>Myzus persicae</x:v>
      </x:c>
      <x:c r="D106" s="2" t="str">
        <x:v>L7</x:v>
      </x:c>
      <x:c r="E106" s="2" t="n">
        <x:v>20</x:v>
      </x:c>
      <x:c r="F106" s="2" t="n">
        <x:f>COUNTA(E2_plantas!A6,E2_plantas!A7,E2_plantas!A18,E2_plantas!A19,E2_plantas!A30,E2_plantas!A31,E2_plantas!A42,E2_plantas!A43,E2_plantas!A54,E2_plantas!A55)</x:f>
        <x:v>10</x:v>
      </x:c>
      <x:c r="G106" s="2" t="n">
        <x:f>SUM(E2_diario!K190,E2_diario!K232,E2_diario!K694,E2_diario!K736,E2_diario!K1198,E2_diario!K1240,E2_diario!K1702,E2_diario!K1744,E2_diario!K2206,E2_diario!K2248)</x:f>
        <x:v>6</x:v>
      </x:c>
      <x:c r="H106" s="2" t="n">
        <x:f>SUM(IF(E2_diario!J190="N1",1,0),IF(E2_diario!J232="N1",1,0),IF(E2_diario!J694="N1",1,0),IF(E2_diario!J736="N1",1,0),IF(E2_diario!J1198="N1",1,0),IF(E2_diario!J1240="N1",1,0),IF(E2_diario!J1702="N1",1,0),IF(E2_diario!J1744="N1",1,0),IF(E2_diario!J2206="N1",1,0),IF(E2_diario!J2248="N1",1,0))</x:f>
        <x:v>0</x:v>
      </x:c>
      <x:c r="I106" s="2" t="n">
        <x:f>SUM(IF(E2_diario!J190="N2",1,0),IF(E2_diario!J232="N2",1,0),IF(E2_diario!J694="N2",1,0),IF(E2_diario!J736="N2",1,0),IF(E2_diario!J1198="N2",1,0),IF(E2_diario!J1240="N2",1,0),IF(E2_diario!J1702="N2",1,0),IF(E2_diario!J1744="N2",1,0),IF(E2_diario!J2206="N2",1,0),IF(E2_diario!J2248="N2",1,0))</x:f>
        <x:v>0</x:v>
      </x:c>
      <x:c r="J106" s="2" t="n">
        <x:f>SUM(IF(E2_diario!J190="N3",1,0),IF(E2_diario!J232="N3",1,0),IF(E2_diario!J694="N3",1,0),IF(E2_diario!J736="N3",1,0),IF(E2_diario!J1198="N3",1,0),IF(E2_diario!J1240="N3",1,0),IF(E2_diario!J1702="N3",1,0),IF(E2_diario!J1744="N3",1,0),IF(E2_diario!J2206="N3",1,0),IF(E2_diario!J2248="N3",1,0))</x:f>
        <x:v>0</x:v>
      </x:c>
      <x:c r="K106" s="2" t="n">
        <x:f>SUM(IF(E2_diario!J190="N4",1,0),IF(E2_diario!J232="N4",1,0),IF(E2_diario!J694="N4",1,0),IF(E2_diario!J736="N4",1,0),IF(E2_diario!J1198="N4",1,0),IF(E2_diario!J1240="N4",1,0),IF(E2_diario!J1702="N4",1,0),IF(E2_diario!J1744="N4",1,0),IF(E2_diario!J2206="N4",1,0),IF(E2_diario!J2248="N4",1,0))</x:f>
        <x:v>0</x:v>
      </x:c>
      <x:c r="L106" s="2" t="n">
        <x:f>SUM(IF(E2_diario!J190="adulta",1,0),IF(E2_diario!J232="adulta",1,0),IF(E2_diario!J694="adulta",1,0),IF(E2_diario!J736="adulta",1,0),IF(E2_diario!J1198="adulta",1,0),IF(E2_diario!J1240="adulta",1,0),IF(E2_diario!J1702="adulta",1,0),IF(E2_diario!J1744="adulta",1,0),IF(E2_diario!J2206="adulta",1,0),IF(E2_diario!J2248="adulta",1,0))</x:f>
        <x:v>6</x:v>
      </x:c>
      <x:c r="M106" s="2" t="n">
        <x:f>SUM(E2_diario!L190,E2_diario!L232,E2_diario!L694,E2_diario!L736,E2_diario!L1198,E2_diario!L1240,E2_diario!L1702,E2_diario!L1744,E2_diario!L2206,E2_diario!L2248)</x:f>
        <x:v>12</x:v>
      </x:c>
      <x:c r="N106" s="20" t="n">
        <x:f>G106/F106</x:f>
        <x:v>0.6</x:v>
      </x:c>
      <x:c r="O106" s="20" t="n">
        <x:f>IF(G106=0,0,M106/G106)</x:f>
        <x:v>2</x:v>
      </x:c>
      <x:c r="P106" s="20" t="n">
        <x:f>N106*O106</x:f>
        <x:v>1.2</x:v>
      </x:c>
      <x:c r="Q106" s="20" t="n">
        <x:f>H106/F106</x:f>
        <x:v>0</x:v>
      </x:c>
      <x:c r="R106" s="20" t="n">
        <x:f>I106/F106</x:f>
        <x:v>0</x:v>
      </x:c>
      <x:c r="S106" s="20" t="n">
        <x:f>J106/F106</x:f>
        <x:v>0</x:v>
      </x:c>
      <x:c r="T106" s="20" t="n">
        <x:f>K106/F106</x:f>
        <x:v>0</x:v>
      </x:c>
      <x:c r="U106" s="20" t="n">
        <x:f>L106/F106</x:f>
        <x:v>0.6</x:v>
      </x:c>
      <x:c r="V106" s="20" t="n">
        <x:f>IF(L106=0,0,M106/L106)</x:f>
        <x:v>2</x:v>
      </x:c>
      <x:c r="W106" s="20" t="n">
        <x:f>SUM(P$86:P106)</x:f>
        <x:v>16.8</x:v>
      </x:c>
      <x:c r="X106" s="2" t="n">
        <x:f>E106+Supuestos!$C$15</x:f>
        <x:v>21</x:v>
      </x:c>
      <x:c r="Y106" s="2" t="n">
        <x:f>F106-G106</x:f>
        <x:v>4</x:v>
      </x:c>
      <x:c r="Z106" s="2" t="str">
        <x:v>simulado_didactico</x:v>
      </x:c>
    </x:row>
    <x:row r="107" ht="19" customHeight="1">
      <x:c r="A107" s="2" t="str">
        <x:v>MP_L7</x:v>
      </x:c>
      <x:c r="B107" s="2" t="str">
        <x:v>MP</x:v>
      </x:c>
      <x:c r="C107" s="2" t="str">
        <x:v>Myzus persicae</x:v>
      </x:c>
      <x:c r="D107" s="2" t="str">
        <x:v>L7</x:v>
      </x:c>
      <x:c r="E107" s="2" t="n">
        <x:v>21</x:v>
      </x:c>
      <x:c r="F107" s="2" t="n">
        <x:f>COUNTA(E2_plantas!A6,E2_plantas!A7,E2_plantas!A18,E2_plantas!A19,E2_plantas!A30,E2_plantas!A31,E2_plantas!A42,E2_plantas!A43,E2_plantas!A54,E2_plantas!A55)</x:f>
        <x:v>10</x:v>
      </x:c>
      <x:c r="G107" s="2" t="n">
        <x:f>SUM(E2_diario!K191,E2_diario!K233,E2_diario!K695,E2_diario!K737,E2_diario!K1199,E2_diario!K1241,E2_diario!K1703,E2_diario!K1745,E2_diario!K2207,E2_diario!K2249)</x:f>
        <x:v>6</x:v>
      </x:c>
      <x:c r="H107" s="2" t="n">
        <x:f>SUM(IF(E2_diario!J191="N1",1,0),IF(E2_diario!J233="N1",1,0),IF(E2_diario!J695="N1",1,0),IF(E2_diario!J737="N1",1,0),IF(E2_diario!J1199="N1",1,0),IF(E2_diario!J1241="N1",1,0),IF(E2_diario!J1703="N1",1,0),IF(E2_diario!J1745="N1",1,0),IF(E2_diario!J2207="N1",1,0),IF(E2_diario!J2249="N1",1,0))</x:f>
        <x:v>0</x:v>
      </x:c>
      <x:c r="I107" s="2" t="n">
        <x:f>SUM(IF(E2_diario!J191="N2",1,0),IF(E2_diario!J233="N2",1,0),IF(E2_diario!J695="N2",1,0),IF(E2_diario!J737="N2",1,0),IF(E2_diario!J1199="N2",1,0),IF(E2_diario!J1241="N2",1,0),IF(E2_diario!J1703="N2",1,0),IF(E2_diario!J1745="N2",1,0),IF(E2_diario!J2207="N2",1,0),IF(E2_diario!J2249="N2",1,0))</x:f>
        <x:v>0</x:v>
      </x:c>
      <x:c r="J107" s="2" t="n">
        <x:f>SUM(IF(E2_diario!J191="N3",1,0),IF(E2_diario!J233="N3",1,0),IF(E2_diario!J695="N3",1,0),IF(E2_diario!J737="N3",1,0),IF(E2_diario!J1199="N3",1,0),IF(E2_diario!J1241="N3",1,0),IF(E2_diario!J1703="N3",1,0),IF(E2_diario!J1745="N3",1,0),IF(E2_diario!J2207="N3",1,0),IF(E2_diario!J2249="N3",1,0))</x:f>
        <x:v>0</x:v>
      </x:c>
      <x:c r="K107" s="2" t="n">
        <x:f>SUM(IF(E2_diario!J191="N4",1,0),IF(E2_diario!J233="N4",1,0),IF(E2_diario!J695="N4",1,0),IF(E2_diario!J737="N4",1,0),IF(E2_diario!J1199="N4",1,0),IF(E2_diario!J1241="N4",1,0),IF(E2_diario!J1703="N4",1,0),IF(E2_diario!J1745="N4",1,0),IF(E2_diario!J2207="N4",1,0),IF(E2_diario!J2249="N4",1,0))</x:f>
        <x:v>0</x:v>
      </x:c>
      <x:c r="L107" s="2" t="n">
        <x:f>SUM(IF(E2_diario!J191="adulta",1,0),IF(E2_diario!J233="adulta",1,0),IF(E2_diario!J695="adulta",1,0),IF(E2_diario!J737="adulta",1,0),IF(E2_diario!J1199="adulta",1,0),IF(E2_diario!J1241="adulta",1,0),IF(E2_diario!J1703="adulta",1,0),IF(E2_diario!J1745="adulta",1,0),IF(E2_diario!J2207="adulta",1,0),IF(E2_diario!J2249="adulta",1,0))</x:f>
        <x:v>6</x:v>
      </x:c>
      <x:c r="M107" s="2" t="n">
        <x:f>SUM(E2_diario!L191,E2_diario!L233,E2_diario!L695,E2_diario!L737,E2_diario!L1199,E2_diario!L1241,E2_diario!L1703,E2_diario!L1745,E2_diario!L2207,E2_diario!L2249)</x:f>
        <x:v>9</x:v>
      </x:c>
      <x:c r="N107" s="20" t="n">
        <x:f>G107/F107</x:f>
        <x:v>0.6</x:v>
      </x:c>
      <x:c r="O107" s="20" t="n">
        <x:f>IF(G107=0,0,M107/G107)</x:f>
        <x:v>1.5</x:v>
      </x:c>
      <x:c r="P107" s="20" t="n">
        <x:f>N107*O107</x:f>
        <x:v>0.8999999999999999</x:v>
      </x:c>
      <x:c r="Q107" s="20" t="n">
        <x:f>H107/F107</x:f>
        <x:v>0</x:v>
      </x:c>
      <x:c r="R107" s="20" t="n">
        <x:f>I107/F107</x:f>
        <x:v>0</x:v>
      </x:c>
      <x:c r="S107" s="20" t="n">
        <x:f>J107/F107</x:f>
        <x:v>0</x:v>
      </x:c>
      <x:c r="T107" s="20" t="n">
        <x:f>K107/F107</x:f>
        <x:v>0</x:v>
      </x:c>
      <x:c r="U107" s="20" t="n">
        <x:f>L107/F107</x:f>
        <x:v>0.6</x:v>
      </x:c>
      <x:c r="V107" s="20" t="n">
        <x:f>IF(L107=0,0,M107/L107)</x:f>
        <x:v>1.5</x:v>
      </x:c>
      <x:c r="W107" s="20" t="n">
        <x:f>SUM(P$86:P107)</x:f>
        <x:v>17.7</x:v>
      </x:c>
      <x:c r="X107" s="2" t="n">
        <x:f>E107+Supuestos!$C$15</x:f>
        <x:v>22</x:v>
      </x:c>
      <x:c r="Y107" s="2" t="n">
        <x:f>F107-G107</x:f>
        <x:v>4</x:v>
      </x:c>
      <x:c r="Z107" s="2" t="str">
        <x:v>simulado_didactico</x:v>
      </x:c>
    </x:row>
    <x:row r="108" ht="19" customHeight="1">
      <x:c r="A108" s="2" t="str">
        <x:v>MP_L7</x:v>
      </x:c>
      <x:c r="B108" s="2" t="str">
        <x:v>MP</x:v>
      </x:c>
      <x:c r="C108" s="2" t="str">
        <x:v>Myzus persicae</x:v>
      </x:c>
      <x:c r="D108" s="2" t="str">
        <x:v>L7</x:v>
      </x:c>
      <x:c r="E108" s="2" t="n">
        <x:v>22</x:v>
      </x:c>
      <x:c r="F108" s="2" t="n">
        <x:f>COUNTA(E2_plantas!A6,E2_plantas!A7,E2_plantas!A18,E2_plantas!A19,E2_plantas!A30,E2_plantas!A31,E2_plantas!A42,E2_plantas!A43,E2_plantas!A54,E2_plantas!A55)</x:f>
        <x:v>10</x:v>
      </x:c>
      <x:c r="G108" s="2" t="n">
        <x:f>SUM(E2_diario!K192,E2_diario!K234,E2_diario!K696,E2_diario!K738,E2_diario!K1200,E2_diario!K1242,E2_diario!K1704,E2_diario!K1746,E2_diario!K2208,E2_diario!K2250)</x:f>
        <x:v>5</x:v>
      </x:c>
      <x:c r="H108" s="2" t="n">
        <x:f>SUM(IF(E2_diario!J192="N1",1,0),IF(E2_diario!J234="N1",1,0),IF(E2_diario!J696="N1",1,0),IF(E2_diario!J738="N1",1,0),IF(E2_diario!J1200="N1",1,0),IF(E2_diario!J1242="N1",1,0),IF(E2_diario!J1704="N1",1,0),IF(E2_diario!J1746="N1",1,0),IF(E2_diario!J2208="N1",1,0),IF(E2_diario!J2250="N1",1,0))</x:f>
        <x:v>0</x:v>
      </x:c>
      <x:c r="I108" s="2" t="n">
        <x:f>SUM(IF(E2_diario!J192="N2",1,0),IF(E2_diario!J234="N2",1,0),IF(E2_diario!J696="N2",1,0),IF(E2_diario!J738="N2",1,0),IF(E2_diario!J1200="N2",1,0),IF(E2_diario!J1242="N2",1,0),IF(E2_diario!J1704="N2",1,0),IF(E2_diario!J1746="N2",1,0),IF(E2_diario!J2208="N2",1,0),IF(E2_diario!J2250="N2",1,0))</x:f>
        <x:v>0</x:v>
      </x:c>
      <x:c r="J108" s="2" t="n">
        <x:f>SUM(IF(E2_diario!J192="N3",1,0),IF(E2_diario!J234="N3",1,0),IF(E2_diario!J696="N3",1,0),IF(E2_diario!J738="N3",1,0),IF(E2_diario!J1200="N3",1,0),IF(E2_diario!J1242="N3",1,0),IF(E2_diario!J1704="N3",1,0),IF(E2_diario!J1746="N3",1,0),IF(E2_diario!J2208="N3",1,0),IF(E2_diario!J2250="N3",1,0))</x:f>
        <x:v>0</x:v>
      </x:c>
      <x:c r="K108" s="2" t="n">
        <x:f>SUM(IF(E2_diario!J192="N4",1,0),IF(E2_diario!J234="N4",1,0),IF(E2_diario!J696="N4",1,0),IF(E2_diario!J738="N4",1,0),IF(E2_diario!J1200="N4",1,0),IF(E2_diario!J1242="N4",1,0),IF(E2_diario!J1704="N4",1,0),IF(E2_diario!J1746="N4",1,0),IF(E2_diario!J2208="N4",1,0),IF(E2_diario!J2250="N4",1,0))</x:f>
        <x:v>0</x:v>
      </x:c>
      <x:c r="L108" s="2" t="n">
        <x:f>SUM(IF(E2_diario!J192="adulta",1,0),IF(E2_diario!J234="adulta",1,0),IF(E2_diario!J696="adulta",1,0),IF(E2_diario!J738="adulta",1,0),IF(E2_diario!J1200="adulta",1,0),IF(E2_diario!J1242="adulta",1,0),IF(E2_diario!J1704="adulta",1,0),IF(E2_diario!J1746="adulta",1,0),IF(E2_diario!J2208="adulta",1,0),IF(E2_diario!J2250="adulta",1,0))</x:f>
        <x:v>5</x:v>
      </x:c>
      <x:c r="M108" s="2" t="n">
        <x:f>SUM(E2_diario!L192,E2_diario!L234,E2_diario!L696,E2_diario!L738,E2_diario!L1200,E2_diario!L1242,E2_diario!L1704,E2_diario!L1746,E2_diario!L2208,E2_diario!L2250)</x:f>
        <x:v>9</x:v>
      </x:c>
      <x:c r="N108" s="20" t="n">
        <x:f>G108/F108</x:f>
        <x:v>0.5</x:v>
      </x:c>
      <x:c r="O108" s="20" t="n">
        <x:f>IF(G108=0,0,M108/G108)</x:f>
        <x:v>1.8</x:v>
      </x:c>
      <x:c r="P108" s="20" t="n">
        <x:f>N108*O108</x:f>
        <x:v>0.9</x:v>
      </x:c>
      <x:c r="Q108" s="20" t="n">
        <x:f>H108/F108</x:f>
        <x:v>0</x:v>
      </x:c>
      <x:c r="R108" s="20" t="n">
        <x:f>I108/F108</x:f>
        <x:v>0</x:v>
      </x:c>
      <x:c r="S108" s="20" t="n">
        <x:f>J108/F108</x:f>
        <x:v>0</x:v>
      </x:c>
      <x:c r="T108" s="20" t="n">
        <x:f>K108/F108</x:f>
        <x:v>0</x:v>
      </x:c>
      <x:c r="U108" s="20" t="n">
        <x:f>L108/F108</x:f>
        <x:v>0.5</x:v>
      </x:c>
      <x:c r="V108" s="20" t="n">
        <x:f>IF(L108=0,0,M108/L108)</x:f>
        <x:v>1.8</x:v>
      </x:c>
      <x:c r="W108" s="20" t="n">
        <x:f>SUM(P$86:P108)</x:f>
        <x:v>18.599999999999998</x:v>
      </x:c>
      <x:c r="X108" s="2" t="n">
        <x:f>E108+Supuestos!$C$15</x:f>
        <x:v>23</x:v>
      </x:c>
      <x:c r="Y108" s="2" t="n">
        <x:f>F108-G108</x:f>
        <x:v>5</x:v>
      </x:c>
      <x:c r="Z108" s="2" t="str">
        <x:v>simulado_didactico</x:v>
      </x:c>
    </x:row>
    <x:row r="109" ht="19" customHeight="1">
      <x:c r="A109" s="2" t="str">
        <x:v>MP_L7</x:v>
      </x:c>
      <x:c r="B109" s="2" t="str">
        <x:v>MP</x:v>
      </x:c>
      <x:c r="C109" s="2" t="str">
        <x:v>Myzus persicae</x:v>
      </x:c>
      <x:c r="D109" s="2" t="str">
        <x:v>L7</x:v>
      </x:c>
      <x:c r="E109" s="2" t="n">
        <x:v>23</x:v>
      </x:c>
      <x:c r="F109" s="2" t="n">
        <x:f>COUNTA(E2_plantas!A6,E2_plantas!A7,E2_plantas!A18,E2_plantas!A19,E2_plantas!A30,E2_plantas!A31,E2_plantas!A42,E2_plantas!A43,E2_plantas!A54,E2_plantas!A55)</x:f>
        <x:v>10</x:v>
      </x:c>
      <x:c r="G109" s="2" t="n">
        <x:f>SUM(E2_diario!K193,E2_diario!K235,E2_diario!K697,E2_diario!K739,E2_diario!K1201,E2_diario!K1243,E2_diario!K1705,E2_diario!K1747,E2_diario!K2209,E2_diario!K2251)</x:f>
        <x:v>5</x:v>
      </x:c>
      <x:c r="H109" s="2" t="n">
        <x:f>SUM(IF(E2_diario!J193="N1",1,0),IF(E2_diario!J235="N1",1,0),IF(E2_diario!J697="N1",1,0),IF(E2_diario!J739="N1",1,0),IF(E2_diario!J1201="N1",1,0),IF(E2_diario!J1243="N1",1,0),IF(E2_diario!J1705="N1",1,0),IF(E2_diario!J1747="N1",1,0),IF(E2_diario!J2209="N1",1,0),IF(E2_diario!J2251="N1",1,0))</x:f>
        <x:v>0</x:v>
      </x:c>
      <x:c r="I109" s="2" t="n">
        <x:f>SUM(IF(E2_diario!J193="N2",1,0),IF(E2_diario!J235="N2",1,0),IF(E2_diario!J697="N2",1,0),IF(E2_diario!J739="N2",1,0),IF(E2_diario!J1201="N2",1,0),IF(E2_diario!J1243="N2",1,0),IF(E2_diario!J1705="N2",1,0),IF(E2_diario!J1747="N2",1,0),IF(E2_diario!J2209="N2",1,0),IF(E2_diario!J2251="N2",1,0))</x:f>
        <x:v>0</x:v>
      </x:c>
      <x:c r="J109" s="2" t="n">
        <x:f>SUM(IF(E2_diario!J193="N3",1,0),IF(E2_diario!J235="N3",1,0),IF(E2_diario!J697="N3",1,0),IF(E2_diario!J739="N3",1,0),IF(E2_diario!J1201="N3",1,0),IF(E2_diario!J1243="N3",1,0),IF(E2_diario!J1705="N3",1,0),IF(E2_diario!J1747="N3",1,0),IF(E2_diario!J2209="N3",1,0),IF(E2_diario!J2251="N3",1,0))</x:f>
        <x:v>0</x:v>
      </x:c>
      <x:c r="K109" s="2" t="n">
        <x:f>SUM(IF(E2_diario!J193="N4",1,0),IF(E2_diario!J235="N4",1,0),IF(E2_diario!J697="N4",1,0),IF(E2_diario!J739="N4",1,0),IF(E2_diario!J1201="N4",1,0),IF(E2_diario!J1243="N4",1,0),IF(E2_diario!J1705="N4",1,0),IF(E2_diario!J1747="N4",1,0),IF(E2_diario!J2209="N4",1,0),IF(E2_diario!J2251="N4",1,0))</x:f>
        <x:v>0</x:v>
      </x:c>
      <x:c r="L109" s="2" t="n">
        <x:f>SUM(IF(E2_diario!J193="adulta",1,0),IF(E2_diario!J235="adulta",1,0),IF(E2_diario!J697="adulta",1,0),IF(E2_diario!J739="adulta",1,0),IF(E2_diario!J1201="adulta",1,0),IF(E2_diario!J1243="adulta",1,0),IF(E2_diario!J1705="adulta",1,0),IF(E2_diario!J1747="adulta",1,0),IF(E2_diario!J2209="adulta",1,0),IF(E2_diario!J2251="adulta",1,0))</x:f>
        <x:v>5</x:v>
      </x:c>
      <x:c r="M109" s="2" t="n">
        <x:f>SUM(E2_diario!L193,E2_diario!L235,E2_diario!L697,E2_diario!L739,E2_diario!L1201,E2_diario!L1243,E2_diario!L1705,E2_diario!L1747,E2_diario!L2209,E2_diario!L2251)</x:f>
        <x:v>8</x:v>
      </x:c>
      <x:c r="N109" s="20" t="n">
        <x:f>G109/F109</x:f>
        <x:v>0.5</x:v>
      </x:c>
      <x:c r="O109" s="20" t="n">
        <x:f>IF(G109=0,0,M109/G109)</x:f>
        <x:v>1.6</x:v>
      </x:c>
      <x:c r="P109" s="20" t="n">
        <x:f>N109*O109</x:f>
        <x:v>0.8</x:v>
      </x:c>
      <x:c r="Q109" s="20" t="n">
        <x:f>H109/F109</x:f>
        <x:v>0</x:v>
      </x:c>
      <x:c r="R109" s="20" t="n">
        <x:f>I109/F109</x:f>
        <x:v>0</x:v>
      </x:c>
      <x:c r="S109" s="20" t="n">
        <x:f>J109/F109</x:f>
        <x:v>0</x:v>
      </x:c>
      <x:c r="T109" s="20" t="n">
        <x:f>K109/F109</x:f>
        <x:v>0</x:v>
      </x:c>
      <x:c r="U109" s="20" t="n">
        <x:f>L109/F109</x:f>
        <x:v>0.5</x:v>
      </x:c>
      <x:c r="V109" s="20" t="n">
        <x:f>IF(L109=0,0,M109/L109)</x:f>
        <x:v>1.6</x:v>
      </x:c>
      <x:c r="W109" s="20" t="n">
        <x:f>SUM(P$86:P109)</x:f>
        <x:v>19.4</x:v>
      </x:c>
      <x:c r="X109" s="2" t="n">
        <x:f>E109+Supuestos!$C$15</x:f>
        <x:v>24</x:v>
      </x:c>
      <x:c r="Y109" s="2" t="n">
        <x:f>F109-G109</x:f>
        <x:v>5</x:v>
      </x:c>
      <x:c r="Z109" s="2" t="str">
        <x:v>simulado_didactico</x:v>
      </x:c>
    </x:row>
    <x:row r="110" ht="19" customHeight="1">
      <x:c r="A110" s="2" t="str">
        <x:v>MP_L7</x:v>
      </x:c>
      <x:c r="B110" s="2" t="str">
        <x:v>MP</x:v>
      </x:c>
      <x:c r="C110" s="2" t="str">
        <x:v>Myzus persicae</x:v>
      </x:c>
      <x:c r="D110" s="2" t="str">
        <x:v>L7</x:v>
      </x:c>
      <x:c r="E110" s="2" t="n">
        <x:v>24</x:v>
      </x:c>
      <x:c r="F110" s="2" t="n">
        <x:f>COUNTA(E2_plantas!A6,E2_plantas!A7,E2_plantas!A18,E2_plantas!A19,E2_plantas!A30,E2_plantas!A31,E2_plantas!A42,E2_plantas!A43,E2_plantas!A54,E2_plantas!A55)</x:f>
        <x:v>10</x:v>
      </x:c>
      <x:c r="G110" s="2" t="n">
        <x:f>SUM(E2_diario!K194,E2_diario!K236,E2_diario!K698,E2_diario!K740,E2_diario!K1202,E2_diario!K1244,E2_diario!K1706,E2_diario!K1748,E2_diario!K2210,E2_diario!K2252)</x:f>
        <x:v>3</x:v>
      </x:c>
      <x:c r="H110" s="2" t="n">
        <x:f>SUM(IF(E2_diario!J194="N1",1,0),IF(E2_diario!J236="N1",1,0),IF(E2_diario!J698="N1",1,0),IF(E2_diario!J740="N1",1,0),IF(E2_diario!J1202="N1",1,0),IF(E2_diario!J1244="N1",1,0),IF(E2_diario!J1706="N1",1,0),IF(E2_diario!J1748="N1",1,0),IF(E2_diario!J2210="N1",1,0),IF(E2_diario!J2252="N1",1,0))</x:f>
        <x:v>0</x:v>
      </x:c>
      <x:c r="I110" s="2" t="n">
        <x:f>SUM(IF(E2_diario!J194="N2",1,0),IF(E2_diario!J236="N2",1,0),IF(E2_diario!J698="N2",1,0),IF(E2_diario!J740="N2",1,0),IF(E2_diario!J1202="N2",1,0),IF(E2_diario!J1244="N2",1,0),IF(E2_diario!J1706="N2",1,0),IF(E2_diario!J1748="N2",1,0),IF(E2_diario!J2210="N2",1,0),IF(E2_diario!J2252="N2",1,0))</x:f>
        <x:v>0</x:v>
      </x:c>
      <x:c r="J110" s="2" t="n">
        <x:f>SUM(IF(E2_diario!J194="N3",1,0),IF(E2_diario!J236="N3",1,0),IF(E2_diario!J698="N3",1,0),IF(E2_diario!J740="N3",1,0),IF(E2_diario!J1202="N3",1,0),IF(E2_diario!J1244="N3",1,0),IF(E2_diario!J1706="N3",1,0),IF(E2_diario!J1748="N3",1,0),IF(E2_diario!J2210="N3",1,0),IF(E2_diario!J2252="N3",1,0))</x:f>
        <x:v>0</x:v>
      </x:c>
      <x:c r="K110" s="2" t="n">
        <x:f>SUM(IF(E2_diario!J194="N4",1,0),IF(E2_diario!J236="N4",1,0),IF(E2_diario!J698="N4",1,0),IF(E2_diario!J740="N4",1,0),IF(E2_diario!J1202="N4",1,0),IF(E2_diario!J1244="N4",1,0),IF(E2_diario!J1706="N4",1,0),IF(E2_diario!J1748="N4",1,0),IF(E2_diario!J2210="N4",1,0),IF(E2_diario!J2252="N4",1,0))</x:f>
        <x:v>0</x:v>
      </x:c>
      <x:c r="L110" s="2" t="n">
        <x:f>SUM(IF(E2_diario!J194="adulta",1,0),IF(E2_diario!J236="adulta",1,0),IF(E2_diario!J698="adulta",1,0),IF(E2_diario!J740="adulta",1,0),IF(E2_diario!J1202="adulta",1,0),IF(E2_diario!J1244="adulta",1,0),IF(E2_diario!J1706="adulta",1,0),IF(E2_diario!J1748="adulta",1,0),IF(E2_diario!J2210="adulta",1,0),IF(E2_diario!J2252="adulta",1,0))</x:f>
        <x:v>3</x:v>
      </x:c>
      <x:c r="M110" s="2" t="n">
        <x:f>SUM(E2_diario!L194,E2_diario!L236,E2_diario!L698,E2_diario!L740,E2_diario!L1202,E2_diario!L1244,E2_diario!L1706,E2_diario!L1748,E2_diario!L2210,E2_diario!L2252)</x:f>
        <x:v>7</x:v>
      </x:c>
      <x:c r="N110" s="20" t="n">
        <x:f>G110/F110</x:f>
        <x:v>0.3</x:v>
      </x:c>
      <x:c r="O110" s="20" t="n">
        <x:f>IF(G110=0,0,M110/G110)</x:f>
        <x:v>2.3333333333333335</x:v>
      </x:c>
      <x:c r="P110" s="20" t="n">
        <x:f>N110*O110</x:f>
        <x:v>0.7000000000000001</x:v>
      </x:c>
      <x:c r="Q110" s="20" t="n">
        <x:f>H110/F110</x:f>
        <x:v>0</x:v>
      </x:c>
      <x:c r="R110" s="20" t="n">
        <x:f>I110/F110</x:f>
        <x:v>0</x:v>
      </x:c>
      <x:c r="S110" s="20" t="n">
        <x:f>J110/F110</x:f>
        <x:v>0</x:v>
      </x:c>
      <x:c r="T110" s="20" t="n">
        <x:f>K110/F110</x:f>
        <x:v>0</x:v>
      </x:c>
      <x:c r="U110" s="20" t="n">
        <x:f>L110/F110</x:f>
        <x:v>0.3</x:v>
      </x:c>
      <x:c r="V110" s="20" t="n">
        <x:f>IF(L110=0,0,M110/L110)</x:f>
        <x:v>2.3333333333333335</x:v>
      </x:c>
      <x:c r="W110" s="20" t="n">
        <x:f>SUM(P$86:P110)</x:f>
        <x:v>20.099999999999998</x:v>
      </x:c>
      <x:c r="X110" s="2" t="n">
        <x:f>E110+Supuestos!$C$15</x:f>
        <x:v>25</x:v>
      </x:c>
      <x:c r="Y110" s="2" t="n">
        <x:f>F110-G110</x:f>
        <x:v>7</x:v>
      </x:c>
      <x:c r="Z110" s="2" t="str">
        <x:v>simulado_didactico</x:v>
      </x:c>
    </x:row>
    <x:row r="111" ht="19" customHeight="1">
      <x:c r="A111" s="2" t="str">
        <x:v>MP_L7</x:v>
      </x:c>
      <x:c r="B111" s="2" t="str">
        <x:v>MP</x:v>
      </x:c>
      <x:c r="C111" s="2" t="str">
        <x:v>Myzus persicae</x:v>
      </x:c>
      <x:c r="D111" s="2" t="str">
        <x:v>L7</x:v>
      </x:c>
      <x:c r="E111" s="2" t="n">
        <x:v>25</x:v>
      </x:c>
      <x:c r="F111" s="2" t="n">
        <x:f>COUNTA(E2_plantas!A6,E2_plantas!A7,E2_plantas!A18,E2_plantas!A19,E2_plantas!A30,E2_plantas!A31,E2_plantas!A42,E2_plantas!A43,E2_plantas!A54,E2_plantas!A55)</x:f>
        <x:v>10</x:v>
      </x:c>
      <x:c r="G111" s="2" t="n">
        <x:f>SUM(E2_diario!K195,E2_diario!K237,E2_diario!K699,E2_diario!K741,E2_diario!K1203,E2_diario!K1245,E2_diario!K1707,E2_diario!K1749,E2_diario!K2211,E2_diario!K2253)</x:f>
        <x:v>3</x:v>
      </x:c>
      <x:c r="H111" s="2" t="n">
        <x:f>SUM(IF(E2_diario!J195="N1",1,0),IF(E2_diario!J237="N1",1,0),IF(E2_diario!J699="N1",1,0),IF(E2_diario!J741="N1",1,0),IF(E2_diario!J1203="N1",1,0),IF(E2_diario!J1245="N1",1,0),IF(E2_diario!J1707="N1",1,0),IF(E2_diario!J1749="N1",1,0),IF(E2_diario!J2211="N1",1,0),IF(E2_diario!J2253="N1",1,0))</x:f>
        <x:v>0</x:v>
      </x:c>
      <x:c r="I111" s="2" t="n">
        <x:f>SUM(IF(E2_diario!J195="N2",1,0),IF(E2_diario!J237="N2",1,0),IF(E2_diario!J699="N2",1,0),IF(E2_diario!J741="N2",1,0),IF(E2_diario!J1203="N2",1,0),IF(E2_diario!J1245="N2",1,0),IF(E2_diario!J1707="N2",1,0),IF(E2_diario!J1749="N2",1,0),IF(E2_diario!J2211="N2",1,0),IF(E2_diario!J2253="N2",1,0))</x:f>
        <x:v>0</x:v>
      </x:c>
      <x:c r="J111" s="2" t="n">
        <x:f>SUM(IF(E2_diario!J195="N3",1,0),IF(E2_diario!J237="N3",1,0),IF(E2_diario!J699="N3",1,0),IF(E2_diario!J741="N3",1,0),IF(E2_diario!J1203="N3",1,0),IF(E2_diario!J1245="N3",1,0),IF(E2_diario!J1707="N3",1,0),IF(E2_diario!J1749="N3",1,0),IF(E2_diario!J2211="N3",1,0),IF(E2_diario!J2253="N3",1,0))</x:f>
        <x:v>0</x:v>
      </x:c>
      <x:c r="K111" s="2" t="n">
        <x:f>SUM(IF(E2_diario!J195="N4",1,0),IF(E2_diario!J237="N4",1,0),IF(E2_diario!J699="N4",1,0),IF(E2_diario!J741="N4",1,0),IF(E2_diario!J1203="N4",1,0),IF(E2_diario!J1245="N4",1,0),IF(E2_diario!J1707="N4",1,0),IF(E2_diario!J1749="N4",1,0),IF(E2_diario!J2211="N4",1,0),IF(E2_diario!J2253="N4",1,0))</x:f>
        <x:v>0</x:v>
      </x:c>
      <x:c r="L111" s="2" t="n">
        <x:f>SUM(IF(E2_diario!J195="adulta",1,0),IF(E2_diario!J237="adulta",1,0),IF(E2_diario!J699="adulta",1,0),IF(E2_diario!J741="adulta",1,0),IF(E2_diario!J1203="adulta",1,0),IF(E2_diario!J1245="adulta",1,0),IF(E2_diario!J1707="adulta",1,0),IF(E2_diario!J1749="adulta",1,0),IF(E2_diario!J2211="adulta",1,0),IF(E2_diario!J2253="adulta",1,0))</x:f>
        <x:v>3</x:v>
      </x:c>
      <x:c r="M111" s="2" t="n">
        <x:f>SUM(E2_diario!L195,E2_diario!L237,E2_diario!L699,E2_diario!L741,E2_diario!L1203,E2_diario!L1245,E2_diario!L1707,E2_diario!L1749,E2_diario!L2211,E2_diario!L2253)</x:f>
        <x:v>10</x:v>
      </x:c>
      <x:c r="N111" s="20" t="n">
        <x:f>G111/F111</x:f>
        <x:v>0.3</x:v>
      </x:c>
      <x:c r="O111" s="20" t="n">
        <x:f>IF(G111=0,0,M111/G111)</x:f>
        <x:v>3.3333333333333335</x:v>
      </x:c>
      <x:c r="P111" s="20" t="n">
        <x:f>N111*O111</x:f>
        <x:v>1</x:v>
      </x:c>
      <x:c r="Q111" s="20" t="n">
        <x:f>H111/F111</x:f>
        <x:v>0</x:v>
      </x:c>
      <x:c r="R111" s="20" t="n">
        <x:f>I111/F111</x:f>
        <x:v>0</x:v>
      </x:c>
      <x:c r="S111" s="20" t="n">
        <x:f>J111/F111</x:f>
        <x:v>0</x:v>
      </x:c>
      <x:c r="T111" s="20" t="n">
        <x:f>K111/F111</x:f>
        <x:v>0</x:v>
      </x:c>
      <x:c r="U111" s="20" t="n">
        <x:f>L111/F111</x:f>
        <x:v>0.3</x:v>
      </x:c>
      <x:c r="V111" s="20" t="n">
        <x:f>IF(L111=0,0,M111/L111)</x:f>
        <x:v>3.3333333333333335</x:v>
      </x:c>
      <x:c r="W111" s="20" t="n">
        <x:f>SUM(P$86:P111)</x:f>
        <x:v>21.099999999999998</x:v>
      </x:c>
      <x:c r="X111" s="2" t="n">
        <x:f>E111+Supuestos!$C$15</x:f>
        <x:v>26</x:v>
      </x:c>
      <x:c r="Y111" s="2" t="n">
        <x:f>F111-G111</x:f>
        <x:v>7</x:v>
      </x:c>
      <x:c r="Z111" s="2" t="str">
        <x:v>simulado_didactico</x:v>
      </x:c>
    </x:row>
    <x:row r="112" ht="19" customHeight="1">
      <x:c r="A112" s="2" t="str">
        <x:v>MP_L7</x:v>
      </x:c>
      <x:c r="B112" s="2" t="str">
        <x:v>MP</x:v>
      </x:c>
      <x:c r="C112" s="2" t="str">
        <x:v>Myzus persicae</x:v>
      </x:c>
      <x:c r="D112" s="2" t="str">
        <x:v>L7</x:v>
      </x:c>
      <x:c r="E112" s="2" t="n">
        <x:v>26</x:v>
      </x:c>
      <x:c r="F112" s="2" t="n">
        <x:f>COUNTA(E2_plantas!A6,E2_plantas!A7,E2_plantas!A18,E2_plantas!A19,E2_plantas!A30,E2_plantas!A31,E2_plantas!A42,E2_plantas!A43,E2_plantas!A54,E2_plantas!A55)</x:f>
        <x:v>10</x:v>
      </x:c>
      <x:c r="G112" s="2" t="n">
        <x:f>SUM(E2_diario!K196,E2_diario!K238,E2_diario!K700,E2_diario!K742,E2_diario!K1204,E2_diario!K1246,E2_diario!K1708,E2_diario!K1750,E2_diario!K2212,E2_diario!K2254)</x:f>
        <x:v>3</x:v>
      </x:c>
      <x:c r="H112" s="2" t="n">
        <x:f>SUM(IF(E2_diario!J196="N1",1,0),IF(E2_diario!J238="N1",1,0),IF(E2_diario!J700="N1",1,0),IF(E2_diario!J742="N1",1,0),IF(E2_diario!J1204="N1",1,0),IF(E2_diario!J1246="N1",1,0),IF(E2_diario!J1708="N1",1,0),IF(E2_diario!J1750="N1",1,0),IF(E2_diario!J2212="N1",1,0),IF(E2_diario!J2254="N1",1,0))</x:f>
        <x:v>0</x:v>
      </x:c>
      <x:c r="I112" s="2" t="n">
        <x:f>SUM(IF(E2_diario!J196="N2",1,0),IF(E2_diario!J238="N2",1,0),IF(E2_diario!J700="N2",1,0),IF(E2_diario!J742="N2",1,0),IF(E2_diario!J1204="N2",1,0),IF(E2_diario!J1246="N2",1,0),IF(E2_diario!J1708="N2",1,0),IF(E2_diario!J1750="N2",1,0),IF(E2_diario!J2212="N2",1,0),IF(E2_diario!J2254="N2",1,0))</x:f>
        <x:v>0</x:v>
      </x:c>
      <x:c r="J112" s="2" t="n">
        <x:f>SUM(IF(E2_diario!J196="N3",1,0),IF(E2_diario!J238="N3",1,0),IF(E2_diario!J700="N3",1,0),IF(E2_diario!J742="N3",1,0),IF(E2_diario!J1204="N3",1,0),IF(E2_diario!J1246="N3",1,0),IF(E2_diario!J1708="N3",1,0),IF(E2_diario!J1750="N3",1,0),IF(E2_diario!J2212="N3",1,0),IF(E2_diario!J2254="N3",1,0))</x:f>
        <x:v>0</x:v>
      </x:c>
      <x:c r="K112" s="2" t="n">
        <x:f>SUM(IF(E2_diario!J196="N4",1,0),IF(E2_diario!J238="N4",1,0),IF(E2_diario!J700="N4",1,0),IF(E2_diario!J742="N4",1,0),IF(E2_diario!J1204="N4",1,0),IF(E2_diario!J1246="N4",1,0),IF(E2_diario!J1708="N4",1,0),IF(E2_diario!J1750="N4",1,0),IF(E2_diario!J2212="N4",1,0),IF(E2_diario!J2254="N4",1,0))</x:f>
        <x:v>0</x:v>
      </x:c>
      <x:c r="L112" s="2" t="n">
        <x:f>SUM(IF(E2_diario!J196="adulta",1,0),IF(E2_diario!J238="adulta",1,0),IF(E2_diario!J700="adulta",1,0),IF(E2_diario!J742="adulta",1,0),IF(E2_diario!J1204="adulta",1,0),IF(E2_diario!J1246="adulta",1,0),IF(E2_diario!J1708="adulta",1,0),IF(E2_diario!J1750="adulta",1,0),IF(E2_diario!J2212="adulta",1,0),IF(E2_diario!J2254="adulta",1,0))</x:f>
        <x:v>3</x:v>
      </x:c>
      <x:c r="M112" s="2" t="n">
        <x:f>SUM(E2_diario!L196,E2_diario!L238,E2_diario!L700,E2_diario!L742,E2_diario!L1204,E2_diario!L1246,E2_diario!L1708,E2_diario!L1750,E2_diario!L2212,E2_diario!L2254)</x:f>
        <x:v>7</x:v>
      </x:c>
      <x:c r="N112" s="20" t="n">
        <x:f>G112/F112</x:f>
        <x:v>0.3</x:v>
      </x:c>
      <x:c r="O112" s="20" t="n">
        <x:f>IF(G112=0,0,M112/G112)</x:f>
        <x:v>2.3333333333333335</x:v>
      </x:c>
      <x:c r="P112" s="20" t="n">
        <x:f>N112*O112</x:f>
        <x:v>0.7000000000000001</x:v>
      </x:c>
      <x:c r="Q112" s="20" t="n">
        <x:f>H112/F112</x:f>
        <x:v>0</x:v>
      </x:c>
      <x:c r="R112" s="20" t="n">
        <x:f>I112/F112</x:f>
        <x:v>0</x:v>
      </x:c>
      <x:c r="S112" s="20" t="n">
        <x:f>J112/F112</x:f>
        <x:v>0</x:v>
      </x:c>
      <x:c r="T112" s="20" t="n">
        <x:f>K112/F112</x:f>
        <x:v>0</x:v>
      </x:c>
      <x:c r="U112" s="20" t="n">
        <x:f>L112/F112</x:f>
        <x:v>0.3</x:v>
      </x:c>
      <x:c r="V112" s="20" t="n">
        <x:f>IF(L112=0,0,M112/L112)</x:f>
        <x:v>2.3333333333333335</x:v>
      </x:c>
      <x:c r="W112" s="20" t="n">
        <x:f>SUM(P$86:P112)</x:f>
        <x:v>21.799999999999997</x:v>
      </x:c>
      <x:c r="X112" s="2" t="n">
        <x:f>E112+Supuestos!$C$15</x:f>
        <x:v>27</x:v>
      </x:c>
      <x:c r="Y112" s="2" t="n">
        <x:f>F112-G112</x:f>
        <x:v>7</x:v>
      </x:c>
      <x:c r="Z112" s="2" t="str">
        <x:v>simulado_didactico</x:v>
      </x:c>
    </x:row>
    <x:row r="113" ht="19" customHeight="1">
      <x:c r="A113" s="2" t="str">
        <x:v>MP_L7</x:v>
      </x:c>
      <x:c r="B113" s="2" t="str">
        <x:v>MP</x:v>
      </x:c>
      <x:c r="C113" s="2" t="str">
        <x:v>Myzus persicae</x:v>
      </x:c>
      <x:c r="D113" s="2" t="str">
        <x:v>L7</x:v>
      </x:c>
      <x:c r="E113" s="2" t="n">
        <x:v>27</x:v>
      </x:c>
      <x:c r="F113" s="2" t="n">
        <x:f>COUNTA(E2_plantas!A6,E2_plantas!A7,E2_plantas!A18,E2_plantas!A19,E2_plantas!A30,E2_plantas!A31,E2_plantas!A42,E2_plantas!A43,E2_plantas!A54,E2_plantas!A55)</x:f>
        <x:v>10</x:v>
      </x:c>
      <x:c r="G113" s="2" t="n">
        <x:f>SUM(E2_diario!K197,E2_diario!K239,E2_diario!K701,E2_diario!K743,E2_diario!K1205,E2_diario!K1247,E2_diario!K1709,E2_diario!K1751,E2_diario!K2213,E2_diario!K2255)</x:f>
        <x:v>3</x:v>
      </x:c>
      <x:c r="H113" s="2" t="n">
        <x:f>SUM(IF(E2_diario!J197="N1",1,0),IF(E2_diario!J239="N1",1,0),IF(E2_diario!J701="N1",1,0),IF(E2_diario!J743="N1",1,0),IF(E2_diario!J1205="N1",1,0),IF(E2_diario!J1247="N1",1,0),IF(E2_diario!J1709="N1",1,0),IF(E2_diario!J1751="N1",1,0),IF(E2_diario!J2213="N1",1,0),IF(E2_diario!J2255="N1",1,0))</x:f>
        <x:v>0</x:v>
      </x:c>
      <x:c r="I113" s="2" t="n">
        <x:f>SUM(IF(E2_diario!J197="N2",1,0),IF(E2_diario!J239="N2",1,0),IF(E2_diario!J701="N2",1,0),IF(E2_diario!J743="N2",1,0),IF(E2_diario!J1205="N2",1,0),IF(E2_diario!J1247="N2",1,0),IF(E2_diario!J1709="N2",1,0),IF(E2_diario!J1751="N2",1,0),IF(E2_diario!J2213="N2",1,0),IF(E2_diario!J2255="N2",1,0))</x:f>
        <x:v>0</x:v>
      </x:c>
      <x:c r="J113" s="2" t="n">
        <x:f>SUM(IF(E2_diario!J197="N3",1,0),IF(E2_diario!J239="N3",1,0),IF(E2_diario!J701="N3",1,0),IF(E2_diario!J743="N3",1,0),IF(E2_diario!J1205="N3",1,0),IF(E2_diario!J1247="N3",1,0),IF(E2_diario!J1709="N3",1,0),IF(E2_diario!J1751="N3",1,0),IF(E2_diario!J2213="N3",1,0),IF(E2_diario!J2255="N3",1,0))</x:f>
        <x:v>0</x:v>
      </x:c>
      <x:c r="K113" s="2" t="n">
        <x:f>SUM(IF(E2_diario!J197="N4",1,0),IF(E2_diario!J239="N4",1,0),IF(E2_diario!J701="N4",1,0),IF(E2_diario!J743="N4",1,0),IF(E2_diario!J1205="N4",1,0),IF(E2_diario!J1247="N4",1,0),IF(E2_diario!J1709="N4",1,0),IF(E2_diario!J1751="N4",1,0),IF(E2_diario!J2213="N4",1,0),IF(E2_diario!J2255="N4",1,0))</x:f>
        <x:v>0</x:v>
      </x:c>
      <x:c r="L113" s="2" t="n">
        <x:f>SUM(IF(E2_diario!J197="adulta",1,0),IF(E2_diario!J239="adulta",1,0),IF(E2_diario!J701="adulta",1,0),IF(E2_diario!J743="adulta",1,0),IF(E2_diario!J1205="adulta",1,0),IF(E2_diario!J1247="adulta",1,0),IF(E2_diario!J1709="adulta",1,0),IF(E2_diario!J1751="adulta",1,0),IF(E2_diario!J2213="adulta",1,0),IF(E2_diario!J2255="adulta",1,0))</x:f>
        <x:v>3</x:v>
      </x:c>
      <x:c r="M113" s="2" t="n">
        <x:f>SUM(E2_diario!L197,E2_diario!L239,E2_diario!L701,E2_diario!L743,E2_diario!L1205,E2_diario!L1247,E2_diario!L1709,E2_diario!L1751,E2_diario!L2213,E2_diario!L2255)</x:f>
        <x:v>0</x:v>
      </x:c>
      <x:c r="N113" s="20" t="n">
        <x:f>G113/F113</x:f>
        <x:v>0.3</x:v>
      </x:c>
      <x:c r="O113" s="20" t="n">
        <x:f>IF(G113=0,0,M113/G113)</x:f>
        <x:v>0</x:v>
      </x:c>
      <x:c r="P113" s="20" t="n">
        <x:f>N113*O113</x:f>
        <x:v>0</x:v>
      </x:c>
      <x:c r="Q113" s="20" t="n">
        <x:f>H113/F113</x:f>
        <x:v>0</x:v>
      </x:c>
      <x:c r="R113" s="20" t="n">
        <x:f>I113/F113</x:f>
        <x:v>0</x:v>
      </x:c>
      <x:c r="S113" s="20" t="n">
        <x:f>J113/F113</x:f>
        <x:v>0</x:v>
      </x:c>
      <x:c r="T113" s="20" t="n">
        <x:f>K113/F113</x:f>
        <x:v>0</x:v>
      </x:c>
      <x:c r="U113" s="20" t="n">
        <x:f>L113/F113</x:f>
        <x:v>0.3</x:v>
      </x:c>
      <x:c r="V113" s="20" t="n">
        <x:f>IF(L113=0,0,M113/L113)</x:f>
        <x:v>0</x:v>
      </x:c>
      <x:c r="W113" s="20" t="n">
        <x:f>SUM(P$86:P113)</x:f>
        <x:v>21.799999999999997</x:v>
      </x:c>
      <x:c r="X113" s="2" t="n">
        <x:f>E113+Supuestos!$C$15</x:f>
        <x:v>28</x:v>
      </x:c>
      <x:c r="Y113" s="2" t="n">
        <x:f>F113-G113</x:f>
        <x:v>7</x:v>
      </x:c>
      <x:c r="Z113" s="2" t="str">
        <x:v>simulado_didactico</x:v>
      </x:c>
    </x:row>
    <x:row r="114" ht="19" customHeight="1">
      <x:c r="A114" s="2" t="str">
        <x:v>MP_L7</x:v>
      </x:c>
      <x:c r="B114" s="2" t="str">
        <x:v>MP</x:v>
      </x:c>
      <x:c r="C114" s="2" t="str">
        <x:v>Myzus persicae</x:v>
      </x:c>
      <x:c r="D114" s="2" t="str">
        <x:v>L7</x:v>
      </x:c>
      <x:c r="E114" s="2" t="n">
        <x:v>28</x:v>
      </x:c>
      <x:c r="F114" s="2" t="n">
        <x:f>COUNTA(E2_plantas!A6,E2_plantas!A7,E2_plantas!A18,E2_plantas!A19,E2_plantas!A30,E2_plantas!A31,E2_plantas!A42,E2_plantas!A43,E2_plantas!A54,E2_plantas!A55)</x:f>
        <x:v>10</x:v>
      </x:c>
      <x:c r="G114" s="2" t="n">
        <x:f>SUM(E2_diario!K198,E2_diario!K240,E2_diario!K702,E2_diario!K744,E2_diario!K1206,E2_diario!K1248,E2_diario!K1710,E2_diario!K1752,E2_diario!K2214,E2_diario!K2256)</x:f>
        <x:v>2</x:v>
      </x:c>
      <x:c r="H114" s="2" t="n">
        <x:f>SUM(IF(E2_diario!J198="N1",1,0),IF(E2_diario!J240="N1",1,0),IF(E2_diario!J702="N1",1,0),IF(E2_diario!J744="N1",1,0),IF(E2_diario!J1206="N1",1,0),IF(E2_diario!J1248="N1",1,0),IF(E2_diario!J1710="N1",1,0),IF(E2_diario!J1752="N1",1,0),IF(E2_diario!J2214="N1",1,0),IF(E2_diario!J2256="N1",1,0))</x:f>
        <x:v>0</x:v>
      </x:c>
      <x:c r="I114" s="2" t="n">
        <x:f>SUM(IF(E2_diario!J198="N2",1,0),IF(E2_diario!J240="N2",1,0),IF(E2_diario!J702="N2",1,0),IF(E2_diario!J744="N2",1,0),IF(E2_diario!J1206="N2",1,0),IF(E2_diario!J1248="N2",1,0),IF(E2_diario!J1710="N2",1,0),IF(E2_diario!J1752="N2",1,0),IF(E2_diario!J2214="N2",1,0),IF(E2_diario!J2256="N2",1,0))</x:f>
        <x:v>0</x:v>
      </x:c>
      <x:c r="J114" s="2" t="n">
        <x:f>SUM(IF(E2_diario!J198="N3",1,0),IF(E2_diario!J240="N3",1,0),IF(E2_diario!J702="N3",1,0),IF(E2_diario!J744="N3",1,0),IF(E2_diario!J1206="N3",1,0),IF(E2_diario!J1248="N3",1,0),IF(E2_diario!J1710="N3",1,0),IF(E2_diario!J1752="N3",1,0),IF(E2_diario!J2214="N3",1,0),IF(E2_diario!J2256="N3",1,0))</x:f>
        <x:v>0</x:v>
      </x:c>
      <x:c r="K114" s="2" t="n">
        <x:f>SUM(IF(E2_diario!J198="N4",1,0),IF(E2_diario!J240="N4",1,0),IF(E2_diario!J702="N4",1,0),IF(E2_diario!J744="N4",1,0),IF(E2_diario!J1206="N4",1,0),IF(E2_diario!J1248="N4",1,0),IF(E2_diario!J1710="N4",1,0),IF(E2_diario!J1752="N4",1,0),IF(E2_diario!J2214="N4",1,0),IF(E2_diario!J2256="N4",1,0))</x:f>
        <x:v>0</x:v>
      </x:c>
      <x:c r="L114" s="2" t="n">
        <x:f>SUM(IF(E2_diario!J198="adulta",1,0),IF(E2_diario!J240="adulta",1,0),IF(E2_diario!J702="adulta",1,0),IF(E2_diario!J744="adulta",1,0),IF(E2_diario!J1206="adulta",1,0),IF(E2_diario!J1248="adulta",1,0),IF(E2_diario!J1710="adulta",1,0),IF(E2_diario!J1752="adulta",1,0),IF(E2_diario!J2214="adulta",1,0),IF(E2_diario!J2256="adulta",1,0))</x:f>
        <x:v>2</x:v>
      </x:c>
      <x:c r="M114" s="2" t="n">
        <x:f>SUM(E2_diario!L198,E2_diario!L240,E2_diario!L702,E2_diario!L744,E2_diario!L1206,E2_diario!L1248,E2_diario!L1710,E2_diario!L1752,E2_diario!L2214,E2_diario!L2256)</x:f>
        <x:v>0</x:v>
      </x:c>
      <x:c r="N114" s="20" t="n">
        <x:f>G114/F114</x:f>
        <x:v>0.2</x:v>
      </x:c>
      <x:c r="O114" s="20" t="n">
        <x:f>IF(G114=0,0,M114/G114)</x:f>
        <x:v>0</x:v>
      </x:c>
      <x:c r="P114" s="20" t="n">
        <x:f>N114*O114</x:f>
        <x:v>0</x:v>
      </x:c>
      <x:c r="Q114" s="20" t="n">
        <x:f>H114/F114</x:f>
        <x:v>0</x:v>
      </x:c>
      <x:c r="R114" s="20" t="n">
        <x:f>I114/F114</x:f>
        <x:v>0</x:v>
      </x:c>
      <x:c r="S114" s="20" t="n">
        <x:f>J114/F114</x:f>
        <x:v>0</x:v>
      </x:c>
      <x:c r="T114" s="20" t="n">
        <x:f>K114/F114</x:f>
        <x:v>0</x:v>
      </x:c>
      <x:c r="U114" s="20" t="n">
        <x:f>L114/F114</x:f>
        <x:v>0.2</x:v>
      </x:c>
      <x:c r="V114" s="20" t="n">
        <x:f>IF(L114=0,0,M114/L114)</x:f>
        <x:v>0</x:v>
      </x:c>
      <x:c r="W114" s="20" t="n">
        <x:f>SUM(P$86:P114)</x:f>
        <x:v>21.799999999999997</x:v>
      </x:c>
      <x:c r="X114" s="2" t="n">
        <x:f>E114+Supuestos!$C$15</x:f>
        <x:v>29</x:v>
      </x:c>
      <x:c r="Y114" s="2" t="n">
        <x:f>F114-G114</x:f>
        <x:v>8</x:v>
      </x:c>
      <x:c r="Z114" s="2" t="str">
        <x:v>simulado_didactico</x:v>
      </x:c>
    </x:row>
    <x:row r="115" ht="19" customHeight="1">
      <x:c r="A115" s="2" t="str">
        <x:v>MP_L7</x:v>
      </x:c>
      <x:c r="B115" s="2" t="str">
        <x:v>MP</x:v>
      </x:c>
      <x:c r="C115" s="2" t="str">
        <x:v>Myzus persicae</x:v>
      </x:c>
      <x:c r="D115" s="2" t="str">
        <x:v>L7</x:v>
      </x:c>
      <x:c r="E115" s="2" t="n">
        <x:v>29</x:v>
      </x:c>
      <x:c r="F115" s="2" t="n">
        <x:f>COUNTA(E2_plantas!A6,E2_plantas!A7,E2_plantas!A18,E2_plantas!A19,E2_plantas!A30,E2_plantas!A31,E2_plantas!A42,E2_plantas!A43,E2_plantas!A54,E2_plantas!A55)</x:f>
        <x:v>10</x:v>
      </x:c>
      <x:c r="G115" s="2" t="n">
        <x:f>SUM(E2_diario!K199,E2_diario!K241,E2_diario!K703,E2_diario!K745,E2_diario!K1207,E2_diario!K1249,E2_diario!K1711,E2_diario!K1753,E2_diario!K2215,E2_diario!K2257)</x:f>
        <x:v>2</x:v>
      </x:c>
      <x:c r="H115" s="2" t="n">
        <x:f>SUM(IF(E2_diario!J199="N1",1,0),IF(E2_diario!J241="N1",1,0),IF(E2_diario!J703="N1",1,0),IF(E2_diario!J745="N1",1,0),IF(E2_diario!J1207="N1",1,0),IF(E2_diario!J1249="N1",1,0),IF(E2_diario!J1711="N1",1,0),IF(E2_diario!J1753="N1",1,0),IF(E2_diario!J2215="N1",1,0),IF(E2_diario!J2257="N1",1,0))</x:f>
        <x:v>0</x:v>
      </x:c>
      <x:c r="I115" s="2" t="n">
        <x:f>SUM(IF(E2_diario!J199="N2",1,0),IF(E2_diario!J241="N2",1,0),IF(E2_diario!J703="N2",1,0),IF(E2_diario!J745="N2",1,0),IF(E2_diario!J1207="N2",1,0),IF(E2_diario!J1249="N2",1,0),IF(E2_diario!J1711="N2",1,0),IF(E2_diario!J1753="N2",1,0),IF(E2_diario!J2215="N2",1,0),IF(E2_diario!J2257="N2",1,0))</x:f>
        <x:v>0</x:v>
      </x:c>
      <x:c r="J115" s="2" t="n">
        <x:f>SUM(IF(E2_diario!J199="N3",1,0),IF(E2_diario!J241="N3",1,0),IF(E2_diario!J703="N3",1,0),IF(E2_diario!J745="N3",1,0),IF(E2_diario!J1207="N3",1,0),IF(E2_diario!J1249="N3",1,0),IF(E2_diario!J1711="N3",1,0),IF(E2_diario!J1753="N3",1,0),IF(E2_diario!J2215="N3",1,0),IF(E2_diario!J2257="N3",1,0))</x:f>
        <x:v>0</x:v>
      </x:c>
      <x:c r="K115" s="2" t="n">
        <x:f>SUM(IF(E2_diario!J199="N4",1,0),IF(E2_diario!J241="N4",1,0),IF(E2_diario!J703="N4",1,0),IF(E2_diario!J745="N4",1,0),IF(E2_diario!J1207="N4",1,0),IF(E2_diario!J1249="N4",1,0),IF(E2_diario!J1711="N4",1,0),IF(E2_diario!J1753="N4",1,0),IF(E2_diario!J2215="N4",1,0),IF(E2_diario!J2257="N4",1,0))</x:f>
        <x:v>0</x:v>
      </x:c>
      <x:c r="L115" s="2" t="n">
        <x:f>SUM(IF(E2_diario!J199="adulta",1,0),IF(E2_diario!J241="adulta",1,0),IF(E2_diario!J703="adulta",1,0),IF(E2_diario!J745="adulta",1,0),IF(E2_diario!J1207="adulta",1,0),IF(E2_diario!J1249="adulta",1,0),IF(E2_diario!J1711="adulta",1,0),IF(E2_diario!J1753="adulta",1,0),IF(E2_diario!J2215="adulta",1,0),IF(E2_diario!J2257="adulta",1,0))</x:f>
        <x:v>2</x:v>
      </x:c>
      <x:c r="M115" s="2" t="n">
        <x:f>SUM(E2_diario!L199,E2_diario!L241,E2_diario!L703,E2_diario!L745,E2_diario!L1207,E2_diario!L1249,E2_diario!L1711,E2_diario!L1753,E2_diario!L2215,E2_diario!L2257)</x:f>
        <x:v>0</x:v>
      </x:c>
      <x:c r="N115" s="20" t="n">
        <x:f>G115/F115</x:f>
        <x:v>0.2</x:v>
      </x:c>
      <x:c r="O115" s="20" t="n">
        <x:f>IF(G115=0,0,M115/G115)</x:f>
        <x:v>0</x:v>
      </x:c>
      <x:c r="P115" s="20" t="n">
        <x:f>N115*O115</x:f>
        <x:v>0</x:v>
      </x:c>
      <x:c r="Q115" s="20" t="n">
        <x:f>H115/F115</x:f>
        <x:v>0</x:v>
      </x:c>
      <x:c r="R115" s="20" t="n">
        <x:f>I115/F115</x:f>
        <x:v>0</x:v>
      </x:c>
      <x:c r="S115" s="20" t="n">
        <x:f>J115/F115</x:f>
        <x:v>0</x:v>
      </x:c>
      <x:c r="T115" s="20" t="n">
        <x:f>K115/F115</x:f>
        <x:v>0</x:v>
      </x:c>
      <x:c r="U115" s="20" t="n">
        <x:f>L115/F115</x:f>
        <x:v>0.2</x:v>
      </x:c>
      <x:c r="V115" s="20" t="n">
        <x:f>IF(L115=0,0,M115/L115)</x:f>
        <x:v>0</x:v>
      </x:c>
      <x:c r="W115" s="20" t="n">
        <x:f>SUM(P$86:P115)</x:f>
        <x:v>21.799999999999997</x:v>
      </x:c>
      <x:c r="X115" s="2" t="n">
        <x:f>E115+Supuestos!$C$15</x:f>
        <x:v>30</x:v>
      </x:c>
      <x:c r="Y115" s="2" t="n">
        <x:f>F115-G115</x:f>
        <x:v>8</x:v>
      </x:c>
      <x:c r="Z115" s="2" t="str">
        <x:v>simulado_didactico</x:v>
      </x:c>
    </x:row>
    <x:row r="116" ht="19" customHeight="1">
      <x:c r="A116" s="2" t="str">
        <x:v>MP_L7</x:v>
      </x:c>
      <x:c r="B116" s="2" t="str">
        <x:v>MP</x:v>
      </x:c>
      <x:c r="C116" s="2" t="str">
        <x:v>Myzus persicae</x:v>
      </x:c>
      <x:c r="D116" s="2" t="str">
        <x:v>L7</x:v>
      </x:c>
      <x:c r="E116" s="2" t="n">
        <x:v>30</x:v>
      </x:c>
      <x:c r="F116" s="2" t="n">
        <x:f>COUNTA(E2_plantas!A6,E2_plantas!A7,E2_plantas!A18,E2_plantas!A19,E2_plantas!A30,E2_plantas!A31,E2_plantas!A42,E2_plantas!A43,E2_plantas!A54,E2_plantas!A55)</x:f>
        <x:v>10</x:v>
      </x:c>
      <x:c r="G116" s="2" t="n">
        <x:f>SUM(E2_diario!K200,E2_diario!K242,E2_diario!K704,E2_diario!K746,E2_diario!K1208,E2_diario!K1250,E2_diario!K1712,E2_diario!K1754,E2_diario!K2216,E2_diario!K2258)</x:f>
        <x:v>0</x:v>
      </x:c>
      <x:c r="H116" s="2" t="n">
        <x:f>SUM(IF(E2_diario!J200="N1",1,0),IF(E2_diario!J242="N1",1,0),IF(E2_diario!J704="N1",1,0),IF(E2_diario!J746="N1",1,0),IF(E2_diario!J1208="N1",1,0),IF(E2_diario!J1250="N1",1,0),IF(E2_diario!J1712="N1",1,0),IF(E2_diario!J1754="N1",1,0),IF(E2_diario!J2216="N1",1,0),IF(E2_diario!J2258="N1",1,0))</x:f>
        <x:v>0</x:v>
      </x:c>
      <x:c r="I116" s="2" t="n">
        <x:f>SUM(IF(E2_diario!J200="N2",1,0),IF(E2_diario!J242="N2",1,0),IF(E2_diario!J704="N2",1,0),IF(E2_diario!J746="N2",1,0),IF(E2_diario!J1208="N2",1,0),IF(E2_diario!J1250="N2",1,0),IF(E2_diario!J1712="N2",1,0),IF(E2_diario!J1754="N2",1,0),IF(E2_diario!J2216="N2",1,0),IF(E2_diario!J2258="N2",1,0))</x:f>
        <x:v>0</x:v>
      </x:c>
      <x:c r="J116" s="2" t="n">
        <x:f>SUM(IF(E2_diario!J200="N3",1,0),IF(E2_diario!J242="N3",1,0),IF(E2_diario!J704="N3",1,0),IF(E2_diario!J746="N3",1,0),IF(E2_diario!J1208="N3",1,0),IF(E2_diario!J1250="N3",1,0),IF(E2_diario!J1712="N3",1,0),IF(E2_diario!J1754="N3",1,0),IF(E2_diario!J2216="N3",1,0),IF(E2_diario!J2258="N3",1,0))</x:f>
        <x:v>0</x:v>
      </x:c>
      <x:c r="K116" s="2" t="n">
        <x:f>SUM(IF(E2_diario!J200="N4",1,0),IF(E2_diario!J242="N4",1,0),IF(E2_diario!J704="N4",1,0),IF(E2_diario!J746="N4",1,0),IF(E2_diario!J1208="N4",1,0),IF(E2_diario!J1250="N4",1,0),IF(E2_diario!J1712="N4",1,0),IF(E2_diario!J1754="N4",1,0),IF(E2_diario!J2216="N4",1,0),IF(E2_diario!J2258="N4",1,0))</x:f>
        <x:v>0</x:v>
      </x:c>
      <x:c r="L116" s="2" t="n">
        <x:f>SUM(IF(E2_diario!J200="adulta",1,0),IF(E2_diario!J242="adulta",1,0),IF(E2_diario!J704="adulta",1,0),IF(E2_diario!J746="adulta",1,0),IF(E2_diario!J1208="adulta",1,0),IF(E2_diario!J1250="adulta",1,0),IF(E2_diario!J1712="adulta",1,0),IF(E2_diario!J1754="adulta",1,0),IF(E2_diario!J2216="adulta",1,0),IF(E2_diario!J2258="adulta",1,0))</x:f>
        <x:v>0</x:v>
      </x:c>
      <x:c r="M116" s="2" t="n">
        <x:f>SUM(E2_diario!L200,E2_diario!L242,E2_diario!L704,E2_diario!L746,E2_diario!L1208,E2_diario!L1250,E2_diario!L1712,E2_diario!L1754,E2_diario!L2216,E2_diario!L2258)</x:f>
        <x:v>0</x:v>
      </x:c>
      <x:c r="N116" s="20" t="n">
        <x:f>G116/F116</x:f>
        <x:v>0</x:v>
      </x:c>
      <x:c r="O116" s="20" t="n">
        <x:f>IF(G116=0,0,M116/G116)</x:f>
        <x:v>0</x:v>
      </x:c>
      <x:c r="P116" s="20" t="n">
        <x:f>N116*O116</x:f>
        <x:v>0</x:v>
      </x:c>
      <x:c r="Q116" s="20" t="n">
        <x:f>H116/F116</x:f>
        <x:v>0</x:v>
      </x:c>
      <x:c r="R116" s="20" t="n">
        <x:f>I116/F116</x:f>
        <x:v>0</x:v>
      </x:c>
      <x:c r="S116" s="20" t="n">
        <x:f>J116/F116</x:f>
        <x:v>0</x:v>
      </x:c>
      <x:c r="T116" s="20" t="n">
        <x:f>K116/F116</x:f>
        <x:v>0</x:v>
      </x:c>
      <x:c r="U116" s="20" t="n">
        <x:f>L116/F116</x:f>
        <x:v>0</x:v>
      </x:c>
      <x:c r="V116" s="20" t="n">
        <x:f>IF(L116=0,0,M116/L116)</x:f>
        <x:v>0</x:v>
      </x:c>
      <x:c r="W116" s="20" t="n">
        <x:f>SUM(P$86:P116)</x:f>
        <x:v>21.799999999999997</x:v>
      </x:c>
      <x:c r="X116" s="2" t="n">
        <x:f>E116+Supuestos!$C$15</x:f>
        <x:v>31</x:v>
      </x:c>
      <x:c r="Y116" s="2" t="n">
        <x:f>F116-G116</x:f>
        <x:v>10</x:v>
      </x:c>
      <x:c r="Z116" s="2" t="str">
        <x:v>simulado_didactico</x:v>
      </x:c>
    </x:row>
    <x:row r="117" ht="19" customHeight="1">
      <x:c r="A117" s="2" t="str">
        <x:v>MP_L7</x:v>
      </x:c>
      <x:c r="B117" s="2" t="str">
        <x:v>MP</x:v>
      </x:c>
      <x:c r="C117" s="2" t="str">
        <x:v>Myzus persicae</x:v>
      </x:c>
      <x:c r="D117" s="2" t="str">
        <x:v>L7</x:v>
      </x:c>
      <x:c r="E117" s="2" t="n">
        <x:v>31</x:v>
      </x:c>
      <x:c r="F117" s="2" t="n">
        <x:f>COUNTA(E2_plantas!A6,E2_plantas!A7,E2_plantas!A18,E2_plantas!A19,E2_plantas!A30,E2_plantas!A31,E2_plantas!A42,E2_plantas!A43,E2_plantas!A54,E2_plantas!A55)</x:f>
        <x:v>10</x:v>
      </x:c>
      <x:c r="G117" s="2" t="n">
        <x:f>SUM(E2_diario!K201,E2_diario!K243,E2_diario!K705,E2_diario!K747,E2_diario!K1209,E2_diario!K1251,E2_diario!K1713,E2_diario!K1755,E2_diario!K2217,E2_diario!K2259)</x:f>
        <x:v>0</x:v>
      </x:c>
      <x:c r="H117" s="2" t="n">
        <x:f>SUM(IF(E2_diario!J201="N1",1,0),IF(E2_diario!J243="N1",1,0),IF(E2_diario!J705="N1",1,0),IF(E2_diario!J747="N1",1,0),IF(E2_diario!J1209="N1",1,0),IF(E2_diario!J1251="N1",1,0),IF(E2_diario!J1713="N1",1,0),IF(E2_diario!J1755="N1",1,0),IF(E2_diario!J2217="N1",1,0),IF(E2_diario!J2259="N1",1,0))</x:f>
        <x:v>0</x:v>
      </x:c>
      <x:c r="I117" s="2" t="n">
        <x:f>SUM(IF(E2_diario!J201="N2",1,0),IF(E2_diario!J243="N2",1,0),IF(E2_diario!J705="N2",1,0),IF(E2_diario!J747="N2",1,0),IF(E2_diario!J1209="N2",1,0),IF(E2_diario!J1251="N2",1,0),IF(E2_diario!J1713="N2",1,0),IF(E2_diario!J1755="N2",1,0),IF(E2_diario!J2217="N2",1,0),IF(E2_diario!J2259="N2",1,0))</x:f>
        <x:v>0</x:v>
      </x:c>
      <x:c r="J117" s="2" t="n">
        <x:f>SUM(IF(E2_diario!J201="N3",1,0),IF(E2_diario!J243="N3",1,0),IF(E2_diario!J705="N3",1,0),IF(E2_diario!J747="N3",1,0),IF(E2_diario!J1209="N3",1,0),IF(E2_diario!J1251="N3",1,0),IF(E2_diario!J1713="N3",1,0),IF(E2_diario!J1755="N3",1,0),IF(E2_diario!J2217="N3",1,0),IF(E2_diario!J2259="N3",1,0))</x:f>
        <x:v>0</x:v>
      </x:c>
      <x:c r="K117" s="2" t="n">
        <x:f>SUM(IF(E2_diario!J201="N4",1,0),IF(E2_diario!J243="N4",1,0),IF(E2_diario!J705="N4",1,0),IF(E2_diario!J747="N4",1,0),IF(E2_diario!J1209="N4",1,0),IF(E2_diario!J1251="N4",1,0),IF(E2_diario!J1713="N4",1,0),IF(E2_diario!J1755="N4",1,0),IF(E2_diario!J2217="N4",1,0),IF(E2_diario!J2259="N4",1,0))</x:f>
        <x:v>0</x:v>
      </x:c>
      <x:c r="L117" s="2" t="n">
        <x:f>SUM(IF(E2_diario!J201="adulta",1,0),IF(E2_diario!J243="adulta",1,0),IF(E2_diario!J705="adulta",1,0),IF(E2_diario!J747="adulta",1,0),IF(E2_diario!J1209="adulta",1,0),IF(E2_diario!J1251="adulta",1,0),IF(E2_diario!J1713="adulta",1,0),IF(E2_diario!J1755="adulta",1,0),IF(E2_diario!J2217="adulta",1,0),IF(E2_diario!J2259="adulta",1,0))</x:f>
        <x:v>0</x:v>
      </x:c>
      <x:c r="M117" s="2" t="n">
        <x:f>SUM(E2_diario!L201,E2_diario!L243,E2_diario!L705,E2_diario!L747,E2_diario!L1209,E2_diario!L1251,E2_diario!L1713,E2_diario!L1755,E2_diario!L2217,E2_diario!L2259)</x:f>
        <x:v>0</x:v>
      </x:c>
      <x:c r="N117" s="20" t="n">
        <x:f>G117/F117</x:f>
        <x:v>0</x:v>
      </x:c>
      <x:c r="O117" s="20" t="n">
        <x:f>IF(G117=0,0,M117/G117)</x:f>
        <x:v>0</x:v>
      </x:c>
      <x:c r="P117" s="20" t="n">
        <x:f>N117*O117</x:f>
        <x:v>0</x:v>
      </x:c>
      <x:c r="Q117" s="20" t="n">
        <x:f>H117/F117</x:f>
        <x:v>0</x:v>
      </x:c>
      <x:c r="R117" s="20" t="n">
        <x:f>I117/F117</x:f>
        <x:v>0</x:v>
      </x:c>
      <x:c r="S117" s="20" t="n">
        <x:f>J117/F117</x:f>
        <x:v>0</x:v>
      </x:c>
      <x:c r="T117" s="20" t="n">
        <x:f>K117/F117</x:f>
        <x:v>0</x:v>
      </x:c>
      <x:c r="U117" s="20" t="n">
        <x:f>L117/F117</x:f>
        <x:v>0</x:v>
      </x:c>
      <x:c r="V117" s="20" t="n">
        <x:f>IF(L117=0,0,M117/L117)</x:f>
        <x:v>0</x:v>
      </x:c>
      <x:c r="W117" s="20" t="n">
        <x:f>SUM(P$86:P117)</x:f>
        <x:v>21.799999999999997</x:v>
      </x:c>
      <x:c r="X117" s="2" t="n">
        <x:f>E117+Supuestos!$C$15</x:f>
        <x:v>32</x:v>
      </x:c>
      <x:c r="Y117" s="2" t="n">
        <x:f>F117-G117</x:f>
        <x:v>10</x:v>
      </x:c>
      <x:c r="Z117" s="2" t="str">
        <x:v>simulado_didactico</x:v>
      </x:c>
    </x:row>
    <x:row r="118" ht="19" customHeight="1">
      <x:c r="A118" s="2" t="str">
        <x:v>MP_L7</x:v>
      </x:c>
      <x:c r="B118" s="2" t="str">
        <x:v>MP</x:v>
      </x:c>
      <x:c r="C118" s="2" t="str">
        <x:v>Myzus persicae</x:v>
      </x:c>
      <x:c r="D118" s="2" t="str">
        <x:v>L7</x:v>
      </x:c>
      <x:c r="E118" s="2" t="n">
        <x:v>32</x:v>
      </x:c>
      <x:c r="F118" s="2" t="n">
        <x:f>COUNTA(E2_plantas!A6,E2_plantas!A7,E2_plantas!A18,E2_plantas!A19,E2_plantas!A30,E2_plantas!A31,E2_plantas!A42,E2_plantas!A43,E2_plantas!A54,E2_plantas!A55)</x:f>
        <x:v>10</x:v>
      </x:c>
      <x:c r="G118" s="2" t="n">
        <x:f>SUM(E2_diario!K202,E2_diario!K244,E2_diario!K706,E2_diario!K748,E2_diario!K1210,E2_diario!K1252,E2_diario!K1714,E2_diario!K1756,E2_diario!K2218,E2_diario!K2260)</x:f>
        <x:v>0</x:v>
      </x:c>
      <x:c r="H118" s="2" t="n">
        <x:f>SUM(IF(E2_diario!J202="N1",1,0),IF(E2_diario!J244="N1",1,0),IF(E2_diario!J706="N1",1,0),IF(E2_diario!J748="N1",1,0),IF(E2_diario!J1210="N1",1,0),IF(E2_diario!J1252="N1",1,0),IF(E2_diario!J1714="N1",1,0),IF(E2_diario!J1756="N1",1,0),IF(E2_diario!J2218="N1",1,0),IF(E2_diario!J2260="N1",1,0))</x:f>
        <x:v>0</x:v>
      </x:c>
      <x:c r="I118" s="2" t="n">
        <x:f>SUM(IF(E2_diario!J202="N2",1,0),IF(E2_diario!J244="N2",1,0),IF(E2_diario!J706="N2",1,0),IF(E2_diario!J748="N2",1,0),IF(E2_diario!J1210="N2",1,0),IF(E2_diario!J1252="N2",1,0),IF(E2_diario!J1714="N2",1,0),IF(E2_diario!J1756="N2",1,0),IF(E2_diario!J2218="N2",1,0),IF(E2_diario!J2260="N2",1,0))</x:f>
        <x:v>0</x:v>
      </x:c>
      <x:c r="J118" s="2" t="n">
        <x:f>SUM(IF(E2_diario!J202="N3",1,0),IF(E2_diario!J244="N3",1,0),IF(E2_diario!J706="N3",1,0),IF(E2_diario!J748="N3",1,0),IF(E2_diario!J1210="N3",1,0),IF(E2_diario!J1252="N3",1,0),IF(E2_diario!J1714="N3",1,0),IF(E2_diario!J1756="N3",1,0),IF(E2_diario!J2218="N3",1,0),IF(E2_diario!J2260="N3",1,0))</x:f>
        <x:v>0</x:v>
      </x:c>
      <x:c r="K118" s="2" t="n">
        <x:f>SUM(IF(E2_diario!J202="N4",1,0),IF(E2_diario!J244="N4",1,0),IF(E2_diario!J706="N4",1,0),IF(E2_diario!J748="N4",1,0),IF(E2_diario!J1210="N4",1,0),IF(E2_diario!J1252="N4",1,0),IF(E2_diario!J1714="N4",1,0),IF(E2_diario!J1756="N4",1,0),IF(E2_diario!J2218="N4",1,0),IF(E2_diario!J2260="N4",1,0))</x:f>
        <x:v>0</x:v>
      </x:c>
      <x:c r="L118" s="2" t="n">
        <x:f>SUM(IF(E2_diario!J202="adulta",1,0),IF(E2_diario!J244="adulta",1,0),IF(E2_diario!J706="adulta",1,0),IF(E2_diario!J748="adulta",1,0),IF(E2_diario!J1210="adulta",1,0),IF(E2_diario!J1252="adulta",1,0),IF(E2_diario!J1714="adulta",1,0),IF(E2_diario!J1756="adulta",1,0),IF(E2_diario!J2218="adulta",1,0),IF(E2_diario!J2260="adulta",1,0))</x:f>
        <x:v>0</x:v>
      </x:c>
      <x:c r="M118" s="2" t="n">
        <x:f>SUM(E2_diario!L202,E2_diario!L244,E2_diario!L706,E2_diario!L748,E2_diario!L1210,E2_diario!L1252,E2_diario!L1714,E2_diario!L1756,E2_diario!L2218,E2_diario!L2260)</x:f>
        <x:v>0</x:v>
      </x:c>
      <x:c r="N118" s="20" t="n">
        <x:f>G118/F118</x:f>
        <x:v>0</x:v>
      </x:c>
      <x:c r="O118" s="20" t="n">
        <x:f>IF(G118=0,0,M118/G118)</x:f>
        <x:v>0</x:v>
      </x:c>
      <x:c r="P118" s="20" t="n">
        <x:f>N118*O118</x:f>
        <x:v>0</x:v>
      </x:c>
      <x:c r="Q118" s="20" t="n">
        <x:f>H118/F118</x:f>
        <x:v>0</x:v>
      </x:c>
      <x:c r="R118" s="20" t="n">
        <x:f>I118/F118</x:f>
        <x:v>0</x:v>
      </x:c>
      <x:c r="S118" s="20" t="n">
        <x:f>J118/F118</x:f>
        <x:v>0</x:v>
      </x:c>
      <x:c r="T118" s="20" t="n">
        <x:f>K118/F118</x:f>
        <x:v>0</x:v>
      </x:c>
      <x:c r="U118" s="20" t="n">
        <x:f>L118/F118</x:f>
        <x:v>0</x:v>
      </x:c>
      <x:c r="V118" s="20" t="n">
        <x:f>IF(L118=0,0,M118/L118)</x:f>
        <x:v>0</x:v>
      </x:c>
      <x:c r="W118" s="20" t="n">
        <x:f>SUM(P$86:P118)</x:f>
        <x:v>21.799999999999997</x:v>
      </x:c>
      <x:c r="X118" s="2" t="n">
        <x:f>E118+Supuestos!$C$15</x:f>
        <x:v>33</x:v>
      </x:c>
      <x:c r="Y118" s="2" t="n">
        <x:f>F118-G118</x:f>
        <x:v>10</x:v>
      </x:c>
      <x:c r="Z118" s="2" t="str">
        <x:v>simulado_didactico</x:v>
      </x:c>
    </x:row>
    <x:row r="119" ht="19" customHeight="1">
      <x:c r="A119" s="2" t="str">
        <x:v>MP_L7</x:v>
      </x:c>
      <x:c r="B119" s="2" t="str">
        <x:v>MP</x:v>
      </x:c>
      <x:c r="C119" s="2" t="str">
        <x:v>Myzus persicae</x:v>
      </x:c>
      <x:c r="D119" s="2" t="str">
        <x:v>L7</x:v>
      </x:c>
      <x:c r="E119" s="2" t="n">
        <x:v>33</x:v>
      </x:c>
      <x:c r="F119" s="2" t="n">
        <x:f>COUNTA(E2_plantas!A6,E2_plantas!A7,E2_plantas!A18,E2_plantas!A19,E2_plantas!A30,E2_plantas!A31,E2_plantas!A42,E2_plantas!A43,E2_plantas!A54,E2_plantas!A55)</x:f>
        <x:v>10</x:v>
      </x:c>
      <x:c r="G119" s="2" t="n">
        <x:f>SUM(E2_diario!K203,E2_diario!K245,E2_diario!K707,E2_diario!K749,E2_diario!K1211,E2_diario!K1253,E2_diario!K1715,E2_diario!K1757,E2_diario!K2219,E2_diario!K2261)</x:f>
        <x:v>0</x:v>
      </x:c>
      <x:c r="H119" s="2" t="n">
        <x:f>SUM(IF(E2_diario!J203="N1",1,0),IF(E2_diario!J245="N1",1,0),IF(E2_diario!J707="N1",1,0),IF(E2_diario!J749="N1",1,0),IF(E2_diario!J1211="N1",1,0),IF(E2_diario!J1253="N1",1,0),IF(E2_diario!J1715="N1",1,0),IF(E2_diario!J1757="N1",1,0),IF(E2_diario!J2219="N1",1,0),IF(E2_diario!J2261="N1",1,0))</x:f>
        <x:v>0</x:v>
      </x:c>
      <x:c r="I119" s="2" t="n">
        <x:f>SUM(IF(E2_diario!J203="N2",1,0),IF(E2_diario!J245="N2",1,0),IF(E2_diario!J707="N2",1,0),IF(E2_diario!J749="N2",1,0),IF(E2_diario!J1211="N2",1,0),IF(E2_diario!J1253="N2",1,0),IF(E2_diario!J1715="N2",1,0),IF(E2_diario!J1757="N2",1,0),IF(E2_diario!J2219="N2",1,0),IF(E2_diario!J2261="N2",1,0))</x:f>
        <x:v>0</x:v>
      </x:c>
      <x:c r="J119" s="2" t="n">
        <x:f>SUM(IF(E2_diario!J203="N3",1,0),IF(E2_diario!J245="N3",1,0),IF(E2_diario!J707="N3",1,0),IF(E2_diario!J749="N3",1,0),IF(E2_diario!J1211="N3",1,0),IF(E2_diario!J1253="N3",1,0),IF(E2_diario!J1715="N3",1,0),IF(E2_diario!J1757="N3",1,0),IF(E2_diario!J2219="N3",1,0),IF(E2_diario!J2261="N3",1,0))</x:f>
        <x:v>0</x:v>
      </x:c>
      <x:c r="K119" s="2" t="n">
        <x:f>SUM(IF(E2_diario!J203="N4",1,0),IF(E2_diario!J245="N4",1,0),IF(E2_diario!J707="N4",1,0),IF(E2_diario!J749="N4",1,0),IF(E2_diario!J1211="N4",1,0),IF(E2_diario!J1253="N4",1,0),IF(E2_diario!J1715="N4",1,0),IF(E2_diario!J1757="N4",1,0),IF(E2_diario!J2219="N4",1,0),IF(E2_diario!J2261="N4",1,0))</x:f>
        <x:v>0</x:v>
      </x:c>
      <x:c r="L119" s="2" t="n">
        <x:f>SUM(IF(E2_diario!J203="adulta",1,0),IF(E2_diario!J245="adulta",1,0),IF(E2_diario!J707="adulta",1,0),IF(E2_diario!J749="adulta",1,0),IF(E2_diario!J1211="adulta",1,0),IF(E2_diario!J1253="adulta",1,0),IF(E2_diario!J1715="adulta",1,0),IF(E2_diario!J1757="adulta",1,0),IF(E2_diario!J2219="adulta",1,0),IF(E2_diario!J2261="adulta",1,0))</x:f>
        <x:v>0</x:v>
      </x:c>
      <x:c r="M119" s="2" t="n">
        <x:f>SUM(E2_diario!L203,E2_diario!L245,E2_diario!L707,E2_diario!L749,E2_diario!L1211,E2_diario!L1253,E2_diario!L1715,E2_diario!L1757,E2_diario!L2219,E2_diario!L2261)</x:f>
        <x:v>0</x:v>
      </x:c>
      <x:c r="N119" s="20" t="n">
        <x:f>G119/F119</x:f>
        <x:v>0</x:v>
      </x:c>
      <x:c r="O119" s="20" t="n">
        <x:f>IF(G119=0,0,M119/G119)</x:f>
        <x:v>0</x:v>
      </x:c>
      <x:c r="P119" s="20" t="n">
        <x:f>N119*O119</x:f>
        <x:v>0</x:v>
      </x:c>
      <x:c r="Q119" s="20" t="n">
        <x:f>H119/F119</x:f>
        <x:v>0</x:v>
      </x:c>
      <x:c r="R119" s="20" t="n">
        <x:f>I119/F119</x:f>
        <x:v>0</x:v>
      </x:c>
      <x:c r="S119" s="20" t="n">
        <x:f>J119/F119</x:f>
        <x:v>0</x:v>
      </x:c>
      <x:c r="T119" s="20" t="n">
        <x:f>K119/F119</x:f>
        <x:v>0</x:v>
      </x:c>
      <x:c r="U119" s="20" t="n">
        <x:f>L119/F119</x:f>
        <x:v>0</x:v>
      </x:c>
      <x:c r="V119" s="20" t="n">
        <x:f>IF(L119=0,0,M119/L119)</x:f>
        <x:v>0</x:v>
      </x:c>
      <x:c r="W119" s="20" t="n">
        <x:f>SUM(P$86:P119)</x:f>
        <x:v>21.799999999999997</x:v>
      </x:c>
      <x:c r="X119" s="2" t="n">
        <x:f>E119+Supuestos!$C$15</x:f>
        <x:v>34</x:v>
      </x:c>
      <x:c r="Y119" s="2" t="n">
        <x:f>F119-G119</x:f>
        <x:v>10</x:v>
      </x:c>
      <x:c r="Z119" s="2" t="str">
        <x:v>simulado_didactico</x:v>
      </x:c>
    </x:row>
    <x:row r="120" ht="19" customHeight="1">
      <x:c r="A120" s="2" t="str">
        <x:v>MP_L7</x:v>
      </x:c>
      <x:c r="B120" s="2" t="str">
        <x:v>MP</x:v>
      </x:c>
      <x:c r="C120" s="2" t="str">
        <x:v>Myzus persicae</x:v>
      </x:c>
      <x:c r="D120" s="2" t="str">
        <x:v>L7</x:v>
      </x:c>
      <x:c r="E120" s="2" t="n">
        <x:v>34</x:v>
      </x:c>
      <x:c r="F120" s="2" t="n">
        <x:f>COUNTA(E2_plantas!A6,E2_plantas!A7,E2_plantas!A18,E2_plantas!A19,E2_plantas!A30,E2_plantas!A31,E2_plantas!A42,E2_plantas!A43,E2_plantas!A54,E2_plantas!A55)</x:f>
        <x:v>10</x:v>
      </x:c>
      <x:c r="G120" s="2" t="n">
        <x:f>SUM(E2_diario!K204,E2_diario!K246,E2_diario!K708,E2_diario!K750,E2_diario!K1212,E2_diario!K1254,E2_diario!K1716,E2_diario!K1758,E2_diario!K2220,E2_diario!K2262)</x:f>
        <x:v>0</x:v>
      </x:c>
      <x:c r="H120" s="2" t="n">
        <x:f>SUM(IF(E2_diario!J204="N1",1,0),IF(E2_diario!J246="N1",1,0),IF(E2_diario!J708="N1",1,0),IF(E2_diario!J750="N1",1,0),IF(E2_diario!J1212="N1",1,0),IF(E2_diario!J1254="N1",1,0),IF(E2_diario!J1716="N1",1,0),IF(E2_diario!J1758="N1",1,0),IF(E2_diario!J2220="N1",1,0),IF(E2_diario!J2262="N1",1,0))</x:f>
        <x:v>0</x:v>
      </x:c>
      <x:c r="I120" s="2" t="n">
        <x:f>SUM(IF(E2_diario!J204="N2",1,0),IF(E2_diario!J246="N2",1,0),IF(E2_diario!J708="N2",1,0),IF(E2_diario!J750="N2",1,0),IF(E2_diario!J1212="N2",1,0),IF(E2_diario!J1254="N2",1,0),IF(E2_diario!J1716="N2",1,0),IF(E2_diario!J1758="N2",1,0),IF(E2_diario!J2220="N2",1,0),IF(E2_diario!J2262="N2",1,0))</x:f>
        <x:v>0</x:v>
      </x:c>
      <x:c r="J120" s="2" t="n">
        <x:f>SUM(IF(E2_diario!J204="N3",1,0),IF(E2_diario!J246="N3",1,0),IF(E2_diario!J708="N3",1,0),IF(E2_diario!J750="N3",1,0),IF(E2_diario!J1212="N3",1,0),IF(E2_diario!J1254="N3",1,0),IF(E2_diario!J1716="N3",1,0),IF(E2_diario!J1758="N3",1,0),IF(E2_diario!J2220="N3",1,0),IF(E2_diario!J2262="N3",1,0))</x:f>
        <x:v>0</x:v>
      </x:c>
      <x:c r="K120" s="2" t="n">
        <x:f>SUM(IF(E2_diario!J204="N4",1,0),IF(E2_diario!J246="N4",1,0),IF(E2_diario!J708="N4",1,0),IF(E2_diario!J750="N4",1,0),IF(E2_diario!J1212="N4",1,0),IF(E2_diario!J1254="N4",1,0),IF(E2_diario!J1716="N4",1,0),IF(E2_diario!J1758="N4",1,0),IF(E2_diario!J2220="N4",1,0),IF(E2_diario!J2262="N4",1,0))</x:f>
        <x:v>0</x:v>
      </x:c>
      <x:c r="L120" s="2" t="n">
        <x:f>SUM(IF(E2_diario!J204="adulta",1,0),IF(E2_diario!J246="adulta",1,0),IF(E2_diario!J708="adulta",1,0),IF(E2_diario!J750="adulta",1,0),IF(E2_diario!J1212="adulta",1,0),IF(E2_diario!J1254="adulta",1,0),IF(E2_diario!J1716="adulta",1,0),IF(E2_diario!J1758="adulta",1,0),IF(E2_diario!J2220="adulta",1,0),IF(E2_diario!J2262="adulta",1,0))</x:f>
        <x:v>0</x:v>
      </x:c>
      <x:c r="M120" s="2" t="n">
        <x:f>SUM(E2_diario!L204,E2_diario!L246,E2_diario!L708,E2_diario!L750,E2_diario!L1212,E2_diario!L1254,E2_diario!L1716,E2_diario!L1758,E2_diario!L2220,E2_diario!L2262)</x:f>
        <x:v>0</x:v>
      </x:c>
      <x:c r="N120" s="20" t="n">
        <x:f>G120/F120</x:f>
        <x:v>0</x:v>
      </x:c>
      <x:c r="O120" s="20" t="n">
        <x:f>IF(G120=0,0,M120/G120)</x:f>
        <x:v>0</x:v>
      </x:c>
      <x:c r="P120" s="20" t="n">
        <x:f>N120*O120</x:f>
        <x:v>0</x:v>
      </x:c>
      <x:c r="Q120" s="20" t="n">
        <x:f>H120/F120</x:f>
        <x:v>0</x:v>
      </x:c>
      <x:c r="R120" s="20" t="n">
        <x:f>I120/F120</x:f>
        <x:v>0</x:v>
      </x:c>
      <x:c r="S120" s="20" t="n">
        <x:f>J120/F120</x:f>
        <x:v>0</x:v>
      </x:c>
      <x:c r="T120" s="20" t="n">
        <x:f>K120/F120</x:f>
        <x:v>0</x:v>
      </x:c>
      <x:c r="U120" s="20" t="n">
        <x:f>L120/F120</x:f>
        <x:v>0</x:v>
      </x:c>
      <x:c r="V120" s="20" t="n">
        <x:f>IF(L120=0,0,M120/L120)</x:f>
        <x:v>0</x:v>
      </x:c>
      <x:c r="W120" s="20" t="n">
        <x:f>SUM(P$86:P120)</x:f>
        <x:v>21.799999999999997</x:v>
      </x:c>
      <x:c r="X120" s="2" t="n">
        <x:f>E120+Supuestos!$C$15</x:f>
        <x:v>35</x:v>
      </x:c>
      <x:c r="Y120" s="2" t="n">
        <x:f>F120-G120</x:f>
        <x:v>10</x:v>
      </x:c>
      <x:c r="Z120" s="2" t="str">
        <x:v>simulado_didactico</x:v>
      </x:c>
    </x:row>
    <x:row r="121" ht="19" customHeight="1">
      <x:c r="A121" s="2" t="str">
        <x:v>MP_L7</x:v>
      </x:c>
      <x:c r="B121" s="2" t="str">
        <x:v>MP</x:v>
      </x:c>
      <x:c r="C121" s="2" t="str">
        <x:v>Myzus persicae</x:v>
      </x:c>
      <x:c r="D121" s="2" t="str">
        <x:v>L7</x:v>
      </x:c>
      <x:c r="E121" s="2" t="n">
        <x:v>35</x:v>
      </x:c>
      <x:c r="F121" s="2" t="n">
        <x:f>COUNTA(E2_plantas!A6,E2_plantas!A7,E2_plantas!A18,E2_plantas!A19,E2_plantas!A30,E2_plantas!A31,E2_plantas!A42,E2_plantas!A43,E2_plantas!A54,E2_plantas!A55)</x:f>
        <x:v>10</x:v>
      </x:c>
      <x:c r="G121" s="2" t="n">
        <x:f>SUM(E2_diario!K205,E2_diario!K247,E2_diario!K709,E2_diario!K751,E2_diario!K1213,E2_diario!K1255,E2_diario!K1717,E2_diario!K1759,E2_diario!K2221,E2_diario!K2263)</x:f>
        <x:v>0</x:v>
      </x:c>
      <x:c r="H121" s="2" t="n">
        <x:f>SUM(IF(E2_diario!J205="N1",1,0),IF(E2_diario!J247="N1",1,0),IF(E2_diario!J709="N1",1,0),IF(E2_diario!J751="N1",1,0),IF(E2_diario!J1213="N1",1,0),IF(E2_diario!J1255="N1",1,0),IF(E2_diario!J1717="N1",1,0),IF(E2_diario!J1759="N1",1,0),IF(E2_diario!J2221="N1",1,0),IF(E2_diario!J2263="N1",1,0))</x:f>
        <x:v>0</x:v>
      </x:c>
      <x:c r="I121" s="2" t="n">
        <x:f>SUM(IF(E2_diario!J205="N2",1,0),IF(E2_diario!J247="N2",1,0),IF(E2_diario!J709="N2",1,0),IF(E2_diario!J751="N2",1,0),IF(E2_diario!J1213="N2",1,0),IF(E2_diario!J1255="N2",1,0),IF(E2_diario!J1717="N2",1,0),IF(E2_diario!J1759="N2",1,0),IF(E2_diario!J2221="N2",1,0),IF(E2_diario!J2263="N2",1,0))</x:f>
        <x:v>0</x:v>
      </x:c>
      <x:c r="J121" s="2" t="n">
        <x:f>SUM(IF(E2_diario!J205="N3",1,0),IF(E2_diario!J247="N3",1,0),IF(E2_diario!J709="N3",1,0),IF(E2_diario!J751="N3",1,0),IF(E2_diario!J1213="N3",1,0),IF(E2_diario!J1255="N3",1,0),IF(E2_diario!J1717="N3",1,0),IF(E2_diario!J1759="N3",1,0),IF(E2_diario!J2221="N3",1,0),IF(E2_diario!J2263="N3",1,0))</x:f>
        <x:v>0</x:v>
      </x:c>
      <x:c r="K121" s="2" t="n">
        <x:f>SUM(IF(E2_diario!J205="N4",1,0),IF(E2_diario!J247="N4",1,0),IF(E2_diario!J709="N4",1,0),IF(E2_diario!J751="N4",1,0),IF(E2_diario!J1213="N4",1,0),IF(E2_diario!J1255="N4",1,0),IF(E2_diario!J1717="N4",1,0),IF(E2_diario!J1759="N4",1,0),IF(E2_diario!J2221="N4",1,0),IF(E2_diario!J2263="N4",1,0))</x:f>
        <x:v>0</x:v>
      </x:c>
      <x:c r="L121" s="2" t="n">
        <x:f>SUM(IF(E2_diario!J205="adulta",1,0),IF(E2_diario!J247="adulta",1,0),IF(E2_diario!J709="adulta",1,0),IF(E2_diario!J751="adulta",1,0),IF(E2_diario!J1213="adulta",1,0),IF(E2_diario!J1255="adulta",1,0),IF(E2_diario!J1717="adulta",1,0),IF(E2_diario!J1759="adulta",1,0),IF(E2_diario!J2221="adulta",1,0),IF(E2_diario!J2263="adulta",1,0))</x:f>
        <x:v>0</x:v>
      </x:c>
      <x:c r="M121" s="2" t="n">
        <x:f>SUM(E2_diario!L205,E2_diario!L247,E2_diario!L709,E2_diario!L751,E2_diario!L1213,E2_diario!L1255,E2_diario!L1717,E2_diario!L1759,E2_diario!L2221,E2_diario!L2263)</x:f>
        <x:v>0</x:v>
      </x:c>
      <x:c r="N121" s="20" t="n">
        <x:f>G121/F121</x:f>
        <x:v>0</x:v>
      </x:c>
      <x:c r="O121" s="20" t="n">
        <x:f>IF(G121=0,0,M121/G121)</x:f>
        <x:v>0</x:v>
      </x:c>
      <x:c r="P121" s="20" t="n">
        <x:f>N121*O121</x:f>
        <x:v>0</x:v>
      </x:c>
      <x:c r="Q121" s="20" t="n">
        <x:f>H121/F121</x:f>
        <x:v>0</x:v>
      </x:c>
      <x:c r="R121" s="20" t="n">
        <x:f>I121/F121</x:f>
        <x:v>0</x:v>
      </x:c>
      <x:c r="S121" s="20" t="n">
        <x:f>J121/F121</x:f>
        <x:v>0</x:v>
      </x:c>
      <x:c r="T121" s="20" t="n">
        <x:f>K121/F121</x:f>
        <x:v>0</x:v>
      </x:c>
      <x:c r="U121" s="20" t="n">
        <x:f>L121/F121</x:f>
        <x:v>0</x:v>
      </x:c>
      <x:c r="V121" s="20" t="n">
        <x:f>IF(L121=0,0,M121/L121)</x:f>
        <x:v>0</x:v>
      </x:c>
      <x:c r="W121" s="20" t="n">
        <x:f>SUM(P$86:P121)</x:f>
        <x:v>21.799999999999997</x:v>
      </x:c>
      <x:c r="X121" s="2" t="n">
        <x:f>E121+Supuestos!$C$15</x:f>
        <x:v>36</x:v>
      </x:c>
      <x:c r="Y121" s="2" t="n">
        <x:f>F121-G121</x:f>
        <x:v>10</x:v>
      </x:c>
      <x:c r="Z121" s="2" t="str">
        <x:v>simulado_didactico</x:v>
      </x:c>
    </x:row>
    <x:row r="122" ht="19" customHeight="1">
      <x:c r="A122" s="2" t="str">
        <x:v>MP_L7</x:v>
      </x:c>
      <x:c r="B122" s="2" t="str">
        <x:v>MP</x:v>
      </x:c>
      <x:c r="C122" s="2" t="str">
        <x:v>Myzus persicae</x:v>
      </x:c>
      <x:c r="D122" s="2" t="str">
        <x:v>L7</x:v>
      </x:c>
      <x:c r="E122" s="2" t="n">
        <x:v>36</x:v>
      </x:c>
      <x:c r="F122" s="2" t="n">
        <x:f>COUNTA(E2_plantas!A6,E2_plantas!A7,E2_plantas!A18,E2_plantas!A19,E2_plantas!A30,E2_plantas!A31,E2_plantas!A42,E2_plantas!A43,E2_plantas!A54,E2_plantas!A55)</x:f>
        <x:v>10</x:v>
      </x:c>
      <x:c r="G122" s="2" t="n">
        <x:f>SUM(E2_diario!K206,E2_diario!K248,E2_diario!K710,E2_diario!K752,E2_diario!K1214,E2_diario!K1256,E2_diario!K1718,E2_diario!K1760,E2_diario!K2222,E2_diario!K2264)</x:f>
        <x:v>0</x:v>
      </x:c>
      <x:c r="H122" s="2" t="n">
        <x:f>SUM(IF(E2_diario!J206="N1",1,0),IF(E2_diario!J248="N1",1,0),IF(E2_diario!J710="N1",1,0),IF(E2_diario!J752="N1",1,0),IF(E2_diario!J1214="N1",1,0),IF(E2_diario!J1256="N1",1,0),IF(E2_diario!J1718="N1",1,0),IF(E2_diario!J1760="N1",1,0),IF(E2_diario!J2222="N1",1,0),IF(E2_diario!J2264="N1",1,0))</x:f>
        <x:v>0</x:v>
      </x:c>
      <x:c r="I122" s="2" t="n">
        <x:f>SUM(IF(E2_diario!J206="N2",1,0),IF(E2_diario!J248="N2",1,0),IF(E2_diario!J710="N2",1,0),IF(E2_diario!J752="N2",1,0),IF(E2_diario!J1214="N2",1,0),IF(E2_diario!J1256="N2",1,0),IF(E2_diario!J1718="N2",1,0),IF(E2_diario!J1760="N2",1,0),IF(E2_diario!J2222="N2",1,0),IF(E2_diario!J2264="N2",1,0))</x:f>
        <x:v>0</x:v>
      </x:c>
      <x:c r="J122" s="2" t="n">
        <x:f>SUM(IF(E2_diario!J206="N3",1,0),IF(E2_diario!J248="N3",1,0),IF(E2_diario!J710="N3",1,0),IF(E2_diario!J752="N3",1,0),IF(E2_diario!J1214="N3",1,0),IF(E2_diario!J1256="N3",1,0),IF(E2_diario!J1718="N3",1,0),IF(E2_diario!J1760="N3",1,0),IF(E2_diario!J2222="N3",1,0),IF(E2_diario!J2264="N3",1,0))</x:f>
        <x:v>0</x:v>
      </x:c>
      <x:c r="K122" s="2" t="n">
        <x:f>SUM(IF(E2_diario!J206="N4",1,0),IF(E2_diario!J248="N4",1,0),IF(E2_diario!J710="N4",1,0),IF(E2_diario!J752="N4",1,0),IF(E2_diario!J1214="N4",1,0),IF(E2_diario!J1256="N4",1,0),IF(E2_diario!J1718="N4",1,0),IF(E2_diario!J1760="N4",1,0),IF(E2_diario!J2222="N4",1,0),IF(E2_diario!J2264="N4",1,0))</x:f>
        <x:v>0</x:v>
      </x:c>
      <x:c r="L122" s="2" t="n">
        <x:f>SUM(IF(E2_diario!J206="adulta",1,0),IF(E2_diario!J248="adulta",1,0),IF(E2_diario!J710="adulta",1,0),IF(E2_diario!J752="adulta",1,0),IF(E2_diario!J1214="adulta",1,0),IF(E2_diario!J1256="adulta",1,0),IF(E2_diario!J1718="adulta",1,0),IF(E2_diario!J1760="adulta",1,0),IF(E2_diario!J2222="adulta",1,0),IF(E2_diario!J2264="adulta",1,0))</x:f>
        <x:v>0</x:v>
      </x:c>
      <x:c r="M122" s="2" t="n">
        <x:f>SUM(E2_diario!L206,E2_diario!L248,E2_diario!L710,E2_diario!L752,E2_diario!L1214,E2_diario!L1256,E2_diario!L1718,E2_diario!L1760,E2_diario!L2222,E2_diario!L2264)</x:f>
        <x:v>0</x:v>
      </x:c>
      <x:c r="N122" s="20" t="n">
        <x:f>G122/F122</x:f>
        <x:v>0</x:v>
      </x:c>
      <x:c r="O122" s="20" t="n">
        <x:f>IF(G122=0,0,M122/G122)</x:f>
        <x:v>0</x:v>
      </x:c>
      <x:c r="P122" s="20" t="n">
        <x:f>N122*O122</x:f>
        <x:v>0</x:v>
      </x:c>
      <x:c r="Q122" s="20" t="n">
        <x:f>H122/F122</x:f>
        <x:v>0</x:v>
      </x:c>
      <x:c r="R122" s="20" t="n">
        <x:f>I122/F122</x:f>
        <x:v>0</x:v>
      </x:c>
      <x:c r="S122" s="20" t="n">
        <x:f>J122/F122</x:f>
        <x:v>0</x:v>
      </x:c>
      <x:c r="T122" s="20" t="n">
        <x:f>K122/F122</x:f>
        <x:v>0</x:v>
      </x:c>
      <x:c r="U122" s="20" t="n">
        <x:f>L122/F122</x:f>
        <x:v>0</x:v>
      </x:c>
      <x:c r="V122" s="20" t="n">
        <x:f>IF(L122=0,0,M122/L122)</x:f>
        <x:v>0</x:v>
      </x:c>
      <x:c r="W122" s="20" t="n">
        <x:f>SUM(P$86:P122)</x:f>
        <x:v>21.799999999999997</x:v>
      </x:c>
      <x:c r="X122" s="2" t="n">
        <x:f>E122+Supuestos!$C$15</x:f>
        <x:v>37</x:v>
      </x:c>
      <x:c r="Y122" s="2" t="n">
        <x:f>F122-G122</x:f>
        <x:v>10</x:v>
      </x:c>
      <x:c r="Z122" s="2" t="str">
        <x:v>simulado_didactico</x:v>
      </x:c>
    </x:row>
    <x:row r="123" ht="19" customHeight="1">
      <x:c r="A123" s="2" t="str">
        <x:v>MP_L7</x:v>
      </x:c>
      <x:c r="B123" s="2" t="str">
        <x:v>MP</x:v>
      </x:c>
      <x:c r="C123" s="2" t="str">
        <x:v>Myzus persicae</x:v>
      </x:c>
      <x:c r="D123" s="2" t="str">
        <x:v>L7</x:v>
      </x:c>
      <x:c r="E123" s="2" t="n">
        <x:v>37</x:v>
      </x:c>
      <x:c r="F123" s="2" t="n">
        <x:f>COUNTA(E2_plantas!A6,E2_plantas!A7,E2_plantas!A18,E2_plantas!A19,E2_plantas!A30,E2_plantas!A31,E2_plantas!A42,E2_plantas!A43,E2_plantas!A54,E2_plantas!A55)</x:f>
        <x:v>10</x:v>
      </x:c>
      <x:c r="G123" s="2" t="n">
        <x:f>SUM(E2_diario!K207,E2_diario!K249,E2_diario!K711,E2_diario!K753,E2_diario!K1215,E2_diario!K1257,E2_diario!K1719,E2_diario!K1761,E2_diario!K2223,E2_diario!K2265)</x:f>
        <x:v>0</x:v>
      </x:c>
      <x:c r="H123" s="2" t="n">
        <x:f>SUM(IF(E2_diario!J207="N1",1,0),IF(E2_diario!J249="N1",1,0),IF(E2_diario!J711="N1",1,0),IF(E2_diario!J753="N1",1,0),IF(E2_diario!J1215="N1",1,0),IF(E2_diario!J1257="N1",1,0),IF(E2_diario!J1719="N1",1,0),IF(E2_diario!J1761="N1",1,0),IF(E2_diario!J2223="N1",1,0),IF(E2_diario!J2265="N1",1,0))</x:f>
        <x:v>0</x:v>
      </x:c>
      <x:c r="I123" s="2" t="n">
        <x:f>SUM(IF(E2_diario!J207="N2",1,0),IF(E2_diario!J249="N2",1,0),IF(E2_diario!J711="N2",1,0),IF(E2_diario!J753="N2",1,0),IF(E2_diario!J1215="N2",1,0),IF(E2_diario!J1257="N2",1,0),IF(E2_diario!J1719="N2",1,0),IF(E2_diario!J1761="N2",1,0),IF(E2_diario!J2223="N2",1,0),IF(E2_diario!J2265="N2",1,0))</x:f>
        <x:v>0</x:v>
      </x:c>
      <x:c r="J123" s="2" t="n">
        <x:f>SUM(IF(E2_diario!J207="N3",1,0),IF(E2_diario!J249="N3",1,0),IF(E2_diario!J711="N3",1,0),IF(E2_diario!J753="N3",1,0),IF(E2_diario!J1215="N3",1,0),IF(E2_diario!J1257="N3",1,0),IF(E2_diario!J1719="N3",1,0),IF(E2_diario!J1761="N3",1,0),IF(E2_diario!J2223="N3",1,0),IF(E2_diario!J2265="N3",1,0))</x:f>
        <x:v>0</x:v>
      </x:c>
      <x:c r="K123" s="2" t="n">
        <x:f>SUM(IF(E2_diario!J207="N4",1,0),IF(E2_diario!J249="N4",1,0),IF(E2_diario!J711="N4",1,0),IF(E2_diario!J753="N4",1,0),IF(E2_diario!J1215="N4",1,0),IF(E2_diario!J1257="N4",1,0),IF(E2_diario!J1719="N4",1,0),IF(E2_diario!J1761="N4",1,0),IF(E2_diario!J2223="N4",1,0),IF(E2_diario!J2265="N4",1,0))</x:f>
        <x:v>0</x:v>
      </x:c>
      <x:c r="L123" s="2" t="n">
        <x:f>SUM(IF(E2_diario!J207="adulta",1,0),IF(E2_diario!J249="adulta",1,0),IF(E2_diario!J711="adulta",1,0),IF(E2_diario!J753="adulta",1,0),IF(E2_diario!J1215="adulta",1,0),IF(E2_diario!J1257="adulta",1,0),IF(E2_diario!J1719="adulta",1,0),IF(E2_diario!J1761="adulta",1,0),IF(E2_diario!J2223="adulta",1,0),IF(E2_diario!J2265="adulta",1,0))</x:f>
        <x:v>0</x:v>
      </x:c>
      <x:c r="M123" s="2" t="n">
        <x:f>SUM(E2_diario!L207,E2_diario!L249,E2_diario!L711,E2_diario!L753,E2_diario!L1215,E2_diario!L1257,E2_diario!L1719,E2_diario!L1761,E2_diario!L2223,E2_diario!L2265)</x:f>
        <x:v>0</x:v>
      </x:c>
      <x:c r="N123" s="20" t="n">
        <x:f>G123/F123</x:f>
        <x:v>0</x:v>
      </x:c>
      <x:c r="O123" s="20" t="n">
        <x:f>IF(G123=0,0,M123/G123)</x:f>
        <x:v>0</x:v>
      </x:c>
      <x:c r="P123" s="20" t="n">
        <x:f>N123*O123</x:f>
        <x:v>0</x:v>
      </x:c>
      <x:c r="Q123" s="20" t="n">
        <x:f>H123/F123</x:f>
        <x:v>0</x:v>
      </x:c>
      <x:c r="R123" s="20" t="n">
        <x:f>I123/F123</x:f>
        <x:v>0</x:v>
      </x:c>
      <x:c r="S123" s="20" t="n">
        <x:f>J123/F123</x:f>
        <x:v>0</x:v>
      </x:c>
      <x:c r="T123" s="20" t="n">
        <x:f>K123/F123</x:f>
        <x:v>0</x:v>
      </x:c>
      <x:c r="U123" s="20" t="n">
        <x:f>L123/F123</x:f>
        <x:v>0</x:v>
      </x:c>
      <x:c r="V123" s="20" t="n">
        <x:f>IF(L123=0,0,M123/L123)</x:f>
        <x:v>0</x:v>
      </x:c>
      <x:c r="W123" s="20" t="n">
        <x:f>SUM(P$86:P123)</x:f>
        <x:v>21.799999999999997</x:v>
      </x:c>
      <x:c r="X123" s="2" t="n">
        <x:f>E123+Supuestos!$C$15</x:f>
        <x:v>38</x:v>
      </x:c>
      <x:c r="Y123" s="2" t="n">
        <x:f>F123-G123</x:f>
        <x:v>10</x:v>
      </x:c>
      <x:c r="Z123" s="2" t="str">
        <x:v>simulado_didactico</x:v>
      </x:c>
    </x:row>
    <x:row r="124" ht="19" customHeight="1">
      <x:c r="A124" s="2" t="str">
        <x:v>MP_L7</x:v>
      </x:c>
      <x:c r="B124" s="2" t="str">
        <x:v>MP</x:v>
      </x:c>
      <x:c r="C124" s="2" t="str">
        <x:v>Myzus persicae</x:v>
      </x:c>
      <x:c r="D124" s="2" t="str">
        <x:v>L7</x:v>
      </x:c>
      <x:c r="E124" s="2" t="n">
        <x:v>38</x:v>
      </x:c>
      <x:c r="F124" s="2" t="n">
        <x:f>COUNTA(E2_plantas!A6,E2_plantas!A7,E2_plantas!A18,E2_plantas!A19,E2_plantas!A30,E2_plantas!A31,E2_plantas!A42,E2_plantas!A43,E2_plantas!A54,E2_plantas!A55)</x:f>
        <x:v>10</x:v>
      </x:c>
      <x:c r="G124" s="2" t="n">
        <x:f>SUM(E2_diario!K208,E2_diario!K250,E2_diario!K712,E2_diario!K754,E2_diario!K1216,E2_diario!K1258,E2_diario!K1720,E2_diario!K1762,E2_diario!K2224,E2_diario!K2266)</x:f>
        <x:v>0</x:v>
      </x:c>
      <x:c r="H124" s="2" t="n">
        <x:f>SUM(IF(E2_diario!J208="N1",1,0),IF(E2_diario!J250="N1",1,0),IF(E2_diario!J712="N1",1,0),IF(E2_diario!J754="N1",1,0),IF(E2_diario!J1216="N1",1,0),IF(E2_diario!J1258="N1",1,0),IF(E2_diario!J1720="N1",1,0),IF(E2_diario!J1762="N1",1,0),IF(E2_diario!J2224="N1",1,0),IF(E2_diario!J2266="N1",1,0))</x:f>
        <x:v>0</x:v>
      </x:c>
      <x:c r="I124" s="2" t="n">
        <x:f>SUM(IF(E2_diario!J208="N2",1,0),IF(E2_diario!J250="N2",1,0),IF(E2_diario!J712="N2",1,0),IF(E2_diario!J754="N2",1,0),IF(E2_diario!J1216="N2",1,0),IF(E2_diario!J1258="N2",1,0),IF(E2_diario!J1720="N2",1,0),IF(E2_diario!J1762="N2",1,0),IF(E2_diario!J2224="N2",1,0),IF(E2_diario!J2266="N2",1,0))</x:f>
        <x:v>0</x:v>
      </x:c>
      <x:c r="J124" s="2" t="n">
        <x:f>SUM(IF(E2_diario!J208="N3",1,0),IF(E2_diario!J250="N3",1,0),IF(E2_diario!J712="N3",1,0),IF(E2_diario!J754="N3",1,0),IF(E2_diario!J1216="N3",1,0),IF(E2_diario!J1258="N3",1,0),IF(E2_diario!J1720="N3",1,0),IF(E2_diario!J1762="N3",1,0),IF(E2_diario!J2224="N3",1,0),IF(E2_diario!J2266="N3",1,0))</x:f>
        <x:v>0</x:v>
      </x:c>
      <x:c r="K124" s="2" t="n">
        <x:f>SUM(IF(E2_diario!J208="N4",1,0),IF(E2_diario!J250="N4",1,0),IF(E2_diario!J712="N4",1,0),IF(E2_diario!J754="N4",1,0),IF(E2_diario!J1216="N4",1,0),IF(E2_diario!J1258="N4",1,0),IF(E2_diario!J1720="N4",1,0),IF(E2_diario!J1762="N4",1,0),IF(E2_diario!J2224="N4",1,0),IF(E2_diario!J2266="N4",1,0))</x:f>
        <x:v>0</x:v>
      </x:c>
      <x:c r="L124" s="2" t="n">
        <x:f>SUM(IF(E2_diario!J208="adulta",1,0),IF(E2_diario!J250="adulta",1,0),IF(E2_diario!J712="adulta",1,0),IF(E2_diario!J754="adulta",1,0),IF(E2_diario!J1216="adulta",1,0),IF(E2_diario!J1258="adulta",1,0),IF(E2_diario!J1720="adulta",1,0),IF(E2_diario!J1762="adulta",1,0),IF(E2_diario!J2224="adulta",1,0),IF(E2_diario!J2266="adulta",1,0))</x:f>
        <x:v>0</x:v>
      </x:c>
      <x:c r="M124" s="2" t="n">
        <x:f>SUM(E2_diario!L208,E2_diario!L250,E2_diario!L712,E2_diario!L754,E2_diario!L1216,E2_diario!L1258,E2_diario!L1720,E2_diario!L1762,E2_diario!L2224,E2_diario!L2266)</x:f>
        <x:v>0</x:v>
      </x:c>
      <x:c r="N124" s="20" t="n">
        <x:f>G124/F124</x:f>
        <x:v>0</x:v>
      </x:c>
      <x:c r="O124" s="20" t="n">
        <x:f>IF(G124=0,0,M124/G124)</x:f>
        <x:v>0</x:v>
      </x:c>
      <x:c r="P124" s="20" t="n">
        <x:f>N124*O124</x:f>
        <x:v>0</x:v>
      </x:c>
      <x:c r="Q124" s="20" t="n">
        <x:f>H124/F124</x:f>
        <x:v>0</x:v>
      </x:c>
      <x:c r="R124" s="20" t="n">
        <x:f>I124/F124</x:f>
        <x:v>0</x:v>
      </x:c>
      <x:c r="S124" s="20" t="n">
        <x:f>J124/F124</x:f>
        <x:v>0</x:v>
      </x:c>
      <x:c r="T124" s="20" t="n">
        <x:f>K124/F124</x:f>
        <x:v>0</x:v>
      </x:c>
      <x:c r="U124" s="20" t="n">
        <x:f>L124/F124</x:f>
        <x:v>0</x:v>
      </x:c>
      <x:c r="V124" s="20" t="n">
        <x:f>IF(L124=0,0,M124/L124)</x:f>
        <x:v>0</x:v>
      </x:c>
      <x:c r="W124" s="20" t="n">
        <x:f>SUM(P$86:P124)</x:f>
        <x:v>21.799999999999997</x:v>
      </x:c>
      <x:c r="X124" s="2" t="n">
        <x:f>E124+Supuestos!$C$15</x:f>
        <x:v>39</x:v>
      </x:c>
      <x:c r="Y124" s="2" t="n">
        <x:f>F124-G124</x:f>
        <x:v>10</x:v>
      </x:c>
      <x:c r="Z124" s="2" t="str">
        <x:v>simulado_didactico</x:v>
      </x:c>
    </x:row>
    <x:row r="125" ht="19" customHeight="1">
      <x:c r="A125" s="2" t="str">
        <x:v>MP_L7</x:v>
      </x:c>
      <x:c r="B125" s="2" t="str">
        <x:v>MP</x:v>
      </x:c>
      <x:c r="C125" s="2" t="str">
        <x:v>Myzus persicae</x:v>
      </x:c>
      <x:c r="D125" s="2" t="str">
        <x:v>L7</x:v>
      </x:c>
      <x:c r="E125" s="2" t="n">
        <x:v>39</x:v>
      </x:c>
      <x:c r="F125" s="2" t="n">
        <x:f>COUNTA(E2_plantas!A6,E2_plantas!A7,E2_plantas!A18,E2_plantas!A19,E2_plantas!A30,E2_plantas!A31,E2_plantas!A42,E2_plantas!A43,E2_plantas!A54,E2_plantas!A55)</x:f>
        <x:v>10</x:v>
      </x:c>
      <x:c r="G125" s="2" t="n">
        <x:f>SUM(E2_diario!K209,E2_diario!K251,E2_diario!K713,E2_diario!K755,E2_diario!K1217,E2_diario!K1259,E2_diario!K1721,E2_diario!K1763,E2_diario!K2225,E2_diario!K2267)</x:f>
        <x:v>0</x:v>
      </x:c>
      <x:c r="H125" s="2" t="n">
        <x:f>SUM(IF(E2_diario!J209="N1",1,0),IF(E2_diario!J251="N1",1,0),IF(E2_diario!J713="N1",1,0),IF(E2_diario!J755="N1",1,0),IF(E2_diario!J1217="N1",1,0),IF(E2_diario!J1259="N1",1,0),IF(E2_diario!J1721="N1",1,0),IF(E2_diario!J1763="N1",1,0),IF(E2_diario!J2225="N1",1,0),IF(E2_diario!J2267="N1",1,0))</x:f>
        <x:v>0</x:v>
      </x:c>
      <x:c r="I125" s="2" t="n">
        <x:f>SUM(IF(E2_diario!J209="N2",1,0),IF(E2_diario!J251="N2",1,0),IF(E2_diario!J713="N2",1,0),IF(E2_diario!J755="N2",1,0),IF(E2_diario!J1217="N2",1,0),IF(E2_diario!J1259="N2",1,0),IF(E2_diario!J1721="N2",1,0),IF(E2_diario!J1763="N2",1,0),IF(E2_diario!J2225="N2",1,0),IF(E2_diario!J2267="N2",1,0))</x:f>
        <x:v>0</x:v>
      </x:c>
      <x:c r="J125" s="2" t="n">
        <x:f>SUM(IF(E2_diario!J209="N3",1,0),IF(E2_diario!J251="N3",1,0),IF(E2_diario!J713="N3",1,0),IF(E2_diario!J755="N3",1,0),IF(E2_diario!J1217="N3",1,0),IF(E2_diario!J1259="N3",1,0),IF(E2_diario!J1721="N3",1,0),IF(E2_diario!J1763="N3",1,0),IF(E2_diario!J2225="N3",1,0),IF(E2_diario!J2267="N3",1,0))</x:f>
        <x:v>0</x:v>
      </x:c>
      <x:c r="K125" s="2" t="n">
        <x:f>SUM(IF(E2_diario!J209="N4",1,0),IF(E2_diario!J251="N4",1,0),IF(E2_diario!J713="N4",1,0),IF(E2_diario!J755="N4",1,0),IF(E2_diario!J1217="N4",1,0),IF(E2_diario!J1259="N4",1,0),IF(E2_diario!J1721="N4",1,0),IF(E2_diario!J1763="N4",1,0),IF(E2_diario!J2225="N4",1,0),IF(E2_diario!J2267="N4",1,0))</x:f>
        <x:v>0</x:v>
      </x:c>
      <x:c r="L125" s="2" t="n">
        <x:f>SUM(IF(E2_diario!J209="adulta",1,0),IF(E2_diario!J251="adulta",1,0),IF(E2_diario!J713="adulta",1,0),IF(E2_diario!J755="adulta",1,0),IF(E2_diario!J1217="adulta",1,0),IF(E2_diario!J1259="adulta",1,0),IF(E2_diario!J1721="adulta",1,0),IF(E2_diario!J1763="adulta",1,0),IF(E2_diario!J2225="adulta",1,0),IF(E2_diario!J2267="adulta",1,0))</x:f>
        <x:v>0</x:v>
      </x:c>
      <x:c r="M125" s="2" t="n">
        <x:f>SUM(E2_diario!L209,E2_diario!L251,E2_diario!L713,E2_diario!L755,E2_diario!L1217,E2_diario!L1259,E2_diario!L1721,E2_diario!L1763,E2_diario!L2225,E2_diario!L2267)</x:f>
        <x:v>0</x:v>
      </x:c>
      <x:c r="N125" s="20" t="n">
        <x:f>G125/F125</x:f>
        <x:v>0</x:v>
      </x:c>
      <x:c r="O125" s="20" t="n">
        <x:f>IF(G125=0,0,M125/G125)</x:f>
        <x:v>0</x:v>
      </x:c>
      <x:c r="P125" s="20" t="n">
        <x:f>N125*O125</x:f>
        <x:v>0</x:v>
      </x:c>
      <x:c r="Q125" s="20" t="n">
        <x:f>H125/F125</x:f>
        <x:v>0</x:v>
      </x:c>
      <x:c r="R125" s="20" t="n">
        <x:f>I125/F125</x:f>
        <x:v>0</x:v>
      </x:c>
      <x:c r="S125" s="20" t="n">
        <x:f>J125/F125</x:f>
        <x:v>0</x:v>
      </x:c>
      <x:c r="T125" s="20" t="n">
        <x:f>K125/F125</x:f>
        <x:v>0</x:v>
      </x:c>
      <x:c r="U125" s="20" t="n">
        <x:f>L125/F125</x:f>
        <x:v>0</x:v>
      </x:c>
      <x:c r="V125" s="20" t="n">
        <x:f>IF(L125=0,0,M125/L125)</x:f>
        <x:v>0</x:v>
      </x:c>
      <x:c r="W125" s="20" t="n">
        <x:f>SUM(P$86:P125)</x:f>
        <x:v>21.799999999999997</x:v>
      </x:c>
      <x:c r="X125" s="2" t="n">
        <x:f>E125+Supuestos!$C$15</x:f>
        <x:v>40</x:v>
      </x:c>
      <x:c r="Y125" s="2" t="n">
        <x:f>F125-G125</x:f>
        <x:v>10</x:v>
      </x:c>
      <x:c r="Z125" s="2" t="str">
        <x:v>simulado_didactico</x:v>
      </x:c>
    </x:row>
    <x:row r="126" ht="19" customHeight="1">
      <x:c r="A126" s="2" t="str">
        <x:v>MP_L7</x:v>
      </x:c>
      <x:c r="B126" s="2" t="str">
        <x:v>MP</x:v>
      </x:c>
      <x:c r="C126" s="2" t="str">
        <x:v>Myzus persicae</x:v>
      </x:c>
      <x:c r="D126" s="2" t="str">
        <x:v>L7</x:v>
      </x:c>
      <x:c r="E126" s="2" t="n">
        <x:v>40</x:v>
      </x:c>
      <x:c r="F126" s="2" t="n">
        <x:f>COUNTA(E2_plantas!A6,E2_plantas!A7,E2_plantas!A18,E2_plantas!A19,E2_plantas!A30,E2_plantas!A31,E2_plantas!A42,E2_plantas!A43,E2_plantas!A54,E2_plantas!A55)</x:f>
        <x:v>10</x:v>
      </x:c>
      <x:c r="G126" s="2" t="n">
        <x:f>SUM(E2_diario!K210,E2_diario!K252,E2_diario!K714,E2_diario!K756,E2_diario!K1218,E2_diario!K1260,E2_diario!K1722,E2_diario!K1764,E2_diario!K2226,E2_diario!K2268)</x:f>
        <x:v>0</x:v>
      </x:c>
      <x:c r="H126" s="2" t="n">
        <x:f>SUM(IF(E2_diario!J210="N1",1,0),IF(E2_diario!J252="N1",1,0),IF(E2_diario!J714="N1",1,0),IF(E2_diario!J756="N1",1,0),IF(E2_diario!J1218="N1",1,0),IF(E2_diario!J1260="N1",1,0),IF(E2_diario!J1722="N1",1,0),IF(E2_diario!J1764="N1",1,0),IF(E2_diario!J2226="N1",1,0),IF(E2_diario!J2268="N1",1,0))</x:f>
        <x:v>0</x:v>
      </x:c>
      <x:c r="I126" s="2" t="n">
        <x:f>SUM(IF(E2_diario!J210="N2",1,0),IF(E2_diario!J252="N2",1,0),IF(E2_diario!J714="N2",1,0),IF(E2_diario!J756="N2",1,0),IF(E2_diario!J1218="N2",1,0),IF(E2_diario!J1260="N2",1,0),IF(E2_diario!J1722="N2",1,0),IF(E2_diario!J1764="N2",1,0),IF(E2_diario!J2226="N2",1,0),IF(E2_diario!J2268="N2",1,0))</x:f>
        <x:v>0</x:v>
      </x:c>
      <x:c r="J126" s="2" t="n">
        <x:f>SUM(IF(E2_diario!J210="N3",1,0),IF(E2_diario!J252="N3",1,0),IF(E2_diario!J714="N3",1,0),IF(E2_diario!J756="N3",1,0),IF(E2_diario!J1218="N3",1,0),IF(E2_diario!J1260="N3",1,0),IF(E2_diario!J1722="N3",1,0),IF(E2_diario!J1764="N3",1,0),IF(E2_diario!J2226="N3",1,0),IF(E2_diario!J2268="N3",1,0))</x:f>
        <x:v>0</x:v>
      </x:c>
      <x:c r="K126" s="2" t="n">
        <x:f>SUM(IF(E2_diario!J210="N4",1,0),IF(E2_diario!J252="N4",1,0),IF(E2_diario!J714="N4",1,0),IF(E2_diario!J756="N4",1,0),IF(E2_diario!J1218="N4",1,0),IF(E2_diario!J1260="N4",1,0),IF(E2_diario!J1722="N4",1,0),IF(E2_diario!J1764="N4",1,0),IF(E2_diario!J2226="N4",1,0),IF(E2_diario!J2268="N4",1,0))</x:f>
        <x:v>0</x:v>
      </x:c>
      <x:c r="L126" s="2" t="n">
        <x:f>SUM(IF(E2_diario!J210="adulta",1,0),IF(E2_diario!J252="adulta",1,0),IF(E2_diario!J714="adulta",1,0),IF(E2_diario!J756="adulta",1,0),IF(E2_diario!J1218="adulta",1,0),IF(E2_diario!J1260="adulta",1,0),IF(E2_diario!J1722="adulta",1,0),IF(E2_diario!J1764="adulta",1,0),IF(E2_diario!J2226="adulta",1,0),IF(E2_diario!J2268="adulta",1,0))</x:f>
        <x:v>0</x:v>
      </x:c>
      <x:c r="M126" s="2" t="n">
        <x:f>SUM(E2_diario!L210,E2_diario!L252,E2_diario!L714,E2_diario!L756,E2_diario!L1218,E2_diario!L1260,E2_diario!L1722,E2_diario!L1764,E2_diario!L2226,E2_diario!L2268)</x:f>
        <x:v>0</x:v>
      </x:c>
      <x:c r="N126" s="20" t="n">
        <x:f>G126/F126</x:f>
        <x:v>0</x:v>
      </x:c>
      <x:c r="O126" s="20" t="n">
        <x:f>IF(G126=0,0,M126/G126)</x:f>
        <x:v>0</x:v>
      </x:c>
      <x:c r="P126" s="20" t="n">
        <x:f>N126*O126</x:f>
        <x:v>0</x:v>
      </x:c>
      <x:c r="Q126" s="20" t="n">
        <x:f>H126/F126</x:f>
        <x:v>0</x:v>
      </x:c>
      <x:c r="R126" s="20" t="n">
        <x:f>I126/F126</x:f>
        <x:v>0</x:v>
      </x:c>
      <x:c r="S126" s="20" t="n">
        <x:f>J126/F126</x:f>
        <x:v>0</x:v>
      </x:c>
      <x:c r="T126" s="20" t="n">
        <x:f>K126/F126</x:f>
        <x:v>0</x:v>
      </x:c>
      <x:c r="U126" s="20" t="n">
        <x:f>L126/F126</x:f>
        <x:v>0</x:v>
      </x:c>
      <x:c r="V126" s="20" t="n">
        <x:f>IF(L126=0,0,M126/L126)</x:f>
        <x:v>0</x:v>
      </x:c>
      <x:c r="W126" s="20" t="n">
        <x:f>SUM(P$86:P126)</x:f>
        <x:v>21.799999999999997</x:v>
      </x:c>
      <x:c r="X126" s="2" t="n">
        <x:f>E126+Supuestos!$C$15</x:f>
        <x:v>41</x:v>
      </x:c>
      <x:c r="Y126" s="2" t="n">
        <x:f>F126-G126</x:f>
        <x:v>10</x:v>
      </x:c>
      <x:c r="Z126" s="2" t="str">
        <x:v>simulado_didactico</x:v>
      </x:c>
    </x:row>
    <x:row r="127" ht="19" customHeight="1">
      <x:c r="A127" s="2" t="str">
        <x:v>MP_L7</x:v>
      </x:c>
      <x:c r="B127" s="2" t="str">
        <x:v>MP</x:v>
      </x:c>
      <x:c r="C127" s="2" t="str">
        <x:v>Myzus persicae</x:v>
      </x:c>
      <x:c r="D127" s="2" t="str">
        <x:v>L7</x:v>
      </x:c>
      <x:c r="E127" s="2" t="n">
        <x:v>41</x:v>
      </x:c>
      <x:c r="F127" s="2" t="n">
        <x:f>COUNTA(E2_plantas!A6,E2_plantas!A7,E2_plantas!A18,E2_plantas!A19,E2_plantas!A30,E2_plantas!A31,E2_plantas!A42,E2_plantas!A43,E2_plantas!A54,E2_plantas!A55)</x:f>
        <x:v>10</x:v>
      </x:c>
      <x:c r="G127" s="2" t="n">
        <x:f>SUM(E2_diario!K211,E2_diario!K253,E2_diario!K715,E2_diario!K757,E2_diario!K1219,E2_diario!K1261,E2_diario!K1723,E2_diario!K1765,E2_diario!K2227,E2_diario!K2269)</x:f>
        <x:v>0</x:v>
      </x:c>
      <x:c r="H127" s="2" t="n">
        <x:f>SUM(IF(E2_diario!J211="N1",1,0),IF(E2_diario!J253="N1",1,0),IF(E2_diario!J715="N1",1,0),IF(E2_diario!J757="N1",1,0),IF(E2_diario!J1219="N1",1,0),IF(E2_diario!J1261="N1",1,0),IF(E2_diario!J1723="N1",1,0),IF(E2_diario!J1765="N1",1,0),IF(E2_diario!J2227="N1",1,0),IF(E2_diario!J2269="N1",1,0))</x:f>
        <x:v>0</x:v>
      </x:c>
      <x:c r="I127" s="2" t="n">
        <x:f>SUM(IF(E2_diario!J211="N2",1,0),IF(E2_diario!J253="N2",1,0),IF(E2_diario!J715="N2",1,0),IF(E2_diario!J757="N2",1,0),IF(E2_diario!J1219="N2",1,0),IF(E2_diario!J1261="N2",1,0),IF(E2_diario!J1723="N2",1,0),IF(E2_diario!J1765="N2",1,0),IF(E2_diario!J2227="N2",1,0),IF(E2_diario!J2269="N2",1,0))</x:f>
        <x:v>0</x:v>
      </x:c>
      <x:c r="J127" s="2" t="n">
        <x:f>SUM(IF(E2_diario!J211="N3",1,0),IF(E2_diario!J253="N3",1,0),IF(E2_diario!J715="N3",1,0),IF(E2_diario!J757="N3",1,0),IF(E2_diario!J1219="N3",1,0),IF(E2_diario!J1261="N3",1,0),IF(E2_diario!J1723="N3",1,0),IF(E2_diario!J1765="N3",1,0),IF(E2_diario!J2227="N3",1,0),IF(E2_diario!J2269="N3",1,0))</x:f>
        <x:v>0</x:v>
      </x:c>
      <x:c r="K127" s="2" t="n">
        <x:f>SUM(IF(E2_diario!J211="N4",1,0),IF(E2_diario!J253="N4",1,0),IF(E2_diario!J715="N4",1,0),IF(E2_diario!J757="N4",1,0),IF(E2_diario!J1219="N4",1,0),IF(E2_diario!J1261="N4",1,0),IF(E2_diario!J1723="N4",1,0),IF(E2_diario!J1765="N4",1,0),IF(E2_diario!J2227="N4",1,0),IF(E2_diario!J2269="N4",1,0))</x:f>
        <x:v>0</x:v>
      </x:c>
      <x:c r="L127" s="2" t="n">
        <x:f>SUM(IF(E2_diario!J211="adulta",1,0),IF(E2_diario!J253="adulta",1,0),IF(E2_diario!J715="adulta",1,0),IF(E2_diario!J757="adulta",1,0),IF(E2_diario!J1219="adulta",1,0),IF(E2_diario!J1261="adulta",1,0),IF(E2_diario!J1723="adulta",1,0),IF(E2_diario!J1765="adulta",1,0),IF(E2_diario!J2227="adulta",1,0),IF(E2_diario!J2269="adulta",1,0))</x:f>
        <x:v>0</x:v>
      </x:c>
      <x:c r="M127" s="2" t="n">
        <x:f>SUM(E2_diario!L211,E2_diario!L253,E2_diario!L715,E2_diario!L757,E2_diario!L1219,E2_diario!L1261,E2_diario!L1723,E2_diario!L1765,E2_diario!L2227,E2_diario!L2269)</x:f>
        <x:v>0</x:v>
      </x:c>
      <x:c r="N127" s="20" t="n">
        <x:f>G127/F127</x:f>
        <x:v>0</x:v>
      </x:c>
      <x:c r="O127" s="20" t="n">
        <x:f>IF(G127=0,0,M127/G127)</x:f>
        <x:v>0</x:v>
      </x:c>
      <x:c r="P127" s="20" t="n">
        <x:f>N127*O127</x:f>
        <x:v>0</x:v>
      </x:c>
      <x:c r="Q127" s="20" t="n">
        <x:f>H127/F127</x:f>
        <x:v>0</x:v>
      </x:c>
      <x:c r="R127" s="20" t="n">
        <x:f>I127/F127</x:f>
        <x:v>0</x:v>
      </x:c>
      <x:c r="S127" s="20" t="n">
        <x:f>J127/F127</x:f>
        <x:v>0</x:v>
      </x:c>
      <x:c r="T127" s="20" t="n">
        <x:f>K127/F127</x:f>
        <x:v>0</x:v>
      </x:c>
      <x:c r="U127" s="20" t="n">
        <x:f>L127/F127</x:f>
        <x:v>0</x:v>
      </x:c>
      <x:c r="V127" s="20" t="n">
        <x:f>IF(L127=0,0,M127/L127)</x:f>
        <x:v>0</x:v>
      </x:c>
      <x:c r="W127" s="20" t="n">
        <x:f>SUM(P$86:P127)</x:f>
        <x:v>21.799999999999997</x:v>
      </x:c>
      <x:c r="X127" s="2" t="n">
        <x:f>E127+Supuestos!$C$15</x:f>
        <x:v>42</x:v>
      </x:c>
      <x:c r="Y127" s="2" t="n">
        <x:f>F127-G127</x:f>
        <x:v>10</x:v>
      </x:c>
      <x:c r="Z127" s="2" t="str">
        <x:v>simulado_didactico</x:v>
      </x:c>
    </x:row>
    <x:row r="128" ht="19" customHeight="1">
      <x:c r="A128" s="2" t="str">
        <x:v>BB_L0</x:v>
      </x:c>
      <x:c r="B128" s="2" t="str">
        <x:v>BB</x:v>
      </x:c>
      <x:c r="C128" s="2" t="str">
        <x:v>Brevicoryne brassicae</x:v>
      </x:c>
      <x:c r="D128" s="2" t="str">
        <x:v>L0</x:v>
      </x:c>
      <x:c r="E128" s="2" t="n">
        <x:v>0</x:v>
      </x:c>
      <x:c r="F128" s="2" t="n">
        <x:f>COUNTA(E2_plantas!A8,E2_plantas!A9,E2_plantas!A20,E2_plantas!A21,E2_plantas!A32,E2_plantas!A33,E2_plantas!A44,E2_plantas!A45,E2_plantas!A56,E2_plantas!A57)</x:f>
        <x:v>10</x:v>
      </x:c>
      <x:c r="G128" s="2" t="n">
        <x:f>SUM(E2_diario!K254,E2_diario!K296,E2_diario!K758,E2_diario!K800,E2_diario!K1262,E2_diario!K1304,E2_diario!K1766,E2_diario!K1808,E2_diario!K2270,E2_diario!K2312)</x:f>
        <x:v>10</x:v>
      </x:c>
      <x:c r="H128" s="2" t="n">
        <x:f>SUM(IF(E2_diario!J254="N1",1,0),IF(E2_diario!J296="N1",1,0),IF(E2_diario!J758="N1",1,0),IF(E2_diario!J800="N1",1,0),IF(E2_diario!J1262="N1",1,0),IF(E2_diario!J1304="N1",1,0),IF(E2_diario!J1766="N1",1,0),IF(E2_diario!J1808="N1",1,0),IF(E2_diario!J2270="N1",1,0),IF(E2_diario!J2312="N1",1,0))</x:f>
        <x:v>10</x:v>
      </x:c>
      <x:c r="I128" s="2" t="n">
        <x:f>SUM(IF(E2_diario!J254="N2",1,0),IF(E2_diario!J296="N2",1,0),IF(E2_diario!J758="N2",1,0),IF(E2_diario!J800="N2",1,0),IF(E2_diario!J1262="N2",1,0),IF(E2_diario!J1304="N2",1,0),IF(E2_diario!J1766="N2",1,0),IF(E2_diario!J1808="N2",1,0),IF(E2_diario!J2270="N2",1,0),IF(E2_diario!J2312="N2",1,0))</x:f>
        <x:v>0</x:v>
      </x:c>
      <x:c r="J128" s="2" t="n">
        <x:f>SUM(IF(E2_diario!J254="N3",1,0),IF(E2_diario!J296="N3",1,0),IF(E2_diario!J758="N3",1,0),IF(E2_diario!J800="N3",1,0),IF(E2_diario!J1262="N3",1,0),IF(E2_diario!J1304="N3",1,0),IF(E2_diario!J1766="N3",1,0),IF(E2_diario!J1808="N3",1,0),IF(E2_diario!J2270="N3",1,0),IF(E2_diario!J2312="N3",1,0))</x:f>
        <x:v>0</x:v>
      </x:c>
      <x:c r="K128" s="2" t="n">
        <x:f>SUM(IF(E2_diario!J254="N4",1,0),IF(E2_diario!J296="N4",1,0),IF(E2_diario!J758="N4",1,0),IF(E2_diario!J800="N4",1,0),IF(E2_diario!J1262="N4",1,0),IF(E2_diario!J1304="N4",1,0),IF(E2_diario!J1766="N4",1,0),IF(E2_diario!J1808="N4",1,0),IF(E2_diario!J2270="N4",1,0),IF(E2_diario!J2312="N4",1,0))</x:f>
        <x:v>0</x:v>
      </x:c>
      <x:c r="L128" s="2" t="n">
        <x:f>SUM(IF(E2_diario!J254="adulta",1,0),IF(E2_diario!J296="adulta",1,0),IF(E2_diario!J758="adulta",1,0),IF(E2_diario!J800="adulta",1,0),IF(E2_diario!J1262="adulta",1,0),IF(E2_diario!J1304="adulta",1,0),IF(E2_diario!J1766="adulta",1,0),IF(E2_diario!J1808="adulta",1,0),IF(E2_diario!J2270="adulta",1,0),IF(E2_diario!J2312="adulta",1,0))</x:f>
        <x:v>0</x:v>
      </x:c>
      <x:c r="M128" s="2" t="n">
        <x:f>SUM(E2_diario!L254,E2_diario!L296,E2_diario!L758,E2_diario!L800,E2_diario!L1262,E2_diario!L1304,E2_diario!L1766,E2_diario!L1808,E2_diario!L2270,E2_diario!L2312)</x:f>
        <x:v>0</x:v>
      </x:c>
      <x:c r="N128" s="20" t="n">
        <x:f>G128/F128</x:f>
        <x:v>1</x:v>
      </x:c>
      <x:c r="O128" s="20" t="n">
        <x:f>IF(G128=0,0,M128/G128)</x:f>
        <x:v>0</x:v>
      </x:c>
      <x:c r="P128" s="20" t="n">
        <x:f>N128*O128</x:f>
        <x:v>0</x:v>
      </x:c>
      <x:c r="Q128" s="20" t="n">
        <x:f>H128/F128</x:f>
        <x:v>1</x:v>
      </x:c>
      <x:c r="R128" s="20" t="n">
        <x:f>I128/F128</x:f>
        <x:v>0</x:v>
      </x:c>
      <x:c r="S128" s="20" t="n">
        <x:f>J128/F128</x:f>
        <x:v>0</x:v>
      </x:c>
      <x:c r="T128" s="20" t="n">
        <x:f>K128/F128</x:f>
        <x:v>0</x:v>
      </x:c>
      <x:c r="U128" s="20" t="n">
        <x:f>L128/F128</x:f>
        <x:v>0</x:v>
      </x:c>
      <x:c r="V128" s="20" t="n">
        <x:f>IF(L128=0,0,M128/L128)</x:f>
        <x:v>0</x:v>
      </x:c>
      <x:c r="W128" s="20" t="n">
        <x:f>SUM(P$128:P128)</x:f>
        <x:v>0</x:v>
      </x:c>
      <x:c r="X128" s="2" t="n">
        <x:f>E128+Supuestos!$C$15</x:f>
        <x:v>1</x:v>
      </x:c>
      <x:c r="Y128" s="2" t="n">
        <x:f>F128-G128</x:f>
        <x:v>0</x:v>
      </x:c>
      <x:c r="Z128" s="2" t="str">
        <x:v>simulado_didactico</x:v>
      </x:c>
    </x:row>
    <x:row r="129" ht="19" customHeight="1">
      <x:c r="A129" s="2" t="str">
        <x:v>BB_L0</x:v>
      </x:c>
      <x:c r="B129" s="2" t="str">
        <x:v>BB</x:v>
      </x:c>
      <x:c r="C129" s="2" t="str">
        <x:v>Brevicoryne brassicae</x:v>
      </x:c>
      <x:c r="D129" s="2" t="str">
        <x:v>L0</x:v>
      </x:c>
      <x:c r="E129" s="2" t="n">
        <x:v>1</x:v>
      </x:c>
      <x:c r="F129" s="2" t="n">
        <x:f>COUNTA(E2_plantas!A8,E2_plantas!A9,E2_plantas!A20,E2_plantas!A21,E2_plantas!A32,E2_plantas!A33,E2_plantas!A44,E2_plantas!A45,E2_plantas!A56,E2_plantas!A57)</x:f>
        <x:v>10</x:v>
      </x:c>
      <x:c r="G129" s="2" t="n">
        <x:f>SUM(E2_diario!K255,E2_diario!K297,E2_diario!K759,E2_diario!K801,E2_diario!K1263,E2_diario!K1305,E2_diario!K1767,E2_diario!K1809,E2_diario!K2271,E2_diario!K2313)</x:f>
        <x:v>10</x:v>
      </x:c>
      <x:c r="H129" s="2" t="n">
        <x:f>SUM(IF(E2_diario!J255="N1",1,0),IF(E2_diario!J297="N1",1,0),IF(E2_diario!J759="N1",1,0),IF(E2_diario!J801="N1",1,0),IF(E2_diario!J1263="N1",1,0),IF(E2_diario!J1305="N1",1,0),IF(E2_diario!J1767="N1",1,0),IF(E2_diario!J1809="N1",1,0),IF(E2_diario!J2271="N1",1,0),IF(E2_diario!J2313="N1",1,0))</x:f>
        <x:v>5</x:v>
      </x:c>
      <x:c r="I129" s="2" t="n">
        <x:f>SUM(IF(E2_diario!J255="N2",1,0),IF(E2_diario!J297="N2",1,0),IF(E2_diario!J759="N2",1,0),IF(E2_diario!J801="N2",1,0),IF(E2_diario!J1263="N2",1,0),IF(E2_diario!J1305="N2",1,0),IF(E2_diario!J1767="N2",1,0),IF(E2_diario!J1809="N2",1,0),IF(E2_diario!J2271="N2",1,0),IF(E2_diario!J2313="N2",1,0))</x:f>
        <x:v>5</x:v>
      </x:c>
      <x:c r="J129" s="2" t="n">
        <x:f>SUM(IF(E2_diario!J255="N3",1,0),IF(E2_diario!J297="N3",1,0),IF(E2_diario!J759="N3",1,0),IF(E2_diario!J801="N3",1,0),IF(E2_diario!J1263="N3",1,0),IF(E2_diario!J1305="N3",1,0),IF(E2_diario!J1767="N3",1,0),IF(E2_diario!J1809="N3",1,0),IF(E2_diario!J2271="N3",1,0),IF(E2_diario!J2313="N3",1,0))</x:f>
        <x:v>0</x:v>
      </x:c>
      <x:c r="K129" s="2" t="n">
        <x:f>SUM(IF(E2_diario!J255="N4",1,0),IF(E2_diario!J297="N4",1,0),IF(E2_diario!J759="N4",1,0),IF(E2_diario!J801="N4",1,0),IF(E2_diario!J1263="N4",1,0),IF(E2_diario!J1305="N4",1,0),IF(E2_diario!J1767="N4",1,0),IF(E2_diario!J1809="N4",1,0),IF(E2_diario!J2271="N4",1,0),IF(E2_diario!J2313="N4",1,0))</x:f>
        <x:v>0</x:v>
      </x:c>
      <x:c r="L129" s="2" t="n">
        <x:f>SUM(IF(E2_diario!J255="adulta",1,0),IF(E2_diario!J297="adulta",1,0),IF(E2_diario!J759="adulta",1,0),IF(E2_diario!J801="adulta",1,0),IF(E2_diario!J1263="adulta",1,0),IF(E2_diario!J1305="adulta",1,0),IF(E2_diario!J1767="adulta",1,0),IF(E2_diario!J1809="adulta",1,0),IF(E2_diario!J2271="adulta",1,0),IF(E2_diario!J2313="adulta",1,0))</x:f>
        <x:v>0</x:v>
      </x:c>
      <x:c r="M129" s="2" t="n">
        <x:f>SUM(E2_diario!L255,E2_diario!L297,E2_diario!L759,E2_diario!L801,E2_diario!L1263,E2_diario!L1305,E2_diario!L1767,E2_diario!L1809,E2_diario!L2271,E2_diario!L2313)</x:f>
        <x:v>0</x:v>
      </x:c>
      <x:c r="N129" s="20" t="n">
        <x:f>G129/F129</x:f>
        <x:v>1</x:v>
      </x:c>
      <x:c r="O129" s="20" t="n">
        <x:f>IF(G129=0,0,M129/G129)</x:f>
        <x:v>0</x:v>
      </x:c>
      <x:c r="P129" s="20" t="n">
        <x:f>N129*O129</x:f>
        <x:v>0</x:v>
      </x:c>
      <x:c r="Q129" s="20" t="n">
        <x:f>H129/F129</x:f>
        <x:v>0.5</x:v>
      </x:c>
      <x:c r="R129" s="20" t="n">
        <x:f>I129/F129</x:f>
        <x:v>0.5</x:v>
      </x:c>
      <x:c r="S129" s="20" t="n">
        <x:f>J129/F129</x:f>
        <x:v>0</x:v>
      </x:c>
      <x:c r="T129" s="20" t="n">
        <x:f>K129/F129</x:f>
        <x:v>0</x:v>
      </x:c>
      <x:c r="U129" s="20" t="n">
        <x:f>L129/F129</x:f>
        <x:v>0</x:v>
      </x:c>
      <x:c r="V129" s="20" t="n">
        <x:f>IF(L129=0,0,M129/L129)</x:f>
        <x:v>0</x:v>
      </x:c>
      <x:c r="W129" s="20" t="n">
        <x:f>SUM(P$128:P129)</x:f>
        <x:v>0</x:v>
      </x:c>
      <x:c r="X129" s="2" t="n">
        <x:f>E129+Supuestos!$C$15</x:f>
        <x:v>2</x:v>
      </x:c>
      <x:c r="Y129" s="2" t="n">
        <x:f>F129-G129</x:f>
        <x:v>0</x:v>
      </x:c>
      <x:c r="Z129" s="2" t="str">
        <x:v>simulado_didactico</x:v>
      </x:c>
    </x:row>
    <x:row r="130" ht="19" customHeight="1">
      <x:c r="A130" s="2" t="str">
        <x:v>BB_L0</x:v>
      </x:c>
      <x:c r="B130" s="2" t="str">
        <x:v>BB</x:v>
      </x:c>
      <x:c r="C130" s="2" t="str">
        <x:v>Brevicoryne brassicae</x:v>
      </x:c>
      <x:c r="D130" s="2" t="str">
        <x:v>L0</x:v>
      </x:c>
      <x:c r="E130" s="2" t="n">
        <x:v>2</x:v>
      </x:c>
      <x:c r="F130" s="2" t="n">
        <x:f>COUNTA(E2_plantas!A8,E2_plantas!A9,E2_plantas!A20,E2_plantas!A21,E2_plantas!A32,E2_plantas!A33,E2_plantas!A44,E2_plantas!A45,E2_plantas!A56,E2_plantas!A57)</x:f>
        <x:v>10</x:v>
      </x:c>
      <x:c r="G130" s="2" t="n">
        <x:f>SUM(E2_diario!K256,E2_diario!K298,E2_diario!K760,E2_diario!K802,E2_diario!K1264,E2_diario!K1306,E2_diario!K1768,E2_diario!K1810,E2_diario!K2272,E2_diario!K2314)</x:f>
        <x:v>10</x:v>
      </x:c>
      <x:c r="H130" s="2" t="n">
        <x:f>SUM(IF(E2_diario!J256="N1",1,0),IF(E2_diario!J298="N1",1,0),IF(E2_diario!J760="N1",1,0),IF(E2_diario!J802="N1",1,0),IF(E2_diario!J1264="N1",1,0),IF(E2_diario!J1306="N1",1,0),IF(E2_diario!J1768="N1",1,0),IF(E2_diario!J1810="N1",1,0),IF(E2_diario!J2272="N1",1,0),IF(E2_diario!J2314="N1",1,0))</x:f>
        <x:v>2</x:v>
      </x:c>
      <x:c r="I130" s="2" t="n">
        <x:f>SUM(IF(E2_diario!J256="N2",1,0),IF(E2_diario!J298="N2",1,0),IF(E2_diario!J760="N2",1,0),IF(E2_diario!J802="N2",1,0),IF(E2_diario!J1264="N2",1,0),IF(E2_diario!J1306="N2",1,0),IF(E2_diario!J1768="N2",1,0),IF(E2_diario!J1810="N2",1,0),IF(E2_diario!J2272="N2",1,0),IF(E2_diario!J2314="N2",1,0))</x:f>
        <x:v>6</x:v>
      </x:c>
      <x:c r="J130" s="2" t="n">
        <x:f>SUM(IF(E2_diario!J256="N3",1,0),IF(E2_diario!J298="N3",1,0),IF(E2_diario!J760="N3",1,0),IF(E2_diario!J802="N3",1,0),IF(E2_diario!J1264="N3",1,0),IF(E2_diario!J1306="N3",1,0),IF(E2_diario!J1768="N3",1,0),IF(E2_diario!J1810="N3",1,0),IF(E2_diario!J2272="N3",1,0),IF(E2_diario!J2314="N3",1,0))</x:f>
        <x:v>2</x:v>
      </x:c>
      <x:c r="K130" s="2" t="n">
        <x:f>SUM(IF(E2_diario!J256="N4",1,0),IF(E2_diario!J298="N4",1,0),IF(E2_diario!J760="N4",1,0),IF(E2_diario!J802="N4",1,0),IF(E2_diario!J1264="N4",1,0),IF(E2_diario!J1306="N4",1,0),IF(E2_diario!J1768="N4",1,0),IF(E2_diario!J1810="N4",1,0),IF(E2_diario!J2272="N4",1,0),IF(E2_diario!J2314="N4",1,0))</x:f>
        <x:v>0</x:v>
      </x:c>
      <x:c r="L130" s="2" t="n">
        <x:f>SUM(IF(E2_diario!J256="adulta",1,0),IF(E2_diario!J298="adulta",1,0),IF(E2_diario!J760="adulta",1,0),IF(E2_diario!J802="adulta",1,0),IF(E2_diario!J1264="adulta",1,0),IF(E2_diario!J1306="adulta",1,0),IF(E2_diario!J1768="adulta",1,0),IF(E2_diario!J1810="adulta",1,0),IF(E2_diario!J2272="adulta",1,0),IF(E2_diario!J2314="adulta",1,0))</x:f>
        <x:v>0</x:v>
      </x:c>
      <x:c r="M130" s="2" t="n">
        <x:f>SUM(E2_diario!L256,E2_diario!L298,E2_diario!L760,E2_diario!L802,E2_diario!L1264,E2_diario!L1306,E2_diario!L1768,E2_diario!L1810,E2_diario!L2272,E2_diario!L2314)</x:f>
        <x:v>0</x:v>
      </x:c>
      <x:c r="N130" s="20" t="n">
        <x:f>G130/F130</x:f>
        <x:v>1</x:v>
      </x:c>
      <x:c r="O130" s="20" t="n">
        <x:f>IF(G130=0,0,M130/G130)</x:f>
        <x:v>0</x:v>
      </x:c>
      <x:c r="P130" s="20" t="n">
        <x:f>N130*O130</x:f>
        <x:v>0</x:v>
      </x:c>
      <x:c r="Q130" s="20" t="n">
        <x:f>H130/F130</x:f>
        <x:v>0.2</x:v>
      </x:c>
      <x:c r="R130" s="20" t="n">
        <x:f>I130/F130</x:f>
        <x:v>0.6</x:v>
      </x:c>
      <x:c r="S130" s="20" t="n">
        <x:f>J130/F130</x:f>
        <x:v>0.2</x:v>
      </x:c>
      <x:c r="T130" s="20" t="n">
        <x:f>K130/F130</x:f>
        <x:v>0</x:v>
      </x:c>
      <x:c r="U130" s="20" t="n">
        <x:f>L130/F130</x:f>
        <x:v>0</x:v>
      </x:c>
      <x:c r="V130" s="20" t="n">
        <x:f>IF(L130=0,0,M130/L130)</x:f>
        <x:v>0</x:v>
      </x:c>
      <x:c r="W130" s="20" t="n">
        <x:f>SUM(P$128:P130)</x:f>
        <x:v>0</x:v>
      </x:c>
      <x:c r="X130" s="2" t="n">
        <x:f>E130+Supuestos!$C$15</x:f>
        <x:v>3</x:v>
      </x:c>
      <x:c r="Y130" s="2" t="n">
        <x:f>F130-G130</x:f>
        <x:v>0</x:v>
      </x:c>
      <x:c r="Z130" s="2" t="str">
        <x:v>simulado_didactico</x:v>
      </x:c>
    </x:row>
    <x:row r="131" ht="19" customHeight="1">
      <x:c r="A131" s="2" t="str">
        <x:v>BB_L0</x:v>
      </x:c>
      <x:c r="B131" s="2" t="str">
        <x:v>BB</x:v>
      </x:c>
      <x:c r="C131" s="2" t="str">
        <x:v>Brevicoryne brassicae</x:v>
      </x:c>
      <x:c r="D131" s="2" t="str">
        <x:v>L0</x:v>
      </x:c>
      <x:c r="E131" s="2" t="n">
        <x:v>3</x:v>
      </x:c>
      <x:c r="F131" s="2" t="n">
        <x:f>COUNTA(E2_plantas!A8,E2_plantas!A9,E2_plantas!A20,E2_plantas!A21,E2_plantas!A32,E2_plantas!A33,E2_plantas!A44,E2_plantas!A45,E2_plantas!A56,E2_plantas!A57)</x:f>
        <x:v>10</x:v>
      </x:c>
      <x:c r="G131" s="2" t="n">
        <x:f>SUM(E2_diario!K257,E2_diario!K299,E2_diario!K761,E2_diario!K803,E2_diario!K1265,E2_diario!K1307,E2_diario!K1769,E2_diario!K1811,E2_diario!K2273,E2_diario!K2315)</x:f>
        <x:v>10</x:v>
      </x:c>
      <x:c r="H131" s="2" t="n">
        <x:f>SUM(IF(E2_diario!J257="N1",1,0),IF(E2_diario!J299="N1",1,0),IF(E2_diario!J761="N1",1,0),IF(E2_diario!J803="N1",1,0),IF(E2_diario!J1265="N1",1,0),IF(E2_diario!J1307="N1",1,0),IF(E2_diario!J1769="N1",1,0),IF(E2_diario!J1811="N1",1,0),IF(E2_diario!J2273="N1",1,0),IF(E2_diario!J2315="N1",1,0))</x:f>
        <x:v>1</x:v>
      </x:c>
      <x:c r="I131" s="2" t="n">
        <x:f>SUM(IF(E2_diario!J257="N2",1,0),IF(E2_diario!J299="N2",1,0),IF(E2_diario!J761="N2",1,0),IF(E2_diario!J803="N2",1,0),IF(E2_diario!J1265="N2",1,0),IF(E2_diario!J1307="N2",1,0),IF(E2_diario!J1769="N2",1,0),IF(E2_diario!J1811="N2",1,0),IF(E2_diario!J2273="N2",1,0),IF(E2_diario!J2315="N2",1,0))</x:f>
        <x:v>5</x:v>
      </x:c>
      <x:c r="J131" s="2" t="n">
        <x:f>SUM(IF(E2_diario!J257="N3",1,0),IF(E2_diario!J299="N3",1,0),IF(E2_diario!J761="N3",1,0),IF(E2_diario!J803="N3",1,0),IF(E2_diario!J1265="N3",1,0),IF(E2_diario!J1307="N3",1,0),IF(E2_diario!J1769="N3",1,0),IF(E2_diario!J1811="N3",1,0),IF(E2_diario!J2273="N3",1,0),IF(E2_diario!J2315="N3",1,0))</x:f>
        <x:v>4</x:v>
      </x:c>
      <x:c r="K131" s="2" t="n">
        <x:f>SUM(IF(E2_diario!J257="N4",1,0),IF(E2_diario!J299="N4",1,0),IF(E2_diario!J761="N4",1,0),IF(E2_diario!J803="N4",1,0),IF(E2_diario!J1265="N4",1,0),IF(E2_diario!J1307="N4",1,0),IF(E2_diario!J1769="N4",1,0),IF(E2_diario!J1811="N4",1,0),IF(E2_diario!J2273="N4",1,0),IF(E2_diario!J2315="N4",1,0))</x:f>
        <x:v>0</x:v>
      </x:c>
      <x:c r="L131" s="2" t="n">
        <x:f>SUM(IF(E2_diario!J257="adulta",1,0),IF(E2_diario!J299="adulta",1,0),IF(E2_diario!J761="adulta",1,0),IF(E2_diario!J803="adulta",1,0),IF(E2_diario!J1265="adulta",1,0),IF(E2_diario!J1307="adulta",1,0),IF(E2_diario!J1769="adulta",1,0),IF(E2_diario!J1811="adulta",1,0),IF(E2_diario!J2273="adulta",1,0),IF(E2_diario!J2315="adulta",1,0))</x:f>
        <x:v>0</x:v>
      </x:c>
      <x:c r="M131" s="2" t="n">
        <x:f>SUM(E2_diario!L257,E2_diario!L299,E2_diario!L761,E2_diario!L803,E2_diario!L1265,E2_diario!L1307,E2_diario!L1769,E2_diario!L1811,E2_diario!L2273,E2_diario!L2315)</x:f>
        <x:v>0</x:v>
      </x:c>
      <x:c r="N131" s="20" t="n">
        <x:f>G131/F131</x:f>
        <x:v>1</x:v>
      </x:c>
      <x:c r="O131" s="20" t="n">
        <x:f>IF(G131=0,0,M131/G131)</x:f>
        <x:v>0</x:v>
      </x:c>
      <x:c r="P131" s="20" t="n">
        <x:f>N131*O131</x:f>
        <x:v>0</x:v>
      </x:c>
      <x:c r="Q131" s="20" t="n">
        <x:f>H131/F131</x:f>
        <x:v>0.1</x:v>
      </x:c>
      <x:c r="R131" s="20" t="n">
        <x:f>I131/F131</x:f>
        <x:v>0.5</x:v>
      </x:c>
      <x:c r="S131" s="20" t="n">
        <x:f>J131/F131</x:f>
        <x:v>0.4</x:v>
      </x:c>
      <x:c r="T131" s="20" t="n">
        <x:f>K131/F131</x:f>
        <x:v>0</x:v>
      </x:c>
      <x:c r="U131" s="20" t="n">
        <x:f>L131/F131</x:f>
        <x:v>0</x:v>
      </x:c>
      <x:c r="V131" s="20" t="n">
        <x:f>IF(L131=0,0,M131/L131)</x:f>
        <x:v>0</x:v>
      </x:c>
      <x:c r="W131" s="20" t="n">
        <x:f>SUM(P$128:P131)</x:f>
        <x:v>0</x:v>
      </x:c>
      <x:c r="X131" s="2" t="n">
        <x:f>E131+Supuestos!$C$15</x:f>
        <x:v>4</x:v>
      </x:c>
      <x:c r="Y131" s="2" t="n">
        <x:f>F131-G131</x:f>
        <x:v>0</x:v>
      </x:c>
      <x:c r="Z131" s="2" t="str">
        <x:v>simulado_didactico</x:v>
      </x:c>
    </x:row>
    <x:row r="132" ht="19" customHeight="1">
      <x:c r="A132" s="2" t="str">
        <x:v>BB_L0</x:v>
      </x:c>
      <x:c r="B132" s="2" t="str">
        <x:v>BB</x:v>
      </x:c>
      <x:c r="C132" s="2" t="str">
        <x:v>Brevicoryne brassicae</x:v>
      </x:c>
      <x:c r="D132" s="2" t="str">
        <x:v>L0</x:v>
      </x:c>
      <x:c r="E132" s="2" t="n">
        <x:v>4</x:v>
      </x:c>
      <x:c r="F132" s="2" t="n">
        <x:f>COUNTA(E2_plantas!A8,E2_plantas!A9,E2_plantas!A20,E2_plantas!A21,E2_plantas!A32,E2_plantas!A33,E2_plantas!A44,E2_plantas!A45,E2_plantas!A56,E2_plantas!A57)</x:f>
        <x:v>10</x:v>
      </x:c>
      <x:c r="G132" s="2" t="n">
        <x:f>SUM(E2_diario!K258,E2_diario!K300,E2_diario!K762,E2_diario!K804,E2_diario!K1266,E2_diario!K1308,E2_diario!K1770,E2_diario!K1812,E2_diario!K2274,E2_diario!K2316)</x:f>
        <x:v>10</x:v>
      </x:c>
      <x:c r="H132" s="2" t="n">
        <x:f>SUM(IF(E2_diario!J258="N1",1,0),IF(E2_diario!J300="N1",1,0),IF(E2_diario!J762="N1",1,0),IF(E2_diario!J804="N1",1,0),IF(E2_diario!J1266="N1",1,0),IF(E2_diario!J1308="N1",1,0),IF(E2_diario!J1770="N1",1,0),IF(E2_diario!J1812="N1",1,0),IF(E2_diario!J2274="N1",1,0),IF(E2_diario!J2316="N1",1,0))</x:f>
        <x:v>0</x:v>
      </x:c>
      <x:c r="I132" s="2" t="n">
        <x:f>SUM(IF(E2_diario!J258="N2",1,0),IF(E2_diario!J300="N2",1,0),IF(E2_diario!J762="N2",1,0),IF(E2_diario!J804="N2",1,0),IF(E2_diario!J1266="N2",1,0),IF(E2_diario!J1308="N2",1,0),IF(E2_diario!J1770="N2",1,0),IF(E2_diario!J1812="N2",1,0),IF(E2_diario!J2274="N2",1,0),IF(E2_diario!J2316="N2",1,0))</x:f>
        <x:v>3</x:v>
      </x:c>
      <x:c r="J132" s="2" t="n">
        <x:f>SUM(IF(E2_diario!J258="N3",1,0),IF(E2_diario!J300="N3",1,0),IF(E2_diario!J762="N3",1,0),IF(E2_diario!J804="N3",1,0),IF(E2_diario!J1266="N3",1,0),IF(E2_diario!J1308="N3",1,0),IF(E2_diario!J1770="N3",1,0),IF(E2_diario!J1812="N3",1,0),IF(E2_diario!J2274="N3",1,0),IF(E2_diario!J2316="N3",1,0))</x:f>
        <x:v>6</x:v>
      </x:c>
      <x:c r="K132" s="2" t="n">
        <x:f>SUM(IF(E2_diario!J258="N4",1,0),IF(E2_diario!J300="N4",1,0),IF(E2_diario!J762="N4",1,0),IF(E2_diario!J804="N4",1,0),IF(E2_diario!J1266="N4",1,0),IF(E2_diario!J1308="N4",1,0),IF(E2_diario!J1770="N4",1,0),IF(E2_diario!J1812="N4",1,0),IF(E2_diario!J2274="N4",1,0),IF(E2_diario!J2316="N4",1,0))</x:f>
        <x:v>1</x:v>
      </x:c>
      <x:c r="L132" s="2" t="n">
        <x:f>SUM(IF(E2_diario!J258="adulta",1,0),IF(E2_diario!J300="adulta",1,0),IF(E2_diario!J762="adulta",1,0),IF(E2_diario!J804="adulta",1,0),IF(E2_diario!J1266="adulta",1,0),IF(E2_diario!J1308="adulta",1,0),IF(E2_diario!J1770="adulta",1,0),IF(E2_diario!J1812="adulta",1,0),IF(E2_diario!J2274="adulta",1,0),IF(E2_diario!J2316="adulta",1,0))</x:f>
        <x:v>0</x:v>
      </x:c>
      <x:c r="M132" s="2" t="n">
        <x:f>SUM(E2_diario!L258,E2_diario!L300,E2_diario!L762,E2_diario!L804,E2_diario!L1266,E2_diario!L1308,E2_diario!L1770,E2_diario!L1812,E2_diario!L2274,E2_diario!L2316)</x:f>
        <x:v>0</x:v>
      </x:c>
      <x:c r="N132" s="20" t="n">
        <x:f>G132/F132</x:f>
        <x:v>1</x:v>
      </x:c>
      <x:c r="O132" s="20" t="n">
        <x:f>IF(G132=0,0,M132/G132)</x:f>
        <x:v>0</x:v>
      </x:c>
      <x:c r="P132" s="20" t="n">
        <x:f>N132*O132</x:f>
        <x:v>0</x:v>
      </x:c>
      <x:c r="Q132" s="20" t="n">
        <x:f>H132/F132</x:f>
        <x:v>0</x:v>
      </x:c>
      <x:c r="R132" s="20" t="n">
        <x:f>I132/F132</x:f>
        <x:v>0.3</x:v>
      </x:c>
      <x:c r="S132" s="20" t="n">
        <x:f>J132/F132</x:f>
        <x:v>0.6</x:v>
      </x:c>
      <x:c r="T132" s="20" t="n">
        <x:f>K132/F132</x:f>
        <x:v>0.1</x:v>
      </x:c>
      <x:c r="U132" s="20" t="n">
        <x:f>L132/F132</x:f>
        <x:v>0</x:v>
      </x:c>
      <x:c r="V132" s="20" t="n">
        <x:f>IF(L132=0,0,M132/L132)</x:f>
        <x:v>0</x:v>
      </x:c>
      <x:c r="W132" s="20" t="n">
        <x:f>SUM(P$128:P132)</x:f>
        <x:v>0</x:v>
      </x:c>
      <x:c r="X132" s="2" t="n">
        <x:f>E132+Supuestos!$C$15</x:f>
        <x:v>5</x:v>
      </x:c>
      <x:c r="Y132" s="2" t="n">
        <x:f>F132-G132</x:f>
        <x:v>0</x:v>
      </x:c>
      <x:c r="Z132" s="2" t="str">
        <x:v>simulado_didactico</x:v>
      </x:c>
    </x:row>
    <x:row r="133" ht="19" customHeight="1">
      <x:c r="A133" s="2" t="str">
        <x:v>BB_L0</x:v>
      </x:c>
      <x:c r="B133" s="2" t="str">
        <x:v>BB</x:v>
      </x:c>
      <x:c r="C133" s="2" t="str">
        <x:v>Brevicoryne brassicae</x:v>
      </x:c>
      <x:c r="D133" s="2" t="str">
        <x:v>L0</x:v>
      </x:c>
      <x:c r="E133" s="2" t="n">
        <x:v>5</x:v>
      </x:c>
      <x:c r="F133" s="2" t="n">
        <x:f>COUNTA(E2_plantas!A8,E2_plantas!A9,E2_plantas!A20,E2_plantas!A21,E2_plantas!A32,E2_plantas!A33,E2_plantas!A44,E2_plantas!A45,E2_plantas!A56,E2_plantas!A57)</x:f>
        <x:v>10</x:v>
      </x:c>
      <x:c r="G133" s="2" t="n">
        <x:f>SUM(E2_diario!K259,E2_diario!K301,E2_diario!K763,E2_diario!K805,E2_diario!K1267,E2_diario!K1309,E2_diario!K1771,E2_diario!K1813,E2_diario!K2275,E2_diario!K2317)</x:f>
        <x:v>9</x:v>
      </x:c>
      <x:c r="H133" s="2" t="n">
        <x:f>SUM(IF(E2_diario!J259="N1",1,0),IF(E2_diario!J301="N1",1,0),IF(E2_diario!J763="N1",1,0),IF(E2_diario!J805="N1",1,0),IF(E2_diario!J1267="N1",1,0),IF(E2_diario!J1309="N1",1,0),IF(E2_diario!J1771="N1",1,0),IF(E2_diario!J1813="N1",1,0),IF(E2_diario!J2275="N1",1,0),IF(E2_diario!J2317="N1",1,0))</x:f>
        <x:v>0</x:v>
      </x:c>
      <x:c r="I133" s="2" t="n">
        <x:f>SUM(IF(E2_diario!J259="N2",1,0),IF(E2_diario!J301="N2",1,0),IF(E2_diario!J763="N2",1,0),IF(E2_diario!J805="N2",1,0),IF(E2_diario!J1267="N2",1,0),IF(E2_diario!J1309="N2",1,0),IF(E2_diario!J1771="N2",1,0),IF(E2_diario!J1813="N2",1,0),IF(E2_diario!J2275="N2",1,0),IF(E2_diario!J2317="N2",1,0))</x:f>
        <x:v>1</x:v>
      </x:c>
      <x:c r="J133" s="2" t="n">
        <x:f>SUM(IF(E2_diario!J259="N3",1,0),IF(E2_diario!J301="N3",1,0),IF(E2_diario!J763="N3",1,0),IF(E2_diario!J805="N3",1,0),IF(E2_diario!J1267="N3",1,0),IF(E2_diario!J1309="N3",1,0),IF(E2_diario!J1771="N3",1,0),IF(E2_diario!J1813="N3",1,0),IF(E2_diario!J2275="N3",1,0),IF(E2_diario!J2317="N3",1,0))</x:f>
        <x:v>4</x:v>
      </x:c>
      <x:c r="K133" s="2" t="n">
        <x:f>SUM(IF(E2_diario!J259="N4",1,0),IF(E2_diario!J301="N4",1,0),IF(E2_diario!J763="N4",1,0),IF(E2_diario!J805="N4",1,0),IF(E2_diario!J1267="N4",1,0),IF(E2_diario!J1309="N4",1,0),IF(E2_diario!J1771="N4",1,0),IF(E2_diario!J1813="N4",1,0),IF(E2_diario!J2275="N4",1,0),IF(E2_diario!J2317="N4",1,0))</x:f>
        <x:v>4</x:v>
      </x:c>
      <x:c r="L133" s="2" t="n">
        <x:f>SUM(IF(E2_diario!J259="adulta",1,0),IF(E2_diario!J301="adulta",1,0),IF(E2_diario!J763="adulta",1,0),IF(E2_diario!J805="adulta",1,0),IF(E2_diario!J1267="adulta",1,0),IF(E2_diario!J1309="adulta",1,0),IF(E2_diario!J1771="adulta",1,0),IF(E2_diario!J1813="adulta",1,0),IF(E2_diario!J2275="adulta",1,0),IF(E2_diario!J2317="adulta",1,0))</x:f>
        <x:v>0</x:v>
      </x:c>
      <x:c r="M133" s="2" t="n">
        <x:f>SUM(E2_diario!L259,E2_diario!L301,E2_diario!L763,E2_diario!L805,E2_diario!L1267,E2_diario!L1309,E2_diario!L1771,E2_diario!L1813,E2_diario!L2275,E2_diario!L2317)</x:f>
        <x:v>0</x:v>
      </x:c>
      <x:c r="N133" s="20" t="n">
        <x:f>G133/F133</x:f>
        <x:v>0.9</x:v>
      </x:c>
      <x:c r="O133" s="20" t="n">
        <x:f>IF(G133=0,0,M133/G133)</x:f>
        <x:v>0</x:v>
      </x:c>
      <x:c r="P133" s="20" t="n">
        <x:f>N133*O133</x:f>
        <x:v>0</x:v>
      </x:c>
      <x:c r="Q133" s="20" t="n">
        <x:f>H133/F133</x:f>
        <x:v>0</x:v>
      </x:c>
      <x:c r="R133" s="20" t="n">
        <x:f>I133/F133</x:f>
        <x:v>0.1</x:v>
      </x:c>
      <x:c r="S133" s="20" t="n">
        <x:f>J133/F133</x:f>
        <x:v>0.4</x:v>
      </x:c>
      <x:c r="T133" s="20" t="n">
        <x:f>K133/F133</x:f>
        <x:v>0.4</x:v>
      </x:c>
      <x:c r="U133" s="20" t="n">
        <x:f>L133/F133</x:f>
        <x:v>0</x:v>
      </x:c>
      <x:c r="V133" s="20" t="n">
        <x:f>IF(L133=0,0,M133/L133)</x:f>
        <x:v>0</x:v>
      </x:c>
      <x:c r="W133" s="20" t="n">
        <x:f>SUM(P$128:P133)</x:f>
        <x:v>0</x:v>
      </x:c>
      <x:c r="X133" s="2" t="n">
        <x:f>E133+Supuestos!$C$15</x:f>
        <x:v>6</x:v>
      </x:c>
      <x:c r="Y133" s="2" t="n">
        <x:f>F133-G133</x:f>
        <x:v>1</x:v>
      </x:c>
      <x:c r="Z133" s="2" t="str">
        <x:v>simulado_didactico</x:v>
      </x:c>
    </x:row>
    <x:row r="134" ht="19" customHeight="1">
      <x:c r="A134" s="2" t="str">
        <x:v>BB_L0</x:v>
      </x:c>
      <x:c r="B134" s="2" t="str">
        <x:v>BB</x:v>
      </x:c>
      <x:c r="C134" s="2" t="str">
        <x:v>Brevicoryne brassicae</x:v>
      </x:c>
      <x:c r="D134" s="2" t="str">
        <x:v>L0</x:v>
      </x:c>
      <x:c r="E134" s="2" t="n">
        <x:v>6</x:v>
      </x:c>
      <x:c r="F134" s="2" t="n">
        <x:f>COUNTA(E2_plantas!A8,E2_plantas!A9,E2_plantas!A20,E2_plantas!A21,E2_plantas!A32,E2_plantas!A33,E2_plantas!A44,E2_plantas!A45,E2_plantas!A56,E2_plantas!A57)</x:f>
        <x:v>10</x:v>
      </x:c>
      <x:c r="G134" s="2" t="n">
        <x:f>SUM(E2_diario!K260,E2_diario!K302,E2_diario!K764,E2_diario!K806,E2_diario!K1268,E2_diario!K1310,E2_diario!K1772,E2_diario!K1814,E2_diario!K2276,E2_diario!K2318)</x:f>
        <x:v>8</x:v>
      </x:c>
      <x:c r="H134" s="2" t="n">
        <x:f>SUM(IF(E2_diario!J260="N1",1,0),IF(E2_diario!J302="N1",1,0),IF(E2_diario!J764="N1",1,0),IF(E2_diario!J806="N1",1,0),IF(E2_diario!J1268="N1",1,0),IF(E2_diario!J1310="N1",1,0),IF(E2_diario!J1772="N1",1,0),IF(E2_diario!J1814="N1",1,0),IF(E2_diario!J2276="N1",1,0),IF(E2_diario!J2318="N1",1,0))</x:f>
        <x:v>0</x:v>
      </x:c>
      <x:c r="I134" s="2" t="n">
        <x:f>SUM(IF(E2_diario!J260="N2",1,0),IF(E2_diario!J302="N2",1,0),IF(E2_diario!J764="N2",1,0),IF(E2_diario!J806="N2",1,0),IF(E2_diario!J1268="N2",1,0),IF(E2_diario!J1310="N2",1,0),IF(E2_diario!J1772="N2",1,0),IF(E2_diario!J1814="N2",1,0),IF(E2_diario!J2276="N2",1,0),IF(E2_diario!J2318="N2",1,0))</x:f>
        <x:v>0</x:v>
      </x:c>
      <x:c r="J134" s="2" t="n">
        <x:f>SUM(IF(E2_diario!J260="N3",1,0),IF(E2_diario!J302="N3",1,0),IF(E2_diario!J764="N3",1,0),IF(E2_diario!J806="N3",1,0),IF(E2_diario!J1268="N3",1,0),IF(E2_diario!J1310="N3",1,0),IF(E2_diario!J1772="N3",1,0),IF(E2_diario!J1814="N3",1,0),IF(E2_diario!J2276="N3",1,0),IF(E2_diario!J2318="N3",1,0))</x:f>
        <x:v>2</x:v>
      </x:c>
      <x:c r="K134" s="2" t="n">
        <x:f>SUM(IF(E2_diario!J260="N4",1,0),IF(E2_diario!J302="N4",1,0),IF(E2_diario!J764="N4",1,0),IF(E2_diario!J806="N4",1,0),IF(E2_diario!J1268="N4",1,0),IF(E2_diario!J1310="N4",1,0),IF(E2_diario!J1772="N4",1,0),IF(E2_diario!J1814="N4",1,0),IF(E2_diario!J2276="N4",1,0),IF(E2_diario!J2318="N4",1,0))</x:f>
        <x:v>5</x:v>
      </x:c>
      <x:c r="L134" s="2" t="n">
        <x:f>SUM(IF(E2_diario!J260="adulta",1,0),IF(E2_diario!J302="adulta",1,0),IF(E2_diario!J764="adulta",1,0),IF(E2_diario!J806="adulta",1,0),IF(E2_diario!J1268="adulta",1,0),IF(E2_diario!J1310="adulta",1,0),IF(E2_diario!J1772="adulta",1,0),IF(E2_diario!J1814="adulta",1,0),IF(E2_diario!J2276="adulta",1,0),IF(E2_diario!J2318="adulta",1,0))</x:f>
        <x:v>1</x:v>
      </x:c>
      <x:c r="M134" s="2" t="n">
        <x:f>SUM(E2_diario!L260,E2_diario!L302,E2_diario!L764,E2_diario!L806,E2_diario!L1268,E2_diario!L1310,E2_diario!L1772,E2_diario!L1814,E2_diario!L2276,E2_diario!L2318)</x:f>
        <x:v>0</x:v>
      </x:c>
      <x:c r="N134" s="20" t="n">
        <x:f>G134/F134</x:f>
        <x:v>0.8</x:v>
      </x:c>
      <x:c r="O134" s="20" t="n">
        <x:f>IF(G134=0,0,M134/G134)</x:f>
        <x:v>0</x:v>
      </x:c>
      <x:c r="P134" s="20" t="n">
        <x:f>N134*O134</x:f>
        <x:v>0</x:v>
      </x:c>
      <x:c r="Q134" s="20" t="n">
        <x:f>H134/F134</x:f>
        <x:v>0</x:v>
      </x:c>
      <x:c r="R134" s="20" t="n">
        <x:f>I134/F134</x:f>
        <x:v>0</x:v>
      </x:c>
      <x:c r="S134" s="20" t="n">
        <x:f>J134/F134</x:f>
        <x:v>0.2</x:v>
      </x:c>
      <x:c r="T134" s="20" t="n">
        <x:f>K134/F134</x:f>
        <x:v>0.5</x:v>
      </x:c>
      <x:c r="U134" s="20" t="n">
        <x:f>L134/F134</x:f>
        <x:v>0.1</x:v>
      </x:c>
      <x:c r="V134" s="20" t="n">
        <x:f>IF(L134=0,0,M134/L134)</x:f>
        <x:v>0</x:v>
      </x:c>
      <x:c r="W134" s="20" t="n">
        <x:f>SUM(P$128:P134)</x:f>
        <x:v>0</x:v>
      </x:c>
      <x:c r="X134" s="2" t="n">
        <x:f>E134+Supuestos!$C$15</x:f>
        <x:v>7</x:v>
      </x:c>
      <x:c r="Y134" s="2" t="n">
        <x:f>F134-G134</x:f>
        <x:v>2</x:v>
      </x:c>
      <x:c r="Z134" s="2" t="str">
        <x:v>simulado_didactico</x:v>
      </x:c>
    </x:row>
    <x:row r="135" ht="19" customHeight="1">
      <x:c r="A135" s="2" t="str">
        <x:v>BB_L0</x:v>
      </x:c>
      <x:c r="B135" s="2" t="str">
        <x:v>BB</x:v>
      </x:c>
      <x:c r="C135" s="2" t="str">
        <x:v>Brevicoryne brassicae</x:v>
      </x:c>
      <x:c r="D135" s="2" t="str">
        <x:v>L0</x:v>
      </x:c>
      <x:c r="E135" s="2" t="n">
        <x:v>7</x:v>
      </x:c>
      <x:c r="F135" s="2" t="n">
        <x:f>COUNTA(E2_plantas!A8,E2_plantas!A9,E2_plantas!A20,E2_plantas!A21,E2_plantas!A32,E2_plantas!A33,E2_plantas!A44,E2_plantas!A45,E2_plantas!A56,E2_plantas!A57)</x:f>
        <x:v>10</x:v>
      </x:c>
      <x:c r="G135" s="2" t="n">
        <x:f>SUM(E2_diario!K261,E2_diario!K303,E2_diario!K765,E2_diario!K807,E2_diario!K1269,E2_diario!K1311,E2_diario!K1773,E2_diario!K1815,E2_diario!K2277,E2_diario!K2319)</x:f>
        <x:v>8</x:v>
      </x:c>
      <x:c r="H135" s="2" t="n">
        <x:f>SUM(IF(E2_diario!J261="N1",1,0),IF(E2_diario!J303="N1",1,0),IF(E2_diario!J765="N1",1,0),IF(E2_diario!J807="N1",1,0),IF(E2_diario!J1269="N1",1,0),IF(E2_diario!J1311="N1",1,0),IF(E2_diario!J1773="N1",1,0),IF(E2_diario!J1815="N1",1,0),IF(E2_diario!J2277="N1",1,0),IF(E2_diario!J2319="N1",1,0))</x:f>
        <x:v>0</x:v>
      </x:c>
      <x:c r="I135" s="2" t="n">
        <x:f>SUM(IF(E2_diario!J261="N2",1,0),IF(E2_diario!J303="N2",1,0),IF(E2_diario!J765="N2",1,0),IF(E2_diario!J807="N2",1,0),IF(E2_diario!J1269="N2",1,0),IF(E2_diario!J1311="N2",1,0),IF(E2_diario!J1773="N2",1,0),IF(E2_diario!J1815="N2",1,0),IF(E2_diario!J2277="N2",1,0),IF(E2_diario!J2319="N2",1,0))</x:f>
        <x:v>0</x:v>
      </x:c>
      <x:c r="J135" s="2" t="n">
        <x:f>SUM(IF(E2_diario!J261="N3",1,0),IF(E2_diario!J303="N3",1,0),IF(E2_diario!J765="N3",1,0),IF(E2_diario!J807="N3",1,0),IF(E2_diario!J1269="N3",1,0),IF(E2_diario!J1311="N3",1,0),IF(E2_diario!J1773="N3",1,0),IF(E2_diario!J1815="N3",1,0),IF(E2_diario!J2277="N3",1,0),IF(E2_diario!J2319="N3",1,0))</x:f>
        <x:v>1</x:v>
      </x:c>
      <x:c r="K135" s="2" t="n">
        <x:f>SUM(IF(E2_diario!J261="N4",1,0),IF(E2_diario!J303="N4",1,0),IF(E2_diario!J765="N4",1,0),IF(E2_diario!J807="N4",1,0),IF(E2_diario!J1269="N4",1,0),IF(E2_diario!J1311="N4",1,0),IF(E2_diario!J1773="N4",1,0),IF(E2_diario!J1815="N4",1,0),IF(E2_diario!J2277="N4",1,0),IF(E2_diario!J2319="N4",1,0))</x:f>
        <x:v>3</x:v>
      </x:c>
      <x:c r="L135" s="2" t="n">
        <x:f>SUM(IF(E2_diario!J261="adulta",1,0),IF(E2_diario!J303="adulta",1,0),IF(E2_diario!J765="adulta",1,0),IF(E2_diario!J807="adulta",1,0),IF(E2_diario!J1269="adulta",1,0),IF(E2_diario!J1311="adulta",1,0),IF(E2_diario!J1773="adulta",1,0),IF(E2_diario!J1815="adulta",1,0),IF(E2_diario!J2277="adulta",1,0),IF(E2_diario!J2319="adulta",1,0))</x:f>
        <x:v>4</x:v>
      </x:c>
      <x:c r="M135" s="2" t="n">
        <x:f>SUM(E2_diario!L261,E2_diario!L303,E2_diario!L765,E2_diario!L807,E2_diario!L1269,E2_diario!L1311,E2_diario!L1773,E2_diario!L1815,E2_diario!L2277,E2_diario!L2319)</x:f>
        <x:v>5</x:v>
      </x:c>
      <x:c r="N135" s="20" t="n">
        <x:f>G135/F135</x:f>
        <x:v>0.8</x:v>
      </x:c>
      <x:c r="O135" s="20" t="n">
        <x:f>IF(G135=0,0,M135/G135)</x:f>
        <x:v>0.625</x:v>
      </x:c>
      <x:c r="P135" s="20" t="n">
        <x:f>N135*O135</x:f>
        <x:v>0.5</x:v>
      </x:c>
      <x:c r="Q135" s="20" t="n">
        <x:f>H135/F135</x:f>
        <x:v>0</x:v>
      </x:c>
      <x:c r="R135" s="20" t="n">
        <x:f>I135/F135</x:f>
        <x:v>0</x:v>
      </x:c>
      <x:c r="S135" s="20" t="n">
        <x:f>J135/F135</x:f>
        <x:v>0.1</x:v>
      </x:c>
      <x:c r="T135" s="20" t="n">
        <x:f>K135/F135</x:f>
        <x:v>0.3</x:v>
      </x:c>
      <x:c r="U135" s="20" t="n">
        <x:f>L135/F135</x:f>
        <x:v>0.4</x:v>
      </x:c>
      <x:c r="V135" s="20" t="n">
        <x:f>IF(L135=0,0,M135/L135)</x:f>
        <x:v>1.25</x:v>
      </x:c>
      <x:c r="W135" s="20" t="n">
        <x:f>SUM(P$128:P135)</x:f>
        <x:v>0.5</x:v>
      </x:c>
      <x:c r="X135" s="2" t="n">
        <x:f>E135+Supuestos!$C$15</x:f>
        <x:v>8</x:v>
      </x:c>
      <x:c r="Y135" s="2" t="n">
        <x:f>F135-G135</x:f>
        <x:v>2</x:v>
      </x:c>
      <x:c r="Z135" s="2" t="str">
        <x:v>simulado_didactico</x:v>
      </x:c>
    </x:row>
    <x:row r="136" ht="19" customHeight="1">
      <x:c r="A136" s="2" t="str">
        <x:v>BB_L0</x:v>
      </x:c>
      <x:c r="B136" s="2" t="str">
        <x:v>BB</x:v>
      </x:c>
      <x:c r="C136" s="2" t="str">
        <x:v>Brevicoryne brassicae</x:v>
      </x:c>
      <x:c r="D136" s="2" t="str">
        <x:v>L0</x:v>
      </x:c>
      <x:c r="E136" s="2" t="n">
        <x:v>8</x:v>
      </x:c>
      <x:c r="F136" s="2" t="n">
        <x:f>COUNTA(E2_plantas!A8,E2_plantas!A9,E2_plantas!A20,E2_plantas!A21,E2_plantas!A32,E2_plantas!A33,E2_plantas!A44,E2_plantas!A45,E2_plantas!A56,E2_plantas!A57)</x:f>
        <x:v>10</x:v>
      </x:c>
      <x:c r="G136" s="2" t="n">
        <x:f>SUM(E2_diario!K262,E2_diario!K304,E2_diario!K766,E2_diario!K808,E2_diario!K1270,E2_diario!K1312,E2_diario!K1774,E2_diario!K1816,E2_diario!K2278,E2_diario!K2320)</x:f>
        <x:v>8</x:v>
      </x:c>
      <x:c r="H136" s="2" t="n">
        <x:f>SUM(IF(E2_diario!J262="N1",1,0),IF(E2_diario!J304="N1",1,0),IF(E2_diario!J766="N1",1,0),IF(E2_diario!J808="N1",1,0),IF(E2_diario!J1270="N1",1,0),IF(E2_diario!J1312="N1",1,0),IF(E2_diario!J1774="N1",1,0),IF(E2_diario!J1816="N1",1,0),IF(E2_diario!J2278="N1",1,0),IF(E2_diario!J2320="N1",1,0))</x:f>
        <x:v>0</x:v>
      </x:c>
      <x:c r="I136" s="2" t="n">
        <x:f>SUM(IF(E2_diario!J262="N2",1,0),IF(E2_diario!J304="N2",1,0),IF(E2_diario!J766="N2",1,0),IF(E2_diario!J808="N2",1,0),IF(E2_diario!J1270="N2",1,0),IF(E2_diario!J1312="N2",1,0),IF(E2_diario!J1774="N2",1,0),IF(E2_diario!J1816="N2",1,0),IF(E2_diario!J2278="N2",1,0),IF(E2_diario!J2320="N2",1,0))</x:f>
        <x:v>0</x:v>
      </x:c>
      <x:c r="J136" s="2" t="n">
        <x:f>SUM(IF(E2_diario!J262="N3",1,0),IF(E2_diario!J304="N3",1,0),IF(E2_diario!J766="N3",1,0),IF(E2_diario!J808="N3",1,0),IF(E2_diario!J1270="N3",1,0),IF(E2_diario!J1312="N3",1,0),IF(E2_diario!J1774="N3",1,0),IF(E2_diario!J1816="N3",1,0),IF(E2_diario!J2278="N3",1,0),IF(E2_diario!J2320="N3",1,0))</x:f>
        <x:v>0</x:v>
      </x:c>
      <x:c r="K136" s="2" t="n">
        <x:f>SUM(IF(E2_diario!J262="N4",1,0),IF(E2_diario!J304="N4",1,0),IF(E2_diario!J766="N4",1,0),IF(E2_diario!J808="N4",1,0),IF(E2_diario!J1270="N4",1,0),IF(E2_diario!J1312="N4",1,0),IF(E2_diario!J1774="N4",1,0),IF(E2_diario!J1816="N4",1,0),IF(E2_diario!J2278="N4",1,0),IF(E2_diario!J2320="N4",1,0))</x:f>
        <x:v>1</x:v>
      </x:c>
      <x:c r="L136" s="2" t="n">
        <x:f>SUM(IF(E2_diario!J262="adulta",1,0),IF(E2_diario!J304="adulta",1,0),IF(E2_diario!J766="adulta",1,0),IF(E2_diario!J808="adulta",1,0),IF(E2_diario!J1270="adulta",1,0),IF(E2_diario!J1312="adulta",1,0),IF(E2_diario!J1774="adulta",1,0),IF(E2_diario!J1816="adulta",1,0),IF(E2_diario!J2278="adulta",1,0),IF(E2_diario!J2320="adulta",1,0))</x:f>
        <x:v>7</x:v>
      </x:c>
      <x:c r="M136" s="2" t="n">
        <x:f>SUM(E2_diario!L262,E2_diario!L304,E2_diario!L766,E2_diario!L808,E2_diario!L1270,E2_diario!L1312,E2_diario!L1774,E2_diario!L1816,E2_diario!L2278,E2_diario!L2320)</x:f>
        <x:v>12</x:v>
      </x:c>
      <x:c r="N136" s="20" t="n">
        <x:f>G136/F136</x:f>
        <x:v>0.8</x:v>
      </x:c>
      <x:c r="O136" s="20" t="n">
        <x:f>IF(G136=0,0,M136/G136)</x:f>
        <x:v>1.5</x:v>
      </x:c>
      <x:c r="P136" s="20" t="n">
        <x:f>N136*O136</x:f>
        <x:v>1.2000000000000002</x:v>
      </x:c>
      <x:c r="Q136" s="20" t="n">
        <x:f>H136/F136</x:f>
        <x:v>0</x:v>
      </x:c>
      <x:c r="R136" s="20" t="n">
        <x:f>I136/F136</x:f>
        <x:v>0</x:v>
      </x:c>
      <x:c r="S136" s="20" t="n">
        <x:f>J136/F136</x:f>
        <x:v>0</x:v>
      </x:c>
      <x:c r="T136" s="20" t="n">
        <x:f>K136/F136</x:f>
        <x:v>0.1</x:v>
      </x:c>
      <x:c r="U136" s="20" t="n">
        <x:f>L136/F136</x:f>
        <x:v>0.7</x:v>
      </x:c>
      <x:c r="V136" s="20" t="n">
        <x:f>IF(L136=0,0,M136/L136)</x:f>
        <x:v>1.7142857142857142</x:v>
      </x:c>
      <x:c r="W136" s="20" t="n">
        <x:f>SUM(P$128:P136)</x:f>
        <x:v>1.7000000000000002</x:v>
      </x:c>
      <x:c r="X136" s="2" t="n">
        <x:f>E136+Supuestos!$C$15</x:f>
        <x:v>9</x:v>
      </x:c>
      <x:c r="Y136" s="2" t="n">
        <x:f>F136-G136</x:f>
        <x:v>2</x:v>
      </x:c>
      <x:c r="Z136" s="2" t="str">
        <x:v>simulado_didactico</x:v>
      </x:c>
    </x:row>
    <x:row r="137" ht="19" customHeight="1">
      <x:c r="A137" s="2" t="str">
        <x:v>BB_L0</x:v>
      </x:c>
      <x:c r="B137" s="2" t="str">
        <x:v>BB</x:v>
      </x:c>
      <x:c r="C137" s="2" t="str">
        <x:v>Brevicoryne brassicae</x:v>
      </x:c>
      <x:c r="D137" s="2" t="str">
        <x:v>L0</x:v>
      </x:c>
      <x:c r="E137" s="2" t="n">
        <x:v>9</x:v>
      </x:c>
      <x:c r="F137" s="2" t="n">
        <x:f>COUNTA(E2_plantas!A8,E2_plantas!A9,E2_plantas!A20,E2_plantas!A21,E2_plantas!A32,E2_plantas!A33,E2_plantas!A44,E2_plantas!A45,E2_plantas!A56,E2_plantas!A57)</x:f>
        <x:v>10</x:v>
      </x:c>
      <x:c r="G137" s="2" t="n">
        <x:f>SUM(E2_diario!K263,E2_diario!K305,E2_diario!K767,E2_diario!K809,E2_diario!K1271,E2_diario!K1313,E2_diario!K1775,E2_diario!K1817,E2_diario!K2279,E2_diario!K2321)</x:f>
        <x:v>8</x:v>
      </x:c>
      <x:c r="H137" s="2" t="n">
        <x:f>SUM(IF(E2_diario!J263="N1",1,0),IF(E2_diario!J305="N1",1,0),IF(E2_diario!J767="N1",1,0),IF(E2_diario!J809="N1",1,0),IF(E2_diario!J1271="N1",1,0),IF(E2_diario!J1313="N1",1,0),IF(E2_diario!J1775="N1",1,0),IF(E2_diario!J1817="N1",1,0),IF(E2_diario!J2279="N1",1,0),IF(E2_diario!J2321="N1",1,0))</x:f>
        <x:v>0</x:v>
      </x:c>
      <x:c r="I137" s="2" t="n">
        <x:f>SUM(IF(E2_diario!J263="N2",1,0),IF(E2_diario!J305="N2",1,0),IF(E2_diario!J767="N2",1,0),IF(E2_diario!J809="N2",1,0),IF(E2_diario!J1271="N2",1,0),IF(E2_diario!J1313="N2",1,0),IF(E2_diario!J1775="N2",1,0),IF(E2_diario!J1817="N2",1,0),IF(E2_diario!J2279="N2",1,0),IF(E2_diario!J2321="N2",1,0))</x:f>
        <x:v>0</x:v>
      </x:c>
      <x:c r="J137" s="2" t="n">
        <x:f>SUM(IF(E2_diario!J263="N3",1,0),IF(E2_diario!J305="N3",1,0),IF(E2_diario!J767="N3",1,0),IF(E2_diario!J809="N3",1,0),IF(E2_diario!J1271="N3",1,0),IF(E2_diario!J1313="N3",1,0),IF(E2_diario!J1775="N3",1,0),IF(E2_diario!J1817="N3",1,0),IF(E2_diario!J2279="N3",1,0),IF(E2_diario!J2321="N3",1,0))</x:f>
        <x:v>0</x:v>
      </x:c>
      <x:c r="K137" s="2" t="n">
        <x:f>SUM(IF(E2_diario!J263="N4",1,0),IF(E2_diario!J305="N4",1,0),IF(E2_diario!J767="N4",1,0),IF(E2_diario!J809="N4",1,0),IF(E2_diario!J1271="N4",1,0),IF(E2_diario!J1313="N4",1,0),IF(E2_diario!J1775="N4",1,0),IF(E2_diario!J1817="N4",1,0),IF(E2_diario!J2279="N4",1,0),IF(E2_diario!J2321="N4",1,0))</x:f>
        <x:v>0</x:v>
      </x:c>
      <x:c r="L137" s="2" t="n">
        <x:f>SUM(IF(E2_diario!J263="adulta",1,0),IF(E2_diario!J305="adulta",1,0),IF(E2_diario!J767="adulta",1,0),IF(E2_diario!J809="adulta",1,0),IF(E2_diario!J1271="adulta",1,0),IF(E2_diario!J1313="adulta",1,0),IF(E2_diario!J1775="adulta",1,0),IF(E2_diario!J1817="adulta",1,0),IF(E2_diario!J2279="adulta",1,0),IF(E2_diario!J2321="adulta",1,0))</x:f>
        <x:v>8</x:v>
      </x:c>
      <x:c r="M137" s="2" t="n">
        <x:f>SUM(E2_diario!L263,E2_diario!L305,E2_diario!L767,E2_diario!L809,E2_diario!L1271,E2_diario!L1313,E2_diario!L1775,E2_diario!L1817,E2_diario!L2279,E2_diario!L2321)</x:f>
        <x:v>13</x:v>
      </x:c>
      <x:c r="N137" s="20" t="n">
        <x:f>G137/F137</x:f>
        <x:v>0.8</x:v>
      </x:c>
      <x:c r="O137" s="20" t="n">
        <x:f>IF(G137=0,0,M137/G137)</x:f>
        <x:v>1.625</x:v>
      </x:c>
      <x:c r="P137" s="20" t="n">
        <x:f>N137*O137</x:f>
        <x:v>1.3</x:v>
      </x:c>
      <x:c r="Q137" s="20" t="n">
        <x:f>H137/F137</x:f>
        <x:v>0</x:v>
      </x:c>
      <x:c r="R137" s="20" t="n">
        <x:f>I137/F137</x:f>
        <x:v>0</x:v>
      </x:c>
      <x:c r="S137" s="20" t="n">
        <x:f>J137/F137</x:f>
        <x:v>0</x:v>
      </x:c>
      <x:c r="T137" s="20" t="n">
        <x:f>K137/F137</x:f>
        <x:v>0</x:v>
      </x:c>
      <x:c r="U137" s="20" t="n">
        <x:f>L137/F137</x:f>
        <x:v>0.8</x:v>
      </x:c>
      <x:c r="V137" s="20" t="n">
        <x:f>IF(L137=0,0,M137/L137)</x:f>
        <x:v>1.625</x:v>
      </x:c>
      <x:c r="W137" s="20" t="n">
        <x:f>SUM(P$128:P137)</x:f>
        <x:v>3</x:v>
      </x:c>
      <x:c r="X137" s="2" t="n">
        <x:f>E137+Supuestos!$C$15</x:f>
        <x:v>10</x:v>
      </x:c>
      <x:c r="Y137" s="2" t="n">
        <x:f>F137-G137</x:f>
        <x:v>2</x:v>
      </x:c>
      <x:c r="Z137" s="2" t="str">
        <x:v>simulado_didactico</x:v>
      </x:c>
    </x:row>
    <x:row r="138" ht="19" customHeight="1">
      <x:c r="A138" s="2" t="str">
        <x:v>BB_L0</x:v>
      </x:c>
      <x:c r="B138" s="2" t="str">
        <x:v>BB</x:v>
      </x:c>
      <x:c r="C138" s="2" t="str">
        <x:v>Brevicoryne brassicae</x:v>
      </x:c>
      <x:c r="D138" s="2" t="str">
        <x:v>L0</x:v>
      </x:c>
      <x:c r="E138" s="2" t="n">
        <x:v>10</x:v>
      </x:c>
      <x:c r="F138" s="2" t="n">
        <x:f>COUNTA(E2_plantas!A8,E2_plantas!A9,E2_plantas!A20,E2_plantas!A21,E2_plantas!A32,E2_plantas!A33,E2_plantas!A44,E2_plantas!A45,E2_plantas!A56,E2_plantas!A57)</x:f>
        <x:v>10</x:v>
      </x:c>
      <x:c r="G138" s="2" t="n">
        <x:f>SUM(E2_diario!K264,E2_diario!K306,E2_diario!K768,E2_diario!K810,E2_diario!K1272,E2_diario!K1314,E2_diario!K1776,E2_diario!K1818,E2_diario!K2280,E2_diario!K2322)</x:f>
        <x:v>8</x:v>
      </x:c>
      <x:c r="H138" s="2" t="n">
        <x:f>SUM(IF(E2_diario!J264="N1",1,0),IF(E2_diario!J306="N1",1,0),IF(E2_diario!J768="N1",1,0),IF(E2_diario!J810="N1",1,0),IF(E2_diario!J1272="N1",1,0),IF(E2_diario!J1314="N1",1,0),IF(E2_diario!J1776="N1",1,0),IF(E2_diario!J1818="N1",1,0),IF(E2_diario!J2280="N1",1,0),IF(E2_diario!J2322="N1",1,0))</x:f>
        <x:v>0</x:v>
      </x:c>
      <x:c r="I138" s="2" t="n">
        <x:f>SUM(IF(E2_diario!J264="N2",1,0),IF(E2_diario!J306="N2",1,0),IF(E2_diario!J768="N2",1,0),IF(E2_diario!J810="N2",1,0),IF(E2_diario!J1272="N2",1,0),IF(E2_diario!J1314="N2",1,0),IF(E2_diario!J1776="N2",1,0),IF(E2_diario!J1818="N2",1,0),IF(E2_diario!J2280="N2",1,0),IF(E2_diario!J2322="N2",1,0))</x:f>
        <x:v>0</x:v>
      </x:c>
      <x:c r="J138" s="2" t="n">
        <x:f>SUM(IF(E2_diario!J264="N3",1,0),IF(E2_diario!J306="N3",1,0),IF(E2_diario!J768="N3",1,0),IF(E2_diario!J810="N3",1,0),IF(E2_diario!J1272="N3",1,0),IF(E2_diario!J1314="N3",1,0),IF(E2_diario!J1776="N3",1,0),IF(E2_diario!J1818="N3",1,0),IF(E2_diario!J2280="N3",1,0),IF(E2_diario!J2322="N3",1,0))</x:f>
        <x:v>0</x:v>
      </x:c>
      <x:c r="K138" s="2" t="n">
        <x:f>SUM(IF(E2_diario!J264="N4",1,0),IF(E2_diario!J306="N4",1,0),IF(E2_diario!J768="N4",1,0),IF(E2_diario!J810="N4",1,0),IF(E2_diario!J1272="N4",1,0),IF(E2_diario!J1314="N4",1,0),IF(E2_diario!J1776="N4",1,0),IF(E2_diario!J1818="N4",1,0),IF(E2_diario!J2280="N4",1,0),IF(E2_diario!J2322="N4",1,0))</x:f>
        <x:v>0</x:v>
      </x:c>
      <x:c r="L138" s="2" t="n">
        <x:f>SUM(IF(E2_diario!J264="adulta",1,0),IF(E2_diario!J306="adulta",1,0),IF(E2_diario!J768="adulta",1,0),IF(E2_diario!J810="adulta",1,0),IF(E2_diario!J1272="adulta",1,0),IF(E2_diario!J1314="adulta",1,0),IF(E2_diario!J1776="adulta",1,0),IF(E2_diario!J1818="adulta",1,0),IF(E2_diario!J2280="adulta",1,0),IF(E2_diario!J2322="adulta",1,0))</x:f>
        <x:v>8</x:v>
      </x:c>
      <x:c r="M138" s="2" t="n">
        <x:f>SUM(E2_diario!L264,E2_diario!L306,E2_diario!L768,E2_diario!L810,E2_diario!L1272,E2_diario!L1314,E2_diario!L1776,E2_diario!L1818,E2_diario!L2280,E2_diario!L2322)</x:f>
        <x:v>32</x:v>
      </x:c>
      <x:c r="N138" s="20" t="n">
        <x:f>G138/F138</x:f>
        <x:v>0.8</x:v>
      </x:c>
      <x:c r="O138" s="20" t="n">
        <x:f>IF(G138=0,0,M138/G138)</x:f>
        <x:v>4</x:v>
      </x:c>
      <x:c r="P138" s="20" t="n">
        <x:f>N138*O138</x:f>
        <x:v>3.2</x:v>
      </x:c>
      <x:c r="Q138" s="20" t="n">
        <x:f>H138/F138</x:f>
        <x:v>0</x:v>
      </x:c>
      <x:c r="R138" s="20" t="n">
        <x:f>I138/F138</x:f>
        <x:v>0</x:v>
      </x:c>
      <x:c r="S138" s="20" t="n">
        <x:f>J138/F138</x:f>
        <x:v>0</x:v>
      </x:c>
      <x:c r="T138" s="20" t="n">
        <x:f>K138/F138</x:f>
        <x:v>0</x:v>
      </x:c>
      <x:c r="U138" s="20" t="n">
        <x:f>L138/F138</x:f>
        <x:v>0.8</x:v>
      </x:c>
      <x:c r="V138" s="20" t="n">
        <x:f>IF(L138=0,0,M138/L138)</x:f>
        <x:v>4</x:v>
      </x:c>
      <x:c r="W138" s="20" t="n">
        <x:f>SUM(P$128:P138)</x:f>
        <x:v>6.2</x:v>
      </x:c>
      <x:c r="X138" s="2" t="n">
        <x:f>E138+Supuestos!$C$15</x:f>
        <x:v>11</x:v>
      </x:c>
      <x:c r="Y138" s="2" t="n">
        <x:f>F138-G138</x:f>
        <x:v>2</x:v>
      </x:c>
      <x:c r="Z138" s="2" t="str">
        <x:v>simulado_didactico</x:v>
      </x:c>
    </x:row>
    <x:row r="139" ht="19" customHeight="1">
      <x:c r="A139" s="2" t="str">
        <x:v>BB_L0</x:v>
      </x:c>
      <x:c r="B139" s="2" t="str">
        <x:v>BB</x:v>
      </x:c>
      <x:c r="C139" s="2" t="str">
        <x:v>Brevicoryne brassicae</x:v>
      </x:c>
      <x:c r="D139" s="2" t="str">
        <x:v>L0</x:v>
      </x:c>
      <x:c r="E139" s="2" t="n">
        <x:v>11</x:v>
      </x:c>
      <x:c r="F139" s="2" t="n">
        <x:f>COUNTA(E2_plantas!A8,E2_plantas!A9,E2_plantas!A20,E2_plantas!A21,E2_plantas!A32,E2_plantas!A33,E2_plantas!A44,E2_plantas!A45,E2_plantas!A56,E2_plantas!A57)</x:f>
        <x:v>10</x:v>
      </x:c>
      <x:c r="G139" s="2" t="n">
        <x:f>SUM(E2_diario!K265,E2_diario!K307,E2_diario!K769,E2_diario!K811,E2_diario!K1273,E2_diario!K1315,E2_diario!K1777,E2_diario!K1819,E2_diario!K2281,E2_diario!K2323)</x:f>
        <x:v>8</x:v>
      </x:c>
      <x:c r="H139" s="2" t="n">
        <x:f>SUM(IF(E2_diario!J265="N1",1,0),IF(E2_diario!J307="N1",1,0),IF(E2_diario!J769="N1",1,0),IF(E2_diario!J811="N1",1,0),IF(E2_diario!J1273="N1",1,0),IF(E2_diario!J1315="N1",1,0),IF(E2_diario!J1777="N1",1,0),IF(E2_diario!J1819="N1",1,0),IF(E2_diario!J2281="N1",1,0),IF(E2_diario!J2323="N1",1,0))</x:f>
        <x:v>0</x:v>
      </x:c>
      <x:c r="I139" s="2" t="n">
        <x:f>SUM(IF(E2_diario!J265="N2",1,0),IF(E2_diario!J307="N2",1,0),IF(E2_diario!J769="N2",1,0),IF(E2_diario!J811="N2",1,0),IF(E2_diario!J1273="N2",1,0),IF(E2_diario!J1315="N2",1,0),IF(E2_diario!J1777="N2",1,0),IF(E2_diario!J1819="N2",1,0),IF(E2_diario!J2281="N2",1,0),IF(E2_diario!J2323="N2",1,0))</x:f>
        <x:v>0</x:v>
      </x:c>
      <x:c r="J139" s="2" t="n">
        <x:f>SUM(IF(E2_diario!J265="N3",1,0),IF(E2_diario!J307="N3",1,0),IF(E2_diario!J769="N3",1,0),IF(E2_diario!J811="N3",1,0),IF(E2_diario!J1273="N3",1,0),IF(E2_diario!J1315="N3",1,0),IF(E2_diario!J1777="N3",1,0),IF(E2_diario!J1819="N3",1,0),IF(E2_diario!J2281="N3",1,0),IF(E2_diario!J2323="N3",1,0))</x:f>
        <x:v>0</x:v>
      </x:c>
      <x:c r="K139" s="2" t="n">
        <x:f>SUM(IF(E2_diario!J265="N4",1,0),IF(E2_diario!J307="N4",1,0),IF(E2_diario!J769="N4",1,0),IF(E2_diario!J811="N4",1,0),IF(E2_diario!J1273="N4",1,0),IF(E2_diario!J1315="N4",1,0),IF(E2_diario!J1777="N4",1,0),IF(E2_diario!J1819="N4",1,0),IF(E2_diario!J2281="N4",1,0),IF(E2_diario!J2323="N4",1,0))</x:f>
        <x:v>0</x:v>
      </x:c>
      <x:c r="L139" s="2" t="n">
        <x:f>SUM(IF(E2_diario!J265="adulta",1,0),IF(E2_diario!J307="adulta",1,0),IF(E2_diario!J769="adulta",1,0),IF(E2_diario!J811="adulta",1,0),IF(E2_diario!J1273="adulta",1,0),IF(E2_diario!J1315="adulta",1,0),IF(E2_diario!J1777="adulta",1,0),IF(E2_diario!J1819="adulta",1,0),IF(E2_diario!J2281="adulta",1,0),IF(E2_diario!J2323="adulta",1,0))</x:f>
        <x:v>8</x:v>
      </x:c>
      <x:c r="M139" s="2" t="n">
        <x:f>SUM(E2_diario!L265,E2_diario!L307,E2_diario!L769,E2_diario!L811,E2_diario!L1273,E2_diario!L1315,E2_diario!L1777,E2_diario!L1819,E2_diario!L2281,E2_diario!L2323)</x:f>
        <x:v>30</x:v>
      </x:c>
      <x:c r="N139" s="20" t="n">
        <x:f>G139/F139</x:f>
        <x:v>0.8</x:v>
      </x:c>
      <x:c r="O139" s="20" t="n">
        <x:f>IF(G139=0,0,M139/G139)</x:f>
        <x:v>3.75</x:v>
      </x:c>
      <x:c r="P139" s="20" t="n">
        <x:f>N139*O139</x:f>
        <x:v>3</x:v>
      </x:c>
      <x:c r="Q139" s="20" t="n">
        <x:f>H139/F139</x:f>
        <x:v>0</x:v>
      </x:c>
      <x:c r="R139" s="20" t="n">
        <x:f>I139/F139</x:f>
        <x:v>0</x:v>
      </x:c>
      <x:c r="S139" s="20" t="n">
        <x:f>J139/F139</x:f>
        <x:v>0</x:v>
      </x:c>
      <x:c r="T139" s="20" t="n">
        <x:f>K139/F139</x:f>
        <x:v>0</x:v>
      </x:c>
      <x:c r="U139" s="20" t="n">
        <x:f>L139/F139</x:f>
        <x:v>0.8</x:v>
      </x:c>
      <x:c r="V139" s="20" t="n">
        <x:f>IF(L139=0,0,M139/L139)</x:f>
        <x:v>3.75</x:v>
      </x:c>
      <x:c r="W139" s="20" t="n">
        <x:f>SUM(P$128:P139)</x:f>
        <x:v>9.2</x:v>
      </x:c>
      <x:c r="X139" s="2" t="n">
        <x:f>E139+Supuestos!$C$15</x:f>
        <x:v>12</x:v>
      </x:c>
      <x:c r="Y139" s="2" t="n">
        <x:f>F139-G139</x:f>
        <x:v>2</x:v>
      </x:c>
      <x:c r="Z139" s="2" t="str">
        <x:v>simulado_didactico</x:v>
      </x:c>
    </x:row>
    <x:row r="140" ht="19" customHeight="1">
      <x:c r="A140" s="2" t="str">
        <x:v>BB_L0</x:v>
      </x:c>
      <x:c r="B140" s="2" t="str">
        <x:v>BB</x:v>
      </x:c>
      <x:c r="C140" s="2" t="str">
        <x:v>Brevicoryne brassicae</x:v>
      </x:c>
      <x:c r="D140" s="2" t="str">
        <x:v>L0</x:v>
      </x:c>
      <x:c r="E140" s="2" t="n">
        <x:v>12</x:v>
      </x:c>
      <x:c r="F140" s="2" t="n">
        <x:f>COUNTA(E2_plantas!A8,E2_plantas!A9,E2_plantas!A20,E2_plantas!A21,E2_plantas!A32,E2_plantas!A33,E2_plantas!A44,E2_plantas!A45,E2_plantas!A56,E2_plantas!A57)</x:f>
        <x:v>10</x:v>
      </x:c>
      <x:c r="G140" s="2" t="n">
        <x:f>SUM(E2_diario!K266,E2_diario!K308,E2_diario!K770,E2_diario!K812,E2_diario!K1274,E2_diario!K1316,E2_diario!K1778,E2_diario!K1820,E2_diario!K2282,E2_diario!K2324)</x:f>
        <x:v>8</x:v>
      </x:c>
      <x:c r="H140" s="2" t="n">
        <x:f>SUM(IF(E2_diario!J266="N1",1,0),IF(E2_diario!J308="N1",1,0),IF(E2_diario!J770="N1",1,0),IF(E2_diario!J812="N1",1,0),IF(E2_diario!J1274="N1",1,0),IF(E2_diario!J1316="N1",1,0),IF(E2_diario!J1778="N1",1,0),IF(E2_diario!J1820="N1",1,0),IF(E2_diario!J2282="N1",1,0),IF(E2_diario!J2324="N1",1,0))</x:f>
        <x:v>0</x:v>
      </x:c>
      <x:c r="I140" s="2" t="n">
        <x:f>SUM(IF(E2_diario!J266="N2",1,0),IF(E2_diario!J308="N2",1,0),IF(E2_diario!J770="N2",1,0),IF(E2_diario!J812="N2",1,0),IF(E2_diario!J1274="N2",1,0),IF(E2_diario!J1316="N2",1,0),IF(E2_diario!J1778="N2",1,0),IF(E2_diario!J1820="N2",1,0),IF(E2_diario!J2282="N2",1,0),IF(E2_diario!J2324="N2",1,0))</x:f>
        <x:v>0</x:v>
      </x:c>
      <x:c r="J140" s="2" t="n">
        <x:f>SUM(IF(E2_diario!J266="N3",1,0),IF(E2_diario!J308="N3",1,0),IF(E2_diario!J770="N3",1,0),IF(E2_diario!J812="N3",1,0),IF(E2_diario!J1274="N3",1,0),IF(E2_diario!J1316="N3",1,0),IF(E2_diario!J1778="N3",1,0),IF(E2_diario!J1820="N3",1,0),IF(E2_diario!J2282="N3",1,0),IF(E2_diario!J2324="N3",1,0))</x:f>
        <x:v>0</x:v>
      </x:c>
      <x:c r="K140" s="2" t="n">
        <x:f>SUM(IF(E2_diario!J266="N4",1,0),IF(E2_diario!J308="N4",1,0),IF(E2_diario!J770="N4",1,0),IF(E2_diario!J812="N4",1,0),IF(E2_diario!J1274="N4",1,0),IF(E2_diario!J1316="N4",1,0),IF(E2_diario!J1778="N4",1,0),IF(E2_diario!J1820="N4",1,0),IF(E2_diario!J2282="N4",1,0),IF(E2_diario!J2324="N4",1,0))</x:f>
        <x:v>0</x:v>
      </x:c>
      <x:c r="L140" s="2" t="n">
        <x:f>SUM(IF(E2_diario!J266="adulta",1,0),IF(E2_diario!J308="adulta",1,0),IF(E2_diario!J770="adulta",1,0),IF(E2_diario!J812="adulta",1,0),IF(E2_diario!J1274="adulta",1,0),IF(E2_diario!J1316="adulta",1,0),IF(E2_diario!J1778="adulta",1,0),IF(E2_diario!J1820="adulta",1,0),IF(E2_diario!J2282="adulta",1,0),IF(E2_diario!J2324="adulta",1,0))</x:f>
        <x:v>8</x:v>
      </x:c>
      <x:c r="M140" s="2" t="n">
        <x:f>SUM(E2_diario!L266,E2_diario!L308,E2_diario!L770,E2_diario!L812,E2_diario!L1274,E2_diario!L1316,E2_diario!L1778,E2_diario!L1820,E2_diario!L2282,E2_diario!L2324)</x:f>
        <x:v>23</x:v>
      </x:c>
      <x:c r="N140" s="20" t="n">
        <x:f>G140/F140</x:f>
        <x:v>0.8</x:v>
      </x:c>
      <x:c r="O140" s="20" t="n">
        <x:f>IF(G140=0,0,M140/G140)</x:f>
        <x:v>2.875</x:v>
      </x:c>
      <x:c r="P140" s="20" t="n">
        <x:f>N140*O140</x:f>
        <x:v>2.3000000000000003</x:v>
      </x:c>
      <x:c r="Q140" s="20" t="n">
        <x:f>H140/F140</x:f>
        <x:v>0</x:v>
      </x:c>
      <x:c r="R140" s="20" t="n">
        <x:f>I140/F140</x:f>
        <x:v>0</x:v>
      </x:c>
      <x:c r="S140" s="20" t="n">
        <x:f>J140/F140</x:f>
        <x:v>0</x:v>
      </x:c>
      <x:c r="T140" s="20" t="n">
        <x:f>K140/F140</x:f>
        <x:v>0</x:v>
      </x:c>
      <x:c r="U140" s="20" t="n">
        <x:f>L140/F140</x:f>
        <x:v>0.8</x:v>
      </x:c>
      <x:c r="V140" s="20" t="n">
        <x:f>IF(L140=0,0,M140/L140)</x:f>
        <x:v>2.875</x:v>
      </x:c>
      <x:c r="W140" s="20" t="n">
        <x:f>SUM(P$128:P140)</x:f>
        <x:v>11.5</x:v>
      </x:c>
      <x:c r="X140" s="2" t="n">
        <x:f>E140+Supuestos!$C$15</x:f>
        <x:v>13</x:v>
      </x:c>
      <x:c r="Y140" s="2" t="n">
        <x:f>F140-G140</x:f>
        <x:v>2</x:v>
      </x:c>
      <x:c r="Z140" s="2" t="str">
        <x:v>simulado_didactico</x:v>
      </x:c>
    </x:row>
    <x:row r="141" ht="19" customHeight="1">
      <x:c r="A141" s="2" t="str">
        <x:v>BB_L0</x:v>
      </x:c>
      <x:c r="B141" s="2" t="str">
        <x:v>BB</x:v>
      </x:c>
      <x:c r="C141" s="2" t="str">
        <x:v>Brevicoryne brassicae</x:v>
      </x:c>
      <x:c r="D141" s="2" t="str">
        <x:v>L0</x:v>
      </x:c>
      <x:c r="E141" s="2" t="n">
        <x:v>13</x:v>
      </x:c>
      <x:c r="F141" s="2" t="n">
        <x:f>COUNTA(E2_plantas!A8,E2_plantas!A9,E2_plantas!A20,E2_plantas!A21,E2_plantas!A32,E2_plantas!A33,E2_plantas!A44,E2_plantas!A45,E2_plantas!A56,E2_plantas!A57)</x:f>
        <x:v>10</x:v>
      </x:c>
      <x:c r="G141" s="2" t="n">
        <x:f>SUM(E2_diario!K267,E2_diario!K309,E2_diario!K771,E2_diario!K813,E2_diario!K1275,E2_diario!K1317,E2_diario!K1779,E2_diario!K1821,E2_diario!K2283,E2_diario!K2325)</x:f>
        <x:v>8</x:v>
      </x:c>
      <x:c r="H141" s="2" t="n">
        <x:f>SUM(IF(E2_diario!J267="N1",1,0),IF(E2_diario!J309="N1",1,0),IF(E2_diario!J771="N1",1,0),IF(E2_diario!J813="N1",1,0),IF(E2_diario!J1275="N1",1,0),IF(E2_diario!J1317="N1",1,0),IF(E2_diario!J1779="N1",1,0),IF(E2_diario!J1821="N1",1,0),IF(E2_diario!J2283="N1",1,0),IF(E2_diario!J2325="N1",1,0))</x:f>
        <x:v>0</x:v>
      </x:c>
      <x:c r="I141" s="2" t="n">
        <x:f>SUM(IF(E2_diario!J267="N2",1,0),IF(E2_diario!J309="N2",1,0),IF(E2_diario!J771="N2",1,0),IF(E2_diario!J813="N2",1,0),IF(E2_diario!J1275="N2",1,0),IF(E2_diario!J1317="N2",1,0),IF(E2_diario!J1779="N2",1,0),IF(E2_diario!J1821="N2",1,0),IF(E2_diario!J2283="N2",1,0),IF(E2_diario!J2325="N2",1,0))</x:f>
        <x:v>0</x:v>
      </x:c>
      <x:c r="J141" s="2" t="n">
        <x:f>SUM(IF(E2_diario!J267="N3",1,0),IF(E2_diario!J309="N3",1,0),IF(E2_diario!J771="N3",1,0),IF(E2_diario!J813="N3",1,0),IF(E2_diario!J1275="N3",1,0),IF(E2_diario!J1317="N3",1,0),IF(E2_diario!J1779="N3",1,0),IF(E2_diario!J1821="N3",1,0),IF(E2_diario!J2283="N3",1,0),IF(E2_diario!J2325="N3",1,0))</x:f>
        <x:v>0</x:v>
      </x:c>
      <x:c r="K141" s="2" t="n">
        <x:f>SUM(IF(E2_diario!J267="N4",1,0),IF(E2_diario!J309="N4",1,0),IF(E2_diario!J771="N4",1,0),IF(E2_diario!J813="N4",1,0),IF(E2_diario!J1275="N4",1,0),IF(E2_diario!J1317="N4",1,0),IF(E2_diario!J1779="N4",1,0),IF(E2_diario!J1821="N4",1,0),IF(E2_diario!J2283="N4",1,0),IF(E2_diario!J2325="N4",1,0))</x:f>
        <x:v>0</x:v>
      </x:c>
      <x:c r="L141" s="2" t="n">
        <x:f>SUM(IF(E2_diario!J267="adulta",1,0),IF(E2_diario!J309="adulta",1,0),IF(E2_diario!J771="adulta",1,0),IF(E2_diario!J813="adulta",1,0),IF(E2_diario!J1275="adulta",1,0),IF(E2_diario!J1317="adulta",1,0),IF(E2_diario!J1779="adulta",1,0),IF(E2_diario!J1821="adulta",1,0),IF(E2_diario!J2283="adulta",1,0),IF(E2_diario!J2325="adulta",1,0))</x:f>
        <x:v>8</x:v>
      </x:c>
      <x:c r="M141" s="2" t="n">
        <x:f>SUM(E2_diario!L267,E2_diario!L309,E2_diario!L771,E2_diario!L813,E2_diario!L1275,E2_diario!L1317,E2_diario!L1779,E2_diario!L1821,E2_diario!L2283,E2_diario!L2325)</x:f>
        <x:v>39</x:v>
      </x:c>
      <x:c r="N141" s="20" t="n">
        <x:f>G141/F141</x:f>
        <x:v>0.8</x:v>
      </x:c>
      <x:c r="O141" s="20" t="n">
        <x:f>IF(G141=0,0,M141/G141)</x:f>
        <x:v>4.875</x:v>
      </x:c>
      <x:c r="P141" s="20" t="n">
        <x:f>N141*O141</x:f>
        <x:v>3.9000000000000004</x:v>
      </x:c>
      <x:c r="Q141" s="20" t="n">
        <x:f>H141/F141</x:f>
        <x:v>0</x:v>
      </x:c>
      <x:c r="R141" s="20" t="n">
        <x:f>I141/F141</x:f>
        <x:v>0</x:v>
      </x:c>
      <x:c r="S141" s="20" t="n">
        <x:f>J141/F141</x:f>
        <x:v>0</x:v>
      </x:c>
      <x:c r="T141" s="20" t="n">
        <x:f>K141/F141</x:f>
        <x:v>0</x:v>
      </x:c>
      <x:c r="U141" s="20" t="n">
        <x:f>L141/F141</x:f>
        <x:v>0.8</x:v>
      </x:c>
      <x:c r="V141" s="20" t="n">
        <x:f>IF(L141=0,0,M141/L141)</x:f>
        <x:v>4.875</x:v>
      </x:c>
      <x:c r="W141" s="20" t="n">
        <x:f>SUM(P$128:P141)</x:f>
        <x:v>15.4</x:v>
      </x:c>
      <x:c r="X141" s="2" t="n">
        <x:f>E141+Supuestos!$C$15</x:f>
        <x:v>14</x:v>
      </x:c>
      <x:c r="Y141" s="2" t="n">
        <x:f>F141-G141</x:f>
        <x:v>2</x:v>
      </x:c>
      <x:c r="Z141" s="2" t="str">
        <x:v>simulado_didactico</x:v>
      </x:c>
    </x:row>
    <x:row r="142" ht="19" customHeight="1">
      <x:c r="A142" s="2" t="str">
        <x:v>BB_L0</x:v>
      </x:c>
      <x:c r="B142" s="2" t="str">
        <x:v>BB</x:v>
      </x:c>
      <x:c r="C142" s="2" t="str">
        <x:v>Brevicoryne brassicae</x:v>
      </x:c>
      <x:c r="D142" s="2" t="str">
        <x:v>L0</x:v>
      </x:c>
      <x:c r="E142" s="2" t="n">
        <x:v>14</x:v>
      </x:c>
      <x:c r="F142" s="2" t="n">
        <x:f>COUNTA(E2_plantas!A8,E2_plantas!A9,E2_plantas!A20,E2_plantas!A21,E2_plantas!A32,E2_plantas!A33,E2_plantas!A44,E2_plantas!A45,E2_plantas!A56,E2_plantas!A57)</x:f>
        <x:v>10</x:v>
      </x:c>
      <x:c r="G142" s="2" t="n">
        <x:f>SUM(E2_diario!K268,E2_diario!K310,E2_diario!K772,E2_diario!K814,E2_diario!K1276,E2_diario!K1318,E2_diario!K1780,E2_diario!K1822,E2_diario!K2284,E2_diario!K2326)</x:f>
        <x:v>8</x:v>
      </x:c>
      <x:c r="H142" s="2" t="n">
        <x:f>SUM(IF(E2_diario!J268="N1",1,0),IF(E2_diario!J310="N1",1,0),IF(E2_diario!J772="N1",1,0),IF(E2_diario!J814="N1",1,0),IF(E2_diario!J1276="N1",1,0),IF(E2_diario!J1318="N1",1,0),IF(E2_diario!J1780="N1",1,0),IF(E2_diario!J1822="N1",1,0),IF(E2_diario!J2284="N1",1,0),IF(E2_diario!J2326="N1",1,0))</x:f>
        <x:v>0</x:v>
      </x:c>
      <x:c r="I142" s="2" t="n">
        <x:f>SUM(IF(E2_diario!J268="N2",1,0),IF(E2_diario!J310="N2",1,0),IF(E2_diario!J772="N2",1,0),IF(E2_diario!J814="N2",1,0),IF(E2_diario!J1276="N2",1,0),IF(E2_diario!J1318="N2",1,0),IF(E2_diario!J1780="N2",1,0),IF(E2_diario!J1822="N2",1,0),IF(E2_diario!J2284="N2",1,0),IF(E2_diario!J2326="N2",1,0))</x:f>
        <x:v>0</x:v>
      </x:c>
      <x:c r="J142" s="2" t="n">
        <x:f>SUM(IF(E2_diario!J268="N3",1,0),IF(E2_diario!J310="N3",1,0),IF(E2_diario!J772="N3",1,0),IF(E2_diario!J814="N3",1,0),IF(E2_diario!J1276="N3",1,0),IF(E2_diario!J1318="N3",1,0),IF(E2_diario!J1780="N3",1,0),IF(E2_diario!J1822="N3",1,0),IF(E2_diario!J2284="N3",1,0),IF(E2_diario!J2326="N3",1,0))</x:f>
        <x:v>0</x:v>
      </x:c>
      <x:c r="K142" s="2" t="n">
        <x:f>SUM(IF(E2_diario!J268="N4",1,0),IF(E2_diario!J310="N4",1,0),IF(E2_diario!J772="N4",1,0),IF(E2_diario!J814="N4",1,0),IF(E2_diario!J1276="N4",1,0),IF(E2_diario!J1318="N4",1,0),IF(E2_diario!J1780="N4",1,0),IF(E2_diario!J1822="N4",1,0),IF(E2_diario!J2284="N4",1,0),IF(E2_diario!J2326="N4",1,0))</x:f>
        <x:v>0</x:v>
      </x:c>
      <x:c r="L142" s="2" t="n">
        <x:f>SUM(IF(E2_diario!J268="adulta",1,0),IF(E2_diario!J310="adulta",1,0),IF(E2_diario!J772="adulta",1,0),IF(E2_diario!J814="adulta",1,0),IF(E2_diario!J1276="adulta",1,0),IF(E2_diario!J1318="adulta",1,0),IF(E2_diario!J1780="adulta",1,0),IF(E2_diario!J1822="adulta",1,0),IF(E2_diario!J2284="adulta",1,0),IF(E2_diario!J2326="adulta",1,0))</x:f>
        <x:v>8</x:v>
      </x:c>
      <x:c r="M142" s="2" t="n">
        <x:f>SUM(E2_diario!L268,E2_diario!L310,E2_diario!L772,E2_diario!L814,E2_diario!L1276,E2_diario!L1318,E2_diario!L1780,E2_diario!L1822,E2_diario!L2284,E2_diario!L2326)</x:f>
        <x:v>38</x:v>
      </x:c>
      <x:c r="N142" s="20" t="n">
        <x:f>G142/F142</x:f>
        <x:v>0.8</x:v>
      </x:c>
      <x:c r="O142" s="20" t="n">
        <x:f>IF(G142=0,0,M142/G142)</x:f>
        <x:v>4.75</x:v>
      </x:c>
      <x:c r="P142" s="20" t="n">
        <x:f>N142*O142</x:f>
        <x:v>3.8000000000000003</x:v>
      </x:c>
      <x:c r="Q142" s="20" t="n">
        <x:f>H142/F142</x:f>
        <x:v>0</x:v>
      </x:c>
      <x:c r="R142" s="20" t="n">
        <x:f>I142/F142</x:f>
        <x:v>0</x:v>
      </x:c>
      <x:c r="S142" s="20" t="n">
        <x:f>J142/F142</x:f>
        <x:v>0</x:v>
      </x:c>
      <x:c r="T142" s="20" t="n">
        <x:f>K142/F142</x:f>
        <x:v>0</x:v>
      </x:c>
      <x:c r="U142" s="20" t="n">
        <x:f>L142/F142</x:f>
        <x:v>0.8</x:v>
      </x:c>
      <x:c r="V142" s="20" t="n">
        <x:f>IF(L142=0,0,M142/L142)</x:f>
        <x:v>4.75</x:v>
      </x:c>
      <x:c r="W142" s="20" t="n">
        <x:f>SUM(P$128:P142)</x:f>
        <x:v>19.2</x:v>
      </x:c>
      <x:c r="X142" s="2" t="n">
        <x:f>E142+Supuestos!$C$15</x:f>
        <x:v>15</x:v>
      </x:c>
      <x:c r="Y142" s="2" t="n">
        <x:f>F142-G142</x:f>
        <x:v>2</x:v>
      </x:c>
      <x:c r="Z142" s="2" t="str">
        <x:v>simulado_didactico</x:v>
      </x:c>
    </x:row>
    <x:row r="143" ht="19" customHeight="1">
      <x:c r="A143" s="2" t="str">
        <x:v>BB_L0</x:v>
      </x:c>
      <x:c r="B143" s="2" t="str">
        <x:v>BB</x:v>
      </x:c>
      <x:c r="C143" s="2" t="str">
        <x:v>Brevicoryne brassicae</x:v>
      </x:c>
      <x:c r="D143" s="2" t="str">
        <x:v>L0</x:v>
      </x:c>
      <x:c r="E143" s="2" t="n">
        <x:v>15</x:v>
      </x:c>
      <x:c r="F143" s="2" t="n">
        <x:f>COUNTA(E2_plantas!A8,E2_plantas!A9,E2_plantas!A20,E2_plantas!A21,E2_plantas!A32,E2_plantas!A33,E2_plantas!A44,E2_plantas!A45,E2_plantas!A56,E2_plantas!A57)</x:f>
        <x:v>10</x:v>
      </x:c>
      <x:c r="G143" s="2" t="n">
        <x:f>SUM(E2_diario!K269,E2_diario!K311,E2_diario!K773,E2_diario!K815,E2_diario!K1277,E2_diario!K1319,E2_diario!K1781,E2_diario!K1823,E2_diario!K2285,E2_diario!K2327)</x:f>
        <x:v>8</x:v>
      </x:c>
      <x:c r="H143" s="2" t="n">
        <x:f>SUM(IF(E2_diario!J269="N1",1,0),IF(E2_diario!J311="N1",1,0),IF(E2_diario!J773="N1",1,0),IF(E2_diario!J815="N1",1,0),IF(E2_diario!J1277="N1",1,0),IF(E2_diario!J1319="N1",1,0),IF(E2_diario!J1781="N1",1,0),IF(E2_diario!J1823="N1",1,0),IF(E2_diario!J2285="N1",1,0),IF(E2_diario!J2327="N1",1,0))</x:f>
        <x:v>0</x:v>
      </x:c>
      <x:c r="I143" s="2" t="n">
        <x:f>SUM(IF(E2_diario!J269="N2",1,0),IF(E2_diario!J311="N2",1,0),IF(E2_diario!J773="N2",1,0),IF(E2_diario!J815="N2",1,0),IF(E2_diario!J1277="N2",1,0),IF(E2_diario!J1319="N2",1,0),IF(E2_diario!J1781="N2",1,0),IF(E2_diario!J1823="N2",1,0),IF(E2_diario!J2285="N2",1,0),IF(E2_diario!J2327="N2",1,0))</x:f>
        <x:v>0</x:v>
      </x:c>
      <x:c r="J143" s="2" t="n">
        <x:f>SUM(IF(E2_diario!J269="N3",1,0),IF(E2_diario!J311="N3",1,0),IF(E2_diario!J773="N3",1,0),IF(E2_diario!J815="N3",1,0),IF(E2_diario!J1277="N3",1,0),IF(E2_diario!J1319="N3",1,0),IF(E2_diario!J1781="N3",1,0),IF(E2_diario!J1823="N3",1,0),IF(E2_diario!J2285="N3",1,0),IF(E2_diario!J2327="N3",1,0))</x:f>
        <x:v>0</x:v>
      </x:c>
      <x:c r="K143" s="2" t="n">
        <x:f>SUM(IF(E2_diario!J269="N4",1,0),IF(E2_diario!J311="N4",1,0),IF(E2_diario!J773="N4",1,0),IF(E2_diario!J815="N4",1,0),IF(E2_diario!J1277="N4",1,0),IF(E2_diario!J1319="N4",1,0),IF(E2_diario!J1781="N4",1,0),IF(E2_diario!J1823="N4",1,0),IF(E2_diario!J2285="N4",1,0),IF(E2_diario!J2327="N4",1,0))</x:f>
        <x:v>0</x:v>
      </x:c>
      <x:c r="L143" s="2" t="n">
        <x:f>SUM(IF(E2_diario!J269="adulta",1,0),IF(E2_diario!J311="adulta",1,0),IF(E2_diario!J773="adulta",1,0),IF(E2_diario!J815="adulta",1,0),IF(E2_diario!J1277="adulta",1,0),IF(E2_diario!J1319="adulta",1,0),IF(E2_diario!J1781="adulta",1,0),IF(E2_diario!J1823="adulta",1,0),IF(E2_diario!J2285="adulta",1,0),IF(E2_diario!J2327="adulta",1,0))</x:f>
        <x:v>8</x:v>
      </x:c>
      <x:c r="M143" s="2" t="n">
        <x:f>SUM(E2_diario!L269,E2_diario!L311,E2_diario!L773,E2_diario!L815,E2_diario!L1277,E2_diario!L1319,E2_diario!L1781,E2_diario!L1823,E2_diario!L2285,E2_diario!L2327)</x:f>
        <x:v>31</x:v>
      </x:c>
      <x:c r="N143" s="20" t="n">
        <x:f>G143/F143</x:f>
        <x:v>0.8</x:v>
      </x:c>
      <x:c r="O143" s="20" t="n">
        <x:f>IF(G143=0,0,M143/G143)</x:f>
        <x:v>3.875</x:v>
      </x:c>
      <x:c r="P143" s="20" t="n">
        <x:f>N143*O143</x:f>
        <x:v>3.1</x:v>
      </x:c>
      <x:c r="Q143" s="20" t="n">
        <x:f>H143/F143</x:f>
        <x:v>0</x:v>
      </x:c>
      <x:c r="R143" s="20" t="n">
        <x:f>I143/F143</x:f>
        <x:v>0</x:v>
      </x:c>
      <x:c r="S143" s="20" t="n">
        <x:f>J143/F143</x:f>
        <x:v>0</x:v>
      </x:c>
      <x:c r="T143" s="20" t="n">
        <x:f>K143/F143</x:f>
        <x:v>0</x:v>
      </x:c>
      <x:c r="U143" s="20" t="n">
        <x:f>L143/F143</x:f>
        <x:v>0.8</x:v>
      </x:c>
      <x:c r="V143" s="20" t="n">
        <x:f>IF(L143=0,0,M143/L143)</x:f>
        <x:v>3.875</x:v>
      </x:c>
      <x:c r="W143" s="20" t="n">
        <x:f>SUM(P$128:P143)</x:f>
        <x:v>22.3</x:v>
      </x:c>
      <x:c r="X143" s="2" t="n">
        <x:f>E143+Supuestos!$C$15</x:f>
        <x:v>16</x:v>
      </x:c>
      <x:c r="Y143" s="2" t="n">
        <x:f>F143-G143</x:f>
        <x:v>2</x:v>
      </x:c>
      <x:c r="Z143" s="2" t="str">
        <x:v>simulado_didactico</x:v>
      </x:c>
    </x:row>
    <x:row r="144" ht="19" customHeight="1">
      <x:c r="A144" s="2" t="str">
        <x:v>BB_L0</x:v>
      </x:c>
      <x:c r="B144" s="2" t="str">
        <x:v>BB</x:v>
      </x:c>
      <x:c r="C144" s="2" t="str">
        <x:v>Brevicoryne brassicae</x:v>
      </x:c>
      <x:c r="D144" s="2" t="str">
        <x:v>L0</x:v>
      </x:c>
      <x:c r="E144" s="2" t="n">
        <x:v>16</x:v>
      </x:c>
      <x:c r="F144" s="2" t="n">
        <x:f>COUNTA(E2_plantas!A8,E2_plantas!A9,E2_plantas!A20,E2_plantas!A21,E2_plantas!A32,E2_plantas!A33,E2_plantas!A44,E2_plantas!A45,E2_plantas!A56,E2_plantas!A57)</x:f>
        <x:v>10</x:v>
      </x:c>
      <x:c r="G144" s="2" t="n">
        <x:f>SUM(E2_diario!K270,E2_diario!K312,E2_diario!K774,E2_diario!K816,E2_diario!K1278,E2_diario!K1320,E2_diario!K1782,E2_diario!K1824,E2_diario!K2286,E2_diario!K2328)</x:f>
        <x:v>8</x:v>
      </x:c>
      <x:c r="H144" s="2" t="n">
        <x:f>SUM(IF(E2_diario!J270="N1",1,0),IF(E2_diario!J312="N1",1,0),IF(E2_diario!J774="N1",1,0),IF(E2_diario!J816="N1",1,0),IF(E2_diario!J1278="N1",1,0),IF(E2_diario!J1320="N1",1,0),IF(E2_diario!J1782="N1",1,0),IF(E2_diario!J1824="N1",1,0),IF(E2_diario!J2286="N1",1,0),IF(E2_diario!J2328="N1",1,0))</x:f>
        <x:v>0</x:v>
      </x:c>
      <x:c r="I144" s="2" t="n">
        <x:f>SUM(IF(E2_diario!J270="N2",1,0),IF(E2_diario!J312="N2",1,0),IF(E2_diario!J774="N2",1,0),IF(E2_diario!J816="N2",1,0),IF(E2_diario!J1278="N2",1,0),IF(E2_diario!J1320="N2",1,0),IF(E2_diario!J1782="N2",1,0),IF(E2_diario!J1824="N2",1,0),IF(E2_diario!J2286="N2",1,0),IF(E2_diario!J2328="N2",1,0))</x:f>
        <x:v>0</x:v>
      </x:c>
      <x:c r="J144" s="2" t="n">
        <x:f>SUM(IF(E2_diario!J270="N3",1,0),IF(E2_diario!J312="N3",1,0),IF(E2_diario!J774="N3",1,0),IF(E2_diario!J816="N3",1,0),IF(E2_diario!J1278="N3",1,0),IF(E2_diario!J1320="N3",1,0),IF(E2_diario!J1782="N3",1,0),IF(E2_diario!J1824="N3",1,0),IF(E2_diario!J2286="N3",1,0),IF(E2_diario!J2328="N3",1,0))</x:f>
        <x:v>0</x:v>
      </x:c>
      <x:c r="K144" s="2" t="n">
        <x:f>SUM(IF(E2_diario!J270="N4",1,0),IF(E2_diario!J312="N4",1,0),IF(E2_diario!J774="N4",1,0),IF(E2_diario!J816="N4",1,0),IF(E2_diario!J1278="N4",1,0),IF(E2_diario!J1320="N4",1,0),IF(E2_diario!J1782="N4",1,0),IF(E2_diario!J1824="N4",1,0),IF(E2_diario!J2286="N4",1,0),IF(E2_diario!J2328="N4",1,0))</x:f>
        <x:v>0</x:v>
      </x:c>
      <x:c r="L144" s="2" t="n">
        <x:f>SUM(IF(E2_diario!J270="adulta",1,0),IF(E2_diario!J312="adulta",1,0),IF(E2_diario!J774="adulta",1,0),IF(E2_diario!J816="adulta",1,0),IF(E2_diario!J1278="adulta",1,0),IF(E2_diario!J1320="adulta",1,0),IF(E2_diario!J1782="adulta",1,0),IF(E2_diario!J1824="adulta",1,0),IF(E2_diario!J2286="adulta",1,0),IF(E2_diario!J2328="adulta",1,0))</x:f>
        <x:v>8</x:v>
      </x:c>
      <x:c r="M144" s="2" t="n">
        <x:f>SUM(E2_diario!L270,E2_diario!L312,E2_diario!L774,E2_diario!L816,E2_diario!L1278,E2_diario!L1320,E2_diario!L1782,E2_diario!L1824,E2_diario!L2286,E2_diario!L2328)</x:f>
        <x:v>30</x:v>
      </x:c>
      <x:c r="N144" s="20" t="n">
        <x:f>G144/F144</x:f>
        <x:v>0.8</x:v>
      </x:c>
      <x:c r="O144" s="20" t="n">
        <x:f>IF(G144=0,0,M144/G144)</x:f>
        <x:v>3.75</x:v>
      </x:c>
      <x:c r="P144" s="20" t="n">
        <x:f>N144*O144</x:f>
        <x:v>3</x:v>
      </x:c>
      <x:c r="Q144" s="20" t="n">
        <x:f>H144/F144</x:f>
        <x:v>0</x:v>
      </x:c>
      <x:c r="R144" s="20" t="n">
        <x:f>I144/F144</x:f>
        <x:v>0</x:v>
      </x:c>
      <x:c r="S144" s="20" t="n">
        <x:f>J144/F144</x:f>
        <x:v>0</x:v>
      </x:c>
      <x:c r="T144" s="20" t="n">
        <x:f>K144/F144</x:f>
        <x:v>0</x:v>
      </x:c>
      <x:c r="U144" s="20" t="n">
        <x:f>L144/F144</x:f>
        <x:v>0.8</x:v>
      </x:c>
      <x:c r="V144" s="20" t="n">
        <x:f>IF(L144=0,0,M144/L144)</x:f>
        <x:v>3.75</x:v>
      </x:c>
      <x:c r="W144" s="20" t="n">
        <x:f>SUM(P$128:P144)</x:f>
        <x:v>25.3</x:v>
      </x:c>
      <x:c r="X144" s="2" t="n">
        <x:f>E144+Supuestos!$C$15</x:f>
        <x:v>17</x:v>
      </x:c>
      <x:c r="Y144" s="2" t="n">
        <x:f>F144-G144</x:f>
        <x:v>2</x:v>
      </x:c>
      <x:c r="Z144" s="2" t="str">
        <x:v>simulado_didactico</x:v>
      </x:c>
    </x:row>
    <x:row r="145" ht="19" customHeight="1">
      <x:c r="A145" s="2" t="str">
        <x:v>BB_L0</x:v>
      </x:c>
      <x:c r="B145" s="2" t="str">
        <x:v>BB</x:v>
      </x:c>
      <x:c r="C145" s="2" t="str">
        <x:v>Brevicoryne brassicae</x:v>
      </x:c>
      <x:c r="D145" s="2" t="str">
        <x:v>L0</x:v>
      </x:c>
      <x:c r="E145" s="2" t="n">
        <x:v>17</x:v>
      </x:c>
      <x:c r="F145" s="2" t="n">
        <x:f>COUNTA(E2_plantas!A8,E2_plantas!A9,E2_plantas!A20,E2_plantas!A21,E2_plantas!A32,E2_plantas!A33,E2_plantas!A44,E2_plantas!A45,E2_plantas!A56,E2_plantas!A57)</x:f>
        <x:v>10</x:v>
      </x:c>
      <x:c r="G145" s="2" t="n">
        <x:f>SUM(E2_diario!K271,E2_diario!K313,E2_diario!K775,E2_diario!K817,E2_diario!K1279,E2_diario!K1321,E2_diario!K1783,E2_diario!K1825,E2_diario!K2287,E2_diario!K2329)</x:f>
        <x:v>8</x:v>
      </x:c>
      <x:c r="H145" s="2" t="n">
        <x:f>SUM(IF(E2_diario!J271="N1",1,0),IF(E2_diario!J313="N1",1,0),IF(E2_diario!J775="N1",1,0),IF(E2_diario!J817="N1",1,0),IF(E2_diario!J1279="N1",1,0),IF(E2_diario!J1321="N1",1,0),IF(E2_diario!J1783="N1",1,0),IF(E2_diario!J1825="N1",1,0),IF(E2_diario!J2287="N1",1,0),IF(E2_diario!J2329="N1",1,0))</x:f>
        <x:v>0</x:v>
      </x:c>
      <x:c r="I145" s="2" t="n">
        <x:f>SUM(IF(E2_diario!J271="N2",1,0),IF(E2_diario!J313="N2",1,0),IF(E2_diario!J775="N2",1,0),IF(E2_diario!J817="N2",1,0),IF(E2_diario!J1279="N2",1,0),IF(E2_diario!J1321="N2",1,0),IF(E2_diario!J1783="N2",1,0),IF(E2_diario!J1825="N2",1,0),IF(E2_diario!J2287="N2",1,0),IF(E2_diario!J2329="N2",1,0))</x:f>
        <x:v>0</x:v>
      </x:c>
      <x:c r="J145" s="2" t="n">
        <x:f>SUM(IF(E2_diario!J271="N3",1,0),IF(E2_diario!J313="N3",1,0),IF(E2_diario!J775="N3",1,0),IF(E2_diario!J817="N3",1,0),IF(E2_diario!J1279="N3",1,0),IF(E2_diario!J1321="N3",1,0),IF(E2_diario!J1783="N3",1,0),IF(E2_diario!J1825="N3",1,0),IF(E2_diario!J2287="N3",1,0),IF(E2_diario!J2329="N3",1,0))</x:f>
        <x:v>0</x:v>
      </x:c>
      <x:c r="K145" s="2" t="n">
        <x:f>SUM(IF(E2_diario!J271="N4",1,0),IF(E2_diario!J313="N4",1,0),IF(E2_diario!J775="N4",1,0),IF(E2_diario!J817="N4",1,0),IF(E2_diario!J1279="N4",1,0),IF(E2_diario!J1321="N4",1,0),IF(E2_diario!J1783="N4",1,0),IF(E2_diario!J1825="N4",1,0),IF(E2_diario!J2287="N4",1,0),IF(E2_diario!J2329="N4",1,0))</x:f>
        <x:v>0</x:v>
      </x:c>
      <x:c r="L145" s="2" t="n">
        <x:f>SUM(IF(E2_diario!J271="adulta",1,0),IF(E2_diario!J313="adulta",1,0),IF(E2_diario!J775="adulta",1,0),IF(E2_diario!J817="adulta",1,0),IF(E2_diario!J1279="adulta",1,0),IF(E2_diario!J1321="adulta",1,0),IF(E2_diario!J1783="adulta",1,0),IF(E2_diario!J1825="adulta",1,0),IF(E2_diario!J2287="adulta",1,0),IF(E2_diario!J2329="adulta",1,0))</x:f>
        <x:v>8</x:v>
      </x:c>
      <x:c r="M145" s="2" t="n">
        <x:f>SUM(E2_diario!L271,E2_diario!L313,E2_diario!L775,E2_diario!L817,E2_diario!L1279,E2_diario!L1321,E2_diario!L1783,E2_diario!L1825,E2_diario!L2287,E2_diario!L2329)</x:f>
        <x:v>29</x:v>
      </x:c>
      <x:c r="N145" s="20" t="n">
        <x:f>G145/F145</x:f>
        <x:v>0.8</x:v>
      </x:c>
      <x:c r="O145" s="20" t="n">
        <x:f>IF(G145=0,0,M145/G145)</x:f>
        <x:v>3.625</x:v>
      </x:c>
      <x:c r="P145" s="20" t="n">
        <x:f>N145*O145</x:f>
        <x:v>2.9000000000000004</x:v>
      </x:c>
      <x:c r="Q145" s="20" t="n">
        <x:f>H145/F145</x:f>
        <x:v>0</x:v>
      </x:c>
      <x:c r="R145" s="20" t="n">
        <x:f>I145/F145</x:f>
        <x:v>0</x:v>
      </x:c>
      <x:c r="S145" s="20" t="n">
        <x:f>J145/F145</x:f>
        <x:v>0</x:v>
      </x:c>
      <x:c r="T145" s="20" t="n">
        <x:f>K145/F145</x:f>
        <x:v>0</x:v>
      </x:c>
      <x:c r="U145" s="20" t="n">
        <x:f>L145/F145</x:f>
        <x:v>0.8</x:v>
      </x:c>
      <x:c r="V145" s="20" t="n">
        <x:f>IF(L145=0,0,M145/L145)</x:f>
        <x:v>3.625</x:v>
      </x:c>
      <x:c r="W145" s="20" t="n">
        <x:f>SUM(P$128:P145)</x:f>
        <x:v>28.200000000000003</x:v>
      </x:c>
      <x:c r="X145" s="2" t="n">
        <x:f>E145+Supuestos!$C$15</x:f>
        <x:v>18</x:v>
      </x:c>
      <x:c r="Y145" s="2" t="n">
        <x:f>F145-G145</x:f>
        <x:v>2</x:v>
      </x:c>
      <x:c r="Z145" s="2" t="str">
        <x:v>simulado_didactico</x:v>
      </x:c>
    </x:row>
    <x:row r="146" ht="19" customHeight="1">
      <x:c r="A146" s="2" t="str">
        <x:v>BB_L0</x:v>
      </x:c>
      <x:c r="B146" s="2" t="str">
        <x:v>BB</x:v>
      </x:c>
      <x:c r="C146" s="2" t="str">
        <x:v>Brevicoryne brassicae</x:v>
      </x:c>
      <x:c r="D146" s="2" t="str">
        <x:v>L0</x:v>
      </x:c>
      <x:c r="E146" s="2" t="n">
        <x:v>18</x:v>
      </x:c>
      <x:c r="F146" s="2" t="n">
        <x:f>COUNTA(E2_plantas!A8,E2_plantas!A9,E2_plantas!A20,E2_plantas!A21,E2_plantas!A32,E2_plantas!A33,E2_plantas!A44,E2_plantas!A45,E2_plantas!A56,E2_plantas!A57)</x:f>
        <x:v>10</x:v>
      </x:c>
      <x:c r="G146" s="2" t="n">
        <x:f>SUM(E2_diario!K272,E2_diario!K314,E2_diario!K776,E2_diario!K818,E2_diario!K1280,E2_diario!K1322,E2_diario!K1784,E2_diario!K1826,E2_diario!K2288,E2_diario!K2330)</x:f>
        <x:v>8</x:v>
      </x:c>
      <x:c r="H146" s="2" t="n">
        <x:f>SUM(IF(E2_diario!J272="N1",1,0),IF(E2_diario!J314="N1",1,0),IF(E2_diario!J776="N1",1,0),IF(E2_diario!J818="N1",1,0),IF(E2_diario!J1280="N1",1,0),IF(E2_diario!J1322="N1",1,0),IF(E2_diario!J1784="N1",1,0),IF(E2_diario!J1826="N1",1,0),IF(E2_diario!J2288="N1",1,0),IF(E2_diario!J2330="N1",1,0))</x:f>
        <x:v>0</x:v>
      </x:c>
      <x:c r="I146" s="2" t="n">
        <x:f>SUM(IF(E2_diario!J272="N2",1,0),IF(E2_diario!J314="N2",1,0),IF(E2_diario!J776="N2",1,0),IF(E2_diario!J818="N2",1,0),IF(E2_diario!J1280="N2",1,0),IF(E2_diario!J1322="N2",1,0),IF(E2_diario!J1784="N2",1,0),IF(E2_diario!J1826="N2",1,0),IF(E2_diario!J2288="N2",1,0),IF(E2_diario!J2330="N2",1,0))</x:f>
        <x:v>0</x:v>
      </x:c>
      <x:c r="J146" s="2" t="n">
        <x:f>SUM(IF(E2_diario!J272="N3",1,0),IF(E2_diario!J314="N3",1,0),IF(E2_diario!J776="N3",1,0),IF(E2_diario!J818="N3",1,0),IF(E2_diario!J1280="N3",1,0),IF(E2_diario!J1322="N3",1,0),IF(E2_diario!J1784="N3",1,0),IF(E2_diario!J1826="N3",1,0),IF(E2_diario!J2288="N3",1,0),IF(E2_diario!J2330="N3",1,0))</x:f>
        <x:v>0</x:v>
      </x:c>
      <x:c r="K146" s="2" t="n">
        <x:f>SUM(IF(E2_diario!J272="N4",1,0),IF(E2_diario!J314="N4",1,0),IF(E2_diario!J776="N4",1,0),IF(E2_diario!J818="N4",1,0),IF(E2_diario!J1280="N4",1,0),IF(E2_diario!J1322="N4",1,0),IF(E2_diario!J1784="N4",1,0),IF(E2_diario!J1826="N4",1,0),IF(E2_diario!J2288="N4",1,0),IF(E2_diario!J2330="N4",1,0))</x:f>
        <x:v>0</x:v>
      </x:c>
      <x:c r="L146" s="2" t="n">
        <x:f>SUM(IF(E2_diario!J272="adulta",1,0),IF(E2_diario!J314="adulta",1,0),IF(E2_diario!J776="adulta",1,0),IF(E2_diario!J818="adulta",1,0),IF(E2_diario!J1280="adulta",1,0),IF(E2_diario!J1322="adulta",1,0),IF(E2_diario!J1784="adulta",1,0),IF(E2_diario!J1826="adulta",1,0),IF(E2_diario!J2288="adulta",1,0),IF(E2_diario!J2330="adulta",1,0))</x:f>
        <x:v>8</x:v>
      </x:c>
      <x:c r="M146" s="2" t="n">
        <x:f>SUM(E2_diario!L272,E2_diario!L314,E2_diario!L776,E2_diario!L818,E2_diario!L1280,E2_diario!L1322,E2_diario!L1784,E2_diario!L1826,E2_diario!L2288,E2_diario!L2330)</x:f>
        <x:v>29</x:v>
      </x:c>
      <x:c r="N146" s="20" t="n">
        <x:f>G146/F146</x:f>
        <x:v>0.8</x:v>
      </x:c>
      <x:c r="O146" s="20" t="n">
        <x:f>IF(G146=0,0,M146/G146)</x:f>
        <x:v>3.625</x:v>
      </x:c>
      <x:c r="P146" s="20" t="n">
        <x:f>N146*O146</x:f>
        <x:v>2.9000000000000004</x:v>
      </x:c>
      <x:c r="Q146" s="20" t="n">
        <x:f>H146/F146</x:f>
        <x:v>0</x:v>
      </x:c>
      <x:c r="R146" s="20" t="n">
        <x:f>I146/F146</x:f>
        <x:v>0</x:v>
      </x:c>
      <x:c r="S146" s="20" t="n">
        <x:f>J146/F146</x:f>
        <x:v>0</x:v>
      </x:c>
      <x:c r="T146" s="20" t="n">
        <x:f>K146/F146</x:f>
        <x:v>0</x:v>
      </x:c>
      <x:c r="U146" s="20" t="n">
        <x:f>L146/F146</x:f>
        <x:v>0.8</x:v>
      </x:c>
      <x:c r="V146" s="20" t="n">
        <x:f>IF(L146=0,0,M146/L146)</x:f>
        <x:v>3.625</x:v>
      </x:c>
      <x:c r="W146" s="20" t="n">
        <x:f>SUM(P$128:P146)</x:f>
        <x:v>31.1</x:v>
      </x:c>
      <x:c r="X146" s="2" t="n">
        <x:f>E146+Supuestos!$C$15</x:f>
        <x:v>19</x:v>
      </x:c>
      <x:c r="Y146" s="2" t="n">
        <x:f>F146-G146</x:f>
        <x:v>2</x:v>
      </x:c>
      <x:c r="Z146" s="2" t="str">
        <x:v>simulado_didactico</x:v>
      </x:c>
    </x:row>
    <x:row r="147" ht="19" customHeight="1">
      <x:c r="A147" s="2" t="str">
        <x:v>BB_L0</x:v>
      </x:c>
      <x:c r="B147" s="2" t="str">
        <x:v>BB</x:v>
      </x:c>
      <x:c r="C147" s="2" t="str">
        <x:v>Brevicoryne brassicae</x:v>
      </x:c>
      <x:c r="D147" s="2" t="str">
        <x:v>L0</x:v>
      </x:c>
      <x:c r="E147" s="2" t="n">
        <x:v>19</x:v>
      </x:c>
      <x:c r="F147" s="2" t="n">
        <x:f>COUNTA(E2_plantas!A8,E2_plantas!A9,E2_plantas!A20,E2_plantas!A21,E2_plantas!A32,E2_plantas!A33,E2_plantas!A44,E2_plantas!A45,E2_plantas!A56,E2_plantas!A57)</x:f>
        <x:v>10</x:v>
      </x:c>
      <x:c r="G147" s="2" t="n">
        <x:f>SUM(E2_diario!K273,E2_diario!K315,E2_diario!K777,E2_diario!K819,E2_diario!K1281,E2_diario!K1323,E2_diario!K1785,E2_diario!K1827,E2_diario!K2289,E2_diario!K2331)</x:f>
        <x:v>8</x:v>
      </x:c>
      <x:c r="H147" s="2" t="n">
        <x:f>SUM(IF(E2_diario!J273="N1",1,0),IF(E2_diario!J315="N1",1,0),IF(E2_diario!J777="N1",1,0),IF(E2_diario!J819="N1",1,0),IF(E2_diario!J1281="N1",1,0),IF(E2_diario!J1323="N1",1,0),IF(E2_diario!J1785="N1",1,0),IF(E2_diario!J1827="N1",1,0),IF(E2_diario!J2289="N1",1,0),IF(E2_diario!J2331="N1",1,0))</x:f>
        <x:v>0</x:v>
      </x:c>
      <x:c r="I147" s="2" t="n">
        <x:f>SUM(IF(E2_diario!J273="N2",1,0),IF(E2_diario!J315="N2",1,0),IF(E2_diario!J777="N2",1,0),IF(E2_diario!J819="N2",1,0),IF(E2_diario!J1281="N2",1,0),IF(E2_diario!J1323="N2",1,0),IF(E2_diario!J1785="N2",1,0),IF(E2_diario!J1827="N2",1,0),IF(E2_diario!J2289="N2",1,0),IF(E2_diario!J2331="N2",1,0))</x:f>
        <x:v>0</x:v>
      </x:c>
      <x:c r="J147" s="2" t="n">
        <x:f>SUM(IF(E2_diario!J273="N3",1,0),IF(E2_diario!J315="N3",1,0),IF(E2_diario!J777="N3",1,0),IF(E2_diario!J819="N3",1,0),IF(E2_diario!J1281="N3",1,0),IF(E2_diario!J1323="N3",1,0),IF(E2_diario!J1785="N3",1,0),IF(E2_diario!J1827="N3",1,0),IF(E2_diario!J2289="N3",1,0),IF(E2_diario!J2331="N3",1,0))</x:f>
        <x:v>0</x:v>
      </x:c>
      <x:c r="K147" s="2" t="n">
        <x:f>SUM(IF(E2_diario!J273="N4",1,0),IF(E2_diario!J315="N4",1,0),IF(E2_diario!J777="N4",1,0),IF(E2_diario!J819="N4",1,0),IF(E2_diario!J1281="N4",1,0),IF(E2_diario!J1323="N4",1,0),IF(E2_diario!J1785="N4",1,0),IF(E2_diario!J1827="N4",1,0),IF(E2_diario!J2289="N4",1,0),IF(E2_diario!J2331="N4",1,0))</x:f>
        <x:v>0</x:v>
      </x:c>
      <x:c r="L147" s="2" t="n">
        <x:f>SUM(IF(E2_diario!J273="adulta",1,0),IF(E2_diario!J315="adulta",1,0),IF(E2_diario!J777="adulta",1,0),IF(E2_diario!J819="adulta",1,0),IF(E2_diario!J1281="adulta",1,0),IF(E2_diario!J1323="adulta",1,0),IF(E2_diario!J1785="adulta",1,0),IF(E2_diario!J1827="adulta",1,0),IF(E2_diario!J2289="adulta",1,0),IF(E2_diario!J2331="adulta",1,0))</x:f>
        <x:v>8</x:v>
      </x:c>
      <x:c r="M147" s="2" t="n">
        <x:f>SUM(E2_diario!L273,E2_diario!L315,E2_diario!L777,E2_diario!L819,E2_diario!L1281,E2_diario!L1323,E2_diario!L1785,E2_diario!L1827,E2_diario!L2289,E2_diario!L2331)</x:f>
        <x:v>22</x:v>
      </x:c>
      <x:c r="N147" s="20" t="n">
        <x:f>G147/F147</x:f>
        <x:v>0.8</x:v>
      </x:c>
      <x:c r="O147" s="20" t="n">
        <x:f>IF(G147=0,0,M147/G147)</x:f>
        <x:v>2.75</x:v>
      </x:c>
      <x:c r="P147" s="20" t="n">
        <x:f>N147*O147</x:f>
        <x:v>2.2</x:v>
      </x:c>
      <x:c r="Q147" s="20" t="n">
        <x:f>H147/F147</x:f>
        <x:v>0</x:v>
      </x:c>
      <x:c r="R147" s="20" t="n">
        <x:f>I147/F147</x:f>
        <x:v>0</x:v>
      </x:c>
      <x:c r="S147" s="20" t="n">
        <x:f>J147/F147</x:f>
        <x:v>0</x:v>
      </x:c>
      <x:c r="T147" s="20" t="n">
        <x:f>K147/F147</x:f>
        <x:v>0</x:v>
      </x:c>
      <x:c r="U147" s="20" t="n">
        <x:f>L147/F147</x:f>
        <x:v>0.8</x:v>
      </x:c>
      <x:c r="V147" s="20" t="n">
        <x:f>IF(L147=0,0,M147/L147)</x:f>
        <x:v>2.75</x:v>
      </x:c>
      <x:c r="W147" s="20" t="n">
        <x:f>SUM(P$128:P147)</x:f>
        <x:v>33.300000000000004</x:v>
      </x:c>
      <x:c r="X147" s="2" t="n">
        <x:f>E147+Supuestos!$C$15</x:f>
        <x:v>20</x:v>
      </x:c>
      <x:c r="Y147" s="2" t="n">
        <x:f>F147-G147</x:f>
        <x:v>2</x:v>
      </x:c>
      <x:c r="Z147" s="2" t="str">
        <x:v>simulado_didactico</x:v>
      </x:c>
    </x:row>
    <x:row r="148" ht="19" customHeight="1">
      <x:c r="A148" s="2" t="str">
        <x:v>BB_L0</x:v>
      </x:c>
      <x:c r="B148" s="2" t="str">
        <x:v>BB</x:v>
      </x:c>
      <x:c r="C148" s="2" t="str">
        <x:v>Brevicoryne brassicae</x:v>
      </x:c>
      <x:c r="D148" s="2" t="str">
        <x:v>L0</x:v>
      </x:c>
      <x:c r="E148" s="2" t="n">
        <x:v>20</x:v>
      </x:c>
      <x:c r="F148" s="2" t="n">
        <x:f>COUNTA(E2_plantas!A8,E2_plantas!A9,E2_plantas!A20,E2_plantas!A21,E2_plantas!A32,E2_plantas!A33,E2_plantas!A44,E2_plantas!A45,E2_plantas!A56,E2_plantas!A57)</x:f>
        <x:v>10</x:v>
      </x:c>
      <x:c r="G148" s="2" t="n">
        <x:f>SUM(E2_diario!K274,E2_diario!K316,E2_diario!K778,E2_diario!K820,E2_diario!K1282,E2_diario!K1324,E2_diario!K1786,E2_diario!K1828,E2_diario!K2290,E2_diario!K2332)</x:f>
        <x:v>8</x:v>
      </x:c>
      <x:c r="H148" s="2" t="n">
        <x:f>SUM(IF(E2_diario!J274="N1",1,0),IF(E2_diario!J316="N1",1,0),IF(E2_diario!J778="N1",1,0),IF(E2_diario!J820="N1",1,0),IF(E2_diario!J1282="N1",1,0),IF(E2_diario!J1324="N1",1,0),IF(E2_diario!J1786="N1",1,0),IF(E2_diario!J1828="N1",1,0),IF(E2_diario!J2290="N1",1,0),IF(E2_diario!J2332="N1",1,0))</x:f>
        <x:v>0</x:v>
      </x:c>
      <x:c r="I148" s="2" t="n">
        <x:f>SUM(IF(E2_diario!J274="N2",1,0),IF(E2_diario!J316="N2",1,0),IF(E2_diario!J778="N2",1,0),IF(E2_diario!J820="N2",1,0),IF(E2_diario!J1282="N2",1,0),IF(E2_diario!J1324="N2",1,0),IF(E2_diario!J1786="N2",1,0),IF(E2_diario!J1828="N2",1,0),IF(E2_diario!J2290="N2",1,0),IF(E2_diario!J2332="N2",1,0))</x:f>
        <x:v>0</x:v>
      </x:c>
      <x:c r="J148" s="2" t="n">
        <x:f>SUM(IF(E2_diario!J274="N3",1,0),IF(E2_diario!J316="N3",1,0),IF(E2_diario!J778="N3",1,0),IF(E2_diario!J820="N3",1,0),IF(E2_diario!J1282="N3",1,0),IF(E2_diario!J1324="N3",1,0),IF(E2_diario!J1786="N3",1,0),IF(E2_diario!J1828="N3",1,0),IF(E2_diario!J2290="N3",1,0),IF(E2_diario!J2332="N3",1,0))</x:f>
        <x:v>0</x:v>
      </x:c>
      <x:c r="K148" s="2" t="n">
        <x:f>SUM(IF(E2_diario!J274="N4",1,0),IF(E2_diario!J316="N4",1,0),IF(E2_diario!J778="N4",1,0),IF(E2_diario!J820="N4",1,0),IF(E2_diario!J1282="N4",1,0),IF(E2_diario!J1324="N4",1,0),IF(E2_diario!J1786="N4",1,0),IF(E2_diario!J1828="N4",1,0),IF(E2_diario!J2290="N4",1,0),IF(E2_diario!J2332="N4",1,0))</x:f>
        <x:v>0</x:v>
      </x:c>
      <x:c r="L148" s="2" t="n">
        <x:f>SUM(IF(E2_diario!J274="adulta",1,0),IF(E2_diario!J316="adulta",1,0),IF(E2_diario!J778="adulta",1,0),IF(E2_diario!J820="adulta",1,0),IF(E2_diario!J1282="adulta",1,0),IF(E2_diario!J1324="adulta",1,0),IF(E2_diario!J1786="adulta",1,0),IF(E2_diario!J1828="adulta",1,0),IF(E2_diario!J2290="adulta",1,0),IF(E2_diario!J2332="adulta",1,0))</x:f>
        <x:v>8</x:v>
      </x:c>
      <x:c r="M148" s="2" t="n">
        <x:f>SUM(E2_diario!L274,E2_diario!L316,E2_diario!L778,E2_diario!L820,E2_diario!L1282,E2_diario!L1324,E2_diario!L1786,E2_diario!L1828,E2_diario!L2290,E2_diario!L2332)</x:f>
        <x:v>27</x:v>
      </x:c>
      <x:c r="N148" s="20" t="n">
        <x:f>G148/F148</x:f>
        <x:v>0.8</x:v>
      </x:c>
      <x:c r="O148" s="20" t="n">
        <x:f>IF(G148=0,0,M148/G148)</x:f>
        <x:v>3.375</x:v>
      </x:c>
      <x:c r="P148" s="20" t="n">
        <x:f>N148*O148</x:f>
        <x:v>2.7</x:v>
      </x:c>
      <x:c r="Q148" s="20" t="n">
        <x:f>H148/F148</x:f>
        <x:v>0</x:v>
      </x:c>
      <x:c r="R148" s="20" t="n">
        <x:f>I148/F148</x:f>
        <x:v>0</x:v>
      </x:c>
      <x:c r="S148" s="20" t="n">
        <x:f>J148/F148</x:f>
        <x:v>0</x:v>
      </x:c>
      <x:c r="T148" s="20" t="n">
        <x:f>K148/F148</x:f>
        <x:v>0</x:v>
      </x:c>
      <x:c r="U148" s="20" t="n">
        <x:f>L148/F148</x:f>
        <x:v>0.8</x:v>
      </x:c>
      <x:c r="V148" s="20" t="n">
        <x:f>IF(L148=0,0,M148/L148)</x:f>
        <x:v>3.375</x:v>
      </x:c>
      <x:c r="W148" s="20" t="n">
        <x:f>SUM(P$128:P148)</x:f>
        <x:v>36.00000000000001</x:v>
      </x:c>
      <x:c r="X148" s="2" t="n">
        <x:f>E148+Supuestos!$C$15</x:f>
        <x:v>21</x:v>
      </x:c>
      <x:c r="Y148" s="2" t="n">
        <x:f>F148-G148</x:f>
        <x:v>2</x:v>
      </x:c>
      <x:c r="Z148" s="2" t="str">
        <x:v>simulado_didactico</x:v>
      </x:c>
    </x:row>
    <x:row r="149" ht="19" customHeight="1">
      <x:c r="A149" s="2" t="str">
        <x:v>BB_L0</x:v>
      </x:c>
      <x:c r="B149" s="2" t="str">
        <x:v>BB</x:v>
      </x:c>
      <x:c r="C149" s="2" t="str">
        <x:v>Brevicoryne brassicae</x:v>
      </x:c>
      <x:c r="D149" s="2" t="str">
        <x:v>L0</x:v>
      </x:c>
      <x:c r="E149" s="2" t="n">
        <x:v>21</x:v>
      </x:c>
      <x:c r="F149" s="2" t="n">
        <x:f>COUNTA(E2_plantas!A8,E2_plantas!A9,E2_plantas!A20,E2_plantas!A21,E2_plantas!A32,E2_plantas!A33,E2_plantas!A44,E2_plantas!A45,E2_plantas!A56,E2_plantas!A57)</x:f>
        <x:v>10</x:v>
      </x:c>
      <x:c r="G149" s="2" t="n">
        <x:f>SUM(E2_diario!K275,E2_diario!K317,E2_diario!K779,E2_diario!K821,E2_diario!K1283,E2_diario!K1325,E2_diario!K1787,E2_diario!K1829,E2_diario!K2291,E2_diario!K2333)</x:f>
        <x:v>8</x:v>
      </x:c>
      <x:c r="H149" s="2" t="n">
        <x:f>SUM(IF(E2_diario!J275="N1",1,0),IF(E2_diario!J317="N1",1,0),IF(E2_diario!J779="N1",1,0),IF(E2_diario!J821="N1",1,0),IF(E2_diario!J1283="N1",1,0),IF(E2_diario!J1325="N1",1,0),IF(E2_diario!J1787="N1",1,0),IF(E2_diario!J1829="N1",1,0),IF(E2_diario!J2291="N1",1,0),IF(E2_diario!J2333="N1",1,0))</x:f>
        <x:v>0</x:v>
      </x:c>
      <x:c r="I149" s="2" t="n">
        <x:f>SUM(IF(E2_diario!J275="N2",1,0),IF(E2_diario!J317="N2",1,0),IF(E2_diario!J779="N2",1,0),IF(E2_diario!J821="N2",1,0),IF(E2_diario!J1283="N2",1,0),IF(E2_diario!J1325="N2",1,0),IF(E2_diario!J1787="N2",1,0),IF(E2_diario!J1829="N2",1,0),IF(E2_diario!J2291="N2",1,0),IF(E2_diario!J2333="N2",1,0))</x:f>
        <x:v>0</x:v>
      </x:c>
      <x:c r="J149" s="2" t="n">
        <x:f>SUM(IF(E2_diario!J275="N3",1,0),IF(E2_diario!J317="N3",1,0),IF(E2_diario!J779="N3",1,0),IF(E2_diario!J821="N3",1,0),IF(E2_diario!J1283="N3",1,0),IF(E2_diario!J1325="N3",1,0),IF(E2_diario!J1787="N3",1,0),IF(E2_diario!J1829="N3",1,0),IF(E2_diario!J2291="N3",1,0),IF(E2_diario!J2333="N3",1,0))</x:f>
        <x:v>0</x:v>
      </x:c>
      <x:c r="K149" s="2" t="n">
        <x:f>SUM(IF(E2_diario!J275="N4",1,0),IF(E2_diario!J317="N4",1,0),IF(E2_diario!J779="N4",1,0),IF(E2_diario!J821="N4",1,0),IF(E2_diario!J1283="N4",1,0),IF(E2_diario!J1325="N4",1,0),IF(E2_diario!J1787="N4",1,0),IF(E2_diario!J1829="N4",1,0),IF(E2_diario!J2291="N4",1,0),IF(E2_diario!J2333="N4",1,0))</x:f>
        <x:v>0</x:v>
      </x:c>
      <x:c r="L149" s="2" t="n">
        <x:f>SUM(IF(E2_diario!J275="adulta",1,0),IF(E2_diario!J317="adulta",1,0),IF(E2_diario!J779="adulta",1,0),IF(E2_diario!J821="adulta",1,0),IF(E2_diario!J1283="adulta",1,0),IF(E2_diario!J1325="adulta",1,0),IF(E2_diario!J1787="adulta",1,0),IF(E2_diario!J1829="adulta",1,0),IF(E2_diario!J2291="adulta",1,0),IF(E2_diario!J2333="adulta",1,0))</x:f>
        <x:v>8</x:v>
      </x:c>
      <x:c r="M149" s="2" t="n">
        <x:f>SUM(E2_diario!L275,E2_diario!L317,E2_diario!L779,E2_diario!L821,E2_diario!L1283,E2_diario!L1325,E2_diario!L1787,E2_diario!L1829,E2_diario!L2291,E2_diario!L2333)</x:f>
        <x:v>23</x:v>
      </x:c>
      <x:c r="N149" s="20" t="n">
        <x:f>G149/F149</x:f>
        <x:v>0.8</x:v>
      </x:c>
      <x:c r="O149" s="20" t="n">
        <x:f>IF(G149=0,0,M149/G149)</x:f>
        <x:v>2.875</x:v>
      </x:c>
      <x:c r="P149" s="20" t="n">
        <x:f>N149*O149</x:f>
        <x:v>2.3000000000000003</x:v>
      </x:c>
      <x:c r="Q149" s="20" t="n">
        <x:f>H149/F149</x:f>
        <x:v>0</x:v>
      </x:c>
      <x:c r="R149" s="20" t="n">
        <x:f>I149/F149</x:f>
        <x:v>0</x:v>
      </x:c>
      <x:c r="S149" s="20" t="n">
        <x:f>J149/F149</x:f>
        <x:v>0</x:v>
      </x:c>
      <x:c r="T149" s="20" t="n">
        <x:f>K149/F149</x:f>
        <x:v>0</x:v>
      </x:c>
      <x:c r="U149" s="20" t="n">
        <x:f>L149/F149</x:f>
        <x:v>0.8</x:v>
      </x:c>
      <x:c r="V149" s="20" t="n">
        <x:f>IF(L149=0,0,M149/L149)</x:f>
        <x:v>2.875</x:v>
      </x:c>
      <x:c r="W149" s="20" t="n">
        <x:f>SUM(P$128:P149)</x:f>
        <x:v>38.300000000000004</x:v>
      </x:c>
      <x:c r="X149" s="2" t="n">
        <x:f>E149+Supuestos!$C$15</x:f>
        <x:v>22</x:v>
      </x:c>
      <x:c r="Y149" s="2" t="n">
        <x:f>F149-G149</x:f>
        <x:v>2</x:v>
      </x:c>
      <x:c r="Z149" s="2" t="str">
        <x:v>simulado_didactico</x:v>
      </x:c>
    </x:row>
    <x:row r="150" ht="19" customHeight="1">
      <x:c r="A150" s="2" t="str">
        <x:v>BB_L0</x:v>
      </x:c>
      <x:c r="B150" s="2" t="str">
        <x:v>BB</x:v>
      </x:c>
      <x:c r="C150" s="2" t="str">
        <x:v>Brevicoryne brassicae</x:v>
      </x:c>
      <x:c r="D150" s="2" t="str">
        <x:v>L0</x:v>
      </x:c>
      <x:c r="E150" s="2" t="n">
        <x:v>22</x:v>
      </x:c>
      <x:c r="F150" s="2" t="n">
        <x:f>COUNTA(E2_plantas!A8,E2_plantas!A9,E2_plantas!A20,E2_plantas!A21,E2_plantas!A32,E2_plantas!A33,E2_plantas!A44,E2_plantas!A45,E2_plantas!A56,E2_plantas!A57)</x:f>
        <x:v>10</x:v>
      </x:c>
      <x:c r="G150" s="2" t="n">
        <x:f>SUM(E2_diario!K276,E2_diario!K318,E2_diario!K780,E2_diario!K822,E2_diario!K1284,E2_diario!K1326,E2_diario!K1788,E2_diario!K1830,E2_diario!K2292,E2_diario!K2334)</x:f>
        <x:v>8</x:v>
      </x:c>
      <x:c r="H150" s="2" t="n">
        <x:f>SUM(IF(E2_diario!J276="N1",1,0),IF(E2_diario!J318="N1",1,0),IF(E2_diario!J780="N1",1,0),IF(E2_diario!J822="N1",1,0),IF(E2_diario!J1284="N1",1,0),IF(E2_diario!J1326="N1",1,0),IF(E2_diario!J1788="N1",1,0),IF(E2_diario!J1830="N1",1,0),IF(E2_diario!J2292="N1",1,0),IF(E2_diario!J2334="N1",1,0))</x:f>
        <x:v>0</x:v>
      </x:c>
      <x:c r="I150" s="2" t="n">
        <x:f>SUM(IF(E2_diario!J276="N2",1,0),IF(E2_diario!J318="N2",1,0),IF(E2_diario!J780="N2",1,0),IF(E2_diario!J822="N2",1,0),IF(E2_diario!J1284="N2",1,0),IF(E2_diario!J1326="N2",1,0),IF(E2_diario!J1788="N2",1,0),IF(E2_diario!J1830="N2",1,0),IF(E2_diario!J2292="N2",1,0),IF(E2_diario!J2334="N2",1,0))</x:f>
        <x:v>0</x:v>
      </x:c>
      <x:c r="J150" s="2" t="n">
        <x:f>SUM(IF(E2_diario!J276="N3",1,0),IF(E2_diario!J318="N3",1,0),IF(E2_diario!J780="N3",1,0),IF(E2_diario!J822="N3",1,0),IF(E2_diario!J1284="N3",1,0),IF(E2_diario!J1326="N3",1,0),IF(E2_diario!J1788="N3",1,0),IF(E2_diario!J1830="N3",1,0),IF(E2_diario!J2292="N3",1,0),IF(E2_diario!J2334="N3",1,0))</x:f>
        <x:v>0</x:v>
      </x:c>
      <x:c r="K150" s="2" t="n">
        <x:f>SUM(IF(E2_diario!J276="N4",1,0),IF(E2_diario!J318="N4",1,0),IF(E2_diario!J780="N4",1,0),IF(E2_diario!J822="N4",1,0),IF(E2_diario!J1284="N4",1,0),IF(E2_diario!J1326="N4",1,0),IF(E2_diario!J1788="N4",1,0),IF(E2_diario!J1830="N4",1,0),IF(E2_diario!J2292="N4",1,0),IF(E2_diario!J2334="N4",1,0))</x:f>
        <x:v>0</x:v>
      </x:c>
      <x:c r="L150" s="2" t="n">
        <x:f>SUM(IF(E2_diario!J276="adulta",1,0),IF(E2_diario!J318="adulta",1,0),IF(E2_diario!J780="adulta",1,0),IF(E2_diario!J822="adulta",1,0),IF(E2_diario!J1284="adulta",1,0),IF(E2_diario!J1326="adulta",1,0),IF(E2_diario!J1788="adulta",1,0),IF(E2_diario!J1830="adulta",1,0),IF(E2_diario!J2292="adulta",1,0),IF(E2_diario!J2334="adulta",1,0))</x:f>
        <x:v>8</x:v>
      </x:c>
      <x:c r="M150" s="2" t="n">
        <x:f>SUM(E2_diario!L276,E2_diario!L318,E2_diario!L780,E2_diario!L822,E2_diario!L1284,E2_diario!L1326,E2_diario!L1788,E2_diario!L1830,E2_diario!L2292,E2_diario!L2334)</x:f>
        <x:v>17</x:v>
      </x:c>
      <x:c r="N150" s="20" t="n">
        <x:f>G150/F150</x:f>
        <x:v>0.8</x:v>
      </x:c>
      <x:c r="O150" s="20" t="n">
        <x:f>IF(G150=0,0,M150/G150)</x:f>
        <x:v>2.125</x:v>
      </x:c>
      <x:c r="P150" s="20" t="n">
        <x:f>N150*O150</x:f>
        <x:v>1.7000000000000002</x:v>
      </x:c>
      <x:c r="Q150" s="20" t="n">
        <x:f>H150/F150</x:f>
        <x:v>0</x:v>
      </x:c>
      <x:c r="R150" s="20" t="n">
        <x:f>I150/F150</x:f>
        <x:v>0</x:v>
      </x:c>
      <x:c r="S150" s="20" t="n">
        <x:f>J150/F150</x:f>
        <x:v>0</x:v>
      </x:c>
      <x:c r="T150" s="20" t="n">
        <x:f>K150/F150</x:f>
        <x:v>0</x:v>
      </x:c>
      <x:c r="U150" s="20" t="n">
        <x:f>L150/F150</x:f>
        <x:v>0.8</x:v>
      </x:c>
      <x:c r="V150" s="20" t="n">
        <x:f>IF(L150=0,0,M150/L150)</x:f>
        <x:v>2.125</x:v>
      </x:c>
      <x:c r="W150" s="20" t="n">
        <x:f>SUM(P$128:P150)</x:f>
        <x:v>40.00000000000001</x:v>
      </x:c>
      <x:c r="X150" s="2" t="n">
        <x:f>E150+Supuestos!$C$15</x:f>
        <x:v>23</x:v>
      </x:c>
      <x:c r="Y150" s="2" t="n">
        <x:f>F150-G150</x:f>
        <x:v>2</x:v>
      </x:c>
      <x:c r="Z150" s="2" t="str">
        <x:v>simulado_didactico</x:v>
      </x:c>
    </x:row>
    <x:row r="151" ht="19" customHeight="1">
      <x:c r="A151" s="2" t="str">
        <x:v>BB_L0</x:v>
      </x:c>
      <x:c r="B151" s="2" t="str">
        <x:v>BB</x:v>
      </x:c>
      <x:c r="C151" s="2" t="str">
        <x:v>Brevicoryne brassicae</x:v>
      </x:c>
      <x:c r="D151" s="2" t="str">
        <x:v>L0</x:v>
      </x:c>
      <x:c r="E151" s="2" t="n">
        <x:v>23</x:v>
      </x:c>
      <x:c r="F151" s="2" t="n">
        <x:f>COUNTA(E2_plantas!A8,E2_plantas!A9,E2_plantas!A20,E2_plantas!A21,E2_plantas!A32,E2_plantas!A33,E2_plantas!A44,E2_plantas!A45,E2_plantas!A56,E2_plantas!A57)</x:f>
        <x:v>10</x:v>
      </x:c>
      <x:c r="G151" s="2" t="n">
        <x:f>SUM(E2_diario!K277,E2_diario!K319,E2_diario!K781,E2_diario!K823,E2_diario!K1285,E2_diario!K1327,E2_diario!K1789,E2_diario!K1831,E2_diario!K2293,E2_diario!K2335)</x:f>
        <x:v>8</x:v>
      </x:c>
      <x:c r="H151" s="2" t="n">
        <x:f>SUM(IF(E2_diario!J277="N1",1,0),IF(E2_diario!J319="N1",1,0),IF(E2_diario!J781="N1",1,0),IF(E2_diario!J823="N1",1,0),IF(E2_diario!J1285="N1",1,0),IF(E2_diario!J1327="N1",1,0),IF(E2_diario!J1789="N1",1,0),IF(E2_diario!J1831="N1",1,0),IF(E2_diario!J2293="N1",1,0),IF(E2_diario!J2335="N1",1,0))</x:f>
        <x:v>0</x:v>
      </x:c>
      <x:c r="I151" s="2" t="n">
        <x:f>SUM(IF(E2_diario!J277="N2",1,0),IF(E2_diario!J319="N2",1,0),IF(E2_diario!J781="N2",1,0),IF(E2_diario!J823="N2",1,0),IF(E2_diario!J1285="N2",1,0),IF(E2_diario!J1327="N2",1,0),IF(E2_diario!J1789="N2",1,0),IF(E2_diario!J1831="N2",1,0),IF(E2_diario!J2293="N2",1,0),IF(E2_diario!J2335="N2",1,0))</x:f>
        <x:v>0</x:v>
      </x:c>
      <x:c r="J151" s="2" t="n">
        <x:f>SUM(IF(E2_diario!J277="N3",1,0),IF(E2_diario!J319="N3",1,0),IF(E2_diario!J781="N3",1,0),IF(E2_diario!J823="N3",1,0),IF(E2_diario!J1285="N3",1,0),IF(E2_diario!J1327="N3",1,0),IF(E2_diario!J1789="N3",1,0),IF(E2_diario!J1831="N3",1,0),IF(E2_diario!J2293="N3",1,0),IF(E2_diario!J2335="N3",1,0))</x:f>
        <x:v>0</x:v>
      </x:c>
      <x:c r="K151" s="2" t="n">
        <x:f>SUM(IF(E2_diario!J277="N4",1,0),IF(E2_diario!J319="N4",1,0),IF(E2_diario!J781="N4",1,0),IF(E2_diario!J823="N4",1,0),IF(E2_diario!J1285="N4",1,0),IF(E2_diario!J1327="N4",1,0),IF(E2_diario!J1789="N4",1,0),IF(E2_diario!J1831="N4",1,0),IF(E2_diario!J2293="N4",1,0),IF(E2_diario!J2335="N4",1,0))</x:f>
        <x:v>0</x:v>
      </x:c>
      <x:c r="L151" s="2" t="n">
        <x:f>SUM(IF(E2_diario!J277="adulta",1,0),IF(E2_diario!J319="adulta",1,0),IF(E2_diario!J781="adulta",1,0),IF(E2_diario!J823="adulta",1,0),IF(E2_diario!J1285="adulta",1,0),IF(E2_diario!J1327="adulta",1,0),IF(E2_diario!J1789="adulta",1,0),IF(E2_diario!J1831="adulta",1,0),IF(E2_diario!J2293="adulta",1,0),IF(E2_diario!J2335="adulta",1,0))</x:f>
        <x:v>8</x:v>
      </x:c>
      <x:c r="M151" s="2" t="n">
        <x:f>SUM(E2_diario!L277,E2_diario!L319,E2_diario!L781,E2_diario!L823,E2_diario!L1285,E2_diario!L1327,E2_diario!L1789,E2_diario!L1831,E2_diario!L2293,E2_diario!L2335)</x:f>
        <x:v>20</x:v>
      </x:c>
      <x:c r="N151" s="20" t="n">
        <x:f>G151/F151</x:f>
        <x:v>0.8</x:v>
      </x:c>
      <x:c r="O151" s="20" t="n">
        <x:f>IF(G151=0,0,M151/G151)</x:f>
        <x:v>2.5</x:v>
      </x:c>
      <x:c r="P151" s="20" t="n">
        <x:f>N151*O151</x:f>
        <x:v>2</x:v>
      </x:c>
      <x:c r="Q151" s="20" t="n">
        <x:f>H151/F151</x:f>
        <x:v>0</x:v>
      </x:c>
      <x:c r="R151" s="20" t="n">
        <x:f>I151/F151</x:f>
        <x:v>0</x:v>
      </x:c>
      <x:c r="S151" s="20" t="n">
        <x:f>J151/F151</x:f>
        <x:v>0</x:v>
      </x:c>
      <x:c r="T151" s="20" t="n">
        <x:f>K151/F151</x:f>
        <x:v>0</x:v>
      </x:c>
      <x:c r="U151" s="20" t="n">
        <x:f>L151/F151</x:f>
        <x:v>0.8</x:v>
      </x:c>
      <x:c r="V151" s="20" t="n">
        <x:f>IF(L151=0,0,M151/L151)</x:f>
        <x:v>2.5</x:v>
      </x:c>
      <x:c r="W151" s="20" t="n">
        <x:f>SUM(P$128:P151)</x:f>
        <x:v>42.00000000000001</x:v>
      </x:c>
      <x:c r="X151" s="2" t="n">
        <x:f>E151+Supuestos!$C$15</x:f>
        <x:v>24</x:v>
      </x:c>
      <x:c r="Y151" s="2" t="n">
        <x:f>F151-G151</x:f>
        <x:v>2</x:v>
      </x:c>
      <x:c r="Z151" s="2" t="str">
        <x:v>simulado_didactico</x:v>
      </x:c>
    </x:row>
    <x:row r="152" ht="19" customHeight="1">
      <x:c r="A152" s="2" t="str">
        <x:v>BB_L0</x:v>
      </x:c>
      <x:c r="B152" s="2" t="str">
        <x:v>BB</x:v>
      </x:c>
      <x:c r="C152" s="2" t="str">
        <x:v>Brevicoryne brassicae</x:v>
      </x:c>
      <x:c r="D152" s="2" t="str">
        <x:v>L0</x:v>
      </x:c>
      <x:c r="E152" s="2" t="n">
        <x:v>24</x:v>
      </x:c>
      <x:c r="F152" s="2" t="n">
        <x:f>COUNTA(E2_plantas!A8,E2_plantas!A9,E2_plantas!A20,E2_plantas!A21,E2_plantas!A32,E2_plantas!A33,E2_plantas!A44,E2_plantas!A45,E2_plantas!A56,E2_plantas!A57)</x:f>
        <x:v>10</x:v>
      </x:c>
      <x:c r="G152" s="2" t="n">
        <x:f>SUM(E2_diario!K278,E2_diario!K320,E2_diario!K782,E2_diario!K824,E2_diario!K1286,E2_diario!K1328,E2_diario!K1790,E2_diario!K1832,E2_diario!K2294,E2_diario!K2336)</x:f>
        <x:v>8</x:v>
      </x:c>
      <x:c r="H152" s="2" t="n">
        <x:f>SUM(IF(E2_diario!J278="N1",1,0),IF(E2_diario!J320="N1",1,0),IF(E2_diario!J782="N1",1,0),IF(E2_diario!J824="N1",1,0),IF(E2_diario!J1286="N1",1,0),IF(E2_diario!J1328="N1",1,0),IF(E2_diario!J1790="N1",1,0),IF(E2_diario!J1832="N1",1,0),IF(E2_diario!J2294="N1",1,0),IF(E2_diario!J2336="N1",1,0))</x:f>
        <x:v>0</x:v>
      </x:c>
      <x:c r="I152" s="2" t="n">
        <x:f>SUM(IF(E2_diario!J278="N2",1,0),IF(E2_diario!J320="N2",1,0),IF(E2_diario!J782="N2",1,0),IF(E2_diario!J824="N2",1,0),IF(E2_diario!J1286="N2",1,0),IF(E2_diario!J1328="N2",1,0),IF(E2_diario!J1790="N2",1,0),IF(E2_diario!J1832="N2",1,0),IF(E2_diario!J2294="N2",1,0),IF(E2_diario!J2336="N2",1,0))</x:f>
        <x:v>0</x:v>
      </x:c>
      <x:c r="J152" s="2" t="n">
        <x:f>SUM(IF(E2_diario!J278="N3",1,0),IF(E2_diario!J320="N3",1,0),IF(E2_diario!J782="N3",1,0),IF(E2_diario!J824="N3",1,0),IF(E2_diario!J1286="N3",1,0),IF(E2_diario!J1328="N3",1,0),IF(E2_diario!J1790="N3",1,0),IF(E2_diario!J1832="N3",1,0),IF(E2_diario!J2294="N3",1,0),IF(E2_diario!J2336="N3",1,0))</x:f>
        <x:v>0</x:v>
      </x:c>
      <x:c r="K152" s="2" t="n">
        <x:f>SUM(IF(E2_diario!J278="N4",1,0),IF(E2_diario!J320="N4",1,0),IF(E2_diario!J782="N4",1,0),IF(E2_diario!J824="N4",1,0),IF(E2_diario!J1286="N4",1,0),IF(E2_diario!J1328="N4",1,0),IF(E2_diario!J1790="N4",1,0),IF(E2_diario!J1832="N4",1,0),IF(E2_diario!J2294="N4",1,0),IF(E2_diario!J2336="N4",1,0))</x:f>
        <x:v>0</x:v>
      </x:c>
      <x:c r="L152" s="2" t="n">
        <x:f>SUM(IF(E2_diario!J278="adulta",1,0),IF(E2_diario!J320="adulta",1,0),IF(E2_diario!J782="adulta",1,0),IF(E2_diario!J824="adulta",1,0),IF(E2_diario!J1286="adulta",1,0),IF(E2_diario!J1328="adulta",1,0),IF(E2_diario!J1790="adulta",1,0),IF(E2_diario!J1832="adulta",1,0),IF(E2_diario!J2294="adulta",1,0),IF(E2_diario!J2336="adulta",1,0))</x:f>
        <x:v>8</x:v>
      </x:c>
      <x:c r="M152" s="2" t="n">
        <x:f>SUM(E2_diario!L278,E2_diario!L320,E2_diario!L782,E2_diario!L824,E2_diario!L1286,E2_diario!L1328,E2_diario!L1790,E2_diario!L1832,E2_diario!L2294,E2_diario!L2336)</x:f>
        <x:v>26</x:v>
      </x:c>
      <x:c r="N152" s="20" t="n">
        <x:f>G152/F152</x:f>
        <x:v>0.8</x:v>
      </x:c>
      <x:c r="O152" s="20" t="n">
        <x:f>IF(G152=0,0,M152/G152)</x:f>
        <x:v>3.25</x:v>
      </x:c>
      <x:c r="P152" s="20" t="n">
        <x:f>N152*O152</x:f>
        <x:v>2.6</x:v>
      </x:c>
      <x:c r="Q152" s="20" t="n">
        <x:f>H152/F152</x:f>
        <x:v>0</x:v>
      </x:c>
      <x:c r="R152" s="20" t="n">
        <x:f>I152/F152</x:f>
        <x:v>0</x:v>
      </x:c>
      <x:c r="S152" s="20" t="n">
        <x:f>J152/F152</x:f>
        <x:v>0</x:v>
      </x:c>
      <x:c r="T152" s="20" t="n">
        <x:f>K152/F152</x:f>
        <x:v>0</x:v>
      </x:c>
      <x:c r="U152" s="20" t="n">
        <x:f>L152/F152</x:f>
        <x:v>0.8</x:v>
      </x:c>
      <x:c r="V152" s="20" t="n">
        <x:f>IF(L152=0,0,M152/L152)</x:f>
        <x:v>3.25</x:v>
      </x:c>
      <x:c r="W152" s="20" t="n">
        <x:f>SUM(P$128:P152)</x:f>
        <x:v>44.60000000000001</x:v>
      </x:c>
      <x:c r="X152" s="2" t="n">
        <x:f>E152+Supuestos!$C$15</x:f>
        <x:v>25</x:v>
      </x:c>
      <x:c r="Y152" s="2" t="n">
        <x:f>F152-G152</x:f>
        <x:v>2</x:v>
      </x:c>
      <x:c r="Z152" s="2" t="str">
        <x:v>simulado_didactico</x:v>
      </x:c>
    </x:row>
    <x:row r="153" ht="19" customHeight="1">
      <x:c r="A153" s="2" t="str">
        <x:v>BB_L0</x:v>
      </x:c>
      <x:c r="B153" s="2" t="str">
        <x:v>BB</x:v>
      </x:c>
      <x:c r="C153" s="2" t="str">
        <x:v>Brevicoryne brassicae</x:v>
      </x:c>
      <x:c r="D153" s="2" t="str">
        <x:v>L0</x:v>
      </x:c>
      <x:c r="E153" s="2" t="n">
        <x:v>25</x:v>
      </x:c>
      <x:c r="F153" s="2" t="n">
        <x:f>COUNTA(E2_plantas!A8,E2_plantas!A9,E2_plantas!A20,E2_plantas!A21,E2_plantas!A32,E2_plantas!A33,E2_plantas!A44,E2_plantas!A45,E2_plantas!A56,E2_plantas!A57)</x:f>
        <x:v>10</x:v>
      </x:c>
      <x:c r="G153" s="2" t="n">
        <x:f>SUM(E2_diario!K279,E2_diario!K321,E2_diario!K783,E2_diario!K825,E2_diario!K1287,E2_diario!K1329,E2_diario!K1791,E2_diario!K1833,E2_diario!K2295,E2_diario!K2337)</x:f>
        <x:v>8</x:v>
      </x:c>
      <x:c r="H153" s="2" t="n">
        <x:f>SUM(IF(E2_diario!J279="N1",1,0),IF(E2_diario!J321="N1",1,0),IF(E2_diario!J783="N1",1,0),IF(E2_diario!J825="N1",1,0),IF(E2_diario!J1287="N1",1,0),IF(E2_diario!J1329="N1",1,0),IF(E2_diario!J1791="N1",1,0),IF(E2_diario!J1833="N1",1,0),IF(E2_diario!J2295="N1",1,0),IF(E2_diario!J2337="N1",1,0))</x:f>
        <x:v>0</x:v>
      </x:c>
      <x:c r="I153" s="2" t="n">
        <x:f>SUM(IF(E2_diario!J279="N2",1,0),IF(E2_diario!J321="N2",1,0),IF(E2_diario!J783="N2",1,0),IF(E2_diario!J825="N2",1,0),IF(E2_diario!J1287="N2",1,0),IF(E2_diario!J1329="N2",1,0),IF(E2_diario!J1791="N2",1,0),IF(E2_diario!J1833="N2",1,0),IF(E2_diario!J2295="N2",1,0),IF(E2_diario!J2337="N2",1,0))</x:f>
        <x:v>0</x:v>
      </x:c>
      <x:c r="J153" s="2" t="n">
        <x:f>SUM(IF(E2_diario!J279="N3",1,0),IF(E2_diario!J321="N3",1,0),IF(E2_diario!J783="N3",1,0),IF(E2_diario!J825="N3",1,0),IF(E2_diario!J1287="N3",1,0),IF(E2_diario!J1329="N3",1,0),IF(E2_diario!J1791="N3",1,0),IF(E2_diario!J1833="N3",1,0),IF(E2_diario!J2295="N3",1,0),IF(E2_diario!J2337="N3",1,0))</x:f>
        <x:v>0</x:v>
      </x:c>
      <x:c r="K153" s="2" t="n">
        <x:f>SUM(IF(E2_diario!J279="N4",1,0),IF(E2_diario!J321="N4",1,0),IF(E2_diario!J783="N4",1,0),IF(E2_diario!J825="N4",1,0),IF(E2_diario!J1287="N4",1,0),IF(E2_diario!J1329="N4",1,0),IF(E2_diario!J1791="N4",1,0),IF(E2_diario!J1833="N4",1,0),IF(E2_diario!J2295="N4",1,0),IF(E2_diario!J2337="N4",1,0))</x:f>
        <x:v>0</x:v>
      </x:c>
      <x:c r="L153" s="2" t="n">
        <x:f>SUM(IF(E2_diario!J279="adulta",1,0),IF(E2_diario!J321="adulta",1,0),IF(E2_diario!J783="adulta",1,0),IF(E2_diario!J825="adulta",1,0),IF(E2_diario!J1287="adulta",1,0),IF(E2_diario!J1329="adulta",1,0),IF(E2_diario!J1791="adulta",1,0),IF(E2_diario!J1833="adulta",1,0),IF(E2_diario!J2295="adulta",1,0),IF(E2_diario!J2337="adulta",1,0))</x:f>
        <x:v>8</x:v>
      </x:c>
      <x:c r="M153" s="2" t="n">
        <x:f>SUM(E2_diario!L279,E2_diario!L321,E2_diario!L783,E2_diario!L825,E2_diario!L1287,E2_diario!L1329,E2_diario!L1791,E2_diario!L1833,E2_diario!L2295,E2_diario!L2337)</x:f>
        <x:v>14</x:v>
      </x:c>
      <x:c r="N153" s="20" t="n">
        <x:f>G153/F153</x:f>
        <x:v>0.8</x:v>
      </x:c>
      <x:c r="O153" s="20" t="n">
        <x:f>IF(G153=0,0,M153/G153)</x:f>
        <x:v>1.75</x:v>
      </x:c>
      <x:c r="P153" s="20" t="n">
        <x:f>N153*O153</x:f>
        <x:v>1.4000000000000001</x:v>
      </x:c>
      <x:c r="Q153" s="20" t="n">
        <x:f>H153/F153</x:f>
        <x:v>0</x:v>
      </x:c>
      <x:c r="R153" s="20" t="n">
        <x:f>I153/F153</x:f>
        <x:v>0</x:v>
      </x:c>
      <x:c r="S153" s="20" t="n">
        <x:f>J153/F153</x:f>
        <x:v>0</x:v>
      </x:c>
      <x:c r="T153" s="20" t="n">
        <x:f>K153/F153</x:f>
        <x:v>0</x:v>
      </x:c>
      <x:c r="U153" s="20" t="n">
        <x:f>L153/F153</x:f>
        <x:v>0.8</x:v>
      </x:c>
      <x:c r="V153" s="20" t="n">
        <x:f>IF(L153=0,0,M153/L153)</x:f>
        <x:v>1.75</x:v>
      </x:c>
      <x:c r="W153" s="20" t="n">
        <x:f>SUM(P$128:P153)</x:f>
        <x:v>46.00000000000001</x:v>
      </x:c>
      <x:c r="X153" s="2" t="n">
        <x:f>E153+Supuestos!$C$15</x:f>
        <x:v>26</x:v>
      </x:c>
      <x:c r="Y153" s="2" t="n">
        <x:f>F153-G153</x:f>
        <x:v>2</x:v>
      </x:c>
      <x:c r="Z153" s="2" t="str">
        <x:v>simulado_didactico</x:v>
      </x:c>
    </x:row>
    <x:row r="154" ht="19" customHeight="1">
      <x:c r="A154" s="2" t="str">
        <x:v>BB_L0</x:v>
      </x:c>
      <x:c r="B154" s="2" t="str">
        <x:v>BB</x:v>
      </x:c>
      <x:c r="C154" s="2" t="str">
        <x:v>Brevicoryne brassicae</x:v>
      </x:c>
      <x:c r="D154" s="2" t="str">
        <x:v>L0</x:v>
      </x:c>
      <x:c r="E154" s="2" t="n">
        <x:v>26</x:v>
      </x:c>
      <x:c r="F154" s="2" t="n">
        <x:f>COUNTA(E2_plantas!A8,E2_plantas!A9,E2_plantas!A20,E2_plantas!A21,E2_plantas!A32,E2_plantas!A33,E2_plantas!A44,E2_plantas!A45,E2_plantas!A56,E2_plantas!A57)</x:f>
        <x:v>10</x:v>
      </x:c>
      <x:c r="G154" s="2" t="n">
        <x:f>SUM(E2_diario!K280,E2_diario!K322,E2_diario!K784,E2_diario!K826,E2_diario!K1288,E2_diario!K1330,E2_diario!K1792,E2_diario!K1834,E2_diario!K2296,E2_diario!K2338)</x:f>
        <x:v>8</x:v>
      </x:c>
      <x:c r="H154" s="2" t="n">
        <x:f>SUM(IF(E2_diario!J280="N1",1,0),IF(E2_diario!J322="N1",1,0),IF(E2_diario!J784="N1",1,0),IF(E2_diario!J826="N1",1,0),IF(E2_diario!J1288="N1",1,0),IF(E2_diario!J1330="N1",1,0),IF(E2_diario!J1792="N1",1,0),IF(E2_diario!J1834="N1",1,0),IF(E2_diario!J2296="N1",1,0),IF(E2_diario!J2338="N1",1,0))</x:f>
        <x:v>0</x:v>
      </x:c>
      <x:c r="I154" s="2" t="n">
        <x:f>SUM(IF(E2_diario!J280="N2",1,0),IF(E2_diario!J322="N2",1,0),IF(E2_diario!J784="N2",1,0),IF(E2_diario!J826="N2",1,0),IF(E2_diario!J1288="N2",1,0),IF(E2_diario!J1330="N2",1,0),IF(E2_diario!J1792="N2",1,0),IF(E2_diario!J1834="N2",1,0),IF(E2_diario!J2296="N2",1,0),IF(E2_diario!J2338="N2",1,0))</x:f>
        <x:v>0</x:v>
      </x:c>
      <x:c r="J154" s="2" t="n">
        <x:f>SUM(IF(E2_diario!J280="N3",1,0),IF(E2_diario!J322="N3",1,0),IF(E2_diario!J784="N3",1,0),IF(E2_diario!J826="N3",1,0),IF(E2_diario!J1288="N3",1,0),IF(E2_diario!J1330="N3",1,0),IF(E2_diario!J1792="N3",1,0),IF(E2_diario!J1834="N3",1,0),IF(E2_diario!J2296="N3",1,0),IF(E2_diario!J2338="N3",1,0))</x:f>
        <x:v>0</x:v>
      </x:c>
      <x:c r="K154" s="2" t="n">
        <x:f>SUM(IF(E2_diario!J280="N4",1,0),IF(E2_diario!J322="N4",1,0),IF(E2_diario!J784="N4",1,0),IF(E2_diario!J826="N4",1,0),IF(E2_diario!J1288="N4",1,0),IF(E2_diario!J1330="N4",1,0),IF(E2_diario!J1792="N4",1,0),IF(E2_diario!J1834="N4",1,0),IF(E2_diario!J2296="N4",1,0),IF(E2_diario!J2338="N4",1,0))</x:f>
        <x:v>0</x:v>
      </x:c>
      <x:c r="L154" s="2" t="n">
        <x:f>SUM(IF(E2_diario!J280="adulta",1,0),IF(E2_diario!J322="adulta",1,0),IF(E2_diario!J784="adulta",1,0),IF(E2_diario!J826="adulta",1,0),IF(E2_diario!J1288="adulta",1,0),IF(E2_diario!J1330="adulta",1,0),IF(E2_diario!J1792="adulta",1,0),IF(E2_diario!J1834="adulta",1,0),IF(E2_diario!J2296="adulta",1,0),IF(E2_diario!J2338="adulta",1,0))</x:f>
        <x:v>8</x:v>
      </x:c>
      <x:c r="M154" s="2" t="n">
        <x:f>SUM(E2_diario!L280,E2_diario!L322,E2_diario!L784,E2_diario!L826,E2_diario!L1288,E2_diario!L1330,E2_diario!L1792,E2_diario!L1834,E2_diario!L2296,E2_diario!L2338)</x:f>
        <x:v>9</x:v>
      </x:c>
      <x:c r="N154" s="20" t="n">
        <x:f>G154/F154</x:f>
        <x:v>0.8</x:v>
      </x:c>
      <x:c r="O154" s="20" t="n">
        <x:f>IF(G154=0,0,M154/G154)</x:f>
        <x:v>1.125</x:v>
      </x:c>
      <x:c r="P154" s="20" t="n">
        <x:f>N154*O154</x:f>
        <x:v>0.9</x:v>
      </x:c>
      <x:c r="Q154" s="20" t="n">
        <x:f>H154/F154</x:f>
        <x:v>0</x:v>
      </x:c>
      <x:c r="R154" s="20" t="n">
        <x:f>I154/F154</x:f>
        <x:v>0</x:v>
      </x:c>
      <x:c r="S154" s="20" t="n">
        <x:f>J154/F154</x:f>
        <x:v>0</x:v>
      </x:c>
      <x:c r="T154" s="20" t="n">
        <x:f>K154/F154</x:f>
        <x:v>0</x:v>
      </x:c>
      <x:c r="U154" s="20" t="n">
        <x:f>L154/F154</x:f>
        <x:v>0.8</x:v>
      </x:c>
      <x:c r="V154" s="20" t="n">
        <x:f>IF(L154=0,0,M154/L154)</x:f>
        <x:v>1.125</x:v>
      </x:c>
      <x:c r="W154" s="20" t="n">
        <x:f>SUM(P$128:P154)</x:f>
        <x:v>46.900000000000006</x:v>
      </x:c>
      <x:c r="X154" s="2" t="n">
        <x:f>E154+Supuestos!$C$15</x:f>
        <x:v>27</x:v>
      </x:c>
      <x:c r="Y154" s="2" t="n">
        <x:f>F154-G154</x:f>
        <x:v>2</x:v>
      </x:c>
      <x:c r="Z154" s="2" t="str">
        <x:v>simulado_didactico</x:v>
      </x:c>
    </x:row>
    <x:row r="155" ht="19" customHeight="1">
      <x:c r="A155" s="2" t="str">
        <x:v>BB_L0</x:v>
      </x:c>
      <x:c r="B155" s="2" t="str">
        <x:v>BB</x:v>
      </x:c>
      <x:c r="C155" s="2" t="str">
        <x:v>Brevicoryne brassicae</x:v>
      </x:c>
      <x:c r="D155" s="2" t="str">
        <x:v>L0</x:v>
      </x:c>
      <x:c r="E155" s="2" t="n">
        <x:v>27</x:v>
      </x:c>
      <x:c r="F155" s="2" t="n">
        <x:f>COUNTA(E2_plantas!A8,E2_plantas!A9,E2_plantas!A20,E2_plantas!A21,E2_plantas!A32,E2_plantas!A33,E2_plantas!A44,E2_plantas!A45,E2_plantas!A56,E2_plantas!A57)</x:f>
        <x:v>10</x:v>
      </x:c>
      <x:c r="G155" s="2" t="n">
        <x:f>SUM(E2_diario!K281,E2_diario!K323,E2_diario!K785,E2_diario!K827,E2_diario!K1289,E2_diario!K1331,E2_diario!K1793,E2_diario!K1835,E2_diario!K2297,E2_diario!K2339)</x:f>
        <x:v>7</x:v>
      </x:c>
      <x:c r="H155" s="2" t="n">
        <x:f>SUM(IF(E2_diario!J281="N1",1,0),IF(E2_diario!J323="N1",1,0),IF(E2_diario!J785="N1",1,0),IF(E2_diario!J827="N1",1,0),IF(E2_diario!J1289="N1",1,0),IF(E2_diario!J1331="N1",1,0),IF(E2_diario!J1793="N1",1,0),IF(E2_diario!J1835="N1",1,0),IF(E2_diario!J2297="N1",1,0),IF(E2_diario!J2339="N1",1,0))</x:f>
        <x:v>0</x:v>
      </x:c>
      <x:c r="I155" s="2" t="n">
        <x:f>SUM(IF(E2_diario!J281="N2",1,0),IF(E2_diario!J323="N2",1,0),IF(E2_diario!J785="N2",1,0),IF(E2_diario!J827="N2",1,0),IF(E2_diario!J1289="N2",1,0),IF(E2_diario!J1331="N2",1,0),IF(E2_diario!J1793="N2",1,0),IF(E2_diario!J1835="N2",1,0),IF(E2_diario!J2297="N2",1,0),IF(E2_diario!J2339="N2",1,0))</x:f>
        <x:v>0</x:v>
      </x:c>
      <x:c r="J155" s="2" t="n">
        <x:f>SUM(IF(E2_diario!J281="N3",1,0),IF(E2_diario!J323="N3",1,0),IF(E2_diario!J785="N3",1,0),IF(E2_diario!J827="N3",1,0),IF(E2_diario!J1289="N3",1,0),IF(E2_diario!J1331="N3",1,0),IF(E2_diario!J1793="N3",1,0),IF(E2_diario!J1835="N3",1,0),IF(E2_diario!J2297="N3",1,0),IF(E2_diario!J2339="N3",1,0))</x:f>
        <x:v>0</x:v>
      </x:c>
      <x:c r="K155" s="2" t="n">
        <x:f>SUM(IF(E2_diario!J281="N4",1,0),IF(E2_diario!J323="N4",1,0),IF(E2_diario!J785="N4",1,0),IF(E2_diario!J827="N4",1,0),IF(E2_diario!J1289="N4",1,0),IF(E2_diario!J1331="N4",1,0),IF(E2_diario!J1793="N4",1,0),IF(E2_diario!J1835="N4",1,0),IF(E2_diario!J2297="N4",1,0),IF(E2_diario!J2339="N4",1,0))</x:f>
        <x:v>0</x:v>
      </x:c>
      <x:c r="L155" s="2" t="n">
        <x:f>SUM(IF(E2_diario!J281="adulta",1,0),IF(E2_diario!J323="adulta",1,0),IF(E2_diario!J785="adulta",1,0),IF(E2_diario!J827="adulta",1,0),IF(E2_diario!J1289="adulta",1,0),IF(E2_diario!J1331="adulta",1,0),IF(E2_diario!J1793="adulta",1,0),IF(E2_diario!J1835="adulta",1,0),IF(E2_diario!J2297="adulta",1,0),IF(E2_diario!J2339="adulta",1,0))</x:f>
        <x:v>7</x:v>
      </x:c>
      <x:c r="M155" s="2" t="n">
        <x:f>SUM(E2_diario!L281,E2_diario!L323,E2_diario!L785,E2_diario!L827,E2_diario!L1289,E2_diario!L1331,E2_diario!L1793,E2_diario!L1835,E2_diario!L2297,E2_diario!L2339)</x:f>
        <x:v>16</x:v>
      </x:c>
      <x:c r="N155" s="20" t="n">
        <x:f>G155/F155</x:f>
        <x:v>0.7</x:v>
      </x:c>
      <x:c r="O155" s="20" t="n">
        <x:f>IF(G155=0,0,M155/G155)</x:f>
        <x:v>2.2857142857142856</x:v>
      </x:c>
      <x:c r="P155" s="20" t="n">
        <x:f>N155*O155</x:f>
        <x:v>1.5999999999999999</x:v>
      </x:c>
      <x:c r="Q155" s="20" t="n">
        <x:f>H155/F155</x:f>
        <x:v>0</x:v>
      </x:c>
      <x:c r="R155" s="20" t="n">
        <x:f>I155/F155</x:f>
        <x:v>0</x:v>
      </x:c>
      <x:c r="S155" s="20" t="n">
        <x:f>J155/F155</x:f>
        <x:v>0</x:v>
      </x:c>
      <x:c r="T155" s="20" t="n">
        <x:f>K155/F155</x:f>
        <x:v>0</x:v>
      </x:c>
      <x:c r="U155" s="20" t="n">
        <x:f>L155/F155</x:f>
        <x:v>0.7</x:v>
      </x:c>
      <x:c r="V155" s="20" t="n">
        <x:f>IF(L155=0,0,M155/L155)</x:f>
        <x:v>2.2857142857142856</x:v>
      </x:c>
      <x:c r="W155" s="20" t="n">
        <x:f>SUM(P$128:P155)</x:f>
        <x:v>48.50000000000001</x:v>
      </x:c>
      <x:c r="X155" s="2" t="n">
        <x:f>E155+Supuestos!$C$15</x:f>
        <x:v>28</x:v>
      </x:c>
      <x:c r="Y155" s="2" t="n">
        <x:f>F155-G155</x:f>
        <x:v>3</x:v>
      </x:c>
      <x:c r="Z155" s="2" t="str">
        <x:v>simulado_didactico</x:v>
      </x:c>
    </x:row>
    <x:row r="156" ht="19" customHeight="1">
      <x:c r="A156" s="2" t="str">
        <x:v>BB_L0</x:v>
      </x:c>
      <x:c r="B156" s="2" t="str">
        <x:v>BB</x:v>
      </x:c>
      <x:c r="C156" s="2" t="str">
        <x:v>Brevicoryne brassicae</x:v>
      </x:c>
      <x:c r="D156" s="2" t="str">
        <x:v>L0</x:v>
      </x:c>
      <x:c r="E156" s="2" t="n">
        <x:v>28</x:v>
      </x:c>
      <x:c r="F156" s="2" t="n">
        <x:f>COUNTA(E2_plantas!A8,E2_plantas!A9,E2_plantas!A20,E2_plantas!A21,E2_plantas!A32,E2_plantas!A33,E2_plantas!A44,E2_plantas!A45,E2_plantas!A56,E2_plantas!A57)</x:f>
        <x:v>10</x:v>
      </x:c>
      <x:c r="G156" s="2" t="n">
        <x:f>SUM(E2_diario!K282,E2_diario!K324,E2_diario!K786,E2_diario!K828,E2_diario!K1290,E2_diario!K1332,E2_diario!K1794,E2_diario!K1836,E2_diario!K2298,E2_diario!K2340)</x:f>
        <x:v>7</x:v>
      </x:c>
      <x:c r="H156" s="2" t="n">
        <x:f>SUM(IF(E2_diario!J282="N1",1,0),IF(E2_diario!J324="N1",1,0),IF(E2_diario!J786="N1",1,0),IF(E2_diario!J828="N1",1,0),IF(E2_diario!J1290="N1",1,0),IF(E2_diario!J1332="N1",1,0),IF(E2_diario!J1794="N1",1,0),IF(E2_diario!J1836="N1",1,0),IF(E2_diario!J2298="N1",1,0),IF(E2_diario!J2340="N1",1,0))</x:f>
        <x:v>0</x:v>
      </x:c>
      <x:c r="I156" s="2" t="n">
        <x:f>SUM(IF(E2_diario!J282="N2",1,0),IF(E2_diario!J324="N2",1,0),IF(E2_diario!J786="N2",1,0),IF(E2_diario!J828="N2",1,0),IF(E2_diario!J1290="N2",1,0),IF(E2_diario!J1332="N2",1,0),IF(E2_diario!J1794="N2",1,0),IF(E2_diario!J1836="N2",1,0),IF(E2_diario!J2298="N2",1,0),IF(E2_diario!J2340="N2",1,0))</x:f>
        <x:v>0</x:v>
      </x:c>
      <x:c r="J156" s="2" t="n">
        <x:f>SUM(IF(E2_diario!J282="N3",1,0),IF(E2_diario!J324="N3",1,0),IF(E2_diario!J786="N3",1,0),IF(E2_diario!J828="N3",1,0),IF(E2_diario!J1290="N3",1,0),IF(E2_diario!J1332="N3",1,0),IF(E2_diario!J1794="N3",1,0),IF(E2_diario!J1836="N3",1,0),IF(E2_diario!J2298="N3",1,0),IF(E2_diario!J2340="N3",1,0))</x:f>
        <x:v>0</x:v>
      </x:c>
      <x:c r="K156" s="2" t="n">
        <x:f>SUM(IF(E2_diario!J282="N4",1,0),IF(E2_diario!J324="N4",1,0),IF(E2_diario!J786="N4",1,0),IF(E2_diario!J828="N4",1,0),IF(E2_diario!J1290="N4",1,0),IF(E2_diario!J1332="N4",1,0),IF(E2_diario!J1794="N4",1,0),IF(E2_diario!J1836="N4",1,0),IF(E2_diario!J2298="N4",1,0),IF(E2_diario!J2340="N4",1,0))</x:f>
        <x:v>0</x:v>
      </x:c>
      <x:c r="L156" s="2" t="n">
        <x:f>SUM(IF(E2_diario!J282="adulta",1,0),IF(E2_diario!J324="adulta",1,0),IF(E2_diario!J786="adulta",1,0),IF(E2_diario!J828="adulta",1,0),IF(E2_diario!J1290="adulta",1,0),IF(E2_diario!J1332="adulta",1,0),IF(E2_diario!J1794="adulta",1,0),IF(E2_diario!J1836="adulta",1,0),IF(E2_diario!J2298="adulta",1,0),IF(E2_diario!J2340="adulta",1,0))</x:f>
        <x:v>7</x:v>
      </x:c>
      <x:c r="M156" s="2" t="n">
        <x:f>SUM(E2_diario!L282,E2_diario!L324,E2_diario!L786,E2_diario!L828,E2_diario!L1290,E2_diario!L1332,E2_diario!L1794,E2_diario!L1836,E2_diario!L2298,E2_diario!L2340)</x:f>
        <x:v>4</x:v>
      </x:c>
      <x:c r="N156" s="20" t="n">
        <x:f>G156/F156</x:f>
        <x:v>0.7</x:v>
      </x:c>
      <x:c r="O156" s="20" t="n">
        <x:f>IF(G156=0,0,M156/G156)</x:f>
        <x:v>0.5714285714285714</x:v>
      </x:c>
      <x:c r="P156" s="20" t="n">
        <x:f>N156*O156</x:f>
        <x:v>0.39999999999999997</x:v>
      </x:c>
      <x:c r="Q156" s="20" t="n">
        <x:f>H156/F156</x:f>
        <x:v>0</x:v>
      </x:c>
      <x:c r="R156" s="20" t="n">
        <x:f>I156/F156</x:f>
        <x:v>0</x:v>
      </x:c>
      <x:c r="S156" s="20" t="n">
        <x:f>J156/F156</x:f>
        <x:v>0</x:v>
      </x:c>
      <x:c r="T156" s="20" t="n">
        <x:f>K156/F156</x:f>
        <x:v>0</x:v>
      </x:c>
      <x:c r="U156" s="20" t="n">
        <x:f>L156/F156</x:f>
        <x:v>0.7</x:v>
      </x:c>
      <x:c r="V156" s="20" t="n">
        <x:f>IF(L156=0,0,M156/L156)</x:f>
        <x:v>0.5714285714285714</x:v>
      </x:c>
      <x:c r="W156" s="20" t="n">
        <x:f>SUM(P$128:P156)</x:f>
        <x:v>48.900000000000006</x:v>
      </x:c>
      <x:c r="X156" s="2" t="n">
        <x:f>E156+Supuestos!$C$15</x:f>
        <x:v>29</x:v>
      </x:c>
      <x:c r="Y156" s="2" t="n">
        <x:f>F156-G156</x:f>
        <x:v>3</x:v>
      </x:c>
      <x:c r="Z156" s="2" t="str">
        <x:v>simulado_didactico</x:v>
      </x:c>
    </x:row>
    <x:row r="157" ht="19" customHeight="1">
      <x:c r="A157" s="2" t="str">
        <x:v>BB_L0</x:v>
      </x:c>
      <x:c r="B157" s="2" t="str">
        <x:v>BB</x:v>
      </x:c>
      <x:c r="C157" s="2" t="str">
        <x:v>Brevicoryne brassicae</x:v>
      </x:c>
      <x:c r="D157" s="2" t="str">
        <x:v>L0</x:v>
      </x:c>
      <x:c r="E157" s="2" t="n">
        <x:v>29</x:v>
      </x:c>
      <x:c r="F157" s="2" t="n">
        <x:f>COUNTA(E2_plantas!A8,E2_plantas!A9,E2_plantas!A20,E2_plantas!A21,E2_plantas!A32,E2_plantas!A33,E2_plantas!A44,E2_plantas!A45,E2_plantas!A56,E2_plantas!A57)</x:f>
        <x:v>10</x:v>
      </x:c>
      <x:c r="G157" s="2" t="n">
        <x:f>SUM(E2_diario!K283,E2_diario!K325,E2_diario!K787,E2_diario!K829,E2_diario!K1291,E2_diario!K1333,E2_diario!K1795,E2_diario!K1837,E2_diario!K2299,E2_diario!K2341)</x:f>
        <x:v>7</x:v>
      </x:c>
      <x:c r="H157" s="2" t="n">
        <x:f>SUM(IF(E2_diario!J283="N1",1,0),IF(E2_diario!J325="N1",1,0),IF(E2_diario!J787="N1",1,0),IF(E2_diario!J829="N1",1,0),IF(E2_diario!J1291="N1",1,0),IF(E2_diario!J1333="N1",1,0),IF(E2_diario!J1795="N1",1,0),IF(E2_diario!J1837="N1",1,0),IF(E2_diario!J2299="N1",1,0),IF(E2_diario!J2341="N1",1,0))</x:f>
        <x:v>0</x:v>
      </x:c>
      <x:c r="I157" s="2" t="n">
        <x:f>SUM(IF(E2_diario!J283="N2",1,0),IF(E2_diario!J325="N2",1,0),IF(E2_diario!J787="N2",1,0),IF(E2_diario!J829="N2",1,0),IF(E2_diario!J1291="N2",1,0),IF(E2_diario!J1333="N2",1,0),IF(E2_diario!J1795="N2",1,0),IF(E2_diario!J1837="N2",1,0),IF(E2_diario!J2299="N2",1,0),IF(E2_diario!J2341="N2",1,0))</x:f>
        <x:v>0</x:v>
      </x:c>
      <x:c r="J157" s="2" t="n">
        <x:f>SUM(IF(E2_diario!J283="N3",1,0),IF(E2_diario!J325="N3",1,0),IF(E2_diario!J787="N3",1,0),IF(E2_diario!J829="N3",1,0),IF(E2_diario!J1291="N3",1,0),IF(E2_diario!J1333="N3",1,0),IF(E2_diario!J1795="N3",1,0),IF(E2_diario!J1837="N3",1,0),IF(E2_diario!J2299="N3",1,0),IF(E2_diario!J2341="N3",1,0))</x:f>
        <x:v>0</x:v>
      </x:c>
      <x:c r="K157" s="2" t="n">
        <x:f>SUM(IF(E2_diario!J283="N4",1,0),IF(E2_diario!J325="N4",1,0),IF(E2_diario!J787="N4",1,0),IF(E2_diario!J829="N4",1,0),IF(E2_diario!J1291="N4",1,0),IF(E2_diario!J1333="N4",1,0),IF(E2_diario!J1795="N4",1,0),IF(E2_diario!J1837="N4",1,0),IF(E2_diario!J2299="N4",1,0),IF(E2_diario!J2341="N4",1,0))</x:f>
        <x:v>0</x:v>
      </x:c>
      <x:c r="L157" s="2" t="n">
        <x:f>SUM(IF(E2_diario!J283="adulta",1,0),IF(E2_diario!J325="adulta",1,0),IF(E2_diario!J787="adulta",1,0),IF(E2_diario!J829="adulta",1,0),IF(E2_diario!J1291="adulta",1,0),IF(E2_diario!J1333="adulta",1,0),IF(E2_diario!J1795="adulta",1,0),IF(E2_diario!J1837="adulta",1,0),IF(E2_diario!J2299="adulta",1,0),IF(E2_diario!J2341="adulta",1,0))</x:f>
        <x:v>7</x:v>
      </x:c>
      <x:c r="M157" s="2" t="n">
        <x:f>SUM(E2_diario!L283,E2_diario!L325,E2_diario!L787,E2_diario!L829,E2_diario!L1291,E2_diario!L1333,E2_diario!L1795,E2_diario!L1837,E2_diario!L2299,E2_diario!L2341)</x:f>
        <x:v>8</x:v>
      </x:c>
      <x:c r="N157" s="20" t="n">
        <x:f>G157/F157</x:f>
        <x:v>0.7</x:v>
      </x:c>
      <x:c r="O157" s="20" t="n">
        <x:f>IF(G157=0,0,M157/G157)</x:f>
        <x:v>1.1428571428571428</x:v>
      </x:c>
      <x:c r="P157" s="20" t="n">
        <x:f>N157*O157</x:f>
        <x:v>0.7999999999999999</x:v>
      </x:c>
      <x:c r="Q157" s="20" t="n">
        <x:f>H157/F157</x:f>
        <x:v>0</x:v>
      </x:c>
      <x:c r="R157" s="20" t="n">
        <x:f>I157/F157</x:f>
        <x:v>0</x:v>
      </x:c>
      <x:c r="S157" s="20" t="n">
        <x:f>J157/F157</x:f>
        <x:v>0</x:v>
      </x:c>
      <x:c r="T157" s="20" t="n">
        <x:f>K157/F157</x:f>
        <x:v>0</x:v>
      </x:c>
      <x:c r="U157" s="20" t="n">
        <x:f>L157/F157</x:f>
        <x:v>0.7</x:v>
      </x:c>
      <x:c r="V157" s="20" t="n">
        <x:f>IF(L157=0,0,M157/L157)</x:f>
        <x:v>1.1428571428571428</x:v>
      </x:c>
      <x:c r="W157" s="20" t="n">
        <x:f>SUM(P$128:P157)</x:f>
        <x:v>49.7</x:v>
      </x:c>
      <x:c r="X157" s="2" t="n">
        <x:f>E157+Supuestos!$C$15</x:f>
        <x:v>30</x:v>
      </x:c>
      <x:c r="Y157" s="2" t="n">
        <x:f>F157-G157</x:f>
        <x:v>3</x:v>
      </x:c>
      <x:c r="Z157" s="2" t="str">
        <x:v>simulado_didactico</x:v>
      </x:c>
    </x:row>
    <x:row r="158" ht="19" customHeight="1">
      <x:c r="A158" s="2" t="str">
        <x:v>BB_L0</x:v>
      </x:c>
      <x:c r="B158" s="2" t="str">
        <x:v>BB</x:v>
      </x:c>
      <x:c r="C158" s="2" t="str">
        <x:v>Brevicoryne brassicae</x:v>
      </x:c>
      <x:c r="D158" s="2" t="str">
        <x:v>L0</x:v>
      </x:c>
      <x:c r="E158" s="2" t="n">
        <x:v>30</x:v>
      </x:c>
      <x:c r="F158" s="2" t="n">
        <x:f>COUNTA(E2_plantas!A8,E2_plantas!A9,E2_plantas!A20,E2_plantas!A21,E2_plantas!A32,E2_plantas!A33,E2_plantas!A44,E2_plantas!A45,E2_plantas!A56,E2_plantas!A57)</x:f>
        <x:v>10</x:v>
      </x:c>
      <x:c r="G158" s="2" t="n">
        <x:f>SUM(E2_diario!K284,E2_diario!K326,E2_diario!K788,E2_diario!K830,E2_diario!K1292,E2_diario!K1334,E2_diario!K1796,E2_diario!K1838,E2_diario!K2300,E2_diario!K2342)</x:f>
        <x:v>6</x:v>
      </x:c>
      <x:c r="H158" s="2" t="n">
        <x:f>SUM(IF(E2_diario!J284="N1",1,0),IF(E2_diario!J326="N1",1,0),IF(E2_diario!J788="N1",1,0),IF(E2_diario!J830="N1",1,0),IF(E2_diario!J1292="N1",1,0),IF(E2_diario!J1334="N1",1,0),IF(E2_diario!J1796="N1",1,0),IF(E2_diario!J1838="N1",1,0),IF(E2_diario!J2300="N1",1,0),IF(E2_diario!J2342="N1",1,0))</x:f>
        <x:v>0</x:v>
      </x:c>
      <x:c r="I158" s="2" t="n">
        <x:f>SUM(IF(E2_diario!J284="N2",1,0),IF(E2_diario!J326="N2",1,0),IF(E2_diario!J788="N2",1,0),IF(E2_diario!J830="N2",1,0),IF(E2_diario!J1292="N2",1,0),IF(E2_diario!J1334="N2",1,0),IF(E2_diario!J1796="N2",1,0),IF(E2_diario!J1838="N2",1,0),IF(E2_diario!J2300="N2",1,0),IF(E2_diario!J2342="N2",1,0))</x:f>
        <x:v>0</x:v>
      </x:c>
      <x:c r="J158" s="2" t="n">
        <x:f>SUM(IF(E2_diario!J284="N3",1,0),IF(E2_diario!J326="N3",1,0),IF(E2_diario!J788="N3",1,0),IF(E2_diario!J830="N3",1,0),IF(E2_diario!J1292="N3",1,0),IF(E2_diario!J1334="N3",1,0),IF(E2_diario!J1796="N3",1,0),IF(E2_diario!J1838="N3",1,0),IF(E2_diario!J2300="N3",1,0),IF(E2_diario!J2342="N3",1,0))</x:f>
        <x:v>0</x:v>
      </x:c>
      <x:c r="K158" s="2" t="n">
        <x:f>SUM(IF(E2_diario!J284="N4",1,0),IF(E2_diario!J326="N4",1,0),IF(E2_diario!J788="N4",1,0),IF(E2_diario!J830="N4",1,0),IF(E2_diario!J1292="N4",1,0),IF(E2_diario!J1334="N4",1,0),IF(E2_diario!J1796="N4",1,0),IF(E2_diario!J1838="N4",1,0),IF(E2_diario!J2300="N4",1,0),IF(E2_diario!J2342="N4",1,0))</x:f>
        <x:v>0</x:v>
      </x:c>
      <x:c r="L158" s="2" t="n">
        <x:f>SUM(IF(E2_diario!J284="adulta",1,0),IF(E2_diario!J326="adulta",1,0),IF(E2_diario!J788="adulta",1,0),IF(E2_diario!J830="adulta",1,0),IF(E2_diario!J1292="adulta",1,0),IF(E2_diario!J1334="adulta",1,0),IF(E2_diario!J1796="adulta",1,0),IF(E2_diario!J1838="adulta",1,0),IF(E2_diario!J2300="adulta",1,0),IF(E2_diario!J2342="adulta",1,0))</x:f>
        <x:v>6</x:v>
      </x:c>
      <x:c r="M158" s="2" t="n">
        <x:f>SUM(E2_diario!L284,E2_diario!L326,E2_diario!L788,E2_diario!L830,E2_diario!L1292,E2_diario!L1334,E2_diario!L1796,E2_diario!L1838,E2_diario!L2300,E2_diario!L2342)</x:f>
        <x:v>2</x:v>
      </x:c>
      <x:c r="N158" s="20" t="n">
        <x:f>G158/F158</x:f>
        <x:v>0.6</x:v>
      </x:c>
      <x:c r="O158" s="20" t="n">
        <x:f>IF(G158=0,0,M158/G158)</x:f>
        <x:v>0.3333333333333333</x:v>
      </x:c>
      <x:c r="P158" s="20" t="n">
        <x:f>N158*O158</x:f>
        <x:v>0.19999999999999998</x:v>
      </x:c>
      <x:c r="Q158" s="20" t="n">
        <x:f>H158/F158</x:f>
        <x:v>0</x:v>
      </x:c>
      <x:c r="R158" s="20" t="n">
        <x:f>I158/F158</x:f>
        <x:v>0</x:v>
      </x:c>
      <x:c r="S158" s="20" t="n">
        <x:f>J158/F158</x:f>
        <x:v>0</x:v>
      </x:c>
      <x:c r="T158" s="20" t="n">
        <x:f>K158/F158</x:f>
        <x:v>0</x:v>
      </x:c>
      <x:c r="U158" s="20" t="n">
        <x:f>L158/F158</x:f>
        <x:v>0.6</x:v>
      </x:c>
      <x:c r="V158" s="20" t="n">
        <x:f>IF(L158=0,0,M158/L158)</x:f>
        <x:v>0.3333333333333333</x:v>
      </x:c>
      <x:c r="W158" s="20" t="n">
        <x:f>SUM(P$128:P158)</x:f>
        <x:v>49.900000000000006</x:v>
      </x:c>
      <x:c r="X158" s="2" t="n">
        <x:f>E158+Supuestos!$C$15</x:f>
        <x:v>31</x:v>
      </x:c>
      <x:c r="Y158" s="2" t="n">
        <x:f>F158-G158</x:f>
        <x:v>4</x:v>
      </x:c>
      <x:c r="Z158" s="2" t="str">
        <x:v>simulado_didactico</x:v>
      </x:c>
    </x:row>
    <x:row r="159" ht="19" customHeight="1">
      <x:c r="A159" s="2" t="str">
        <x:v>BB_L0</x:v>
      </x:c>
      <x:c r="B159" s="2" t="str">
        <x:v>BB</x:v>
      </x:c>
      <x:c r="C159" s="2" t="str">
        <x:v>Brevicoryne brassicae</x:v>
      </x:c>
      <x:c r="D159" s="2" t="str">
        <x:v>L0</x:v>
      </x:c>
      <x:c r="E159" s="2" t="n">
        <x:v>31</x:v>
      </x:c>
      <x:c r="F159" s="2" t="n">
        <x:f>COUNTA(E2_plantas!A8,E2_plantas!A9,E2_plantas!A20,E2_plantas!A21,E2_plantas!A32,E2_plantas!A33,E2_plantas!A44,E2_plantas!A45,E2_plantas!A56,E2_plantas!A57)</x:f>
        <x:v>10</x:v>
      </x:c>
      <x:c r="G159" s="2" t="n">
        <x:f>SUM(E2_diario!K285,E2_diario!K327,E2_diario!K789,E2_diario!K831,E2_diario!K1293,E2_diario!K1335,E2_diario!K1797,E2_diario!K1839,E2_diario!K2301,E2_diario!K2343)</x:f>
        <x:v>5</x:v>
      </x:c>
      <x:c r="H159" s="2" t="n">
        <x:f>SUM(IF(E2_diario!J285="N1",1,0),IF(E2_diario!J327="N1",1,0),IF(E2_diario!J789="N1",1,0),IF(E2_diario!J831="N1",1,0),IF(E2_diario!J1293="N1",1,0),IF(E2_diario!J1335="N1",1,0),IF(E2_diario!J1797="N1",1,0),IF(E2_diario!J1839="N1",1,0),IF(E2_diario!J2301="N1",1,0),IF(E2_diario!J2343="N1",1,0))</x:f>
        <x:v>0</x:v>
      </x:c>
      <x:c r="I159" s="2" t="n">
        <x:f>SUM(IF(E2_diario!J285="N2",1,0),IF(E2_diario!J327="N2",1,0),IF(E2_diario!J789="N2",1,0),IF(E2_diario!J831="N2",1,0),IF(E2_diario!J1293="N2",1,0),IF(E2_diario!J1335="N2",1,0),IF(E2_diario!J1797="N2",1,0),IF(E2_diario!J1839="N2",1,0),IF(E2_diario!J2301="N2",1,0),IF(E2_diario!J2343="N2",1,0))</x:f>
        <x:v>0</x:v>
      </x:c>
      <x:c r="J159" s="2" t="n">
        <x:f>SUM(IF(E2_diario!J285="N3",1,0),IF(E2_diario!J327="N3",1,0),IF(E2_diario!J789="N3",1,0),IF(E2_diario!J831="N3",1,0),IF(E2_diario!J1293="N3",1,0),IF(E2_diario!J1335="N3",1,0),IF(E2_diario!J1797="N3",1,0),IF(E2_diario!J1839="N3",1,0),IF(E2_diario!J2301="N3",1,0),IF(E2_diario!J2343="N3",1,0))</x:f>
        <x:v>0</x:v>
      </x:c>
      <x:c r="K159" s="2" t="n">
        <x:f>SUM(IF(E2_diario!J285="N4",1,0),IF(E2_diario!J327="N4",1,0),IF(E2_diario!J789="N4",1,0),IF(E2_diario!J831="N4",1,0),IF(E2_diario!J1293="N4",1,0),IF(E2_diario!J1335="N4",1,0),IF(E2_diario!J1797="N4",1,0),IF(E2_diario!J1839="N4",1,0),IF(E2_diario!J2301="N4",1,0),IF(E2_diario!J2343="N4",1,0))</x:f>
        <x:v>0</x:v>
      </x:c>
      <x:c r="L159" s="2" t="n">
        <x:f>SUM(IF(E2_diario!J285="adulta",1,0),IF(E2_diario!J327="adulta",1,0),IF(E2_diario!J789="adulta",1,0),IF(E2_diario!J831="adulta",1,0),IF(E2_diario!J1293="adulta",1,0),IF(E2_diario!J1335="adulta",1,0),IF(E2_diario!J1797="adulta",1,0),IF(E2_diario!J1839="adulta",1,0),IF(E2_diario!J2301="adulta",1,0),IF(E2_diario!J2343="adulta",1,0))</x:f>
        <x:v>5</x:v>
      </x:c>
      <x:c r="M159" s="2" t="n">
        <x:f>SUM(E2_diario!L285,E2_diario!L327,E2_diario!L789,E2_diario!L831,E2_diario!L1293,E2_diario!L1335,E2_diario!L1797,E2_diario!L1839,E2_diario!L2301,E2_diario!L2343)</x:f>
        <x:v>8</x:v>
      </x:c>
      <x:c r="N159" s="20" t="n">
        <x:f>G159/F159</x:f>
        <x:v>0.5</x:v>
      </x:c>
      <x:c r="O159" s="20" t="n">
        <x:f>IF(G159=0,0,M159/G159)</x:f>
        <x:v>1.6</x:v>
      </x:c>
      <x:c r="P159" s="20" t="n">
        <x:f>N159*O159</x:f>
        <x:v>0.8</x:v>
      </x:c>
      <x:c r="Q159" s="20" t="n">
        <x:f>H159/F159</x:f>
        <x:v>0</x:v>
      </x:c>
      <x:c r="R159" s="20" t="n">
        <x:f>I159/F159</x:f>
        <x:v>0</x:v>
      </x:c>
      <x:c r="S159" s="20" t="n">
        <x:f>J159/F159</x:f>
        <x:v>0</x:v>
      </x:c>
      <x:c r="T159" s="20" t="n">
        <x:f>K159/F159</x:f>
        <x:v>0</x:v>
      </x:c>
      <x:c r="U159" s="20" t="n">
        <x:f>L159/F159</x:f>
        <x:v>0.5</x:v>
      </x:c>
      <x:c r="V159" s="20" t="n">
        <x:f>IF(L159=0,0,M159/L159)</x:f>
        <x:v>1.6</x:v>
      </x:c>
      <x:c r="W159" s="20" t="n">
        <x:f>SUM(P$128:P159)</x:f>
        <x:v>50.7</x:v>
      </x:c>
      <x:c r="X159" s="2" t="n">
        <x:f>E159+Supuestos!$C$15</x:f>
        <x:v>32</x:v>
      </x:c>
      <x:c r="Y159" s="2" t="n">
        <x:f>F159-G159</x:f>
        <x:v>5</x:v>
      </x:c>
      <x:c r="Z159" s="2" t="str">
        <x:v>simulado_didactico</x:v>
      </x:c>
    </x:row>
    <x:row r="160" ht="19" customHeight="1">
      <x:c r="A160" s="2" t="str">
        <x:v>BB_L0</x:v>
      </x:c>
      <x:c r="B160" s="2" t="str">
        <x:v>BB</x:v>
      </x:c>
      <x:c r="C160" s="2" t="str">
        <x:v>Brevicoryne brassicae</x:v>
      </x:c>
      <x:c r="D160" s="2" t="str">
        <x:v>L0</x:v>
      </x:c>
      <x:c r="E160" s="2" t="n">
        <x:v>32</x:v>
      </x:c>
      <x:c r="F160" s="2" t="n">
        <x:f>COUNTA(E2_plantas!A8,E2_plantas!A9,E2_plantas!A20,E2_plantas!A21,E2_plantas!A32,E2_plantas!A33,E2_plantas!A44,E2_plantas!A45,E2_plantas!A56,E2_plantas!A57)</x:f>
        <x:v>10</x:v>
      </x:c>
      <x:c r="G160" s="2" t="n">
        <x:f>SUM(E2_diario!K286,E2_diario!K328,E2_diario!K790,E2_diario!K832,E2_diario!K1294,E2_diario!K1336,E2_diario!K1798,E2_diario!K1840,E2_diario!K2302,E2_diario!K2344)</x:f>
        <x:v>5</x:v>
      </x:c>
      <x:c r="H160" s="2" t="n">
        <x:f>SUM(IF(E2_diario!J286="N1",1,0),IF(E2_diario!J328="N1",1,0),IF(E2_diario!J790="N1",1,0),IF(E2_diario!J832="N1",1,0),IF(E2_diario!J1294="N1",1,0),IF(E2_diario!J1336="N1",1,0),IF(E2_diario!J1798="N1",1,0),IF(E2_diario!J1840="N1",1,0),IF(E2_diario!J2302="N1",1,0),IF(E2_diario!J2344="N1",1,0))</x:f>
        <x:v>0</x:v>
      </x:c>
      <x:c r="I160" s="2" t="n">
        <x:f>SUM(IF(E2_diario!J286="N2",1,0),IF(E2_diario!J328="N2",1,0),IF(E2_diario!J790="N2",1,0),IF(E2_diario!J832="N2",1,0),IF(E2_diario!J1294="N2",1,0),IF(E2_diario!J1336="N2",1,0),IF(E2_diario!J1798="N2",1,0),IF(E2_diario!J1840="N2",1,0),IF(E2_diario!J2302="N2",1,0),IF(E2_diario!J2344="N2",1,0))</x:f>
        <x:v>0</x:v>
      </x:c>
      <x:c r="J160" s="2" t="n">
        <x:f>SUM(IF(E2_diario!J286="N3",1,0),IF(E2_diario!J328="N3",1,0),IF(E2_diario!J790="N3",1,0),IF(E2_diario!J832="N3",1,0),IF(E2_diario!J1294="N3",1,0),IF(E2_diario!J1336="N3",1,0),IF(E2_diario!J1798="N3",1,0),IF(E2_diario!J1840="N3",1,0),IF(E2_diario!J2302="N3",1,0),IF(E2_diario!J2344="N3",1,0))</x:f>
        <x:v>0</x:v>
      </x:c>
      <x:c r="K160" s="2" t="n">
        <x:f>SUM(IF(E2_diario!J286="N4",1,0),IF(E2_diario!J328="N4",1,0),IF(E2_diario!J790="N4",1,0),IF(E2_diario!J832="N4",1,0),IF(E2_diario!J1294="N4",1,0),IF(E2_diario!J1336="N4",1,0),IF(E2_diario!J1798="N4",1,0),IF(E2_diario!J1840="N4",1,0),IF(E2_diario!J2302="N4",1,0),IF(E2_diario!J2344="N4",1,0))</x:f>
        <x:v>0</x:v>
      </x:c>
      <x:c r="L160" s="2" t="n">
        <x:f>SUM(IF(E2_diario!J286="adulta",1,0),IF(E2_diario!J328="adulta",1,0),IF(E2_diario!J790="adulta",1,0),IF(E2_diario!J832="adulta",1,0),IF(E2_diario!J1294="adulta",1,0),IF(E2_diario!J1336="adulta",1,0),IF(E2_diario!J1798="adulta",1,0),IF(E2_diario!J1840="adulta",1,0),IF(E2_diario!J2302="adulta",1,0),IF(E2_diario!J2344="adulta",1,0))</x:f>
        <x:v>5</x:v>
      </x:c>
      <x:c r="M160" s="2" t="n">
        <x:f>SUM(E2_diario!L286,E2_diario!L328,E2_diario!L790,E2_diario!L832,E2_diario!L1294,E2_diario!L1336,E2_diario!L1798,E2_diario!L1840,E2_diario!L2302,E2_diario!L2344)</x:f>
        <x:v>2</x:v>
      </x:c>
      <x:c r="N160" s="20" t="n">
        <x:f>G160/F160</x:f>
        <x:v>0.5</x:v>
      </x:c>
      <x:c r="O160" s="20" t="n">
        <x:f>IF(G160=0,0,M160/G160)</x:f>
        <x:v>0.4</x:v>
      </x:c>
      <x:c r="P160" s="20" t="n">
        <x:f>N160*O160</x:f>
        <x:v>0.2</x:v>
      </x:c>
      <x:c r="Q160" s="20" t="n">
        <x:f>H160/F160</x:f>
        <x:v>0</x:v>
      </x:c>
      <x:c r="R160" s="20" t="n">
        <x:f>I160/F160</x:f>
        <x:v>0</x:v>
      </x:c>
      <x:c r="S160" s="20" t="n">
        <x:f>J160/F160</x:f>
        <x:v>0</x:v>
      </x:c>
      <x:c r="T160" s="20" t="n">
        <x:f>K160/F160</x:f>
        <x:v>0</x:v>
      </x:c>
      <x:c r="U160" s="20" t="n">
        <x:f>L160/F160</x:f>
        <x:v>0.5</x:v>
      </x:c>
      <x:c r="V160" s="20" t="n">
        <x:f>IF(L160=0,0,M160/L160)</x:f>
        <x:v>0.4</x:v>
      </x:c>
      <x:c r="W160" s="20" t="n">
        <x:f>SUM(P$128:P160)</x:f>
        <x:v>50.900000000000006</x:v>
      </x:c>
      <x:c r="X160" s="2" t="n">
        <x:f>E160+Supuestos!$C$15</x:f>
        <x:v>33</x:v>
      </x:c>
      <x:c r="Y160" s="2" t="n">
        <x:f>F160-G160</x:f>
        <x:v>5</x:v>
      </x:c>
      <x:c r="Z160" s="2" t="str">
        <x:v>simulado_didactico</x:v>
      </x:c>
    </x:row>
    <x:row r="161" ht="19" customHeight="1">
      <x:c r="A161" s="2" t="str">
        <x:v>BB_L0</x:v>
      </x:c>
      <x:c r="B161" s="2" t="str">
        <x:v>BB</x:v>
      </x:c>
      <x:c r="C161" s="2" t="str">
        <x:v>Brevicoryne brassicae</x:v>
      </x:c>
      <x:c r="D161" s="2" t="str">
        <x:v>L0</x:v>
      </x:c>
      <x:c r="E161" s="2" t="n">
        <x:v>33</x:v>
      </x:c>
      <x:c r="F161" s="2" t="n">
        <x:f>COUNTA(E2_plantas!A8,E2_plantas!A9,E2_plantas!A20,E2_plantas!A21,E2_plantas!A32,E2_plantas!A33,E2_plantas!A44,E2_plantas!A45,E2_plantas!A56,E2_plantas!A57)</x:f>
        <x:v>10</x:v>
      </x:c>
      <x:c r="G161" s="2" t="n">
        <x:f>SUM(E2_diario!K287,E2_diario!K329,E2_diario!K791,E2_diario!K833,E2_diario!K1295,E2_diario!K1337,E2_diario!K1799,E2_diario!K1841,E2_diario!K2303,E2_diario!K2345)</x:f>
        <x:v>4</x:v>
      </x:c>
      <x:c r="H161" s="2" t="n">
        <x:f>SUM(IF(E2_diario!J287="N1",1,0),IF(E2_diario!J329="N1",1,0),IF(E2_diario!J791="N1",1,0),IF(E2_diario!J833="N1",1,0),IF(E2_diario!J1295="N1",1,0),IF(E2_diario!J1337="N1",1,0),IF(E2_diario!J1799="N1",1,0),IF(E2_diario!J1841="N1",1,0),IF(E2_diario!J2303="N1",1,0),IF(E2_diario!J2345="N1",1,0))</x:f>
        <x:v>0</x:v>
      </x:c>
      <x:c r="I161" s="2" t="n">
        <x:f>SUM(IF(E2_diario!J287="N2",1,0),IF(E2_diario!J329="N2",1,0),IF(E2_diario!J791="N2",1,0),IF(E2_diario!J833="N2",1,0),IF(E2_diario!J1295="N2",1,0),IF(E2_diario!J1337="N2",1,0),IF(E2_diario!J1799="N2",1,0),IF(E2_diario!J1841="N2",1,0),IF(E2_diario!J2303="N2",1,0),IF(E2_diario!J2345="N2",1,0))</x:f>
        <x:v>0</x:v>
      </x:c>
      <x:c r="J161" s="2" t="n">
        <x:f>SUM(IF(E2_diario!J287="N3",1,0),IF(E2_diario!J329="N3",1,0),IF(E2_diario!J791="N3",1,0),IF(E2_diario!J833="N3",1,0),IF(E2_diario!J1295="N3",1,0),IF(E2_diario!J1337="N3",1,0),IF(E2_diario!J1799="N3",1,0),IF(E2_diario!J1841="N3",1,0),IF(E2_diario!J2303="N3",1,0),IF(E2_diario!J2345="N3",1,0))</x:f>
        <x:v>0</x:v>
      </x:c>
      <x:c r="K161" s="2" t="n">
        <x:f>SUM(IF(E2_diario!J287="N4",1,0),IF(E2_diario!J329="N4",1,0),IF(E2_diario!J791="N4",1,0),IF(E2_diario!J833="N4",1,0),IF(E2_diario!J1295="N4",1,0),IF(E2_diario!J1337="N4",1,0),IF(E2_diario!J1799="N4",1,0),IF(E2_diario!J1841="N4",1,0),IF(E2_diario!J2303="N4",1,0),IF(E2_diario!J2345="N4",1,0))</x:f>
        <x:v>0</x:v>
      </x:c>
      <x:c r="L161" s="2" t="n">
        <x:f>SUM(IF(E2_diario!J287="adulta",1,0),IF(E2_diario!J329="adulta",1,0),IF(E2_diario!J791="adulta",1,0),IF(E2_diario!J833="adulta",1,0),IF(E2_diario!J1295="adulta",1,0),IF(E2_diario!J1337="adulta",1,0),IF(E2_diario!J1799="adulta",1,0),IF(E2_diario!J1841="adulta",1,0),IF(E2_diario!J2303="adulta",1,0),IF(E2_diario!J2345="adulta",1,0))</x:f>
        <x:v>4</x:v>
      </x:c>
      <x:c r="M161" s="2" t="n">
        <x:f>SUM(E2_diario!L287,E2_diario!L329,E2_diario!L791,E2_diario!L833,E2_diario!L1295,E2_diario!L1337,E2_diario!L1799,E2_diario!L1841,E2_diario!L2303,E2_diario!L2345)</x:f>
        <x:v>3</x:v>
      </x:c>
      <x:c r="N161" s="20" t="n">
        <x:f>G161/F161</x:f>
        <x:v>0.4</x:v>
      </x:c>
      <x:c r="O161" s="20" t="n">
        <x:f>IF(G161=0,0,M161/G161)</x:f>
        <x:v>0.75</x:v>
      </x:c>
      <x:c r="P161" s="20" t="n">
        <x:f>N161*O161</x:f>
        <x:v>0.30000000000000004</x:v>
      </x:c>
      <x:c r="Q161" s="20" t="n">
        <x:f>H161/F161</x:f>
        <x:v>0</x:v>
      </x:c>
      <x:c r="R161" s="20" t="n">
        <x:f>I161/F161</x:f>
        <x:v>0</x:v>
      </x:c>
      <x:c r="S161" s="20" t="n">
        <x:f>J161/F161</x:f>
        <x:v>0</x:v>
      </x:c>
      <x:c r="T161" s="20" t="n">
        <x:f>K161/F161</x:f>
        <x:v>0</x:v>
      </x:c>
      <x:c r="U161" s="20" t="n">
        <x:f>L161/F161</x:f>
        <x:v>0.4</x:v>
      </x:c>
      <x:c r="V161" s="20" t="n">
        <x:f>IF(L161=0,0,M161/L161)</x:f>
        <x:v>0.75</x:v>
      </x:c>
      <x:c r="W161" s="20" t="n">
        <x:f>SUM(P$128:P161)</x:f>
        <x:v>51.2</x:v>
      </x:c>
      <x:c r="X161" s="2" t="n">
        <x:f>E161+Supuestos!$C$15</x:f>
        <x:v>34</x:v>
      </x:c>
      <x:c r="Y161" s="2" t="n">
        <x:f>F161-G161</x:f>
        <x:v>6</x:v>
      </x:c>
      <x:c r="Z161" s="2" t="str">
        <x:v>simulado_didactico</x:v>
      </x:c>
    </x:row>
    <x:row r="162" ht="19" customHeight="1">
      <x:c r="A162" s="2" t="str">
        <x:v>BB_L0</x:v>
      </x:c>
      <x:c r="B162" s="2" t="str">
        <x:v>BB</x:v>
      </x:c>
      <x:c r="C162" s="2" t="str">
        <x:v>Brevicoryne brassicae</x:v>
      </x:c>
      <x:c r="D162" s="2" t="str">
        <x:v>L0</x:v>
      </x:c>
      <x:c r="E162" s="2" t="n">
        <x:v>34</x:v>
      </x:c>
      <x:c r="F162" s="2" t="n">
        <x:f>COUNTA(E2_plantas!A8,E2_plantas!A9,E2_plantas!A20,E2_plantas!A21,E2_plantas!A32,E2_plantas!A33,E2_plantas!A44,E2_plantas!A45,E2_plantas!A56,E2_plantas!A57)</x:f>
        <x:v>10</x:v>
      </x:c>
      <x:c r="G162" s="2" t="n">
        <x:f>SUM(E2_diario!K288,E2_diario!K330,E2_diario!K792,E2_diario!K834,E2_diario!K1296,E2_diario!K1338,E2_diario!K1800,E2_diario!K1842,E2_diario!K2304,E2_diario!K2346)</x:f>
        <x:v>4</x:v>
      </x:c>
      <x:c r="H162" s="2" t="n">
        <x:f>SUM(IF(E2_diario!J288="N1",1,0),IF(E2_diario!J330="N1",1,0),IF(E2_diario!J792="N1",1,0),IF(E2_diario!J834="N1",1,0),IF(E2_diario!J1296="N1",1,0),IF(E2_diario!J1338="N1",1,0),IF(E2_diario!J1800="N1",1,0),IF(E2_diario!J1842="N1",1,0),IF(E2_diario!J2304="N1",1,0),IF(E2_diario!J2346="N1",1,0))</x:f>
        <x:v>0</x:v>
      </x:c>
      <x:c r="I162" s="2" t="n">
        <x:f>SUM(IF(E2_diario!J288="N2",1,0),IF(E2_diario!J330="N2",1,0),IF(E2_diario!J792="N2",1,0),IF(E2_diario!J834="N2",1,0),IF(E2_diario!J1296="N2",1,0),IF(E2_diario!J1338="N2",1,0),IF(E2_diario!J1800="N2",1,0),IF(E2_diario!J1842="N2",1,0),IF(E2_diario!J2304="N2",1,0),IF(E2_diario!J2346="N2",1,0))</x:f>
        <x:v>0</x:v>
      </x:c>
      <x:c r="J162" s="2" t="n">
        <x:f>SUM(IF(E2_diario!J288="N3",1,0),IF(E2_diario!J330="N3",1,0),IF(E2_diario!J792="N3",1,0),IF(E2_diario!J834="N3",1,0),IF(E2_diario!J1296="N3",1,0),IF(E2_diario!J1338="N3",1,0),IF(E2_diario!J1800="N3",1,0),IF(E2_diario!J1842="N3",1,0),IF(E2_diario!J2304="N3",1,0),IF(E2_diario!J2346="N3",1,0))</x:f>
        <x:v>0</x:v>
      </x:c>
      <x:c r="K162" s="2" t="n">
        <x:f>SUM(IF(E2_diario!J288="N4",1,0),IF(E2_diario!J330="N4",1,0),IF(E2_diario!J792="N4",1,0),IF(E2_diario!J834="N4",1,0),IF(E2_diario!J1296="N4",1,0),IF(E2_diario!J1338="N4",1,0),IF(E2_diario!J1800="N4",1,0),IF(E2_diario!J1842="N4",1,0),IF(E2_diario!J2304="N4",1,0),IF(E2_diario!J2346="N4",1,0))</x:f>
        <x:v>0</x:v>
      </x:c>
      <x:c r="L162" s="2" t="n">
        <x:f>SUM(IF(E2_diario!J288="adulta",1,0),IF(E2_diario!J330="adulta",1,0),IF(E2_diario!J792="adulta",1,0),IF(E2_diario!J834="adulta",1,0),IF(E2_diario!J1296="adulta",1,0),IF(E2_diario!J1338="adulta",1,0),IF(E2_diario!J1800="adulta",1,0),IF(E2_diario!J1842="adulta",1,0),IF(E2_diario!J2304="adulta",1,0),IF(E2_diario!J2346="adulta",1,0))</x:f>
        <x:v>4</x:v>
      </x:c>
      <x:c r="M162" s="2" t="n">
        <x:f>SUM(E2_diario!L288,E2_diario!L330,E2_diario!L792,E2_diario!L834,E2_diario!L1296,E2_diario!L1338,E2_diario!L1800,E2_diario!L1842,E2_diario!L2304,E2_diario!L2346)</x:f>
        <x:v>0</x:v>
      </x:c>
      <x:c r="N162" s="20" t="n">
        <x:f>G162/F162</x:f>
        <x:v>0.4</x:v>
      </x:c>
      <x:c r="O162" s="20" t="n">
        <x:f>IF(G162=0,0,M162/G162)</x:f>
        <x:v>0</x:v>
      </x:c>
      <x:c r="P162" s="20" t="n">
        <x:f>N162*O162</x:f>
        <x:v>0</x:v>
      </x:c>
      <x:c r="Q162" s="20" t="n">
        <x:f>H162/F162</x:f>
        <x:v>0</x:v>
      </x:c>
      <x:c r="R162" s="20" t="n">
        <x:f>I162/F162</x:f>
        <x:v>0</x:v>
      </x:c>
      <x:c r="S162" s="20" t="n">
        <x:f>J162/F162</x:f>
        <x:v>0</x:v>
      </x:c>
      <x:c r="T162" s="20" t="n">
        <x:f>K162/F162</x:f>
        <x:v>0</x:v>
      </x:c>
      <x:c r="U162" s="20" t="n">
        <x:f>L162/F162</x:f>
        <x:v>0.4</x:v>
      </x:c>
      <x:c r="V162" s="20" t="n">
        <x:f>IF(L162=0,0,M162/L162)</x:f>
        <x:v>0</x:v>
      </x:c>
      <x:c r="W162" s="20" t="n">
        <x:f>SUM(P$128:P162)</x:f>
        <x:v>51.2</x:v>
      </x:c>
      <x:c r="X162" s="2" t="n">
        <x:f>E162+Supuestos!$C$15</x:f>
        <x:v>35</x:v>
      </x:c>
      <x:c r="Y162" s="2" t="n">
        <x:f>F162-G162</x:f>
        <x:v>6</x:v>
      </x:c>
      <x:c r="Z162" s="2" t="str">
        <x:v>simulado_didactico</x:v>
      </x:c>
    </x:row>
    <x:row r="163" ht="19" customHeight="1">
      <x:c r="A163" s="2" t="str">
        <x:v>BB_L0</x:v>
      </x:c>
      <x:c r="B163" s="2" t="str">
        <x:v>BB</x:v>
      </x:c>
      <x:c r="C163" s="2" t="str">
        <x:v>Brevicoryne brassicae</x:v>
      </x:c>
      <x:c r="D163" s="2" t="str">
        <x:v>L0</x:v>
      </x:c>
      <x:c r="E163" s="2" t="n">
        <x:v>35</x:v>
      </x:c>
      <x:c r="F163" s="2" t="n">
        <x:f>COUNTA(E2_plantas!A8,E2_plantas!A9,E2_plantas!A20,E2_plantas!A21,E2_plantas!A32,E2_plantas!A33,E2_plantas!A44,E2_plantas!A45,E2_plantas!A56,E2_plantas!A57)</x:f>
        <x:v>10</x:v>
      </x:c>
      <x:c r="G163" s="2" t="n">
        <x:f>SUM(E2_diario!K289,E2_diario!K331,E2_diario!K793,E2_diario!K835,E2_diario!K1297,E2_diario!K1339,E2_diario!K1801,E2_diario!K1843,E2_diario!K2305,E2_diario!K2347)</x:f>
        <x:v>3</x:v>
      </x:c>
      <x:c r="H163" s="2" t="n">
        <x:f>SUM(IF(E2_diario!J289="N1",1,0),IF(E2_diario!J331="N1",1,0),IF(E2_diario!J793="N1",1,0),IF(E2_diario!J835="N1",1,0),IF(E2_diario!J1297="N1",1,0),IF(E2_diario!J1339="N1",1,0),IF(E2_diario!J1801="N1",1,0),IF(E2_diario!J1843="N1",1,0),IF(E2_diario!J2305="N1",1,0),IF(E2_diario!J2347="N1",1,0))</x:f>
        <x:v>0</x:v>
      </x:c>
      <x:c r="I163" s="2" t="n">
        <x:f>SUM(IF(E2_diario!J289="N2",1,0),IF(E2_diario!J331="N2",1,0),IF(E2_diario!J793="N2",1,0),IF(E2_diario!J835="N2",1,0),IF(E2_diario!J1297="N2",1,0),IF(E2_diario!J1339="N2",1,0),IF(E2_diario!J1801="N2",1,0),IF(E2_diario!J1843="N2",1,0),IF(E2_diario!J2305="N2",1,0),IF(E2_diario!J2347="N2",1,0))</x:f>
        <x:v>0</x:v>
      </x:c>
      <x:c r="J163" s="2" t="n">
        <x:f>SUM(IF(E2_diario!J289="N3",1,0),IF(E2_diario!J331="N3",1,0),IF(E2_diario!J793="N3",1,0),IF(E2_diario!J835="N3",1,0),IF(E2_diario!J1297="N3",1,0),IF(E2_diario!J1339="N3",1,0),IF(E2_diario!J1801="N3",1,0),IF(E2_diario!J1843="N3",1,0),IF(E2_diario!J2305="N3",1,0),IF(E2_diario!J2347="N3",1,0))</x:f>
        <x:v>0</x:v>
      </x:c>
      <x:c r="K163" s="2" t="n">
        <x:f>SUM(IF(E2_diario!J289="N4",1,0),IF(E2_diario!J331="N4",1,0),IF(E2_diario!J793="N4",1,0),IF(E2_diario!J835="N4",1,0),IF(E2_diario!J1297="N4",1,0),IF(E2_diario!J1339="N4",1,0),IF(E2_diario!J1801="N4",1,0),IF(E2_diario!J1843="N4",1,0),IF(E2_diario!J2305="N4",1,0),IF(E2_diario!J2347="N4",1,0))</x:f>
        <x:v>0</x:v>
      </x:c>
      <x:c r="L163" s="2" t="n">
        <x:f>SUM(IF(E2_diario!J289="adulta",1,0),IF(E2_diario!J331="adulta",1,0),IF(E2_diario!J793="adulta",1,0),IF(E2_diario!J835="adulta",1,0),IF(E2_diario!J1297="adulta",1,0),IF(E2_diario!J1339="adulta",1,0),IF(E2_diario!J1801="adulta",1,0),IF(E2_diario!J1843="adulta",1,0),IF(E2_diario!J2305="adulta",1,0),IF(E2_diario!J2347="adulta",1,0))</x:f>
        <x:v>3</x:v>
      </x:c>
      <x:c r="M163" s="2" t="n">
        <x:f>SUM(E2_diario!L289,E2_diario!L331,E2_diario!L793,E2_diario!L835,E2_diario!L1297,E2_diario!L1339,E2_diario!L1801,E2_diario!L1843,E2_diario!L2305,E2_diario!L2347)</x:f>
        <x:v>0</x:v>
      </x:c>
      <x:c r="N163" s="20" t="n">
        <x:f>G163/F163</x:f>
        <x:v>0.3</x:v>
      </x:c>
      <x:c r="O163" s="20" t="n">
        <x:f>IF(G163=0,0,M163/G163)</x:f>
        <x:v>0</x:v>
      </x:c>
      <x:c r="P163" s="20" t="n">
        <x:f>N163*O163</x:f>
        <x:v>0</x:v>
      </x:c>
      <x:c r="Q163" s="20" t="n">
        <x:f>H163/F163</x:f>
        <x:v>0</x:v>
      </x:c>
      <x:c r="R163" s="20" t="n">
        <x:f>I163/F163</x:f>
        <x:v>0</x:v>
      </x:c>
      <x:c r="S163" s="20" t="n">
        <x:f>J163/F163</x:f>
        <x:v>0</x:v>
      </x:c>
      <x:c r="T163" s="20" t="n">
        <x:f>K163/F163</x:f>
        <x:v>0</x:v>
      </x:c>
      <x:c r="U163" s="20" t="n">
        <x:f>L163/F163</x:f>
        <x:v>0.3</x:v>
      </x:c>
      <x:c r="V163" s="20" t="n">
        <x:f>IF(L163=0,0,M163/L163)</x:f>
        <x:v>0</x:v>
      </x:c>
      <x:c r="W163" s="20" t="n">
        <x:f>SUM(P$128:P163)</x:f>
        <x:v>51.2</x:v>
      </x:c>
      <x:c r="X163" s="2" t="n">
        <x:f>E163+Supuestos!$C$15</x:f>
        <x:v>36</x:v>
      </x:c>
      <x:c r="Y163" s="2" t="n">
        <x:f>F163-G163</x:f>
        <x:v>7</x:v>
      </x:c>
      <x:c r="Z163" s="2" t="str">
        <x:v>simulado_didactico</x:v>
      </x:c>
    </x:row>
    <x:row r="164" ht="19" customHeight="1">
      <x:c r="A164" s="2" t="str">
        <x:v>BB_L0</x:v>
      </x:c>
      <x:c r="B164" s="2" t="str">
        <x:v>BB</x:v>
      </x:c>
      <x:c r="C164" s="2" t="str">
        <x:v>Brevicoryne brassicae</x:v>
      </x:c>
      <x:c r="D164" s="2" t="str">
        <x:v>L0</x:v>
      </x:c>
      <x:c r="E164" s="2" t="n">
        <x:v>36</x:v>
      </x:c>
      <x:c r="F164" s="2" t="n">
        <x:f>COUNTA(E2_plantas!A8,E2_plantas!A9,E2_plantas!A20,E2_plantas!A21,E2_plantas!A32,E2_plantas!A33,E2_plantas!A44,E2_plantas!A45,E2_plantas!A56,E2_plantas!A57)</x:f>
        <x:v>10</x:v>
      </x:c>
      <x:c r="G164" s="2" t="n">
        <x:f>SUM(E2_diario!K290,E2_diario!K332,E2_diario!K794,E2_diario!K836,E2_diario!K1298,E2_diario!K1340,E2_diario!K1802,E2_diario!K1844,E2_diario!K2306,E2_diario!K2348)</x:f>
        <x:v>0</x:v>
      </x:c>
      <x:c r="H164" s="2" t="n">
        <x:f>SUM(IF(E2_diario!J290="N1",1,0),IF(E2_diario!J332="N1",1,0),IF(E2_diario!J794="N1",1,0),IF(E2_diario!J836="N1",1,0),IF(E2_diario!J1298="N1",1,0),IF(E2_diario!J1340="N1",1,0),IF(E2_diario!J1802="N1",1,0),IF(E2_diario!J1844="N1",1,0),IF(E2_diario!J2306="N1",1,0),IF(E2_diario!J2348="N1",1,0))</x:f>
        <x:v>0</x:v>
      </x:c>
      <x:c r="I164" s="2" t="n">
        <x:f>SUM(IF(E2_diario!J290="N2",1,0),IF(E2_diario!J332="N2",1,0),IF(E2_diario!J794="N2",1,0),IF(E2_diario!J836="N2",1,0),IF(E2_diario!J1298="N2",1,0),IF(E2_diario!J1340="N2",1,0),IF(E2_diario!J1802="N2",1,0),IF(E2_diario!J1844="N2",1,0),IF(E2_diario!J2306="N2",1,0),IF(E2_diario!J2348="N2",1,0))</x:f>
        <x:v>0</x:v>
      </x:c>
      <x:c r="J164" s="2" t="n">
        <x:f>SUM(IF(E2_diario!J290="N3",1,0),IF(E2_diario!J332="N3",1,0),IF(E2_diario!J794="N3",1,0),IF(E2_diario!J836="N3",1,0),IF(E2_diario!J1298="N3",1,0),IF(E2_diario!J1340="N3",1,0),IF(E2_diario!J1802="N3",1,0),IF(E2_diario!J1844="N3",1,0),IF(E2_diario!J2306="N3",1,0),IF(E2_diario!J2348="N3",1,0))</x:f>
        <x:v>0</x:v>
      </x:c>
      <x:c r="K164" s="2" t="n">
        <x:f>SUM(IF(E2_diario!J290="N4",1,0),IF(E2_diario!J332="N4",1,0),IF(E2_diario!J794="N4",1,0),IF(E2_diario!J836="N4",1,0),IF(E2_diario!J1298="N4",1,0),IF(E2_diario!J1340="N4",1,0),IF(E2_diario!J1802="N4",1,0),IF(E2_diario!J1844="N4",1,0),IF(E2_diario!J2306="N4",1,0),IF(E2_diario!J2348="N4",1,0))</x:f>
        <x:v>0</x:v>
      </x:c>
      <x:c r="L164" s="2" t="n">
        <x:f>SUM(IF(E2_diario!J290="adulta",1,0),IF(E2_diario!J332="adulta",1,0),IF(E2_diario!J794="adulta",1,0),IF(E2_diario!J836="adulta",1,0),IF(E2_diario!J1298="adulta",1,0),IF(E2_diario!J1340="adulta",1,0),IF(E2_diario!J1802="adulta",1,0),IF(E2_diario!J1844="adulta",1,0),IF(E2_diario!J2306="adulta",1,0),IF(E2_diario!J2348="adulta",1,0))</x:f>
        <x:v>0</x:v>
      </x:c>
      <x:c r="M164" s="2" t="n">
        <x:f>SUM(E2_diario!L290,E2_diario!L332,E2_diario!L794,E2_diario!L836,E2_diario!L1298,E2_diario!L1340,E2_diario!L1802,E2_diario!L1844,E2_diario!L2306,E2_diario!L2348)</x:f>
        <x:v>0</x:v>
      </x:c>
      <x:c r="N164" s="20" t="n">
        <x:f>G164/F164</x:f>
        <x:v>0</x:v>
      </x:c>
      <x:c r="O164" s="20" t="n">
        <x:f>IF(G164=0,0,M164/G164)</x:f>
        <x:v>0</x:v>
      </x:c>
      <x:c r="P164" s="20" t="n">
        <x:f>N164*O164</x:f>
        <x:v>0</x:v>
      </x:c>
      <x:c r="Q164" s="20" t="n">
        <x:f>H164/F164</x:f>
        <x:v>0</x:v>
      </x:c>
      <x:c r="R164" s="20" t="n">
        <x:f>I164/F164</x:f>
        <x:v>0</x:v>
      </x:c>
      <x:c r="S164" s="20" t="n">
        <x:f>J164/F164</x:f>
        <x:v>0</x:v>
      </x:c>
      <x:c r="T164" s="20" t="n">
        <x:f>K164/F164</x:f>
        <x:v>0</x:v>
      </x:c>
      <x:c r="U164" s="20" t="n">
        <x:f>L164/F164</x:f>
        <x:v>0</x:v>
      </x:c>
      <x:c r="V164" s="20" t="n">
        <x:f>IF(L164=0,0,M164/L164)</x:f>
        <x:v>0</x:v>
      </x:c>
      <x:c r="W164" s="20" t="n">
        <x:f>SUM(P$128:P164)</x:f>
        <x:v>51.2</x:v>
      </x:c>
      <x:c r="X164" s="2" t="n">
        <x:f>E164+Supuestos!$C$15</x:f>
        <x:v>37</x:v>
      </x:c>
      <x:c r="Y164" s="2" t="n">
        <x:f>F164-G164</x:f>
        <x:v>10</x:v>
      </x:c>
      <x:c r="Z164" s="2" t="str">
        <x:v>simulado_didactico</x:v>
      </x:c>
    </x:row>
    <x:row r="165" ht="19" customHeight="1">
      <x:c r="A165" s="2" t="str">
        <x:v>BB_L0</x:v>
      </x:c>
      <x:c r="B165" s="2" t="str">
        <x:v>BB</x:v>
      </x:c>
      <x:c r="C165" s="2" t="str">
        <x:v>Brevicoryne brassicae</x:v>
      </x:c>
      <x:c r="D165" s="2" t="str">
        <x:v>L0</x:v>
      </x:c>
      <x:c r="E165" s="2" t="n">
        <x:v>37</x:v>
      </x:c>
      <x:c r="F165" s="2" t="n">
        <x:f>COUNTA(E2_plantas!A8,E2_plantas!A9,E2_plantas!A20,E2_plantas!A21,E2_plantas!A32,E2_plantas!A33,E2_plantas!A44,E2_plantas!A45,E2_plantas!A56,E2_plantas!A57)</x:f>
        <x:v>10</x:v>
      </x:c>
      <x:c r="G165" s="2" t="n">
        <x:f>SUM(E2_diario!K291,E2_diario!K333,E2_diario!K795,E2_diario!K837,E2_diario!K1299,E2_diario!K1341,E2_diario!K1803,E2_diario!K1845,E2_diario!K2307,E2_diario!K2349)</x:f>
        <x:v>0</x:v>
      </x:c>
      <x:c r="H165" s="2" t="n">
        <x:f>SUM(IF(E2_diario!J291="N1",1,0),IF(E2_diario!J333="N1",1,0),IF(E2_diario!J795="N1",1,0),IF(E2_diario!J837="N1",1,0),IF(E2_diario!J1299="N1",1,0),IF(E2_diario!J1341="N1",1,0),IF(E2_diario!J1803="N1",1,0),IF(E2_diario!J1845="N1",1,0),IF(E2_diario!J2307="N1",1,0),IF(E2_diario!J2349="N1",1,0))</x:f>
        <x:v>0</x:v>
      </x:c>
      <x:c r="I165" s="2" t="n">
        <x:f>SUM(IF(E2_diario!J291="N2",1,0),IF(E2_diario!J333="N2",1,0),IF(E2_diario!J795="N2",1,0),IF(E2_diario!J837="N2",1,0),IF(E2_diario!J1299="N2",1,0),IF(E2_diario!J1341="N2",1,0),IF(E2_diario!J1803="N2",1,0),IF(E2_diario!J1845="N2",1,0),IF(E2_diario!J2307="N2",1,0),IF(E2_diario!J2349="N2",1,0))</x:f>
        <x:v>0</x:v>
      </x:c>
      <x:c r="J165" s="2" t="n">
        <x:f>SUM(IF(E2_diario!J291="N3",1,0),IF(E2_diario!J333="N3",1,0),IF(E2_diario!J795="N3",1,0),IF(E2_diario!J837="N3",1,0),IF(E2_diario!J1299="N3",1,0),IF(E2_diario!J1341="N3",1,0),IF(E2_diario!J1803="N3",1,0),IF(E2_diario!J1845="N3",1,0),IF(E2_diario!J2307="N3",1,0),IF(E2_diario!J2349="N3",1,0))</x:f>
        <x:v>0</x:v>
      </x:c>
      <x:c r="K165" s="2" t="n">
        <x:f>SUM(IF(E2_diario!J291="N4",1,0),IF(E2_diario!J333="N4",1,0),IF(E2_diario!J795="N4",1,0),IF(E2_diario!J837="N4",1,0),IF(E2_diario!J1299="N4",1,0),IF(E2_diario!J1341="N4",1,0),IF(E2_diario!J1803="N4",1,0),IF(E2_diario!J1845="N4",1,0),IF(E2_diario!J2307="N4",1,0),IF(E2_diario!J2349="N4",1,0))</x:f>
        <x:v>0</x:v>
      </x:c>
      <x:c r="L165" s="2" t="n">
        <x:f>SUM(IF(E2_diario!J291="adulta",1,0),IF(E2_diario!J333="adulta",1,0),IF(E2_diario!J795="adulta",1,0),IF(E2_diario!J837="adulta",1,0),IF(E2_diario!J1299="adulta",1,0),IF(E2_diario!J1341="adulta",1,0),IF(E2_diario!J1803="adulta",1,0),IF(E2_diario!J1845="adulta",1,0),IF(E2_diario!J2307="adulta",1,0),IF(E2_diario!J2349="adulta",1,0))</x:f>
        <x:v>0</x:v>
      </x:c>
      <x:c r="M165" s="2" t="n">
        <x:f>SUM(E2_diario!L291,E2_diario!L333,E2_diario!L795,E2_diario!L837,E2_diario!L1299,E2_diario!L1341,E2_diario!L1803,E2_diario!L1845,E2_diario!L2307,E2_diario!L2349)</x:f>
        <x:v>0</x:v>
      </x:c>
      <x:c r="N165" s="20" t="n">
        <x:f>G165/F165</x:f>
        <x:v>0</x:v>
      </x:c>
      <x:c r="O165" s="20" t="n">
        <x:f>IF(G165=0,0,M165/G165)</x:f>
        <x:v>0</x:v>
      </x:c>
      <x:c r="P165" s="20" t="n">
        <x:f>N165*O165</x:f>
        <x:v>0</x:v>
      </x:c>
      <x:c r="Q165" s="20" t="n">
        <x:f>H165/F165</x:f>
        <x:v>0</x:v>
      </x:c>
      <x:c r="R165" s="20" t="n">
        <x:f>I165/F165</x:f>
        <x:v>0</x:v>
      </x:c>
      <x:c r="S165" s="20" t="n">
        <x:f>J165/F165</x:f>
        <x:v>0</x:v>
      </x:c>
      <x:c r="T165" s="20" t="n">
        <x:f>K165/F165</x:f>
        <x:v>0</x:v>
      </x:c>
      <x:c r="U165" s="20" t="n">
        <x:f>L165/F165</x:f>
        <x:v>0</x:v>
      </x:c>
      <x:c r="V165" s="20" t="n">
        <x:f>IF(L165=0,0,M165/L165)</x:f>
        <x:v>0</x:v>
      </x:c>
      <x:c r="W165" s="20" t="n">
        <x:f>SUM(P$128:P165)</x:f>
        <x:v>51.2</x:v>
      </x:c>
      <x:c r="X165" s="2" t="n">
        <x:f>E165+Supuestos!$C$15</x:f>
        <x:v>38</x:v>
      </x:c>
      <x:c r="Y165" s="2" t="n">
        <x:f>F165-G165</x:f>
        <x:v>10</x:v>
      </x:c>
      <x:c r="Z165" s="2" t="str">
        <x:v>simulado_didactico</x:v>
      </x:c>
    </x:row>
    <x:row r="166" ht="19" customHeight="1">
      <x:c r="A166" s="2" t="str">
        <x:v>BB_L0</x:v>
      </x:c>
      <x:c r="B166" s="2" t="str">
        <x:v>BB</x:v>
      </x:c>
      <x:c r="C166" s="2" t="str">
        <x:v>Brevicoryne brassicae</x:v>
      </x:c>
      <x:c r="D166" s="2" t="str">
        <x:v>L0</x:v>
      </x:c>
      <x:c r="E166" s="2" t="n">
        <x:v>38</x:v>
      </x:c>
      <x:c r="F166" s="2" t="n">
        <x:f>COUNTA(E2_plantas!A8,E2_plantas!A9,E2_plantas!A20,E2_plantas!A21,E2_plantas!A32,E2_plantas!A33,E2_plantas!A44,E2_plantas!A45,E2_plantas!A56,E2_plantas!A57)</x:f>
        <x:v>10</x:v>
      </x:c>
      <x:c r="G166" s="2" t="n">
        <x:f>SUM(E2_diario!K292,E2_diario!K334,E2_diario!K796,E2_diario!K838,E2_diario!K1300,E2_diario!K1342,E2_diario!K1804,E2_diario!K1846,E2_diario!K2308,E2_diario!K2350)</x:f>
        <x:v>0</x:v>
      </x:c>
      <x:c r="H166" s="2" t="n">
        <x:f>SUM(IF(E2_diario!J292="N1",1,0),IF(E2_diario!J334="N1",1,0),IF(E2_diario!J796="N1",1,0),IF(E2_diario!J838="N1",1,0),IF(E2_diario!J1300="N1",1,0),IF(E2_diario!J1342="N1",1,0),IF(E2_diario!J1804="N1",1,0),IF(E2_diario!J1846="N1",1,0),IF(E2_diario!J2308="N1",1,0),IF(E2_diario!J2350="N1",1,0))</x:f>
        <x:v>0</x:v>
      </x:c>
      <x:c r="I166" s="2" t="n">
        <x:f>SUM(IF(E2_diario!J292="N2",1,0),IF(E2_diario!J334="N2",1,0),IF(E2_diario!J796="N2",1,0),IF(E2_diario!J838="N2",1,0),IF(E2_diario!J1300="N2",1,0),IF(E2_diario!J1342="N2",1,0),IF(E2_diario!J1804="N2",1,0),IF(E2_diario!J1846="N2",1,0),IF(E2_diario!J2308="N2",1,0),IF(E2_diario!J2350="N2",1,0))</x:f>
        <x:v>0</x:v>
      </x:c>
      <x:c r="J166" s="2" t="n">
        <x:f>SUM(IF(E2_diario!J292="N3",1,0),IF(E2_diario!J334="N3",1,0),IF(E2_diario!J796="N3",1,0),IF(E2_diario!J838="N3",1,0),IF(E2_diario!J1300="N3",1,0),IF(E2_diario!J1342="N3",1,0),IF(E2_diario!J1804="N3",1,0),IF(E2_diario!J1846="N3",1,0),IF(E2_diario!J2308="N3",1,0),IF(E2_diario!J2350="N3",1,0))</x:f>
        <x:v>0</x:v>
      </x:c>
      <x:c r="K166" s="2" t="n">
        <x:f>SUM(IF(E2_diario!J292="N4",1,0),IF(E2_diario!J334="N4",1,0),IF(E2_diario!J796="N4",1,0),IF(E2_diario!J838="N4",1,0),IF(E2_diario!J1300="N4",1,0),IF(E2_diario!J1342="N4",1,0),IF(E2_diario!J1804="N4",1,0),IF(E2_diario!J1846="N4",1,0),IF(E2_diario!J2308="N4",1,0),IF(E2_diario!J2350="N4",1,0))</x:f>
        <x:v>0</x:v>
      </x:c>
      <x:c r="L166" s="2" t="n">
        <x:f>SUM(IF(E2_diario!J292="adulta",1,0),IF(E2_diario!J334="adulta",1,0),IF(E2_diario!J796="adulta",1,0),IF(E2_diario!J838="adulta",1,0),IF(E2_diario!J1300="adulta",1,0),IF(E2_diario!J1342="adulta",1,0),IF(E2_diario!J1804="adulta",1,0),IF(E2_diario!J1846="adulta",1,0),IF(E2_diario!J2308="adulta",1,0),IF(E2_diario!J2350="adulta",1,0))</x:f>
        <x:v>0</x:v>
      </x:c>
      <x:c r="M166" s="2" t="n">
        <x:f>SUM(E2_diario!L292,E2_diario!L334,E2_diario!L796,E2_diario!L838,E2_diario!L1300,E2_diario!L1342,E2_diario!L1804,E2_diario!L1846,E2_diario!L2308,E2_diario!L2350)</x:f>
        <x:v>0</x:v>
      </x:c>
      <x:c r="N166" s="20" t="n">
        <x:f>G166/F166</x:f>
        <x:v>0</x:v>
      </x:c>
      <x:c r="O166" s="20" t="n">
        <x:f>IF(G166=0,0,M166/G166)</x:f>
        <x:v>0</x:v>
      </x:c>
      <x:c r="P166" s="20" t="n">
        <x:f>N166*O166</x:f>
        <x:v>0</x:v>
      </x:c>
      <x:c r="Q166" s="20" t="n">
        <x:f>H166/F166</x:f>
        <x:v>0</x:v>
      </x:c>
      <x:c r="R166" s="20" t="n">
        <x:f>I166/F166</x:f>
        <x:v>0</x:v>
      </x:c>
      <x:c r="S166" s="20" t="n">
        <x:f>J166/F166</x:f>
        <x:v>0</x:v>
      </x:c>
      <x:c r="T166" s="20" t="n">
        <x:f>K166/F166</x:f>
        <x:v>0</x:v>
      </x:c>
      <x:c r="U166" s="20" t="n">
        <x:f>L166/F166</x:f>
        <x:v>0</x:v>
      </x:c>
      <x:c r="V166" s="20" t="n">
        <x:f>IF(L166=0,0,M166/L166)</x:f>
        <x:v>0</x:v>
      </x:c>
      <x:c r="W166" s="20" t="n">
        <x:f>SUM(P$128:P166)</x:f>
        <x:v>51.2</x:v>
      </x:c>
      <x:c r="X166" s="2" t="n">
        <x:f>E166+Supuestos!$C$15</x:f>
        <x:v>39</x:v>
      </x:c>
      <x:c r="Y166" s="2" t="n">
        <x:f>F166-G166</x:f>
        <x:v>10</x:v>
      </x:c>
      <x:c r="Z166" s="2" t="str">
        <x:v>simulado_didactico</x:v>
      </x:c>
    </x:row>
    <x:row r="167" ht="19" customHeight="1">
      <x:c r="A167" s="2" t="str">
        <x:v>BB_L0</x:v>
      </x:c>
      <x:c r="B167" s="2" t="str">
        <x:v>BB</x:v>
      </x:c>
      <x:c r="C167" s="2" t="str">
        <x:v>Brevicoryne brassicae</x:v>
      </x:c>
      <x:c r="D167" s="2" t="str">
        <x:v>L0</x:v>
      </x:c>
      <x:c r="E167" s="2" t="n">
        <x:v>39</x:v>
      </x:c>
      <x:c r="F167" s="2" t="n">
        <x:f>COUNTA(E2_plantas!A8,E2_plantas!A9,E2_plantas!A20,E2_plantas!A21,E2_plantas!A32,E2_plantas!A33,E2_plantas!A44,E2_plantas!A45,E2_plantas!A56,E2_plantas!A57)</x:f>
        <x:v>10</x:v>
      </x:c>
      <x:c r="G167" s="2" t="n">
        <x:f>SUM(E2_diario!K293,E2_diario!K335,E2_diario!K797,E2_diario!K839,E2_diario!K1301,E2_diario!K1343,E2_diario!K1805,E2_diario!K1847,E2_diario!K2309,E2_diario!K2351)</x:f>
        <x:v>0</x:v>
      </x:c>
      <x:c r="H167" s="2" t="n">
        <x:f>SUM(IF(E2_diario!J293="N1",1,0),IF(E2_diario!J335="N1",1,0),IF(E2_diario!J797="N1",1,0),IF(E2_diario!J839="N1",1,0),IF(E2_diario!J1301="N1",1,0),IF(E2_diario!J1343="N1",1,0),IF(E2_diario!J1805="N1",1,0),IF(E2_diario!J1847="N1",1,0),IF(E2_diario!J2309="N1",1,0),IF(E2_diario!J2351="N1",1,0))</x:f>
        <x:v>0</x:v>
      </x:c>
      <x:c r="I167" s="2" t="n">
        <x:f>SUM(IF(E2_diario!J293="N2",1,0),IF(E2_diario!J335="N2",1,0),IF(E2_diario!J797="N2",1,0),IF(E2_diario!J839="N2",1,0),IF(E2_diario!J1301="N2",1,0),IF(E2_diario!J1343="N2",1,0),IF(E2_diario!J1805="N2",1,0),IF(E2_diario!J1847="N2",1,0),IF(E2_diario!J2309="N2",1,0),IF(E2_diario!J2351="N2",1,0))</x:f>
        <x:v>0</x:v>
      </x:c>
      <x:c r="J167" s="2" t="n">
        <x:f>SUM(IF(E2_diario!J293="N3",1,0),IF(E2_diario!J335="N3",1,0),IF(E2_diario!J797="N3",1,0),IF(E2_diario!J839="N3",1,0),IF(E2_diario!J1301="N3",1,0),IF(E2_diario!J1343="N3",1,0),IF(E2_diario!J1805="N3",1,0),IF(E2_diario!J1847="N3",1,0),IF(E2_diario!J2309="N3",1,0),IF(E2_diario!J2351="N3",1,0))</x:f>
        <x:v>0</x:v>
      </x:c>
      <x:c r="K167" s="2" t="n">
        <x:f>SUM(IF(E2_diario!J293="N4",1,0),IF(E2_diario!J335="N4",1,0),IF(E2_diario!J797="N4",1,0),IF(E2_diario!J839="N4",1,0),IF(E2_diario!J1301="N4",1,0),IF(E2_diario!J1343="N4",1,0),IF(E2_diario!J1805="N4",1,0),IF(E2_diario!J1847="N4",1,0),IF(E2_diario!J2309="N4",1,0),IF(E2_diario!J2351="N4",1,0))</x:f>
        <x:v>0</x:v>
      </x:c>
      <x:c r="L167" s="2" t="n">
        <x:f>SUM(IF(E2_diario!J293="adulta",1,0),IF(E2_diario!J335="adulta",1,0),IF(E2_diario!J797="adulta",1,0),IF(E2_diario!J839="adulta",1,0),IF(E2_diario!J1301="adulta",1,0),IF(E2_diario!J1343="adulta",1,0),IF(E2_diario!J1805="adulta",1,0),IF(E2_diario!J1847="adulta",1,0),IF(E2_diario!J2309="adulta",1,0),IF(E2_diario!J2351="adulta",1,0))</x:f>
        <x:v>0</x:v>
      </x:c>
      <x:c r="M167" s="2" t="n">
        <x:f>SUM(E2_diario!L293,E2_diario!L335,E2_diario!L797,E2_diario!L839,E2_diario!L1301,E2_diario!L1343,E2_diario!L1805,E2_diario!L1847,E2_diario!L2309,E2_diario!L2351)</x:f>
        <x:v>0</x:v>
      </x:c>
      <x:c r="N167" s="20" t="n">
        <x:f>G167/F167</x:f>
        <x:v>0</x:v>
      </x:c>
      <x:c r="O167" s="20" t="n">
        <x:f>IF(G167=0,0,M167/G167)</x:f>
        <x:v>0</x:v>
      </x:c>
      <x:c r="P167" s="20" t="n">
        <x:f>N167*O167</x:f>
        <x:v>0</x:v>
      </x:c>
      <x:c r="Q167" s="20" t="n">
        <x:f>H167/F167</x:f>
        <x:v>0</x:v>
      </x:c>
      <x:c r="R167" s="20" t="n">
        <x:f>I167/F167</x:f>
        <x:v>0</x:v>
      </x:c>
      <x:c r="S167" s="20" t="n">
        <x:f>J167/F167</x:f>
        <x:v>0</x:v>
      </x:c>
      <x:c r="T167" s="20" t="n">
        <x:f>K167/F167</x:f>
        <x:v>0</x:v>
      </x:c>
      <x:c r="U167" s="20" t="n">
        <x:f>L167/F167</x:f>
        <x:v>0</x:v>
      </x:c>
      <x:c r="V167" s="20" t="n">
        <x:f>IF(L167=0,0,M167/L167)</x:f>
        <x:v>0</x:v>
      </x:c>
      <x:c r="W167" s="20" t="n">
        <x:f>SUM(P$128:P167)</x:f>
        <x:v>51.2</x:v>
      </x:c>
      <x:c r="X167" s="2" t="n">
        <x:f>E167+Supuestos!$C$15</x:f>
        <x:v>40</x:v>
      </x:c>
      <x:c r="Y167" s="2" t="n">
        <x:f>F167-G167</x:f>
        <x:v>10</x:v>
      </x:c>
      <x:c r="Z167" s="2" t="str">
        <x:v>simulado_didactico</x:v>
      </x:c>
    </x:row>
    <x:row r="168" ht="19" customHeight="1">
      <x:c r="A168" s="2" t="str">
        <x:v>BB_L0</x:v>
      </x:c>
      <x:c r="B168" s="2" t="str">
        <x:v>BB</x:v>
      </x:c>
      <x:c r="C168" s="2" t="str">
        <x:v>Brevicoryne brassicae</x:v>
      </x:c>
      <x:c r="D168" s="2" t="str">
        <x:v>L0</x:v>
      </x:c>
      <x:c r="E168" s="2" t="n">
        <x:v>40</x:v>
      </x:c>
      <x:c r="F168" s="2" t="n">
        <x:f>COUNTA(E2_plantas!A8,E2_plantas!A9,E2_plantas!A20,E2_plantas!A21,E2_plantas!A32,E2_plantas!A33,E2_plantas!A44,E2_plantas!A45,E2_plantas!A56,E2_plantas!A57)</x:f>
        <x:v>10</x:v>
      </x:c>
      <x:c r="G168" s="2" t="n">
        <x:f>SUM(E2_diario!K294,E2_diario!K336,E2_diario!K798,E2_diario!K840,E2_diario!K1302,E2_diario!K1344,E2_diario!K1806,E2_diario!K1848,E2_diario!K2310,E2_diario!K2352)</x:f>
        <x:v>0</x:v>
      </x:c>
      <x:c r="H168" s="2" t="n">
        <x:f>SUM(IF(E2_diario!J294="N1",1,0),IF(E2_diario!J336="N1",1,0),IF(E2_diario!J798="N1",1,0),IF(E2_diario!J840="N1",1,0),IF(E2_diario!J1302="N1",1,0),IF(E2_diario!J1344="N1",1,0),IF(E2_diario!J1806="N1",1,0),IF(E2_diario!J1848="N1",1,0),IF(E2_diario!J2310="N1",1,0),IF(E2_diario!J2352="N1",1,0))</x:f>
        <x:v>0</x:v>
      </x:c>
      <x:c r="I168" s="2" t="n">
        <x:f>SUM(IF(E2_diario!J294="N2",1,0),IF(E2_diario!J336="N2",1,0),IF(E2_diario!J798="N2",1,0),IF(E2_diario!J840="N2",1,0),IF(E2_diario!J1302="N2",1,0),IF(E2_diario!J1344="N2",1,0),IF(E2_diario!J1806="N2",1,0),IF(E2_diario!J1848="N2",1,0),IF(E2_diario!J2310="N2",1,0),IF(E2_diario!J2352="N2",1,0))</x:f>
        <x:v>0</x:v>
      </x:c>
      <x:c r="J168" s="2" t="n">
        <x:f>SUM(IF(E2_diario!J294="N3",1,0),IF(E2_diario!J336="N3",1,0),IF(E2_diario!J798="N3",1,0),IF(E2_diario!J840="N3",1,0),IF(E2_diario!J1302="N3",1,0),IF(E2_diario!J1344="N3",1,0),IF(E2_diario!J1806="N3",1,0),IF(E2_diario!J1848="N3",1,0),IF(E2_diario!J2310="N3",1,0),IF(E2_diario!J2352="N3",1,0))</x:f>
        <x:v>0</x:v>
      </x:c>
      <x:c r="K168" s="2" t="n">
        <x:f>SUM(IF(E2_diario!J294="N4",1,0),IF(E2_diario!J336="N4",1,0),IF(E2_diario!J798="N4",1,0),IF(E2_diario!J840="N4",1,0),IF(E2_diario!J1302="N4",1,0),IF(E2_diario!J1344="N4",1,0),IF(E2_diario!J1806="N4",1,0),IF(E2_diario!J1848="N4",1,0),IF(E2_diario!J2310="N4",1,0),IF(E2_diario!J2352="N4",1,0))</x:f>
        <x:v>0</x:v>
      </x:c>
      <x:c r="L168" s="2" t="n">
        <x:f>SUM(IF(E2_diario!J294="adulta",1,0),IF(E2_diario!J336="adulta",1,0),IF(E2_diario!J798="adulta",1,0),IF(E2_diario!J840="adulta",1,0),IF(E2_diario!J1302="adulta",1,0),IF(E2_diario!J1344="adulta",1,0),IF(E2_diario!J1806="adulta",1,0),IF(E2_diario!J1848="adulta",1,0),IF(E2_diario!J2310="adulta",1,0),IF(E2_diario!J2352="adulta",1,0))</x:f>
        <x:v>0</x:v>
      </x:c>
      <x:c r="M168" s="2" t="n">
        <x:f>SUM(E2_diario!L294,E2_diario!L336,E2_diario!L798,E2_diario!L840,E2_diario!L1302,E2_diario!L1344,E2_diario!L1806,E2_diario!L1848,E2_diario!L2310,E2_diario!L2352)</x:f>
        <x:v>0</x:v>
      </x:c>
      <x:c r="N168" s="20" t="n">
        <x:f>G168/F168</x:f>
        <x:v>0</x:v>
      </x:c>
      <x:c r="O168" s="20" t="n">
        <x:f>IF(G168=0,0,M168/G168)</x:f>
        <x:v>0</x:v>
      </x:c>
      <x:c r="P168" s="20" t="n">
        <x:f>N168*O168</x:f>
        <x:v>0</x:v>
      </x:c>
      <x:c r="Q168" s="20" t="n">
        <x:f>H168/F168</x:f>
        <x:v>0</x:v>
      </x:c>
      <x:c r="R168" s="20" t="n">
        <x:f>I168/F168</x:f>
        <x:v>0</x:v>
      </x:c>
      <x:c r="S168" s="20" t="n">
        <x:f>J168/F168</x:f>
        <x:v>0</x:v>
      </x:c>
      <x:c r="T168" s="20" t="n">
        <x:f>K168/F168</x:f>
        <x:v>0</x:v>
      </x:c>
      <x:c r="U168" s="20" t="n">
        <x:f>L168/F168</x:f>
        <x:v>0</x:v>
      </x:c>
      <x:c r="V168" s="20" t="n">
        <x:f>IF(L168=0,0,M168/L168)</x:f>
        <x:v>0</x:v>
      </x:c>
      <x:c r="W168" s="20" t="n">
        <x:f>SUM(P$128:P168)</x:f>
        <x:v>51.2</x:v>
      </x:c>
      <x:c r="X168" s="2" t="n">
        <x:f>E168+Supuestos!$C$15</x:f>
        <x:v>41</x:v>
      </x:c>
      <x:c r="Y168" s="2" t="n">
        <x:f>F168-G168</x:f>
        <x:v>10</x:v>
      </x:c>
      <x:c r="Z168" s="2" t="str">
        <x:v>simulado_didactico</x:v>
      </x:c>
    </x:row>
    <x:row r="169" ht="19" customHeight="1">
      <x:c r="A169" s="2" t="str">
        <x:v>BB_L0</x:v>
      </x:c>
      <x:c r="B169" s="2" t="str">
        <x:v>BB</x:v>
      </x:c>
      <x:c r="C169" s="2" t="str">
        <x:v>Brevicoryne brassicae</x:v>
      </x:c>
      <x:c r="D169" s="2" t="str">
        <x:v>L0</x:v>
      </x:c>
      <x:c r="E169" s="2" t="n">
        <x:v>41</x:v>
      </x:c>
      <x:c r="F169" s="2" t="n">
        <x:f>COUNTA(E2_plantas!A8,E2_plantas!A9,E2_plantas!A20,E2_plantas!A21,E2_plantas!A32,E2_plantas!A33,E2_plantas!A44,E2_plantas!A45,E2_plantas!A56,E2_plantas!A57)</x:f>
        <x:v>10</x:v>
      </x:c>
      <x:c r="G169" s="2" t="n">
        <x:f>SUM(E2_diario!K295,E2_diario!K337,E2_diario!K799,E2_diario!K841,E2_diario!K1303,E2_diario!K1345,E2_diario!K1807,E2_diario!K1849,E2_diario!K2311,E2_diario!K2353)</x:f>
        <x:v>0</x:v>
      </x:c>
      <x:c r="H169" s="2" t="n">
        <x:f>SUM(IF(E2_diario!J295="N1",1,0),IF(E2_diario!J337="N1",1,0),IF(E2_diario!J799="N1",1,0),IF(E2_diario!J841="N1",1,0),IF(E2_diario!J1303="N1",1,0),IF(E2_diario!J1345="N1",1,0),IF(E2_diario!J1807="N1",1,0),IF(E2_diario!J1849="N1",1,0),IF(E2_diario!J2311="N1",1,0),IF(E2_diario!J2353="N1",1,0))</x:f>
        <x:v>0</x:v>
      </x:c>
      <x:c r="I169" s="2" t="n">
        <x:f>SUM(IF(E2_diario!J295="N2",1,0),IF(E2_diario!J337="N2",1,0),IF(E2_diario!J799="N2",1,0),IF(E2_diario!J841="N2",1,0),IF(E2_diario!J1303="N2",1,0),IF(E2_diario!J1345="N2",1,0),IF(E2_diario!J1807="N2",1,0),IF(E2_diario!J1849="N2",1,0),IF(E2_diario!J2311="N2",1,0),IF(E2_diario!J2353="N2",1,0))</x:f>
        <x:v>0</x:v>
      </x:c>
      <x:c r="J169" s="2" t="n">
        <x:f>SUM(IF(E2_diario!J295="N3",1,0),IF(E2_diario!J337="N3",1,0),IF(E2_diario!J799="N3",1,0),IF(E2_diario!J841="N3",1,0),IF(E2_diario!J1303="N3",1,0),IF(E2_diario!J1345="N3",1,0),IF(E2_diario!J1807="N3",1,0),IF(E2_diario!J1849="N3",1,0),IF(E2_diario!J2311="N3",1,0),IF(E2_diario!J2353="N3",1,0))</x:f>
        <x:v>0</x:v>
      </x:c>
      <x:c r="K169" s="2" t="n">
        <x:f>SUM(IF(E2_diario!J295="N4",1,0),IF(E2_diario!J337="N4",1,0),IF(E2_diario!J799="N4",1,0),IF(E2_diario!J841="N4",1,0),IF(E2_diario!J1303="N4",1,0),IF(E2_diario!J1345="N4",1,0),IF(E2_diario!J1807="N4",1,0),IF(E2_diario!J1849="N4",1,0),IF(E2_diario!J2311="N4",1,0),IF(E2_diario!J2353="N4",1,0))</x:f>
        <x:v>0</x:v>
      </x:c>
      <x:c r="L169" s="2" t="n">
        <x:f>SUM(IF(E2_diario!J295="adulta",1,0),IF(E2_diario!J337="adulta",1,0),IF(E2_diario!J799="adulta",1,0),IF(E2_diario!J841="adulta",1,0),IF(E2_diario!J1303="adulta",1,0),IF(E2_diario!J1345="adulta",1,0),IF(E2_diario!J1807="adulta",1,0),IF(E2_diario!J1849="adulta",1,0),IF(E2_diario!J2311="adulta",1,0),IF(E2_diario!J2353="adulta",1,0))</x:f>
        <x:v>0</x:v>
      </x:c>
      <x:c r="M169" s="2" t="n">
        <x:f>SUM(E2_diario!L295,E2_diario!L337,E2_diario!L799,E2_diario!L841,E2_diario!L1303,E2_diario!L1345,E2_diario!L1807,E2_diario!L1849,E2_diario!L2311,E2_diario!L2353)</x:f>
        <x:v>0</x:v>
      </x:c>
      <x:c r="N169" s="20" t="n">
        <x:f>G169/F169</x:f>
        <x:v>0</x:v>
      </x:c>
      <x:c r="O169" s="20" t="n">
        <x:f>IF(G169=0,0,M169/G169)</x:f>
        <x:v>0</x:v>
      </x:c>
      <x:c r="P169" s="20" t="n">
        <x:f>N169*O169</x:f>
        <x:v>0</x:v>
      </x:c>
      <x:c r="Q169" s="20" t="n">
        <x:f>H169/F169</x:f>
        <x:v>0</x:v>
      </x:c>
      <x:c r="R169" s="20" t="n">
        <x:f>I169/F169</x:f>
        <x:v>0</x:v>
      </x:c>
      <x:c r="S169" s="20" t="n">
        <x:f>J169/F169</x:f>
        <x:v>0</x:v>
      </x:c>
      <x:c r="T169" s="20" t="n">
        <x:f>K169/F169</x:f>
        <x:v>0</x:v>
      </x:c>
      <x:c r="U169" s="20" t="n">
        <x:f>L169/F169</x:f>
        <x:v>0</x:v>
      </x:c>
      <x:c r="V169" s="20" t="n">
        <x:f>IF(L169=0,0,M169/L169)</x:f>
        <x:v>0</x:v>
      </x:c>
      <x:c r="W169" s="20" t="n">
        <x:f>SUM(P$128:P169)</x:f>
        <x:v>51.2</x:v>
      </x:c>
      <x:c r="X169" s="2" t="n">
        <x:f>E169+Supuestos!$C$15</x:f>
        <x:v>42</x:v>
      </x:c>
      <x:c r="Y169" s="2" t="n">
        <x:f>F169-G169</x:f>
        <x:v>10</x:v>
      </x:c>
      <x:c r="Z169" s="2" t="str">
        <x:v>simulado_didactico</x:v>
      </x:c>
    </x:row>
    <x:row r="170" ht="19" customHeight="1">
      <x:c r="A170" s="2" t="str">
        <x:v>BB_L8</x:v>
      </x:c>
      <x:c r="B170" s="2" t="str">
        <x:v>BB</x:v>
      </x:c>
      <x:c r="C170" s="2" t="str">
        <x:v>Brevicoryne brassicae</x:v>
      </x:c>
      <x:c r="D170" s="2" t="str">
        <x:v>L8</x:v>
      </x:c>
      <x:c r="E170" s="2" t="n">
        <x:v>0</x:v>
      </x:c>
      <x:c r="F170" s="2" t="n">
        <x:f>COUNTA(E2_plantas!A10,E2_plantas!A11,E2_plantas!A22,E2_plantas!A23,E2_plantas!A34,E2_plantas!A35,E2_plantas!A46,E2_plantas!A47,E2_plantas!A58,E2_plantas!A59)</x:f>
        <x:v>10</x:v>
      </x:c>
      <x:c r="G170" s="2" t="n">
        <x:f>SUM(E2_diario!K338,E2_diario!K380,E2_diario!K842,E2_diario!K884,E2_diario!K1346,E2_diario!K1388,E2_diario!K1850,E2_diario!K1892,E2_diario!K2354,E2_diario!K2396)</x:f>
        <x:v>10</x:v>
      </x:c>
      <x:c r="H170" s="2" t="n">
        <x:f>SUM(IF(E2_diario!J338="N1",1,0),IF(E2_diario!J380="N1",1,0),IF(E2_diario!J842="N1",1,0),IF(E2_diario!J884="N1",1,0),IF(E2_diario!J1346="N1",1,0),IF(E2_diario!J1388="N1",1,0),IF(E2_diario!J1850="N1",1,0),IF(E2_diario!J1892="N1",1,0),IF(E2_diario!J2354="N1",1,0),IF(E2_diario!J2396="N1",1,0))</x:f>
        <x:v>10</x:v>
      </x:c>
      <x:c r="I170" s="2" t="n">
        <x:f>SUM(IF(E2_diario!J338="N2",1,0),IF(E2_diario!J380="N2",1,0),IF(E2_diario!J842="N2",1,0),IF(E2_diario!J884="N2",1,0),IF(E2_diario!J1346="N2",1,0),IF(E2_diario!J1388="N2",1,0),IF(E2_diario!J1850="N2",1,0),IF(E2_diario!J1892="N2",1,0),IF(E2_diario!J2354="N2",1,0),IF(E2_diario!J2396="N2",1,0))</x:f>
        <x:v>0</x:v>
      </x:c>
      <x:c r="J170" s="2" t="n">
        <x:f>SUM(IF(E2_diario!J338="N3",1,0),IF(E2_diario!J380="N3",1,0),IF(E2_diario!J842="N3",1,0),IF(E2_diario!J884="N3",1,0),IF(E2_diario!J1346="N3",1,0),IF(E2_diario!J1388="N3",1,0),IF(E2_diario!J1850="N3",1,0),IF(E2_diario!J1892="N3",1,0),IF(E2_diario!J2354="N3",1,0),IF(E2_diario!J2396="N3",1,0))</x:f>
        <x:v>0</x:v>
      </x:c>
      <x:c r="K170" s="2" t="n">
        <x:f>SUM(IF(E2_diario!J338="N4",1,0),IF(E2_diario!J380="N4",1,0),IF(E2_diario!J842="N4",1,0),IF(E2_diario!J884="N4",1,0),IF(E2_diario!J1346="N4",1,0),IF(E2_diario!J1388="N4",1,0),IF(E2_diario!J1850="N4",1,0),IF(E2_diario!J1892="N4",1,0),IF(E2_diario!J2354="N4",1,0),IF(E2_diario!J2396="N4",1,0))</x:f>
        <x:v>0</x:v>
      </x:c>
      <x:c r="L170" s="2" t="n">
        <x:f>SUM(IF(E2_diario!J338="adulta",1,0),IF(E2_diario!J380="adulta",1,0),IF(E2_diario!J842="adulta",1,0),IF(E2_diario!J884="adulta",1,0),IF(E2_diario!J1346="adulta",1,0),IF(E2_diario!J1388="adulta",1,0),IF(E2_diario!J1850="adulta",1,0),IF(E2_diario!J1892="adulta",1,0),IF(E2_diario!J2354="adulta",1,0),IF(E2_diario!J2396="adulta",1,0))</x:f>
        <x:v>0</x:v>
      </x:c>
      <x:c r="M170" s="2" t="n">
        <x:f>SUM(E2_diario!L338,E2_diario!L380,E2_diario!L842,E2_diario!L884,E2_diario!L1346,E2_diario!L1388,E2_diario!L1850,E2_diario!L1892,E2_diario!L2354,E2_diario!L2396)</x:f>
        <x:v>0</x:v>
      </x:c>
      <x:c r="N170" s="20" t="n">
        <x:f>G170/F170</x:f>
        <x:v>1</x:v>
      </x:c>
      <x:c r="O170" s="20" t="n">
        <x:f>IF(G170=0,0,M170/G170)</x:f>
        <x:v>0</x:v>
      </x:c>
      <x:c r="P170" s="20" t="n">
        <x:f>N170*O170</x:f>
        <x:v>0</x:v>
      </x:c>
      <x:c r="Q170" s="20" t="n">
        <x:f>H170/F170</x:f>
        <x:v>1</x:v>
      </x:c>
      <x:c r="R170" s="20" t="n">
        <x:f>I170/F170</x:f>
        <x:v>0</x:v>
      </x:c>
      <x:c r="S170" s="20" t="n">
        <x:f>J170/F170</x:f>
        <x:v>0</x:v>
      </x:c>
      <x:c r="T170" s="20" t="n">
        <x:f>K170/F170</x:f>
        <x:v>0</x:v>
      </x:c>
      <x:c r="U170" s="20" t="n">
        <x:f>L170/F170</x:f>
        <x:v>0</x:v>
      </x:c>
      <x:c r="V170" s="20" t="n">
        <x:f>IF(L170=0,0,M170/L170)</x:f>
        <x:v>0</x:v>
      </x:c>
      <x:c r="W170" s="20" t="n">
        <x:f>SUM(P$170:P170)</x:f>
        <x:v>0</x:v>
      </x:c>
      <x:c r="X170" s="2" t="n">
        <x:f>E170+Supuestos!$C$15</x:f>
        <x:v>1</x:v>
      </x:c>
      <x:c r="Y170" s="2" t="n">
        <x:f>F170-G170</x:f>
        <x:v>0</x:v>
      </x:c>
      <x:c r="Z170" s="2" t="str">
        <x:v>simulado_didactico</x:v>
      </x:c>
    </x:row>
    <x:row r="171" ht="19" customHeight="1">
      <x:c r="A171" s="2" t="str">
        <x:v>BB_L8</x:v>
      </x:c>
      <x:c r="B171" s="2" t="str">
        <x:v>BB</x:v>
      </x:c>
      <x:c r="C171" s="2" t="str">
        <x:v>Brevicoryne brassicae</x:v>
      </x:c>
      <x:c r="D171" s="2" t="str">
        <x:v>L8</x:v>
      </x:c>
      <x:c r="E171" s="2" t="n">
        <x:v>1</x:v>
      </x:c>
      <x:c r="F171" s="2" t="n">
        <x:f>COUNTA(E2_plantas!A10,E2_plantas!A11,E2_plantas!A22,E2_plantas!A23,E2_plantas!A34,E2_plantas!A35,E2_plantas!A46,E2_plantas!A47,E2_plantas!A58,E2_plantas!A59)</x:f>
        <x:v>10</x:v>
      </x:c>
      <x:c r="G171" s="2" t="n">
        <x:f>SUM(E2_diario!K339,E2_diario!K381,E2_diario!K843,E2_diario!K885,E2_diario!K1347,E2_diario!K1389,E2_diario!K1851,E2_diario!K1893,E2_diario!K2355,E2_diario!K2397)</x:f>
        <x:v>10</x:v>
      </x:c>
      <x:c r="H171" s="2" t="n">
        <x:f>SUM(IF(E2_diario!J339="N1",1,0),IF(E2_diario!J381="N1",1,0),IF(E2_diario!J843="N1",1,0),IF(E2_diario!J885="N1",1,0),IF(E2_diario!J1347="N1",1,0),IF(E2_diario!J1389="N1",1,0),IF(E2_diario!J1851="N1",1,0),IF(E2_diario!J1893="N1",1,0),IF(E2_diario!J2355="N1",1,0),IF(E2_diario!J2397="N1",1,0))</x:f>
        <x:v>7</x:v>
      </x:c>
      <x:c r="I171" s="2" t="n">
        <x:f>SUM(IF(E2_diario!J339="N2",1,0),IF(E2_diario!J381="N2",1,0),IF(E2_diario!J843="N2",1,0),IF(E2_diario!J885="N2",1,0),IF(E2_diario!J1347="N2",1,0),IF(E2_diario!J1389="N2",1,0),IF(E2_diario!J1851="N2",1,0),IF(E2_diario!J1893="N2",1,0),IF(E2_diario!J2355="N2",1,0),IF(E2_diario!J2397="N2",1,0))</x:f>
        <x:v>3</x:v>
      </x:c>
      <x:c r="J171" s="2" t="n">
        <x:f>SUM(IF(E2_diario!J339="N3",1,0),IF(E2_diario!J381="N3",1,0),IF(E2_diario!J843="N3",1,0),IF(E2_diario!J885="N3",1,0),IF(E2_diario!J1347="N3",1,0),IF(E2_diario!J1389="N3",1,0),IF(E2_diario!J1851="N3",1,0),IF(E2_diario!J1893="N3",1,0),IF(E2_diario!J2355="N3",1,0),IF(E2_diario!J2397="N3",1,0))</x:f>
        <x:v>0</x:v>
      </x:c>
      <x:c r="K171" s="2" t="n">
        <x:f>SUM(IF(E2_diario!J339="N4",1,0),IF(E2_diario!J381="N4",1,0),IF(E2_diario!J843="N4",1,0),IF(E2_diario!J885="N4",1,0),IF(E2_diario!J1347="N4",1,0),IF(E2_diario!J1389="N4",1,0),IF(E2_diario!J1851="N4",1,0),IF(E2_diario!J1893="N4",1,0),IF(E2_diario!J2355="N4",1,0),IF(E2_diario!J2397="N4",1,0))</x:f>
        <x:v>0</x:v>
      </x:c>
      <x:c r="L171" s="2" t="n">
        <x:f>SUM(IF(E2_diario!J339="adulta",1,0),IF(E2_diario!J381="adulta",1,0),IF(E2_diario!J843="adulta",1,0),IF(E2_diario!J885="adulta",1,0),IF(E2_diario!J1347="adulta",1,0),IF(E2_diario!J1389="adulta",1,0),IF(E2_diario!J1851="adulta",1,0),IF(E2_diario!J1893="adulta",1,0),IF(E2_diario!J2355="adulta",1,0),IF(E2_diario!J2397="adulta",1,0))</x:f>
        <x:v>0</x:v>
      </x:c>
      <x:c r="M171" s="2" t="n">
        <x:f>SUM(E2_diario!L339,E2_diario!L381,E2_diario!L843,E2_diario!L885,E2_diario!L1347,E2_diario!L1389,E2_diario!L1851,E2_diario!L1893,E2_diario!L2355,E2_diario!L2397)</x:f>
        <x:v>0</x:v>
      </x:c>
      <x:c r="N171" s="20" t="n">
        <x:f>G171/F171</x:f>
        <x:v>1</x:v>
      </x:c>
      <x:c r="O171" s="20" t="n">
        <x:f>IF(G171=0,0,M171/G171)</x:f>
        <x:v>0</x:v>
      </x:c>
      <x:c r="P171" s="20" t="n">
        <x:f>N171*O171</x:f>
        <x:v>0</x:v>
      </x:c>
      <x:c r="Q171" s="20" t="n">
        <x:f>H171/F171</x:f>
        <x:v>0.7</x:v>
      </x:c>
      <x:c r="R171" s="20" t="n">
        <x:f>I171/F171</x:f>
        <x:v>0.3</x:v>
      </x:c>
      <x:c r="S171" s="20" t="n">
        <x:f>J171/F171</x:f>
        <x:v>0</x:v>
      </x:c>
      <x:c r="T171" s="20" t="n">
        <x:f>K171/F171</x:f>
        <x:v>0</x:v>
      </x:c>
      <x:c r="U171" s="20" t="n">
        <x:f>L171/F171</x:f>
        <x:v>0</x:v>
      </x:c>
      <x:c r="V171" s="20" t="n">
        <x:f>IF(L171=0,0,M171/L171)</x:f>
        <x:v>0</x:v>
      </x:c>
      <x:c r="W171" s="20" t="n">
        <x:f>SUM(P$170:P171)</x:f>
        <x:v>0</x:v>
      </x:c>
      <x:c r="X171" s="2" t="n">
        <x:f>E171+Supuestos!$C$15</x:f>
        <x:v>2</x:v>
      </x:c>
      <x:c r="Y171" s="2" t="n">
        <x:f>F171-G171</x:f>
        <x:v>0</x:v>
      </x:c>
      <x:c r="Z171" s="2" t="str">
        <x:v>simulado_didactico</x:v>
      </x:c>
    </x:row>
    <x:row r="172" ht="19" customHeight="1">
      <x:c r="A172" s="2" t="str">
        <x:v>BB_L8</x:v>
      </x:c>
      <x:c r="B172" s="2" t="str">
        <x:v>BB</x:v>
      </x:c>
      <x:c r="C172" s="2" t="str">
        <x:v>Brevicoryne brassicae</x:v>
      </x:c>
      <x:c r="D172" s="2" t="str">
        <x:v>L8</x:v>
      </x:c>
      <x:c r="E172" s="2" t="n">
        <x:v>2</x:v>
      </x:c>
      <x:c r="F172" s="2" t="n">
        <x:f>COUNTA(E2_plantas!A10,E2_plantas!A11,E2_plantas!A22,E2_plantas!A23,E2_plantas!A34,E2_plantas!A35,E2_plantas!A46,E2_plantas!A47,E2_plantas!A58,E2_plantas!A59)</x:f>
        <x:v>10</x:v>
      </x:c>
      <x:c r="G172" s="2" t="n">
        <x:f>SUM(E2_diario!K340,E2_diario!K382,E2_diario!K844,E2_diario!K886,E2_diario!K1348,E2_diario!K1390,E2_diario!K1852,E2_diario!K1894,E2_diario!K2356,E2_diario!K2398)</x:f>
        <x:v>10</x:v>
      </x:c>
      <x:c r="H172" s="2" t="n">
        <x:f>SUM(IF(E2_diario!J340="N1",1,0),IF(E2_diario!J382="N1",1,0),IF(E2_diario!J844="N1",1,0),IF(E2_diario!J886="N1",1,0),IF(E2_diario!J1348="N1",1,0),IF(E2_diario!J1390="N1",1,0),IF(E2_diario!J1852="N1",1,0),IF(E2_diario!J1894="N1",1,0),IF(E2_diario!J2356="N1",1,0),IF(E2_diario!J2398="N1",1,0))</x:f>
        <x:v>1</x:v>
      </x:c>
      <x:c r="I172" s="2" t="n">
        <x:f>SUM(IF(E2_diario!J340="N2",1,0),IF(E2_diario!J382="N2",1,0),IF(E2_diario!J844="N2",1,0),IF(E2_diario!J886="N2",1,0),IF(E2_diario!J1348="N2",1,0),IF(E2_diario!J1390="N2",1,0),IF(E2_diario!J1852="N2",1,0),IF(E2_diario!J1894="N2",1,0),IF(E2_diario!J2356="N2",1,0),IF(E2_diario!J2398="N2",1,0))</x:f>
        <x:v>8</x:v>
      </x:c>
      <x:c r="J172" s="2" t="n">
        <x:f>SUM(IF(E2_diario!J340="N3",1,0),IF(E2_diario!J382="N3",1,0),IF(E2_diario!J844="N3",1,0),IF(E2_diario!J886="N3",1,0),IF(E2_diario!J1348="N3",1,0),IF(E2_diario!J1390="N3",1,0),IF(E2_diario!J1852="N3",1,0),IF(E2_diario!J1894="N3",1,0),IF(E2_diario!J2356="N3",1,0),IF(E2_diario!J2398="N3",1,0))</x:f>
        <x:v>1</x:v>
      </x:c>
      <x:c r="K172" s="2" t="n">
        <x:f>SUM(IF(E2_diario!J340="N4",1,0),IF(E2_diario!J382="N4",1,0),IF(E2_diario!J844="N4",1,0),IF(E2_diario!J886="N4",1,0),IF(E2_diario!J1348="N4",1,0),IF(E2_diario!J1390="N4",1,0),IF(E2_diario!J1852="N4",1,0),IF(E2_diario!J1894="N4",1,0),IF(E2_diario!J2356="N4",1,0),IF(E2_diario!J2398="N4",1,0))</x:f>
        <x:v>0</x:v>
      </x:c>
      <x:c r="L172" s="2" t="n">
        <x:f>SUM(IF(E2_diario!J340="adulta",1,0),IF(E2_diario!J382="adulta",1,0),IF(E2_diario!J844="adulta",1,0),IF(E2_diario!J886="adulta",1,0),IF(E2_diario!J1348="adulta",1,0),IF(E2_diario!J1390="adulta",1,0),IF(E2_diario!J1852="adulta",1,0),IF(E2_diario!J1894="adulta",1,0),IF(E2_diario!J2356="adulta",1,0),IF(E2_diario!J2398="adulta",1,0))</x:f>
        <x:v>0</x:v>
      </x:c>
      <x:c r="M172" s="2" t="n">
        <x:f>SUM(E2_diario!L340,E2_diario!L382,E2_diario!L844,E2_diario!L886,E2_diario!L1348,E2_diario!L1390,E2_diario!L1852,E2_diario!L1894,E2_diario!L2356,E2_diario!L2398)</x:f>
        <x:v>0</x:v>
      </x:c>
      <x:c r="N172" s="20" t="n">
        <x:f>G172/F172</x:f>
        <x:v>1</x:v>
      </x:c>
      <x:c r="O172" s="20" t="n">
        <x:f>IF(G172=0,0,M172/G172)</x:f>
        <x:v>0</x:v>
      </x:c>
      <x:c r="P172" s="20" t="n">
        <x:f>N172*O172</x:f>
        <x:v>0</x:v>
      </x:c>
      <x:c r="Q172" s="20" t="n">
        <x:f>H172/F172</x:f>
        <x:v>0.1</x:v>
      </x:c>
      <x:c r="R172" s="20" t="n">
        <x:f>I172/F172</x:f>
        <x:v>0.8</x:v>
      </x:c>
      <x:c r="S172" s="20" t="n">
        <x:f>J172/F172</x:f>
        <x:v>0.1</x:v>
      </x:c>
      <x:c r="T172" s="20" t="n">
        <x:f>K172/F172</x:f>
        <x:v>0</x:v>
      </x:c>
      <x:c r="U172" s="20" t="n">
        <x:f>L172/F172</x:f>
        <x:v>0</x:v>
      </x:c>
      <x:c r="V172" s="20" t="n">
        <x:f>IF(L172=0,0,M172/L172)</x:f>
        <x:v>0</x:v>
      </x:c>
      <x:c r="W172" s="20" t="n">
        <x:f>SUM(P$170:P172)</x:f>
        <x:v>0</x:v>
      </x:c>
      <x:c r="X172" s="2" t="n">
        <x:f>E172+Supuestos!$C$15</x:f>
        <x:v>3</x:v>
      </x:c>
      <x:c r="Y172" s="2" t="n">
        <x:f>F172-G172</x:f>
        <x:v>0</x:v>
      </x:c>
      <x:c r="Z172" s="2" t="str">
        <x:v>simulado_didactico</x:v>
      </x:c>
    </x:row>
    <x:row r="173" ht="19" customHeight="1">
      <x:c r="A173" s="2" t="str">
        <x:v>BB_L8</x:v>
      </x:c>
      <x:c r="B173" s="2" t="str">
        <x:v>BB</x:v>
      </x:c>
      <x:c r="C173" s="2" t="str">
        <x:v>Brevicoryne brassicae</x:v>
      </x:c>
      <x:c r="D173" s="2" t="str">
        <x:v>L8</x:v>
      </x:c>
      <x:c r="E173" s="2" t="n">
        <x:v>3</x:v>
      </x:c>
      <x:c r="F173" s="2" t="n">
        <x:f>COUNTA(E2_plantas!A10,E2_plantas!A11,E2_plantas!A22,E2_plantas!A23,E2_plantas!A34,E2_plantas!A35,E2_plantas!A46,E2_plantas!A47,E2_plantas!A58,E2_plantas!A59)</x:f>
        <x:v>10</x:v>
      </x:c>
      <x:c r="G173" s="2" t="n">
        <x:f>SUM(E2_diario!K341,E2_diario!K383,E2_diario!K845,E2_diario!K887,E2_diario!K1349,E2_diario!K1391,E2_diario!K1853,E2_diario!K1895,E2_diario!K2357,E2_diario!K2399)</x:f>
        <x:v>9</x:v>
      </x:c>
      <x:c r="H173" s="2" t="n">
        <x:f>SUM(IF(E2_diario!J341="N1",1,0),IF(E2_diario!J383="N1",1,0),IF(E2_diario!J845="N1",1,0),IF(E2_diario!J887="N1",1,0),IF(E2_diario!J1349="N1",1,0),IF(E2_diario!J1391="N1",1,0),IF(E2_diario!J1853="N1",1,0),IF(E2_diario!J1895="N1",1,0),IF(E2_diario!J2357="N1",1,0),IF(E2_diario!J2399="N1",1,0))</x:f>
        <x:v>0</x:v>
      </x:c>
      <x:c r="I173" s="2" t="n">
        <x:f>SUM(IF(E2_diario!J341="N2",1,0),IF(E2_diario!J383="N2",1,0),IF(E2_diario!J845="N2",1,0),IF(E2_diario!J887="N2",1,0),IF(E2_diario!J1349="N2",1,0),IF(E2_diario!J1391="N2",1,0),IF(E2_diario!J1853="N2",1,0),IF(E2_diario!J1895="N2",1,0),IF(E2_diario!J2357="N2",1,0),IF(E2_diario!J2399="N2",1,0))</x:f>
        <x:v>5</x:v>
      </x:c>
      <x:c r="J173" s="2" t="n">
        <x:f>SUM(IF(E2_diario!J341="N3",1,0),IF(E2_diario!J383="N3",1,0),IF(E2_diario!J845="N3",1,0),IF(E2_diario!J887="N3",1,0),IF(E2_diario!J1349="N3",1,0),IF(E2_diario!J1391="N3",1,0),IF(E2_diario!J1853="N3",1,0),IF(E2_diario!J1895="N3",1,0),IF(E2_diario!J2357="N3",1,0),IF(E2_diario!J2399="N3",1,0))</x:f>
        <x:v>4</x:v>
      </x:c>
      <x:c r="K173" s="2" t="n">
        <x:f>SUM(IF(E2_diario!J341="N4",1,0),IF(E2_diario!J383="N4",1,0),IF(E2_diario!J845="N4",1,0),IF(E2_diario!J887="N4",1,0),IF(E2_diario!J1349="N4",1,0),IF(E2_diario!J1391="N4",1,0),IF(E2_diario!J1853="N4",1,0),IF(E2_diario!J1895="N4",1,0),IF(E2_diario!J2357="N4",1,0),IF(E2_diario!J2399="N4",1,0))</x:f>
        <x:v>0</x:v>
      </x:c>
      <x:c r="L173" s="2" t="n">
        <x:f>SUM(IF(E2_diario!J341="adulta",1,0),IF(E2_diario!J383="adulta",1,0),IF(E2_diario!J845="adulta",1,0),IF(E2_diario!J887="adulta",1,0),IF(E2_diario!J1349="adulta",1,0),IF(E2_diario!J1391="adulta",1,0),IF(E2_diario!J1853="adulta",1,0),IF(E2_diario!J1895="adulta",1,0),IF(E2_diario!J2357="adulta",1,0),IF(E2_diario!J2399="adulta",1,0))</x:f>
        <x:v>0</x:v>
      </x:c>
      <x:c r="M173" s="2" t="n">
        <x:f>SUM(E2_diario!L341,E2_diario!L383,E2_diario!L845,E2_diario!L887,E2_diario!L1349,E2_diario!L1391,E2_diario!L1853,E2_diario!L1895,E2_diario!L2357,E2_diario!L2399)</x:f>
        <x:v>0</x:v>
      </x:c>
      <x:c r="N173" s="20" t="n">
        <x:f>G173/F173</x:f>
        <x:v>0.9</x:v>
      </x:c>
      <x:c r="O173" s="20" t="n">
        <x:f>IF(G173=0,0,M173/G173)</x:f>
        <x:v>0</x:v>
      </x:c>
      <x:c r="P173" s="20" t="n">
        <x:f>N173*O173</x:f>
        <x:v>0</x:v>
      </x:c>
      <x:c r="Q173" s="20" t="n">
        <x:f>H173/F173</x:f>
        <x:v>0</x:v>
      </x:c>
      <x:c r="R173" s="20" t="n">
        <x:f>I173/F173</x:f>
        <x:v>0.5</x:v>
      </x:c>
      <x:c r="S173" s="20" t="n">
        <x:f>J173/F173</x:f>
        <x:v>0.4</x:v>
      </x:c>
      <x:c r="T173" s="20" t="n">
        <x:f>K173/F173</x:f>
        <x:v>0</x:v>
      </x:c>
      <x:c r="U173" s="20" t="n">
        <x:f>L173/F173</x:f>
        <x:v>0</x:v>
      </x:c>
      <x:c r="V173" s="20" t="n">
        <x:f>IF(L173=0,0,M173/L173)</x:f>
        <x:v>0</x:v>
      </x:c>
      <x:c r="W173" s="20" t="n">
        <x:f>SUM(P$170:P173)</x:f>
        <x:v>0</x:v>
      </x:c>
      <x:c r="X173" s="2" t="n">
        <x:f>E173+Supuestos!$C$15</x:f>
        <x:v>4</x:v>
      </x:c>
      <x:c r="Y173" s="2" t="n">
        <x:f>F173-G173</x:f>
        <x:v>1</x:v>
      </x:c>
      <x:c r="Z173" s="2" t="str">
        <x:v>simulado_didactico</x:v>
      </x:c>
    </x:row>
    <x:row r="174" ht="19" customHeight="1">
      <x:c r="A174" s="2" t="str">
        <x:v>BB_L8</x:v>
      </x:c>
      <x:c r="B174" s="2" t="str">
        <x:v>BB</x:v>
      </x:c>
      <x:c r="C174" s="2" t="str">
        <x:v>Brevicoryne brassicae</x:v>
      </x:c>
      <x:c r="D174" s="2" t="str">
        <x:v>L8</x:v>
      </x:c>
      <x:c r="E174" s="2" t="n">
        <x:v>4</x:v>
      </x:c>
      <x:c r="F174" s="2" t="n">
        <x:f>COUNTA(E2_plantas!A10,E2_plantas!A11,E2_plantas!A22,E2_plantas!A23,E2_plantas!A34,E2_plantas!A35,E2_plantas!A46,E2_plantas!A47,E2_plantas!A58,E2_plantas!A59)</x:f>
        <x:v>10</x:v>
      </x:c>
      <x:c r="G174" s="2" t="n">
        <x:f>SUM(E2_diario!K342,E2_diario!K384,E2_diario!K846,E2_diario!K888,E2_diario!K1350,E2_diario!K1392,E2_diario!K1854,E2_diario!K1896,E2_diario!K2358,E2_diario!K2400)</x:f>
        <x:v>9</x:v>
      </x:c>
      <x:c r="H174" s="2" t="n">
        <x:f>SUM(IF(E2_diario!J342="N1",1,0),IF(E2_diario!J384="N1",1,0),IF(E2_diario!J846="N1",1,0),IF(E2_diario!J888="N1",1,0),IF(E2_diario!J1350="N1",1,0),IF(E2_diario!J1392="N1",1,0),IF(E2_diario!J1854="N1",1,0),IF(E2_diario!J1896="N1",1,0),IF(E2_diario!J2358="N1",1,0),IF(E2_diario!J2400="N1",1,0))</x:f>
        <x:v>0</x:v>
      </x:c>
      <x:c r="I174" s="2" t="n">
        <x:f>SUM(IF(E2_diario!J342="N2",1,0),IF(E2_diario!J384="N2",1,0),IF(E2_diario!J846="N2",1,0),IF(E2_diario!J888="N2",1,0),IF(E2_diario!J1350="N2",1,0),IF(E2_diario!J1392="N2",1,0),IF(E2_diario!J1854="N2",1,0),IF(E2_diario!J1896="N2",1,0),IF(E2_diario!J2358="N2",1,0),IF(E2_diario!J2400="N2",1,0))</x:f>
        <x:v>2</x:v>
      </x:c>
      <x:c r="J174" s="2" t="n">
        <x:f>SUM(IF(E2_diario!J342="N3",1,0),IF(E2_diario!J384="N3",1,0),IF(E2_diario!J846="N3",1,0),IF(E2_diario!J888="N3",1,0),IF(E2_diario!J1350="N3",1,0),IF(E2_diario!J1392="N3",1,0),IF(E2_diario!J1854="N3",1,0),IF(E2_diario!J1896="N3",1,0),IF(E2_diario!J2358="N3",1,0),IF(E2_diario!J2400="N3",1,0))</x:f>
        <x:v>6</x:v>
      </x:c>
      <x:c r="K174" s="2" t="n">
        <x:f>SUM(IF(E2_diario!J342="N4",1,0),IF(E2_diario!J384="N4",1,0),IF(E2_diario!J846="N4",1,0),IF(E2_diario!J888="N4",1,0),IF(E2_diario!J1350="N4",1,0),IF(E2_diario!J1392="N4",1,0),IF(E2_diario!J1854="N4",1,0),IF(E2_diario!J1896="N4",1,0),IF(E2_diario!J2358="N4",1,0),IF(E2_diario!J2400="N4",1,0))</x:f>
        <x:v>1</x:v>
      </x:c>
      <x:c r="L174" s="2" t="n">
        <x:f>SUM(IF(E2_diario!J342="adulta",1,0),IF(E2_diario!J384="adulta",1,0),IF(E2_diario!J846="adulta",1,0),IF(E2_diario!J888="adulta",1,0),IF(E2_diario!J1350="adulta",1,0),IF(E2_diario!J1392="adulta",1,0),IF(E2_diario!J1854="adulta",1,0),IF(E2_diario!J1896="adulta",1,0),IF(E2_diario!J2358="adulta",1,0),IF(E2_diario!J2400="adulta",1,0))</x:f>
        <x:v>0</x:v>
      </x:c>
      <x:c r="M174" s="2" t="n">
        <x:f>SUM(E2_diario!L342,E2_diario!L384,E2_diario!L846,E2_diario!L888,E2_diario!L1350,E2_diario!L1392,E2_diario!L1854,E2_diario!L1896,E2_diario!L2358,E2_diario!L2400)</x:f>
        <x:v>0</x:v>
      </x:c>
      <x:c r="N174" s="20" t="n">
        <x:f>G174/F174</x:f>
        <x:v>0.9</x:v>
      </x:c>
      <x:c r="O174" s="20" t="n">
        <x:f>IF(G174=0,0,M174/G174)</x:f>
        <x:v>0</x:v>
      </x:c>
      <x:c r="P174" s="20" t="n">
        <x:f>N174*O174</x:f>
        <x:v>0</x:v>
      </x:c>
      <x:c r="Q174" s="20" t="n">
        <x:f>H174/F174</x:f>
        <x:v>0</x:v>
      </x:c>
      <x:c r="R174" s="20" t="n">
        <x:f>I174/F174</x:f>
        <x:v>0.2</x:v>
      </x:c>
      <x:c r="S174" s="20" t="n">
        <x:f>J174/F174</x:f>
        <x:v>0.6</x:v>
      </x:c>
      <x:c r="T174" s="20" t="n">
        <x:f>K174/F174</x:f>
        <x:v>0.1</x:v>
      </x:c>
      <x:c r="U174" s="20" t="n">
        <x:f>L174/F174</x:f>
        <x:v>0</x:v>
      </x:c>
      <x:c r="V174" s="20" t="n">
        <x:f>IF(L174=0,0,M174/L174)</x:f>
        <x:v>0</x:v>
      </x:c>
      <x:c r="W174" s="20" t="n">
        <x:f>SUM(P$170:P174)</x:f>
        <x:v>0</x:v>
      </x:c>
      <x:c r="X174" s="2" t="n">
        <x:f>E174+Supuestos!$C$15</x:f>
        <x:v>5</x:v>
      </x:c>
      <x:c r="Y174" s="2" t="n">
        <x:f>F174-G174</x:f>
        <x:v>1</x:v>
      </x:c>
      <x:c r="Z174" s="2" t="str">
        <x:v>simulado_didactico</x:v>
      </x:c>
    </x:row>
    <x:row r="175" ht="19" customHeight="1">
      <x:c r="A175" s="2" t="str">
        <x:v>BB_L8</x:v>
      </x:c>
      <x:c r="B175" s="2" t="str">
        <x:v>BB</x:v>
      </x:c>
      <x:c r="C175" s="2" t="str">
        <x:v>Brevicoryne brassicae</x:v>
      </x:c>
      <x:c r="D175" s="2" t="str">
        <x:v>L8</x:v>
      </x:c>
      <x:c r="E175" s="2" t="n">
        <x:v>5</x:v>
      </x:c>
      <x:c r="F175" s="2" t="n">
        <x:f>COUNTA(E2_plantas!A10,E2_plantas!A11,E2_plantas!A22,E2_plantas!A23,E2_plantas!A34,E2_plantas!A35,E2_plantas!A46,E2_plantas!A47,E2_plantas!A58,E2_plantas!A59)</x:f>
        <x:v>10</x:v>
      </x:c>
      <x:c r="G175" s="2" t="n">
        <x:f>SUM(E2_diario!K343,E2_diario!K385,E2_diario!K847,E2_diario!K889,E2_diario!K1351,E2_diario!K1393,E2_diario!K1855,E2_diario!K1897,E2_diario!K2359,E2_diario!K2401)</x:f>
        <x:v>9</x:v>
      </x:c>
      <x:c r="H175" s="2" t="n">
        <x:f>SUM(IF(E2_diario!J343="N1",1,0),IF(E2_diario!J385="N1",1,0),IF(E2_diario!J847="N1",1,0),IF(E2_diario!J889="N1",1,0),IF(E2_diario!J1351="N1",1,0),IF(E2_diario!J1393="N1",1,0),IF(E2_diario!J1855="N1",1,0),IF(E2_diario!J1897="N1",1,0),IF(E2_diario!J2359="N1",1,0),IF(E2_diario!J2401="N1",1,0))</x:f>
        <x:v>0</x:v>
      </x:c>
      <x:c r="I175" s="2" t="n">
        <x:f>SUM(IF(E2_diario!J343="N2",1,0),IF(E2_diario!J385="N2",1,0),IF(E2_diario!J847="N2",1,0),IF(E2_diario!J889="N2",1,0),IF(E2_diario!J1351="N2",1,0),IF(E2_diario!J1393="N2",1,0),IF(E2_diario!J1855="N2",1,0),IF(E2_diario!J1897="N2",1,0),IF(E2_diario!J2359="N2",1,0),IF(E2_diario!J2401="N2",1,0))</x:f>
        <x:v>0</x:v>
      </x:c>
      <x:c r="J175" s="2" t="n">
        <x:f>SUM(IF(E2_diario!J343="N3",1,0),IF(E2_diario!J385="N3",1,0),IF(E2_diario!J847="N3",1,0),IF(E2_diario!J889="N3",1,0),IF(E2_diario!J1351="N3",1,0),IF(E2_diario!J1393="N3",1,0),IF(E2_diario!J1855="N3",1,0),IF(E2_diario!J1897="N3",1,0),IF(E2_diario!J2359="N3",1,0),IF(E2_diario!J2401="N3",1,0))</x:f>
        <x:v>7</x:v>
      </x:c>
      <x:c r="K175" s="2" t="n">
        <x:f>SUM(IF(E2_diario!J343="N4",1,0),IF(E2_diario!J385="N4",1,0),IF(E2_diario!J847="N4",1,0),IF(E2_diario!J889="N4",1,0),IF(E2_diario!J1351="N4",1,0),IF(E2_diario!J1393="N4",1,0),IF(E2_diario!J1855="N4",1,0),IF(E2_diario!J1897="N4",1,0),IF(E2_diario!J2359="N4",1,0),IF(E2_diario!J2401="N4",1,0))</x:f>
        <x:v>2</x:v>
      </x:c>
      <x:c r="L175" s="2" t="n">
        <x:f>SUM(IF(E2_diario!J343="adulta",1,0),IF(E2_diario!J385="adulta",1,0),IF(E2_diario!J847="adulta",1,0),IF(E2_diario!J889="adulta",1,0),IF(E2_diario!J1351="adulta",1,0),IF(E2_diario!J1393="adulta",1,0),IF(E2_diario!J1855="adulta",1,0),IF(E2_diario!J1897="adulta",1,0),IF(E2_diario!J2359="adulta",1,0),IF(E2_diario!J2401="adulta",1,0))</x:f>
        <x:v>0</x:v>
      </x:c>
      <x:c r="M175" s="2" t="n">
        <x:f>SUM(E2_diario!L343,E2_diario!L385,E2_diario!L847,E2_diario!L889,E2_diario!L1351,E2_diario!L1393,E2_diario!L1855,E2_diario!L1897,E2_diario!L2359,E2_diario!L2401)</x:f>
        <x:v>0</x:v>
      </x:c>
      <x:c r="N175" s="20" t="n">
        <x:f>G175/F175</x:f>
        <x:v>0.9</x:v>
      </x:c>
      <x:c r="O175" s="20" t="n">
        <x:f>IF(G175=0,0,M175/G175)</x:f>
        <x:v>0</x:v>
      </x:c>
      <x:c r="P175" s="20" t="n">
        <x:f>N175*O175</x:f>
        <x:v>0</x:v>
      </x:c>
      <x:c r="Q175" s="20" t="n">
        <x:f>H175/F175</x:f>
        <x:v>0</x:v>
      </x:c>
      <x:c r="R175" s="20" t="n">
        <x:f>I175/F175</x:f>
        <x:v>0</x:v>
      </x:c>
      <x:c r="S175" s="20" t="n">
        <x:f>J175/F175</x:f>
        <x:v>0.7</x:v>
      </x:c>
      <x:c r="T175" s="20" t="n">
        <x:f>K175/F175</x:f>
        <x:v>0.2</x:v>
      </x:c>
      <x:c r="U175" s="20" t="n">
        <x:f>L175/F175</x:f>
        <x:v>0</x:v>
      </x:c>
      <x:c r="V175" s="20" t="n">
        <x:f>IF(L175=0,0,M175/L175)</x:f>
        <x:v>0</x:v>
      </x:c>
      <x:c r="W175" s="20" t="n">
        <x:f>SUM(P$170:P175)</x:f>
        <x:v>0</x:v>
      </x:c>
      <x:c r="X175" s="2" t="n">
        <x:f>E175+Supuestos!$C$15</x:f>
        <x:v>6</x:v>
      </x:c>
      <x:c r="Y175" s="2" t="n">
        <x:f>F175-G175</x:f>
        <x:v>1</x:v>
      </x:c>
      <x:c r="Z175" s="2" t="str">
        <x:v>simulado_didactico</x:v>
      </x:c>
    </x:row>
    <x:row r="176" ht="19" customHeight="1">
      <x:c r="A176" s="2" t="str">
        <x:v>BB_L8</x:v>
      </x:c>
      <x:c r="B176" s="2" t="str">
        <x:v>BB</x:v>
      </x:c>
      <x:c r="C176" s="2" t="str">
        <x:v>Brevicoryne brassicae</x:v>
      </x:c>
      <x:c r="D176" s="2" t="str">
        <x:v>L8</x:v>
      </x:c>
      <x:c r="E176" s="2" t="n">
        <x:v>6</x:v>
      </x:c>
      <x:c r="F176" s="2" t="n">
        <x:f>COUNTA(E2_plantas!A10,E2_plantas!A11,E2_plantas!A22,E2_plantas!A23,E2_plantas!A34,E2_plantas!A35,E2_plantas!A46,E2_plantas!A47,E2_plantas!A58,E2_plantas!A59)</x:f>
        <x:v>10</x:v>
      </x:c>
      <x:c r="G176" s="2" t="n">
        <x:f>SUM(E2_diario!K344,E2_diario!K386,E2_diario!K848,E2_diario!K890,E2_diario!K1352,E2_diario!K1394,E2_diario!K1856,E2_diario!K1898,E2_diario!K2360,E2_diario!K2402)</x:f>
        <x:v>9</x:v>
      </x:c>
      <x:c r="H176" s="2" t="n">
        <x:f>SUM(IF(E2_diario!J344="N1",1,0),IF(E2_diario!J386="N1",1,0),IF(E2_diario!J848="N1",1,0),IF(E2_diario!J890="N1",1,0),IF(E2_diario!J1352="N1",1,0),IF(E2_diario!J1394="N1",1,0),IF(E2_diario!J1856="N1",1,0),IF(E2_diario!J1898="N1",1,0),IF(E2_diario!J2360="N1",1,0),IF(E2_diario!J2402="N1",1,0))</x:f>
        <x:v>0</x:v>
      </x:c>
      <x:c r="I176" s="2" t="n">
        <x:f>SUM(IF(E2_diario!J344="N2",1,0),IF(E2_diario!J386="N2",1,0),IF(E2_diario!J848="N2",1,0),IF(E2_diario!J890="N2",1,0),IF(E2_diario!J1352="N2",1,0),IF(E2_diario!J1394="N2",1,0),IF(E2_diario!J1856="N2",1,0),IF(E2_diario!J1898="N2",1,0),IF(E2_diario!J2360="N2",1,0),IF(E2_diario!J2402="N2",1,0))</x:f>
        <x:v>0</x:v>
      </x:c>
      <x:c r="J176" s="2" t="n">
        <x:f>SUM(IF(E2_diario!J344="N3",1,0),IF(E2_diario!J386="N3",1,0),IF(E2_diario!J848="N3",1,0),IF(E2_diario!J890="N3",1,0),IF(E2_diario!J1352="N3",1,0),IF(E2_diario!J1394="N3",1,0),IF(E2_diario!J1856="N3",1,0),IF(E2_diario!J1898="N3",1,0),IF(E2_diario!J2360="N3",1,0),IF(E2_diario!J2402="N3",1,0))</x:f>
        <x:v>5</x:v>
      </x:c>
      <x:c r="K176" s="2" t="n">
        <x:f>SUM(IF(E2_diario!J344="N4",1,0),IF(E2_diario!J386="N4",1,0),IF(E2_diario!J848="N4",1,0),IF(E2_diario!J890="N4",1,0),IF(E2_diario!J1352="N4",1,0),IF(E2_diario!J1394="N4",1,0),IF(E2_diario!J1856="N4",1,0),IF(E2_diario!J1898="N4",1,0),IF(E2_diario!J2360="N4",1,0),IF(E2_diario!J2402="N4",1,0))</x:f>
        <x:v>4</x:v>
      </x:c>
      <x:c r="L176" s="2" t="n">
        <x:f>SUM(IF(E2_diario!J344="adulta",1,0),IF(E2_diario!J386="adulta",1,0),IF(E2_diario!J848="adulta",1,0),IF(E2_diario!J890="adulta",1,0),IF(E2_diario!J1352="adulta",1,0),IF(E2_diario!J1394="adulta",1,0),IF(E2_diario!J1856="adulta",1,0),IF(E2_diario!J1898="adulta",1,0),IF(E2_diario!J2360="adulta",1,0),IF(E2_diario!J2402="adulta",1,0))</x:f>
        <x:v>0</x:v>
      </x:c>
      <x:c r="M176" s="2" t="n">
        <x:f>SUM(E2_diario!L344,E2_diario!L386,E2_diario!L848,E2_diario!L890,E2_diario!L1352,E2_diario!L1394,E2_diario!L1856,E2_diario!L1898,E2_diario!L2360,E2_diario!L2402)</x:f>
        <x:v>0</x:v>
      </x:c>
      <x:c r="N176" s="20" t="n">
        <x:f>G176/F176</x:f>
        <x:v>0.9</x:v>
      </x:c>
      <x:c r="O176" s="20" t="n">
        <x:f>IF(G176=0,0,M176/G176)</x:f>
        <x:v>0</x:v>
      </x:c>
      <x:c r="P176" s="20" t="n">
        <x:f>N176*O176</x:f>
        <x:v>0</x:v>
      </x:c>
      <x:c r="Q176" s="20" t="n">
        <x:f>H176/F176</x:f>
        <x:v>0</x:v>
      </x:c>
      <x:c r="R176" s="20" t="n">
        <x:f>I176/F176</x:f>
        <x:v>0</x:v>
      </x:c>
      <x:c r="S176" s="20" t="n">
        <x:f>J176/F176</x:f>
        <x:v>0.5</x:v>
      </x:c>
      <x:c r="T176" s="20" t="n">
        <x:f>K176/F176</x:f>
        <x:v>0.4</x:v>
      </x:c>
      <x:c r="U176" s="20" t="n">
        <x:f>L176/F176</x:f>
        <x:v>0</x:v>
      </x:c>
      <x:c r="V176" s="20" t="n">
        <x:f>IF(L176=0,0,M176/L176)</x:f>
        <x:v>0</x:v>
      </x:c>
      <x:c r="W176" s="20" t="n">
        <x:f>SUM(P$170:P176)</x:f>
        <x:v>0</x:v>
      </x:c>
      <x:c r="X176" s="2" t="n">
        <x:f>E176+Supuestos!$C$15</x:f>
        <x:v>7</x:v>
      </x:c>
      <x:c r="Y176" s="2" t="n">
        <x:f>F176-G176</x:f>
        <x:v>1</x:v>
      </x:c>
      <x:c r="Z176" s="2" t="str">
        <x:v>simulado_didactico</x:v>
      </x:c>
    </x:row>
    <x:row r="177" ht="19" customHeight="1">
      <x:c r="A177" s="2" t="str">
        <x:v>BB_L8</x:v>
      </x:c>
      <x:c r="B177" s="2" t="str">
        <x:v>BB</x:v>
      </x:c>
      <x:c r="C177" s="2" t="str">
        <x:v>Brevicoryne brassicae</x:v>
      </x:c>
      <x:c r="D177" s="2" t="str">
        <x:v>L8</x:v>
      </x:c>
      <x:c r="E177" s="2" t="n">
        <x:v>7</x:v>
      </x:c>
      <x:c r="F177" s="2" t="n">
        <x:f>COUNTA(E2_plantas!A10,E2_plantas!A11,E2_plantas!A22,E2_plantas!A23,E2_plantas!A34,E2_plantas!A35,E2_plantas!A46,E2_plantas!A47,E2_plantas!A58,E2_plantas!A59)</x:f>
        <x:v>10</x:v>
      </x:c>
      <x:c r="G177" s="2" t="n">
        <x:f>SUM(E2_diario!K345,E2_diario!K387,E2_diario!K849,E2_diario!K891,E2_diario!K1353,E2_diario!K1395,E2_diario!K1857,E2_diario!K1899,E2_diario!K2361,E2_diario!K2403)</x:f>
        <x:v>9</x:v>
      </x:c>
      <x:c r="H177" s="2" t="n">
        <x:f>SUM(IF(E2_diario!J345="N1",1,0),IF(E2_diario!J387="N1",1,0),IF(E2_diario!J849="N1",1,0),IF(E2_diario!J891="N1",1,0),IF(E2_diario!J1353="N1",1,0),IF(E2_diario!J1395="N1",1,0),IF(E2_diario!J1857="N1",1,0),IF(E2_diario!J1899="N1",1,0),IF(E2_diario!J2361="N1",1,0),IF(E2_diario!J2403="N1",1,0))</x:f>
        <x:v>0</x:v>
      </x:c>
      <x:c r="I177" s="2" t="n">
        <x:f>SUM(IF(E2_diario!J345="N2",1,0),IF(E2_diario!J387="N2",1,0),IF(E2_diario!J849="N2",1,0),IF(E2_diario!J891="N2",1,0),IF(E2_diario!J1353="N2",1,0),IF(E2_diario!J1395="N2",1,0),IF(E2_diario!J1857="N2",1,0),IF(E2_diario!J1899="N2",1,0),IF(E2_diario!J2361="N2",1,0),IF(E2_diario!J2403="N2",1,0))</x:f>
        <x:v>0</x:v>
      </x:c>
      <x:c r="J177" s="2" t="n">
        <x:f>SUM(IF(E2_diario!J345="N3",1,0),IF(E2_diario!J387="N3",1,0),IF(E2_diario!J849="N3",1,0),IF(E2_diario!J891="N3",1,0),IF(E2_diario!J1353="N3",1,0),IF(E2_diario!J1395="N3",1,0),IF(E2_diario!J1857="N3",1,0),IF(E2_diario!J1899="N3",1,0),IF(E2_diario!J2361="N3",1,0),IF(E2_diario!J2403="N3",1,0))</x:f>
        <x:v>2</x:v>
      </x:c>
      <x:c r="K177" s="2" t="n">
        <x:f>SUM(IF(E2_diario!J345="N4",1,0),IF(E2_diario!J387="N4",1,0),IF(E2_diario!J849="N4",1,0),IF(E2_diario!J891="N4",1,0),IF(E2_diario!J1353="N4",1,0),IF(E2_diario!J1395="N4",1,0),IF(E2_diario!J1857="N4",1,0),IF(E2_diario!J1899="N4",1,0),IF(E2_diario!J2361="N4",1,0),IF(E2_diario!J2403="N4",1,0))</x:f>
        <x:v>7</x:v>
      </x:c>
      <x:c r="L177" s="2" t="n">
        <x:f>SUM(IF(E2_diario!J345="adulta",1,0),IF(E2_diario!J387="adulta",1,0),IF(E2_diario!J849="adulta",1,0),IF(E2_diario!J891="adulta",1,0),IF(E2_diario!J1353="adulta",1,0),IF(E2_diario!J1395="adulta",1,0),IF(E2_diario!J1857="adulta",1,0),IF(E2_diario!J1899="adulta",1,0),IF(E2_diario!J2361="adulta",1,0),IF(E2_diario!J2403="adulta",1,0))</x:f>
        <x:v>0</x:v>
      </x:c>
      <x:c r="M177" s="2" t="n">
        <x:f>SUM(E2_diario!L345,E2_diario!L387,E2_diario!L849,E2_diario!L891,E2_diario!L1353,E2_diario!L1395,E2_diario!L1857,E2_diario!L1899,E2_diario!L2361,E2_diario!L2403)</x:f>
        <x:v>0</x:v>
      </x:c>
      <x:c r="N177" s="20" t="n">
        <x:f>G177/F177</x:f>
        <x:v>0.9</x:v>
      </x:c>
      <x:c r="O177" s="20" t="n">
        <x:f>IF(G177=0,0,M177/G177)</x:f>
        <x:v>0</x:v>
      </x:c>
      <x:c r="P177" s="20" t="n">
        <x:f>N177*O177</x:f>
        <x:v>0</x:v>
      </x:c>
      <x:c r="Q177" s="20" t="n">
        <x:f>H177/F177</x:f>
        <x:v>0</x:v>
      </x:c>
      <x:c r="R177" s="20" t="n">
        <x:f>I177/F177</x:f>
        <x:v>0</x:v>
      </x:c>
      <x:c r="S177" s="20" t="n">
        <x:f>J177/F177</x:f>
        <x:v>0.2</x:v>
      </x:c>
      <x:c r="T177" s="20" t="n">
        <x:f>K177/F177</x:f>
        <x:v>0.7</x:v>
      </x:c>
      <x:c r="U177" s="20" t="n">
        <x:f>L177/F177</x:f>
        <x:v>0</x:v>
      </x:c>
      <x:c r="V177" s="20" t="n">
        <x:f>IF(L177=0,0,M177/L177)</x:f>
        <x:v>0</x:v>
      </x:c>
      <x:c r="W177" s="20" t="n">
        <x:f>SUM(P$170:P177)</x:f>
        <x:v>0</x:v>
      </x:c>
      <x:c r="X177" s="2" t="n">
        <x:f>E177+Supuestos!$C$15</x:f>
        <x:v>8</x:v>
      </x:c>
      <x:c r="Y177" s="2" t="n">
        <x:f>F177-G177</x:f>
        <x:v>1</x:v>
      </x:c>
      <x:c r="Z177" s="2" t="str">
        <x:v>simulado_didactico</x:v>
      </x:c>
    </x:row>
    <x:row r="178" ht="19" customHeight="1">
      <x:c r="A178" s="2" t="str">
        <x:v>BB_L8</x:v>
      </x:c>
      <x:c r="B178" s="2" t="str">
        <x:v>BB</x:v>
      </x:c>
      <x:c r="C178" s="2" t="str">
        <x:v>Brevicoryne brassicae</x:v>
      </x:c>
      <x:c r="D178" s="2" t="str">
        <x:v>L8</x:v>
      </x:c>
      <x:c r="E178" s="2" t="n">
        <x:v>8</x:v>
      </x:c>
      <x:c r="F178" s="2" t="n">
        <x:f>COUNTA(E2_plantas!A10,E2_plantas!A11,E2_plantas!A22,E2_plantas!A23,E2_plantas!A34,E2_plantas!A35,E2_plantas!A46,E2_plantas!A47,E2_plantas!A58,E2_plantas!A59)</x:f>
        <x:v>10</x:v>
      </x:c>
      <x:c r="G178" s="2" t="n">
        <x:f>SUM(E2_diario!K346,E2_diario!K388,E2_diario!K850,E2_diario!K892,E2_diario!K1354,E2_diario!K1396,E2_diario!K1858,E2_diario!K1900,E2_diario!K2362,E2_diario!K2404)</x:f>
        <x:v>9</x:v>
      </x:c>
      <x:c r="H178" s="2" t="n">
        <x:f>SUM(IF(E2_diario!J346="N1",1,0),IF(E2_diario!J388="N1",1,0),IF(E2_diario!J850="N1",1,0),IF(E2_diario!J892="N1",1,0),IF(E2_diario!J1354="N1",1,0),IF(E2_diario!J1396="N1",1,0),IF(E2_diario!J1858="N1",1,0),IF(E2_diario!J1900="N1",1,0),IF(E2_diario!J2362="N1",1,0),IF(E2_diario!J2404="N1",1,0))</x:f>
        <x:v>0</x:v>
      </x:c>
      <x:c r="I178" s="2" t="n">
        <x:f>SUM(IF(E2_diario!J346="N2",1,0),IF(E2_diario!J388="N2",1,0),IF(E2_diario!J850="N2",1,0),IF(E2_diario!J892="N2",1,0),IF(E2_diario!J1354="N2",1,0),IF(E2_diario!J1396="N2",1,0),IF(E2_diario!J1858="N2",1,0),IF(E2_diario!J1900="N2",1,0),IF(E2_diario!J2362="N2",1,0),IF(E2_diario!J2404="N2",1,0))</x:f>
        <x:v>0</x:v>
      </x:c>
      <x:c r="J178" s="2" t="n">
        <x:f>SUM(IF(E2_diario!J346="N3",1,0),IF(E2_diario!J388="N3",1,0),IF(E2_diario!J850="N3",1,0),IF(E2_diario!J892="N3",1,0),IF(E2_diario!J1354="N3",1,0),IF(E2_diario!J1396="N3",1,0),IF(E2_diario!J1858="N3",1,0),IF(E2_diario!J1900="N3",1,0),IF(E2_diario!J2362="N3",1,0),IF(E2_diario!J2404="N3",1,0))</x:f>
        <x:v>1</x:v>
      </x:c>
      <x:c r="K178" s="2" t="n">
        <x:f>SUM(IF(E2_diario!J346="N4",1,0),IF(E2_diario!J388="N4",1,0),IF(E2_diario!J850="N4",1,0),IF(E2_diario!J892="N4",1,0),IF(E2_diario!J1354="N4",1,0),IF(E2_diario!J1396="N4",1,0),IF(E2_diario!J1858="N4",1,0),IF(E2_diario!J1900="N4",1,0),IF(E2_diario!J2362="N4",1,0),IF(E2_diario!J2404="N4",1,0))</x:f>
        <x:v>5</x:v>
      </x:c>
      <x:c r="L178" s="2" t="n">
        <x:f>SUM(IF(E2_diario!J346="adulta",1,0),IF(E2_diario!J388="adulta",1,0),IF(E2_diario!J850="adulta",1,0),IF(E2_diario!J892="adulta",1,0),IF(E2_diario!J1354="adulta",1,0),IF(E2_diario!J1396="adulta",1,0),IF(E2_diario!J1858="adulta",1,0),IF(E2_diario!J1900="adulta",1,0),IF(E2_diario!J2362="adulta",1,0),IF(E2_diario!J2404="adulta",1,0))</x:f>
        <x:v>3</x:v>
      </x:c>
      <x:c r="M178" s="2" t="n">
        <x:f>SUM(E2_diario!L346,E2_diario!L388,E2_diario!L850,E2_diario!L892,E2_diario!L1354,E2_diario!L1396,E2_diario!L1858,E2_diario!L1900,E2_diario!L2362,E2_diario!L2404)</x:f>
        <x:v>0</x:v>
      </x:c>
      <x:c r="N178" s="20" t="n">
        <x:f>G178/F178</x:f>
        <x:v>0.9</x:v>
      </x:c>
      <x:c r="O178" s="20" t="n">
        <x:f>IF(G178=0,0,M178/G178)</x:f>
        <x:v>0</x:v>
      </x:c>
      <x:c r="P178" s="20" t="n">
        <x:f>N178*O178</x:f>
        <x:v>0</x:v>
      </x:c>
      <x:c r="Q178" s="20" t="n">
        <x:f>H178/F178</x:f>
        <x:v>0</x:v>
      </x:c>
      <x:c r="R178" s="20" t="n">
        <x:f>I178/F178</x:f>
        <x:v>0</x:v>
      </x:c>
      <x:c r="S178" s="20" t="n">
        <x:f>J178/F178</x:f>
        <x:v>0.1</x:v>
      </x:c>
      <x:c r="T178" s="20" t="n">
        <x:f>K178/F178</x:f>
        <x:v>0.5</x:v>
      </x:c>
      <x:c r="U178" s="20" t="n">
        <x:f>L178/F178</x:f>
        <x:v>0.3</x:v>
      </x:c>
      <x:c r="V178" s="20" t="n">
        <x:f>IF(L178=0,0,M178/L178)</x:f>
        <x:v>0</x:v>
      </x:c>
      <x:c r="W178" s="20" t="n">
        <x:f>SUM(P$170:P178)</x:f>
        <x:v>0</x:v>
      </x:c>
      <x:c r="X178" s="2" t="n">
        <x:f>E178+Supuestos!$C$15</x:f>
        <x:v>9</x:v>
      </x:c>
      <x:c r="Y178" s="2" t="n">
        <x:f>F178-G178</x:f>
        <x:v>1</x:v>
      </x:c>
      <x:c r="Z178" s="2" t="str">
        <x:v>simulado_didactico</x:v>
      </x:c>
    </x:row>
    <x:row r="179" ht="19" customHeight="1">
      <x:c r="A179" s="2" t="str">
        <x:v>BB_L8</x:v>
      </x:c>
      <x:c r="B179" s="2" t="str">
        <x:v>BB</x:v>
      </x:c>
      <x:c r="C179" s="2" t="str">
        <x:v>Brevicoryne brassicae</x:v>
      </x:c>
      <x:c r="D179" s="2" t="str">
        <x:v>L8</x:v>
      </x:c>
      <x:c r="E179" s="2" t="n">
        <x:v>9</x:v>
      </x:c>
      <x:c r="F179" s="2" t="n">
        <x:f>COUNTA(E2_plantas!A10,E2_plantas!A11,E2_plantas!A22,E2_plantas!A23,E2_plantas!A34,E2_plantas!A35,E2_plantas!A46,E2_plantas!A47,E2_plantas!A58,E2_plantas!A59)</x:f>
        <x:v>10</x:v>
      </x:c>
      <x:c r="G179" s="2" t="n">
        <x:f>SUM(E2_diario!K347,E2_diario!K389,E2_diario!K851,E2_diario!K893,E2_diario!K1355,E2_diario!K1397,E2_diario!K1859,E2_diario!K1901,E2_diario!K2363,E2_diario!K2405)</x:f>
        <x:v>9</x:v>
      </x:c>
      <x:c r="H179" s="2" t="n">
        <x:f>SUM(IF(E2_diario!J347="N1",1,0),IF(E2_diario!J389="N1",1,0),IF(E2_diario!J851="N1",1,0),IF(E2_diario!J893="N1",1,0),IF(E2_diario!J1355="N1",1,0),IF(E2_diario!J1397="N1",1,0),IF(E2_diario!J1859="N1",1,0),IF(E2_diario!J1901="N1",1,0),IF(E2_diario!J2363="N1",1,0),IF(E2_diario!J2405="N1",1,0))</x:f>
        <x:v>0</x:v>
      </x:c>
      <x:c r="I179" s="2" t="n">
        <x:f>SUM(IF(E2_diario!J347="N2",1,0),IF(E2_diario!J389="N2",1,0),IF(E2_diario!J851="N2",1,0),IF(E2_diario!J893="N2",1,0),IF(E2_diario!J1355="N2",1,0),IF(E2_diario!J1397="N2",1,0),IF(E2_diario!J1859="N2",1,0),IF(E2_diario!J1901="N2",1,0),IF(E2_diario!J2363="N2",1,0),IF(E2_diario!J2405="N2",1,0))</x:f>
        <x:v>0</x:v>
      </x:c>
      <x:c r="J179" s="2" t="n">
        <x:f>SUM(IF(E2_diario!J347="N3",1,0),IF(E2_diario!J389="N3",1,0),IF(E2_diario!J851="N3",1,0),IF(E2_diario!J893="N3",1,0),IF(E2_diario!J1355="N3",1,0),IF(E2_diario!J1397="N3",1,0),IF(E2_diario!J1859="N3",1,0),IF(E2_diario!J1901="N3",1,0),IF(E2_diario!J2363="N3",1,0),IF(E2_diario!J2405="N3",1,0))</x:f>
        <x:v>0</x:v>
      </x:c>
      <x:c r="K179" s="2" t="n">
        <x:f>SUM(IF(E2_diario!J347="N4",1,0),IF(E2_diario!J389="N4",1,0),IF(E2_diario!J851="N4",1,0),IF(E2_diario!J893="N4",1,0),IF(E2_diario!J1355="N4",1,0),IF(E2_diario!J1397="N4",1,0),IF(E2_diario!J1859="N4",1,0),IF(E2_diario!J1901="N4",1,0),IF(E2_diario!J2363="N4",1,0),IF(E2_diario!J2405="N4",1,0))</x:f>
        <x:v>3</x:v>
      </x:c>
      <x:c r="L179" s="2" t="n">
        <x:f>SUM(IF(E2_diario!J347="adulta",1,0),IF(E2_diario!J389="adulta",1,0),IF(E2_diario!J851="adulta",1,0),IF(E2_diario!J893="adulta",1,0),IF(E2_diario!J1355="adulta",1,0),IF(E2_diario!J1397="adulta",1,0),IF(E2_diario!J1859="adulta",1,0),IF(E2_diario!J1901="adulta",1,0),IF(E2_diario!J2363="adulta",1,0),IF(E2_diario!J2405="adulta",1,0))</x:f>
        <x:v>6</x:v>
      </x:c>
      <x:c r="M179" s="2" t="n">
        <x:f>SUM(E2_diario!L347,E2_diario!L389,E2_diario!L851,E2_diario!L893,E2_diario!L1355,E2_diario!L1397,E2_diario!L1859,E2_diario!L1901,E2_diario!L2363,E2_diario!L2405)</x:f>
        <x:v>5</x:v>
      </x:c>
      <x:c r="N179" s="20" t="n">
        <x:f>G179/F179</x:f>
        <x:v>0.9</x:v>
      </x:c>
      <x:c r="O179" s="20" t="n">
        <x:f>IF(G179=0,0,M179/G179)</x:f>
        <x:v>0.5555555555555556</x:v>
      </x:c>
      <x:c r="P179" s="20" t="n">
        <x:f>N179*O179</x:f>
        <x:v>0.5</x:v>
      </x:c>
      <x:c r="Q179" s="20" t="n">
        <x:f>H179/F179</x:f>
        <x:v>0</x:v>
      </x:c>
      <x:c r="R179" s="20" t="n">
        <x:f>I179/F179</x:f>
        <x:v>0</x:v>
      </x:c>
      <x:c r="S179" s="20" t="n">
        <x:f>J179/F179</x:f>
        <x:v>0</x:v>
      </x:c>
      <x:c r="T179" s="20" t="n">
        <x:f>K179/F179</x:f>
        <x:v>0.3</x:v>
      </x:c>
      <x:c r="U179" s="20" t="n">
        <x:f>L179/F179</x:f>
        <x:v>0.6</x:v>
      </x:c>
      <x:c r="V179" s="20" t="n">
        <x:f>IF(L179=0,0,M179/L179)</x:f>
        <x:v>0.8333333333333334</x:v>
      </x:c>
      <x:c r="W179" s="20" t="n">
        <x:f>SUM(P$170:P179)</x:f>
        <x:v>0.5</x:v>
      </x:c>
      <x:c r="X179" s="2" t="n">
        <x:f>E179+Supuestos!$C$15</x:f>
        <x:v>10</x:v>
      </x:c>
      <x:c r="Y179" s="2" t="n">
        <x:f>F179-G179</x:f>
        <x:v>1</x:v>
      </x:c>
      <x:c r="Z179" s="2" t="str">
        <x:v>simulado_didactico</x:v>
      </x:c>
    </x:row>
    <x:row r="180" ht="19" customHeight="1">
      <x:c r="A180" s="2" t="str">
        <x:v>BB_L8</x:v>
      </x:c>
      <x:c r="B180" s="2" t="str">
        <x:v>BB</x:v>
      </x:c>
      <x:c r="C180" s="2" t="str">
        <x:v>Brevicoryne brassicae</x:v>
      </x:c>
      <x:c r="D180" s="2" t="str">
        <x:v>L8</x:v>
      </x:c>
      <x:c r="E180" s="2" t="n">
        <x:v>10</x:v>
      </x:c>
      <x:c r="F180" s="2" t="n">
        <x:f>COUNTA(E2_plantas!A10,E2_plantas!A11,E2_plantas!A22,E2_plantas!A23,E2_plantas!A34,E2_plantas!A35,E2_plantas!A46,E2_plantas!A47,E2_plantas!A58,E2_plantas!A59)</x:f>
        <x:v>10</x:v>
      </x:c>
      <x:c r="G180" s="2" t="n">
        <x:f>SUM(E2_diario!K348,E2_diario!K390,E2_diario!K852,E2_diario!K894,E2_diario!K1356,E2_diario!K1398,E2_diario!K1860,E2_diario!K1902,E2_diario!K2364,E2_diario!K2406)</x:f>
        <x:v>9</x:v>
      </x:c>
      <x:c r="H180" s="2" t="n">
        <x:f>SUM(IF(E2_diario!J348="N1",1,0),IF(E2_diario!J390="N1",1,0),IF(E2_diario!J852="N1",1,0),IF(E2_diario!J894="N1",1,0),IF(E2_diario!J1356="N1",1,0),IF(E2_diario!J1398="N1",1,0),IF(E2_diario!J1860="N1",1,0),IF(E2_diario!J1902="N1",1,0),IF(E2_diario!J2364="N1",1,0),IF(E2_diario!J2406="N1",1,0))</x:f>
        <x:v>0</x:v>
      </x:c>
      <x:c r="I180" s="2" t="n">
        <x:f>SUM(IF(E2_diario!J348="N2",1,0),IF(E2_diario!J390="N2",1,0),IF(E2_diario!J852="N2",1,0),IF(E2_diario!J894="N2",1,0),IF(E2_diario!J1356="N2",1,0),IF(E2_diario!J1398="N2",1,0),IF(E2_diario!J1860="N2",1,0),IF(E2_diario!J1902="N2",1,0),IF(E2_diario!J2364="N2",1,0),IF(E2_diario!J2406="N2",1,0))</x:f>
        <x:v>0</x:v>
      </x:c>
      <x:c r="J180" s="2" t="n">
        <x:f>SUM(IF(E2_diario!J348="N3",1,0),IF(E2_diario!J390="N3",1,0),IF(E2_diario!J852="N3",1,0),IF(E2_diario!J894="N3",1,0),IF(E2_diario!J1356="N3",1,0),IF(E2_diario!J1398="N3",1,0),IF(E2_diario!J1860="N3",1,0),IF(E2_diario!J1902="N3",1,0),IF(E2_diario!J2364="N3",1,0),IF(E2_diario!J2406="N3",1,0))</x:f>
        <x:v>0</x:v>
      </x:c>
      <x:c r="K180" s="2" t="n">
        <x:f>SUM(IF(E2_diario!J348="N4",1,0),IF(E2_diario!J390="N4",1,0),IF(E2_diario!J852="N4",1,0),IF(E2_diario!J894="N4",1,0),IF(E2_diario!J1356="N4",1,0),IF(E2_diario!J1398="N4",1,0),IF(E2_diario!J1860="N4",1,0),IF(E2_diario!J1902="N4",1,0),IF(E2_diario!J2364="N4",1,0),IF(E2_diario!J2406="N4",1,0))</x:f>
        <x:v>1</x:v>
      </x:c>
      <x:c r="L180" s="2" t="n">
        <x:f>SUM(IF(E2_diario!J348="adulta",1,0),IF(E2_diario!J390="adulta",1,0),IF(E2_diario!J852="adulta",1,0),IF(E2_diario!J894="adulta",1,0),IF(E2_diario!J1356="adulta",1,0),IF(E2_diario!J1398="adulta",1,0),IF(E2_diario!J1860="adulta",1,0),IF(E2_diario!J1902="adulta",1,0),IF(E2_diario!J2364="adulta",1,0),IF(E2_diario!J2406="adulta",1,0))</x:f>
        <x:v>8</x:v>
      </x:c>
      <x:c r="M180" s="2" t="n">
        <x:f>SUM(E2_diario!L348,E2_diario!L390,E2_diario!L852,E2_diario!L894,E2_diario!L1356,E2_diario!L1398,E2_diario!L1860,E2_diario!L1902,E2_diario!L2364,E2_diario!L2406)</x:f>
        <x:v>11</x:v>
      </x:c>
      <x:c r="N180" s="20" t="n">
        <x:f>G180/F180</x:f>
        <x:v>0.9</x:v>
      </x:c>
      <x:c r="O180" s="20" t="n">
        <x:f>IF(G180=0,0,M180/G180)</x:f>
        <x:v>1.2222222222222223</x:v>
      </x:c>
      <x:c r="P180" s="20" t="n">
        <x:f>N180*O180</x:f>
        <x:v>1.1</x:v>
      </x:c>
      <x:c r="Q180" s="20" t="n">
        <x:f>H180/F180</x:f>
        <x:v>0</x:v>
      </x:c>
      <x:c r="R180" s="20" t="n">
        <x:f>I180/F180</x:f>
        <x:v>0</x:v>
      </x:c>
      <x:c r="S180" s="20" t="n">
        <x:f>J180/F180</x:f>
        <x:v>0</x:v>
      </x:c>
      <x:c r="T180" s="20" t="n">
        <x:f>K180/F180</x:f>
        <x:v>0.1</x:v>
      </x:c>
      <x:c r="U180" s="20" t="n">
        <x:f>L180/F180</x:f>
        <x:v>0.8</x:v>
      </x:c>
      <x:c r="V180" s="20" t="n">
        <x:f>IF(L180=0,0,M180/L180)</x:f>
        <x:v>1.375</x:v>
      </x:c>
      <x:c r="W180" s="20" t="n">
        <x:f>SUM(P$170:P180)</x:f>
        <x:v>1.6</x:v>
      </x:c>
      <x:c r="X180" s="2" t="n">
        <x:f>E180+Supuestos!$C$15</x:f>
        <x:v>11</x:v>
      </x:c>
      <x:c r="Y180" s="2" t="n">
        <x:f>F180-G180</x:f>
        <x:v>1</x:v>
      </x:c>
      <x:c r="Z180" s="2" t="str">
        <x:v>simulado_didactico</x:v>
      </x:c>
    </x:row>
    <x:row r="181" ht="19" customHeight="1">
      <x:c r="A181" s="2" t="str">
        <x:v>BB_L8</x:v>
      </x:c>
      <x:c r="B181" s="2" t="str">
        <x:v>BB</x:v>
      </x:c>
      <x:c r="C181" s="2" t="str">
        <x:v>Brevicoryne brassicae</x:v>
      </x:c>
      <x:c r="D181" s="2" t="str">
        <x:v>L8</x:v>
      </x:c>
      <x:c r="E181" s="2" t="n">
        <x:v>11</x:v>
      </x:c>
      <x:c r="F181" s="2" t="n">
        <x:f>COUNTA(E2_plantas!A10,E2_plantas!A11,E2_plantas!A22,E2_plantas!A23,E2_plantas!A34,E2_plantas!A35,E2_plantas!A46,E2_plantas!A47,E2_plantas!A58,E2_plantas!A59)</x:f>
        <x:v>10</x:v>
      </x:c>
      <x:c r="G181" s="2" t="n">
        <x:f>SUM(E2_diario!K349,E2_diario!K391,E2_diario!K853,E2_diario!K895,E2_diario!K1357,E2_diario!K1399,E2_diario!K1861,E2_diario!K1903,E2_diario!K2365,E2_diario!K2407)</x:f>
        <x:v>9</x:v>
      </x:c>
      <x:c r="H181" s="2" t="n">
        <x:f>SUM(IF(E2_diario!J349="N1",1,0),IF(E2_diario!J391="N1",1,0),IF(E2_diario!J853="N1",1,0),IF(E2_diario!J895="N1",1,0),IF(E2_diario!J1357="N1",1,0),IF(E2_diario!J1399="N1",1,0),IF(E2_diario!J1861="N1",1,0),IF(E2_diario!J1903="N1",1,0),IF(E2_diario!J2365="N1",1,0),IF(E2_diario!J2407="N1",1,0))</x:f>
        <x:v>0</x:v>
      </x:c>
      <x:c r="I181" s="2" t="n">
        <x:f>SUM(IF(E2_diario!J349="N2",1,0),IF(E2_diario!J391="N2",1,0),IF(E2_diario!J853="N2",1,0),IF(E2_diario!J895="N2",1,0),IF(E2_diario!J1357="N2",1,0),IF(E2_diario!J1399="N2",1,0),IF(E2_diario!J1861="N2",1,0),IF(E2_diario!J1903="N2",1,0),IF(E2_diario!J2365="N2",1,0),IF(E2_diario!J2407="N2",1,0))</x:f>
        <x:v>0</x:v>
      </x:c>
      <x:c r="J181" s="2" t="n">
        <x:f>SUM(IF(E2_diario!J349="N3",1,0),IF(E2_diario!J391="N3",1,0),IF(E2_diario!J853="N3",1,0),IF(E2_diario!J895="N3",1,0),IF(E2_diario!J1357="N3",1,0),IF(E2_diario!J1399="N3",1,0),IF(E2_diario!J1861="N3",1,0),IF(E2_diario!J1903="N3",1,0),IF(E2_diario!J2365="N3",1,0),IF(E2_diario!J2407="N3",1,0))</x:f>
        <x:v>0</x:v>
      </x:c>
      <x:c r="K181" s="2" t="n">
        <x:f>SUM(IF(E2_diario!J349="N4",1,0),IF(E2_diario!J391="N4",1,0),IF(E2_diario!J853="N4",1,0),IF(E2_diario!J895="N4",1,0),IF(E2_diario!J1357="N4",1,0),IF(E2_diario!J1399="N4",1,0),IF(E2_diario!J1861="N4",1,0),IF(E2_diario!J1903="N4",1,0),IF(E2_diario!J2365="N4",1,0),IF(E2_diario!J2407="N4",1,0))</x:f>
        <x:v>0</x:v>
      </x:c>
      <x:c r="L181" s="2" t="n">
        <x:f>SUM(IF(E2_diario!J349="adulta",1,0),IF(E2_diario!J391="adulta",1,0),IF(E2_diario!J853="adulta",1,0),IF(E2_diario!J895="adulta",1,0),IF(E2_diario!J1357="adulta",1,0),IF(E2_diario!J1399="adulta",1,0),IF(E2_diario!J1861="adulta",1,0),IF(E2_diario!J1903="adulta",1,0),IF(E2_diario!J2365="adulta",1,0),IF(E2_diario!J2407="adulta",1,0))</x:f>
        <x:v>9</x:v>
      </x:c>
      <x:c r="M181" s="2" t="n">
        <x:f>SUM(E2_diario!L349,E2_diario!L391,E2_diario!L853,E2_diario!L895,E2_diario!L1357,E2_diario!L1399,E2_diario!L1861,E2_diario!L1903,E2_diario!L2365,E2_diario!L2407)</x:f>
        <x:v>4</x:v>
      </x:c>
      <x:c r="N181" s="20" t="n">
        <x:f>G181/F181</x:f>
        <x:v>0.9</x:v>
      </x:c>
      <x:c r="O181" s="20" t="n">
        <x:f>IF(G181=0,0,M181/G181)</x:f>
        <x:v>0.4444444444444444</x:v>
      </x:c>
      <x:c r="P181" s="20" t="n">
        <x:f>N181*O181</x:f>
        <x:v>0.39999999999999997</x:v>
      </x:c>
      <x:c r="Q181" s="20" t="n">
        <x:f>H181/F181</x:f>
        <x:v>0</x:v>
      </x:c>
      <x:c r="R181" s="20" t="n">
        <x:f>I181/F181</x:f>
        <x:v>0</x:v>
      </x:c>
      <x:c r="S181" s="20" t="n">
        <x:f>J181/F181</x:f>
        <x:v>0</x:v>
      </x:c>
      <x:c r="T181" s="20" t="n">
        <x:f>K181/F181</x:f>
        <x:v>0</x:v>
      </x:c>
      <x:c r="U181" s="20" t="n">
        <x:f>L181/F181</x:f>
        <x:v>0.9</x:v>
      </x:c>
      <x:c r="V181" s="20" t="n">
        <x:f>IF(L181=0,0,M181/L181)</x:f>
        <x:v>0.4444444444444444</x:v>
      </x:c>
      <x:c r="W181" s="20" t="n">
        <x:f>SUM(P$170:P181)</x:f>
        <x:v>2</x:v>
      </x:c>
      <x:c r="X181" s="2" t="n">
        <x:f>E181+Supuestos!$C$15</x:f>
        <x:v>12</x:v>
      </x:c>
      <x:c r="Y181" s="2" t="n">
        <x:f>F181-G181</x:f>
        <x:v>1</x:v>
      </x:c>
      <x:c r="Z181" s="2" t="str">
        <x:v>simulado_didactico</x:v>
      </x:c>
    </x:row>
    <x:row r="182" ht="19" customHeight="1">
      <x:c r="A182" s="2" t="str">
        <x:v>BB_L8</x:v>
      </x:c>
      <x:c r="B182" s="2" t="str">
        <x:v>BB</x:v>
      </x:c>
      <x:c r="C182" s="2" t="str">
        <x:v>Brevicoryne brassicae</x:v>
      </x:c>
      <x:c r="D182" s="2" t="str">
        <x:v>L8</x:v>
      </x:c>
      <x:c r="E182" s="2" t="n">
        <x:v>12</x:v>
      </x:c>
      <x:c r="F182" s="2" t="n">
        <x:f>COUNTA(E2_plantas!A10,E2_plantas!A11,E2_plantas!A22,E2_plantas!A23,E2_plantas!A34,E2_plantas!A35,E2_plantas!A46,E2_plantas!A47,E2_plantas!A58,E2_plantas!A59)</x:f>
        <x:v>10</x:v>
      </x:c>
      <x:c r="G182" s="2" t="n">
        <x:f>SUM(E2_diario!K350,E2_diario!K392,E2_diario!K854,E2_diario!K896,E2_diario!K1358,E2_diario!K1400,E2_diario!K1862,E2_diario!K1904,E2_diario!K2366,E2_diario!K2408)</x:f>
        <x:v>9</x:v>
      </x:c>
      <x:c r="H182" s="2" t="n">
        <x:f>SUM(IF(E2_diario!J350="N1",1,0),IF(E2_diario!J392="N1",1,0),IF(E2_diario!J854="N1",1,0),IF(E2_diario!J896="N1",1,0),IF(E2_diario!J1358="N1",1,0),IF(E2_diario!J1400="N1",1,0),IF(E2_diario!J1862="N1",1,0),IF(E2_diario!J1904="N1",1,0),IF(E2_diario!J2366="N1",1,0),IF(E2_diario!J2408="N1",1,0))</x:f>
        <x:v>0</x:v>
      </x:c>
      <x:c r="I182" s="2" t="n">
        <x:f>SUM(IF(E2_diario!J350="N2",1,0),IF(E2_diario!J392="N2",1,0),IF(E2_diario!J854="N2",1,0),IF(E2_diario!J896="N2",1,0),IF(E2_diario!J1358="N2",1,0),IF(E2_diario!J1400="N2",1,0),IF(E2_diario!J1862="N2",1,0),IF(E2_diario!J1904="N2",1,0),IF(E2_diario!J2366="N2",1,0),IF(E2_diario!J2408="N2",1,0))</x:f>
        <x:v>0</x:v>
      </x:c>
      <x:c r="J182" s="2" t="n">
        <x:f>SUM(IF(E2_diario!J350="N3",1,0),IF(E2_diario!J392="N3",1,0),IF(E2_diario!J854="N3",1,0),IF(E2_diario!J896="N3",1,0),IF(E2_diario!J1358="N3",1,0),IF(E2_diario!J1400="N3",1,0),IF(E2_diario!J1862="N3",1,0),IF(E2_diario!J1904="N3",1,0),IF(E2_diario!J2366="N3",1,0),IF(E2_diario!J2408="N3",1,0))</x:f>
        <x:v>0</x:v>
      </x:c>
      <x:c r="K182" s="2" t="n">
        <x:f>SUM(IF(E2_diario!J350="N4",1,0),IF(E2_diario!J392="N4",1,0),IF(E2_diario!J854="N4",1,0),IF(E2_diario!J896="N4",1,0),IF(E2_diario!J1358="N4",1,0),IF(E2_diario!J1400="N4",1,0),IF(E2_diario!J1862="N4",1,0),IF(E2_diario!J1904="N4",1,0),IF(E2_diario!J2366="N4",1,0),IF(E2_diario!J2408="N4",1,0))</x:f>
        <x:v>0</x:v>
      </x:c>
      <x:c r="L182" s="2" t="n">
        <x:f>SUM(IF(E2_diario!J350="adulta",1,0),IF(E2_diario!J392="adulta",1,0),IF(E2_diario!J854="adulta",1,0),IF(E2_diario!J896="adulta",1,0),IF(E2_diario!J1358="adulta",1,0),IF(E2_diario!J1400="adulta",1,0),IF(E2_diario!J1862="adulta",1,0),IF(E2_diario!J1904="adulta",1,0),IF(E2_diario!J2366="adulta",1,0),IF(E2_diario!J2408="adulta",1,0))</x:f>
        <x:v>9</x:v>
      </x:c>
      <x:c r="M182" s="2" t="n">
        <x:f>SUM(E2_diario!L350,E2_diario!L392,E2_diario!L854,E2_diario!L896,E2_diario!L1358,E2_diario!L1400,E2_diario!L1862,E2_diario!L1904,E2_diario!L2366,E2_diario!L2408)</x:f>
        <x:v>22</x:v>
      </x:c>
      <x:c r="N182" s="20" t="n">
        <x:f>G182/F182</x:f>
        <x:v>0.9</x:v>
      </x:c>
      <x:c r="O182" s="20" t="n">
        <x:f>IF(G182=0,0,M182/G182)</x:f>
        <x:v>2.4444444444444446</x:v>
      </x:c>
      <x:c r="P182" s="20" t="n">
        <x:f>N182*O182</x:f>
        <x:v>2.2</x:v>
      </x:c>
      <x:c r="Q182" s="20" t="n">
        <x:f>H182/F182</x:f>
        <x:v>0</x:v>
      </x:c>
      <x:c r="R182" s="20" t="n">
        <x:f>I182/F182</x:f>
        <x:v>0</x:v>
      </x:c>
      <x:c r="S182" s="20" t="n">
        <x:f>J182/F182</x:f>
        <x:v>0</x:v>
      </x:c>
      <x:c r="T182" s="20" t="n">
        <x:f>K182/F182</x:f>
        <x:v>0</x:v>
      </x:c>
      <x:c r="U182" s="20" t="n">
        <x:f>L182/F182</x:f>
        <x:v>0.9</x:v>
      </x:c>
      <x:c r="V182" s="20" t="n">
        <x:f>IF(L182=0,0,M182/L182)</x:f>
        <x:v>2.4444444444444446</x:v>
      </x:c>
      <x:c r="W182" s="20" t="n">
        <x:f>SUM(P$170:P182)</x:f>
        <x:v>4.2</x:v>
      </x:c>
      <x:c r="X182" s="2" t="n">
        <x:f>E182+Supuestos!$C$15</x:f>
        <x:v>13</x:v>
      </x:c>
      <x:c r="Y182" s="2" t="n">
        <x:f>F182-G182</x:f>
        <x:v>1</x:v>
      </x:c>
      <x:c r="Z182" s="2" t="str">
        <x:v>simulado_didactico</x:v>
      </x:c>
    </x:row>
    <x:row r="183" ht="19" customHeight="1">
      <x:c r="A183" s="2" t="str">
        <x:v>BB_L8</x:v>
      </x:c>
      <x:c r="B183" s="2" t="str">
        <x:v>BB</x:v>
      </x:c>
      <x:c r="C183" s="2" t="str">
        <x:v>Brevicoryne brassicae</x:v>
      </x:c>
      <x:c r="D183" s="2" t="str">
        <x:v>L8</x:v>
      </x:c>
      <x:c r="E183" s="2" t="n">
        <x:v>13</x:v>
      </x:c>
      <x:c r="F183" s="2" t="n">
        <x:f>COUNTA(E2_plantas!A10,E2_plantas!A11,E2_plantas!A22,E2_plantas!A23,E2_plantas!A34,E2_plantas!A35,E2_plantas!A46,E2_plantas!A47,E2_plantas!A58,E2_plantas!A59)</x:f>
        <x:v>10</x:v>
      </x:c>
      <x:c r="G183" s="2" t="n">
        <x:f>SUM(E2_diario!K351,E2_diario!K393,E2_diario!K855,E2_diario!K897,E2_diario!K1359,E2_diario!K1401,E2_diario!K1863,E2_diario!K1905,E2_diario!K2367,E2_diario!K2409)</x:f>
        <x:v>9</x:v>
      </x:c>
      <x:c r="H183" s="2" t="n">
        <x:f>SUM(IF(E2_diario!J351="N1",1,0),IF(E2_diario!J393="N1",1,0),IF(E2_diario!J855="N1",1,0),IF(E2_diario!J897="N1",1,0),IF(E2_diario!J1359="N1",1,0),IF(E2_diario!J1401="N1",1,0),IF(E2_diario!J1863="N1",1,0),IF(E2_diario!J1905="N1",1,0),IF(E2_diario!J2367="N1",1,0),IF(E2_diario!J2409="N1",1,0))</x:f>
        <x:v>0</x:v>
      </x:c>
      <x:c r="I183" s="2" t="n">
        <x:f>SUM(IF(E2_diario!J351="N2",1,0),IF(E2_diario!J393="N2",1,0),IF(E2_diario!J855="N2",1,0),IF(E2_diario!J897="N2",1,0),IF(E2_diario!J1359="N2",1,0),IF(E2_diario!J1401="N2",1,0),IF(E2_diario!J1863="N2",1,0),IF(E2_diario!J1905="N2",1,0),IF(E2_diario!J2367="N2",1,0),IF(E2_diario!J2409="N2",1,0))</x:f>
        <x:v>0</x:v>
      </x:c>
      <x:c r="J183" s="2" t="n">
        <x:f>SUM(IF(E2_diario!J351="N3",1,0),IF(E2_diario!J393="N3",1,0),IF(E2_diario!J855="N3",1,0),IF(E2_diario!J897="N3",1,0),IF(E2_diario!J1359="N3",1,0),IF(E2_diario!J1401="N3",1,0),IF(E2_diario!J1863="N3",1,0),IF(E2_diario!J1905="N3",1,0),IF(E2_diario!J2367="N3",1,0),IF(E2_diario!J2409="N3",1,0))</x:f>
        <x:v>0</x:v>
      </x:c>
      <x:c r="K183" s="2" t="n">
        <x:f>SUM(IF(E2_diario!J351="N4",1,0),IF(E2_diario!J393="N4",1,0),IF(E2_diario!J855="N4",1,0),IF(E2_diario!J897="N4",1,0),IF(E2_diario!J1359="N4",1,0),IF(E2_diario!J1401="N4",1,0),IF(E2_diario!J1863="N4",1,0),IF(E2_diario!J1905="N4",1,0),IF(E2_diario!J2367="N4",1,0),IF(E2_diario!J2409="N4",1,0))</x:f>
        <x:v>0</x:v>
      </x:c>
      <x:c r="L183" s="2" t="n">
        <x:f>SUM(IF(E2_diario!J351="adulta",1,0),IF(E2_diario!J393="adulta",1,0),IF(E2_diario!J855="adulta",1,0),IF(E2_diario!J897="adulta",1,0),IF(E2_diario!J1359="adulta",1,0),IF(E2_diario!J1401="adulta",1,0),IF(E2_diario!J1863="adulta",1,0),IF(E2_diario!J1905="adulta",1,0),IF(E2_diario!J2367="adulta",1,0),IF(E2_diario!J2409="adulta",1,0))</x:f>
        <x:v>9</x:v>
      </x:c>
      <x:c r="M183" s="2" t="n">
        <x:f>SUM(E2_diario!L351,E2_diario!L393,E2_diario!L855,E2_diario!L897,E2_diario!L1359,E2_diario!L1401,E2_diario!L1863,E2_diario!L1905,E2_diario!L2367,E2_diario!L2409)</x:f>
        <x:v>17</x:v>
      </x:c>
      <x:c r="N183" s="20" t="n">
        <x:f>G183/F183</x:f>
        <x:v>0.9</x:v>
      </x:c>
      <x:c r="O183" s="20" t="n">
        <x:f>IF(G183=0,0,M183/G183)</x:f>
        <x:v>1.8888888888888888</x:v>
      </x:c>
      <x:c r="P183" s="20" t="n">
        <x:f>N183*O183</x:f>
        <x:v>1.7</x:v>
      </x:c>
      <x:c r="Q183" s="20" t="n">
        <x:f>H183/F183</x:f>
        <x:v>0</x:v>
      </x:c>
      <x:c r="R183" s="20" t="n">
        <x:f>I183/F183</x:f>
        <x:v>0</x:v>
      </x:c>
      <x:c r="S183" s="20" t="n">
        <x:f>J183/F183</x:f>
        <x:v>0</x:v>
      </x:c>
      <x:c r="T183" s="20" t="n">
        <x:f>K183/F183</x:f>
        <x:v>0</x:v>
      </x:c>
      <x:c r="U183" s="20" t="n">
        <x:f>L183/F183</x:f>
        <x:v>0.9</x:v>
      </x:c>
      <x:c r="V183" s="20" t="n">
        <x:f>IF(L183=0,0,M183/L183)</x:f>
        <x:v>1.8888888888888888</x:v>
      </x:c>
      <x:c r="W183" s="20" t="n">
        <x:f>SUM(P$170:P183)</x:f>
        <x:v>5.9</x:v>
      </x:c>
      <x:c r="X183" s="2" t="n">
        <x:f>E183+Supuestos!$C$15</x:f>
        <x:v>14</x:v>
      </x:c>
      <x:c r="Y183" s="2" t="n">
        <x:f>F183-G183</x:f>
        <x:v>1</x:v>
      </x:c>
      <x:c r="Z183" s="2" t="str">
        <x:v>simulado_didactico</x:v>
      </x:c>
    </x:row>
    <x:row r="184" ht="19" customHeight="1">
      <x:c r="A184" s="2" t="str">
        <x:v>BB_L8</x:v>
      </x:c>
      <x:c r="B184" s="2" t="str">
        <x:v>BB</x:v>
      </x:c>
      <x:c r="C184" s="2" t="str">
        <x:v>Brevicoryne brassicae</x:v>
      </x:c>
      <x:c r="D184" s="2" t="str">
        <x:v>L8</x:v>
      </x:c>
      <x:c r="E184" s="2" t="n">
        <x:v>14</x:v>
      </x:c>
      <x:c r="F184" s="2" t="n">
        <x:f>COUNTA(E2_plantas!A10,E2_plantas!A11,E2_plantas!A22,E2_plantas!A23,E2_plantas!A34,E2_plantas!A35,E2_plantas!A46,E2_plantas!A47,E2_plantas!A58,E2_plantas!A59)</x:f>
        <x:v>10</x:v>
      </x:c>
      <x:c r="G184" s="2" t="n">
        <x:f>SUM(E2_diario!K352,E2_diario!K394,E2_diario!K856,E2_diario!K898,E2_diario!K1360,E2_diario!K1402,E2_diario!K1864,E2_diario!K1906,E2_diario!K2368,E2_diario!K2410)</x:f>
        <x:v>9</x:v>
      </x:c>
      <x:c r="H184" s="2" t="n">
        <x:f>SUM(IF(E2_diario!J352="N1",1,0),IF(E2_diario!J394="N1",1,0),IF(E2_diario!J856="N1",1,0),IF(E2_diario!J898="N1",1,0),IF(E2_diario!J1360="N1",1,0),IF(E2_diario!J1402="N1",1,0),IF(E2_diario!J1864="N1",1,0),IF(E2_diario!J1906="N1",1,0),IF(E2_diario!J2368="N1",1,0),IF(E2_diario!J2410="N1",1,0))</x:f>
        <x:v>0</x:v>
      </x:c>
      <x:c r="I184" s="2" t="n">
        <x:f>SUM(IF(E2_diario!J352="N2",1,0),IF(E2_diario!J394="N2",1,0),IF(E2_diario!J856="N2",1,0),IF(E2_diario!J898="N2",1,0),IF(E2_diario!J1360="N2",1,0),IF(E2_diario!J1402="N2",1,0),IF(E2_diario!J1864="N2",1,0),IF(E2_diario!J1906="N2",1,0),IF(E2_diario!J2368="N2",1,0),IF(E2_diario!J2410="N2",1,0))</x:f>
        <x:v>0</x:v>
      </x:c>
      <x:c r="J184" s="2" t="n">
        <x:f>SUM(IF(E2_diario!J352="N3",1,0),IF(E2_diario!J394="N3",1,0),IF(E2_diario!J856="N3",1,0),IF(E2_diario!J898="N3",1,0),IF(E2_diario!J1360="N3",1,0),IF(E2_diario!J1402="N3",1,0),IF(E2_diario!J1864="N3",1,0),IF(E2_diario!J1906="N3",1,0),IF(E2_diario!J2368="N3",1,0),IF(E2_diario!J2410="N3",1,0))</x:f>
        <x:v>0</x:v>
      </x:c>
      <x:c r="K184" s="2" t="n">
        <x:f>SUM(IF(E2_diario!J352="N4",1,0),IF(E2_diario!J394="N4",1,0),IF(E2_diario!J856="N4",1,0),IF(E2_diario!J898="N4",1,0),IF(E2_diario!J1360="N4",1,0),IF(E2_diario!J1402="N4",1,0),IF(E2_diario!J1864="N4",1,0),IF(E2_diario!J1906="N4",1,0),IF(E2_diario!J2368="N4",1,0),IF(E2_diario!J2410="N4",1,0))</x:f>
        <x:v>0</x:v>
      </x:c>
      <x:c r="L184" s="2" t="n">
        <x:f>SUM(IF(E2_diario!J352="adulta",1,0),IF(E2_diario!J394="adulta",1,0),IF(E2_diario!J856="adulta",1,0),IF(E2_diario!J898="adulta",1,0),IF(E2_diario!J1360="adulta",1,0),IF(E2_diario!J1402="adulta",1,0),IF(E2_diario!J1864="adulta",1,0),IF(E2_diario!J1906="adulta",1,0),IF(E2_diario!J2368="adulta",1,0),IF(E2_diario!J2410="adulta",1,0))</x:f>
        <x:v>9</x:v>
      </x:c>
      <x:c r="M184" s="2" t="n">
        <x:f>SUM(E2_diario!L352,E2_diario!L394,E2_diario!L856,E2_diario!L898,E2_diario!L1360,E2_diario!L1402,E2_diario!L1864,E2_diario!L1906,E2_diario!L2368,E2_diario!L2410)</x:f>
        <x:v>22</x:v>
      </x:c>
      <x:c r="N184" s="20" t="n">
        <x:f>G184/F184</x:f>
        <x:v>0.9</x:v>
      </x:c>
      <x:c r="O184" s="20" t="n">
        <x:f>IF(G184=0,0,M184/G184)</x:f>
        <x:v>2.4444444444444446</x:v>
      </x:c>
      <x:c r="P184" s="20" t="n">
        <x:f>N184*O184</x:f>
        <x:v>2.2</x:v>
      </x:c>
      <x:c r="Q184" s="20" t="n">
        <x:f>H184/F184</x:f>
        <x:v>0</x:v>
      </x:c>
      <x:c r="R184" s="20" t="n">
        <x:f>I184/F184</x:f>
        <x:v>0</x:v>
      </x:c>
      <x:c r="S184" s="20" t="n">
        <x:f>J184/F184</x:f>
        <x:v>0</x:v>
      </x:c>
      <x:c r="T184" s="20" t="n">
        <x:f>K184/F184</x:f>
        <x:v>0</x:v>
      </x:c>
      <x:c r="U184" s="20" t="n">
        <x:f>L184/F184</x:f>
        <x:v>0.9</x:v>
      </x:c>
      <x:c r="V184" s="20" t="n">
        <x:f>IF(L184=0,0,M184/L184)</x:f>
        <x:v>2.4444444444444446</x:v>
      </x:c>
      <x:c r="W184" s="20" t="n">
        <x:f>SUM(P$170:P184)</x:f>
        <x:v>8.100000000000001</x:v>
      </x:c>
      <x:c r="X184" s="2" t="n">
        <x:f>E184+Supuestos!$C$15</x:f>
        <x:v>15</x:v>
      </x:c>
      <x:c r="Y184" s="2" t="n">
        <x:f>F184-G184</x:f>
        <x:v>1</x:v>
      </x:c>
      <x:c r="Z184" s="2" t="str">
        <x:v>simulado_didactico</x:v>
      </x:c>
    </x:row>
    <x:row r="185" ht="19" customHeight="1">
      <x:c r="A185" s="2" t="str">
        <x:v>BB_L8</x:v>
      </x:c>
      <x:c r="B185" s="2" t="str">
        <x:v>BB</x:v>
      </x:c>
      <x:c r="C185" s="2" t="str">
        <x:v>Brevicoryne brassicae</x:v>
      </x:c>
      <x:c r="D185" s="2" t="str">
        <x:v>L8</x:v>
      </x:c>
      <x:c r="E185" s="2" t="n">
        <x:v>15</x:v>
      </x:c>
      <x:c r="F185" s="2" t="n">
        <x:f>COUNTA(E2_plantas!A10,E2_plantas!A11,E2_plantas!A22,E2_plantas!A23,E2_plantas!A34,E2_plantas!A35,E2_plantas!A46,E2_plantas!A47,E2_plantas!A58,E2_plantas!A59)</x:f>
        <x:v>10</x:v>
      </x:c>
      <x:c r="G185" s="2" t="n">
        <x:f>SUM(E2_diario!K353,E2_diario!K395,E2_diario!K857,E2_diario!K899,E2_diario!K1361,E2_diario!K1403,E2_diario!K1865,E2_diario!K1907,E2_diario!K2369,E2_diario!K2411)</x:f>
        <x:v>9</x:v>
      </x:c>
      <x:c r="H185" s="2" t="n">
        <x:f>SUM(IF(E2_diario!J353="N1",1,0),IF(E2_diario!J395="N1",1,0),IF(E2_diario!J857="N1",1,0),IF(E2_diario!J899="N1",1,0),IF(E2_diario!J1361="N1",1,0),IF(E2_diario!J1403="N1",1,0),IF(E2_diario!J1865="N1",1,0),IF(E2_diario!J1907="N1",1,0),IF(E2_diario!J2369="N1",1,0),IF(E2_diario!J2411="N1",1,0))</x:f>
        <x:v>0</x:v>
      </x:c>
      <x:c r="I185" s="2" t="n">
        <x:f>SUM(IF(E2_diario!J353="N2",1,0),IF(E2_diario!J395="N2",1,0),IF(E2_diario!J857="N2",1,0),IF(E2_diario!J899="N2",1,0),IF(E2_diario!J1361="N2",1,0),IF(E2_diario!J1403="N2",1,0),IF(E2_diario!J1865="N2",1,0),IF(E2_diario!J1907="N2",1,0),IF(E2_diario!J2369="N2",1,0),IF(E2_diario!J2411="N2",1,0))</x:f>
        <x:v>0</x:v>
      </x:c>
      <x:c r="J185" s="2" t="n">
        <x:f>SUM(IF(E2_diario!J353="N3",1,0),IF(E2_diario!J395="N3",1,0),IF(E2_diario!J857="N3",1,0),IF(E2_diario!J899="N3",1,0),IF(E2_diario!J1361="N3",1,0),IF(E2_diario!J1403="N3",1,0),IF(E2_diario!J1865="N3",1,0),IF(E2_diario!J1907="N3",1,0),IF(E2_diario!J2369="N3",1,0),IF(E2_diario!J2411="N3",1,0))</x:f>
        <x:v>0</x:v>
      </x:c>
      <x:c r="K185" s="2" t="n">
        <x:f>SUM(IF(E2_diario!J353="N4",1,0),IF(E2_diario!J395="N4",1,0),IF(E2_diario!J857="N4",1,0),IF(E2_diario!J899="N4",1,0),IF(E2_diario!J1361="N4",1,0),IF(E2_diario!J1403="N4",1,0),IF(E2_diario!J1865="N4",1,0),IF(E2_diario!J1907="N4",1,0),IF(E2_diario!J2369="N4",1,0),IF(E2_diario!J2411="N4",1,0))</x:f>
        <x:v>0</x:v>
      </x:c>
      <x:c r="L185" s="2" t="n">
        <x:f>SUM(IF(E2_diario!J353="adulta",1,0),IF(E2_diario!J395="adulta",1,0),IF(E2_diario!J857="adulta",1,0),IF(E2_diario!J899="adulta",1,0),IF(E2_diario!J1361="adulta",1,0),IF(E2_diario!J1403="adulta",1,0),IF(E2_diario!J1865="adulta",1,0),IF(E2_diario!J1907="adulta",1,0),IF(E2_diario!J2369="adulta",1,0),IF(E2_diario!J2411="adulta",1,0))</x:f>
        <x:v>9</x:v>
      </x:c>
      <x:c r="M185" s="2" t="n">
        <x:f>SUM(E2_diario!L353,E2_diario!L395,E2_diario!L857,E2_diario!L899,E2_diario!L1361,E2_diario!L1403,E2_diario!L1865,E2_diario!L1907,E2_diario!L2369,E2_diario!L2411)</x:f>
        <x:v>21</x:v>
      </x:c>
      <x:c r="N185" s="20" t="n">
        <x:f>G185/F185</x:f>
        <x:v>0.9</x:v>
      </x:c>
      <x:c r="O185" s="20" t="n">
        <x:f>IF(G185=0,0,M185/G185)</x:f>
        <x:v>2.3333333333333335</x:v>
      </x:c>
      <x:c r="P185" s="20" t="n">
        <x:f>N185*O185</x:f>
        <x:v>2.1</x:v>
      </x:c>
      <x:c r="Q185" s="20" t="n">
        <x:f>H185/F185</x:f>
        <x:v>0</x:v>
      </x:c>
      <x:c r="R185" s="20" t="n">
        <x:f>I185/F185</x:f>
        <x:v>0</x:v>
      </x:c>
      <x:c r="S185" s="20" t="n">
        <x:f>J185/F185</x:f>
        <x:v>0</x:v>
      </x:c>
      <x:c r="T185" s="20" t="n">
        <x:f>K185/F185</x:f>
        <x:v>0</x:v>
      </x:c>
      <x:c r="U185" s="20" t="n">
        <x:f>L185/F185</x:f>
        <x:v>0.9</x:v>
      </x:c>
      <x:c r="V185" s="20" t="n">
        <x:f>IF(L185=0,0,M185/L185)</x:f>
        <x:v>2.3333333333333335</x:v>
      </x:c>
      <x:c r="W185" s="20" t="n">
        <x:f>SUM(P$170:P185)</x:f>
        <x:v>10.200000000000001</x:v>
      </x:c>
      <x:c r="X185" s="2" t="n">
        <x:f>E185+Supuestos!$C$15</x:f>
        <x:v>16</x:v>
      </x:c>
      <x:c r="Y185" s="2" t="n">
        <x:f>F185-G185</x:f>
        <x:v>1</x:v>
      </x:c>
      <x:c r="Z185" s="2" t="str">
        <x:v>simulado_didactico</x:v>
      </x:c>
    </x:row>
    <x:row r="186" ht="19" customHeight="1">
      <x:c r="A186" s="2" t="str">
        <x:v>BB_L8</x:v>
      </x:c>
      <x:c r="B186" s="2" t="str">
        <x:v>BB</x:v>
      </x:c>
      <x:c r="C186" s="2" t="str">
        <x:v>Brevicoryne brassicae</x:v>
      </x:c>
      <x:c r="D186" s="2" t="str">
        <x:v>L8</x:v>
      </x:c>
      <x:c r="E186" s="2" t="n">
        <x:v>16</x:v>
      </x:c>
      <x:c r="F186" s="2" t="n">
        <x:f>COUNTA(E2_plantas!A10,E2_plantas!A11,E2_plantas!A22,E2_plantas!A23,E2_plantas!A34,E2_plantas!A35,E2_plantas!A46,E2_plantas!A47,E2_plantas!A58,E2_plantas!A59)</x:f>
        <x:v>10</x:v>
      </x:c>
      <x:c r="G186" s="2" t="n">
        <x:f>SUM(E2_diario!K354,E2_diario!K396,E2_diario!K858,E2_diario!K900,E2_diario!K1362,E2_diario!K1404,E2_diario!K1866,E2_diario!K1908,E2_diario!K2370,E2_diario!K2412)</x:f>
        <x:v>9</x:v>
      </x:c>
      <x:c r="H186" s="2" t="n">
        <x:f>SUM(IF(E2_diario!J354="N1",1,0),IF(E2_diario!J396="N1",1,0),IF(E2_diario!J858="N1",1,0),IF(E2_diario!J900="N1",1,0),IF(E2_diario!J1362="N1",1,0),IF(E2_diario!J1404="N1",1,0),IF(E2_diario!J1866="N1",1,0),IF(E2_diario!J1908="N1",1,0),IF(E2_diario!J2370="N1",1,0),IF(E2_diario!J2412="N1",1,0))</x:f>
        <x:v>0</x:v>
      </x:c>
      <x:c r="I186" s="2" t="n">
        <x:f>SUM(IF(E2_diario!J354="N2",1,0),IF(E2_diario!J396="N2",1,0),IF(E2_diario!J858="N2",1,0),IF(E2_diario!J900="N2",1,0),IF(E2_diario!J1362="N2",1,0),IF(E2_diario!J1404="N2",1,0),IF(E2_diario!J1866="N2",1,0),IF(E2_diario!J1908="N2",1,0),IF(E2_diario!J2370="N2",1,0),IF(E2_diario!J2412="N2",1,0))</x:f>
        <x:v>0</x:v>
      </x:c>
      <x:c r="J186" s="2" t="n">
        <x:f>SUM(IF(E2_diario!J354="N3",1,0),IF(E2_diario!J396="N3",1,0),IF(E2_diario!J858="N3",1,0),IF(E2_diario!J900="N3",1,0),IF(E2_diario!J1362="N3",1,0),IF(E2_diario!J1404="N3",1,0),IF(E2_diario!J1866="N3",1,0),IF(E2_diario!J1908="N3",1,0),IF(E2_diario!J2370="N3",1,0),IF(E2_diario!J2412="N3",1,0))</x:f>
        <x:v>0</x:v>
      </x:c>
      <x:c r="K186" s="2" t="n">
        <x:f>SUM(IF(E2_diario!J354="N4",1,0),IF(E2_diario!J396="N4",1,0),IF(E2_diario!J858="N4",1,0),IF(E2_diario!J900="N4",1,0),IF(E2_diario!J1362="N4",1,0),IF(E2_diario!J1404="N4",1,0),IF(E2_diario!J1866="N4",1,0),IF(E2_diario!J1908="N4",1,0),IF(E2_diario!J2370="N4",1,0),IF(E2_diario!J2412="N4",1,0))</x:f>
        <x:v>0</x:v>
      </x:c>
      <x:c r="L186" s="2" t="n">
        <x:f>SUM(IF(E2_diario!J354="adulta",1,0),IF(E2_diario!J396="adulta",1,0),IF(E2_diario!J858="adulta",1,0),IF(E2_diario!J900="adulta",1,0),IF(E2_diario!J1362="adulta",1,0),IF(E2_diario!J1404="adulta",1,0),IF(E2_diario!J1866="adulta",1,0),IF(E2_diario!J1908="adulta",1,0),IF(E2_diario!J2370="adulta",1,0),IF(E2_diario!J2412="adulta",1,0))</x:f>
        <x:v>9</x:v>
      </x:c>
      <x:c r="M186" s="2" t="n">
        <x:f>SUM(E2_diario!L354,E2_diario!L396,E2_diario!L858,E2_diario!L900,E2_diario!L1362,E2_diario!L1404,E2_diario!L1866,E2_diario!L1908,E2_diario!L2370,E2_diario!L2412)</x:f>
        <x:v>23</x:v>
      </x:c>
      <x:c r="N186" s="20" t="n">
        <x:f>G186/F186</x:f>
        <x:v>0.9</x:v>
      </x:c>
      <x:c r="O186" s="20" t="n">
        <x:f>IF(G186=0,0,M186/G186)</x:f>
        <x:v>2.5555555555555554</x:v>
      </x:c>
      <x:c r="P186" s="20" t="n">
        <x:f>N186*O186</x:f>
        <x:v>2.3</x:v>
      </x:c>
      <x:c r="Q186" s="20" t="n">
        <x:f>H186/F186</x:f>
        <x:v>0</x:v>
      </x:c>
      <x:c r="R186" s="20" t="n">
        <x:f>I186/F186</x:f>
        <x:v>0</x:v>
      </x:c>
      <x:c r="S186" s="20" t="n">
        <x:f>J186/F186</x:f>
        <x:v>0</x:v>
      </x:c>
      <x:c r="T186" s="20" t="n">
        <x:f>K186/F186</x:f>
        <x:v>0</x:v>
      </x:c>
      <x:c r="U186" s="20" t="n">
        <x:f>L186/F186</x:f>
        <x:v>0.9</x:v>
      </x:c>
      <x:c r="V186" s="20" t="n">
        <x:f>IF(L186=0,0,M186/L186)</x:f>
        <x:v>2.5555555555555554</x:v>
      </x:c>
      <x:c r="W186" s="20" t="n">
        <x:f>SUM(P$170:P186)</x:f>
        <x:v>12.5</x:v>
      </x:c>
      <x:c r="X186" s="2" t="n">
        <x:f>E186+Supuestos!$C$15</x:f>
        <x:v>17</x:v>
      </x:c>
      <x:c r="Y186" s="2" t="n">
        <x:f>F186-G186</x:f>
        <x:v>1</x:v>
      </x:c>
      <x:c r="Z186" s="2" t="str">
        <x:v>simulado_didactico</x:v>
      </x:c>
    </x:row>
    <x:row r="187" ht="19" customHeight="1">
      <x:c r="A187" s="2" t="str">
        <x:v>BB_L8</x:v>
      </x:c>
      <x:c r="B187" s="2" t="str">
        <x:v>BB</x:v>
      </x:c>
      <x:c r="C187" s="2" t="str">
        <x:v>Brevicoryne brassicae</x:v>
      </x:c>
      <x:c r="D187" s="2" t="str">
        <x:v>L8</x:v>
      </x:c>
      <x:c r="E187" s="2" t="n">
        <x:v>17</x:v>
      </x:c>
      <x:c r="F187" s="2" t="n">
        <x:f>COUNTA(E2_plantas!A10,E2_plantas!A11,E2_plantas!A22,E2_plantas!A23,E2_plantas!A34,E2_plantas!A35,E2_plantas!A46,E2_plantas!A47,E2_plantas!A58,E2_plantas!A59)</x:f>
        <x:v>10</x:v>
      </x:c>
      <x:c r="G187" s="2" t="n">
        <x:f>SUM(E2_diario!K355,E2_diario!K397,E2_diario!K859,E2_diario!K901,E2_diario!K1363,E2_diario!K1405,E2_diario!K1867,E2_diario!K1909,E2_diario!K2371,E2_diario!K2413)</x:f>
        <x:v>9</x:v>
      </x:c>
      <x:c r="H187" s="2" t="n">
        <x:f>SUM(IF(E2_diario!J355="N1",1,0),IF(E2_diario!J397="N1",1,0),IF(E2_diario!J859="N1",1,0),IF(E2_diario!J901="N1",1,0),IF(E2_diario!J1363="N1",1,0),IF(E2_diario!J1405="N1",1,0),IF(E2_diario!J1867="N1",1,0),IF(E2_diario!J1909="N1",1,0),IF(E2_diario!J2371="N1",1,0),IF(E2_diario!J2413="N1",1,0))</x:f>
        <x:v>0</x:v>
      </x:c>
      <x:c r="I187" s="2" t="n">
        <x:f>SUM(IF(E2_diario!J355="N2",1,0),IF(E2_diario!J397="N2",1,0),IF(E2_diario!J859="N2",1,0),IF(E2_diario!J901="N2",1,0),IF(E2_diario!J1363="N2",1,0),IF(E2_diario!J1405="N2",1,0),IF(E2_diario!J1867="N2",1,0),IF(E2_diario!J1909="N2",1,0),IF(E2_diario!J2371="N2",1,0),IF(E2_diario!J2413="N2",1,0))</x:f>
        <x:v>0</x:v>
      </x:c>
      <x:c r="J187" s="2" t="n">
        <x:f>SUM(IF(E2_diario!J355="N3",1,0),IF(E2_diario!J397="N3",1,0),IF(E2_diario!J859="N3",1,0),IF(E2_diario!J901="N3",1,0),IF(E2_diario!J1363="N3",1,0),IF(E2_diario!J1405="N3",1,0),IF(E2_diario!J1867="N3",1,0),IF(E2_diario!J1909="N3",1,0),IF(E2_diario!J2371="N3",1,0),IF(E2_diario!J2413="N3",1,0))</x:f>
        <x:v>0</x:v>
      </x:c>
      <x:c r="K187" s="2" t="n">
        <x:f>SUM(IF(E2_diario!J355="N4",1,0),IF(E2_diario!J397="N4",1,0),IF(E2_diario!J859="N4",1,0),IF(E2_diario!J901="N4",1,0),IF(E2_diario!J1363="N4",1,0),IF(E2_diario!J1405="N4",1,0),IF(E2_diario!J1867="N4",1,0),IF(E2_diario!J1909="N4",1,0),IF(E2_diario!J2371="N4",1,0),IF(E2_diario!J2413="N4",1,0))</x:f>
        <x:v>0</x:v>
      </x:c>
      <x:c r="L187" s="2" t="n">
        <x:f>SUM(IF(E2_diario!J355="adulta",1,0),IF(E2_diario!J397="adulta",1,0),IF(E2_diario!J859="adulta",1,0),IF(E2_diario!J901="adulta",1,0),IF(E2_diario!J1363="adulta",1,0),IF(E2_diario!J1405="adulta",1,0),IF(E2_diario!J1867="adulta",1,0),IF(E2_diario!J1909="adulta",1,0),IF(E2_diario!J2371="adulta",1,0),IF(E2_diario!J2413="adulta",1,0))</x:f>
        <x:v>9</x:v>
      </x:c>
      <x:c r="M187" s="2" t="n">
        <x:f>SUM(E2_diario!L355,E2_diario!L397,E2_diario!L859,E2_diario!L901,E2_diario!L1363,E2_diario!L1405,E2_diario!L1867,E2_diario!L1909,E2_diario!L2371,E2_diario!L2413)</x:f>
        <x:v>17</x:v>
      </x:c>
      <x:c r="N187" s="20" t="n">
        <x:f>G187/F187</x:f>
        <x:v>0.9</x:v>
      </x:c>
      <x:c r="O187" s="20" t="n">
        <x:f>IF(G187=0,0,M187/G187)</x:f>
        <x:v>1.8888888888888888</x:v>
      </x:c>
      <x:c r="P187" s="20" t="n">
        <x:f>N187*O187</x:f>
        <x:v>1.7</x:v>
      </x:c>
      <x:c r="Q187" s="20" t="n">
        <x:f>H187/F187</x:f>
        <x:v>0</x:v>
      </x:c>
      <x:c r="R187" s="20" t="n">
        <x:f>I187/F187</x:f>
        <x:v>0</x:v>
      </x:c>
      <x:c r="S187" s="20" t="n">
        <x:f>J187/F187</x:f>
        <x:v>0</x:v>
      </x:c>
      <x:c r="T187" s="20" t="n">
        <x:f>K187/F187</x:f>
        <x:v>0</x:v>
      </x:c>
      <x:c r="U187" s="20" t="n">
        <x:f>L187/F187</x:f>
        <x:v>0.9</x:v>
      </x:c>
      <x:c r="V187" s="20" t="n">
        <x:f>IF(L187=0,0,M187/L187)</x:f>
        <x:v>1.8888888888888888</x:v>
      </x:c>
      <x:c r="W187" s="20" t="n">
        <x:f>SUM(P$170:P187)</x:f>
        <x:v>14.2</x:v>
      </x:c>
      <x:c r="X187" s="2" t="n">
        <x:f>E187+Supuestos!$C$15</x:f>
        <x:v>18</x:v>
      </x:c>
      <x:c r="Y187" s="2" t="n">
        <x:f>F187-G187</x:f>
        <x:v>1</x:v>
      </x:c>
      <x:c r="Z187" s="2" t="str">
        <x:v>simulado_didactico</x:v>
      </x:c>
    </x:row>
    <x:row r="188" ht="19" customHeight="1">
      <x:c r="A188" s="2" t="str">
        <x:v>BB_L8</x:v>
      </x:c>
      <x:c r="B188" s="2" t="str">
        <x:v>BB</x:v>
      </x:c>
      <x:c r="C188" s="2" t="str">
        <x:v>Brevicoryne brassicae</x:v>
      </x:c>
      <x:c r="D188" s="2" t="str">
        <x:v>L8</x:v>
      </x:c>
      <x:c r="E188" s="2" t="n">
        <x:v>18</x:v>
      </x:c>
      <x:c r="F188" s="2" t="n">
        <x:f>COUNTA(E2_plantas!A10,E2_plantas!A11,E2_plantas!A22,E2_plantas!A23,E2_plantas!A34,E2_plantas!A35,E2_plantas!A46,E2_plantas!A47,E2_plantas!A58,E2_plantas!A59)</x:f>
        <x:v>10</x:v>
      </x:c>
      <x:c r="G188" s="2" t="n">
        <x:f>SUM(E2_diario!K356,E2_diario!K398,E2_diario!K860,E2_diario!K902,E2_diario!K1364,E2_diario!K1406,E2_diario!K1868,E2_diario!K1910,E2_diario!K2372,E2_diario!K2414)</x:f>
        <x:v>9</x:v>
      </x:c>
      <x:c r="H188" s="2" t="n">
        <x:f>SUM(IF(E2_diario!J356="N1",1,0),IF(E2_diario!J398="N1",1,0),IF(E2_diario!J860="N1",1,0),IF(E2_diario!J902="N1",1,0),IF(E2_diario!J1364="N1",1,0),IF(E2_diario!J1406="N1",1,0),IF(E2_diario!J1868="N1",1,0),IF(E2_diario!J1910="N1",1,0),IF(E2_diario!J2372="N1",1,0),IF(E2_diario!J2414="N1",1,0))</x:f>
        <x:v>0</x:v>
      </x:c>
      <x:c r="I188" s="2" t="n">
        <x:f>SUM(IF(E2_diario!J356="N2",1,0),IF(E2_diario!J398="N2",1,0),IF(E2_diario!J860="N2",1,0),IF(E2_diario!J902="N2",1,0),IF(E2_diario!J1364="N2",1,0),IF(E2_diario!J1406="N2",1,0),IF(E2_diario!J1868="N2",1,0),IF(E2_diario!J1910="N2",1,0),IF(E2_diario!J2372="N2",1,0),IF(E2_diario!J2414="N2",1,0))</x:f>
        <x:v>0</x:v>
      </x:c>
      <x:c r="J188" s="2" t="n">
        <x:f>SUM(IF(E2_diario!J356="N3",1,0),IF(E2_diario!J398="N3",1,0),IF(E2_diario!J860="N3",1,0),IF(E2_diario!J902="N3",1,0),IF(E2_diario!J1364="N3",1,0),IF(E2_diario!J1406="N3",1,0),IF(E2_diario!J1868="N3",1,0),IF(E2_diario!J1910="N3",1,0),IF(E2_diario!J2372="N3",1,0),IF(E2_diario!J2414="N3",1,0))</x:f>
        <x:v>0</x:v>
      </x:c>
      <x:c r="K188" s="2" t="n">
        <x:f>SUM(IF(E2_diario!J356="N4",1,0),IF(E2_diario!J398="N4",1,0),IF(E2_diario!J860="N4",1,0),IF(E2_diario!J902="N4",1,0),IF(E2_diario!J1364="N4",1,0),IF(E2_diario!J1406="N4",1,0),IF(E2_diario!J1868="N4",1,0),IF(E2_diario!J1910="N4",1,0),IF(E2_diario!J2372="N4",1,0),IF(E2_diario!J2414="N4",1,0))</x:f>
        <x:v>0</x:v>
      </x:c>
      <x:c r="L188" s="2" t="n">
        <x:f>SUM(IF(E2_diario!J356="adulta",1,0),IF(E2_diario!J398="adulta",1,0),IF(E2_diario!J860="adulta",1,0),IF(E2_diario!J902="adulta",1,0),IF(E2_diario!J1364="adulta",1,0),IF(E2_diario!J1406="adulta",1,0),IF(E2_diario!J1868="adulta",1,0),IF(E2_diario!J1910="adulta",1,0),IF(E2_diario!J2372="adulta",1,0),IF(E2_diario!J2414="adulta",1,0))</x:f>
        <x:v>9</x:v>
      </x:c>
      <x:c r="M188" s="2" t="n">
        <x:f>SUM(E2_diario!L356,E2_diario!L398,E2_diario!L860,E2_diario!L902,E2_diario!L1364,E2_diario!L1406,E2_diario!L1868,E2_diario!L1910,E2_diario!L2372,E2_diario!L2414)</x:f>
        <x:v>16</x:v>
      </x:c>
      <x:c r="N188" s="20" t="n">
        <x:f>G188/F188</x:f>
        <x:v>0.9</x:v>
      </x:c>
      <x:c r="O188" s="20" t="n">
        <x:f>IF(G188=0,0,M188/G188)</x:f>
        <x:v>1.7777777777777777</x:v>
      </x:c>
      <x:c r="P188" s="20" t="n">
        <x:f>N188*O188</x:f>
        <x:v>1.5999999999999999</x:v>
      </x:c>
      <x:c r="Q188" s="20" t="n">
        <x:f>H188/F188</x:f>
        <x:v>0</x:v>
      </x:c>
      <x:c r="R188" s="20" t="n">
        <x:f>I188/F188</x:f>
        <x:v>0</x:v>
      </x:c>
      <x:c r="S188" s="20" t="n">
        <x:f>J188/F188</x:f>
        <x:v>0</x:v>
      </x:c>
      <x:c r="T188" s="20" t="n">
        <x:f>K188/F188</x:f>
        <x:v>0</x:v>
      </x:c>
      <x:c r="U188" s="20" t="n">
        <x:f>L188/F188</x:f>
        <x:v>0.9</x:v>
      </x:c>
      <x:c r="V188" s="20" t="n">
        <x:f>IF(L188=0,0,M188/L188)</x:f>
        <x:v>1.7777777777777777</x:v>
      </x:c>
      <x:c r="W188" s="20" t="n">
        <x:f>SUM(P$170:P188)</x:f>
        <x:v>15.799999999999999</x:v>
      </x:c>
      <x:c r="X188" s="2" t="n">
        <x:f>E188+Supuestos!$C$15</x:f>
        <x:v>19</x:v>
      </x:c>
      <x:c r="Y188" s="2" t="n">
        <x:f>F188-G188</x:f>
        <x:v>1</x:v>
      </x:c>
      <x:c r="Z188" s="2" t="str">
        <x:v>simulado_didactico</x:v>
      </x:c>
    </x:row>
    <x:row r="189" ht="19" customHeight="1">
      <x:c r="A189" s="2" t="str">
        <x:v>BB_L8</x:v>
      </x:c>
      <x:c r="B189" s="2" t="str">
        <x:v>BB</x:v>
      </x:c>
      <x:c r="C189" s="2" t="str">
        <x:v>Brevicoryne brassicae</x:v>
      </x:c>
      <x:c r="D189" s="2" t="str">
        <x:v>L8</x:v>
      </x:c>
      <x:c r="E189" s="2" t="n">
        <x:v>19</x:v>
      </x:c>
      <x:c r="F189" s="2" t="n">
        <x:f>COUNTA(E2_plantas!A10,E2_plantas!A11,E2_plantas!A22,E2_plantas!A23,E2_plantas!A34,E2_plantas!A35,E2_plantas!A46,E2_plantas!A47,E2_plantas!A58,E2_plantas!A59)</x:f>
        <x:v>10</x:v>
      </x:c>
      <x:c r="G189" s="2" t="n">
        <x:f>SUM(E2_diario!K357,E2_diario!K399,E2_diario!K861,E2_diario!K903,E2_diario!K1365,E2_diario!K1407,E2_diario!K1869,E2_diario!K1911,E2_diario!K2373,E2_diario!K2415)</x:f>
        <x:v>9</x:v>
      </x:c>
      <x:c r="H189" s="2" t="n">
        <x:f>SUM(IF(E2_diario!J357="N1",1,0),IF(E2_diario!J399="N1",1,0),IF(E2_diario!J861="N1",1,0),IF(E2_diario!J903="N1",1,0),IF(E2_diario!J1365="N1",1,0),IF(E2_diario!J1407="N1",1,0),IF(E2_diario!J1869="N1",1,0),IF(E2_diario!J1911="N1",1,0),IF(E2_diario!J2373="N1",1,0),IF(E2_diario!J2415="N1",1,0))</x:f>
        <x:v>0</x:v>
      </x:c>
      <x:c r="I189" s="2" t="n">
        <x:f>SUM(IF(E2_diario!J357="N2",1,0),IF(E2_diario!J399="N2",1,0),IF(E2_diario!J861="N2",1,0),IF(E2_diario!J903="N2",1,0),IF(E2_diario!J1365="N2",1,0),IF(E2_diario!J1407="N2",1,0),IF(E2_diario!J1869="N2",1,0),IF(E2_diario!J1911="N2",1,0),IF(E2_diario!J2373="N2",1,0),IF(E2_diario!J2415="N2",1,0))</x:f>
        <x:v>0</x:v>
      </x:c>
      <x:c r="J189" s="2" t="n">
        <x:f>SUM(IF(E2_diario!J357="N3",1,0),IF(E2_diario!J399="N3",1,0),IF(E2_diario!J861="N3",1,0),IF(E2_diario!J903="N3",1,0),IF(E2_diario!J1365="N3",1,0),IF(E2_diario!J1407="N3",1,0),IF(E2_diario!J1869="N3",1,0),IF(E2_diario!J1911="N3",1,0),IF(E2_diario!J2373="N3",1,0),IF(E2_diario!J2415="N3",1,0))</x:f>
        <x:v>0</x:v>
      </x:c>
      <x:c r="K189" s="2" t="n">
        <x:f>SUM(IF(E2_diario!J357="N4",1,0),IF(E2_diario!J399="N4",1,0),IF(E2_diario!J861="N4",1,0),IF(E2_diario!J903="N4",1,0),IF(E2_diario!J1365="N4",1,0),IF(E2_diario!J1407="N4",1,0),IF(E2_diario!J1869="N4",1,0),IF(E2_diario!J1911="N4",1,0),IF(E2_diario!J2373="N4",1,0),IF(E2_diario!J2415="N4",1,0))</x:f>
        <x:v>0</x:v>
      </x:c>
      <x:c r="L189" s="2" t="n">
        <x:f>SUM(IF(E2_diario!J357="adulta",1,0),IF(E2_diario!J399="adulta",1,0),IF(E2_diario!J861="adulta",1,0),IF(E2_diario!J903="adulta",1,0),IF(E2_diario!J1365="adulta",1,0),IF(E2_diario!J1407="adulta",1,0),IF(E2_diario!J1869="adulta",1,0),IF(E2_diario!J1911="adulta",1,0),IF(E2_diario!J2373="adulta",1,0),IF(E2_diario!J2415="adulta",1,0))</x:f>
        <x:v>9</x:v>
      </x:c>
      <x:c r="M189" s="2" t="n">
        <x:f>SUM(E2_diario!L357,E2_diario!L399,E2_diario!L861,E2_diario!L903,E2_diario!L1365,E2_diario!L1407,E2_diario!L1869,E2_diario!L1911,E2_diario!L2373,E2_diario!L2415)</x:f>
        <x:v>12</x:v>
      </x:c>
      <x:c r="N189" s="20" t="n">
        <x:f>G189/F189</x:f>
        <x:v>0.9</x:v>
      </x:c>
      <x:c r="O189" s="20" t="n">
        <x:f>IF(G189=0,0,M189/G189)</x:f>
        <x:v>1.3333333333333333</x:v>
      </x:c>
      <x:c r="P189" s="20" t="n">
        <x:f>N189*O189</x:f>
        <x:v>1.2</x:v>
      </x:c>
      <x:c r="Q189" s="20" t="n">
        <x:f>H189/F189</x:f>
        <x:v>0</x:v>
      </x:c>
      <x:c r="R189" s="20" t="n">
        <x:f>I189/F189</x:f>
        <x:v>0</x:v>
      </x:c>
      <x:c r="S189" s="20" t="n">
        <x:f>J189/F189</x:f>
        <x:v>0</x:v>
      </x:c>
      <x:c r="T189" s="20" t="n">
        <x:f>K189/F189</x:f>
        <x:v>0</x:v>
      </x:c>
      <x:c r="U189" s="20" t="n">
        <x:f>L189/F189</x:f>
        <x:v>0.9</x:v>
      </x:c>
      <x:c r="V189" s="20" t="n">
        <x:f>IF(L189=0,0,M189/L189)</x:f>
        <x:v>1.3333333333333333</x:v>
      </x:c>
      <x:c r="W189" s="20" t="n">
        <x:f>SUM(P$170:P189)</x:f>
        <x:v>17</x:v>
      </x:c>
      <x:c r="X189" s="2" t="n">
        <x:f>E189+Supuestos!$C$15</x:f>
        <x:v>20</x:v>
      </x:c>
      <x:c r="Y189" s="2" t="n">
        <x:f>F189-G189</x:f>
        <x:v>1</x:v>
      </x:c>
      <x:c r="Z189" s="2" t="str">
        <x:v>simulado_didactico</x:v>
      </x:c>
    </x:row>
    <x:row r="190" ht="19" customHeight="1">
      <x:c r="A190" s="2" t="str">
        <x:v>BB_L8</x:v>
      </x:c>
      <x:c r="B190" s="2" t="str">
        <x:v>BB</x:v>
      </x:c>
      <x:c r="C190" s="2" t="str">
        <x:v>Brevicoryne brassicae</x:v>
      </x:c>
      <x:c r="D190" s="2" t="str">
        <x:v>L8</x:v>
      </x:c>
      <x:c r="E190" s="2" t="n">
        <x:v>20</x:v>
      </x:c>
      <x:c r="F190" s="2" t="n">
        <x:f>COUNTA(E2_plantas!A10,E2_plantas!A11,E2_plantas!A22,E2_plantas!A23,E2_plantas!A34,E2_plantas!A35,E2_plantas!A46,E2_plantas!A47,E2_plantas!A58,E2_plantas!A59)</x:f>
        <x:v>10</x:v>
      </x:c>
      <x:c r="G190" s="2" t="n">
        <x:f>SUM(E2_diario!K358,E2_diario!K400,E2_diario!K862,E2_diario!K904,E2_diario!K1366,E2_diario!K1408,E2_diario!K1870,E2_diario!K1912,E2_diario!K2374,E2_diario!K2416)</x:f>
        <x:v>9</x:v>
      </x:c>
      <x:c r="H190" s="2" t="n">
        <x:f>SUM(IF(E2_diario!J358="N1",1,0),IF(E2_diario!J400="N1",1,0),IF(E2_diario!J862="N1",1,0),IF(E2_diario!J904="N1",1,0),IF(E2_diario!J1366="N1",1,0),IF(E2_diario!J1408="N1",1,0),IF(E2_diario!J1870="N1",1,0),IF(E2_diario!J1912="N1",1,0),IF(E2_diario!J2374="N1",1,0),IF(E2_diario!J2416="N1",1,0))</x:f>
        <x:v>0</x:v>
      </x:c>
      <x:c r="I190" s="2" t="n">
        <x:f>SUM(IF(E2_diario!J358="N2",1,0),IF(E2_diario!J400="N2",1,0),IF(E2_diario!J862="N2",1,0),IF(E2_diario!J904="N2",1,0),IF(E2_diario!J1366="N2",1,0),IF(E2_diario!J1408="N2",1,0),IF(E2_diario!J1870="N2",1,0),IF(E2_diario!J1912="N2",1,0),IF(E2_diario!J2374="N2",1,0),IF(E2_diario!J2416="N2",1,0))</x:f>
        <x:v>0</x:v>
      </x:c>
      <x:c r="J190" s="2" t="n">
        <x:f>SUM(IF(E2_diario!J358="N3",1,0),IF(E2_diario!J400="N3",1,0),IF(E2_diario!J862="N3",1,0),IF(E2_diario!J904="N3",1,0),IF(E2_diario!J1366="N3",1,0),IF(E2_diario!J1408="N3",1,0),IF(E2_diario!J1870="N3",1,0),IF(E2_diario!J1912="N3",1,0),IF(E2_diario!J2374="N3",1,0),IF(E2_diario!J2416="N3",1,0))</x:f>
        <x:v>0</x:v>
      </x:c>
      <x:c r="K190" s="2" t="n">
        <x:f>SUM(IF(E2_diario!J358="N4",1,0),IF(E2_diario!J400="N4",1,0),IF(E2_diario!J862="N4",1,0),IF(E2_diario!J904="N4",1,0),IF(E2_diario!J1366="N4",1,0),IF(E2_diario!J1408="N4",1,0),IF(E2_diario!J1870="N4",1,0),IF(E2_diario!J1912="N4",1,0),IF(E2_diario!J2374="N4",1,0),IF(E2_diario!J2416="N4",1,0))</x:f>
        <x:v>0</x:v>
      </x:c>
      <x:c r="L190" s="2" t="n">
        <x:f>SUM(IF(E2_diario!J358="adulta",1,0),IF(E2_diario!J400="adulta",1,0),IF(E2_diario!J862="adulta",1,0),IF(E2_diario!J904="adulta",1,0),IF(E2_diario!J1366="adulta",1,0),IF(E2_diario!J1408="adulta",1,0),IF(E2_diario!J1870="adulta",1,0),IF(E2_diario!J1912="adulta",1,0),IF(E2_diario!J2374="adulta",1,0),IF(E2_diario!J2416="adulta",1,0))</x:f>
        <x:v>9</x:v>
      </x:c>
      <x:c r="M190" s="2" t="n">
        <x:f>SUM(E2_diario!L358,E2_diario!L400,E2_diario!L862,E2_diario!L904,E2_diario!L1366,E2_diario!L1408,E2_diario!L1870,E2_diario!L1912,E2_diario!L2374,E2_diario!L2416)</x:f>
        <x:v>12</x:v>
      </x:c>
      <x:c r="N190" s="20" t="n">
        <x:f>G190/F190</x:f>
        <x:v>0.9</x:v>
      </x:c>
      <x:c r="O190" s="20" t="n">
        <x:f>IF(G190=0,0,M190/G190)</x:f>
        <x:v>1.3333333333333333</x:v>
      </x:c>
      <x:c r="P190" s="20" t="n">
        <x:f>N190*O190</x:f>
        <x:v>1.2</x:v>
      </x:c>
      <x:c r="Q190" s="20" t="n">
        <x:f>H190/F190</x:f>
        <x:v>0</x:v>
      </x:c>
      <x:c r="R190" s="20" t="n">
        <x:f>I190/F190</x:f>
        <x:v>0</x:v>
      </x:c>
      <x:c r="S190" s="20" t="n">
        <x:f>J190/F190</x:f>
        <x:v>0</x:v>
      </x:c>
      <x:c r="T190" s="20" t="n">
        <x:f>K190/F190</x:f>
        <x:v>0</x:v>
      </x:c>
      <x:c r="U190" s="20" t="n">
        <x:f>L190/F190</x:f>
        <x:v>0.9</x:v>
      </x:c>
      <x:c r="V190" s="20" t="n">
        <x:f>IF(L190=0,0,M190/L190)</x:f>
        <x:v>1.3333333333333333</x:v>
      </x:c>
      <x:c r="W190" s="20" t="n">
        <x:f>SUM(P$170:P190)</x:f>
        <x:v>18.2</x:v>
      </x:c>
      <x:c r="X190" s="2" t="n">
        <x:f>E190+Supuestos!$C$15</x:f>
        <x:v>21</x:v>
      </x:c>
      <x:c r="Y190" s="2" t="n">
        <x:f>F190-G190</x:f>
        <x:v>1</x:v>
      </x:c>
      <x:c r="Z190" s="2" t="str">
        <x:v>simulado_didactico</x:v>
      </x:c>
    </x:row>
    <x:row r="191" ht="19" customHeight="1">
      <x:c r="A191" s="2" t="str">
        <x:v>BB_L8</x:v>
      </x:c>
      <x:c r="B191" s="2" t="str">
        <x:v>BB</x:v>
      </x:c>
      <x:c r="C191" s="2" t="str">
        <x:v>Brevicoryne brassicae</x:v>
      </x:c>
      <x:c r="D191" s="2" t="str">
        <x:v>L8</x:v>
      </x:c>
      <x:c r="E191" s="2" t="n">
        <x:v>21</x:v>
      </x:c>
      <x:c r="F191" s="2" t="n">
        <x:f>COUNTA(E2_plantas!A10,E2_plantas!A11,E2_plantas!A22,E2_plantas!A23,E2_plantas!A34,E2_plantas!A35,E2_plantas!A46,E2_plantas!A47,E2_plantas!A58,E2_plantas!A59)</x:f>
        <x:v>10</x:v>
      </x:c>
      <x:c r="G191" s="2" t="n">
        <x:f>SUM(E2_diario!K359,E2_diario!K401,E2_diario!K863,E2_diario!K905,E2_diario!K1367,E2_diario!K1409,E2_diario!K1871,E2_diario!K1913,E2_diario!K2375,E2_diario!K2417)</x:f>
        <x:v>9</x:v>
      </x:c>
      <x:c r="H191" s="2" t="n">
        <x:f>SUM(IF(E2_diario!J359="N1",1,0),IF(E2_diario!J401="N1",1,0),IF(E2_diario!J863="N1",1,0),IF(E2_diario!J905="N1",1,0),IF(E2_diario!J1367="N1",1,0),IF(E2_diario!J1409="N1",1,0),IF(E2_diario!J1871="N1",1,0),IF(E2_diario!J1913="N1",1,0),IF(E2_diario!J2375="N1",1,0),IF(E2_diario!J2417="N1",1,0))</x:f>
        <x:v>0</x:v>
      </x:c>
      <x:c r="I191" s="2" t="n">
        <x:f>SUM(IF(E2_diario!J359="N2",1,0),IF(E2_diario!J401="N2",1,0),IF(E2_diario!J863="N2",1,0),IF(E2_diario!J905="N2",1,0),IF(E2_diario!J1367="N2",1,0),IF(E2_diario!J1409="N2",1,0),IF(E2_diario!J1871="N2",1,0),IF(E2_diario!J1913="N2",1,0),IF(E2_diario!J2375="N2",1,0),IF(E2_diario!J2417="N2",1,0))</x:f>
        <x:v>0</x:v>
      </x:c>
      <x:c r="J191" s="2" t="n">
        <x:f>SUM(IF(E2_diario!J359="N3",1,0),IF(E2_diario!J401="N3",1,0),IF(E2_diario!J863="N3",1,0),IF(E2_diario!J905="N3",1,0),IF(E2_diario!J1367="N3",1,0),IF(E2_diario!J1409="N3",1,0),IF(E2_diario!J1871="N3",1,0),IF(E2_diario!J1913="N3",1,0),IF(E2_diario!J2375="N3",1,0),IF(E2_diario!J2417="N3",1,0))</x:f>
        <x:v>0</x:v>
      </x:c>
      <x:c r="K191" s="2" t="n">
        <x:f>SUM(IF(E2_diario!J359="N4",1,0),IF(E2_diario!J401="N4",1,0),IF(E2_diario!J863="N4",1,0),IF(E2_diario!J905="N4",1,0),IF(E2_diario!J1367="N4",1,0),IF(E2_diario!J1409="N4",1,0),IF(E2_diario!J1871="N4",1,0),IF(E2_diario!J1913="N4",1,0),IF(E2_diario!J2375="N4",1,0),IF(E2_diario!J2417="N4",1,0))</x:f>
        <x:v>0</x:v>
      </x:c>
      <x:c r="L191" s="2" t="n">
        <x:f>SUM(IF(E2_diario!J359="adulta",1,0),IF(E2_diario!J401="adulta",1,0),IF(E2_diario!J863="adulta",1,0),IF(E2_diario!J905="adulta",1,0),IF(E2_diario!J1367="adulta",1,0),IF(E2_diario!J1409="adulta",1,0),IF(E2_diario!J1871="adulta",1,0),IF(E2_diario!J1913="adulta",1,0),IF(E2_diario!J2375="adulta",1,0),IF(E2_diario!J2417="adulta",1,0))</x:f>
        <x:v>9</x:v>
      </x:c>
      <x:c r="M191" s="2" t="n">
        <x:f>SUM(E2_diario!L359,E2_diario!L401,E2_diario!L863,E2_diario!L905,E2_diario!L1367,E2_diario!L1409,E2_diario!L1871,E2_diario!L1913,E2_diario!L2375,E2_diario!L2417)</x:f>
        <x:v>8</x:v>
      </x:c>
      <x:c r="N191" s="20" t="n">
        <x:f>G191/F191</x:f>
        <x:v>0.9</x:v>
      </x:c>
      <x:c r="O191" s="20" t="n">
        <x:f>IF(G191=0,0,M191/G191)</x:f>
        <x:v>0.8888888888888888</x:v>
      </x:c>
      <x:c r="P191" s="20" t="n">
        <x:f>N191*O191</x:f>
        <x:v>0.7999999999999999</x:v>
      </x:c>
      <x:c r="Q191" s="20" t="n">
        <x:f>H191/F191</x:f>
        <x:v>0</x:v>
      </x:c>
      <x:c r="R191" s="20" t="n">
        <x:f>I191/F191</x:f>
        <x:v>0</x:v>
      </x:c>
      <x:c r="S191" s="20" t="n">
        <x:f>J191/F191</x:f>
        <x:v>0</x:v>
      </x:c>
      <x:c r="T191" s="20" t="n">
        <x:f>K191/F191</x:f>
        <x:v>0</x:v>
      </x:c>
      <x:c r="U191" s="20" t="n">
        <x:f>L191/F191</x:f>
        <x:v>0.9</x:v>
      </x:c>
      <x:c r="V191" s="20" t="n">
        <x:f>IF(L191=0,0,M191/L191)</x:f>
        <x:v>0.8888888888888888</x:v>
      </x:c>
      <x:c r="W191" s="20" t="n">
        <x:f>SUM(P$170:P191)</x:f>
        <x:v>19</x:v>
      </x:c>
      <x:c r="X191" s="2" t="n">
        <x:f>E191+Supuestos!$C$15</x:f>
        <x:v>22</x:v>
      </x:c>
      <x:c r="Y191" s="2" t="n">
        <x:f>F191-G191</x:f>
        <x:v>1</x:v>
      </x:c>
      <x:c r="Z191" s="2" t="str">
        <x:v>simulado_didactico</x:v>
      </x:c>
    </x:row>
    <x:row r="192" ht="19" customHeight="1">
      <x:c r="A192" s="2" t="str">
        <x:v>BB_L8</x:v>
      </x:c>
      <x:c r="B192" s="2" t="str">
        <x:v>BB</x:v>
      </x:c>
      <x:c r="C192" s="2" t="str">
        <x:v>Brevicoryne brassicae</x:v>
      </x:c>
      <x:c r="D192" s="2" t="str">
        <x:v>L8</x:v>
      </x:c>
      <x:c r="E192" s="2" t="n">
        <x:v>22</x:v>
      </x:c>
      <x:c r="F192" s="2" t="n">
        <x:f>COUNTA(E2_plantas!A10,E2_plantas!A11,E2_plantas!A22,E2_plantas!A23,E2_plantas!A34,E2_plantas!A35,E2_plantas!A46,E2_plantas!A47,E2_plantas!A58,E2_plantas!A59)</x:f>
        <x:v>10</x:v>
      </x:c>
      <x:c r="G192" s="2" t="n">
        <x:f>SUM(E2_diario!K360,E2_diario!K402,E2_diario!K864,E2_diario!K906,E2_diario!K1368,E2_diario!K1410,E2_diario!K1872,E2_diario!K1914,E2_diario!K2376,E2_diario!K2418)</x:f>
        <x:v>9</x:v>
      </x:c>
      <x:c r="H192" s="2" t="n">
        <x:f>SUM(IF(E2_diario!J360="N1",1,0),IF(E2_diario!J402="N1",1,0),IF(E2_diario!J864="N1",1,0),IF(E2_diario!J906="N1",1,0),IF(E2_diario!J1368="N1",1,0),IF(E2_diario!J1410="N1",1,0),IF(E2_diario!J1872="N1",1,0),IF(E2_diario!J1914="N1",1,0),IF(E2_diario!J2376="N1",1,0),IF(E2_diario!J2418="N1",1,0))</x:f>
        <x:v>0</x:v>
      </x:c>
      <x:c r="I192" s="2" t="n">
        <x:f>SUM(IF(E2_diario!J360="N2",1,0),IF(E2_diario!J402="N2",1,0),IF(E2_diario!J864="N2",1,0),IF(E2_diario!J906="N2",1,0),IF(E2_diario!J1368="N2",1,0),IF(E2_diario!J1410="N2",1,0),IF(E2_diario!J1872="N2",1,0),IF(E2_diario!J1914="N2",1,0),IF(E2_diario!J2376="N2",1,0),IF(E2_diario!J2418="N2",1,0))</x:f>
        <x:v>0</x:v>
      </x:c>
      <x:c r="J192" s="2" t="n">
        <x:f>SUM(IF(E2_diario!J360="N3",1,0),IF(E2_diario!J402="N3",1,0),IF(E2_diario!J864="N3",1,0),IF(E2_diario!J906="N3",1,0),IF(E2_diario!J1368="N3",1,0),IF(E2_diario!J1410="N3",1,0),IF(E2_diario!J1872="N3",1,0),IF(E2_diario!J1914="N3",1,0),IF(E2_diario!J2376="N3",1,0),IF(E2_diario!J2418="N3",1,0))</x:f>
        <x:v>0</x:v>
      </x:c>
      <x:c r="K192" s="2" t="n">
        <x:f>SUM(IF(E2_diario!J360="N4",1,0),IF(E2_diario!J402="N4",1,0),IF(E2_diario!J864="N4",1,0),IF(E2_diario!J906="N4",1,0),IF(E2_diario!J1368="N4",1,0),IF(E2_diario!J1410="N4",1,0),IF(E2_diario!J1872="N4",1,0),IF(E2_diario!J1914="N4",1,0),IF(E2_diario!J2376="N4",1,0),IF(E2_diario!J2418="N4",1,0))</x:f>
        <x:v>0</x:v>
      </x:c>
      <x:c r="L192" s="2" t="n">
        <x:f>SUM(IF(E2_diario!J360="adulta",1,0),IF(E2_diario!J402="adulta",1,0),IF(E2_diario!J864="adulta",1,0),IF(E2_diario!J906="adulta",1,0),IF(E2_diario!J1368="adulta",1,0),IF(E2_diario!J1410="adulta",1,0),IF(E2_diario!J1872="adulta",1,0),IF(E2_diario!J1914="adulta",1,0),IF(E2_diario!J2376="adulta",1,0),IF(E2_diario!J2418="adulta",1,0))</x:f>
        <x:v>9</x:v>
      </x:c>
      <x:c r="M192" s="2" t="n">
        <x:f>SUM(E2_diario!L360,E2_diario!L402,E2_diario!L864,E2_diario!L906,E2_diario!L1368,E2_diario!L1410,E2_diario!L1872,E2_diario!L1914,E2_diario!L2376,E2_diario!L2418)</x:f>
        <x:v>15</x:v>
      </x:c>
      <x:c r="N192" s="20" t="n">
        <x:f>G192/F192</x:f>
        <x:v>0.9</x:v>
      </x:c>
      <x:c r="O192" s="20" t="n">
        <x:f>IF(G192=0,0,M192/G192)</x:f>
        <x:v>1.6666666666666667</x:v>
      </x:c>
      <x:c r="P192" s="20" t="n">
        <x:f>N192*O192</x:f>
        <x:v>1.5</x:v>
      </x:c>
      <x:c r="Q192" s="20" t="n">
        <x:f>H192/F192</x:f>
        <x:v>0</x:v>
      </x:c>
      <x:c r="R192" s="20" t="n">
        <x:f>I192/F192</x:f>
        <x:v>0</x:v>
      </x:c>
      <x:c r="S192" s="20" t="n">
        <x:f>J192/F192</x:f>
        <x:v>0</x:v>
      </x:c>
      <x:c r="T192" s="20" t="n">
        <x:f>K192/F192</x:f>
        <x:v>0</x:v>
      </x:c>
      <x:c r="U192" s="20" t="n">
        <x:f>L192/F192</x:f>
        <x:v>0.9</x:v>
      </x:c>
      <x:c r="V192" s="20" t="n">
        <x:f>IF(L192=0,0,M192/L192)</x:f>
        <x:v>1.6666666666666667</x:v>
      </x:c>
      <x:c r="W192" s="20" t="n">
        <x:f>SUM(P$170:P192)</x:f>
        <x:v>20.5</x:v>
      </x:c>
      <x:c r="X192" s="2" t="n">
        <x:f>E192+Supuestos!$C$15</x:f>
        <x:v>23</x:v>
      </x:c>
      <x:c r="Y192" s="2" t="n">
        <x:f>F192-G192</x:f>
        <x:v>1</x:v>
      </x:c>
      <x:c r="Z192" s="2" t="str">
        <x:v>simulado_didactico</x:v>
      </x:c>
    </x:row>
    <x:row r="193" ht="19" customHeight="1">
      <x:c r="A193" s="2" t="str">
        <x:v>BB_L8</x:v>
      </x:c>
      <x:c r="B193" s="2" t="str">
        <x:v>BB</x:v>
      </x:c>
      <x:c r="C193" s="2" t="str">
        <x:v>Brevicoryne brassicae</x:v>
      </x:c>
      <x:c r="D193" s="2" t="str">
        <x:v>L8</x:v>
      </x:c>
      <x:c r="E193" s="2" t="n">
        <x:v>23</x:v>
      </x:c>
      <x:c r="F193" s="2" t="n">
        <x:f>COUNTA(E2_plantas!A10,E2_plantas!A11,E2_plantas!A22,E2_plantas!A23,E2_plantas!A34,E2_plantas!A35,E2_plantas!A46,E2_plantas!A47,E2_plantas!A58,E2_plantas!A59)</x:f>
        <x:v>10</x:v>
      </x:c>
      <x:c r="G193" s="2" t="n">
        <x:f>SUM(E2_diario!K361,E2_diario!K403,E2_diario!K865,E2_diario!K907,E2_diario!K1369,E2_diario!K1411,E2_diario!K1873,E2_diario!K1915,E2_diario!K2377,E2_diario!K2419)</x:f>
        <x:v>9</x:v>
      </x:c>
      <x:c r="H193" s="2" t="n">
        <x:f>SUM(IF(E2_diario!J361="N1",1,0),IF(E2_diario!J403="N1",1,0),IF(E2_diario!J865="N1",1,0),IF(E2_diario!J907="N1",1,0),IF(E2_diario!J1369="N1",1,0),IF(E2_diario!J1411="N1",1,0),IF(E2_diario!J1873="N1",1,0),IF(E2_diario!J1915="N1",1,0),IF(E2_diario!J2377="N1",1,0),IF(E2_diario!J2419="N1",1,0))</x:f>
        <x:v>0</x:v>
      </x:c>
      <x:c r="I193" s="2" t="n">
        <x:f>SUM(IF(E2_diario!J361="N2",1,0),IF(E2_diario!J403="N2",1,0),IF(E2_diario!J865="N2",1,0),IF(E2_diario!J907="N2",1,0),IF(E2_diario!J1369="N2",1,0),IF(E2_diario!J1411="N2",1,0),IF(E2_diario!J1873="N2",1,0),IF(E2_diario!J1915="N2",1,0),IF(E2_diario!J2377="N2",1,0),IF(E2_diario!J2419="N2",1,0))</x:f>
        <x:v>0</x:v>
      </x:c>
      <x:c r="J193" s="2" t="n">
        <x:f>SUM(IF(E2_diario!J361="N3",1,0),IF(E2_diario!J403="N3",1,0),IF(E2_diario!J865="N3",1,0),IF(E2_diario!J907="N3",1,0),IF(E2_diario!J1369="N3",1,0),IF(E2_diario!J1411="N3",1,0),IF(E2_diario!J1873="N3",1,0),IF(E2_diario!J1915="N3",1,0),IF(E2_diario!J2377="N3",1,0),IF(E2_diario!J2419="N3",1,0))</x:f>
        <x:v>0</x:v>
      </x:c>
      <x:c r="K193" s="2" t="n">
        <x:f>SUM(IF(E2_diario!J361="N4",1,0),IF(E2_diario!J403="N4",1,0),IF(E2_diario!J865="N4",1,0),IF(E2_diario!J907="N4",1,0),IF(E2_diario!J1369="N4",1,0),IF(E2_diario!J1411="N4",1,0),IF(E2_diario!J1873="N4",1,0),IF(E2_diario!J1915="N4",1,0),IF(E2_diario!J2377="N4",1,0),IF(E2_diario!J2419="N4",1,0))</x:f>
        <x:v>0</x:v>
      </x:c>
      <x:c r="L193" s="2" t="n">
        <x:f>SUM(IF(E2_diario!J361="adulta",1,0),IF(E2_diario!J403="adulta",1,0),IF(E2_diario!J865="adulta",1,0),IF(E2_diario!J907="adulta",1,0),IF(E2_diario!J1369="adulta",1,0),IF(E2_diario!J1411="adulta",1,0),IF(E2_diario!J1873="adulta",1,0),IF(E2_diario!J1915="adulta",1,0),IF(E2_diario!J2377="adulta",1,0),IF(E2_diario!J2419="adulta",1,0))</x:f>
        <x:v>9</x:v>
      </x:c>
      <x:c r="M193" s="2" t="n">
        <x:f>SUM(E2_diario!L361,E2_diario!L403,E2_diario!L865,E2_diario!L907,E2_diario!L1369,E2_diario!L1411,E2_diario!L1873,E2_diario!L1915,E2_diario!L2377,E2_diario!L2419)</x:f>
        <x:v>16</x:v>
      </x:c>
      <x:c r="N193" s="20" t="n">
        <x:f>G193/F193</x:f>
        <x:v>0.9</x:v>
      </x:c>
      <x:c r="O193" s="20" t="n">
        <x:f>IF(G193=0,0,M193/G193)</x:f>
        <x:v>1.7777777777777777</x:v>
      </x:c>
      <x:c r="P193" s="20" t="n">
        <x:f>N193*O193</x:f>
        <x:v>1.5999999999999999</x:v>
      </x:c>
      <x:c r="Q193" s="20" t="n">
        <x:f>H193/F193</x:f>
        <x:v>0</x:v>
      </x:c>
      <x:c r="R193" s="20" t="n">
        <x:f>I193/F193</x:f>
        <x:v>0</x:v>
      </x:c>
      <x:c r="S193" s="20" t="n">
        <x:f>J193/F193</x:f>
        <x:v>0</x:v>
      </x:c>
      <x:c r="T193" s="20" t="n">
        <x:f>K193/F193</x:f>
        <x:v>0</x:v>
      </x:c>
      <x:c r="U193" s="20" t="n">
        <x:f>L193/F193</x:f>
        <x:v>0.9</x:v>
      </x:c>
      <x:c r="V193" s="20" t="n">
        <x:f>IF(L193=0,0,M193/L193)</x:f>
        <x:v>1.7777777777777777</x:v>
      </x:c>
      <x:c r="W193" s="20" t="n">
        <x:f>SUM(P$170:P193)</x:f>
        <x:v>22.1</x:v>
      </x:c>
      <x:c r="X193" s="2" t="n">
        <x:f>E193+Supuestos!$C$15</x:f>
        <x:v>24</x:v>
      </x:c>
      <x:c r="Y193" s="2" t="n">
        <x:f>F193-G193</x:f>
        <x:v>1</x:v>
      </x:c>
      <x:c r="Z193" s="2" t="str">
        <x:v>simulado_didactico</x:v>
      </x:c>
    </x:row>
    <x:row r="194" ht="19" customHeight="1">
      <x:c r="A194" s="2" t="str">
        <x:v>BB_L8</x:v>
      </x:c>
      <x:c r="B194" s="2" t="str">
        <x:v>BB</x:v>
      </x:c>
      <x:c r="C194" s="2" t="str">
        <x:v>Brevicoryne brassicae</x:v>
      </x:c>
      <x:c r="D194" s="2" t="str">
        <x:v>L8</x:v>
      </x:c>
      <x:c r="E194" s="2" t="n">
        <x:v>24</x:v>
      </x:c>
      <x:c r="F194" s="2" t="n">
        <x:f>COUNTA(E2_plantas!A10,E2_plantas!A11,E2_plantas!A22,E2_plantas!A23,E2_plantas!A34,E2_plantas!A35,E2_plantas!A46,E2_plantas!A47,E2_plantas!A58,E2_plantas!A59)</x:f>
        <x:v>10</x:v>
      </x:c>
      <x:c r="G194" s="2" t="n">
        <x:f>SUM(E2_diario!K362,E2_diario!K404,E2_diario!K866,E2_diario!K908,E2_diario!K1370,E2_diario!K1412,E2_diario!K1874,E2_diario!K1916,E2_diario!K2378,E2_diario!K2420)</x:f>
        <x:v>8</x:v>
      </x:c>
      <x:c r="H194" s="2" t="n">
        <x:f>SUM(IF(E2_diario!J362="N1",1,0),IF(E2_diario!J404="N1",1,0),IF(E2_diario!J866="N1",1,0),IF(E2_diario!J908="N1",1,0),IF(E2_diario!J1370="N1",1,0),IF(E2_diario!J1412="N1",1,0),IF(E2_diario!J1874="N1",1,0),IF(E2_diario!J1916="N1",1,0),IF(E2_diario!J2378="N1",1,0),IF(E2_diario!J2420="N1",1,0))</x:f>
        <x:v>0</x:v>
      </x:c>
      <x:c r="I194" s="2" t="n">
        <x:f>SUM(IF(E2_diario!J362="N2",1,0),IF(E2_diario!J404="N2",1,0),IF(E2_diario!J866="N2",1,0),IF(E2_diario!J908="N2",1,0),IF(E2_diario!J1370="N2",1,0),IF(E2_diario!J1412="N2",1,0),IF(E2_diario!J1874="N2",1,0),IF(E2_diario!J1916="N2",1,0),IF(E2_diario!J2378="N2",1,0),IF(E2_diario!J2420="N2",1,0))</x:f>
        <x:v>0</x:v>
      </x:c>
      <x:c r="J194" s="2" t="n">
        <x:f>SUM(IF(E2_diario!J362="N3",1,0),IF(E2_diario!J404="N3",1,0),IF(E2_diario!J866="N3",1,0),IF(E2_diario!J908="N3",1,0),IF(E2_diario!J1370="N3",1,0),IF(E2_diario!J1412="N3",1,0),IF(E2_diario!J1874="N3",1,0),IF(E2_diario!J1916="N3",1,0),IF(E2_diario!J2378="N3",1,0),IF(E2_diario!J2420="N3",1,0))</x:f>
        <x:v>0</x:v>
      </x:c>
      <x:c r="K194" s="2" t="n">
        <x:f>SUM(IF(E2_diario!J362="N4",1,0),IF(E2_diario!J404="N4",1,0),IF(E2_diario!J866="N4",1,0),IF(E2_diario!J908="N4",1,0),IF(E2_diario!J1370="N4",1,0),IF(E2_diario!J1412="N4",1,0),IF(E2_diario!J1874="N4",1,0),IF(E2_diario!J1916="N4",1,0),IF(E2_diario!J2378="N4",1,0),IF(E2_diario!J2420="N4",1,0))</x:f>
        <x:v>0</x:v>
      </x:c>
      <x:c r="L194" s="2" t="n">
        <x:f>SUM(IF(E2_diario!J362="adulta",1,0),IF(E2_diario!J404="adulta",1,0),IF(E2_diario!J866="adulta",1,0),IF(E2_diario!J908="adulta",1,0),IF(E2_diario!J1370="adulta",1,0),IF(E2_diario!J1412="adulta",1,0),IF(E2_diario!J1874="adulta",1,0),IF(E2_diario!J1916="adulta",1,0),IF(E2_diario!J2378="adulta",1,0),IF(E2_diario!J2420="adulta",1,0))</x:f>
        <x:v>8</x:v>
      </x:c>
      <x:c r="M194" s="2" t="n">
        <x:f>SUM(E2_diario!L362,E2_diario!L404,E2_diario!L866,E2_diario!L908,E2_diario!L1370,E2_diario!L1412,E2_diario!L1874,E2_diario!L1916,E2_diario!L2378,E2_diario!L2420)</x:f>
        <x:v>7</x:v>
      </x:c>
      <x:c r="N194" s="20" t="n">
        <x:f>G194/F194</x:f>
        <x:v>0.8</x:v>
      </x:c>
      <x:c r="O194" s="20" t="n">
        <x:f>IF(G194=0,0,M194/G194)</x:f>
        <x:v>0.875</x:v>
      </x:c>
      <x:c r="P194" s="20" t="n">
        <x:f>N194*O194</x:f>
        <x:v>0.7000000000000001</x:v>
      </x:c>
      <x:c r="Q194" s="20" t="n">
        <x:f>H194/F194</x:f>
        <x:v>0</x:v>
      </x:c>
      <x:c r="R194" s="20" t="n">
        <x:f>I194/F194</x:f>
        <x:v>0</x:v>
      </x:c>
      <x:c r="S194" s="20" t="n">
        <x:f>J194/F194</x:f>
        <x:v>0</x:v>
      </x:c>
      <x:c r="T194" s="20" t="n">
        <x:f>K194/F194</x:f>
        <x:v>0</x:v>
      </x:c>
      <x:c r="U194" s="20" t="n">
        <x:f>L194/F194</x:f>
        <x:v>0.8</x:v>
      </x:c>
      <x:c r="V194" s="20" t="n">
        <x:f>IF(L194=0,0,M194/L194)</x:f>
        <x:v>0.875</x:v>
      </x:c>
      <x:c r="W194" s="20" t="n">
        <x:f>SUM(P$170:P194)</x:f>
        <x:v>22.8</x:v>
      </x:c>
      <x:c r="X194" s="2" t="n">
        <x:f>E194+Supuestos!$C$15</x:f>
        <x:v>25</x:v>
      </x:c>
      <x:c r="Y194" s="2" t="n">
        <x:f>F194-G194</x:f>
        <x:v>2</x:v>
      </x:c>
      <x:c r="Z194" s="2" t="str">
        <x:v>simulado_didactico</x:v>
      </x:c>
    </x:row>
    <x:row r="195" ht="19" customHeight="1">
      <x:c r="A195" s="2" t="str">
        <x:v>BB_L8</x:v>
      </x:c>
      <x:c r="B195" s="2" t="str">
        <x:v>BB</x:v>
      </x:c>
      <x:c r="C195" s="2" t="str">
        <x:v>Brevicoryne brassicae</x:v>
      </x:c>
      <x:c r="D195" s="2" t="str">
        <x:v>L8</x:v>
      </x:c>
      <x:c r="E195" s="2" t="n">
        <x:v>25</x:v>
      </x:c>
      <x:c r="F195" s="2" t="n">
        <x:f>COUNTA(E2_plantas!A10,E2_plantas!A11,E2_plantas!A22,E2_plantas!A23,E2_plantas!A34,E2_plantas!A35,E2_plantas!A46,E2_plantas!A47,E2_plantas!A58,E2_plantas!A59)</x:f>
        <x:v>10</x:v>
      </x:c>
      <x:c r="G195" s="2" t="n">
        <x:f>SUM(E2_diario!K363,E2_diario!K405,E2_diario!K867,E2_diario!K909,E2_diario!K1371,E2_diario!K1413,E2_diario!K1875,E2_diario!K1917,E2_diario!K2379,E2_diario!K2421)</x:f>
        <x:v>6</x:v>
      </x:c>
      <x:c r="H195" s="2" t="n">
        <x:f>SUM(IF(E2_diario!J363="N1",1,0),IF(E2_diario!J405="N1",1,0),IF(E2_diario!J867="N1",1,0),IF(E2_diario!J909="N1",1,0),IF(E2_diario!J1371="N1",1,0),IF(E2_diario!J1413="N1",1,0),IF(E2_diario!J1875="N1",1,0),IF(E2_diario!J1917="N1",1,0),IF(E2_diario!J2379="N1",1,0),IF(E2_diario!J2421="N1",1,0))</x:f>
        <x:v>0</x:v>
      </x:c>
      <x:c r="I195" s="2" t="n">
        <x:f>SUM(IF(E2_diario!J363="N2",1,0),IF(E2_diario!J405="N2",1,0),IF(E2_diario!J867="N2",1,0),IF(E2_diario!J909="N2",1,0),IF(E2_diario!J1371="N2",1,0),IF(E2_diario!J1413="N2",1,0),IF(E2_diario!J1875="N2",1,0),IF(E2_diario!J1917="N2",1,0),IF(E2_diario!J2379="N2",1,0),IF(E2_diario!J2421="N2",1,0))</x:f>
        <x:v>0</x:v>
      </x:c>
      <x:c r="J195" s="2" t="n">
        <x:f>SUM(IF(E2_diario!J363="N3",1,0),IF(E2_diario!J405="N3",1,0),IF(E2_diario!J867="N3",1,0),IF(E2_diario!J909="N3",1,0),IF(E2_diario!J1371="N3",1,0),IF(E2_diario!J1413="N3",1,0),IF(E2_diario!J1875="N3",1,0),IF(E2_diario!J1917="N3",1,0),IF(E2_diario!J2379="N3",1,0),IF(E2_diario!J2421="N3",1,0))</x:f>
        <x:v>0</x:v>
      </x:c>
      <x:c r="K195" s="2" t="n">
        <x:f>SUM(IF(E2_diario!J363="N4",1,0),IF(E2_diario!J405="N4",1,0),IF(E2_diario!J867="N4",1,0),IF(E2_diario!J909="N4",1,0),IF(E2_diario!J1371="N4",1,0),IF(E2_diario!J1413="N4",1,0),IF(E2_diario!J1875="N4",1,0),IF(E2_diario!J1917="N4",1,0),IF(E2_diario!J2379="N4",1,0),IF(E2_diario!J2421="N4",1,0))</x:f>
        <x:v>0</x:v>
      </x:c>
      <x:c r="L195" s="2" t="n">
        <x:f>SUM(IF(E2_diario!J363="adulta",1,0),IF(E2_diario!J405="adulta",1,0),IF(E2_diario!J867="adulta",1,0),IF(E2_diario!J909="adulta",1,0),IF(E2_diario!J1371="adulta",1,0),IF(E2_diario!J1413="adulta",1,0),IF(E2_diario!J1875="adulta",1,0),IF(E2_diario!J1917="adulta",1,0),IF(E2_diario!J2379="adulta",1,0),IF(E2_diario!J2421="adulta",1,0))</x:f>
        <x:v>6</x:v>
      </x:c>
      <x:c r="M195" s="2" t="n">
        <x:f>SUM(E2_diario!L363,E2_diario!L405,E2_diario!L867,E2_diario!L909,E2_diario!L1371,E2_diario!L1413,E2_diario!L1875,E2_diario!L1917,E2_diario!L2379,E2_diario!L2421)</x:f>
        <x:v>9</x:v>
      </x:c>
      <x:c r="N195" s="20" t="n">
        <x:f>G195/F195</x:f>
        <x:v>0.6</x:v>
      </x:c>
      <x:c r="O195" s="20" t="n">
        <x:f>IF(G195=0,0,M195/G195)</x:f>
        <x:v>1.5</x:v>
      </x:c>
      <x:c r="P195" s="20" t="n">
        <x:f>N195*O195</x:f>
        <x:v>0.8999999999999999</x:v>
      </x:c>
      <x:c r="Q195" s="20" t="n">
        <x:f>H195/F195</x:f>
        <x:v>0</x:v>
      </x:c>
      <x:c r="R195" s="20" t="n">
        <x:f>I195/F195</x:f>
        <x:v>0</x:v>
      </x:c>
      <x:c r="S195" s="20" t="n">
        <x:f>J195/F195</x:f>
        <x:v>0</x:v>
      </x:c>
      <x:c r="T195" s="20" t="n">
        <x:f>K195/F195</x:f>
        <x:v>0</x:v>
      </x:c>
      <x:c r="U195" s="20" t="n">
        <x:f>L195/F195</x:f>
        <x:v>0.6</x:v>
      </x:c>
      <x:c r="V195" s="20" t="n">
        <x:f>IF(L195=0,0,M195/L195)</x:f>
        <x:v>1.5</x:v>
      </x:c>
      <x:c r="W195" s="20" t="n">
        <x:f>SUM(P$170:P195)</x:f>
        <x:v>23.7</x:v>
      </x:c>
      <x:c r="X195" s="2" t="n">
        <x:f>E195+Supuestos!$C$15</x:f>
        <x:v>26</x:v>
      </x:c>
      <x:c r="Y195" s="2" t="n">
        <x:f>F195-G195</x:f>
        <x:v>4</x:v>
      </x:c>
      <x:c r="Z195" s="2" t="str">
        <x:v>simulado_didactico</x:v>
      </x:c>
    </x:row>
    <x:row r="196" ht="19" customHeight="1">
      <x:c r="A196" s="2" t="str">
        <x:v>BB_L8</x:v>
      </x:c>
      <x:c r="B196" s="2" t="str">
        <x:v>BB</x:v>
      </x:c>
      <x:c r="C196" s="2" t="str">
        <x:v>Brevicoryne brassicae</x:v>
      </x:c>
      <x:c r="D196" s="2" t="str">
        <x:v>L8</x:v>
      </x:c>
      <x:c r="E196" s="2" t="n">
        <x:v>26</x:v>
      </x:c>
      <x:c r="F196" s="2" t="n">
        <x:f>COUNTA(E2_plantas!A10,E2_plantas!A11,E2_plantas!A22,E2_plantas!A23,E2_plantas!A34,E2_plantas!A35,E2_plantas!A46,E2_plantas!A47,E2_plantas!A58,E2_plantas!A59)</x:f>
        <x:v>10</x:v>
      </x:c>
      <x:c r="G196" s="2" t="n">
        <x:f>SUM(E2_diario!K364,E2_diario!K406,E2_diario!K868,E2_diario!K910,E2_diario!K1372,E2_diario!K1414,E2_diario!K1876,E2_diario!K1918,E2_diario!K2380,E2_diario!K2422)</x:f>
        <x:v>6</x:v>
      </x:c>
      <x:c r="H196" s="2" t="n">
        <x:f>SUM(IF(E2_diario!J364="N1",1,0),IF(E2_diario!J406="N1",1,0),IF(E2_diario!J868="N1",1,0),IF(E2_diario!J910="N1",1,0),IF(E2_diario!J1372="N1",1,0),IF(E2_diario!J1414="N1",1,0),IF(E2_diario!J1876="N1",1,0),IF(E2_diario!J1918="N1",1,0),IF(E2_diario!J2380="N1",1,0),IF(E2_diario!J2422="N1",1,0))</x:f>
        <x:v>0</x:v>
      </x:c>
      <x:c r="I196" s="2" t="n">
        <x:f>SUM(IF(E2_diario!J364="N2",1,0),IF(E2_diario!J406="N2",1,0),IF(E2_diario!J868="N2",1,0),IF(E2_diario!J910="N2",1,0),IF(E2_diario!J1372="N2",1,0),IF(E2_diario!J1414="N2",1,0),IF(E2_diario!J1876="N2",1,0),IF(E2_diario!J1918="N2",1,0),IF(E2_diario!J2380="N2",1,0),IF(E2_diario!J2422="N2",1,0))</x:f>
        <x:v>0</x:v>
      </x:c>
      <x:c r="J196" s="2" t="n">
        <x:f>SUM(IF(E2_diario!J364="N3",1,0),IF(E2_diario!J406="N3",1,0),IF(E2_diario!J868="N3",1,0),IF(E2_diario!J910="N3",1,0),IF(E2_diario!J1372="N3",1,0),IF(E2_diario!J1414="N3",1,0),IF(E2_diario!J1876="N3",1,0),IF(E2_diario!J1918="N3",1,0),IF(E2_diario!J2380="N3",1,0),IF(E2_diario!J2422="N3",1,0))</x:f>
        <x:v>0</x:v>
      </x:c>
      <x:c r="K196" s="2" t="n">
        <x:f>SUM(IF(E2_diario!J364="N4",1,0),IF(E2_diario!J406="N4",1,0),IF(E2_diario!J868="N4",1,0),IF(E2_diario!J910="N4",1,0),IF(E2_diario!J1372="N4",1,0),IF(E2_diario!J1414="N4",1,0),IF(E2_diario!J1876="N4",1,0),IF(E2_diario!J1918="N4",1,0),IF(E2_diario!J2380="N4",1,0),IF(E2_diario!J2422="N4",1,0))</x:f>
        <x:v>0</x:v>
      </x:c>
      <x:c r="L196" s="2" t="n">
        <x:f>SUM(IF(E2_diario!J364="adulta",1,0),IF(E2_diario!J406="adulta",1,0),IF(E2_diario!J868="adulta",1,0),IF(E2_diario!J910="adulta",1,0),IF(E2_diario!J1372="adulta",1,0),IF(E2_diario!J1414="adulta",1,0),IF(E2_diario!J1876="adulta",1,0),IF(E2_diario!J1918="adulta",1,0),IF(E2_diario!J2380="adulta",1,0),IF(E2_diario!J2422="adulta",1,0))</x:f>
        <x:v>6</x:v>
      </x:c>
      <x:c r="M196" s="2" t="n">
        <x:f>SUM(E2_diario!L364,E2_diario!L406,E2_diario!L868,E2_diario!L910,E2_diario!L1372,E2_diario!L1414,E2_diario!L1876,E2_diario!L1918,E2_diario!L2380,E2_diario!L2422)</x:f>
        <x:v>6</x:v>
      </x:c>
      <x:c r="N196" s="20" t="n">
        <x:f>G196/F196</x:f>
        <x:v>0.6</x:v>
      </x:c>
      <x:c r="O196" s="20" t="n">
        <x:f>IF(G196=0,0,M196/G196)</x:f>
        <x:v>1</x:v>
      </x:c>
      <x:c r="P196" s="20" t="n">
        <x:f>N196*O196</x:f>
        <x:v>0.6</x:v>
      </x:c>
      <x:c r="Q196" s="20" t="n">
        <x:f>H196/F196</x:f>
        <x:v>0</x:v>
      </x:c>
      <x:c r="R196" s="20" t="n">
        <x:f>I196/F196</x:f>
        <x:v>0</x:v>
      </x:c>
      <x:c r="S196" s="20" t="n">
        <x:f>J196/F196</x:f>
        <x:v>0</x:v>
      </x:c>
      <x:c r="T196" s="20" t="n">
        <x:f>K196/F196</x:f>
        <x:v>0</x:v>
      </x:c>
      <x:c r="U196" s="20" t="n">
        <x:f>L196/F196</x:f>
        <x:v>0.6</x:v>
      </x:c>
      <x:c r="V196" s="20" t="n">
        <x:f>IF(L196=0,0,M196/L196)</x:f>
        <x:v>1</x:v>
      </x:c>
      <x:c r="W196" s="20" t="n">
        <x:f>SUM(P$170:P196)</x:f>
        <x:v>24.3</x:v>
      </x:c>
      <x:c r="X196" s="2" t="n">
        <x:f>E196+Supuestos!$C$15</x:f>
        <x:v>27</x:v>
      </x:c>
      <x:c r="Y196" s="2" t="n">
        <x:f>F196-G196</x:f>
        <x:v>4</x:v>
      </x:c>
      <x:c r="Z196" s="2" t="str">
        <x:v>simulado_didactico</x:v>
      </x:c>
    </x:row>
    <x:row r="197" ht="19" customHeight="1">
      <x:c r="A197" s="2" t="str">
        <x:v>BB_L8</x:v>
      </x:c>
      <x:c r="B197" s="2" t="str">
        <x:v>BB</x:v>
      </x:c>
      <x:c r="C197" s="2" t="str">
        <x:v>Brevicoryne brassicae</x:v>
      </x:c>
      <x:c r="D197" s="2" t="str">
        <x:v>L8</x:v>
      </x:c>
      <x:c r="E197" s="2" t="n">
        <x:v>27</x:v>
      </x:c>
      <x:c r="F197" s="2" t="n">
        <x:f>COUNTA(E2_plantas!A10,E2_plantas!A11,E2_plantas!A22,E2_plantas!A23,E2_plantas!A34,E2_plantas!A35,E2_plantas!A46,E2_plantas!A47,E2_plantas!A58,E2_plantas!A59)</x:f>
        <x:v>10</x:v>
      </x:c>
      <x:c r="G197" s="2" t="n">
        <x:f>SUM(E2_diario!K365,E2_diario!K407,E2_diario!K869,E2_diario!K911,E2_diario!K1373,E2_diario!K1415,E2_diario!K1877,E2_diario!K1919,E2_diario!K2381,E2_diario!K2423)</x:f>
        <x:v>4</x:v>
      </x:c>
      <x:c r="H197" s="2" t="n">
        <x:f>SUM(IF(E2_diario!J365="N1",1,0),IF(E2_diario!J407="N1",1,0),IF(E2_diario!J869="N1",1,0),IF(E2_diario!J911="N1",1,0),IF(E2_diario!J1373="N1",1,0),IF(E2_diario!J1415="N1",1,0),IF(E2_diario!J1877="N1",1,0),IF(E2_diario!J1919="N1",1,0),IF(E2_diario!J2381="N1",1,0),IF(E2_diario!J2423="N1",1,0))</x:f>
        <x:v>0</x:v>
      </x:c>
      <x:c r="I197" s="2" t="n">
        <x:f>SUM(IF(E2_diario!J365="N2",1,0),IF(E2_diario!J407="N2",1,0),IF(E2_diario!J869="N2",1,0),IF(E2_diario!J911="N2",1,0),IF(E2_diario!J1373="N2",1,0),IF(E2_diario!J1415="N2",1,0),IF(E2_diario!J1877="N2",1,0),IF(E2_diario!J1919="N2",1,0),IF(E2_diario!J2381="N2",1,0),IF(E2_diario!J2423="N2",1,0))</x:f>
        <x:v>0</x:v>
      </x:c>
      <x:c r="J197" s="2" t="n">
        <x:f>SUM(IF(E2_diario!J365="N3",1,0),IF(E2_diario!J407="N3",1,0),IF(E2_diario!J869="N3",1,0),IF(E2_diario!J911="N3",1,0),IF(E2_diario!J1373="N3",1,0),IF(E2_diario!J1415="N3",1,0),IF(E2_diario!J1877="N3",1,0),IF(E2_diario!J1919="N3",1,0),IF(E2_diario!J2381="N3",1,0),IF(E2_diario!J2423="N3",1,0))</x:f>
        <x:v>0</x:v>
      </x:c>
      <x:c r="K197" s="2" t="n">
        <x:f>SUM(IF(E2_diario!J365="N4",1,0),IF(E2_diario!J407="N4",1,0),IF(E2_diario!J869="N4",1,0),IF(E2_diario!J911="N4",1,0),IF(E2_diario!J1373="N4",1,0),IF(E2_diario!J1415="N4",1,0),IF(E2_diario!J1877="N4",1,0),IF(E2_diario!J1919="N4",1,0),IF(E2_diario!J2381="N4",1,0),IF(E2_diario!J2423="N4",1,0))</x:f>
        <x:v>0</x:v>
      </x:c>
      <x:c r="L197" s="2" t="n">
        <x:f>SUM(IF(E2_diario!J365="adulta",1,0),IF(E2_diario!J407="adulta",1,0),IF(E2_diario!J869="adulta",1,0),IF(E2_diario!J911="adulta",1,0),IF(E2_diario!J1373="adulta",1,0),IF(E2_diario!J1415="adulta",1,0),IF(E2_diario!J1877="adulta",1,0),IF(E2_diario!J1919="adulta",1,0),IF(E2_diario!J2381="adulta",1,0),IF(E2_diario!J2423="adulta",1,0))</x:f>
        <x:v>4</x:v>
      </x:c>
      <x:c r="M197" s="2" t="n">
        <x:f>SUM(E2_diario!L365,E2_diario!L407,E2_diario!L869,E2_diario!L911,E2_diario!L1373,E2_diario!L1415,E2_diario!L1877,E2_diario!L1919,E2_diario!L2381,E2_diario!L2423)</x:f>
        <x:v>0</x:v>
      </x:c>
      <x:c r="N197" s="20" t="n">
        <x:f>G197/F197</x:f>
        <x:v>0.4</x:v>
      </x:c>
      <x:c r="O197" s="20" t="n">
        <x:f>IF(G197=0,0,M197/G197)</x:f>
        <x:v>0</x:v>
      </x:c>
      <x:c r="P197" s="20" t="n">
        <x:f>N197*O197</x:f>
        <x:v>0</x:v>
      </x:c>
      <x:c r="Q197" s="20" t="n">
        <x:f>H197/F197</x:f>
        <x:v>0</x:v>
      </x:c>
      <x:c r="R197" s="20" t="n">
        <x:f>I197/F197</x:f>
        <x:v>0</x:v>
      </x:c>
      <x:c r="S197" s="20" t="n">
        <x:f>J197/F197</x:f>
        <x:v>0</x:v>
      </x:c>
      <x:c r="T197" s="20" t="n">
        <x:f>K197/F197</x:f>
        <x:v>0</x:v>
      </x:c>
      <x:c r="U197" s="20" t="n">
        <x:f>L197/F197</x:f>
        <x:v>0.4</x:v>
      </x:c>
      <x:c r="V197" s="20" t="n">
        <x:f>IF(L197=0,0,M197/L197)</x:f>
        <x:v>0</x:v>
      </x:c>
      <x:c r="W197" s="20" t="n">
        <x:f>SUM(P$170:P197)</x:f>
        <x:v>24.3</x:v>
      </x:c>
      <x:c r="X197" s="2" t="n">
        <x:f>E197+Supuestos!$C$15</x:f>
        <x:v>28</x:v>
      </x:c>
      <x:c r="Y197" s="2" t="n">
        <x:f>F197-G197</x:f>
        <x:v>6</x:v>
      </x:c>
      <x:c r="Z197" s="2" t="str">
        <x:v>simulado_didactico</x:v>
      </x:c>
    </x:row>
    <x:row r="198" ht="19" customHeight="1">
      <x:c r="A198" s="2" t="str">
        <x:v>BB_L8</x:v>
      </x:c>
      <x:c r="B198" s="2" t="str">
        <x:v>BB</x:v>
      </x:c>
      <x:c r="C198" s="2" t="str">
        <x:v>Brevicoryne brassicae</x:v>
      </x:c>
      <x:c r="D198" s="2" t="str">
        <x:v>L8</x:v>
      </x:c>
      <x:c r="E198" s="2" t="n">
        <x:v>28</x:v>
      </x:c>
      <x:c r="F198" s="2" t="n">
        <x:f>COUNTA(E2_plantas!A10,E2_plantas!A11,E2_plantas!A22,E2_plantas!A23,E2_plantas!A34,E2_plantas!A35,E2_plantas!A46,E2_plantas!A47,E2_plantas!A58,E2_plantas!A59)</x:f>
        <x:v>10</x:v>
      </x:c>
      <x:c r="G198" s="2" t="n">
        <x:f>SUM(E2_diario!K366,E2_diario!K408,E2_diario!K870,E2_diario!K912,E2_diario!K1374,E2_diario!K1416,E2_diario!K1878,E2_diario!K1920,E2_diario!K2382,E2_diario!K2424)</x:f>
        <x:v>3</x:v>
      </x:c>
      <x:c r="H198" s="2" t="n">
        <x:f>SUM(IF(E2_diario!J366="N1",1,0),IF(E2_diario!J408="N1",1,0),IF(E2_diario!J870="N1",1,0),IF(E2_diario!J912="N1",1,0),IF(E2_diario!J1374="N1",1,0),IF(E2_diario!J1416="N1",1,0),IF(E2_diario!J1878="N1",1,0),IF(E2_diario!J1920="N1",1,0),IF(E2_diario!J2382="N1",1,0),IF(E2_diario!J2424="N1",1,0))</x:f>
        <x:v>0</x:v>
      </x:c>
      <x:c r="I198" s="2" t="n">
        <x:f>SUM(IF(E2_diario!J366="N2",1,0),IF(E2_diario!J408="N2",1,0),IF(E2_diario!J870="N2",1,0),IF(E2_diario!J912="N2",1,0),IF(E2_diario!J1374="N2",1,0),IF(E2_diario!J1416="N2",1,0),IF(E2_diario!J1878="N2",1,0),IF(E2_diario!J1920="N2",1,0),IF(E2_diario!J2382="N2",1,0),IF(E2_diario!J2424="N2",1,0))</x:f>
        <x:v>0</x:v>
      </x:c>
      <x:c r="J198" s="2" t="n">
        <x:f>SUM(IF(E2_diario!J366="N3",1,0),IF(E2_diario!J408="N3",1,0),IF(E2_diario!J870="N3",1,0),IF(E2_diario!J912="N3",1,0),IF(E2_diario!J1374="N3",1,0),IF(E2_diario!J1416="N3",1,0),IF(E2_diario!J1878="N3",1,0),IF(E2_diario!J1920="N3",1,0),IF(E2_diario!J2382="N3",1,0),IF(E2_diario!J2424="N3",1,0))</x:f>
        <x:v>0</x:v>
      </x:c>
      <x:c r="K198" s="2" t="n">
        <x:f>SUM(IF(E2_diario!J366="N4",1,0),IF(E2_diario!J408="N4",1,0),IF(E2_diario!J870="N4",1,0),IF(E2_diario!J912="N4",1,0),IF(E2_diario!J1374="N4",1,0),IF(E2_diario!J1416="N4",1,0),IF(E2_diario!J1878="N4",1,0),IF(E2_diario!J1920="N4",1,0),IF(E2_diario!J2382="N4",1,0),IF(E2_diario!J2424="N4",1,0))</x:f>
        <x:v>0</x:v>
      </x:c>
      <x:c r="L198" s="2" t="n">
        <x:f>SUM(IF(E2_diario!J366="adulta",1,0),IF(E2_diario!J408="adulta",1,0),IF(E2_diario!J870="adulta",1,0),IF(E2_diario!J912="adulta",1,0),IF(E2_diario!J1374="adulta",1,0),IF(E2_diario!J1416="adulta",1,0),IF(E2_diario!J1878="adulta",1,0),IF(E2_diario!J1920="adulta",1,0),IF(E2_diario!J2382="adulta",1,0),IF(E2_diario!J2424="adulta",1,0))</x:f>
        <x:v>3</x:v>
      </x:c>
      <x:c r="M198" s="2" t="n">
        <x:f>SUM(E2_diario!L366,E2_diario!L408,E2_diario!L870,E2_diario!L912,E2_diario!L1374,E2_diario!L1416,E2_diario!L1878,E2_diario!L1920,E2_diario!L2382,E2_diario!L2424)</x:f>
        <x:v>2</x:v>
      </x:c>
      <x:c r="N198" s="20" t="n">
        <x:f>G198/F198</x:f>
        <x:v>0.3</x:v>
      </x:c>
      <x:c r="O198" s="20" t="n">
        <x:f>IF(G198=0,0,M198/G198)</x:f>
        <x:v>0.6666666666666666</x:v>
      </x:c>
      <x:c r="P198" s="20" t="n">
        <x:f>N198*O198</x:f>
        <x:v>0.19999999999999998</x:v>
      </x:c>
      <x:c r="Q198" s="20" t="n">
        <x:f>H198/F198</x:f>
        <x:v>0</x:v>
      </x:c>
      <x:c r="R198" s="20" t="n">
        <x:f>I198/F198</x:f>
        <x:v>0</x:v>
      </x:c>
      <x:c r="S198" s="20" t="n">
        <x:f>J198/F198</x:f>
        <x:v>0</x:v>
      </x:c>
      <x:c r="T198" s="20" t="n">
        <x:f>K198/F198</x:f>
        <x:v>0</x:v>
      </x:c>
      <x:c r="U198" s="20" t="n">
        <x:f>L198/F198</x:f>
        <x:v>0.3</x:v>
      </x:c>
      <x:c r="V198" s="20" t="n">
        <x:f>IF(L198=0,0,M198/L198)</x:f>
        <x:v>0.6666666666666666</x:v>
      </x:c>
      <x:c r="W198" s="20" t="n">
        <x:f>SUM(P$170:P198)</x:f>
        <x:v>24.5</x:v>
      </x:c>
      <x:c r="X198" s="2" t="n">
        <x:f>E198+Supuestos!$C$15</x:f>
        <x:v>29</x:v>
      </x:c>
      <x:c r="Y198" s="2" t="n">
        <x:f>F198-G198</x:f>
        <x:v>7</x:v>
      </x:c>
      <x:c r="Z198" s="2" t="str">
        <x:v>simulado_didactico</x:v>
      </x:c>
    </x:row>
    <x:row r="199" ht="19" customHeight="1">
      <x:c r="A199" s="2" t="str">
        <x:v>BB_L8</x:v>
      </x:c>
      <x:c r="B199" s="2" t="str">
        <x:v>BB</x:v>
      </x:c>
      <x:c r="C199" s="2" t="str">
        <x:v>Brevicoryne brassicae</x:v>
      </x:c>
      <x:c r="D199" s="2" t="str">
        <x:v>L8</x:v>
      </x:c>
      <x:c r="E199" s="2" t="n">
        <x:v>29</x:v>
      </x:c>
      <x:c r="F199" s="2" t="n">
        <x:f>COUNTA(E2_plantas!A10,E2_plantas!A11,E2_plantas!A22,E2_plantas!A23,E2_plantas!A34,E2_plantas!A35,E2_plantas!A46,E2_plantas!A47,E2_plantas!A58,E2_plantas!A59)</x:f>
        <x:v>10</x:v>
      </x:c>
      <x:c r="G199" s="2" t="n">
        <x:f>SUM(E2_diario!K367,E2_diario!K409,E2_diario!K871,E2_diario!K913,E2_diario!K1375,E2_diario!K1417,E2_diario!K1879,E2_diario!K1921,E2_diario!K2383,E2_diario!K2425)</x:f>
        <x:v>1</x:v>
      </x:c>
      <x:c r="H199" s="2" t="n">
        <x:f>SUM(IF(E2_diario!J367="N1",1,0),IF(E2_diario!J409="N1",1,0),IF(E2_diario!J871="N1",1,0),IF(E2_diario!J913="N1",1,0),IF(E2_diario!J1375="N1",1,0),IF(E2_diario!J1417="N1",1,0),IF(E2_diario!J1879="N1",1,0),IF(E2_diario!J1921="N1",1,0),IF(E2_diario!J2383="N1",1,0),IF(E2_diario!J2425="N1",1,0))</x:f>
        <x:v>0</x:v>
      </x:c>
      <x:c r="I199" s="2" t="n">
        <x:f>SUM(IF(E2_diario!J367="N2",1,0),IF(E2_diario!J409="N2",1,0),IF(E2_diario!J871="N2",1,0),IF(E2_diario!J913="N2",1,0),IF(E2_diario!J1375="N2",1,0),IF(E2_diario!J1417="N2",1,0),IF(E2_diario!J1879="N2",1,0),IF(E2_diario!J1921="N2",1,0),IF(E2_diario!J2383="N2",1,0),IF(E2_diario!J2425="N2",1,0))</x:f>
        <x:v>0</x:v>
      </x:c>
      <x:c r="J199" s="2" t="n">
        <x:f>SUM(IF(E2_diario!J367="N3",1,0),IF(E2_diario!J409="N3",1,0),IF(E2_diario!J871="N3",1,0),IF(E2_diario!J913="N3",1,0),IF(E2_diario!J1375="N3",1,0),IF(E2_diario!J1417="N3",1,0),IF(E2_diario!J1879="N3",1,0),IF(E2_diario!J1921="N3",1,0),IF(E2_diario!J2383="N3",1,0),IF(E2_diario!J2425="N3",1,0))</x:f>
        <x:v>0</x:v>
      </x:c>
      <x:c r="K199" s="2" t="n">
        <x:f>SUM(IF(E2_diario!J367="N4",1,0),IF(E2_diario!J409="N4",1,0),IF(E2_diario!J871="N4",1,0),IF(E2_diario!J913="N4",1,0),IF(E2_diario!J1375="N4",1,0),IF(E2_diario!J1417="N4",1,0),IF(E2_diario!J1879="N4",1,0),IF(E2_diario!J1921="N4",1,0),IF(E2_diario!J2383="N4",1,0),IF(E2_diario!J2425="N4",1,0))</x:f>
        <x:v>0</x:v>
      </x:c>
      <x:c r="L199" s="2" t="n">
        <x:f>SUM(IF(E2_diario!J367="adulta",1,0),IF(E2_diario!J409="adulta",1,0),IF(E2_diario!J871="adulta",1,0),IF(E2_diario!J913="adulta",1,0),IF(E2_diario!J1375="adulta",1,0),IF(E2_diario!J1417="adulta",1,0),IF(E2_diario!J1879="adulta",1,0),IF(E2_diario!J1921="adulta",1,0),IF(E2_diario!J2383="adulta",1,0),IF(E2_diario!J2425="adulta",1,0))</x:f>
        <x:v>1</x:v>
      </x:c>
      <x:c r="M199" s="2" t="n">
        <x:f>SUM(E2_diario!L367,E2_diario!L409,E2_diario!L871,E2_diario!L913,E2_diario!L1375,E2_diario!L1417,E2_diario!L1879,E2_diario!L1921,E2_diario!L2383,E2_diario!L2425)</x:f>
        <x:v>0</x:v>
      </x:c>
      <x:c r="N199" s="20" t="n">
        <x:f>G199/F199</x:f>
        <x:v>0.1</x:v>
      </x:c>
      <x:c r="O199" s="20" t="n">
        <x:f>IF(G199=0,0,M199/G199)</x:f>
        <x:v>0</x:v>
      </x:c>
      <x:c r="P199" s="20" t="n">
        <x:f>N199*O199</x:f>
        <x:v>0</x:v>
      </x:c>
      <x:c r="Q199" s="20" t="n">
        <x:f>H199/F199</x:f>
        <x:v>0</x:v>
      </x:c>
      <x:c r="R199" s="20" t="n">
        <x:f>I199/F199</x:f>
        <x:v>0</x:v>
      </x:c>
      <x:c r="S199" s="20" t="n">
        <x:f>J199/F199</x:f>
        <x:v>0</x:v>
      </x:c>
      <x:c r="T199" s="20" t="n">
        <x:f>K199/F199</x:f>
        <x:v>0</x:v>
      </x:c>
      <x:c r="U199" s="20" t="n">
        <x:f>L199/F199</x:f>
        <x:v>0.1</x:v>
      </x:c>
      <x:c r="V199" s="20" t="n">
        <x:f>IF(L199=0,0,M199/L199)</x:f>
        <x:v>0</x:v>
      </x:c>
      <x:c r="W199" s="20" t="n">
        <x:f>SUM(P$170:P199)</x:f>
        <x:v>24.5</x:v>
      </x:c>
      <x:c r="X199" s="2" t="n">
        <x:f>E199+Supuestos!$C$15</x:f>
        <x:v>30</x:v>
      </x:c>
      <x:c r="Y199" s="2" t="n">
        <x:f>F199-G199</x:f>
        <x:v>9</x:v>
      </x:c>
      <x:c r="Z199" s="2" t="str">
        <x:v>simulado_didactico</x:v>
      </x:c>
    </x:row>
    <x:row r="200" ht="19" customHeight="1">
      <x:c r="A200" s="2" t="str">
        <x:v>BB_L8</x:v>
      </x:c>
      <x:c r="B200" s="2" t="str">
        <x:v>BB</x:v>
      </x:c>
      <x:c r="C200" s="2" t="str">
        <x:v>Brevicoryne brassicae</x:v>
      </x:c>
      <x:c r="D200" s="2" t="str">
        <x:v>L8</x:v>
      </x:c>
      <x:c r="E200" s="2" t="n">
        <x:v>30</x:v>
      </x:c>
      <x:c r="F200" s="2" t="n">
        <x:f>COUNTA(E2_plantas!A10,E2_plantas!A11,E2_plantas!A22,E2_plantas!A23,E2_plantas!A34,E2_plantas!A35,E2_plantas!A46,E2_plantas!A47,E2_plantas!A58,E2_plantas!A59)</x:f>
        <x:v>10</x:v>
      </x:c>
      <x:c r="G200" s="2" t="n">
        <x:f>SUM(E2_diario!K368,E2_diario!K410,E2_diario!K872,E2_diario!K914,E2_diario!K1376,E2_diario!K1418,E2_diario!K1880,E2_diario!K1922,E2_diario!K2384,E2_diario!K2426)</x:f>
        <x:v>1</x:v>
      </x:c>
      <x:c r="H200" s="2" t="n">
        <x:f>SUM(IF(E2_diario!J368="N1",1,0),IF(E2_diario!J410="N1",1,0),IF(E2_diario!J872="N1",1,0),IF(E2_diario!J914="N1",1,0),IF(E2_diario!J1376="N1",1,0),IF(E2_diario!J1418="N1",1,0),IF(E2_diario!J1880="N1",1,0),IF(E2_diario!J1922="N1",1,0),IF(E2_diario!J2384="N1",1,0),IF(E2_diario!J2426="N1",1,0))</x:f>
        <x:v>0</x:v>
      </x:c>
      <x:c r="I200" s="2" t="n">
        <x:f>SUM(IF(E2_diario!J368="N2",1,0),IF(E2_diario!J410="N2",1,0),IF(E2_diario!J872="N2",1,0),IF(E2_diario!J914="N2",1,0),IF(E2_diario!J1376="N2",1,0),IF(E2_diario!J1418="N2",1,0),IF(E2_diario!J1880="N2",1,0),IF(E2_diario!J1922="N2",1,0),IF(E2_diario!J2384="N2",1,0),IF(E2_diario!J2426="N2",1,0))</x:f>
        <x:v>0</x:v>
      </x:c>
      <x:c r="J200" s="2" t="n">
        <x:f>SUM(IF(E2_diario!J368="N3",1,0),IF(E2_diario!J410="N3",1,0),IF(E2_diario!J872="N3",1,0),IF(E2_diario!J914="N3",1,0),IF(E2_diario!J1376="N3",1,0),IF(E2_diario!J1418="N3",1,0),IF(E2_diario!J1880="N3",1,0),IF(E2_diario!J1922="N3",1,0),IF(E2_diario!J2384="N3",1,0),IF(E2_diario!J2426="N3",1,0))</x:f>
        <x:v>0</x:v>
      </x:c>
      <x:c r="K200" s="2" t="n">
        <x:f>SUM(IF(E2_diario!J368="N4",1,0),IF(E2_diario!J410="N4",1,0),IF(E2_diario!J872="N4",1,0),IF(E2_diario!J914="N4",1,0),IF(E2_diario!J1376="N4",1,0),IF(E2_diario!J1418="N4",1,0),IF(E2_diario!J1880="N4",1,0),IF(E2_diario!J1922="N4",1,0),IF(E2_diario!J2384="N4",1,0),IF(E2_diario!J2426="N4",1,0))</x:f>
        <x:v>0</x:v>
      </x:c>
      <x:c r="L200" s="2" t="n">
        <x:f>SUM(IF(E2_diario!J368="adulta",1,0),IF(E2_diario!J410="adulta",1,0),IF(E2_diario!J872="adulta",1,0),IF(E2_diario!J914="adulta",1,0),IF(E2_diario!J1376="adulta",1,0),IF(E2_diario!J1418="adulta",1,0),IF(E2_diario!J1880="adulta",1,0),IF(E2_diario!J1922="adulta",1,0),IF(E2_diario!J2384="adulta",1,0),IF(E2_diario!J2426="adulta",1,0))</x:f>
        <x:v>1</x:v>
      </x:c>
      <x:c r="M200" s="2" t="n">
        <x:f>SUM(E2_diario!L368,E2_diario!L410,E2_diario!L872,E2_diario!L914,E2_diario!L1376,E2_diario!L1418,E2_diario!L1880,E2_diario!L1922,E2_diario!L2384,E2_diario!L2426)</x:f>
        <x:v>1</x:v>
      </x:c>
      <x:c r="N200" s="20" t="n">
        <x:f>G200/F200</x:f>
        <x:v>0.1</x:v>
      </x:c>
      <x:c r="O200" s="20" t="n">
        <x:f>IF(G200=0,0,M200/G200)</x:f>
        <x:v>1</x:v>
      </x:c>
      <x:c r="P200" s="20" t="n">
        <x:f>N200*O200</x:f>
        <x:v>0.1</x:v>
      </x:c>
      <x:c r="Q200" s="20" t="n">
        <x:f>H200/F200</x:f>
        <x:v>0</x:v>
      </x:c>
      <x:c r="R200" s="20" t="n">
        <x:f>I200/F200</x:f>
        <x:v>0</x:v>
      </x:c>
      <x:c r="S200" s="20" t="n">
        <x:f>J200/F200</x:f>
        <x:v>0</x:v>
      </x:c>
      <x:c r="T200" s="20" t="n">
        <x:f>K200/F200</x:f>
        <x:v>0</x:v>
      </x:c>
      <x:c r="U200" s="20" t="n">
        <x:f>L200/F200</x:f>
        <x:v>0.1</x:v>
      </x:c>
      <x:c r="V200" s="20" t="n">
        <x:f>IF(L200=0,0,M200/L200)</x:f>
        <x:v>1</x:v>
      </x:c>
      <x:c r="W200" s="20" t="n">
        <x:f>SUM(P$170:P200)</x:f>
        <x:v>24.6</x:v>
      </x:c>
      <x:c r="X200" s="2" t="n">
        <x:f>E200+Supuestos!$C$15</x:f>
        <x:v>31</x:v>
      </x:c>
      <x:c r="Y200" s="2" t="n">
        <x:f>F200-G200</x:f>
        <x:v>9</x:v>
      </x:c>
      <x:c r="Z200" s="2" t="str">
        <x:v>simulado_didactico</x:v>
      </x:c>
    </x:row>
    <x:row r="201" ht="19" customHeight="1">
      <x:c r="A201" s="2" t="str">
        <x:v>BB_L8</x:v>
      </x:c>
      <x:c r="B201" s="2" t="str">
        <x:v>BB</x:v>
      </x:c>
      <x:c r="C201" s="2" t="str">
        <x:v>Brevicoryne brassicae</x:v>
      </x:c>
      <x:c r="D201" s="2" t="str">
        <x:v>L8</x:v>
      </x:c>
      <x:c r="E201" s="2" t="n">
        <x:v>31</x:v>
      </x:c>
      <x:c r="F201" s="2" t="n">
        <x:f>COUNTA(E2_plantas!A10,E2_plantas!A11,E2_plantas!A22,E2_plantas!A23,E2_plantas!A34,E2_plantas!A35,E2_plantas!A46,E2_plantas!A47,E2_plantas!A58,E2_plantas!A59)</x:f>
        <x:v>10</x:v>
      </x:c>
      <x:c r="G201" s="2" t="n">
        <x:f>SUM(E2_diario!K369,E2_diario!K411,E2_diario!K873,E2_diario!K915,E2_diario!K1377,E2_diario!K1419,E2_diario!K1881,E2_diario!K1923,E2_diario!K2385,E2_diario!K2427)</x:f>
        <x:v>1</x:v>
      </x:c>
      <x:c r="H201" s="2" t="n">
        <x:f>SUM(IF(E2_diario!J369="N1",1,0),IF(E2_diario!J411="N1",1,0),IF(E2_diario!J873="N1",1,0),IF(E2_diario!J915="N1",1,0),IF(E2_diario!J1377="N1",1,0),IF(E2_diario!J1419="N1",1,0),IF(E2_diario!J1881="N1",1,0),IF(E2_diario!J1923="N1",1,0),IF(E2_diario!J2385="N1",1,0),IF(E2_diario!J2427="N1",1,0))</x:f>
        <x:v>0</x:v>
      </x:c>
      <x:c r="I201" s="2" t="n">
        <x:f>SUM(IF(E2_diario!J369="N2",1,0),IF(E2_diario!J411="N2",1,0),IF(E2_diario!J873="N2",1,0),IF(E2_diario!J915="N2",1,0),IF(E2_diario!J1377="N2",1,0),IF(E2_diario!J1419="N2",1,0),IF(E2_diario!J1881="N2",1,0),IF(E2_diario!J1923="N2",1,0),IF(E2_diario!J2385="N2",1,0),IF(E2_diario!J2427="N2",1,0))</x:f>
        <x:v>0</x:v>
      </x:c>
      <x:c r="J201" s="2" t="n">
        <x:f>SUM(IF(E2_diario!J369="N3",1,0),IF(E2_diario!J411="N3",1,0),IF(E2_diario!J873="N3",1,0),IF(E2_diario!J915="N3",1,0),IF(E2_diario!J1377="N3",1,0),IF(E2_diario!J1419="N3",1,0),IF(E2_diario!J1881="N3",1,0),IF(E2_diario!J1923="N3",1,0),IF(E2_diario!J2385="N3",1,0),IF(E2_diario!J2427="N3",1,0))</x:f>
        <x:v>0</x:v>
      </x:c>
      <x:c r="K201" s="2" t="n">
        <x:f>SUM(IF(E2_diario!J369="N4",1,0),IF(E2_diario!J411="N4",1,0),IF(E2_diario!J873="N4",1,0),IF(E2_diario!J915="N4",1,0),IF(E2_diario!J1377="N4",1,0),IF(E2_diario!J1419="N4",1,0),IF(E2_diario!J1881="N4",1,0),IF(E2_diario!J1923="N4",1,0),IF(E2_diario!J2385="N4",1,0),IF(E2_diario!J2427="N4",1,0))</x:f>
        <x:v>0</x:v>
      </x:c>
      <x:c r="L201" s="2" t="n">
        <x:f>SUM(IF(E2_diario!J369="adulta",1,0),IF(E2_diario!J411="adulta",1,0),IF(E2_diario!J873="adulta",1,0),IF(E2_diario!J915="adulta",1,0),IF(E2_diario!J1377="adulta",1,0),IF(E2_diario!J1419="adulta",1,0),IF(E2_diario!J1881="adulta",1,0),IF(E2_diario!J1923="adulta",1,0),IF(E2_diario!J2385="adulta",1,0),IF(E2_diario!J2427="adulta",1,0))</x:f>
        <x:v>1</x:v>
      </x:c>
      <x:c r="M201" s="2" t="n">
        <x:f>SUM(E2_diario!L369,E2_diario!L411,E2_diario!L873,E2_diario!L915,E2_diario!L1377,E2_diario!L1419,E2_diario!L1881,E2_diario!L1923,E2_diario!L2385,E2_diario!L2427)</x:f>
        <x:v>1</x:v>
      </x:c>
      <x:c r="N201" s="20" t="n">
        <x:f>G201/F201</x:f>
        <x:v>0.1</x:v>
      </x:c>
      <x:c r="O201" s="20" t="n">
        <x:f>IF(G201=0,0,M201/G201)</x:f>
        <x:v>1</x:v>
      </x:c>
      <x:c r="P201" s="20" t="n">
        <x:f>N201*O201</x:f>
        <x:v>0.1</x:v>
      </x:c>
      <x:c r="Q201" s="20" t="n">
        <x:f>H201/F201</x:f>
        <x:v>0</x:v>
      </x:c>
      <x:c r="R201" s="20" t="n">
        <x:f>I201/F201</x:f>
        <x:v>0</x:v>
      </x:c>
      <x:c r="S201" s="20" t="n">
        <x:f>J201/F201</x:f>
        <x:v>0</x:v>
      </x:c>
      <x:c r="T201" s="20" t="n">
        <x:f>K201/F201</x:f>
        <x:v>0</x:v>
      </x:c>
      <x:c r="U201" s="20" t="n">
        <x:f>L201/F201</x:f>
        <x:v>0.1</x:v>
      </x:c>
      <x:c r="V201" s="20" t="n">
        <x:f>IF(L201=0,0,M201/L201)</x:f>
        <x:v>1</x:v>
      </x:c>
      <x:c r="W201" s="20" t="n">
        <x:f>SUM(P$170:P201)</x:f>
        <x:v>24.700000000000003</x:v>
      </x:c>
      <x:c r="X201" s="2" t="n">
        <x:f>E201+Supuestos!$C$15</x:f>
        <x:v>32</x:v>
      </x:c>
      <x:c r="Y201" s="2" t="n">
        <x:f>F201-G201</x:f>
        <x:v>9</x:v>
      </x:c>
      <x:c r="Z201" s="2" t="str">
        <x:v>simulado_didactico</x:v>
      </x:c>
    </x:row>
    <x:row r="202" ht="19" customHeight="1">
      <x:c r="A202" s="2" t="str">
        <x:v>BB_L8</x:v>
      </x:c>
      <x:c r="B202" s="2" t="str">
        <x:v>BB</x:v>
      </x:c>
      <x:c r="C202" s="2" t="str">
        <x:v>Brevicoryne brassicae</x:v>
      </x:c>
      <x:c r="D202" s="2" t="str">
        <x:v>L8</x:v>
      </x:c>
      <x:c r="E202" s="2" t="n">
        <x:v>32</x:v>
      </x:c>
      <x:c r="F202" s="2" t="n">
        <x:f>COUNTA(E2_plantas!A10,E2_plantas!A11,E2_plantas!A22,E2_plantas!A23,E2_plantas!A34,E2_plantas!A35,E2_plantas!A46,E2_plantas!A47,E2_plantas!A58,E2_plantas!A59)</x:f>
        <x:v>10</x:v>
      </x:c>
      <x:c r="G202" s="2" t="n">
        <x:f>SUM(E2_diario!K370,E2_diario!K412,E2_diario!K874,E2_diario!K916,E2_diario!K1378,E2_diario!K1420,E2_diario!K1882,E2_diario!K1924,E2_diario!K2386,E2_diario!K2428)</x:f>
        <x:v>1</x:v>
      </x:c>
      <x:c r="H202" s="2" t="n">
        <x:f>SUM(IF(E2_diario!J370="N1",1,0),IF(E2_diario!J412="N1",1,0),IF(E2_diario!J874="N1",1,0),IF(E2_diario!J916="N1",1,0),IF(E2_diario!J1378="N1",1,0),IF(E2_diario!J1420="N1",1,0),IF(E2_diario!J1882="N1",1,0),IF(E2_diario!J1924="N1",1,0),IF(E2_diario!J2386="N1",1,0),IF(E2_diario!J2428="N1",1,0))</x:f>
        <x:v>0</x:v>
      </x:c>
      <x:c r="I202" s="2" t="n">
        <x:f>SUM(IF(E2_diario!J370="N2",1,0),IF(E2_diario!J412="N2",1,0),IF(E2_diario!J874="N2",1,0),IF(E2_diario!J916="N2",1,0),IF(E2_diario!J1378="N2",1,0),IF(E2_diario!J1420="N2",1,0),IF(E2_diario!J1882="N2",1,0),IF(E2_diario!J1924="N2",1,0),IF(E2_diario!J2386="N2",1,0),IF(E2_diario!J2428="N2",1,0))</x:f>
        <x:v>0</x:v>
      </x:c>
      <x:c r="J202" s="2" t="n">
        <x:f>SUM(IF(E2_diario!J370="N3",1,0),IF(E2_diario!J412="N3",1,0),IF(E2_diario!J874="N3",1,0),IF(E2_diario!J916="N3",1,0),IF(E2_diario!J1378="N3",1,0),IF(E2_diario!J1420="N3",1,0),IF(E2_diario!J1882="N3",1,0),IF(E2_diario!J1924="N3",1,0),IF(E2_diario!J2386="N3",1,0),IF(E2_diario!J2428="N3",1,0))</x:f>
        <x:v>0</x:v>
      </x:c>
      <x:c r="K202" s="2" t="n">
        <x:f>SUM(IF(E2_diario!J370="N4",1,0),IF(E2_diario!J412="N4",1,0),IF(E2_diario!J874="N4",1,0),IF(E2_diario!J916="N4",1,0),IF(E2_diario!J1378="N4",1,0),IF(E2_diario!J1420="N4",1,0),IF(E2_diario!J1882="N4",1,0),IF(E2_diario!J1924="N4",1,0),IF(E2_diario!J2386="N4",1,0),IF(E2_diario!J2428="N4",1,0))</x:f>
        <x:v>0</x:v>
      </x:c>
      <x:c r="L202" s="2" t="n">
        <x:f>SUM(IF(E2_diario!J370="adulta",1,0),IF(E2_diario!J412="adulta",1,0),IF(E2_diario!J874="adulta",1,0),IF(E2_diario!J916="adulta",1,0),IF(E2_diario!J1378="adulta",1,0),IF(E2_diario!J1420="adulta",1,0),IF(E2_diario!J1882="adulta",1,0),IF(E2_diario!J1924="adulta",1,0),IF(E2_diario!J2386="adulta",1,0),IF(E2_diario!J2428="adulta",1,0))</x:f>
        <x:v>1</x:v>
      </x:c>
      <x:c r="M202" s="2" t="n">
        <x:f>SUM(E2_diario!L370,E2_diario!L412,E2_diario!L874,E2_diario!L916,E2_diario!L1378,E2_diario!L1420,E2_diario!L1882,E2_diario!L1924,E2_diario!L2386,E2_diario!L2428)</x:f>
        <x:v>2</x:v>
      </x:c>
      <x:c r="N202" s="20" t="n">
        <x:f>G202/F202</x:f>
        <x:v>0.1</x:v>
      </x:c>
      <x:c r="O202" s="20" t="n">
        <x:f>IF(G202=0,0,M202/G202)</x:f>
        <x:v>2</x:v>
      </x:c>
      <x:c r="P202" s="20" t="n">
        <x:f>N202*O202</x:f>
        <x:v>0.2</x:v>
      </x:c>
      <x:c r="Q202" s="20" t="n">
        <x:f>H202/F202</x:f>
        <x:v>0</x:v>
      </x:c>
      <x:c r="R202" s="20" t="n">
        <x:f>I202/F202</x:f>
        <x:v>0</x:v>
      </x:c>
      <x:c r="S202" s="20" t="n">
        <x:f>J202/F202</x:f>
        <x:v>0</x:v>
      </x:c>
      <x:c r="T202" s="20" t="n">
        <x:f>K202/F202</x:f>
        <x:v>0</x:v>
      </x:c>
      <x:c r="U202" s="20" t="n">
        <x:f>L202/F202</x:f>
        <x:v>0.1</x:v>
      </x:c>
      <x:c r="V202" s="20" t="n">
        <x:f>IF(L202=0,0,M202/L202)</x:f>
        <x:v>2</x:v>
      </x:c>
      <x:c r="W202" s="20" t="n">
        <x:f>SUM(P$170:P202)</x:f>
        <x:v>24.900000000000002</x:v>
      </x:c>
      <x:c r="X202" s="2" t="n">
        <x:f>E202+Supuestos!$C$15</x:f>
        <x:v>33</x:v>
      </x:c>
      <x:c r="Y202" s="2" t="n">
        <x:f>F202-G202</x:f>
        <x:v>9</x:v>
      </x:c>
      <x:c r="Z202" s="2" t="str">
        <x:v>simulado_didactico</x:v>
      </x:c>
    </x:row>
    <x:row r="203" ht="19" customHeight="1">
      <x:c r="A203" s="2" t="str">
        <x:v>BB_L8</x:v>
      </x:c>
      <x:c r="B203" s="2" t="str">
        <x:v>BB</x:v>
      </x:c>
      <x:c r="C203" s="2" t="str">
        <x:v>Brevicoryne brassicae</x:v>
      </x:c>
      <x:c r="D203" s="2" t="str">
        <x:v>L8</x:v>
      </x:c>
      <x:c r="E203" s="2" t="n">
        <x:v>33</x:v>
      </x:c>
      <x:c r="F203" s="2" t="n">
        <x:f>COUNTA(E2_plantas!A10,E2_plantas!A11,E2_plantas!A22,E2_plantas!A23,E2_plantas!A34,E2_plantas!A35,E2_plantas!A46,E2_plantas!A47,E2_plantas!A58,E2_plantas!A59)</x:f>
        <x:v>10</x:v>
      </x:c>
      <x:c r="G203" s="2" t="n">
        <x:f>SUM(E2_diario!K371,E2_diario!K413,E2_diario!K875,E2_diario!K917,E2_diario!K1379,E2_diario!K1421,E2_diario!K1883,E2_diario!K1925,E2_diario!K2387,E2_diario!K2429)</x:f>
        <x:v>1</x:v>
      </x:c>
      <x:c r="H203" s="2" t="n">
        <x:f>SUM(IF(E2_diario!J371="N1",1,0),IF(E2_diario!J413="N1",1,0),IF(E2_diario!J875="N1",1,0),IF(E2_diario!J917="N1",1,0),IF(E2_diario!J1379="N1",1,0),IF(E2_diario!J1421="N1",1,0),IF(E2_diario!J1883="N1",1,0),IF(E2_diario!J1925="N1",1,0),IF(E2_diario!J2387="N1",1,0),IF(E2_diario!J2429="N1",1,0))</x:f>
        <x:v>0</x:v>
      </x:c>
      <x:c r="I203" s="2" t="n">
        <x:f>SUM(IF(E2_diario!J371="N2",1,0),IF(E2_diario!J413="N2",1,0),IF(E2_diario!J875="N2",1,0),IF(E2_diario!J917="N2",1,0),IF(E2_diario!J1379="N2",1,0),IF(E2_diario!J1421="N2",1,0),IF(E2_diario!J1883="N2",1,0),IF(E2_diario!J1925="N2",1,0),IF(E2_diario!J2387="N2",1,0),IF(E2_diario!J2429="N2",1,0))</x:f>
        <x:v>0</x:v>
      </x:c>
      <x:c r="J203" s="2" t="n">
        <x:f>SUM(IF(E2_diario!J371="N3",1,0),IF(E2_diario!J413="N3",1,0),IF(E2_diario!J875="N3",1,0),IF(E2_diario!J917="N3",1,0),IF(E2_diario!J1379="N3",1,0),IF(E2_diario!J1421="N3",1,0),IF(E2_diario!J1883="N3",1,0),IF(E2_diario!J1925="N3",1,0),IF(E2_diario!J2387="N3",1,0),IF(E2_diario!J2429="N3",1,0))</x:f>
        <x:v>0</x:v>
      </x:c>
      <x:c r="K203" s="2" t="n">
        <x:f>SUM(IF(E2_diario!J371="N4",1,0),IF(E2_diario!J413="N4",1,0),IF(E2_diario!J875="N4",1,0),IF(E2_diario!J917="N4",1,0),IF(E2_diario!J1379="N4",1,0),IF(E2_diario!J1421="N4",1,0),IF(E2_diario!J1883="N4",1,0),IF(E2_diario!J1925="N4",1,0),IF(E2_diario!J2387="N4",1,0),IF(E2_diario!J2429="N4",1,0))</x:f>
        <x:v>0</x:v>
      </x:c>
      <x:c r="L203" s="2" t="n">
        <x:f>SUM(IF(E2_diario!J371="adulta",1,0),IF(E2_diario!J413="adulta",1,0),IF(E2_diario!J875="adulta",1,0),IF(E2_diario!J917="adulta",1,0),IF(E2_diario!J1379="adulta",1,0),IF(E2_diario!J1421="adulta",1,0),IF(E2_diario!J1883="adulta",1,0),IF(E2_diario!J1925="adulta",1,0),IF(E2_diario!J2387="adulta",1,0),IF(E2_diario!J2429="adulta",1,0))</x:f>
        <x:v>1</x:v>
      </x:c>
      <x:c r="M203" s="2" t="n">
        <x:f>SUM(E2_diario!L371,E2_diario!L413,E2_diario!L875,E2_diario!L917,E2_diario!L1379,E2_diario!L1421,E2_diario!L1883,E2_diario!L1925,E2_diario!L2387,E2_diario!L2429)</x:f>
        <x:v>0</x:v>
      </x:c>
      <x:c r="N203" s="20" t="n">
        <x:f>G203/F203</x:f>
        <x:v>0.1</x:v>
      </x:c>
      <x:c r="O203" s="20" t="n">
        <x:f>IF(G203=0,0,M203/G203)</x:f>
        <x:v>0</x:v>
      </x:c>
      <x:c r="P203" s="20" t="n">
        <x:f>N203*O203</x:f>
        <x:v>0</x:v>
      </x:c>
      <x:c r="Q203" s="20" t="n">
        <x:f>H203/F203</x:f>
        <x:v>0</x:v>
      </x:c>
      <x:c r="R203" s="20" t="n">
        <x:f>I203/F203</x:f>
        <x:v>0</x:v>
      </x:c>
      <x:c r="S203" s="20" t="n">
        <x:f>J203/F203</x:f>
        <x:v>0</x:v>
      </x:c>
      <x:c r="T203" s="20" t="n">
        <x:f>K203/F203</x:f>
        <x:v>0</x:v>
      </x:c>
      <x:c r="U203" s="20" t="n">
        <x:f>L203/F203</x:f>
        <x:v>0.1</x:v>
      </x:c>
      <x:c r="V203" s="20" t="n">
        <x:f>IF(L203=0,0,M203/L203)</x:f>
        <x:v>0</x:v>
      </x:c>
      <x:c r="W203" s="20" t="n">
        <x:f>SUM(P$170:P203)</x:f>
        <x:v>24.900000000000002</x:v>
      </x:c>
      <x:c r="X203" s="2" t="n">
        <x:f>E203+Supuestos!$C$15</x:f>
        <x:v>34</x:v>
      </x:c>
      <x:c r="Y203" s="2" t="n">
        <x:f>F203-G203</x:f>
        <x:v>9</x:v>
      </x:c>
      <x:c r="Z203" s="2" t="str">
        <x:v>simulado_didactico</x:v>
      </x:c>
    </x:row>
    <x:row r="204" ht="19" customHeight="1">
      <x:c r="A204" s="2" t="str">
        <x:v>BB_L8</x:v>
      </x:c>
      <x:c r="B204" s="2" t="str">
        <x:v>BB</x:v>
      </x:c>
      <x:c r="C204" s="2" t="str">
        <x:v>Brevicoryne brassicae</x:v>
      </x:c>
      <x:c r="D204" s="2" t="str">
        <x:v>L8</x:v>
      </x:c>
      <x:c r="E204" s="2" t="n">
        <x:v>34</x:v>
      </x:c>
      <x:c r="F204" s="2" t="n">
        <x:f>COUNTA(E2_plantas!A10,E2_plantas!A11,E2_plantas!A22,E2_plantas!A23,E2_plantas!A34,E2_plantas!A35,E2_plantas!A46,E2_plantas!A47,E2_plantas!A58,E2_plantas!A59)</x:f>
        <x:v>10</x:v>
      </x:c>
      <x:c r="G204" s="2" t="n">
        <x:f>SUM(E2_diario!K372,E2_diario!K414,E2_diario!K876,E2_diario!K918,E2_diario!K1380,E2_diario!K1422,E2_diario!K1884,E2_diario!K1926,E2_diario!K2388,E2_diario!K2430)</x:f>
        <x:v>1</x:v>
      </x:c>
      <x:c r="H204" s="2" t="n">
        <x:f>SUM(IF(E2_diario!J372="N1",1,0),IF(E2_diario!J414="N1",1,0),IF(E2_diario!J876="N1",1,0),IF(E2_diario!J918="N1",1,0),IF(E2_diario!J1380="N1",1,0),IF(E2_diario!J1422="N1",1,0),IF(E2_diario!J1884="N1",1,0),IF(E2_diario!J1926="N1",1,0),IF(E2_diario!J2388="N1",1,0),IF(E2_diario!J2430="N1",1,0))</x:f>
        <x:v>0</x:v>
      </x:c>
      <x:c r="I204" s="2" t="n">
        <x:f>SUM(IF(E2_diario!J372="N2",1,0),IF(E2_diario!J414="N2",1,0),IF(E2_diario!J876="N2",1,0),IF(E2_diario!J918="N2",1,0),IF(E2_diario!J1380="N2",1,0),IF(E2_diario!J1422="N2",1,0),IF(E2_diario!J1884="N2",1,0),IF(E2_diario!J1926="N2",1,0),IF(E2_diario!J2388="N2",1,0),IF(E2_diario!J2430="N2",1,0))</x:f>
        <x:v>0</x:v>
      </x:c>
      <x:c r="J204" s="2" t="n">
        <x:f>SUM(IF(E2_diario!J372="N3",1,0),IF(E2_diario!J414="N3",1,0),IF(E2_diario!J876="N3",1,0),IF(E2_diario!J918="N3",1,0),IF(E2_diario!J1380="N3",1,0),IF(E2_diario!J1422="N3",1,0),IF(E2_diario!J1884="N3",1,0),IF(E2_diario!J1926="N3",1,0),IF(E2_diario!J2388="N3",1,0),IF(E2_diario!J2430="N3",1,0))</x:f>
        <x:v>0</x:v>
      </x:c>
      <x:c r="K204" s="2" t="n">
        <x:f>SUM(IF(E2_diario!J372="N4",1,0),IF(E2_diario!J414="N4",1,0),IF(E2_diario!J876="N4",1,0),IF(E2_diario!J918="N4",1,0),IF(E2_diario!J1380="N4",1,0),IF(E2_diario!J1422="N4",1,0),IF(E2_diario!J1884="N4",1,0),IF(E2_diario!J1926="N4",1,0),IF(E2_diario!J2388="N4",1,0),IF(E2_diario!J2430="N4",1,0))</x:f>
        <x:v>0</x:v>
      </x:c>
      <x:c r="L204" s="2" t="n">
        <x:f>SUM(IF(E2_diario!J372="adulta",1,0),IF(E2_diario!J414="adulta",1,0),IF(E2_diario!J876="adulta",1,0),IF(E2_diario!J918="adulta",1,0),IF(E2_diario!J1380="adulta",1,0),IF(E2_diario!J1422="adulta",1,0),IF(E2_diario!J1884="adulta",1,0),IF(E2_diario!J1926="adulta",1,0),IF(E2_diario!J2388="adulta",1,0),IF(E2_diario!J2430="adulta",1,0))</x:f>
        <x:v>1</x:v>
      </x:c>
      <x:c r="M204" s="2" t="n">
        <x:f>SUM(E2_diario!L372,E2_diario!L414,E2_diario!L876,E2_diario!L918,E2_diario!L1380,E2_diario!L1422,E2_diario!L1884,E2_diario!L1926,E2_diario!L2388,E2_diario!L2430)</x:f>
        <x:v>0</x:v>
      </x:c>
      <x:c r="N204" s="20" t="n">
        <x:f>G204/F204</x:f>
        <x:v>0.1</x:v>
      </x:c>
      <x:c r="O204" s="20" t="n">
        <x:f>IF(G204=0,0,M204/G204)</x:f>
        <x:v>0</x:v>
      </x:c>
      <x:c r="P204" s="20" t="n">
        <x:f>N204*O204</x:f>
        <x:v>0</x:v>
      </x:c>
      <x:c r="Q204" s="20" t="n">
        <x:f>H204/F204</x:f>
        <x:v>0</x:v>
      </x:c>
      <x:c r="R204" s="20" t="n">
        <x:f>I204/F204</x:f>
        <x:v>0</x:v>
      </x:c>
      <x:c r="S204" s="20" t="n">
        <x:f>J204/F204</x:f>
        <x:v>0</x:v>
      </x:c>
      <x:c r="T204" s="20" t="n">
        <x:f>K204/F204</x:f>
        <x:v>0</x:v>
      </x:c>
      <x:c r="U204" s="20" t="n">
        <x:f>L204/F204</x:f>
        <x:v>0.1</x:v>
      </x:c>
      <x:c r="V204" s="20" t="n">
        <x:f>IF(L204=0,0,M204/L204)</x:f>
        <x:v>0</x:v>
      </x:c>
      <x:c r="W204" s="20" t="n">
        <x:f>SUM(P$170:P204)</x:f>
        <x:v>24.900000000000002</x:v>
      </x:c>
      <x:c r="X204" s="2" t="n">
        <x:f>E204+Supuestos!$C$15</x:f>
        <x:v>35</x:v>
      </x:c>
      <x:c r="Y204" s="2" t="n">
        <x:f>F204-G204</x:f>
        <x:v>9</x:v>
      </x:c>
      <x:c r="Z204" s="2" t="str">
        <x:v>simulado_didactico</x:v>
      </x:c>
    </x:row>
    <x:row r="205" ht="19" customHeight="1">
      <x:c r="A205" s="2" t="str">
        <x:v>BB_L8</x:v>
      </x:c>
      <x:c r="B205" s="2" t="str">
        <x:v>BB</x:v>
      </x:c>
      <x:c r="C205" s="2" t="str">
        <x:v>Brevicoryne brassicae</x:v>
      </x:c>
      <x:c r="D205" s="2" t="str">
        <x:v>L8</x:v>
      </x:c>
      <x:c r="E205" s="2" t="n">
        <x:v>35</x:v>
      </x:c>
      <x:c r="F205" s="2" t="n">
        <x:f>COUNTA(E2_plantas!A10,E2_plantas!A11,E2_plantas!A22,E2_plantas!A23,E2_plantas!A34,E2_plantas!A35,E2_plantas!A46,E2_plantas!A47,E2_plantas!A58,E2_plantas!A59)</x:f>
        <x:v>10</x:v>
      </x:c>
      <x:c r="G205" s="2" t="n">
        <x:f>SUM(E2_diario!K373,E2_diario!K415,E2_diario!K877,E2_diario!K919,E2_diario!K1381,E2_diario!K1423,E2_diario!K1885,E2_diario!K1927,E2_diario!K2389,E2_diario!K2431)</x:f>
        <x:v>0</x:v>
      </x:c>
      <x:c r="H205" s="2" t="n">
        <x:f>SUM(IF(E2_diario!J373="N1",1,0),IF(E2_diario!J415="N1",1,0),IF(E2_diario!J877="N1",1,0),IF(E2_diario!J919="N1",1,0),IF(E2_diario!J1381="N1",1,0),IF(E2_diario!J1423="N1",1,0),IF(E2_diario!J1885="N1",1,0),IF(E2_diario!J1927="N1",1,0),IF(E2_diario!J2389="N1",1,0),IF(E2_diario!J2431="N1",1,0))</x:f>
        <x:v>0</x:v>
      </x:c>
      <x:c r="I205" s="2" t="n">
        <x:f>SUM(IF(E2_diario!J373="N2",1,0),IF(E2_diario!J415="N2",1,0),IF(E2_diario!J877="N2",1,0),IF(E2_diario!J919="N2",1,0),IF(E2_diario!J1381="N2",1,0),IF(E2_diario!J1423="N2",1,0),IF(E2_diario!J1885="N2",1,0),IF(E2_diario!J1927="N2",1,0),IF(E2_diario!J2389="N2",1,0),IF(E2_diario!J2431="N2",1,0))</x:f>
        <x:v>0</x:v>
      </x:c>
      <x:c r="J205" s="2" t="n">
        <x:f>SUM(IF(E2_diario!J373="N3",1,0),IF(E2_diario!J415="N3",1,0),IF(E2_diario!J877="N3",1,0),IF(E2_diario!J919="N3",1,0),IF(E2_diario!J1381="N3",1,0),IF(E2_diario!J1423="N3",1,0),IF(E2_diario!J1885="N3",1,0),IF(E2_diario!J1927="N3",1,0),IF(E2_diario!J2389="N3",1,0),IF(E2_diario!J2431="N3",1,0))</x:f>
        <x:v>0</x:v>
      </x:c>
      <x:c r="K205" s="2" t="n">
        <x:f>SUM(IF(E2_diario!J373="N4",1,0),IF(E2_diario!J415="N4",1,0),IF(E2_diario!J877="N4",1,0),IF(E2_diario!J919="N4",1,0),IF(E2_diario!J1381="N4",1,0),IF(E2_diario!J1423="N4",1,0),IF(E2_diario!J1885="N4",1,0),IF(E2_diario!J1927="N4",1,0),IF(E2_diario!J2389="N4",1,0),IF(E2_diario!J2431="N4",1,0))</x:f>
        <x:v>0</x:v>
      </x:c>
      <x:c r="L205" s="2" t="n">
        <x:f>SUM(IF(E2_diario!J373="adulta",1,0),IF(E2_diario!J415="adulta",1,0),IF(E2_diario!J877="adulta",1,0),IF(E2_diario!J919="adulta",1,0),IF(E2_diario!J1381="adulta",1,0),IF(E2_diario!J1423="adulta",1,0),IF(E2_diario!J1885="adulta",1,0),IF(E2_diario!J1927="adulta",1,0),IF(E2_diario!J2389="adulta",1,0),IF(E2_diario!J2431="adulta",1,0))</x:f>
        <x:v>0</x:v>
      </x:c>
      <x:c r="M205" s="2" t="n">
        <x:f>SUM(E2_diario!L373,E2_diario!L415,E2_diario!L877,E2_diario!L919,E2_diario!L1381,E2_diario!L1423,E2_diario!L1885,E2_diario!L1927,E2_diario!L2389,E2_diario!L2431)</x:f>
        <x:v>0</x:v>
      </x:c>
      <x:c r="N205" s="20" t="n">
        <x:f>G205/F205</x:f>
        <x:v>0</x:v>
      </x:c>
      <x:c r="O205" s="20" t="n">
        <x:f>IF(G205=0,0,M205/G205)</x:f>
        <x:v>0</x:v>
      </x:c>
      <x:c r="P205" s="20" t="n">
        <x:f>N205*O205</x:f>
        <x:v>0</x:v>
      </x:c>
      <x:c r="Q205" s="20" t="n">
        <x:f>H205/F205</x:f>
        <x:v>0</x:v>
      </x:c>
      <x:c r="R205" s="20" t="n">
        <x:f>I205/F205</x:f>
        <x:v>0</x:v>
      </x:c>
      <x:c r="S205" s="20" t="n">
        <x:f>J205/F205</x:f>
        <x:v>0</x:v>
      </x:c>
      <x:c r="T205" s="20" t="n">
        <x:f>K205/F205</x:f>
        <x:v>0</x:v>
      </x:c>
      <x:c r="U205" s="20" t="n">
        <x:f>L205/F205</x:f>
        <x:v>0</x:v>
      </x:c>
      <x:c r="V205" s="20" t="n">
        <x:f>IF(L205=0,0,M205/L205)</x:f>
        <x:v>0</x:v>
      </x:c>
      <x:c r="W205" s="20" t="n">
        <x:f>SUM(P$170:P205)</x:f>
        <x:v>24.900000000000002</x:v>
      </x:c>
      <x:c r="X205" s="2" t="n">
        <x:f>E205+Supuestos!$C$15</x:f>
        <x:v>36</x:v>
      </x:c>
      <x:c r="Y205" s="2" t="n">
        <x:f>F205-G205</x:f>
        <x:v>10</x:v>
      </x:c>
      <x:c r="Z205" s="2" t="str">
        <x:v>simulado_didactico</x:v>
      </x:c>
    </x:row>
    <x:row r="206" ht="19" customHeight="1">
      <x:c r="A206" s="2" t="str">
        <x:v>BB_L8</x:v>
      </x:c>
      <x:c r="B206" s="2" t="str">
        <x:v>BB</x:v>
      </x:c>
      <x:c r="C206" s="2" t="str">
        <x:v>Brevicoryne brassicae</x:v>
      </x:c>
      <x:c r="D206" s="2" t="str">
        <x:v>L8</x:v>
      </x:c>
      <x:c r="E206" s="2" t="n">
        <x:v>36</x:v>
      </x:c>
      <x:c r="F206" s="2" t="n">
        <x:f>COUNTA(E2_plantas!A10,E2_plantas!A11,E2_plantas!A22,E2_plantas!A23,E2_plantas!A34,E2_plantas!A35,E2_plantas!A46,E2_plantas!A47,E2_plantas!A58,E2_plantas!A59)</x:f>
        <x:v>10</x:v>
      </x:c>
      <x:c r="G206" s="2" t="n">
        <x:f>SUM(E2_diario!K374,E2_diario!K416,E2_diario!K878,E2_diario!K920,E2_diario!K1382,E2_diario!K1424,E2_diario!K1886,E2_diario!K1928,E2_diario!K2390,E2_diario!K2432)</x:f>
        <x:v>0</x:v>
      </x:c>
      <x:c r="H206" s="2" t="n">
        <x:f>SUM(IF(E2_diario!J374="N1",1,0),IF(E2_diario!J416="N1",1,0),IF(E2_diario!J878="N1",1,0),IF(E2_diario!J920="N1",1,0),IF(E2_diario!J1382="N1",1,0),IF(E2_diario!J1424="N1",1,0),IF(E2_diario!J1886="N1",1,0),IF(E2_diario!J1928="N1",1,0),IF(E2_diario!J2390="N1",1,0),IF(E2_diario!J2432="N1",1,0))</x:f>
        <x:v>0</x:v>
      </x:c>
      <x:c r="I206" s="2" t="n">
        <x:f>SUM(IF(E2_diario!J374="N2",1,0),IF(E2_diario!J416="N2",1,0),IF(E2_diario!J878="N2",1,0),IF(E2_diario!J920="N2",1,0),IF(E2_diario!J1382="N2",1,0),IF(E2_diario!J1424="N2",1,0),IF(E2_diario!J1886="N2",1,0),IF(E2_diario!J1928="N2",1,0),IF(E2_diario!J2390="N2",1,0),IF(E2_diario!J2432="N2",1,0))</x:f>
        <x:v>0</x:v>
      </x:c>
      <x:c r="J206" s="2" t="n">
        <x:f>SUM(IF(E2_diario!J374="N3",1,0),IF(E2_diario!J416="N3",1,0),IF(E2_diario!J878="N3",1,0),IF(E2_diario!J920="N3",1,0),IF(E2_diario!J1382="N3",1,0),IF(E2_diario!J1424="N3",1,0),IF(E2_diario!J1886="N3",1,0),IF(E2_diario!J1928="N3",1,0),IF(E2_diario!J2390="N3",1,0),IF(E2_diario!J2432="N3",1,0))</x:f>
        <x:v>0</x:v>
      </x:c>
      <x:c r="K206" s="2" t="n">
        <x:f>SUM(IF(E2_diario!J374="N4",1,0),IF(E2_diario!J416="N4",1,0),IF(E2_diario!J878="N4",1,0),IF(E2_diario!J920="N4",1,0),IF(E2_diario!J1382="N4",1,0),IF(E2_diario!J1424="N4",1,0),IF(E2_diario!J1886="N4",1,0),IF(E2_diario!J1928="N4",1,0),IF(E2_diario!J2390="N4",1,0),IF(E2_diario!J2432="N4",1,0))</x:f>
        <x:v>0</x:v>
      </x:c>
      <x:c r="L206" s="2" t="n">
        <x:f>SUM(IF(E2_diario!J374="adulta",1,0),IF(E2_diario!J416="adulta",1,0),IF(E2_diario!J878="adulta",1,0),IF(E2_diario!J920="adulta",1,0),IF(E2_diario!J1382="adulta",1,0),IF(E2_diario!J1424="adulta",1,0),IF(E2_diario!J1886="adulta",1,0),IF(E2_diario!J1928="adulta",1,0),IF(E2_diario!J2390="adulta",1,0),IF(E2_diario!J2432="adulta",1,0))</x:f>
        <x:v>0</x:v>
      </x:c>
      <x:c r="M206" s="2" t="n">
        <x:f>SUM(E2_diario!L374,E2_diario!L416,E2_diario!L878,E2_diario!L920,E2_diario!L1382,E2_diario!L1424,E2_diario!L1886,E2_diario!L1928,E2_diario!L2390,E2_diario!L2432)</x:f>
        <x:v>0</x:v>
      </x:c>
      <x:c r="N206" s="20" t="n">
        <x:f>G206/F206</x:f>
        <x:v>0</x:v>
      </x:c>
      <x:c r="O206" s="20" t="n">
        <x:f>IF(G206=0,0,M206/G206)</x:f>
        <x:v>0</x:v>
      </x:c>
      <x:c r="P206" s="20" t="n">
        <x:f>N206*O206</x:f>
        <x:v>0</x:v>
      </x:c>
      <x:c r="Q206" s="20" t="n">
        <x:f>H206/F206</x:f>
        <x:v>0</x:v>
      </x:c>
      <x:c r="R206" s="20" t="n">
        <x:f>I206/F206</x:f>
        <x:v>0</x:v>
      </x:c>
      <x:c r="S206" s="20" t="n">
        <x:f>J206/F206</x:f>
        <x:v>0</x:v>
      </x:c>
      <x:c r="T206" s="20" t="n">
        <x:f>K206/F206</x:f>
        <x:v>0</x:v>
      </x:c>
      <x:c r="U206" s="20" t="n">
        <x:f>L206/F206</x:f>
        <x:v>0</x:v>
      </x:c>
      <x:c r="V206" s="20" t="n">
        <x:f>IF(L206=0,0,M206/L206)</x:f>
        <x:v>0</x:v>
      </x:c>
      <x:c r="W206" s="20" t="n">
        <x:f>SUM(P$170:P206)</x:f>
        <x:v>24.900000000000002</x:v>
      </x:c>
      <x:c r="X206" s="2" t="n">
        <x:f>E206+Supuestos!$C$15</x:f>
        <x:v>37</x:v>
      </x:c>
      <x:c r="Y206" s="2" t="n">
        <x:f>F206-G206</x:f>
        <x:v>10</x:v>
      </x:c>
      <x:c r="Z206" s="2" t="str">
        <x:v>simulado_didactico</x:v>
      </x:c>
    </x:row>
    <x:row r="207" ht="19" customHeight="1">
      <x:c r="A207" s="2" t="str">
        <x:v>BB_L8</x:v>
      </x:c>
      <x:c r="B207" s="2" t="str">
        <x:v>BB</x:v>
      </x:c>
      <x:c r="C207" s="2" t="str">
        <x:v>Brevicoryne brassicae</x:v>
      </x:c>
      <x:c r="D207" s="2" t="str">
        <x:v>L8</x:v>
      </x:c>
      <x:c r="E207" s="2" t="n">
        <x:v>37</x:v>
      </x:c>
      <x:c r="F207" s="2" t="n">
        <x:f>COUNTA(E2_plantas!A10,E2_plantas!A11,E2_plantas!A22,E2_plantas!A23,E2_plantas!A34,E2_plantas!A35,E2_plantas!A46,E2_plantas!A47,E2_plantas!A58,E2_plantas!A59)</x:f>
        <x:v>10</x:v>
      </x:c>
      <x:c r="G207" s="2" t="n">
        <x:f>SUM(E2_diario!K375,E2_diario!K417,E2_diario!K879,E2_diario!K921,E2_diario!K1383,E2_diario!K1425,E2_diario!K1887,E2_diario!K1929,E2_diario!K2391,E2_diario!K2433)</x:f>
        <x:v>0</x:v>
      </x:c>
      <x:c r="H207" s="2" t="n">
        <x:f>SUM(IF(E2_diario!J375="N1",1,0),IF(E2_diario!J417="N1",1,0),IF(E2_diario!J879="N1",1,0),IF(E2_diario!J921="N1",1,0),IF(E2_diario!J1383="N1",1,0),IF(E2_diario!J1425="N1",1,0),IF(E2_diario!J1887="N1",1,0),IF(E2_diario!J1929="N1",1,0),IF(E2_diario!J2391="N1",1,0),IF(E2_diario!J2433="N1",1,0))</x:f>
        <x:v>0</x:v>
      </x:c>
      <x:c r="I207" s="2" t="n">
        <x:f>SUM(IF(E2_diario!J375="N2",1,0),IF(E2_diario!J417="N2",1,0),IF(E2_diario!J879="N2",1,0),IF(E2_diario!J921="N2",1,0),IF(E2_diario!J1383="N2",1,0),IF(E2_diario!J1425="N2",1,0),IF(E2_diario!J1887="N2",1,0),IF(E2_diario!J1929="N2",1,0),IF(E2_diario!J2391="N2",1,0),IF(E2_diario!J2433="N2",1,0))</x:f>
        <x:v>0</x:v>
      </x:c>
      <x:c r="J207" s="2" t="n">
        <x:f>SUM(IF(E2_diario!J375="N3",1,0),IF(E2_diario!J417="N3",1,0),IF(E2_diario!J879="N3",1,0),IF(E2_diario!J921="N3",1,0),IF(E2_diario!J1383="N3",1,0),IF(E2_diario!J1425="N3",1,0),IF(E2_diario!J1887="N3",1,0),IF(E2_diario!J1929="N3",1,0),IF(E2_diario!J2391="N3",1,0),IF(E2_diario!J2433="N3",1,0))</x:f>
        <x:v>0</x:v>
      </x:c>
      <x:c r="K207" s="2" t="n">
        <x:f>SUM(IF(E2_diario!J375="N4",1,0),IF(E2_diario!J417="N4",1,0),IF(E2_diario!J879="N4",1,0),IF(E2_diario!J921="N4",1,0),IF(E2_diario!J1383="N4",1,0),IF(E2_diario!J1425="N4",1,0),IF(E2_diario!J1887="N4",1,0),IF(E2_diario!J1929="N4",1,0),IF(E2_diario!J2391="N4",1,0),IF(E2_diario!J2433="N4",1,0))</x:f>
        <x:v>0</x:v>
      </x:c>
      <x:c r="L207" s="2" t="n">
        <x:f>SUM(IF(E2_diario!J375="adulta",1,0),IF(E2_diario!J417="adulta",1,0),IF(E2_diario!J879="adulta",1,0),IF(E2_diario!J921="adulta",1,0),IF(E2_diario!J1383="adulta",1,0),IF(E2_diario!J1425="adulta",1,0),IF(E2_diario!J1887="adulta",1,0),IF(E2_diario!J1929="adulta",1,0),IF(E2_diario!J2391="adulta",1,0),IF(E2_diario!J2433="adulta",1,0))</x:f>
        <x:v>0</x:v>
      </x:c>
      <x:c r="M207" s="2" t="n">
        <x:f>SUM(E2_diario!L375,E2_diario!L417,E2_diario!L879,E2_diario!L921,E2_diario!L1383,E2_diario!L1425,E2_diario!L1887,E2_diario!L1929,E2_diario!L2391,E2_diario!L2433)</x:f>
        <x:v>0</x:v>
      </x:c>
      <x:c r="N207" s="20" t="n">
        <x:f>G207/F207</x:f>
        <x:v>0</x:v>
      </x:c>
      <x:c r="O207" s="20" t="n">
        <x:f>IF(G207=0,0,M207/G207)</x:f>
        <x:v>0</x:v>
      </x:c>
      <x:c r="P207" s="20" t="n">
        <x:f>N207*O207</x:f>
        <x:v>0</x:v>
      </x:c>
      <x:c r="Q207" s="20" t="n">
        <x:f>H207/F207</x:f>
        <x:v>0</x:v>
      </x:c>
      <x:c r="R207" s="20" t="n">
        <x:f>I207/F207</x:f>
        <x:v>0</x:v>
      </x:c>
      <x:c r="S207" s="20" t="n">
        <x:f>J207/F207</x:f>
        <x:v>0</x:v>
      </x:c>
      <x:c r="T207" s="20" t="n">
        <x:f>K207/F207</x:f>
        <x:v>0</x:v>
      </x:c>
      <x:c r="U207" s="20" t="n">
        <x:f>L207/F207</x:f>
        <x:v>0</x:v>
      </x:c>
      <x:c r="V207" s="20" t="n">
        <x:f>IF(L207=0,0,M207/L207)</x:f>
        <x:v>0</x:v>
      </x:c>
      <x:c r="W207" s="20" t="n">
        <x:f>SUM(P$170:P207)</x:f>
        <x:v>24.900000000000002</x:v>
      </x:c>
      <x:c r="X207" s="2" t="n">
        <x:f>E207+Supuestos!$C$15</x:f>
        <x:v>38</x:v>
      </x:c>
      <x:c r="Y207" s="2" t="n">
        <x:f>F207-G207</x:f>
        <x:v>10</x:v>
      </x:c>
      <x:c r="Z207" s="2" t="str">
        <x:v>simulado_didactico</x:v>
      </x:c>
    </x:row>
    <x:row r="208" ht="19" customHeight="1">
      <x:c r="A208" s="2" t="str">
        <x:v>BB_L8</x:v>
      </x:c>
      <x:c r="B208" s="2" t="str">
        <x:v>BB</x:v>
      </x:c>
      <x:c r="C208" s="2" t="str">
        <x:v>Brevicoryne brassicae</x:v>
      </x:c>
      <x:c r="D208" s="2" t="str">
        <x:v>L8</x:v>
      </x:c>
      <x:c r="E208" s="2" t="n">
        <x:v>38</x:v>
      </x:c>
      <x:c r="F208" s="2" t="n">
        <x:f>COUNTA(E2_plantas!A10,E2_plantas!A11,E2_plantas!A22,E2_plantas!A23,E2_plantas!A34,E2_plantas!A35,E2_plantas!A46,E2_plantas!A47,E2_plantas!A58,E2_plantas!A59)</x:f>
        <x:v>10</x:v>
      </x:c>
      <x:c r="G208" s="2" t="n">
        <x:f>SUM(E2_diario!K376,E2_diario!K418,E2_diario!K880,E2_diario!K922,E2_diario!K1384,E2_diario!K1426,E2_diario!K1888,E2_diario!K1930,E2_diario!K2392,E2_diario!K2434)</x:f>
        <x:v>0</x:v>
      </x:c>
      <x:c r="H208" s="2" t="n">
        <x:f>SUM(IF(E2_diario!J376="N1",1,0),IF(E2_diario!J418="N1",1,0),IF(E2_diario!J880="N1",1,0),IF(E2_diario!J922="N1",1,0),IF(E2_diario!J1384="N1",1,0),IF(E2_diario!J1426="N1",1,0),IF(E2_diario!J1888="N1",1,0),IF(E2_diario!J1930="N1",1,0),IF(E2_diario!J2392="N1",1,0),IF(E2_diario!J2434="N1",1,0))</x:f>
        <x:v>0</x:v>
      </x:c>
      <x:c r="I208" s="2" t="n">
        <x:f>SUM(IF(E2_diario!J376="N2",1,0),IF(E2_diario!J418="N2",1,0),IF(E2_diario!J880="N2",1,0),IF(E2_diario!J922="N2",1,0),IF(E2_diario!J1384="N2",1,0),IF(E2_diario!J1426="N2",1,0),IF(E2_diario!J1888="N2",1,0),IF(E2_diario!J1930="N2",1,0),IF(E2_diario!J2392="N2",1,0),IF(E2_diario!J2434="N2",1,0))</x:f>
        <x:v>0</x:v>
      </x:c>
      <x:c r="J208" s="2" t="n">
        <x:f>SUM(IF(E2_diario!J376="N3",1,0),IF(E2_diario!J418="N3",1,0),IF(E2_diario!J880="N3",1,0),IF(E2_diario!J922="N3",1,0),IF(E2_diario!J1384="N3",1,0),IF(E2_diario!J1426="N3",1,0),IF(E2_diario!J1888="N3",1,0),IF(E2_diario!J1930="N3",1,0),IF(E2_diario!J2392="N3",1,0),IF(E2_diario!J2434="N3",1,0))</x:f>
        <x:v>0</x:v>
      </x:c>
      <x:c r="K208" s="2" t="n">
        <x:f>SUM(IF(E2_diario!J376="N4",1,0),IF(E2_diario!J418="N4",1,0),IF(E2_diario!J880="N4",1,0),IF(E2_diario!J922="N4",1,0),IF(E2_diario!J1384="N4",1,0),IF(E2_diario!J1426="N4",1,0),IF(E2_diario!J1888="N4",1,0),IF(E2_diario!J1930="N4",1,0),IF(E2_diario!J2392="N4",1,0),IF(E2_diario!J2434="N4",1,0))</x:f>
        <x:v>0</x:v>
      </x:c>
      <x:c r="L208" s="2" t="n">
        <x:f>SUM(IF(E2_diario!J376="adulta",1,0),IF(E2_diario!J418="adulta",1,0),IF(E2_diario!J880="adulta",1,0),IF(E2_diario!J922="adulta",1,0),IF(E2_diario!J1384="adulta",1,0),IF(E2_diario!J1426="adulta",1,0),IF(E2_diario!J1888="adulta",1,0),IF(E2_diario!J1930="adulta",1,0),IF(E2_diario!J2392="adulta",1,0),IF(E2_diario!J2434="adulta",1,0))</x:f>
        <x:v>0</x:v>
      </x:c>
      <x:c r="M208" s="2" t="n">
        <x:f>SUM(E2_diario!L376,E2_diario!L418,E2_diario!L880,E2_diario!L922,E2_diario!L1384,E2_diario!L1426,E2_diario!L1888,E2_diario!L1930,E2_diario!L2392,E2_diario!L2434)</x:f>
        <x:v>0</x:v>
      </x:c>
      <x:c r="N208" s="20" t="n">
        <x:f>G208/F208</x:f>
        <x:v>0</x:v>
      </x:c>
      <x:c r="O208" s="20" t="n">
        <x:f>IF(G208=0,0,M208/G208)</x:f>
        <x:v>0</x:v>
      </x:c>
      <x:c r="P208" s="20" t="n">
        <x:f>N208*O208</x:f>
        <x:v>0</x:v>
      </x:c>
      <x:c r="Q208" s="20" t="n">
        <x:f>H208/F208</x:f>
        <x:v>0</x:v>
      </x:c>
      <x:c r="R208" s="20" t="n">
        <x:f>I208/F208</x:f>
        <x:v>0</x:v>
      </x:c>
      <x:c r="S208" s="20" t="n">
        <x:f>J208/F208</x:f>
        <x:v>0</x:v>
      </x:c>
      <x:c r="T208" s="20" t="n">
        <x:f>K208/F208</x:f>
        <x:v>0</x:v>
      </x:c>
      <x:c r="U208" s="20" t="n">
        <x:f>L208/F208</x:f>
        <x:v>0</x:v>
      </x:c>
      <x:c r="V208" s="20" t="n">
        <x:f>IF(L208=0,0,M208/L208)</x:f>
        <x:v>0</x:v>
      </x:c>
      <x:c r="W208" s="20" t="n">
        <x:f>SUM(P$170:P208)</x:f>
        <x:v>24.900000000000002</x:v>
      </x:c>
      <x:c r="X208" s="2" t="n">
        <x:f>E208+Supuestos!$C$15</x:f>
        <x:v>39</x:v>
      </x:c>
      <x:c r="Y208" s="2" t="n">
        <x:f>F208-G208</x:f>
        <x:v>10</x:v>
      </x:c>
      <x:c r="Z208" s="2" t="str">
        <x:v>simulado_didactico</x:v>
      </x:c>
    </x:row>
    <x:row r="209" ht="19" customHeight="1">
      <x:c r="A209" s="2" t="str">
        <x:v>BB_L8</x:v>
      </x:c>
      <x:c r="B209" s="2" t="str">
        <x:v>BB</x:v>
      </x:c>
      <x:c r="C209" s="2" t="str">
        <x:v>Brevicoryne brassicae</x:v>
      </x:c>
      <x:c r="D209" s="2" t="str">
        <x:v>L8</x:v>
      </x:c>
      <x:c r="E209" s="2" t="n">
        <x:v>39</x:v>
      </x:c>
      <x:c r="F209" s="2" t="n">
        <x:f>COUNTA(E2_plantas!A10,E2_plantas!A11,E2_plantas!A22,E2_plantas!A23,E2_plantas!A34,E2_plantas!A35,E2_plantas!A46,E2_plantas!A47,E2_plantas!A58,E2_plantas!A59)</x:f>
        <x:v>10</x:v>
      </x:c>
      <x:c r="G209" s="2" t="n">
        <x:f>SUM(E2_diario!K377,E2_diario!K419,E2_diario!K881,E2_diario!K923,E2_diario!K1385,E2_diario!K1427,E2_diario!K1889,E2_diario!K1931,E2_diario!K2393,E2_diario!K2435)</x:f>
        <x:v>0</x:v>
      </x:c>
      <x:c r="H209" s="2" t="n">
        <x:f>SUM(IF(E2_diario!J377="N1",1,0),IF(E2_diario!J419="N1",1,0),IF(E2_diario!J881="N1",1,0),IF(E2_diario!J923="N1",1,0),IF(E2_diario!J1385="N1",1,0),IF(E2_diario!J1427="N1",1,0),IF(E2_diario!J1889="N1",1,0),IF(E2_diario!J1931="N1",1,0),IF(E2_diario!J2393="N1",1,0),IF(E2_diario!J2435="N1",1,0))</x:f>
        <x:v>0</x:v>
      </x:c>
      <x:c r="I209" s="2" t="n">
        <x:f>SUM(IF(E2_diario!J377="N2",1,0),IF(E2_diario!J419="N2",1,0),IF(E2_diario!J881="N2",1,0),IF(E2_diario!J923="N2",1,0),IF(E2_diario!J1385="N2",1,0),IF(E2_diario!J1427="N2",1,0),IF(E2_diario!J1889="N2",1,0),IF(E2_diario!J1931="N2",1,0),IF(E2_diario!J2393="N2",1,0),IF(E2_diario!J2435="N2",1,0))</x:f>
        <x:v>0</x:v>
      </x:c>
      <x:c r="J209" s="2" t="n">
        <x:f>SUM(IF(E2_diario!J377="N3",1,0),IF(E2_diario!J419="N3",1,0),IF(E2_diario!J881="N3",1,0),IF(E2_diario!J923="N3",1,0),IF(E2_diario!J1385="N3",1,0),IF(E2_diario!J1427="N3",1,0),IF(E2_diario!J1889="N3",1,0),IF(E2_diario!J1931="N3",1,0),IF(E2_diario!J2393="N3",1,0),IF(E2_diario!J2435="N3",1,0))</x:f>
        <x:v>0</x:v>
      </x:c>
      <x:c r="K209" s="2" t="n">
        <x:f>SUM(IF(E2_diario!J377="N4",1,0),IF(E2_diario!J419="N4",1,0),IF(E2_diario!J881="N4",1,0),IF(E2_diario!J923="N4",1,0),IF(E2_diario!J1385="N4",1,0),IF(E2_diario!J1427="N4",1,0),IF(E2_diario!J1889="N4",1,0),IF(E2_diario!J1931="N4",1,0),IF(E2_diario!J2393="N4",1,0),IF(E2_diario!J2435="N4",1,0))</x:f>
        <x:v>0</x:v>
      </x:c>
      <x:c r="L209" s="2" t="n">
        <x:f>SUM(IF(E2_diario!J377="adulta",1,0),IF(E2_diario!J419="adulta",1,0),IF(E2_diario!J881="adulta",1,0),IF(E2_diario!J923="adulta",1,0),IF(E2_diario!J1385="adulta",1,0),IF(E2_diario!J1427="adulta",1,0),IF(E2_diario!J1889="adulta",1,0),IF(E2_diario!J1931="adulta",1,0),IF(E2_diario!J2393="adulta",1,0),IF(E2_diario!J2435="adulta",1,0))</x:f>
        <x:v>0</x:v>
      </x:c>
      <x:c r="M209" s="2" t="n">
        <x:f>SUM(E2_diario!L377,E2_diario!L419,E2_diario!L881,E2_diario!L923,E2_diario!L1385,E2_diario!L1427,E2_diario!L1889,E2_diario!L1931,E2_diario!L2393,E2_diario!L2435)</x:f>
        <x:v>0</x:v>
      </x:c>
      <x:c r="N209" s="20" t="n">
        <x:f>G209/F209</x:f>
        <x:v>0</x:v>
      </x:c>
      <x:c r="O209" s="20" t="n">
        <x:f>IF(G209=0,0,M209/G209)</x:f>
        <x:v>0</x:v>
      </x:c>
      <x:c r="P209" s="20" t="n">
        <x:f>N209*O209</x:f>
        <x:v>0</x:v>
      </x:c>
      <x:c r="Q209" s="20" t="n">
        <x:f>H209/F209</x:f>
        <x:v>0</x:v>
      </x:c>
      <x:c r="R209" s="20" t="n">
        <x:f>I209/F209</x:f>
        <x:v>0</x:v>
      </x:c>
      <x:c r="S209" s="20" t="n">
        <x:f>J209/F209</x:f>
        <x:v>0</x:v>
      </x:c>
      <x:c r="T209" s="20" t="n">
        <x:f>K209/F209</x:f>
        <x:v>0</x:v>
      </x:c>
      <x:c r="U209" s="20" t="n">
        <x:f>L209/F209</x:f>
        <x:v>0</x:v>
      </x:c>
      <x:c r="V209" s="20" t="n">
        <x:f>IF(L209=0,0,M209/L209)</x:f>
        <x:v>0</x:v>
      </x:c>
      <x:c r="W209" s="20" t="n">
        <x:f>SUM(P$170:P209)</x:f>
        <x:v>24.900000000000002</x:v>
      </x:c>
      <x:c r="X209" s="2" t="n">
        <x:f>E209+Supuestos!$C$15</x:f>
        <x:v>40</x:v>
      </x:c>
      <x:c r="Y209" s="2" t="n">
        <x:f>F209-G209</x:f>
        <x:v>10</x:v>
      </x:c>
      <x:c r="Z209" s="2" t="str">
        <x:v>simulado_didactico</x:v>
      </x:c>
    </x:row>
    <x:row r="210" ht="19" customHeight="1">
      <x:c r="A210" s="2" t="str">
        <x:v>BB_L8</x:v>
      </x:c>
      <x:c r="B210" s="2" t="str">
        <x:v>BB</x:v>
      </x:c>
      <x:c r="C210" s="2" t="str">
        <x:v>Brevicoryne brassicae</x:v>
      </x:c>
      <x:c r="D210" s="2" t="str">
        <x:v>L8</x:v>
      </x:c>
      <x:c r="E210" s="2" t="n">
        <x:v>40</x:v>
      </x:c>
      <x:c r="F210" s="2" t="n">
        <x:f>COUNTA(E2_plantas!A10,E2_plantas!A11,E2_plantas!A22,E2_plantas!A23,E2_plantas!A34,E2_plantas!A35,E2_plantas!A46,E2_plantas!A47,E2_plantas!A58,E2_plantas!A59)</x:f>
        <x:v>10</x:v>
      </x:c>
      <x:c r="G210" s="2" t="n">
        <x:f>SUM(E2_diario!K378,E2_diario!K420,E2_diario!K882,E2_diario!K924,E2_diario!K1386,E2_diario!K1428,E2_diario!K1890,E2_diario!K1932,E2_diario!K2394,E2_diario!K2436)</x:f>
        <x:v>0</x:v>
      </x:c>
      <x:c r="H210" s="2" t="n">
        <x:f>SUM(IF(E2_diario!J378="N1",1,0),IF(E2_diario!J420="N1",1,0),IF(E2_diario!J882="N1",1,0),IF(E2_diario!J924="N1",1,0),IF(E2_diario!J1386="N1",1,0),IF(E2_diario!J1428="N1",1,0),IF(E2_diario!J1890="N1",1,0),IF(E2_diario!J1932="N1",1,0),IF(E2_diario!J2394="N1",1,0),IF(E2_diario!J2436="N1",1,0))</x:f>
        <x:v>0</x:v>
      </x:c>
      <x:c r="I210" s="2" t="n">
        <x:f>SUM(IF(E2_diario!J378="N2",1,0),IF(E2_diario!J420="N2",1,0),IF(E2_diario!J882="N2",1,0),IF(E2_diario!J924="N2",1,0),IF(E2_diario!J1386="N2",1,0),IF(E2_diario!J1428="N2",1,0),IF(E2_diario!J1890="N2",1,0),IF(E2_diario!J1932="N2",1,0),IF(E2_diario!J2394="N2",1,0),IF(E2_diario!J2436="N2",1,0))</x:f>
        <x:v>0</x:v>
      </x:c>
      <x:c r="J210" s="2" t="n">
        <x:f>SUM(IF(E2_diario!J378="N3",1,0),IF(E2_diario!J420="N3",1,0),IF(E2_diario!J882="N3",1,0),IF(E2_diario!J924="N3",1,0),IF(E2_diario!J1386="N3",1,0),IF(E2_diario!J1428="N3",1,0),IF(E2_diario!J1890="N3",1,0),IF(E2_diario!J1932="N3",1,0),IF(E2_diario!J2394="N3",1,0),IF(E2_diario!J2436="N3",1,0))</x:f>
        <x:v>0</x:v>
      </x:c>
      <x:c r="K210" s="2" t="n">
        <x:f>SUM(IF(E2_diario!J378="N4",1,0),IF(E2_diario!J420="N4",1,0),IF(E2_diario!J882="N4",1,0),IF(E2_diario!J924="N4",1,0),IF(E2_diario!J1386="N4",1,0),IF(E2_diario!J1428="N4",1,0),IF(E2_diario!J1890="N4",1,0),IF(E2_diario!J1932="N4",1,0),IF(E2_diario!J2394="N4",1,0),IF(E2_diario!J2436="N4",1,0))</x:f>
        <x:v>0</x:v>
      </x:c>
      <x:c r="L210" s="2" t="n">
        <x:f>SUM(IF(E2_diario!J378="adulta",1,0),IF(E2_diario!J420="adulta",1,0),IF(E2_diario!J882="adulta",1,0),IF(E2_diario!J924="adulta",1,0),IF(E2_diario!J1386="adulta",1,0),IF(E2_diario!J1428="adulta",1,0),IF(E2_diario!J1890="adulta",1,0),IF(E2_diario!J1932="adulta",1,0),IF(E2_diario!J2394="adulta",1,0),IF(E2_diario!J2436="adulta",1,0))</x:f>
        <x:v>0</x:v>
      </x:c>
      <x:c r="M210" s="2" t="n">
        <x:f>SUM(E2_diario!L378,E2_diario!L420,E2_diario!L882,E2_diario!L924,E2_diario!L1386,E2_diario!L1428,E2_diario!L1890,E2_diario!L1932,E2_diario!L2394,E2_diario!L2436)</x:f>
        <x:v>0</x:v>
      </x:c>
      <x:c r="N210" s="20" t="n">
        <x:f>G210/F210</x:f>
        <x:v>0</x:v>
      </x:c>
      <x:c r="O210" s="20" t="n">
        <x:f>IF(G210=0,0,M210/G210)</x:f>
        <x:v>0</x:v>
      </x:c>
      <x:c r="P210" s="20" t="n">
        <x:f>N210*O210</x:f>
        <x:v>0</x:v>
      </x:c>
      <x:c r="Q210" s="20" t="n">
        <x:f>H210/F210</x:f>
        <x:v>0</x:v>
      </x:c>
      <x:c r="R210" s="20" t="n">
        <x:f>I210/F210</x:f>
        <x:v>0</x:v>
      </x:c>
      <x:c r="S210" s="20" t="n">
        <x:f>J210/F210</x:f>
        <x:v>0</x:v>
      </x:c>
      <x:c r="T210" s="20" t="n">
        <x:f>K210/F210</x:f>
        <x:v>0</x:v>
      </x:c>
      <x:c r="U210" s="20" t="n">
        <x:f>L210/F210</x:f>
        <x:v>0</x:v>
      </x:c>
      <x:c r="V210" s="20" t="n">
        <x:f>IF(L210=0,0,M210/L210)</x:f>
        <x:v>0</x:v>
      </x:c>
      <x:c r="W210" s="20" t="n">
        <x:f>SUM(P$170:P210)</x:f>
        <x:v>24.900000000000002</x:v>
      </x:c>
      <x:c r="X210" s="2" t="n">
        <x:f>E210+Supuestos!$C$15</x:f>
        <x:v>41</x:v>
      </x:c>
      <x:c r="Y210" s="2" t="n">
        <x:f>F210-G210</x:f>
        <x:v>10</x:v>
      </x:c>
      <x:c r="Z210" s="2" t="str">
        <x:v>simulado_didactico</x:v>
      </x:c>
    </x:row>
    <x:row r="211" ht="19" customHeight="1">
      <x:c r="A211" s="2" t="str">
        <x:v>BB_L8</x:v>
      </x:c>
      <x:c r="B211" s="2" t="str">
        <x:v>BB</x:v>
      </x:c>
      <x:c r="C211" s="2" t="str">
        <x:v>Brevicoryne brassicae</x:v>
      </x:c>
      <x:c r="D211" s="2" t="str">
        <x:v>L8</x:v>
      </x:c>
      <x:c r="E211" s="2" t="n">
        <x:v>41</x:v>
      </x:c>
      <x:c r="F211" s="2" t="n">
        <x:f>COUNTA(E2_plantas!A10,E2_plantas!A11,E2_plantas!A22,E2_plantas!A23,E2_plantas!A34,E2_plantas!A35,E2_plantas!A46,E2_plantas!A47,E2_plantas!A58,E2_plantas!A59)</x:f>
        <x:v>10</x:v>
      </x:c>
      <x:c r="G211" s="2" t="n">
        <x:f>SUM(E2_diario!K379,E2_diario!K421,E2_diario!K883,E2_diario!K925,E2_diario!K1387,E2_diario!K1429,E2_diario!K1891,E2_diario!K1933,E2_diario!K2395,E2_diario!K2437)</x:f>
        <x:v>0</x:v>
      </x:c>
      <x:c r="H211" s="2" t="n">
        <x:f>SUM(IF(E2_diario!J379="N1",1,0),IF(E2_diario!J421="N1",1,0),IF(E2_diario!J883="N1",1,0),IF(E2_diario!J925="N1",1,0),IF(E2_diario!J1387="N1",1,0),IF(E2_diario!J1429="N1",1,0),IF(E2_diario!J1891="N1",1,0),IF(E2_diario!J1933="N1",1,0),IF(E2_diario!J2395="N1",1,0),IF(E2_diario!J2437="N1",1,0))</x:f>
        <x:v>0</x:v>
      </x:c>
      <x:c r="I211" s="2" t="n">
        <x:f>SUM(IF(E2_diario!J379="N2",1,0),IF(E2_diario!J421="N2",1,0),IF(E2_diario!J883="N2",1,0),IF(E2_diario!J925="N2",1,0),IF(E2_diario!J1387="N2",1,0),IF(E2_diario!J1429="N2",1,0),IF(E2_diario!J1891="N2",1,0),IF(E2_diario!J1933="N2",1,0),IF(E2_diario!J2395="N2",1,0),IF(E2_diario!J2437="N2",1,0))</x:f>
        <x:v>0</x:v>
      </x:c>
      <x:c r="J211" s="2" t="n">
        <x:f>SUM(IF(E2_diario!J379="N3",1,0),IF(E2_diario!J421="N3",1,0),IF(E2_diario!J883="N3",1,0),IF(E2_diario!J925="N3",1,0),IF(E2_diario!J1387="N3",1,0),IF(E2_diario!J1429="N3",1,0),IF(E2_diario!J1891="N3",1,0),IF(E2_diario!J1933="N3",1,0),IF(E2_diario!J2395="N3",1,0),IF(E2_diario!J2437="N3",1,0))</x:f>
        <x:v>0</x:v>
      </x:c>
      <x:c r="K211" s="2" t="n">
        <x:f>SUM(IF(E2_diario!J379="N4",1,0),IF(E2_diario!J421="N4",1,0),IF(E2_diario!J883="N4",1,0),IF(E2_diario!J925="N4",1,0),IF(E2_diario!J1387="N4",1,0),IF(E2_diario!J1429="N4",1,0),IF(E2_diario!J1891="N4",1,0),IF(E2_diario!J1933="N4",1,0),IF(E2_diario!J2395="N4",1,0),IF(E2_diario!J2437="N4",1,0))</x:f>
        <x:v>0</x:v>
      </x:c>
      <x:c r="L211" s="2" t="n">
        <x:f>SUM(IF(E2_diario!J379="adulta",1,0),IF(E2_diario!J421="adulta",1,0),IF(E2_diario!J883="adulta",1,0),IF(E2_diario!J925="adulta",1,0),IF(E2_diario!J1387="adulta",1,0),IF(E2_diario!J1429="adulta",1,0),IF(E2_diario!J1891="adulta",1,0),IF(E2_diario!J1933="adulta",1,0),IF(E2_diario!J2395="adulta",1,0),IF(E2_diario!J2437="adulta",1,0))</x:f>
        <x:v>0</x:v>
      </x:c>
      <x:c r="M211" s="2" t="n">
        <x:f>SUM(E2_diario!L379,E2_diario!L421,E2_diario!L883,E2_diario!L925,E2_diario!L1387,E2_diario!L1429,E2_diario!L1891,E2_diario!L1933,E2_diario!L2395,E2_diario!L2437)</x:f>
        <x:v>0</x:v>
      </x:c>
      <x:c r="N211" s="20" t="n">
        <x:f>G211/F211</x:f>
        <x:v>0</x:v>
      </x:c>
      <x:c r="O211" s="20" t="n">
        <x:f>IF(G211=0,0,M211/G211)</x:f>
        <x:v>0</x:v>
      </x:c>
      <x:c r="P211" s="20" t="n">
        <x:f>N211*O211</x:f>
        <x:v>0</x:v>
      </x:c>
      <x:c r="Q211" s="20" t="n">
        <x:f>H211/F211</x:f>
        <x:v>0</x:v>
      </x:c>
      <x:c r="R211" s="20" t="n">
        <x:f>I211/F211</x:f>
        <x:v>0</x:v>
      </x:c>
      <x:c r="S211" s="20" t="n">
        <x:f>J211/F211</x:f>
        <x:v>0</x:v>
      </x:c>
      <x:c r="T211" s="20" t="n">
        <x:f>K211/F211</x:f>
        <x:v>0</x:v>
      </x:c>
      <x:c r="U211" s="20" t="n">
        <x:f>L211/F211</x:f>
        <x:v>0</x:v>
      </x:c>
      <x:c r="V211" s="20" t="n">
        <x:f>IF(L211=0,0,M211/L211)</x:f>
        <x:v>0</x:v>
      </x:c>
      <x:c r="W211" s="20" t="n">
        <x:f>SUM(P$170:P211)</x:f>
        <x:v>24.900000000000002</x:v>
      </x:c>
      <x:c r="X211" s="2" t="n">
        <x:f>E211+Supuestos!$C$15</x:f>
        <x:v>42</x:v>
      </x:c>
      <x:c r="Y211" s="2" t="n">
        <x:f>F211-G211</x:f>
        <x:v>10</x:v>
      </x:c>
      <x:c r="Z211" s="2" t="str">
        <x:v>simulado_didactico</x:v>
      </x:c>
    </x:row>
    <x:row r="212" ht="19" customHeight="1">
      <x:c r="A212" s="2" t="str">
        <x:v>BB_L7</x:v>
      </x:c>
      <x:c r="B212" s="2" t="str">
        <x:v>BB</x:v>
      </x:c>
      <x:c r="C212" s="2" t="str">
        <x:v>Brevicoryne brassicae</x:v>
      </x:c>
      <x:c r="D212" s="2" t="str">
        <x:v>L7</x:v>
      </x:c>
      <x:c r="E212" s="2" t="n">
        <x:v>0</x:v>
      </x:c>
      <x:c r="F212" s="2" t="n">
        <x:f>COUNTA(E2_plantas!A12,E2_plantas!A13,E2_plantas!A24,E2_plantas!A25,E2_plantas!A36,E2_plantas!A37,E2_plantas!A48,E2_plantas!A49,E2_plantas!A60,E2_plantas!A61)</x:f>
        <x:v>10</x:v>
      </x:c>
      <x:c r="G212" s="2" t="n">
        <x:f>SUM(E2_diario!K422,E2_diario!K464,E2_diario!K926,E2_diario!K968,E2_diario!K1430,E2_diario!K1472,E2_diario!K1934,E2_diario!K1976,E2_diario!K2438,E2_diario!K2480)</x:f>
        <x:v>10</x:v>
      </x:c>
      <x:c r="H212" s="2" t="n">
        <x:f>SUM(IF(E2_diario!J422="N1",1,0),IF(E2_diario!J464="N1",1,0),IF(E2_diario!J926="N1",1,0),IF(E2_diario!J968="N1",1,0),IF(E2_diario!J1430="N1",1,0),IF(E2_diario!J1472="N1",1,0),IF(E2_diario!J1934="N1",1,0),IF(E2_diario!J1976="N1",1,0),IF(E2_diario!J2438="N1",1,0),IF(E2_diario!J2480="N1",1,0))</x:f>
        <x:v>10</x:v>
      </x:c>
      <x:c r="I212" s="2" t="n">
        <x:f>SUM(IF(E2_diario!J422="N2",1,0),IF(E2_diario!J464="N2",1,0),IF(E2_diario!J926="N2",1,0),IF(E2_diario!J968="N2",1,0),IF(E2_diario!J1430="N2",1,0),IF(E2_diario!J1472="N2",1,0),IF(E2_diario!J1934="N2",1,0),IF(E2_diario!J1976="N2",1,0),IF(E2_diario!J2438="N2",1,0),IF(E2_diario!J2480="N2",1,0))</x:f>
        <x:v>0</x:v>
      </x:c>
      <x:c r="J212" s="2" t="n">
        <x:f>SUM(IF(E2_diario!J422="N3",1,0),IF(E2_diario!J464="N3",1,0),IF(E2_diario!J926="N3",1,0),IF(E2_diario!J968="N3",1,0),IF(E2_diario!J1430="N3",1,0),IF(E2_diario!J1472="N3",1,0),IF(E2_diario!J1934="N3",1,0),IF(E2_diario!J1976="N3",1,0),IF(E2_diario!J2438="N3",1,0),IF(E2_diario!J2480="N3",1,0))</x:f>
        <x:v>0</x:v>
      </x:c>
      <x:c r="K212" s="2" t="n">
        <x:f>SUM(IF(E2_diario!J422="N4",1,0),IF(E2_diario!J464="N4",1,0),IF(E2_diario!J926="N4",1,0),IF(E2_diario!J968="N4",1,0),IF(E2_diario!J1430="N4",1,0),IF(E2_diario!J1472="N4",1,0),IF(E2_diario!J1934="N4",1,0),IF(E2_diario!J1976="N4",1,0),IF(E2_diario!J2438="N4",1,0),IF(E2_diario!J2480="N4",1,0))</x:f>
        <x:v>0</x:v>
      </x:c>
      <x:c r="L212" s="2" t="n">
        <x:f>SUM(IF(E2_diario!J422="adulta",1,0),IF(E2_diario!J464="adulta",1,0),IF(E2_diario!J926="adulta",1,0),IF(E2_diario!J968="adulta",1,0),IF(E2_diario!J1430="adulta",1,0),IF(E2_diario!J1472="adulta",1,0),IF(E2_diario!J1934="adulta",1,0),IF(E2_diario!J1976="adulta",1,0),IF(E2_diario!J2438="adulta",1,0),IF(E2_diario!J2480="adulta",1,0))</x:f>
        <x:v>0</x:v>
      </x:c>
      <x:c r="M212" s="2" t="n">
        <x:f>SUM(E2_diario!L422,E2_diario!L464,E2_diario!L926,E2_diario!L968,E2_diario!L1430,E2_diario!L1472,E2_diario!L1934,E2_diario!L1976,E2_diario!L2438,E2_diario!L2480)</x:f>
        <x:v>0</x:v>
      </x:c>
      <x:c r="N212" s="20" t="n">
        <x:f>G212/F212</x:f>
        <x:v>1</x:v>
      </x:c>
      <x:c r="O212" s="20" t="n">
        <x:f>IF(G212=0,0,M212/G212)</x:f>
        <x:v>0</x:v>
      </x:c>
      <x:c r="P212" s="20" t="n">
        <x:f>N212*O212</x:f>
        <x:v>0</x:v>
      </x:c>
      <x:c r="Q212" s="20" t="n">
        <x:f>H212/F212</x:f>
        <x:v>1</x:v>
      </x:c>
      <x:c r="R212" s="20" t="n">
        <x:f>I212/F212</x:f>
        <x:v>0</x:v>
      </x:c>
      <x:c r="S212" s="20" t="n">
        <x:f>J212/F212</x:f>
        <x:v>0</x:v>
      </x:c>
      <x:c r="T212" s="20" t="n">
        <x:f>K212/F212</x:f>
        <x:v>0</x:v>
      </x:c>
      <x:c r="U212" s="20" t="n">
        <x:f>L212/F212</x:f>
        <x:v>0</x:v>
      </x:c>
      <x:c r="V212" s="20" t="n">
        <x:f>IF(L212=0,0,M212/L212)</x:f>
        <x:v>0</x:v>
      </x:c>
      <x:c r="W212" s="20" t="n">
        <x:f>SUM(P$212:P212)</x:f>
        <x:v>0</x:v>
      </x:c>
      <x:c r="X212" s="2" t="n">
        <x:f>E212+Supuestos!$C$15</x:f>
        <x:v>1</x:v>
      </x:c>
      <x:c r="Y212" s="2" t="n">
        <x:f>F212-G212</x:f>
        <x:v>0</x:v>
      </x:c>
      <x:c r="Z212" s="2" t="str">
        <x:v>simulado_didactico</x:v>
      </x:c>
    </x:row>
    <x:row r="213" ht="19" customHeight="1">
      <x:c r="A213" s="2" t="str">
        <x:v>BB_L7</x:v>
      </x:c>
      <x:c r="B213" s="2" t="str">
        <x:v>BB</x:v>
      </x:c>
      <x:c r="C213" s="2" t="str">
        <x:v>Brevicoryne brassicae</x:v>
      </x:c>
      <x:c r="D213" s="2" t="str">
        <x:v>L7</x:v>
      </x:c>
      <x:c r="E213" s="2" t="n">
        <x:v>1</x:v>
      </x:c>
      <x:c r="F213" s="2" t="n">
        <x:f>COUNTA(E2_plantas!A12,E2_plantas!A13,E2_plantas!A24,E2_plantas!A25,E2_plantas!A36,E2_plantas!A37,E2_plantas!A48,E2_plantas!A49,E2_plantas!A60,E2_plantas!A61)</x:f>
        <x:v>10</x:v>
      </x:c>
      <x:c r="G213" s="2" t="n">
        <x:f>SUM(E2_diario!K423,E2_diario!K465,E2_diario!K927,E2_diario!K969,E2_diario!K1431,E2_diario!K1473,E2_diario!K1935,E2_diario!K1977,E2_diario!K2439,E2_diario!K2481)</x:f>
        <x:v>10</x:v>
      </x:c>
      <x:c r="H213" s="2" t="n">
        <x:f>SUM(IF(E2_diario!J423="N1",1,0),IF(E2_diario!J465="N1",1,0),IF(E2_diario!J927="N1",1,0),IF(E2_diario!J969="N1",1,0),IF(E2_diario!J1431="N1",1,0),IF(E2_diario!J1473="N1",1,0),IF(E2_diario!J1935="N1",1,0),IF(E2_diario!J1977="N1",1,0),IF(E2_diario!J2439="N1",1,0),IF(E2_diario!J2481="N1",1,0))</x:f>
        <x:v>7</x:v>
      </x:c>
      <x:c r="I213" s="2" t="n">
        <x:f>SUM(IF(E2_diario!J423="N2",1,0),IF(E2_diario!J465="N2",1,0),IF(E2_diario!J927="N2",1,0),IF(E2_diario!J969="N2",1,0),IF(E2_diario!J1431="N2",1,0),IF(E2_diario!J1473="N2",1,0),IF(E2_diario!J1935="N2",1,0),IF(E2_diario!J1977="N2",1,0),IF(E2_diario!J2439="N2",1,0),IF(E2_diario!J2481="N2",1,0))</x:f>
        <x:v>3</x:v>
      </x:c>
      <x:c r="J213" s="2" t="n">
        <x:f>SUM(IF(E2_diario!J423="N3",1,0),IF(E2_diario!J465="N3",1,0),IF(E2_diario!J927="N3",1,0),IF(E2_diario!J969="N3",1,0),IF(E2_diario!J1431="N3",1,0),IF(E2_diario!J1473="N3",1,0),IF(E2_diario!J1935="N3",1,0),IF(E2_diario!J1977="N3",1,0),IF(E2_diario!J2439="N3",1,0),IF(E2_diario!J2481="N3",1,0))</x:f>
        <x:v>0</x:v>
      </x:c>
      <x:c r="K213" s="2" t="n">
        <x:f>SUM(IF(E2_diario!J423="N4",1,0),IF(E2_diario!J465="N4",1,0),IF(E2_diario!J927="N4",1,0),IF(E2_diario!J969="N4",1,0),IF(E2_diario!J1431="N4",1,0),IF(E2_diario!J1473="N4",1,0),IF(E2_diario!J1935="N4",1,0),IF(E2_diario!J1977="N4",1,0),IF(E2_diario!J2439="N4",1,0),IF(E2_diario!J2481="N4",1,0))</x:f>
        <x:v>0</x:v>
      </x:c>
      <x:c r="L213" s="2" t="n">
        <x:f>SUM(IF(E2_diario!J423="adulta",1,0),IF(E2_diario!J465="adulta",1,0),IF(E2_diario!J927="adulta",1,0),IF(E2_diario!J969="adulta",1,0),IF(E2_diario!J1431="adulta",1,0),IF(E2_diario!J1473="adulta",1,0),IF(E2_diario!J1935="adulta",1,0),IF(E2_diario!J1977="adulta",1,0),IF(E2_diario!J2439="adulta",1,0),IF(E2_diario!J2481="adulta",1,0))</x:f>
        <x:v>0</x:v>
      </x:c>
      <x:c r="M213" s="2" t="n">
        <x:f>SUM(E2_diario!L423,E2_diario!L465,E2_diario!L927,E2_diario!L969,E2_diario!L1431,E2_diario!L1473,E2_diario!L1935,E2_diario!L1977,E2_diario!L2439,E2_diario!L2481)</x:f>
        <x:v>0</x:v>
      </x:c>
      <x:c r="N213" s="20" t="n">
        <x:f>G213/F213</x:f>
        <x:v>1</x:v>
      </x:c>
      <x:c r="O213" s="20" t="n">
        <x:f>IF(G213=0,0,M213/G213)</x:f>
        <x:v>0</x:v>
      </x:c>
      <x:c r="P213" s="20" t="n">
        <x:f>N213*O213</x:f>
        <x:v>0</x:v>
      </x:c>
      <x:c r="Q213" s="20" t="n">
        <x:f>H213/F213</x:f>
        <x:v>0.7</x:v>
      </x:c>
      <x:c r="R213" s="20" t="n">
        <x:f>I213/F213</x:f>
        <x:v>0.3</x:v>
      </x:c>
      <x:c r="S213" s="20" t="n">
        <x:f>J213/F213</x:f>
        <x:v>0</x:v>
      </x:c>
      <x:c r="T213" s="20" t="n">
        <x:f>K213/F213</x:f>
        <x:v>0</x:v>
      </x:c>
      <x:c r="U213" s="20" t="n">
        <x:f>L213/F213</x:f>
        <x:v>0</x:v>
      </x:c>
      <x:c r="V213" s="20" t="n">
        <x:f>IF(L213=0,0,M213/L213)</x:f>
        <x:v>0</x:v>
      </x:c>
      <x:c r="W213" s="20" t="n">
        <x:f>SUM(P$212:P213)</x:f>
        <x:v>0</x:v>
      </x:c>
      <x:c r="X213" s="2" t="n">
        <x:f>E213+Supuestos!$C$15</x:f>
        <x:v>2</x:v>
      </x:c>
      <x:c r="Y213" s="2" t="n">
        <x:f>F213-G213</x:f>
        <x:v>0</x:v>
      </x:c>
      <x:c r="Z213" s="2" t="str">
        <x:v>simulado_didactico</x:v>
      </x:c>
    </x:row>
    <x:row r="214" ht="19" customHeight="1">
      <x:c r="A214" s="2" t="str">
        <x:v>BB_L7</x:v>
      </x:c>
      <x:c r="B214" s="2" t="str">
        <x:v>BB</x:v>
      </x:c>
      <x:c r="C214" s="2" t="str">
        <x:v>Brevicoryne brassicae</x:v>
      </x:c>
      <x:c r="D214" s="2" t="str">
        <x:v>L7</x:v>
      </x:c>
      <x:c r="E214" s="2" t="n">
        <x:v>2</x:v>
      </x:c>
      <x:c r="F214" s="2" t="n">
        <x:f>COUNTA(E2_plantas!A12,E2_plantas!A13,E2_plantas!A24,E2_plantas!A25,E2_plantas!A36,E2_plantas!A37,E2_plantas!A48,E2_plantas!A49,E2_plantas!A60,E2_plantas!A61)</x:f>
        <x:v>10</x:v>
      </x:c>
      <x:c r="G214" s="2" t="n">
        <x:f>SUM(E2_diario!K424,E2_diario!K466,E2_diario!K928,E2_diario!K970,E2_diario!K1432,E2_diario!K1474,E2_diario!K1936,E2_diario!K1978,E2_diario!K2440,E2_diario!K2482)</x:f>
        <x:v>10</x:v>
      </x:c>
      <x:c r="H214" s="2" t="n">
        <x:f>SUM(IF(E2_diario!J424="N1",1,0),IF(E2_diario!J466="N1",1,0),IF(E2_diario!J928="N1",1,0),IF(E2_diario!J970="N1",1,0),IF(E2_diario!J1432="N1",1,0),IF(E2_diario!J1474="N1",1,0),IF(E2_diario!J1936="N1",1,0),IF(E2_diario!J1978="N1",1,0),IF(E2_diario!J2440="N1",1,0),IF(E2_diario!J2482="N1",1,0))</x:f>
        <x:v>4</x:v>
      </x:c>
      <x:c r="I214" s="2" t="n">
        <x:f>SUM(IF(E2_diario!J424="N2",1,0),IF(E2_diario!J466="N2",1,0),IF(E2_diario!J928="N2",1,0),IF(E2_diario!J970="N2",1,0),IF(E2_diario!J1432="N2",1,0),IF(E2_diario!J1474="N2",1,0),IF(E2_diario!J1936="N2",1,0),IF(E2_diario!J1978="N2",1,0),IF(E2_diario!J2440="N2",1,0),IF(E2_diario!J2482="N2",1,0))</x:f>
        <x:v>5</x:v>
      </x:c>
      <x:c r="J214" s="2" t="n">
        <x:f>SUM(IF(E2_diario!J424="N3",1,0),IF(E2_diario!J466="N3",1,0),IF(E2_diario!J928="N3",1,0),IF(E2_diario!J970="N3",1,0),IF(E2_diario!J1432="N3",1,0),IF(E2_diario!J1474="N3",1,0),IF(E2_diario!J1936="N3",1,0),IF(E2_diario!J1978="N3",1,0),IF(E2_diario!J2440="N3",1,0),IF(E2_diario!J2482="N3",1,0))</x:f>
        <x:v>1</x:v>
      </x:c>
      <x:c r="K214" s="2" t="n">
        <x:f>SUM(IF(E2_diario!J424="N4",1,0),IF(E2_diario!J466="N4",1,0),IF(E2_diario!J928="N4",1,0),IF(E2_diario!J970="N4",1,0),IF(E2_diario!J1432="N4",1,0),IF(E2_diario!J1474="N4",1,0),IF(E2_diario!J1936="N4",1,0),IF(E2_diario!J1978="N4",1,0),IF(E2_diario!J2440="N4",1,0),IF(E2_diario!J2482="N4",1,0))</x:f>
        <x:v>0</x:v>
      </x:c>
      <x:c r="L214" s="2" t="n">
        <x:f>SUM(IF(E2_diario!J424="adulta",1,0),IF(E2_diario!J466="adulta",1,0),IF(E2_diario!J928="adulta",1,0),IF(E2_diario!J970="adulta",1,0),IF(E2_diario!J1432="adulta",1,0),IF(E2_diario!J1474="adulta",1,0),IF(E2_diario!J1936="adulta",1,0),IF(E2_diario!J1978="adulta",1,0),IF(E2_diario!J2440="adulta",1,0),IF(E2_diario!J2482="adulta",1,0))</x:f>
        <x:v>0</x:v>
      </x:c>
      <x:c r="M214" s="2" t="n">
        <x:f>SUM(E2_diario!L424,E2_diario!L466,E2_diario!L928,E2_diario!L970,E2_diario!L1432,E2_diario!L1474,E2_diario!L1936,E2_diario!L1978,E2_diario!L2440,E2_diario!L2482)</x:f>
        <x:v>0</x:v>
      </x:c>
      <x:c r="N214" s="20" t="n">
        <x:f>G214/F214</x:f>
        <x:v>1</x:v>
      </x:c>
      <x:c r="O214" s="20" t="n">
        <x:f>IF(G214=0,0,M214/G214)</x:f>
        <x:v>0</x:v>
      </x:c>
      <x:c r="P214" s="20" t="n">
        <x:f>N214*O214</x:f>
        <x:v>0</x:v>
      </x:c>
      <x:c r="Q214" s="20" t="n">
        <x:f>H214/F214</x:f>
        <x:v>0.4</x:v>
      </x:c>
      <x:c r="R214" s="20" t="n">
        <x:f>I214/F214</x:f>
        <x:v>0.5</x:v>
      </x:c>
      <x:c r="S214" s="20" t="n">
        <x:f>J214/F214</x:f>
        <x:v>0.1</x:v>
      </x:c>
      <x:c r="T214" s="20" t="n">
        <x:f>K214/F214</x:f>
        <x:v>0</x:v>
      </x:c>
      <x:c r="U214" s="20" t="n">
        <x:f>L214/F214</x:f>
        <x:v>0</x:v>
      </x:c>
      <x:c r="V214" s="20" t="n">
        <x:f>IF(L214=0,0,M214/L214)</x:f>
        <x:v>0</x:v>
      </x:c>
      <x:c r="W214" s="20" t="n">
        <x:f>SUM(P$212:P214)</x:f>
        <x:v>0</x:v>
      </x:c>
      <x:c r="X214" s="2" t="n">
        <x:f>E214+Supuestos!$C$15</x:f>
        <x:v>3</x:v>
      </x:c>
      <x:c r="Y214" s="2" t="n">
        <x:f>F214-G214</x:f>
        <x:v>0</x:v>
      </x:c>
      <x:c r="Z214" s="2" t="str">
        <x:v>simulado_didactico</x:v>
      </x:c>
    </x:row>
    <x:row r="215" ht="19" customHeight="1">
      <x:c r="A215" s="2" t="str">
        <x:v>BB_L7</x:v>
      </x:c>
      <x:c r="B215" s="2" t="str">
        <x:v>BB</x:v>
      </x:c>
      <x:c r="C215" s="2" t="str">
        <x:v>Brevicoryne brassicae</x:v>
      </x:c>
      <x:c r="D215" s="2" t="str">
        <x:v>L7</x:v>
      </x:c>
      <x:c r="E215" s="2" t="n">
        <x:v>3</x:v>
      </x:c>
      <x:c r="F215" s="2" t="n">
        <x:f>COUNTA(E2_plantas!A12,E2_plantas!A13,E2_plantas!A24,E2_plantas!A25,E2_plantas!A36,E2_plantas!A37,E2_plantas!A48,E2_plantas!A49,E2_plantas!A60,E2_plantas!A61)</x:f>
        <x:v>10</x:v>
      </x:c>
      <x:c r="G215" s="2" t="n">
        <x:f>SUM(E2_diario!K425,E2_diario!K467,E2_diario!K929,E2_diario!K971,E2_diario!K1433,E2_diario!K1475,E2_diario!K1937,E2_diario!K1979,E2_diario!K2441,E2_diario!K2483)</x:f>
        <x:v>10</x:v>
      </x:c>
      <x:c r="H215" s="2" t="n">
        <x:f>SUM(IF(E2_diario!J425="N1",1,0),IF(E2_diario!J467="N1",1,0),IF(E2_diario!J929="N1",1,0),IF(E2_diario!J971="N1",1,0),IF(E2_diario!J1433="N1",1,0),IF(E2_diario!J1475="N1",1,0),IF(E2_diario!J1937="N1",1,0),IF(E2_diario!J1979="N1",1,0),IF(E2_diario!J2441="N1",1,0),IF(E2_diario!J2483="N1",1,0))</x:f>
        <x:v>1</x:v>
      </x:c>
      <x:c r="I215" s="2" t="n">
        <x:f>SUM(IF(E2_diario!J425="N2",1,0),IF(E2_diario!J467="N2",1,0),IF(E2_diario!J929="N2",1,0),IF(E2_diario!J971="N2",1,0),IF(E2_diario!J1433="N2",1,0),IF(E2_diario!J1475="N2",1,0),IF(E2_diario!J1937="N2",1,0),IF(E2_diario!J1979="N2",1,0),IF(E2_diario!J2441="N2",1,0),IF(E2_diario!J2483="N2",1,0))</x:f>
        <x:v>7</x:v>
      </x:c>
      <x:c r="J215" s="2" t="n">
        <x:f>SUM(IF(E2_diario!J425="N3",1,0),IF(E2_diario!J467="N3",1,0),IF(E2_diario!J929="N3",1,0),IF(E2_diario!J971="N3",1,0),IF(E2_diario!J1433="N3",1,0),IF(E2_diario!J1475="N3",1,0),IF(E2_diario!J1937="N3",1,0),IF(E2_diario!J1979="N3",1,0),IF(E2_diario!J2441="N3",1,0),IF(E2_diario!J2483="N3",1,0))</x:f>
        <x:v>2</x:v>
      </x:c>
      <x:c r="K215" s="2" t="n">
        <x:f>SUM(IF(E2_diario!J425="N4",1,0),IF(E2_diario!J467="N4",1,0),IF(E2_diario!J929="N4",1,0),IF(E2_diario!J971="N4",1,0),IF(E2_diario!J1433="N4",1,0),IF(E2_diario!J1475="N4",1,0),IF(E2_diario!J1937="N4",1,0),IF(E2_diario!J1979="N4",1,0),IF(E2_diario!J2441="N4",1,0),IF(E2_diario!J2483="N4",1,0))</x:f>
        <x:v>0</x:v>
      </x:c>
      <x:c r="L215" s="2" t="n">
        <x:f>SUM(IF(E2_diario!J425="adulta",1,0),IF(E2_diario!J467="adulta",1,0),IF(E2_diario!J929="adulta",1,0),IF(E2_diario!J971="adulta",1,0),IF(E2_diario!J1433="adulta",1,0),IF(E2_diario!J1475="adulta",1,0),IF(E2_diario!J1937="adulta",1,0),IF(E2_diario!J1979="adulta",1,0),IF(E2_diario!J2441="adulta",1,0),IF(E2_diario!J2483="adulta",1,0))</x:f>
        <x:v>0</x:v>
      </x:c>
      <x:c r="M215" s="2" t="n">
        <x:f>SUM(E2_diario!L425,E2_diario!L467,E2_diario!L929,E2_diario!L971,E2_diario!L1433,E2_diario!L1475,E2_diario!L1937,E2_diario!L1979,E2_diario!L2441,E2_diario!L2483)</x:f>
        <x:v>0</x:v>
      </x:c>
      <x:c r="N215" s="20" t="n">
        <x:f>G215/F215</x:f>
        <x:v>1</x:v>
      </x:c>
      <x:c r="O215" s="20" t="n">
        <x:f>IF(G215=0,0,M215/G215)</x:f>
        <x:v>0</x:v>
      </x:c>
      <x:c r="P215" s="20" t="n">
        <x:f>N215*O215</x:f>
        <x:v>0</x:v>
      </x:c>
      <x:c r="Q215" s="20" t="n">
        <x:f>H215/F215</x:f>
        <x:v>0.1</x:v>
      </x:c>
      <x:c r="R215" s="20" t="n">
        <x:f>I215/F215</x:f>
        <x:v>0.7</x:v>
      </x:c>
      <x:c r="S215" s="20" t="n">
        <x:f>J215/F215</x:f>
        <x:v>0.2</x:v>
      </x:c>
      <x:c r="T215" s="20" t="n">
        <x:f>K215/F215</x:f>
        <x:v>0</x:v>
      </x:c>
      <x:c r="U215" s="20" t="n">
        <x:f>L215/F215</x:f>
        <x:v>0</x:v>
      </x:c>
      <x:c r="V215" s="20" t="n">
        <x:f>IF(L215=0,0,M215/L215)</x:f>
        <x:v>0</x:v>
      </x:c>
      <x:c r="W215" s="20" t="n">
        <x:f>SUM(P$212:P215)</x:f>
        <x:v>0</x:v>
      </x:c>
      <x:c r="X215" s="2" t="n">
        <x:f>E215+Supuestos!$C$15</x:f>
        <x:v>4</x:v>
      </x:c>
      <x:c r="Y215" s="2" t="n">
        <x:f>F215-G215</x:f>
        <x:v>0</x:v>
      </x:c>
      <x:c r="Z215" s="2" t="str">
        <x:v>simulado_didactico</x:v>
      </x:c>
    </x:row>
    <x:row r="216" ht="19" customHeight="1">
      <x:c r="A216" s="2" t="str">
        <x:v>BB_L7</x:v>
      </x:c>
      <x:c r="B216" s="2" t="str">
        <x:v>BB</x:v>
      </x:c>
      <x:c r="C216" s="2" t="str">
        <x:v>Brevicoryne brassicae</x:v>
      </x:c>
      <x:c r="D216" s="2" t="str">
        <x:v>L7</x:v>
      </x:c>
      <x:c r="E216" s="2" t="n">
        <x:v>4</x:v>
      </x:c>
      <x:c r="F216" s="2" t="n">
        <x:f>COUNTA(E2_plantas!A12,E2_plantas!A13,E2_plantas!A24,E2_plantas!A25,E2_plantas!A36,E2_plantas!A37,E2_plantas!A48,E2_plantas!A49,E2_plantas!A60,E2_plantas!A61)</x:f>
        <x:v>10</x:v>
      </x:c>
      <x:c r="G216" s="2" t="n">
        <x:f>SUM(E2_diario!K426,E2_diario!K468,E2_diario!K930,E2_diario!K972,E2_diario!K1434,E2_diario!K1476,E2_diario!K1938,E2_diario!K1980,E2_diario!K2442,E2_diario!K2484)</x:f>
        <x:v>9</x:v>
      </x:c>
      <x:c r="H216" s="2" t="n">
        <x:f>SUM(IF(E2_diario!J426="N1",1,0),IF(E2_diario!J468="N1",1,0),IF(E2_diario!J930="N1",1,0),IF(E2_diario!J972="N1",1,0),IF(E2_diario!J1434="N1",1,0),IF(E2_diario!J1476="N1",1,0),IF(E2_diario!J1938="N1",1,0),IF(E2_diario!J1980="N1",1,0),IF(E2_diario!J2442="N1",1,0),IF(E2_diario!J2484="N1",1,0))</x:f>
        <x:v>0</x:v>
      </x:c>
      <x:c r="I216" s="2" t="n">
        <x:f>SUM(IF(E2_diario!J426="N2",1,0),IF(E2_diario!J468="N2",1,0),IF(E2_diario!J930="N2",1,0),IF(E2_diario!J972="N2",1,0),IF(E2_diario!J1434="N2",1,0),IF(E2_diario!J1476="N2",1,0),IF(E2_diario!J1938="N2",1,0),IF(E2_diario!J1980="N2",1,0),IF(E2_diario!J2442="N2",1,0),IF(E2_diario!J2484="N2",1,0))</x:f>
        <x:v>5</x:v>
      </x:c>
      <x:c r="J216" s="2" t="n">
        <x:f>SUM(IF(E2_diario!J426="N3",1,0),IF(E2_diario!J468="N3",1,0),IF(E2_diario!J930="N3",1,0),IF(E2_diario!J972="N3",1,0),IF(E2_diario!J1434="N3",1,0),IF(E2_diario!J1476="N3",1,0),IF(E2_diario!J1938="N3",1,0),IF(E2_diario!J1980="N3",1,0),IF(E2_diario!J2442="N3",1,0),IF(E2_diario!J2484="N3",1,0))</x:f>
        <x:v>3</x:v>
      </x:c>
      <x:c r="K216" s="2" t="n">
        <x:f>SUM(IF(E2_diario!J426="N4",1,0),IF(E2_diario!J468="N4",1,0),IF(E2_diario!J930="N4",1,0),IF(E2_diario!J972="N4",1,0),IF(E2_diario!J1434="N4",1,0),IF(E2_diario!J1476="N4",1,0),IF(E2_diario!J1938="N4",1,0),IF(E2_diario!J1980="N4",1,0),IF(E2_diario!J2442="N4",1,0),IF(E2_diario!J2484="N4",1,0))</x:f>
        <x:v>1</x:v>
      </x:c>
      <x:c r="L216" s="2" t="n">
        <x:f>SUM(IF(E2_diario!J426="adulta",1,0),IF(E2_diario!J468="adulta",1,0),IF(E2_diario!J930="adulta",1,0),IF(E2_diario!J972="adulta",1,0),IF(E2_diario!J1434="adulta",1,0),IF(E2_diario!J1476="adulta",1,0),IF(E2_diario!J1938="adulta",1,0),IF(E2_diario!J1980="adulta",1,0),IF(E2_diario!J2442="adulta",1,0),IF(E2_diario!J2484="adulta",1,0))</x:f>
        <x:v>0</x:v>
      </x:c>
      <x:c r="M216" s="2" t="n">
        <x:f>SUM(E2_diario!L426,E2_diario!L468,E2_diario!L930,E2_diario!L972,E2_diario!L1434,E2_diario!L1476,E2_diario!L1938,E2_diario!L1980,E2_diario!L2442,E2_diario!L2484)</x:f>
        <x:v>0</x:v>
      </x:c>
      <x:c r="N216" s="20" t="n">
        <x:f>G216/F216</x:f>
        <x:v>0.9</x:v>
      </x:c>
      <x:c r="O216" s="20" t="n">
        <x:f>IF(G216=0,0,M216/G216)</x:f>
        <x:v>0</x:v>
      </x:c>
      <x:c r="P216" s="20" t="n">
        <x:f>N216*O216</x:f>
        <x:v>0</x:v>
      </x:c>
      <x:c r="Q216" s="20" t="n">
        <x:f>H216/F216</x:f>
        <x:v>0</x:v>
      </x:c>
      <x:c r="R216" s="20" t="n">
        <x:f>I216/F216</x:f>
        <x:v>0.5</x:v>
      </x:c>
      <x:c r="S216" s="20" t="n">
        <x:f>J216/F216</x:f>
        <x:v>0.3</x:v>
      </x:c>
      <x:c r="T216" s="20" t="n">
        <x:f>K216/F216</x:f>
        <x:v>0.1</x:v>
      </x:c>
      <x:c r="U216" s="20" t="n">
        <x:f>L216/F216</x:f>
        <x:v>0</x:v>
      </x:c>
      <x:c r="V216" s="20" t="n">
        <x:f>IF(L216=0,0,M216/L216)</x:f>
        <x:v>0</x:v>
      </x:c>
      <x:c r="W216" s="20" t="n">
        <x:f>SUM(P$212:P216)</x:f>
        <x:v>0</x:v>
      </x:c>
      <x:c r="X216" s="2" t="n">
        <x:f>E216+Supuestos!$C$15</x:f>
        <x:v>5</x:v>
      </x:c>
      <x:c r="Y216" s="2" t="n">
        <x:f>F216-G216</x:f>
        <x:v>1</x:v>
      </x:c>
      <x:c r="Z216" s="2" t="str">
        <x:v>simulado_didactico</x:v>
      </x:c>
    </x:row>
    <x:row r="217" ht="19" customHeight="1">
      <x:c r="A217" s="2" t="str">
        <x:v>BB_L7</x:v>
      </x:c>
      <x:c r="B217" s="2" t="str">
        <x:v>BB</x:v>
      </x:c>
      <x:c r="C217" s="2" t="str">
        <x:v>Brevicoryne brassicae</x:v>
      </x:c>
      <x:c r="D217" s="2" t="str">
        <x:v>L7</x:v>
      </x:c>
      <x:c r="E217" s="2" t="n">
        <x:v>5</x:v>
      </x:c>
      <x:c r="F217" s="2" t="n">
        <x:f>COUNTA(E2_plantas!A12,E2_plantas!A13,E2_plantas!A24,E2_plantas!A25,E2_plantas!A36,E2_plantas!A37,E2_plantas!A48,E2_plantas!A49,E2_plantas!A60,E2_plantas!A61)</x:f>
        <x:v>10</x:v>
      </x:c>
      <x:c r="G217" s="2" t="n">
        <x:f>SUM(E2_diario!K427,E2_diario!K469,E2_diario!K931,E2_diario!K973,E2_diario!K1435,E2_diario!K1477,E2_diario!K1939,E2_diario!K1981,E2_diario!K2443,E2_diario!K2485)</x:f>
        <x:v>9</x:v>
      </x:c>
      <x:c r="H217" s="2" t="n">
        <x:f>SUM(IF(E2_diario!J427="N1",1,0),IF(E2_diario!J469="N1",1,0),IF(E2_diario!J931="N1",1,0),IF(E2_diario!J973="N1",1,0),IF(E2_diario!J1435="N1",1,0),IF(E2_diario!J1477="N1",1,0),IF(E2_diario!J1939="N1",1,0),IF(E2_diario!J1981="N1",1,0),IF(E2_diario!J2443="N1",1,0),IF(E2_diario!J2485="N1",1,0))</x:f>
        <x:v>0</x:v>
      </x:c>
      <x:c r="I217" s="2" t="n">
        <x:f>SUM(IF(E2_diario!J427="N2",1,0),IF(E2_diario!J469="N2",1,0),IF(E2_diario!J931="N2",1,0),IF(E2_diario!J973="N2",1,0),IF(E2_diario!J1435="N2",1,0),IF(E2_diario!J1477="N2",1,0),IF(E2_diario!J1939="N2",1,0),IF(E2_diario!J1981="N2",1,0),IF(E2_diario!J2443="N2",1,0),IF(E2_diario!J2485="N2",1,0))</x:f>
        <x:v>2</x:v>
      </x:c>
      <x:c r="J217" s="2" t="n">
        <x:f>SUM(IF(E2_diario!J427="N3",1,0),IF(E2_diario!J469="N3",1,0),IF(E2_diario!J931="N3",1,0),IF(E2_diario!J973="N3",1,0),IF(E2_diario!J1435="N3",1,0),IF(E2_diario!J1477="N3",1,0),IF(E2_diario!J1939="N3",1,0),IF(E2_diario!J1981="N3",1,0),IF(E2_diario!J2443="N3",1,0),IF(E2_diario!J2485="N3",1,0))</x:f>
        <x:v>5</x:v>
      </x:c>
      <x:c r="K217" s="2" t="n">
        <x:f>SUM(IF(E2_diario!J427="N4",1,0),IF(E2_diario!J469="N4",1,0),IF(E2_diario!J931="N4",1,0),IF(E2_diario!J973="N4",1,0),IF(E2_diario!J1435="N4",1,0),IF(E2_diario!J1477="N4",1,0),IF(E2_diario!J1939="N4",1,0),IF(E2_diario!J1981="N4",1,0),IF(E2_diario!J2443="N4",1,0),IF(E2_diario!J2485="N4",1,0))</x:f>
        <x:v>2</x:v>
      </x:c>
      <x:c r="L217" s="2" t="n">
        <x:f>SUM(IF(E2_diario!J427="adulta",1,0),IF(E2_diario!J469="adulta",1,0),IF(E2_diario!J931="adulta",1,0),IF(E2_diario!J973="adulta",1,0),IF(E2_diario!J1435="adulta",1,0),IF(E2_diario!J1477="adulta",1,0),IF(E2_diario!J1939="adulta",1,0),IF(E2_diario!J1981="adulta",1,0),IF(E2_diario!J2443="adulta",1,0),IF(E2_diario!J2485="adulta",1,0))</x:f>
        <x:v>0</x:v>
      </x:c>
      <x:c r="M217" s="2" t="n">
        <x:f>SUM(E2_diario!L427,E2_diario!L469,E2_diario!L931,E2_diario!L973,E2_diario!L1435,E2_diario!L1477,E2_diario!L1939,E2_diario!L1981,E2_diario!L2443,E2_diario!L2485)</x:f>
        <x:v>0</x:v>
      </x:c>
      <x:c r="N217" s="20" t="n">
        <x:f>G217/F217</x:f>
        <x:v>0.9</x:v>
      </x:c>
      <x:c r="O217" s="20" t="n">
        <x:f>IF(G217=0,0,M217/G217)</x:f>
        <x:v>0</x:v>
      </x:c>
      <x:c r="P217" s="20" t="n">
        <x:f>N217*O217</x:f>
        <x:v>0</x:v>
      </x:c>
      <x:c r="Q217" s="20" t="n">
        <x:f>H217/F217</x:f>
        <x:v>0</x:v>
      </x:c>
      <x:c r="R217" s="20" t="n">
        <x:f>I217/F217</x:f>
        <x:v>0.2</x:v>
      </x:c>
      <x:c r="S217" s="20" t="n">
        <x:f>J217/F217</x:f>
        <x:v>0.5</x:v>
      </x:c>
      <x:c r="T217" s="20" t="n">
        <x:f>K217/F217</x:f>
        <x:v>0.2</x:v>
      </x:c>
      <x:c r="U217" s="20" t="n">
        <x:f>L217/F217</x:f>
        <x:v>0</x:v>
      </x:c>
      <x:c r="V217" s="20" t="n">
        <x:f>IF(L217=0,0,M217/L217)</x:f>
        <x:v>0</x:v>
      </x:c>
      <x:c r="W217" s="20" t="n">
        <x:f>SUM(P$212:P217)</x:f>
        <x:v>0</x:v>
      </x:c>
      <x:c r="X217" s="2" t="n">
        <x:f>E217+Supuestos!$C$15</x:f>
        <x:v>6</x:v>
      </x:c>
      <x:c r="Y217" s="2" t="n">
        <x:f>F217-G217</x:f>
        <x:v>1</x:v>
      </x:c>
      <x:c r="Z217" s="2" t="str">
        <x:v>simulado_didactico</x:v>
      </x:c>
    </x:row>
    <x:row r="218" ht="19" customHeight="1">
      <x:c r="A218" s="2" t="str">
        <x:v>BB_L7</x:v>
      </x:c>
      <x:c r="B218" s="2" t="str">
        <x:v>BB</x:v>
      </x:c>
      <x:c r="C218" s="2" t="str">
        <x:v>Brevicoryne brassicae</x:v>
      </x:c>
      <x:c r="D218" s="2" t="str">
        <x:v>L7</x:v>
      </x:c>
      <x:c r="E218" s="2" t="n">
        <x:v>6</x:v>
      </x:c>
      <x:c r="F218" s="2" t="n">
        <x:f>COUNTA(E2_plantas!A12,E2_plantas!A13,E2_plantas!A24,E2_plantas!A25,E2_plantas!A36,E2_plantas!A37,E2_plantas!A48,E2_plantas!A49,E2_plantas!A60,E2_plantas!A61)</x:f>
        <x:v>10</x:v>
      </x:c>
      <x:c r="G218" s="2" t="n">
        <x:f>SUM(E2_diario!K428,E2_diario!K470,E2_diario!K932,E2_diario!K974,E2_diario!K1436,E2_diario!K1478,E2_diario!K1940,E2_diario!K1982,E2_diario!K2444,E2_diario!K2486)</x:f>
        <x:v>9</x:v>
      </x:c>
      <x:c r="H218" s="2" t="n">
        <x:f>SUM(IF(E2_diario!J428="N1",1,0),IF(E2_diario!J470="N1",1,0),IF(E2_diario!J932="N1",1,0),IF(E2_diario!J974="N1",1,0),IF(E2_diario!J1436="N1",1,0),IF(E2_diario!J1478="N1",1,0),IF(E2_diario!J1940="N1",1,0),IF(E2_diario!J1982="N1",1,0),IF(E2_diario!J2444="N1",1,0),IF(E2_diario!J2486="N1",1,0))</x:f>
        <x:v>0</x:v>
      </x:c>
      <x:c r="I218" s="2" t="n">
        <x:f>SUM(IF(E2_diario!J428="N2",1,0),IF(E2_diario!J470="N2",1,0),IF(E2_diario!J932="N2",1,0),IF(E2_diario!J974="N2",1,0),IF(E2_diario!J1436="N2",1,0),IF(E2_diario!J1478="N2",1,0),IF(E2_diario!J1940="N2",1,0),IF(E2_diario!J1982="N2",1,0),IF(E2_diario!J2444="N2",1,0),IF(E2_diario!J2486="N2",1,0))</x:f>
        <x:v>0</x:v>
      </x:c>
      <x:c r="J218" s="2" t="n">
        <x:f>SUM(IF(E2_diario!J428="N3",1,0),IF(E2_diario!J470="N3",1,0),IF(E2_diario!J932="N3",1,0),IF(E2_diario!J974="N3",1,0),IF(E2_diario!J1436="N3",1,0),IF(E2_diario!J1478="N3",1,0),IF(E2_diario!J1940="N3",1,0),IF(E2_diario!J1982="N3",1,0),IF(E2_diario!J2444="N3",1,0),IF(E2_diario!J2486="N3",1,0))</x:f>
        <x:v>5</x:v>
      </x:c>
      <x:c r="K218" s="2" t="n">
        <x:f>SUM(IF(E2_diario!J428="N4",1,0),IF(E2_diario!J470="N4",1,0),IF(E2_diario!J932="N4",1,0),IF(E2_diario!J974="N4",1,0),IF(E2_diario!J1436="N4",1,0),IF(E2_diario!J1478="N4",1,0),IF(E2_diario!J1940="N4",1,0),IF(E2_diario!J1982="N4",1,0),IF(E2_diario!J2444="N4",1,0),IF(E2_diario!J2486="N4",1,0))</x:f>
        <x:v>4</x:v>
      </x:c>
      <x:c r="L218" s="2" t="n">
        <x:f>SUM(IF(E2_diario!J428="adulta",1,0),IF(E2_diario!J470="adulta",1,0),IF(E2_diario!J932="adulta",1,0),IF(E2_diario!J974="adulta",1,0),IF(E2_diario!J1436="adulta",1,0),IF(E2_diario!J1478="adulta",1,0),IF(E2_diario!J1940="adulta",1,0),IF(E2_diario!J1982="adulta",1,0),IF(E2_diario!J2444="adulta",1,0),IF(E2_diario!J2486="adulta",1,0))</x:f>
        <x:v>0</x:v>
      </x:c>
      <x:c r="M218" s="2" t="n">
        <x:f>SUM(E2_diario!L428,E2_diario!L470,E2_diario!L932,E2_diario!L974,E2_diario!L1436,E2_diario!L1478,E2_diario!L1940,E2_diario!L1982,E2_diario!L2444,E2_diario!L2486)</x:f>
        <x:v>0</x:v>
      </x:c>
      <x:c r="N218" s="20" t="n">
        <x:f>G218/F218</x:f>
        <x:v>0.9</x:v>
      </x:c>
      <x:c r="O218" s="20" t="n">
        <x:f>IF(G218=0,0,M218/G218)</x:f>
        <x:v>0</x:v>
      </x:c>
      <x:c r="P218" s="20" t="n">
        <x:f>N218*O218</x:f>
        <x:v>0</x:v>
      </x:c>
      <x:c r="Q218" s="20" t="n">
        <x:f>H218/F218</x:f>
        <x:v>0</x:v>
      </x:c>
      <x:c r="R218" s="20" t="n">
        <x:f>I218/F218</x:f>
        <x:v>0</x:v>
      </x:c>
      <x:c r="S218" s="20" t="n">
        <x:f>J218/F218</x:f>
        <x:v>0.5</x:v>
      </x:c>
      <x:c r="T218" s="20" t="n">
        <x:f>K218/F218</x:f>
        <x:v>0.4</x:v>
      </x:c>
      <x:c r="U218" s="20" t="n">
        <x:f>L218/F218</x:f>
        <x:v>0</x:v>
      </x:c>
      <x:c r="V218" s="20" t="n">
        <x:f>IF(L218=0,0,M218/L218)</x:f>
        <x:v>0</x:v>
      </x:c>
      <x:c r="W218" s="20" t="n">
        <x:f>SUM(P$212:P218)</x:f>
        <x:v>0</x:v>
      </x:c>
      <x:c r="X218" s="2" t="n">
        <x:f>E218+Supuestos!$C$15</x:f>
        <x:v>7</x:v>
      </x:c>
      <x:c r="Y218" s="2" t="n">
        <x:f>F218-G218</x:f>
        <x:v>1</x:v>
      </x:c>
      <x:c r="Z218" s="2" t="str">
        <x:v>simulado_didactico</x:v>
      </x:c>
    </x:row>
    <x:row r="219" ht="19" customHeight="1">
      <x:c r="A219" s="2" t="str">
        <x:v>BB_L7</x:v>
      </x:c>
      <x:c r="B219" s="2" t="str">
        <x:v>BB</x:v>
      </x:c>
      <x:c r="C219" s="2" t="str">
        <x:v>Brevicoryne brassicae</x:v>
      </x:c>
      <x:c r="D219" s="2" t="str">
        <x:v>L7</x:v>
      </x:c>
      <x:c r="E219" s="2" t="n">
        <x:v>7</x:v>
      </x:c>
      <x:c r="F219" s="2" t="n">
        <x:f>COUNTA(E2_plantas!A12,E2_plantas!A13,E2_plantas!A24,E2_plantas!A25,E2_plantas!A36,E2_plantas!A37,E2_plantas!A48,E2_plantas!A49,E2_plantas!A60,E2_plantas!A61)</x:f>
        <x:v>10</x:v>
      </x:c>
      <x:c r="G219" s="2" t="n">
        <x:f>SUM(E2_diario!K429,E2_diario!K471,E2_diario!K933,E2_diario!K975,E2_diario!K1437,E2_diario!K1479,E2_diario!K1941,E2_diario!K1983,E2_diario!K2445,E2_diario!K2487)</x:f>
        <x:v>9</x:v>
      </x:c>
      <x:c r="H219" s="2" t="n">
        <x:f>SUM(IF(E2_diario!J429="N1",1,0),IF(E2_diario!J471="N1",1,0),IF(E2_diario!J933="N1",1,0),IF(E2_diario!J975="N1",1,0),IF(E2_diario!J1437="N1",1,0),IF(E2_diario!J1479="N1",1,0),IF(E2_diario!J1941="N1",1,0),IF(E2_diario!J1983="N1",1,0),IF(E2_diario!J2445="N1",1,0),IF(E2_diario!J2487="N1",1,0))</x:f>
        <x:v>0</x:v>
      </x:c>
      <x:c r="I219" s="2" t="n">
        <x:f>SUM(IF(E2_diario!J429="N2",1,0),IF(E2_diario!J471="N2",1,0),IF(E2_diario!J933="N2",1,0),IF(E2_diario!J975="N2",1,0),IF(E2_diario!J1437="N2",1,0),IF(E2_diario!J1479="N2",1,0),IF(E2_diario!J1941="N2",1,0),IF(E2_diario!J1983="N2",1,0),IF(E2_diario!J2445="N2",1,0),IF(E2_diario!J2487="N2",1,0))</x:f>
        <x:v>0</x:v>
      </x:c>
      <x:c r="J219" s="2" t="n">
        <x:f>SUM(IF(E2_diario!J429="N3",1,0),IF(E2_diario!J471="N3",1,0),IF(E2_diario!J933="N3",1,0),IF(E2_diario!J975="N3",1,0),IF(E2_diario!J1437="N3",1,0),IF(E2_diario!J1479="N3",1,0),IF(E2_diario!J1941="N3",1,0),IF(E2_diario!J1983="N3",1,0),IF(E2_diario!J2445="N3",1,0),IF(E2_diario!J2487="N3",1,0))</x:f>
        <x:v>5</x:v>
      </x:c>
      <x:c r="K219" s="2" t="n">
        <x:f>SUM(IF(E2_diario!J429="N4",1,0),IF(E2_diario!J471="N4",1,0),IF(E2_diario!J933="N4",1,0),IF(E2_diario!J975="N4",1,0),IF(E2_diario!J1437="N4",1,0),IF(E2_diario!J1479="N4",1,0),IF(E2_diario!J1941="N4",1,0),IF(E2_diario!J1983="N4",1,0),IF(E2_diario!J2445="N4",1,0),IF(E2_diario!J2487="N4",1,0))</x:f>
        <x:v>4</x:v>
      </x:c>
      <x:c r="L219" s="2" t="n">
        <x:f>SUM(IF(E2_diario!J429="adulta",1,0),IF(E2_diario!J471="adulta",1,0),IF(E2_diario!J933="adulta",1,0),IF(E2_diario!J975="adulta",1,0),IF(E2_diario!J1437="adulta",1,0),IF(E2_diario!J1479="adulta",1,0),IF(E2_diario!J1941="adulta",1,0),IF(E2_diario!J1983="adulta",1,0),IF(E2_diario!J2445="adulta",1,0),IF(E2_diario!J2487="adulta",1,0))</x:f>
        <x:v>0</x:v>
      </x:c>
      <x:c r="M219" s="2" t="n">
        <x:f>SUM(E2_diario!L429,E2_diario!L471,E2_diario!L933,E2_diario!L975,E2_diario!L1437,E2_diario!L1479,E2_diario!L1941,E2_diario!L1983,E2_diario!L2445,E2_diario!L2487)</x:f>
        <x:v>0</x:v>
      </x:c>
      <x:c r="N219" s="20" t="n">
        <x:f>G219/F219</x:f>
        <x:v>0.9</x:v>
      </x:c>
      <x:c r="O219" s="20" t="n">
        <x:f>IF(G219=0,0,M219/G219)</x:f>
        <x:v>0</x:v>
      </x:c>
      <x:c r="P219" s="20" t="n">
        <x:f>N219*O219</x:f>
        <x:v>0</x:v>
      </x:c>
      <x:c r="Q219" s="20" t="n">
        <x:f>H219/F219</x:f>
        <x:v>0</x:v>
      </x:c>
      <x:c r="R219" s="20" t="n">
        <x:f>I219/F219</x:f>
        <x:v>0</x:v>
      </x:c>
      <x:c r="S219" s="20" t="n">
        <x:f>J219/F219</x:f>
        <x:v>0.5</x:v>
      </x:c>
      <x:c r="T219" s="20" t="n">
        <x:f>K219/F219</x:f>
        <x:v>0.4</x:v>
      </x:c>
      <x:c r="U219" s="20" t="n">
        <x:f>L219/F219</x:f>
        <x:v>0</x:v>
      </x:c>
      <x:c r="V219" s="20" t="n">
        <x:f>IF(L219=0,0,M219/L219)</x:f>
        <x:v>0</x:v>
      </x:c>
      <x:c r="W219" s="20" t="n">
        <x:f>SUM(P$212:P219)</x:f>
        <x:v>0</x:v>
      </x:c>
      <x:c r="X219" s="2" t="n">
        <x:f>E219+Supuestos!$C$15</x:f>
        <x:v>8</x:v>
      </x:c>
      <x:c r="Y219" s="2" t="n">
        <x:f>F219-G219</x:f>
        <x:v>1</x:v>
      </x:c>
      <x:c r="Z219" s="2" t="str">
        <x:v>simulado_didactico</x:v>
      </x:c>
    </x:row>
    <x:row r="220" ht="19" customHeight="1">
      <x:c r="A220" s="2" t="str">
        <x:v>BB_L7</x:v>
      </x:c>
      <x:c r="B220" s="2" t="str">
        <x:v>BB</x:v>
      </x:c>
      <x:c r="C220" s="2" t="str">
        <x:v>Brevicoryne brassicae</x:v>
      </x:c>
      <x:c r="D220" s="2" t="str">
        <x:v>L7</x:v>
      </x:c>
      <x:c r="E220" s="2" t="n">
        <x:v>8</x:v>
      </x:c>
      <x:c r="F220" s="2" t="n">
        <x:f>COUNTA(E2_plantas!A12,E2_plantas!A13,E2_plantas!A24,E2_plantas!A25,E2_plantas!A36,E2_plantas!A37,E2_plantas!A48,E2_plantas!A49,E2_plantas!A60,E2_plantas!A61)</x:f>
        <x:v>10</x:v>
      </x:c>
      <x:c r="G220" s="2" t="n">
        <x:f>SUM(E2_diario!K430,E2_diario!K472,E2_diario!K934,E2_diario!K976,E2_diario!K1438,E2_diario!K1480,E2_diario!K1942,E2_diario!K1984,E2_diario!K2446,E2_diario!K2488)</x:f>
        <x:v>9</x:v>
      </x:c>
      <x:c r="H220" s="2" t="n">
        <x:f>SUM(IF(E2_diario!J430="N1",1,0),IF(E2_diario!J472="N1",1,0),IF(E2_diario!J934="N1",1,0),IF(E2_diario!J976="N1",1,0),IF(E2_diario!J1438="N1",1,0),IF(E2_diario!J1480="N1",1,0),IF(E2_diario!J1942="N1",1,0),IF(E2_diario!J1984="N1",1,0),IF(E2_diario!J2446="N1",1,0),IF(E2_diario!J2488="N1",1,0))</x:f>
        <x:v>0</x:v>
      </x:c>
      <x:c r="I220" s="2" t="n">
        <x:f>SUM(IF(E2_diario!J430="N2",1,0),IF(E2_diario!J472="N2",1,0),IF(E2_diario!J934="N2",1,0),IF(E2_diario!J976="N2",1,0),IF(E2_diario!J1438="N2",1,0),IF(E2_diario!J1480="N2",1,0),IF(E2_diario!J1942="N2",1,0),IF(E2_diario!J1984="N2",1,0),IF(E2_diario!J2446="N2",1,0),IF(E2_diario!J2488="N2",1,0))</x:f>
        <x:v>0</x:v>
      </x:c>
      <x:c r="J220" s="2" t="n">
        <x:f>SUM(IF(E2_diario!J430="N3",1,0),IF(E2_diario!J472="N3",1,0),IF(E2_diario!J934="N3",1,0),IF(E2_diario!J976="N3",1,0),IF(E2_diario!J1438="N3",1,0),IF(E2_diario!J1480="N3",1,0),IF(E2_diario!J1942="N3",1,0),IF(E2_diario!J1984="N3",1,0),IF(E2_diario!J2446="N3",1,0),IF(E2_diario!J2488="N3",1,0))</x:f>
        <x:v>0</x:v>
      </x:c>
      <x:c r="K220" s="2" t="n">
        <x:f>SUM(IF(E2_diario!J430="N4",1,0),IF(E2_diario!J472="N4",1,0),IF(E2_diario!J934="N4",1,0),IF(E2_diario!J976="N4",1,0),IF(E2_diario!J1438="N4",1,0),IF(E2_diario!J1480="N4",1,0),IF(E2_diario!J1942="N4",1,0),IF(E2_diario!J1984="N4",1,0),IF(E2_diario!J2446="N4",1,0),IF(E2_diario!J2488="N4",1,0))</x:f>
        <x:v>7</x:v>
      </x:c>
      <x:c r="L220" s="2" t="n">
        <x:f>SUM(IF(E2_diario!J430="adulta",1,0),IF(E2_diario!J472="adulta",1,0),IF(E2_diario!J934="adulta",1,0),IF(E2_diario!J976="adulta",1,0),IF(E2_diario!J1438="adulta",1,0),IF(E2_diario!J1480="adulta",1,0),IF(E2_diario!J1942="adulta",1,0),IF(E2_diario!J1984="adulta",1,0),IF(E2_diario!J2446="adulta",1,0),IF(E2_diario!J2488="adulta",1,0))</x:f>
        <x:v>2</x:v>
      </x:c>
      <x:c r="M220" s="2" t="n">
        <x:f>SUM(E2_diario!L430,E2_diario!L472,E2_diario!L934,E2_diario!L976,E2_diario!L1438,E2_diario!L1480,E2_diario!L1942,E2_diario!L1984,E2_diario!L2446,E2_diario!L2488)</x:f>
        <x:v>0</x:v>
      </x:c>
      <x:c r="N220" s="20" t="n">
        <x:f>G220/F220</x:f>
        <x:v>0.9</x:v>
      </x:c>
      <x:c r="O220" s="20" t="n">
        <x:f>IF(G220=0,0,M220/G220)</x:f>
        <x:v>0</x:v>
      </x:c>
      <x:c r="P220" s="20" t="n">
        <x:f>N220*O220</x:f>
        <x:v>0</x:v>
      </x:c>
      <x:c r="Q220" s="20" t="n">
        <x:f>H220/F220</x:f>
        <x:v>0</x:v>
      </x:c>
      <x:c r="R220" s="20" t="n">
        <x:f>I220/F220</x:f>
        <x:v>0</x:v>
      </x:c>
      <x:c r="S220" s="20" t="n">
        <x:f>J220/F220</x:f>
        <x:v>0</x:v>
      </x:c>
      <x:c r="T220" s="20" t="n">
        <x:f>K220/F220</x:f>
        <x:v>0.7</x:v>
      </x:c>
      <x:c r="U220" s="20" t="n">
        <x:f>L220/F220</x:f>
        <x:v>0.2</x:v>
      </x:c>
      <x:c r="V220" s="20" t="n">
        <x:f>IF(L220=0,0,M220/L220)</x:f>
        <x:v>0</x:v>
      </x:c>
      <x:c r="W220" s="20" t="n">
        <x:f>SUM(P$212:P220)</x:f>
        <x:v>0</x:v>
      </x:c>
      <x:c r="X220" s="2" t="n">
        <x:f>E220+Supuestos!$C$15</x:f>
        <x:v>9</x:v>
      </x:c>
      <x:c r="Y220" s="2" t="n">
        <x:f>F220-G220</x:f>
        <x:v>1</x:v>
      </x:c>
      <x:c r="Z220" s="2" t="str">
        <x:v>simulado_didactico</x:v>
      </x:c>
    </x:row>
    <x:row r="221" ht="19" customHeight="1">
      <x:c r="A221" s="2" t="str">
        <x:v>BB_L7</x:v>
      </x:c>
      <x:c r="B221" s="2" t="str">
        <x:v>BB</x:v>
      </x:c>
      <x:c r="C221" s="2" t="str">
        <x:v>Brevicoryne brassicae</x:v>
      </x:c>
      <x:c r="D221" s="2" t="str">
        <x:v>L7</x:v>
      </x:c>
      <x:c r="E221" s="2" t="n">
        <x:v>9</x:v>
      </x:c>
      <x:c r="F221" s="2" t="n">
        <x:f>COUNTA(E2_plantas!A12,E2_plantas!A13,E2_plantas!A24,E2_plantas!A25,E2_plantas!A36,E2_plantas!A37,E2_plantas!A48,E2_plantas!A49,E2_plantas!A60,E2_plantas!A61)</x:f>
        <x:v>10</x:v>
      </x:c>
      <x:c r="G221" s="2" t="n">
        <x:f>SUM(E2_diario!K431,E2_diario!K473,E2_diario!K935,E2_diario!K977,E2_diario!K1439,E2_diario!K1481,E2_diario!K1943,E2_diario!K1985,E2_diario!K2447,E2_diario!K2489)</x:f>
        <x:v>9</x:v>
      </x:c>
      <x:c r="H221" s="2" t="n">
        <x:f>SUM(IF(E2_diario!J431="N1",1,0),IF(E2_diario!J473="N1",1,0),IF(E2_diario!J935="N1",1,0),IF(E2_diario!J977="N1",1,0),IF(E2_diario!J1439="N1",1,0),IF(E2_diario!J1481="N1",1,0),IF(E2_diario!J1943="N1",1,0),IF(E2_diario!J1985="N1",1,0),IF(E2_diario!J2447="N1",1,0),IF(E2_diario!J2489="N1",1,0))</x:f>
        <x:v>0</x:v>
      </x:c>
      <x:c r="I221" s="2" t="n">
        <x:f>SUM(IF(E2_diario!J431="N2",1,0),IF(E2_diario!J473="N2",1,0),IF(E2_diario!J935="N2",1,0),IF(E2_diario!J977="N2",1,0),IF(E2_diario!J1439="N2",1,0),IF(E2_diario!J1481="N2",1,0),IF(E2_diario!J1943="N2",1,0),IF(E2_diario!J1985="N2",1,0),IF(E2_diario!J2447="N2",1,0),IF(E2_diario!J2489="N2",1,0))</x:f>
        <x:v>0</x:v>
      </x:c>
      <x:c r="J221" s="2" t="n">
        <x:f>SUM(IF(E2_diario!J431="N3",1,0),IF(E2_diario!J473="N3",1,0),IF(E2_diario!J935="N3",1,0),IF(E2_diario!J977="N3",1,0),IF(E2_diario!J1439="N3",1,0),IF(E2_diario!J1481="N3",1,0),IF(E2_diario!J1943="N3",1,0),IF(E2_diario!J1985="N3",1,0),IF(E2_diario!J2447="N3",1,0),IF(E2_diario!J2489="N3",1,0))</x:f>
        <x:v>0</x:v>
      </x:c>
      <x:c r="K221" s="2" t="n">
        <x:f>SUM(IF(E2_diario!J431="N4",1,0),IF(E2_diario!J473="N4",1,0),IF(E2_diario!J935="N4",1,0),IF(E2_diario!J977="N4",1,0),IF(E2_diario!J1439="N4",1,0),IF(E2_diario!J1481="N4",1,0),IF(E2_diario!J1943="N4",1,0),IF(E2_diario!J1985="N4",1,0),IF(E2_diario!J2447="N4",1,0),IF(E2_diario!J2489="N4",1,0))</x:f>
        <x:v>1</x:v>
      </x:c>
      <x:c r="L221" s="2" t="n">
        <x:f>SUM(IF(E2_diario!J431="adulta",1,0),IF(E2_diario!J473="adulta",1,0),IF(E2_diario!J935="adulta",1,0),IF(E2_diario!J977="adulta",1,0),IF(E2_diario!J1439="adulta",1,0),IF(E2_diario!J1481="adulta",1,0),IF(E2_diario!J1943="adulta",1,0),IF(E2_diario!J1985="adulta",1,0),IF(E2_diario!J2447="adulta",1,0),IF(E2_diario!J2489="adulta",1,0))</x:f>
        <x:v>8</x:v>
      </x:c>
      <x:c r="M221" s="2" t="n">
        <x:f>SUM(E2_diario!L431,E2_diario!L473,E2_diario!L935,E2_diario!L977,E2_diario!L1439,E2_diario!L1481,E2_diario!L1943,E2_diario!L1985,E2_diario!L2447,E2_diario!L2489)</x:f>
        <x:v>0</x:v>
      </x:c>
      <x:c r="N221" s="20" t="n">
        <x:f>G221/F221</x:f>
        <x:v>0.9</x:v>
      </x:c>
      <x:c r="O221" s="20" t="n">
        <x:f>IF(G221=0,0,M221/G221)</x:f>
        <x:v>0</x:v>
      </x:c>
      <x:c r="P221" s="20" t="n">
        <x:f>N221*O221</x:f>
        <x:v>0</x:v>
      </x:c>
      <x:c r="Q221" s="20" t="n">
        <x:f>H221/F221</x:f>
        <x:v>0</x:v>
      </x:c>
      <x:c r="R221" s="20" t="n">
        <x:f>I221/F221</x:f>
        <x:v>0</x:v>
      </x:c>
      <x:c r="S221" s="20" t="n">
        <x:f>J221/F221</x:f>
        <x:v>0</x:v>
      </x:c>
      <x:c r="T221" s="20" t="n">
        <x:f>K221/F221</x:f>
        <x:v>0.1</x:v>
      </x:c>
      <x:c r="U221" s="20" t="n">
        <x:f>L221/F221</x:f>
        <x:v>0.8</x:v>
      </x:c>
      <x:c r="V221" s="20" t="n">
        <x:f>IF(L221=0,0,M221/L221)</x:f>
        <x:v>0</x:v>
      </x:c>
      <x:c r="W221" s="20" t="n">
        <x:f>SUM(P$212:P221)</x:f>
        <x:v>0</x:v>
      </x:c>
      <x:c r="X221" s="2" t="n">
        <x:f>E221+Supuestos!$C$15</x:f>
        <x:v>10</x:v>
      </x:c>
      <x:c r="Y221" s="2" t="n">
        <x:f>F221-G221</x:f>
        <x:v>1</x:v>
      </x:c>
      <x:c r="Z221" s="2" t="str">
        <x:v>simulado_didactico</x:v>
      </x:c>
    </x:row>
    <x:row r="222" ht="19" customHeight="1">
      <x:c r="A222" s="2" t="str">
        <x:v>BB_L7</x:v>
      </x:c>
      <x:c r="B222" s="2" t="str">
        <x:v>BB</x:v>
      </x:c>
      <x:c r="C222" s="2" t="str">
        <x:v>Brevicoryne brassicae</x:v>
      </x:c>
      <x:c r="D222" s="2" t="str">
        <x:v>L7</x:v>
      </x:c>
      <x:c r="E222" s="2" t="n">
        <x:v>10</x:v>
      </x:c>
      <x:c r="F222" s="2" t="n">
        <x:f>COUNTA(E2_plantas!A12,E2_plantas!A13,E2_plantas!A24,E2_plantas!A25,E2_plantas!A36,E2_plantas!A37,E2_plantas!A48,E2_plantas!A49,E2_plantas!A60,E2_plantas!A61)</x:f>
        <x:v>10</x:v>
      </x:c>
      <x:c r="G222" s="2" t="n">
        <x:f>SUM(E2_diario!K432,E2_diario!K474,E2_diario!K936,E2_diario!K978,E2_diario!K1440,E2_diario!K1482,E2_diario!K1944,E2_diario!K1986,E2_diario!K2448,E2_diario!K2490)</x:f>
        <x:v>9</x:v>
      </x:c>
      <x:c r="H222" s="2" t="n">
        <x:f>SUM(IF(E2_diario!J432="N1",1,0),IF(E2_diario!J474="N1",1,0),IF(E2_diario!J936="N1",1,0),IF(E2_diario!J978="N1",1,0),IF(E2_diario!J1440="N1",1,0),IF(E2_diario!J1482="N1",1,0),IF(E2_diario!J1944="N1",1,0),IF(E2_diario!J1986="N1",1,0),IF(E2_diario!J2448="N1",1,0),IF(E2_diario!J2490="N1",1,0))</x:f>
        <x:v>0</x:v>
      </x:c>
      <x:c r="I222" s="2" t="n">
        <x:f>SUM(IF(E2_diario!J432="N2",1,0),IF(E2_diario!J474="N2",1,0),IF(E2_diario!J936="N2",1,0),IF(E2_diario!J978="N2",1,0),IF(E2_diario!J1440="N2",1,0),IF(E2_diario!J1482="N2",1,0),IF(E2_diario!J1944="N2",1,0),IF(E2_diario!J1986="N2",1,0),IF(E2_diario!J2448="N2",1,0),IF(E2_diario!J2490="N2",1,0))</x:f>
        <x:v>0</x:v>
      </x:c>
      <x:c r="J222" s="2" t="n">
        <x:f>SUM(IF(E2_diario!J432="N3",1,0),IF(E2_diario!J474="N3",1,0),IF(E2_diario!J936="N3",1,0),IF(E2_diario!J978="N3",1,0),IF(E2_diario!J1440="N3",1,0),IF(E2_diario!J1482="N3",1,0),IF(E2_diario!J1944="N3",1,0),IF(E2_diario!J1986="N3",1,0),IF(E2_diario!J2448="N3",1,0),IF(E2_diario!J2490="N3",1,0))</x:f>
        <x:v>0</x:v>
      </x:c>
      <x:c r="K222" s="2" t="n">
        <x:f>SUM(IF(E2_diario!J432="N4",1,0),IF(E2_diario!J474="N4",1,0),IF(E2_diario!J936="N4",1,0),IF(E2_diario!J978="N4",1,0),IF(E2_diario!J1440="N4",1,0),IF(E2_diario!J1482="N4",1,0),IF(E2_diario!J1944="N4",1,0),IF(E2_diario!J1986="N4",1,0),IF(E2_diario!J2448="N4",1,0),IF(E2_diario!J2490="N4",1,0))</x:f>
        <x:v>1</x:v>
      </x:c>
      <x:c r="L222" s="2" t="n">
        <x:f>SUM(IF(E2_diario!J432="adulta",1,0),IF(E2_diario!J474="adulta",1,0),IF(E2_diario!J936="adulta",1,0),IF(E2_diario!J978="adulta",1,0),IF(E2_diario!J1440="adulta",1,0),IF(E2_diario!J1482="adulta",1,0),IF(E2_diario!J1944="adulta",1,0),IF(E2_diario!J1986="adulta",1,0),IF(E2_diario!J2448="adulta",1,0),IF(E2_diario!J2490="adulta",1,0))</x:f>
        <x:v>8</x:v>
      </x:c>
      <x:c r="M222" s="2" t="n">
        <x:f>SUM(E2_diario!L432,E2_diario!L474,E2_diario!L936,E2_diario!L978,E2_diario!L1440,E2_diario!L1482,E2_diario!L1944,E2_diario!L1986,E2_diario!L2448,E2_diario!L2490)</x:f>
        <x:v>7</x:v>
      </x:c>
      <x:c r="N222" s="20" t="n">
        <x:f>G222/F222</x:f>
        <x:v>0.9</x:v>
      </x:c>
      <x:c r="O222" s="20" t="n">
        <x:f>IF(G222=0,0,M222/G222)</x:f>
        <x:v>0.7777777777777778</x:v>
      </x:c>
      <x:c r="P222" s="20" t="n">
        <x:f>N222*O222</x:f>
        <x:v>0.7000000000000001</x:v>
      </x:c>
      <x:c r="Q222" s="20" t="n">
        <x:f>H222/F222</x:f>
        <x:v>0</x:v>
      </x:c>
      <x:c r="R222" s="20" t="n">
        <x:f>I222/F222</x:f>
        <x:v>0</x:v>
      </x:c>
      <x:c r="S222" s="20" t="n">
        <x:f>J222/F222</x:f>
        <x:v>0</x:v>
      </x:c>
      <x:c r="T222" s="20" t="n">
        <x:f>K222/F222</x:f>
        <x:v>0.1</x:v>
      </x:c>
      <x:c r="U222" s="20" t="n">
        <x:f>L222/F222</x:f>
        <x:v>0.8</x:v>
      </x:c>
      <x:c r="V222" s="20" t="n">
        <x:f>IF(L222=0,0,M222/L222)</x:f>
        <x:v>0.875</x:v>
      </x:c>
      <x:c r="W222" s="20" t="n">
        <x:f>SUM(P$212:P222)</x:f>
        <x:v>0.7000000000000001</x:v>
      </x:c>
      <x:c r="X222" s="2" t="n">
        <x:f>E222+Supuestos!$C$15</x:f>
        <x:v>11</x:v>
      </x:c>
      <x:c r="Y222" s="2" t="n">
        <x:f>F222-G222</x:f>
        <x:v>1</x:v>
      </x:c>
      <x:c r="Z222" s="2" t="str">
        <x:v>simulado_didactico</x:v>
      </x:c>
    </x:row>
    <x:row r="223" ht="19" customHeight="1">
      <x:c r="A223" s="2" t="str">
        <x:v>BB_L7</x:v>
      </x:c>
      <x:c r="B223" s="2" t="str">
        <x:v>BB</x:v>
      </x:c>
      <x:c r="C223" s="2" t="str">
        <x:v>Brevicoryne brassicae</x:v>
      </x:c>
      <x:c r="D223" s="2" t="str">
        <x:v>L7</x:v>
      </x:c>
      <x:c r="E223" s="2" t="n">
        <x:v>11</x:v>
      </x:c>
      <x:c r="F223" s="2" t="n">
        <x:f>COUNTA(E2_plantas!A12,E2_plantas!A13,E2_plantas!A24,E2_plantas!A25,E2_plantas!A36,E2_plantas!A37,E2_plantas!A48,E2_plantas!A49,E2_plantas!A60,E2_plantas!A61)</x:f>
        <x:v>10</x:v>
      </x:c>
      <x:c r="G223" s="2" t="n">
        <x:f>SUM(E2_diario!K433,E2_diario!K475,E2_diario!K937,E2_diario!K979,E2_diario!K1441,E2_diario!K1483,E2_diario!K1945,E2_diario!K1987,E2_diario!K2449,E2_diario!K2491)</x:f>
        <x:v>9</x:v>
      </x:c>
      <x:c r="H223" s="2" t="n">
        <x:f>SUM(IF(E2_diario!J433="N1",1,0),IF(E2_diario!J475="N1",1,0),IF(E2_diario!J937="N1",1,0),IF(E2_diario!J979="N1",1,0),IF(E2_diario!J1441="N1",1,0),IF(E2_diario!J1483="N1",1,0),IF(E2_diario!J1945="N1",1,0),IF(E2_diario!J1987="N1",1,0),IF(E2_diario!J2449="N1",1,0),IF(E2_diario!J2491="N1",1,0))</x:f>
        <x:v>0</x:v>
      </x:c>
      <x:c r="I223" s="2" t="n">
        <x:f>SUM(IF(E2_diario!J433="N2",1,0),IF(E2_diario!J475="N2",1,0),IF(E2_diario!J937="N2",1,0),IF(E2_diario!J979="N2",1,0),IF(E2_diario!J1441="N2",1,0),IF(E2_diario!J1483="N2",1,0),IF(E2_diario!J1945="N2",1,0),IF(E2_diario!J1987="N2",1,0),IF(E2_diario!J2449="N2",1,0),IF(E2_diario!J2491="N2",1,0))</x:f>
        <x:v>0</x:v>
      </x:c>
      <x:c r="J223" s="2" t="n">
        <x:f>SUM(IF(E2_diario!J433="N3",1,0),IF(E2_diario!J475="N3",1,0),IF(E2_diario!J937="N3",1,0),IF(E2_diario!J979="N3",1,0),IF(E2_diario!J1441="N3",1,0),IF(E2_diario!J1483="N3",1,0),IF(E2_diario!J1945="N3",1,0),IF(E2_diario!J1987="N3",1,0),IF(E2_diario!J2449="N3",1,0),IF(E2_diario!J2491="N3",1,0))</x:f>
        <x:v>0</x:v>
      </x:c>
      <x:c r="K223" s="2" t="n">
        <x:f>SUM(IF(E2_diario!J433="N4",1,0),IF(E2_diario!J475="N4",1,0),IF(E2_diario!J937="N4",1,0),IF(E2_diario!J979="N4",1,0),IF(E2_diario!J1441="N4",1,0),IF(E2_diario!J1483="N4",1,0),IF(E2_diario!J1945="N4",1,0),IF(E2_diario!J1987="N4",1,0),IF(E2_diario!J2449="N4",1,0),IF(E2_diario!J2491="N4",1,0))</x:f>
        <x:v>0</x:v>
      </x:c>
      <x:c r="L223" s="2" t="n">
        <x:f>SUM(IF(E2_diario!J433="adulta",1,0),IF(E2_diario!J475="adulta",1,0),IF(E2_diario!J937="adulta",1,0),IF(E2_diario!J979="adulta",1,0),IF(E2_diario!J1441="adulta",1,0),IF(E2_diario!J1483="adulta",1,0),IF(E2_diario!J1945="adulta",1,0),IF(E2_diario!J1987="adulta",1,0),IF(E2_diario!J2449="adulta",1,0),IF(E2_diario!J2491="adulta",1,0))</x:f>
        <x:v>9</x:v>
      </x:c>
      <x:c r="M223" s="2" t="n">
        <x:f>SUM(E2_diario!L433,E2_diario!L475,E2_diario!L937,E2_diario!L979,E2_diario!L1441,E2_diario!L1483,E2_diario!L1945,E2_diario!L1987,E2_diario!L2449,E2_diario!L2491)</x:f>
        <x:v>19</x:v>
      </x:c>
      <x:c r="N223" s="20" t="n">
        <x:f>G223/F223</x:f>
        <x:v>0.9</x:v>
      </x:c>
      <x:c r="O223" s="20" t="n">
        <x:f>IF(G223=0,0,M223/G223)</x:f>
        <x:v>2.111111111111111</x:v>
      </x:c>
      <x:c r="P223" s="20" t="n">
        <x:f>N223*O223</x:f>
        <x:v>1.9000000000000001</x:v>
      </x:c>
      <x:c r="Q223" s="20" t="n">
        <x:f>H223/F223</x:f>
        <x:v>0</x:v>
      </x:c>
      <x:c r="R223" s="20" t="n">
        <x:f>I223/F223</x:f>
        <x:v>0</x:v>
      </x:c>
      <x:c r="S223" s="20" t="n">
        <x:f>J223/F223</x:f>
        <x:v>0</x:v>
      </x:c>
      <x:c r="T223" s="20" t="n">
        <x:f>K223/F223</x:f>
        <x:v>0</x:v>
      </x:c>
      <x:c r="U223" s="20" t="n">
        <x:f>L223/F223</x:f>
        <x:v>0.9</x:v>
      </x:c>
      <x:c r="V223" s="20" t="n">
        <x:f>IF(L223=0,0,M223/L223)</x:f>
        <x:v>2.111111111111111</x:v>
      </x:c>
      <x:c r="W223" s="20" t="n">
        <x:f>SUM(P$212:P223)</x:f>
        <x:v>2.6</x:v>
      </x:c>
      <x:c r="X223" s="2" t="n">
        <x:f>E223+Supuestos!$C$15</x:f>
        <x:v>12</x:v>
      </x:c>
      <x:c r="Y223" s="2" t="n">
        <x:f>F223-G223</x:f>
        <x:v>1</x:v>
      </x:c>
      <x:c r="Z223" s="2" t="str">
        <x:v>simulado_didactico</x:v>
      </x:c>
    </x:row>
    <x:row r="224" ht="19" customHeight="1">
      <x:c r="A224" s="2" t="str">
        <x:v>BB_L7</x:v>
      </x:c>
      <x:c r="B224" s="2" t="str">
        <x:v>BB</x:v>
      </x:c>
      <x:c r="C224" s="2" t="str">
        <x:v>Brevicoryne brassicae</x:v>
      </x:c>
      <x:c r="D224" s="2" t="str">
        <x:v>L7</x:v>
      </x:c>
      <x:c r="E224" s="2" t="n">
        <x:v>12</x:v>
      </x:c>
      <x:c r="F224" s="2" t="n">
        <x:f>COUNTA(E2_plantas!A12,E2_plantas!A13,E2_plantas!A24,E2_plantas!A25,E2_plantas!A36,E2_plantas!A37,E2_plantas!A48,E2_plantas!A49,E2_plantas!A60,E2_plantas!A61)</x:f>
        <x:v>10</x:v>
      </x:c>
      <x:c r="G224" s="2" t="n">
        <x:f>SUM(E2_diario!K434,E2_diario!K476,E2_diario!K938,E2_diario!K980,E2_diario!K1442,E2_diario!K1484,E2_diario!K1946,E2_diario!K1988,E2_diario!K2450,E2_diario!K2492)</x:f>
        <x:v>9</x:v>
      </x:c>
      <x:c r="H224" s="2" t="n">
        <x:f>SUM(IF(E2_diario!J434="N1",1,0),IF(E2_diario!J476="N1",1,0),IF(E2_diario!J938="N1",1,0),IF(E2_diario!J980="N1",1,0),IF(E2_diario!J1442="N1",1,0),IF(E2_diario!J1484="N1",1,0),IF(E2_diario!J1946="N1",1,0),IF(E2_diario!J1988="N1",1,0),IF(E2_diario!J2450="N1",1,0),IF(E2_diario!J2492="N1",1,0))</x:f>
        <x:v>0</x:v>
      </x:c>
      <x:c r="I224" s="2" t="n">
        <x:f>SUM(IF(E2_diario!J434="N2",1,0),IF(E2_diario!J476="N2",1,0),IF(E2_diario!J938="N2",1,0),IF(E2_diario!J980="N2",1,0),IF(E2_diario!J1442="N2",1,0),IF(E2_diario!J1484="N2",1,0),IF(E2_diario!J1946="N2",1,0),IF(E2_diario!J1988="N2",1,0),IF(E2_diario!J2450="N2",1,0),IF(E2_diario!J2492="N2",1,0))</x:f>
        <x:v>0</x:v>
      </x:c>
      <x:c r="J224" s="2" t="n">
        <x:f>SUM(IF(E2_diario!J434="N3",1,0),IF(E2_diario!J476="N3",1,0),IF(E2_diario!J938="N3",1,0),IF(E2_diario!J980="N3",1,0),IF(E2_diario!J1442="N3",1,0),IF(E2_diario!J1484="N3",1,0),IF(E2_diario!J1946="N3",1,0),IF(E2_diario!J1988="N3",1,0),IF(E2_diario!J2450="N3",1,0),IF(E2_diario!J2492="N3",1,0))</x:f>
        <x:v>0</x:v>
      </x:c>
      <x:c r="K224" s="2" t="n">
        <x:f>SUM(IF(E2_diario!J434="N4",1,0),IF(E2_diario!J476="N4",1,0),IF(E2_diario!J938="N4",1,0),IF(E2_diario!J980="N4",1,0),IF(E2_diario!J1442="N4",1,0),IF(E2_diario!J1484="N4",1,0),IF(E2_diario!J1946="N4",1,0),IF(E2_diario!J1988="N4",1,0),IF(E2_diario!J2450="N4",1,0),IF(E2_diario!J2492="N4",1,0))</x:f>
        <x:v>0</x:v>
      </x:c>
      <x:c r="L224" s="2" t="n">
        <x:f>SUM(IF(E2_diario!J434="adulta",1,0),IF(E2_diario!J476="adulta",1,0),IF(E2_diario!J938="adulta",1,0),IF(E2_diario!J980="adulta",1,0),IF(E2_diario!J1442="adulta",1,0),IF(E2_diario!J1484="adulta",1,0),IF(E2_diario!J1946="adulta",1,0),IF(E2_diario!J1988="adulta",1,0),IF(E2_diario!J2450="adulta",1,0),IF(E2_diario!J2492="adulta",1,0))</x:f>
        <x:v>9</x:v>
      </x:c>
      <x:c r="M224" s="2" t="n">
        <x:f>SUM(E2_diario!L434,E2_diario!L476,E2_diario!L938,E2_diario!L980,E2_diario!L1442,E2_diario!L1484,E2_diario!L1946,E2_diario!L1988,E2_diario!L2450,E2_diario!L2492)</x:f>
        <x:v>22</x:v>
      </x:c>
      <x:c r="N224" s="20" t="n">
        <x:f>G224/F224</x:f>
        <x:v>0.9</x:v>
      </x:c>
      <x:c r="O224" s="20" t="n">
        <x:f>IF(G224=0,0,M224/G224)</x:f>
        <x:v>2.4444444444444446</x:v>
      </x:c>
      <x:c r="P224" s="20" t="n">
        <x:f>N224*O224</x:f>
        <x:v>2.2</x:v>
      </x:c>
      <x:c r="Q224" s="20" t="n">
        <x:f>H224/F224</x:f>
        <x:v>0</x:v>
      </x:c>
      <x:c r="R224" s="20" t="n">
        <x:f>I224/F224</x:f>
        <x:v>0</x:v>
      </x:c>
      <x:c r="S224" s="20" t="n">
        <x:f>J224/F224</x:f>
        <x:v>0</x:v>
      </x:c>
      <x:c r="T224" s="20" t="n">
        <x:f>K224/F224</x:f>
        <x:v>0</x:v>
      </x:c>
      <x:c r="U224" s="20" t="n">
        <x:f>L224/F224</x:f>
        <x:v>0.9</x:v>
      </x:c>
      <x:c r="V224" s="20" t="n">
        <x:f>IF(L224=0,0,M224/L224)</x:f>
        <x:v>2.4444444444444446</x:v>
      </x:c>
      <x:c r="W224" s="20" t="n">
        <x:f>SUM(P$212:P224)</x:f>
        <x:v>4.800000000000001</x:v>
      </x:c>
      <x:c r="X224" s="2" t="n">
        <x:f>E224+Supuestos!$C$15</x:f>
        <x:v>13</x:v>
      </x:c>
      <x:c r="Y224" s="2" t="n">
        <x:f>F224-G224</x:f>
        <x:v>1</x:v>
      </x:c>
      <x:c r="Z224" s="2" t="str">
        <x:v>simulado_didactico</x:v>
      </x:c>
    </x:row>
    <x:row r="225" ht="19" customHeight="1">
      <x:c r="A225" s="2" t="str">
        <x:v>BB_L7</x:v>
      </x:c>
      <x:c r="B225" s="2" t="str">
        <x:v>BB</x:v>
      </x:c>
      <x:c r="C225" s="2" t="str">
        <x:v>Brevicoryne brassicae</x:v>
      </x:c>
      <x:c r="D225" s="2" t="str">
        <x:v>L7</x:v>
      </x:c>
      <x:c r="E225" s="2" t="n">
        <x:v>13</x:v>
      </x:c>
      <x:c r="F225" s="2" t="n">
        <x:f>COUNTA(E2_plantas!A12,E2_plantas!A13,E2_plantas!A24,E2_plantas!A25,E2_plantas!A36,E2_plantas!A37,E2_plantas!A48,E2_plantas!A49,E2_plantas!A60,E2_plantas!A61)</x:f>
        <x:v>10</x:v>
      </x:c>
      <x:c r="G225" s="2" t="n">
        <x:f>SUM(E2_diario!K435,E2_diario!K477,E2_diario!K939,E2_diario!K981,E2_diario!K1443,E2_diario!K1485,E2_diario!K1947,E2_diario!K1989,E2_diario!K2451,E2_diario!K2493)</x:f>
        <x:v>9</x:v>
      </x:c>
      <x:c r="H225" s="2" t="n">
        <x:f>SUM(IF(E2_diario!J435="N1",1,0),IF(E2_diario!J477="N1",1,0),IF(E2_diario!J939="N1",1,0),IF(E2_diario!J981="N1",1,0),IF(E2_diario!J1443="N1",1,0),IF(E2_diario!J1485="N1",1,0),IF(E2_diario!J1947="N1",1,0),IF(E2_diario!J1989="N1",1,0),IF(E2_diario!J2451="N1",1,0),IF(E2_diario!J2493="N1",1,0))</x:f>
        <x:v>0</x:v>
      </x:c>
      <x:c r="I225" s="2" t="n">
        <x:f>SUM(IF(E2_diario!J435="N2",1,0),IF(E2_diario!J477="N2",1,0),IF(E2_diario!J939="N2",1,0),IF(E2_diario!J981="N2",1,0),IF(E2_diario!J1443="N2",1,0),IF(E2_diario!J1485="N2",1,0),IF(E2_diario!J1947="N2",1,0),IF(E2_diario!J1989="N2",1,0),IF(E2_diario!J2451="N2",1,0),IF(E2_diario!J2493="N2",1,0))</x:f>
        <x:v>0</x:v>
      </x:c>
      <x:c r="J225" s="2" t="n">
        <x:f>SUM(IF(E2_diario!J435="N3",1,0),IF(E2_diario!J477="N3",1,0),IF(E2_diario!J939="N3",1,0),IF(E2_diario!J981="N3",1,0),IF(E2_diario!J1443="N3",1,0),IF(E2_diario!J1485="N3",1,0),IF(E2_diario!J1947="N3",1,0),IF(E2_diario!J1989="N3",1,0),IF(E2_diario!J2451="N3",1,0),IF(E2_diario!J2493="N3",1,0))</x:f>
        <x:v>0</x:v>
      </x:c>
      <x:c r="K225" s="2" t="n">
        <x:f>SUM(IF(E2_diario!J435="N4",1,0),IF(E2_diario!J477="N4",1,0),IF(E2_diario!J939="N4",1,0),IF(E2_diario!J981="N4",1,0),IF(E2_diario!J1443="N4",1,0),IF(E2_diario!J1485="N4",1,0),IF(E2_diario!J1947="N4",1,0),IF(E2_diario!J1989="N4",1,0),IF(E2_diario!J2451="N4",1,0),IF(E2_diario!J2493="N4",1,0))</x:f>
        <x:v>0</x:v>
      </x:c>
      <x:c r="L225" s="2" t="n">
        <x:f>SUM(IF(E2_diario!J435="adulta",1,0),IF(E2_diario!J477="adulta",1,0),IF(E2_diario!J939="adulta",1,0),IF(E2_diario!J981="adulta",1,0),IF(E2_diario!J1443="adulta",1,0),IF(E2_diario!J1485="adulta",1,0),IF(E2_diario!J1947="adulta",1,0),IF(E2_diario!J1989="adulta",1,0),IF(E2_diario!J2451="adulta",1,0),IF(E2_diario!J2493="adulta",1,0))</x:f>
        <x:v>9</x:v>
      </x:c>
      <x:c r="M225" s="2" t="n">
        <x:f>SUM(E2_diario!L435,E2_diario!L477,E2_diario!L939,E2_diario!L981,E2_diario!L1443,E2_diario!L1485,E2_diario!L1947,E2_diario!L1989,E2_diario!L2451,E2_diario!L2493)</x:f>
        <x:v>25</x:v>
      </x:c>
      <x:c r="N225" s="20" t="n">
        <x:f>G225/F225</x:f>
        <x:v>0.9</x:v>
      </x:c>
      <x:c r="O225" s="20" t="n">
        <x:f>IF(G225=0,0,M225/G225)</x:f>
        <x:v>2.7777777777777777</x:v>
      </x:c>
      <x:c r="P225" s="20" t="n">
        <x:f>N225*O225</x:f>
        <x:v>2.5</x:v>
      </x:c>
      <x:c r="Q225" s="20" t="n">
        <x:f>H225/F225</x:f>
        <x:v>0</x:v>
      </x:c>
      <x:c r="R225" s="20" t="n">
        <x:f>I225/F225</x:f>
        <x:v>0</x:v>
      </x:c>
      <x:c r="S225" s="20" t="n">
        <x:f>J225/F225</x:f>
        <x:v>0</x:v>
      </x:c>
      <x:c r="T225" s="20" t="n">
        <x:f>K225/F225</x:f>
        <x:v>0</x:v>
      </x:c>
      <x:c r="U225" s="20" t="n">
        <x:f>L225/F225</x:f>
        <x:v>0.9</x:v>
      </x:c>
      <x:c r="V225" s="20" t="n">
        <x:f>IF(L225=0,0,M225/L225)</x:f>
        <x:v>2.7777777777777777</x:v>
      </x:c>
      <x:c r="W225" s="20" t="n">
        <x:f>SUM(P$212:P225)</x:f>
        <x:v>7.300000000000001</x:v>
      </x:c>
      <x:c r="X225" s="2" t="n">
        <x:f>E225+Supuestos!$C$15</x:f>
        <x:v>14</x:v>
      </x:c>
      <x:c r="Y225" s="2" t="n">
        <x:f>F225-G225</x:f>
        <x:v>1</x:v>
      </x:c>
      <x:c r="Z225" s="2" t="str">
        <x:v>simulado_didactico</x:v>
      </x:c>
    </x:row>
    <x:row r="226" ht="19" customHeight="1">
      <x:c r="A226" s="2" t="str">
        <x:v>BB_L7</x:v>
      </x:c>
      <x:c r="B226" s="2" t="str">
        <x:v>BB</x:v>
      </x:c>
      <x:c r="C226" s="2" t="str">
        <x:v>Brevicoryne brassicae</x:v>
      </x:c>
      <x:c r="D226" s="2" t="str">
        <x:v>L7</x:v>
      </x:c>
      <x:c r="E226" s="2" t="n">
        <x:v>14</x:v>
      </x:c>
      <x:c r="F226" s="2" t="n">
        <x:f>COUNTA(E2_plantas!A12,E2_plantas!A13,E2_plantas!A24,E2_plantas!A25,E2_plantas!A36,E2_plantas!A37,E2_plantas!A48,E2_plantas!A49,E2_plantas!A60,E2_plantas!A61)</x:f>
        <x:v>10</x:v>
      </x:c>
      <x:c r="G226" s="2" t="n">
        <x:f>SUM(E2_diario!K436,E2_diario!K478,E2_diario!K940,E2_diario!K982,E2_diario!K1444,E2_diario!K1486,E2_diario!K1948,E2_diario!K1990,E2_diario!K2452,E2_diario!K2494)</x:f>
        <x:v>9</x:v>
      </x:c>
      <x:c r="H226" s="2" t="n">
        <x:f>SUM(IF(E2_diario!J436="N1",1,0),IF(E2_diario!J478="N1",1,0),IF(E2_diario!J940="N1",1,0),IF(E2_diario!J982="N1",1,0),IF(E2_diario!J1444="N1",1,0),IF(E2_diario!J1486="N1",1,0),IF(E2_diario!J1948="N1",1,0),IF(E2_diario!J1990="N1",1,0),IF(E2_diario!J2452="N1",1,0),IF(E2_diario!J2494="N1",1,0))</x:f>
        <x:v>0</x:v>
      </x:c>
      <x:c r="I226" s="2" t="n">
        <x:f>SUM(IF(E2_diario!J436="N2",1,0),IF(E2_diario!J478="N2",1,0),IF(E2_diario!J940="N2",1,0),IF(E2_diario!J982="N2",1,0),IF(E2_diario!J1444="N2",1,0),IF(E2_diario!J1486="N2",1,0),IF(E2_diario!J1948="N2",1,0),IF(E2_diario!J1990="N2",1,0),IF(E2_diario!J2452="N2",1,0),IF(E2_diario!J2494="N2",1,0))</x:f>
        <x:v>0</x:v>
      </x:c>
      <x:c r="J226" s="2" t="n">
        <x:f>SUM(IF(E2_diario!J436="N3",1,0),IF(E2_diario!J478="N3",1,0),IF(E2_diario!J940="N3",1,0),IF(E2_diario!J982="N3",1,0),IF(E2_diario!J1444="N3",1,0),IF(E2_diario!J1486="N3",1,0),IF(E2_diario!J1948="N3",1,0),IF(E2_diario!J1990="N3",1,0),IF(E2_diario!J2452="N3",1,0),IF(E2_diario!J2494="N3",1,0))</x:f>
        <x:v>0</x:v>
      </x:c>
      <x:c r="K226" s="2" t="n">
        <x:f>SUM(IF(E2_diario!J436="N4",1,0),IF(E2_diario!J478="N4",1,0),IF(E2_diario!J940="N4",1,0),IF(E2_diario!J982="N4",1,0),IF(E2_diario!J1444="N4",1,0),IF(E2_diario!J1486="N4",1,0),IF(E2_diario!J1948="N4",1,0),IF(E2_diario!J1990="N4",1,0),IF(E2_diario!J2452="N4",1,0),IF(E2_diario!J2494="N4",1,0))</x:f>
        <x:v>0</x:v>
      </x:c>
      <x:c r="L226" s="2" t="n">
        <x:f>SUM(IF(E2_diario!J436="adulta",1,0),IF(E2_diario!J478="adulta",1,0),IF(E2_diario!J940="adulta",1,0),IF(E2_diario!J982="adulta",1,0),IF(E2_diario!J1444="adulta",1,0),IF(E2_diario!J1486="adulta",1,0),IF(E2_diario!J1948="adulta",1,0),IF(E2_diario!J1990="adulta",1,0),IF(E2_diario!J2452="adulta",1,0),IF(E2_diario!J2494="adulta",1,0))</x:f>
        <x:v>9</x:v>
      </x:c>
      <x:c r="M226" s="2" t="n">
        <x:f>SUM(E2_diario!L436,E2_diario!L478,E2_diario!L940,E2_diario!L982,E2_diario!L1444,E2_diario!L1486,E2_diario!L1948,E2_diario!L1990,E2_diario!L2452,E2_diario!L2494)</x:f>
        <x:v>31</x:v>
      </x:c>
      <x:c r="N226" s="20" t="n">
        <x:f>G226/F226</x:f>
        <x:v>0.9</x:v>
      </x:c>
      <x:c r="O226" s="20" t="n">
        <x:f>IF(G226=0,0,M226/G226)</x:f>
        <x:v>3.4444444444444446</x:v>
      </x:c>
      <x:c r="P226" s="20" t="n">
        <x:f>N226*O226</x:f>
        <x:v>3.1</x:v>
      </x:c>
      <x:c r="Q226" s="20" t="n">
        <x:f>H226/F226</x:f>
        <x:v>0</x:v>
      </x:c>
      <x:c r="R226" s="20" t="n">
        <x:f>I226/F226</x:f>
        <x:v>0</x:v>
      </x:c>
      <x:c r="S226" s="20" t="n">
        <x:f>J226/F226</x:f>
        <x:v>0</x:v>
      </x:c>
      <x:c r="T226" s="20" t="n">
        <x:f>K226/F226</x:f>
        <x:v>0</x:v>
      </x:c>
      <x:c r="U226" s="20" t="n">
        <x:f>L226/F226</x:f>
        <x:v>0.9</x:v>
      </x:c>
      <x:c r="V226" s="20" t="n">
        <x:f>IF(L226=0,0,M226/L226)</x:f>
        <x:v>3.4444444444444446</x:v>
      </x:c>
      <x:c r="W226" s="20" t="n">
        <x:f>SUM(P$212:P226)</x:f>
        <x:v>10.4</x:v>
      </x:c>
      <x:c r="X226" s="2" t="n">
        <x:f>E226+Supuestos!$C$15</x:f>
        <x:v>15</x:v>
      </x:c>
      <x:c r="Y226" s="2" t="n">
        <x:f>F226-G226</x:f>
        <x:v>1</x:v>
      </x:c>
      <x:c r="Z226" s="2" t="str">
        <x:v>simulado_didactico</x:v>
      </x:c>
    </x:row>
    <x:row r="227" ht="19" customHeight="1">
      <x:c r="A227" s="2" t="str">
        <x:v>BB_L7</x:v>
      </x:c>
      <x:c r="B227" s="2" t="str">
        <x:v>BB</x:v>
      </x:c>
      <x:c r="C227" s="2" t="str">
        <x:v>Brevicoryne brassicae</x:v>
      </x:c>
      <x:c r="D227" s="2" t="str">
        <x:v>L7</x:v>
      </x:c>
      <x:c r="E227" s="2" t="n">
        <x:v>15</x:v>
      </x:c>
      <x:c r="F227" s="2" t="n">
        <x:f>COUNTA(E2_plantas!A12,E2_plantas!A13,E2_plantas!A24,E2_plantas!A25,E2_plantas!A36,E2_plantas!A37,E2_plantas!A48,E2_plantas!A49,E2_plantas!A60,E2_plantas!A61)</x:f>
        <x:v>10</x:v>
      </x:c>
      <x:c r="G227" s="2" t="n">
        <x:f>SUM(E2_diario!K437,E2_diario!K479,E2_diario!K941,E2_diario!K983,E2_diario!K1445,E2_diario!K1487,E2_diario!K1949,E2_diario!K1991,E2_diario!K2453,E2_diario!K2495)</x:f>
        <x:v>9</x:v>
      </x:c>
      <x:c r="H227" s="2" t="n">
        <x:f>SUM(IF(E2_diario!J437="N1",1,0),IF(E2_diario!J479="N1",1,0),IF(E2_diario!J941="N1",1,0),IF(E2_diario!J983="N1",1,0),IF(E2_diario!J1445="N1",1,0),IF(E2_diario!J1487="N1",1,0),IF(E2_diario!J1949="N1",1,0),IF(E2_diario!J1991="N1",1,0),IF(E2_diario!J2453="N1",1,0),IF(E2_diario!J2495="N1",1,0))</x:f>
        <x:v>0</x:v>
      </x:c>
      <x:c r="I227" s="2" t="n">
        <x:f>SUM(IF(E2_diario!J437="N2",1,0),IF(E2_diario!J479="N2",1,0),IF(E2_diario!J941="N2",1,0),IF(E2_diario!J983="N2",1,0),IF(E2_diario!J1445="N2",1,0),IF(E2_diario!J1487="N2",1,0),IF(E2_diario!J1949="N2",1,0),IF(E2_diario!J1991="N2",1,0),IF(E2_diario!J2453="N2",1,0),IF(E2_diario!J2495="N2",1,0))</x:f>
        <x:v>0</x:v>
      </x:c>
      <x:c r="J227" s="2" t="n">
        <x:f>SUM(IF(E2_diario!J437="N3",1,0),IF(E2_diario!J479="N3",1,0),IF(E2_diario!J941="N3",1,0),IF(E2_diario!J983="N3",1,0),IF(E2_diario!J1445="N3",1,0),IF(E2_diario!J1487="N3",1,0),IF(E2_diario!J1949="N3",1,0),IF(E2_diario!J1991="N3",1,0),IF(E2_diario!J2453="N3",1,0),IF(E2_diario!J2495="N3",1,0))</x:f>
        <x:v>0</x:v>
      </x:c>
      <x:c r="K227" s="2" t="n">
        <x:f>SUM(IF(E2_diario!J437="N4",1,0),IF(E2_diario!J479="N4",1,0),IF(E2_diario!J941="N4",1,0),IF(E2_diario!J983="N4",1,0),IF(E2_diario!J1445="N4",1,0),IF(E2_diario!J1487="N4",1,0),IF(E2_diario!J1949="N4",1,0),IF(E2_diario!J1991="N4",1,0),IF(E2_diario!J2453="N4",1,0),IF(E2_diario!J2495="N4",1,0))</x:f>
        <x:v>0</x:v>
      </x:c>
      <x:c r="L227" s="2" t="n">
        <x:f>SUM(IF(E2_diario!J437="adulta",1,0),IF(E2_diario!J479="adulta",1,0),IF(E2_diario!J941="adulta",1,0),IF(E2_diario!J983="adulta",1,0),IF(E2_diario!J1445="adulta",1,0),IF(E2_diario!J1487="adulta",1,0),IF(E2_diario!J1949="adulta",1,0),IF(E2_diario!J1991="adulta",1,0),IF(E2_diario!J2453="adulta",1,0),IF(E2_diario!J2495="adulta",1,0))</x:f>
        <x:v>9</x:v>
      </x:c>
      <x:c r="M227" s="2" t="n">
        <x:f>SUM(E2_diario!L437,E2_diario!L479,E2_diario!L941,E2_diario!L983,E2_diario!L1445,E2_diario!L1487,E2_diario!L1949,E2_diario!L1991,E2_diario!L2453,E2_diario!L2495)</x:f>
        <x:v>29</x:v>
      </x:c>
      <x:c r="N227" s="20" t="n">
        <x:f>G227/F227</x:f>
        <x:v>0.9</x:v>
      </x:c>
      <x:c r="O227" s="20" t="n">
        <x:f>IF(G227=0,0,M227/G227)</x:f>
        <x:v>3.2222222222222223</x:v>
      </x:c>
      <x:c r="P227" s="20" t="n">
        <x:f>N227*O227</x:f>
        <x:v>2.9000000000000004</x:v>
      </x:c>
      <x:c r="Q227" s="20" t="n">
        <x:f>H227/F227</x:f>
        <x:v>0</x:v>
      </x:c>
      <x:c r="R227" s="20" t="n">
        <x:f>I227/F227</x:f>
        <x:v>0</x:v>
      </x:c>
      <x:c r="S227" s="20" t="n">
        <x:f>J227/F227</x:f>
        <x:v>0</x:v>
      </x:c>
      <x:c r="T227" s="20" t="n">
        <x:f>K227/F227</x:f>
        <x:v>0</x:v>
      </x:c>
      <x:c r="U227" s="20" t="n">
        <x:f>L227/F227</x:f>
        <x:v>0.9</x:v>
      </x:c>
      <x:c r="V227" s="20" t="n">
        <x:f>IF(L227=0,0,M227/L227)</x:f>
        <x:v>3.2222222222222223</x:v>
      </x:c>
      <x:c r="W227" s="20" t="n">
        <x:f>SUM(P$212:P227)</x:f>
        <x:v>13.3</x:v>
      </x:c>
      <x:c r="X227" s="2" t="n">
        <x:f>E227+Supuestos!$C$15</x:f>
        <x:v>16</x:v>
      </x:c>
      <x:c r="Y227" s="2" t="n">
        <x:f>F227-G227</x:f>
        <x:v>1</x:v>
      </x:c>
      <x:c r="Z227" s="2" t="str">
        <x:v>simulado_didactico</x:v>
      </x:c>
    </x:row>
    <x:row r="228" ht="19" customHeight="1">
      <x:c r="A228" s="2" t="str">
        <x:v>BB_L7</x:v>
      </x:c>
      <x:c r="B228" s="2" t="str">
        <x:v>BB</x:v>
      </x:c>
      <x:c r="C228" s="2" t="str">
        <x:v>Brevicoryne brassicae</x:v>
      </x:c>
      <x:c r="D228" s="2" t="str">
        <x:v>L7</x:v>
      </x:c>
      <x:c r="E228" s="2" t="n">
        <x:v>16</x:v>
      </x:c>
      <x:c r="F228" s="2" t="n">
        <x:f>COUNTA(E2_plantas!A12,E2_plantas!A13,E2_plantas!A24,E2_plantas!A25,E2_plantas!A36,E2_plantas!A37,E2_plantas!A48,E2_plantas!A49,E2_plantas!A60,E2_plantas!A61)</x:f>
        <x:v>10</x:v>
      </x:c>
      <x:c r="G228" s="2" t="n">
        <x:f>SUM(E2_diario!K438,E2_diario!K480,E2_diario!K942,E2_diario!K984,E2_diario!K1446,E2_diario!K1488,E2_diario!K1950,E2_diario!K1992,E2_diario!K2454,E2_diario!K2496)</x:f>
        <x:v>9</x:v>
      </x:c>
      <x:c r="H228" s="2" t="n">
        <x:f>SUM(IF(E2_diario!J438="N1",1,0),IF(E2_diario!J480="N1",1,0),IF(E2_diario!J942="N1",1,0),IF(E2_diario!J984="N1",1,0),IF(E2_diario!J1446="N1",1,0),IF(E2_diario!J1488="N1",1,0),IF(E2_diario!J1950="N1",1,0),IF(E2_diario!J1992="N1",1,0),IF(E2_diario!J2454="N1",1,0),IF(E2_diario!J2496="N1",1,0))</x:f>
        <x:v>0</x:v>
      </x:c>
      <x:c r="I228" s="2" t="n">
        <x:f>SUM(IF(E2_diario!J438="N2",1,0),IF(E2_diario!J480="N2",1,0),IF(E2_diario!J942="N2",1,0),IF(E2_diario!J984="N2",1,0),IF(E2_diario!J1446="N2",1,0),IF(E2_diario!J1488="N2",1,0),IF(E2_diario!J1950="N2",1,0),IF(E2_diario!J1992="N2",1,0),IF(E2_diario!J2454="N2",1,0),IF(E2_diario!J2496="N2",1,0))</x:f>
        <x:v>0</x:v>
      </x:c>
      <x:c r="J228" s="2" t="n">
        <x:f>SUM(IF(E2_diario!J438="N3",1,0),IF(E2_diario!J480="N3",1,0),IF(E2_diario!J942="N3",1,0),IF(E2_diario!J984="N3",1,0),IF(E2_diario!J1446="N3",1,0),IF(E2_diario!J1488="N3",1,0),IF(E2_diario!J1950="N3",1,0),IF(E2_diario!J1992="N3",1,0),IF(E2_diario!J2454="N3",1,0),IF(E2_diario!J2496="N3",1,0))</x:f>
        <x:v>0</x:v>
      </x:c>
      <x:c r="K228" s="2" t="n">
        <x:f>SUM(IF(E2_diario!J438="N4",1,0),IF(E2_diario!J480="N4",1,0),IF(E2_diario!J942="N4",1,0),IF(E2_diario!J984="N4",1,0),IF(E2_diario!J1446="N4",1,0),IF(E2_diario!J1488="N4",1,0),IF(E2_diario!J1950="N4",1,0),IF(E2_diario!J1992="N4",1,0),IF(E2_diario!J2454="N4",1,0),IF(E2_diario!J2496="N4",1,0))</x:f>
        <x:v>0</x:v>
      </x:c>
      <x:c r="L228" s="2" t="n">
        <x:f>SUM(IF(E2_diario!J438="adulta",1,0),IF(E2_diario!J480="adulta",1,0),IF(E2_diario!J942="adulta",1,0),IF(E2_diario!J984="adulta",1,0),IF(E2_diario!J1446="adulta",1,0),IF(E2_diario!J1488="adulta",1,0),IF(E2_diario!J1950="adulta",1,0),IF(E2_diario!J1992="adulta",1,0),IF(E2_diario!J2454="adulta",1,0),IF(E2_diario!J2496="adulta",1,0))</x:f>
        <x:v>9</x:v>
      </x:c>
      <x:c r="M228" s="2" t="n">
        <x:f>SUM(E2_diario!L438,E2_diario!L480,E2_diario!L942,E2_diario!L984,E2_diario!L1446,E2_diario!L1488,E2_diario!L1950,E2_diario!L1992,E2_diario!L2454,E2_diario!L2496)</x:f>
        <x:v>21</x:v>
      </x:c>
      <x:c r="N228" s="20" t="n">
        <x:f>G228/F228</x:f>
        <x:v>0.9</x:v>
      </x:c>
      <x:c r="O228" s="20" t="n">
        <x:f>IF(G228=0,0,M228/G228)</x:f>
        <x:v>2.3333333333333335</x:v>
      </x:c>
      <x:c r="P228" s="20" t="n">
        <x:f>N228*O228</x:f>
        <x:v>2.1</x:v>
      </x:c>
      <x:c r="Q228" s="20" t="n">
        <x:f>H228/F228</x:f>
        <x:v>0</x:v>
      </x:c>
      <x:c r="R228" s="20" t="n">
        <x:f>I228/F228</x:f>
        <x:v>0</x:v>
      </x:c>
      <x:c r="S228" s="20" t="n">
        <x:f>J228/F228</x:f>
        <x:v>0</x:v>
      </x:c>
      <x:c r="T228" s="20" t="n">
        <x:f>K228/F228</x:f>
        <x:v>0</x:v>
      </x:c>
      <x:c r="U228" s="20" t="n">
        <x:f>L228/F228</x:f>
        <x:v>0.9</x:v>
      </x:c>
      <x:c r="V228" s="20" t="n">
        <x:f>IF(L228=0,0,M228/L228)</x:f>
        <x:v>2.3333333333333335</x:v>
      </x:c>
      <x:c r="W228" s="20" t="n">
        <x:f>SUM(P$212:P228)</x:f>
        <x:v>15.4</x:v>
      </x:c>
      <x:c r="X228" s="2" t="n">
        <x:f>E228+Supuestos!$C$15</x:f>
        <x:v>17</x:v>
      </x:c>
      <x:c r="Y228" s="2" t="n">
        <x:f>F228-G228</x:f>
        <x:v>1</x:v>
      </x:c>
      <x:c r="Z228" s="2" t="str">
        <x:v>simulado_didactico</x:v>
      </x:c>
    </x:row>
    <x:row r="229" ht="19" customHeight="1">
      <x:c r="A229" s="2" t="str">
        <x:v>BB_L7</x:v>
      </x:c>
      <x:c r="B229" s="2" t="str">
        <x:v>BB</x:v>
      </x:c>
      <x:c r="C229" s="2" t="str">
        <x:v>Brevicoryne brassicae</x:v>
      </x:c>
      <x:c r="D229" s="2" t="str">
        <x:v>L7</x:v>
      </x:c>
      <x:c r="E229" s="2" t="n">
        <x:v>17</x:v>
      </x:c>
      <x:c r="F229" s="2" t="n">
        <x:f>COUNTA(E2_plantas!A12,E2_plantas!A13,E2_plantas!A24,E2_plantas!A25,E2_plantas!A36,E2_plantas!A37,E2_plantas!A48,E2_plantas!A49,E2_plantas!A60,E2_plantas!A61)</x:f>
        <x:v>10</x:v>
      </x:c>
      <x:c r="G229" s="2" t="n">
        <x:f>SUM(E2_diario!K439,E2_diario!K481,E2_diario!K943,E2_diario!K985,E2_diario!K1447,E2_diario!K1489,E2_diario!K1951,E2_diario!K1993,E2_diario!K2455,E2_diario!K2497)</x:f>
        <x:v>9</x:v>
      </x:c>
      <x:c r="H229" s="2" t="n">
        <x:f>SUM(IF(E2_diario!J439="N1",1,0),IF(E2_diario!J481="N1",1,0),IF(E2_diario!J943="N1",1,0),IF(E2_diario!J985="N1",1,0),IF(E2_diario!J1447="N1",1,0),IF(E2_diario!J1489="N1",1,0),IF(E2_diario!J1951="N1",1,0),IF(E2_diario!J1993="N1",1,0),IF(E2_diario!J2455="N1",1,0),IF(E2_diario!J2497="N1",1,0))</x:f>
        <x:v>0</x:v>
      </x:c>
      <x:c r="I229" s="2" t="n">
        <x:f>SUM(IF(E2_diario!J439="N2",1,0),IF(E2_diario!J481="N2",1,0),IF(E2_diario!J943="N2",1,0),IF(E2_diario!J985="N2",1,0),IF(E2_diario!J1447="N2",1,0),IF(E2_diario!J1489="N2",1,0),IF(E2_diario!J1951="N2",1,0),IF(E2_diario!J1993="N2",1,0),IF(E2_diario!J2455="N2",1,0),IF(E2_diario!J2497="N2",1,0))</x:f>
        <x:v>0</x:v>
      </x:c>
      <x:c r="J229" s="2" t="n">
        <x:f>SUM(IF(E2_diario!J439="N3",1,0),IF(E2_diario!J481="N3",1,0),IF(E2_diario!J943="N3",1,0),IF(E2_diario!J985="N3",1,0),IF(E2_diario!J1447="N3",1,0),IF(E2_diario!J1489="N3",1,0),IF(E2_diario!J1951="N3",1,0),IF(E2_diario!J1993="N3",1,0),IF(E2_diario!J2455="N3",1,0),IF(E2_diario!J2497="N3",1,0))</x:f>
        <x:v>0</x:v>
      </x:c>
      <x:c r="K229" s="2" t="n">
        <x:f>SUM(IF(E2_diario!J439="N4",1,0),IF(E2_diario!J481="N4",1,0),IF(E2_diario!J943="N4",1,0),IF(E2_diario!J985="N4",1,0),IF(E2_diario!J1447="N4",1,0),IF(E2_diario!J1489="N4",1,0),IF(E2_diario!J1951="N4",1,0),IF(E2_diario!J1993="N4",1,0),IF(E2_diario!J2455="N4",1,0),IF(E2_diario!J2497="N4",1,0))</x:f>
        <x:v>0</x:v>
      </x:c>
      <x:c r="L229" s="2" t="n">
        <x:f>SUM(IF(E2_diario!J439="adulta",1,0),IF(E2_diario!J481="adulta",1,0),IF(E2_diario!J943="adulta",1,0),IF(E2_diario!J985="adulta",1,0),IF(E2_diario!J1447="adulta",1,0),IF(E2_diario!J1489="adulta",1,0),IF(E2_diario!J1951="adulta",1,0),IF(E2_diario!J1993="adulta",1,0),IF(E2_diario!J2455="adulta",1,0),IF(E2_diario!J2497="adulta",1,0))</x:f>
        <x:v>9</x:v>
      </x:c>
      <x:c r="M229" s="2" t="n">
        <x:f>SUM(E2_diario!L439,E2_diario!L481,E2_diario!L943,E2_diario!L985,E2_diario!L1447,E2_diario!L1489,E2_diario!L1951,E2_diario!L1993,E2_diario!L2455,E2_diario!L2497)</x:f>
        <x:v>21</x:v>
      </x:c>
      <x:c r="N229" s="20" t="n">
        <x:f>G229/F229</x:f>
        <x:v>0.9</x:v>
      </x:c>
      <x:c r="O229" s="20" t="n">
        <x:f>IF(G229=0,0,M229/G229)</x:f>
        <x:v>2.3333333333333335</x:v>
      </x:c>
      <x:c r="P229" s="20" t="n">
        <x:f>N229*O229</x:f>
        <x:v>2.1</x:v>
      </x:c>
      <x:c r="Q229" s="20" t="n">
        <x:f>H229/F229</x:f>
        <x:v>0</x:v>
      </x:c>
      <x:c r="R229" s="20" t="n">
        <x:f>I229/F229</x:f>
        <x:v>0</x:v>
      </x:c>
      <x:c r="S229" s="20" t="n">
        <x:f>J229/F229</x:f>
        <x:v>0</x:v>
      </x:c>
      <x:c r="T229" s="20" t="n">
        <x:f>K229/F229</x:f>
        <x:v>0</x:v>
      </x:c>
      <x:c r="U229" s="20" t="n">
        <x:f>L229/F229</x:f>
        <x:v>0.9</x:v>
      </x:c>
      <x:c r="V229" s="20" t="n">
        <x:f>IF(L229=0,0,M229/L229)</x:f>
        <x:v>2.3333333333333335</x:v>
      </x:c>
      <x:c r="W229" s="20" t="n">
        <x:f>SUM(P$212:P229)</x:f>
        <x:v>17.5</x:v>
      </x:c>
      <x:c r="X229" s="2" t="n">
        <x:f>E229+Supuestos!$C$15</x:f>
        <x:v>18</x:v>
      </x:c>
      <x:c r="Y229" s="2" t="n">
        <x:f>F229-G229</x:f>
        <x:v>1</x:v>
      </x:c>
      <x:c r="Z229" s="2" t="str">
        <x:v>simulado_didactico</x:v>
      </x:c>
    </x:row>
    <x:row r="230" ht="19" customHeight="1">
      <x:c r="A230" s="2" t="str">
        <x:v>BB_L7</x:v>
      </x:c>
      <x:c r="B230" s="2" t="str">
        <x:v>BB</x:v>
      </x:c>
      <x:c r="C230" s="2" t="str">
        <x:v>Brevicoryne brassicae</x:v>
      </x:c>
      <x:c r="D230" s="2" t="str">
        <x:v>L7</x:v>
      </x:c>
      <x:c r="E230" s="2" t="n">
        <x:v>18</x:v>
      </x:c>
      <x:c r="F230" s="2" t="n">
        <x:f>COUNTA(E2_plantas!A12,E2_plantas!A13,E2_plantas!A24,E2_plantas!A25,E2_plantas!A36,E2_plantas!A37,E2_plantas!A48,E2_plantas!A49,E2_plantas!A60,E2_plantas!A61)</x:f>
        <x:v>10</x:v>
      </x:c>
      <x:c r="G230" s="2" t="n">
        <x:f>SUM(E2_diario!K440,E2_diario!K482,E2_diario!K944,E2_diario!K986,E2_diario!K1448,E2_diario!K1490,E2_diario!K1952,E2_diario!K1994,E2_diario!K2456,E2_diario!K2498)</x:f>
        <x:v>9</x:v>
      </x:c>
      <x:c r="H230" s="2" t="n">
        <x:f>SUM(IF(E2_diario!J440="N1",1,0),IF(E2_diario!J482="N1",1,0),IF(E2_diario!J944="N1",1,0),IF(E2_diario!J986="N1",1,0),IF(E2_diario!J1448="N1",1,0),IF(E2_diario!J1490="N1",1,0),IF(E2_diario!J1952="N1",1,0),IF(E2_diario!J1994="N1",1,0),IF(E2_diario!J2456="N1",1,0),IF(E2_diario!J2498="N1",1,0))</x:f>
        <x:v>0</x:v>
      </x:c>
      <x:c r="I230" s="2" t="n">
        <x:f>SUM(IF(E2_diario!J440="N2",1,0),IF(E2_diario!J482="N2",1,0),IF(E2_diario!J944="N2",1,0),IF(E2_diario!J986="N2",1,0),IF(E2_diario!J1448="N2",1,0),IF(E2_diario!J1490="N2",1,0),IF(E2_diario!J1952="N2",1,0),IF(E2_diario!J1994="N2",1,0),IF(E2_diario!J2456="N2",1,0),IF(E2_diario!J2498="N2",1,0))</x:f>
        <x:v>0</x:v>
      </x:c>
      <x:c r="J230" s="2" t="n">
        <x:f>SUM(IF(E2_diario!J440="N3",1,0),IF(E2_diario!J482="N3",1,0),IF(E2_diario!J944="N3",1,0),IF(E2_diario!J986="N3",1,0),IF(E2_diario!J1448="N3",1,0),IF(E2_diario!J1490="N3",1,0),IF(E2_diario!J1952="N3",1,0),IF(E2_diario!J1994="N3",1,0),IF(E2_diario!J2456="N3",1,0),IF(E2_diario!J2498="N3",1,0))</x:f>
        <x:v>0</x:v>
      </x:c>
      <x:c r="K230" s="2" t="n">
        <x:f>SUM(IF(E2_diario!J440="N4",1,0),IF(E2_diario!J482="N4",1,0),IF(E2_diario!J944="N4",1,0),IF(E2_diario!J986="N4",1,0),IF(E2_diario!J1448="N4",1,0),IF(E2_diario!J1490="N4",1,0),IF(E2_diario!J1952="N4",1,0),IF(E2_diario!J1994="N4",1,0),IF(E2_diario!J2456="N4",1,0),IF(E2_diario!J2498="N4",1,0))</x:f>
        <x:v>0</x:v>
      </x:c>
      <x:c r="L230" s="2" t="n">
        <x:f>SUM(IF(E2_diario!J440="adulta",1,0),IF(E2_diario!J482="adulta",1,0),IF(E2_diario!J944="adulta",1,0),IF(E2_diario!J986="adulta",1,0),IF(E2_diario!J1448="adulta",1,0),IF(E2_diario!J1490="adulta",1,0),IF(E2_diario!J1952="adulta",1,0),IF(E2_diario!J1994="adulta",1,0),IF(E2_diario!J2456="adulta",1,0),IF(E2_diario!J2498="adulta",1,0))</x:f>
        <x:v>9</x:v>
      </x:c>
      <x:c r="M230" s="2" t="n">
        <x:f>SUM(E2_diario!L440,E2_diario!L482,E2_diario!L944,E2_diario!L986,E2_diario!L1448,E2_diario!L1490,E2_diario!L1952,E2_diario!L1994,E2_diario!L2456,E2_diario!L2498)</x:f>
        <x:v>23</x:v>
      </x:c>
      <x:c r="N230" s="20" t="n">
        <x:f>G230/F230</x:f>
        <x:v>0.9</x:v>
      </x:c>
      <x:c r="O230" s="20" t="n">
        <x:f>IF(G230=0,0,M230/G230)</x:f>
        <x:v>2.5555555555555554</x:v>
      </x:c>
      <x:c r="P230" s="20" t="n">
        <x:f>N230*O230</x:f>
        <x:v>2.3</x:v>
      </x:c>
      <x:c r="Q230" s="20" t="n">
        <x:f>H230/F230</x:f>
        <x:v>0</x:v>
      </x:c>
      <x:c r="R230" s="20" t="n">
        <x:f>I230/F230</x:f>
        <x:v>0</x:v>
      </x:c>
      <x:c r="S230" s="20" t="n">
        <x:f>J230/F230</x:f>
        <x:v>0</x:v>
      </x:c>
      <x:c r="T230" s="20" t="n">
        <x:f>K230/F230</x:f>
        <x:v>0</x:v>
      </x:c>
      <x:c r="U230" s="20" t="n">
        <x:f>L230/F230</x:f>
        <x:v>0.9</x:v>
      </x:c>
      <x:c r="V230" s="20" t="n">
        <x:f>IF(L230=0,0,M230/L230)</x:f>
        <x:v>2.5555555555555554</x:v>
      </x:c>
      <x:c r="W230" s="20" t="n">
        <x:f>SUM(P$212:P230)</x:f>
        <x:v>19.8</x:v>
      </x:c>
      <x:c r="X230" s="2" t="n">
        <x:f>E230+Supuestos!$C$15</x:f>
        <x:v>19</x:v>
      </x:c>
      <x:c r="Y230" s="2" t="n">
        <x:f>F230-G230</x:f>
        <x:v>1</x:v>
      </x:c>
      <x:c r="Z230" s="2" t="str">
        <x:v>simulado_didactico</x:v>
      </x:c>
    </x:row>
    <x:row r="231" ht="19" customHeight="1">
      <x:c r="A231" s="2" t="str">
        <x:v>BB_L7</x:v>
      </x:c>
      <x:c r="B231" s="2" t="str">
        <x:v>BB</x:v>
      </x:c>
      <x:c r="C231" s="2" t="str">
        <x:v>Brevicoryne brassicae</x:v>
      </x:c>
      <x:c r="D231" s="2" t="str">
        <x:v>L7</x:v>
      </x:c>
      <x:c r="E231" s="2" t="n">
        <x:v>19</x:v>
      </x:c>
      <x:c r="F231" s="2" t="n">
        <x:f>COUNTA(E2_plantas!A12,E2_plantas!A13,E2_plantas!A24,E2_plantas!A25,E2_plantas!A36,E2_plantas!A37,E2_plantas!A48,E2_plantas!A49,E2_plantas!A60,E2_plantas!A61)</x:f>
        <x:v>10</x:v>
      </x:c>
      <x:c r="G231" s="2" t="n">
        <x:f>SUM(E2_diario!K441,E2_diario!K483,E2_diario!K945,E2_diario!K987,E2_diario!K1449,E2_diario!K1491,E2_diario!K1953,E2_diario!K1995,E2_diario!K2457,E2_diario!K2499)</x:f>
        <x:v>9</x:v>
      </x:c>
      <x:c r="H231" s="2" t="n">
        <x:f>SUM(IF(E2_diario!J441="N1",1,0),IF(E2_diario!J483="N1",1,0),IF(E2_diario!J945="N1",1,0),IF(E2_diario!J987="N1",1,0),IF(E2_diario!J1449="N1",1,0),IF(E2_diario!J1491="N1",1,0),IF(E2_diario!J1953="N1",1,0),IF(E2_diario!J1995="N1",1,0),IF(E2_diario!J2457="N1",1,0),IF(E2_diario!J2499="N1",1,0))</x:f>
        <x:v>0</x:v>
      </x:c>
      <x:c r="I231" s="2" t="n">
        <x:f>SUM(IF(E2_diario!J441="N2",1,0),IF(E2_diario!J483="N2",1,0),IF(E2_diario!J945="N2",1,0),IF(E2_diario!J987="N2",1,0),IF(E2_diario!J1449="N2",1,0),IF(E2_diario!J1491="N2",1,0),IF(E2_diario!J1953="N2",1,0),IF(E2_diario!J1995="N2",1,0),IF(E2_diario!J2457="N2",1,0),IF(E2_diario!J2499="N2",1,0))</x:f>
        <x:v>0</x:v>
      </x:c>
      <x:c r="J231" s="2" t="n">
        <x:f>SUM(IF(E2_diario!J441="N3",1,0),IF(E2_diario!J483="N3",1,0),IF(E2_diario!J945="N3",1,0),IF(E2_diario!J987="N3",1,0),IF(E2_diario!J1449="N3",1,0),IF(E2_diario!J1491="N3",1,0),IF(E2_diario!J1953="N3",1,0),IF(E2_diario!J1995="N3",1,0),IF(E2_diario!J2457="N3",1,0),IF(E2_diario!J2499="N3",1,0))</x:f>
        <x:v>0</x:v>
      </x:c>
      <x:c r="K231" s="2" t="n">
        <x:f>SUM(IF(E2_diario!J441="N4",1,0),IF(E2_diario!J483="N4",1,0),IF(E2_diario!J945="N4",1,0),IF(E2_diario!J987="N4",1,0),IF(E2_diario!J1449="N4",1,0),IF(E2_diario!J1491="N4",1,0),IF(E2_diario!J1953="N4",1,0),IF(E2_diario!J1995="N4",1,0),IF(E2_diario!J2457="N4",1,0),IF(E2_diario!J2499="N4",1,0))</x:f>
        <x:v>0</x:v>
      </x:c>
      <x:c r="L231" s="2" t="n">
        <x:f>SUM(IF(E2_diario!J441="adulta",1,0),IF(E2_diario!J483="adulta",1,0),IF(E2_diario!J945="adulta",1,0),IF(E2_diario!J987="adulta",1,0),IF(E2_diario!J1449="adulta",1,0),IF(E2_diario!J1491="adulta",1,0),IF(E2_diario!J1953="adulta",1,0),IF(E2_diario!J1995="adulta",1,0),IF(E2_diario!J2457="adulta",1,0),IF(E2_diario!J2499="adulta",1,0))</x:f>
        <x:v>9</x:v>
      </x:c>
      <x:c r="M231" s="2" t="n">
        <x:f>SUM(E2_diario!L441,E2_diario!L483,E2_diario!L945,E2_diario!L987,E2_diario!L1449,E2_diario!L1491,E2_diario!L1953,E2_diario!L1995,E2_diario!L2457,E2_diario!L2499)</x:f>
        <x:v>25</x:v>
      </x:c>
      <x:c r="N231" s="20" t="n">
        <x:f>G231/F231</x:f>
        <x:v>0.9</x:v>
      </x:c>
      <x:c r="O231" s="20" t="n">
        <x:f>IF(G231=0,0,M231/G231)</x:f>
        <x:v>2.7777777777777777</x:v>
      </x:c>
      <x:c r="P231" s="20" t="n">
        <x:f>N231*O231</x:f>
        <x:v>2.5</x:v>
      </x:c>
      <x:c r="Q231" s="20" t="n">
        <x:f>H231/F231</x:f>
        <x:v>0</x:v>
      </x:c>
      <x:c r="R231" s="20" t="n">
        <x:f>I231/F231</x:f>
        <x:v>0</x:v>
      </x:c>
      <x:c r="S231" s="20" t="n">
        <x:f>J231/F231</x:f>
        <x:v>0</x:v>
      </x:c>
      <x:c r="T231" s="20" t="n">
        <x:f>K231/F231</x:f>
        <x:v>0</x:v>
      </x:c>
      <x:c r="U231" s="20" t="n">
        <x:f>L231/F231</x:f>
        <x:v>0.9</x:v>
      </x:c>
      <x:c r="V231" s="20" t="n">
        <x:f>IF(L231=0,0,M231/L231)</x:f>
        <x:v>2.7777777777777777</x:v>
      </x:c>
      <x:c r="W231" s="20" t="n">
        <x:f>SUM(P$212:P231)</x:f>
        <x:v>22.3</x:v>
      </x:c>
      <x:c r="X231" s="2" t="n">
        <x:f>E231+Supuestos!$C$15</x:f>
        <x:v>20</x:v>
      </x:c>
      <x:c r="Y231" s="2" t="n">
        <x:f>F231-G231</x:f>
        <x:v>1</x:v>
      </x:c>
      <x:c r="Z231" s="2" t="str">
        <x:v>simulado_didactico</x:v>
      </x:c>
    </x:row>
    <x:row r="232" ht="19" customHeight="1">
      <x:c r="A232" s="2" t="str">
        <x:v>BB_L7</x:v>
      </x:c>
      <x:c r="B232" s="2" t="str">
        <x:v>BB</x:v>
      </x:c>
      <x:c r="C232" s="2" t="str">
        <x:v>Brevicoryne brassicae</x:v>
      </x:c>
      <x:c r="D232" s="2" t="str">
        <x:v>L7</x:v>
      </x:c>
      <x:c r="E232" s="2" t="n">
        <x:v>20</x:v>
      </x:c>
      <x:c r="F232" s="2" t="n">
        <x:f>COUNTA(E2_plantas!A12,E2_plantas!A13,E2_plantas!A24,E2_plantas!A25,E2_plantas!A36,E2_plantas!A37,E2_plantas!A48,E2_plantas!A49,E2_plantas!A60,E2_plantas!A61)</x:f>
        <x:v>10</x:v>
      </x:c>
      <x:c r="G232" s="2" t="n">
        <x:f>SUM(E2_diario!K442,E2_diario!K484,E2_diario!K946,E2_diario!K988,E2_diario!K1450,E2_diario!K1492,E2_diario!K1954,E2_diario!K1996,E2_diario!K2458,E2_diario!K2500)</x:f>
        <x:v>9</x:v>
      </x:c>
      <x:c r="H232" s="2" t="n">
        <x:f>SUM(IF(E2_diario!J442="N1",1,0),IF(E2_diario!J484="N1",1,0),IF(E2_diario!J946="N1",1,0),IF(E2_diario!J988="N1",1,0),IF(E2_diario!J1450="N1",1,0),IF(E2_diario!J1492="N1",1,0),IF(E2_diario!J1954="N1",1,0),IF(E2_diario!J1996="N1",1,0),IF(E2_diario!J2458="N1",1,0),IF(E2_diario!J2500="N1",1,0))</x:f>
        <x:v>0</x:v>
      </x:c>
      <x:c r="I232" s="2" t="n">
        <x:f>SUM(IF(E2_diario!J442="N2",1,0),IF(E2_diario!J484="N2",1,0),IF(E2_diario!J946="N2",1,0),IF(E2_diario!J988="N2",1,0),IF(E2_diario!J1450="N2",1,0),IF(E2_diario!J1492="N2",1,0),IF(E2_diario!J1954="N2",1,0),IF(E2_diario!J1996="N2",1,0),IF(E2_diario!J2458="N2",1,0),IF(E2_diario!J2500="N2",1,0))</x:f>
        <x:v>0</x:v>
      </x:c>
      <x:c r="J232" s="2" t="n">
        <x:f>SUM(IF(E2_diario!J442="N3",1,0),IF(E2_diario!J484="N3",1,0),IF(E2_diario!J946="N3",1,0),IF(E2_diario!J988="N3",1,0),IF(E2_diario!J1450="N3",1,0),IF(E2_diario!J1492="N3",1,0),IF(E2_diario!J1954="N3",1,0),IF(E2_diario!J1996="N3",1,0),IF(E2_diario!J2458="N3",1,0),IF(E2_diario!J2500="N3",1,0))</x:f>
        <x:v>0</x:v>
      </x:c>
      <x:c r="K232" s="2" t="n">
        <x:f>SUM(IF(E2_diario!J442="N4",1,0),IF(E2_diario!J484="N4",1,0),IF(E2_diario!J946="N4",1,0),IF(E2_diario!J988="N4",1,0),IF(E2_diario!J1450="N4",1,0),IF(E2_diario!J1492="N4",1,0),IF(E2_diario!J1954="N4",1,0),IF(E2_diario!J1996="N4",1,0),IF(E2_diario!J2458="N4",1,0),IF(E2_diario!J2500="N4",1,0))</x:f>
        <x:v>0</x:v>
      </x:c>
      <x:c r="L232" s="2" t="n">
        <x:f>SUM(IF(E2_diario!J442="adulta",1,0),IF(E2_diario!J484="adulta",1,0),IF(E2_diario!J946="adulta",1,0),IF(E2_diario!J988="adulta",1,0),IF(E2_diario!J1450="adulta",1,0),IF(E2_diario!J1492="adulta",1,0),IF(E2_diario!J1954="adulta",1,0),IF(E2_diario!J1996="adulta",1,0),IF(E2_diario!J2458="adulta",1,0),IF(E2_diario!J2500="adulta",1,0))</x:f>
        <x:v>9</x:v>
      </x:c>
      <x:c r="M232" s="2" t="n">
        <x:f>SUM(E2_diario!L442,E2_diario!L484,E2_diario!L946,E2_diario!L988,E2_diario!L1450,E2_diario!L1492,E2_diario!L1954,E2_diario!L1996,E2_diario!L2458,E2_diario!L2500)</x:f>
        <x:v>21</x:v>
      </x:c>
      <x:c r="N232" s="20" t="n">
        <x:f>G232/F232</x:f>
        <x:v>0.9</x:v>
      </x:c>
      <x:c r="O232" s="20" t="n">
        <x:f>IF(G232=0,0,M232/G232)</x:f>
        <x:v>2.3333333333333335</x:v>
      </x:c>
      <x:c r="P232" s="20" t="n">
        <x:f>N232*O232</x:f>
        <x:v>2.1</x:v>
      </x:c>
      <x:c r="Q232" s="20" t="n">
        <x:f>H232/F232</x:f>
        <x:v>0</x:v>
      </x:c>
      <x:c r="R232" s="20" t="n">
        <x:f>I232/F232</x:f>
        <x:v>0</x:v>
      </x:c>
      <x:c r="S232" s="20" t="n">
        <x:f>J232/F232</x:f>
        <x:v>0</x:v>
      </x:c>
      <x:c r="T232" s="20" t="n">
        <x:f>K232/F232</x:f>
        <x:v>0</x:v>
      </x:c>
      <x:c r="U232" s="20" t="n">
        <x:f>L232/F232</x:f>
        <x:v>0.9</x:v>
      </x:c>
      <x:c r="V232" s="20" t="n">
        <x:f>IF(L232=0,0,M232/L232)</x:f>
        <x:v>2.3333333333333335</x:v>
      </x:c>
      <x:c r="W232" s="20" t="n">
        <x:f>SUM(P$212:P232)</x:f>
        <x:v>24.400000000000002</x:v>
      </x:c>
      <x:c r="X232" s="2" t="n">
        <x:f>E232+Supuestos!$C$15</x:f>
        <x:v>21</x:v>
      </x:c>
      <x:c r="Y232" s="2" t="n">
        <x:f>F232-G232</x:f>
        <x:v>1</x:v>
      </x:c>
      <x:c r="Z232" s="2" t="str">
        <x:v>simulado_didactico</x:v>
      </x:c>
    </x:row>
    <x:row r="233" ht="19" customHeight="1">
      <x:c r="A233" s="2" t="str">
        <x:v>BB_L7</x:v>
      </x:c>
      <x:c r="B233" s="2" t="str">
        <x:v>BB</x:v>
      </x:c>
      <x:c r="C233" s="2" t="str">
        <x:v>Brevicoryne brassicae</x:v>
      </x:c>
      <x:c r="D233" s="2" t="str">
        <x:v>L7</x:v>
      </x:c>
      <x:c r="E233" s="2" t="n">
        <x:v>21</x:v>
      </x:c>
      <x:c r="F233" s="2" t="n">
        <x:f>COUNTA(E2_plantas!A12,E2_plantas!A13,E2_plantas!A24,E2_plantas!A25,E2_plantas!A36,E2_plantas!A37,E2_plantas!A48,E2_plantas!A49,E2_plantas!A60,E2_plantas!A61)</x:f>
        <x:v>10</x:v>
      </x:c>
      <x:c r="G233" s="2" t="n">
        <x:f>SUM(E2_diario!K443,E2_diario!K485,E2_diario!K947,E2_diario!K989,E2_diario!K1451,E2_diario!K1493,E2_diario!K1955,E2_diario!K1997,E2_diario!K2459,E2_diario!K2501)</x:f>
        <x:v>9</x:v>
      </x:c>
      <x:c r="H233" s="2" t="n">
        <x:f>SUM(IF(E2_diario!J443="N1",1,0),IF(E2_diario!J485="N1",1,0),IF(E2_diario!J947="N1",1,0),IF(E2_diario!J989="N1",1,0),IF(E2_diario!J1451="N1",1,0),IF(E2_diario!J1493="N1",1,0),IF(E2_diario!J1955="N1",1,0),IF(E2_diario!J1997="N1",1,0),IF(E2_diario!J2459="N1",1,0),IF(E2_diario!J2501="N1",1,0))</x:f>
        <x:v>0</x:v>
      </x:c>
      <x:c r="I233" s="2" t="n">
        <x:f>SUM(IF(E2_diario!J443="N2",1,0),IF(E2_diario!J485="N2",1,0),IF(E2_diario!J947="N2",1,0),IF(E2_diario!J989="N2",1,0),IF(E2_diario!J1451="N2",1,0),IF(E2_diario!J1493="N2",1,0),IF(E2_diario!J1955="N2",1,0),IF(E2_diario!J1997="N2",1,0),IF(E2_diario!J2459="N2",1,0),IF(E2_diario!J2501="N2",1,0))</x:f>
        <x:v>0</x:v>
      </x:c>
      <x:c r="J233" s="2" t="n">
        <x:f>SUM(IF(E2_diario!J443="N3",1,0),IF(E2_diario!J485="N3",1,0),IF(E2_diario!J947="N3",1,0),IF(E2_diario!J989="N3",1,0),IF(E2_diario!J1451="N3",1,0),IF(E2_diario!J1493="N3",1,0),IF(E2_diario!J1955="N3",1,0),IF(E2_diario!J1997="N3",1,0),IF(E2_diario!J2459="N3",1,0),IF(E2_diario!J2501="N3",1,0))</x:f>
        <x:v>0</x:v>
      </x:c>
      <x:c r="K233" s="2" t="n">
        <x:f>SUM(IF(E2_diario!J443="N4",1,0),IF(E2_diario!J485="N4",1,0),IF(E2_diario!J947="N4",1,0),IF(E2_diario!J989="N4",1,0),IF(E2_diario!J1451="N4",1,0),IF(E2_diario!J1493="N4",1,0),IF(E2_diario!J1955="N4",1,0),IF(E2_diario!J1997="N4",1,0),IF(E2_diario!J2459="N4",1,0),IF(E2_diario!J2501="N4",1,0))</x:f>
        <x:v>0</x:v>
      </x:c>
      <x:c r="L233" s="2" t="n">
        <x:f>SUM(IF(E2_diario!J443="adulta",1,0),IF(E2_diario!J485="adulta",1,0),IF(E2_diario!J947="adulta",1,0),IF(E2_diario!J989="adulta",1,0),IF(E2_diario!J1451="adulta",1,0),IF(E2_diario!J1493="adulta",1,0),IF(E2_diario!J1955="adulta",1,0),IF(E2_diario!J1997="adulta",1,0),IF(E2_diario!J2459="adulta",1,0),IF(E2_diario!J2501="adulta",1,0))</x:f>
        <x:v>9</x:v>
      </x:c>
      <x:c r="M233" s="2" t="n">
        <x:f>SUM(E2_diario!L443,E2_diario!L485,E2_diario!L947,E2_diario!L989,E2_diario!L1451,E2_diario!L1493,E2_diario!L1955,E2_diario!L1997,E2_diario!L2459,E2_diario!L2501)</x:f>
        <x:v>31</x:v>
      </x:c>
      <x:c r="N233" s="20" t="n">
        <x:f>G233/F233</x:f>
        <x:v>0.9</x:v>
      </x:c>
      <x:c r="O233" s="20" t="n">
        <x:f>IF(G233=0,0,M233/G233)</x:f>
        <x:v>3.4444444444444446</x:v>
      </x:c>
      <x:c r="P233" s="20" t="n">
        <x:f>N233*O233</x:f>
        <x:v>3.1</x:v>
      </x:c>
      <x:c r="Q233" s="20" t="n">
        <x:f>H233/F233</x:f>
        <x:v>0</x:v>
      </x:c>
      <x:c r="R233" s="20" t="n">
        <x:f>I233/F233</x:f>
        <x:v>0</x:v>
      </x:c>
      <x:c r="S233" s="20" t="n">
        <x:f>J233/F233</x:f>
        <x:v>0</x:v>
      </x:c>
      <x:c r="T233" s="20" t="n">
        <x:f>K233/F233</x:f>
        <x:v>0</x:v>
      </x:c>
      <x:c r="U233" s="20" t="n">
        <x:f>L233/F233</x:f>
        <x:v>0.9</x:v>
      </x:c>
      <x:c r="V233" s="20" t="n">
        <x:f>IF(L233=0,0,M233/L233)</x:f>
        <x:v>3.4444444444444446</x:v>
      </x:c>
      <x:c r="W233" s="20" t="n">
        <x:f>SUM(P$212:P233)</x:f>
        <x:v>27.500000000000004</x:v>
      </x:c>
      <x:c r="X233" s="2" t="n">
        <x:f>E233+Supuestos!$C$15</x:f>
        <x:v>22</x:v>
      </x:c>
      <x:c r="Y233" s="2" t="n">
        <x:f>F233-G233</x:f>
        <x:v>1</x:v>
      </x:c>
      <x:c r="Z233" s="2" t="str">
        <x:v>simulado_didactico</x:v>
      </x:c>
    </x:row>
    <x:row r="234" ht="19" customHeight="1">
      <x:c r="A234" s="2" t="str">
        <x:v>BB_L7</x:v>
      </x:c>
      <x:c r="B234" s="2" t="str">
        <x:v>BB</x:v>
      </x:c>
      <x:c r="C234" s="2" t="str">
        <x:v>Brevicoryne brassicae</x:v>
      </x:c>
      <x:c r="D234" s="2" t="str">
        <x:v>L7</x:v>
      </x:c>
      <x:c r="E234" s="2" t="n">
        <x:v>22</x:v>
      </x:c>
      <x:c r="F234" s="2" t="n">
        <x:f>COUNTA(E2_plantas!A12,E2_plantas!A13,E2_plantas!A24,E2_plantas!A25,E2_plantas!A36,E2_plantas!A37,E2_plantas!A48,E2_plantas!A49,E2_plantas!A60,E2_plantas!A61)</x:f>
        <x:v>10</x:v>
      </x:c>
      <x:c r="G234" s="2" t="n">
        <x:f>SUM(E2_diario!K444,E2_diario!K486,E2_diario!K948,E2_diario!K990,E2_diario!K1452,E2_diario!K1494,E2_diario!K1956,E2_diario!K1998,E2_diario!K2460,E2_diario!K2502)</x:f>
        <x:v>9</x:v>
      </x:c>
      <x:c r="H234" s="2" t="n">
        <x:f>SUM(IF(E2_diario!J444="N1",1,0),IF(E2_diario!J486="N1",1,0),IF(E2_diario!J948="N1",1,0),IF(E2_diario!J990="N1",1,0),IF(E2_diario!J1452="N1",1,0),IF(E2_diario!J1494="N1",1,0),IF(E2_diario!J1956="N1",1,0),IF(E2_diario!J1998="N1",1,0),IF(E2_diario!J2460="N1",1,0),IF(E2_diario!J2502="N1",1,0))</x:f>
        <x:v>0</x:v>
      </x:c>
      <x:c r="I234" s="2" t="n">
        <x:f>SUM(IF(E2_diario!J444="N2",1,0),IF(E2_diario!J486="N2",1,0),IF(E2_diario!J948="N2",1,0),IF(E2_diario!J990="N2",1,0),IF(E2_diario!J1452="N2",1,0),IF(E2_diario!J1494="N2",1,0),IF(E2_diario!J1956="N2",1,0),IF(E2_diario!J1998="N2",1,0),IF(E2_diario!J2460="N2",1,0),IF(E2_diario!J2502="N2",1,0))</x:f>
        <x:v>0</x:v>
      </x:c>
      <x:c r="J234" s="2" t="n">
        <x:f>SUM(IF(E2_diario!J444="N3",1,0),IF(E2_diario!J486="N3",1,0),IF(E2_diario!J948="N3",1,0),IF(E2_diario!J990="N3",1,0),IF(E2_diario!J1452="N3",1,0),IF(E2_diario!J1494="N3",1,0),IF(E2_diario!J1956="N3",1,0),IF(E2_diario!J1998="N3",1,0),IF(E2_diario!J2460="N3",1,0),IF(E2_diario!J2502="N3",1,0))</x:f>
        <x:v>0</x:v>
      </x:c>
      <x:c r="K234" s="2" t="n">
        <x:f>SUM(IF(E2_diario!J444="N4",1,0),IF(E2_diario!J486="N4",1,0),IF(E2_diario!J948="N4",1,0),IF(E2_diario!J990="N4",1,0),IF(E2_diario!J1452="N4",1,0),IF(E2_diario!J1494="N4",1,0),IF(E2_diario!J1956="N4",1,0),IF(E2_diario!J1998="N4",1,0),IF(E2_diario!J2460="N4",1,0),IF(E2_diario!J2502="N4",1,0))</x:f>
        <x:v>0</x:v>
      </x:c>
      <x:c r="L234" s="2" t="n">
        <x:f>SUM(IF(E2_diario!J444="adulta",1,0),IF(E2_diario!J486="adulta",1,0),IF(E2_diario!J948="adulta",1,0),IF(E2_diario!J990="adulta",1,0),IF(E2_diario!J1452="adulta",1,0),IF(E2_diario!J1494="adulta",1,0),IF(E2_diario!J1956="adulta",1,0),IF(E2_diario!J1998="adulta",1,0),IF(E2_diario!J2460="adulta",1,0),IF(E2_diario!J2502="adulta",1,0))</x:f>
        <x:v>9</x:v>
      </x:c>
      <x:c r="M234" s="2" t="n">
        <x:f>SUM(E2_diario!L444,E2_diario!L486,E2_diario!L948,E2_diario!L990,E2_diario!L1452,E2_diario!L1494,E2_diario!L1956,E2_diario!L1998,E2_diario!L2460,E2_diario!L2502)</x:f>
        <x:v>12</x:v>
      </x:c>
      <x:c r="N234" s="20" t="n">
        <x:f>G234/F234</x:f>
        <x:v>0.9</x:v>
      </x:c>
      <x:c r="O234" s="20" t="n">
        <x:f>IF(G234=0,0,M234/G234)</x:f>
        <x:v>1.3333333333333333</x:v>
      </x:c>
      <x:c r="P234" s="20" t="n">
        <x:f>N234*O234</x:f>
        <x:v>1.2</x:v>
      </x:c>
      <x:c r="Q234" s="20" t="n">
        <x:f>H234/F234</x:f>
        <x:v>0</x:v>
      </x:c>
      <x:c r="R234" s="20" t="n">
        <x:f>I234/F234</x:f>
        <x:v>0</x:v>
      </x:c>
      <x:c r="S234" s="20" t="n">
        <x:f>J234/F234</x:f>
        <x:v>0</x:v>
      </x:c>
      <x:c r="T234" s="20" t="n">
        <x:f>K234/F234</x:f>
        <x:v>0</x:v>
      </x:c>
      <x:c r="U234" s="20" t="n">
        <x:f>L234/F234</x:f>
        <x:v>0.9</x:v>
      </x:c>
      <x:c r="V234" s="20" t="n">
        <x:f>IF(L234=0,0,M234/L234)</x:f>
        <x:v>1.3333333333333333</x:v>
      </x:c>
      <x:c r="W234" s="20" t="n">
        <x:f>SUM(P$212:P234)</x:f>
        <x:v>28.700000000000003</x:v>
      </x:c>
      <x:c r="X234" s="2" t="n">
        <x:f>E234+Supuestos!$C$15</x:f>
        <x:v>23</x:v>
      </x:c>
      <x:c r="Y234" s="2" t="n">
        <x:f>F234-G234</x:f>
        <x:v>1</x:v>
      </x:c>
      <x:c r="Z234" s="2" t="str">
        <x:v>simulado_didactico</x:v>
      </x:c>
    </x:row>
    <x:row r="235" ht="19" customHeight="1">
      <x:c r="A235" s="2" t="str">
        <x:v>BB_L7</x:v>
      </x:c>
      <x:c r="B235" s="2" t="str">
        <x:v>BB</x:v>
      </x:c>
      <x:c r="C235" s="2" t="str">
        <x:v>Brevicoryne brassicae</x:v>
      </x:c>
      <x:c r="D235" s="2" t="str">
        <x:v>L7</x:v>
      </x:c>
      <x:c r="E235" s="2" t="n">
        <x:v>23</x:v>
      </x:c>
      <x:c r="F235" s="2" t="n">
        <x:f>COUNTA(E2_plantas!A12,E2_plantas!A13,E2_plantas!A24,E2_plantas!A25,E2_plantas!A36,E2_plantas!A37,E2_plantas!A48,E2_plantas!A49,E2_plantas!A60,E2_plantas!A61)</x:f>
        <x:v>10</x:v>
      </x:c>
      <x:c r="G235" s="2" t="n">
        <x:f>SUM(E2_diario!K445,E2_diario!K487,E2_diario!K949,E2_diario!K991,E2_diario!K1453,E2_diario!K1495,E2_diario!K1957,E2_diario!K1999,E2_diario!K2461,E2_diario!K2503)</x:f>
        <x:v>9</x:v>
      </x:c>
      <x:c r="H235" s="2" t="n">
        <x:f>SUM(IF(E2_diario!J445="N1",1,0),IF(E2_diario!J487="N1",1,0),IF(E2_diario!J949="N1",1,0),IF(E2_diario!J991="N1",1,0),IF(E2_diario!J1453="N1",1,0),IF(E2_diario!J1495="N1",1,0),IF(E2_diario!J1957="N1",1,0),IF(E2_diario!J1999="N1",1,0),IF(E2_diario!J2461="N1",1,0),IF(E2_diario!J2503="N1",1,0))</x:f>
        <x:v>0</x:v>
      </x:c>
      <x:c r="I235" s="2" t="n">
        <x:f>SUM(IF(E2_diario!J445="N2",1,0),IF(E2_diario!J487="N2",1,0),IF(E2_diario!J949="N2",1,0),IF(E2_diario!J991="N2",1,0),IF(E2_diario!J1453="N2",1,0),IF(E2_diario!J1495="N2",1,0),IF(E2_diario!J1957="N2",1,0),IF(E2_diario!J1999="N2",1,0),IF(E2_diario!J2461="N2",1,0),IF(E2_diario!J2503="N2",1,0))</x:f>
        <x:v>0</x:v>
      </x:c>
      <x:c r="J235" s="2" t="n">
        <x:f>SUM(IF(E2_diario!J445="N3",1,0),IF(E2_diario!J487="N3",1,0),IF(E2_diario!J949="N3",1,0),IF(E2_diario!J991="N3",1,0),IF(E2_diario!J1453="N3",1,0),IF(E2_diario!J1495="N3",1,0),IF(E2_diario!J1957="N3",1,0),IF(E2_diario!J1999="N3",1,0),IF(E2_diario!J2461="N3",1,0),IF(E2_diario!J2503="N3",1,0))</x:f>
        <x:v>0</x:v>
      </x:c>
      <x:c r="K235" s="2" t="n">
        <x:f>SUM(IF(E2_diario!J445="N4",1,0),IF(E2_diario!J487="N4",1,0),IF(E2_diario!J949="N4",1,0),IF(E2_diario!J991="N4",1,0),IF(E2_diario!J1453="N4",1,0),IF(E2_diario!J1495="N4",1,0),IF(E2_diario!J1957="N4",1,0),IF(E2_diario!J1999="N4",1,0),IF(E2_diario!J2461="N4",1,0),IF(E2_diario!J2503="N4",1,0))</x:f>
        <x:v>0</x:v>
      </x:c>
      <x:c r="L235" s="2" t="n">
        <x:f>SUM(IF(E2_diario!J445="adulta",1,0),IF(E2_diario!J487="adulta",1,0),IF(E2_diario!J949="adulta",1,0),IF(E2_diario!J991="adulta",1,0),IF(E2_diario!J1453="adulta",1,0),IF(E2_diario!J1495="adulta",1,0),IF(E2_diario!J1957="adulta",1,0),IF(E2_diario!J1999="adulta",1,0),IF(E2_diario!J2461="adulta",1,0),IF(E2_diario!J2503="adulta",1,0))</x:f>
        <x:v>9</x:v>
      </x:c>
      <x:c r="M235" s="2" t="n">
        <x:f>SUM(E2_diario!L445,E2_diario!L487,E2_diario!L949,E2_diario!L991,E2_diario!L1453,E2_diario!L1495,E2_diario!L1957,E2_diario!L1999,E2_diario!L2461,E2_diario!L2503)</x:f>
        <x:v>13</x:v>
      </x:c>
      <x:c r="N235" s="20" t="n">
        <x:f>G235/F235</x:f>
        <x:v>0.9</x:v>
      </x:c>
      <x:c r="O235" s="20" t="n">
        <x:f>IF(G235=0,0,M235/G235)</x:f>
        <x:v>1.4444444444444444</x:v>
      </x:c>
      <x:c r="P235" s="20" t="n">
        <x:f>N235*O235</x:f>
        <x:v>1.3</x:v>
      </x:c>
      <x:c r="Q235" s="20" t="n">
        <x:f>H235/F235</x:f>
        <x:v>0</x:v>
      </x:c>
      <x:c r="R235" s="20" t="n">
        <x:f>I235/F235</x:f>
        <x:v>0</x:v>
      </x:c>
      <x:c r="S235" s="20" t="n">
        <x:f>J235/F235</x:f>
        <x:v>0</x:v>
      </x:c>
      <x:c r="T235" s="20" t="n">
        <x:f>K235/F235</x:f>
        <x:v>0</x:v>
      </x:c>
      <x:c r="U235" s="20" t="n">
        <x:f>L235/F235</x:f>
        <x:v>0.9</x:v>
      </x:c>
      <x:c r="V235" s="20" t="n">
        <x:f>IF(L235=0,0,M235/L235)</x:f>
        <x:v>1.4444444444444444</x:v>
      </x:c>
      <x:c r="W235" s="20" t="n">
        <x:f>SUM(P$212:P235)</x:f>
        <x:v>30.000000000000004</x:v>
      </x:c>
      <x:c r="X235" s="2" t="n">
        <x:f>E235+Supuestos!$C$15</x:f>
        <x:v>24</x:v>
      </x:c>
      <x:c r="Y235" s="2" t="n">
        <x:f>F235-G235</x:f>
        <x:v>1</x:v>
      </x:c>
      <x:c r="Z235" s="2" t="str">
        <x:v>simulado_didactico</x:v>
      </x:c>
    </x:row>
    <x:row r="236" ht="19" customHeight="1">
      <x:c r="A236" s="2" t="str">
        <x:v>BB_L7</x:v>
      </x:c>
      <x:c r="B236" s="2" t="str">
        <x:v>BB</x:v>
      </x:c>
      <x:c r="C236" s="2" t="str">
        <x:v>Brevicoryne brassicae</x:v>
      </x:c>
      <x:c r="D236" s="2" t="str">
        <x:v>L7</x:v>
      </x:c>
      <x:c r="E236" s="2" t="n">
        <x:v>24</x:v>
      </x:c>
      <x:c r="F236" s="2" t="n">
        <x:f>COUNTA(E2_plantas!A12,E2_plantas!A13,E2_plantas!A24,E2_plantas!A25,E2_plantas!A36,E2_plantas!A37,E2_plantas!A48,E2_plantas!A49,E2_plantas!A60,E2_plantas!A61)</x:f>
        <x:v>10</x:v>
      </x:c>
      <x:c r="G236" s="2" t="n">
        <x:f>SUM(E2_diario!K446,E2_diario!K488,E2_diario!K950,E2_diario!K992,E2_diario!K1454,E2_diario!K1496,E2_diario!K1958,E2_diario!K2000,E2_diario!K2462,E2_diario!K2504)</x:f>
        <x:v>9</x:v>
      </x:c>
      <x:c r="H236" s="2" t="n">
        <x:f>SUM(IF(E2_diario!J446="N1",1,0),IF(E2_diario!J488="N1",1,0),IF(E2_diario!J950="N1",1,0),IF(E2_diario!J992="N1",1,0),IF(E2_diario!J1454="N1",1,0),IF(E2_diario!J1496="N1",1,0),IF(E2_diario!J1958="N1",1,0),IF(E2_diario!J2000="N1",1,0),IF(E2_diario!J2462="N1",1,0),IF(E2_diario!J2504="N1",1,0))</x:f>
        <x:v>0</x:v>
      </x:c>
      <x:c r="I236" s="2" t="n">
        <x:f>SUM(IF(E2_diario!J446="N2",1,0),IF(E2_diario!J488="N2",1,0),IF(E2_diario!J950="N2",1,0),IF(E2_diario!J992="N2",1,0),IF(E2_diario!J1454="N2",1,0),IF(E2_diario!J1496="N2",1,0),IF(E2_diario!J1958="N2",1,0),IF(E2_diario!J2000="N2",1,0),IF(E2_diario!J2462="N2",1,0),IF(E2_diario!J2504="N2",1,0))</x:f>
        <x:v>0</x:v>
      </x:c>
      <x:c r="J236" s="2" t="n">
        <x:f>SUM(IF(E2_diario!J446="N3",1,0),IF(E2_diario!J488="N3",1,0),IF(E2_diario!J950="N3",1,0),IF(E2_diario!J992="N3",1,0),IF(E2_diario!J1454="N3",1,0),IF(E2_diario!J1496="N3",1,0),IF(E2_diario!J1958="N3",1,0),IF(E2_diario!J2000="N3",1,0),IF(E2_diario!J2462="N3",1,0),IF(E2_diario!J2504="N3",1,0))</x:f>
        <x:v>0</x:v>
      </x:c>
      <x:c r="K236" s="2" t="n">
        <x:f>SUM(IF(E2_diario!J446="N4",1,0),IF(E2_diario!J488="N4",1,0),IF(E2_diario!J950="N4",1,0),IF(E2_diario!J992="N4",1,0),IF(E2_diario!J1454="N4",1,0),IF(E2_diario!J1496="N4",1,0),IF(E2_diario!J1958="N4",1,0),IF(E2_diario!J2000="N4",1,0),IF(E2_diario!J2462="N4",1,0),IF(E2_diario!J2504="N4",1,0))</x:f>
        <x:v>0</x:v>
      </x:c>
      <x:c r="L236" s="2" t="n">
        <x:f>SUM(IF(E2_diario!J446="adulta",1,0),IF(E2_diario!J488="adulta",1,0),IF(E2_diario!J950="adulta",1,0),IF(E2_diario!J992="adulta",1,0),IF(E2_diario!J1454="adulta",1,0),IF(E2_diario!J1496="adulta",1,0),IF(E2_diario!J1958="adulta",1,0),IF(E2_diario!J2000="adulta",1,0),IF(E2_diario!J2462="adulta",1,0),IF(E2_diario!J2504="adulta",1,0))</x:f>
        <x:v>9</x:v>
      </x:c>
      <x:c r="M236" s="2" t="n">
        <x:f>SUM(E2_diario!L446,E2_diario!L488,E2_diario!L950,E2_diario!L992,E2_diario!L1454,E2_diario!L1496,E2_diario!L1958,E2_diario!L2000,E2_diario!L2462,E2_diario!L2504)</x:f>
        <x:v>14</x:v>
      </x:c>
      <x:c r="N236" s="20" t="n">
        <x:f>G236/F236</x:f>
        <x:v>0.9</x:v>
      </x:c>
      <x:c r="O236" s="20" t="n">
        <x:f>IF(G236=0,0,M236/G236)</x:f>
        <x:v>1.5555555555555556</x:v>
      </x:c>
      <x:c r="P236" s="20" t="n">
        <x:f>N236*O236</x:f>
        <x:v>1.4000000000000001</x:v>
      </x:c>
      <x:c r="Q236" s="20" t="n">
        <x:f>H236/F236</x:f>
        <x:v>0</x:v>
      </x:c>
      <x:c r="R236" s="20" t="n">
        <x:f>I236/F236</x:f>
        <x:v>0</x:v>
      </x:c>
      <x:c r="S236" s="20" t="n">
        <x:f>J236/F236</x:f>
        <x:v>0</x:v>
      </x:c>
      <x:c r="T236" s="20" t="n">
        <x:f>K236/F236</x:f>
        <x:v>0</x:v>
      </x:c>
      <x:c r="U236" s="20" t="n">
        <x:f>L236/F236</x:f>
        <x:v>0.9</x:v>
      </x:c>
      <x:c r="V236" s="20" t="n">
        <x:f>IF(L236=0,0,M236/L236)</x:f>
        <x:v>1.5555555555555556</x:v>
      </x:c>
      <x:c r="W236" s="20" t="n">
        <x:f>SUM(P$212:P236)</x:f>
        <x:v>31.400000000000002</x:v>
      </x:c>
      <x:c r="X236" s="2" t="n">
        <x:f>E236+Supuestos!$C$15</x:f>
        <x:v>25</x:v>
      </x:c>
      <x:c r="Y236" s="2" t="n">
        <x:f>F236-G236</x:f>
        <x:v>1</x:v>
      </x:c>
      <x:c r="Z236" s="2" t="str">
        <x:v>simulado_didactico</x:v>
      </x:c>
    </x:row>
    <x:row r="237" ht="19" customHeight="1">
      <x:c r="A237" s="2" t="str">
        <x:v>BB_L7</x:v>
      </x:c>
      <x:c r="B237" s="2" t="str">
        <x:v>BB</x:v>
      </x:c>
      <x:c r="C237" s="2" t="str">
        <x:v>Brevicoryne brassicae</x:v>
      </x:c>
      <x:c r="D237" s="2" t="str">
        <x:v>L7</x:v>
      </x:c>
      <x:c r="E237" s="2" t="n">
        <x:v>25</x:v>
      </x:c>
      <x:c r="F237" s="2" t="n">
        <x:f>COUNTA(E2_plantas!A12,E2_plantas!A13,E2_plantas!A24,E2_plantas!A25,E2_plantas!A36,E2_plantas!A37,E2_plantas!A48,E2_plantas!A49,E2_plantas!A60,E2_plantas!A61)</x:f>
        <x:v>10</x:v>
      </x:c>
      <x:c r="G237" s="2" t="n">
        <x:f>SUM(E2_diario!K447,E2_diario!K489,E2_diario!K951,E2_diario!K993,E2_diario!K1455,E2_diario!K1497,E2_diario!K1959,E2_diario!K2001,E2_diario!K2463,E2_diario!K2505)</x:f>
        <x:v>8</x:v>
      </x:c>
      <x:c r="H237" s="2" t="n">
        <x:f>SUM(IF(E2_diario!J447="N1",1,0),IF(E2_diario!J489="N1",1,0),IF(E2_diario!J951="N1",1,0),IF(E2_diario!J993="N1",1,0),IF(E2_diario!J1455="N1",1,0),IF(E2_diario!J1497="N1",1,0),IF(E2_diario!J1959="N1",1,0),IF(E2_diario!J2001="N1",1,0),IF(E2_diario!J2463="N1",1,0),IF(E2_diario!J2505="N1",1,0))</x:f>
        <x:v>0</x:v>
      </x:c>
      <x:c r="I237" s="2" t="n">
        <x:f>SUM(IF(E2_diario!J447="N2",1,0),IF(E2_diario!J489="N2",1,0),IF(E2_diario!J951="N2",1,0),IF(E2_diario!J993="N2",1,0),IF(E2_diario!J1455="N2",1,0),IF(E2_diario!J1497="N2",1,0),IF(E2_diario!J1959="N2",1,0),IF(E2_diario!J2001="N2",1,0),IF(E2_diario!J2463="N2",1,0),IF(E2_diario!J2505="N2",1,0))</x:f>
        <x:v>0</x:v>
      </x:c>
      <x:c r="J237" s="2" t="n">
        <x:f>SUM(IF(E2_diario!J447="N3",1,0),IF(E2_diario!J489="N3",1,0),IF(E2_diario!J951="N3",1,0),IF(E2_diario!J993="N3",1,0),IF(E2_diario!J1455="N3",1,0),IF(E2_diario!J1497="N3",1,0),IF(E2_diario!J1959="N3",1,0),IF(E2_diario!J2001="N3",1,0),IF(E2_diario!J2463="N3",1,0),IF(E2_diario!J2505="N3",1,0))</x:f>
        <x:v>0</x:v>
      </x:c>
      <x:c r="K237" s="2" t="n">
        <x:f>SUM(IF(E2_diario!J447="N4",1,0),IF(E2_diario!J489="N4",1,0),IF(E2_diario!J951="N4",1,0),IF(E2_diario!J993="N4",1,0),IF(E2_diario!J1455="N4",1,0),IF(E2_diario!J1497="N4",1,0),IF(E2_diario!J1959="N4",1,0),IF(E2_diario!J2001="N4",1,0),IF(E2_diario!J2463="N4",1,0),IF(E2_diario!J2505="N4",1,0))</x:f>
        <x:v>0</x:v>
      </x:c>
      <x:c r="L237" s="2" t="n">
        <x:f>SUM(IF(E2_diario!J447="adulta",1,0),IF(E2_diario!J489="adulta",1,0),IF(E2_diario!J951="adulta",1,0),IF(E2_diario!J993="adulta",1,0),IF(E2_diario!J1455="adulta",1,0),IF(E2_diario!J1497="adulta",1,0),IF(E2_diario!J1959="adulta",1,0),IF(E2_diario!J2001="adulta",1,0),IF(E2_diario!J2463="adulta",1,0),IF(E2_diario!J2505="adulta",1,0))</x:f>
        <x:v>8</x:v>
      </x:c>
      <x:c r="M237" s="2" t="n">
        <x:f>SUM(E2_diario!L447,E2_diario!L489,E2_diario!L951,E2_diario!L993,E2_diario!L1455,E2_diario!L1497,E2_diario!L1959,E2_diario!L2001,E2_diario!L2463,E2_diario!L2505)</x:f>
        <x:v>11</x:v>
      </x:c>
      <x:c r="N237" s="20" t="n">
        <x:f>G237/F237</x:f>
        <x:v>0.8</x:v>
      </x:c>
      <x:c r="O237" s="20" t="n">
        <x:f>IF(G237=0,0,M237/G237)</x:f>
        <x:v>1.375</x:v>
      </x:c>
      <x:c r="P237" s="20" t="n">
        <x:f>N237*O237</x:f>
        <x:v>1.1</x:v>
      </x:c>
      <x:c r="Q237" s="20" t="n">
        <x:f>H237/F237</x:f>
        <x:v>0</x:v>
      </x:c>
      <x:c r="R237" s="20" t="n">
        <x:f>I237/F237</x:f>
        <x:v>0</x:v>
      </x:c>
      <x:c r="S237" s="20" t="n">
        <x:f>J237/F237</x:f>
        <x:v>0</x:v>
      </x:c>
      <x:c r="T237" s="20" t="n">
        <x:f>K237/F237</x:f>
        <x:v>0</x:v>
      </x:c>
      <x:c r="U237" s="20" t="n">
        <x:f>L237/F237</x:f>
        <x:v>0.8</x:v>
      </x:c>
      <x:c r="V237" s="20" t="n">
        <x:f>IF(L237=0,0,M237/L237)</x:f>
        <x:v>1.375</x:v>
      </x:c>
      <x:c r="W237" s="20" t="n">
        <x:f>SUM(P$212:P237)</x:f>
        <x:v>32.5</x:v>
      </x:c>
      <x:c r="X237" s="2" t="n">
        <x:f>E237+Supuestos!$C$15</x:f>
        <x:v>26</x:v>
      </x:c>
      <x:c r="Y237" s="2" t="n">
        <x:f>F237-G237</x:f>
        <x:v>2</x:v>
      </x:c>
      <x:c r="Z237" s="2" t="str">
        <x:v>simulado_didactico</x:v>
      </x:c>
    </x:row>
    <x:row r="238" ht="19" customHeight="1">
      <x:c r="A238" s="2" t="str">
        <x:v>BB_L7</x:v>
      </x:c>
      <x:c r="B238" s="2" t="str">
        <x:v>BB</x:v>
      </x:c>
      <x:c r="C238" s="2" t="str">
        <x:v>Brevicoryne brassicae</x:v>
      </x:c>
      <x:c r="D238" s="2" t="str">
        <x:v>L7</x:v>
      </x:c>
      <x:c r="E238" s="2" t="n">
        <x:v>26</x:v>
      </x:c>
      <x:c r="F238" s="2" t="n">
        <x:f>COUNTA(E2_plantas!A12,E2_plantas!A13,E2_plantas!A24,E2_plantas!A25,E2_plantas!A36,E2_plantas!A37,E2_plantas!A48,E2_plantas!A49,E2_plantas!A60,E2_plantas!A61)</x:f>
        <x:v>10</x:v>
      </x:c>
      <x:c r="G238" s="2" t="n">
        <x:f>SUM(E2_diario!K448,E2_diario!K490,E2_diario!K952,E2_diario!K994,E2_diario!K1456,E2_diario!K1498,E2_diario!K1960,E2_diario!K2002,E2_diario!K2464,E2_diario!K2506)</x:f>
        <x:v>8</x:v>
      </x:c>
      <x:c r="H238" s="2" t="n">
        <x:f>SUM(IF(E2_diario!J448="N1",1,0),IF(E2_diario!J490="N1",1,0),IF(E2_diario!J952="N1",1,0),IF(E2_diario!J994="N1",1,0),IF(E2_diario!J1456="N1",1,0),IF(E2_diario!J1498="N1",1,0),IF(E2_diario!J1960="N1",1,0),IF(E2_diario!J2002="N1",1,0),IF(E2_diario!J2464="N1",1,0),IF(E2_diario!J2506="N1",1,0))</x:f>
        <x:v>0</x:v>
      </x:c>
      <x:c r="I238" s="2" t="n">
        <x:f>SUM(IF(E2_diario!J448="N2",1,0),IF(E2_diario!J490="N2",1,0),IF(E2_diario!J952="N2",1,0),IF(E2_diario!J994="N2",1,0),IF(E2_diario!J1456="N2",1,0),IF(E2_diario!J1498="N2",1,0),IF(E2_diario!J1960="N2",1,0),IF(E2_diario!J2002="N2",1,0),IF(E2_diario!J2464="N2",1,0),IF(E2_diario!J2506="N2",1,0))</x:f>
        <x:v>0</x:v>
      </x:c>
      <x:c r="J238" s="2" t="n">
        <x:f>SUM(IF(E2_diario!J448="N3",1,0),IF(E2_diario!J490="N3",1,0),IF(E2_diario!J952="N3",1,0),IF(E2_diario!J994="N3",1,0),IF(E2_diario!J1456="N3",1,0),IF(E2_diario!J1498="N3",1,0),IF(E2_diario!J1960="N3",1,0),IF(E2_diario!J2002="N3",1,0),IF(E2_diario!J2464="N3",1,0),IF(E2_diario!J2506="N3",1,0))</x:f>
        <x:v>0</x:v>
      </x:c>
      <x:c r="K238" s="2" t="n">
        <x:f>SUM(IF(E2_diario!J448="N4",1,0),IF(E2_diario!J490="N4",1,0),IF(E2_diario!J952="N4",1,0),IF(E2_diario!J994="N4",1,0),IF(E2_diario!J1456="N4",1,0),IF(E2_diario!J1498="N4",1,0),IF(E2_diario!J1960="N4",1,0),IF(E2_diario!J2002="N4",1,0),IF(E2_diario!J2464="N4",1,0),IF(E2_diario!J2506="N4",1,0))</x:f>
        <x:v>0</x:v>
      </x:c>
      <x:c r="L238" s="2" t="n">
        <x:f>SUM(IF(E2_diario!J448="adulta",1,0),IF(E2_diario!J490="adulta",1,0),IF(E2_diario!J952="adulta",1,0),IF(E2_diario!J994="adulta",1,0),IF(E2_diario!J1456="adulta",1,0),IF(E2_diario!J1498="adulta",1,0),IF(E2_diario!J1960="adulta",1,0),IF(E2_diario!J2002="adulta",1,0),IF(E2_diario!J2464="adulta",1,0),IF(E2_diario!J2506="adulta",1,0))</x:f>
        <x:v>8</x:v>
      </x:c>
      <x:c r="M238" s="2" t="n">
        <x:f>SUM(E2_diario!L448,E2_diario!L490,E2_diario!L952,E2_diario!L994,E2_diario!L1456,E2_diario!L1498,E2_diario!L1960,E2_diario!L2002,E2_diario!L2464,E2_diario!L2506)</x:f>
        <x:v>9</x:v>
      </x:c>
      <x:c r="N238" s="20" t="n">
        <x:f>G238/F238</x:f>
        <x:v>0.8</x:v>
      </x:c>
      <x:c r="O238" s="20" t="n">
        <x:f>IF(G238=0,0,M238/G238)</x:f>
        <x:v>1.125</x:v>
      </x:c>
      <x:c r="P238" s="20" t="n">
        <x:f>N238*O238</x:f>
        <x:v>0.9</x:v>
      </x:c>
      <x:c r="Q238" s="20" t="n">
        <x:f>H238/F238</x:f>
        <x:v>0</x:v>
      </x:c>
      <x:c r="R238" s="20" t="n">
        <x:f>I238/F238</x:f>
        <x:v>0</x:v>
      </x:c>
      <x:c r="S238" s="20" t="n">
        <x:f>J238/F238</x:f>
        <x:v>0</x:v>
      </x:c>
      <x:c r="T238" s="20" t="n">
        <x:f>K238/F238</x:f>
        <x:v>0</x:v>
      </x:c>
      <x:c r="U238" s="20" t="n">
        <x:f>L238/F238</x:f>
        <x:v>0.8</x:v>
      </x:c>
      <x:c r="V238" s="20" t="n">
        <x:f>IF(L238=0,0,M238/L238)</x:f>
        <x:v>1.125</x:v>
      </x:c>
      <x:c r="W238" s="20" t="n">
        <x:f>SUM(P$212:P238)</x:f>
        <x:v>33.4</x:v>
      </x:c>
      <x:c r="X238" s="2" t="n">
        <x:f>E238+Supuestos!$C$15</x:f>
        <x:v>27</x:v>
      </x:c>
      <x:c r="Y238" s="2" t="n">
        <x:f>F238-G238</x:f>
        <x:v>2</x:v>
      </x:c>
      <x:c r="Z238" s="2" t="str">
        <x:v>simulado_didactico</x:v>
      </x:c>
    </x:row>
    <x:row r="239" ht="19" customHeight="1">
      <x:c r="A239" s="2" t="str">
        <x:v>BB_L7</x:v>
      </x:c>
      <x:c r="B239" s="2" t="str">
        <x:v>BB</x:v>
      </x:c>
      <x:c r="C239" s="2" t="str">
        <x:v>Brevicoryne brassicae</x:v>
      </x:c>
      <x:c r="D239" s="2" t="str">
        <x:v>L7</x:v>
      </x:c>
      <x:c r="E239" s="2" t="n">
        <x:v>27</x:v>
      </x:c>
      <x:c r="F239" s="2" t="n">
        <x:f>COUNTA(E2_plantas!A12,E2_plantas!A13,E2_plantas!A24,E2_plantas!A25,E2_plantas!A36,E2_plantas!A37,E2_plantas!A48,E2_plantas!A49,E2_plantas!A60,E2_plantas!A61)</x:f>
        <x:v>10</x:v>
      </x:c>
      <x:c r="G239" s="2" t="n">
        <x:f>SUM(E2_diario!K449,E2_diario!K491,E2_diario!K953,E2_diario!K995,E2_diario!K1457,E2_diario!K1499,E2_diario!K1961,E2_diario!K2003,E2_diario!K2465,E2_diario!K2507)</x:f>
        <x:v>8</x:v>
      </x:c>
      <x:c r="H239" s="2" t="n">
        <x:f>SUM(IF(E2_diario!J449="N1",1,0),IF(E2_diario!J491="N1",1,0),IF(E2_diario!J953="N1",1,0),IF(E2_diario!J995="N1",1,0),IF(E2_diario!J1457="N1",1,0),IF(E2_diario!J1499="N1",1,0),IF(E2_diario!J1961="N1",1,0),IF(E2_diario!J2003="N1",1,0),IF(E2_diario!J2465="N1",1,0),IF(E2_diario!J2507="N1",1,0))</x:f>
        <x:v>0</x:v>
      </x:c>
      <x:c r="I239" s="2" t="n">
        <x:f>SUM(IF(E2_diario!J449="N2",1,0),IF(E2_diario!J491="N2",1,0),IF(E2_diario!J953="N2",1,0),IF(E2_diario!J995="N2",1,0),IF(E2_diario!J1457="N2",1,0),IF(E2_diario!J1499="N2",1,0),IF(E2_diario!J1961="N2",1,0),IF(E2_diario!J2003="N2",1,0),IF(E2_diario!J2465="N2",1,0),IF(E2_diario!J2507="N2",1,0))</x:f>
        <x:v>0</x:v>
      </x:c>
      <x:c r="J239" s="2" t="n">
        <x:f>SUM(IF(E2_diario!J449="N3",1,0),IF(E2_diario!J491="N3",1,0),IF(E2_diario!J953="N3",1,0),IF(E2_diario!J995="N3",1,0),IF(E2_diario!J1457="N3",1,0),IF(E2_diario!J1499="N3",1,0),IF(E2_diario!J1961="N3",1,0),IF(E2_diario!J2003="N3",1,0),IF(E2_diario!J2465="N3",1,0),IF(E2_diario!J2507="N3",1,0))</x:f>
        <x:v>0</x:v>
      </x:c>
      <x:c r="K239" s="2" t="n">
        <x:f>SUM(IF(E2_diario!J449="N4",1,0),IF(E2_diario!J491="N4",1,0),IF(E2_diario!J953="N4",1,0),IF(E2_diario!J995="N4",1,0),IF(E2_diario!J1457="N4",1,0),IF(E2_diario!J1499="N4",1,0),IF(E2_diario!J1961="N4",1,0),IF(E2_diario!J2003="N4",1,0),IF(E2_diario!J2465="N4",1,0),IF(E2_diario!J2507="N4",1,0))</x:f>
        <x:v>0</x:v>
      </x:c>
      <x:c r="L239" s="2" t="n">
        <x:f>SUM(IF(E2_diario!J449="adulta",1,0),IF(E2_diario!J491="adulta",1,0),IF(E2_diario!J953="adulta",1,0),IF(E2_diario!J995="adulta",1,0),IF(E2_diario!J1457="adulta",1,0),IF(E2_diario!J1499="adulta",1,0),IF(E2_diario!J1961="adulta",1,0),IF(E2_diario!J2003="adulta",1,0),IF(E2_diario!J2465="adulta",1,0),IF(E2_diario!J2507="adulta",1,0))</x:f>
        <x:v>8</x:v>
      </x:c>
      <x:c r="M239" s="2" t="n">
        <x:f>SUM(E2_diario!L449,E2_diario!L491,E2_diario!L953,E2_diario!L995,E2_diario!L1457,E2_diario!L1499,E2_diario!L1961,E2_diario!L2003,E2_diario!L2465,E2_diario!L2507)</x:f>
        <x:v>10</x:v>
      </x:c>
      <x:c r="N239" s="20" t="n">
        <x:f>G239/F239</x:f>
        <x:v>0.8</x:v>
      </x:c>
      <x:c r="O239" s="20" t="n">
        <x:f>IF(G239=0,0,M239/G239)</x:f>
        <x:v>1.25</x:v>
      </x:c>
      <x:c r="P239" s="20" t="n">
        <x:f>N239*O239</x:f>
        <x:v>1</x:v>
      </x:c>
      <x:c r="Q239" s="20" t="n">
        <x:f>H239/F239</x:f>
        <x:v>0</x:v>
      </x:c>
      <x:c r="R239" s="20" t="n">
        <x:f>I239/F239</x:f>
        <x:v>0</x:v>
      </x:c>
      <x:c r="S239" s="20" t="n">
        <x:f>J239/F239</x:f>
        <x:v>0</x:v>
      </x:c>
      <x:c r="T239" s="20" t="n">
        <x:f>K239/F239</x:f>
        <x:v>0</x:v>
      </x:c>
      <x:c r="U239" s="20" t="n">
        <x:f>L239/F239</x:f>
        <x:v>0.8</x:v>
      </x:c>
      <x:c r="V239" s="20" t="n">
        <x:f>IF(L239=0,0,M239/L239)</x:f>
        <x:v>1.25</x:v>
      </x:c>
      <x:c r="W239" s="20" t="n">
        <x:f>SUM(P$212:P239)</x:f>
        <x:v>34.4</x:v>
      </x:c>
      <x:c r="X239" s="2" t="n">
        <x:f>E239+Supuestos!$C$15</x:f>
        <x:v>28</x:v>
      </x:c>
      <x:c r="Y239" s="2" t="n">
        <x:f>F239-G239</x:f>
        <x:v>2</x:v>
      </x:c>
      <x:c r="Z239" s="2" t="str">
        <x:v>simulado_didactico</x:v>
      </x:c>
    </x:row>
    <x:row r="240" ht="19" customHeight="1">
      <x:c r="A240" s="2" t="str">
        <x:v>BB_L7</x:v>
      </x:c>
      <x:c r="B240" s="2" t="str">
        <x:v>BB</x:v>
      </x:c>
      <x:c r="C240" s="2" t="str">
        <x:v>Brevicoryne brassicae</x:v>
      </x:c>
      <x:c r="D240" s="2" t="str">
        <x:v>L7</x:v>
      </x:c>
      <x:c r="E240" s="2" t="n">
        <x:v>28</x:v>
      </x:c>
      <x:c r="F240" s="2" t="n">
        <x:f>COUNTA(E2_plantas!A12,E2_plantas!A13,E2_plantas!A24,E2_plantas!A25,E2_plantas!A36,E2_plantas!A37,E2_plantas!A48,E2_plantas!A49,E2_plantas!A60,E2_plantas!A61)</x:f>
        <x:v>10</x:v>
      </x:c>
      <x:c r="G240" s="2" t="n">
        <x:f>SUM(E2_diario!K450,E2_diario!K492,E2_diario!K954,E2_diario!K996,E2_diario!K1458,E2_diario!K1500,E2_diario!K1962,E2_diario!K2004,E2_diario!K2466,E2_diario!K2508)</x:f>
        <x:v>6</x:v>
      </x:c>
      <x:c r="H240" s="2" t="n">
        <x:f>SUM(IF(E2_diario!J450="N1",1,0),IF(E2_diario!J492="N1",1,0),IF(E2_diario!J954="N1",1,0),IF(E2_diario!J996="N1",1,0),IF(E2_diario!J1458="N1",1,0),IF(E2_diario!J1500="N1",1,0),IF(E2_diario!J1962="N1",1,0),IF(E2_diario!J2004="N1",1,0),IF(E2_diario!J2466="N1",1,0),IF(E2_diario!J2508="N1",1,0))</x:f>
        <x:v>0</x:v>
      </x:c>
      <x:c r="I240" s="2" t="n">
        <x:f>SUM(IF(E2_diario!J450="N2",1,0),IF(E2_diario!J492="N2",1,0),IF(E2_diario!J954="N2",1,0),IF(E2_diario!J996="N2",1,0),IF(E2_diario!J1458="N2",1,0),IF(E2_diario!J1500="N2",1,0),IF(E2_diario!J1962="N2",1,0),IF(E2_diario!J2004="N2",1,0),IF(E2_diario!J2466="N2",1,0),IF(E2_diario!J2508="N2",1,0))</x:f>
        <x:v>0</x:v>
      </x:c>
      <x:c r="J240" s="2" t="n">
        <x:f>SUM(IF(E2_diario!J450="N3",1,0),IF(E2_diario!J492="N3",1,0),IF(E2_diario!J954="N3",1,0),IF(E2_diario!J996="N3",1,0),IF(E2_diario!J1458="N3",1,0),IF(E2_diario!J1500="N3",1,0),IF(E2_diario!J1962="N3",1,0),IF(E2_diario!J2004="N3",1,0),IF(E2_diario!J2466="N3",1,0),IF(E2_diario!J2508="N3",1,0))</x:f>
        <x:v>0</x:v>
      </x:c>
      <x:c r="K240" s="2" t="n">
        <x:f>SUM(IF(E2_diario!J450="N4",1,0),IF(E2_diario!J492="N4",1,0),IF(E2_diario!J954="N4",1,0),IF(E2_diario!J996="N4",1,0),IF(E2_diario!J1458="N4",1,0),IF(E2_diario!J1500="N4",1,0),IF(E2_diario!J1962="N4",1,0),IF(E2_diario!J2004="N4",1,0),IF(E2_diario!J2466="N4",1,0),IF(E2_diario!J2508="N4",1,0))</x:f>
        <x:v>0</x:v>
      </x:c>
      <x:c r="L240" s="2" t="n">
        <x:f>SUM(IF(E2_diario!J450="adulta",1,0),IF(E2_diario!J492="adulta",1,0),IF(E2_diario!J954="adulta",1,0),IF(E2_diario!J996="adulta",1,0),IF(E2_diario!J1458="adulta",1,0),IF(E2_diario!J1500="adulta",1,0),IF(E2_diario!J1962="adulta",1,0),IF(E2_diario!J2004="adulta",1,0),IF(E2_diario!J2466="adulta",1,0),IF(E2_diario!J2508="adulta",1,0))</x:f>
        <x:v>6</x:v>
      </x:c>
      <x:c r="M240" s="2" t="n">
        <x:f>SUM(E2_diario!L450,E2_diario!L492,E2_diario!L954,E2_diario!L996,E2_diario!L1458,E2_diario!L1500,E2_diario!L1962,E2_diario!L2004,E2_diario!L2466,E2_diario!L2508)</x:f>
        <x:v>4</x:v>
      </x:c>
      <x:c r="N240" s="20" t="n">
        <x:f>G240/F240</x:f>
        <x:v>0.6</x:v>
      </x:c>
      <x:c r="O240" s="20" t="n">
        <x:f>IF(G240=0,0,M240/G240)</x:f>
        <x:v>0.6666666666666666</x:v>
      </x:c>
      <x:c r="P240" s="20" t="n">
        <x:f>N240*O240</x:f>
        <x:v>0.39999999999999997</x:v>
      </x:c>
      <x:c r="Q240" s="20" t="n">
        <x:f>H240/F240</x:f>
        <x:v>0</x:v>
      </x:c>
      <x:c r="R240" s="20" t="n">
        <x:f>I240/F240</x:f>
        <x:v>0</x:v>
      </x:c>
      <x:c r="S240" s="20" t="n">
        <x:f>J240/F240</x:f>
        <x:v>0</x:v>
      </x:c>
      <x:c r="T240" s="20" t="n">
        <x:f>K240/F240</x:f>
        <x:v>0</x:v>
      </x:c>
      <x:c r="U240" s="20" t="n">
        <x:f>L240/F240</x:f>
        <x:v>0.6</x:v>
      </x:c>
      <x:c r="V240" s="20" t="n">
        <x:f>IF(L240=0,0,M240/L240)</x:f>
        <x:v>0.6666666666666666</x:v>
      </x:c>
      <x:c r="W240" s="20" t="n">
        <x:f>SUM(P$212:P240)</x:f>
        <x:v>34.8</x:v>
      </x:c>
      <x:c r="X240" s="2" t="n">
        <x:f>E240+Supuestos!$C$15</x:f>
        <x:v>29</x:v>
      </x:c>
      <x:c r="Y240" s="2" t="n">
        <x:f>F240-G240</x:f>
        <x:v>4</x:v>
      </x:c>
      <x:c r="Z240" s="2" t="str">
        <x:v>simulado_didactico</x:v>
      </x:c>
    </x:row>
    <x:row r="241" ht="19" customHeight="1">
      <x:c r="A241" s="2" t="str">
        <x:v>BB_L7</x:v>
      </x:c>
      <x:c r="B241" s="2" t="str">
        <x:v>BB</x:v>
      </x:c>
      <x:c r="C241" s="2" t="str">
        <x:v>Brevicoryne brassicae</x:v>
      </x:c>
      <x:c r="D241" s="2" t="str">
        <x:v>L7</x:v>
      </x:c>
      <x:c r="E241" s="2" t="n">
        <x:v>29</x:v>
      </x:c>
      <x:c r="F241" s="2" t="n">
        <x:f>COUNTA(E2_plantas!A12,E2_plantas!A13,E2_plantas!A24,E2_plantas!A25,E2_plantas!A36,E2_plantas!A37,E2_plantas!A48,E2_plantas!A49,E2_plantas!A60,E2_plantas!A61)</x:f>
        <x:v>10</x:v>
      </x:c>
      <x:c r="G241" s="2" t="n">
        <x:f>SUM(E2_diario!K451,E2_diario!K493,E2_diario!K955,E2_diario!K997,E2_diario!K1459,E2_diario!K1501,E2_diario!K1963,E2_diario!K2005,E2_diario!K2467,E2_diario!K2509)</x:f>
        <x:v>6</x:v>
      </x:c>
      <x:c r="H241" s="2" t="n">
        <x:f>SUM(IF(E2_diario!J451="N1",1,0),IF(E2_diario!J493="N1",1,0),IF(E2_diario!J955="N1",1,0),IF(E2_diario!J997="N1",1,0),IF(E2_diario!J1459="N1",1,0),IF(E2_diario!J1501="N1",1,0),IF(E2_diario!J1963="N1",1,0),IF(E2_diario!J2005="N1",1,0),IF(E2_diario!J2467="N1",1,0),IF(E2_diario!J2509="N1",1,0))</x:f>
        <x:v>0</x:v>
      </x:c>
      <x:c r="I241" s="2" t="n">
        <x:f>SUM(IF(E2_diario!J451="N2",1,0),IF(E2_diario!J493="N2",1,0),IF(E2_diario!J955="N2",1,0),IF(E2_diario!J997="N2",1,0),IF(E2_diario!J1459="N2",1,0),IF(E2_diario!J1501="N2",1,0),IF(E2_diario!J1963="N2",1,0),IF(E2_diario!J2005="N2",1,0),IF(E2_diario!J2467="N2",1,0),IF(E2_diario!J2509="N2",1,0))</x:f>
        <x:v>0</x:v>
      </x:c>
      <x:c r="J241" s="2" t="n">
        <x:f>SUM(IF(E2_diario!J451="N3",1,0),IF(E2_diario!J493="N3",1,0),IF(E2_diario!J955="N3",1,0),IF(E2_diario!J997="N3",1,0),IF(E2_diario!J1459="N3",1,0),IF(E2_diario!J1501="N3",1,0),IF(E2_diario!J1963="N3",1,0),IF(E2_diario!J2005="N3",1,0),IF(E2_diario!J2467="N3",1,0),IF(E2_diario!J2509="N3",1,0))</x:f>
        <x:v>0</x:v>
      </x:c>
      <x:c r="K241" s="2" t="n">
        <x:f>SUM(IF(E2_diario!J451="N4",1,0),IF(E2_diario!J493="N4",1,0),IF(E2_diario!J955="N4",1,0),IF(E2_diario!J997="N4",1,0),IF(E2_diario!J1459="N4",1,0),IF(E2_diario!J1501="N4",1,0),IF(E2_diario!J1963="N4",1,0),IF(E2_diario!J2005="N4",1,0),IF(E2_diario!J2467="N4",1,0),IF(E2_diario!J2509="N4",1,0))</x:f>
        <x:v>0</x:v>
      </x:c>
      <x:c r="L241" s="2" t="n">
        <x:f>SUM(IF(E2_diario!J451="adulta",1,0),IF(E2_diario!J493="adulta",1,0),IF(E2_diario!J955="adulta",1,0),IF(E2_diario!J997="adulta",1,0),IF(E2_diario!J1459="adulta",1,0),IF(E2_diario!J1501="adulta",1,0),IF(E2_diario!J1963="adulta",1,0),IF(E2_diario!J2005="adulta",1,0),IF(E2_diario!J2467="adulta",1,0),IF(E2_diario!J2509="adulta",1,0))</x:f>
        <x:v>6</x:v>
      </x:c>
      <x:c r="M241" s="2" t="n">
        <x:f>SUM(E2_diario!L451,E2_diario!L493,E2_diario!L955,E2_diario!L997,E2_diario!L1459,E2_diario!L1501,E2_diario!L1963,E2_diario!L2005,E2_diario!L2467,E2_diario!L2509)</x:f>
        <x:v>3</x:v>
      </x:c>
      <x:c r="N241" s="20" t="n">
        <x:f>G241/F241</x:f>
        <x:v>0.6</x:v>
      </x:c>
      <x:c r="O241" s="20" t="n">
        <x:f>IF(G241=0,0,M241/G241)</x:f>
        <x:v>0.5</x:v>
      </x:c>
      <x:c r="P241" s="20" t="n">
        <x:f>N241*O241</x:f>
        <x:v>0.3</x:v>
      </x:c>
      <x:c r="Q241" s="20" t="n">
        <x:f>H241/F241</x:f>
        <x:v>0</x:v>
      </x:c>
      <x:c r="R241" s="20" t="n">
        <x:f>I241/F241</x:f>
        <x:v>0</x:v>
      </x:c>
      <x:c r="S241" s="20" t="n">
        <x:f>J241/F241</x:f>
        <x:v>0</x:v>
      </x:c>
      <x:c r="T241" s="20" t="n">
        <x:f>K241/F241</x:f>
        <x:v>0</x:v>
      </x:c>
      <x:c r="U241" s="20" t="n">
        <x:f>L241/F241</x:f>
        <x:v>0.6</x:v>
      </x:c>
      <x:c r="V241" s="20" t="n">
        <x:f>IF(L241=0,0,M241/L241)</x:f>
        <x:v>0.5</x:v>
      </x:c>
      <x:c r="W241" s="20" t="n">
        <x:f>SUM(P$212:P241)</x:f>
        <x:v>35.099999999999994</x:v>
      </x:c>
      <x:c r="X241" s="2" t="n">
        <x:f>E241+Supuestos!$C$15</x:f>
        <x:v>30</x:v>
      </x:c>
      <x:c r="Y241" s="2" t="n">
        <x:f>F241-G241</x:f>
        <x:v>4</x:v>
      </x:c>
      <x:c r="Z241" s="2" t="str">
        <x:v>simulado_didactico</x:v>
      </x:c>
    </x:row>
    <x:row r="242" ht="19" customHeight="1">
      <x:c r="A242" s="2" t="str">
        <x:v>BB_L7</x:v>
      </x:c>
      <x:c r="B242" s="2" t="str">
        <x:v>BB</x:v>
      </x:c>
      <x:c r="C242" s="2" t="str">
        <x:v>Brevicoryne brassicae</x:v>
      </x:c>
      <x:c r="D242" s="2" t="str">
        <x:v>L7</x:v>
      </x:c>
      <x:c r="E242" s="2" t="n">
        <x:v>30</x:v>
      </x:c>
      <x:c r="F242" s="2" t="n">
        <x:f>COUNTA(E2_plantas!A12,E2_plantas!A13,E2_plantas!A24,E2_plantas!A25,E2_plantas!A36,E2_plantas!A37,E2_plantas!A48,E2_plantas!A49,E2_plantas!A60,E2_plantas!A61)</x:f>
        <x:v>10</x:v>
      </x:c>
      <x:c r="G242" s="2" t="n">
        <x:f>SUM(E2_diario!K452,E2_diario!K494,E2_diario!K956,E2_diario!K998,E2_diario!K1460,E2_diario!K1502,E2_diario!K1964,E2_diario!K2006,E2_diario!K2468,E2_diario!K2510)</x:f>
        <x:v>5</x:v>
      </x:c>
      <x:c r="H242" s="2" t="n">
        <x:f>SUM(IF(E2_diario!J452="N1",1,0),IF(E2_diario!J494="N1",1,0),IF(E2_diario!J956="N1",1,0),IF(E2_diario!J998="N1",1,0),IF(E2_diario!J1460="N1",1,0),IF(E2_diario!J1502="N1",1,0),IF(E2_diario!J1964="N1",1,0),IF(E2_diario!J2006="N1",1,0),IF(E2_diario!J2468="N1",1,0),IF(E2_diario!J2510="N1",1,0))</x:f>
        <x:v>0</x:v>
      </x:c>
      <x:c r="I242" s="2" t="n">
        <x:f>SUM(IF(E2_diario!J452="N2",1,0),IF(E2_diario!J494="N2",1,0),IF(E2_diario!J956="N2",1,0),IF(E2_diario!J998="N2",1,0),IF(E2_diario!J1460="N2",1,0),IF(E2_diario!J1502="N2",1,0),IF(E2_diario!J1964="N2",1,0),IF(E2_diario!J2006="N2",1,0),IF(E2_diario!J2468="N2",1,0),IF(E2_diario!J2510="N2",1,0))</x:f>
        <x:v>0</x:v>
      </x:c>
      <x:c r="J242" s="2" t="n">
        <x:f>SUM(IF(E2_diario!J452="N3",1,0),IF(E2_diario!J494="N3",1,0),IF(E2_diario!J956="N3",1,0),IF(E2_diario!J998="N3",1,0),IF(E2_diario!J1460="N3",1,0),IF(E2_diario!J1502="N3",1,0),IF(E2_diario!J1964="N3",1,0),IF(E2_diario!J2006="N3",1,0),IF(E2_diario!J2468="N3",1,0),IF(E2_diario!J2510="N3",1,0))</x:f>
        <x:v>0</x:v>
      </x:c>
      <x:c r="K242" s="2" t="n">
        <x:f>SUM(IF(E2_diario!J452="N4",1,0),IF(E2_diario!J494="N4",1,0),IF(E2_diario!J956="N4",1,0),IF(E2_diario!J998="N4",1,0),IF(E2_diario!J1460="N4",1,0),IF(E2_diario!J1502="N4",1,0),IF(E2_diario!J1964="N4",1,0),IF(E2_diario!J2006="N4",1,0),IF(E2_diario!J2468="N4",1,0),IF(E2_diario!J2510="N4",1,0))</x:f>
        <x:v>0</x:v>
      </x:c>
      <x:c r="L242" s="2" t="n">
        <x:f>SUM(IF(E2_diario!J452="adulta",1,0),IF(E2_diario!J494="adulta",1,0),IF(E2_diario!J956="adulta",1,0),IF(E2_diario!J998="adulta",1,0),IF(E2_diario!J1460="adulta",1,0),IF(E2_diario!J1502="adulta",1,0),IF(E2_diario!J1964="adulta",1,0),IF(E2_diario!J2006="adulta",1,0),IF(E2_diario!J2468="adulta",1,0),IF(E2_diario!J2510="adulta",1,0))</x:f>
        <x:v>5</x:v>
      </x:c>
      <x:c r="M242" s="2" t="n">
        <x:f>SUM(E2_diario!L452,E2_diario!L494,E2_diario!L956,E2_diario!L998,E2_diario!L1460,E2_diario!L1502,E2_diario!L1964,E2_diario!L2006,E2_diario!L2468,E2_diario!L2510)</x:f>
        <x:v>3</x:v>
      </x:c>
      <x:c r="N242" s="20" t="n">
        <x:f>G242/F242</x:f>
        <x:v>0.5</x:v>
      </x:c>
      <x:c r="O242" s="20" t="n">
        <x:f>IF(G242=0,0,M242/G242)</x:f>
        <x:v>0.6</x:v>
      </x:c>
      <x:c r="P242" s="20" t="n">
        <x:f>N242*O242</x:f>
        <x:v>0.3</x:v>
      </x:c>
      <x:c r="Q242" s="20" t="n">
        <x:f>H242/F242</x:f>
        <x:v>0</x:v>
      </x:c>
      <x:c r="R242" s="20" t="n">
        <x:f>I242/F242</x:f>
        <x:v>0</x:v>
      </x:c>
      <x:c r="S242" s="20" t="n">
        <x:f>J242/F242</x:f>
        <x:v>0</x:v>
      </x:c>
      <x:c r="T242" s="20" t="n">
        <x:f>K242/F242</x:f>
        <x:v>0</x:v>
      </x:c>
      <x:c r="U242" s="20" t="n">
        <x:f>L242/F242</x:f>
        <x:v>0.5</x:v>
      </x:c>
      <x:c r="V242" s="20" t="n">
        <x:f>IF(L242=0,0,M242/L242)</x:f>
        <x:v>0.6</x:v>
      </x:c>
      <x:c r="W242" s="20" t="n">
        <x:f>SUM(P$212:P242)</x:f>
        <x:v>35.39999999999999</x:v>
      </x:c>
      <x:c r="X242" s="2" t="n">
        <x:f>E242+Supuestos!$C$15</x:f>
        <x:v>31</x:v>
      </x:c>
      <x:c r="Y242" s="2" t="n">
        <x:f>F242-G242</x:f>
        <x:v>5</x:v>
      </x:c>
      <x:c r="Z242" s="2" t="str">
        <x:v>simulado_didactico</x:v>
      </x:c>
    </x:row>
    <x:row r="243" ht="19" customHeight="1">
      <x:c r="A243" s="2" t="str">
        <x:v>BB_L7</x:v>
      </x:c>
      <x:c r="B243" s="2" t="str">
        <x:v>BB</x:v>
      </x:c>
      <x:c r="C243" s="2" t="str">
        <x:v>Brevicoryne brassicae</x:v>
      </x:c>
      <x:c r="D243" s="2" t="str">
        <x:v>L7</x:v>
      </x:c>
      <x:c r="E243" s="2" t="n">
        <x:v>31</x:v>
      </x:c>
      <x:c r="F243" s="2" t="n">
        <x:f>COUNTA(E2_plantas!A12,E2_plantas!A13,E2_plantas!A24,E2_plantas!A25,E2_plantas!A36,E2_plantas!A37,E2_plantas!A48,E2_plantas!A49,E2_plantas!A60,E2_plantas!A61)</x:f>
        <x:v>10</x:v>
      </x:c>
      <x:c r="G243" s="2" t="n">
        <x:f>SUM(E2_diario!K453,E2_diario!K495,E2_diario!K957,E2_diario!K999,E2_diario!K1461,E2_diario!K1503,E2_diario!K1965,E2_diario!K2007,E2_diario!K2469,E2_diario!K2511)</x:f>
        <x:v>3</x:v>
      </x:c>
      <x:c r="H243" s="2" t="n">
        <x:f>SUM(IF(E2_diario!J453="N1",1,0),IF(E2_diario!J495="N1",1,0),IF(E2_diario!J957="N1",1,0),IF(E2_diario!J999="N1",1,0),IF(E2_diario!J1461="N1",1,0),IF(E2_diario!J1503="N1",1,0),IF(E2_diario!J1965="N1",1,0),IF(E2_diario!J2007="N1",1,0),IF(E2_diario!J2469="N1",1,0),IF(E2_diario!J2511="N1",1,0))</x:f>
        <x:v>0</x:v>
      </x:c>
      <x:c r="I243" s="2" t="n">
        <x:f>SUM(IF(E2_diario!J453="N2",1,0),IF(E2_diario!J495="N2",1,0),IF(E2_diario!J957="N2",1,0),IF(E2_diario!J999="N2",1,0),IF(E2_diario!J1461="N2",1,0),IF(E2_diario!J1503="N2",1,0),IF(E2_diario!J1965="N2",1,0),IF(E2_diario!J2007="N2",1,0),IF(E2_diario!J2469="N2",1,0),IF(E2_diario!J2511="N2",1,0))</x:f>
        <x:v>0</x:v>
      </x:c>
      <x:c r="J243" s="2" t="n">
        <x:f>SUM(IF(E2_diario!J453="N3",1,0),IF(E2_diario!J495="N3",1,0),IF(E2_diario!J957="N3",1,0),IF(E2_diario!J999="N3",1,0),IF(E2_diario!J1461="N3",1,0),IF(E2_diario!J1503="N3",1,0),IF(E2_diario!J1965="N3",1,0),IF(E2_diario!J2007="N3",1,0),IF(E2_diario!J2469="N3",1,0),IF(E2_diario!J2511="N3",1,0))</x:f>
        <x:v>0</x:v>
      </x:c>
      <x:c r="K243" s="2" t="n">
        <x:f>SUM(IF(E2_diario!J453="N4",1,0),IF(E2_diario!J495="N4",1,0),IF(E2_diario!J957="N4",1,0),IF(E2_diario!J999="N4",1,0),IF(E2_diario!J1461="N4",1,0),IF(E2_diario!J1503="N4",1,0),IF(E2_diario!J1965="N4",1,0),IF(E2_diario!J2007="N4",1,0),IF(E2_diario!J2469="N4",1,0),IF(E2_diario!J2511="N4",1,0))</x:f>
        <x:v>0</x:v>
      </x:c>
      <x:c r="L243" s="2" t="n">
        <x:f>SUM(IF(E2_diario!J453="adulta",1,0),IF(E2_diario!J495="adulta",1,0),IF(E2_diario!J957="adulta",1,0),IF(E2_diario!J999="adulta",1,0),IF(E2_diario!J1461="adulta",1,0),IF(E2_diario!J1503="adulta",1,0),IF(E2_diario!J1965="adulta",1,0),IF(E2_diario!J2007="adulta",1,0),IF(E2_diario!J2469="adulta",1,0),IF(E2_diario!J2511="adulta",1,0))</x:f>
        <x:v>3</x:v>
      </x:c>
      <x:c r="M243" s="2" t="n">
        <x:f>SUM(E2_diario!L453,E2_diario!L495,E2_diario!L957,E2_diario!L999,E2_diario!L1461,E2_diario!L1503,E2_diario!L1965,E2_diario!L2007,E2_diario!L2469,E2_diario!L2511)</x:f>
        <x:v>3</x:v>
      </x:c>
      <x:c r="N243" s="20" t="n">
        <x:f>G243/F243</x:f>
        <x:v>0.3</x:v>
      </x:c>
      <x:c r="O243" s="20" t="n">
        <x:f>IF(G243=0,0,M243/G243)</x:f>
        <x:v>1</x:v>
      </x:c>
      <x:c r="P243" s="20" t="n">
        <x:f>N243*O243</x:f>
        <x:v>0.3</x:v>
      </x:c>
      <x:c r="Q243" s="20" t="n">
        <x:f>H243/F243</x:f>
        <x:v>0</x:v>
      </x:c>
      <x:c r="R243" s="20" t="n">
        <x:f>I243/F243</x:f>
        <x:v>0</x:v>
      </x:c>
      <x:c r="S243" s="20" t="n">
        <x:f>J243/F243</x:f>
        <x:v>0</x:v>
      </x:c>
      <x:c r="T243" s="20" t="n">
        <x:f>K243/F243</x:f>
        <x:v>0</x:v>
      </x:c>
      <x:c r="U243" s="20" t="n">
        <x:f>L243/F243</x:f>
        <x:v>0.3</x:v>
      </x:c>
      <x:c r="V243" s="20" t="n">
        <x:f>IF(L243=0,0,M243/L243)</x:f>
        <x:v>1</x:v>
      </x:c>
      <x:c r="W243" s="20" t="n">
        <x:f>SUM(P$212:P243)</x:f>
        <x:v>35.69999999999999</x:v>
      </x:c>
      <x:c r="X243" s="2" t="n">
        <x:f>E243+Supuestos!$C$15</x:f>
        <x:v>32</x:v>
      </x:c>
      <x:c r="Y243" s="2" t="n">
        <x:f>F243-G243</x:f>
        <x:v>7</x:v>
      </x:c>
      <x:c r="Z243" s="2" t="str">
        <x:v>simulado_didactico</x:v>
      </x:c>
    </x:row>
    <x:row r="244" ht="19" customHeight="1">
      <x:c r="A244" s="2" t="str">
        <x:v>BB_L7</x:v>
      </x:c>
      <x:c r="B244" s="2" t="str">
        <x:v>BB</x:v>
      </x:c>
      <x:c r="C244" s="2" t="str">
        <x:v>Brevicoryne brassicae</x:v>
      </x:c>
      <x:c r="D244" s="2" t="str">
        <x:v>L7</x:v>
      </x:c>
      <x:c r="E244" s="2" t="n">
        <x:v>32</x:v>
      </x:c>
      <x:c r="F244" s="2" t="n">
        <x:f>COUNTA(E2_plantas!A12,E2_plantas!A13,E2_plantas!A24,E2_plantas!A25,E2_plantas!A36,E2_plantas!A37,E2_plantas!A48,E2_plantas!A49,E2_plantas!A60,E2_plantas!A61)</x:f>
        <x:v>10</x:v>
      </x:c>
      <x:c r="G244" s="2" t="n">
        <x:f>SUM(E2_diario!K454,E2_diario!K496,E2_diario!K958,E2_diario!K1000,E2_diario!K1462,E2_diario!K1504,E2_diario!K1966,E2_diario!K2008,E2_diario!K2470,E2_diario!K2512)</x:f>
        <x:v>3</x:v>
      </x:c>
      <x:c r="H244" s="2" t="n">
        <x:f>SUM(IF(E2_diario!J454="N1",1,0),IF(E2_diario!J496="N1",1,0),IF(E2_diario!J958="N1",1,0),IF(E2_diario!J1000="N1",1,0),IF(E2_diario!J1462="N1",1,0),IF(E2_diario!J1504="N1",1,0),IF(E2_diario!J1966="N1",1,0),IF(E2_diario!J2008="N1",1,0),IF(E2_diario!J2470="N1",1,0),IF(E2_diario!J2512="N1",1,0))</x:f>
        <x:v>0</x:v>
      </x:c>
      <x:c r="I244" s="2" t="n">
        <x:f>SUM(IF(E2_diario!J454="N2",1,0),IF(E2_diario!J496="N2",1,0),IF(E2_diario!J958="N2",1,0),IF(E2_diario!J1000="N2",1,0),IF(E2_diario!J1462="N2",1,0),IF(E2_diario!J1504="N2",1,0),IF(E2_diario!J1966="N2",1,0),IF(E2_diario!J2008="N2",1,0),IF(E2_diario!J2470="N2",1,0),IF(E2_diario!J2512="N2",1,0))</x:f>
        <x:v>0</x:v>
      </x:c>
      <x:c r="J244" s="2" t="n">
        <x:f>SUM(IF(E2_diario!J454="N3",1,0),IF(E2_diario!J496="N3",1,0),IF(E2_diario!J958="N3",1,0),IF(E2_diario!J1000="N3",1,0),IF(E2_diario!J1462="N3",1,0),IF(E2_diario!J1504="N3",1,0),IF(E2_diario!J1966="N3",1,0),IF(E2_diario!J2008="N3",1,0),IF(E2_diario!J2470="N3",1,0),IF(E2_diario!J2512="N3",1,0))</x:f>
        <x:v>0</x:v>
      </x:c>
      <x:c r="K244" s="2" t="n">
        <x:f>SUM(IF(E2_diario!J454="N4",1,0),IF(E2_diario!J496="N4",1,0),IF(E2_diario!J958="N4",1,0),IF(E2_diario!J1000="N4",1,0),IF(E2_diario!J1462="N4",1,0),IF(E2_diario!J1504="N4",1,0),IF(E2_diario!J1966="N4",1,0),IF(E2_diario!J2008="N4",1,0),IF(E2_diario!J2470="N4",1,0),IF(E2_diario!J2512="N4",1,0))</x:f>
        <x:v>0</x:v>
      </x:c>
      <x:c r="L244" s="2" t="n">
        <x:f>SUM(IF(E2_diario!J454="adulta",1,0),IF(E2_diario!J496="adulta",1,0),IF(E2_diario!J958="adulta",1,0),IF(E2_diario!J1000="adulta",1,0),IF(E2_diario!J1462="adulta",1,0),IF(E2_diario!J1504="adulta",1,0),IF(E2_diario!J1966="adulta",1,0),IF(E2_diario!J2008="adulta",1,0),IF(E2_diario!J2470="adulta",1,0),IF(E2_diario!J2512="adulta",1,0))</x:f>
        <x:v>3</x:v>
      </x:c>
      <x:c r="M244" s="2" t="n">
        <x:f>SUM(E2_diario!L454,E2_diario!L496,E2_diario!L958,E2_diario!L1000,E2_diario!L1462,E2_diario!L1504,E2_diario!L1966,E2_diario!L2008,E2_diario!L2470,E2_diario!L2512)</x:f>
        <x:v>1</x:v>
      </x:c>
      <x:c r="N244" s="20" t="n">
        <x:f>G244/F244</x:f>
        <x:v>0.3</x:v>
      </x:c>
      <x:c r="O244" s="20" t="n">
        <x:f>IF(G244=0,0,M244/G244)</x:f>
        <x:v>0.3333333333333333</x:v>
      </x:c>
      <x:c r="P244" s="20" t="n">
        <x:f>N244*O244</x:f>
        <x:v>0.09999999999999999</x:v>
      </x:c>
      <x:c r="Q244" s="20" t="n">
        <x:f>H244/F244</x:f>
        <x:v>0</x:v>
      </x:c>
      <x:c r="R244" s="20" t="n">
        <x:f>I244/F244</x:f>
        <x:v>0</x:v>
      </x:c>
      <x:c r="S244" s="20" t="n">
        <x:f>J244/F244</x:f>
        <x:v>0</x:v>
      </x:c>
      <x:c r="T244" s="20" t="n">
        <x:f>K244/F244</x:f>
        <x:v>0</x:v>
      </x:c>
      <x:c r="U244" s="20" t="n">
        <x:f>L244/F244</x:f>
        <x:v>0.3</x:v>
      </x:c>
      <x:c r="V244" s="20" t="n">
        <x:f>IF(L244=0,0,M244/L244)</x:f>
        <x:v>0.3333333333333333</x:v>
      </x:c>
      <x:c r="W244" s="20" t="n">
        <x:f>SUM(P$212:P244)</x:f>
        <x:v>35.79999999999999</x:v>
      </x:c>
      <x:c r="X244" s="2" t="n">
        <x:f>E244+Supuestos!$C$15</x:f>
        <x:v>33</x:v>
      </x:c>
      <x:c r="Y244" s="2" t="n">
        <x:f>F244-G244</x:f>
        <x:v>7</x:v>
      </x:c>
      <x:c r="Z244" s="2" t="str">
        <x:v>simulado_didactico</x:v>
      </x:c>
    </x:row>
    <x:row r="245" ht="19" customHeight="1">
      <x:c r="A245" s="2" t="str">
        <x:v>BB_L7</x:v>
      </x:c>
      <x:c r="B245" s="2" t="str">
        <x:v>BB</x:v>
      </x:c>
      <x:c r="C245" s="2" t="str">
        <x:v>Brevicoryne brassicae</x:v>
      </x:c>
      <x:c r="D245" s="2" t="str">
        <x:v>L7</x:v>
      </x:c>
      <x:c r="E245" s="2" t="n">
        <x:v>33</x:v>
      </x:c>
      <x:c r="F245" s="2" t="n">
        <x:f>COUNTA(E2_plantas!A12,E2_plantas!A13,E2_plantas!A24,E2_plantas!A25,E2_plantas!A36,E2_plantas!A37,E2_plantas!A48,E2_plantas!A49,E2_plantas!A60,E2_plantas!A61)</x:f>
        <x:v>10</x:v>
      </x:c>
      <x:c r="G245" s="2" t="n">
        <x:f>SUM(E2_diario!K455,E2_diario!K497,E2_diario!K959,E2_diario!K1001,E2_diario!K1463,E2_diario!K1505,E2_diario!K1967,E2_diario!K2009,E2_diario!K2471,E2_diario!K2513)</x:f>
        <x:v>2</x:v>
      </x:c>
      <x:c r="H245" s="2" t="n">
        <x:f>SUM(IF(E2_diario!J455="N1",1,0),IF(E2_diario!J497="N1",1,0),IF(E2_diario!J959="N1",1,0),IF(E2_diario!J1001="N1",1,0),IF(E2_diario!J1463="N1",1,0),IF(E2_diario!J1505="N1",1,0),IF(E2_diario!J1967="N1",1,0),IF(E2_diario!J2009="N1",1,0),IF(E2_diario!J2471="N1",1,0),IF(E2_diario!J2513="N1",1,0))</x:f>
        <x:v>0</x:v>
      </x:c>
      <x:c r="I245" s="2" t="n">
        <x:f>SUM(IF(E2_diario!J455="N2",1,0),IF(E2_diario!J497="N2",1,0),IF(E2_diario!J959="N2",1,0),IF(E2_diario!J1001="N2",1,0),IF(E2_diario!J1463="N2",1,0),IF(E2_diario!J1505="N2",1,0),IF(E2_diario!J1967="N2",1,0),IF(E2_diario!J2009="N2",1,0),IF(E2_diario!J2471="N2",1,0),IF(E2_diario!J2513="N2",1,0))</x:f>
        <x:v>0</x:v>
      </x:c>
      <x:c r="J245" s="2" t="n">
        <x:f>SUM(IF(E2_diario!J455="N3",1,0),IF(E2_diario!J497="N3",1,0),IF(E2_diario!J959="N3",1,0),IF(E2_diario!J1001="N3",1,0),IF(E2_diario!J1463="N3",1,0),IF(E2_diario!J1505="N3",1,0),IF(E2_diario!J1967="N3",1,0),IF(E2_diario!J2009="N3",1,0),IF(E2_diario!J2471="N3",1,0),IF(E2_diario!J2513="N3",1,0))</x:f>
        <x:v>0</x:v>
      </x:c>
      <x:c r="K245" s="2" t="n">
        <x:f>SUM(IF(E2_diario!J455="N4",1,0),IF(E2_diario!J497="N4",1,0),IF(E2_diario!J959="N4",1,0),IF(E2_diario!J1001="N4",1,0),IF(E2_diario!J1463="N4",1,0),IF(E2_diario!J1505="N4",1,0),IF(E2_diario!J1967="N4",1,0),IF(E2_diario!J2009="N4",1,0),IF(E2_diario!J2471="N4",1,0),IF(E2_diario!J2513="N4",1,0))</x:f>
        <x:v>0</x:v>
      </x:c>
      <x:c r="L245" s="2" t="n">
        <x:f>SUM(IF(E2_diario!J455="adulta",1,0),IF(E2_diario!J497="adulta",1,0),IF(E2_diario!J959="adulta",1,0),IF(E2_diario!J1001="adulta",1,0),IF(E2_diario!J1463="adulta",1,0),IF(E2_diario!J1505="adulta",1,0),IF(E2_diario!J1967="adulta",1,0),IF(E2_diario!J2009="adulta",1,0),IF(E2_diario!J2471="adulta",1,0),IF(E2_diario!J2513="adulta",1,0))</x:f>
        <x:v>2</x:v>
      </x:c>
      <x:c r="M245" s="2" t="n">
        <x:f>SUM(E2_diario!L455,E2_diario!L497,E2_diario!L959,E2_diario!L1001,E2_diario!L1463,E2_diario!L1505,E2_diario!L1967,E2_diario!L2009,E2_diario!L2471,E2_diario!L2513)</x:f>
        <x:v>0</x:v>
      </x:c>
      <x:c r="N245" s="20" t="n">
        <x:f>G245/F245</x:f>
        <x:v>0.2</x:v>
      </x:c>
      <x:c r="O245" s="20" t="n">
        <x:f>IF(G245=0,0,M245/G245)</x:f>
        <x:v>0</x:v>
      </x:c>
      <x:c r="P245" s="20" t="n">
        <x:f>N245*O245</x:f>
        <x:v>0</x:v>
      </x:c>
      <x:c r="Q245" s="20" t="n">
        <x:f>H245/F245</x:f>
        <x:v>0</x:v>
      </x:c>
      <x:c r="R245" s="20" t="n">
        <x:f>I245/F245</x:f>
        <x:v>0</x:v>
      </x:c>
      <x:c r="S245" s="20" t="n">
        <x:f>J245/F245</x:f>
        <x:v>0</x:v>
      </x:c>
      <x:c r="T245" s="20" t="n">
        <x:f>K245/F245</x:f>
        <x:v>0</x:v>
      </x:c>
      <x:c r="U245" s="20" t="n">
        <x:f>L245/F245</x:f>
        <x:v>0.2</x:v>
      </x:c>
      <x:c r="V245" s="20" t="n">
        <x:f>IF(L245=0,0,M245/L245)</x:f>
        <x:v>0</x:v>
      </x:c>
      <x:c r="W245" s="20" t="n">
        <x:f>SUM(P$212:P245)</x:f>
        <x:v>35.79999999999999</x:v>
      </x:c>
      <x:c r="X245" s="2" t="n">
        <x:f>E245+Supuestos!$C$15</x:f>
        <x:v>34</x:v>
      </x:c>
      <x:c r="Y245" s="2" t="n">
        <x:f>F245-G245</x:f>
        <x:v>8</x:v>
      </x:c>
      <x:c r="Z245" s="2" t="str">
        <x:v>simulado_didactico</x:v>
      </x:c>
    </x:row>
    <x:row r="246" ht="19" customHeight="1">
      <x:c r="A246" s="2" t="str">
        <x:v>BB_L7</x:v>
      </x:c>
      <x:c r="B246" s="2" t="str">
        <x:v>BB</x:v>
      </x:c>
      <x:c r="C246" s="2" t="str">
        <x:v>Brevicoryne brassicae</x:v>
      </x:c>
      <x:c r="D246" s="2" t="str">
        <x:v>L7</x:v>
      </x:c>
      <x:c r="E246" s="2" t="n">
        <x:v>34</x:v>
      </x:c>
      <x:c r="F246" s="2" t="n">
        <x:f>COUNTA(E2_plantas!A12,E2_plantas!A13,E2_plantas!A24,E2_plantas!A25,E2_plantas!A36,E2_plantas!A37,E2_plantas!A48,E2_plantas!A49,E2_plantas!A60,E2_plantas!A61)</x:f>
        <x:v>10</x:v>
      </x:c>
      <x:c r="G246" s="2" t="n">
        <x:f>SUM(E2_diario!K456,E2_diario!K498,E2_diario!K960,E2_diario!K1002,E2_diario!K1464,E2_diario!K1506,E2_diario!K1968,E2_diario!K2010,E2_diario!K2472,E2_diario!K2514)</x:f>
        <x:v>1</x:v>
      </x:c>
      <x:c r="H246" s="2" t="n">
        <x:f>SUM(IF(E2_diario!J456="N1",1,0),IF(E2_diario!J498="N1",1,0),IF(E2_diario!J960="N1",1,0),IF(E2_diario!J1002="N1",1,0),IF(E2_diario!J1464="N1",1,0),IF(E2_diario!J1506="N1",1,0),IF(E2_diario!J1968="N1",1,0),IF(E2_diario!J2010="N1",1,0),IF(E2_diario!J2472="N1",1,0),IF(E2_diario!J2514="N1",1,0))</x:f>
        <x:v>0</x:v>
      </x:c>
      <x:c r="I246" s="2" t="n">
        <x:f>SUM(IF(E2_diario!J456="N2",1,0),IF(E2_diario!J498="N2",1,0),IF(E2_diario!J960="N2",1,0),IF(E2_diario!J1002="N2",1,0),IF(E2_diario!J1464="N2",1,0),IF(E2_diario!J1506="N2",1,0),IF(E2_diario!J1968="N2",1,0),IF(E2_diario!J2010="N2",1,0),IF(E2_diario!J2472="N2",1,0),IF(E2_diario!J2514="N2",1,0))</x:f>
        <x:v>0</x:v>
      </x:c>
      <x:c r="J246" s="2" t="n">
        <x:f>SUM(IF(E2_diario!J456="N3",1,0),IF(E2_diario!J498="N3",1,0),IF(E2_diario!J960="N3",1,0),IF(E2_diario!J1002="N3",1,0),IF(E2_diario!J1464="N3",1,0),IF(E2_diario!J1506="N3",1,0),IF(E2_diario!J1968="N3",1,0),IF(E2_diario!J2010="N3",1,0),IF(E2_diario!J2472="N3",1,0),IF(E2_diario!J2514="N3",1,0))</x:f>
        <x:v>0</x:v>
      </x:c>
      <x:c r="K246" s="2" t="n">
        <x:f>SUM(IF(E2_diario!J456="N4",1,0),IF(E2_diario!J498="N4",1,0),IF(E2_diario!J960="N4",1,0),IF(E2_diario!J1002="N4",1,0),IF(E2_diario!J1464="N4",1,0),IF(E2_diario!J1506="N4",1,0),IF(E2_diario!J1968="N4",1,0),IF(E2_diario!J2010="N4",1,0),IF(E2_diario!J2472="N4",1,0),IF(E2_diario!J2514="N4",1,0))</x:f>
        <x:v>0</x:v>
      </x:c>
      <x:c r="L246" s="2" t="n">
        <x:f>SUM(IF(E2_diario!J456="adulta",1,0),IF(E2_diario!J498="adulta",1,0),IF(E2_diario!J960="adulta",1,0),IF(E2_diario!J1002="adulta",1,0),IF(E2_diario!J1464="adulta",1,0),IF(E2_diario!J1506="adulta",1,0),IF(E2_diario!J1968="adulta",1,0),IF(E2_diario!J2010="adulta",1,0),IF(E2_diario!J2472="adulta",1,0),IF(E2_diario!J2514="adulta",1,0))</x:f>
        <x:v>1</x:v>
      </x:c>
      <x:c r="M246" s="2" t="n">
        <x:f>SUM(E2_diario!L456,E2_diario!L498,E2_diario!L960,E2_diario!L1002,E2_diario!L1464,E2_diario!L1506,E2_diario!L1968,E2_diario!L2010,E2_diario!L2472,E2_diario!L2514)</x:f>
        <x:v>0</x:v>
      </x:c>
      <x:c r="N246" s="20" t="n">
        <x:f>G246/F246</x:f>
        <x:v>0.1</x:v>
      </x:c>
      <x:c r="O246" s="20" t="n">
        <x:f>IF(G246=0,0,M246/G246)</x:f>
        <x:v>0</x:v>
      </x:c>
      <x:c r="P246" s="20" t="n">
        <x:f>N246*O246</x:f>
        <x:v>0</x:v>
      </x:c>
      <x:c r="Q246" s="20" t="n">
        <x:f>H246/F246</x:f>
        <x:v>0</x:v>
      </x:c>
      <x:c r="R246" s="20" t="n">
        <x:f>I246/F246</x:f>
        <x:v>0</x:v>
      </x:c>
      <x:c r="S246" s="20" t="n">
        <x:f>J246/F246</x:f>
        <x:v>0</x:v>
      </x:c>
      <x:c r="T246" s="20" t="n">
        <x:f>K246/F246</x:f>
        <x:v>0</x:v>
      </x:c>
      <x:c r="U246" s="20" t="n">
        <x:f>L246/F246</x:f>
        <x:v>0.1</x:v>
      </x:c>
      <x:c r="V246" s="20" t="n">
        <x:f>IF(L246=0,0,M246/L246)</x:f>
        <x:v>0</x:v>
      </x:c>
      <x:c r="W246" s="20" t="n">
        <x:f>SUM(P$212:P246)</x:f>
        <x:v>35.79999999999999</x:v>
      </x:c>
      <x:c r="X246" s="2" t="n">
        <x:f>E246+Supuestos!$C$15</x:f>
        <x:v>35</x:v>
      </x:c>
      <x:c r="Y246" s="2" t="n">
        <x:f>F246-G246</x:f>
        <x:v>9</x:v>
      </x:c>
      <x:c r="Z246" s="2" t="str">
        <x:v>simulado_didactico</x:v>
      </x:c>
    </x:row>
    <x:row r="247" ht="19" customHeight="1">
      <x:c r="A247" s="2" t="str">
        <x:v>BB_L7</x:v>
      </x:c>
      <x:c r="B247" s="2" t="str">
        <x:v>BB</x:v>
      </x:c>
      <x:c r="C247" s="2" t="str">
        <x:v>Brevicoryne brassicae</x:v>
      </x:c>
      <x:c r="D247" s="2" t="str">
        <x:v>L7</x:v>
      </x:c>
      <x:c r="E247" s="2" t="n">
        <x:v>35</x:v>
      </x:c>
      <x:c r="F247" s="2" t="n">
        <x:f>COUNTA(E2_plantas!A12,E2_plantas!A13,E2_plantas!A24,E2_plantas!A25,E2_plantas!A36,E2_plantas!A37,E2_plantas!A48,E2_plantas!A49,E2_plantas!A60,E2_plantas!A61)</x:f>
        <x:v>10</x:v>
      </x:c>
      <x:c r="G247" s="2" t="n">
        <x:f>SUM(E2_diario!K457,E2_diario!K499,E2_diario!K961,E2_diario!K1003,E2_diario!K1465,E2_diario!K1507,E2_diario!K1969,E2_diario!K2011,E2_diario!K2473,E2_diario!K2515)</x:f>
        <x:v>0</x:v>
      </x:c>
      <x:c r="H247" s="2" t="n">
        <x:f>SUM(IF(E2_diario!J457="N1",1,0),IF(E2_diario!J499="N1",1,0),IF(E2_diario!J961="N1",1,0),IF(E2_diario!J1003="N1",1,0),IF(E2_diario!J1465="N1",1,0),IF(E2_diario!J1507="N1",1,0),IF(E2_diario!J1969="N1",1,0),IF(E2_diario!J2011="N1",1,0),IF(E2_diario!J2473="N1",1,0),IF(E2_diario!J2515="N1",1,0))</x:f>
        <x:v>0</x:v>
      </x:c>
      <x:c r="I247" s="2" t="n">
        <x:f>SUM(IF(E2_diario!J457="N2",1,0),IF(E2_diario!J499="N2",1,0),IF(E2_diario!J961="N2",1,0),IF(E2_diario!J1003="N2",1,0),IF(E2_diario!J1465="N2",1,0),IF(E2_diario!J1507="N2",1,0),IF(E2_diario!J1969="N2",1,0),IF(E2_diario!J2011="N2",1,0),IF(E2_diario!J2473="N2",1,0),IF(E2_diario!J2515="N2",1,0))</x:f>
        <x:v>0</x:v>
      </x:c>
      <x:c r="J247" s="2" t="n">
        <x:f>SUM(IF(E2_diario!J457="N3",1,0),IF(E2_diario!J499="N3",1,0),IF(E2_diario!J961="N3",1,0),IF(E2_diario!J1003="N3",1,0),IF(E2_diario!J1465="N3",1,0),IF(E2_diario!J1507="N3",1,0),IF(E2_diario!J1969="N3",1,0),IF(E2_diario!J2011="N3",1,0),IF(E2_diario!J2473="N3",1,0),IF(E2_diario!J2515="N3",1,0))</x:f>
        <x:v>0</x:v>
      </x:c>
      <x:c r="K247" s="2" t="n">
        <x:f>SUM(IF(E2_diario!J457="N4",1,0),IF(E2_diario!J499="N4",1,0),IF(E2_diario!J961="N4",1,0),IF(E2_diario!J1003="N4",1,0),IF(E2_diario!J1465="N4",1,0),IF(E2_diario!J1507="N4",1,0),IF(E2_diario!J1969="N4",1,0),IF(E2_diario!J2011="N4",1,0),IF(E2_diario!J2473="N4",1,0),IF(E2_diario!J2515="N4",1,0))</x:f>
        <x:v>0</x:v>
      </x:c>
      <x:c r="L247" s="2" t="n">
        <x:f>SUM(IF(E2_diario!J457="adulta",1,0),IF(E2_diario!J499="adulta",1,0),IF(E2_diario!J961="adulta",1,0),IF(E2_diario!J1003="adulta",1,0),IF(E2_diario!J1465="adulta",1,0),IF(E2_diario!J1507="adulta",1,0),IF(E2_diario!J1969="adulta",1,0),IF(E2_diario!J2011="adulta",1,0),IF(E2_diario!J2473="adulta",1,0),IF(E2_diario!J2515="adulta",1,0))</x:f>
        <x:v>0</x:v>
      </x:c>
      <x:c r="M247" s="2" t="n">
        <x:f>SUM(E2_diario!L457,E2_diario!L499,E2_diario!L961,E2_diario!L1003,E2_diario!L1465,E2_diario!L1507,E2_diario!L1969,E2_diario!L2011,E2_diario!L2473,E2_diario!L2515)</x:f>
        <x:v>0</x:v>
      </x:c>
      <x:c r="N247" s="20" t="n">
        <x:f>G247/F247</x:f>
        <x:v>0</x:v>
      </x:c>
      <x:c r="O247" s="20" t="n">
        <x:f>IF(G247=0,0,M247/G247)</x:f>
        <x:v>0</x:v>
      </x:c>
      <x:c r="P247" s="20" t="n">
        <x:f>N247*O247</x:f>
        <x:v>0</x:v>
      </x:c>
      <x:c r="Q247" s="20" t="n">
        <x:f>H247/F247</x:f>
        <x:v>0</x:v>
      </x:c>
      <x:c r="R247" s="20" t="n">
        <x:f>I247/F247</x:f>
        <x:v>0</x:v>
      </x:c>
      <x:c r="S247" s="20" t="n">
        <x:f>J247/F247</x:f>
        <x:v>0</x:v>
      </x:c>
      <x:c r="T247" s="20" t="n">
        <x:f>K247/F247</x:f>
        <x:v>0</x:v>
      </x:c>
      <x:c r="U247" s="20" t="n">
        <x:f>L247/F247</x:f>
        <x:v>0</x:v>
      </x:c>
      <x:c r="V247" s="20" t="n">
        <x:f>IF(L247=0,0,M247/L247)</x:f>
        <x:v>0</x:v>
      </x:c>
      <x:c r="W247" s="20" t="n">
        <x:f>SUM(P$212:P247)</x:f>
        <x:v>35.79999999999999</x:v>
      </x:c>
      <x:c r="X247" s="2" t="n">
        <x:f>E247+Supuestos!$C$15</x:f>
        <x:v>36</x:v>
      </x:c>
      <x:c r="Y247" s="2" t="n">
        <x:f>F247-G247</x:f>
        <x:v>10</x:v>
      </x:c>
      <x:c r="Z247" s="2" t="str">
        <x:v>simulado_didactico</x:v>
      </x:c>
    </x:row>
    <x:row r="248" ht="19" customHeight="1">
      <x:c r="A248" s="2" t="str">
        <x:v>BB_L7</x:v>
      </x:c>
      <x:c r="B248" s="2" t="str">
        <x:v>BB</x:v>
      </x:c>
      <x:c r="C248" s="2" t="str">
        <x:v>Brevicoryne brassicae</x:v>
      </x:c>
      <x:c r="D248" s="2" t="str">
        <x:v>L7</x:v>
      </x:c>
      <x:c r="E248" s="2" t="n">
        <x:v>36</x:v>
      </x:c>
      <x:c r="F248" s="2" t="n">
        <x:f>COUNTA(E2_plantas!A12,E2_plantas!A13,E2_plantas!A24,E2_plantas!A25,E2_plantas!A36,E2_plantas!A37,E2_plantas!A48,E2_plantas!A49,E2_plantas!A60,E2_plantas!A61)</x:f>
        <x:v>10</x:v>
      </x:c>
      <x:c r="G248" s="2" t="n">
        <x:f>SUM(E2_diario!K458,E2_diario!K500,E2_diario!K962,E2_diario!K1004,E2_diario!K1466,E2_diario!K1508,E2_diario!K1970,E2_diario!K2012,E2_diario!K2474,E2_diario!K2516)</x:f>
        <x:v>0</x:v>
      </x:c>
      <x:c r="H248" s="2" t="n">
        <x:f>SUM(IF(E2_diario!J458="N1",1,0),IF(E2_diario!J500="N1",1,0),IF(E2_diario!J962="N1",1,0),IF(E2_diario!J1004="N1",1,0),IF(E2_diario!J1466="N1",1,0),IF(E2_diario!J1508="N1",1,0),IF(E2_diario!J1970="N1",1,0),IF(E2_diario!J2012="N1",1,0),IF(E2_diario!J2474="N1",1,0),IF(E2_diario!J2516="N1",1,0))</x:f>
        <x:v>0</x:v>
      </x:c>
      <x:c r="I248" s="2" t="n">
        <x:f>SUM(IF(E2_diario!J458="N2",1,0),IF(E2_diario!J500="N2",1,0),IF(E2_diario!J962="N2",1,0),IF(E2_diario!J1004="N2",1,0),IF(E2_diario!J1466="N2",1,0),IF(E2_diario!J1508="N2",1,0),IF(E2_diario!J1970="N2",1,0),IF(E2_diario!J2012="N2",1,0),IF(E2_diario!J2474="N2",1,0),IF(E2_diario!J2516="N2",1,0))</x:f>
        <x:v>0</x:v>
      </x:c>
      <x:c r="J248" s="2" t="n">
        <x:f>SUM(IF(E2_diario!J458="N3",1,0),IF(E2_diario!J500="N3",1,0),IF(E2_diario!J962="N3",1,0),IF(E2_diario!J1004="N3",1,0),IF(E2_diario!J1466="N3",1,0),IF(E2_diario!J1508="N3",1,0),IF(E2_diario!J1970="N3",1,0),IF(E2_diario!J2012="N3",1,0),IF(E2_diario!J2474="N3",1,0),IF(E2_diario!J2516="N3",1,0))</x:f>
        <x:v>0</x:v>
      </x:c>
      <x:c r="K248" s="2" t="n">
        <x:f>SUM(IF(E2_diario!J458="N4",1,0),IF(E2_diario!J500="N4",1,0),IF(E2_diario!J962="N4",1,0),IF(E2_diario!J1004="N4",1,0),IF(E2_diario!J1466="N4",1,0),IF(E2_diario!J1508="N4",1,0),IF(E2_diario!J1970="N4",1,0),IF(E2_diario!J2012="N4",1,0),IF(E2_diario!J2474="N4",1,0),IF(E2_diario!J2516="N4",1,0))</x:f>
        <x:v>0</x:v>
      </x:c>
      <x:c r="L248" s="2" t="n">
        <x:f>SUM(IF(E2_diario!J458="adulta",1,0),IF(E2_diario!J500="adulta",1,0),IF(E2_diario!J962="adulta",1,0),IF(E2_diario!J1004="adulta",1,0),IF(E2_diario!J1466="adulta",1,0),IF(E2_diario!J1508="adulta",1,0),IF(E2_diario!J1970="adulta",1,0),IF(E2_diario!J2012="adulta",1,0),IF(E2_diario!J2474="adulta",1,0),IF(E2_diario!J2516="adulta",1,0))</x:f>
        <x:v>0</x:v>
      </x:c>
      <x:c r="M248" s="2" t="n">
        <x:f>SUM(E2_diario!L458,E2_diario!L500,E2_diario!L962,E2_diario!L1004,E2_diario!L1466,E2_diario!L1508,E2_diario!L1970,E2_diario!L2012,E2_diario!L2474,E2_diario!L2516)</x:f>
        <x:v>0</x:v>
      </x:c>
      <x:c r="N248" s="20" t="n">
        <x:f>G248/F248</x:f>
        <x:v>0</x:v>
      </x:c>
      <x:c r="O248" s="20" t="n">
        <x:f>IF(G248=0,0,M248/G248)</x:f>
        <x:v>0</x:v>
      </x:c>
      <x:c r="P248" s="20" t="n">
        <x:f>N248*O248</x:f>
        <x:v>0</x:v>
      </x:c>
      <x:c r="Q248" s="20" t="n">
        <x:f>H248/F248</x:f>
        <x:v>0</x:v>
      </x:c>
      <x:c r="R248" s="20" t="n">
        <x:f>I248/F248</x:f>
        <x:v>0</x:v>
      </x:c>
      <x:c r="S248" s="20" t="n">
        <x:f>J248/F248</x:f>
        <x:v>0</x:v>
      </x:c>
      <x:c r="T248" s="20" t="n">
        <x:f>K248/F248</x:f>
        <x:v>0</x:v>
      </x:c>
      <x:c r="U248" s="20" t="n">
        <x:f>L248/F248</x:f>
        <x:v>0</x:v>
      </x:c>
      <x:c r="V248" s="20" t="n">
        <x:f>IF(L248=0,0,M248/L248)</x:f>
        <x:v>0</x:v>
      </x:c>
      <x:c r="W248" s="20" t="n">
        <x:f>SUM(P$212:P248)</x:f>
        <x:v>35.79999999999999</x:v>
      </x:c>
      <x:c r="X248" s="2" t="n">
        <x:f>E248+Supuestos!$C$15</x:f>
        <x:v>37</x:v>
      </x:c>
      <x:c r="Y248" s="2" t="n">
        <x:f>F248-G248</x:f>
        <x:v>10</x:v>
      </x:c>
      <x:c r="Z248" s="2" t="str">
        <x:v>simulado_didactico</x:v>
      </x:c>
    </x:row>
    <x:row r="249" ht="19" customHeight="1">
      <x:c r="A249" s="2" t="str">
        <x:v>BB_L7</x:v>
      </x:c>
      <x:c r="B249" s="2" t="str">
        <x:v>BB</x:v>
      </x:c>
      <x:c r="C249" s="2" t="str">
        <x:v>Brevicoryne brassicae</x:v>
      </x:c>
      <x:c r="D249" s="2" t="str">
        <x:v>L7</x:v>
      </x:c>
      <x:c r="E249" s="2" t="n">
        <x:v>37</x:v>
      </x:c>
      <x:c r="F249" s="2" t="n">
        <x:f>COUNTA(E2_plantas!A12,E2_plantas!A13,E2_plantas!A24,E2_plantas!A25,E2_plantas!A36,E2_plantas!A37,E2_plantas!A48,E2_plantas!A49,E2_plantas!A60,E2_plantas!A61)</x:f>
        <x:v>10</x:v>
      </x:c>
      <x:c r="G249" s="2" t="n">
        <x:f>SUM(E2_diario!K459,E2_diario!K501,E2_diario!K963,E2_diario!K1005,E2_diario!K1467,E2_diario!K1509,E2_diario!K1971,E2_diario!K2013,E2_diario!K2475,E2_diario!K2517)</x:f>
        <x:v>0</x:v>
      </x:c>
      <x:c r="H249" s="2" t="n">
        <x:f>SUM(IF(E2_diario!J459="N1",1,0),IF(E2_diario!J501="N1",1,0),IF(E2_diario!J963="N1",1,0),IF(E2_diario!J1005="N1",1,0),IF(E2_diario!J1467="N1",1,0),IF(E2_diario!J1509="N1",1,0),IF(E2_diario!J1971="N1",1,0),IF(E2_diario!J2013="N1",1,0),IF(E2_diario!J2475="N1",1,0),IF(E2_diario!J2517="N1",1,0))</x:f>
        <x:v>0</x:v>
      </x:c>
      <x:c r="I249" s="2" t="n">
        <x:f>SUM(IF(E2_diario!J459="N2",1,0),IF(E2_diario!J501="N2",1,0),IF(E2_diario!J963="N2",1,0),IF(E2_diario!J1005="N2",1,0),IF(E2_diario!J1467="N2",1,0),IF(E2_diario!J1509="N2",1,0),IF(E2_diario!J1971="N2",1,0),IF(E2_diario!J2013="N2",1,0),IF(E2_diario!J2475="N2",1,0),IF(E2_diario!J2517="N2",1,0))</x:f>
        <x:v>0</x:v>
      </x:c>
      <x:c r="J249" s="2" t="n">
        <x:f>SUM(IF(E2_diario!J459="N3",1,0),IF(E2_diario!J501="N3",1,0),IF(E2_diario!J963="N3",1,0),IF(E2_diario!J1005="N3",1,0),IF(E2_diario!J1467="N3",1,0),IF(E2_diario!J1509="N3",1,0),IF(E2_diario!J1971="N3",1,0),IF(E2_diario!J2013="N3",1,0),IF(E2_diario!J2475="N3",1,0),IF(E2_diario!J2517="N3",1,0))</x:f>
        <x:v>0</x:v>
      </x:c>
      <x:c r="K249" s="2" t="n">
        <x:f>SUM(IF(E2_diario!J459="N4",1,0),IF(E2_diario!J501="N4",1,0),IF(E2_diario!J963="N4",1,0),IF(E2_diario!J1005="N4",1,0),IF(E2_diario!J1467="N4",1,0),IF(E2_diario!J1509="N4",1,0),IF(E2_diario!J1971="N4",1,0),IF(E2_diario!J2013="N4",1,0),IF(E2_diario!J2475="N4",1,0),IF(E2_diario!J2517="N4",1,0))</x:f>
        <x:v>0</x:v>
      </x:c>
      <x:c r="L249" s="2" t="n">
        <x:f>SUM(IF(E2_diario!J459="adulta",1,0),IF(E2_diario!J501="adulta",1,0),IF(E2_diario!J963="adulta",1,0),IF(E2_diario!J1005="adulta",1,0),IF(E2_diario!J1467="adulta",1,0),IF(E2_diario!J1509="adulta",1,0),IF(E2_diario!J1971="adulta",1,0),IF(E2_diario!J2013="adulta",1,0),IF(E2_diario!J2475="adulta",1,0),IF(E2_diario!J2517="adulta",1,0))</x:f>
        <x:v>0</x:v>
      </x:c>
      <x:c r="M249" s="2" t="n">
        <x:f>SUM(E2_diario!L459,E2_diario!L501,E2_diario!L963,E2_diario!L1005,E2_diario!L1467,E2_diario!L1509,E2_diario!L1971,E2_diario!L2013,E2_diario!L2475,E2_diario!L2517)</x:f>
        <x:v>0</x:v>
      </x:c>
      <x:c r="N249" s="20" t="n">
        <x:f>G249/F249</x:f>
        <x:v>0</x:v>
      </x:c>
      <x:c r="O249" s="20" t="n">
        <x:f>IF(G249=0,0,M249/G249)</x:f>
        <x:v>0</x:v>
      </x:c>
      <x:c r="P249" s="20" t="n">
        <x:f>N249*O249</x:f>
        <x:v>0</x:v>
      </x:c>
      <x:c r="Q249" s="20" t="n">
        <x:f>H249/F249</x:f>
        <x:v>0</x:v>
      </x:c>
      <x:c r="R249" s="20" t="n">
        <x:f>I249/F249</x:f>
        <x:v>0</x:v>
      </x:c>
      <x:c r="S249" s="20" t="n">
        <x:f>J249/F249</x:f>
        <x:v>0</x:v>
      </x:c>
      <x:c r="T249" s="20" t="n">
        <x:f>K249/F249</x:f>
        <x:v>0</x:v>
      </x:c>
      <x:c r="U249" s="20" t="n">
        <x:f>L249/F249</x:f>
        <x:v>0</x:v>
      </x:c>
      <x:c r="V249" s="20" t="n">
        <x:f>IF(L249=0,0,M249/L249)</x:f>
        <x:v>0</x:v>
      </x:c>
      <x:c r="W249" s="20" t="n">
        <x:f>SUM(P$212:P249)</x:f>
        <x:v>35.79999999999999</x:v>
      </x:c>
      <x:c r="X249" s="2" t="n">
        <x:f>E249+Supuestos!$C$15</x:f>
        <x:v>38</x:v>
      </x:c>
      <x:c r="Y249" s="2" t="n">
        <x:f>F249-G249</x:f>
        <x:v>10</x:v>
      </x:c>
      <x:c r="Z249" s="2" t="str">
        <x:v>simulado_didactico</x:v>
      </x:c>
    </x:row>
    <x:row r="250" ht="19" customHeight="1">
      <x:c r="A250" s="2" t="str">
        <x:v>BB_L7</x:v>
      </x:c>
      <x:c r="B250" s="2" t="str">
        <x:v>BB</x:v>
      </x:c>
      <x:c r="C250" s="2" t="str">
        <x:v>Brevicoryne brassicae</x:v>
      </x:c>
      <x:c r="D250" s="2" t="str">
        <x:v>L7</x:v>
      </x:c>
      <x:c r="E250" s="2" t="n">
        <x:v>38</x:v>
      </x:c>
      <x:c r="F250" s="2" t="n">
        <x:f>COUNTA(E2_plantas!A12,E2_plantas!A13,E2_plantas!A24,E2_plantas!A25,E2_plantas!A36,E2_plantas!A37,E2_plantas!A48,E2_plantas!A49,E2_plantas!A60,E2_plantas!A61)</x:f>
        <x:v>10</x:v>
      </x:c>
      <x:c r="G250" s="2" t="n">
        <x:f>SUM(E2_diario!K460,E2_diario!K502,E2_diario!K964,E2_diario!K1006,E2_diario!K1468,E2_diario!K1510,E2_diario!K1972,E2_diario!K2014,E2_diario!K2476,E2_diario!K2518)</x:f>
        <x:v>0</x:v>
      </x:c>
      <x:c r="H250" s="2" t="n">
        <x:f>SUM(IF(E2_diario!J460="N1",1,0),IF(E2_diario!J502="N1",1,0),IF(E2_diario!J964="N1",1,0),IF(E2_diario!J1006="N1",1,0),IF(E2_diario!J1468="N1",1,0),IF(E2_diario!J1510="N1",1,0),IF(E2_diario!J1972="N1",1,0),IF(E2_diario!J2014="N1",1,0),IF(E2_diario!J2476="N1",1,0),IF(E2_diario!J2518="N1",1,0))</x:f>
        <x:v>0</x:v>
      </x:c>
      <x:c r="I250" s="2" t="n">
        <x:f>SUM(IF(E2_diario!J460="N2",1,0),IF(E2_diario!J502="N2",1,0),IF(E2_diario!J964="N2",1,0),IF(E2_diario!J1006="N2",1,0),IF(E2_diario!J1468="N2",1,0),IF(E2_diario!J1510="N2",1,0),IF(E2_diario!J1972="N2",1,0),IF(E2_diario!J2014="N2",1,0),IF(E2_diario!J2476="N2",1,0),IF(E2_diario!J2518="N2",1,0))</x:f>
        <x:v>0</x:v>
      </x:c>
      <x:c r="J250" s="2" t="n">
        <x:f>SUM(IF(E2_diario!J460="N3",1,0),IF(E2_diario!J502="N3",1,0),IF(E2_diario!J964="N3",1,0),IF(E2_diario!J1006="N3",1,0),IF(E2_diario!J1468="N3",1,0),IF(E2_diario!J1510="N3",1,0),IF(E2_diario!J1972="N3",1,0),IF(E2_diario!J2014="N3",1,0),IF(E2_diario!J2476="N3",1,0),IF(E2_diario!J2518="N3",1,0))</x:f>
        <x:v>0</x:v>
      </x:c>
      <x:c r="K250" s="2" t="n">
        <x:f>SUM(IF(E2_diario!J460="N4",1,0),IF(E2_diario!J502="N4",1,0),IF(E2_diario!J964="N4",1,0),IF(E2_diario!J1006="N4",1,0),IF(E2_diario!J1468="N4",1,0),IF(E2_diario!J1510="N4",1,0),IF(E2_diario!J1972="N4",1,0),IF(E2_diario!J2014="N4",1,0),IF(E2_diario!J2476="N4",1,0),IF(E2_diario!J2518="N4",1,0))</x:f>
        <x:v>0</x:v>
      </x:c>
      <x:c r="L250" s="2" t="n">
        <x:f>SUM(IF(E2_diario!J460="adulta",1,0),IF(E2_diario!J502="adulta",1,0),IF(E2_diario!J964="adulta",1,0),IF(E2_diario!J1006="adulta",1,0),IF(E2_diario!J1468="adulta",1,0),IF(E2_diario!J1510="adulta",1,0),IF(E2_diario!J1972="adulta",1,0),IF(E2_diario!J2014="adulta",1,0),IF(E2_diario!J2476="adulta",1,0),IF(E2_diario!J2518="adulta",1,0))</x:f>
        <x:v>0</x:v>
      </x:c>
      <x:c r="M250" s="2" t="n">
        <x:f>SUM(E2_diario!L460,E2_diario!L502,E2_diario!L964,E2_diario!L1006,E2_diario!L1468,E2_diario!L1510,E2_diario!L1972,E2_diario!L2014,E2_diario!L2476,E2_diario!L2518)</x:f>
        <x:v>0</x:v>
      </x:c>
      <x:c r="N250" s="20" t="n">
        <x:f>G250/F250</x:f>
        <x:v>0</x:v>
      </x:c>
      <x:c r="O250" s="20" t="n">
        <x:f>IF(G250=0,0,M250/G250)</x:f>
        <x:v>0</x:v>
      </x:c>
      <x:c r="P250" s="20" t="n">
        <x:f>N250*O250</x:f>
        <x:v>0</x:v>
      </x:c>
      <x:c r="Q250" s="20" t="n">
        <x:f>H250/F250</x:f>
        <x:v>0</x:v>
      </x:c>
      <x:c r="R250" s="20" t="n">
        <x:f>I250/F250</x:f>
        <x:v>0</x:v>
      </x:c>
      <x:c r="S250" s="20" t="n">
        <x:f>J250/F250</x:f>
        <x:v>0</x:v>
      </x:c>
      <x:c r="T250" s="20" t="n">
        <x:f>K250/F250</x:f>
        <x:v>0</x:v>
      </x:c>
      <x:c r="U250" s="20" t="n">
        <x:f>L250/F250</x:f>
        <x:v>0</x:v>
      </x:c>
      <x:c r="V250" s="20" t="n">
        <x:f>IF(L250=0,0,M250/L250)</x:f>
        <x:v>0</x:v>
      </x:c>
      <x:c r="W250" s="20" t="n">
        <x:f>SUM(P$212:P250)</x:f>
        <x:v>35.79999999999999</x:v>
      </x:c>
      <x:c r="X250" s="2" t="n">
        <x:f>E250+Supuestos!$C$15</x:f>
        <x:v>39</x:v>
      </x:c>
      <x:c r="Y250" s="2" t="n">
        <x:f>F250-G250</x:f>
        <x:v>10</x:v>
      </x:c>
      <x:c r="Z250" s="2" t="str">
        <x:v>simulado_didactico</x:v>
      </x:c>
    </x:row>
    <x:row r="251" ht="19" customHeight="1">
      <x:c r="A251" s="2" t="str">
        <x:v>BB_L7</x:v>
      </x:c>
      <x:c r="B251" s="2" t="str">
        <x:v>BB</x:v>
      </x:c>
      <x:c r="C251" s="2" t="str">
        <x:v>Brevicoryne brassicae</x:v>
      </x:c>
      <x:c r="D251" s="2" t="str">
        <x:v>L7</x:v>
      </x:c>
      <x:c r="E251" s="2" t="n">
        <x:v>39</x:v>
      </x:c>
      <x:c r="F251" s="2" t="n">
        <x:f>COUNTA(E2_plantas!A12,E2_plantas!A13,E2_plantas!A24,E2_plantas!A25,E2_plantas!A36,E2_plantas!A37,E2_plantas!A48,E2_plantas!A49,E2_plantas!A60,E2_plantas!A61)</x:f>
        <x:v>10</x:v>
      </x:c>
      <x:c r="G251" s="2" t="n">
        <x:f>SUM(E2_diario!K461,E2_diario!K503,E2_diario!K965,E2_diario!K1007,E2_diario!K1469,E2_diario!K1511,E2_diario!K1973,E2_diario!K2015,E2_diario!K2477,E2_diario!K2519)</x:f>
        <x:v>0</x:v>
      </x:c>
      <x:c r="H251" s="2" t="n">
        <x:f>SUM(IF(E2_diario!J461="N1",1,0),IF(E2_diario!J503="N1",1,0),IF(E2_diario!J965="N1",1,0),IF(E2_diario!J1007="N1",1,0),IF(E2_diario!J1469="N1",1,0),IF(E2_diario!J1511="N1",1,0),IF(E2_diario!J1973="N1",1,0),IF(E2_diario!J2015="N1",1,0),IF(E2_diario!J2477="N1",1,0),IF(E2_diario!J2519="N1",1,0))</x:f>
        <x:v>0</x:v>
      </x:c>
      <x:c r="I251" s="2" t="n">
        <x:f>SUM(IF(E2_diario!J461="N2",1,0),IF(E2_diario!J503="N2",1,0),IF(E2_diario!J965="N2",1,0),IF(E2_diario!J1007="N2",1,0),IF(E2_diario!J1469="N2",1,0),IF(E2_diario!J1511="N2",1,0),IF(E2_diario!J1973="N2",1,0),IF(E2_diario!J2015="N2",1,0),IF(E2_diario!J2477="N2",1,0),IF(E2_diario!J2519="N2",1,0))</x:f>
        <x:v>0</x:v>
      </x:c>
      <x:c r="J251" s="2" t="n">
        <x:f>SUM(IF(E2_diario!J461="N3",1,0),IF(E2_diario!J503="N3",1,0),IF(E2_diario!J965="N3",1,0),IF(E2_diario!J1007="N3",1,0),IF(E2_diario!J1469="N3",1,0),IF(E2_diario!J1511="N3",1,0),IF(E2_diario!J1973="N3",1,0),IF(E2_diario!J2015="N3",1,0),IF(E2_diario!J2477="N3",1,0),IF(E2_diario!J2519="N3",1,0))</x:f>
        <x:v>0</x:v>
      </x:c>
      <x:c r="K251" s="2" t="n">
        <x:f>SUM(IF(E2_diario!J461="N4",1,0),IF(E2_diario!J503="N4",1,0),IF(E2_diario!J965="N4",1,0),IF(E2_diario!J1007="N4",1,0),IF(E2_diario!J1469="N4",1,0),IF(E2_diario!J1511="N4",1,0),IF(E2_diario!J1973="N4",1,0),IF(E2_diario!J2015="N4",1,0),IF(E2_diario!J2477="N4",1,0),IF(E2_diario!J2519="N4",1,0))</x:f>
        <x:v>0</x:v>
      </x:c>
      <x:c r="L251" s="2" t="n">
        <x:f>SUM(IF(E2_diario!J461="adulta",1,0),IF(E2_diario!J503="adulta",1,0),IF(E2_diario!J965="adulta",1,0),IF(E2_diario!J1007="adulta",1,0),IF(E2_diario!J1469="adulta",1,0),IF(E2_diario!J1511="adulta",1,0),IF(E2_diario!J1973="adulta",1,0),IF(E2_diario!J2015="adulta",1,0),IF(E2_diario!J2477="adulta",1,0),IF(E2_diario!J2519="adulta",1,0))</x:f>
        <x:v>0</x:v>
      </x:c>
      <x:c r="M251" s="2" t="n">
        <x:f>SUM(E2_diario!L461,E2_diario!L503,E2_diario!L965,E2_diario!L1007,E2_diario!L1469,E2_diario!L1511,E2_diario!L1973,E2_diario!L2015,E2_diario!L2477,E2_diario!L2519)</x:f>
        <x:v>0</x:v>
      </x:c>
      <x:c r="N251" s="20" t="n">
        <x:f>G251/F251</x:f>
        <x:v>0</x:v>
      </x:c>
      <x:c r="O251" s="20" t="n">
        <x:f>IF(G251=0,0,M251/G251)</x:f>
        <x:v>0</x:v>
      </x:c>
      <x:c r="P251" s="20" t="n">
        <x:f>N251*O251</x:f>
        <x:v>0</x:v>
      </x:c>
      <x:c r="Q251" s="20" t="n">
        <x:f>H251/F251</x:f>
        <x:v>0</x:v>
      </x:c>
      <x:c r="R251" s="20" t="n">
        <x:f>I251/F251</x:f>
        <x:v>0</x:v>
      </x:c>
      <x:c r="S251" s="20" t="n">
        <x:f>J251/F251</x:f>
        <x:v>0</x:v>
      </x:c>
      <x:c r="T251" s="20" t="n">
        <x:f>K251/F251</x:f>
        <x:v>0</x:v>
      </x:c>
      <x:c r="U251" s="20" t="n">
        <x:f>L251/F251</x:f>
        <x:v>0</x:v>
      </x:c>
      <x:c r="V251" s="20" t="n">
        <x:f>IF(L251=0,0,M251/L251)</x:f>
        <x:v>0</x:v>
      </x:c>
      <x:c r="W251" s="20" t="n">
        <x:f>SUM(P$212:P251)</x:f>
        <x:v>35.79999999999999</x:v>
      </x:c>
      <x:c r="X251" s="2" t="n">
        <x:f>E251+Supuestos!$C$15</x:f>
        <x:v>40</x:v>
      </x:c>
      <x:c r="Y251" s="2" t="n">
        <x:f>F251-G251</x:f>
        <x:v>10</x:v>
      </x:c>
      <x:c r="Z251" s="2" t="str">
        <x:v>simulado_didactico</x:v>
      </x:c>
    </x:row>
    <x:row r="252" ht="19" customHeight="1">
      <x:c r="A252" s="2" t="str">
        <x:v>BB_L7</x:v>
      </x:c>
      <x:c r="B252" s="2" t="str">
        <x:v>BB</x:v>
      </x:c>
      <x:c r="C252" s="2" t="str">
        <x:v>Brevicoryne brassicae</x:v>
      </x:c>
      <x:c r="D252" s="2" t="str">
        <x:v>L7</x:v>
      </x:c>
      <x:c r="E252" s="2" t="n">
        <x:v>40</x:v>
      </x:c>
      <x:c r="F252" s="2" t="n">
        <x:f>COUNTA(E2_plantas!A12,E2_plantas!A13,E2_plantas!A24,E2_plantas!A25,E2_plantas!A36,E2_plantas!A37,E2_plantas!A48,E2_plantas!A49,E2_plantas!A60,E2_plantas!A61)</x:f>
        <x:v>10</x:v>
      </x:c>
      <x:c r="G252" s="2" t="n">
        <x:f>SUM(E2_diario!K462,E2_diario!K504,E2_diario!K966,E2_diario!K1008,E2_diario!K1470,E2_diario!K1512,E2_diario!K1974,E2_diario!K2016,E2_diario!K2478,E2_diario!K2520)</x:f>
        <x:v>0</x:v>
      </x:c>
      <x:c r="H252" s="2" t="n">
        <x:f>SUM(IF(E2_diario!J462="N1",1,0),IF(E2_diario!J504="N1",1,0),IF(E2_diario!J966="N1",1,0),IF(E2_diario!J1008="N1",1,0),IF(E2_diario!J1470="N1",1,0),IF(E2_diario!J1512="N1",1,0),IF(E2_diario!J1974="N1",1,0),IF(E2_diario!J2016="N1",1,0),IF(E2_diario!J2478="N1",1,0),IF(E2_diario!J2520="N1",1,0))</x:f>
        <x:v>0</x:v>
      </x:c>
      <x:c r="I252" s="2" t="n">
        <x:f>SUM(IF(E2_diario!J462="N2",1,0),IF(E2_diario!J504="N2",1,0),IF(E2_diario!J966="N2",1,0),IF(E2_diario!J1008="N2",1,0),IF(E2_diario!J1470="N2",1,0),IF(E2_diario!J1512="N2",1,0),IF(E2_diario!J1974="N2",1,0),IF(E2_diario!J2016="N2",1,0),IF(E2_diario!J2478="N2",1,0),IF(E2_diario!J2520="N2",1,0))</x:f>
        <x:v>0</x:v>
      </x:c>
      <x:c r="J252" s="2" t="n">
        <x:f>SUM(IF(E2_diario!J462="N3",1,0),IF(E2_diario!J504="N3",1,0),IF(E2_diario!J966="N3",1,0),IF(E2_diario!J1008="N3",1,0),IF(E2_diario!J1470="N3",1,0),IF(E2_diario!J1512="N3",1,0),IF(E2_diario!J1974="N3",1,0),IF(E2_diario!J2016="N3",1,0),IF(E2_diario!J2478="N3",1,0),IF(E2_diario!J2520="N3",1,0))</x:f>
        <x:v>0</x:v>
      </x:c>
      <x:c r="K252" s="2" t="n">
        <x:f>SUM(IF(E2_diario!J462="N4",1,0),IF(E2_diario!J504="N4",1,0),IF(E2_diario!J966="N4",1,0),IF(E2_diario!J1008="N4",1,0),IF(E2_diario!J1470="N4",1,0),IF(E2_diario!J1512="N4",1,0),IF(E2_diario!J1974="N4",1,0),IF(E2_diario!J2016="N4",1,0),IF(E2_diario!J2478="N4",1,0),IF(E2_diario!J2520="N4",1,0))</x:f>
        <x:v>0</x:v>
      </x:c>
      <x:c r="L252" s="2" t="n">
        <x:f>SUM(IF(E2_diario!J462="adulta",1,0),IF(E2_diario!J504="adulta",1,0),IF(E2_diario!J966="adulta",1,0),IF(E2_diario!J1008="adulta",1,0),IF(E2_diario!J1470="adulta",1,0),IF(E2_diario!J1512="adulta",1,0),IF(E2_diario!J1974="adulta",1,0),IF(E2_diario!J2016="adulta",1,0),IF(E2_diario!J2478="adulta",1,0),IF(E2_diario!J2520="adulta",1,0))</x:f>
        <x:v>0</x:v>
      </x:c>
      <x:c r="M252" s="2" t="n">
        <x:f>SUM(E2_diario!L462,E2_diario!L504,E2_diario!L966,E2_diario!L1008,E2_diario!L1470,E2_diario!L1512,E2_diario!L1974,E2_diario!L2016,E2_diario!L2478,E2_diario!L2520)</x:f>
        <x:v>0</x:v>
      </x:c>
      <x:c r="N252" s="20" t="n">
        <x:f>G252/F252</x:f>
        <x:v>0</x:v>
      </x:c>
      <x:c r="O252" s="20" t="n">
        <x:f>IF(G252=0,0,M252/G252)</x:f>
        <x:v>0</x:v>
      </x:c>
      <x:c r="P252" s="20" t="n">
        <x:f>N252*O252</x:f>
        <x:v>0</x:v>
      </x:c>
      <x:c r="Q252" s="20" t="n">
        <x:f>H252/F252</x:f>
        <x:v>0</x:v>
      </x:c>
      <x:c r="R252" s="20" t="n">
        <x:f>I252/F252</x:f>
        <x:v>0</x:v>
      </x:c>
      <x:c r="S252" s="20" t="n">
        <x:f>J252/F252</x:f>
        <x:v>0</x:v>
      </x:c>
      <x:c r="T252" s="20" t="n">
        <x:f>K252/F252</x:f>
        <x:v>0</x:v>
      </x:c>
      <x:c r="U252" s="20" t="n">
        <x:f>L252/F252</x:f>
        <x:v>0</x:v>
      </x:c>
      <x:c r="V252" s="20" t="n">
        <x:f>IF(L252=0,0,M252/L252)</x:f>
        <x:v>0</x:v>
      </x:c>
      <x:c r="W252" s="20" t="n">
        <x:f>SUM(P$212:P252)</x:f>
        <x:v>35.79999999999999</x:v>
      </x:c>
      <x:c r="X252" s="2" t="n">
        <x:f>E252+Supuestos!$C$15</x:f>
        <x:v>41</x:v>
      </x:c>
      <x:c r="Y252" s="2" t="n">
        <x:f>F252-G252</x:f>
        <x:v>10</x:v>
      </x:c>
      <x:c r="Z252" s="2" t="str">
        <x:v>simulado_didactico</x:v>
      </x:c>
    </x:row>
    <x:row r="253" ht="19" customHeight="1">
      <x:c r="A253" s="2" t="str">
        <x:v>BB_L7</x:v>
      </x:c>
      <x:c r="B253" s="2" t="str">
        <x:v>BB</x:v>
      </x:c>
      <x:c r="C253" s="2" t="str">
        <x:v>Brevicoryne brassicae</x:v>
      </x:c>
      <x:c r="D253" s="2" t="str">
        <x:v>L7</x:v>
      </x:c>
      <x:c r="E253" s="2" t="n">
        <x:v>41</x:v>
      </x:c>
      <x:c r="F253" s="2" t="n">
        <x:f>COUNTA(E2_plantas!A12,E2_plantas!A13,E2_plantas!A24,E2_plantas!A25,E2_plantas!A36,E2_plantas!A37,E2_plantas!A48,E2_plantas!A49,E2_plantas!A60,E2_plantas!A61)</x:f>
        <x:v>10</x:v>
      </x:c>
      <x:c r="G253" s="2" t="n">
        <x:f>SUM(E2_diario!K463,E2_diario!K505,E2_diario!K967,E2_diario!K1009,E2_diario!K1471,E2_diario!K1513,E2_diario!K1975,E2_diario!K2017,E2_diario!K2479,E2_diario!K2521)</x:f>
        <x:v>0</x:v>
      </x:c>
      <x:c r="H253" s="2" t="n">
        <x:f>SUM(IF(E2_diario!J463="N1",1,0),IF(E2_diario!J505="N1",1,0),IF(E2_diario!J967="N1",1,0),IF(E2_diario!J1009="N1",1,0),IF(E2_diario!J1471="N1",1,0),IF(E2_diario!J1513="N1",1,0),IF(E2_diario!J1975="N1",1,0),IF(E2_diario!J2017="N1",1,0),IF(E2_diario!J2479="N1",1,0),IF(E2_diario!J2521="N1",1,0))</x:f>
        <x:v>0</x:v>
      </x:c>
      <x:c r="I253" s="2" t="n">
        <x:f>SUM(IF(E2_diario!J463="N2",1,0),IF(E2_diario!J505="N2",1,0),IF(E2_diario!J967="N2",1,0),IF(E2_diario!J1009="N2",1,0),IF(E2_diario!J1471="N2",1,0),IF(E2_diario!J1513="N2",1,0),IF(E2_diario!J1975="N2",1,0),IF(E2_diario!J2017="N2",1,0),IF(E2_diario!J2479="N2",1,0),IF(E2_diario!J2521="N2",1,0))</x:f>
        <x:v>0</x:v>
      </x:c>
      <x:c r="J253" s="2" t="n">
        <x:f>SUM(IF(E2_diario!J463="N3",1,0),IF(E2_diario!J505="N3",1,0),IF(E2_diario!J967="N3",1,0),IF(E2_diario!J1009="N3",1,0),IF(E2_diario!J1471="N3",1,0),IF(E2_diario!J1513="N3",1,0),IF(E2_diario!J1975="N3",1,0),IF(E2_diario!J2017="N3",1,0),IF(E2_diario!J2479="N3",1,0),IF(E2_diario!J2521="N3",1,0))</x:f>
        <x:v>0</x:v>
      </x:c>
      <x:c r="K253" s="2" t="n">
        <x:f>SUM(IF(E2_diario!J463="N4",1,0),IF(E2_diario!J505="N4",1,0),IF(E2_diario!J967="N4",1,0),IF(E2_diario!J1009="N4",1,0),IF(E2_diario!J1471="N4",1,0),IF(E2_diario!J1513="N4",1,0),IF(E2_diario!J1975="N4",1,0),IF(E2_diario!J2017="N4",1,0),IF(E2_diario!J2479="N4",1,0),IF(E2_diario!J2521="N4",1,0))</x:f>
        <x:v>0</x:v>
      </x:c>
      <x:c r="L253" s="2" t="n">
        <x:f>SUM(IF(E2_diario!J463="adulta",1,0),IF(E2_diario!J505="adulta",1,0),IF(E2_diario!J967="adulta",1,0),IF(E2_diario!J1009="adulta",1,0),IF(E2_diario!J1471="adulta",1,0),IF(E2_diario!J1513="adulta",1,0),IF(E2_diario!J1975="adulta",1,0),IF(E2_diario!J2017="adulta",1,0),IF(E2_diario!J2479="adulta",1,0),IF(E2_diario!J2521="adulta",1,0))</x:f>
        <x:v>0</x:v>
      </x:c>
      <x:c r="M253" s="2" t="n">
        <x:f>SUM(E2_diario!L463,E2_diario!L505,E2_diario!L967,E2_diario!L1009,E2_diario!L1471,E2_diario!L1513,E2_diario!L1975,E2_diario!L2017,E2_diario!L2479,E2_diario!L2521)</x:f>
        <x:v>0</x:v>
      </x:c>
      <x:c r="N253" s="20" t="n">
        <x:f>G253/F253</x:f>
        <x:v>0</x:v>
      </x:c>
      <x:c r="O253" s="20" t="n">
        <x:f>IF(G253=0,0,M253/G253)</x:f>
        <x:v>0</x:v>
      </x:c>
      <x:c r="P253" s="20" t="n">
        <x:f>N253*O253</x:f>
        <x:v>0</x:v>
      </x:c>
      <x:c r="Q253" s="20" t="n">
        <x:f>H253/F253</x:f>
        <x:v>0</x:v>
      </x:c>
      <x:c r="R253" s="20" t="n">
        <x:f>I253/F253</x:f>
        <x:v>0</x:v>
      </x:c>
      <x:c r="S253" s="20" t="n">
        <x:f>J253/F253</x:f>
        <x:v>0</x:v>
      </x:c>
      <x:c r="T253" s="20" t="n">
        <x:f>K253/F253</x:f>
        <x:v>0</x:v>
      </x:c>
      <x:c r="U253" s="20" t="n">
        <x:f>L253/F253</x:f>
        <x:v>0</x:v>
      </x:c>
      <x:c r="V253" s="20" t="n">
        <x:f>IF(L253=0,0,M253/L253)</x:f>
        <x:v>0</x:v>
      </x:c>
      <x:c r="W253" s="20" t="n">
        <x:f>SUM(P$212:P253)</x:f>
        <x:v>35.79999999999999</x:v>
      </x:c>
      <x:c r="X253" s="2" t="n">
        <x:f>E253+Supuestos!$C$15</x:f>
        <x:v>42</x:v>
      </x:c>
      <x:c r="Y253" s="2" t="n">
        <x:f>F253-G253</x:f>
        <x:v>10</x:v>
      </x:c>
      <x:c r="Z253" s="2" t="str">
        <x:v>simulado_didactico</x:v>
      </x:c>
    </x:row>
  </x:sheetData>
  <x:conditionalFormatting sqref="D2:D253">
    <x:cfRule type="expression" dxfId="72" priority="1">
      <x:formula>D2="L0"</x:formula>
    </x:cfRule>
    <x:cfRule type="expression" dxfId="73" priority="2">
      <x:formula>D2="L1"</x:formula>
    </x:cfRule>
    <x:cfRule type="expression" dxfId="74" priority="3">
      <x:formula>D2="L2"</x:formula>
    </x:cfRule>
    <x:cfRule type="expression" dxfId="75" priority="4">
      <x:formula>D2="L3"</x:formula>
    </x:cfRule>
    <x:cfRule type="expression" dxfId="76" priority="5">
      <x:formula>D2="L5"</x:formula>
    </x:cfRule>
    <x:cfRule type="expression" dxfId="77" priority="6">
      <x:formula>D2="L6"</x:formula>
    </x:cfRule>
    <x:cfRule type="expression" dxfId="78" priority="7">
      <x:formula>D2="L7"</x:formula>
    </x:cfRule>
    <x:cfRule type="expression" dxfId="79" priority="8">
      <x:formula>D2="L8"</x:formula>
    </x:cfRule>
    <x:cfRule type="expression" dxfId="80" priority="9">
      <x:formula>D2="L9"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996addfcef472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7" hidden="0" customWidth="1"/>
    <x:col min="7" max="7" width="19" hidden="0" customWidth="1"/>
    <x:col min="8" max="8" width="20" hidden="0" customWidth="1"/>
    <x:col min="9" max="9" width="18" hidden="0" customWidth="1"/>
    <x:col min="10" max="10" width="25" hidden="0" customWidth="1"/>
    <x:col min="11" max="11" width="28" hidden="0" customWidth="1"/>
    <x:col min="12" max="12" width="23" hidden="0" customWidth="1"/>
    <x:col min="13" max="13" width="21" hidden="0" customWidth="1"/>
    <x:col min="14" max="14" width="24" hidden="0" customWidth="1"/>
  </x:cols>
  <x:sheetData>
    <x:row r="1" ht="43" customHeight="1">
      <x:c r="A1" s="7" t="str">
        <x:v>cohorte</x:v>
      </x:c>
      <x:c r="B1" s="7" t="str">
        <x:v>codigo_especie</x:v>
      </x:c>
      <x:c r="C1" s="7" t="str">
        <x:v>especie</x:v>
      </x:c>
      <x:c r="D1" s="7" t="str">
        <x:v>tratamiento</x:v>
      </x:c>
      <x:c r="E1" s="7" t="str">
        <x:v>n_inicial</x:v>
      </x:c>
      <x:c r="F1" s="7" t="str">
        <x:v>R0</x:v>
      </x:c>
      <x:c r="G1" s="7" t="str">
        <x:v>rm_dia</x:v>
      </x:c>
      <x:c r="H1" s="7" t="str">
        <x:v>lambda_diaria</x:v>
      </x:c>
      <x:c r="I1" s="7" t="str">
        <x:v>T_dias</x:v>
      </x:c>
      <x:c r="J1" s="7" t="str">
        <x:v>supervivencia_adulta</x:v>
      </x:c>
      <x:c r="K1" s="7" t="str">
        <x:v>fecundidad_media_inicial</x:v>
      </x:c>
      <x:c r="L1" s="7" t="str">
        <x:v>residuo_euler</x:v>
      </x:c>
      <x:c r="M1" s="7" t="str">
        <x:v>control_euler</x:v>
      </x:c>
      <x:c r="N1" s="7" t="str">
        <x:v>origen_dato</x:v>
      </x:c>
    </x:row>
    <x:row r="2" ht="19" customHeight="1">
      <x:c r="A2" s="2" t="str">
        <x:v>MP_L0</x:v>
      </x:c>
      <x:c r="B2" s="2" t="str">
        <x:v>MP</x:v>
      </x:c>
      <x:c r="C2" s="2" t="str">
        <x:v>Myzus persicae</x:v>
      </x:c>
      <x:c r="D2" s="2" t="str">
        <x:v>L0</x:v>
      </x:c>
      <x:c r="E2" s="2" t="n">
        <x:f>E2_tabla_vida!F2</x:f>
        <x:v>10</x:v>
      </x:c>
      <x:c r="F2" s="20" t="n">
        <x:f>SUM(E2_tabla_vida!P2:P43)</x:f>
        <x:v>57.900000000000006</x:v>
      </x:c>
      <x:c r="G2" s="20" t="n">
        <x:f>Calculo_rm!E47</x:f>
        <x:v>0.2610752873687403</x:v>
      </x:c>
      <x:c r="H2" s="20" t="n">
        <x:f>EXP(G2)</x:f>
        <x:v>1.2983254092580379</x:v>
      </x:c>
      <x:c r="I2" s="20" t="n">
        <x:f>LN(F2)/G2</x:f>
        <x:v>15.546156916975658</x:v>
      </x:c>
      <x:c r="J2" s="26" t="n">
        <x:f>AVERAGE(E2_individuos!G2,E2_individuos!G3,E2_individuos!G14,E2_individuos!G15,E2_individuos!G26,E2_individuos!G27,E2_individuos!G38,E2_individuos!G39,E2_individuos!G50,E2_individuos!G51)</x:f>
        <x:v>1</x:v>
      </x:c>
      <x:c r="K2" s="16" t="n">
        <x:f>AVERAGE(E2_individuos!V2,E2_individuos!V3,E2_individuos!V14,E2_individuos!V15,E2_individuos!V26,E2_individuos!V27,E2_individuos!V38,E2_individuos!V39,E2_individuos!V50,E2_individuos!V51)</x:f>
        <x:v>57.9</x:v>
      </x:c>
      <x:c r="L2" s="24" t="n">
        <x:f>Calculo_rm!F47</x:f>
        <x:v>8.01358979174438e-13</x:v>
      </x:c>
      <x:c r="M2" s="2" t="str">
        <x:f>IF(ABS(L2)&lt;Supuestos!$C$20,"OK","REVISAR")</x:f>
        <x:v>OK</x:v>
      </x:c>
      <x:c r="N2" s="2" t="str">
        <x:v>simulado_didactico</x:v>
      </x:c>
    </x:row>
    <x:row r="3" ht="19" customHeight="1">
      <x:c r="A3" s="2" t="str">
        <x:v>MP_L8</x:v>
      </x:c>
      <x:c r="B3" s="2" t="str">
        <x:v>MP</x:v>
      </x:c>
      <x:c r="C3" s="2" t="str">
        <x:v>Myzus persicae</x:v>
      </x:c>
      <x:c r="D3" s="2" t="str">
        <x:v>L8</x:v>
      </x:c>
      <x:c r="E3" s="2" t="n">
        <x:f>E2_tabla_vida!F44</x:f>
        <x:v>10</x:v>
      </x:c>
      <x:c r="F3" s="20" t="n">
        <x:f>SUM(E2_tabla_vida!P44:P85)</x:f>
        <x:v>28.600000000000005</x:v>
      </x:c>
      <x:c r="G3" s="20" t="n">
        <x:f>Calculo_rm!E93</x:f>
        <x:v>0.1957261181465384</x:v>
      </x:c>
      <x:c r="H3" s="20" t="n">
        <x:f>EXP(G3)</x:f>
        <x:v>1.2161937663131461</x:v>
      </x:c>
      <x:c r="I3" s="20" t="n">
        <x:f>LN(F3)/G3</x:f>
        <x:v>17.133159077497982</x:v>
      </x:c>
      <x:c r="J3" s="26" t="n">
        <x:f>AVERAGE(E2_individuos!G4,E2_individuos!G5,E2_individuos!G16,E2_individuos!G17,E2_individuos!G28,E2_individuos!G29,E2_individuos!G40,E2_individuos!G41,E2_individuos!G52,E2_individuos!G53)</x:f>
        <x:v>0.9</x:v>
      </x:c>
      <x:c r="K3" s="16" t="n">
        <x:f>AVERAGE(E2_individuos!V4,E2_individuos!V5,E2_individuos!V16,E2_individuos!V17,E2_individuos!V28,E2_individuos!V29,E2_individuos!V40,E2_individuos!V41,E2_individuos!V52,E2_individuos!V53)</x:f>
        <x:v>28.6</x:v>
      </x:c>
      <x:c r="L3" s="24" t="n">
        <x:f>Calculo_rm!F93</x:f>
        <x:v>1.0453859999870474e-12</x:v>
      </x:c>
      <x:c r="M3" s="2" t="str">
        <x:f>IF(ABS(L3)&lt;Supuestos!$C$20,"OK","REVISAR")</x:f>
        <x:v>OK</x:v>
      </x:c>
      <x:c r="N3" s="2" t="str">
        <x:v>simulado_didactico</x:v>
      </x:c>
    </x:row>
    <x:row r="4" ht="19" customHeight="1">
      <x:c r="A4" s="2" t="str">
        <x:v>MP_L7</x:v>
      </x:c>
      <x:c r="B4" s="2" t="str">
        <x:v>MP</x:v>
      </x:c>
      <x:c r="C4" s="2" t="str">
        <x:v>Myzus persicae</x:v>
      </x:c>
      <x:c r="D4" s="2" t="str">
        <x:v>L7</x:v>
      </x:c>
      <x:c r="E4" s="2" t="n">
        <x:f>E2_tabla_vida!F86</x:f>
        <x:v>10</x:v>
      </x:c>
      <x:c r="F4" s="20" t="n">
        <x:f>SUM(E2_tabla_vida!P86:P127)</x:f>
        <x:v>21.799999999999997</x:v>
      </x:c>
      <x:c r="G4" s="20" t="n">
        <x:f>Calculo_rm!E139</x:f>
        <x:v>0.17924664386104894</x:v>
      </x:c>
      <x:c r="H4" s="20" t="n">
        <x:f>EXP(G4)</x:f>
        <x:v>1.1963157717239918</x:v>
      </x:c>
      <x:c r="I4" s="20" t="n">
        <x:f>LN(F4)/G4</x:f>
        <x:v>17.19368298010714</x:v>
      </x:c>
      <x:c r="J4" s="26" t="n">
        <x:f>AVERAGE(E2_individuos!G6,E2_individuos!G7,E2_individuos!G18,E2_individuos!G19,E2_individuos!G30,E2_individuos!G31,E2_individuos!G42,E2_individuos!G43,E2_individuos!G54,E2_individuos!G55)</x:f>
        <x:v>0.7</x:v>
      </x:c>
      <x:c r="K4" s="16" t="n">
        <x:f>AVERAGE(E2_individuos!V6,E2_individuos!V7,E2_individuos!V18,E2_individuos!V19,E2_individuos!V30,E2_individuos!V31,E2_individuos!V42,E2_individuos!V43,E2_individuos!V54,E2_individuos!V55)</x:f>
        <x:v>21.8</x:v>
      </x:c>
      <x:c r="L4" s="24" t="n">
        <x:f>Calculo_rm!F139</x:f>
        <x:v>1.0456080445919724e-12</x:v>
      </x:c>
      <x:c r="M4" s="2" t="str">
        <x:f>IF(ABS(L4)&lt;Supuestos!$C$20,"OK","REVISAR")</x:f>
        <x:v>OK</x:v>
      </x:c>
      <x:c r="N4" s="2" t="str">
        <x:v>simulado_didactico</x:v>
      </x:c>
    </x:row>
    <x:row r="5" ht="19" customHeight="1">
      <x:c r="A5" s="2" t="str">
        <x:v>BB_L0</x:v>
      </x:c>
      <x:c r="B5" s="2" t="str">
        <x:v>BB</x:v>
      </x:c>
      <x:c r="C5" s="2" t="str">
        <x:v>Brevicoryne brassicae</x:v>
      </x:c>
      <x:c r="D5" s="2" t="str">
        <x:v>L0</x:v>
      </x:c>
      <x:c r="E5" s="2" t="n">
        <x:f>E2_tabla_vida!F128</x:f>
        <x:v>10</x:v>
      </x:c>
      <x:c r="F5" s="20" t="n">
        <x:f>SUM(E2_tabla_vida!P128:P169)</x:f>
        <x:v>51.2</x:v>
      </x:c>
      <x:c r="G5" s="20" t="n">
        <x:f>Calculo_rm!E185</x:f>
        <x:v>0.2621613711771005</x:v>
      </x:c>
      <x:c r="H5" s="20" t="n">
        <x:f>EXP(G5)</x:f>
        <x:v>1.2997362654783795</x:v>
      </x:c>
      <x:c r="I5" s="20" t="n">
        <x:f>LN(F5)/G5</x:f>
        <x:v>15.012660005454094</x:v>
      </x:c>
      <x:c r="J5" s="26" t="n">
        <x:f>AVERAGE(E2_individuos!G8,E2_individuos!G9,E2_individuos!G20,E2_individuos!G21,E2_individuos!G32,E2_individuos!G33,E2_individuos!G44,E2_individuos!G45,E2_individuos!G56,E2_individuos!G57)</x:f>
        <x:v>0.8</x:v>
      </x:c>
      <x:c r="K5" s="16" t="n">
        <x:f>AVERAGE(E2_individuos!V8,E2_individuos!V9,E2_individuos!V20,E2_individuos!V21,E2_individuos!V32,E2_individuos!V33,E2_individuos!V44,E2_individuos!V45,E2_individuos!V56,E2_individuos!V57)</x:f>
        <x:v>51.2</x:v>
      </x:c>
      <x:c r="L5" s="24" t="n">
        <x:f>Calculo_rm!F185</x:f>
        <x:v>1.4344081478157023e-12</x:v>
      </x:c>
      <x:c r="M5" s="2" t="str">
        <x:f>IF(ABS(L5)&lt;Supuestos!$C$20,"OK","REVISAR")</x:f>
        <x:v>OK</x:v>
      </x:c>
      <x:c r="N5" s="2" t="str">
        <x:v>simulado_didactico</x:v>
      </x:c>
    </x:row>
    <x:row r="6" ht="19" customHeight="1">
      <x:c r="A6" s="2" t="str">
        <x:v>BB_L8</x:v>
      </x:c>
      <x:c r="B6" s="2" t="str">
        <x:v>BB</x:v>
      </x:c>
      <x:c r="C6" s="2" t="str">
        <x:v>Brevicoryne brassicae</x:v>
      </x:c>
      <x:c r="D6" s="2" t="str">
        <x:v>L8</x:v>
      </x:c>
      <x:c r="E6" s="2" t="n">
        <x:f>E2_tabla_vida!F170</x:f>
        <x:v>10</x:v>
      </x:c>
      <x:c r="F6" s="20" t="n">
        <x:f>SUM(E2_tabla_vida!P170:P211)</x:f>
        <x:v>24.900000000000002</x:v>
      </x:c>
      <x:c r="G6" s="20" t="n">
        <x:f>Calculo_rm!E231</x:f>
        <x:v>0.19572132621128446</x:v>
      </x:c>
      <x:c r="H6" s="20" t="n">
        <x:f>EXP(G6)</x:f>
        <x:v>1.2161879384053251</x:v>
      </x:c>
      <x:c r="I6" s="20" t="n">
        <x:f>LN(F6)/G6</x:f>
        <x:v>16.425740953748484</x:v>
      </x:c>
      <x:c r="J6" s="26" t="n">
        <x:f>AVERAGE(E2_individuos!G10,E2_individuos!G11,E2_individuos!G22,E2_individuos!G23,E2_individuos!G34,E2_individuos!G35,E2_individuos!G46,E2_individuos!G47,E2_individuos!G58,E2_individuos!G59)</x:f>
        <x:v>0.9</x:v>
      </x:c>
      <x:c r="K6" s="16" t="n">
        <x:f>AVERAGE(E2_individuos!V10,E2_individuos!V11,E2_individuos!V22,E2_individuos!V23,E2_individuos!V34,E2_individuos!V35,E2_individuos!V46,E2_individuos!V47,E2_individuos!V58,E2_individuos!V59)</x:f>
        <x:v>24.9</x:v>
      </x:c>
      <x:c r="L6" s="24" t="n">
        <x:f>Calculo_rm!F231</x:f>
        <x:v>3.816946758661288e-13</x:v>
      </x:c>
      <x:c r="M6" s="2" t="str">
        <x:f>IF(ABS(L6)&lt;Supuestos!$C$20,"OK","REVISAR")</x:f>
        <x:v>OK</x:v>
      </x:c>
      <x:c r="N6" s="2" t="str">
        <x:v>simulado_didactico</x:v>
      </x:c>
    </x:row>
    <x:row r="7" ht="19" customHeight="1">
      <x:c r="A7" s="2" t="str">
        <x:v>BB_L7</x:v>
      </x:c>
      <x:c r="B7" s="2" t="str">
        <x:v>BB</x:v>
      </x:c>
      <x:c r="C7" s="2" t="str">
        <x:v>Brevicoryne brassicae</x:v>
      </x:c>
      <x:c r="D7" s="2" t="str">
        <x:v>L7</x:v>
      </x:c>
      <x:c r="E7" s="2" t="n">
        <x:f>E2_tabla_vida!F212</x:f>
        <x:v>10</x:v>
      </x:c>
      <x:c r="F7" s="20" t="n">
        <x:f>SUM(E2_tabla_vida!P212:P253)</x:f>
        <x:v>35.79999999999999</x:v>
      </x:c>
      <x:c r="G7" s="20" t="n">
        <x:f>Calculo_rm!E277</x:f>
        <x:v>0.21084533969674624</x:v>
      </x:c>
      <x:c r="H7" s="20" t="n">
        <x:f>EXP(G7)</x:f>
        <x:v>1.2347213779107415</x:v>
      </x:c>
      <x:c r="I7" s="20" t="n">
        <x:f>LN(F7)/G7</x:f>
        <x:v>16.969537474969712</x:v>
      </x:c>
      <x:c r="J7" s="26" t="n">
        <x:f>AVERAGE(E2_individuos!G12,E2_individuos!G13,E2_individuos!G24,E2_individuos!G25,E2_individuos!G36,E2_individuos!G37,E2_individuos!G48,E2_individuos!G49,E2_individuos!G60,E2_individuos!G61)</x:f>
        <x:v>0.9</x:v>
      </x:c>
      <x:c r="K7" s="16" t="n">
        <x:f>AVERAGE(E2_individuos!V12,E2_individuos!V13,E2_individuos!V24,E2_individuos!V25,E2_individuos!V36,E2_individuos!V37,E2_individuos!V48,E2_individuos!V49,E2_individuos!V60,E2_individuos!V61)</x:f>
        <x:v>35.8</x:v>
      </x:c>
      <x:c r="L7" s="24" t="n">
        <x:f>Calculo_rm!F277</x:f>
        <x:v>9.272582701669307e-13</x:v>
      </x:c>
      <x:c r="M7" s="2" t="str">
        <x:f>IF(ABS(L7)&lt;Supuestos!$C$20,"OK","REVISAR")</x:f>
        <x:v>OK</x:v>
      </x:c>
      <x:c r="N7" s="2" t="str">
        <x:v>simulado_didactico</x:v>
      </x:c>
    </x:row>
  </x:sheetData>
  <x:conditionalFormatting sqref="D2:D7">
    <x:cfRule type="expression" dxfId="81" priority="1">
      <x:formula>D2="L0"</x:formula>
    </x:cfRule>
    <x:cfRule type="expression" dxfId="82" priority="2">
      <x:formula>D2="L1"</x:formula>
    </x:cfRule>
    <x:cfRule type="expression" dxfId="83" priority="3">
      <x:formula>D2="L2"</x:formula>
    </x:cfRule>
    <x:cfRule type="expression" dxfId="84" priority="4">
      <x:formula>D2="L3"</x:formula>
    </x:cfRule>
    <x:cfRule type="expression" dxfId="85" priority="5">
      <x:formula>D2="L5"</x:formula>
    </x:cfRule>
    <x:cfRule type="expression" dxfId="86" priority="6">
      <x:formula>D2="L6"</x:formula>
    </x:cfRule>
    <x:cfRule type="expression" dxfId="87" priority="7">
      <x:formula>D2="L7"</x:formula>
    </x:cfRule>
    <x:cfRule type="expression" dxfId="88" priority="8">
      <x:formula>D2="L8"</x:formula>
    </x:cfRule>
    <x:cfRule type="expression" dxfId="89" priority="9">
      <x:formula>D2="L9"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1e14dbdf064cb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21" hidden="0" customWidth="1"/>
    <x:col min="4" max="4" width="21" hidden="0" customWidth="1"/>
    <x:col min="5" max="5" width="21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43" customHeight="1">
      <x:c r="A1" s="7" t="str">
        <x:v>cohorte</x:v>
      </x:c>
      <x:c r="B1" s="7" t="str">
        <x:v>iteracion</x:v>
      </x:c>
      <x:c r="C1" s="7" t="str">
        <x:v>r_inferior</x:v>
      </x:c>
      <x:c r="D1" s="7" t="str">
        <x:v>r_superior</x:v>
      </x:c>
      <x:c r="E1" s="7" t="str">
        <x:v>rm_aprox</x:v>
      </x:c>
      <x:c r="F1" s="7" t="str">
        <x:v>residuo_medio</x:v>
      </x:c>
      <x:c r="G1" s="7" t="str">
        <x:v>residuo_inferior</x:v>
      </x:c>
      <x:c r="H1" s="7" t="str">
        <x:v>residuo_superior</x:v>
      </x:c>
    </x:row>
    <x:row r="2" ht="19" customHeight="1">
      <x:c r="A2" s="2" t="str">
        <x:v>MP_L0</x:v>
      </x:c>
      <x:c r="B2" s="2" t="n">
        <x:v>0</x:v>
      </x:c>
      <x:c r="C2" s="22" t="n">
        <x:f>Supuestos!$C$17</x:f>
        <x:v>-1</x:v>
      </x:c>
      <x:c r="D2" s="22" t="n">
        <x:f>Supuestos!$C$18</x:f>
        <x:v>2</x:v>
      </x:c>
      <x:c r="E2" s="22" t="n">
        <x:f>AVERAGE(C2:D2)</x:f>
        <x:v>0.5</x:v>
      </x:c>
      <x:c r="F2" s="24" t="n">
        <x:f>SUM(EXP(-E2*E2_tabla_vida!$X$2)*E2_tabla_vida!$P$2,EXP(-E2*E2_tabla_vida!$X$3)*E2_tabla_vida!$P$3,EXP(-E2*E2_tabla_vida!$X$4)*E2_tabla_vida!$P$4,EXP(-E2*E2_tabla_vida!$X$5)*E2_tabla_vida!$P$5,EXP(-E2*E2_tabla_vida!$X$6)*E2_tabla_vida!$P$6,EXP(-E2*E2_tabla_vida!$X$7)*E2_tabla_vida!$P$7,EXP(-E2*E2_tabla_vida!$X$8)*E2_tabla_vida!$P$8,EXP(-E2*E2_tabla_vida!$X$9)*E2_tabla_vida!$P$9,EXP(-E2*E2_tabla_vida!$X$10)*E2_tabla_vida!$P$10,EXP(-E2*E2_tabla_vida!$X$11)*E2_tabla_vida!$P$11,EXP(-E2*E2_tabla_vida!$X$12)*E2_tabla_vida!$P$12,EXP(-E2*E2_tabla_vida!$X$13)*E2_tabla_vida!$P$13,EXP(-E2*E2_tabla_vida!$X$14)*E2_tabla_vida!$P$14,EXP(-E2*E2_tabla_vida!$X$15)*E2_tabla_vida!$P$15,EXP(-E2*E2_tabla_vida!$X$16)*E2_tabla_vida!$P$16,EXP(-E2*E2_tabla_vida!$X$17)*E2_tabla_vida!$P$17,EXP(-E2*E2_tabla_vida!$X$18)*E2_tabla_vida!$P$18,EXP(-E2*E2_tabla_vida!$X$19)*E2_tabla_vida!$P$19,EXP(-E2*E2_tabla_vida!$X$20)*E2_tabla_vida!$P$20,EXP(-E2*E2_tabla_vida!$X$21)*E2_tabla_vida!$P$21,EXP(-E2*E2_tabla_vida!$X$22)*E2_tabla_vida!$P$22,EXP(-E2*E2_tabla_vida!$X$23)*E2_tabla_vida!$P$23,EXP(-E2*E2_tabla_vida!$X$24)*E2_tabla_vida!$P$24,EXP(-E2*E2_tabla_vida!$X$25)*E2_tabla_vida!$P$25,EXP(-E2*E2_tabla_vida!$X$26)*E2_tabla_vida!$P$26,EXP(-E2*E2_tabla_vida!$X$27)*E2_tabla_vida!$P$27,EXP(-E2*E2_tabla_vida!$X$28)*E2_tabla_vida!$P$28,EXP(-E2*E2_tabla_vida!$X$29)*E2_tabla_vida!$P$29,EXP(-E2*E2_tabla_vida!$X$30)*E2_tabla_vida!$P$30,EXP(-E2*E2_tabla_vida!$X$31)*E2_tabla_vida!$P$31,EXP(-E2*E2_tabla_vida!$X$32)*E2_tabla_vida!$P$32,EXP(-E2*E2_tabla_vida!$X$33)*E2_tabla_vida!$P$33,EXP(-E2*E2_tabla_vida!$X$34)*E2_tabla_vida!$P$34,EXP(-E2*E2_tabla_vida!$X$35)*E2_tabla_vida!$P$35,EXP(-E2*E2_tabla_vida!$X$36)*E2_tabla_vida!$P$36,EXP(-E2*E2_tabla_vida!$X$37)*E2_tabla_vida!$P$37,EXP(-E2*E2_tabla_vida!$X$38)*E2_tabla_vida!$P$38,EXP(-E2*E2_tabla_vida!$X$39)*E2_tabla_vida!$P$39,EXP(-E2*E2_tabla_vida!$X$40)*E2_tabla_vida!$P$40,EXP(-E2*E2_tabla_vida!$X$41)*E2_tabla_vida!$P$41,EXP(-E2*E2_tabla_vida!$X$42)*E2_tabla_vida!$P$42,EXP(-E2*E2_tabla_vida!$X$43)*E2_tabla_vida!$P$43)-1</x:f>
        <x:v>-0.948462629737846</x:v>
      </x:c>
      <x:c r="G2" s="24" t="n">
        <x:f>SUM(EXP(-C2*E2_tabla_vida!$X$2)*E2_tabla_vida!$P$2,EXP(-C2*E2_tabla_vida!$X$3)*E2_tabla_vida!$P$3,EXP(-C2*E2_tabla_vida!$X$4)*E2_tabla_vida!$P$4,EXP(-C2*E2_tabla_vida!$X$5)*E2_tabla_vida!$P$5,EXP(-C2*E2_tabla_vida!$X$6)*E2_tabla_vida!$P$6,EXP(-C2*E2_tabla_vida!$X$7)*E2_tabla_vida!$P$7,EXP(-C2*E2_tabla_vida!$X$8)*E2_tabla_vida!$P$8,EXP(-C2*E2_tabla_vida!$X$9)*E2_tabla_vida!$P$9,EXP(-C2*E2_tabla_vida!$X$10)*E2_tabla_vida!$P$10,EXP(-C2*E2_tabla_vida!$X$11)*E2_tabla_vida!$P$11,EXP(-C2*E2_tabla_vida!$X$12)*E2_tabla_vida!$P$12,EXP(-C2*E2_tabla_vida!$X$13)*E2_tabla_vida!$P$13,EXP(-C2*E2_tabla_vida!$X$14)*E2_tabla_vida!$P$14,EXP(-C2*E2_tabla_vida!$X$15)*E2_tabla_vida!$P$15,EXP(-C2*E2_tabla_vida!$X$16)*E2_tabla_vida!$P$16,EXP(-C2*E2_tabla_vida!$X$17)*E2_tabla_vida!$P$17,EXP(-C2*E2_tabla_vida!$X$18)*E2_tabla_vida!$P$18,EXP(-C2*E2_tabla_vida!$X$19)*E2_tabla_vida!$P$19,EXP(-C2*E2_tabla_vida!$X$20)*E2_tabla_vida!$P$20,EXP(-C2*E2_tabla_vida!$X$21)*E2_tabla_vida!$P$21,EXP(-C2*E2_tabla_vida!$X$22)*E2_tabla_vida!$P$22,EXP(-C2*E2_tabla_vida!$X$23)*E2_tabla_vida!$P$23,EXP(-C2*E2_tabla_vida!$X$24)*E2_tabla_vida!$P$24,EXP(-C2*E2_tabla_vida!$X$25)*E2_tabla_vida!$P$25,EXP(-C2*E2_tabla_vida!$X$26)*E2_tabla_vida!$P$26,EXP(-C2*E2_tabla_vida!$X$27)*E2_tabla_vida!$P$27,EXP(-C2*E2_tabla_vida!$X$28)*E2_tabla_vida!$P$28,EXP(-C2*E2_tabla_vida!$X$29)*E2_tabla_vida!$P$29,EXP(-C2*E2_tabla_vida!$X$30)*E2_tabla_vida!$P$30,EXP(-C2*E2_tabla_vida!$X$31)*E2_tabla_vida!$P$31,EXP(-C2*E2_tabla_vida!$X$32)*E2_tabla_vida!$P$32,EXP(-C2*E2_tabla_vida!$X$33)*E2_tabla_vida!$P$33,EXP(-C2*E2_tabla_vida!$X$34)*E2_tabla_vida!$P$34,EXP(-C2*E2_tabla_vida!$X$35)*E2_tabla_vida!$P$35,EXP(-C2*E2_tabla_vida!$X$36)*E2_tabla_vida!$P$36,EXP(-C2*E2_tabla_vida!$X$37)*E2_tabla_vida!$P$37,EXP(-C2*E2_tabla_vida!$X$38)*E2_tabla_vida!$P$38,EXP(-C2*E2_tabla_vida!$X$39)*E2_tabla_vida!$P$39,EXP(-C2*E2_tabla_vida!$X$40)*E2_tabla_vida!$P$40,EXP(-C2*E2_tabla_vida!$X$41)*E2_tabla_vida!$P$41,EXP(-C2*E2_tabla_vida!$X$42)*E2_tabla_vida!$P$42,EXP(-C2*E2_tabla_vida!$X$43)*E2_tabla_vida!$P$43)-1</x:f>
        <x:v>4629664009947895</x:v>
      </x:c>
      <x:c r="H2" s="24" t="n">
        <x:f>SUM(EXP(-D2*E2_tabla_vida!$X$2)*E2_tabla_vida!$P$2,EXP(-D2*E2_tabla_vida!$X$3)*E2_tabla_vida!$P$3,EXP(-D2*E2_tabla_vida!$X$4)*E2_tabla_vida!$P$4,EXP(-D2*E2_tabla_vida!$X$5)*E2_tabla_vida!$P$5,EXP(-D2*E2_tabla_vida!$X$6)*E2_tabla_vida!$P$6,EXP(-D2*E2_tabla_vida!$X$7)*E2_tabla_vida!$P$7,EXP(-D2*E2_tabla_vida!$X$8)*E2_tabla_vida!$P$8,EXP(-D2*E2_tabla_vida!$X$9)*E2_tabla_vida!$P$9,EXP(-D2*E2_tabla_vida!$X$10)*E2_tabla_vida!$P$10,EXP(-D2*E2_tabla_vida!$X$11)*E2_tabla_vida!$P$11,EXP(-D2*E2_tabla_vida!$X$12)*E2_tabla_vida!$P$12,EXP(-D2*E2_tabla_vida!$X$13)*E2_tabla_vida!$P$13,EXP(-D2*E2_tabla_vida!$X$14)*E2_tabla_vida!$P$14,EXP(-D2*E2_tabla_vida!$X$15)*E2_tabla_vida!$P$15,EXP(-D2*E2_tabla_vida!$X$16)*E2_tabla_vida!$P$16,EXP(-D2*E2_tabla_vida!$X$17)*E2_tabla_vida!$P$17,EXP(-D2*E2_tabla_vida!$X$18)*E2_tabla_vida!$P$18,EXP(-D2*E2_tabla_vida!$X$19)*E2_tabla_vida!$P$19,EXP(-D2*E2_tabla_vida!$X$20)*E2_tabla_vida!$P$20,EXP(-D2*E2_tabla_vida!$X$21)*E2_tabla_vida!$P$21,EXP(-D2*E2_tabla_vida!$X$22)*E2_tabla_vida!$P$22,EXP(-D2*E2_tabla_vida!$X$23)*E2_tabla_vida!$P$23,EXP(-D2*E2_tabla_vida!$X$24)*E2_tabla_vida!$P$24,EXP(-D2*E2_tabla_vida!$X$25)*E2_tabla_vida!$P$25,EXP(-D2*E2_tabla_vida!$X$26)*E2_tabla_vida!$P$26,EXP(-D2*E2_tabla_vida!$X$27)*E2_tabla_vida!$P$27,EXP(-D2*E2_tabla_vida!$X$28)*E2_tabla_vida!$P$28,EXP(-D2*E2_tabla_vida!$X$29)*E2_tabla_vida!$P$29,EXP(-D2*E2_tabla_vida!$X$30)*E2_tabla_vida!$P$30,EXP(-D2*E2_tabla_vida!$X$31)*E2_tabla_vida!$P$31,EXP(-D2*E2_tabla_vida!$X$32)*E2_tabla_vida!$P$32,EXP(-D2*E2_tabla_vida!$X$33)*E2_tabla_vida!$P$33,EXP(-D2*E2_tabla_vida!$X$34)*E2_tabla_vida!$P$34,EXP(-D2*E2_tabla_vida!$X$35)*E2_tabla_vida!$P$35,EXP(-D2*E2_tabla_vida!$X$36)*E2_tabla_vida!$P$36,EXP(-D2*E2_tabla_vida!$X$37)*E2_tabla_vida!$P$37,EXP(-D2*E2_tabla_vida!$X$38)*E2_tabla_vida!$P$38,EXP(-D2*E2_tabla_vida!$X$39)*E2_tabla_vida!$P$39,EXP(-D2*E2_tabla_vida!$X$40)*E2_tabla_vida!$P$40,EXP(-D2*E2_tabla_vida!$X$41)*E2_tabla_vida!$P$41,EXP(-D2*E2_tabla_vida!$X$42)*E2_tabla_vida!$P$42,EXP(-D2*E2_tabla_vida!$X$43)*E2_tabla_vida!$P$43)-1</x:f>
        <x:v>-0.9999999871083248</x:v>
      </x:c>
    </x:row>
    <x:row r="3" ht="19" customHeight="1">
      <x:c r="A3" s="2" t="str">
        <x:v>MP_L0</x:v>
      </x:c>
      <x:c r="B3" s="2" t="n">
        <x:v>1</x:v>
      </x:c>
      <x:c r="C3" s="22" t="n">
        <x:f>IF(F2&gt;0,E2,C2)</x:f>
        <x:v>-1</x:v>
      </x:c>
      <x:c r="D3" s="22" t="n">
        <x:f>IF(F2&gt;0,D2,E2)</x:f>
        <x:v>0.5</x:v>
      </x:c>
      <x:c r="E3" s="22" t="n">
        <x:f>AVERAGE(C3:D3)</x:f>
        <x:v>-0.25</x:v>
      </x:c>
      <x:c r="F3" s="24" t="n">
        <x:f>SUM(EXP(-E3*E2_tabla_vida!$X$2)*E2_tabla_vida!$P$2,EXP(-E3*E2_tabla_vida!$X$3)*E2_tabla_vida!$P$3,EXP(-E3*E2_tabla_vida!$X$4)*E2_tabla_vida!$P$4,EXP(-E3*E2_tabla_vida!$X$5)*E2_tabla_vida!$P$5,EXP(-E3*E2_tabla_vida!$X$6)*E2_tabla_vida!$P$6,EXP(-E3*E2_tabla_vida!$X$7)*E2_tabla_vida!$P$7,EXP(-E3*E2_tabla_vida!$X$8)*E2_tabla_vida!$P$8,EXP(-E3*E2_tabla_vida!$X$9)*E2_tabla_vida!$P$9,EXP(-E3*E2_tabla_vida!$X$10)*E2_tabla_vida!$P$10,EXP(-E3*E2_tabla_vida!$X$11)*E2_tabla_vida!$P$11,EXP(-E3*E2_tabla_vida!$X$12)*E2_tabla_vida!$P$12,EXP(-E3*E2_tabla_vida!$X$13)*E2_tabla_vida!$P$13,EXP(-E3*E2_tabla_vida!$X$14)*E2_tabla_vida!$P$14,EXP(-E3*E2_tabla_vida!$X$15)*E2_tabla_vida!$P$15,EXP(-E3*E2_tabla_vida!$X$16)*E2_tabla_vida!$P$16,EXP(-E3*E2_tabla_vida!$X$17)*E2_tabla_vida!$P$17,EXP(-E3*E2_tabla_vida!$X$18)*E2_tabla_vida!$P$18,EXP(-E3*E2_tabla_vida!$X$19)*E2_tabla_vida!$P$19,EXP(-E3*E2_tabla_vida!$X$20)*E2_tabla_vida!$P$20,EXP(-E3*E2_tabla_vida!$X$21)*E2_tabla_vida!$P$21,EXP(-E3*E2_tabla_vida!$X$22)*E2_tabla_vida!$P$22,EXP(-E3*E2_tabla_vida!$X$23)*E2_tabla_vida!$P$23,EXP(-E3*E2_tabla_vida!$X$24)*E2_tabla_vida!$P$24,EXP(-E3*E2_tabla_vida!$X$25)*E2_tabla_vida!$P$25,EXP(-E3*E2_tabla_vida!$X$26)*E2_tabla_vida!$P$26,EXP(-E3*E2_tabla_vida!$X$27)*E2_tabla_vida!$P$27,EXP(-E3*E2_tabla_vida!$X$28)*E2_tabla_vida!$P$28,EXP(-E3*E2_tabla_vida!$X$29)*E2_tabla_vida!$P$29,EXP(-E3*E2_tabla_vida!$X$30)*E2_tabla_vida!$P$30,EXP(-E3*E2_tabla_vida!$X$31)*E2_tabla_vida!$P$31,EXP(-E3*E2_tabla_vida!$X$32)*E2_tabla_vida!$P$32,EXP(-E3*E2_tabla_vida!$X$33)*E2_tabla_vida!$P$33,EXP(-E3*E2_tabla_vida!$X$34)*E2_tabla_vida!$P$34,EXP(-E3*E2_tabla_vida!$X$35)*E2_tabla_vida!$P$35,EXP(-E3*E2_tabla_vida!$X$36)*E2_tabla_vida!$P$36,EXP(-E3*E2_tabla_vida!$X$37)*E2_tabla_vida!$P$37,EXP(-E3*E2_tabla_vida!$X$38)*E2_tabla_vida!$P$38,EXP(-E3*E2_tabla_vida!$X$39)*E2_tabla_vida!$P$39,EXP(-E3*E2_tabla_vida!$X$40)*E2_tabla_vida!$P$40,EXP(-E3*E2_tabla_vida!$X$41)*E2_tabla_vida!$P$41,EXP(-E3*E2_tabla_vida!$X$42)*E2_tabla_vida!$P$42,EXP(-E3*E2_tabla_vida!$X$43)*E2_tabla_vida!$P$43)-1</x:f>
        <x:v>17021.43504489155</x:v>
      </x:c>
      <x:c r="G3" s="24" t="n">
        <x:f>SUM(EXP(-C3*E2_tabla_vida!$X$2)*E2_tabla_vida!$P$2,EXP(-C3*E2_tabla_vida!$X$3)*E2_tabla_vida!$P$3,EXP(-C3*E2_tabla_vida!$X$4)*E2_tabla_vida!$P$4,EXP(-C3*E2_tabla_vida!$X$5)*E2_tabla_vida!$P$5,EXP(-C3*E2_tabla_vida!$X$6)*E2_tabla_vida!$P$6,EXP(-C3*E2_tabla_vida!$X$7)*E2_tabla_vida!$P$7,EXP(-C3*E2_tabla_vida!$X$8)*E2_tabla_vida!$P$8,EXP(-C3*E2_tabla_vida!$X$9)*E2_tabla_vida!$P$9,EXP(-C3*E2_tabla_vida!$X$10)*E2_tabla_vida!$P$10,EXP(-C3*E2_tabla_vida!$X$11)*E2_tabla_vida!$P$11,EXP(-C3*E2_tabla_vida!$X$12)*E2_tabla_vida!$P$12,EXP(-C3*E2_tabla_vida!$X$13)*E2_tabla_vida!$P$13,EXP(-C3*E2_tabla_vida!$X$14)*E2_tabla_vida!$P$14,EXP(-C3*E2_tabla_vida!$X$15)*E2_tabla_vida!$P$15,EXP(-C3*E2_tabla_vida!$X$16)*E2_tabla_vida!$P$16,EXP(-C3*E2_tabla_vida!$X$17)*E2_tabla_vida!$P$17,EXP(-C3*E2_tabla_vida!$X$18)*E2_tabla_vida!$P$18,EXP(-C3*E2_tabla_vida!$X$19)*E2_tabla_vida!$P$19,EXP(-C3*E2_tabla_vida!$X$20)*E2_tabla_vida!$P$20,EXP(-C3*E2_tabla_vida!$X$21)*E2_tabla_vida!$P$21,EXP(-C3*E2_tabla_vida!$X$22)*E2_tabla_vida!$P$22,EXP(-C3*E2_tabla_vida!$X$23)*E2_tabla_vida!$P$23,EXP(-C3*E2_tabla_vida!$X$24)*E2_tabla_vida!$P$24,EXP(-C3*E2_tabla_vida!$X$25)*E2_tabla_vida!$P$25,EXP(-C3*E2_tabla_vida!$X$26)*E2_tabla_vida!$P$26,EXP(-C3*E2_tabla_vida!$X$27)*E2_tabla_vida!$P$27,EXP(-C3*E2_tabla_vida!$X$28)*E2_tabla_vida!$P$28,EXP(-C3*E2_tabla_vida!$X$29)*E2_tabla_vida!$P$29,EXP(-C3*E2_tabla_vida!$X$30)*E2_tabla_vida!$P$30,EXP(-C3*E2_tabla_vida!$X$31)*E2_tabla_vida!$P$31,EXP(-C3*E2_tabla_vida!$X$32)*E2_tabla_vida!$P$32,EXP(-C3*E2_tabla_vida!$X$33)*E2_tabla_vida!$P$33,EXP(-C3*E2_tabla_vida!$X$34)*E2_tabla_vida!$P$34,EXP(-C3*E2_tabla_vida!$X$35)*E2_tabla_vida!$P$35,EXP(-C3*E2_tabla_vida!$X$36)*E2_tabla_vida!$P$36,EXP(-C3*E2_tabla_vida!$X$37)*E2_tabla_vida!$P$37,EXP(-C3*E2_tabla_vida!$X$38)*E2_tabla_vida!$P$38,EXP(-C3*E2_tabla_vida!$X$39)*E2_tabla_vida!$P$39,EXP(-C3*E2_tabla_vida!$X$40)*E2_tabla_vida!$P$40,EXP(-C3*E2_tabla_vida!$X$41)*E2_tabla_vida!$P$41,EXP(-C3*E2_tabla_vida!$X$42)*E2_tabla_vida!$P$42,EXP(-C3*E2_tabla_vida!$X$43)*E2_tabla_vida!$P$43)-1</x:f>
        <x:v>4629664009947895</x:v>
      </x:c>
      <x:c r="H3" s="24" t="n">
        <x:f>SUM(EXP(-D3*E2_tabla_vida!$X$2)*E2_tabla_vida!$P$2,EXP(-D3*E2_tabla_vida!$X$3)*E2_tabla_vida!$P$3,EXP(-D3*E2_tabla_vida!$X$4)*E2_tabla_vida!$P$4,EXP(-D3*E2_tabla_vida!$X$5)*E2_tabla_vida!$P$5,EXP(-D3*E2_tabla_vida!$X$6)*E2_tabla_vida!$P$6,EXP(-D3*E2_tabla_vida!$X$7)*E2_tabla_vida!$P$7,EXP(-D3*E2_tabla_vida!$X$8)*E2_tabla_vida!$P$8,EXP(-D3*E2_tabla_vida!$X$9)*E2_tabla_vida!$P$9,EXP(-D3*E2_tabla_vida!$X$10)*E2_tabla_vida!$P$10,EXP(-D3*E2_tabla_vida!$X$11)*E2_tabla_vida!$P$11,EXP(-D3*E2_tabla_vida!$X$12)*E2_tabla_vida!$P$12,EXP(-D3*E2_tabla_vida!$X$13)*E2_tabla_vida!$P$13,EXP(-D3*E2_tabla_vida!$X$14)*E2_tabla_vida!$P$14,EXP(-D3*E2_tabla_vida!$X$15)*E2_tabla_vida!$P$15,EXP(-D3*E2_tabla_vida!$X$16)*E2_tabla_vida!$P$16,EXP(-D3*E2_tabla_vida!$X$17)*E2_tabla_vida!$P$17,EXP(-D3*E2_tabla_vida!$X$18)*E2_tabla_vida!$P$18,EXP(-D3*E2_tabla_vida!$X$19)*E2_tabla_vida!$P$19,EXP(-D3*E2_tabla_vida!$X$20)*E2_tabla_vida!$P$20,EXP(-D3*E2_tabla_vida!$X$21)*E2_tabla_vida!$P$21,EXP(-D3*E2_tabla_vida!$X$22)*E2_tabla_vida!$P$22,EXP(-D3*E2_tabla_vida!$X$23)*E2_tabla_vida!$P$23,EXP(-D3*E2_tabla_vida!$X$24)*E2_tabla_vida!$P$24,EXP(-D3*E2_tabla_vida!$X$25)*E2_tabla_vida!$P$25,EXP(-D3*E2_tabla_vida!$X$26)*E2_tabla_vida!$P$26,EXP(-D3*E2_tabla_vida!$X$27)*E2_tabla_vida!$P$27,EXP(-D3*E2_tabla_vida!$X$28)*E2_tabla_vida!$P$28,EXP(-D3*E2_tabla_vida!$X$29)*E2_tabla_vida!$P$29,EXP(-D3*E2_tabla_vida!$X$30)*E2_tabla_vida!$P$30,EXP(-D3*E2_tabla_vida!$X$31)*E2_tabla_vida!$P$31,EXP(-D3*E2_tabla_vida!$X$32)*E2_tabla_vida!$P$32,EXP(-D3*E2_tabla_vida!$X$33)*E2_tabla_vida!$P$33,EXP(-D3*E2_tabla_vida!$X$34)*E2_tabla_vida!$P$34,EXP(-D3*E2_tabla_vida!$X$35)*E2_tabla_vida!$P$35,EXP(-D3*E2_tabla_vida!$X$36)*E2_tabla_vida!$P$36,EXP(-D3*E2_tabla_vida!$X$37)*E2_tabla_vida!$P$37,EXP(-D3*E2_tabla_vida!$X$38)*E2_tabla_vida!$P$38,EXP(-D3*E2_tabla_vida!$X$39)*E2_tabla_vida!$P$39,EXP(-D3*E2_tabla_vida!$X$40)*E2_tabla_vida!$P$40,EXP(-D3*E2_tabla_vida!$X$41)*E2_tabla_vida!$P$41,EXP(-D3*E2_tabla_vida!$X$42)*E2_tabla_vida!$P$42,EXP(-D3*E2_tabla_vida!$X$43)*E2_tabla_vida!$P$43)-1</x:f>
        <x:v>-0.948462629737846</x:v>
      </x:c>
    </x:row>
    <x:row r="4" ht="19" customHeight="1">
      <x:c r="A4" s="2" t="str">
        <x:v>MP_L0</x:v>
      </x:c>
      <x:c r="B4" s="2" t="n">
        <x:v>2</x:v>
      </x:c>
      <x:c r="C4" s="22" t="n">
        <x:f>IF(F3&gt;0,E3,C3)</x:f>
        <x:v>-0.25</x:v>
      </x:c>
      <x:c r="D4" s="22" t="n">
        <x:f>IF(F3&gt;0,D3,E3)</x:f>
        <x:v>0.5</x:v>
      </x:c>
      <x:c r="E4" s="22" t="n">
        <x:f>AVERAGE(C4:D4)</x:f>
        <x:v>0.125</x:v>
      </x:c>
      <x:c r="F4" s="24" t="n">
        <x:f>SUM(EXP(-E4*E2_tabla_vida!$X$2)*E2_tabla_vida!$P$2,EXP(-E4*E2_tabla_vida!$X$3)*E2_tabla_vida!$P$3,EXP(-E4*E2_tabla_vida!$X$4)*E2_tabla_vida!$P$4,EXP(-E4*E2_tabla_vida!$X$5)*E2_tabla_vida!$P$5,EXP(-E4*E2_tabla_vida!$X$6)*E2_tabla_vida!$P$6,EXP(-E4*E2_tabla_vida!$X$7)*E2_tabla_vida!$P$7,EXP(-E4*E2_tabla_vida!$X$8)*E2_tabla_vida!$P$8,EXP(-E4*E2_tabla_vida!$X$9)*E2_tabla_vida!$P$9,EXP(-E4*E2_tabla_vida!$X$10)*E2_tabla_vida!$P$10,EXP(-E4*E2_tabla_vida!$X$11)*E2_tabla_vida!$P$11,EXP(-E4*E2_tabla_vida!$X$12)*E2_tabla_vida!$P$12,EXP(-E4*E2_tabla_vida!$X$13)*E2_tabla_vida!$P$13,EXP(-E4*E2_tabla_vida!$X$14)*E2_tabla_vida!$P$14,EXP(-E4*E2_tabla_vida!$X$15)*E2_tabla_vida!$P$15,EXP(-E4*E2_tabla_vida!$X$16)*E2_tabla_vida!$P$16,EXP(-E4*E2_tabla_vida!$X$17)*E2_tabla_vida!$P$17,EXP(-E4*E2_tabla_vida!$X$18)*E2_tabla_vida!$P$18,EXP(-E4*E2_tabla_vida!$X$19)*E2_tabla_vida!$P$19,EXP(-E4*E2_tabla_vida!$X$20)*E2_tabla_vida!$P$20,EXP(-E4*E2_tabla_vida!$X$21)*E2_tabla_vida!$P$21,EXP(-E4*E2_tabla_vida!$X$22)*E2_tabla_vida!$P$22,EXP(-E4*E2_tabla_vida!$X$23)*E2_tabla_vida!$P$23,EXP(-E4*E2_tabla_vida!$X$24)*E2_tabla_vida!$P$24,EXP(-E4*E2_tabla_vida!$X$25)*E2_tabla_vida!$P$25,EXP(-E4*E2_tabla_vida!$X$26)*E2_tabla_vida!$P$26,EXP(-E4*E2_tabla_vida!$X$27)*E2_tabla_vida!$P$27,EXP(-E4*E2_tabla_vida!$X$28)*E2_tabla_vida!$P$28,EXP(-E4*E2_tabla_vida!$X$29)*E2_tabla_vida!$P$29,EXP(-E4*E2_tabla_vida!$X$30)*E2_tabla_vida!$P$30,EXP(-E4*E2_tabla_vida!$X$31)*E2_tabla_vida!$P$31,EXP(-E4*E2_tabla_vida!$X$32)*E2_tabla_vida!$P$32,EXP(-E4*E2_tabla_vida!$X$33)*E2_tabla_vida!$P$33,EXP(-E4*E2_tabla_vida!$X$34)*E2_tabla_vida!$P$34,EXP(-E4*E2_tabla_vida!$X$35)*E2_tabla_vida!$P$35,EXP(-E4*E2_tabla_vida!$X$36)*E2_tabla_vida!$P$36,EXP(-E4*E2_tabla_vida!$X$37)*E2_tabla_vida!$P$37,EXP(-E4*E2_tabla_vida!$X$38)*E2_tabla_vida!$P$38,EXP(-E4*E2_tabla_vida!$X$39)*E2_tabla_vida!$P$39,EXP(-E4*E2_tabla_vida!$X$40)*E2_tabla_vida!$P$40,EXP(-E4*E2_tabla_vida!$X$41)*E2_tabla_vida!$P$41,EXP(-E4*E2_tabla_vida!$X$42)*E2_tabla_vida!$P$42,EXP(-E4*E2_tabla_vida!$X$43)*E2_tabla_vida!$P$43)-1</x:f>
        <x:v>6.031089127896456</x:v>
      </x:c>
      <x:c r="G4" s="24" t="n">
        <x:f>SUM(EXP(-C4*E2_tabla_vida!$X$2)*E2_tabla_vida!$P$2,EXP(-C4*E2_tabla_vida!$X$3)*E2_tabla_vida!$P$3,EXP(-C4*E2_tabla_vida!$X$4)*E2_tabla_vida!$P$4,EXP(-C4*E2_tabla_vida!$X$5)*E2_tabla_vida!$P$5,EXP(-C4*E2_tabla_vida!$X$6)*E2_tabla_vida!$P$6,EXP(-C4*E2_tabla_vida!$X$7)*E2_tabla_vida!$P$7,EXP(-C4*E2_tabla_vida!$X$8)*E2_tabla_vida!$P$8,EXP(-C4*E2_tabla_vida!$X$9)*E2_tabla_vida!$P$9,EXP(-C4*E2_tabla_vida!$X$10)*E2_tabla_vida!$P$10,EXP(-C4*E2_tabla_vida!$X$11)*E2_tabla_vida!$P$11,EXP(-C4*E2_tabla_vida!$X$12)*E2_tabla_vida!$P$12,EXP(-C4*E2_tabla_vida!$X$13)*E2_tabla_vida!$P$13,EXP(-C4*E2_tabla_vida!$X$14)*E2_tabla_vida!$P$14,EXP(-C4*E2_tabla_vida!$X$15)*E2_tabla_vida!$P$15,EXP(-C4*E2_tabla_vida!$X$16)*E2_tabla_vida!$P$16,EXP(-C4*E2_tabla_vida!$X$17)*E2_tabla_vida!$P$17,EXP(-C4*E2_tabla_vida!$X$18)*E2_tabla_vida!$P$18,EXP(-C4*E2_tabla_vida!$X$19)*E2_tabla_vida!$P$19,EXP(-C4*E2_tabla_vida!$X$20)*E2_tabla_vida!$P$20,EXP(-C4*E2_tabla_vida!$X$21)*E2_tabla_vida!$P$21,EXP(-C4*E2_tabla_vida!$X$22)*E2_tabla_vida!$P$22,EXP(-C4*E2_tabla_vida!$X$23)*E2_tabla_vida!$P$23,EXP(-C4*E2_tabla_vida!$X$24)*E2_tabla_vida!$P$24,EXP(-C4*E2_tabla_vida!$X$25)*E2_tabla_vida!$P$25,EXP(-C4*E2_tabla_vida!$X$26)*E2_tabla_vida!$P$26,EXP(-C4*E2_tabla_vida!$X$27)*E2_tabla_vida!$P$27,EXP(-C4*E2_tabla_vida!$X$28)*E2_tabla_vida!$P$28,EXP(-C4*E2_tabla_vida!$X$29)*E2_tabla_vida!$P$29,EXP(-C4*E2_tabla_vida!$X$30)*E2_tabla_vida!$P$30,EXP(-C4*E2_tabla_vida!$X$31)*E2_tabla_vida!$P$31,EXP(-C4*E2_tabla_vida!$X$32)*E2_tabla_vida!$P$32,EXP(-C4*E2_tabla_vida!$X$33)*E2_tabla_vida!$P$33,EXP(-C4*E2_tabla_vida!$X$34)*E2_tabla_vida!$P$34,EXP(-C4*E2_tabla_vida!$X$35)*E2_tabla_vida!$P$35,EXP(-C4*E2_tabla_vida!$X$36)*E2_tabla_vida!$P$36,EXP(-C4*E2_tabla_vida!$X$37)*E2_tabla_vida!$P$37,EXP(-C4*E2_tabla_vida!$X$38)*E2_tabla_vida!$P$38,EXP(-C4*E2_tabla_vida!$X$39)*E2_tabla_vida!$P$39,EXP(-C4*E2_tabla_vida!$X$40)*E2_tabla_vida!$P$40,EXP(-C4*E2_tabla_vida!$X$41)*E2_tabla_vida!$P$41,EXP(-C4*E2_tabla_vida!$X$42)*E2_tabla_vida!$P$42,EXP(-C4*E2_tabla_vida!$X$43)*E2_tabla_vida!$P$43)-1</x:f>
        <x:v>17021.43504489155</x:v>
      </x:c>
      <x:c r="H4" s="24" t="n">
        <x:f>SUM(EXP(-D4*E2_tabla_vida!$X$2)*E2_tabla_vida!$P$2,EXP(-D4*E2_tabla_vida!$X$3)*E2_tabla_vida!$P$3,EXP(-D4*E2_tabla_vida!$X$4)*E2_tabla_vida!$P$4,EXP(-D4*E2_tabla_vida!$X$5)*E2_tabla_vida!$P$5,EXP(-D4*E2_tabla_vida!$X$6)*E2_tabla_vida!$P$6,EXP(-D4*E2_tabla_vida!$X$7)*E2_tabla_vida!$P$7,EXP(-D4*E2_tabla_vida!$X$8)*E2_tabla_vida!$P$8,EXP(-D4*E2_tabla_vida!$X$9)*E2_tabla_vida!$P$9,EXP(-D4*E2_tabla_vida!$X$10)*E2_tabla_vida!$P$10,EXP(-D4*E2_tabla_vida!$X$11)*E2_tabla_vida!$P$11,EXP(-D4*E2_tabla_vida!$X$12)*E2_tabla_vida!$P$12,EXP(-D4*E2_tabla_vida!$X$13)*E2_tabla_vida!$P$13,EXP(-D4*E2_tabla_vida!$X$14)*E2_tabla_vida!$P$14,EXP(-D4*E2_tabla_vida!$X$15)*E2_tabla_vida!$P$15,EXP(-D4*E2_tabla_vida!$X$16)*E2_tabla_vida!$P$16,EXP(-D4*E2_tabla_vida!$X$17)*E2_tabla_vida!$P$17,EXP(-D4*E2_tabla_vida!$X$18)*E2_tabla_vida!$P$18,EXP(-D4*E2_tabla_vida!$X$19)*E2_tabla_vida!$P$19,EXP(-D4*E2_tabla_vida!$X$20)*E2_tabla_vida!$P$20,EXP(-D4*E2_tabla_vida!$X$21)*E2_tabla_vida!$P$21,EXP(-D4*E2_tabla_vida!$X$22)*E2_tabla_vida!$P$22,EXP(-D4*E2_tabla_vida!$X$23)*E2_tabla_vida!$P$23,EXP(-D4*E2_tabla_vida!$X$24)*E2_tabla_vida!$P$24,EXP(-D4*E2_tabla_vida!$X$25)*E2_tabla_vida!$P$25,EXP(-D4*E2_tabla_vida!$X$26)*E2_tabla_vida!$P$26,EXP(-D4*E2_tabla_vida!$X$27)*E2_tabla_vida!$P$27,EXP(-D4*E2_tabla_vida!$X$28)*E2_tabla_vida!$P$28,EXP(-D4*E2_tabla_vida!$X$29)*E2_tabla_vida!$P$29,EXP(-D4*E2_tabla_vida!$X$30)*E2_tabla_vida!$P$30,EXP(-D4*E2_tabla_vida!$X$31)*E2_tabla_vida!$P$31,EXP(-D4*E2_tabla_vida!$X$32)*E2_tabla_vida!$P$32,EXP(-D4*E2_tabla_vida!$X$33)*E2_tabla_vida!$P$33,EXP(-D4*E2_tabla_vida!$X$34)*E2_tabla_vida!$P$34,EXP(-D4*E2_tabla_vida!$X$35)*E2_tabla_vida!$P$35,EXP(-D4*E2_tabla_vida!$X$36)*E2_tabla_vida!$P$36,EXP(-D4*E2_tabla_vida!$X$37)*E2_tabla_vida!$P$37,EXP(-D4*E2_tabla_vida!$X$38)*E2_tabla_vida!$P$38,EXP(-D4*E2_tabla_vida!$X$39)*E2_tabla_vida!$P$39,EXP(-D4*E2_tabla_vida!$X$40)*E2_tabla_vida!$P$40,EXP(-D4*E2_tabla_vida!$X$41)*E2_tabla_vida!$P$41,EXP(-D4*E2_tabla_vida!$X$42)*E2_tabla_vida!$P$42,EXP(-D4*E2_tabla_vida!$X$43)*E2_tabla_vida!$P$43)-1</x:f>
        <x:v>-0.948462629737846</x:v>
      </x:c>
    </x:row>
    <x:row r="5" ht="19" customHeight="1">
      <x:c r="A5" s="2" t="str">
        <x:v>MP_L0</x:v>
      </x:c>
      <x:c r="B5" s="2" t="n">
        <x:v>3</x:v>
      </x:c>
      <x:c r="C5" s="22" t="n">
        <x:f>IF(F4&gt;0,E4,C4)</x:f>
        <x:v>0.125</x:v>
      </x:c>
      <x:c r="D5" s="22" t="n">
        <x:f>IF(F4&gt;0,D4,E4)</x:f>
        <x:v>0.5</x:v>
      </x:c>
      <x:c r="E5" s="22" t="n">
        <x:f>AVERAGE(C5:D5)</x:f>
        <x:v>0.3125</x:v>
      </x:c>
      <x:c r="F5" s="24" t="n">
        <x:f>SUM(EXP(-E5*E2_tabla_vida!$X$2)*E2_tabla_vida!$P$2,EXP(-E5*E2_tabla_vida!$X$3)*E2_tabla_vida!$P$3,EXP(-E5*E2_tabla_vida!$X$4)*E2_tabla_vida!$P$4,EXP(-E5*E2_tabla_vida!$X$5)*E2_tabla_vida!$P$5,EXP(-E5*E2_tabla_vida!$X$6)*E2_tabla_vida!$P$6,EXP(-E5*E2_tabla_vida!$X$7)*E2_tabla_vida!$P$7,EXP(-E5*E2_tabla_vida!$X$8)*E2_tabla_vida!$P$8,EXP(-E5*E2_tabla_vida!$X$9)*E2_tabla_vida!$P$9,EXP(-E5*E2_tabla_vida!$X$10)*E2_tabla_vida!$P$10,EXP(-E5*E2_tabla_vida!$X$11)*E2_tabla_vida!$P$11,EXP(-E5*E2_tabla_vida!$X$12)*E2_tabla_vida!$P$12,EXP(-E5*E2_tabla_vida!$X$13)*E2_tabla_vida!$P$13,EXP(-E5*E2_tabla_vida!$X$14)*E2_tabla_vida!$P$14,EXP(-E5*E2_tabla_vida!$X$15)*E2_tabla_vida!$P$15,EXP(-E5*E2_tabla_vida!$X$16)*E2_tabla_vida!$P$16,EXP(-E5*E2_tabla_vida!$X$17)*E2_tabla_vida!$P$17,EXP(-E5*E2_tabla_vida!$X$18)*E2_tabla_vida!$P$18,EXP(-E5*E2_tabla_vida!$X$19)*E2_tabla_vida!$P$19,EXP(-E5*E2_tabla_vida!$X$20)*E2_tabla_vida!$P$20,EXP(-E5*E2_tabla_vida!$X$21)*E2_tabla_vida!$P$21,EXP(-E5*E2_tabla_vida!$X$22)*E2_tabla_vida!$P$22,EXP(-E5*E2_tabla_vida!$X$23)*E2_tabla_vida!$P$23,EXP(-E5*E2_tabla_vida!$X$24)*E2_tabla_vida!$P$24,EXP(-E5*E2_tabla_vida!$X$25)*E2_tabla_vida!$P$25,EXP(-E5*E2_tabla_vida!$X$26)*E2_tabla_vida!$P$26,EXP(-E5*E2_tabla_vida!$X$27)*E2_tabla_vida!$P$27,EXP(-E5*E2_tabla_vida!$X$28)*E2_tabla_vida!$P$28,EXP(-E5*E2_tabla_vida!$X$29)*E2_tabla_vida!$P$29,EXP(-E5*E2_tabla_vida!$X$30)*E2_tabla_vida!$P$30,EXP(-E5*E2_tabla_vida!$X$31)*E2_tabla_vida!$P$31,EXP(-E5*E2_tabla_vida!$X$32)*E2_tabla_vida!$P$32,EXP(-E5*E2_tabla_vida!$X$33)*E2_tabla_vida!$P$33,EXP(-E5*E2_tabla_vida!$X$34)*E2_tabla_vida!$P$34,EXP(-E5*E2_tabla_vida!$X$35)*E2_tabla_vida!$P$35,EXP(-E5*E2_tabla_vida!$X$36)*E2_tabla_vida!$P$36,EXP(-E5*E2_tabla_vida!$X$37)*E2_tabla_vida!$P$37,EXP(-E5*E2_tabla_vida!$X$38)*E2_tabla_vida!$P$38,EXP(-E5*E2_tabla_vida!$X$39)*E2_tabla_vida!$P$39,EXP(-E5*E2_tabla_vida!$X$40)*E2_tabla_vida!$P$40,EXP(-E5*E2_tabla_vida!$X$41)*E2_tabla_vida!$P$41,EXP(-E5*E2_tabla_vida!$X$42)*E2_tabla_vida!$P$42,EXP(-E5*E2_tabla_vida!$X$43)*E2_tabla_vida!$P$43)-1</x:f>
        <x:v>-0.4911526915393658</x:v>
      </x:c>
      <x:c r="G5" s="24" t="n">
        <x:f>SUM(EXP(-C5*E2_tabla_vida!$X$2)*E2_tabla_vida!$P$2,EXP(-C5*E2_tabla_vida!$X$3)*E2_tabla_vida!$P$3,EXP(-C5*E2_tabla_vida!$X$4)*E2_tabla_vida!$P$4,EXP(-C5*E2_tabla_vida!$X$5)*E2_tabla_vida!$P$5,EXP(-C5*E2_tabla_vida!$X$6)*E2_tabla_vida!$P$6,EXP(-C5*E2_tabla_vida!$X$7)*E2_tabla_vida!$P$7,EXP(-C5*E2_tabla_vida!$X$8)*E2_tabla_vida!$P$8,EXP(-C5*E2_tabla_vida!$X$9)*E2_tabla_vida!$P$9,EXP(-C5*E2_tabla_vida!$X$10)*E2_tabla_vida!$P$10,EXP(-C5*E2_tabla_vida!$X$11)*E2_tabla_vida!$P$11,EXP(-C5*E2_tabla_vida!$X$12)*E2_tabla_vida!$P$12,EXP(-C5*E2_tabla_vida!$X$13)*E2_tabla_vida!$P$13,EXP(-C5*E2_tabla_vida!$X$14)*E2_tabla_vida!$P$14,EXP(-C5*E2_tabla_vida!$X$15)*E2_tabla_vida!$P$15,EXP(-C5*E2_tabla_vida!$X$16)*E2_tabla_vida!$P$16,EXP(-C5*E2_tabla_vida!$X$17)*E2_tabla_vida!$P$17,EXP(-C5*E2_tabla_vida!$X$18)*E2_tabla_vida!$P$18,EXP(-C5*E2_tabla_vida!$X$19)*E2_tabla_vida!$P$19,EXP(-C5*E2_tabla_vida!$X$20)*E2_tabla_vida!$P$20,EXP(-C5*E2_tabla_vida!$X$21)*E2_tabla_vida!$P$21,EXP(-C5*E2_tabla_vida!$X$22)*E2_tabla_vida!$P$22,EXP(-C5*E2_tabla_vida!$X$23)*E2_tabla_vida!$P$23,EXP(-C5*E2_tabla_vida!$X$24)*E2_tabla_vida!$P$24,EXP(-C5*E2_tabla_vida!$X$25)*E2_tabla_vida!$P$25,EXP(-C5*E2_tabla_vida!$X$26)*E2_tabla_vida!$P$26,EXP(-C5*E2_tabla_vida!$X$27)*E2_tabla_vida!$P$27,EXP(-C5*E2_tabla_vida!$X$28)*E2_tabla_vida!$P$28,EXP(-C5*E2_tabla_vida!$X$29)*E2_tabla_vida!$P$29,EXP(-C5*E2_tabla_vida!$X$30)*E2_tabla_vida!$P$30,EXP(-C5*E2_tabla_vida!$X$31)*E2_tabla_vida!$P$31,EXP(-C5*E2_tabla_vida!$X$32)*E2_tabla_vida!$P$32,EXP(-C5*E2_tabla_vida!$X$33)*E2_tabla_vida!$P$33,EXP(-C5*E2_tabla_vida!$X$34)*E2_tabla_vida!$P$34,EXP(-C5*E2_tabla_vida!$X$35)*E2_tabla_vida!$P$35,EXP(-C5*E2_tabla_vida!$X$36)*E2_tabla_vida!$P$36,EXP(-C5*E2_tabla_vida!$X$37)*E2_tabla_vida!$P$37,EXP(-C5*E2_tabla_vida!$X$38)*E2_tabla_vida!$P$38,EXP(-C5*E2_tabla_vida!$X$39)*E2_tabla_vida!$P$39,EXP(-C5*E2_tabla_vida!$X$40)*E2_tabla_vida!$P$40,EXP(-C5*E2_tabla_vida!$X$41)*E2_tabla_vida!$P$41,EXP(-C5*E2_tabla_vida!$X$42)*E2_tabla_vida!$P$42,EXP(-C5*E2_tabla_vida!$X$43)*E2_tabla_vida!$P$43)-1</x:f>
        <x:v>6.031089127896456</x:v>
      </x:c>
      <x:c r="H5" s="24" t="n">
        <x:f>SUM(EXP(-D5*E2_tabla_vida!$X$2)*E2_tabla_vida!$P$2,EXP(-D5*E2_tabla_vida!$X$3)*E2_tabla_vida!$P$3,EXP(-D5*E2_tabla_vida!$X$4)*E2_tabla_vida!$P$4,EXP(-D5*E2_tabla_vida!$X$5)*E2_tabla_vida!$P$5,EXP(-D5*E2_tabla_vida!$X$6)*E2_tabla_vida!$P$6,EXP(-D5*E2_tabla_vida!$X$7)*E2_tabla_vida!$P$7,EXP(-D5*E2_tabla_vida!$X$8)*E2_tabla_vida!$P$8,EXP(-D5*E2_tabla_vida!$X$9)*E2_tabla_vida!$P$9,EXP(-D5*E2_tabla_vida!$X$10)*E2_tabla_vida!$P$10,EXP(-D5*E2_tabla_vida!$X$11)*E2_tabla_vida!$P$11,EXP(-D5*E2_tabla_vida!$X$12)*E2_tabla_vida!$P$12,EXP(-D5*E2_tabla_vida!$X$13)*E2_tabla_vida!$P$13,EXP(-D5*E2_tabla_vida!$X$14)*E2_tabla_vida!$P$14,EXP(-D5*E2_tabla_vida!$X$15)*E2_tabla_vida!$P$15,EXP(-D5*E2_tabla_vida!$X$16)*E2_tabla_vida!$P$16,EXP(-D5*E2_tabla_vida!$X$17)*E2_tabla_vida!$P$17,EXP(-D5*E2_tabla_vida!$X$18)*E2_tabla_vida!$P$18,EXP(-D5*E2_tabla_vida!$X$19)*E2_tabla_vida!$P$19,EXP(-D5*E2_tabla_vida!$X$20)*E2_tabla_vida!$P$20,EXP(-D5*E2_tabla_vida!$X$21)*E2_tabla_vida!$P$21,EXP(-D5*E2_tabla_vida!$X$22)*E2_tabla_vida!$P$22,EXP(-D5*E2_tabla_vida!$X$23)*E2_tabla_vida!$P$23,EXP(-D5*E2_tabla_vida!$X$24)*E2_tabla_vida!$P$24,EXP(-D5*E2_tabla_vida!$X$25)*E2_tabla_vida!$P$25,EXP(-D5*E2_tabla_vida!$X$26)*E2_tabla_vida!$P$26,EXP(-D5*E2_tabla_vida!$X$27)*E2_tabla_vida!$P$27,EXP(-D5*E2_tabla_vida!$X$28)*E2_tabla_vida!$P$28,EXP(-D5*E2_tabla_vida!$X$29)*E2_tabla_vida!$P$29,EXP(-D5*E2_tabla_vida!$X$30)*E2_tabla_vida!$P$30,EXP(-D5*E2_tabla_vida!$X$31)*E2_tabla_vida!$P$31,EXP(-D5*E2_tabla_vida!$X$32)*E2_tabla_vida!$P$32,EXP(-D5*E2_tabla_vida!$X$33)*E2_tabla_vida!$P$33,EXP(-D5*E2_tabla_vida!$X$34)*E2_tabla_vida!$P$34,EXP(-D5*E2_tabla_vida!$X$35)*E2_tabla_vida!$P$35,EXP(-D5*E2_tabla_vida!$X$36)*E2_tabla_vida!$P$36,EXP(-D5*E2_tabla_vida!$X$37)*E2_tabla_vida!$P$37,EXP(-D5*E2_tabla_vida!$X$38)*E2_tabla_vida!$P$38,EXP(-D5*E2_tabla_vida!$X$39)*E2_tabla_vida!$P$39,EXP(-D5*E2_tabla_vida!$X$40)*E2_tabla_vida!$P$40,EXP(-D5*E2_tabla_vida!$X$41)*E2_tabla_vida!$P$41,EXP(-D5*E2_tabla_vida!$X$42)*E2_tabla_vida!$P$42,EXP(-D5*E2_tabla_vida!$X$43)*E2_tabla_vida!$P$43)-1</x:f>
        <x:v>-0.948462629737846</x:v>
      </x:c>
    </x:row>
    <x:row r="6" ht="19" customHeight="1">
      <x:c r="A6" s="2" t="str">
        <x:v>MP_L0</x:v>
      </x:c>
      <x:c r="B6" s="2" t="n">
        <x:v>4</x:v>
      </x:c>
      <x:c r="C6" s="22" t="n">
        <x:f>IF(F5&gt;0,E5,C5)</x:f>
        <x:v>0.125</x:v>
      </x:c>
      <x:c r="D6" s="22" t="n">
        <x:f>IF(F5&gt;0,D5,E5)</x:f>
        <x:v>0.3125</x:v>
      </x:c>
      <x:c r="E6" s="22" t="n">
        <x:f>AVERAGE(C6:D6)</x:f>
        <x:v>0.21875</x:v>
      </x:c>
      <x:c r="F6" s="24" t="n">
        <x:f>SUM(EXP(-E6*E2_tabla_vida!$X$2)*E2_tabla_vida!$P$2,EXP(-E6*E2_tabla_vida!$X$3)*E2_tabla_vida!$P$3,EXP(-E6*E2_tabla_vida!$X$4)*E2_tabla_vida!$P$4,EXP(-E6*E2_tabla_vida!$X$5)*E2_tabla_vida!$P$5,EXP(-E6*E2_tabla_vida!$X$6)*E2_tabla_vida!$P$6,EXP(-E6*E2_tabla_vida!$X$7)*E2_tabla_vida!$P$7,EXP(-E6*E2_tabla_vida!$X$8)*E2_tabla_vida!$P$8,EXP(-E6*E2_tabla_vida!$X$9)*E2_tabla_vida!$P$9,EXP(-E6*E2_tabla_vida!$X$10)*E2_tabla_vida!$P$10,EXP(-E6*E2_tabla_vida!$X$11)*E2_tabla_vida!$P$11,EXP(-E6*E2_tabla_vida!$X$12)*E2_tabla_vida!$P$12,EXP(-E6*E2_tabla_vida!$X$13)*E2_tabla_vida!$P$13,EXP(-E6*E2_tabla_vida!$X$14)*E2_tabla_vida!$P$14,EXP(-E6*E2_tabla_vida!$X$15)*E2_tabla_vida!$P$15,EXP(-E6*E2_tabla_vida!$X$16)*E2_tabla_vida!$P$16,EXP(-E6*E2_tabla_vida!$X$17)*E2_tabla_vida!$P$17,EXP(-E6*E2_tabla_vida!$X$18)*E2_tabla_vida!$P$18,EXP(-E6*E2_tabla_vida!$X$19)*E2_tabla_vida!$P$19,EXP(-E6*E2_tabla_vida!$X$20)*E2_tabla_vida!$P$20,EXP(-E6*E2_tabla_vida!$X$21)*E2_tabla_vida!$P$21,EXP(-E6*E2_tabla_vida!$X$22)*E2_tabla_vida!$P$22,EXP(-E6*E2_tabla_vida!$X$23)*E2_tabla_vida!$P$23,EXP(-E6*E2_tabla_vida!$X$24)*E2_tabla_vida!$P$24,EXP(-E6*E2_tabla_vida!$X$25)*E2_tabla_vida!$P$25,EXP(-E6*E2_tabla_vida!$X$26)*E2_tabla_vida!$P$26,EXP(-E6*E2_tabla_vida!$X$27)*E2_tabla_vida!$P$27,EXP(-E6*E2_tabla_vida!$X$28)*E2_tabla_vida!$P$28,EXP(-E6*E2_tabla_vida!$X$29)*E2_tabla_vida!$P$29,EXP(-E6*E2_tabla_vida!$X$30)*E2_tabla_vida!$P$30,EXP(-E6*E2_tabla_vida!$X$31)*E2_tabla_vida!$P$31,EXP(-E6*E2_tabla_vida!$X$32)*E2_tabla_vida!$P$32,EXP(-E6*E2_tabla_vida!$X$33)*E2_tabla_vida!$P$33,EXP(-E6*E2_tabla_vida!$X$34)*E2_tabla_vida!$P$34,EXP(-E6*E2_tabla_vida!$X$35)*E2_tabla_vida!$P$35,EXP(-E6*E2_tabla_vida!$X$36)*E2_tabla_vida!$P$36,EXP(-E6*E2_tabla_vida!$X$37)*E2_tabla_vida!$P$37,EXP(-E6*E2_tabla_vida!$X$38)*E2_tabla_vida!$P$38,EXP(-E6*E2_tabla_vida!$X$39)*E2_tabla_vida!$P$39,EXP(-E6*E2_tabla_vida!$X$40)*E2_tabla_vida!$P$40,EXP(-E6*E2_tabla_vida!$X$41)*E2_tabla_vida!$P$41,EXP(-E6*E2_tabla_vida!$X$42)*E2_tabla_vida!$P$42,EXP(-E6*E2_tabla_vida!$X$43)*E2_tabla_vida!$P$43)-1</x:f>
        <x:v>0.7825214561890961</x:v>
      </x:c>
      <x:c r="G6" s="24" t="n">
        <x:f>SUM(EXP(-C6*E2_tabla_vida!$X$2)*E2_tabla_vida!$P$2,EXP(-C6*E2_tabla_vida!$X$3)*E2_tabla_vida!$P$3,EXP(-C6*E2_tabla_vida!$X$4)*E2_tabla_vida!$P$4,EXP(-C6*E2_tabla_vida!$X$5)*E2_tabla_vida!$P$5,EXP(-C6*E2_tabla_vida!$X$6)*E2_tabla_vida!$P$6,EXP(-C6*E2_tabla_vida!$X$7)*E2_tabla_vida!$P$7,EXP(-C6*E2_tabla_vida!$X$8)*E2_tabla_vida!$P$8,EXP(-C6*E2_tabla_vida!$X$9)*E2_tabla_vida!$P$9,EXP(-C6*E2_tabla_vida!$X$10)*E2_tabla_vida!$P$10,EXP(-C6*E2_tabla_vida!$X$11)*E2_tabla_vida!$P$11,EXP(-C6*E2_tabla_vida!$X$12)*E2_tabla_vida!$P$12,EXP(-C6*E2_tabla_vida!$X$13)*E2_tabla_vida!$P$13,EXP(-C6*E2_tabla_vida!$X$14)*E2_tabla_vida!$P$14,EXP(-C6*E2_tabla_vida!$X$15)*E2_tabla_vida!$P$15,EXP(-C6*E2_tabla_vida!$X$16)*E2_tabla_vida!$P$16,EXP(-C6*E2_tabla_vida!$X$17)*E2_tabla_vida!$P$17,EXP(-C6*E2_tabla_vida!$X$18)*E2_tabla_vida!$P$18,EXP(-C6*E2_tabla_vida!$X$19)*E2_tabla_vida!$P$19,EXP(-C6*E2_tabla_vida!$X$20)*E2_tabla_vida!$P$20,EXP(-C6*E2_tabla_vida!$X$21)*E2_tabla_vida!$P$21,EXP(-C6*E2_tabla_vida!$X$22)*E2_tabla_vida!$P$22,EXP(-C6*E2_tabla_vida!$X$23)*E2_tabla_vida!$P$23,EXP(-C6*E2_tabla_vida!$X$24)*E2_tabla_vida!$P$24,EXP(-C6*E2_tabla_vida!$X$25)*E2_tabla_vida!$P$25,EXP(-C6*E2_tabla_vida!$X$26)*E2_tabla_vida!$P$26,EXP(-C6*E2_tabla_vida!$X$27)*E2_tabla_vida!$P$27,EXP(-C6*E2_tabla_vida!$X$28)*E2_tabla_vida!$P$28,EXP(-C6*E2_tabla_vida!$X$29)*E2_tabla_vida!$P$29,EXP(-C6*E2_tabla_vida!$X$30)*E2_tabla_vida!$P$30,EXP(-C6*E2_tabla_vida!$X$31)*E2_tabla_vida!$P$31,EXP(-C6*E2_tabla_vida!$X$32)*E2_tabla_vida!$P$32,EXP(-C6*E2_tabla_vida!$X$33)*E2_tabla_vida!$P$33,EXP(-C6*E2_tabla_vida!$X$34)*E2_tabla_vida!$P$34,EXP(-C6*E2_tabla_vida!$X$35)*E2_tabla_vida!$P$35,EXP(-C6*E2_tabla_vida!$X$36)*E2_tabla_vida!$P$36,EXP(-C6*E2_tabla_vida!$X$37)*E2_tabla_vida!$P$37,EXP(-C6*E2_tabla_vida!$X$38)*E2_tabla_vida!$P$38,EXP(-C6*E2_tabla_vida!$X$39)*E2_tabla_vida!$P$39,EXP(-C6*E2_tabla_vida!$X$40)*E2_tabla_vida!$P$40,EXP(-C6*E2_tabla_vida!$X$41)*E2_tabla_vida!$P$41,EXP(-C6*E2_tabla_vida!$X$42)*E2_tabla_vida!$P$42,EXP(-C6*E2_tabla_vida!$X$43)*E2_tabla_vida!$P$43)-1</x:f>
        <x:v>6.031089127896456</x:v>
      </x:c>
      <x:c r="H6" s="24" t="n">
        <x:f>SUM(EXP(-D6*E2_tabla_vida!$X$2)*E2_tabla_vida!$P$2,EXP(-D6*E2_tabla_vida!$X$3)*E2_tabla_vida!$P$3,EXP(-D6*E2_tabla_vida!$X$4)*E2_tabla_vida!$P$4,EXP(-D6*E2_tabla_vida!$X$5)*E2_tabla_vida!$P$5,EXP(-D6*E2_tabla_vida!$X$6)*E2_tabla_vida!$P$6,EXP(-D6*E2_tabla_vida!$X$7)*E2_tabla_vida!$P$7,EXP(-D6*E2_tabla_vida!$X$8)*E2_tabla_vida!$P$8,EXP(-D6*E2_tabla_vida!$X$9)*E2_tabla_vida!$P$9,EXP(-D6*E2_tabla_vida!$X$10)*E2_tabla_vida!$P$10,EXP(-D6*E2_tabla_vida!$X$11)*E2_tabla_vida!$P$11,EXP(-D6*E2_tabla_vida!$X$12)*E2_tabla_vida!$P$12,EXP(-D6*E2_tabla_vida!$X$13)*E2_tabla_vida!$P$13,EXP(-D6*E2_tabla_vida!$X$14)*E2_tabla_vida!$P$14,EXP(-D6*E2_tabla_vida!$X$15)*E2_tabla_vida!$P$15,EXP(-D6*E2_tabla_vida!$X$16)*E2_tabla_vida!$P$16,EXP(-D6*E2_tabla_vida!$X$17)*E2_tabla_vida!$P$17,EXP(-D6*E2_tabla_vida!$X$18)*E2_tabla_vida!$P$18,EXP(-D6*E2_tabla_vida!$X$19)*E2_tabla_vida!$P$19,EXP(-D6*E2_tabla_vida!$X$20)*E2_tabla_vida!$P$20,EXP(-D6*E2_tabla_vida!$X$21)*E2_tabla_vida!$P$21,EXP(-D6*E2_tabla_vida!$X$22)*E2_tabla_vida!$P$22,EXP(-D6*E2_tabla_vida!$X$23)*E2_tabla_vida!$P$23,EXP(-D6*E2_tabla_vida!$X$24)*E2_tabla_vida!$P$24,EXP(-D6*E2_tabla_vida!$X$25)*E2_tabla_vida!$P$25,EXP(-D6*E2_tabla_vida!$X$26)*E2_tabla_vida!$P$26,EXP(-D6*E2_tabla_vida!$X$27)*E2_tabla_vida!$P$27,EXP(-D6*E2_tabla_vida!$X$28)*E2_tabla_vida!$P$28,EXP(-D6*E2_tabla_vida!$X$29)*E2_tabla_vida!$P$29,EXP(-D6*E2_tabla_vida!$X$30)*E2_tabla_vida!$P$30,EXP(-D6*E2_tabla_vida!$X$31)*E2_tabla_vida!$P$31,EXP(-D6*E2_tabla_vida!$X$32)*E2_tabla_vida!$P$32,EXP(-D6*E2_tabla_vida!$X$33)*E2_tabla_vida!$P$33,EXP(-D6*E2_tabla_vida!$X$34)*E2_tabla_vida!$P$34,EXP(-D6*E2_tabla_vida!$X$35)*E2_tabla_vida!$P$35,EXP(-D6*E2_tabla_vida!$X$36)*E2_tabla_vida!$P$36,EXP(-D6*E2_tabla_vida!$X$37)*E2_tabla_vida!$P$37,EXP(-D6*E2_tabla_vida!$X$38)*E2_tabla_vida!$P$38,EXP(-D6*E2_tabla_vida!$X$39)*E2_tabla_vida!$P$39,EXP(-D6*E2_tabla_vida!$X$40)*E2_tabla_vida!$P$40,EXP(-D6*E2_tabla_vida!$X$41)*E2_tabla_vida!$P$41,EXP(-D6*E2_tabla_vida!$X$42)*E2_tabla_vida!$P$42,EXP(-D6*E2_tabla_vida!$X$43)*E2_tabla_vida!$P$43)-1</x:f>
        <x:v>-0.4911526915393658</x:v>
      </x:c>
    </x:row>
    <x:row r="7" ht="19" customHeight="1">
      <x:c r="A7" s="2" t="str">
        <x:v>MP_L0</x:v>
      </x:c>
      <x:c r="B7" s="2" t="n">
        <x:v>5</x:v>
      </x:c>
      <x:c r="C7" s="22" t="n">
        <x:f>IF(F6&gt;0,E6,C6)</x:f>
        <x:v>0.21875</x:v>
      </x:c>
      <x:c r="D7" s="22" t="n">
        <x:f>IF(F6&gt;0,D6,E6)</x:f>
        <x:v>0.3125</x:v>
      </x:c>
      <x:c r="E7" s="22" t="n">
        <x:f>AVERAGE(C7:D7)</x:f>
        <x:v>0.265625</x:v>
      </x:c>
      <x:c r="F7" s="24" t="n">
        <x:f>SUM(EXP(-E7*E2_tabla_vida!$X$2)*E2_tabla_vida!$P$2,EXP(-E7*E2_tabla_vida!$X$3)*E2_tabla_vida!$P$3,EXP(-E7*E2_tabla_vida!$X$4)*E2_tabla_vida!$P$4,EXP(-E7*E2_tabla_vida!$X$5)*E2_tabla_vida!$P$5,EXP(-E7*E2_tabla_vida!$X$6)*E2_tabla_vida!$P$6,EXP(-E7*E2_tabla_vida!$X$7)*E2_tabla_vida!$P$7,EXP(-E7*E2_tabla_vida!$X$8)*E2_tabla_vida!$P$8,EXP(-E7*E2_tabla_vida!$X$9)*E2_tabla_vida!$P$9,EXP(-E7*E2_tabla_vida!$X$10)*E2_tabla_vida!$P$10,EXP(-E7*E2_tabla_vida!$X$11)*E2_tabla_vida!$P$11,EXP(-E7*E2_tabla_vida!$X$12)*E2_tabla_vida!$P$12,EXP(-E7*E2_tabla_vida!$X$13)*E2_tabla_vida!$P$13,EXP(-E7*E2_tabla_vida!$X$14)*E2_tabla_vida!$P$14,EXP(-E7*E2_tabla_vida!$X$15)*E2_tabla_vida!$P$15,EXP(-E7*E2_tabla_vida!$X$16)*E2_tabla_vida!$P$16,EXP(-E7*E2_tabla_vida!$X$17)*E2_tabla_vida!$P$17,EXP(-E7*E2_tabla_vida!$X$18)*E2_tabla_vida!$P$18,EXP(-E7*E2_tabla_vida!$X$19)*E2_tabla_vida!$P$19,EXP(-E7*E2_tabla_vida!$X$20)*E2_tabla_vida!$P$20,EXP(-E7*E2_tabla_vida!$X$21)*E2_tabla_vida!$P$21,EXP(-E7*E2_tabla_vida!$X$22)*E2_tabla_vida!$P$22,EXP(-E7*E2_tabla_vida!$X$23)*E2_tabla_vida!$P$23,EXP(-E7*E2_tabla_vida!$X$24)*E2_tabla_vida!$P$24,EXP(-E7*E2_tabla_vida!$X$25)*E2_tabla_vida!$P$25,EXP(-E7*E2_tabla_vida!$X$26)*E2_tabla_vida!$P$26,EXP(-E7*E2_tabla_vida!$X$27)*E2_tabla_vida!$P$27,EXP(-E7*E2_tabla_vida!$X$28)*E2_tabla_vida!$P$28,EXP(-E7*E2_tabla_vida!$X$29)*E2_tabla_vida!$P$29,EXP(-E7*E2_tabla_vida!$X$30)*E2_tabla_vida!$P$30,EXP(-E7*E2_tabla_vida!$X$31)*E2_tabla_vida!$P$31,EXP(-E7*E2_tabla_vida!$X$32)*E2_tabla_vida!$P$32,EXP(-E7*E2_tabla_vida!$X$33)*E2_tabla_vida!$P$33,EXP(-E7*E2_tabla_vida!$X$34)*E2_tabla_vida!$P$34,EXP(-E7*E2_tabla_vida!$X$35)*E2_tabla_vida!$P$35,EXP(-E7*E2_tabla_vida!$X$36)*E2_tabla_vida!$P$36,EXP(-E7*E2_tabla_vida!$X$37)*E2_tabla_vida!$P$37,EXP(-E7*E2_tabla_vida!$X$38)*E2_tabla_vida!$P$38,EXP(-E7*E2_tabla_vida!$X$39)*E2_tabla_vida!$P$39,EXP(-E7*E2_tabla_vida!$X$40)*E2_tabla_vida!$P$40,EXP(-E7*E2_tabla_vida!$X$41)*E2_tabla_vida!$P$41,EXP(-E7*E2_tabla_vida!$X$42)*E2_tabla_vida!$P$42,EXP(-E7*E2_tabla_vida!$X$43)*E2_tabla_vida!$P$43)-1</x:f>
        <x:v>-0.05906125801439932</x:v>
      </x:c>
      <x:c r="G7" s="24" t="n">
        <x:f>SUM(EXP(-C7*E2_tabla_vida!$X$2)*E2_tabla_vida!$P$2,EXP(-C7*E2_tabla_vida!$X$3)*E2_tabla_vida!$P$3,EXP(-C7*E2_tabla_vida!$X$4)*E2_tabla_vida!$P$4,EXP(-C7*E2_tabla_vida!$X$5)*E2_tabla_vida!$P$5,EXP(-C7*E2_tabla_vida!$X$6)*E2_tabla_vida!$P$6,EXP(-C7*E2_tabla_vida!$X$7)*E2_tabla_vida!$P$7,EXP(-C7*E2_tabla_vida!$X$8)*E2_tabla_vida!$P$8,EXP(-C7*E2_tabla_vida!$X$9)*E2_tabla_vida!$P$9,EXP(-C7*E2_tabla_vida!$X$10)*E2_tabla_vida!$P$10,EXP(-C7*E2_tabla_vida!$X$11)*E2_tabla_vida!$P$11,EXP(-C7*E2_tabla_vida!$X$12)*E2_tabla_vida!$P$12,EXP(-C7*E2_tabla_vida!$X$13)*E2_tabla_vida!$P$13,EXP(-C7*E2_tabla_vida!$X$14)*E2_tabla_vida!$P$14,EXP(-C7*E2_tabla_vida!$X$15)*E2_tabla_vida!$P$15,EXP(-C7*E2_tabla_vida!$X$16)*E2_tabla_vida!$P$16,EXP(-C7*E2_tabla_vida!$X$17)*E2_tabla_vida!$P$17,EXP(-C7*E2_tabla_vida!$X$18)*E2_tabla_vida!$P$18,EXP(-C7*E2_tabla_vida!$X$19)*E2_tabla_vida!$P$19,EXP(-C7*E2_tabla_vida!$X$20)*E2_tabla_vida!$P$20,EXP(-C7*E2_tabla_vida!$X$21)*E2_tabla_vida!$P$21,EXP(-C7*E2_tabla_vida!$X$22)*E2_tabla_vida!$P$22,EXP(-C7*E2_tabla_vida!$X$23)*E2_tabla_vida!$P$23,EXP(-C7*E2_tabla_vida!$X$24)*E2_tabla_vida!$P$24,EXP(-C7*E2_tabla_vida!$X$25)*E2_tabla_vida!$P$25,EXP(-C7*E2_tabla_vida!$X$26)*E2_tabla_vida!$P$26,EXP(-C7*E2_tabla_vida!$X$27)*E2_tabla_vida!$P$27,EXP(-C7*E2_tabla_vida!$X$28)*E2_tabla_vida!$P$28,EXP(-C7*E2_tabla_vida!$X$29)*E2_tabla_vida!$P$29,EXP(-C7*E2_tabla_vida!$X$30)*E2_tabla_vida!$P$30,EXP(-C7*E2_tabla_vida!$X$31)*E2_tabla_vida!$P$31,EXP(-C7*E2_tabla_vida!$X$32)*E2_tabla_vida!$P$32,EXP(-C7*E2_tabla_vida!$X$33)*E2_tabla_vida!$P$33,EXP(-C7*E2_tabla_vida!$X$34)*E2_tabla_vida!$P$34,EXP(-C7*E2_tabla_vida!$X$35)*E2_tabla_vida!$P$35,EXP(-C7*E2_tabla_vida!$X$36)*E2_tabla_vida!$P$36,EXP(-C7*E2_tabla_vida!$X$37)*E2_tabla_vida!$P$37,EXP(-C7*E2_tabla_vida!$X$38)*E2_tabla_vida!$P$38,EXP(-C7*E2_tabla_vida!$X$39)*E2_tabla_vida!$P$39,EXP(-C7*E2_tabla_vida!$X$40)*E2_tabla_vida!$P$40,EXP(-C7*E2_tabla_vida!$X$41)*E2_tabla_vida!$P$41,EXP(-C7*E2_tabla_vida!$X$42)*E2_tabla_vida!$P$42,EXP(-C7*E2_tabla_vida!$X$43)*E2_tabla_vida!$P$43)-1</x:f>
        <x:v>0.7825214561890961</x:v>
      </x:c>
      <x:c r="H7" s="24" t="n">
        <x:f>SUM(EXP(-D7*E2_tabla_vida!$X$2)*E2_tabla_vida!$P$2,EXP(-D7*E2_tabla_vida!$X$3)*E2_tabla_vida!$P$3,EXP(-D7*E2_tabla_vida!$X$4)*E2_tabla_vida!$P$4,EXP(-D7*E2_tabla_vida!$X$5)*E2_tabla_vida!$P$5,EXP(-D7*E2_tabla_vida!$X$6)*E2_tabla_vida!$P$6,EXP(-D7*E2_tabla_vida!$X$7)*E2_tabla_vida!$P$7,EXP(-D7*E2_tabla_vida!$X$8)*E2_tabla_vida!$P$8,EXP(-D7*E2_tabla_vida!$X$9)*E2_tabla_vida!$P$9,EXP(-D7*E2_tabla_vida!$X$10)*E2_tabla_vida!$P$10,EXP(-D7*E2_tabla_vida!$X$11)*E2_tabla_vida!$P$11,EXP(-D7*E2_tabla_vida!$X$12)*E2_tabla_vida!$P$12,EXP(-D7*E2_tabla_vida!$X$13)*E2_tabla_vida!$P$13,EXP(-D7*E2_tabla_vida!$X$14)*E2_tabla_vida!$P$14,EXP(-D7*E2_tabla_vida!$X$15)*E2_tabla_vida!$P$15,EXP(-D7*E2_tabla_vida!$X$16)*E2_tabla_vida!$P$16,EXP(-D7*E2_tabla_vida!$X$17)*E2_tabla_vida!$P$17,EXP(-D7*E2_tabla_vida!$X$18)*E2_tabla_vida!$P$18,EXP(-D7*E2_tabla_vida!$X$19)*E2_tabla_vida!$P$19,EXP(-D7*E2_tabla_vida!$X$20)*E2_tabla_vida!$P$20,EXP(-D7*E2_tabla_vida!$X$21)*E2_tabla_vida!$P$21,EXP(-D7*E2_tabla_vida!$X$22)*E2_tabla_vida!$P$22,EXP(-D7*E2_tabla_vida!$X$23)*E2_tabla_vida!$P$23,EXP(-D7*E2_tabla_vida!$X$24)*E2_tabla_vida!$P$24,EXP(-D7*E2_tabla_vida!$X$25)*E2_tabla_vida!$P$25,EXP(-D7*E2_tabla_vida!$X$26)*E2_tabla_vida!$P$26,EXP(-D7*E2_tabla_vida!$X$27)*E2_tabla_vida!$P$27,EXP(-D7*E2_tabla_vida!$X$28)*E2_tabla_vida!$P$28,EXP(-D7*E2_tabla_vida!$X$29)*E2_tabla_vida!$P$29,EXP(-D7*E2_tabla_vida!$X$30)*E2_tabla_vida!$P$30,EXP(-D7*E2_tabla_vida!$X$31)*E2_tabla_vida!$P$31,EXP(-D7*E2_tabla_vida!$X$32)*E2_tabla_vida!$P$32,EXP(-D7*E2_tabla_vida!$X$33)*E2_tabla_vida!$P$33,EXP(-D7*E2_tabla_vida!$X$34)*E2_tabla_vida!$P$34,EXP(-D7*E2_tabla_vida!$X$35)*E2_tabla_vida!$P$35,EXP(-D7*E2_tabla_vida!$X$36)*E2_tabla_vida!$P$36,EXP(-D7*E2_tabla_vida!$X$37)*E2_tabla_vida!$P$37,EXP(-D7*E2_tabla_vida!$X$38)*E2_tabla_vida!$P$38,EXP(-D7*E2_tabla_vida!$X$39)*E2_tabla_vida!$P$39,EXP(-D7*E2_tabla_vida!$X$40)*E2_tabla_vida!$P$40,EXP(-D7*E2_tabla_vida!$X$41)*E2_tabla_vida!$P$41,EXP(-D7*E2_tabla_vida!$X$42)*E2_tabla_vida!$P$42,EXP(-D7*E2_tabla_vida!$X$43)*E2_tabla_vida!$P$43)-1</x:f>
        <x:v>-0.4911526915393658</x:v>
      </x:c>
    </x:row>
    <x:row r="8" ht="19" customHeight="1">
      <x:c r="A8" s="2" t="str">
        <x:v>MP_L0</x:v>
      </x:c>
      <x:c r="B8" s="2" t="n">
        <x:v>6</x:v>
      </x:c>
      <x:c r="C8" s="22" t="n">
        <x:f>IF(F7&gt;0,E7,C7)</x:f>
        <x:v>0.21875</x:v>
      </x:c>
      <x:c r="D8" s="22" t="n">
        <x:f>IF(F7&gt;0,D7,E7)</x:f>
        <x:v>0.265625</x:v>
      </x:c>
      <x:c r="E8" s="22" t="n">
        <x:f>AVERAGE(C8:D8)</x:f>
        <x:v>0.2421875</x:v>
      </x:c>
      <x:c r="F8" s="24" t="n">
        <x:f>SUM(EXP(-E8*E2_tabla_vida!$X$2)*E2_tabla_vida!$P$2,EXP(-E8*E2_tabla_vida!$X$3)*E2_tabla_vida!$P$3,EXP(-E8*E2_tabla_vida!$X$4)*E2_tabla_vida!$P$4,EXP(-E8*E2_tabla_vida!$X$5)*E2_tabla_vida!$P$5,EXP(-E8*E2_tabla_vida!$X$6)*E2_tabla_vida!$P$6,EXP(-E8*E2_tabla_vida!$X$7)*E2_tabla_vida!$P$7,EXP(-E8*E2_tabla_vida!$X$8)*E2_tabla_vida!$P$8,EXP(-E8*E2_tabla_vida!$X$9)*E2_tabla_vida!$P$9,EXP(-E8*E2_tabla_vida!$X$10)*E2_tabla_vida!$P$10,EXP(-E8*E2_tabla_vida!$X$11)*E2_tabla_vida!$P$11,EXP(-E8*E2_tabla_vida!$X$12)*E2_tabla_vida!$P$12,EXP(-E8*E2_tabla_vida!$X$13)*E2_tabla_vida!$P$13,EXP(-E8*E2_tabla_vida!$X$14)*E2_tabla_vida!$P$14,EXP(-E8*E2_tabla_vida!$X$15)*E2_tabla_vida!$P$15,EXP(-E8*E2_tabla_vida!$X$16)*E2_tabla_vida!$P$16,EXP(-E8*E2_tabla_vida!$X$17)*E2_tabla_vida!$P$17,EXP(-E8*E2_tabla_vida!$X$18)*E2_tabla_vida!$P$18,EXP(-E8*E2_tabla_vida!$X$19)*E2_tabla_vida!$P$19,EXP(-E8*E2_tabla_vida!$X$20)*E2_tabla_vida!$P$20,EXP(-E8*E2_tabla_vida!$X$21)*E2_tabla_vida!$P$21,EXP(-E8*E2_tabla_vida!$X$22)*E2_tabla_vida!$P$22,EXP(-E8*E2_tabla_vida!$X$23)*E2_tabla_vida!$P$23,EXP(-E8*E2_tabla_vida!$X$24)*E2_tabla_vida!$P$24,EXP(-E8*E2_tabla_vida!$X$25)*E2_tabla_vida!$P$25,EXP(-E8*E2_tabla_vida!$X$26)*E2_tabla_vida!$P$26,EXP(-E8*E2_tabla_vida!$X$27)*E2_tabla_vida!$P$27,EXP(-E8*E2_tabla_vida!$X$28)*E2_tabla_vida!$P$28,EXP(-E8*E2_tabla_vida!$X$29)*E2_tabla_vida!$P$29,EXP(-E8*E2_tabla_vida!$X$30)*E2_tabla_vida!$P$30,EXP(-E8*E2_tabla_vida!$X$31)*E2_tabla_vida!$P$31,EXP(-E8*E2_tabla_vida!$X$32)*E2_tabla_vida!$P$32,EXP(-E8*E2_tabla_vida!$X$33)*E2_tabla_vida!$P$33,EXP(-E8*E2_tabla_vida!$X$34)*E2_tabla_vida!$P$34,EXP(-E8*E2_tabla_vida!$X$35)*E2_tabla_vida!$P$35,EXP(-E8*E2_tabla_vida!$X$36)*E2_tabla_vida!$P$36,EXP(-E8*E2_tabla_vida!$X$37)*E2_tabla_vida!$P$37,EXP(-E8*E2_tabla_vida!$X$38)*E2_tabla_vida!$P$38,EXP(-E8*E2_tabla_vida!$X$39)*E2_tabla_vida!$P$39,EXP(-E8*E2_tabla_vida!$X$40)*E2_tabla_vida!$P$40,EXP(-E8*E2_tabla_vida!$X$41)*E2_tabla_vida!$P$41,EXP(-E8*E2_tabla_vida!$X$42)*E2_tabla_vida!$P$42,EXP(-E8*E2_tabla_vida!$X$43)*E2_tabla_vida!$P$43)-1</x:f>
        <x:v>0.2907858698878576</x:v>
      </x:c>
      <x:c r="G8" s="24" t="n">
        <x:f>SUM(EXP(-C8*E2_tabla_vida!$X$2)*E2_tabla_vida!$P$2,EXP(-C8*E2_tabla_vida!$X$3)*E2_tabla_vida!$P$3,EXP(-C8*E2_tabla_vida!$X$4)*E2_tabla_vida!$P$4,EXP(-C8*E2_tabla_vida!$X$5)*E2_tabla_vida!$P$5,EXP(-C8*E2_tabla_vida!$X$6)*E2_tabla_vida!$P$6,EXP(-C8*E2_tabla_vida!$X$7)*E2_tabla_vida!$P$7,EXP(-C8*E2_tabla_vida!$X$8)*E2_tabla_vida!$P$8,EXP(-C8*E2_tabla_vida!$X$9)*E2_tabla_vida!$P$9,EXP(-C8*E2_tabla_vida!$X$10)*E2_tabla_vida!$P$10,EXP(-C8*E2_tabla_vida!$X$11)*E2_tabla_vida!$P$11,EXP(-C8*E2_tabla_vida!$X$12)*E2_tabla_vida!$P$12,EXP(-C8*E2_tabla_vida!$X$13)*E2_tabla_vida!$P$13,EXP(-C8*E2_tabla_vida!$X$14)*E2_tabla_vida!$P$14,EXP(-C8*E2_tabla_vida!$X$15)*E2_tabla_vida!$P$15,EXP(-C8*E2_tabla_vida!$X$16)*E2_tabla_vida!$P$16,EXP(-C8*E2_tabla_vida!$X$17)*E2_tabla_vida!$P$17,EXP(-C8*E2_tabla_vida!$X$18)*E2_tabla_vida!$P$18,EXP(-C8*E2_tabla_vida!$X$19)*E2_tabla_vida!$P$19,EXP(-C8*E2_tabla_vida!$X$20)*E2_tabla_vida!$P$20,EXP(-C8*E2_tabla_vida!$X$21)*E2_tabla_vida!$P$21,EXP(-C8*E2_tabla_vida!$X$22)*E2_tabla_vida!$P$22,EXP(-C8*E2_tabla_vida!$X$23)*E2_tabla_vida!$P$23,EXP(-C8*E2_tabla_vida!$X$24)*E2_tabla_vida!$P$24,EXP(-C8*E2_tabla_vida!$X$25)*E2_tabla_vida!$P$25,EXP(-C8*E2_tabla_vida!$X$26)*E2_tabla_vida!$P$26,EXP(-C8*E2_tabla_vida!$X$27)*E2_tabla_vida!$P$27,EXP(-C8*E2_tabla_vida!$X$28)*E2_tabla_vida!$P$28,EXP(-C8*E2_tabla_vida!$X$29)*E2_tabla_vida!$P$29,EXP(-C8*E2_tabla_vida!$X$30)*E2_tabla_vida!$P$30,EXP(-C8*E2_tabla_vida!$X$31)*E2_tabla_vida!$P$31,EXP(-C8*E2_tabla_vida!$X$32)*E2_tabla_vida!$P$32,EXP(-C8*E2_tabla_vida!$X$33)*E2_tabla_vida!$P$33,EXP(-C8*E2_tabla_vida!$X$34)*E2_tabla_vida!$P$34,EXP(-C8*E2_tabla_vida!$X$35)*E2_tabla_vida!$P$35,EXP(-C8*E2_tabla_vida!$X$36)*E2_tabla_vida!$P$36,EXP(-C8*E2_tabla_vida!$X$37)*E2_tabla_vida!$P$37,EXP(-C8*E2_tabla_vida!$X$38)*E2_tabla_vida!$P$38,EXP(-C8*E2_tabla_vida!$X$39)*E2_tabla_vida!$P$39,EXP(-C8*E2_tabla_vida!$X$40)*E2_tabla_vida!$P$40,EXP(-C8*E2_tabla_vida!$X$41)*E2_tabla_vida!$P$41,EXP(-C8*E2_tabla_vida!$X$42)*E2_tabla_vida!$P$42,EXP(-C8*E2_tabla_vida!$X$43)*E2_tabla_vida!$P$43)-1</x:f>
        <x:v>0.7825214561890961</x:v>
      </x:c>
      <x:c r="H8" s="24" t="n">
        <x:f>SUM(EXP(-D8*E2_tabla_vida!$X$2)*E2_tabla_vida!$P$2,EXP(-D8*E2_tabla_vida!$X$3)*E2_tabla_vida!$P$3,EXP(-D8*E2_tabla_vida!$X$4)*E2_tabla_vida!$P$4,EXP(-D8*E2_tabla_vida!$X$5)*E2_tabla_vida!$P$5,EXP(-D8*E2_tabla_vida!$X$6)*E2_tabla_vida!$P$6,EXP(-D8*E2_tabla_vida!$X$7)*E2_tabla_vida!$P$7,EXP(-D8*E2_tabla_vida!$X$8)*E2_tabla_vida!$P$8,EXP(-D8*E2_tabla_vida!$X$9)*E2_tabla_vida!$P$9,EXP(-D8*E2_tabla_vida!$X$10)*E2_tabla_vida!$P$10,EXP(-D8*E2_tabla_vida!$X$11)*E2_tabla_vida!$P$11,EXP(-D8*E2_tabla_vida!$X$12)*E2_tabla_vida!$P$12,EXP(-D8*E2_tabla_vida!$X$13)*E2_tabla_vida!$P$13,EXP(-D8*E2_tabla_vida!$X$14)*E2_tabla_vida!$P$14,EXP(-D8*E2_tabla_vida!$X$15)*E2_tabla_vida!$P$15,EXP(-D8*E2_tabla_vida!$X$16)*E2_tabla_vida!$P$16,EXP(-D8*E2_tabla_vida!$X$17)*E2_tabla_vida!$P$17,EXP(-D8*E2_tabla_vida!$X$18)*E2_tabla_vida!$P$18,EXP(-D8*E2_tabla_vida!$X$19)*E2_tabla_vida!$P$19,EXP(-D8*E2_tabla_vida!$X$20)*E2_tabla_vida!$P$20,EXP(-D8*E2_tabla_vida!$X$21)*E2_tabla_vida!$P$21,EXP(-D8*E2_tabla_vida!$X$22)*E2_tabla_vida!$P$22,EXP(-D8*E2_tabla_vida!$X$23)*E2_tabla_vida!$P$23,EXP(-D8*E2_tabla_vida!$X$24)*E2_tabla_vida!$P$24,EXP(-D8*E2_tabla_vida!$X$25)*E2_tabla_vida!$P$25,EXP(-D8*E2_tabla_vida!$X$26)*E2_tabla_vida!$P$26,EXP(-D8*E2_tabla_vida!$X$27)*E2_tabla_vida!$P$27,EXP(-D8*E2_tabla_vida!$X$28)*E2_tabla_vida!$P$28,EXP(-D8*E2_tabla_vida!$X$29)*E2_tabla_vida!$P$29,EXP(-D8*E2_tabla_vida!$X$30)*E2_tabla_vida!$P$30,EXP(-D8*E2_tabla_vida!$X$31)*E2_tabla_vida!$P$31,EXP(-D8*E2_tabla_vida!$X$32)*E2_tabla_vida!$P$32,EXP(-D8*E2_tabla_vida!$X$33)*E2_tabla_vida!$P$33,EXP(-D8*E2_tabla_vida!$X$34)*E2_tabla_vida!$P$34,EXP(-D8*E2_tabla_vida!$X$35)*E2_tabla_vida!$P$35,EXP(-D8*E2_tabla_vida!$X$36)*E2_tabla_vida!$P$36,EXP(-D8*E2_tabla_vida!$X$37)*E2_tabla_vida!$P$37,EXP(-D8*E2_tabla_vida!$X$38)*E2_tabla_vida!$P$38,EXP(-D8*E2_tabla_vida!$X$39)*E2_tabla_vida!$P$39,EXP(-D8*E2_tabla_vida!$X$40)*E2_tabla_vida!$P$40,EXP(-D8*E2_tabla_vida!$X$41)*E2_tabla_vida!$P$41,EXP(-D8*E2_tabla_vida!$X$42)*E2_tabla_vida!$P$42,EXP(-D8*E2_tabla_vida!$X$43)*E2_tabla_vida!$P$43)-1</x:f>
        <x:v>-0.05906125801439932</x:v>
      </x:c>
    </x:row>
    <x:row r="9" ht="19" customHeight="1">
      <x:c r="A9" s="2" t="str">
        <x:v>MP_L0</x:v>
      </x:c>
      <x:c r="B9" s="2" t="n">
        <x:v>7</x:v>
      </x:c>
      <x:c r="C9" s="22" t="n">
        <x:f>IF(F8&gt;0,E8,C8)</x:f>
        <x:v>0.2421875</x:v>
      </x:c>
      <x:c r="D9" s="22" t="n">
        <x:f>IF(F8&gt;0,D8,E8)</x:f>
        <x:v>0.265625</x:v>
      </x:c>
      <x:c r="E9" s="22" t="n">
        <x:f>AVERAGE(C9:D9)</x:f>
        <x:v>0.25390625</x:v>
      </x:c>
      <x:c r="F9" s="24" t="n">
        <x:f>SUM(EXP(-E9*E2_tabla_vida!$X$2)*E2_tabla_vida!$P$2,EXP(-E9*E2_tabla_vida!$X$3)*E2_tabla_vida!$P$3,EXP(-E9*E2_tabla_vida!$X$4)*E2_tabla_vida!$P$4,EXP(-E9*E2_tabla_vida!$X$5)*E2_tabla_vida!$P$5,EXP(-E9*E2_tabla_vida!$X$6)*E2_tabla_vida!$P$6,EXP(-E9*E2_tabla_vida!$X$7)*E2_tabla_vida!$P$7,EXP(-E9*E2_tabla_vida!$X$8)*E2_tabla_vida!$P$8,EXP(-E9*E2_tabla_vida!$X$9)*E2_tabla_vida!$P$9,EXP(-E9*E2_tabla_vida!$X$10)*E2_tabla_vida!$P$10,EXP(-E9*E2_tabla_vida!$X$11)*E2_tabla_vida!$P$11,EXP(-E9*E2_tabla_vida!$X$12)*E2_tabla_vida!$P$12,EXP(-E9*E2_tabla_vida!$X$13)*E2_tabla_vida!$P$13,EXP(-E9*E2_tabla_vida!$X$14)*E2_tabla_vida!$P$14,EXP(-E9*E2_tabla_vida!$X$15)*E2_tabla_vida!$P$15,EXP(-E9*E2_tabla_vida!$X$16)*E2_tabla_vida!$P$16,EXP(-E9*E2_tabla_vida!$X$17)*E2_tabla_vida!$P$17,EXP(-E9*E2_tabla_vida!$X$18)*E2_tabla_vida!$P$18,EXP(-E9*E2_tabla_vida!$X$19)*E2_tabla_vida!$P$19,EXP(-E9*E2_tabla_vida!$X$20)*E2_tabla_vida!$P$20,EXP(-E9*E2_tabla_vida!$X$21)*E2_tabla_vida!$P$21,EXP(-E9*E2_tabla_vida!$X$22)*E2_tabla_vida!$P$22,EXP(-E9*E2_tabla_vida!$X$23)*E2_tabla_vida!$P$23,EXP(-E9*E2_tabla_vida!$X$24)*E2_tabla_vida!$P$24,EXP(-E9*E2_tabla_vida!$X$25)*E2_tabla_vida!$P$25,EXP(-E9*E2_tabla_vida!$X$26)*E2_tabla_vida!$P$26,EXP(-E9*E2_tabla_vida!$X$27)*E2_tabla_vida!$P$27,EXP(-E9*E2_tabla_vida!$X$28)*E2_tabla_vida!$P$28,EXP(-E9*E2_tabla_vida!$X$29)*E2_tabla_vida!$P$29,EXP(-E9*E2_tabla_vida!$X$30)*E2_tabla_vida!$P$30,EXP(-E9*E2_tabla_vida!$X$31)*E2_tabla_vida!$P$31,EXP(-E9*E2_tabla_vida!$X$32)*E2_tabla_vida!$P$32,EXP(-E9*E2_tabla_vida!$X$33)*E2_tabla_vida!$P$33,EXP(-E9*E2_tabla_vida!$X$34)*E2_tabla_vida!$P$34,EXP(-E9*E2_tabla_vida!$X$35)*E2_tabla_vida!$P$35,EXP(-E9*E2_tabla_vida!$X$36)*E2_tabla_vida!$P$36,EXP(-E9*E2_tabla_vida!$X$37)*E2_tabla_vida!$P$37,EXP(-E9*E2_tabla_vida!$X$38)*E2_tabla_vida!$P$38,EXP(-E9*E2_tabla_vida!$X$39)*E2_tabla_vida!$P$39,EXP(-E9*E2_tabla_vida!$X$40)*E2_tabla_vida!$P$40,EXP(-E9*E2_tabla_vida!$X$41)*E2_tabla_vida!$P$41,EXP(-E9*E2_tabla_vida!$X$42)*E2_tabla_vida!$P$42,EXP(-E9*E2_tabla_vida!$X$43)*E2_tabla_vida!$P$43)-1</x:f>
        <x:v>0.1011952274538106</x:v>
      </x:c>
      <x:c r="G9" s="24" t="n">
        <x:f>SUM(EXP(-C9*E2_tabla_vida!$X$2)*E2_tabla_vida!$P$2,EXP(-C9*E2_tabla_vida!$X$3)*E2_tabla_vida!$P$3,EXP(-C9*E2_tabla_vida!$X$4)*E2_tabla_vida!$P$4,EXP(-C9*E2_tabla_vida!$X$5)*E2_tabla_vida!$P$5,EXP(-C9*E2_tabla_vida!$X$6)*E2_tabla_vida!$P$6,EXP(-C9*E2_tabla_vida!$X$7)*E2_tabla_vida!$P$7,EXP(-C9*E2_tabla_vida!$X$8)*E2_tabla_vida!$P$8,EXP(-C9*E2_tabla_vida!$X$9)*E2_tabla_vida!$P$9,EXP(-C9*E2_tabla_vida!$X$10)*E2_tabla_vida!$P$10,EXP(-C9*E2_tabla_vida!$X$11)*E2_tabla_vida!$P$11,EXP(-C9*E2_tabla_vida!$X$12)*E2_tabla_vida!$P$12,EXP(-C9*E2_tabla_vida!$X$13)*E2_tabla_vida!$P$13,EXP(-C9*E2_tabla_vida!$X$14)*E2_tabla_vida!$P$14,EXP(-C9*E2_tabla_vida!$X$15)*E2_tabla_vida!$P$15,EXP(-C9*E2_tabla_vida!$X$16)*E2_tabla_vida!$P$16,EXP(-C9*E2_tabla_vida!$X$17)*E2_tabla_vida!$P$17,EXP(-C9*E2_tabla_vida!$X$18)*E2_tabla_vida!$P$18,EXP(-C9*E2_tabla_vida!$X$19)*E2_tabla_vida!$P$19,EXP(-C9*E2_tabla_vida!$X$20)*E2_tabla_vida!$P$20,EXP(-C9*E2_tabla_vida!$X$21)*E2_tabla_vida!$P$21,EXP(-C9*E2_tabla_vida!$X$22)*E2_tabla_vida!$P$22,EXP(-C9*E2_tabla_vida!$X$23)*E2_tabla_vida!$P$23,EXP(-C9*E2_tabla_vida!$X$24)*E2_tabla_vida!$P$24,EXP(-C9*E2_tabla_vida!$X$25)*E2_tabla_vida!$P$25,EXP(-C9*E2_tabla_vida!$X$26)*E2_tabla_vida!$P$26,EXP(-C9*E2_tabla_vida!$X$27)*E2_tabla_vida!$P$27,EXP(-C9*E2_tabla_vida!$X$28)*E2_tabla_vida!$P$28,EXP(-C9*E2_tabla_vida!$X$29)*E2_tabla_vida!$P$29,EXP(-C9*E2_tabla_vida!$X$30)*E2_tabla_vida!$P$30,EXP(-C9*E2_tabla_vida!$X$31)*E2_tabla_vida!$P$31,EXP(-C9*E2_tabla_vida!$X$32)*E2_tabla_vida!$P$32,EXP(-C9*E2_tabla_vida!$X$33)*E2_tabla_vida!$P$33,EXP(-C9*E2_tabla_vida!$X$34)*E2_tabla_vida!$P$34,EXP(-C9*E2_tabla_vida!$X$35)*E2_tabla_vida!$P$35,EXP(-C9*E2_tabla_vida!$X$36)*E2_tabla_vida!$P$36,EXP(-C9*E2_tabla_vida!$X$37)*E2_tabla_vida!$P$37,EXP(-C9*E2_tabla_vida!$X$38)*E2_tabla_vida!$P$38,EXP(-C9*E2_tabla_vida!$X$39)*E2_tabla_vida!$P$39,EXP(-C9*E2_tabla_vida!$X$40)*E2_tabla_vida!$P$40,EXP(-C9*E2_tabla_vida!$X$41)*E2_tabla_vida!$P$41,EXP(-C9*E2_tabla_vida!$X$42)*E2_tabla_vida!$P$42,EXP(-C9*E2_tabla_vida!$X$43)*E2_tabla_vida!$P$43)-1</x:f>
        <x:v>0.2907858698878576</x:v>
      </x:c>
      <x:c r="H9" s="24" t="n">
        <x:f>SUM(EXP(-D9*E2_tabla_vida!$X$2)*E2_tabla_vida!$P$2,EXP(-D9*E2_tabla_vida!$X$3)*E2_tabla_vida!$P$3,EXP(-D9*E2_tabla_vida!$X$4)*E2_tabla_vida!$P$4,EXP(-D9*E2_tabla_vida!$X$5)*E2_tabla_vida!$P$5,EXP(-D9*E2_tabla_vida!$X$6)*E2_tabla_vida!$P$6,EXP(-D9*E2_tabla_vida!$X$7)*E2_tabla_vida!$P$7,EXP(-D9*E2_tabla_vida!$X$8)*E2_tabla_vida!$P$8,EXP(-D9*E2_tabla_vida!$X$9)*E2_tabla_vida!$P$9,EXP(-D9*E2_tabla_vida!$X$10)*E2_tabla_vida!$P$10,EXP(-D9*E2_tabla_vida!$X$11)*E2_tabla_vida!$P$11,EXP(-D9*E2_tabla_vida!$X$12)*E2_tabla_vida!$P$12,EXP(-D9*E2_tabla_vida!$X$13)*E2_tabla_vida!$P$13,EXP(-D9*E2_tabla_vida!$X$14)*E2_tabla_vida!$P$14,EXP(-D9*E2_tabla_vida!$X$15)*E2_tabla_vida!$P$15,EXP(-D9*E2_tabla_vida!$X$16)*E2_tabla_vida!$P$16,EXP(-D9*E2_tabla_vida!$X$17)*E2_tabla_vida!$P$17,EXP(-D9*E2_tabla_vida!$X$18)*E2_tabla_vida!$P$18,EXP(-D9*E2_tabla_vida!$X$19)*E2_tabla_vida!$P$19,EXP(-D9*E2_tabla_vida!$X$20)*E2_tabla_vida!$P$20,EXP(-D9*E2_tabla_vida!$X$21)*E2_tabla_vida!$P$21,EXP(-D9*E2_tabla_vida!$X$22)*E2_tabla_vida!$P$22,EXP(-D9*E2_tabla_vida!$X$23)*E2_tabla_vida!$P$23,EXP(-D9*E2_tabla_vida!$X$24)*E2_tabla_vida!$P$24,EXP(-D9*E2_tabla_vida!$X$25)*E2_tabla_vida!$P$25,EXP(-D9*E2_tabla_vida!$X$26)*E2_tabla_vida!$P$26,EXP(-D9*E2_tabla_vida!$X$27)*E2_tabla_vida!$P$27,EXP(-D9*E2_tabla_vida!$X$28)*E2_tabla_vida!$P$28,EXP(-D9*E2_tabla_vida!$X$29)*E2_tabla_vida!$P$29,EXP(-D9*E2_tabla_vida!$X$30)*E2_tabla_vida!$P$30,EXP(-D9*E2_tabla_vida!$X$31)*E2_tabla_vida!$P$31,EXP(-D9*E2_tabla_vida!$X$32)*E2_tabla_vida!$P$32,EXP(-D9*E2_tabla_vida!$X$33)*E2_tabla_vida!$P$33,EXP(-D9*E2_tabla_vida!$X$34)*E2_tabla_vida!$P$34,EXP(-D9*E2_tabla_vida!$X$35)*E2_tabla_vida!$P$35,EXP(-D9*E2_tabla_vida!$X$36)*E2_tabla_vida!$P$36,EXP(-D9*E2_tabla_vida!$X$37)*E2_tabla_vida!$P$37,EXP(-D9*E2_tabla_vida!$X$38)*E2_tabla_vida!$P$38,EXP(-D9*E2_tabla_vida!$X$39)*E2_tabla_vida!$P$39,EXP(-D9*E2_tabla_vida!$X$40)*E2_tabla_vida!$P$40,EXP(-D9*E2_tabla_vida!$X$41)*E2_tabla_vida!$P$41,EXP(-D9*E2_tabla_vida!$X$42)*E2_tabla_vida!$P$42,EXP(-D9*E2_tabla_vida!$X$43)*E2_tabla_vida!$P$43)-1</x:f>
        <x:v>-0.05906125801439932</x:v>
      </x:c>
    </x:row>
    <x:row r="10" ht="19" customHeight="1">
      <x:c r="A10" s="2" t="str">
        <x:v>MP_L0</x:v>
      </x:c>
      <x:c r="B10" s="2" t="n">
        <x:v>8</x:v>
      </x:c>
      <x:c r="C10" s="22" t="n">
        <x:f>IF(F9&gt;0,E9,C9)</x:f>
        <x:v>0.25390625</x:v>
      </x:c>
      <x:c r="D10" s="22" t="n">
        <x:f>IF(F9&gt;0,D9,E9)</x:f>
        <x:v>0.265625</x:v>
      </x:c>
      <x:c r="E10" s="22" t="n">
        <x:f>AVERAGE(C10:D10)</x:f>
        <x:v>0.259765625</x:v>
      </x:c>
      <x:c r="F10" s="24" t="n">
        <x:f>SUM(EXP(-E10*E2_tabla_vida!$X$2)*E2_tabla_vida!$P$2,EXP(-E10*E2_tabla_vida!$X$3)*E2_tabla_vida!$P$3,EXP(-E10*E2_tabla_vida!$X$4)*E2_tabla_vida!$P$4,EXP(-E10*E2_tabla_vida!$X$5)*E2_tabla_vida!$P$5,EXP(-E10*E2_tabla_vida!$X$6)*E2_tabla_vida!$P$6,EXP(-E10*E2_tabla_vida!$X$7)*E2_tabla_vida!$P$7,EXP(-E10*E2_tabla_vida!$X$8)*E2_tabla_vida!$P$8,EXP(-E10*E2_tabla_vida!$X$9)*E2_tabla_vida!$P$9,EXP(-E10*E2_tabla_vida!$X$10)*E2_tabla_vida!$P$10,EXP(-E10*E2_tabla_vida!$X$11)*E2_tabla_vida!$P$11,EXP(-E10*E2_tabla_vida!$X$12)*E2_tabla_vida!$P$12,EXP(-E10*E2_tabla_vida!$X$13)*E2_tabla_vida!$P$13,EXP(-E10*E2_tabla_vida!$X$14)*E2_tabla_vida!$P$14,EXP(-E10*E2_tabla_vida!$X$15)*E2_tabla_vida!$P$15,EXP(-E10*E2_tabla_vida!$X$16)*E2_tabla_vida!$P$16,EXP(-E10*E2_tabla_vida!$X$17)*E2_tabla_vida!$P$17,EXP(-E10*E2_tabla_vida!$X$18)*E2_tabla_vida!$P$18,EXP(-E10*E2_tabla_vida!$X$19)*E2_tabla_vida!$P$19,EXP(-E10*E2_tabla_vida!$X$20)*E2_tabla_vida!$P$20,EXP(-E10*E2_tabla_vida!$X$21)*E2_tabla_vida!$P$21,EXP(-E10*E2_tabla_vida!$X$22)*E2_tabla_vida!$P$22,EXP(-E10*E2_tabla_vida!$X$23)*E2_tabla_vida!$P$23,EXP(-E10*E2_tabla_vida!$X$24)*E2_tabla_vida!$P$24,EXP(-E10*E2_tabla_vida!$X$25)*E2_tabla_vida!$P$25,EXP(-E10*E2_tabla_vida!$X$26)*E2_tabla_vida!$P$26,EXP(-E10*E2_tabla_vida!$X$27)*E2_tabla_vida!$P$27,EXP(-E10*E2_tabla_vida!$X$28)*E2_tabla_vida!$P$28,EXP(-E10*E2_tabla_vida!$X$29)*E2_tabla_vida!$P$29,EXP(-E10*E2_tabla_vida!$X$30)*E2_tabla_vida!$P$30,EXP(-E10*E2_tabla_vida!$X$31)*E2_tabla_vida!$P$31,EXP(-E10*E2_tabla_vida!$X$32)*E2_tabla_vida!$P$32,EXP(-E10*E2_tabla_vida!$X$33)*E2_tabla_vida!$P$33,EXP(-E10*E2_tabla_vida!$X$34)*E2_tabla_vida!$P$34,EXP(-E10*E2_tabla_vida!$X$35)*E2_tabla_vida!$P$35,EXP(-E10*E2_tabla_vida!$X$36)*E2_tabla_vida!$P$36,EXP(-E10*E2_tabla_vida!$X$37)*E2_tabla_vida!$P$37,EXP(-E10*E2_tabla_vida!$X$38)*E2_tabla_vida!$P$38,EXP(-E10*E2_tabla_vida!$X$39)*E2_tabla_vida!$P$39,EXP(-E10*E2_tabla_vida!$X$40)*E2_tabla_vida!$P$40,EXP(-E10*E2_tabla_vida!$X$41)*E2_tabla_vida!$P$41,EXP(-E10*E2_tabla_vida!$X$42)*E2_tabla_vida!$P$42,EXP(-E10*E2_tabla_vida!$X$43)*E2_tabla_vida!$P$43)-1</x:f>
        <x:v>0.017721767017325973</x:v>
      </x:c>
      <x:c r="G10" s="24" t="n">
        <x:f>SUM(EXP(-C10*E2_tabla_vida!$X$2)*E2_tabla_vida!$P$2,EXP(-C10*E2_tabla_vida!$X$3)*E2_tabla_vida!$P$3,EXP(-C10*E2_tabla_vida!$X$4)*E2_tabla_vida!$P$4,EXP(-C10*E2_tabla_vida!$X$5)*E2_tabla_vida!$P$5,EXP(-C10*E2_tabla_vida!$X$6)*E2_tabla_vida!$P$6,EXP(-C10*E2_tabla_vida!$X$7)*E2_tabla_vida!$P$7,EXP(-C10*E2_tabla_vida!$X$8)*E2_tabla_vida!$P$8,EXP(-C10*E2_tabla_vida!$X$9)*E2_tabla_vida!$P$9,EXP(-C10*E2_tabla_vida!$X$10)*E2_tabla_vida!$P$10,EXP(-C10*E2_tabla_vida!$X$11)*E2_tabla_vida!$P$11,EXP(-C10*E2_tabla_vida!$X$12)*E2_tabla_vida!$P$12,EXP(-C10*E2_tabla_vida!$X$13)*E2_tabla_vida!$P$13,EXP(-C10*E2_tabla_vida!$X$14)*E2_tabla_vida!$P$14,EXP(-C10*E2_tabla_vida!$X$15)*E2_tabla_vida!$P$15,EXP(-C10*E2_tabla_vida!$X$16)*E2_tabla_vida!$P$16,EXP(-C10*E2_tabla_vida!$X$17)*E2_tabla_vida!$P$17,EXP(-C10*E2_tabla_vida!$X$18)*E2_tabla_vida!$P$18,EXP(-C10*E2_tabla_vida!$X$19)*E2_tabla_vida!$P$19,EXP(-C10*E2_tabla_vida!$X$20)*E2_tabla_vida!$P$20,EXP(-C10*E2_tabla_vida!$X$21)*E2_tabla_vida!$P$21,EXP(-C10*E2_tabla_vida!$X$22)*E2_tabla_vida!$P$22,EXP(-C10*E2_tabla_vida!$X$23)*E2_tabla_vida!$P$23,EXP(-C10*E2_tabla_vida!$X$24)*E2_tabla_vida!$P$24,EXP(-C10*E2_tabla_vida!$X$25)*E2_tabla_vida!$P$25,EXP(-C10*E2_tabla_vida!$X$26)*E2_tabla_vida!$P$26,EXP(-C10*E2_tabla_vida!$X$27)*E2_tabla_vida!$P$27,EXP(-C10*E2_tabla_vida!$X$28)*E2_tabla_vida!$P$28,EXP(-C10*E2_tabla_vida!$X$29)*E2_tabla_vida!$P$29,EXP(-C10*E2_tabla_vida!$X$30)*E2_tabla_vida!$P$30,EXP(-C10*E2_tabla_vida!$X$31)*E2_tabla_vida!$P$31,EXP(-C10*E2_tabla_vida!$X$32)*E2_tabla_vida!$P$32,EXP(-C10*E2_tabla_vida!$X$33)*E2_tabla_vida!$P$33,EXP(-C10*E2_tabla_vida!$X$34)*E2_tabla_vida!$P$34,EXP(-C10*E2_tabla_vida!$X$35)*E2_tabla_vida!$P$35,EXP(-C10*E2_tabla_vida!$X$36)*E2_tabla_vida!$P$36,EXP(-C10*E2_tabla_vida!$X$37)*E2_tabla_vida!$P$37,EXP(-C10*E2_tabla_vida!$X$38)*E2_tabla_vida!$P$38,EXP(-C10*E2_tabla_vida!$X$39)*E2_tabla_vida!$P$39,EXP(-C10*E2_tabla_vida!$X$40)*E2_tabla_vida!$P$40,EXP(-C10*E2_tabla_vida!$X$41)*E2_tabla_vida!$P$41,EXP(-C10*E2_tabla_vida!$X$42)*E2_tabla_vida!$P$42,EXP(-C10*E2_tabla_vida!$X$43)*E2_tabla_vida!$P$43)-1</x:f>
        <x:v>0.1011952274538106</x:v>
      </x:c>
      <x:c r="H10" s="24" t="n">
        <x:f>SUM(EXP(-D10*E2_tabla_vida!$X$2)*E2_tabla_vida!$P$2,EXP(-D10*E2_tabla_vida!$X$3)*E2_tabla_vida!$P$3,EXP(-D10*E2_tabla_vida!$X$4)*E2_tabla_vida!$P$4,EXP(-D10*E2_tabla_vida!$X$5)*E2_tabla_vida!$P$5,EXP(-D10*E2_tabla_vida!$X$6)*E2_tabla_vida!$P$6,EXP(-D10*E2_tabla_vida!$X$7)*E2_tabla_vida!$P$7,EXP(-D10*E2_tabla_vida!$X$8)*E2_tabla_vida!$P$8,EXP(-D10*E2_tabla_vida!$X$9)*E2_tabla_vida!$P$9,EXP(-D10*E2_tabla_vida!$X$10)*E2_tabla_vida!$P$10,EXP(-D10*E2_tabla_vida!$X$11)*E2_tabla_vida!$P$11,EXP(-D10*E2_tabla_vida!$X$12)*E2_tabla_vida!$P$12,EXP(-D10*E2_tabla_vida!$X$13)*E2_tabla_vida!$P$13,EXP(-D10*E2_tabla_vida!$X$14)*E2_tabla_vida!$P$14,EXP(-D10*E2_tabla_vida!$X$15)*E2_tabla_vida!$P$15,EXP(-D10*E2_tabla_vida!$X$16)*E2_tabla_vida!$P$16,EXP(-D10*E2_tabla_vida!$X$17)*E2_tabla_vida!$P$17,EXP(-D10*E2_tabla_vida!$X$18)*E2_tabla_vida!$P$18,EXP(-D10*E2_tabla_vida!$X$19)*E2_tabla_vida!$P$19,EXP(-D10*E2_tabla_vida!$X$20)*E2_tabla_vida!$P$20,EXP(-D10*E2_tabla_vida!$X$21)*E2_tabla_vida!$P$21,EXP(-D10*E2_tabla_vida!$X$22)*E2_tabla_vida!$P$22,EXP(-D10*E2_tabla_vida!$X$23)*E2_tabla_vida!$P$23,EXP(-D10*E2_tabla_vida!$X$24)*E2_tabla_vida!$P$24,EXP(-D10*E2_tabla_vida!$X$25)*E2_tabla_vida!$P$25,EXP(-D10*E2_tabla_vida!$X$26)*E2_tabla_vida!$P$26,EXP(-D10*E2_tabla_vida!$X$27)*E2_tabla_vida!$P$27,EXP(-D10*E2_tabla_vida!$X$28)*E2_tabla_vida!$P$28,EXP(-D10*E2_tabla_vida!$X$29)*E2_tabla_vida!$P$29,EXP(-D10*E2_tabla_vida!$X$30)*E2_tabla_vida!$P$30,EXP(-D10*E2_tabla_vida!$X$31)*E2_tabla_vida!$P$31,EXP(-D10*E2_tabla_vida!$X$32)*E2_tabla_vida!$P$32,EXP(-D10*E2_tabla_vida!$X$33)*E2_tabla_vida!$P$33,EXP(-D10*E2_tabla_vida!$X$34)*E2_tabla_vida!$P$34,EXP(-D10*E2_tabla_vida!$X$35)*E2_tabla_vida!$P$35,EXP(-D10*E2_tabla_vida!$X$36)*E2_tabla_vida!$P$36,EXP(-D10*E2_tabla_vida!$X$37)*E2_tabla_vida!$P$37,EXP(-D10*E2_tabla_vida!$X$38)*E2_tabla_vida!$P$38,EXP(-D10*E2_tabla_vida!$X$39)*E2_tabla_vida!$P$39,EXP(-D10*E2_tabla_vida!$X$40)*E2_tabla_vida!$P$40,EXP(-D10*E2_tabla_vida!$X$41)*E2_tabla_vida!$P$41,EXP(-D10*E2_tabla_vida!$X$42)*E2_tabla_vida!$P$42,EXP(-D10*E2_tabla_vida!$X$43)*E2_tabla_vida!$P$43)-1</x:f>
        <x:v>-0.05906125801439932</x:v>
      </x:c>
    </x:row>
    <x:row r="11" ht="19" customHeight="1">
      <x:c r="A11" s="2" t="str">
        <x:v>MP_L0</x:v>
      </x:c>
      <x:c r="B11" s="2" t="n">
        <x:v>9</x:v>
      </x:c>
      <x:c r="C11" s="22" t="n">
        <x:f>IF(F10&gt;0,E10,C10)</x:f>
        <x:v>0.259765625</x:v>
      </x:c>
      <x:c r="D11" s="22" t="n">
        <x:f>IF(F10&gt;0,D10,E10)</x:f>
        <x:v>0.265625</x:v>
      </x:c>
      <x:c r="E11" s="22" t="n">
        <x:f>AVERAGE(C11:D11)</x:f>
        <x:v>0.2626953125</x:v>
      </x:c>
      <x:c r="F11" s="24" t="n">
        <x:f>SUM(EXP(-E11*E2_tabla_vida!$X$2)*E2_tabla_vida!$P$2,EXP(-E11*E2_tabla_vida!$X$3)*E2_tabla_vida!$P$3,EXP(-E11*E2_tabla_vida!$X$4)*E2_tabla_vida!$P$4,EXP(-E11*E2_tabla_vida!$X$5)*E2_tabla_vida!$P$5,EXP(-E11*E2_tabla_vida!$X$6)*E2_tabla_vida!$P$6,EXP(-E11*E2_tabla_vida!$X$7)*E2_tabla_vida!$P$7,EXP(-E11*E2_tabla_vida!$X$8)*E2_tabla_vida!$P$8,EXP(-E11*E2_tabla_vida!$X$9)*E2_tabla_vida!$P$9,EXP(-E11*E2_tabla_vida!$X$10)*E2_tabla_vida!$P$10,EXP(-E11*E2_tabla_vida!$X$11)*E2_tabla_vida!$P$11,EXP(-E11*E2_tabla_vida!$X$12)*E2_tabla_vida!$P$12,EXP(-E11*E2_tabla_vida!$X$13)*E2_tabla_vida!$P$13,EXP(-E11*E2_tabla_vida!$X$14)*E2_tabla_vida!$P$14,EXP(-E11*E2_tabla_vida!$X$15)*E2_tabla_vida!$P$15,EXP(-E11*E2_tabla_vida!$X$16)*E2_tabla_vida!$P$16,EXP(-E11*E2_tabla_vida!$X$17)*E2_tabla_vida!$P$17,EXP(-E11*E2_tabla_vida!$X$18)*E2_tabla_vida!$P$18,EXP(-E11*E2_tabla_vida!$X$19)*E2_tabla_vida!$P$19,EXP(-E11*E2_tabla_vida!$X$20)*E2_tabla_vida!$P$20,EXP(-E11*E2_tabla_vida!$X$21)*E2_tabla_vida!$P$21,EXP(-E11*E2_tabla_vida!$X$22)*E2_tabla_vida!$P$22,EXP(-E11*E2_tabla_vida!$X$23)*E2_tabla_vida!$P$23,EXP(-E11*E2_tabla_vida!$X$24)*E2_tabla_vida!$P$24,EXP(-E11*E2_tabla_vida!$X$25)*E2_tabla_vida!$P$25,EXP(-E11*E2_tabla_vida!$X$26)*E2_tabla_vida!$P$26,EXP(-E11*E2_tabla_vida!$X$27)*E2_tabla_vida!$P$27,EXP(-E11*E2_tabla_vida!$X$28)*E2_tabla_vida!$P$28,EXP(-E11*E2_tabla_vida!$X$29)*E2_tabla_vida!$P$29,EXP(-E11*E2_tabla_vida!$X$30)*E2_tabla_vida!$P$30,EXP(-E11*E2_tabla_vida!$X$31)*E2_tabla_vida!$P$31,EXP(-E11*E2_tabla_vida!$X$32)*E2_tabla_vida!$P$32,EXP(-E11*E2_tabla_vida!$X$33)*E2_tabla_vida!$P$33,EXP(-E11*E2_tabla_vida!$X$34)*E2_tabla_vida!$P$34,EXP(-E11*E2_tabla_vida!$X$35)*E2_tabla_vida!$P$35,EXP(-E11*E2_tabla_vida!$X$36)*E2_tabla_vida!$P$36,EXP(-E11*E2_tabla_vida!$X$37)*E2_tabla_vida!$P$37,EXP(-E11*E2_tabla_vida!$X$38)*E2_tabla_vida!$P$38,EXP(-E11*E2_tabla_vida!$X$39)*E2_tabla_vida!$P$39,EXP(-E11*E2_tabla_vida!$X$40)*E2_tabla_vida!$P$40,EXP(-E11*E2_tabla_vida!$X$41)*E2_tabla_vida!$P$41,EXP(-E11*E2_tabla_vida!$X$42)*E2_tabla_vida!$P$42,EXP(-E11*E2_tabla_vida!$X$43)*E2_tabla_vida!$P$43)-1</x:f>
        <x:v>-0.02146915629923729</x:v>
      </x:c>
      <x:c r="G11" s="24" t="n">
        <x:f>SUM(EXP(-C11*E2_tabla_vida!$X$2)*E2_tabla_vida!$P$2,EXP(-C11*E2_tabla_vida!$X$3)*E2_tabla_vida!$P$3,EXP(-C11*E2_tabla_vida!$X$4)*E2_tabla_vida!$P$4,EXP(-C11*E2_tabla_vida!$X$5)*E2_tabla_vida!$P$5,EXP(-C11*E2_tabla_vida!$X$6)*E2_tabla_vida!$P$6,EXP(-C11*E2_tabla_vida!$X$7)*E2_tabla_vida!$P$7,EXP(-C11*E2_tabla_vida!$X$8)*E2_tabla_vida!$P$8,EXP(-C11*E2_tabla_vida!$X$9)*E2_tabla_vida!$P$9,EXP(-C11*E2_tabla_vida!$X$10)*E2_tabla_vida!$P$10,EXP(-C11*E2_tabla_vida!$X$11)*E2_tabla_vida!$P$11,EXP(-C11*E2_tabla_vida!$X$12)*E2_tabla_vida!$P$12,EXP(-C11*E2_tabla_vida!$X$13)*E2_tabla_vida!$P$13,EXP(-C11*E2_tabla_vida!$X$14)*E2_tabla_vida!$P$14,EXP(-C11*E2_tabla_vida!$X$15)*E2_tabla_vida!$P$15,EXP(-C11*E2_tabla_vida!$X$16)*E2_tabla_vida!$P$16,EXP(-C11*E2_tabla_vida!$X$17)*E2_tabla_vida!$P$17,EXP(-C11*E2_tabla_vida!$X$18)*E2_tabla_vida!$P$18,EXP(-C11*E2_tabla_vida!$X$19)*E2_tabla_vida!$P$19,EXP(-C11*E2_tabla_vida!$X$20)*E2_tabla_vida!$P$20,EXP(-C11*E2_tabla_vida!$X$21)*E2_tabla_vida!$P$21,EXP(-C11*E2_tabla_vida!$X$22)*E2_tabla_vida!$P$22,EXP(-C11*E2_tabla_vida!$X$23)*E2_tabla_vida!$P$23,EXP(-C11*E2_tabla_vida!$X$24)*E2_tabla_vida!$P$24,EXP(-C11*E2_tabla_vida!$X$25)*E2_tabla_vida!$P$25,EXP(-C11*E2_tabla_vida!$X$26)*E2_tabla_vida!$P$26,EXP(-C11*E2_tabla_vida!$X$27)*E2_tabla_vida!$P$27,EXP(-C11*E2_tabla_vida!$X$28)*E2_tabla_vida!$P$28,EXP(-C11*E2_tabla_vida!$X$29)*E2_tabla_vida!$P$29,EXP(-C11*E2_tabla_vida!$X$30)*E2_tabla_vida!$P$30,EXP(-C11*E2_tabla_vida!$X$31)*E2_tabla_vida!$P$31,EXP(-C11*E2_tabla_vida!$X$32)*E2_tabla_vida!$P$32,EXP(-C11*E2_tabla_vida!$X$33)*E2_tabla_vida!$P$33,EXP(-C11*E2_tabla_vida!$X$34)*E2_tabla_vida!$P$34,EXP(-C11*E2_tabla_vida!$X$35)*E2_tabla_vida!$P$35,EXP(-C11*E2_tabla_vida!$X$36)*E2_tabla_vida!$P$36,EXP(-C11*E2_tabla_vida!$X$37)*E2_tabla_vida!$P$37,EXP(-C11*E2_tabla_vida!$X$38)*E2_tabla_vida!$P$38,EXP(-C11*E2_tabla_vida!$X$39)*E2_tabla_vida!$P$39,EXP(-C11*E2_tabla_vida!$X$40)*E2_tabla_vida!$P$40,EXP(-C11*E2_tabla_vida!$X$41)*E2_tabla_vida!$P$41,EXP(-C11*E2_tabla_vida!$X$42)*E2_tabla_vida!$P$42,EXP(-C11*E2_tabla_vida!$X$43)*E2_tabla_vida!$P$43)-1</x:f>
        <x:v>0.017721767017325973</x:v>
      </x:c>
      <x:c r="H11" s="24" t="n">
        <x:f>SUM(EXP(-D11*E2_tabla_vida!$X$2)*E2_tabla_vida!$P$2,EXP(-D11*E2_tabla_vida!$X$3)*E2_tabla_vida!$P$3,EXP(-D11*E2_tabla_vida!$X$4)*E2_tabla_vida!$P$4,EXP(-D11*E2_tabla_vida!$X$5)*E2_tabla_vida!$P$5,EXP(-D11*E2_tabla_vida!$X$6)*E2_tabla_vida!$P$6,EXP(-D11*E2_tabla_vida!$X$7)*E2_tabla_vida!$P$7,EXP(-D11*E2_tabla_vida!$X$8)*E2_tabla_vida!$P$8,EXP(-D11*E2_tabla_vida!$X$9)*E2_tabla_vida!$P$9,EXP(-D11*E2_tabla_vida!$X$10)*E2_tabla_vida!$P$10,EXP(-D11*E2_tabla_vida!$X$11)*E2_tabla_vida!$P$11,EXP(-D11*E2_tabla_vida!$X$12)*E2_tabla_vida!$P$12,EXP(-D11*E2_tabla_vida!$X$13)*E2_tabla_vida!$P$13,EXP(-D11*E2_tabla_vida!$X$14)*E2_tabla_vida!$P$14,EXP(-D11*E2_tabla_vida!$X$15)*E2_tabla_vida!$P$15,EXP(-D11*E2_tabla_vida!$X$16)*E2_tabla_vida!$P$16,EXP(-D11*E2_tabla_vida!$X$17)*E2_tabla_vida!$P$17,EXP(-D11*E2_tabla_vida!$X$18)*E2_tabla_vida!$P$18,EXP(-D11*E2_tabla_vida!$X$19)*E2_tabla_vida!$P$19,EXP(-D11*E2_tabla_vida!$X$20)*E2_tabla_vida!$P$20,EXP(-D11*E2_tabla_vida!$X$21)*E2_tabla_vida!$P$21,EXP(-D11*E2_tabla_vida!$X$22)*E2_tabla_vida!$P$22,EXP(-D11*E2_tabla_vida!$X$23)*E2_tabla_vida!$P$23,EXP(-D11*E2_tabla_vida!$X$24)*E2_tabla_vida!$P$24,EXP(-D11*E2_tabla_vida!$X$25)*E2_tabla_vida!$P$25,EXP(-D11*E2_tabla_vida!$X$26)*E2_tabla_vida!$P$26,EXP(-D11*E2_tabla_vida!$X$27)*E2_tabla_vida!$P$27,EXP(-D11*E2_tabla_vida!$X$28)*E2_tabla_vida!$P$28,EXP(-D11*E2_tabla_vida!$X$29)*E2_tabla_vida!$P$29,EXP(-D11*E2_tabla_vida!$X$30)*E2_tabla_vida!$P$30,EXP(-D11*E2_tabla_vida!$X$31)*E2_tabla_vida!$P$31,EXP(-D11*E2_tabla_vida!$X$32)*E2_tabla_vida!$P$32,EXP(-D11*E2_tabla_vida!$X$33)*E2_tabla_vida!$P$33,EXP(-D11*E2_tabla_vida!$X$34)*E2_tabla_vida!$P$34,EXP(-D11*E2_tabla_vida!$X$35)*E2_tabla_vida!$P$35,EXP(-D11*E2_tabla_vida!$X$36)*E2_tabla_vida!$P$36,EXP(-D11*E2_tabla_vida!$X$37)*E2_tabla_vida!$P$37,EXP(-D11*E2_tabla_vida!$X$38)*E2_tabla_vida!$P$38,EXP(-D11*E2_tabla_vida!$X$39)*E2_tabla_vida!$P$39,EXP(-D11*E2_tabla_vida!$X$40)*E2_tabla_vida!$P$40,EXP(-D11*E2_tabla_vida!$X$41)*E2_tabla_vida!$P$41,EXP(-D11*E2_tabla_vida!$X$42)*E2_tabla_vida!$P$42,EXP(-D11*E2_tabla_vida!$X$43)*E2_tabla_vida!$P$43)-1</x:f>
        <x:v>-0.05906125801439932</x:v>
      </x:c>
    </x:row>
    <x:row r="12" ht="19" customHeight="1">
      <x:c r="A12" s="2" t="str">
        <x:v>MP_L0</x:v>
      </x:c>
      <x:c r="B12" s="2" t="n">
        <x:v>10</x:v>
      </x:c>
      <x:c r="C12" s="22" t="n">
        <x:f>IF(F11&gt;0,E11,C11)</x:f>
        <x:v>0.259765625</x:v>
      </x:c>
      <x:c r="D12" s="22" t="n">
        <x:f>IF(F11&gt;0,D11,E11)</x:f>
        <x:v>0.2626953125</x:v>
      </x:c>
      <x:c r="E12" s="22" t="n">
        <x:f>AVERAGE(C12:D12)</x:f>
        <x:v>0.26123046875</x:v>
      </x:c>
      <x:c r="F12" s="24" t="n">
        <x:f>SUM(EXP(-E12*E2_tabla_vida!$X$2)*E2_tabla_vida!$P$2,EXP(-E12*E2_tabla_vida!$X$3)*E2_tabla_vida!$P$3,EXP(-E12*E2_tabla_vida!$X$4)*E2_tabla_vida!$P$4,EXP(-E12*E2_tabla_vida!$X$5)*E2_tabla_vida!$P$5,EXP(-E12*E2_tabla_vida!$X$6)*E2_tabla_vida!$P$6,EXP(-E12*E2_tabla_vida!$X$7)*E2_tabla_vida!$P$7,EXP(-E12*E2_tabla_vida!$X$8)*E2_tabla_vida!$P$8,EXP(-E12*E2_tabla_vida!$X$9)*E2_tabla_vida!$P$9,EXP(-E12*E2_tabla_vida!$X$10)*E2_tabla_vida!$P$10,EXP(-E12*E2_tabla_vida!$X$11)*E2_tabla_vida!$P$11,EXP(-E12*E2_tabla_vida!$X$12)*E2_tabla_vida!$P$12,EXP(-E12*E2_tabla_vida!$X$13)*E2_tabla_vida!$P$13,EXP(-E12*E2_tabla_vida!$X$14)*E2_tabla_vida!$P$14,EXP(-E12*E2_tabla_vida!$X$15)*E2_tabla_vida!$P$15,EXP(-E12*E2_tabla_vida!$X$16)*E2_tabla_vida!$P$16,EXP(-E12*E2_tabla_vida!$X$17)*E2_tabla_vida!$P$17,EXP(-E12*E2_tabla_vida!$X$18)*E2_tabla_vida!$P$18,EXP(-E12*E2_tabla_vida!$X$19)*E2_tabla_vida!$P$19,EXP(-E12*E2_tabla_vida!$X$20)*E2_tabla_vida!$P$20,EXP(-E12*E2_tabla_vida!$X$21)*E2_tabla_vida!$P$21,EXP(-E12*E2_tabla_vida!$X$22)*E2_tabla_vida!$P$22,EXP(-E12*E2_tabla_vida!$X$23)*E2_tabla_vida!$P$23,EXP(-E12*E2_tabla_vida!$X$24)*E2_tabla_vida!$P$24,EXP(-E12*E2_tabla_vida!$X$25)*E2_tabla_vida!$P$25,EXP(-E12*E2_tabla_vida!$X$26)*E2_tabla_vida!$P$26,EXP(-E12*E2_tabla_vida!$X$27)*E2_tabla_vida!$P$27,EXP(-E12*E2_tabla_vida!$X$28)*E2_tabla_vida!$P$28,EXP(-E12*E2_tabla_vida!$X$29)*E2_tabla_vida!$P$29,EXP(-E12*E2_tabla_vida!$X$30)*E2_tabla_vida!$P$30,EXP(-E12*E2_tabla_vida!$X$31)*E2_tabla_vida!$P$31,EXP(-E12*E2_tabla_vida!$X$32)*E2_tabla_vida!$P$32,EXP(-E12*E2_tabla_vida!$X$33)*E2_tabla_vida!$P$33,EXP(-E12*E2_tabla_vida!$X$34)*E2_tabla_vida!$P$34,EXP(-E12*E2_tabla_vida!$X$35)*E2_tabla_vida!$P$35,EXP(-E12*E2_tabla_vida!$X$36)*E2_tabla_vida!$P$36,EXP(-E12*E2_tabla_vida!$X$37)*E2_tabla_vida!$P$37,EXP(-E12*E2_tabla_vida!$X$38)*E2_tabla_vida!$P$38,EXP(-E12*E2_tabla_vida!$X$39)*E2_tabla_vida!$P$39,EXP(-E12*E2_tabla_vida!$X$40)*E2_tabla_vida!$P$40,EXP(-E12*E2_tabla_vida!$X$41)*E2_tabla_vida!$P$41,EXP(-E12*E2_tabla_vida!$X$42)*E2_tabla_vida!$P$42,EXP(-E12*E2_tabla_vida!$X$43)*E2_tabla_vida!$P$43)-1</x:f>
        <x:v>-0.002078021449936296</x:v>
      </x:c>
      <x:c r="G12" s="24" t="n">
        <x:f>SUM(EXP(-C12*E2_tabla_vida!$X$2)*E2_tabla_vida!$P$2,EXP(-C12*E2_tabla_vida!$X$3)*E2_tabla_vida!$P$3,EXP(-C12*E2_tabla_vida!$X$4)*E2_tabla_vida!$P$4,EXP(-C12*E2_tabla_vida!$X$5)*E2_tabla_vida!$P$5,EXP(-C12*E2_tabla_vida!$X$6)*E2_tabla_vida!$P$6,EXP(-C12*E2_tabla_vida!$X$7)*E2_tabla_vida!$P$7,EXP(-C12*E2_tabla_vida!$X$8)*E2_tabla_vida!$P$8,EXP(-C12*E2_tabla_vida!$X$9)*E2_tabla_vida!$P$9,EXP(-C12*E2_tabla_vida!$X$10)*E2_tabla_vida!$P$10,EXP(-C12*E2_tabla_vida!$X$11)*E2_tabla_vida!$P$11,EXP(-C12*E2_tabla_vida!$X$12)*E2_tabla_vida!$P$12,EXP(-C12*E2_tabla_vida!$X$13)*E2_tabla_vida!$P$13,EXP(-C12*E2_tabla_vida!$X$14)*E2_tabla_vida!$P$14,EXP(-C12*E2_tabla_vida!$X$15)*E2_tabla_vida!$P$15,EXP(-C12*E2_tabla_vida!$X$16)*E2_tabla_vida!$P$16,EXP(-C12*E2_tabla_vida!$X$17)*E2_tabla_vida!$P$17,EXP(-C12*E2_tabla_vida!$X$18)*E2_tabla_vida!$P$18,EXP(-C12*E2_tabla_vida!$X$19)*E2_tabla_vida!$P$19,EXP(-C12*E2_tabla_vida!$X$20)*E2_tabla_vida!$P$20,EXP(-C12*E2_tabla_vida!$X$21)*E2_tabla_vida!$P$21,EXP(-C12*E2_tabla_vida!$X$22)*E2_tabla_vida!$P$22,EXP(-C12*E2_tabla_vida!$X$23)*E2_tabla_vida!$P$23,EXP(-C12*E2_tabla_vida!$X$24)*E2_tabla_vida!$P$24,EXP(-C12*E2_tabla_vida!$X$25)*E2_tabla_vida!$P$25,EXP(-C12*E2_tabla_vida!$X$26)*E2_tabla_vida!$P$26,EXP(-C12*E2_tabla_vida!$X$27)*E2_tabla_vida!$P$27,EXP(-C12*E2_tabla_vida!$X$28)*E2_tabla_vida!$P$28,EXP(-C12*E2_tabla_vida!$X$29)*E2_tabla_vida!$P$29,EXP(-C12*E2_tabla_vida!$X$30)*E2_tabla_vida!$P$30,EXP(-C12*E2_tabla_vida!$X$31)*E2_tabla_vida!$P$31,EXP(-C12*E2_tabla_vida!$X$32)*E2_tabla_vida!$P$32,EXP(-C12*E2_tabla_vida!$X$33)*E2_tabla_vida!$P$33,EXP(-C12*E2_tabla_vida!$X$34)*E2_tabla_vida!$P$34,EXP(-C12*E2_tabla_vida!$X$35)*E2_tabla_vida!$P$35,EXP(-C12*E2_tabla_vida!$X$36)*E2_tabla_vida!$P$36,EXP(-C12*E2_tabla_vida!$X$37)*E2_tabla_vida!$P$37,EXP(-C12*E2_tabla_vida!$X$38)*E2_tabla_vida!$P$38,EXP(-C12*E2_tabla_vida!$X$39)*E2_tabla_vida!$P$39,EXP(-C12*E2_tabla_vida!$X$40)*E2_tabla_vida!$P$40,EXP(-C12*E2_tabla_vida!$X$41)*E2_tabla_vida!$P$41,EXP(-C12*E2_tabla_vida!$X$42)*E2_tabla_vida!$P$42,EXP(-C12*E2_tabla_vida!$X$43)*E2_tabla_vida!$P$43)-1</x:f>
        <x:v>0.017721767017325973</x:v>
      </x:c>
      <x:c r="H12" s="24" t="n">
        <x:f>SUM(EXP(-D12*E2_tabla_vida!$X$2)*E2_tabla_vida!$P$2,EXP(-D12*E2_tabla_vida!$X$3)*E2_tabla_vida!$P$3,EXP(-D12*E2_tabla_vida!$X$4)*E2_tabla_vida!$P$4,EXP(-D12*E2_tabla_vida!$X$5)*E2_tabla_vida!$P$5,EXP(-D12*E2_tabla_vida!$X$6)*E2_tabla_vida!$P$6,EXP(-D12*E2_tabla_vida!$X$7)*E2_tabla_vida!$P$7,EXP(-D12*E2_tabla_vida!$X$8)*E2_tabla_vida!$P$8,EXP(-D12*E2_tabla_vida!$X$9)*E2_tabla_vida!$P$9,EXP(-D12*E2_tabla_vida!$X$10)*E2_tabla_vida!$P$10,EXP(-D12*E2_tabla_vida!$X$11)*E2_tabla_vida!$P$11,EXP(-D12*E2_tabla_vida!$X$12)*E2_tabla_vida!$P$12,EXP(-D12*E2_tabla_vida!$X$13)*E2_tabla_vida!$P$13,EXP(-D12*E2_tabla_vida!$X$14)*E2_tabla_vida!$P$14,EXP(-D12*E2_tabla_vida!$X$15)*E2_tabla_vida!$P$15,EXP(-D12*E2_tabla_vida!$X$16)*E2_tabla_vida!$P$16,EXP(-D12*E2_tabla_vida!$X$17)*E2_tabla_vida!$P$17,EXP(-D12*E2_tabla_vida!$X$18)*E2_tabla_vida!$P$18,EXP(-D12*E2_tabla_vida!$X$19)*E2_tabla_vida!$P$19,EXP(-D12*E2_tabla_vida!$X$20)*E2_tabla_vida!$P$20,EXP(-D12*E2_tabla_vida!$X$21)*E2_tabla_vida!$P$21,EXP(-D12*E2_tabla_vida!$X$22)*E2_tabla_vida!$P$22,EXP(-D12*E2_tabla_vida!$X$23)*E2_tabla_vida!$P$23,EXP(-D12*E2_tabla_vida!$X$24)*E2_tabla_vida!$P$24,EXP(-D12*E2_tabla_vida!$X$25)*E2_tabla_vida!$P$25,EXP(-D12*E2_tabla_vida!$X$26)*E2_tabla_vida!$P$26,EXP(-D12*E2_tabla_vida!$X$27)*E2_tabla_vida!$P$27,EXP(-D12*E2_tabla_vida!$X$28)*E2_tabla_vida!$P$28,EXP(-D12*E2_tabla_vida!$X$29)*E2_tabla_vida!$P$29,EXP(-D12*E2_tabla_vida!$X$30)*E2_tabla_vida!$P$30,EXP(-D12*E2_tabla_vida!$X$31)*E2_tabla_vida!$P$31,EXP(-D12*E2_tabla_vida!$X$32)*E2_tabla_vida!$P$32,EXP(-D12*E2_tabla_vida!$X$33)*E2_tabla_vida!$P$33,EXP(-D12*E2_tabla_vida!$X$34)*E2_tabla_vida!$P$34,EXP(-D12*E2_tabla_vida!$X$35)*E2_tabla_vida!$P$35,EXP(-D12*E2_tabla_vida!$X$36)*E2_tabla_vida!$P$36,EXP(-D12*E2_tabla_vida!$X$37)*E2_tabla_vida!$P$37,EXP(-D12*E2_tabla_vida!$X$38)*E2_tabla_vida!$P$38,EXP(-D12*E2_tabla_vida!$X$39)*E2_tabla_vida!$P$39,EXP(-D12*E2_tabla_vida!$X$40)*E2_tabla_vida!$P$40,EXP(-D12*E2_tabla_vida!$X$41)*E2_tabla_vida!$P$41,EXP(-D12*E2_tabla_vida!$X$42)*E2_tabla_vida!$P$42,EXP(-D12*E2_tabla_vida!$X$43)*E2_tabla_vida!$P$43)-1</x:f>
        <x:v>-0.02146915629923729</x:v>
      </x:c>
    </x:row>
    <x:row r="13" ht="19" customHeight="1">
      <x:c r="A13" s="2" t="str">
        <x:v>MP_L0</x:v>
      </x:c>
      <x:c r="B13" s="2" t="n">
        <x:v>11</x:v>
      </x:c>
      <x:c r="C13" s="22" t="n">
        <x:f>IF(F12&gt;0,E12,C12)</x:f>
        <x:v>0.259765625</x:v>
      </x:c>
      <x:c r="D13" s="22" t="n">
        <x:f>IF(F12&gt;0,D12,E12)</x:f>
        <x:v>0.26123046875</x:v>
      </x:c>
      <x:c r="E13" s="22" t="n">
        <x:f>AVERAGE(C13:D13)</x:f>
        <x:v>0.260498046875</x:v>
      </x:c>
      <x:c r="F13" s="24" t="n">
        <x:f>SUM(EXP(-E13*E2_tabla_vida!$X$2)*E2_tabla_vida!$P$2,EXP(-E13*E2_tabla_vida!$X$3)*E2_tabla_vida!$P$3,EXP(-E13*E2_tabla_vida!$X$4)*E2_tabla_vida!$P$4,EXP(-E13*E2_tabla_vida!$X$5)*E2_tabla_vida!$P$5,EXP(-E13*E2_tabla_vida!$X$6)*E2_tabla_vida!$P$6,EXP(-E13*E2_tabla_vida!$X$7)*E2_tabla_vida!$P$7,EXP(-E13*E2_tabla_vida!$X$8)*E2_tabla_vida!$P$8,EXP(-E13*E2_tabla_vida!$X$9)*E2_tabla_vida!$P$9,EXP(-E13*E2_tabla_vida!$X$10)*E2_tabla_vida!$P$10,EXP(-E13*E2_tabla_vida!$X$11)*E2_tabla_vida!$P$11,EXP(-E13*E2_tabla_vida!$X$12)*E2_tabla_vida!$P$12,EXP(-E13*E2_tabla_vida!$X$13)*E2_tabla_vida!$P$13,EXP(-E13*E2_tabla_vida!$X$14)*E2_tabla_vida!$P$14,EXP(-E13*E2_tabla_vida!$X$15)*E2_tabla_vida!$P$15,EXP(-E13*E2_tabla_vida!$X$16)*E2_tabla_vida!$P$16,EXP(-E13*E2_tabla_vida!$X$17)*E2_tabla_vida!$P$17,EXP(-E13*E2_tabla_vida!$X$18)*E2_tabla_vida!$P$18,EXP(-E13*E2_tabla_vida!$X$19)*E2_tabla_vida!$P$19,EXP(-E13*E2_tabla_vida!$X$20)*E2_tabla_vida!$P$20,EXP(-E13*E2_tabla_vida!$X$21)*E2_tabla_vida!$P$21,EXP(-E13*E2_tabla_vida!$X$22)*E2_tabla_vida!$P$22,EXP(-E13*E2_tabla_vida!$X$23)*E2_tabla_vida!$P$23,EXP(-E13*E2_tabla_vida!$X$24)*E2_tabla_vida!$P$24,EXP(-E13*E2_tabla_vida!$X$25)*E2_tabla_vida!$P$25,EXP(-E13*E2_tabla_vida!$X$26)*E2_tabla_vida!$P$26,EXP(-E13*E2_tabla_vida!$X$27)*E2_tabla_vida!$P$27,EXP(-E13*E2_tabla_vida!$X$28)*E2_tabla_vida!$P$28,EXP(-E13*E2_tabla_vida!$X$29)*E2_tabla_vida!$P$29,EXP(-E13*E2_tabla_vida!$X$30)*E2_tabla_vida!$P$30,EXP(-E13*E2_tabla_vida!$X$31)*E2_tabla_vida!$P$31,EXP(-E13*E2_tabla_vida!$X$32)*E2_tabla_vida!$P$32,EXP(-E13*E2_tabla_vida!$X$33)*E2_tabla_vida!$P$33,EXP(-E13*E2_tabla_vida!$X$34)*E2_tabla_vida!$P$34,EXP(-E13*E2_tabla_vida!$X$35)*E2_tabla_vida!$P$35,EXP(-E13*E2_tabla_vida!$X$36)*E2_tabla_vida!$P$36,EXP(-E13*E2_tabla_vida!$X$37)*E2_tabla_vida!$P$37,EXP(-E13*E2_tabla_vida!$X$38)*E2_tabla_vida!$P$38,EXP(-E13*E2_tabla_vida!$X$39)*E2_tabla_vida!$P$39,EXP(-E13*E2_tabla_vida!$X$40)*E2_tabla_vida!$P$40,EXP(-E13*E2_tabla_vida!$X$41)*E2_tabla_vida!$P$41,EXP(-E13*E2_tabla_vida!$X$42)*E2_tabla_vida!$P$42,EXP(-E13*E2_tabla_vida!$X$43)*E2_tabla_vida!$P$43)-1</x:f>
        <x:v>0.007770220056657395</x:v>
      </x:c>
      <x:c r="G13" s="24" t="n">
        <x:f>SUM(EXP(-C13*E2_tabla_vida!$X$2)*E2_tabla_vida!$P$2,EXP(-C13*E2_tabla_vida!$X$3)*E2_tabla_vida!$P$3,EXP(-C13*E2_tabla_vida!$X$4)*E2_tabla_vida!$P$4,EXP(-C13*E2_tabla_vida!$X$5)*E2_tabla_vida!$P$5,EXP(-C13*E2_tabla_vida!$X$6)*E2_tabla_vida!$P$6,EXP(-C13*E2_tabla_vida!$X$7)*E2_tabla_vida!$P$7,EXP(-C13*E2_tabla_vida!$X$8)*E2_tabla_vida!$P$8,EXP(-C13*E2_tabla_vida!$X$9)*E2_tabla_vida!$P$9,EXP(-C13*E2_tabla_vida!$X$10)*E2_tabla_vida!$P$10,EXP(-C13*E2_tabla_vida!$X$11)*E2_tabla_vida!$P$11,EXP(-C13*E2_tabla_vida!$X$12)*E2_tabla_vida!$P$12,EXP(-C13*E2_tabla_vida!$X$13)*E2_tabla_vida!$P$13,EXP(-C13*E2_tabla_vida!$X$14)*E2_tabla_vida!$P$14,EXP(-C13*E2_tabla_vida!$X$15)*E2_tabla_vida!$P$15,EXP(-C13*E2_tabla_vida!$X$16)*E2_tabla_vida!$P$16,EXP(-C13*E2_tabla_vida!$X$17)*E2_tabla_vida!$P$17,EXP(-C13*E2_tabla_vida!$X$18)*E2_tabla_vida!$P$18,EXP(-C13*E2_tabla_vida!$X$19)*E2_tabla_vida!$P$19,EXP(-C13*E2_tabla_vida!$X$20)*E2_tabla_vida!$P$20,EXP(-C13*E2_tabla_vida!$X$21)*E2_tabla_vida!$P$21,EXP(-C13*E2_tabla_vida!$X$22)*E2_tabla_vida!$P$22,EXP(-C13*E2_tabla_vida!$X$23)*E2_tabla_vida!$P$23,EXP(-C13*E2_tabla_vida!$X$24)*E2_tabla_vida!$P$24,EXP(-C13*E2_tabla_vida!$X$25)*E2_tabla_vida!$P$25,EXP(-C13*E2_tabla_vida!$X$26)*E2_tabla_vida!$P$26,EXP(-C13*E2_tabla_vida!$X$27)*E2_tabla_vida!$P$27,EXP(-C13*E2_tabla_vida!$X$28)*E2_tabla_vida!$P$28,EXP(-C13*E2_tabla_vida!$X$29)*E2_tabla_vida!$P$29,EXP(-C13*E2_tabla_vida!$X$30)*E2_tabla_vida!$P$30,EXP(-C13*E2_tabla_vida!$X$31)*E2_tabla_vida!$P$31,EXP(-C13*E2_tabla_vida!$X$32)*E2_tabla_vida!$P$32,EXP(-C13*E2_tabla_vida!$X$33)*E2_tabla_vida!$P$33,EXP(-C13*E2_tabla_vida!$X$34)*E2_tabla_vida!$P$34,EXP(-C13*E2_tabla_vida!$X$35)*E2_tabla_vida!$P$35,EXP(-C13*E2_tabla_vida!$X$36)*E2_tabla_vida!$P$36,EXP(-C13*E2_tabla_vida!$X$37)*E2_tabla_vida!$P$37,EXP(-C13*E2_tabla_vida!$X$38)*E2_tabla_vida!$P$38,EXP(-C13*E2_tabla_vida!$X$39)*E2_tabla_vida!$P$39,EXP(-C13*E2_tabla_vida!$X$40)*E2_tabla_vida!$P$40,EXP(-C13*E2_tabla_vida!$X$41)*E2_tabla_vida!$P$41,EXP(-C13*E2_tabla_vida!$X$42)*E2_tabla_vida!$P$42,EXP(-C13*E2_tabla_vida!$X$43)*E2_tabla_vida!$P$43)-1</x:f>
        <x:v>0.017721767017325973</x:v>
      </x:c>
      <x:c r="H13" s="24" t="n">
        <x:f>SUM(EXP(-D13*E2_tabla_vida!$X$2)*E2_tabla_vida!$P$2,EXP(-D13*E2_tabla_vida!$X$3)*E2_tabla_vida!$P$3,EXP(-D13*E2_tabla_vida!$X$4)*E2_tabla_vida!$P$4,EXP(-D13*E2_tabla_vida!$X$5)*E2_tabla_vida!$P$5,EXP(-D13*E2_tabla_vida!$X$6)*E2_tabla_vida!$P$6,EXP(-D13*E2_tabla_vida!$X$7)*E2_tabla_vida!$P$7,EXP(-D13*E2_tabla_vida!$X$8)*E2_tabla_vida!$P$8,EXP(-D13*E2_tabla_vida!$X$9)*E2_tabla_vida!$P$9,EXP(-D13*E2_tabla_vida!$X$10)*E2_tabla_vida!$P$10,EXP(-D13*E2_tabla_vida!$X$11)*E2_tabla_vida!$P$11,EXP(-D13*E2_tabla_vida!$X$12)*E2_tabla_vida!$P$12,EXP(-D13*E2_tabla_vida!$X$13)*E2_tabla_vida!$P$13,EXP(-D13*E2_tabla_vida!$X$14)*E2_tabla_vida!$P$14,EXP(-D13*E2_tabla_vida!$X$15)*E2_tabla_vida!$P$15,EXP(-D13*E2_tabla_vida!$X$16)*E2_tabla_vida!$P$16,EXP(-D13*E2_tabla_vida!$X$17)*E2_tabla_vida!$P$17,EXP(-D13*E2_tabla_vida!$X$18)*E2_tabla_vida!$P$18,EXP(-D13*E2_tabla_vida!$X$19)*E2_tabla_vida!$P$19,EXP(-D13*E2_tabla_vida!$X$20)*E2_tabla_vida!$P$20,EXP(-D13*E2_tabla_vida!$X$21)*E2_tabla_vida!$P$21,EXP(-D13*E2_tabla_vida!$X$22)*E2_tabla_vida!$P$22,EXP(-D13*E2_tabla_vida!$X$23)*E2_tabla_vida!$P$23,EXP(-D13*E2_tabla_vida!$X$24)*E2_tabla_vida!$P$24,EXP(-D13*E2_tabla_vida!$X$25)*E2_tabla_vida!$P$25,EXP(-D13*E2_tabla_vida!$X$26)*E2_tabla_vida!$P$26,EXP(-D13*E2_tabla_vida!$X$27)*E2_tabla_vida!$P$27,EXP(-D13*E2_tabla_vida!$X$28)*E2_tabla_vida!$P$28,EXP(-D13*E2_tabla_vida!$X$29)*E2_tabla_vida!$P$29,EXP(-D13*E2_tabla_vida!$X$30)*E2_tabla_vida!$P$30,EXP(-D13*E2_tabla_vida!$X$31)*E2_tabla_vida!$P$31,EXP(-D13*E2_tabla_vida!$X$32)*E2_tabla_vida!$P$32,EXP(-D13*E2_tabla_vida!$X$33)*E2_tabla_vida!$P$33,EXP(-D13*E2_tabla_vida!$X$34)*E2_tabla_vida!$P$34,EXP(-D13*E2_tabla_vida!$X$35)*E2_tabla_vida!$P$35,EXP(-D13*E2_tabla_vida!$X$36)*E2_tabla_vida!$P$36,EXP(-D13*E2_tabla_vida!$X$37)*E2_tabla_vida!$P$37,EXP(-D13*E2_tabla_vida!$X$38)*E2_tabla_vida!$P$38,EXP(-D13*E2_tabla_vida!$X$39)*E2_tabla_vida!$P$39,EXP(-D13*E2_tabla_vida!$X$40)*E2_tabla_vida!$P$40,EXP(-D13*E2_tabla_vida!$X$41)*E2_tabla_vida!$P$41,EXP(-D13*E2_tabla_vida!$X$42)*E2_tabla_vida!$P$42,EXP(-D13*E2_tabla_vida!$X$43)*E2_tabla_vida!$P$43)-1</x:f>
        <x:v>-0.002078021449936296</x:v>
      </x:c>
    </x:row>
    <x:row r="14" ht="19" customHeight="1">
      <x:c r="A14" s="2" t="str">
        <x:v>MP_L0</x:v>
      </x:c>
      <x:c r="B14" s="2" t="n">
        <x:v>12</x:v>
      </x:c>
      <x:c r="C14" s="22" t="n">
        <x:f>IF(F13&gt;0,E13,C13)</x:f>
        <x:v>0.260498046875</x:v>
      </x:c>
      <x:c r="D14" s="22" t="n">
        <x:f>IF(F13&gt;0,D13,E13)</x:f>
        <x:v>0.26123046875</x:v>
      </x:c>
      <x:c r="E14" s="22" t="n">
        <x:f>AVERAGE(C14:D14)</x:f>
        <x:v>0.2608642578125</x:v>
      </x:c>
      <x:c r="F14" s="24" t="n">
        <x:f>SUM(EXP(-E14*E2_tabla_vida!$X$2)*E2_tabla_vida!$P$2,EXP(-E14*E2_tabla_vida!$X$3)*E2_tabla_vida!$P$3,EXP(-E14*E2_tabla_vida!$X$4)*E2_tabla_vida!$P$4,EXP(-E14*E2_tabla_vida!$X$5)*E2_tabla_vida!$P$5,EXP(-E14*E2_tabla_vida!$X$6)*E2_tabla_vida!$P$6,EXP(-E14*E2_tabla_vida!$X$7)*E2_tabla_vida!$P$7,EXP(-E14*E2_tabla_vida!$X$8)*E2_tabla_vida!$P$8,EXP(-E14*E2_tabla_vida!$X$9)*E2_tabla_vida!$P$9,EXP(-E14*E2_tabla_vida!$X$10)*E2_tabla_vida!$P$10,EXP(-E14*E2_tabla_vida!$X$11)*E2_tabla_vida!$P$11,EXP(-E14*E2_tabla_vida!$X$12)*E2_tabla_vida!$P$12,EXP(-E14*E2_tabla_vida!$X$13)*E2_tabla_vida!$P$13,EXP(-E14*E2_tabla_vida!$X$14)*E2_tabla_vida!$P$14,EXP(-E14*E2_tabla_vida!$X$15)*E2_tabla_vida!$P$15,EXP(-E14*E2_tabla_vida!$X$16)*E2_tabla_vida!$P$16,EXP(-E14*E2_tabla_vida!$X$17)*E2_tabla_vida!$P$17,EXP(-E14*E2_tabla_vida!$X$18)*E2_tabla_vida!$P$18,EXP(-E14*E2_tabla_vida!$X$19)*E2_tabla_vida!$P$19,EXP(-E14*E2_tabla_vida!$X$20)*E2_tabla_vida!$P$20,EXP(-E14*E2_tabla_vida!$X$21)*E2_tabla_vida!$P$21,EXP(-E14*E2_tabla_vida!$X$22)*E2_tabla_vida!$P$22,EXP(-E14*E2_tabla_vida!$X$23)*E2_tabla_vida!$P$23,EXP(-E14*E2_tabla_vida!$X$24)*E2_tabla_vida!$P$24,EXP(-E14*E2_tabla_vida!$X$25)*E2_tabla_vida!$P$25,EXP(-E14*E2_tabla_vida!$X$26)*E2_tabla_vida!$P$26,EXP(-E14*E2_tabla_vida!$X$27)*E2_tabla_vida!$P$27,EXP(-E14*E2_tabla_vida!$X$28)*E2_tabla_vida!$P$28,EXP(-E14*E2_tabla_vida!$X$29)*E2_tabla_vida!$P$29,EXP(-E14*E2_tabla_vida!$X$30)*E2_tabla_vida!$P$30,EXP(-E14*E2_tabla_vida!$X$31)*E2_tabla_vida!$P$31,EXP(-E14*E2_tabla_vida!$X$32)*E2_tabla_vida!$P$32,EXP(-E14*E2_tabla_vida!$X$33)*E2_tabla_vida!$P$33,EXP(-E14*E2_tabla_vida!$X$34)*E2_tabla_vida!$P$34,EXP(-E14*E2_tabla_vida!$X$35)*E2_tabla_vida!$P$35,EXP(-E14*E2_tabla_vida!$X$36)*E2_tabla_vida!$P$36,EXP(-E14*E2_tabla_vida!$X$37)*E2_tabla_vida!$P$37,EXP(-E14*E2_tabla_vida!$X$38)*E2_tabla_vida!$P$38,EXP(-E14*E2_tabla_vida!$X$39)*E2_tabla_vida!$P$39,EXP(-E14*E2_tabla_vida!$X$40)*E2_tabla_vida!$P$40,EXP(-E14*E2_tabla_vida!$X$41)*E2_tabla_vida!$P$41,EXP(-E14*E2_tabla_vida!$X$42)*E2_tabla_vida!$P$42,EXP(-E14*E2_tabla_vida!$X$43)*E2_tabla_vida!$P$43)-1</x:f>
        <x:v>0.00283325803353196</x:v>
      </x:c>
      <x:c r="G14" s="24" t="n">
        <x:f>SUM(EXP(-C14*E2_tabla_vida!$X$2)*E2_tabla_vida!$P$2,EXP(-C14*E2_tabla_vida!$X$3)*E2_tabla_vida!$P$3,EXP(-C14*E2_tabla_vida!$X$4)*E2_tabla_vida!$P$4,EXP(-C14*E2_tabla_vida!$X$5)*E2_tabla_vida!$P$5,EXP(-C14*E2_tabla_vida!$X$6)*E2_tabla_vida!$P$6,EXP(-C14*E2_tabla_vida!$X$7)*E2_tabla_vida!$P$7,EXP(-C14*E2_tabla_vida!$X$8)*E2_tabla_vida!$P$8,EXP(-C14*E2_tabla_vida!$X$9)*E2_tabla_vida!$P$9,EXP(-C14*E2_tabla_vida!$X$10)*E2_tabla_vida!$P$10,EXP(-C14*E2_tabla_vida!$X$11)*E2_tabla_vida!$P$11,EXP(-C14*E2_tabla_vida!$X$12)*E2_tabla_vida!$P$12,EXP(-C14*E2_tabla_vida!$X$13)*E2_tabla_vida!$P$13,EXP(-C14*E2_tabla_vida!$X$14)*E2_tabla_vida!$P$14,EXP(-C14*E2_tabla_vida!$X$15)*E2_tabla_vida!$P$15,EXP(-C14*E2_tabla_vida!$X$16)*E2_tabla_vida!$P$16,EXP(-C14*E2_tabla_vida!$X$17)*E2_tabla_vida!$P$17,EXP(-C14*E2_tabla_vida!$X$18)*E2_tabla_vida!$P$18,EXP(-C14*E2_tabla_vida!$X$19)*E2_tabla_vida!$P$19,EXP(-C14*E2_tabla_vida!$X$20)*E2_tabla_vida!$P$20,EXP(-C14*E2_tabla_vida!$X$21)*E2_tabla_vida!$P$21,EXP(-C14*E2_tabla_vida!$X$22)*E2_tabla_vida!$P$22,EXP(-C14*E2_tabla_vida!$X$23)*E2_tabla_vida!$P$23,EXP(-C14*E2_tabla_vida!$X$24)*E2_tabla_vida!$P$24,EXP(-C14*E2_tabla_vida!$X$25)*E2_tabla_vida!$P$25,EXP(-C14*E2_tabla_vida!$X$26)*E2_tabla_vida!$P$26,EXP(-C14*E2_tabla_vida!$X$27)*E2_tabla_vida!$P$27,EXP(-C14*E2_tabla_vida!$X$28)*E2_tabla_vida!$P$28,EXP(-C14*E2_tabla_vida!$X$29)*E2_tabla_vida!$P$29,EXP(-C14*E2_tabla_vida!$X$30)*E2_tabla_vida!$P$30,EXP(-C14*E2_tabla_vida!$X$31)*E2_tabla_vida!$P$31,EXP(-C14*E2_tabla_vida!$X$32)*E2_tabla_vida!$P$32,EXP(-C14*E2_tabla_vida!$X$33)*E2_tabla_vida!$P$33,EXP(-C14*E2_tabla_vida!$X$34)*E2_tabla_vida!$P$34,EXP(-C14*E2_tabla_vida!$X$35)*E2_tabla_vida!$P$35,EXP(-C14*E2_tabla_vida!$X$36)*E2_tabla_vida!$P$36,EXP(-C14*E2_tabla_vida!$X$37)*E2_tabla_vida!$P$37,EXP(-C14*E2_tabla_vida!$X$38)*E2_tabla_vida!$P$38,EXP(-C14*E2_tabla_vida!$X$39)*E2_tabla_vida!$P$39,EXP(-C14*E2_tabla_vida!$X$40)*E2_tabla_vida!$P$40,EXP(-C14*E2_tabla_vida!$X$41)*E2_tabla_vida!$P$41,EXP(-C14*E2_tabla_vida!$X$42)*E2_tabla_vida!$P$42,EXP(-C14*E2_tabla_vida!$X$43)*E2_tabla_vida!$P$43)-1</x:f>
        <x:v>0.007770220056657395</x:v>
      </x:c>
      <x:c r="H14" s="24" t="n">
        <x:f>SUM(EXP(-D14*E2_tabla_vida!$X$2)*E2_tabla_vida!$P$2,EXP(-D14*E2_tabla_vida!$X$3)*E2_tabla_vida!$P$3,EXP(-D14*E2_tabla_vida!$X$4)*E2_tabla_vida!$P$4,EXP(-D14*E2_tabla_vida!$X$5)*E2_tabla_vida!$P$5,EXP(-D14*E2_tabla_vida!$X$6)*E2_tabla_vida!$P$6,EXP(-D14*E2_tabla_vida!$X$7)*E2_tabla_vida!$P$7,EXP(-D14*E2_tabla_vida!$X$8)*E2_tabla_vida!$P$8,EXP(-D14*E2_tabla_vida!$X$9)*E2_tabla_vida!$P$9,EXP(-D14*E2_tabla_vida!$X$10)*E2_tabla_vida!$P$10,EXP(-D14*E2_tabla_vida!$X$11)*E2_tabla_vida!$P$11,EXP(-D14*E2_tabla_vida!$X$12)*E2_tabla_vida!$P$12,EXP(-D14*E2_tabla_vida!$X$13)*E2_tabla_vida!$P$13,EXP(-D14*E2_tabla_vida!$X$14)*E2_tabla_vida!$P$14,EXP(-D14*E2_tabla_vida!$X$15)*E2_tabla_vida!$P$15,EXP(-D14*E2_tabla_vida!$X$16)*E2_tabla_vida!$P$16,EXP(-D14*E2_tabla_vida!$X$17)*E2_tabla_vida!$P$17,EXP(-D14*E2_tabla_vida!$X$18)*E2_tabla_vida!$P$18,EXP(-D14*E2_tabla_vida!$X$19)*E2_tabla_vida!$P$19,EXP(-D14*E2_tabla_vida!$X$20)*E2_tabla_vida!$P$20,EXP(-D14*E2_tabla_vida!$X$21)*E2_tabla_vida!$P$21,EXP(-D14*E2_tabla_vida!$X$22)*E2_tabla_vida!$P$22,EXP(-D14*E2_tabla_vida!$X$23)*E2_tabla_vida!$P$23,EXP(-D14*E2_tabla_vida!$X$24)*E2_tabla_vida!$P$24,EXP(-D14*E2_tabla_vida!$X$25)*E2_tabla_vida!$P$25,EXP(-D14*E2_tabla_vida!$X$26)*E2_tabla_vida!$P$26,EXP(-D14*E2_tabla_vida!$X$27)*E2_tabla_vida!$P$27,EXP(-D14*E2_tabla_vida!$X$28)*E2_tabla_vida!$P$28,EXP(-D14*E2_tabla_vida!$X$29)*E2_tabla_vida!$P$29,EXP(-D14*E2_tabla_vida!$X$30)*E2_tabla_vida!$P$30,EXP(-D14*E2_tabla_vida!$X$31)*E2_tabla_vida!$P$31,EXP(-D14*E2_tabla_vida!$X$32)*E2_tabla_vida!$P$32,EXP(-D14*E2_tabla_vida!$X$33)*E2_tabla_vida!$P$33,EXP(-D14*E2_tabla_vida!$X$34)*E2_tabla_vida!$P$34,EXP(-D14*E2_tabla_vida!$X$35)*E2_tabla_vida!$P$35,EXP(-D14*E2_tabla_vida!$X$36)*E2_tabla_vida!$P$36,EXP(-D14*E2_tabla_vida!$X$37)*E2_tabla_vida!$P$37,EXP(-D14*E2_tabla_vida!$X$38)*E2_tabla_vida!$P$38,EXP(-D14*E2_tabla_vida!$X$39)*E2_tabla_vida!$P$39,EXP(-D14*E2_tabla_vida!$X$40)*E2_tabla_vida!$P$40,EXP(-D14*E2_tabla_vida!$X$41)*E2_tabla_vida!$P$41,EXP(-D14*E2_tabla_vida!$X$42)*E2_tabla_vida!$P$42,EXP(-D14*E2_tabla_vida!$X$43)*E2_tabla_vida!$P$43)-1</x:f>
        <x:v>-0.002078021449936296</x:v>
      </x:c>
    </x:row>
    <x:row r="15" ht="19" customHeight="1">
      <x:c r="A15" s="2" t="str">
        <x:v>MP_L0</x:v>
      </x:c>
      <x:c r="B15" s="2" t="n">
        <x:v>13</x:v>
      </x:c>
      <x:c r="C15" s="22" t="n">
        <x:f>IF(F14&gt;0,E14,C14)</x:f>
        <x:v>0.2608642578125</x:v>
      </x:c>
      <x:c r="D15" s="22" t="n">
        <x:f>IF(F14&gt;0,D14,E14)</x:f>
        <x:v>0.26123046875</x:v>
      </x:c>
      <x:c r="E15" s="22" t="n">
        <x:f>AVERAGE(C15:D15)</x:f>
        <x:v>0.26104736328125</x:v>
      </x:c>
      <x:c r="F15" s="24" t="n">
        <x:f>SUM(EXP(-E15*E2_tabla_vida!$X$2)*E2_tabla_vida!$P$2,EXP(-E15*E2_tabla_vida!$X$3)*E2_tabla_vida!$P$3,EXP(-E15*E2_tabla_vida!$X$4)*E2_tabla_vida!$P$4,EXP(-E15*E2_tabla_vida!$X$5)*E2_tabla_vida!$P$5,EXP(-E15*E2_tabla_vida!$X$6)*E2_tabla_vida!$P$6,EXP(-E15*E2_tabla_vida!$X$7)*E2_tabla_vida!$P$7,EXP(-E15*E2_tabla_vida!$X$8)*E2_tabla_vida!$P$8,EXP(-E15*E2_tabla_vida!$X$9)*E2_tabla_vida!$P$9,EXP(-E15*E2_tabla_vida!$X$10)*E2_tabla_vida!$P$10,EXP(-E15*E2_tabla_vida!$X$11)*E2_tabla_vida!$P$11,EXP(-E15*E2_tabla_vida!$X$12)*E2_tabla_vida!$P$12,EXP(-E15*E2_tabla_vida!$X$13)*E2_tabla_vida!$P$13,EXP(-E15*E2_tabla_vida!$X$14)*E2_tabla_vida!$P$14,EXP(-E15*E2_tabla_vida!$X$15)*E2_tabla_vida!$P$15,EXP(-E15*E2_tabla_vida!$X$16)*E2_tabla_vida!$P$16,EXP(-E15*E2_tabla_vida!$X$17)*E2_tabla_vida!$P$17,EXP(-E15*E2_tabla_vida!$X$18)*E2_tabla_vida!$P$18,EXP(-E15*E2_tabla_vida!$X$19)*E2_tabla_vida!$P$19,EXP(-E15*E2_tabla_vida!$X$20)*E2_tabla_vida!$P$20,EXP(-E15*E2_tabla_vida!$X$21)*E2_tabla_vida!$P$21,EXP(-E15*E2_tabla_vida!$X$22)*E2_tabla_vida!$P$22,EXP(-E15*E2_tabla_vida!$X$23)*E2_tabla_vida!$P$23,EXP(-E15*E2_tabla_vida!$X$24)*E2_tabla_vida!$P$24,EXP(-E15*E2_tabla_vida!$X$25)*E2_tabla_vida!$P$25,EXP(-E15*E2_tabla_vida!$X$26)*E2_tabla_vida!$P$26,EXP(-E15*E2_tabla_vida!$X$27)*E2_tabla_vida!$P$27,EXP(-E15*E2_tabla_vida!$X$28)*E2_tabla_vida!$P$28,EXP(-E15*E2_tabla_vida!$X$29)*E2_tabla_vida!$P$29,EXP(-E15*E2_tabla_vida!$X$30)*E2_tabla_vida!$P$30,EXP(-E15*E2_tabla_vida!$X$31)*E2_tabla_vida!$P$31,EXP(-E15*E2_tabla_vida!$X$32)*E2_tabla_vida!$P$32,EXP(-E15*E2_tabla_vida!$X$33)*E2_tabla_vida!$P$33,EXP(-E15*E2_tabla_vida!$X$34)*E2_tabla_vida!$P$34,EXP(-E15*E2_tabla_vida!$X$35)*E2_tabla_vida!$P$35,EXP(-E15*E2_tabla_vida!$X$36)*E2_tabla_vida!$P$36,EXP(-E15*E2_tabla_vida!$X$37)*E2_tabla_vida!$P$37,EXP(-E15*E2_tabla_vida!$X$38)*E2_tabla_vida!$P$38,EXP(-E15*E2_tabla_vida!$X$39)*E2_tabla_vida!$P$39,EXP(-E15*E2_tabla_vida!$X$40)*E2_tabla_vida!$P$40,EXP(-E15*E2_tabla_vida!$X$41)*E2_tabla_vida!$P$41,EXP(-E15*E2_tabla_vida!$X$42)*E2_tabla_vida!$P$42,EXP(-E15*E2_tabla_vida!$X$43)*E2_tabla_vida!$P$43)-1</x:f>
        <x:v>0.00037441691635220486</x:v>
      </x:c>
      <x:c r="G15" s="24" t="n">
        <x:f>SUM(EXP(-C15*E2_tabla_vida!$X$2)*E2_tabla_vida!$P$2,EXP(-C15*E2_tabla_vida!$X$3)*E2_tabla_vida!$P$3,EXP(-C15*E2_tabla_vida!$X$4)*E2_tabla_vida!$P$4,EXP(-C15*E2_tabla_vida!$X$5)*E2_tabla_vida!$P$5,EXP(-C15*E2_tabla_vida!$X$6)*E2_tabla_vida!$P$6,EXP(-C15*E2_tabla_vida!$X$7)*E2_tabla_vida!$P$7,EXP(-C15*E2_tabla_vida!$X$8)*E2_tabla_vida!$P$8,EXP(-C15*E2_tabla_vida!$X$9)*E2_tabla_vida!$P$9,EXP(-C15*E2_tabla_vida!$X$10)*E2_tabla_vida!$P$10,EXP(-C15*E2_tabla_vida!$X$11)*E2_tabla_vida!$P$11,EXP(-C15*E2_tabla_vida!$X$12)*E2_tabla_vida!$P$12,EXP(-C15*E2_tabla_vida!$X$13)*E2_tabla_vida!$P$13,EXP(-C15*E2_tabla_vida!$X$14)*E2_tabla_vida!$P$14,EXP(-C15*E2_tabla_vida!$X$15)*E2_tabla_vida!$P$15,EXP(-C15*E2_tabla_vida!$X$16)*E2_tabla_vida!$P$16,EXP(-C15*E2_tabla_vida!$X$17)*E2_tabla_vida!$P$17,EXP(-C15*E2_tabla_vida!$X$18)*E2_tabla_vida!$P$18,EXP(-C15*E2_tabla_vida!$X$19)*E2_tabla_vida!$P$19,EXP(-C15*E2_tabla_vida!$X$20)*E2_tabla_vida!$P$20,EXP(-C15*E2_tabla_vida!$X$21)*E2_tabla_vida!$P$21,EXP(-C15*E2_tabla_vida!$X$22)*E2_tabla_vida!$P$22,EXP(-C15*E2_tabla_vida!$X$23)*E2_tabla_vida!$P$23,EXP(-C15*E2_tabla_vida!$X$24)*E2_tabla_vida!$P$24,EXP(-C15*E2_tabla_vida!$X$25)*E2_tabla_vida!$P$25,EXP(-C15*E2_tabla_vida!$X$26)*E2_tabla_vida!$P$26,EXP(-C15*E2_tabla_vida!$X$27)*E2_tabla_vida!$P$27,EXP(-C15*E2_tabla_vida!$X$28)*E2_tabla_vida!$P$28,EXP(-C15*E2_tabla_vida!$X$29)*E2_tabla_vida!$P$29,EXP(-C15*E2_tabla_vida!$X$30)*E2_tabla_vida!$P$30,EXP(-C15*E2_tabla_vida!$X$31)*E2_tabla_vida!$P$31,EXP(-C15*E2_tabla_vida!$X$32)*E2_tabla_vida!$P$32,EXP(-C15*E2_tabla_vida!$X$33)*E2_tabla_vida!$P$33,EXP(-C15*E2_tabla_vida!$X$34)*E2_tabla_vida!$P$34,EXP(-C15*E2_tabla_vida!$X$35)*E2_tabla_vida!$P$35,EXP(-C15*E2_tabla_vida!$X$36)*E2_tabla_vida!$P$36,EXP(-C15*E2_tabla_vida!$X$37)*E2_tabla_vida!$P$37,EXP(-C15*E2_tabla_vida!$X$38)*E2_tabla_vida!$P$38,EXP(-C15*E2_tabla_vida!$X$39)*E2_tabla_vida!$P$39,EXP(-C15*E2_tabla_vida!$X$40)*E2_tabla_vida!$P$40,EXP(-C15*E2_tabla_vida!$X$41)*E2_tabla_vida!$P$41,EXP(-C15*E2_tabla_vida!$X$42)*E2_tabla_vida!$P$42,EXP(-C15*E2_tabla_vida!$X$43)*E2_tabla_vida!$P$43)-1</x:f>
        <x:v>0.00283325803353196</x:v>
      </x:c>
      <x:c r="H15" s="24" t="n">
        <x:f>SUM(EXP(-D15*E2_tabla_vida!$X$2)*E2_tabla_vida!$P$2,EXP(-D15*E2_tabla_vida!$X$3)*E2_tabla_vida!$P$3,EXP(-D15*E2_tabla_vida!$X$4)*E2_tabla_vida!$P$4,EXP(-D15*E2_tabla_vida!$X$5)*E2_tabla_vida!$P$5,EXP(-D15*E2_tabla_vida!$X$6)*E2_tabla_vida!$P$6,EXP(-D15*E2_tabla_vida!$X$7)*E2_tabla_vida!$P$7,EXP(-D15*E2_tabla_vida!$X$8)*E2_tabla_vida!$P$8,EXP(-D15*E2_tabla_vida!$X$9)*E2_tabla_vida!$P$9,EXP(-D15*E2_tabla_vida!$X$10)*E2_tabla_vida!$P$10,EXP(-D15*E2_tabla_vida!$X$11)*E2_tabla_vida!$P$11,EXP(-D15*E2_tabla_vida!$X$12)*E2_tabla_vida!$P$12,EXP(-D15*E2_tabla_vida!$X$13)*E2_tabla_vida!$P$13,EXP(-D15*E2_tabla_vida!$X$14)*E2_tabla_vida!$P$14,EXP(-D15*E2_tabla_vida!$X$15)*E2_tabla_vida!$P$15,EXP(-D15*E2_tabla_vida!$X$16)*E2_tabla_vida!$P$16,EXP(-D15*E2_tabla_vida!$X$17)*E2_tabla_vida!$P$17,EXP(-D15*E2_tabla_vida!$X$18)*E2_tabla_vida!$P$18,EXP(-D15*E2_tabla_vida!$X$19)*E2_tabla_vida!$P$19,EXP(-D15*E2_tabla_vida!$X$20)*E2_tabla_vida!$P$20,EXP(-D15*E2_tabla_vida!$X$21)*E2_tabla_vida!$P$21,EXP(-D15*E2_tabla_vida!$X$22)*E2_tabla_vida!$P$22,EXP(-D15*E2_tabla_vida!$X$23)*E2_tabla_vida!$P$23,EXP(-D15*E2_tabla_vida!$X$24)*E2_tabla_vida!$P$24,EXP(-D15*E2_tabla_vida!$X$25)*E2_tabla_vida!$P$25,EXP(-D15*E2_tabla_vida!$X$26)*E2_tabla_vida!$P$26,EXP(-D15*E2_tabla_vida!$X$27)*E2_tabla_vida!$P$27,EXP(-D15*E2_tabla_vida!$X$28)*E2_tabla_vida!$P$28,EXP(-D15*E2_tabla_vida!$X$29)*E2_tabla_vida!$P$29,EXP(-D15*E2_tabla_vida!$X$30)*E2_tabla_vida!$P$30,EXP(-D15*E2_tabla_vida!$X$31)*E2_tabla_vida!$P$31,EXP(-D15*E2_tabla_vida!$X$32)*E2_tabla_vida!$P$32,EXP(-D15*E2_tabla_vida!$X$33)*E2_tabla_vida!$P$33,EXP(-D15*E2_tabla_vida!$X$34)*E2_tabla_vida!$P$34,EXP(-D15*E2_tabla_vida!$X$35)*E2_tabla_vida!$P$35,EXP(-D15*E2_tabla_vida!$X$36)*E2_tabla_vida!$P$36,EXP(-D15*E2_tabla_vida!$X$37)*E2_tabla_vida!$P$37,EXP(-D15*E2_tabla_vida!$X$38)*E2_tabla_vida!$P$38,EXP(-D15*E2_tabla_vida!$X$39)*E2_tabla_vida!$P$39,EXP(-D15*E2_tabla_vida!$X$40)*E2_tabla_vida!$P$40,EXP(-D15*E2_tabla_vida!$X$41)*E2_tabla_vida!$P$41,EXP(-D15*E2_tabla_vida!$X$42)*E2_tabla_vida!$P$42,EXP(-D15*E2_tabla_vida!$X$43)*E2_tabla_vida!$P$43)-1</x:f>
        <x:v>-0.002078021449936296</x:v>
      </x:c>
    </x:row>
    <x:row r="16" ht="19" customHeight="1">
      <x:c r="A16" s="2" t="str">
        <x:v>MP_L0</x:v>
      </x:c>
      <x:c r="B16" s="2" t="n">
        <x:v>14</x:v>
      </x:c>
      <x:c r="C16" s="22" t="n">
        <x:f>IF(F15&gt;0,E15,C15)</x:f>
        <x:v>0.26104736328125</x:v>
      </x:c>
      <x:c r="D16" s="22" t="n">
        <x:f>IF(F15&gt;0,D15,E15)</x:f>
        <x:v>0.26123046875</x:v>
      </x:c>
      <x:c r="E16" s="22" t="n">
        <x:f>AVERAGE(C16:D16)</x:f>
        <x:v>0.261138916015625</x:v>
      </x:c>
      <x:c r="F16" s="24" t="n">
        <x:f>SUM(EXP(-E16*E2_tabla_vida!$X$2)*E2_tabla_vida!$P$2,EXP(-E16*E2_tabla_vida!$X$3)*E2_tabla_vida!$P$3,EXP(-E16*E2_tabla_vida!$X$4)*E2_tabla_vida!$P$4,EXP(-E16*E2_tabla_vida!$X$5)*E2_tabla_vida!$P$5,EXP(-E16*E2_tabla_vida!$X$6)*E2_tabla_vida!$P$6,EXP(-E16*E2_tabla_vida!$X$7)*E2_tabla_vida!$P$7,EXP(-E16*E2_tabla_vida!$X$8)*E2_tabla_vida!$P$8,EXP(-E16*E2_tabla_vida!$X$9)*E2_tabla_vida!$P$9,EXP(-E16*E2_tabla_vida!$X$10)*E2_tabla_vida!$P$10,EXP(-E16*E2_tabla_vida!$X$11)*E2_tabla_vida!$P$11,EXP(-E16*E2_tabla_vida!$X$12)*E2_tabla_vida!$P$12,EXP(-E16*E2_tabla_vida!$X$13)*E2_tabla_vida!$P$13,EXP(-E16*E2_tabla_vida!$X$14)*E2_tabla_vida!$P$14,EXP(-E16*E2_tabla_vida!$X$15)*E2_tabla_vida!$P$15,EXP(-E16*E2_tabla_vida!$X$16)*E2_tabla_vida!$P$16,EXP(-E16*E2_tabla_vida!$X$17)*E2_tabla_vida!$P$17,EXP(-E16*E2_tabla_vida!$X$18)*E2_tabla_vida!$P$18,EXP(-E16*E2_tabla_vida!$X$19)*E2_tabla_vida!$P$19,EXP(-E16*E2_tabla_vida!$X$20)*E2_tabla_vida!$P$20,EXP(-E16*E2_tabla_vida!$X$21)*E2_tabla_vida!$P$21,EXP(-E16*E2_tabla_vida!$X$22)*E2_tabla_vida!$P$22,EXP(-E16*E2_tabla_vida!$X$23)*E2_tabla_vida!$P$23,EXP(-E16*E2_tabla_vida!$X$24)*E2_tabla_vida!$P$24,EXP(-E16*E2_tabla_vida!$X$25)*E2_tabla_vida!$P$25,EXP(-E16*E2_tabla_vida!$X$26)*E2_tabla_vida!$P$26,EXP(-E16*E2_tabla_vida!$X$27)*E2_tabla_vida!$P$27,EXP(-E16*E2_tabla_vida!$X$28)*E2_tabla_vida!$P$28,EXP(-E16*E2_tabla_vida!$X$29)*E2_tabla_vida!$P$29,EXP(-E16*E2_tabla_vida!$X$30)*E2_tabla_vida!$P$30,EXP(-E16*E2_tabla_vida!$X$31)*E2_tabla_vida!$P$31,EXP(-E16*E2_tabla_vida!$X$32)*E2_tabla_vida!$P$32,EXP(-E16*E2_tabla_vida!$X$33)*E2_tabla_vida!$P$33,EXP(-E16*E2_tabla_vida!$X$34)*E2_tabla_vida!$P$34,EXP(-E16*E2_tabla_vida!$X$35)*E2_tabla_vida!$P$35,EXP(-E16*E2_tabla_vida!$X$36)*E2_tabla_vida!$P$36,EXP(-E16*E2_tabla_vida!$X$37)*E2_tabla_vida!$P$37,EXP(-E16*E2_tabla_vida!$X$38)*E2_tabla_vida!$P$38,EXP(-E16*E2_tabla_vida!$X$39)*E2_tabla_vida!$P$39,EXP(-E16*E2_tabla_vida!$X$40)*E2_tabla_vida!$P$40,EXP(-E16*E2_tabla_vida!$X$41)*E2_tabla_vida!$P$41,EXP(-E16*E2_tabla_vida!$X$42)*E2_tabla_vida!$P$42,EXP(-E16*E2_tabla_vida!$X$43)*E2_tabla_vida!$P$43)-1</x:f>
        <x:v>-0.0008526014958238903</x:v>
      </x:c>
      <x:c r="G16" s="24" t="n">
        <x:f>SUM(EXP(-C16*E2_tabla_vida!$X$2)*E2_tabla_vida!$P$2,EXP(-C16*E2_tabla_vida!$X$3)*E2_tabla_vida!$P$3,EXP(-C16*E2_tabla_vida!$X$4)*E2_tabla_vida!$P$4,EXP(-C16*E2_tabla_vida!$X$5)*E2_tabla_vida!$P$5,EXP(-C16*E2_tabla_vida!$X$6)*E2_tabla_vida!$P$6,EXP(-C16*E2_tabla_vida!$X$7)*E2_tabla_vida!$P$7,EXP(-C16*E2_tabla_vida!$X$8)*E2_tabla_vida!$P$8,EXP(-C16*E2_tabla_vida!$X$9)*E2_tabla_vida!$P$9,EXP(-C16*E2_tabla_vida!$X$10)*E2_tabla_vida!$P$10,EXP(-C16*E2_tabla_vida!$X$11)*E2_tabla_vida!$P$11,EXP(-C16*E2_tabla_vida!$X$12)*E2_tabla_vida!$P$12,EXP(-C16*E2_tabla_vida!$X$13)*E2_tabla_vida!$P$13,EXP(-C16*E2_tabla_vida!$X$14)*E2_tabla_vida!$P$14,EXP(-C16*E2_tabla_vida!$X$15)*E2_tabla_vida!$P$15,EXP(-C16*E2_tabla_vida!$X$16)*E2_tabla_vida!$P$16,EXP(-C16*E2_tabla_vida!$X$17)*E2_tabla_vida!$P$17,EXP(-C16*E2_tabla_vida!$X$18)*E2_tabla_vida!$P$18,EXP(-C16*E2_tabla_vida!$X$19)*E2_tabla_vida!$P$19,EXP(-C16*E2_tabla_vida!$X$20)*E2_tabla_vida!$P$20,EXP(-C16*E2_tabla_vida!$X$21)*E2_tabla_vida!$P$21,EXP(-C16*E2_tabla_vida!$X$22)*E2_tabla_vida!$P$22,EXP(-C16*E2_tabla_vida!$X$23)*E2_tabla_vida!$P$23,EXP(-C16*E2_tabla_vida!$X$24)*E2_tabla_vida!$P$24,EXP(-C16*E2_tabla_vida!$X$25)*E2_tabla_vida!$P$25,EXP(-C16*E2_tabla_vida!$X$26)*E2_tabla_vida!$P$26,EXP(-C16*E2_tabla_vida!$X$27)*E2_tabla_vida!$P$27,EXP(-C16*E2_tabla_vida!$X$28)*E2_tabla_vida!$P$28,EXP(-C16*E2_tabla_vida!$X$29)*E2_tabla_vida!$P$29,EXP(-C16*E2_tabla_vida!$X$30)*E2_tabla_vida!$P$30,EXP(-C16*E2_tabla_vida!$X$31)*E2_tabla_vida!$P$31,EXP(-C16*E2_tabla_vida!$X$32)*E2_tabla_vida!$P$32,EXP(-C16*E2_tabla_vida!$X$33)*E2_tabla_vida!$P$33,EXP(-C16*E2_tabla_vida!$X$34)*E2_tabla_vida!$P$34,EXP(-C16*E2_tabla_vida!$X$35)*E2_tabla_vida!$P$35,EXP(-C16*E2_tabla_vida!$X$36)*E2_tabla_vida!$P$36,EXP(-C16*E2_tabla_vida!$X$37)*E2_tabla_vida!$P$37,EXP(-C16*E2_tabla_vida!$X$38)*E2_tabla_vida!$P$38,EXP(-C16*E2_tabla_vida!$X$39)*E2_tabla_vida!$P$39,EXP(-C16*E2_tabla_vida!$X$40)*E2_tabla_vida!$P$40,EXP(-C16*E2_tabla_vida!$X$41)*E2_tabla_vida!$P$41,EXP(-C16*E2_tabla_vida!$X$42)*E2_tabla_vida!$P$42,EXP(-C16*E2_tabla_vida!$X$43)*E2_tabla_vida!$P$43)-1</x:f>
        <x:v>0.00037441691635220486</x:v>
      </x:c>
      <x:c r="H16" s="24" t="n">
        <x:f>SUM(EXP(-D16*E2_tabla_vida!$X$2)*E2_tabla_vida!$P$2,EXP(-D16*E2_tabla_vida!$X$3)*E2_tabla_vida!$P$3,EXP(-D16*E2_tabla_vida!$X$4)*E2_tabla_vida!$P$4,EXP(-D16*E2_tabla_vida!$X$5)*E2_tabla_vida!$P$5,EXP(-D16*E2_tabla_vida!$X$6)*E2_tabla_vida!$P$6,EXP(-D16*E2_tabla_vida!$X$7)*E2_tabla_vida!$P$7,EXP(-D16*E2_tabla_vida!$X$8)*E2_tabla_vida!$P$8,EXP(-D16*E2_tabla_vida!$X$9)*E2_tabla_vida!$P$9,EXP(-D16*E2_tabla_vida!$X$10)*E2_tabla_vida!$P$10,EXP(-D16*E2_tabla_vida!$X$11)*E2_tabla_vida!$P$11,EXP(-D16*E2_tabla_vida!$X$12)*E2_tabla_vida!$P$12,EXP(-D16*E2_tabla_vida!$X$13)*E2_tabla_vida!$P$13,EXP(-D16*E2_tabla_vida!$X$14)*E2_tabla_vida!$P$14,EXP(-D16*E2_tabla_vida!$X$15)*E2_tabla_vida!$P$15,EXP(-D16*E2_tabla_vida!$X$16)*E2_tabla_vida!$P$16,EXP(-D16*E2_tabla_vida!$X$17)*E2_tabla_vida!$P$17,EXP(-D16*E2_tabla_vida!$X$18)*E2_tabla_vida!$P$18,EXP(-D16*E2_tabla_vida!$X$19)*E2_tabla_vida!$P$19,EXP(-D16*E2_tabla_vida!$X$20)*E2_tabla_vida!$P$20,EXP(-D16*E2_tabla_vida!$X$21)*E2_tabla_vida!$P$21,EXP(-D16*E2_tabla_vida!$X$22)*E2_tabla_vida!$P$22,EXP(-D16*E2_tabla_vida!$X$23)*E2_tabla_vida!$P$23,EXP(-D16*E2_tabla_vida!$X$24)*E2_tabla_vida!$P$24,EXP(-D16*E2_tabla_vida!$X$25)*E2_tabla_vida!$P$25,EXP(-D16*E2_tabla_vida!$X$26)*E2_tabla_vida!$P$26,EXP(-D16*E2_tabla_vida!$X$27)*E2_tabla_vida!$P$27,EXP(-D16*E2_tabla_vida!$X$28)*E2_tabla_vida!$P$28,EXP(-D16*E2_tabla_vida!$X$29)*E2_tabla_vida!$P$29,EXP(-D16*E2_tabla_vida!$X$30)*E2_tabla_vida!$P$30,EXP(-D16*E2_tabla_vida!$X$31)*E2_tabla_vida!$P$31,EXP(-D16*E2_tabla_vida!$X$32)*E2_tabla_vida!$P$32,EXP(-D16*E2_tabla_vida!$X$33)*E2_tabla_vida!$P$33,EXP(-D16*E2_tabla_vida!$X$34)*E2_tabla_vida!$P$34,EXP(-D16*E2_tabla_vida!$X$35)*E2_tabla_vida!$P$35,EXP(-D16*E2_tabla_vida!$X$36)*E2_tabla_vida!$P$36,EXP(-D16*E2_tabla_vida!$X$37)*E2_tabla_vida!$P$37,EXP(-D16*E2_tabla_vida!$X$38)*E2_tabla_vida!$P$38,EXP(-D16*E2_tabla_vida!$X$39)*E2_tabla_vida!$P$39,EXP(-D16*E2_tabla_vida!$X$40)*E2_tabla_vida!$P$40,EXP(-D16*E2_tabla_vida!$X$41)*E2_tabla_vida!$P$41,EXP(-D16*E2_tabla_vida!$X$42)*E2_tabla_vida!$P$42,EXP(-D16*E2_tabla_vida!$X$43)*E2_tabla_vida!$P$43)-1</x:f>
        <x:v>-0.002078021449936296</x:v>
      </x:c>
    </x:row>
    <x:row r="17" ht="19" customHeight="1">
      <x:c r="A17" s="2" t="str">
        <x:v>MP_L0</x:v>
      </x:c>
      <x:c r="B17" s="2" t="n">
        <x:v>15</x:v>
      </x:c>
      <x:c r="C17" s="22" t="n">
        <x:f>IF(F16&gt;0,E16,C16)</x:f>
        <x:v>0.26104736328125</x:v>
      </x:c>
      <x:c r="D17" s="22" t="n">
        <x:f>IF(F16&gt;0,D16,E16)</x:f>
        <x:v>0.261138916015625</x:v>
      </x:c>
      <x:c r="E17" s="22" t="n">
        <x:f>AVERAGE(C17:D17)</x:f>
        <x:v>0.2610931396484375</x:v>
      </x:c>
      <x:c r="F17" s="24" t="n">
        <x:f>SUM(EXP(-E17*E2_tabla_vida!$X$2)*E2_tabla_vida!$P$2,EXP(-E17*E2_tabla_vida!$X$3)*E2_tabla_vida!$P$3,EXP(-E17*E2_tabla_vida!$X$4)*E2_tabla_vida!$P$4,EXP(-E17*E2_tabla_vida!$X$5)*E2_tabla_vida!$P$5,EXP(-E17*E2_tabla_vida!$X$6)*E2_tabla_vida!$P$6,EXP(-E17*E2_tabla_vida!$X$7)*E2_tabla_vida!$P$7,EXP(-E17*E2_tabla_vida!$X$8)*E2_tabla_vida!$P$8,EXP(-E17*E2_tabla_vida!$X$9)*E2_tabla_vida!$P$9,EXP(-E17*E2_tabla_vida!$X$10)*E2_tabla_vida!$P$10,EXP(-E17*E2_tabla_vida!$X$11)*E2_tabla_vida!$P$11,EXP(-E17*E2_tabla_vida!$X$12)*E2_tabla_vida!$P$12,EXP(-E17*E2_tabla_vida!$X$13)*E2_tabla_vida!$P$13,EXP(-E17*E2_tabla_vida!$X$14)*E2_tabla_vida!$P$14,EXP(-E17*E2_tabla_vida!$X$15)*E2_tabla_vida!$P$15,EXP(-E17*E2_tabla_vida!$X$16)*E2_tabla_vida!$P$16,EXP(-E17*E2_tabla_vida!$X$17)*E2_tabla_vida!$P$17,EXP(-E17*E2_tabla_vida!$X$18)*E2_tabla_vida!$P$18,EXP(-E17*E2_tabla_vida!$X$19)*E2_tabla_vida!$P$19,EXP(-E17*E2_tabla_vida!$X$20)*E2_tabla_vida!$P$20,EXP(-E17*E2_tabla_vida!$X$21)*E2_tabla_vida!$P$21,EXP(-E17*E2_tabla_vida!$X$22)*E2_tabla_vida!$P$22,EXP(-E17*E2_tabla_vida!$X$23)*E2_tabla_vida!$P$23,EXP(-E17*E2_tabla_vida!$X$24)*E2_tabla_vida!$P$24,EXP(-E17*E2_tabla_vida!$X$25)*E2_tabla_vida!$P$25,EXP(-E17*E2_tabla_vida!$X$26)*E2_tabla_vida!$P$26,EXP(-E17*E2_tabla_vida!$X$27)*E2_tabla_vida!$P$27,EXP(-E17*E2_tabla_vida!$X$28)*E2_tabla_vida!$P$28,EXP(-E17*E2_tabla_vida!$X$29)*E2_tabla_vida!$P$29,EXP(-E17*E2_tabla_vida!$X$30)*E2_tabla_vida!$P$30,EXP(-E17*E2_tabla_vida!$X$31)*E2_tabla_vida!$P$31,EXP(-E17*E2_tabla_vida!$X$32)*E2_tabla_vida!$P$32,EXP(-E17*E2_tabla_vida!$X$33)*E2_tabla_vida!$P$33,EXP(-E17*E2_tabla_vida!$X$34)*E2_tabla_vida!$P$34,EXP(-E17*E2_tabla_vida!$X$35)*E2_tabla_vida!$P$35,EXP(-E17*E2_tabla_vida!$X$36)*E2_tabla_vida!$P$36,EXP(-E17*E2_tabla_vida!$X$37)*E2_tabla_vida!$P$37,EXP(-E17*E2_tabla_vida!$X$38)*E2_tabla_vida!$P$38,EXP(-E17*E2_tabla_vida!$X$39)*E2_tabla_vida!$P$39,EXP(-E17*E2_tabla_vida!$X$40)*E2_tabla_vida!$P$40,EXP(-E17*E2_tabla_vida!$X$41)*E2_tabla_vida!$P$41,EXP(-E17*E2_tabla_vida!$X$42)*E2_tabla_vida!$P$42,EXP(-E17*E2_tabla_vida!$X$43)*E2_tabla_vida!$P$43)-1</x:f>
        <x:v>-0.00023929223621754758</x:v>
      </x:c>
      <x:c r="G17" s="24" t="n">
        <x:f>SUM(EXP(-C17*E2_tabla_vida!$X$2)*E2_tabla_vida!$P$2,EXP(-C17*E2_tabla_vida!$X$3)*E2_tabla_vida!$P$3,EXP(-C17*E2_tabla_vida!$X$4)*E2_tabla_vida!$P$4,EXP(-C17*E2_tabla_vida!$X$5)*E2_tabla_vida!$P$5,EXP(-C17*E2_tabla_vida!$X$6)*E2_tabla_vida!$P$6,EXP(-C17*E2_tabla_vida!$X$7)*E2_tabla_vida!$P$7,EXP(-C17*E2_tabla_vida!$X$8)*E2_tabla_vida!$P$8,EXP(-C17*E2_tabla_vida!$X$9)*E2_tabla_vida!$P$9,EXP(-C17*E2_tabla_vida!$X$10)*E2_tabla_vida!$P$10,EXP(-C17*E2_tabla_vida!$X$11)*E2_tabla_vida!$P$11,EXP(-C17*E2_tabla_vida!$X$12)*E2_tabla_vida!$P$12,EXP(-C17*E2_tabla_vida!$X$13)*E2_tabla_vida!$P$13,EXP(-C17*E2_tabla_vida!$X$14)*E2_tabla_vida!$P$14,EXP(-C17*E2_tabla_vida!$X$15)*E2_tabla_vida!$P$15,EXP(-C17*E2_tabla_vida!$X$16)*E2_tabla_vida!$P$16,EXP(-C17*E2_tabla_vida!$X$17)*E2_tabla_vida!$P$17,EXP(-C17*E2_tabla_vida!$X$18)*E2_tabla_vida!$P$18,EXP(-C17*E2_tabla_vida!$X$19)*E2_tabla_vida!$P$19,EXP(-C17*E2_tabla_vida!$X$20)*E2_tabla_vida!$P$20,EXP(-C17*E2_tabla_vida!$X$21)*E2_tabla_vida!$P$21,EXP(-C17*E2_tabla_vida!$X$22)*E2_tabla_vida!$P$22,EXP(-C17*E2_tabla_vida!$X$23)*E2_tabla_vida!$P$23,EXP(-C17*E2_tabla_vida!$X$24)*E2_tabla_vida!$P$24,EXP(-C17*E2_tabla_vida!$X$25)*E2_tabla_vida!$P$25,EXP(-C17*E2_tabla_vida!$X$26)*E2_tabla_vida!$P$26,EXP(-C17*E2_tabla_vida!$X$27)*E2_tabla_vida!$P$27,EXP(-C17*E2_tabla_vida!$X$28)*E2_tabla_vida!$P$28,EXP(-C17*E2_tabla_vida!$X$29)*E2_tabla_vida!$P$29,EXP(-C17*E2_tabla_vida!$X$30)*E2_tabla_vida!$P$30,EXP(-C17*E2_tabla_vida!$X$31)*E2_tabla_vida!$P$31,EXP(-C17*E2_tabla_vida!$X$32)*E2_tabla_vida!$P$32,EXP(-C17*E2_tabla_vida!$X$33)*E2_tabla_vida!$P$33,EXP(-C17*E2_tabla_vida!$X$34)*E2_tabla_vida!$P$34,EXP(-C17*E2_tabla_vida!$X$35)*E2_tabla_vida!$P$35,EXP(-C17*E2_tabla_vida!$X$36)*E2_tabla_vida!$P$36,EXP(-C17*E2_tabla_vida!$X$37)*E2_tabla_vida!$P$37,EXP(-C17*E2_tabla_vida!$X$38)*E2_tabla_vida!$P$38,EXP(-C17*E2_tabla_vida!$X$39)*E2_tabla_vida!$P$39,EXP(-C17*E2_tabla_vida!$X$40)*E2_tabla_vida!$P$40,EXP(-C17*E2_tabla_vida!$X$41)*E2_tabla_vida!$P$41,EXP(-C17*E2_tabla_vida!$X$42)*E2_tabla_vida!$P$42,EXP(-C17*E2_tabla_vida!$X$43)*E2_tabla_vida!$P$43)-1</x:f>
        <x:v>0.00037441691635220486</x:v>
      </x:c>
      <x:c r="H17" s="24" t="n">
        <x:f>SUM(EXP(-D17*E2_tabla_vida!$X$2)*E2_tabla_vida!$P$2,EXP(-D17*E2_tabla_vida!$X$3)*E2_tabla_vida!$P$3,EXP(-D17*E2_tabla_vida!$X$4)*E2_tabla_vida!$P$4,EXP(-D17*E2_tabla_vida!$X$5)*E2_tabla_vida!$P$5,EXP(-D17*E2_tabla_vida!$X$6)*E2_tabla_vida!$P$6,EXP(-D17*E2_tabla_vida!$X$7)*E2_tabla_vida!$P$7,EXP(-D17*E2_tabla_vida!$X$8)*E2_tabla_vida!$P$8,EXP(-D17*E2_tabla_vida!$X$9)*E2_tabla_vida!$P$9,EXP(-D17*E2_tabla_vida!$X$10)*E2_tabla_vida!$P$10,EXP(-D17*E2_tabla_vida!$X$11)*E2_tabla_vida!$P$11,EXP(-D17*E2_tabla_vida!$X$12)*E2_tabla_vida!$P$12,EXP(-D17*E2_tabla_vida!$X$13)*E2_tabla_vida!$P$13,EXP(-D17*E2_tabla_vida!$X$14)*E2_tabla_vida!$P$14,EXP(-D17*E2_tabla_vida!$X$15)*E2_tabla_vida!$P$15,EXP(-D17*E2_tabla_vida!$X$16)*E2_tabla_vida!$P$16,EXP(-D17*E2_tabla_vida!$X$17)*E2_tabla_vida!$P$17,EXP(-D17*E2_tabla_vida!$X$18)*E2_tabla_vida!$P$18,EXP(-D17*E2_tabla_vida!$X$19)*E2_tabla_vida!$P$19,EXP(-D17*E2_tabla_vida!$X$20)*E2_tabla_vida!$P$20,EXP(-D17*E2_tabla_vida!$X$21)*E2_tabla_vida!$P$21,EXP(-D17*E2_tabla_vida!$X$22)*E2_tabla_vida!$P$22,EXP(-D17*E2_tabla_vida!$X$23)*E2_tabla_vida!$P$23,EXP(-D17*E2_tabla_vida!$X$24)*E2_tabla_vida!$P$24,EXP(-D17*E2_tabla_vida!$X$25)*E2_tabla_vida!$P$25,EXP(-D17*E2_tabla_vida!$X$26)*E2_tabla_vida!$P$26,EXP(-D17*E2_tabla_vida!$X$27)*E2_tabla_vida!$P$27,EXP(-D17*E2_tabla_vida!$X$28)*E2_tabla_vida!$P$28,EXP(-D17*E2_tabla_vida!$X$29)*E2_tabla_vida!$P$29,EXP(-D17*E2_tabla_vida!$X$30)*E2_tabla_vida!$P$30,EXP(-D17*E2_tabla_vida!$X$31)*E2_tabla_vida!$P$31,EXP(-D17*E2_tabla_vida!$X$32)*E2_tabla_vida!$P$32,EXP(-D17*E2_tabla_vida!$X$33)*E2_tabla_vida!$P$33,EXP(-D17*E2_tabla_vida!$X$34)*E2_tabla_vida!$P$34,EXP(-D17*E2_tabla_vida!$X$35)*E2_tabla_vida!$P$35,EXP(-D17*E2_tabla_vida!$X$36)*E2_tabla_vida!$P$36,EXP(-D17*E2_tabla_vida!$X$37)*E2_tabla_vida!$P$37,EXP(-D17*E2_tabla_vida!$X$38)*E2_tabla_vida!$P$38,EXP(-D17*E2_tabla_vida!$X$39)*E2_tabla_vida!$P$39,EXP(-D17*E2_tabla_vida!$X$40)*E2_tabla_vida!$P$40,EXP(-D17*E2_tabla_vida!$X$41)*E2_tabla_vida!$P$41,EXP(-D17*E2_tabla_vida!$X$42)*E2_tabla_vida!$P$42,EXP(-D17*E2_tabla_vida!$X$43)*E2_tabla_vida!$P$43)-1</x:f>
        <x:v>-0.0008526014958238903</x:v>
      </x:c>
    </x:row>
    <x:row r="18" ht="19" customHeight="1">
      <x:c r="A18" s="2" t="str">
        <x:v>MP_L0</x:v>
      </x:c>
      <x:c r="B18" s="2" t="n">
        <x:v>16</x:v>
      </x:c>
      <x:c r="C18" s="22" t="n">
        <x:f>IF(F17&gt;0,E17,C17)</x:f>
        <x:v>0.26104736328125</x:v>
      </x:c>
      <x:c r="D18" s="22" t="n">
        <x:f>IF(F17&gt;0,D17,E17)</x:f>
        <x:v>0.2610931396484375</x:v>
      </x:c>
      <x:c r="E18" s="22" t="n">
        <x:f>AVERAGE(C18:D18)</x:f>
        <x:v>0.26107025146484375</x:v>
      </x:c>
      <x:c r="F18" s="24" t="n">
        <x:f>SUM(EXP(-E18*E2_tabla_vida!$X$2)*E2_tabla_vida!$P$2,EXP(-E18*E2_tabla_vida!$X$3)*E2_tabla_vida!$P$3,EXP(-E18*E2_tabla_vida!$X$4)*E2_tabla_vida!$P$4,EXP(-E18*E2_tabla_vida!$X$5)*E2_tabla_vida!$P$5,EXP(-E18*E2_tabla_vida!$X$6)*E2_tabla_vida!$P$6,EXP(-E18*E2_tabla_vida!$X$7)*E2_tabla_vida!$P$7,EXP(-E18*E2_tabla_vida!$X$8)*E2_tabla_vida!$P$8,EXP(-E18*E2_tabla_vida!$X$9)*E2_tabla_vida!$P$9,EXP(-E18*E2_tabla_vida!$X$10)*E2_tabla_vida!$P$10,EXP(-E18*E2_tabla_vida!$X$11)*E2_tabla_vida!$P$11,EXP(-E18*E2_tabla_vida!$X$12)*E2_tabla_vida!$P$12,EXP(-E18*E2_tabla_vida!$X$13)*E2_tabla_vida!$P$13,EXP(-E18*E2_tabla_vida!$X$14)*E2_tabla_vida!$P$14,EXP(-E18*E2_tabla_vida!$X$15)*E2_tabla_vida!$P$15,EXP(-E18*E2_tabla_vida!$X$16)*E2_tabla_vida!$P$16,EXP(-E18*E2_tabla_vida!$X$17)*E2_tabla_vida!$P$17,EXP(-E18*E2_tabla_vida!$X$18)*E2_tabla_vida!$P$18,EXP(-E18*E2_tabla_vida!$X$19)*E2_tabla_vida!$P$19,EXP(-E18*E2_tabla_vida!$X$20)*E2_tabla_vida!$P$20,EXP(-E18*E2_tabla_vida!$X$21)*E2_tabla_vida!$P$21,EXP(-E18*E2_tabla_vida!$X$22)*E2_tabla_vida!$P$22,EXP(-E18*E2_tabla_vida!$X$23)*E2_tabla_vida!$P$23,EXP(-E18*E2_tabla_vida!$X$24)*E2_tabla_vida!$P$24,EXP(-E18*E2_tabla_vida!$X$25)*E2_tabla_vida!$P$25,EXP(-E18*E2_tabla_vida!$X$26)*E2_tabla_vida!$P$26,EXP(-E18*E2_tabla_vida!$X$27)*E2_tabla_vida!$P$27,EXP(-E18*E2_tabla_vida!$X$28)*E2_tabla_vida!$P$28,EXP(-E18*E2_tabla_vida!$X$29)*E2_tabla_vida!$P$29,EXP(-E18*E2_tabla_vida!$X$30)*E2_tabla_vida!$P$30,EXP(-E18*E2_tabla_vida!$X$31)*E2_tabla_vida!$P$31,EXP(-E18*E2_tabla_vida!$X$32)*E2_tabla_vida!$P$32,EXP(-E18*E2_tabla_vida!$X$33)*E2_tabla_vida!$P$33,EXP(-E18*E2_tabla_vida!$X$34)*E2_tabla_vida!$P$34,EXP(-E18*E2_tabla_vida!$X$35)*E2_tabla_vida!$P$35,EXP(-E18*E2_tabla_vida!$X$36)*E2_tabla_vida!$P$36,EXP(-E18*E2_tabla_vida!$X$37)*E2_tabla_vida!$P$37,EXP(-E18*E2_tabla_vida!$X$38)*E2_tabla_vida!$P$38,EXP(-E18*E2_tabla_vida!$X$39)*E2_tabla_vida!$P$39,EXP(-E18*E2_tabla_vida!$X$40)*E2_tabla_vida!$P$40,EXP(-E18*E2_tabla_vida!$X$41)*E2_tabla_vida!$P$41,EXP(-E18*E2_tabla_vida!$X$42)*E2_tabla_vida!$P$42,EXP(-E18*E2_tabla_vida!$X$43)*E2_tabla_vida!$P$43)-1</x:f>
        <x:v>0.00006751233603230489</x:v>
      </x:c>
      <x:c r="G18" s="24" t="n">
        <x:f>SUM(EXP(-C18*E2_tabla_vida!$X$2)*E2_tabla_vida!$P$2,EXP(-C18*E2_tabla_vida!$X$3)*E2_tabla_vida!$P$3,EXP(-C18*E2_tabla_vida!$X$4)*E2_tabla_vida!$P$4,EXP(-C18*E2_tabla_vida!$X$5)*E2_tabla_vida!$P$5,EXP(-C18*E2_tabla_vida!$X$6)*E2_tabla_vida!$P$6,EXP(-C18*E2_tabla_vida!$X$7)*E2_tabla_vida!$P$7,EXP(-C18*E2_tabla_vida!$X$8)*E2_tabla_vida!$P$8,EXP(-C18*E2_tabla_vida!$X$9)*E2_tabla_vida!$P$9,EXP(-C18*E2_tabla_vida!$X$10)*E2_tabla_vida!$P$10,EXP(-C18*E2_tabla_vida!$X$11)*E2_tabla_vida!$P$11,EXP(-C18*E2_tabla_vida!$X$12)*E2_tabla_vida!$P$12,EXP(-C18*E2_tabla_vida!$X$13)*E2_tabla_vida!$P$13,EXP(-C18*E2_tabla_vida!$X$14)*E2_tabla_vida!$P$14,EXP(-C18*E2_tabla_vida!$X$15)*E2_tabla_vida!$P$15,EXP(-C18*E2_tabla_vida!$X$16)*E2_tabla_vida!$P$16,EXP(-C18*E2_tabla_vida!$X$17)*E2_tabla_vida!$P$17,EXP(-C18*E2_tabla_vida!$X$18)*E2_tabla_vida!$P$18,EXP(-C18*E2_tabla_vida!$X$19)*E2_tabla_vida!$P$19,EXP(-C18*E2_tabla_vida!$X$20)*E2_tabla_vida!$P$20,EXP(-C18*E2_tabla_vida!$X$21)*E2_tabla_vida!$P$21,EXP(-C18*E2_tabla_vida!$X$22)*E2_tabla_vida!$P$22,EXP(-C18*E2_tabla_vida!$X$23)*E2_tabla_vida!$P$23,EXP(-C18*E2_tabla_vida!$X$24)*E2_tabla_vida!$P$24,EXP(-C18*E2_tabla_vida!$X$25)*E2_tabla_vida!$P$25,EXP(-C18*E2_tabla_vida!$X$26)*E2_tabla_vida!$P$26,EXP(-C18*E2_tabla_vida!$X$27)*E2_tabla_vida!$P$27,EXP(-C18*E2_tabla_vida!$X$28)*E2_tabla_vida!$P$28,EXP(-C18*E2_tabla_vida!$X$29)*E2_tabla_vida!$P$29,EXP(-C18*E2_tabla_vida!$X$30)*E2_tabla_vida!$P$30,EXP(-C18*E2_tabla_vida!$X$31)*E2_tabla_vida!$P$31,EXP(-C18*E2_tabla_vida!$X$32)*E2_tabla_vida!$P$32,EXP(-C18*E2_tabla_vida!$X$33)*E2_tabla_vida!$P$33,EXP(-C18*E2_tabla_vida!$X$34)*E2_tabla_vida!$P$34,EXP(-C18*E2_tabla_vida!$X$35)*E2_tabla_vida!$P$35,EXP(-C18*E2_tabla_vida!$X$36)*E2_tabla_vida!$P$36,EXP(-C18*E2_tabla_vida!$X$37)*E2_tabla_vida!$P$37,EXP(-C18*E2_tabla_vida!$X$38)*E2_tabla_vida!$P$38,EXP(-C18*E2_tabla_vida!$X$39)*E2_tabla_vida!$P$39,EXP(-C18*E2_tabla_vida!$X$40)*E2_tabla_vida!$P$40,EXP(-C18*E2_tabla_vida!$X$41)*E2_tabla_vida!$P$41,EXP(-C18*E2_tabla_vida!$X$42)*E2_tabla_vida!$P$42,EXP(-C18*E2_tabla_vida!$X$43)*E2_tabla_vida!$P$43)-1</x:f>
        <x:v>0.00037441691635220486</x:v>
      </x:c>
      <x:c r="H18" s="24" t="n">
        <x:f>SUM(EXP(-D18*E2_tabla_vida!$X$2)*E2_tabla_vida!$P$2,EXP(-D18*E2_tabla_vida!$X$3)*E2_tabla_vida!$P$3,EXP(-D18*E2_tabla_vida!$X$4)*E2_tabla_vida!$P$4,EXP(-D18*E2_tabla_vida!$X$5)*E2_tabla_vida!$P$5,EXP(-D18*E2_tabla_vida!$X$6)*E2_tabla_vida!$P$6,EXP(-D18*E2_tabla_vida!$X$7)*E2_tabla_vida!$P$7,EXP(-D18*E2_tabla_vida!$X$8)*E2_tabla_vida!$P$8,EXP(-D18*E2_tabla_vida!$X$9)*E2_tabla_vida!$P$9,EXP(-D18*E2_tabla_vida!$X$10)*E2_tabla_vida!$P$10,EXP(-D18*E2_tabla_vida!$X$11)*E2_tabla_vida!$P$11,EXP(-D18*E2_tabla_vida!$X$12)*E2_tabla_vida!$P$12,EXP(-D18*E2_tabla_vida!$X$13)*E2_tabla_vida!$P$13,EXP(-D18*E2_tabla_vida!$X$14)*E2_tabla_vida!$P$14,EXP(-D18*E2_tabla_vida!$X$15)*E2_tabla_vida!$P$15,EXP(-D18*E2_tabla_vida!$X$16)*E2_tabla_vida!$P$16,EXP(-D18*E2_tabla_vida!$X$17)*E2_tabla_vida!$P$17,EXP(-D18*E2_tabla_vida!$X$18)*E2_tabla_vida!$P$18,EXP(-D18*E2_tabla_vida!$X$19)*E2_tabla_vida!$P$19,EXP(-D18*E2_tabla_vida!$X$20)*E2_tabla_vida!$P$20,EXP(-D18*E2_tabla_vida!$X$21)*E2_tabla_vida!$P$21,EXP(-D18*E2_tabla_vida!$X$22)*E2_tabla_vida!$P$22,EXP(-D18*E2_tabla_vida!$X$23)*E2_tabla_vida!$P$23,EXP(-D18*E2_tabla_vida!$X$24)*E2_tabla_vida!$P$24,EXP(-D18*E2_tabla_vida!$X$25)*E2_tabla_vida!$P$25,EXP(-D18*E2_tabla_vida!$X$26)*E2_tabla_vida!$P$26,EXP(-D18*E2_tabla_vida!$X$27)*E2_tabla_vida!$P$27,EXP(-D18*E2_tabla_vida!$X$28)*E2_tabla_vida!$P$28,EXP(-D18*E2_tabla_vida!$X$29)*E2_tabla_vida!$P$29,EXP(-D18*E2_tabla_vida!$X$30)*E2_tabla_vida!$P$30,EXP(-D18*E2_tabla_vida!$X$31)*E2_tabla_vida!$P$31,EXP(-D18*E2_tabla_vida!$X$32)*E2_tabla_vida!$P$32,EXP(-D18*E2_tabla_vida!$X$33)*E2_tabla_vida!$P$33,EXP(-D18*E2_tabla_vida!$X$34)*E2_tabla_vida!$P$34,EXP(-D18*E2_tabla_vida!$X$35)*E2_tabla_vida!$P$35,EXP(-D18*E2_tabla_vida!$X$36)*E2_tabla_vida!$P$36,EXP(-D18*E2_tabla_vida!$X$37)*E2_tabla_vida!$P$37,EXP(-D18*E2_tabla_vida!$X$38)*E2_tabla_vida!$P$38,EXP(-D18*E2_tabla_vida!$X$39)*E2_tabla_vida!$P$39,EXP(-D18*E2_tabla_vida!$X$40)*E2_tabla_vida!$P$40,EXP(-D18*E2_tabla_vida!$X$41)*E2_tabla_vida!$P$41,EXP(-D18*E2_tabla_vida!$X$42)*E2_tabla_vida!$P$42,EXP(-D18*E2_tabla_vida!$X$43)*E2_tabla_vida!$P$43)-1</x:f>
        <x:v>-0.00023929223621754758</x:v>
      </x:c>
    </x:row>
    <x:row r="19" ht="19" customHeight="1">
      <x:c r="A19" s="2" t="str">
        <x:v>MP_L0</x:v>
      </x:c>
      <x:c r="B19" s="2" t="n">
        <x:v>17</x:v>
      </x:c>
      <x:c r="C19" s="22" t="n">
        <x:f>IF(F18&gt;0,E18,C18)</x:f>
        <x:v>0.26107025146484375</x:v>
      </x:c>
      <x:c r="D19" s="22" t="n">
        <x:f>IF(F18&gt;0,D18,E18)</x:f>
        <x:v>0.2610931396484375</x:v>
      </x:c>
      <x:c r="E19" s="22" t="n">
        <x:f>AVERAGE(C19:D19)</x:f>
        <x:v>0.2610816955566406</x:v>
      </x:c>
      <x:c r="F19" s="24" t="n">
        <x:f>SUM(EXP(-E19*E2_tabla_vida!$X$2)*E2_tabla_vida!$P$2,EXP(-E19*E2_tabla_vida!$X$3)*E2_tabla_vida!$P$3,EXP(-E19*E2_tabla_vida!$X$4)*E2_tabla_vida!$P$4,EXP(-E19*E2_tabla_vida!$X$5)*E2_tabla_vida!$P$5,EXP(-E19*E2_tabla_vida!$X$6)*E2_tabla_vida!$P$6,EXP(-E19*E2_tabla_vida!$X$7)*E2_tabla_vida!$P$7,EXP(-E19*E2_tabla_vida!$X$8)*E2_tabla_vida!$P$8,EXP(-E19*E2_tabla_vida!$X$9)*E2_tabla_vida!$P$9,EXP(-E19*E2_tabla_vida!$X$10)*E2_tabla_vida!$P$10,EXP(-E19*E2_tabla_vida!$X$11)*E2_tabla_vida!$P$11,EXP(-E19*E2_tabla_vida!$X$12)*E2_tabla_vida!$P$12,EXP(-E19*E2_tabla_vida!$X$13)*E2_tabla_vida!$P$13,EXP(-E19*E2_tabla_vida!$X$14)*E2_tabla_vida!$P$14,EXP(-E19*E2_tabla_vida!$X$15)*E2_tabla_vida!$P$15,EXP(-E19*E2_tabla_vida!$X$16)*E2_tabla_vida!$P$16,EXP(-E19*E2_tabla_vida!$X$17)*E2_tabla_vida!$P$17,EXP(-E19*E2_tabla_vida!$X$18)*E2_tabla_vida!$P$18,EXP(-E19*E2_tabla_vida!$X$19)*E2_tabla_vida!$P$19,EXP(-E19*E2_tabla_vida!$X$20)*E2_tabla_vida!$P$20,EXP(-E19*E2_tabla_vida!$X$21)*E2_tabla_vida!$P$21,EXP(-E19*E2_tabla_vida!$X$22)*E2_tabla_vida!$P$22,EXP(-E19*E2_tabla_vida!$X$23)*E2_tabla_vida!$P$23,EXP(-E19*E2_tabla_vida!$X$24)*E2_tabla_vida!$P$24,EXP(-E19*E2_tabla_vida!$X$25)*E2_tabla_vida!$P$25,EXP(-E19*E2_tabla_vida!$X$26)*E2_tabla_vida!$P$26,EXP(-E19*E2_tabla_vida!$X$27)*E2_tabla_vida!$P$27,EXP(-E19*E2_tabla_vida!$X$28)*E2_tabla_vida!$P$28,EXP(-E19*E2_tabla_vida!$X$29)*E2_tabla_vida!$P$29,EXP(-E19*E2_tabla_vida!$X$30)*E2_tabla_vida!$P$30,EXP(-E19*E2_tabla_vida!$X$31)*E2_tabla_vida!$P$31,EXP(-E19*E2_tabla_vida!$X$32)*E2_tabla_vida!$P$32,EXP(-E19*E2_tabla_vida!$X$33)*E2_tabla_vida!$P$33,EXP(-E19*E2_tabla_vida!$X$34)*E2_tabla_vida!$P$34,EXP(-E19*E2_tabla_vida!$X$35)*E2_tabla_vida!$P$35,EXP(-E19*E2_tabla_vida!$X$36)*E2_tabla_vida!$P$36,EXP(-E19*E2_tabla_vida!$X$37)*E2_tabla_vida!$P$37,EXP(-E19*E2_tabla_vida!$X$38)*E2_tabla_vida!$P$38,EXP(-E19*E2_tabla_vida!$X$39)*E2_tabla_vida!$P$39,EXP(-E19*E2_tabla_vida!$X$40)*E2_tabla_vida!$P$40,EXP(-E19*E2_tabla_vida!$X$41)*E2_tabla_vida!$P$41,EXP(-E19*E2_tabla_vida!$X$42)*E2_tabla_vida!$P$42,EXP(-E19*E2_tabla_vida!$X$43)*E2_tabla_vida!$P$43)-1</x:f>
        <x:v>-0.00008590244892403565</x:v>
      </x:c>
      <x:c r="G19" s="24" t="n">
        <x:f>SUM(EXP(-C19*E2_tabla_vida!$X$2)*E2_tabla_vida!$P$2,EXP(-C19*E2_tabla_vida!$X$3)*E2_tabla_vida!$P$3,EXP(-C19*E2_tabla_vida!$X$4)*E2_tabla_vida!$P$4,EXP(-C19*E2_tabla_vida!$X$5)*E2_tabla_vida!$P$5,EXP(-C19*E2_tabla_vida!$X$6)*E2_tabla_vida!$P$6,EXP(-C19*E2_tabla_vida!$X$7)*E2_tabla_vida!$P$7,EXP(-C19*E2_tabla_vida!$X$8)*E2_tabla_vida!$P$8,EXP(-C19*E2_tabla_vida!$X$9)*E2_tabla_vida!$P$9,EXP(-C19*E2_tabla_vida!$X$10)*E2_tabla_vida!$P$10,EXP(-C19*E2_tabla_vida!$X$11)*E2_tabla_vida!$P$11,EXP(-C19*E2_tabla_vida!$X$12)*E2_tabla_vida!$P$12,EXP(-C19*E2_tabla_vida!$X$13)*E2_tabla_vida!$P$13,EXP(-C19*E2_tabla_vida!$X$14)*E2_tabla_vida!$P$14,EXP(-C19*E2_tabla_vida!$X$15)*E2_tabla_vida!$P$15,EXP(-C19*E2_tabla_vida!$X$16)*E2_tabla_vida!$P$16,EXP(-C19*E2_tabla_vida!$X$17)*E2_tabla_vida!$P$17,EXP(-C19*E2_tabla_vida!$X$18)*E2_tabla_vida!$P$18,EXP(-C19*E2_tabla_vida!$X$19)*E2_tabla_vida!$P$19,EXP(-C19*E2_tabla_vida!$X$20)*E2_tabla_vida!$P$20,EXP(-C19*E2_tabla_vida!$X$21)*E2_tabla_vida!$P$21,EXP(-C19*E2_tabla_vida!$X$22)*E2_tabla_vida!$P$22,EXP(-C19*E2_tabla_vida!$X$23)*E2_tabla_vida!$P$23,EXP(-C19*E2_tabla_vida!$X$24)*E2_tabla_vida!$P$24,EXP(-C19*E2_tabla_vida!$X$25)*E2_tabla_vida!$P$25,EXP(-C19*E2_tabla_vida!$X$26)*E2_tabla_vida!$P$26,EXP(-C19*E2_tabla_vida!$X$27)*E2_tabla_vida!$P$27,EXP(-C19*E2_tabla_vida!$X$28)*E2_tabla_vida!$P$28,EXP(-C19*E2_tabla_vida!$X$29)*E2_tabla_vida!$P$29,EXP(-C19*E2_tabla_vida!$X$30)*E2_tabla_vida!$P$30,EXP(-C19*E2_tabla_vida!$X$31)*E2_tabla_vida!$P$31,EXP(-C19*E2_tabla_vida!$X$32)*E2_tabla_vida!$P$32,EXP(-C19*E2_tabla_vida!$X$33)*E2_tabla_vida!$P$33,EXP(-C19*E2_tabla_vida!$X$34)*E2_tabla_vida!$P$34,EXP(-C19*E2_tabla_vida!$X$35)*E2_tabla_vida!$P$35,EXP(-C19*E2_tabla_vida!$X$36)*E2_tabla_vida!$P$36,EXP(-C19*E2_tabla_vida!$X$37)*E2_tabla_vida!$P$37,EXP(-C19*E2_tabla_vida!$X$38)*E2_tabla_vida!$P$38,EXP(-C19*E2_tabla_vida!$X$39)*E2_tabla_vida!$P$39,EXP(-C19*E2_tabla_vida!$X$40)*E2_tabla_vida!$P$40,EXP(-C19*E2_tabla_vida!$X$41)*E2_tabla_vida!$P$41,EXP(-C19*E2_tabla_vida!$X$42)*E2_tabla_vida!$P$42,EXP(-C19*E2_tabla_vida!$X$43)*E2_tabla_vida!$P$43)-1</x:f>
        <x:v>0.00006751233603230489</x:v>
      </x:c>
      <x:c r="H19" s="24" t="n">
        <x:f>SUM(EXP(-D19*E2_tabla_vida!$X$2)*E2_tabla_vida!$P$2,EXP(-D19*E2_tabla_vida!$X$3)*E2_tabla_vida!$P$3,EXP(-D19*E2_tabla_vida!$X$4)*E2_tabla_vida!$P$4,EXP(-D19*E2_tabla_vida!$X$5)*E2_tabla_vida!$P$5,EXP(-D19*E2_tabla_vida!$X$6)*E2_tabla_vida!$P$6,EXP(-D19*E2_tabla_vida!$X$7)*E2_tabla_vida!$P$7,EXP(-D19*E2_tabla_vida!$X$8)*E2_tabla_vida!$P$8,EXP(-D19*E2_tabla_vida!$X$9)*E2_tabla_vida!$P$9,EXP(-D19*E2_tabla_vida!$X$10)*E2_tabla_vida!$P$10,EXP(-D19*E2_tabla_vida!$X$11)*E2_tabla_vida!$P$11,EXP(-D19*E2_tabla_vida!$X$12)*E2_tabla_vida!$P$12,EXP(-D19*E2_tabla_vida!$X$13)*E2_tabla_vida!$P$13,EXP(-D19*E2_tabla_vida!$X$14)*E2_tabla_vida!$P$14,EXP(-D19*E2_tabla_vida!$X$15)*E2_tabla_vida!$P$15,EXP(-D19*E2_tabla_vida!$X$16)*E2_tabla_vida!$P$16,EXP(-D19*E2_tabla_vida!$X$17)*E2_tabla_vida!$P$17,EXP(-D19*E2_tabla_vida!$X$18)*E2_tabla_vida!$P$18,EXP(-D19*E2_tabla_vida!$X$19)*E2_tabla_vida!$P$19,EXP(-D19*E2_tabla_vida!$X$20)*E2_tabla_vida!$P$20,EXP(-D19*E2_tabla_vida!$X$21)*E2_tabla_vida!$P$21,EXP(-D19*E2_tabla_vida!$X$22)*E2_tabla_vida!$P$22,EXP(-D19*E2_tabla_vida!$X$23)*E2_tabla_vida!$P$23,EXP(-D19*E2_tabla_vida!$X$24)*E2_tabla_vida!$P$24,EXP(-D19*E2_tabla_vida!$X$25)*E2_tabla_vida!$P$25,EXP(-D19*E2_tabla_vida!$X$26)*E2_tabla_vida!$P$26,EXP(-D19*E2_tabla_vida!$X$27)*E2_tabla_vida!$P$27,EXP(-D19*E2_tabla_vida!$X$28)*E2_tabla_vida!$P$28,EXP(-D19*E2_tabla_vida!$X$29)*E2_tabla_vida!$P$29,EXP(-D19*E2_tabla_vida!$X$30)*E2_tabla_vida!$P$30,EXP(-D19*E2_tabla_vida!$X$31)*E2_tabla_vida!$P$31,EXP(-D19*E2_tabla_vida!$X$32)*E2_tabla_vida!$P$32,EXP(-D19*E2_tabla_vida!$X$33)*E2_tabla_vida!$P$33,EXP(-D19*E2_tabla_vida!$X$34)*E2_tabla_vida!$P$34,EXP(-D19*E2_tabla_vida!$X$35)*E2_tabla_vida!$P$35,EXP(-D19*E2_tabla_vida!$X$36)*E2_tabla_vida!$P$36,EXP(-D19*E2_tabla_vida!$X$37)*E2_tabla_vida!$P$37,EXP(-D19*E2_tabla_vida!$X$38)*E2_tabla_vida!$P$38,EXP(-D19*E2_tabla_vida!$X$39)*E2_tabla_vida!$P$39,EXP(-D19*E2_tabla_vida!$X$40)*E2_tabla_vida!$P$40,EXP(-D19*E2_tabla_vida!$X$41)*E2_tabla_vida!$P$41,EXP(-D19*E2_tabla_vida!$X$42)*E2_tabla_vida!$P$42,EXP(-D19*E2_tabla_vida!$X$43)*E2_tabla_vida!$P$43)-1</x:f>
        <x:v>-0.00023929223621754758</x:v>
      </x:c>
    </x:row>
    <x:row r="20" ht="19" customHeight="1">
      <x:c r="A20" s="2" t="str">
        <x:v>MP_L0</x:v>
      </x:c>
      <x:c r="B20" s="2" t="n">
        <x:v>18</x:v>
      </x:c>
      <x:c r="C20" s="22" t="n">
        <x:f>IF(F19&gt;0,E19,C19)</x:f>
        <x:v>0.26107025146484375</x:v>
      </x:c>
      <x:c r="D20" s="22" t="n">
        <x:f>IF(F19&gt;0,D19,E19)</x:f>
        <x:v>0.2610816955566406</x:v>
      </x:c>
      <x:c r="E20" s="22" t="n">
        <x:f>AVERAGE(C20:D20)</x:f>
        <x:v>0.2610759735107422</x:v>
      </x:c>
      <x:c r="F20" s="24" t="n">
        <x:f>SUM(EXP(-E20*E2_tabla_vida!$X$2)*E2_tabla_vida!$P$2,EXP(-E20*E2_tabla_vida!$X$3)*E2_tabla_vida!$P$3,EXP(-E20*E2_tabla_vida!$X$4)*E2_tabla_vida!$P$4,EXP(-E20*E2_tabla_vida!$X$5)*E2_tabla_vida!$P$5,EXP(-E20*E2_tabla_vida!$X$6)*E2_tabla_vida!$P$6,EXP(-E20*E2_tabla_vida!$X$7)*E2_tabla_vida!$P$7,EXP(-E20*E2_tabla_vida!$X$8)*E2_tabla_vida!$P$8,EXP(-E20*E2_tabla_vida!$X$9)*E2_tabla_vida!$P$9,EXP(-E20*E2_tabla_vida!$X$10)*E2_tabla_vida!$P$10,EXP(-E20*E2_tabla_vida!$X$11)*E2_tabla_vida!$P$11,EXP(-E20*E2_tabla_vida!$X$12)*E2_tabla_vida!$P$12,EXP(-E20*E2_tabla_vida!$X$13)*E2_tabla_vida!$P$13,EXP(-E20*E2_tabla_vida!$X$14)*E2_tabla_vida!$P$14,EXP(-E20*E2_tabla_vida!$X$15)*E2_tabla_vida!$P$15,EXP(-E20*E2_tabla_vida!$X$16)*E2_tabla_vida!$P$16,EXP(-E20*E2_tabla_vida!$X$17)*E2_tabla_vida!$P$17,EXP(-E20*E2_tabla_vida!$X$18)*E2_tabla_vida!$P$18,EXP(-E20*E2_tabla_vida!$X$19)*E2_tabla_vida!$P$19,EXP(-E20*E2_tabla_vida!$X$20)*E2_tabla_vida!$P$20,EXP(-E20*E2_tabla_vida!$X$21)*E2_tabla_vida!$P$21,EXP(-E20*E2_tabla_vida!$X$22)*E2_tabla_vida!$P$22,EXP(-E20*E2_tabla_vida!$X$23)*E2_tabla_vida!$P$23,EXP(-E20*E2_tabla_vida!$X$24)*E2_tabla_vida!$P$24,EXP(-E20*E2_tabla_vida!$X$25)*E2_tabla_vida!$P$25,EXP(-E20*E2_tabla_vida!$X$26)*E2_tabla_vida!$P$26,EXP(-E20*E2_tabla_vida!$X$27)*E2_tabla_vida!$P$27,EXP(-E20*E2_tabla_vida!$X$28)*E2_tabla_vida!$P$28,EXP(-E20*E2_tabla_vida!$X$29)*E2_tabla_vida!$P$29,EXP(-E20*E2_tabla_vida!$X$30)*E2_tabla_vida!$P$30,EXP(-E20*E2_tabla_vida!$X$31)*E2_tabla_vida!$P$31,EXP(-E20*E2_tabla_vida!$X$32)*E2_tabla_vida!$P$32,EXP(-E20*E2_tabla_vida!$X$33)*E2_tabla_vida!$P$33,EXP(-E20*E2_tabla_vida!$X$34)*E2_tabla_vida!$P$34,EXP(-E20*E2_tabla_vida!$X$35)*E2_tabla_vida!$P$35,EXP(-E20*E2_tabla_vida!$X$36)*E2_tabla_vida!$P$36,EXP(-E20*E2_tabla_vida!$X$37)*E2_tabla_vida!$P$37,EXP(-E20*E2_tabla_vida!$X$38)*E2_tabla_vida!$P$38,EXP(-E20*E2_tabla_vida!$X$39)*E2_tabla_vida!$P$39,EXP(-E20*E2_tabla_vida!$X$40)*E2_tabla_vida!$P$40,EXP(-E20*E2_tabla_vida!$X$41)*E2_tabla_vida!$P$41,EXP(-E20*E2_tabla_vida!$X$42)*E2_tabla_vida!$P$42,EXP(-E20*E2_tabla_vida!$X$43)*E2_tabla_vida!$P$43)-1</x:f>
        <x:v>-0.000009198181425862373</x:v>
      </x:c>
      <x:c r="G20" s="24" t="n">
        <x:f>SUM(EXP(-C20*E2_tabla_vida!$X$2)*E2_tabla_vida!$P$2,EXP(-C20*E2_tabla_vida!$X$3)*E2_tabla_vida!$P$3,EXP(-C20*E2_tabla_vida!$X$4)*E2_tabla_vida!$P$4,EXP(-C20*E2_tabla_vida!$X$5)*E2_tabla_vida!$P$5,EXP(-C20*E2_tabla_vida!$X$6)*E2_tabla_vida!$P$6,EXP(-C20*E2_tabla_vida!$X$7)*E2_tabla_vida!$P$7,EXP(-C20*E2_tabla_vida!$X$8)*E2_tabla_vida!$P$8,EXP(-C20*E2_tabla_vida!$X$9)*E2_tabla_vida!$P$9,EXP(-C20*E2_tabla_vida!$X$10)*E2_tabla_vida!$P$10,EXP(-C20*E2_tabla_vida!$X$11)*E2_tabla_vida!$P$11,EXP(-C20*E2_tabla_vida!$X$12)*E2_tabla_vida!$P$12,EXP(-C20*E2_tabla_vida!$X$13)*E2_tabla_vida!$P$13,EXP(-C20*E2_tabla_vida!$X$14)*E2_tabla_vida!$P$14,EXP(-C20*E2_tabla_vida!$X$15)*E2_tabla_vida!$P$15,EXP(-C20*E2_tabla_vida!$X$16)*E2_tabla_vida!$P$16,EXP(-C20*E2_tabla_vida!$X$17)*E2_tabla_vida!$P$17,EXP(-C20*E2_tabla_vida!$X$18)*E2_tabla_vida!$P$18,EXP(-C20*E2_tabla_vida!$X$19)*E2_tabla_vida!$P$19,EXP(-C20*E2_tabla_vida!$X$20)*E2_tabla_vida!$P$20,EXP(-C20*E2_tabla_vida!$X$21)*E2_tabla_vida!$P$21,EXP(-C20*E2_tabla_vida!$X$22)*E2_tabla_vida!$P$22,EXP(-C20*E2_tabla_vida!$X$23)*E2_tabla_vida!$P$23,EXP(-C20*E2_tabla_vida!$X$24)*E2_tabla_vida!$P$24,EXP(-C20*E2_tabla_vida!$X$25)*E2_tabla_vida!$P$25,EXP(-C20*E2_tabla_vida!$X$26)*E2_tabla_vida!$P$26,EXP(-C20*E2_tabla_vida!$X$27)*E2_tabla_vida!$P$27,EXP(-C20*E2_tabla_vida!$X$28)*E2_tabla_vida!$P$28,EXP(-C20*E2_tabla_vida!$X$29)*E2_tabla_vida!$P$29,EXP(-C20*E2_tabla_vida!$X$30)*E2_tabla_vida!$P$30,EXP(-C20*E2_tabla_vida!$X$31)*E2_tabla_vida!$P$31,EXP(-C20*E2_tabla_vida!$X$32)*E2_tabla_vida!$P$32,EXP(-C20*E2_tabla_vida!$X$33)*E2_tabla_vida!$P$33,EXP(-C20*E2_tabla_vida!$X$34)*E2_tabla_vida!$P$34,EXP(-C20*E2_tabla_vida!$X$35)*E2_tabla_vida!$P$35,EXP(-C20*E2_tabla_vida!$X$36)*E2_tabla_vida!$P$36,EXP(-C20*E2_tabla_vida!$X$37)*E2_tabla_vida!$P$37,EXP(-C20*E2_tabla_vida!$X$38)*E2_tabla_vida!$P$38,EXP(-C20*E2_tabla_vida!$X$39)*E2_tabla_vida!$P$39,EXP(-C20*E2_tabla_vida!$X$40)*E2_tabla_vida!$P$40,EXP(-C20*E2_tabla_vida!$X$41)*E2_tabla_vida!$P$41,EXP(-C20*E2_tabla_vida!$X$42)*E2_tabla_vida!$P$42,EXP(-C20*E2_tabla_vida!$X$43)*E2_tabla_vida!$P$43)-1</x:f>
        <x:v>0.00006751233603230489</x:v>
      </x:c>
      <x:c r="H20" s="24" t="n">
        <x:f>SUM(EXP(-D20*E2_tabla_vida!$X$2)*E2_tabla_vida!$P$2,EXP(-D20*E2_tabla_vida!$X$3)*E2_tabla_vida!$P$3,EXP(-D20*E2_tabla_vida!$X$4)*E2_tabla_vida!$P$4,EXP(-D20*E2_tabla_vida!$X$5)*E2_tabla_vida!$P$5,EXP(-D20*E2_tabla_vida!$X$6)*E2_tabla_vida!$P$6,EXP(-D20*E2_tabla_vida!$X$7)*E2_tabla_vida!$P$7,EXP(-D20*E2_tabla_vida!$X$8)*E2_tabla_vida!$P$8,EXP(-D20*E2_tabla_vida!$X$9)*E2_tabla_vida!$P$9,EXP(-D20*E2_tabla_vida!$X$10)*E2_tabla_vida!$P$10,EXP(-D20*E2_tabla_vida!$X$11)*E2_tabla_vida!$P$11,EXP(-D20*E2_tabla_vida!$X$12)*E2_tabla_vida!$P$12,EXP(-D20*E2_tabla_vida!$X$13)*E2_tabla_vida!$P$13,EXP(-D20*E2_tabla_vida!$X$14)*E2_tabla_vida!$P$14,EXP(-D20*E2_tabla_vida!$X$15)*E2_tabla_vida!$P$15,EXP(-D20*E2_tabla_vida!$X$16)*E2_tabla_vida!$P$16,EXP(-D20*E2_tabla_vida!$X$17)*E2_tabla_vida!$P$17,EXP(-D20*E2_tabla_vida!$X$18)*E2_tabla_vida!$P$18,EXP(-D20*E2_tabla_vida!$X$19)*E2_tabla_vida!$P$19,EXP(-D20*E2_tabla_vida!$X$20)*E2_tabla_vida!$P$20,EXP(-D20*E2_tabla_vida!$X$21)*E2_tabla_vida!$P$21,EXP(-D20*E2_tabla_vida!$X$22)*E2_tabla_vida!$P$22,EXP(-D20*E2_tabla_vida!$X$23)*E2_tabla_vida!$P$23,EXP(-D20*E2_tabla_vida!$X$24)*E2_tabla_vida!$P$24,EXP(-D20*E2_tabla_vida!$X$25)*E2_tabla_vida!$P$25,EXP(-D20*E2_tabla_vida!$X$26)*E2_tabla_vida!$P$26,EXP(-D20*E2_tabla_vida!$X$27)*E2_tabla_vida!$P$27,EXP(-D20*E2_tabla_vida!$X$28)*E2_tabla_vida!$P$28,EXP(-D20*E2_tabla_vida!$X$29)*E2_tabla_vida!$P$29,EXP(-D20*E2_tabla_vida!$X$30)*E2_tabla_vida!$P$30,EXP(-D20*E2_tabla_vida!$X$31)*E2_tabla_vida!$P$31,EXP(-D20*E2_tabla_vida!$X$32)*E2_tabla_vida!$P$32,EXP(-D20*E2_tabla_vida!$X$33)*E2_tabla_vida!$P$33,EXP(-D20*E2_tabla_vida!$X$34)*E2_tabla_vida!$P$34,EXP(-D20*E2_tabla_vida!$X$35)*E2_tabla_vida!$P$35,EXP(-D20*E2_tabla_vida!$X$36)*E2_tabla_vida!$P$36,EXP(-D20*E2_tabla_vida!$X$37)*E2_tabla_vida!$P$37,EXP(-D20*E2_tabla_vida!$X$38)*E2_tabla_vida!$P$38,EXP(-D20*E2_tabla_vida!$X$39)*E2_tabla_vida!$P$39,EXP(-D20*E2_tabla_vida!$X$40)*E2_tabla_vida!$P$40,EXP(-D20*E2_tabla_vida!$X$41)*E2_tabla_vida!$P$41,EXP(-D20*E2_tabla_vida!$X$42)*E2_tabla_vida!$P$42,EXP(-D20*E2_tabla_vida!$X$43)*E2_tabla_vida!$P$43)-1</x:f>
        <x:v>-0.00008590244892403565</x:v>
      </x:c>
    </x:row>
    <x:row r="21" ht="19" customHeight="1">
      <x:c r="A21" s="2" t="str">
        <x:v>MP_L0</x:v>
      </x:c>
      <x:c r="B21" s="2" t="n">
        <x:v>19</x:v>
      </x:c>
      <x:c r="C21" s="22" t="n">
        <x:f>IF(F20&gt;0,E20,C20)</x:f>
        <x:v>0.26107025146484375</x:v>
      </x:c>
      <x:c r="D21" s="22" t="n">
        <x:f>IF(F20&gt;0,D20,E20)</x:f>
        <x:v>0.2610759735107422</x:v>
      </x:c>
      <x:c r="E21" s="22" t="n">
        <x:f>AVERAGE(C21:D21)</x:f>
        <x:v>0.26107311248779297</x:v>
      </x:c>
      <x:c r="F21" s="24" t="n">
        <x:f>SUM(EXP(-E21*E2_tabla_vida!$X$2)*E2_tabla_vida!$P$2,EXP(-E21*E2_tabla_vida!$X$3)*E2_tabla_vida!$P$3,EXP(-E21*E2_tabla_vida!$X$4)*E2_tabla_vida!$P$4,EXP(-E21*E2_tabla_vida!$X$5)*E2_tabla_vida!$P$5,EXP(-E21*E2_tabla_vida!$X$6)*E2_tabla_vida!$P$6,EXP(-E21*E2_tabla_vida!$X$7)*E2_tabla_vida!$P$7,EXP(-E21*E2_tabla_vida!$X$8)*E2_tabla_vida!$P$8,EXP(-E21*E2_tabla_vida!$X$9)*E2_tabla_vida!$P$9,EXP(-E21*E2_tabla_vida!$X$10)*E2_tabla_vida!$P$10,EXP(-E21*E2_tabla_vida!$X$11)*E2_tabla_vida!$P$11,EXP(-E21*E2_tabla_vida!$X$12)*E2_tabla_vida!$P$12,EXP(-E21*E2_tabla_vida!$X$13)*E2_tabla_vida!$P$13,EXP(-E21*E2_tabla_vida!$X$14)*E2_tabla_vida!$P$14,EXP(-E21*E2_tabla_vida!$X$15)*E2_tabla_vida!$P$15,EXP(-E21*E2_tabla_vida!$X$16)*E2_tabla_vida!$P$16,EXP(-E21*E2_tabla_vida!$X$17)*E2_tabla_vida!$P$17,EXP(-E21*E2_tabla_vida!$X$18)*E2_tabla_vida!$P$18,EXP(-E21*E2_tabla_vida!$X$19)*E2_tabla_vida!$P$19,EXP(-E21*E2_tabla_vida!$X$20)*E2_tabla_vida!$P$20,EXP(-E21*E2_tabla_vida!$X$21)*E2_tabla_vida!$P$21,EXP(-E21*E2_tabla_vida!$X$22)*E2_tabla_vida!$P$22,EXP(-E21*E2_tabla_vida!$X$23)*E2_tabla_vida!$P$23,EXP(-E21*E2_tabla_vida!$X$24)*E2_tabla_vida!$P$24,EXP(-E21*E2_tabla_vida!$X$25)*E2_tabla_vida!$P$25,EXP(-E21*E2_tabla_vida!$X$26)*E2_tabla_vida!$P$26,EXP(-E21*E2_tabla_vida!$X$27)*E2_tabla_vida!$P$27,EXP(-E21*E2_tabla_vida!$X$28)*E2_tabla_vida!$P$28,EXP(-E21*E2_tabla_vida!$X$29)*E2_tabla_vida!$P$29,EXP(-E21*E2_tabla_vida!$X$30)*E2_tabla_vida!$P$30,EXP(-E21*E2_tabla_vida!$X$31)*E2_tabla_vida!$P$31,EXP(-E21*E2_tabla_vida!$X$32)*E2_tabla_vida!$P$32,EXP(-E21*E2_tabla_vida!$X$33)*E2_tabla_vida!$P$33,EXP(-E21*E2_tabla_vida!$X$34)*E2_tabla_vida!$P$34,EXP(-E21*E2_tabla_vida!$X$35)*E2_tabla_vida!$P$35,EXP(-E21*E2_tabla_vida!$X$36)*E2_tabla_vida!$P$36,EXP(-E21*E2_tabla_vida!$X$37)*E2_tabla_vida!$P$37,EXP(-E21*E2_tabla_vida!$X$38)*E2_tabla_vida!$P$38,EXP(-E21*E2_tabla_vida!$X$39)*E2_tabla_vida!$P$39,EXP(-E21*E2_tabla_vida!$X$40)*E2_tabla_vida!$P$40,EXP(-E21*E2_tabla_vida!$X$41)*E2_tabla_vida!$P$41,EXP(-E21*E2_tabla_vida!$X$42)*E2_tabla_vida!$P$42,EXP(-E21*E2_tabla_vida!$X$43)*E2_tabla_vida!$P$43)-1</x:f>
        <x:v>0.00002915629602440184</x:v>
      </x:c>
      <x:c r="G21" s="24" t="n">
        <x:f>SUM(EXP(-C21*E2_tabla_vida!$X$2)*E2_tabla_vida!$P$2,EXP(-C21*E2_tabla_vida!$X$3)*E2_tabla_vida!$P$3,EXP(-C21*E2_tabla_vida!$X$4)*E2_tabla_vida!$P$4,EXP(-C21*E2_tabla_vida!$X$5)*E2_tabla_vida!$P$5,EXP(-C21*E2_tabla_vida!$X$6)*E2_tabla_vida!$P$6,EXP(-C21*E2_tabla_vida!$X$7)*E2_tabla_vida!$P$7,EXP(-C21*E2_tabla_vida!$X$8)*E2_tabla_vida!$P$8,EXP(-C21*E2_tabla_vida!$X$9)*E2_tabla_vida!$P$9,EXP(-C21*E2_tabla_vida!$X$10)*E2_tabla_vida!$P$10,EXP(-C21*E2_tabla_vida!$X$11)*E2_tabla_vida!$P$11,EXP(-C21*E2_tabla_vida!$X$12)*E2_tabla_vida!$P$12,EXP(-C21*E2_tabla_vida!$X$13)*E2_tabla_vida!$P$13,EXP(-C21*E2_tabla_vida!$X$14)*E2_tabla_vida!$P$14,EXP(-C21*E2_tabla_vida!$X$15)*E2_tabla_vida!$P$15,EXP(-C21*E2_tabla_vida!$X$16)*E2_tabla_vida!$P$16,EXP(-C21*E2_tabla_vida!$X$17)*E2_tabla_vida!$P$17,EXP(-C21*E2_tabla_vida!$X$18)*E2_tabla_vida!$P$18,EXP(-C21*E2_tabla_vida!$X$19)*E2_tabla_vida!$P$19,EXP(-C21*E2_tabla_vida!$X$20)*E2_tabla_vida!$P$20,EXP(-C21*E2_tabla_vida!$X$21)*E2_tabla_vida!$P$21,EXP(-C21*E2_tabla_vida!$X$22)*E2_tabla_vida!$P$22,EXP(-C21*E2_tabla_vida!$X$23)*E2_tabla_vida!$P$23,EXP(-C21*E2_tabla_vida!$X$24)*E2_tabla_vida!$P$24,EXP(-C21*E2_tabla_vida!$X$25)*E2_tabla_vida!$P$25,EXP(-C21*E2_tabla_vida!$X$26)*E2_tabla_vida!$P$26,EXP(-C21*E2_tabla_vida!$X$27)*E2_tabla_vida!$P$27,EXP(-C21*E2_tabla_vida!$X$28)*E2_tabla_vida!$P$28,EXP(-C21*E2_tabla_vida!$X$29)*E2_tabla_vida!$P$29,EXP(-C21*E2_tabla_vida!$X$30)*E2_tabla_vida!$P$30,EXP(-C21*E2_tabla_vida!$X$31)*E2_tabla_vida!$P$31,EXP(-C21*E2_tabla_vida!$X$32)*E2_tabla_vida!$P$32,EXP(-C21*E2_tabla_vida!$X$33)*E2_tabla_vida!$P$33,EXP(-C21*E2_tabla_vida!$X$34)*E2_tabla_vida!$P$34,EXP(-C21*E2_tabla_vida!$X$35)*E2_tabla_vida!$P$35,EXP(-C21*E2_tabla_vida!$X$36)*E2_tabla_vida!$P$36,EXP(-C21*E2_tabla_vida!$X$37)*E2_tabla_vida!$P$37,EXP(-C21*E2_tabla_vida!$X$38)*E2_tabla_vida!$P$38,EXP(-C21*E2_tabla_vida!$X$39)*E2_tabla_vida!$P$39,EXP(-C21*E2_tabla_vida!$X$40)*E2_tabla_vida!$P$40,EXP(-C21*E2_tabla_vida!$X$41)*E2_tabla_vida!$P$41,EXP(-C21*E2_tabla_vida!$X$42)*E2_tabla_vida!$P$42,EXP(-C21*E2_tabla_vida!$X$43)*E2_tabla_vida!$P$43)-1</x:f>
        <x:v>0.00006751233603230489</x:v>
      </x:c>
      <x:c r="H21" s="24" t="n">
        <x:f>SUM(EXP(-D21*E2_tabla_vida!$X$2)*E2_tabla_vida!$P$2,EXP(-D21*E2_tabla_vida!$X$3)*E2_tabla_vida!$P$3,EXP(-D21*E2_tabla_vida!$X$4)*E2_tabla_vida!$P$4,EXP(-D21*E2_tabla_vida!$X$5)*E2_tabla_vida!$P$5,EXP(-D21*E2_tabla_vida!$X$6)*E2_tabla_vida!$P$6,EXP(-D21*E2_tabla_vida!$X$7)*E2_tabla_vida!$P$7,EXP(-D21*E2_tabla_vida!$X$8)*E2_tabla_vida!$P$8,EXP(-D21*E2_tabla_vida!$X$9)*E2_tabla_vida!$P$9,EXP(-D21*E2_tabla_vida!$X$10)*E2_tabla_vida!$P$10,EXP(-D21*E2_tabla_vida!$X$11)*E2_tabla_vida!$P$11,EXP(-D21*E2_tabla_vida!$X$12)*E2_tabla_vida!$P$12,EXP(-D21*E2_tabla_vida!$X$13)*E2_tabla_vida!$P$13,EXP(-D21*E2_tabla_vida!$X$14)*E2_tabla_vida!$P$14,EXP(-D21*E2_tabla_vida!$X$15)*E2_tabla_vida!$P$15,EXP(-D21*E2_tabla_vida!$X$16)*E2_tabla_vida!$P$16,EXP(-D21*E2_tabla_vida!$X$17)*E2_tabla_vida!$P$17,EXP(-D21*E2_tabla_vida!$X$18)*E2_tabla_vida!$P$18,EXP(-D21*E2_tabla_vida!$X$19)*E2_tabla_vida!$P$19,EXP(-D21*E2_tabla_vida!$X$20)*E2_tabla_vida!$P$20,EXP(-D21*E2_tabla_vida!$X$21)*E2_tabla_vida!$P$21,EXP(-D21*E2_tabla_vida!$X$22)*E2_tabla_vida!$P$22,EXP(-D21*E2_tabla_vida!$X$23)*E2_tabla_vida!$P$23,EXP(-D21*E2_tabla_vida!$X$24)*E2_tabla_vida!$P$24,EXP(-D21*E2_tabla_vida!$X$25)*E2_tabla_vida!$P$25,EXP(-D21*E2_tabla_vida!$X$26)*E2_tabla_vida!$P$26,EXP(-D21*E2_tabla_vida!$X$27)*E2_tabla_vida!$P$27,EXP(-D21*E2_tabla_vida!$X$28)*E2_tabla_vida!$P$28,EXP(-D21*E2_tabla_vida!$X$29)*E2_tabla_vida!$P$29,EXP(-D21*E2_tabla_vida!$X$30)*E2_tabla_vida!$P$30,EXP(-D21*E2_tabla_vida!$X$31)*E2_tabla_vida!$P$31,EXP(-D21*E2_tabla_vida!$X$32)*E2_tabla_vida!$P$32,EXP(-D21*E2_tabla_vida!$X$33)*E2_tabla_vida!$P$33,EXP(-D21*E2_tabla_vida!$X$34)*E2_tabla_vida!$P$34,EXP(-D21*E2_tabla_vida!$X$35)*E2_tabla_vida!$P$35,EXP(-D21*E2_tabla_vida!$X$36)*E2_tabla_vida!$P$36,EXP(-D21*E2_tabla_vida!$X$37)*E2_tabla_vida!$P$37,EXP(-D21*E2_tabla_vida!$X$38)*E2_tabla_vida!$P$38,EXP(-D21*E2_tabla_vida!$X$39)*E2_tabla_vida!$P$39,EXP(-D21*E2_tabla_vida!$X$40)*E2_tabla_vida!$P$40,EXP(-D21*E2_tabla_vida!$X$41)*E2_tabla_vida!$P$41,EXP(-D21*E2_tabla_vida!$X$42)*E2_tabla_vida!$P$42,EXP(-D21*E2_tabla_vida!$X$43)*E2_tabla_vida!$P$43)-1</x:f>
        <x:v>-0.000009198181425862373</x:v>
      </x:c>
    </x:row>
    <x:row r="22" ht="19" customHeight="1">
      <x:c r="A22" s="2" t="str">
        <x:v>MP_L0</x:v>
      </x:c>
      <x:c r="B22" s="2" t="n">
        <x:v>20</x:v>
      </x:c>
      <x:c r="C22" s="22" t="n">
        <x:f>IF(F21&gt;0,E21,C21)</x:f>
        <x:v>0.26107311248779297</x:v>
      </x:c>
      <x:c r="D22" s="22" t="n">
        <x:f>IF(F21&gt;0,D21,E21)</x:f>
        <x:v>0.2610759735107422</x:v>
      </x:c>
      <x:c r="E22" s="22" t="n">
        <x:f>AVERAGE(C22:D22)</x:f>
        <x:v>0.2610745429992676</x:v>
      </x:c>
      <x:c r="F22" s="24" t="n">
        <x:f>SUM(EXP(-E22*E2_tabla_vida!$X$2)*E2_tabla_vida!$P$2,EXP(-E22*E2_tabla_vida!$X$3)*E2_tabla_vida!$P$3,EXP(-E22*E2_tabla_vida!$X$4)*E2_tabla_vida!$P$4,EXP(-E22*E2_tabla_vida!$X$5)*E2_tabla_vida!$P$5,EXP(-E22*E2_tabla_vida!$X$6)*E2_tabla_vida!$P$6,EXP(-E22*E2_tabla_vida!$X$7)*E2_tabla_vida!$P$7,EXP(-E22*E2_tabla_vida!$X$8)*E2_tabla_vida!$P$8,EXP(-E22*E2_tabla_vida!$X$9)*E2_tabla_vida!$P$9,EXP(-E22*E2_tabla_vida!$X$10)*E2_tabla_vida!$P$10,EXP(-E22*E2_tabla_vida!$X$11)*E2_tabla_vida!$P$11,EXP(-E22*E2_tabla_vida!$X$12)*E2_tabla_vida!$P$12,EXP(-E22*E2_tabla_vida!$X$13)*E2_tabla_vida!$P$13,EXP(-E22*E2_tabla_vida!$X$14)*E2_tabla_vida!$P$14,EXP(-E22*E2_tabla_vida!$X$15)*E2_tabla_vida!$P$15,EXP(-E22*E2_tabla_vida!$X$16)*E2_tabla_vida!$P$16,EXP(-E22*E2_tabla_vida!$X$17)*E2_tabla_vida!$P$17,EXP(-E22*E2_tabla_vida!$X$18)*E2_tabla_vida!$P$18,EXP(-E22*E2_tabla_vida!$X$19)*E2_tabla_vida!$P$19,EXP(-E22*E2_tabla_vida!$X$20)*E2_tabla_vida!$P$20,EXP(-E22*E2_tabla_vida!$X$21)*E2_tabla_vida!$P$21,EXP(-E22*E2_tabla_vida!$X$22)*E2_tabla_vida!$P$22,EXP(-E22*E2_tabla_vida!$X$23)*E2_tabla_vida!$P$23,EXP(-E22*E2_tabla_vida!$X$24)*E2_tabla_vida!$P$24,EXP(-E22*E2_tabla_vida!$X$25)*E2_tabla_vida!$P$25,EXP(-E22*E2_tabla_vida!$X$26)*E2_tabla_vida!$P$26,EXP(-E22*E2_tabla_vida!$X$27)*E2_tabla_vida!$P$27,EXP(-E22*E2_tabla_vida!$X$28)*E2_tabla_vida!$P$28,EXP(-E22*E2_tabla_vida!$X$29)*E2_tabla_vida!$P$29,EXP(-E22*E2_tabla_vida!$X$30)*E2_tabla_vida!$P$30,EXP(-E22*E2_tabla_vida!$X$31)*E2_tabla_vida!$P$31,EXP(-E22*E2_tabla_vida!$X$32)*E2_tabla_vida!$P$32,EXP(-E22*E2_tabla_vida!$X$33)*E2_tabla_vida!$P$33,EXP(-E22*E2_tabla_vida!$X$34)*E2_tabla_vida!$P$34,EXP(-E22*E2_tabla_vida!$X$35)*E2_tabla_vida!$P$35,EXP(-E22*E2_tabla_vida!$X$36)*E2_tabla_vida!$P$36,EXP(-E22*E2_tabla_vida!$X$37)*E2_tabla_vida!$P$37,EXP(-E22*E2_tabla_vida!$X$38)*E2_tabla_vida!$P$38,EXP(-E22*E2_tabla_vida!$X$39)*E2_tabla_vida!$P$39,EXP(-E22*E2_tabla_vida!$X$40)*E2_tabla_vida!$P$40,EXP(-E22*E2_tabla_vida!$X$41)*E2_tabla_vida!$P$41,EXP(-E22*E2_tabla_vida!$X$42)*E2_tabla_vida!$P$42,EXP(-E22*E2_tabla_vida!$X$43)*E2_tabla_vida!$P$43)-1</x:f>
        <x:v>0.000009978861983839238</x:v>
      </x:c>
      <x:c r="G22" s="24" t="n">
        <x:f>SUM(EXP(-C22*E2_tabla_vida!$X$2)*E2_tabla_vida!$P$2,EXP(-C22*E2_tabla_vida!$X$3)*E2_tabla_vida!$P$3,EXP(-C22*E2_tabla_vida!$X$4)*E2_tabla_vida!$P$4,EXP(-C22*E2_tabla_vida!$X$5)*E2_tabla_vida!$P$5,EXP(-C22*E2_tabla_vida!$X$6)*E2_tabla_vida!$P$6,EXP(-C22*E2_tabla_vida!$X$7)*E2_tabla_vida!$P$7,EXP(-C22*E2_tabla_vida!$X$8)*E2_tabla_vida!$P$8,EXP(-C22*E2_tabla_vida!$X$9)*E2_tabla_vida!$P$9,EXP(-C22*E2_tabla_vida!$X$10)*E2_tabla_vida!$P$10,EXP(-C22*E2_tabla_vida!$X$11)*E2_tabla_vida!$P$11,EXP(-C22*E2_tabla_vida!$X$12)*E2_tabla_vida!$P$12,EXP(-C22*E2_tabla_vida!$X$13)*E2_tabla_vida!$P$13,EXP(-C22*E2_tabla_vida!$X$14)*E2_tabla_vida!$P$14,EXP(-C22*E2_tabla_vida!$X$15)*E2_tabla_vida!$P$15,EXP(-C22*E2_tabla_vida!$X$16)*E2_tabla_vida!$P$16,EXP(-C22*E2_tabla_vida!$X$17)*E2_tabla_vida!$P$17,EXP(-C22*E2_tabla_vida!$X$18)*E2_tabla_vida!$P$18,EXP(-C22*E2_tabla_vida!$X$19)*E2_tabla_vida!$P$19,EXP(-C22*E2_tabla_vida!$X$20)*E2_tabla_vida!$P$20,EXP(-C22*E2_tabla_vida!$X$21)*E2_tabla_vida!$P$21,EXP(-C22*E2_tabla_vida!$X$22)*E2_tabla_vida!$P$22,EXP(-C22*E2_tabla_vida!$X$23)*E2_tabla_vida!$P$23,EXP(-C22*E2_tabla_vida!$X$24)*E2_tabla_vida!$P$24,EXP(-C22*E2_tabla_vida!$X$25)*E2_tabla_vida!$P$25,EXP(-C22*E2_tabla_vida!$X$26)*E2_tabla_vida!$P$26,EXP(-C22*E2_tabla_vida!$X$27)*E2_tabla_vida!$P$27,EXP(-C22*E2_tabla_vida!$X$28)*E2_tabla_vida!$P$28,EXP(-C22*E2_tabla_vida!$X$29)*E2_tabla_vida!$P$29,EXP(-C22*E2_tabla_vida!$X$30)*E2_tabla_vida!$P$30,EXP(-C22*E2_tabla_vida!$X$31)*E2_tabla_vida!$P$31,EXP(-C22*E2_tabla_vida!$X$32)*E2_tabla_vida!$P$32,EXP(-C22*E2_tabla_vida!$X$33)*E2_tabla_vida!$P$33,EXP(-C22*E2_tabla_vida!$X$34)*E2_tabla_vida!$P$34,EXP(-C22*E2_tabla_vida!$X$35)*E2_tabla_vida!$P$35,EXP(-C22*E2_tabla_vida!$X$36)*E2_tabla_vida!$P$36,EXP(-C22*E2_tabla_vida!$X$37)*E2_tabla_vida!$P$37,EXP(-C22*E2_tabla_vida!$X$38)*E2_tabla_vida!$P$38,EXP(-C22*E2_tabla_vida!$X$39)*E2_tabla_vida!$P$39,EXP(-C22*E2_tabla_vida!$X$40)*E2_tabla_vida!$P$40,EXP(-C22*E2_tabla_vida!$X$41)*E2_tabla_vida!$P$41,EXP(-C22*E2_tabla_vida!$X$42)*E2_tabla_vida!$P$42,EXP(-C22*E2_tabla_vida!$X$43)*E2_tabla_vida!$P$43)-1</x:f>
        <x:v>0.00002915629602440184</x:v>
      </x:c>
      <x:c r="H22" s="24" t="n">
        <x:f>SUM(EXP(-D22*E2_tabla_vida!$X$2)*E2_tabla_vida!$P$2,EXP(-D22*E2_tabla_vida!$X$3)*E2_tabla_vida!$P$3,EXP(-D22*E2_tabla_vida!$X$4)*E2_tabla_vida!$P$4,EXP(-D22*E2_tabla_vida!$X$5)*E2_tabla_vida!$P$5,EXP(-D22*E2_tabla_vida!$X$6)*E2_tabla_vida!$P$6,EXP(-D22*E2_tabla_vida!$X$7)*E2_tabla_vida!$P$7,EXP(-D22*E2_tabla_vida!$X$8)*E2_tabla_vida!$P$8,EXP(-D22*E2_tabla_vida!$X$9)*E2_tabla_vida!$P$9,EXP(-D22*E2_tabla_vida!$X$10)*E2_tabla_vida!$P$10,EXP(-D22*E2_tabla_vida!$X$11)*E2_tabla_vida!$P$11,EXP(-D22*E2_tabla_vida!$X$12)*E2_tabla_vida!$P$12,EXP(-D22*E2_tabla_vida!$X$13)*E2_tabla_vida!$P$13,EXP(-D22*E2_tabla_vida!$X$14)*E2_tabla_vida!$P$14,EXP(-D22*E2_tabla_vida!$X$15)*E2_tabla_vida!$P$15,EXP(-D22*E2_tabla_vida!$X$16)*E2_tabla_vida!$P$16,EXP(-D22*E2_tabla_vida!$X$17)*E2_tabla_vida!$P$17,EXP(-D22*E2_tabla_vida!$X$18)*E2_tabla_vida!$P$18,EXP(-D22*E2_tabla_vida!$X$19)*E2_tabla_vida!$P$19,EXP(-D22*E2_tabla_vida!$X$20)*E2_tabla_vida!$P$20,EXP(-D22*E2_tabla_vida!$X$21)*E2_tabla_vida!$P$21,EXP(-D22*E2_tabla_vida!$X$22)*E2_tabla_vida!$P$22,EXP(-D22*E2_tabla_vida!$X$23)*E2_tabla_vida!$P$23,EXP(-D22*E2_tabla_vida!$X$24)*E2_tabla_vida!$P$24,EXP(-D22*E2_tabla_vida!$X$25)*E2_tabla_vida!$P$25,EXP(-D22*E2_tabla_vida!$X$26)*E2_tabla_vida!$P$26,EXP(-D22*E2_tabla_vida!$X$27)*E2_tabla_vida!$P$27,EXP(-D22*E2_tabla_vida!$X$28)*E2_tabla_vida!$P$28,EXP(-D22*E2_tabla_vida!$X$29)*E2_tabla_vida!$P$29,EXP(-D22*E2_tabla_vida!$X$30)*E2_tabla_vida!$P$30,EXP(-D22*E2_tabla_vida!$X$31)*E2_tabla_vida!$P$31,EXP(-D22*E2_tabla_vida!$X$32)*E2_tabla_vida!$P$32,EXP(-D22*E2_tabla_vida!$X$33)*E2_tabla_vida!$P$33,EXP(-D22*E2_tabla_vida!$X$34)*E2_tabla_vida!$P$34,EXP(-D22*E2_tabla_vida!$X$35)*E2_tabla_vida!$P$35,EXP(-D22*E2_tabla_vida!$X$36)*E2_tabla_vida!$P$36,EXP(-D22*E2_tabla_vida!$X$37)*E2_tabla_vida!$P$37,EXP(-D22*E2_tabla_vida!$X$38)*E2_tabla_vida!$P$38,EXP(-D22*E2_tabla_vida!$X$39)*E2_tabla_vida!$P$39,EXP(-D22*E2_tabla_vida!$X$40)*E2_tabla_vida!$P$40,EXP(-D22*E2_tabla_vida!$X$41)*E2_tabla_vida!$P$41,EXP(-D22*E2_tabla_vida!$X$42)*E2_tabla_vida!$P$42,EXP(-D22*E2_tabla_vida!$X$43)*E2_tabla_vida!$P$43)-1</x:f>
        <x:v>-0.000009198181425862373</x:v>
      </x:c>
    </x:row>
    <x:row r="23" ht="19" customHeight="1">
      <x:c r="A23" s="2" t="str">
        <x:v>MP_L0</x:v>
      </x:c>
      <x:c r="B23" s="2" t="n">
        <x:v>21</x:v>
      </x:c>
      <x:c r="C23" s="22" t="n">
        <x:f>IF(F22&gt;0,E22,C22)</x:f>
        <x:v>0.2610745429992676</x:v>
      </x:c>
      <x:c r="D23" s="22" t="n">
        <x:f>IF(F22&gt;0,D22,E22)</x:f>
        <x:v>0.2610759735107422</x:v>
      </x:c>
      <x:c r="E23" s="22" t="n">
        <x:f>AVERAGE(C23:D23)</x:f>
        <x:v>0.2610752582550049</x:v>
      </x:c>
      <x:c r="F23" s="24" t="n">
        <x:f>SUM(EXP(-E23*E2_tabla_vida!$X$2)*E2_tabla_vida!$P$2,EXP(-E23*E2_tabla_vida!$X$3)*E2_tabla_vida!$P$3,EXP(-E23*E2_tabla_vida!$X$4)*E2_tabla_vida!$P$4,EXP(-E23*E2_tabla_vida!$X$5)*E2_tabla_vida!$P$5,EXP(-E23*E2_tabla_vida!$X$6)*E2_tabla_vida!$P$6,EXP(-E23*E2_tabla_vida!$X$7)*E2_tabla_vida!$P$7,EXP(-E23*E2_tabla_vida!$X$8)*E2_tabla_vida!$P$8,EXP(-E23*E2_tabla_vida!$X$9)*E2_tabla_vida!$P$9,EXP(-E23*E2_tabla_vida!$X$10)*E2_tabla_vida!$P$10,EXP(-E23*E2_tabla_vida!$X$11)*E2_tabla_vida!$P$11,EXP(-E23*E2_tabla_vida!$X$12)*E2_tabla_vida!$P$12,EXP(-E23*E2_tabla_vida!$X$13)*E2_tabla_vida!$P$13,EXP(-E23*E2_tabla_vida!$X$14)*E2_tabla_vida!$P$14,EXP(-E23*E2_tabla_vida!$X$15)*E2_tabla_vida!$P$15,EXP(-E23*E2_tabla_vida!$X$16)*E2_tabla_vida!$P$16,EXP(-E23*E2_tabla_vida!$X$17)*E2_tabla_vida!$P$17,EXP(-E23*E2_tabla_vida!$X$18)*E2_tabla_vida!$P$18,EXP(-E23*E2_tabla_vida!$X$19)*E2_tabla_vida!$P$19,EXP(-E23*E2_tabla_vida!$X$20)*E2_tabla_vida!$P$20,EXP(-E23*E2_tabla_vida!$X$21)*E2_tabla_vida!$P$21,EXP(-E23*E2_tabla_vida!$X$22)*E2_tabla_vida!$P$22,EXP(-E23*E2_tabla_vida!$X$23)*E2_tabla_vida!$P$23,EXP(-E23*E2_tabla_vida!$X$24)*E2_tabla_vida!$P$24,EXP(-E23*E2_tabla_vida!$X$25)*E2_tabla_vida!$P$25,EXP(-E23*E2_tabla_vida!$X$26)*E2_tabla_vida!$P$26,EXP(-E23*E2_tabla_vida!$X$27)*E2_tabla_vida!$P$27,EXP(-E23*E2_tabla_vida!$X$28)*E2_tabla_vida!$P$28,EXP(-E23*E2_tabla_vida!$X$29)*E2_tabla_vida!$P$29,EXP(-E23*E2_tabla_vida!$X$30)*E2_tabla_vida!$P$30,EXP(-E23*E2_tabla_vida!$X$31)*E2_tabla_vida!$P$31,EXP(-E23*E2_tabla_vida!$X$32)*E2_tabla_vida!$P$32,EXP(-E23*E2_tabla_vida!$X$33)*E2_tabla_vida!$P$33,EXP(-E23*E2_tabla_vida!$X$34)*E2_tabla_vida!$P$34,EXP(-E23*E2_tabla_vida!$X$35)*E2_tabla_vida!$P$35,EXP(-E23*E2_tabla_vida!$X$36)*E2_tabla_vida!$P$36,EXP(-E23*E2_tabla_vida!$X$37)*E2_tabla_vida!$P$37,EXP(-E23*E2_tabla_vida!$X$38)*E2_tabla_vida!$P$38,EXP(-E23*E2_tabla_vida!$X$39)*E2_tabla_vida!$P$39,EXP(-E23*E2_tabla_vida!$X$40)*E2_tabla_vida!$P$40,EXP(-E23*E2_tabla_vida!$X$41)*E2_tabla_vida!$P$41,EXP(-E23*E2_tabla_vida!$X$42)*E2_tabla_vida!$P$42,EXP(-E23*E2_tabla_vida!$X$43)*E2_tabla_vida!$P$43)-1</x:f>
        <x:v>3.9029145071367566e-7</x:v>
      </x:c>
      <x:c r="G23" s="24" t="n">
        <x:f>SUM(EXP(-C23*E2_tabla_vida!$X$2)*E2_tabla_vida!$P$2,EXP(-C23*E2_tabla_vida!$X$3)*E2_tabla_vida!$P$3,EXP(-C23*E2_tabla_vida!$X$4)*E2_tabla_vida!$P$4,EXP(-C23*E2_tabla_vida!$X$5)*E2_tabla_vida!$P$5,EXP(-C23*E2_tabla_vida!$X$6)*E2_tabla_vida!$P$6,EXP(-C23*E2_tabla_vida!$X$7)*E2_tabla_vida!$P$7,EXP(-C23*E2_tabla_vida!$X$8)*E2_tabla_vida!$P$8,EXP(-C23*E2_tabla_vida!$X$9)*E2_tabla_vida!$P$9,EXP(-C23*E2_tabla_vida!$X$10)*E2_tabla_vida!$P$10,EXP(-C23*E2_tabla_vida!$X$11)*E2_tabla_vida!$P$11,EXP(-C23*E2_tabla_vida!$X$12)*E2_tabla_vida!$P$12,EXP(-C23*E2_tabla_vida!$X$13)*E2_tabla_vida!$P$13,EXP(-C23*E2_tabla_vida!$X$14)*E2_tabla_vida!$P$14,EXP(-C23*E2_tabla_vida!$X$15)*E2_tabla_vida!$P$15,EXP(-C23*E2_tabla_vida!$X$16)*E2_tabla_vida!$P$16,EXP(-C23*E2_tabla_vida!$X$17)*E2_tabla_vida!$P$17,EXP(-C23*E2_tabla_vida!$X$18)*E2_tabla_vida!$P$18,EXP(-C23*E2_tabla_vida!$X$19)*E2_tabla_vida!$P$19,EXP(-C23*E2_tabla_vida!$X$20)*E2_tabla_vida!$P$20,EXP(-C23*E2_tabla_vida!$X$21)*E2_tabla_vida!$P$21,EXP(-C23*E2_tabla_vida!$X$22)*E2_tabla_vida!$P$22,EXP(-C23*E2_tabla_vida!$X$23)*E2_tabla_vida!$P$23,EXP(-C23*E2_tabla_vida!$X$24)*E2_tabla_vida!$P$24,EXP(-C23*E2_tabla_vida!$X$25)*E2_tabla_vida!$P$25,EXP(-C23*E2_tabla_vida!$X$26)*E2_tabla_vida!$P$26,EXP(-C23*E2_tabla_vida!$X$27)*E2_tabla_vida!$P$27,EXP(-C23*E2_tabla_vida!$X$28)*E2_tabla_vida!$P$28,EXP(-C23*E2_tabla_vida!$X$29)*E2_tabla_vida!$P$29,EXP(-C23*E2_tabla_vida!$X$30)*E2_tabla_vida!$P$30,EXP(-C23*E2_tabla_vida!$X$31)*E2_tabla_vida!$P$31,EXP(-C23*E2_tabla_vida!$X$32)*E2_tabla_vida!$P$32,EXP(-C23*E2_tabla_vida!$X$33)*E2_tabla_vida!$P$33,EXP(-C23*E2_tabla_vida!$X$34)*E2_tabla_vida!$P$34,EXP(-C23*E2_tabla_vida!$X$35)*E2_tabla_vida!$P$35,EXP(-C23*E2_tabla_vida!$X$36)*E2_tabla_vida!$P$36,EXP(-C23*E2_tabla_vida!$X$37)*E2_tabla_vida!$P$37,EXP(-C23*E2_tabla_vida!$X$38)*E2_tabla_vida!$P$38,EXP(-C23*E2_tabla_vida!$X$39)*E2_tabla_vida!$P$39,EXP(-C23*E2_tabla_vida!$X$40)*E2_tabla_vida!$P$40,EXP(-C23*E2_tabla_vida!$X$41)*E2_tabla_vida!$P$41,EXP(-C23*E2_tabla_vida!$X$42)*E2_tabla_vida!$P$42,EXP(-C23*E2_tabla_vida!$X$43)*E2_tabla_vida!$P$43)-1</x:f>
        <x:v>0.000009978861983839238</x:v>
      </x:c>
      <x:c r="H23" s="24" t="n">
        <x:f>SUM(EXP(-D23*E2_tabla_vida!$X$2)*E2_tabla_vida!$P$2,EXP(-D23*E2_tabla_vida!$X$3)*E2_tabla_vida!$P$3,EXP(-D23*E2_tabla_vida!$X$4)*E2_tabla_vida!$P$4,EXP(-D23*E2_tabla_vida!$X$5)*E2_tabla_vida!$P$5,EXP(-D23*E2_tabla_vida!$X$6)*E2_tabla_vida!$P$6,EXP(-D23*E2_tabla_vida!$X$7)*E2_tabla_vida!$P$7,EXP(-D23*E2_tabla_vida!$X$8)*E2_tabla_vida!$P$8,EXP(-D23*E2_tabla_vida!$X$9)*E2_tabla_vida!$P$9,EXP(-D23*E2_tabla_vida!$X$10)*E2_tabla_vida!$P$10,EXP(-D23*E2_tabla_vida!$X$11)*E2_tabla_vida!$P$11,EXP(-D23*E2_tabla_vida!$X$12)*E2_tabla_vida!$P$12,EXP(-D23*E2_tabla_vida!$X$13)*E2_tabla_vida!$P$13,EXP(-D23*E2_tabla_vida!$X$14)*E2_tabla_vida!$P$14,EXP(-D23*E2_tabla_vida!$X$15)*E2_tabla_vida!$P$15,EXP(-D23*E2_tabla_vida!$X$16)*E2_tabla_vida!$P$16,EXP(-D23*E2_tabla_vida!$X$17)*E2_tabla_vida!$P$17,EXP(-D23*E2_tabla_vida!$X$18)*E2_tabla_vida!$P$18,EXP(-D23*E2_tabla_vida!$X$19)*E2_tabla_vida!$P$19,EXP(-D23*E2_tabla_vida!$X$20)*E2_tabla_vida!$P$20,EXP(-D23*E2_tabla_vida!$X$21)*E2_tabla_vida!$P$21,EXP(-D23*E2_tabla_vida!$X$22)*E2_tabla_vida!$P$22,EXP(-D23*E2_tabla_vida!$X$23)*E2_tabla_vida!$P$23,EXP(-D23*E2_tabla_vida!$X$24)*E2_tabla_vida!$P$24,EXP(-D23*E2_tabla_vida!$X$25)*E2_tabla_vida!$P$25,EXP(-D23*E2_tabla_vida!$X$26)*E2_tabla_vida!$P$26,EXP(-D23*E2_tabla_vida!$X$27)*E2_tabla_vida!$P$27,EXP(-D23*E2_tabla_vida!$X$28)*E2_tabla_vida!$P$28,EXP(-D23*E2_tabla_vida!$X$29)*E2_tabla_vida!$P$29,EXP(-D23*E2_tabla_vida!$X$30)*E2_tabla_vida!$P$30,EXP(-D23*E2_tabla_vida!$X$31)*E2_tabla_vida!$P$31,EXP(-D23*E2_tabla_vida!$X$32)*E2_tabla_vida!$P$32,EXP(-D23*E2_tabla_vida!$X$33)*E2_tabla_vida!$P$33,EXP(-D23*E2_tabla_vida!$X$34)*E2_tabla_vida!$P$34,EXP(-D23*E2_tabla_vida!$X$35)*E2_tabla_vida!$P$35,EXP(-D23*E2_tabla_vida!$X$36)*E2_tabla_vida!$P$36,EXP(-D23*E2_tabla_vida!$X$37)*E2_tabla_vida!$P$37,EXP(-D23*E2_tabla_vida!$X$38)*E2_tabla_vida!$P$38,EXP(-D23*E2_tabla_vida!$X$39)*E2_tabla_vida!$P$39,EXP(-D23*E2_tabla_vida!$X$40)*E2_tabla_vida!$P$40,EXP(-D23*E2_tabla_vida!$X$41)*E2_tabla_vida!$P$41,EXP(-D23*E2_tabla_vida!$X$42)*E2_tabla_vida!$P$42,EXP(-D23*E2_tabla_vida!$X$43)*E2_tabla_vida!$P$43)-1</x:f>
        <x:v>-0.000009198181425862373</x:v>
      </x:c>
    </x:row>
    <x:row r="24" ht="19" customHeight="1">
      <x:c r="A24" s="2" t="str">
        <x:v>MP_L0</x:v>
      </x:c>
      <x:c r="B24" s="2" t="n">
        <x:v>22</x:v>
      </x:c>
      <x:c r="C24" s="22" t="n">
        <x:f>IF(F23&gt;0,E23,C23)</x:f>
        <x:v>0.2610752582550049</x:v>
      </x:c>
      <x:c r="D24" s="22" t="n">
        <x:f>IF(F23&gt;0,D23,E23)</x:f>
        <x:v>0.2610759735107422</x:v>
      </x:c>
      <x:c r="E24" s="22" t="n">
        <x:f>AVERAGE(C24:D24)</x:f>
        <x:v>0.26107561588287354</x:v>
      </x:c>
      <x:c r="F24" s="24" t="n">
        <x:f>SUM(EXP(-E24*E2_tabla_vida!$X$2)*E2_tabla_vida!$P$2,EXP(-E24*E2_tabla_vida!$X$3)*E2_tabla_vida!$P$3,EXP(-E24*E2_tabla_vida!$X$4)*E2_tabla_vida!$P$4,EXP(-E24*E2_tabla_vida!$X$5)*E2_tabla_vida!$P$5,EXP(-E24*E2_tabla_vida!$X$6)*E2_tabla_vida!$P$6,EXP(-E24*E2_tabla_vida!$X$7)*E2_tabla_vida!$P$7,EXP(-E24*E2_tabla_vida!$X$8)*E2_tabla_vida!$P$8,EXP(-E24*E2_tabla_vida!$X$9)*E2_tabla_vida!$P$9,EXP(-E24*E2_tabla_vida!$X$10)*E2_tabla_vida!$P$10,EXP(-E24*E2_tabla_vida!$X$11)*E2_tabla_vida!$P$11,EXP(-E24*E2_tabla_vida!$X$12)*E2_tabla_vida!$P$12,EXP(-E24*E2_tabla_vida!$X$13)*E2_tabla_vida!$P$13,EXP(-E24*E2_tabla_vida!$X$14)*E2_tabla_vida!$P$14,EXP(-E24*E2_tabla_vida!$X$15)*E2_tabla_vida!$P$15,EXP(-E24*E2_tabla_vida!$X$16)*E2_tabla_vida!$P$16,EXP(-E24*E2_tabla_vida!$X$17)*E2_tabla_vida!$P$17,EXP(-E24*E2_tabla_vida!$X$18)*E2_tabla_vida!$P$18,EXP(-E24*E2_tabla_vida!$X$19)*E2_tabla_vida!$P$19,EXP(-E24*E2_tabla_vida!$X$20)*E2_tabla_vida!$P$20,EXP(-E24*E2_tabla_vida!$X$21)*E2_tabla_vida!$P$21,EXP(-E24*E2_tabla_vida!$X$22)*E2_tabla_vida!$P$22,EXP(-E24*E2_tabla_vida!$X$23)*E2_tabla_vida!$P$23,EXP(-E24*E2_tabla_vida!$X$24)*E2_tabla_vida!$P$24,EXP(-E24*E2_tabla_vida!$X$25)*E2_tabla_vida!$P$25,EXP(-E24*E2_tabla_vida!$X$26)*E2_tabla_vida!$P$26,EXP(-E24*E2_tabla_vida!$X$27)*E2_tabla_vida!$P$27,EXP(-E24*E2_tabla_vida!$X$28)*E2_tabla_vida!$P$28,EXP(-E24*E2_tabla_vida!$X$29)*E2_tabla_vida!$P$29,EXP(-E24*E2_tabla_vida!$X$30)*E2_tabla_vida!$P$30,EXP(-E24*E2_tabla_vida!$X$31)*E2_tabla_vida!$P$31,EXP(-E24*E2_tabla_vida!$X$32)*E2_tabla_vida!$P$32,EXP(-E24*E2_tabla_vida!$X$33)*E2_tabla_vida!$P$33,EXP(-E24*E2_tabla_vida!$X$34)*E2_tabla_vida!$P$34,EXP(-E24*E2_tabla_vida!$X$35)*E2_tabla_vida!$P$35,EXP(-E24*E2_tabla_vida!$X$36)*E2_tabla_vida!$P$36,EXP(-E24*E2_tabla_vida!$X$37)*E2_tabla_vida!$P$37,EXP(-E24*E2_tabla_vida!$X$38)*E2_tabla_vida!$P$38,EXP(-E24*E2_tabla_vida!$X$39)*E2_tabla_vida!$P$39,EXP(-E24*E2_tabla_vida!$X$40)*E2_tabla_vida!$P$40,EXP(-E24*E2_tabla_vida!$X$41)*E2_tabla_vida!$P$41,EXP(-E24*E2_tabla_vida!$X$42)*E2_tabla_vida!$P$42,EXP(-E24*E2_tabla_vida!$X$43)*E2_tabla_vida!$P$43)-1</x:f>
        <x:v>-0.000004403957194365482</x:v>
      </x:c>
      <x:c r="G24" s="24" t="n">
        <x:f>SUM(EXP(-C24*E2_tabla_vida!$X$2)*E2_tabla_vida!$P$2,EXP(-C24*E2_tabla_vida!$X$3)*E2_tabla_vida!$P$3,EXP(-C24*E2_tabla_vida!$X$4)*E2_tabla_vida!$P$4,EXP(-C24*E2_tabla_vida!$X$5)*E2_tabla_vida!$P$5,EXP(-C24*E2_tabla_vida!$X$6)*E2_tabla_vida!$P$6,EXP(-C24*E2_tabla_vida!$X$7)*E2_tabla_vida!$P$7,EXP(-C24*E2_tabla_vida!$X$8)*E2_tabla_vida!$P$8,EXP(-C24*E2_tabla_vida!$X$9)*E2_tabla_vida!$P$9,EXP(-C24*E2_tabla_vida!$X$10)*E2_tabla_vida!$P$10,EXP(-C24*E2_tabla_vida!$X$11)*E2_tabla_vida!$P$11,EXP(-C24*E2_tabla_vida!$X$12)*E2_tabla_vida!$P$12,EXP(-C24*E2_tabla_vida!$X$13)*E2_tabla_vida!$P$13,EXP(-C24*E2_tabla_vida!$X$14)*E2_tabla_vida!$P$14,EXP(-C24*E2_tabla_vida!$X$15)*E2_tabla_vida!$P$15,EXP(-C24*E2_tabla_vida!$X$16)*E2_tabla_vida!$P$16,EXP(-C24*E2_tabla_vida!$X$17)*E2_tabla_vida!$P$17,EXP(-C24*E2_tabla_vida!$X$18)*E2_tabla_vida!$P$18,EXP(-C24*E2_tabla_vida!$X$19)*E2_tabla_vida!$P$19,EXP(-C24*E2_tabla_vida!$X$20)*E2_tabla_vida!$P$20,EXP(-C24*E2_tabla_vida!$X$21)*E2_tabla_vida!$P$21,EXP(-C24*E2_tabla_vida!$X$22)*E2_tabla_vida!$P$22,EXP(-C24*E2_tabla_vida!$X$23)*E2_tabla_vida!$P$23,EXP(-C24*E2_tabla_vida!$X$24)*E2_tabla_vida!$P$24,EXP(-C24*E2_tabla_vida!$X$25)*E2_tabla_vida!$P$25,EXP(-C24*E2_tabla_vida!$X$26)*E2_tabla_vida!$P$26,EXP(-C24*E2_tabla_vida!$X$27)*E2_tabla_vida!$P$27,EXP(-C24*E2_tabla_vida!$X$28)*E2_tabla_vida!$P$28,EXP(-C24*E2_tabla_vida!$X$29)*E2_tabla_vida!$P$29,EXP(-C24*E2_tabla_vida!$X$30)*E2_tabla_vida!$P$30,EXP(-C24*E2_tabla_vida!$X$31)*E2_tabla_vida!$P$31,EXP(-C24*E2_tabla_vida!$X$32)*E2_tabla_vida!$P$32,EXP(-C24*E2_tabla_vida!$X$33)*E2_tabla_vida!$P$33,EXP(-C24*E2_tabla_vida!$X$34)*E2_tabla_vida!$P$34,EXP(-C24*E2_tabla_vida!$X$35)*E2_tabla_vida!$P$35,EXP(-C24*E2_tabla_vida!$X$36)*E2_tabla_vida!$P$36,EXP(-C24*E2_tabla_vida!$X$37)*E2_tabla_vida!$P$37,EXP(-C24*E2_tabla_vida!$X$38)*E2_tabla_vida!$P$38,EXP(-C24*E2_tabla_vida!$X$39)*E2_tabla_vida!$P$39,EXP(-C24*E2_tabla_vida!$X$40)*E2_tabla_vida!$P$40,EXP(-C24*E2_tabla_vida!$X$41)*E2_tabla_vida!$P$41,EXP(-C24*E2_tabla_vida!$X$42)*E2_tabla_vida!$P$42,EXP(-C24*E2_tabla_vida!$X$43)*E2_tabla_vida!$P$43)-1</x:f>
        <x:v>3.9029145071367566e-7</x:v>
      </x:c>
      <x:c r="H24" s="24" t="n">
        <x:f>SUM(EXP(-D24*E2_tabla_vida!$X$2)*E2_tabla_vida!$P$2,EXP(-D24*E2_tabla_vida!$X$3)*E2_tabla_vida!$P$3,EXP(-D24*E2_tabla_vida!$X$4)*E2_tabla_vida!$P$4,EXP(-D24*E2_tabla_vida!$X$5)*E2_tabla_vida!$P$5,EXP(-D24*E2_tabla_vida!$X$6)*E2_tabla_vida!$P$6,EXP(-D24*E2_tabla_vida!$X$7)*E2_tabla_vida!$P$7,EXP(-D24*E2_tabla_vida!$X$8)*E2_tabla_vida!$P$8,EXP(-D24*E2_tabla_vida!$X$9)*E2_tabla_vida!$P$9,EXP(-D24*E2_tabla_vida!$X$10)*E2_tabla_vida!$P$10,EXP(-D24*E2_tabla_vida!$X$11)*E2_tabla_vida!$P$11,EXP(-D24*E2_tabla_vida!$X$12)*E2_tabla_vida!$P$12,EXP(-D24*E2_tabla_vida!$X$13)*E2_tabla_vida!$P$13,EXP(-D24*E2_tabla_vida!$X$14)*E2_tabla_vida!$P$14,EXP(-D24*E2_tabla_vida!$X$15)*E2_tabla_vida!$P$15,EXP(-D24*E2_tabla_vida!$X$16)*E2_tabla_vida!$P$16,EXP(-D24*E2_tabla_vida!$X$17)*E2_tabla_vida!$P$17,EXP(-D24*E2_tabla_vida!$X$18)*E2_tabla_vida!$P$18,EXP(-D24*E2_tabla_vida!$X$19)*E2_tabla_vida!$P$19,EXP(-D24*E2_tabla_vida!$X$20)*E2_tabla_vida!$P$20,EXP(-D24*E2_tabla_vida!$X$21)*E2_tabla_vida!$P$21,EXP(-D24*E2_tabla_vida!$X$22)*E2_tabla_vida!$P$22,EXP(-D24*E2_tabla_vida!$X$23)*E2_tabla_vida!$P$23,EXP(-D24*E2_tabla_vida!$X$24)*E2_tabla_vida!$P$24,EXP(-D24*E2_tabla_vida!$X$25)*E2_tabla_vida!$P$25,EXP(-D24*E2_tabla_vida!$X$26)*E2_tabla_vida!$P$26,EXP(-D24*E2_tabla_vida!$X$27)*E2_tabla_vida!$P$27,EXP(-D24*E2_tabla_vida!$X$28)*E2_tabla_vida!$P$28,EXP(-D24*E2_tabla_vida!$X$29)*E2_tabla_vida!$P$29,EXP(-D24*E2_tabla_vida!$X$30)*E2_tabla_vida!$P$30,EXP(-D24*E2_tabla_vida!$X$31)*E2_tabla_vida!$P$31,EXP(-D24*E2_tabla_vida!$X$32)*E2_tabla_vida!$P$32,EXP(-D24*E2_tabla_vida!$X$33)*E2_tabla_vida!$P$33,EXP(-D24*E2_tabla_vida!$X$34)*E2_tabla_vida!$P$34,EXP(-D24*E2_tabla_vida!$X$35)*E2_tabla_vida!$P$35,EXP(-D24*E2_tabla_vida!$X$36)*E2_tabla_vida!$P$36,EXP(-D24*E2_tabla_vida!$X$37)*E2_tabla_vida!$P$37,EXP(-D24*E2_tabla_vida!$X$38)*E2_tabla_vida!$P$38,EXP(-D24*E2_tabla_vida!$X$39)*E2_tabla_vida!$P$39,EXP(-D24*E2_tabla_vida!$X$40)*E2_tabla_vida!$P$40,EXP(-D24*E2_tabla_vida!$X$41)*E2_tabla_vida!$P$41,EXP(-D24*E2_tabla_vida!$X$42)*E2_tabla_vida!$P$42,EXP(-D24*E2_tabla_vida!$X$43)*E2_tabla_vida!$P$43)-1</x:f>
        <x:v>-0.000009198181425862373</x:v>
      </x:c>
    </x:row>
    <x:row r="25" ht="19" customHeight="1">
      <x:c r="A25" s="2" t="str">
        <x:v>MP_L0</x:v>
      </x:c>
      <x:c r="B25" s="2" t="n">
        <x:v>23</x:v>
      </x:c>
      <x:c r="C25" s="22" t="n">
        <x:f>IF(F24&gt;0,E24,C24)</x:f>
        <x:v>0.2610752582550049</x:v>
      </x:c>
      <x:c r="D25" s="22" t="n">
        <x:f>IF(F24&gt;0,D24,E24)</x:f>
        <x:v>0.26107561588287354</x:v>
      </x:c>
      <x:c r="E25" s="22" t="n">
        <x:f>AVERAGE(C25:D25)</x:f>
        <x:v>0.2610754370689392</x:v>
      </x:c>
      <x:c r="F25" s="24" t="n">
        <x:f>SUM(EXP(-E25*E2_tabla_vida!$X$2)*E2_tabla_vida!$P$2,EXP(-E25*E2_tabla_vida!$X$3)*E2_tabla_vida!$P$3,EXP(-E25*E2_tabla_vida!$X$4)*E2_tabla_vida!$P$4,EXP(-E25*E2_tabla_vida!$X$5)*E2_tabla_vida!$P$5,EXP(-E25*E2_tabla_vida!$X$6)*E2_tabla_vida!$P$6,EXP(-E25*E2_tabla_vida!$X$7)*E2_tabla_vida!$P$7,EXP(-E25*E2_tabla_vida!$X$8)*E2_tabla_vida!$P$8,EXP(-E25*E2_tabla_vida!$X$9)*E2_tabla_vida!$P$9,EXP(-E25*E2_tabla_vida!$X$10)*E2_tabla_vida!$P$10,EXP(-E25*E2_tabla_vida!$X$11)*E2_tabla_vida!$P$11,EXP(-E25*E2_tabla_vida!$X$12)*E2_tabla_vida!$P$12,EXP(-E25*E2_tabla_vida!$X$13)*E2_tabla_vida!$P$13,EXP(-E25*E2_tabla_vida!$X$14)*E2_tabla_vida!$P$14,EXP(-E25*E2_tabla_vida!$X$15)*E2_tabla_vida!$P$15,EXP(-E25*E2_tabla_vida!$X$16)*E2_tabla_vida!$P$16,EXP(-E25*E2_tabla_vida!$X$17)*E2_tabla_vida!$P$17,EXP(-E25*E2_tabla_vida!$X$18)*E2_tabla_vida!$P$18,EXP(-E25*E2_tabla_vida!$X$19)*E2_tabla_vida!$P$19,EXP(-E25*E2_tabla_vida!$X$20)*E2_tabla_vida!$P$20,EXP(-E25*E2_tabla_vida!$X$21)*E2_tabla_vida!$P$21,EXP(-E25*E2_tabla_vida!$X$22)*E2_tabla_vida!$P$22,EXP(-E25*E2_tabla_vida!$X$23)*E2_tabla_vida!$P$23,EXP(-E25*E2_tabla_vida!$X$24)*E2_tabla_vida!$P$24,EXP(-E25*E2_tabla_vida!$X$25)*E2_tabla_vida!$P$25,EXP(-E25*E2_tabla_vida!$X$26)*E2_tabla_vida!$P$26,EXP(-E25*E2_tabla_vida!$X$27)*E2_tabla_vida!$P$27,EXP(-E25*E2_tabla_vida!$X$28)*E2_tabla_vida!$P$28,EXP(-E25*E2_tabla_vida!$X$29)*E2_tabla_vida!$P$29,EXP(-E25*E2_tabla_vida!$X$30)*E2_tabla_vida!$P$30,EXP(-E25*E2_tabla_vida!$X$31)*E2_tabla_vida!$P$31,EXP(-E25*E2_tabla_vida!$X$32)*E2_tabla_vida!$P$32,EXP(-E25*E2_tabla_vida!$X$33)*E2_tabla_vida!$P$33,EXP(-E25*E2_tabla_vida!$X$34)*E2_tabla_vida!$P$34,EXP(-E25*E2_tabla_vida!$X$35)*E2_tabla_vida!$P$35,EXP(-E25*E2_tabla_vida!$X$36)*E2_tabla_vida!$P$36,EXP(-E25*E2_tabla_vida!$X$37)*E2_tabla_vida!$P$37,EXP(-E25*E2_tabla_vida!$X$38)*E2_tabla_vida!$P$38,EXP(-E25*E2_tabla_vida!$X$39)*E2_tabla_vida!$P$39,EXP(-E25*E2_tabla_vida!$X$40)*E2_tabla_vida!$P$40,EXP(-E25*E2_tabla_vida!$X$41)*E2_tabla_vida!$P$41,EXP(-E25*E2_tabla_vida!$X$42)*E2_tabla_vida!$P$42,EXP(-E25*E2_tabla_vida!$X$43)*E2_tabla_vida!$P$43)-1</x:f>
        <x:v>-0.000002006835923551442</x:v>
      </x:c>
      <x:c r="G25" s="24" t="n">
        <x:f>SUM(EXP(-C25*E2_tabla_vida!$X$2)*E2_tabla_vida!$P$2,EXP(-C25*E2_tabla_vida!$X$3)*E2_tabla_vida!$P$3,EXP(-C25*E2_tabla_vida!$X$4)*E2_tabla_vida!$P$4,EXP(-C25*E2_tabla_vida!$X$5)*E2_tabla_vida!$P$5,EXP(-C25*E2_tabla_vida!$X$6)*E2_tabla_vida!$P$6,EXP(-C25*E2_tabla_vida!$X$7)*E2_tabla_vida!$P$7,EXP(-C25*E2_tabla_vida!$X$8)*E2_tabla_vida!$P$8,EXP(-C25*E2_tabla_vida!$X$9)*E2_tabla_vida!$P$9,EXP(-C25*E2_tabla_vida!$X$10)*E2_tabla_vida!$P$10,EXP(-C25*E2_tabla_vida!$X$11)*E2_tabla_vida!$P$11,EXP(-C25*E2_tabla_vida!$X$12)*E2_tabla_vida!$P$12,EXP(-C25*E2_tabla_vida!$X$13)*E2_tabla_vida!$P$13,EXP(-C25*E2_tabla_vida!$X$14)*E2_tabla_vida!$P$14,EXP(-C25*E2_tabla_vida!$X$15)*E2_tabla_vida!$P$15,EXP(-C25*E2_tabla_vida!$X$16)*E2_tabla_vida!$P$16,EXP(-C25*E2_tabla_vida!$X$17)*E2_tabla_vida!$P$17,EXP(-C25*E2_tabla_vida!$X$18)*E2_tabla_vida!$P$18,EXP(-C25*E2_tabla_vida!$X$19)*E2_tabla_vida!$P$19,EXP(-C25*E2_tabla_vida!$X$20)*E2_tabla_vida!$P$20,EXP(-C25*E2_tabla_vida!$X$21)*E2_tabla_vida!$P$21,EXP(-C25*E2_tabla_vida!$X$22)*E2_tabla_vida!$P$22,EXP(-C25*E2_tabla_vida!$X$23)*E2_tabla_vida!$P$23,EXP(-C25*E2_tabla_vida!$X$24)*E2_tabla_vida!$P$24,EXP(-C25*E2_tabla_vida!$X$25)*E2_tabla_vida!$P$25,EXP(-C25*E2_tabla_vida!$X$26)*E2_tabla_vida!$P$26,EXP(-C25*E2_tabla_vida!$X$27)*E2_tabla_vida!$P$27,EXP(-C25*E2_tabla_vida!$X$28)*E2_tabla_vida!$P$28,EXP(-C25*E2_tabla_vida!$X$29)*E2_tabla_vida!$P$29,EXP(-C25*E2_tabla_vida!$X$30)*E2_tabla_vida!$P$30,EXP(-C25*E2_tabla_vida!$X$31)*E2_tabla_vida!$P$31,EXP(-C25*E2_tabla_vida!$X$32)*E2_tabla_vida!$P$32,EXP(-C25*E2_tabla_vida!$X$33)*E2_tabla_vida!$P$33,EXP(-C25*E2_tabla_vida!$X$34)*E2_tabla_vida!$P$34,EXP(-C25*E2_tabla_vida!$X$35)*E2_tabla_vida!$P$35,EXP(-C25*E2_tabla_vida!$X$36)*E2_tabla_vida!$P$36,EXP(-C25*E2_tabla_vida!$X$37)*E2_tabla_vida!$P$37,EXP(-C25*E2_tabla_vida!$X$38)*E2_tabla_vida!$P$38,EXP(-C25*E2_tabla_vida!$X$39)*E2_tabla_vida!$P$39,EXP(-C25*E2_tabla_vida!$X$40)*E2_tabla_vida!$P$40,EXP(-C25*E2_tabla_vida!$X$41)*E2_tabla_vida!$P$41,EXP(-C25*E2_tabla_vida!$X$42)*E2_tabla_vida!$P$42,EXP(-C25*E2_tabla_vida!$X$43)*E2_tabla_vida!$P$43)-1</x:f>
        <x:v>3.9029145071367566e-7</x:v>
      </x:c>
      <x:c r="H25" s="24" t="n">
        <x:f>SUM(EXP(-D25*E2_tabla_vida!$X$2)*E2_tabla_vida!$P$2,EXP(-D25*E2_tabla_vida!$X$3)*E2_tabla_vida!$P$3,EXP(-D25*E2_tabla_vida!$X$4)*E2_tabla_vida!$P$4,EXP(-D25*E2_tabla_vida!$X$5)*E2_tabla_vida!$P$5,EXP(-D25*E2_tabla_vida!$X$6)*E2_tabla_vida!$P$6,EXP(-D25*E2_tabla_vida!$X$7)*E2_tabla_vida!$P$7,EXP(-D25*E2_tabla_vida!$X$8)*E2_tabla_vida!$P$8,EXP(-D25*E2_tabla_vida!$X$9)*E2_tabla_vida!$P$9,EXP(-D25*E2_tabla_vida!$X$10)*E2_tabla_vida!$P$10,EXP(-D25*E2_tabla_vida!$X$11)*E2_tabla_vida!$P$11,EXP(-D25*E2_tabla_vida!$X$12)*E2_tabla_vida!$P$12,EXP(-D25*E2_tabla_vida!$X$13)*E2_tabla_vida!$P$13,EXP(-D25*E2_tabla_vida!$X$14)*E2_tabla_vida!$P$14,EXP(-D25*E2_tabla_vida!$X$15)*E2_tabla_vida!$P$15,EXP(-D25*E2_tabla_vida!$X$16)*E2_tabla_vida!$P$16,EXP(-D25*E2_tabla_vida!$X$17)*E2_tabla_vida!$P$17,EXP(-D25*E2_tabla_vida!$X$18)*E2_tabla_vida!$P$18,EXP(-D25*E2_tabla_vida!$X$19)*E2_tabla_vida!$P$19,EXP(-D25*E2_tabla_vida!$X$20)*E2_tabla_vida!$P$20,EXP(-D25*E2_tabla_vida!$X$21)*E2_tabla_vida!$P$21,EXP(-D25*E2_tabla_vida!$X$22)*E2_tabla_vida!$P$22,EXP(-D25*E2_tabla_vida!$X$23)*E2_tabla_vida!$P$23,EXP(-D25*E2_tabla_vida!$X$24)*E2_tabla_vida!$P$24,EXP(-D25*E2_tabla_vida!$X$25)*E2_tabla_vida!$P$25,EXP(-D25*E2_tabla_vida!$X$26)*E2_tabla_vida!$P$26,EXP(-D25*E2_tabla_vida!$X$27)*E2_tabla_vida!$P$27,EXP(-D25*E2_tabla_vida!$X$28)*E2_tabla_vida!$P$28,EXP(-D25*E2_tabla_vida!$X$29)*E2_tabla_vida!$P$29,EXP(-D25*E2_tabla_vida!$X$30)*E2_tabla_vida!$P$30,EXP(-D25*E2_tabla_vida!$X$31)*E2_tabla_vida!$P$31,EXP(-D25*E2_tabla_vida!$X$32)*E2_tabla_vida!$P$32,EXP(-D25*E2_tabla_vida!$X$33)*E2_tabla_vida!$P$33,EXP(-D25*E2_tabla_vida!$X$34)*E2_tabla_vida!$P$34,EXP(-D25*E2_tabla_vida!$X$35)*E2_tabla_vida!$P$35,EXP(-D25*E2_tabla_vida!$X$36)*E2_tabla_vida!$P$36,EXP(-D25*E2_tabla_vida!$X$37)*E2_tabla_vida!$P$37,EXP(-D25*E2_tabla_vida!$X$38)*E2_tabla_vida!$P$38,EXP(-D25*E2_tabla_vida!$X$39)*E2_tabla_vida!$P$39,EXP(-D25*E2_tabla_vida!$X$40)*E2_tabla_vida!$P$40,EXP(-D25*E2_tabla_vida!$X$41)*E2_tabla_vida!$P$41,EXP(-D25*E2_tabla_vida!$X$42)*E2_tabla_vida!$P$42,EXP(-D25*E2_tabla_vida!$X$43)*E2_tabla_vida!$P$43)-1</x:f>
        <x:v>-0.000004403957194365482</x:v>
      </x:c>
    </x:row>
    <x:row r="26" ht="19" customHeight="1">
      <x:c r="A26" s="2" t="str">
        <x:v>MP_L0</x:v>
      </x:c>
      <x:c r="B26" s="2" t="n">
        <x:v>24</x:v>
      </x:c>
      <x:c r="C26" s="22" t="n">
        <x:f>IF(F25&gt;0,E25,C25)</x:f>
        <x:v>0.2610752582550049</x:v>
      </x:c>
      <x:c r="D26" s="22" t="n">
        <x:f>IF(F25&gt;0,D25,E25)</x:f>
        <x:v>0.2610754370689392</x:v>
      </x:c>
      <x:c r="E26" s="22" t="n">
        <x:f>AVERAGE(C26:D26)</x:f>
        <x:v>0.26107534766197205</x:v>
      </x:c>
      <x:c r="F26" s="24" t="n">
        <x:f>SUM(EXP(-E26*E2_tabla_vida!$X$2)*E2_tabla_vida!$P$2,EXP(-E26*E2_tabla_vida!$X$3)*E2_tabla_vida!$P$3,EXP(-E26*E2_tabla_vida!$X$4)*E2_tabla_vida!$P$4,EXP(-E26*E2_tabla_vida!$X$5)*E2_tabla_vida!$P$5,EXP(-E26*E2_tabla_vida!$X$6)*E2_tabla_vida!$P$6,EXP(-E26*E2_tabla_vida!$X$7)*E2_tabla_vida!$P$7,EXP(-E26*E2_tabla_vida!$X$8)*E2_tabla_vida!$P$8,EXP(-E26*E2_tabla_vida!$X$9)*E2_tabla_vida!$P$9,EXP(-E26*E2_tabla_vida!$X$10)*E2_tabla_vida!$P$10,EXP(-E26*E2_tabla_vida!$X$11)*E2_tabla_vida!$P$11,EXP(-E26*E2_tabla_vida!$X$12)*E2_tabla_vida!$P$12,EXP(-E26*E2_tabla_vida!$X$13)*E2_tabla_vida!$P$13,EXP(-E26*E2_tabla_vida!$X$14)*E2_tabla_vida!$P$14,EXP(-E26*E2_tabla_vida!$X$15)*E2_tabla_vida!$P$15,EXP(-E26*E2_tabla_vida!$X$16)*E2_tabla_vida!$P$16,EXP(-E26*E2_tabla_vida!$X$17)*E2_tabla_vida!$P$17,EXP(-E26*E2_tabla_vida!$X$18)*E2_tabla_vida!$P$18,EXP(-E26*E2_tabla_vida!$X$19)*E2_tabla_vida!$P$19,EXP(-E26*E2_tabla_vida!$X$20)*E2_tabla_vida!$P$20,EXP(-E26*E2_tabla_vida!$X$21)*E2_tabla_vida!$P$21,EXP(-E26*E2_tabla_vida!$X$22)*E2_tabla_vida!$P$22,EXP(-E26*E2_tabla_vida!$X$23)*E2_tabla_vida!$P$23,EXP(-E26*E2_tabla_vida!$X$24)*E2_tabla_vida!$P$24,EXP(-E26*E2_tabla_vida!$X$25)*E2_tabla_vida!$P$25,EXP(-E26*E2_tabla_vida!$X$26)*E2_tabla_vida!$P$26,EXP(-E26*E2_tabla_vida!$X$27)*E2_tabla_vida!$P$27,EXP(-E26*E2_tabla_vida!$X$28)*E2_tabla_vida!$P$28,EXP(-E26*E2_tabla_vida!$X$29)*E2_tabla_vida!$P$29,EXP(-E26*E2_tabla_vida!$X$30)*E2_tabla_vida!$P$30,EXP(-E26*E2_tabla_vida!$X$31)*E2_tabla_vida!$P$31,EXP(-E26*E2_tabla_vida!$X$32)*E2_tabla_vida!$P$32,EXP(-E26*E2_tabla_vida!$X$33)*E2_tabla_vida!$P$33,EXP(-E26*E2_tabla_vida!$X$34)*E2_tabla_vida!$P$34,EXP(-E26*E2_tabla_vida!$X$35)*E2_tabla_vida!$P$35,EXP(-E26*E2_tabla_vida!$X$36)*E2_tabla_vida!$P$36,EXP(-E26*E2_tabla_vida!$X$37)*E2_tabla_vida!$P$37,EXP(-E26*E2_tabla_vida!$X$38)*E2_tabla_vida!$P$38,EXP(-E26*E2_tabla_vida!$X$39)*E2_tabla_vida!$P$39,EXP(-E26*E2_tabla_vida!$X$40)*E2_tabla_vida!$P$40,EXP(-E26*E2_tabla_vida!$X$41)*E2_tabla_vida!$P$41,EXP(-E26*E2_tabla_vida!$X$42)*E2_tabla_vida!$P$42,EXP(-E26*E2_tabla_vida!$X$43)*E2_tabla_vida!$P$43)-1</x:f>
        <x:v>-8.082729993086346e-7</x:v>
      </x:c>
      <x:c r="G26" s="24" t="n">
        <x:f>SUM(EXP(-C26*E2_tabla_vida!$X$2)*E2_tabla_vida!$P$2,EXP(-C26*E2_tabla_vida!$X$3)*E2_tabla_vida!$P$3,EXP(-C26*E2_tabla_vida!$X$4)*E2_tabla_vida!$P$4,EXP(-C26*E2_tabla_vida!$X$5)*E2_tabla_vida!$P$5,EXP(-C26*E2_tabla_vida!$X$6)*E2_tabla_vida!$P$6,EXP(-C26*E2_tabla_vida!$X$7)*E2_tabla_vida!$P$7,EXP(-C26*E2_tabla_vida!$X$8)*E2_tabla_vida!$P$8,EXP(-C26*E2_tabla_vida!$X$9)*E2_tabla_vida!$P$9,EXP(-C26*E2_tabla_vida!$X$10)*E2_tabla_vida!$P$10,EXP(-C26*E2_tabla_vida!$X$11)*E2_tabla_vida!$P$11,EXP(-C26*E2_tabla_vida!$X$12)*E2_tabla_vida!$P$12,EXP(-C26*E2_tabla_vida!$X$13)*E2_tabla_vida!$P$13,EXP(-C26*E2_tabla_vida!$X$14)*E2_tabla_vida!$P$14,EXP(-C26*E2_tabla_vida!$X$15)*E2_tabla_vida!$P$15,EXP(-C26*E2_tabla_vida!$X$16)*E2_tabla_vida!$P$16,EXP(-C26*E2_tabla_vida!$X$17)*E2_tabla_vida!$P$17,EXP(-C26*E2_tabla_vida!$X$18)*E2_tabla_vida!$P$18,EXP(-C26*E2_tabla_vida!$X$19)*E2_tabla_vida!$P$19,EXP(-C26*E2_tabla_vida!$X$20)*E2_tabla_vida!$P$20,EXP(-C26*E2_tabla_vida!$X$21)*E2_tabla_vida!$P$21,EXP(-C26*E2_tabla_vida!$X$22)*E2_tabla_vida!$P$22,EXP(-C26*E2_tabla_vida!$X$23)*E2_tabla_vida!$P$23,EXP(-C26*E2_tabla_vida!$X$24)*E2_tabla_vida!$P$24,EXP(-C26*E2_tabla_vida!$X$25)*E2_tabla_vida!$P$25,EXP(-C26*E2_tabla_vida!$X$26)*E2_tabla_vida!$P$26,EXP(-C26*E2_tabla_vida!$X$27)*E2_tabla_vida!$P$27,EXP(-C26*E2_tabla_vida!$X$28)*E2_tabla_vida!$P$28,EXP(-C26*E2_tabla_vida!$X$29)*E2_tabla_vida!$P$29,EXP(-C26*E2_tabla_vida!$X$30)*E2_tabla_vida!$P$30,EXP(-C26*E2_tabla_vida!$X$31)*E2_tabla_vida!$P$31,EXP(-C26*E2_tabla_vida!$X$32)*E2_tabla_vida!$P$32,EXP(-C26*E2_tabla_vida!$X$33)*E2_tabla_vida!$P$33,EXP(-C26*E2_tabla_vida!$X$34)*E2_tabla_vida!$P$34,EXP(-C26*E2_tabla_vida!$X$35)*E2_tabla_vida!$P$35,EXP(-C26*E2_tabla_vida!$X$36)*E2_tabla_vida!$P$36,EXP(-C26*E2_tabla_vida!$X$37)*E2_tabla_vida!$P$37,EXP(-C26*E2_tabla_vida!$X$38)*E2_tabla_vida!$P$38,EXP(-C26*E2_tabla_vida!$X$39)*E2_tabla_vida!$P$39,EXP(-C26*E2_tabla_vida!$X$40)*E2_tabla_vida!$P$40,EXP(-C26*E2_tabla_vida!$X$41)*E2_tabla_vida!$P$41,EXP(-C26*E2_tabla_vida!$X$42)*E2_tabla_vida!$P$42,EXP(-C26*E2_tabla_vida!$X$43)*E2_tabla_vida!$P$43)-1</x:f>
        <x:v>3.9029145071367566e-7</x:v>
      </x:c>
      <x:c r="H26" s="24" t="n">
        <x:f>SUM(EXP(-D26*E2_tabla_vida!$X$2)*E2_tabla_vida!$P$2,EXP(-D26*E2_tabla_vida!$X$3)*E2_tabla_vida!$P$3,EXP(-D26*E2_tabla_vida!$X$4)*E2_tabla_vida!$P$4,EXP(-D26*E2_tabla_vida!$X$5)*E2_tabla_vida!$P$5,EXP(-D26*E2_tabla_vida!$X$6)*E2_tabla_vida!$P$6,EXP(-D26*E2_tabla_vida!$X$7)*E2_tabla_vida!$P$7,EXP(-D26*E2_tabla_vida!$X$8)*E2_tabla_vida!$P$8,EXP(-D26*E2_tabla_vida!$X$9)*E2_tabla_vida!$P$9,EXP(-D26*E2_tabla_vida!$X$10)*E2_tabla_vida!$P$10,EXP(-D26*E2_tabla_vida!$X$11)*E2_tabla_vida!$P$11,EXP(-D26*E2_tabla_vida!$X$12)*E2_tabla_vida!$P$12,EXP(-D26*E2_tabla_vida!$X$13)*E2_tabla_vida!$P$13,EXP(-D26*E2_tabla_vida!$X$14)*E2_tabla_vida!$P$14,EXP(-D26*E2_tabla_vida!$X$15)*E2_tabla_vida!$P$15,EXP(-D26*E2_tabla_vida!$X$16)*E2_tabla_vida!$P$16,EXP(-D26*E2_tabla_vida!$X$17)*E2_tabla_vida!$P$17,EXP(-D26*E2_tabla_vida!$X$18)*E2_tabla_vida!$P$18,EXP(-D26*E2_tabla_vida!$X$19)*E2_tabla_vida!$P$19,EXP(-D26*E2_tabla_vida!$X$20)*E2_tabla_vida!$P$20,EXP(-D26*E2_tabla_vida!$X$21)*E2_tabla_vida!$P$21,EXP(-D26*E2_tabla_vida!$X$22)*E2_tabla_vida!$P$22,EXP(-D26*E2_tabla_vida!$X$23)*E2_tabla_vida!$P$23,EXP(-D26*E2_tabla_vida!$X$24)*E2_tabla_vida!$P$24,EXP(-D26*E2_tabla_vida!$X$25)*E2_tabla_vida!$P$25,EXP(-D26*E2_tabla_vida!$X$26)*E2_tabla_vida!$P$26,EXP(-D26*E2_tabla_vida!$X$27)*E2_tabla_vida!$P$27,EXP(-D26*E2_tabla_vida!$X$28)*E2_tabla_vida!$P$28,EXP(-D26*E2_tabla_vida!$X$29)*E2_tabla_vida!$P$29,EXP(-D26*E2_tabla_vida!$X$30)*E2_tabla_vida!$P$30,EXP(-D26*E2_tabla_vida!$X$31)*E2_tabla_vida!$P$31,EXP(-D26*E2_tabla_vida!$X$32)*E2_tabla_vida!$P$32,EXP(-D26*E2_tabla_vida!$X$33)*E2_tabla_vida!$P$33,EXP(-D26*E2_tabla_vida!$X$34)*E2_tabla_vida!$P$34,EXP(-D26*E2_tabla_vida!$X$35)*E2_tabla_vida!$P$35,EXP(-D26*E2_tabla_vida!$X$36)*E2_tabla_vida!$P$36,EXP(-D26*E2_tabla_vida!$X$37)*E2_tabla_vida!$P$37,EXP(-D26*E2_tabla_vida!$X$38)*E2_tabla_vida!$P$38,EXP(-D26*E2_tabla_vida!$X$39)*E2_tabla_vida!$P$39,EXP(-D26*E2_tabla_vida!$X$40)*E2_tabla_vida!$P$40,EXP(-D26*E2_tabla_vida!$X$41)*E2_tabla_vida!$P$41,EXP(-D26*E2_tabla_vida!$X$42)*E2_tabla_vida!$P$42,EXP(-D26*E2_tabla_vida!$X$43)*E2_tabla_vida!$P$43)-1</x:f>
        <x:v>-0.000002006835923551442</x:v>
      </x:c>
    </x:row>
    <x:row r="27" ht="19" customHeight="1">
      <x:c r="A27" s="2" t="str">
        <x:v>MP_L0</x:v>
      </x:c>
      <x:c r="B27" s="2" t="n">
        <x:v>25</x:v>
      </x:c>
      <x:c r="C27" s="22" t="n">
        <x:f>IF(F26&gt;0,E26,C26)</x:f>
        <x:v>0.2610752582550049</x:v>
      </x:c>
      <x:c r="D27" s="22" t="n">
        <x:f>IF(F26&gt;0,D26,E26)</x:f>
        <x:v>0.26107534766197205</x:v>
      </x:c>
      <x:c r="E27" s="22" t="n">
        <x:f>AVERAGE(C27:D27)</x:f>
        <x:v>0.26107530295848846</x:v>
      </x:c>
      <x:c r="F27" s="24" t="n">
        <x:f>SUM(EXP(-E27*E2_tabla_vida!$X$2)*E2_tabla_vida!$P$2,EXP(-E27*E2_tabla_vida!$X$3)*E2_tabla_vida!$P$3,EXP(-E27*E2_tabla_vida!$X$4)*E2_tabla_vida!$P$4,EXP(-E27*E2_tabla_vida!$X$5)*E2_tabla_vida!$P$5,EXP(-E27*E2_tabla_vida!$X$6)*E2_tabla_vida!$P$6,EXP(-E27*E2_tabla_vida!$X$7)*E2_tabla_vida!$P$7,EXP(-E27*E2_tabla_vida!$X$8)*E2_tabla_vida!$P$8,EXP(-E27*E2_tabla_vida!$X$9)*E2_tabla_vida!$P$9,EXP(-E27*E2_tabla_vida!$X$10)*E2_tabla_vida!$P$10,EXP(-E27*E2_tabla_vida!$X$11)*E2_tabla_vida!$P$11,EXP(-E27*E2_tabla_vida!$X$12)*E2_tabla_vida!$P$12,EXP(-E27*E2_tabla_vida!$X$13)*E2_tabla_vida!$P$13,EXP(-E27*E2_tabla_vida!$X$14)*E2_tabla_vida!$P$14,EXP(-E27*E2_tabla_vida!$X$15)*E2_tabla_vida!$P$15,EXP(-E27*E2_tabla_vida!$X$16)*E2_tabla_vida!$P$16,EXP(-E27*E2_tabla_vida!$X$17)*E2_tabla_vida!$P$17,EXP(-E27*E2_tabla_vida!$X$18)*E2_tabla_vida!$P$18,EXP(-E27*E2_tabla_vida!$X$19)*E2_tabla_vida!$P$19,EXP(-E27*E2_tabla_vida!$X$20)*E2_tabla_vida!$P$20,EXP(-E27*E2_tabla_vida!$X$21)*E2_tabla_vida!$P$21,EXP(-E27*E2_tabla_vida!$X$22)*E2_tabla_vida!$P$22,EXP(-E27*E2_tabla_vida!$X$23)*E2_tabla_vida!$P$23,EXP(-E27*E2_tabla_vida!$X$24)*E2_tabla_vida!$P$24,EXP(-E27*E2_tabla_vida!$X$25)*E2_tabla_vida!$P$25,EXP(-E27*E2_tabla_vida!$X$26)*E2_tabla_vida!$P$26,EXP(-E27*E2_tabla_vida!$X$27)*E2_tabla_vida!$P$27,EXP(-E27*E2_tabla_vida!$X$28)*E2_tabla_vida!$P$28,EXP(-E27*E2_tabla_vida!$X$29)*E2_tabla_vida!$P$29,EXP(-E27*E2_tabla_vida!$X$30)*E2_tabla_vida!$P$30,EXP(-E27*E2_tabla_vida!$X$31)*E2_tabla_vida!$P$31,EXP(-E27*E2_tabla_vida!$X$32)*E2_tabla_vida!$P$32,EXP(-E27*E2_tabla_vida!$X$33)*E2_tabla_vida!$P$33,EXP(-E27*E2_tabla_vida!$X$34)*E2_tabla_vida!$P$34,EXP(-E27*E2_tabla_vida!$X$35)*E2_tabla_vida!$P$35,EXP(-E27*E2_tabla_vida!$X$36)*E2_tabla_vida!$P$36,EXP(-E27*E2_tabla_vida!$X$37)*E2_tabla_vida!$P$37,EXP(-E27*E2_tabla_vida!$X$38)*E2_tabla_vida!$P$38,EXP(-E27*E2_tabla_vida!$X$39)*E2_tabla_vida!$P$39,EXP(-E27*E2_tabla_vida!$X$40)*E2_tabla_vida!$P$40,EXP(-E27*E2_tabla_vida!$X$41)*E2_tabla_vida!$P$41,EXP(-E27*E2_tabla_vida!$X$42)*E2_tabla_vida!$P$42,EXP(-E27*E2_tabla_vida!$X$43)*E2_tabla_vida!$P$43)-1</x:f>
        <x:v>-2.0899096464521705e-7</x:v>
      </x:c>
      <x:c r="G27" s="24" t="n">
        <x:f>SUM(EXP(-C27*E2_tabla_vida!$X$2)*E2_tabla_vida!$P$2,EXP(-C27*E2_tabla_vida!$X$3)*E2_tabla_vida!$P$3,EXP(-C27*E2_tabla_vida!$X$4)*E2_tabla_vida!$P$4,EXP(-C27*E2_tabla_vida!$X$5)*E2_tabla_vida!$P$5,EXP(-C27*E2_tabla_vida!$X$6)*E2_tabla_vida!$P$6,EXP(-C27*E2_tabla_vida!$X$7)*E2_tabla_vida!$P$7,EXP(-C27*E2_tabla_vida!$X$8)*E2_tabla_vida!$P$8,EXP(-C27*E2_tabla_vida!$X$9)*E2_tabla_vida!$P$9,EXP(-C27*E2_tabla_vida!$X$10)*E2_tabla_vida!$P$10,EXP(-C27*E2_tabla_vida!$X$11)*E2_tabla_vida!$P$11,EXP(-C27*E2_tabla_vida!$X$12)*E2_tabla_vida!$P$12,EXP(-C27*E2_tabla_vida!$X$13)*E2_tabla_vida!$P$13,EXP(-C27*E2_tabla_vida!$X$14)*E2_tabla_vida!$P$14,EXP(-C27*E2_tabla_vida!$X$15)*E2_tabla_vida!$P$15,EXP(-C27*E2_tabla_vida!$X$16)*E2_tabla_vida!$P$16,EXP(-C27*E2_tabla_vida!$X$17)*E2_tabla_vida!$P$17,EXP(-C27*E2_tabla_vida!$X$18)*E2_tabla_vida!$P$18,EXP(-C27*E2_tabla_vida!$X$19)*E2_tabla_vida!$P$19,EXP(-C27*E2_tabla_vida!$X$20)*E2_tabla_vida!$P$20,EXP(-C27*E2_tabla_vida!$X$21)*E2_tabla_vida!$P$21,EXP(-C27*E2_tabla_vida!$X$22)*E2_tabla_vida!$P$22,EXP(-C27*E2_tabla_vida!$X$23)*E2_tabla_vida!$P$23,EXP(-C27*E2_tabla_vida!$X$24)*E2_tabla_vida!$P$24,EXP(-C27*E2_tabla_vida!$X$25)*E2_tabla_vida!$P$25,EXP(-C27*E2_tabla_vida!$X$26)*E2_tabla_vida!$P$26,EXP(-C27*E2_tabla_vida!$X$27)*E2_tabla_vida!$P$27,EXP(-C27*E2_tabla_vida!$X$28)*E2_tabla_vida!$P$28,EXP(-C27*E2_tabla_vida!$X$29)*E2_tabla_vida!$P$29,EXP(-C27*E2_tabla_vida!$X$30)*E2_tabla_vida!$P$30,EXP(-C27*E2_tabla_vida!$X$31)*E2_tabla_vida!$P$31,EXP(-C27*E2_tabla_vida!$X$32)*E2_tabla_vida!$P$32,EXP(-C27*E2_tabla_vida!$X$33)*E2_tabla_vida!$P$33,EXP(-C27*E2_tabla_vida!$X$34)*E2_tabla_vida!$P$34,EXP(-C27*E2_tabla_vida!$X$35)*E2_tabla_vida!$P$35,EXP(-C27*E2_tabla_vida!$X$36)*E2_tabla_vida!$P$36,EXP(-C27*E2_tabla_vida!$X$37)*E2_tabla_vida!$P$37,EXP(-C27*E2_tabla_vida!$X$38)*E2_tabla_vida!$P$38,EXP(-C27*E2_tabla_vida!$X$39)*E2_tabla_vida!$P$39,EXP(-C27*E2_tabla_vida!$X$40)*E2_tabla_vida!$P$40,EXP(-C27*E2_tabla_vida!$X$41)*E2_tabla_vida!$P$41,EXP(-C27*E2_tabla_vida!$X$42)*E2_tabla_vida!$P$42,EXP(-C27*E2_tabla_vida!$X$43)*E2_tabla_vida!$P$43)-1</x:f>
        <x:v>3.9029145071367566e-7</x:v>
      </x:c>
      <x:c r="H27" s="24" t="n">
        <x:f>SUM(EXP(-D27*E2_tabla_vida!$X$2)*E2_tabla_vida!$P$2,EXP(-D27*E2_tabla_vida!$X$3)*E2_tabla_vida!$P$3,EXP(-D27*E2_tabla_vida!$X$4)*E2_tabla_vida!$P$4,EXP(-D27*E2_tabla_vida!$X$5)*E2_tabla_vida!$P$5,EXP(-D27*E2_tabla_vida!$X$6)*E2_tabla_vida!$P$6,EXP(-D27*E2_tabla_vida!$X$7)*E2_tabla_vida!$P$7,EXP(-D27*E2_tabla_vida!$X$8)*E2_tabla_vida!$P$8,EXP(-D27*E2_tabla_vida!$X$9)*E2_tabla_vida!$P$9,EXP(-D27*E2_tabla_vida!$X$10)*E2_tabla_vida!$P$10,EXP(-D27*E2_tabla_vida!$X$11)*E2_tabla_vida!$P$11,EXP(-D27*E2_tabla_vida!$X$12)*E2_tabla_vida!$P$12,EXP(-D27*E2_tabla_vida!$X$13)*E2_tabla_vida!$P$13,EXP(-D27*E2_tabla_vida!$X$14)*E2_tabla_vida!$P$14,EXP(-D27*E2_tabla_vida!$X$15)*E2_tabla_vida!$P$15,EXP(-D27*E2_tabla_vida!$X$16)*E2_tabla_vida!$P$16,EXP(-D27*E2_tabla_vida!$X$17)*E2_tabla_vida!$P$17,EXP(-D27*E2_tabla_vida!$X$18)*E2_tabla_vida!$P$18,EXP(-D27*E2_tabla_vida!$X$19)*E2_tabla_vida!$P$19,EXP(-D27*E2_tabla_vida!$X$20)*E2_tabla_vida!$P$20,EXP(-D27*E2_tabla_vida!$X$21)*E2_tabla_vida!$P$21,EXP(-D27*E2_tabla_vida!$X$22)*E2_tabla_vida!$P$22,EXP(-D27*E2_tabla_vida!$X$23)*E2_tabla_vida!$P$23,EXP(-D27*E2_tabla_vida!$X$24)*E2_tabla_vida!$P$24,EXP(-D27*E2_tabla_vida!$X$25)*E2_tabla_vida!$P$25,EXP(-D27*E2_tabla_vida!$X$26)*E2_tabla_vida!$P$26,EXP(-D27*E2_tabla_vida!$X$27)*E2_tabla_vida!$P$27,EXP(-D27*E2_tabla_vida!$X$28)*E2_tabla_vida!$P$28,EXP(-D27*E2_tabla_vida!$X$29)*E2_tabla_vida!$P$29,EXP(-D27*E2_tabla_vida!$X$30)*E2_tabla_vida!$P$30,EXP(-D27*E2_tabla_vida!$X$31)*E2_tabla_vida!$P$31,EXP(-D27*E2_tabla_vida!$X$32)*E2_tabla_vida!$P$32,EXP(-D27*E2_tabla_vida!$X$33)*E2_tabla_vida!$P$33,EXP(-D27*E2_tabla_vida!$X$34)*E2_tabla_vida!$P$34,EXP(-D27*E2_tabla_vida!$X$35)*E2_tabla_vida!$P$35,EXP(-D27*E2_tabla_vida!$X$36)*E2_tabla_vida!$P$36,EXP(-D27*E2_tabla_vida!$X$37)*E2_tabla_vida!$P$37,EXP(-D27*E2_tabla_vida!$X$38)*E2_tabla_vida!$P$38,EXP(-D27*E2_tabla_vida!$X$39)*E2_tabla_vida!$P$39,EXP(-D27*E2_tabla_vida!$X$40)*E2_tabla_vida!$P$40,EXP(-D27*E2_tabla_vida!$X$41)*E2_tabla_vida!$P$41,EXP(-D27*E2_tabla_vida!$X$42)*E2_tabla_vida!$P$42,EXP(-D27*E2_tabla_vida!$X$43)*E2_tabla_vida!$P$43)-1</x:f>
        <x:v>-8.082729993086346e-7</x:v>
      </x:c>
    </x:row>
    <x:row r="28" ht="19" customHeight="1">
      <x:c r="A28" s="2" t="str">
        <x:v>MP_L0</x:v>
      </x:c>
      <x:c r="B28" s="2" t="n">
        <x:v>26</x:v>
      </x:c>
      <x:c r="C28" s="22" t="n">
        <x:f>IF(F27&gt;0,E27,C27)</x:f>
        <x:v>0.2610752582550049</x:v>
      </x:c>
      <x:c r="D28" s="22" t="n">
        <x:f>IF(F27&gt;0,D27,E27)</x:f>
        <x:v>0.26107530295848846</x:v>
      </x:c>
      <x:c r="E28" s="22" t="n">
        <x:f>AVERAGE(C28:D28)</x:f>
        <x:v>0.2610752806067467</x:v>
      </x:c>
      <x:c r="F28" s="24" t="n">
        <x:f>SUM(EXP(-E28*E2_tabla_vida!$X$2)*E2_tabla_vida!$P$2,EXP(-E28*E2_tabla_vida!$X$3)*E2_tabla_vida!$P$3,EXP(-E28*E2_tabla_vida!$X$4)*E2_tabla_vida!$P$4,EXP(-E28*E2_tabla_vida!$X$5)*E2_tabla_vida!$P$5,EXP(-E28*E2_tabla_vida!$X$6)*E2_tabla_vida!$P$6,EXP(-E28*E2_tabla_vida!$X$7)*E2_tabla_vida!$P$7,EXP(-E28*E2_tabla_vida!$X$8)*E2_tabla_vida!$P$8,EXP(-E28*E2_tabla_vida!$X$9)*E2_tabla_vida!$P$9,EXP(-E28*E2_tabla_vida!$X$10)*E2_tabla_vida!$P$10,EXP(-E28*E2_tabla_vida!$X$11)*E2_tabla_vida!$P$11,EXP(-E28*E2_tabla_vida!$X$12)*E2_tabla_vida!$P$12,EXP(-E28*E2_tabla_vida!$X$13)*E2_tabla_vida!$P$13,EXP(-E28*E2_tabla_vida!$X$14)*E2_tabla_vida!$P$14,EXP(-E28*E2_tabla_vida!$X$15)*E2_tabla_vida!$P$15,EXP(-E28*E2_tabla_vida!$X$16)*E2_tabla_vida!$P$16,EXP(-E28*E2_tabla_vida!$X$17)*E2_tabla_vida!$P$17,EXP(-E28*E2_tabla_vida!$X$18)*E2_tabla_vida!$P$18,EXP(-E28*E2_tabla_vida!$X$19)*E2_tabla_vida!$P$19,EXP(-E28*E2_tabla_vida!$X$20)*E2_tabla_vida!$P$20,EXP(-E28*E2_tabla_vida!$X$21)*E2_tabla_vida!$P$21,EXP(-E28*E2_tabla_vida!$X$22)*E2_tabla_vida!$P$22,EXP(-E28*E2_tabla_vida!$X$23)*E2_tabla_vida!$P$23,EXP(-E28*E2_tabla_vida!$X$24)*E2_tabla_vida!$P$24,EXP(-E28*E2_tabla_vida!$X$25)*E2_tabla_vida!$P$25,EXP(-E28*E2_tabla_vida!$X$26)*E2_tabla_vida!$P$26,EXP(-E28*E2_tabla_vida!$X$27)*E2_tabla_vida!$P$27,EXP(-E28*E2_tabla_vida!$X$28)*E2_tabla_vida!$P$28,EXP(-E28*E2_tabla_vida!$X$29)*E2_tabla_vida!$P$29,EXP(-E28*E2_tabla_vida!$X$30)*E2_tabla_vida!$P$30,EXP(-E28*E2_tabla_vida!$X$31)*E2_tabla_vida!$P$31,EXP(-E28*E2_tabla_vida!$X$32)*E2_tabla_vida!$P$32,EXP(-E28*E2_tabla_vida!$X$33)*E2_tabla_vida!$P$33,EXP(-E28*E2_tabla_vida!$X$34)*E2_tabla_vida!$P$34,EXP(-E28*E2_tabla_vida!$X$35)*E2_tabla_vida!$P$35,EXP(-E28*E2_tabla_vida!$X$36)*E2_tabla_vida!$P$36,EXP(-E28*E2_tabla_vida!$X$37)*E2_tabla_vida!$P$37,EXP(-E28*E2_tabla_vida!$X$38)*E2_tabla_vida!$P$38,EXP(-E28*E2_tabla_vida!$X$39)*E2_tabla_vida!$P$39,EXP(-E28*E2_tabla_vida!$X$40)*E2_tabla_vida!$P$40,EXP(-E28*E2_tabla_vida!$X$41)*E2_tabla_vida!$P$41,EXP(-E28*E2_tabla_vida!$X$42)*E2_tabla_vida!$P$42,EXP(-E28*E2_tabla_vida!$X$43)*E2_tabla_vida!$P$43)-1</x:f>
        <x:v>9.065019512810579e-8</x:v>
      </x:c>
      <x:c r="G28" s="24" t="n">
        <x:f>SUM(EXP(-C28*E2_tabla_vida!$X$2)*E2_tabla_vida!$P$2,EXP(-C28*E2_tabla_vida!$X$3)*E2_tabla_vida!$P$3,EXP(-C28*E2_tabla_vida!$X$4)*E2_tabla_vida!$P$4,EXP(-C28*E2_tabla_vida!$X$5)*E2_tabla_vida!$P$5,EXP(-C28*E2_tabla_vida!$X$6)*E2_tabla_vida!$P$6,EXP(-C28*E2_tabla_vida!$X$7)*E2_tabla_vida!$P$7,EXP(-C28*E2_tabla_vida!$X$8)*E2_tabla_vida!$P$8,EXP(-C28*E2_tabla_vida!$X$9)*E2_tabla_vida!$P$9,EXP(-C28*E2_tabla_vida!$X$10)*E2_tabla_vida!$P$10,EXP(-C28*E2_tabla_vida!$X$11)*E2_tabla_vida!$P$11,EXP(-C28*E2_tabla_vida!$X$12)*E2_tabla_vida!$P$12,EXP(-C28*E2_tabla_vida!$X$13)*E2_tabla_vida!$P$13,EXP(-C28*E2_tabla_vida!$X$14)*E2_tabla_vida!$P$14,EXP(-C28*E2_tabla_vida!$X$15)*E2_tabla_vida!$P$15,EXP(-C28*E2_tabla_vida!$X$16)*E2_tabla_vida!$P$16,EXP(-C28*E2_tabla_vida!$X$17)*E2_tabla_vida!$P$17,EXP(-C28*E2_tabla_vida!$X$18)*E2_tabla_vida!$P$18,EXP(-C28*E2_tabla_vida!$X$19)*E2_tabla_vida!$P$19,EXP(-C28*E2_tabla_vida!$X$20)*E2_tabla_vida!$P$20,EXP(-C28*E2_tabla_vida!$X$21)*E2_tabla_vida!$P$21,EXP(-C28*E2_tabla_vida!$X$22)*E2_tabla_vida!$P$22,EXP(-C28*E2_tabla_vida!$X$23)*E2_tabla_vida!$P$23,EXP(-C28*E2_tabla_vida!$X$24)*E2_tabla_vida!$P$24,EXP(-C28*E2_tabla_vida!$X$25)*E2_tabla_vida!$P$25,EXP(-C28*E2_tabla_vida!$X$26)*E2_tabla_vida!$P$26,EXP(-C28*E2_tabla_vida!$X$27)*E2_tabla_vida!$P$27,EXP(-C28*E2_tabla_vida!$X$28)*E2_tabla_vida!$P$28,EXP(-C28*E2_tabla_vida!$X$29)*E2_tabla_vida!$P$29,EXP(-C28*E2_tabla_vida!$X$30)*E2_tabla_vida!$P$30,EXP(-C28*E2_tabla_vida!$X$31)*E2_tabla_vida!$P$31,EXP(-C28*E2_tabla_vida!$X$32)*E2_tabla_vida!$P$32,EXP(-C28*E2_tabla_vida!$X$33)*E2_tabla_vida!$P$33,EXP(-C28*E2_tabla_vida!$X$34)*E2_tabla_vida!$P$34,EXP(-C28*E2_tabla_vida!$X$35)*E2_tabla_vida!$P$35,EXP(-C28*E2_tabla_vida!$X$36)*E2_tabla_vida!$P$36,EXP(-C28*E2_tabla_vida!$X$37)*E2_tabla_vida!$P$37,EXP(-C28*E2_tabla_vida!$X$38)*E2_tabla_vida!$P$38,EXP(-C28*E2_tabla_vida!$X$39)*E2_tabla_vida!$P$39,EXP(-C28*E2_tabla_vida!$X$40)*E2_tabla_vida!$P$40,EXP(-C28*E2_tabla_vida!$X$41)*E2_tabla_vida!$P$41,EXP(-C28*E2_tabla_vida!$X$42)*E2_tabla_vida!$P$42,EXP(-C28*E2_tabla_vida!$X$43)*E2_tabla_vida!$P$43)-1</x:f>
        <x:v>3.9029145071367566e-7</x:v>
      </x:c>
      <x:c r="H28" s="24" t="n">
        <x:f>SUM(EXP(-D28*E2_tabla_vida!$X$2)*E2_tabla_vida!$P$2,EXP(-D28*E2_tabla_vida!$X$3)*E2_tabla_vida!$P$3,EXP(-D28*E2_tabla_vida!$X$4)*E2_tabla_vida!$P$4,EXP(-D28*E2_tabla_vida!$X$5)*E2_tabla_vida!$P$5,EXP(-D28*E2_tabla_vida!$X$6)*E2_tabla_vida!$P$6,EXP(-D28*E2_tabla_vida!$X$7)*E2_tabla_vida!$P$7,EXP(-D28*E2_tabla_vida!$X$8)*E2_tabla_vida!$P$8,EXP(-D28*E2_tabla_vida!$X$9)*E2_tabla_vida!$P$9,EXP(-D28*E2_tabla_vida!$X$10)*E2_tabla_vida!$P$10,EXP(-D28*E2_tabla_vida!$X$11)*E2_tabla_vida!$P$11,EXP(-D28*E2_tabla_vida!$X$12)*E2_tabla_vida!$P$12,EXP(-D28*E2_tabla_vida!$X$13)*E2_tabla_vida!$P$13,EXP(-D28*E2_tabla_vida!$X$14)*E2_tabla_vida!$P$14,EXP(-D28*E2_tabla_vida!$X$15)*E2_tabla_vida!$P$15,EXP(-D28*E2_tabla_vida!$X$16)*E2_tabla_vida!$P$16,EXP(-D28*E2_tabla_vida!$X$17)*E2_tabla_vida!$P$17,EXP(-D28*E2_tabla_vida!$X$18)*E2_tabla_vida!$P$18,EXP(-D28*E2_tabla_vida!$X$19)*E2_tabla_vida!$P$19,EXP(-D28*E2_tabla_vida!$X$20)*E2_tabla_vida!$P$20,EXP(-D28*E2_tabla_vida!$X$21)*E2_tabla_vida!$P$21,EXP(-D28*E2_tabla_vida!$X$22)*E2_tabla_vida!$P$22,EXP(-D28*E2_tabla_vida!$X$23)*E2_tabla_vida!$P$23,EXP(-D28*E2_tabla_vida!$X$24)*E2_tabla_vida!$P$24,EXP(-D28*E2_tabla_vida!$X$25)*E2_tabla_vida!$P$25,EXP(-D28*E2_tabla_vida!$X$26)*E2_tabla_vida!$P$26,EXP(-D28*E2_tabla_vida!$X$27)*E2_tabla_vida!$P$27,EXP(-D28*E2_tabla_vida!$X$28)*E2_tabla_vida!$P$28,EXP(-D28*E2_tabla_vida!$X$29)*E2_tabla_vida!$P$29,EXP(-D28*E2_tabla_vida!$X$30)*E2_tabla_vida!$P$30,EXP(-D28*E2_tabla_vida!$X$31)*E2_tabla_vida!$P$31,EXP(-D28*E2_tabla_vida!$X$32)*E2_tabla_vida!$P$32,EXP(-D28*E2_tabla_vida!$X$33)*E2_tabla_vida!$P$33,EXP(-D28*E2_tabla_vida!$X$34)*E2_tabla_vida!$P$34,EXP(-D28*E2_tabla_vida!$X$35)*E2_tabla_vida!$P$35,EXP(-D28*E2_tabla_vida!$X$36)*E2_tabla_vida!$P$36,EXP(-D28*E2_tabla_vida!$X$37)*E2_tabla_vida!$P$37,EXP(-D28*E2_tabla_vida!$X$38)*E2_tabla_vida!$P$38,EXP(-D28*E2_tabla_vida!$X$39)*E2_tabla_vida!$P$39,EXP(-D28*E2_tabla_vida!$X$40)*E2_tabla_vida!$P$40,EXP(-D28*E2_tabla_vida!$X$41)*E2_tabla_vida!$P$41,EXP(-D28*E2_tabla_vida!$X$42)*E2_tabla_vida!$P$42,EXP(-D28*E2_tabla_vida!$X$43)*E2_tabla_vida!$P$43)-1</x:f>
        <x:v>-2.0899096464521705e-7</x:v>
      </x:c>
    </x:row>
    <x:row r="29" ht="19" customHeight="1">
      <x:c r="A29" s="2" t="str">
        <x:v>MP_L0</x:v>
      </x:c>
      <x:c r="B29" s="2" t="n">
        <x:v>27</x:v>
      </x:c>
      <x:c r="C29" s="22" t="n">
        <x:f>IF(F28&gt;0,E28,C28)</x:f>
        <x:v>0.2610752806067467</x:v>
      </x:c>
      <x:c r="D29" s="22" t="n">
        <x:f>IF(F28&gt;0,D28,E28)</x:f>
        <x:v>0.26107530295848846</x:v>
      </x:c>
      <x:c r="E29" s="22" t="n">
        <x:f>AVERAGE(C29:D29)</x:f>
        <x:v>0.26107529178261757</x:v>
      </x:c>
      <x:c r="F29" s="24" t="n">
        <x:f>SUM(EXP(-E29*E2_tabla_vida!$X$2)*E2_tabla_vida!$P$2,EXP(-E29*E2_tabla_vida!$X$3)*E2_tabla_vida!$P$3,EXP(-E29*E2_tabla_vida!$X$4)*E2_tabla_vida!$P$4,EXP(-E29*E2_tabla_vida!$X$5)*E2_tabla_vida!$P$5,EXP(-E29*E2_tabla_vida!$X$6)*E2_tabla_vida!$P$6,EXP(-E29*E2_tabla_vida!$X$7)*E2_tabla_vida!$P$7,EXP(-E29*E2_tabla_vida!$X$8)*E2_tabla_vida!$P$8,EXP(-E29*E2_tabla_vida!$X$9)*E2_tabla_vida!$P$9,EXP(-E29*E2_tabla_vida!$X$10)*E2_tabla_vida!$P$10,EXP(-E29*E2_tabla_vida!$X$11)*E2_tabla_vida!$P$11,EXP(-E29*E2_tabla_vida!$X$12)*E2_tabla_vida!$P$12,EXP(-E29*E2_tabla_vida!$X$13)*E2_tabla_vida!$P$13,EXP(-E29*E2_tabla_vida!$X$14)*E2_tabla_vida!$P$14,EXP(-E29*E2_tabla_vida!$X$15)*E2_tabla_vida!$P$15,EXP(-E29*E2_tabla_vida!$X$16)*E2_tabla_vida!$P$16,EXP(-E29*E2_tabla_vida!$X$17)*E2_tabla_vida!$P$17,EXP(-E29*E2_tabla_vida!$X$18)*E2_tabla_vida!$P$18,EXP(-E29*E2_tabla_vida!$X$19)*E2_tabla_vida!$P$19,EXP(-E29*E2_tabla_vida!$X$20)*E2_tabla_vida!$P$20,EXP(-E29*E2_tabla_vida!$X$21)*E2_tabla_vida!$P$21,EXP(-E29*E2_tabla_vida!$X$22)*E2_tabla_vida!$P$22,EXP(-E29*E2_tabla_vida!$X$23)*E2_tabla_vida!$P$23,EXP(-E29*E2_tabla_vida!$X$24)*E2_tabla_vida!$P$24,EXP(-E29*E2_tabla_vida!$X$25)*E2_tabla_vida!$P$25,EXP(-E29*E2_tabla_vida!$X$26)*E2_tabla_vida!$P$26,EXP(-E29*E2_tabla_vida!$X$27)*E2_tabla_vida!$P$27,EXP(-E29*E2_tabla_vida!$X$28)*E2_tabla_vida!$P$28,EXP(-E29*E2_tabla_vida!$X$29)*E2_tabla_vida!$P$29,EXP(-E29*E2_tabla_vida!$X$30)*E2_tabla_vida!$P$30,EXP(-E29*E2_tabla_vida!$X$31)*E2_tabla_vida!$P$31,EXP(-E29*E2_tabla_vida!$X$32)*E2_tabla_vida!$P$32,EXP(-E29*E2_tabla_vida!$X$33)*E2_tabla_vida!$P$33,EXP(-E29*E2_tabla_vida!$X$34)*E2_tabla_vida!$P$34,EXP(-E29*E2_tabla_vida!$X$35)*E2_tabla_vida!$P$35,EXP(-E29*E2_tabla_vida!$X$36)*E2_tabla_vida!$P$36,EXP(-E29*E2_tabla_vida!$X$37)*E2_tabla_vida!$P$37,EXP(-E29*E2_tabla_vida!$X$38)*E2_tabla_vida!$P$38,EXP(-E29*E2_tabla_vida!$X$39)*E2_tabla_vida!$P$39,EXP(-E29*E2_tabla_vida!$X$40)*E2_tabla_vida!$P$40,EXP(-E29*E2_tabla_vida!$X$41)*E2_tabla_vida!$P$41,EXP(-E29*E2_tabla_vida!$X$42)*E2_tabla_vida!$P$42,EXP(-E29*E2_tabla_vida!$X$43)*E2_tabla_vida!$P$43)-1</x:f>
        <x:v>-5.9170396804475445e-8</x:v>
      </x:c>
      <x:c r="G29" s="24" t="n">
        <x:f>SUM(EXP(-C29*E2_tabla_vida!$X$2)*E2_tabla_vida!$P$2,EXP(-C29*E2_tabla_vida!$X$3)*E2_tabla_vida!$P$3,EXP(-C29*E2_tabla_vida!$X$4)*E2_tabla_vida!$P$4,EXP(-C29*E2_tabla_vida!$X$5)*E2_tabla_vida!$P$5,EXP(-C29*E2_tabla_vida!$X$6)*E2_tabla_vida!$P$6,EXP(-C29*E2_tabla_vida!$X$7)*E2_tabla_vida!$P$7,EXP(-C29*E2_tabla_vida!$X$8)*E2_tabla_vida!$P$8,EXP(-C29*E2_tabla_vida!$X$9)*E2_tabla_vida!$P$9,EXP(-C29*E2_tabla_vida!$X$10)*E2_tabla_vida!$P$10,EXP(-C29*E2_tabla_vida!$X$11)*E2_tabla_vida!$P$11,EXP(-C29*E2_tabla_vida!$X$12)*E2_tabla_vida!$P$12,EXP(-C29*E2_tabla_vida!$X$13)*E2_tabla_vida!$P$13,EXP(-C29*E2_tabla_vida!$X$14)*E2_tabla_vida!$P$14,EXP(-C29*E2_tabla_vida!$X$15)*E2_tabla_vida!$P$15,EXP(-C29*E2_tabla_vida!$X$16)*E2_tabla_vida!$P$16,EXP(-C29*E2_tabla_vida!$X$17)*E2_tabla_vida!$P$17,EXP(-C29*E2_tabla_vida!$X$18)*E2_tabla_vida!$P$18,EXP(-C29*E2_tabla_vida!$X$19)*E2_tabla_vida!$P$19,EXP(-C29*E2_tabla_vida!$X$20)*E2_tabla_vida!$P$20,EXP(-C29*E2_tabla_vida!$X$21)*E2_tabla_vida!$P$21,EXP(-C29*E2_tabla_vida!$X$22)*E2_tabla_vida!$P$22,EXP(-C29*E2_tabla_vida!$X$23)*E2_tabla_vida!$P$23,EXP(-C29*E2_tabla_vida!$X$24)*E2_tabla_vida!$P$24,EXP(-C29*E2_tabla_vida!$X$25)*E2_tabla_vida!$P$25,EXP(-C29*E2_tabla_vida!$X$26)*E2_tabla_vida!$P$26,EXP(-C29*E2_tabla_vida!$X$27)*E2_tabla_vida!$P$27,EXP(-C29*E2_tabla_vida!$X$28)*E2_tabla_vida!$P$28,EXP(-C29*E2_tabla_vida!$X$29)*E2_tabla_vida!$P$29,EXP(-C29*E2_tabla_vida!$X$30)*E2_tabla_vida!$P$30,EXP(-C29*E2_tabla_vida!$X$31)*E2_tabla_vida!$P$31,EXP(-C29*E2_tabla_vida!$X$32)*E2_tabla_vida!$P$32,EXP(-C29*E2_tabla_vida!$X$33)*E2_tabla_vida!$P$33,EXP(-C29*E2_tabla_vida!$X$34)*E2_tabla_vida!$P$34,EXP(-C29*E2_tabla_vida!$X$35)*E2_tabla_vida!$P$35,EXP(-C29*E2_tabla_vida!$X$36)*E2_tabla_vida!$P$36,EXP(-C29*E2_tabla_vida!$X$37)*E2_tabla_vida!$P$37,EXP(-C29*E2_tabla_vida!$X$38)*E2_tabla_vida!$P$38,EXP(-C29*E2_tabla_vida!$X$39)*E2_tabla_vida!$P$39,EXP(-C29*E2_tabla_vida!$X$40)*E2_tabla_vida!$P$40,EXP(-C29*E2_tabla_vida!$X$41)*E2_tabla_vida!$P$41,EXP(-C29*E2_tabla_vida!$X$42)*E2_tabla_vida!$P$42,EXP(-C29*E2_tabla_vida!$X$43)*E2_tabla_vida!$P$43)-1</x:f>
        <x:v>9.065019512810579e-8</x:v>
      </x:c>
      <x:c r="H29" s="24" t="n">
        <x:f>SUM(EXP(-D29*E2_tabla_vida!$X$2)*E2_tabla_vida!$P$2,EXP(-D29*E2_tabla_vida!$X$3)*E2_tabla_vida!$P$3,EXP(-D29*E2_tabla_vida!$X$4)*E2_tabla_vida!$P$4,EXP(-D29*E2_tabla_vida!$X$5)*E2_tabla_vida!$P$5,EXP(-D29*E2_tabla_vida!$X$6)*E2_tabla_vida!$P$6,EXP(-D29*E2_tabla_vida!$X$7)*E2_tabla_vida!$P$7,EXP(-D29*E2_tabla_vida!$X$8)*E2_tabla_vida!$P$8,EXP(-D29*E2_tabla_vida!$X$9)*E2_tabla_vida!$P$9,EXP(-D29*E2_tabla_vida!$X$10)*E2_tabla_vida!$P$10,EXP(-D29*E2_tabla_vida!$X$11)*E2_tabla_vida!$P$11,EXP(-D29*E2_tabla_vida!$X$12)*E2_tabla_vida!$P$12,EXP(-D29*E2_tabla_vida!$X$13)*E2_tabla_vida!$P$13,EXP(-D29*E2_tabla_vida!$X$14)*E2_tabla_vida!$P$14,EXP(-D29*E2_tabla_vida!$X$15)*E2_tabla_vida!$P$15,EXP(-D29*E2_tabla_vida!$X$16)*E2_tabla_vida!$P$16,EXP(-D29*E2_tabla_vida!$X$17)*E2_tabla_vida!$P$17,EXP(-D29*E2_tabla_vida!$X$18)*E2_tabla_vida!$P$18,EXP(-D29*E2_tabla_vida!$X$19)*E2_tabla_vida!$P$19,EXP(-D29*E2_tabla_vida!$X$20)*E2_tabla_vida!$P$20,EXP(-D29*E2_tabla_vida!$X$21)*E2_tabla_vida!$P$21,EXP(-D29*E2_tabla_vida!$X$22)*E2_tabla_vida!$P$22,EXP(-D29*E2_tabla_vida!$X$23)*E2_tabla_vida!$P$23,EXP(-D29*E2_tabla_vida!$X$24)*E2_tabla_vida!$P$24,EXP(-D29*E2_tabla_vida!$X$25)*E2_tabla_vida!$P$25,EXP(-D29*E2_tabla_vida!$X$26)*E2_tabla_vida!$P$26,EXP(-D29*E2_tabla_vida!$X$27)*E2_tabla_vida!$P$27,EXP(-D29*E2_tabla_vida!$X$28)*E2_tabla_vida!$P$28,EXP(-D29*E2_tabla_vida!$X$29)*E2_tabla_vida!$P$29,EXP(-D29*E2_tabla_vida!$X$30)*E2_tabla_vida!$P$30,EXP(-D29*E2_tabla_vida!$X$31)*E2_tabla_vida!$P$31,EXP(-D29*E2_tabla_vida!$X$32)*E2_tabla_vida!$P$32,EXP(-D29*E2_tabla_vida!$X$33)*E2_tabla_vida!$P$33,EXP(-D29*E2_tabla_vida!$X$34)*E2_tabla_vida!$P$34,EXP(-D29*E2_tabla_vida!$X$35)*E2_tabla_vida!$P$35,EXP(-D29*E2_tabla_vida!$X$36)*E2_tabla_vida!$P$36,EXP(-D29*E2_tabla_vida!$X$37)*E2_tabla_vida!$P$37,EXP(-D29*E2_tabla_vida!$X$38)*E2_tabla_vida!$P$38,EXP(-D29*E2_tabla_vida!$X$39)*E2_tabla_vida!$P$39,EXP(-D29*E2_tabla_vida!$X$40)*E2_tabla_vida!$P$40,EXP(-D29*E2_tabla_vida!$X$41)*E2_tabla_vida!$P$41,EXP(-D29*E2_tabla_vida!$X$42)*E2_tabla_vida!$P$42,EXP(-D29*E2_tabla_vida!$X$43)*E2_tabla_vida!$P$43)-1</x:f>
        <x:v>-2.0899096464521705e-7</x:v>
      </x:c>
    </x:row>
    <x:row r="30" ht="19" customHeight="1">
      <x:c r="A30" s="2" t="str">
        <x:v>MP_L0</x:v>
      </x:c>
      <x:c r="B30" s="2" t="n">
        <x:v>28</x:v>
      </x:c>
      <x:c r="C30" s="22" t="n">
        <x:f>IF(F29&gt;0,E29,C29)</x:f>
        <x:v>0.2610752806067467</x:v>
      </x:c>
      <x:c r="D30" s="22" t="n">
        <x:f>IF(F29&gt;0,D29,E29)</x:f>
        <x:v>0.26107529178261757</x:v>
      </x:c>
      <x:c r="E30" s="22" t="n">
        <x:f>AVERAGE(C30:D30)</x:f>
        <x:v>0.2610752861946821</x:v>
      </x:c>
      <x:c r="F30" s="24" t="n">
        <x:f>SUM(EXP(-E30*E2_tabla_vida!$X$2)*E2_tabla_vida!$P$2,EXP(-E30*E2_tabla_vida!$X$3)*E2_tabla_vida!$P$3,EXP(-E30*E2_tabla_vida!$X$4)*E2_tabla_vida!$P$4,EXP(-E30*E2_tabla_vida!$X$5)*E2_tabla_vida!$P$5,EXP(-E30*E2_tabla_vida!$X$6)*E2_tabla_vida!$P$6,EXP(-E30*E2_tabla_vida!$X$7)*E2_tabla_vida!$P$7,EXP(-E30*E2_tabla_vida!$X$8)*E2_tabla_vida!$P$8,EXP(-E30*E2_tabla_vida!$X$9)*E2_tabla_vida!$P$9,EXP(-E30*E2_tabla_vida!$X$10)*E2_tabla_vida!$P$10,EXP(-E30*E2_tabla_vida!$X$11)*E2_tabla_vida!$P$11,EXP(-E30*E2_tabla_vida!$X$12)*E2_tabla_vida!$P$12,EXP(-E30*E2_tabla_vida!$X$13)*E2_tabla_vida!$P$13,EXP(-E30*E2_tabla_vida!$X$14)*E2_tabla_vida!$P$14,EXP(-E30*E2_tabla_vida!$X$15)*E2_tabla_vida!$P$15,EXP(-E30*E2_tabla_vida!$X$16)*E2_tabla_vida!$P$16,EXP(-E30*E2_tabla_vida!$X$17)*E2_tabla_vida!$P$17,EXP(-E30*E2_tabla_vida!$X$18)*E2_tabla_vida!$P$18,EXP(-E30*E2_tabla_vida!$X$19)*E2_tabla_vida!$P$19,EXP(-E30*E2_tabla_vida!$X$20)*E2_tabla_vida!$P$20,EXP(-E30*E2_tabla_vida!$X$21)*E2_tabla_vida!$P$21,EXP(-E30*E2_tabla_vida!$X$22)*E2_tabla_vida!$P$22,EXP(-E30*E2_tabla_vida!$X$23)*E2_tabla_vida!$P$23,EXP(-E30*E2_tabla_vida!$X$24)*E2_tabla_vida!$P$24,EXP(-E30*E2_tabla_vida!$X$25)*E2_tabla_vida!$P$25,EXP(-E30*E2_tabla_vida!$X$26)*E2_tabla_vida!$P$26,EXP(-E30*E2_tabla_vida!$X$27)*E2_tabla_vida!$P$27,EXP(-E30*E2_tabla_vida!$X$28)*E2_tabla_vida!$P$28,EXP(-E30*E2_tabla_vida!$X$29)*E2_tabla_vida!$P$29,EXP(-E30*E2_tabla_vida!$X$30)*E2_tabla_vida!$P$30,EXP(-E30*E2_tabla_vida!$X$31)*E2_tabla_vida!$P$31,EXP(-E30*E2_tabla_vida!$X$32)*E2_tabla_vida!$P$32,EXP(-E30*E2_tabla_vida!$X$33)*E2_tabla_vida!$P$33,EXP(-E30*E2_tabla_vida!$X$34)*E2_tabla_vida!$P$34,EXP(-E30*E2_tabla_vida!$X$35)*E2_tabla_vida!$P$35,EXP(-E30*E2_tabla_vida!$X$36)*E2_tabla_vida!$P$36,EXP(-E30*E2_tabla_vida!$X$37)*E2_tabla_vida!$P$37,EXP(-E30*E2_tabla_vida!$X$38)*E2_tabla_vida!$P$38,EXP(-E30*E2_tabla_vida!$X$39)*E2_tabla_vida!$P$39,EXP(-E30*E2_tabla_vida!$X$40)*E2_tabla_vida!$P$40,EXP(-E30*E2_tabla_vida!$X$41)*E2_tabla_vida!$P$41,EXP(-E30*E2_tabla_vida!$X$42)*E2_tabla_vida!$P$42,EXP(-E30*E2_tabla_vida!$X$43)*E2_tabla_vida!$P$43)-1</x:f>
        <x:v>1.573989627523531e-8</x:v>
      </x:c>
      <x:c r="G30" s="24" t="n">
        <x:f>SUM(EXP(-C30*E2_tabla_vida!$X$2)*E2_tabla_vida!$P$2,EXP(-C30*E2_tabla_vida!$X$3)*E2_tabla_vida!$P$3,EXP(-C30*E2_tabla_vida!$X$4)*E2_tabla_vida!$P$4,EXP(-C30*E2_tabla_vida!$X$5)*E2_tabla_vida!$P$5,EXP(-C30*E2_tabla_vida!$X$6)*E2_tabla_vida!$P$6,EXP(-C30*E2_tabla_vida!$X$7)*E2_tabla_vida!$P$7,EXP(-C30*E2_tabla_vida!$X$8)*E2_tabla_vida!$P$8,EXP(-C30*E2_tabla_vida!$X$9)*E2_tabla_vida!$P$9,EXP(-C30*E2_tabla_vida!$X$10)*E2_tabla_vida!$P$10,EXP(-C30*E2_tabla_vida!$X$11)*E2_tabla_vida!$P$11,EXP(-C30*E2_tabla_vida!$X$12)*E2_tabla_vida!$P$12,EXP(-C30*E2_tabla_vida!$X$13)*E2_tabla_vida!$P$13,EXP(-C30*E2_tabla_vida!$X$14)*E2_tabla_vida!$P$14,EXP(-C30*E2_tabla_vida!$X$15)*E2_tabla_vida!$P$15,EXP(-C30*E2_tabla_vida!$X$16)*E2_tabla_vida!$P$16,EXP(-C30*E2_tabla_vida!$X$17)*E2_tabla_vida!$P$17,EXP(-C30*E2_tabla_vida!$X$18)*E2_tabla_vida!$P$18,EXP(-C30*E2_tabla_vida!$X$19)*E2_tabla_vida!$P$19,EXP(-C30*E2_tabla_vida!$X$20)*E2_tabla_vida!$P$20,EXP(-C30*E2_tabla_vida!$X$21)*E2_tabla_vida!$P$21,EXP(-C30*E2_tabla_vida!$X$22)*E2_tabla_vida!$P$22,EXP(-C30*E2_tabla_vida!$X$23)*E2_tabla_vida!$P$23,EXP(-C30*E2_tabla_vida!$X$24)*E2_tabla_vida!$P$24,EXP(-C30*E2_tabla_vida!$X$25)*E2_tabla_vida!$P$25,EXP(-C30*E2_tabla_vida!$X$26)*E2_tabla_vida!$P$26,EXP(-C30*E2_tabla_vida!$X$27)*E2_tabla_vida!$P$27,EXP(-C30*E2_tabla_vida!$X$28)*E2_tabla_vida!$P$28,EXP(-C30*E2_tabla_vida!$X$29)*E2_tabla_vida!$P$29,EXP(-C30*E2_tabla_vida!$X$30)*E2_tabla_vida!$P$30,EXP(-C30*E2_tabla_vida!$X$31)*E2_tabla_vida!$P$31,EXP(-C30*E2_tabla_vida!$X$32)*E2_tabla_vida!$P$32,EXP(-C30*E2_tabla_vida!$X$33)*E2_tabla_vida!$P$33,EXP(-C30*E2_tabla_vida!$X$34)*E2_tabla_vida!$P$34,EXP(-C30*E2_tabla_vida!$X$35)*E2_tabla_vida!$P$35,EXP(-C30*E2_tabla_vida!$X$36)*E2_tabla_vida!$P$36,EXP(-C30*E2_tabla_vida!$X$37)*E2_tabla_vida!$P$37,EXP(-C30*E2_tabla_vida!$X$38)*E2_tabla_vida!$P$38,EXP(-C30*E2_tabla_vida!$X$39)*E2_tabla_vida!$P$39,EXP(-C30*E2_tabla_vida!$X$40)*E2_tabla_vida!$P$40,EXP(-C30*E2_tabla_vida!$X$41)*E2_tabla_vida!$P$41,EXP(-C30*E2_tabla_vida!$X$42)*E2_tabla_vida!$P$42,EXP(-C30*E2_tabla_vida!$X$43)*E2_tabla_vida!$P$43)-1</x:f>
        <x:v>9.065019512810579e-8</x:v>
      </x:c>
      <x:c r="H30" s="24" t="n">
        <x:f>SUM(EXP(-D30*E2_tabla_vida!$X$2)*E2_tabla_vida!$P$2,EXP(-D30*E2_tabla_vida!$X$3)*E2_tabla_vida!$P$3,EXP(-D30*E2_tabla_vida!$X$4)*E2_tabla_vida!$P$4,EXP(-D30*E2_tabla_vida!$X$5)*E2_tabla_vida!$P$5,EXP(-D30*E2_tabla_vida!$X$6)*E2_tabla_vida!$P$6,EXP(-D30*E2_tabla_vida!$X$7)*E2_tabla_vida!$P$7,EXP(-D30*E2_tabla_vida!$X$8)*E2_tabla_vida!$P$8,EXP(-D30*E2_tabla_vida!$X$9)*E2_tabla_vida!$P$9,EXP(-D30*E2_tabla_vida!$X$10)*E2_tabla_vida!$P$10,EXP(-D30*E2_tabla_vida!$X$11)*E2_tabla_vida!$P$11,EXP(-D30*E2_tabla_vida!$X$12)*E2_tabla_vida!$P$12,EXP(-D30*E2_tabla_vida!$X$13)*E2_tabla_vida!$P$13,EXP(-D30*E2_tabla_vida!$X$14)*E2_tabla_vida!$P$14,EXP(-D30*E2_tabla_vida!$X$15)*E2_tabla_vida!$P$15,EXP(-D30*E2_tabla_vida!$X$16)*E2_tabla_vida!$P$16,EXP(-D30*E2_tabla_vida!$X$17)*E2_tabla_vida!$P$17,EXP(-D30*E2_tabla_vida!$X$18)*E2_tabla_vida!$P$18,EXP(-D30*E2_tabla_vida!$X$19)*E2_tabla_vida!$P$19,EXP(-D30*E2_tabla_vida!$X$20)*E2_tabla_vida!$P$20,EXP(-D30*E2_tabla_vida!$X$21)*E2_tabla_vida!$P$21,EXP(-D30*E2_tabla_vida!$X$22)*E2_tabla_vida!$P$22,EXP(-D30*E2_tabla_vida!$X$23)*E2_tabla_vida!$P$23,EXP(-D30*E2_tabla_vida!$X$24)*E2_tabla_vida!$P$24,EXP(-D30*E2_tabla_vida!$X$25)*E2_tabla_vida!$P$25,EXP(-D30*E2_tabla_vida!$X$26)*E2_tabla_vida!$P$26,EXP(-D30*E2_tabla_vida!$X$27)*E2_tabla_vida!$P$27,EXP(-D30*E2_tabla_vida!$X$28)*E2_tabla_vida!$P$28,EXP(-D30*E2_tabla_vida!$X$29)*E2_tabla_vida!$P$29,EXP(-D30*E2_tabla_vida!$X$30)*E2_tabla_vida!$P$30,EXP(-D30*E2_tabla_vida!$X$31)*E2_tabla_vida!$P$31,EXP(-D30*E2_tabla_vida!$X$32)*E2_tabla_vida!$P$32,EXP(-D30*E2_tabla_vida!$X$33)*E2_tabla_vida!$P$33,EXP(-D30*E2_tabla_vida!$X$34)*E2_tabla_vida!$P$34,EXP(-D30*E2_tabla_vida!$X$35)*E2_tabla_vida!$P$35,EXP(-D30*E2_tabla_vida!$X$36)*E2_tabla_vida!$P$36,EXP(-D30*E2_tabla_vida!$X$37)*E2_tabla_vida!$P$37,EXP(-D30*E2_tabla_vida!$X$38)*E2_tabla_vida!$P$38,EXP(-D30*E2_tabla_vida!$X$39)*E2_tabla_vida!$P$39,EXP(-D30*E2_tabla_vida!$X$40)*E2_tabla_vida!$P$40,EXP(-D30*E2_tabla_vida!$X$41)*E2_tabla_vida!$P$41,EXP(-D30*E2_tabla_vida!$X$42)*E2_tabla_vida!$P$42,EXP(-D30*E2_tabla_vida!$X$43)*E2_tabla_vida!$P$43)-1</x:f>
        <x:v>-5.9170396804475445e-8</x:v>
      </x:c>
    </x:row>
    <x:row r="31" ht="19" customHeight="1">
      <x:c r="A31" s="2" t="str">
        <x:v>MP_L0</x:v>
      </x:c>
      <x:c r="B31" s="2" t="n">
        <x:v>29</x:v>
      </x:c>
      <x:c r="C31" s="22" t="n">
        <x:f>IF(F30&gt;0,E30,C30)</x:f>
        <x:v>0.2610752861946821</x:v>
      </x:c>
      <x:c r="D31" s="22" t="n">
        <x:f>IF(F30&gt;0,D30,E30)</x:f>
        <x:v>0.26107529178261757</x:v>
      </x:c>
      <x:c r="E31" s="22" t="n">
        <x:f>AVERAGE(C31:D31)</x:f>
        <x:v>0.26107528898864985</x:v>
      </x:c>
      <x:c r="F31" s="24" t="n">
        <x:f>SUM(EXP(-E31*E2_tabla_vida!$X$2)*E2_tabla_vida!$P$2,EXP(-E31*E2_tabla_vida!$X$3)*E2_tabla_vida!$P$3,EXP(-E31*E2_tabla_vida!$X$4)*E2_tabla_vida!$P$4,EXP(-E31*E2_tabla_vida!$X$5)*E2_tabla_vida!$P$5,EXP(-E31*E2_tabla_vida!$X$6)*E2_tabla_vida!$P$6,EXP(-E31*E2_tabla_vida!$X$7)*E2_tabla_vida!$P$7,EXP(-E31*E2_tabla_vida!$X$8)*E2_tabla_vida!$P$8,EXP(-E31*E2_tabla_vida!$X$9)*E2_tabla_vida!$P$9,EXP(-E31*E2_tabla_vida!$X$10)*E2_tabla_vida!$P$10,EXP(-E31*E2_tabla_vida!$X$11)*E2_tabla_vida!$P$11,EXP(-E31*E2_tabla_vida!$X$12)*E2_tabla_vida!$P$12,EXP(-E31*E2_tabla_vida!$X$13)*E2_tabla_vida!$P$13,EXP(-E31*E2_tabla_vida!$X$14)*E2_tabla_vida!$P$14,EXP(-E31*E2_tabla_vida!$X$15)*E2_tabla_vida!$P$15,EXP(-E31*E2_tabla_vida!$X$16)*E2_tabla_vida!$P$16,EXP(-E31*E2_tabla_vida!$X$17)*E2_tabla_vida!$P$17,EXP(-E31*E2_tabla_vida!$X$18)*E2_tabla_vida!$P$18,EXP(-E31*E2_tabla_vida!$X$19)*E2_tabla_vida!$P$19,EXP(-E31*E2_tabla_vida!$X$20)*E2_tabla_vida!$P$20,EXP(-E31*E2_tabla_vida!$X$21)*E2_tabla_vida!$P$21,EXP(-E31*E2_tabla_vida!$X$22)*E2_tabla_vida!$P$22,EXP(-E31*E2_tabla_vida!$X$23)*E2_tabla_vida!$P$23,EXP(-E31*E2_tabla_vida!$X$24)*E2_tabla_vida!$P$24,EXP(-E31*E2_tabla_vida!$X$25)*E2_tabla_vida!$P$25,EXP(-E31*E2_tabla_vida!$X$26)*E2_tabla_vida!$P$26,EXP(-E31*E2_tabla_vida!$X$27)*E2_tabla_vida!$P$27,EXP(-E31*E2_tabla_vida!$X$28)*E2_tabla_vida!$P$28,EXP(-E31*E2_tabla_vida!$X$29)*E2_tabla_vida!$P$29,EXP(-E31*E2_tabla_vida!$X$30)*E2_tabla_vida!$P$30,EXP(-E31*E2_tabla_vida!$X$31)*E2_tabla_vida!$P$31,EXP(-E31*E2_tabla_vida!$X$32)*E2_tabla_vida!$P$32,EXP(-E31*E2_tabla_vida!$X$33)*E2_tabla_vida!$P$33,EXP(-E31*E2_tabla_vida!$X$34)*E2_tabla_vida!$P$34,EXP(-E31*E2_tabla_vida!$X$35)*E2_tabla_vida!$P$35,EXP(-E31*E2_tabla_vida!$X$36)*E2_tabla_vida!$P$36,EXP(-E31*E2_tabla_vida!$X$37)*E2_tabla_vida!$P$37,EXP(-E31*E2_tabla_vida!$X$38)*E2_tabla_vida!$P$38,EXP(-E31*E2_tabla_vida!$X$39)*E2_tabla_vida!$P$39,EXP(-E31*E2_tabla_vida!$X$40)*E2_tabla_vida!$P$40,EXP(-E31*E2_tabla_vida!$X$41)*E2_tabla_vida!$P$41,EXP(-E31*E2_tabla_vida!$X$42)*E2_tabla_vida!$P$42,EXP(-E31*E2_tabla_vida!$X$43)*E2_tabla_vida!$P$43)-1</x:f>
        <x:v>-2.171525126382079e-8</x:v>
      </x:c>
      <x:c r="G31" s="24" t="n">
        <x:f>SUM(EXP(-C31*E2_tabla_vida!$X$2)*E2_tabla_vida!$P$2,EXP(-C31*E2_tabla_vida!$X$3)*E2_tabla_vida!$P$3,EXP(-C31*E2_tabla_vida!$X$4)*E2_tabla_vida!$P$4,EXP(-C31*E2_tabla_vida!$X$5)*E2_tabla_vida!$P$5,EXP(-C31*E2_tabla_vida!$X$6)*E2_tabla_vida!$P$6,EXP(-C31*E2_tabla_vida!$X$7)*E2_tabla_vida!$P$7,EXP(-C31*E2_tabla_vida!$X$8)*E2_tabla_vida!$P$8,EXP(-C31*E2_tabla_vida!$X$9)*E2_tabla_vida!$P$9,EXP(-C31*E2_tabla_vida!$X$10)*E2_tabla_vida!$P$10,EXP(-C31*E2_tabla_vida!$X$11)*E2_tabla_vida!$P$11,EXP(-C31*E2_tabla_vida!$X$12)*E2_tabla_vida!$P$12,EXP(-C31*E2_tabla_vida!$X$13)*E2_tabla_vida!$P$13,EXP(-C31*E2_tabla_vida!$X$14)*E2_tabla_vida!$P$14,EXP(-C31*E2_tabla_vida!$X$15)*E2_tabla_vida!$P$15,EXP(-C31*E2_tabla_vida!$X$16)*E2_tabla_vida!$P$16,EXP(-C31*E2_tabla_vida!$X$17)*E2_tabla_vida!$P$17,EXP(-C31*E2_tabla_vida!$X$18)*E2_tabla_vida!$P$18,EXP(-C31*E2_tabla_vida!$X$19)*E2_tabla_vida!$P$19,EXP(-C31*E2_tabla_vida!$X$20)*E2_tabla_vida!$P$20,EXP(-C31*E2_tabla_vida!$X$21)*E2_tabla_vida!$P$21,EXP(-C31*E2_tabla_vida!$X$22)*E2_tabla_vida!$P$22,EXP(-C31*E2_tabla_vida!$X$23)*E2_tabla_vida!$P$23,EXP(-C31*E2_tabla_vida!$X$24)*E2_tabla_vida!$P$24,EXP(-C31*E2_tabla_vida!$X$25)*E2_tabla_vida!$P$25,EXP(-C31*E2_tabla_vida!$X$26)*E2_tabla_vida!$P$26,EXP(-C31*E2_tabla_vida!$X$27)*E2_tabla_vida!$P$27,EXP(-C31*E2_tabla_vida!$X$28)*E2_tabla_vida!$P$28,EXP(-C31*E2_tabla_vida!$X$29)*E2_tabla_vida!$P$29,EXP(-C31*E2_tabla_vida!$X$30)*E2_tabla_vida!$P$30,EXP(-C31*E2_tabla_vida!$X$31)*E2_tabla_vida!$P$31,EXP(-C31*E2_tabla_vida!$X$32)*E2_tabla_vida!$P$32,EXP(-C31*E2_tabla_vida!$X$33)*E2_tabla_vida!$P$33,EXP(-C31*E2_tabla_vida!$X$34)*E2_tabla_vida!$P$34,EXP(-C31*E2_tabla_vida!$X$35)*E2_tabla_vida!$P$35,EXP(-C31*E2_tabla_vida!$X$36)*E2_tabla_vida!$P$36,EXP(-C31*E2_tabla_vida!$X$37)*E2_tabla_vida!$P$37,EXP(-C31*E2_tabla_vida!$X$38)*E2_tabla_vida!$P$38,EXP(-C31*E2_tabla_vida!$X$39)*E2_tabla_vida!$P$39,EXP(-C31*E2_tabla_vida!$X$40)*E2_tabla_vida!$P$40,EXP(-C31*E2_tabla_vida!$X$41)*E2_tabla_vida!$P$41,EXP(-C31*E2_tabla_vida!$X$42)*E2_tabla_vida!$P$42,EXP(-C31*E2_tabla_vida!$X$43)*E2_tabla_vida!$P$43)-1</x:f>
        <x:v>1.573989627523531e-8</x:v>
      </x:c>
      <x:c r="H31" s="24" t="n">
        <x:f>SUM(EXP(-D31*E2_tabla_vida!$X$2)*E2_tabla_vida!$P$2,EXP(-D31*E2_tabla_vida!$X$3)*E2_tabla_vida!$P$3,EXP(-D31*E2_tabla_vida!$X$4)*E2_tabla_vida!$P$4,EXP(-D31*E2_tabla_vida!$X$5)*E2_tabla_vida!$P$5,EXP(-D31*E2_tabla_vida!$X$6)*E2_tabla_vida!$P$6,EXP(-D31*E2_tabla_vida!$X$7)*E2_tabla_vida!$P$7,EXP(-D31*E2_tabla_vida!$X$8)*E2_tabla_vida!$P$8,EXP(-D31*E2_tabla_vida!$X$9)*E2_tabla_vida!$P$9,EXP(-D31*E2_tabla_vida!$X$10)*E2_tabla_vida!$P$10,EXP(-D31*E2_tabla_vida!$X$11)*E2_tabla_vida!$P$11,EXP(-D31*E2_tabla_vida!$X$12)*E2_tabla_vida!$P$12,EXP(-D31*E2_tabla_vida!$X$13)*E2_tabla_vida!$P$13,EXP(-D31*E2_tabla_vida!$X$14)*E2_tabla_vida!$P$14,EXP(-D31*E2_tabla_vida!$X$15)*E2_tabla_vida!$P$15,EXP(-D31*E2_tabla_vida!$X$16)*E2_tabla_vida!$P$16,EXP(-D31*E2_tabla_vida!$X$17)*E2_tabla_vida!$P$17,EXP(-D31*E2_tabla_vida!$X$18)*E2_tabla_vida!$P$18,EXP(-D31*E2_tabla_vida!$X$19)*E2_tabla_vida!$P$19,EXP(-D31*E2_tabla_vida!$X$20)*E2_tabla_vida!$P$20,EXP(-D31*E2_tabla_vida!$X$21)*E2_tabla_vida!$P$21,EXP(-D31*E2_tabla_vida!$X$22)*E2_tabla_vida!$P$22,EXP(-D31*E2_tabla_vida!$X$23)*E2_tabla_vida!$P$23,EXP(-D31*E2_tabla_vida!$X$24)*E2_tabla_vida!$P$24,EXP(-D31*E2_tabla_vida!$X$25)*E2_tabla_vida!$P$25,EXP(-D31*E2_tabla_vida!$X$26)*E2_tabla_vida!$P$26,EXP(-D31*E2_tabla_vida!$X$27)*E2_tabla_vida!$P$27,EXP(-D31*E2_tabla_vida!$X$28)*E2_tabla_vida!$P$28,EXP(-D31*E2_tabla_vida!$X$29)*E2_tabla_vida!$P$29,EXP(-D31*E2_tabla_vida!$X$30)*E2_tabla_vida!$P$30,EXP(-D31*E2_tabla_vida!$X$31)*E2_tabla_vida!$P$31,EXP(-D31*E2_tabla_vida!$X$32)*E2_tabla_vida!$P$32,EXP(-D31*E2_tabla_vida!$X$33)*E2_tabla_vida!$P$33,EXP(-D31*E2_tabla_vida!$X$34)*E2_tabla_vida!$P$34,EXP(-D31*E2_tabla_vida!$X$35)*E2_tabla_vida!$P$35,EXP(-D31*E2_tabla_vida!$X$36)*E2_tabla_vida!$P$36,EXP(-D31*E2_tabla_vida!$X$37)*E2_tabla_vida!$P$37,EXP(-D31*E2_tabla_vida!$X$38)*E2_tabla_vida!$P$38,EXP(-D31*E2_tabla_vida!$X$39)*E2_tabla_vida!$P$39,EXP(-D31*E2_tabla_vida!$X$40)*E2_tabla_vida!$P$40,EXP(-D31*E2_tabla_vida!$X$41)*E2_tabla_vida!$P$41,EXP(-D31*E2_tabla_vida!$X$42)*E2_tabla_vida!$P$42,EXP(-D31*E2_tabla_vida!$X$43)*E2_tabla_vida!$P$43)-1</x:f>
        <x:v>-5.9170396804475445e-8</x:v>
      </x:c>
    </x:row>
    <x:row r="32" ht="19" customHeight="1">
      <x:c r="A32" s="2" t="str">
        <x:v>MP_L0</x:v>
      </x:c>
      <x:c r="B32" s="2" t="n">
        <x:v>30</x:v>
      </x:c>
      <x:c r="C32" s="22" t="n">
        <x:f>IF(F31&gt;0,E31,C31)</x:f>
        <x:v>0.2610752861946821</x:v>
      </x:c>
      <x:c r="D32" s="22" t="n">
        <x:f>IF(F31&gt;0,D31,E31)</x:f>
        <x:v>0.26107528898864985</x:v>
      </x:c>
      <x:c r="E32" s="22" t="n">
        <x:f>AVERAGE(C32:D32)</x:f>
        <x:v>0.261075287591666</x:v>
      </x:c>
      <x:c r="F32" s="24" t="n">
        <x:f>SUM(EXP(-E32*E2_tabla_vida!$X$2)*E2_tabla_vida!$P$2,EXP(-E32*E2_tabla_vida!$X$3)*E2_tabla_vida!$P$3,EXP(-E32*E2_tabla_vida!$X$4)*E2_tabla_vida!$P$4,EXP(-E32*E2_tabla_vida!$X$5)*E2_tabla_vida!$P$5,EXP(-E32*E2_tabla_vida!$X$6)*E2_tabla_vida!$P$6,EXP(-E32*E2_tabla_vida!$X$7)*E2_tabla_vida!$P$7,EXP(-E32*E2_tabla_vida!$X$8)*E2_tabla_vida!$P$8,EXP(-E32*E2_tabla_vida!$X$9)*E2_tabla_vida!$P$9,EXP(-E32*E2_tabla_vida!$X$10)*E2_tabla_vida!$P$10,EXP(-E32*E2_tabla_vida!$X$11)*E2_tabla_vida!$P$11,EXP(-E32*E2_tabla_vida!$X$12)*E2_tabla_vida!$P$12,EXP(-E32*E2_tabla_vida!$X$13)*E2_tabla_vida!$P$13,EXP(-E32*E2_tabla_vida!$X$14)*E2_tabla_vida!$P$14,EXP(-E32*E2_tabla_vida!$X$15)*E2_tabla_vida!$P$15,EXP(-E32*E2_tabla_vida!$X$16)*E2_tabla_vida!$P$16,EXP(-E32*E2_tabla_vida!$X$17)*E2_tabla_vida!$P$17,EXP(-E32*E2_tabla_vida!$X$18)*E2_tabla_vida!$P$18,EXP(-E32*E2_tabla_vida!$X$19)*E2_tabla_vida!$P$19,EXP(-E32*E2_tabla_vida!$X$20)*E2_tabla_vida!$P$20,EXP(-E32*E2_tabla_vida!$X$21)*E2_tabla_vida!$P$21,EXP(-E32*E2_tabla_vida!$X$22)*E2_tabla_vida!$P$22,EXP(-E32*E2_tabla_vida!$X$23)*E2_tabla_vida!$P$23,EXP(-E32*E2_tabla_vida!$X$24)*E2_tabla_vida!$P$24,EXP(-E32*E2_tabla_vida!$X$25)*E2_tabla_vida!$P$25,EXP(-E32*E2_tabla_vida!$X$26)*E2_tabla_vida!$P$26,EXP(-E32*E2_tabla_vida!$X$27)*E2_tabla_vida!$P$27,EXP(-E32*E2_tabla_vida!$X$28)*E2_tabla_vida!$P$28,EXP(-E32*E2_tabla_vida!$X$29)*E2_tabla_vida!$P$29,EXP(-E32*E2_tabla_vida!$X$30)*E2_tabla_vida!$P$30,EXP(-E32*E2_tabla_vida!$X$31)*E2_tabla_vida!$P$31,EXP(-E32*E2_tabla_vida!$X$32)*E2_tabla_vida!$P$32,EXP(-E32*E2_tabla_vida!$X$33)*E2_tabla_vida!$P$33,EXP(-E32*E2_tabla_vida!$X$34)*E2_tabla_vida!$P$34,EXP(-E32*E2_tabla_vida!$X$35)*E2_tabla_vida!$P$35,EXP(-E32*E2_tabla_vida!$X$36)*E2_tabla_vida!$P$36,EXP(-E32*E2_tabla_vida!$X$37)*E2_tabla_vida!$P$37,EXP(-E32*E2_tabla_vida!$X$38)*E2_tabla_vida!$P$38,EXP(-E32*E2_tabla_vida!$X$39)*E2_tabla_vida!$P$39,EXP(-E32*E2_tabla_vida!$X$40)*E2_tabla_vida!$P$40,EXP(-E32*E2_tabla_vida!$X$41)*E2_tabla_vida!$P$41,EXP(-E32*E2_tabla_vida!$X$42)*E2_tabla_vida!$P$42,EXP(-E32*E2_tabla_vida!$X$43)*E2_tabla_vida!$P$43)-1</x:f>
        <x:v>-2.9876776608261935e-9</x:v>
      </x:c>
      <x:c r="G32" s="24" t="n">
        <x:f>SUM(EXP(-C32*E2_tabla_vida!$X$2)*E2_tabla_vida!$P$2,EXP(-C32*E2_tabla_vida!$X$3)*E2_tabla_vida!$P$3,EXP(-C32*E2_tabla_vida!$X$4)*E2_tabla_vida!$P$4,EXP(-C32*E2_tabla_vida!$X$5)*E2_tabla_vida!$P$5,EXP(-C32*E2_tabla_vida!$X$6)*E2_tabla_vida!$P$6,EXP(-C32*E2_tabla_vida!$X$7)*E2_tabla_vida!$P$7,EXP(-C32*E2_tabla_vida!$X$8)*E2_tabla_vida!$P$8,EXP(-C32*E2_tabla_vida!$X$9)*E2_tabla_vida!$P$9,EXP(-C32*E2_tabla_vida!$X$10)*E2_tabla_vida!$P$10,EXP(-C32*E2_tabla_vida!$X$11)*E2_tabla_vida!$P$11,EXP(-C32*E2_tabla_vida!$X$12)*E2_tabla_vida!$P$12,EXP(-C32*E2_tabla_vida!$X$13)*E2_tabla_vida!$P$13,EXP(-C32*E2_tabla_vida!$X$14)*E2_tabla_vida!$P$14,EXP(-C32*E2_tabla_vida!$X$15)*E2_tabla_vida!$P$15,EXP(-C32*E2_tabla_vida!$X$16)*E2_tabla_vida!$P$16,EXP(-C32*E2_tabla_vida!$X$17)*E2_tabla_vida!$P$17,EXP(-C32*E2_tabla_vida!$X$18)*E2_tabla_vida!$P$18,EXP(-C32*E2_tabla_vida!$X$19)*E2_tabla_vida!$P$19,EXP(-C32*E2_tabla_vida!$X$20)*E2_tabla_vida!$P$20,EXP(-C32*E2_tabla_vida!$X$21)*E2_tabla_vida!$P$21,EXP(-C32*E2_tabla_vida!$X$22)*E2_tabla_vida!$P$22,EXP(-C32*E2_tabla_vida!$X$23)*E2_tabla_vida!$P$23,EXP(-C32*E2_tabla_vida!$X$24)*E2_tabla_vida!$P$24,EXP(-C32*E2_tabla_vida!$X$25)*E2_tabla_vida!$P$25,EXP(-C32*E2_tabla_vida!$X$26)*E2_tabla_vida!$P$26,EXP(-C32*E2_tabla_vida!$X$27)*E2_tabla_vida!$P$27,EXP(-C32*E2_tabla_vida!$X$28)*E2_tabla_vida!$P$28,EXP(-C32*E2_tabla_vida!$X$29)*E2_tabla_vida!$P$29,EXP(-C32*E2_tabla_vida!$X$30)*E2_tabla_vida!$P$30,EXP(-C32*E2_tabla_vida!$X$31)*E2_tabla_vida!$P$31,EXP(-C32*E2_tabla_vida!$X$32)*E2_tabla_vida!$P$32,EXP(-C32*E2_tabla_vida!$X$33)*E2_tabla_vida!$P$33,EXP(-C32*E2_tabla_vida!$X$34)*E2_tabla_vida!$P$34,EXP(-C32*E2_tabla_vida!$X$35)*E2_tabla_vida!$P$35,EXP(-C32*E2_tabla_vida!$X$36)*E2_tabla_vida!$P$36,EXP(-C32*E2_tabla_vida!$X$37)*E2_tabla_vida!$P$37,EXP(-C32*E2_tabla_vida!$X$38)*E2_tabla_vida!$P$38,EXP(-C32*E2_tabla_vida!$X$39)*E2_tabla_vida!$P$39,EXP(-C32*E2_tabla_vida!$X$40)*E2_tabla_vida!$P$40,EXP(-C32*E2_tabla_vida!$X$41)*E2_tabla_vida!$P$41,EXP(-C32*E2_tabla_vida!$X$42)*E2_tabla_vida!$P$42,EXP(-C32*E2_tabla_vida!$X$43)*E2_tabla_vida!$P$43)-1</x:f>
        <x:v>1.573989627523531e-8</x:v>
      </x:c>
      <x:c r="H32" s="24" t="n">
        <x:f>SUM(EXP(-D32*E2_tabla_vida!$X$2)*E2_tabla_vida!$P$2,EXP(-D32*E2_tabla_vida!$X$3)*E2_tabla_vida!$P$3,EXP(-D32*E2_tabla_vida!$X$4)*E2_tabla_vida!$P$4,EXP(-D32*E2_tabla_vida!$X$5)*E2_tabla_vida!$P$5,EXP(-D32*E2_tabla_vida!$X$6)*E2_tabla_vida!$P$6,EXP(-D32*E2_tabla_vida!$X$7)*E2_tabla_vida!$P$7,EXP(-D32*E2_tabla_vida!$X$8)*E2_tabla_vida!$P$8,EXP(-D32*E2_tabla_vida!$X$9)*E2_tabla_vida!$P$9,EXP(-D32*E2_tabla_vida!$X$10)*E2_tabla_vida!$P$10,EXP(-D32*E2_tabla_vida!$X$11)*E2_tabla_vida!$P$11,EXP(-D32*E2_tabla_vida!$X$12)*E2_tabla_vida!$P$12,EXP(-D32*E2_tabla_vida!$X$13)*E2_tabla_vida!$P$13,EXP(-D32*E2_tabla_vida!$X$14)*E2_tabla_vida!$P$14,EXP(-D32*E2_tabla_vida!$X$15)*E2_tabla_vida!$P$15,EXP(-D32*E2_tabla_vida!$X$16)*E2_tabla_vida!$P$16,EXP(-D32*E2_tabla_vida!$X$17)*E2_tabla_vida!$P$17,EXP(-D32*E2_tabla_vida!$X$18)*E2_tabla_vida!$P$18,EXP(-D32*E2_tabla_vida!$X$19)*E2_tabla_vida!$P$19,EXP(-D32*E2_tabla_vida!$X$20)*E2_tabla_vida!$P$20,EXP(-D32*E2_tabla_vida!$X$21)*E2_tabla_vida!$P$21,EXP(-D32*E2_tabla_vida!$X$22)*E2_tabla_vida!$P$22,EXP(-D32*E2_tabla_vida!$X$23)*E2_tabla_vida!$P$23,EXP(-D32*E2_tabla_vida!$X$24)*E2_tabla_vida!$P$24,EXP(-D32*E2_tabla_vida!$X$25)*E2_tabla_vida!$P$25,EXP(-D32*E2_tabla_vida!$X$26)*E2_tabla_vida!$P$26,EXP(-D32*E2_tabla_vida!$X$27)*E2_tabla_vida!$P$27,EXP(-D32*E2_tabla_vida!$X$28)*E2_tabla_vida!$P$28,EXP(-D32*E2_tabla_vida!$X$29)*E2_tabla_vida!$P$29,EXP(-D32*E2_tabla_vida!$X$30)*E2_tabla_vida!$P$30,EXP(-D32*E2_tabla_vida!$X$31)*E2_tabla_vida!$P$31,EXP(-D32*E2_tabla_vida!$X$32)*E2_tabla_vida!$P$32,EXP(-D32*E2_tabla_vida!$X$33)*E2_tabla_vida!$P$33,EXP(-D32*E2_tabla_vida!$X$34)*E2_tabla_vida!$P$34,EXP(-D32*E2_tabla_vida!$X$35)*E2_tabla_vida!$P$35,EXP(-D32*E2_tabla_vida!$X$36)*E2_tabla_vida!$P$36,EXP(-D32*E2_tabla_vida!$X$37)*E2_tabla_vida!$P$37,EXP(-D32*E2_tabla_vida!$X$38)*E2_tabla_vida!$P$38,EXP(-D32*E2_tabla_vida!$X$39)*E2_tabla_vida!$P$39,EXP(-D32*E2_tabla_vida!$X$40)*E2_tabla_vida!$P$40,EXP(-D32*E2_tabla_vida!$X$41)*E2_tabla_vida!$P$41,EXP(-D32*E2_tabla_vida!$X$42)*E2_tabla_vida!$P$42,EXP(-D32*E2_tabla_vida!$X$43)*E2_tabla_vida!$P$43)-1</x:f>
        <x:v>-2.171525126382079e-8</x:v>
      </x:c>
    </x:row>
    <x:row r="33" ht="19" customHeight="1">
      <x:c r="A33" s="2" t="str">
        <x:v>MP_L0</x:v>
      </x:c>
      <x:c r="B33" s="2" t="n">
        <x:v>31</x:v>
      </x:c>
      <x:c r="C33" s="22" t="n">
        <x:f>IF(F32&gt;0,E32,C32)</x:f>
        <x:v>0.2610752861946821</x:v>
      </x:c>
      <x:c r="D33" s="22" t="n">
        <x:f>IF(F32&gt;0,D32,E32)</x:f>
        <x:v>0.261075287591666</x:v>
      </x:c>
      <x:c r="E33" s="22" t="n">
        <x:f>AVERAGE(C33:D33)</x:f>
        <x:v>0.26107528689317405</x:v>
      </x:c>
      <x:c r="F33" s="24" t="n">
        <x:f>SUM(EXP(-E33*E2_tabla_vida!$X$2)*E2_tabla_vida!$P$2,EXP(-E33*E2_tabla_vida!$X$3)*E2_tabla_vida!$P$3,EXP(-E33*E2_tabla_vida!$X$4)*E2_tabla_vida!$P$4,EXP(-E33*E2_tabla_vida!$X$5)*E2_tabla_vida!$P$5,EXP(-E33*E2_tabla_vida!$X$6)*E2_tabla_vida!$P$6,EXP(-E33*E2_tabla_vida!$X$7)*E2_tabla_vida!$P$7,EXP(-E33*E2_tabla_vida!$X$8)*E2_tabla_vida!$P$8,EXP(-E33*E2_tabla_vida!$X$9)*E2_tabla_vida!$P$9,EXP(-E33*E2_tabla_vida!$X$10)*E2_tabla_vida!$P$10,EXP(-E33*E2_tabla_vida!$X$11)*E2_tabla_vida!$P$11,EXP(-E33*E2_tabla_vida!$X$12)*E2_tabla_vida!$P$12,EXP(-E33*E2_tabla_vida!$X$13)*E2_tabla_vida!$P$13,EXP(-E33*E2_tabla_vida!$X$14)*E2_tabla_vida!$P$14,EXP(-E33*E2_tabla_vida!$X$15)*E2_tabla_vida!$P$15,EXP(-E33*E2_tabla_vida!$X$16)*E2_tabla_vida!$P$16,EXP(-E33*E2_tabla_vida!$X$17)*E2_tabla_vida!$P$17,EXP(-E33*E2_tabla_vida!$X$18)*E2_tabla_vida!$P$18,EXP(-E33*E2_tabla_vida!$X$19)*E2_tabla_vida!$P$19,EXP(-E33*E2_tabla_vida!$X$20)*E2_tabla_vida!$P$20,EXP(-E33*E2_tabla_vida!$X$21)*E2_tabla_vida!$P$21,EXP(-E33*E2_tabla_vida!$X$22)*E2_tabla_vida!$P$22,EXP(-E33*E2_tabla_vida!$X$23)*E2_tabla_vida!$P$23,EXP(-E33*E2_tabla_vida!$X$24)*E2_tabla_vida!$P$24,EXP(-E33*E2_tabla_vida!$X$25)*E2_tabla_vida!$P$25,EXP(-E33*E2_tabla_vida!$X$26)*E2_tabla_vida!$P$26,EXP(-E33*E2_tabla_vida!$X$27)*E2_tabla_vida!$P$27,EXP(-E33*E2_tabla_vida!$X$28)*E2_tabla_vida!$P$28,EXP(-E33*E2_tabla_vida!$X$29)*E2_tabla_vida!$P$29,EXP(-E33*E2_tabla_vida!$X$30)*E2_tabla_vida!$P$30,EXP(-E33*E2_tabla_vida!$X$31)*E2_tabla_vida!$P$31,EXP(-E33*E2_tabla_vida!$X$32)*E2_tabla_vida!$P$32,EXP(-E33*E2_tabla_vida!$X$33)*E2_tabla_vida!$P$33,EXP(-E33*E2_tabla_vida!$X$34)*E2_tabla_vida!$P$34,EXP(-E33*E2_tabla_vida!$X$35)*E2_tabla_vida!$P$35,EXP(-E33*E2_tabla_vida!$X$36)*E2_tabla_vida!$P$36,EXP(-E33*E2_tabla_vida!$X$37)*E2_tabla_vida!$P$37,EXP(-E33*E2_tabla_vida!$X$38)*E2_tabla_vida!$P$38,EXP(-E33*E2_tabla_vida!$X$39)*E2_tabla_vida!$P$39,EXP(-E33*E2_tabla_vida!$X$40)*E2_tabla_vida!$P$40,EXP(-E33*E2_tabla_vida!$X$41)*E2_tabla_vida!$P$41,EXP(-E33*E2_tabla_vida!$X$42)*E2_tabla_vida!$P$42,EXP(-E33*E2_tabla_vida!$X$43)*E2_tabla_vida!$P$43)-1</x:f>
        <x:v>6.376109196182256e-9</x:v>
      </x:c>
      <x:c r="G33" s="24" t="n">
        <x:f>SUM(EXP(-C33*E2_tabla_vida!$X$2)*E2_tabla_vida!$P$2,EXP(-C33*E2_tabla_vida!$X$3)*E2_tabla_vida!$P$3,EXP(-C33*E2_tabla_vida!$X$4)*E2_tabla_vida!$P$4,EXP(-C33*E2_tabla_vida!$X$5)*E2_tabla_vida!$P$5,EXP(-C33*E2_tabla_vida!$X$6)*E2_tabla_vida!$P$6,EXP(-C33*E2_tabla_vida!$X$7)*E2_tabla_vida!$P$7,EXP(-C33*E2_tabla_vida!$X$8)*E2_tabla_vida!$P$8,EXP(-C33*E2_tabla_vida!$X$9)*E2_tabla_vida!$P$9,EXP(-C33*E2_tabla_vida!$X$10)*E2_tabla_vida!$P$10,EXP(-C33*E2_tabla_vida!$X$11)*E2_tabla_vida!$P$11,EXP(-C33*E2_tabla_vida!$X$12)*E2_tabla_vida!$P$12,EXP(-C33*E2_tabla_vida!$X$13)*E2_tabla_vida!$P$13,EXP(-C33*E2_tabla_vida!$X$14)*E2_tabla_vida!$P$14,EXP(-C33*E2_tabla_vida!$X$15)*E2_tabla_vida!$P$15,EXP(-C33*E2_tabla_vida!$X$16)*E2_tabla_vida!$P$16,EXP(-C33*E2_tabla_vida!$X$17)*E2_tabla_vida!$P$17,EXP(-C33*E2_tabla_vida!$X$18)*E2_tabla_vida!$P$18,EXP(-C33*E2_tabla_vida!$X$19)*E2_tabla_vida!$P$19,EXP(-C33*E2_tabla_vida!$X$20)*E2_tabla_vida!$P$20,EXP(-C33*E2_tabla_vida!$X$21)*E2_tabla_vida!$P$21,EXP(-C33*E2_tabla_vida!$X$22)*E2_tabla_vida!$P$22,EXP(-C33*E2_tabla_vida!$X$23)*E2_tabla_vida!$P$23,EXP(-C33*E2_tabla_vida!$X$24)*E2_tabla_vida!$P$24,EXP(-C33*E2_tabla_vida!$X$25)*E2_tabla_vida!$P$25,EXP(-C33*E2_tabla_vida!$X$26)*E2_tabla_vida!$P$26,EXP(-C33*E2_tabla_vida!$X$27)*E2_tabla_vida!$P$27,EXP(-C33*E2_tabla_vida!$X$28)*E2_tabla_vida!$P$28,EXP(-C33*E2_tabla_vida!$X$29)*E2_tabla_vida!$P$29,EXP(-C33*E2_tabla_vida!$X$30)*E2_tabla_vida!$P$30,EXP(-C33*E2_tabla_vida!$X$31)*E2_tabla_vida!$P$31,EXP(-C33*E2_tabla_vida!$X$32)*E2_tabla_vida!$P$32,EXP(-C33*E2_tabla_vida!$X$33)*E2_tabla_vida!$P$33,EXP(-C33*E2_tabla_vida!$X$34)*E2_tabla_vida!$P$34,EXP(-C33*E2_tabla_vida!$X$35)*E2_tabla_vida!$P$35,EXP(-C33*E2_tabla_vida!$X$36)*E2_tabla_vida!$P$36,EXP(-C33*E2_tabla_vida!$X$37)*E2_tabla_vida!$P$37,EXP(-C33*E2_tabla_vida!$X$38)*E2_tabla_vida!$P$38,EXP(-C33*E2_tabla_vida!$X$39)*E2_tabla_vida!$P$39,EXP(-C33*E2_tabla_vida!$X$40)*E2_tabla_vida!$P$40,EXP(-C33*E2_tabla_vida!$X$41)*E2_tabla_vida!$P$41,EXP(-C33*E2_tabla_vida!$X$42)*E2_tabla_vida!$P$42,EXP(-C33*E2_tabla_vida!$X$43)*E2_tabla_vida!$P$43)-1</x:f>
        <x:v>1.573989627523531e-8</x:v>
      </x:c>
      <x:c r="H33" s="24" t="n">
        <x:f>SUM(EXP(-D33*E2_tabla_vida!$X$2)*E2_tabla_vida!$P$2,EXP(-D33*E2_tabla_vida!$X$3)*E2_tabla_vida!$P$3,EXP(-D33*E2_tabla_vida!$X$4)*E2_tabla_vida!$P$4,EXP(-D33*E2_tabla_vida!$X$5)*E2_tabla_vida!$P$5,EXP(-D33*E2_tabla_vida!$X$6)*E2_tabla_vida!$P$6,EXP(-D33*E2_tabla_vida!$X$7)*E2_tabla_vida!$P$7,EXP(-D33*E2_tabla_vida!$X$8)*E2_tabla_vida!$P$8,EXP(-D33*E2_tabla_vida!$X$9)*E2_tabla_vida!$P$9,EXP(-D33*E2_tabla_vida!$X$10)*E2_tabla_vida!$P$10,EXP(-D33*E2_tabla_vida!$X$11)*E2_tabla_vida!$P$11,EXP(-D33*E2_tabla_vida!$X$12)*E2_tabla_vida!$P$12,EXP(-D33*E2_tabla_vida!$X$13)*E2_tabla_vida!$P$13,EXP(-D33*E2_tabla_vida!$X$14)*E2_tabla_vida!$P$14,EXP(-D33*E2_tabla_vida!$X$15)*E2_tabla_vida!$P$15,EXP(-D33*E2_tabla_vida!$X$16)*E2_tabla_vida!$P$16,EXP(-D33*E2_tabla_vida!$X$17)*E2_tabla_vida!$P$17,EXP(-D33*E2_tabla_vida!$X$18)*E2_tabla_vida!$P$18,EXP(-D33*E2_tabla_vida!$X$19)*E2_tabla_vida!$P$19,EXP(-D33*E2_tabla_vida!$X$20)*E2_tabla_vida!$P$20,EXP(-D33*E2_tabla_vida!$X$21)*E2_tabla_vida!$P$21,EXP(-D33*E2_tabla_vida!$X$22)*E2_tabla_vida!$P$22,EXP(-D33*E2_tabla_vida!$X$23)*E2_tabla_vida!$P$23,EXP(-D33*E2_tabla_vida!$X$24)*E2_tabla_vida!$P$24,EXP(-D33*E2_tabla_vida!$X$25)*E2_tabla_vida!$P$25,EXP(-D33*E2_tabla_vida!$X$26)*E2_tabla_vida!$P$26,EXP(-D33*E2_tabla_vida!$X$27)*E2_tabla_vida!$P$27,EXP(-D33*E2_tabla_vida!$X$28)*E2_tabla_vida!$P$28,EXP(-D33*E2_tabla_vida!$X$29)*E2_tabla_vida!$P$29,EXP(-D33*E2_tabla_vida!$X$30)*E2_tabla_vida!$P$30,EXP(-D33*E2_tabla_vida!$X$31)*E2_tabla_vida!$P$31,EXP(-D33*E2_tabla_vida!$X$32)*E2_tabla_vida!$P$32,EXP(-D33*E2_tabla_vida!$X$33)*E2_tabla_vida!$P$33,EXP(-D33*E2_tabla_vida!$X$34)*E2_tabla_vida!$P$34,EXP(-D33*E2_tabla_vida!$X$35)*E2_tabla_vida!$P$35,EXP(-D33*E2_tabla_vida!$X$36)*E2_tabla_vida!$P$36,EXP(-D33*E2_tabla_vida!$X$37)*E2_tabla_vida!$P$37,EXP(-D33*E2_tabla_vida!$X$38)*E2_tabla_vida!$P$38,EXP(-D33*E2_tabla_vida!$X$39)*E2_tabla_vida!$P$39,EXP(-D33*E2_tabla_vida!$X$40)*E2_tabla_vida!$P$40,EXP(-D33*E2_tabla_vida!$X$41)*E2_tabla_vida!$P$41,EXP(-D33*E2_tabla_vida!$X$42)*E2_tabla_vida!$P$42,EXP(-D33*E2_tabla_vida!$X$43)*E2_tabla_vida!$P$43)-1</x:f>
        <x:v>-2.9876776608261935e-9</x:v>
      </x:c>
    </x:row>
    <x:row r="34" ht="19" customHeight="1">
      <x:c r="A34" s="2" t="str">
        <x:v>MP_L0</x:v>
      </x:c>
      <x:c r="B34" s="2" t="n">
        <x:v>32</x:v>
      </x:c>
      <x:c r="C34" s="22" t="n">
        <x:f>IF(F33&gt;0,E33,C33)</x:f>
        <x:v>0.26107528689317405</x:v>
      </x:c>
      <x:c r="D34" s="22" t="n">
        <x:f>IF(F33&gt;0,D33,E33)</x:f>
        <x:v>0.261075287591666</x:v>
      </x:c>
      <x:c r="E34" s="22" t="n">
        <x:f>AVERAGE(C34:D34)</x:f>
        <x:v>0.26107528724242</x:v>
      </x:c>
      <x:c r="F34" s="24" t="n">
        <x:f>SUM(EXP(-E34*E2_tabla_vida!$X$2)*E2_tabla_vida!$P$2,EXP(-E34*E2_tabla_vida!$X$3)*E2_tabla_vida!$P$3,EXP(-E34*E2_tabla_vida!$X$4)*E2_tabla_vida!$P$4,EXP(-E34*E2_tabla_vida!$X$5)*E2_tabla_vida!$P$5,EXP(-E34*E2_tabla_vida!$X$6)*E2_tabla_vida!$P$6,EXP(-E34*E2_tabla_vida!$X$7)*E2_tabla_vida!$P$7,EXP(-E34*E2_tabla_vida!$X$8)*E2_tabla_vida!$P$8,EXP(-E34*E2_tabla_vida!$X$9)*E2_tabla_vida!$P$9,EXP(-E34*E2_tabla_vida!$X$10)*E2_tabla_vida!$P$10,EXP(-E34*E2_tabla_vida!$X$11)*E2_tabla_vida!$P$11,EXP(-E34*E2_tabla_vida!$X$12)*E2_tabla_vida!$P$12,EXP(-E34*E2_tabla_vida!$X$13)*E2_tabla_vida!$P$13,EXP(-E34*E2_tabla_vida!$X$14)*E2_tabla_vida!$P$14,EXP(-E34*E2_tabla_vida!$X$15)*E2_tabla_vida!$P$15,EXP(-E34*E2_tabla_vida!$X$16)*E2_tabla_vida!$P$16,EXP(-E34*E2_tabla_vida!$X$17)*E2_tabla_vida!$P$17,EXP(-E34*E2_tabla_vida!$X$18)*E2_tabla_vida!$P$18,EXP(-E34*E2_tabla_vida!$X$19)*E2_tabla_vida!$P$19,EXP(-E34*E2_tabla_vida!$X$20)*E2_tabla_vida!$P$20,EXP(-E34*E2_tabla_vida!$X$21)*E2_tabla_vida!$P$21,EXP(-E34*E2_tabla_vida!$X$22)*E2_tabla_vida!$P$22,EXP(-E34*E2_tabla_vida!$X$23)*E2_tabla_vida!$P$23,EXP(-E34*E2_tabla_vida!$X$24)*E2_tabla_vida!$P$24,EXP(-E34*E2_tabla_vida!$X$25)*E2_tabla_vida!$P$25,EXP(-E34*E2_tabla_vida!$X$26)*E2_tabla_vida!$P$26,EXP(-E34*E2_tabla_vida!$X$27)*E2_tabla_vida!$P$27,EXP(-E34*E2_tabla_vida!$X$28)*E2_tabla_vida!$P$28,EXP(-E34*E2_tabla_vida!$X$29)*E2_tabla_vida!$P$29,EXP(-E34*E2_tabla_vida!$X$30)*E2_tabla_vida!$P$30,EXP(-E34*E2_tabla_vida!$X$31)*E2_tabla_vida!$P$31,EXP(-E34*E2_tabla_vida!$X$32)*E2_tabla_vida!$P$32,EXP(-E34*E2_tabla_vida!$X$33)*E2_tabla_vida!$P$33,EXP(-E34*E2_tabla_vida!$X$34)*E2_tabla_vida!$P$34,EXP(-E34*E2_tabla_vida!$X$35)*E2_tabla_vida!$P$35,EXP(-E34*E2_tabla_vida!$X$36)*E2_tabla_vida!$P$36,EXP(-E34*E2_tabla_vida!$X$37)*E2_tabla_vida!$P$37,EXP(-E34*E2_tabla_vida!$X$38)*E2_tabla_vida!$P$38,EXP(-E34*E2_tabla_vida!$X$39)*E2_tabla_vida!$P$39,EXP(-E34*E2_tabla_vida!$X$40)*E2_tabla_vida!$P$40,EXP(-E34*E2_tabla_vida!$X$41)*E2_tabla_vida!$P$41,EXP(-E34*E2_tabla_vida!$X$42)*E2_tabla_vida!$P$42,EXP(-E34*E2_tabla_vida!$X$43)*E2_tabla_vida!$P$43)-1</x:f>
        <x:v>1.6942158787003336e-9</x:v>
      </x:c>
      <x:c r="G34" s="24" t="n">
        <x:f>SUM(EXP(-C34*E2_tabla_vida!$X$2)*E2_tabla_vida!$P$2,EXP(-C34*E2_tabla_vida!$X$3)*E2_tabla_vida!$P$3,EXP(-C34*E2_tabla_vida!$X$4)*E2_tabla_vida!$P$4,EXP(-C34*E2_tabla_vida!$X$5)*E2_tabla_vida!$P$5,EXP(-C34*E2_tabla_vida!$X$6)*E2_tabla_vida!$P$6,EXP(-C34*E2_tabla_vida!$X$7)*E2_tabla_vida!$P$7,EXP(-C34*E2_tabla_vida!$X$8)*E2_tabla_vida!$P$8,EXP(-C34*E2_tabla_vida!$X$9)*E2_tabla_vida!$P$9,EXP(-C34*E2_tabla_vida!$X$10)*E2_tabla_vida!$P$10,EXP(-C34*E2_tabla_vida!$X$11)*E2_tabla_vida!$P$11,EXP(-C34*E2_tabla_vida!$X$12)*E2_tabla_vida!$P$12,EXP(-C34*E2_tabla_vida!$X$13)*E2_tabla_vida!$P$13,EXP(-C34*E2_tabla_vida!$X$14)*E2_tabla_vida!$P$14,EXP(-C34*E2_tabla_vida!$X$15)*E2_tabla_vida!$P$15,EXP(-C34*E2_tabla_vida!$X$16)*E2_tabla_vida!$P$16,EXP(-C34*E2_tabla_vida!$X$17)*E2_tabla_vida!$P$17,EXP(-C34*E2_tabla_vida!$X$18)*E2_tabla_vida!$P$18,EXP(-C34*E2_tabla_vida!$X$19)*E2_tabla_vida!$P$19,EXP(-C34*E2_tabla_vida!$X$20)*E2_tabla_vida!$P$20,EXP(-C34*E2_tabla_vida!$X$21)*E2_tabla_vida!$P$21,EXP(-C34*E2_tabla_vida!$X$22)*E2_tabla_vida!$P$22,EXP(-C34*E2_tabla_vida!$X$23)*E2_tabla_vida!$P$23,EXP(-C34*E2_tabla_vida!$X$24)*E2_tabla_vida!$P$24,EXP(-C34*E2_tabla_vida!$X$25)*E2_tabla_vida!$P$25,EXP(-C34*E2_tabla_vida!$X$26)*E2_tabla_vida!$P$26,EXP(-C34*E2_tabla_vida!$X$27)*E2_tabla_vida!$P$27,EXP(-C34*E2_tabla_vida!$X$28)*E2_tabla_vida!$P$28,EXP(-C34*E2_tabla_vida!$X$29)*E2_tabla_vida!$P$29,EXP(-C34*E2_tabla_vida!$X$30)*E2_tabla_vida!$P$30,EXP(-C34*E2_tabla_vida!$X$31)*E2_tabla_vida!$P$31,EXP(-C34*E2_tabla_vida!$X$32)*E2_tabla_vida!$P$32,EXP(-C34*E2_tabla_vida!$X$33)*E2_tabla_vida!$P$33,EXP(-C34*E2_tabla_vida!$X$34)*E2_tabla_vida!$P$34,EXP(-C34*E2_tabla_vida!$X$35)*E2_tabla_vida!$P$35,EXP(-C34*E2_tabla_vida!$X$36)*E2_tabla_vida!$P$36,EXP(-C34*E2_tabla_vida!$X$37)*E2_tabla_vida!$P$37,EXP(-C34*E2_tabla_vida!$X$38)*E2_tabla_vida!$P$38,EXP(-C34*E2_tabla_vida!$X$39)*E2_tabla_vida!$P$39,EXP(-C34*E2_tabla_vida!$X$40)*E2_tabla_vida!$P$40,EXP(-C34*E2_tabla_vida!$X$41)*E2_tabla_vida!$P$41,EXP(-C34*E2_tabla_vida!$X$42)*E2_tabla_vida!$P$42,EXP(-C34*E2_tabla_vida!$X$43)*E2_tabla_vida!$P$43)-1</x:f>
        <x:v>6.376109196182256e-9</x:v>
      </x:c>
      <x:c r="H34" s="24" t="n">
        <x:f>SUM(EXP(-D34*E2_tabla_vida!$X$2)*E2_tabla_vida!$P$2,EXP(-D34*E2_tabla_vida!$X$3)*E2_tabla_vida!$P$3,EXP(-D34*E2_tabla_vida!$X$4)*E2_tabla_vida!$P$4,EXP(-D34*E2_tabla_vida!$X$5)*E2_tabla_vida!$P$5,EXP(-D34*E2_tabla_vida!$X$6)*E2_tabla_vida!$P$6,EXP(-D34*E2_tabla_vida!$X$7)*E2_tabla_vida!$P$7,EXP(-D34*E2_tabla_vida!$X$8)*E2_tabla_vida!$P$8,EXP(-D34*E2_tabla_vida!$X$9)*E2_tabla_vida!$P$9,EXP(-D34*E2_tabla_vida!$X$10)*E2_tabla_vida!$P$10,EXP(-D34*E2_tabla_vida!$X$11)*E2_tabla_vida!$P$11,EXP(-D34*E2_tabla_vida!$X$12)*E2_tabla_vida!$P$12,EXP(-D34*E2_tabla_vida!$X$13)*E2_tabla_vida!$P$13,EXP(-D34*E2_tabla_vida!$X$14)*E2_tabla_vida!$P$14,EXP(-D34*E2_tabla_vida!$X$15)*E2_tabla_vida!$P$15,EXP(-D34*E2_tabla_vida!$X$16)*E2_tabla_vida!$P$16,EXP(-D34*E2_tabla_vida!$X$17)*E2_tabla_vida!$P$17,EXP(-D34*E2_tabla_vida!$X$18)*E2_tabla_vida!$P$18,EXP(-D34*E2_tabla_vida!$X$19)*E2_tabla_vida!$P$19,EXP(-D34*E2_tabla_vida!$X$20)*E2_tabla_vida!$P$20,EXP(-D34*E2_tabla_vida!$X$21)*E2_tabla_vida!$P$21,EXP(-D34*E2_tabla_vida!$X$22)*E2_tabla_vida!$P$22,EXP(-D34*E2_tabla_vida!$X$23)*E2_tabla_vida!$P$23,EXP(-D34*E2_tabla_vida!$X$24)*E2_tabla_vida!$P$24,EXP(-D34*E2_tabla_vida!$X$25)*E2_tabla_vida!$P$25,EXP(-D34*E2_tabla_vida!$X$26)*E2_tabla_vida!$P$26,EXP(-D34*E2_tabla_vida!$X$27)*E2_tabla_vida!$P$27,EXP(-D34*E2_tabla_vida!$X$28)*E2_tabla_vida!$P$28,EXP(-D34*E2_tabla_vida!$X$29)*E2_tabla_vida!$P$29,EXP(-D34*E2_tabla_vida!$X$30)*E2_tabla_vida!$P$30,EXP(-D34*E2_tabla_vida!$X$31)*E2_tabla_vida!$P$31,EXP(-D34*E2_tabla_vida!$X$32)*E2_tabla_vida!$P$32,EXP(-D34*E2_tabla_vida!$X$33)*E2_tabla_vida!$P$33,EXP(-D34*E2_tabla_vida!$X$34)*E2_tabla_vida!$P$34,EXP(-D34*E2_tabla_vida!$X$35)*E2_tabla_vida!$P$35,EXP(-D34*E2_tabla_vida!$X$36)*E2_tabla_vida!$P$36,EXP(-D34*E2_tabla_vida!$X$37)*E2_tabla_vida!$P$37,EXP(-D34*E2_tabla_vida!$X$38)*E2_tabla_vida!$P$38,EXP(-D34*E2_tabla_vida!$X$39)*E2_tabla_vida!$P$39,EXP(-D34*E2_tabla_vida!$X$40)*E2_tabla_vida!$P$40,EXP(-D34*E2_tabla_vida!$X$41)*E2_tabla_vida!$P$41,EXP(-D34*E2_tabla_vida!$X$42)*E2_tabla_vida!$P$42,EXP(-D34*E2_tabla_vida!$X$43)*E2_tabla_vida!$P$43)-1</x:f>
        <x:v>-2.9876776608261935e-9</x:v>
      </x:c>
    </x:row>
    <x:row r="35" ht="19" customHeight="1">
      <x:c r="A35" s="2" t="str">
        <x:v>MP_L0</x:v>
      </x:c>
      <x:c r="B35" s="2" t="n">
        <x:v>33</x:v>
      </x:c>
      <x:c r="C35" s="22" t="n">
        <x:f>IF(F34&gt;0,E34,C34)</x:f>
        <x:v>0.26107528724242</x:v>
      </x:c>
      <x:c r="D35" s="22" t="n">
        <x:f>IF(F34&gt;0,D34,E34)</x:f>
        <x:v>0.261075287591666</x:v>
      </x:c>
      <x:c r="E35" s="22" t="n">
        <x:f>AVERAGE(C35:D35)</x:f>
        <x:v>0.261075287417043</x:v>
      </x:c>
      <x:c r="F35" s="24" t="n">
        <x:f>SUM(EXP(-E35*E2_tabla_vida!$X$2)*E2_tabla_vida!$P$2,EXP(-E35*E2_tabla_vida!$X$3)*E2_tabla_vida!$P$3,EXP(-E35*E2_tabla_vida!$X$4)*E2_tabla_vida!$P$4,EXP(-E35*E2_tabla_vida!$X$5)*E2_tabla_vida!$P$5,EXP(-E35*E2_tabla_vida!$X$6)*E2_tabla_vida!$P$6,EXP(-E35*E2_tabla_vida!$X$7)*E2_tabla_vida!$P$7,EXP(-E35*E2_tabla_vida!$X$8)*E2_tabla_vida!$P$8,EXP(-E35*E2_tabla_vida!$X$9)*E2_tabla_vida!$P$9,EXP(-E35*E2_tabla_vida!$X$10)*E2_tabla_vida!$P$10,EXP(-E35*E2_tabla_vida!$X$11)*E2_tabla_vida!$P$11,EXP(-E35*E2_tabla_vida!$X$12)*E2_tabla_vida!$P$12,EXP(-E35*E2_tabla_vida!$X$13)*E2_tabla_vida!$P$13,EXP(-E35*E2_tabla_vida!$X$14)*E2_tabla_vida!$P$14,EXP(-E35*E2_tabla_vida!$X$15)*E2_tabla_vida!$P$15,EXP(-E35*E2_tabla_vida!$X$16)*E2_tabla_vida!$P$16,EXP(-E35*E2_tabla_vida!$X$17)*E2_tabla_vida!$P$17,EXP(-E35*E2_tabla_vida!$X$18)*E2_tabla_vida!$P$18,EXP(-E35*E2_tabla_vida!$X$19)*E2_tabla_vida!$P$19,EXP(-E35*E2_tabla_vida!$X$20)*E2_tabla_vida!$P$20,EXP(-E35*E2_tabla_vida!$X$21)*E2_tabla_vida!$P$21,EXP(-E35*E2_tabla_vida!$X$22)*E2_tabla_vida!$P$22,EXP(-E35*E2_tabla_vida!$X$23)*E2_tabla_vida!$P$23,EXP(-E35*E2_tabla_vida!$X$24)*E2_tabla_vida!$P$24,EXP(-E35*E2_tabla_vida!$X$25)*E2_tabla_vida!$P$25,EXP(-E35*E2_tabla_vida!$X$26)*E2_tabla_vida!$P$26,EXP(-E35*E2_tabla_vida!$X$27)*E2_tabla_vida!$P$27,EXP(-E35*E2_tabla_vida!$X$28)*E2_tabla_vida!$P$28,EXP(-E35*E2_tabla_vida!$X$29)*E2_tabla_vida!$P$29,EXP(-E35*E2_tabla_vida!$X$30)*E2_tabla_vida!$P$30,EXP(-E35*E2_tabla_vida!$X$31)*E2_tabla_vida!$P$31,EXP(-E35*E2_tabla_vida!$X$32)*E2_tabla_vida!$P$32,EXP(-E35*E2_tabla_vida!$X$33)*E2_tabla_vida!$P$33,EXP(-E35*E2_tabla_vida!$X$34)*E2_tabla_vida!$P$34,EXP(-E35*E2_tabla_vida!$X$35)*E2_tabla_vida!$P$35,EXP(-E35*E2_tabla_vida!$X$36)*E2_tabla_vida!$P$36,EXP(-E35*E2_tabla_vida!$X$37)*E2_tabla_vida!$P$37,EXP(-E35*E2_tabla_vida!$X$38)*E2_tabla_vida!$P$38,EXP(-E35*E2_tabla_vida!$X$39)*E2_tabla_vida!$P$39,EXP(-E35*E2_tabla_vida!$X$40)*E2_tabla_vida!$P$40,EXP(-E35*E2_tabla_vida!$X$41)*E2_tabla_vida!$P$41,EXP(-E35*E2_tabla_vida!$X$42)*E2_tabla_vida!$P$42,EXP(-E35*E2_tabla_vida!$X$43)*E2_tabla_vida!$P$43)-1</x:f>
        <x:v>-6.467312241298373e-10</x:v>
      </x:c>
      <x:c r="G35" s="24" t="n">
        <x:f>SUM(EXP(-C35*E2_tabla_vida!$X$2)*E2_tabla_vida!$P$2,EXP(-C35*E2_tabla_vida!$X$3)*E2_tabla_vida!$P$3,EXP(-C35*E2_tabla_vida!$X$4)*E2_tabla_vida!$P$4,EXP(-C35*E2_tabla_vida!$X$5)*E2_tabla_vida!$P$5,EXP(-C35*E2_tabla_vida!$X$6)*E2_tabla_vida!$P$6,EXP(-C35*E2_tabla_vida!$X$7)*E2_tabla_vida!$P$7,EXP(-C35*E2_tabla_vida!$X$8)*E2_tabla_vida!$P$8,EXP(-C35*E2_tabla_vida!$X$9)*E2_tabla_vida!$P$9,EXP(-C35*E2_tabla_vida!$X$10)*E2_tabla_vida!$P$10,EXP(-C35*E2_tabla_vida!$X$11)*E2_tabla_vida!$P$11,EXP(-C35*E2_tabla_vida!$X$12)*E2_tabla_vida!$P$12,EXP(-C35*E2_tabla_vida!$X$13)*E2_tabla_vida!$P$13,EXP(-C35*E2_tabla_vida!$X$14)*E2_tabla_vida!$P$14,EXP(-C35*E2_tabla_vida!$X$15)*E2_tabla_vida!$P$15,EXP(-C35*E2_tabla_vida!$X$16)*E2_tabla_vida!$P$16,EXP(-C35*E2_tabla_vida!$X$17)*E2_tabla_vida!$P$17,EXP(-C35*E2_tabla_vida!$X$18)*E2_tabla_vida!$P$18,EXP(-C35*E2_tabla_vida!$X$19)*E2_tabla_vida!$P$19,EXP(-C35*E2_tabla_vida!$X$20)*E2_tabla_vida!$P$20,EXP(-C35*E2_tabla_vida!$X$21)*E2_tabla_vida!$P$21,EXP(-C35*E2_tabla_vida!$X$22)*E2_tabla_vida!$P$22,EXP(-C35*E2_tabla_vida!$X$23)*E2_tabla_vida!$P$23,EXP(-C35*E2_tabla_vida!$X$24)*E2_tabla_vida!$P$24,EXP(-C35*E2_tabla_vida!$X$25)*E2_tabla_vida!$P$25,EXP(-C35*E2_tabla_vida!$X$26)*E2_tabla_vida!$P$26,EXP(-C35*E2_tabla_vida!$X$27)*E2_tabla_vida!$P$27,EXP(-C35*E2_tabla_vida!$X$28)*E2_tabla_vida!$P$28,EXP(-C35*E2_tabla_vida!$X$29)*E2_tabla_vida!$P$29,EXP(-C35*E2_tabla_vida!$X$30)*E2_tabla_vida!$P$30,EXP(-C35*E2_tabla_vida!$X$31)*E2_tabla_vida!$P$31,EXP(-C35*E2_tabla_vida!$X$32)*E2_tabla_vida!$P$32,EXP(-C35*E2_tabla_vida!$X$33)*E2_tabla_vida!$P$33,EXP(-C35*E2_tabla_vida!$X$34)*E2_tabla_vida!$P$34,EXP(-C35*E2_tabla_vida!$X$35)*E2_tabla_vida!$P$35,EXP(-C35*E2_tabla_vida!$X$36)*E2_tabla_vida!$P$36,EXP(-C35*E2_tabla_vida!$X$37)*E2_tabla_vida!$P$37,EXP(-C35*E2_tabla_vida!$X$38)*E2_tabla_vida!$P$38,EXP(-C35*E2_tabla_vida!$X$39)*E2_tabla_vida!$P$39,EXP(-C35*E2_tabla_vida!$X$40)*E2_tabla_vida!$P$40,EXP(-C35*E2_tabla_vida!$X$41)*E2_tabla_vida!$P$41,EXP(-C35*E2_tabla_vida!$X$42)*E2_tabla_vida!$P$42,EXP(-C35*E2_tabla_vida!$X$43)*E2_tabla_vida!$P$43)-1</x:f>
        <x:v>1.6942158787003336e-9</x:v>
      </x:c>
      <x:c r="H35" s="24" t="n">
        <x:f>SUM(EXP(-D35*E2_tabla_vida!$X$2)*E2_tabla_vida!$P$2,EXP(-D35*E2_tabla_vida!$X$3)*E2_tabla_vida!$P$3,EXP(-D35*E2_tabla_vida!$X$4)*E2_tabla_vida!$P$4,EXP(-D35*E2_tabla_vida!$X$5)*E2_tabla_vida!$P$5,EXP(-D35*E2_tabla_vida!$X$6)*E2_tabla_vida!$P$6,EXP(-D35*E2_tabla_vida!$X$7)*E2_tabla_vida!$P$7,EXP(-D35*E2_tabla_vida!$X$8)*E2_tabla_vida!$P$8,EXP(-D35*E2_tabla_vida!$X$9)*E2_tabla_vida!$P$9,EXP(-D35*E2_tabla_vida!$X$10)*E2_tabla_vida!$P$10,EXP(-D35*E2_tabla_vida!$X$11)*E2_tabla_vida!$P$11,EXP(-D35*E2_tabla_vida!$X$12)*E2_tabla_vida!$P$12,EXP(-D35*E2_tabla_vida!$X$13)*E2_tabla_vida!$P$13,EXP(-D35*E2_tabla_vida!$X$14)*E2_tabla_vida!$P$14,EXP(-D35*E2_tabla_vida!$X$15)*E2_tabla_vida!$P$15,EXP(-D35*E2_tabla_vida!$X$16)*E2_tabla_vida!$P$16,EXP(-D35*E2_tabla_vida!$X$17)*E2_tabla_vida!$P$17,EXP(-D35*E2_tabla_vida!$X$18)*E2_tabla_vida!$P$18,EXP(-D35*E2_tabla_vida!$X$19)*E2_tabla_vida!$P$19,EXP(-D35*E2_tabla_vida!$X$20)*E2_tabla_vida!$P$20,EXP(-D35*E2_tabla_vida!$X$21)*E2_tabla_vida!$P$21,EXP(-D35*E2_tabla_vida!$X$22)*E2_tabla_vida!$P$22,EXP(-D35*E2_tabla_vida!$X$23)*E2_tabla_vida!$P$23,EXP(-D35*E2_tabla_vida!$X$24)*E2_tabla_vida!$P$24,EXP(-D35*E2_tabla_vida!$X$25)*E2_tabla_vida!$P$25,EXP(-D35*E2_tabla_vida!$X$26)*E2_tabla_vida!$P$26,EXP(-D35*E2_tabla_vida!$X$27)*E2_tabla_vida!$P$27,EXP(-D35*E2_tabla_vida!$X$28)*E2_tabla_vida!$P$28,EXP(-D35*E2_tabla_vida!$X$29)*E2_tabla_vida!$P$29,EXP(-D35*E2_tabla_vida!$X$30)*E2_tabla_vida!$P$30,EXP(-D35*E2_tabla_vida!$X$31)*E2_tabla_vida!$P$31,EXP(-D35*E2_tabla_vida!$X$32)*E2_tabla_vida!$P$32,EXP(-D35*E2_tabla_vida!$X$33)*E2_tabla_vida!$P$33,EXP(-D35*E2_tabla_vida!$X$34)*E2_tabla_vida!$P$34,EXP(-D35*E2_tabla_vida!$X$35)*E2_tabla_vida!$P$35,EXP(-D35*E2_tabla_vida!$X$36)*E2_tabla_vida!$P$36,EXP(-D35*E2_tabla_vida!$X$37)*E2_tabla_vida!$P$37,EXP(-D35*E2_tabla_vida!$X$38)*E2_tabla_vida!$P$38,EXP(-D35*E2_tabla_vida!$X$39)*E2_tabla_vida!$P$39,EXP(-D35*E2_tabla_vida!$X$40)*E2_tabla_vida!$P$40,EXP(-D35*E2_tabla_vida!$X$41)*E2_tabla_vida!$P$41,EXP(-D35*E2_tabla_vida!$X$42)*E2_tabla_vida!$P$42,EXP(-D35*E2_tabla_vida!$X$43)*E2_tabla_vida!$P$43)-1</x:f>
        <x:v>-2.9876776608261935e-9</x:v>
      </x:c>
    </x:row>
    <x:row r="36" ht="19" customHeight="1">
      <x:c r="A36" s="2" t="str">
        <x:v>MP_L0</x:v>
      </x:c>
      <x:c r="B36" s="2" t="n">
        <x:v>34</x:v>
      </x:c>
      <x:c r="C36" s="22" t="n">
        <x:f>IF(F35&gt;0,E35,C35)</x:f>
        <x:v>0.26107528724242</x:v>
      </x:c>
      <x:c r="D36" s="22" t="n">
        <x:f>IF(F35&gt;0,D35,E35)</x:f>
        <x:v>0.261075287417043</x:v>
      </x:c>
      <x:c r="E36" s="22" t="n">
        <x:f>AVERAGE(C36:D36)</x:f>
        <x:v>0.2610752873297315</x:v>
      </x:c>
      <x:c r="F36" s="24" t="n">
        <x:f>SUM(EXP(-E36*E2_tabla_vida!$X$2)*E2_tabla_vida!$P$2,EXP(-E36*E2_tabla_vida!$X$3)*E2_tabla_vida!$P$3,EXP(-E36*E2_tabla_vida!$X$4)*E2_tabla_vida!$P$4,EXP(-E36*E2_tabla_vida!$X$5)*E2_tabla_vida!$P$5,EXP(-E36*E2_tabla_vida!$X$6)*E2_tabla_vida!$P$6,EXP(-E36*E2_tabla_vida!$X$7)*E2_tabla_vida!$P$7,EXP(-E36*E2_tabla_vida!$X$8)*E2_tabla_vida!$P$8,EXP(-E36*E2_tabla_vida!$X$9)*E2_tabla_vida!$P$9,EXP(-E36*E2_tabla_vida!$X$10)*E2_tabla_vida!$P$10,EXP(-E36*E2_tabla_vida!$X$11)*E2_tabla_vida!$P$11,EXP(-E36*E2_tabla_vida!$X$12)*E2_tabla_vida!$P$12,EXP(-E36*E2_tabla_vida!$X$13)*E2_tabla_vida!$P$13,EXP(-E36*E2_tabla_vida!$X$14)*E2_tabla_vida!$P$14,EXP(-E36*E2_tabla_vida!$X$15)*E2_tabla_vida!$P$15,EXP(-E36*E2_tabla_vida!$X$16)*E2_tabla_vida!$P$16,EXP(-E36*E2_tabla_vida!$X$17)*E2_tabla_vida!$P$17,EXP(-E36*E2_tabla_vida!$X$18)*E2_tabla_vida!$P$18,EXP(-E36*E2_tabla_vida!$X$19)*E2_tabla_vida!$P$19,EXP(-E36*E2_tabla_vida!$X$20)*E2_tabla_vida!$P$20,EXP(-E36*E2_tabla_vida!$X$21)*E2_tabla_vida!$P$21,EXP(-E36*E2_tabla_vida!$X$22)*E2_tabla_vida!$P$22,EXP(-E36*E2_tabla_vida!$X$23)*E2_tabla_vida!$P$23,EXP(-E36*E2_tabla_vida!$X$24)*E2_tabla_vida!$P$24,EXP(-E36*E2_tabla_vida!$X$25)*E2_tabla_vida!$P$25,EXP(-E36*E2_tabla_vida!$X$26)*E2_tabla_vida!$P$26,EXP(-E36*E2_tabla_vida!$X$27)*E2_tabla_vida!$P$27,EXP(-E36*E2_tabla_vida!$X$28)*E2_tabla_vida!$P$28,EXP(-E36*E2_tabla_vida!$X$29)*E2_tabla_vida!$P$29,EXP(-E36*E2_tabla_vida!$X$30)*E2_tabla_vida!$P$30,EXP(-E36*E2_tabla_vida!$X$31)*E2_tabla_vida!$P$31,EXP(-E36*E2_tabla_vida!$X$32)*E2_tabla_vida!$P$32,EXP(-E36*E2_tabla_vida!$X$33)*E2_tabla_vida!$P$33,EXP(-E36*E2_tabla_vida!$X$34)*E2_tabla_vida!$P$34,EXP(-E36*E2_tabla_vida!$X$35)*E2_tabla_vida!$P$35,EXP(-E36*E2_tabla_vida!$X$36)*E2_tabla_vida!$P$36,EXP(-E36*E2_tabla_vida!$X$37)*E2_tabla_vida!$P$37,EXP(-E36*E2_tabla_vida!$X$38)*E2_tabla_vida!$P$38,EXP(-E36*E2_tabla_vida!$X$39)*E2_tabla_vida!$P$39,EXP(-E36*E2_tabla_vida!$X$40)*E2_tabla_vida!$P$40,EXP(-E36*E2_tabla_vida!$X$41)*E2_tabla_vida!$P$41,EXP(-E36*E2_tabla_vida!$X$42)*E2_tabla_vida!$P$42,EXP(-E36*E2_tabla_vida!$X$43)*E2_tabla_vida!$P$43)-1</x:f>
        <x:v>5.237428268856092e-10</x:v>
      </x:c>
      <x:c r="G36" s="24" t="n">
        <x:f>SUM(EXP(-C36*E2_tabla_vida!$X$2)*E2_tabla_vida!$P$2,EXP(-C36*E2_tabla_vida!$X$3)*E2_tabla_vida!$P$3,EXP(-C36*E2_tabla_vida!$X$4)*E2_tabla_vida!$P$4,EXP(-C36*E2_tabla_vida!$X$5)*E2_tabla_vida!$P$5,EXP(-C36*E2_tabla_vida!$X$6)*E2_tabla_vida!$P$6,EXP(-C36*E2_tabla_vida!$X$7)*E2_tabla_vida!$P$7,EXP(-C36*E2_tabla_vida!$X$8)*E2_tabla_vida!$P$8,EXP(-C36*E2_tabla_vida!$X$9)*E2_tabla_vida!$P$9,EXP(-C36*E2_tabla_vida!$X$10)*E2_tabla_vida!$P$10,EXP(-C36*E2_tabla_vida!$X$11)*E2_tabla_vida!$P$11,EXP(-C36*E2_tabla_vida!$X$12)*E2_tabla_vida!$P$12,EXP(-C36*E2_tabla_vida!$X$13)*E2_tabla_vida!$P$13,EXP(-C36*E2_tabla_vida!$X$14)*E2_tabla_vida!$P$14,EXP(-C36*E2_tabla_vida!$X$15)*E2_tabla_vida!$P$15,EXP(-C36*E2_tabla_vida!$X$16)*E2_tabla_vida!$P$16,EXP(-C36*E2_tabla_vida!$X$17)*E2_tabla_vida!$P$17,EXP(-C36*E2_tabla_vida!$X$18)*E2_tabla_vida!$P$18,EXP(-C36*E2_tabla_vida!$X$19)*E2_tabla_vida!$P$19,EXP(-C36*E2_tabla_vida!$X$20)*E2_tabla_vida!$P$20,EXP(-C36*E2_tabla_vida!$X$21)*E2_tabla_vida!$P$21,EXP(-C36*E2_tabla_vida!$X$22)*E2_tabla_vida!$P$22,EXP(-C36*E2_tabla_vida!$X$23)*E2_tabla_vida!$P$23,EXP(-C36*E2_tabla_vida!$X$24)*E2_tabla_vida!$P$24,EXP(-C36*E2_tabla_vida!$X$25)*E2_tabla_vida!$P$25,EXP(-C36*E2_tabla_vida!$X$26)*E2_tabla_vida!$P$26,EXP(-C36*E2_tabla_vida!$X$27)*E2_tabla_vida!$P$27,EXP(-C36*E2_tabla_vida!$X$28)*E2_tabla_vida!$P$28,EXP(-C36*E2_tabla_vida!$X$29)*E2_tabla_vida!$P$29,EXP(-C36*E2_tabla_vida!$X$30)*E2_tabla_vida!$P$30,EXP(-C36*E2_tabla_vida!$X$31)*E2_tabla_vida!$P$31,EXP(-C36*E2_tabla_vida!$X$32)*E2_tabla_vida!$P$32,EXP(-C36*E2_tabla_vida!$X$33)*E2_tabla_vida!$P$33,EXP(-C36*E2_tabla_vida!$X$34)*E2_tabla_vida!$P$34,EXP(-C36*E2_tabla_vida!$X$35)*E2_tabla_vida!$P$35,EXP(-C36*E2_tabla_vida!$X$36)*E2_tabla_vida!$P$36,EXP(-C36*E2_tabla_vida!$X$37)*E2_tabla_vida!$P$37,EXP(-C36*E2_tabla_vida!$X$38)*E2_tabla_vida!$P$38,EXP(-C36*E2_tabla_vida!$X$39)*E2_tabla_vida!$P$39,EXP(-C36*E2_tabla_vida!$X$40)*E2_tabla_vida!$P$40,EXP(-C36*E2_tabla_vida!$X$41)*E2_tabla_vida!$P$41,EXP(-C36*E2_tabla_vida!$X$42)*E2_tabla_vida!$P$42,EXP(-C36*E2_tabla_vida!$X$43)*E2_tabla_vida!$P$43)-1</x:f>
        <x:v>1.6942158787003336e-9</x:v>
      </x:c>
      <x:c r="H36" s="24" t="n">
        <x:f>SUM(EXP(-D36*E2_tabla_vida!$X$2)*E2_tabla_vida!$P$2,EXP(-D36*E2_tabla_vida!$X$3)*E2_tabla_vida!$P$3,EXP(-D36*E2_tabla_vida!$X$4)*E2_tabla_vida!$P$4,EXP(-D36*E2_tabla_vida!$X$5)*E2_tabla_vida!$P$5,EXP(-D36*E2_tabla_vida!$X$6)*E2_tabla_vida!$P$6,EXP(-D36*E2_tabla_vida!$X$7)*E2_tabla_vida!$P$7,EXP(-D36*E2_tabla_vida!$X$8)*E2_tabla_vida!$P$8,EXP(-D36*E2_tabla_vida!$X$9)*E2_tabla_vida!$P$9,EXP(-D36*E2_tabla_vida!$X$10)*E2_tabla_vida!$P$10,EXP(-D36*E2_tabla_vida!$X$11)*E2_tabla_vida!$P$11,EXP(-D36*E2_tabla_vida!$X$12)*E2_tabla_vida!$P$12,EXP(-D36*E2_tabla_vida!$X$13)*E2_tabla_vida!$P$13,EXP(-D36*E2_tabla_vida!$X$14)*E2_tabla_vida!$P$14,EXP(-D36*E2_tabla_vida!$X$15)*E2_tabla_vida!$P$15,EXP(-D36*E2_tabla_vida!$X$16)*E2_tabla_vida!$P$16,EXP(-D36*E2_tabla_vida!$X$17)*E2_tabla_vida!$P$17,EXP(-D36*E2_tabla_vida!$X$18)*E2_tabla_vida!$P$18,EXP(-D36*E2_tabla_vida!$X$19)*E2_tabla_vida!$P$19,EXP(-D36*E2_tabla_vida!$X$20)*E2_tabla_vida!$P$20,EXP(-D36*E2_tabla_vida!$X$21)*E2_tabla_vida!$P$21,EXP(-D36*E2_tabla_vida!$X$22)*E2_tabla_vida!$P$22,EXP(-D36*E2_tabla_vida!$X$23)*E2_tabla_vida!$P$23,EXP(-D36*E2_tabla_vida!$X$24)*E2_tabla_vida!$P$24,EXP(-D36*E2_tabla_vida!$X$25)*E2_tabla_vida!$P$25,EXP(-D36*E2_tabla_vida!$X$26)*E2_tabla_vida!$P$26,EXP(-D36*E2_tabla_vida!$X$27)*E2_tabla_vida!$P$27,EXP(-D36*E2_tabla_vida!$X$28)*E2_tabla_vida!$P$28,EXP(-D36*E2_tabla_vida!$X$29)*E2_tabla_vida!$P$29,EXP(-D36*E2_tabla_vida!$X$30)*E2_tabla_vida!$P$30,EXP(-D36*E2_tabla_vida!$X$31)*E2_tabla_vida!$P$31,EXP(-D36*E2_tabla_vida!$X$32)*E2_tabla_vida!$P$32,EXP(-D36*E2_tabla_vida!$X$33)*E2_tabla_vida!$P$33,EXP(-D36*E2_tabla_vida!$X$34)*E2_tabla_vida!$P$34,EXP(-D36*E2_tabla_vida!$X$35)*E2_tabla_vida!$P$35,EXP(-D36*E2_tabla_vida!$X$36)*E2_tabla_vida!$P$36,EXP(-D36*E2_tabla_vida!$X$37)*E2_tabla_vida!$P$37,EXP(-D36*E2_tabla_vida!$X$38)*E2_tabla_vida!$P$38,EXP(-D36*E2_tabla_vida!$X$39)*E2_tabla_vida!$P$39,EXP(-D36*E2_tabla_vida!$X$40)*E2_tabla_vida!$P$40,EXP(-D36*E2_tabla_vida!$X$41)*E2_tabla_vida!$P$41,EXP(-D36*E2_tabla_vida!$X$42)*E2_tabla_vida!$P$42,EXP(-D36*E2_tabla_vida!$X$43)*E2_tabla_vida!$P$43)-1</x:f>
        <x:v>-6.467312241298373e-10</x:v>
      </x:c>
    </x:row>
    <x:row r="37" ht="19" customHeight="1">
      <x:c r="A37" s="2" t="str">
        <x:v>MP_L0</x:v>
      </x:c>
      <x:c r="B37" s="2" t="n">
        <x:v>35</x:v>
      </x:c>
      <x:c r="C37" s="22" t="n">
        <x:f>IF(F36&gt;0,E36,C36)</x:f>
        <x:v>0.2610752873297315</x:v>
      </x:c>
      <x:c r="D37" s="22" t="n">
        <x:f>IF(F36&gt;0,D36,E36)</x:f>
        <x:v>0.261075287417043</x:v>
      </x:c>
      <x:c r="E37" s="22" t="n">
        <x:f>AVERAGE(C37:D37)</x:f>
        <x:v>0.26107528737338725</x:v>
      </x:c>
      <x:c r="F37" s="24" t="n">
        <x:f>SUM(EXP(-E37*E2_tabla_vida!$X$2)*E2_tabla_vida!$P$2,EXP(-E37*E2_tabla_vida!$X$3)*E2_tabla_vida!$P$3,EXP(-E37*E2_tabla_vida!$X$4)*E2_tabla_vida!$P$4,EXP(-E37*E2_tabla_vida!$X$5)*E2_tabla_vida!$P$5,EXP(-E37*E2_tabla_vida!$X$6)*E2_tabla_vida!$P$6,EXP(-E37*E2_tabla_vida!$X$7)*E2_tabla_vida!$P$7,EXP(-E37*E2_tabla_vida!$X$8)*E2_tabla_vida!$P$8,EXP(-E37*E2_tabla_vida!$X$9)*E2_tabla_vida!$P$9,EXP(-E37*E2_tabla_vida!$X$10)*E2_tabla_vida!$P$10,EXP(-E37*E2_tabla_vida!$X$11)*E2_tabla_vida!$P$11,EXP(-E37*E2_tabla_vida!$X$12)*E2_tabla_vida!$P$12,EXP(-E37*E2_tabla_vida!$X$13)*E2_tabla_vida!$P$13,EXP(-E37*E2_tabla_vida!$X$14)*E2_tabla_vida!$P$14,EXP(-E37*E2_tabla_vida!$X$15)*E2_tabla_vida!$P$15,EXP(-E37*E2_tabla_vida!$X$16)*E2_tabla_vida!$P$16,EXP(-E37*E2_tabla_vida!$X$17)*E2_tabla_vida!$P$17,EXP(-E37*E2_tabla_vida!$X$18)*E2_tabla_vida!$P$18,EXP(-E37*E2_tabla_vida!$X$19)*E2_tabla_vida!$P$19,EXP(-E37*E2_tabla_vida!$X$20)*E2_tabla_vida!$P$20,EXP(-E37*E2_tabla_vida!$X$21)*E2_tabla_vida!$P$21,EXP(-E37*E2_tabla_vida!$X$22)*E2_tabla_vida!$P$22,EXP(-E37*E2_tabla_vida!$X$23)*E2_tabla_vida!$P$23,EXP(-E37*E2_tabla_vida!$X$24)*E2_tabla_vida!$P$24,EXP(-E37*E2_tabla_vida!$X$25)*E2_tabla_vida!$P$25,EXP(-E37*E2_tabla_vida!$X$26)*E2_tabla_vida!$P$26,EXP(-E37*E2_tabla_vida!$X$27)*E2_tabla_vida!$P$27,EXP(-E37*E2_tabla_vida!$X$28)*E2_tabla_vida!$P$28,EXP(-E37*E2_tabla_vida!$X$29)*E2_tabla_vida!$P$29,EXP(-E37*E2_tabla_vida!$X$30)*E2_tabla_vida!$P$30,EXP(-E37*E2_tabla_vida!$X$31)*E2_tabla_vida!$P$31,EXP(-E37*E2_tabla_vida!$X$32)*E2_tabla_vida!$P$32,EXP(-E37*E2_tabla_vida!$X$33)*E2_tabla_vida!$P$33,EXP(-E37*E2_tabla_vida!$X$34)*E2_tabla_vida!$P$34,EXP(-E37*E2_tabla_vida!$X$35)*E2_tabla_vida!$P$35,EXP(-E37*E2_tabla_vida!$X$36)*E2_tabla_vida!$P$36,EXP(-E37*E2_tabla_vida!$X$37)*E2_tabla_vida!$P$37,EXP(-E37*E2_tabla_vida!$X$38)*E2_tabla_vida!$P$38,EXP(-E37*E2_tabla_vida!$X$39)*E2_tabla_vida!$P$39,EXP(-E37*E2_tabla_vida!$X$40)*E2_tabla_vida!$P$40,EXP(-E37*E2_tabla_vida!$X$41)*E2_tabla_vida!$P$41,EXP(-E37*E2_tabla_vida!$X$42)*E2_tabla_vida!$P$42,EXP(-E37*E2_tabla_vida!$X$43)*E2_tabla_vida!$P$43)-1</x:f>
        <x:v>-6.149436515556772e-11</x:v>
      </x:c>
      <x:c r="G37" s="24" t="n">
        <x:f>SUM(EXP(-C37*E2_tabla_vida!$X$2)*E2_tabla_vida!$P$2,EXP(-C37*E2_tabla_vida!$X$3)*E2_tabla_vida!$P$3,EXP(-C37*E2_tabla_vida!$X$4)*E2_tabla_vida!$P$4,EXP(-C37*E2_tabla_vida!$X$5)*E2_tabla_vida!$P$5,EXP(-C37*E2_tabla_vida!$X$6)*E2_tabla_vida!$P$6,EXP(-C37*E2_tabla_vida!$X$7)*E2_tabla_vida!$P$7,EXP(-C37*E2_tabla_vida!$X$8)*E2_tabla_vida!$P$8,EXP(-C37*E2_tabla_vida!$X$9)*E2_tabla_vida!$P$9,EXP(-C37*E2_tabla_vida!$X$10)*E2_tabla_vida!$P$10,EXP(-C37*E2_tabla_vida!$X$11)*E2_tabla_vida!$P$11,EXP(-C37*E2_tabla_vida!$X$12)*E2_tabla_vida!$P$12,EXP(-C37*E2_tabla_vida!$X$13)*E2_tabla_vida!$P$13,EXP(-C37*E2_tabla_vida!$X$14)*E2_tabla_vida!$P$14,EXP(-C37*E2_tabla_vida!$X$15)*E2_tabla_vida!$P$15,EXP(-C37*E2_tabla_vida!$X$16)*E2_tabla_vida!$P$16,EXP(-C37*E2_tabla_vida!$X$17)*E2_tabla_vida!$P$17,EXP(-C37*E2_tabla_vida!$X$18)*E2_tabla_vida!$P$18,EXP(-C37*E2_tabla_vida!$X$19)*E2_tabla_vida!$P$19,EXP(-C37*E2_tabla_vida!$X$20)*E2_tabla_vida!$P$20,EXP(-C37*E2_tabla_vida!$X$21)*E2_tabla_vida!$P$21,EXP(-C37*E2_tabla_vida!$X$22)*E2_tabla_vida!$P$22,EXP(-C37*E2_tabla_vida!$X$23)*E2_tabla_vida!$P$23,EXP(-C37*E2_tabla_vida!$X$24)*E2_tabla_vida!$P$24,EXP(-C37*E2_tabla_vida!$X$25)*E2_tabla_vida!$P$25,EXP(-C37*E2_tabla_vida!$X$26)*E2_tabla_vida!$P$26,EXP(-C37*E2_tabla_vida!$X$27)*E2_tabla_vida!$P$27,EXP(-C37*E2_tabla_vida!$X$28)*E2_tabla_vida!$P$28,EXP(-C37*E2_tabla_vida!$X$29)*E2_tabla_vida!$P$29,EXP(-C37*E2_tabla_vida!$X$30)*E2_tabla_vida!$P$30,EXP(-C37*E2_tabla_vida!$X$31)*E2_tabla_vida!$P$31,EXP(-C37*E2_tabla_vida!$X$32)*E2_tabla_vida!$P$32,EXP(-C37*E2_tabla_vida!$X$33)*E2_tabla_vida!$P$33,EXP(-C37*E2_tabla_vida!$X$34)*E2_tabla_vida!$P$34,EXP(-C37*E2_tabla_vida!$X$35)*E2_tabla_vida!$P$35,EXP(-C37*E2_tabla_vida!$X$36)*E2_tabla_vida!$P$36,EXP(-C37*E2_tabla_vida!$X$37)*E2_tabla_vida!$P$37,EXP(-C37*E2_tabla_vida!$X$38)*E2_tabla_vida!$P$38,EXP(-C37*E2_tabla_vida!$X$39)*E2_tabla_vida!$P$39,EXP(-C37*E2_tabla_vida!$X$40)*E2_tabla_vida!$P$40,EXP(-C37*E2_tabla_vida!$X$41)*E2_tabla_vida!$P$41,EXP(-C37*E2_tabla_vida!$X$42)*E2_tabla_vida!$P$42,EXP(-C37*E2_tabla_vida!$X$43)*E2_tabla_vida!$P$43)-1</x:f>
        <x:v>5.237428268856092e-10</x:v>
      </x:c>
      <x:c r="H37" s="24" t="n">
        <x:f>SUM(EXP(-D37*E2_tabla_vida!$X$2)*E2_tabla_vida!$P$2,EXP(-D37*E2_tabla_vida!$X$3)*E2_tabla_vida!$P$3,EXP(-D37*E2_tabla_vida!$X$4)*E2_tabla_vida!$P$4,EXP(-D37*E2_tabla_vida!$X$5)*E2_tabla_vida!$P$5,EXP(-D37*E2_tabla_vida!$X$6)*E2_tabla_vida!$P$6,EXP(-D37*E2_tabla_vida!$X$7)*E2_tabla_vida!$P$7,EXP(-D37*E2_tabla_vida!$X$8)*E2_tabla_vida!$P$8,EXP(-D37*E2_tabla_vida!$X$9)*E2_tabla_vida!$P$9,EXP(-D37*E2_tabla_vida!$X$10)*E2_tabla_vida!$P$10,EXP(-D37*E2_tabla_vida!$X$11)*E2_tabla_vida!$P$11,EXP(-D37*E2_tabla_vida!$X$12)*E2_tabla_vida!$P$12,EXP(-D37*E2_tabla_vida!$X$13)*E2_tabla_vida!$P$13,EXP(-D37*E2_tabla_vida!$X$14)*E2_tabla_vida!$P$14,EXP(-D37*E2_tabla_vida!$X$15)*E2_tabla_vida!$P$15,EXP(-D37*E2_tabla_vida!$X$16)*E2_tabla_vida!$P$16,EXP(-D37*E2_tabla_vida!$X$17)*E2_tabla_vida!$P$17,EXP(-D37*E2_tabla_vida!$X$18)*E2_tabla_vida!$P$18,EXP(-D37*E2_tabla_vida!$X$19)*E2_tabla_vida!$P$19,EXP(-D37*E2_tabla_vida!$X$20)*E2_tabla_vida!$P$20,EXP(-D37*E2_tabla_vida!$X$21)*E2_tabla_vida!$P$21,EXP(-D37*E2_tabla_vida!$X$22)*E2_tabla_vida!$P$22,EXP(-D37*E2_tabla_vida!$X$23)*E2_tabla_vida!$P$23,EXP(-D37*E2_tabla_vida!$X$24)*E2_tabla_vida!$P$24,EXP(-D37*E2_tabla_vida!$X$25)*E2_tabla_vida!$P$25,EXP(-D37*E2_tabla_vida!$X$26)*E2_tabla_vida!$P$26,EXP(-D37*E2_tabla_vida!$X$27)*E2_tabla_vida!$P$27,EXP(-D37*E2_tabla_vida!$X$28)*E2_tabla_vida!$P$28,EXP(-D37*E2_tabla_vida!$X$29)*E2_tabla_vida!$P$29,EXP(-D37*E2_tabla_vida!$X$30)*E2_tabla_vida!$P$30,EXP(-D37*E2_tabla_vida!$X$31)*E2_tabla_vida!$P$31,EXP(-D37*E2_tabla_vida!$X$32)*E2_tabla_vida!$P$32,EXP(-D37*E2_tabla_vida!$X$33)*E2_tabla_vida!$P$33,EXP(-D37*E2_tabla_vida!$X$34)*E2_tabla_vida!$P$34,EXP(-D37*E2_tabla_vida!$X$35)*E2_tabla_vida!$P$35,EXP(-D37*E2_tabla_vida!$X$36)*E2_tabla_vida!$P$36,EXP(-D37*E2_tabla_vida!$X$37)*E2_tabla_vida!$P$37,EXP(-D37*E2_tabla_vida!$X$38)*E2_tabla_vida!$P$38,EXP(-D37*E2_tabla_vida!$X$39)*E2_tabla_vida!$P$39,EXP(-D37*E2_tabla_vida!$X$40)*E2_tabla_vida!$P$40,EXP(-D37*E2_tabla_vida!$X$41)*E2_tabla_vida!$P$41,EXP(-D37*E2_tabla_vida!$X$42)*E2_tabla_vida!$P$42,EXP(-D37*E2_tabla_vida!$X$43)*E2_tabla_vida!$P$43)-1</x:f>
        <x:v>-6.467312241298373e-10</x:v>
      </x:c>
    </x:row>
    <x:row r="38" ht="19" customHeight="1">
      <x:c r="A38" s="2" t="str">
        <x:v>MP_L0</x:v>
      </x:c>
      <x:c r="B38" s="2" t="n">
        <x:v>36</x:v>
      </x:c>
      <x:c r="C38" s="22" t="n">
        <x:f>IF(F37&gt;0,E37,C37)</x:f>
        <x:v>0.2610752873297315</x:v>
      </x:c>
      <x:c r="D38" s="22" t="n">
        <x:f>IF(F37&gt;0,D37,E37)</x:f>
        <x:v>0.26107528737338725</x:v>
      </x:c>
      <x:c r="E38" s="22" t="n">
        <x:f>AVERAGE(C38:D38)</x:f>
        <x:v>0.2610752873515594</x:v>
      </x:c>
      <x:c r="F38" s="24" t="n">
        <x:f>SUM(EXP(-E38*E2_tabla_vida!$X$2)*E2_tabla_vida!$P$2,EXP(-E38*E2_tabla_vida!$X$3)*E2_tabla_vida!$P$3,EXP(-E38*E2_tabla_vida!$X$4)*E2_tabla_vida!$P$4,EXP(-E38*E2_tabla_vida!$X$5)*E2_tabla_vida!$P$5,EXP(-E38*E2_tabla_vida!$X$6)*E2_tabla_vida!$P$6,EXP(-E38*E2_tabla_vida!$X$7)*E2_tabla_vida!$P$7,EXP(-E38*E2_tabla_vida!$X$8)*E2_tabla_vida!$P$8,EXP(-E38*E2_tabla_vida!$X$9)*E2_tabla_vida!$P$9,EXP(-E38*E2_tabla_vida!$X$10)*E2_tabla_vida!$P$10,EXP(-E38*E2_tabla_vida!$X$11)*E2_tabla_vida!$P$11,EXP(-E38*E2_tabla_vida!$X$12)*E2_tabla_vida!$P$12,EXP(-E38*E2_tabla_vida!$X$13)*E2_tabla_vida!$P$13,EXP(-E38*E2_tabla_vida!$X$14)*E2_tabla_vida!$P$14,EXP(-E38*E2_tabla_vida!$X$15)*E2_tabla_vida!$P$15,EXP(-E38*E2_tabla_vida!$X$16)*E2_tabla_vida!$P$16,EXP(-E38*E2_tabla_vida!$X$17)*E2_tabla_vida!$P$17,EXP(-E38*E2_tabla_vida!$X$18)*E2_tabla_vida!$P$18,EXP(-E38*E2_tabla_vida!$X$19)*E2_tabla_vida!$P$19,EXP(-E38*E2_tabla_vida!$X$20)*E2_tabla_vida!$P$20,EXP(-E38*E2_tabla_vida!$X$21)*E2_tabla_vida!$P$21,EXP(-E38*E2_tabla_vida!$X$22)*E2_tabla_vida!$P$22,EXP(-E38*E2_tabla_vida!$X$23)*E2_tabla_vida!$P$23,EXP(-E38*E2_tabla_vida!$X$24)*E2_tabla_vida!$P$24,EXP(-E38*E2_tabla_vida!$X$25)*E2_tabla_vida!$P$25,EXP(-E38*E2_tabla_vida!$X$26)*E2_tabla_vida!$P$26,EXP(-E38*E2_tabla_vida!$X$27)*E2_tabla_vida!$P$27,EXP(-E38*E2_tabla_vida!$X$28)*E2_tabla_vida!$P$28,EXP(-E38*E2_tabla_vida!$X$29)*E2_tabla_vida!$P$29,EXP(-E38*E2_tabla_vida!$X$30)*E2_tabla_vida!$P$30,EXP(-E38*E2_tabla_vida!$X$31)*E2_tabla_vida!$P$31,EXP(-E38*E2_tabla_vida!$X$32)*E2_tabla_vida!$P$32,EXP(-E38*E2_tabla_vida!$X$33)*E2_tabla_vida!$P$33,EXP(-E38*E2_tabla_vida!$X$34)*E2_tabla_vida!$P$34,EXP(-E38*E2_tabla_vida!$X$35)*E2_tabla_vida!$P$35,EXP(-E38*E2_tabla_vida!$X$36)*E2_tabla_vida!$P$36,EXP(-E38*E2_tabla_vida!$X$37)*E2_tabla_vida!$P$37,EXP(-E38*E2_tabla_vida!$X$38)*E2_tabla_vida!$P$38,EXP(-E38*E2_tabla_vida!$X$39)*E2_tabla_vida!$P$39,EXP(-E38*E2_tabla_vida!$X$40)*E2_tabla_vida!$P$40,EXP(-E38*E2_tabla_vida!$X$41)*E2_tabla_vida!$P$41,EXP(-E38*E2_tabla_vida!$X$42)*E2_tabla_vida!$P$42,EXP(-E38*E2_tabla_vida!$X$43)*E2_tabla_vida!$P$43)-1</x:f>
        <x:v>2.3112400882041584e-10</x:v>
      </x:c>
      <x:c r="G38" s="24" t="n">
        <x:f>SUM(EXP(-C38*E2_tabla_vida!$X$2)*E2_tabla_vida!$P$2,EXP(-C38*E2_tabla_vida!$X$3)*E2_tabla_vida!$P$3,EXP(-C38*E2_tabla_vida!$X$4)*E2_tabla_vida!$P$4,EXP(-C38*E2_tabla_vida!$X$5)*E2_tabla_vida!$P$5,EXP(-C38*E2_tabla_vida!$X$6)*E2_tabla_vida!$P$6,EXP(-C38*E2_tabla_vida!$X$7)*E2_tabla_vida!$P$7,EXP(-C38*E2_tabla_vida!$X$8)*E2_tabla_vida!$P$8,EXP(-C38*E2_tabla_vida!$X$9)*E2_tabla_vida!$P$9,EXP(-C38*E2_tabla_vida!$X$10)*E2_tabla_vida!$P$10,EXP(-C38*E2_tabla_vida!$X$11)*E2_tabla_vida!$P$11,EXP(-C38*E2_tabla_vida!$X$12)*E2_tabla_vida!$P$12,EXP(-C38*E2_tabla_vida!$X$13)*E2_tabla_vida!$P$13,EXP(-C38*E2_tabla_vida!$X$14)*E2_tabla_vida!$P$14,EXP(-C38*E2_tabla_vida!$X$15)*E2_tabla_vida!$P$15,EXP(-C38*E2_tabla_vida!$X$16)*E2_tabla_vida!$P$16,EXP(-C38*E2_tabla_vida!$X$17)*E2_tabla_vida!$P$17,EXP(-C38*E2_tabla_vida!$X$18)*E2_tabla_vida!$P$18,EXP(-C38*E2_tabla_vida!$X$19)*E2_tabla_vida!$P$19,EXP(-C38*E2_tabla_vida!$X$20)*E2_tabla_vida!$P$20,EXP(-C38*E2_tabla_vida!$X$21)*E2_tabla_vida!$P$21,EXP(-C38*E2_tabla_vida!$X$22)*E2_tabla_vida!$P$22,EXP(-C38*E2_tabla_vida!$X$23)*E2_tabla_vida!$P$23,EXP(-C38*E2_tabla_vida!$X$24)*E2_tabla_vida!$P$24,EXP(-C38*E2_tabla_vida!$X$25)*E2_tabla_vida!$P$25,EXP(-C38*E2_tabla_vida!$X$26)*E2_tabla_vida!$P$26,EXP(-C38*E2_tabla_vida!$X$27)*E2_tabla_vida!$P$27,EXP(-C38*E2_tabla_vida!$X$28)*E2_tabla_vida!$P$28,EXP(-C38*E2_tabla_vida!$X$29)*E2_tabla_vida!$P$29,EXP(-C38*E2_tabla_vida!$X$30)*E2_tabla_vida!$P$30,EXP(-C38*E2_tabla_vida!$X$31)*E2_tabla_vida!$P$31,EXP(-C38*E2_tabla_vida!$X$32)*E2_tabla_vida!$P$32,EXP(-C38*E2_tabla_vida!$X$33)*E2_tabla_vida!$P$33,EXP(-C38*E2_tabla_vida!$X$34)*E2_tabla_vida!$P$34,EXP(-C38*E2_tabla_vida!$X$35)*E2_tabla_vida!$P$35,EXP(-C38*E2_tabla_vida!$X$36)*E2_tabla_vida!$P$36,EXP(-C38*E2_tabla_vida!$X$37)*E2_tabla_vida!$P$37,EXP(-C38*E2_tabla_vida!$X$38)*E2_tabla_vida!$P$38,EXP(-C38*E2_tabla_vida!$X$39)*E2_tabla_vida!$P$39,EXP(-C38*E2_tabla_vida!$X$40)*E2_tabla_vida!$P$40,EXP(-C38*E2_tabla_vida!$X$41)*E2_tabla_vida!$P$41,EXP(-C38*E2_tabla_vida!$X$42)*E2_tabla_vida!$P$42,EXP(-C38*E2_tabla_vida!$X$43)*E2_tabla_vida!$P$43)-1</x:f>
        <x:v>5.237428268856092e-10</x:v>
      </x:c>
      <x:c r="H38" s="24" t="n">
        <x:f>SUM(EXP(-D38*E2_tabla_vida!$X$2)*E2_tabla_vida!$P$2,EXP(-D38*E2_tabla_vida!$X$3)*E2_tabla_vida!$P$3,EXP(-D38*E2_tabla_vida!$X$4)*E2_tabla_vida!$P$4,EXP(-D38*E2_tabla_vida!$X$5)*E2_tabla_vida!$P$5,EXP(-D38*E2_tabla_vida!$X$6)*E2_tabla_vida!$P$6,EXP(-D38*E2_tabla_vida!$X$7)*E2_tabla_vida!$P$7,EXP(-D38*E2_tabla_vida!$X$8)*E2_tabla_vida!$P$8,EXP(-D38*E2_tabla_vida!$X$9)*E2_tabla_vida!$P$9,EXP(-D38*E2_tabla_vida!$X$10)*E2_tabla_vida!$P$10,EXP(-D38*E2_tabla_vida!$X$11)*E2_tabla_vida!$P$11,EXP(-D38*E2_tabla_vida!$X$12)*E2_tabla_vida!$P$12,EXP(-D38*E2_tabla_vida!$X$13)*E2_tabla_vida!$P$13,EXP(-D38*E2_tabla_vida!$X$14)*E2_tabla_vida!$P$14,EXP(-D38*E2_tabla_vida!$X$15)*E2_tabla_vida!$P$15,EXP(-D38*E2_tabla_vida!$X$16)*E2_tabla_vida!$P$16,EXP(-D38*E2_tabla_vida!$X$17)*E2_tabla_vida!$P$17,EXP(-D38*E2_tabla_vida!$X$18)*E2_tabla_vida!$P$18,EXP(-D38*E2_tabla_vida!$X$19)*E2_tabla_vida!$P$19,EXP(-D38*E2_tabla_vida!$X$20)*E2_tabla_vida!$P$20,EXP(-D38*E2_tabla_vida!$X$21)*E2_tabla_vida!$P$21,EXP(-D38*E2_tabla_vida!$X$22)*E2_tabla_vida!$P$22,EXP(-D38*E2_tabla_vida!$X$23)*E2_tabla_vida!$P$23,EXP(-D38*E2_tabla_vida!$X$24)*E2_tabla_vida!$P$24,EXP(-D38*E2_tabla_vida!$X$25)*E2_tabla_vida!$P$25,EXP(-D38*E2_tabla_vida!$X$26)*E2_tabla_vida!$P$26,EXP(-D38*E2_tabla_vida!$X$27)*E2_tabla_vida!$P$27,EXP(-D38*E2_tabla_vida!$X$28)*E2_tabla_vida!$P$28,EXP(-D38*E2_tabla_vida!$X$29)*E2_tabla_vida!$P$29,EXP(-D38*E2_tabla_vida!$X$30)*E2_tabla_vida!$P$30,EXP(-D38*E2_tabla_vida!$X$31)*E2_tabla_vida!$P$31,EXP(-D38*E2_tabla_vida!$X$32)*E2_tabla_vida!$P$32,EXP(-D38*E2_tabla_vida!$X$33)*E2_tabla_vida!$P$33,EXP(-D38*E2_tabla_vida!$X$34)*E2_tabla_vida!$P$34,EXP(-D38*E2_tabla_vida!$X$35)*E2_tabla_vida!$P$35,EXP(-D38*E2_tabla_vida!$X$36)*E2_tabla_vida!$P$36,EXP(-D38*E2_tabla_vida!$X$37)*E2_tabla_vida!$P$37,EXP(-D38*E2_tabla_vida!$X$38)*E2_tabla_vida!$P$38,EXP(-D38*E2_tabla_vida!$X$39)*E2_tabla_vida!$P$39,EXP(-D38*E2_tabla_vida!$X$40)*E2_tabla_vida!$P$40,EXP(-D38*E2_tabla_vida!$X$41)*E2_tabla_vida!$P$41,EXP(-D38*E2_tabla_vida!$X$42)*E2_tabla_vida!$P$42,EXP(-D38*E2_tabla_vida!$X$43)*E2_tabla_vida!$P$43)-1</x:f>
        <x:v>-6.149436515556772e-11</x:v>
      </x:c>
    </x:row>
    <x:row r="39" ht="19" customHeight="1">
      <x:c r="A39" s="2" t="str">
        <x:v>MP_L0</x:v>
      </x:c>
      <x:c r="B39" s="2" t="n">
        <x:v>37</x:v>
      </x:c>
      <x:c r="C39" s="22" t="n">
        <x:f>IF(F38&gt;0,E38,C38)</x:f>
        <x:v>0.2610752873515594</x:v>
      </x:c>
      <x:c r="D39" s="22" t="n">
        <x:f>IF(F38&gt;0,D38,E38)</x:f>
        <x:v>0.26107528737338725</x:v>
      </x:c>
      <x:c r="E39" s="22" t="n">
        <x:f>AVERAGE(C39:D39)</x:f>
        <x:v>0.2610752873624733</x:v>
      </x:c>
      <x:c r="F39" s="24" t="n">
        <x:f>SUM(EXP(-E39*E2_tabla_vida!$X$2)*E2_tabla_vida!$P$2,EXP(-E39*E2_tabla_vida!$X$3)*E2_tabla_vida!$P$3,EXP(-E39*E2_tabla_vida!$X$4)*E2_tabla_vida!$P$4,EXP(-E39*E2_tabla_vida!$X$5)*E2_tabla_vida!$P$5,EXP(-E39*E2_tabla_vida!$X$6)*E2_tabla_vida!$P$6,EXP(-E39*E2_tabla_vida!$X$7)*E2_tabla_vida!$P$7,EXP(-E39*E2_tabla_vida!$X$8)*E2_tabla_vida!$P$8,EXP(-E39*E2_tabla_vida!$X$9)*E2_tabla_vida!$P$9,EXP(-E39*E2_tabla_vida!$X$10)*E2_tabla_vida!$P$10,EXP(-E39*E2_tabla_vida!$X$11)*E2_tabla_vida!$P$11,EXP(-E39*E2_tabla_vida!$X$12)*E2_tabla_vida!$P$12,EXP(-E39*E2_tabla_vida!$X$13)*E2_tabla_vida!$P$13,EXP(-E39*E2_tabla_vida!$X$14)*E2_tabla_vida!$P$14,EXP(-E39*E2_tabla_vida!$X$15)*E2_tabla_vida!$P$15,EXP(-E39*E2_tabla_vida!$X$16)*E2_tabla_vida!$P$16,EXP(-E39*E2_tabla_vida!$X$17)*E2_tabla_vida!$P$17,EXP(-E39*E2_tabla_vida!$X$18)*E2_tabla_vida!$P$18,EXP(-E39*E2_tabla_vida!$X$19)*E2_tabla_vida!$P$19,EXP(-E39*E2_tabla_vida!$X$20)*E2_tabla_vida!$P$20,EXP(-E39*E2_tabla_vida!$X$21)*E2_tabla_vida!$P$21,EXP(-E39*E2_tabla_vida!$X$22)*E2_tabla_vida!$P$22,EXP(-E39*E2_tabla_vida!$X$23)*E2_tabla_vida!$P$23,EXP(-E39*E2_tabla_vida!$X$24)*E2_tabla_vida!$P$24,EXP(-E39*E2_tabla_vida!$X$25)*E2_tabla_vida!$P$25,EXP(-E39*E2_tabla_vida!$X$26)*E2_tabla_vida!$P$26,EXP(-E39*E2_tabla_vida!$X$27)*E2_tabla_vida!$P$27,EXP(-E39*E2_tabla_vida!$X$28)*E2_tabla_vida!$P$28,EXP(-E39*E2_tabla_vida!$X$29)*E2_tabla_vida!$P$29,EXP(-E39*E2_tabla_vida!$X$30)*E2_tabla_vida!$P$30,EXP(-E39*E2_tabla_vida!$X$31)*E2_tabla_vida!$P$31,EXP(-E39*E2_tabla_vida!$X$32)*E2_tabla_vida!$P$32,EXP(-E39*E2_tabla_vida!$X$33)*E2_tabla_vida!$P$33,EXP(-E39*E2_tabla_vida!$X$34)*E2_tabla_vida!$P$34,EXP(-E39*E2_tabla_vida!$X$35)*E2_tabla_vida!$P$35,EXP(-E39*E2_tabla_vida!$X$36)*E2_tabla_vida!$P$36,EXP(-E39*E2_tabla_vida!$X$37)*E2_tabla_vida!$P$37,EXP(-E39*E2_tabla_vida!$X$38)*E2_tabla_vida!$P$38,EXP(-E39*E2_tabla_vida!$X$39)*E2_tabla_vida!$P$39,EXP(-E39*E2_tabla_vida!$X$40)*E2_tabla_vida!$P$40,EXP(-E39*E2_tabla_vida!$X$41)*E2_tabla_vida!$P$41,EXP(-E39*E2_tabla_vida!$X$42)*E2_tabla_vida!$P$42,EXP(-E39*E2_tabla_vida!$X$43)*E2_tabla_vida!$P$43)-1</x:f>
        <x:v>8.481482183242406e-11</x:v>
      </x:c>
      <x:c r="G39" s="24" t="n">
        <x:f>SUM(EXP(-C39*E2_tabla_vida!$X$2)*E2_tabla_vida!$P$2,EXP(-C39*E2_tabla_vida!$X$3)*E2_tabla_vida!$P$3,EXP(-C39*E2_tabla_vida!$X$4)*E2_tabla_vida!$P$4,EXP(-C39*E2_tabla_vida!$X$5)*E2_tabla_vida!$P$5,EXP(-C39*E2_tabla_vida!$X$6)*E2_tabla_vida!$P$6,EXP(-C39*E2_tabla_vida!$X$7)*E2_tabla_vida!$P$7,EXP(-C39*E2_tabla_vida!$X$8)*E2_tabla_vida!$P$8,EXP(-C39*E2_tabla_vida!$X$9)*E2_tabla_vida!$P$9,EXP(-C39*E2_tabla_vida!$X$10)*E2_tabla_vida!$P$10,EXP(-C39*E2_tabla_vida!$X$11)*E2_tabla_vida!$P$11,EXP(-C39*E2_tabla_vida!$X$12)*E2_tabla_vida!$P$12,EXP(-C39*E2_tabla_vida!$X$13)*E2_tabla_vida!$P$13,EXP(-C39*E2_tabla_vida!$X$14)*E2_tabla_vida!$P$14,EXP(-C39*E2_tabla_vida!$X$15)*E2_tabla_vida!$P$15,EXP(-C39*E2_tabla_vida!$X$16)*E2_tabla_vida!$P$16,EXP(-C39*E2_tabla_vida!$X$17)*E2_tabla_vida!$P$17,EXP(-C39*E2_tabla_vida!$X$18)*E2_tabla_vida!$P$18,EXP(-C39*E2_tabla_vida!$X$19)*E2_tabla_vida!$P$19,EXP(-C39*E2_tabla_vida!$X$20)*E2_tabla_vida!$P$20,EXP(-C39*E2_tabla_vida!$X$21)*E2_tabla_vida!$P$21,EXP(-C39*E2_tabla_vida!$X$22)*E2_tabla_vida!$P$22,EXP(-C39*E2_tabla_vida!$X$23)*E2_tabla_vida!$P$23,EXP(-C39*E2_tabla_vida!$X$24)*E2_tabla_vida!$P$24,EXP(-C39*E2_tabla_vida!$X$25)*E2_tabla_vida!$P$25,EXP(-C39*E2_tabla_vida!$X$26)*E2_tabla_vida!$P$26,EXP(-C39*E2_tabla_vida!$X$27)*E2_tabla_vida!$P$27,EXP(-C39*E2_tabla_vida!$X$28)*E2_tabla_vida!$P$28,EXP(-C39*E2_tabla_vida!$X$29)*E2_tabla_vida!$P$29,EXP(-C39*E2_tabla_vida!$X$30)*E2_tabla_vida!$P$30,EXP(-C39*E2_tabla_vida!$X$31)*E2_tabla_vida!$P$31,EXP(-C39*E2_tabla_vida!$X$32)*E2_tabla_vida!$P$32,EXP(-C39*E2_tabla_vida!$X$33)*E2_tabla_vida!$P$33,EXP(-C39*E2_tabla_vida!$X$34)*E2_tabla_vida!$P$34,EXP(-C39*E2_tabla_vida!$X$35)*E2_tabla_vida!$P$35,EXP(-C39*E2_tabla_vida!$X$36)*E2_tabla_vida!$P$36,EXP(-C39*E2_tabla_vida!$X$37)*E2_tabla_vida!$P$37,EXP(-C39*E2_tabla_vida!$X$38)*E2_tabla_vida!$P$38,EXP(-C39*E2_tabla_vida!$X$39)*E2_tabla_vida!$P$39,EXP(-C39*E2_tabla_vida!$X$40)*E2_tabla_vida!$P$40,EXP(-C39*E2_tabla_vida!$X$41)*E2_tabla_vida!$P$41,EXP(-C39*E2_tabla_vida!$X$42)*E2_tabla_vida!$P$42,EXP(-C39*E2_tabla_vida!$X$43)*E2_tabla_vida!$P$43)-1</x:f>
        <x:v>2.3112400882041584e-10</x:v>
      </x:c>
      <x:c r="H39" s="24" t="n">
        <x:f>SUM(EXP(-D39*E2_tabla_vida!$X$2)*E2_tabla_vida!$P$2,EXP(-D39*E2_tabla_vida!$X$3)*E2_tabla_vida!$P$3,EXP(-D39*E2_tabla_vida!$X$4)*E2_tabla_vida!$P$4,EXP(-D39*E2_tabla_vida!$X$5)*E2_tabla_vida!$P$5,EXP(-D39*E2_tabla_vida!$X$6)*E2_tabla_vida!$P$6,EXP(-D39*E2_tabla_vida!$X$7)*E2_tabla_vida!$P$7,EXP(-D39*E2_tabla_vida!$X$8)*E2_tabla_vida!$P$8,EXP(-D39*E2_tabla_vida!$X$9)*E2_tabla_vida!$P$9,EXP(-D39*E2_tabla_vida!$X$10)*E2_tabla_vida!$P$10,EXP(-D39*E2_tabla_vida!$X$11)*E2_tabla_vida!$P$11,EXP(-D39*E2_tabla_vida!$X$12)*E2_tabla_vida!$P$12,EXP(-D39*E2_tabla_vida!$X$13)*E2_tabla_vida!$P$13,EXP(-D39*E2_tabla_vida!$X$14)*E2_tabla_vida!$P$14,EXP(-D39*E2_tabla_vida!$X$15)*E2_tabla_vida!$P$15,EXP(-D39*E2_tabla_vida!$X$16)*E2_tabla_vida!$P$16,EXP(-D39*E2_tabla_vida!$X$17)*E2_tabla_vida!$P$17,EXP(-D39*E2_tabla_vida!$X$18)*E2_tabla_vida!$P$18,EXP(-D39*E2_tabla_vida!$X$19)*E2_tabla_vida!$P$19,EXP(-D39*E2_tabla_vida!$X$20)*E2_tabla_vida!$P$20,EXP(-D39*E2_tabla_vida!$X$21)*E2_tabla_vida!$P$21,EXP(-D39*E2_tabla_vida!$X$22)*E2_tabla_vida!$P$22,EXP(-D39*E2_tabla_vida!$X$23)*E2_tabla_vida!$P$23,EXP(-D39*E2_tabla_vida!$X$24)*E2_tabla_vida!$P$24,EXP(-D39*E2_tabla_vida!$X$25)*E2_tabla_vida!$P$25,EXP(-D39*E2_tabla_vida!$X$26)*E2_tabla_vida!$P$26,EXP(-D39*E2_tabla_vida!$X$27)*E2_tabla_vida!$P$27,EXP(-D39*E2_tabla_vida!$X$28)*E2_tabla_vida!$P$28,EXP(-D39*E2_tabla_vida!$X$29)*E2_tabla_vida!$P$29,EXP(-D39*E2_tabla_vida!$X$30)*E2_tabla_vida!$P$30,EXP(-D39*E2_tabla_vida!$X$31)*E2_tabla_vida!$P$31,EXP(-D39*E2_tabla_vida!$X$32)*E2_tabla_vida!$P$32,EXP(-D39*E2_tabla_vida!$X$33)*E2_tabla_vida!$P$33,EXP(-D39*E2_tabla_vida!$X$34)*E2_tabla_vida!$P$34,EXP(-D39*E2_tabla_vida!$X$35)*E2_tabla_vida!$P$35,EXP(-D39*E2_tabla_vida!$X$36)*E2_tabla_vida!$P$36,EXP(-D39*E2_tabla_vida!$X$37)*E2_tabla_vida!$P$37,EXP(-D39*E2_tabla_vida!$X$38)*E2_tabla_vida!$P$38,EXP(-D39*E2_tabla_vida!$X$39)*E2_tabla_vida!$P$39,EXP(-D39*E2_tabla_vida!$X$40)*E2_tabla_vida!$P$40,EXP(-D39*E2_tabla_vida!$X$41)*E2_tabla_vida!$P$41,EXP(-D39*E2_tabla_vida!$X$42)*E2_tabla_vida!$P$42,EXP(-D39*E2_tabla_vida!$X$43)*E2_tabla_vida!$P$43)-1</x:f>
        <x:v>-6.149436515556772e-11</x:v>
      </x:c>
    </x:row>
    <x:row r="40" ht="19" customHeight="1">
      <x:c r="A40" s="2" t="str">
        <x:v>MP_L0</x:v>
      </x:c>
      <x:c r="B40" s="2" t="n">
        <x:v>38</x:v>
      </x:c>
      <x:c r="C40" s="22" t="n">
        <x:f>IF(F39&gt;0,E39,C39)</x:f>
        <x:v>0.2610752873624733</x:v>
      </x:c>
      <x:c r="D40" s="22" t="n">
        <x:f>IF(F39&gt;0,D39,E39)</x:f>
        <x:v>0.26107528737338725</x:v>
      </x:c>
      <x:c r="E40" s="22" t="n">
        <x:f>AVERAGE(C40:D40)</x:f>
        <x:v>0.2610752873679303</x:v>
      </x:c>
      <x:c r="F40" s="24" t="n">
        <x:f>SUM(EXP(-E40*E2_tabla_vida!$X$2)*E2_tabla_vida!$P$2,EXP(-E40*E2_tabla_vida!$X$3)*E2_tabla_vida!$P$3,EXP(-E40*E2_tabla_vida!$X$4)*E2_tabla_vida!$P$4,EXP(-E40*E2_tabla_vida!$X$5)*E2_tabla_vida!$P$5,EXP(-E40*E2_tabla_vida!$X$6)*E2_tabla_vida!$P$6,EXP(-E40*E2_tabla_vida!$X$7)*E2_tabla_vida!$P$7,EXP(-E40*E2_tabla_vida!$X$8)*E2_tabla_vida!$P$8,EXP(-E40*E2_tabla_vida!$X$9)*E2_tabla_vida!$P$9,EXP(-E40*E2_tabla_vida!$X$10)*E2_tabla_vida!$P$10,EXP(-E40*E2_tabla_vida!$X$11)*E2_tabla_vida!$P$11,EXP(-E40*E2_tabla_vida!$X$12)*E2_tabla_vida!$P$12,EXP(-E40*E2_tabla_vida!$X$13)*E2_tabla_vida!$P$13,EXP(-E40*E2_tabla_vida!$X$14)*E2_tabla_vida!$P$14,EXP(-E40*E2_tabla_vida!$X$15)*E2_tabla_vida!$P$15,EXP(-E40*E2_tabla_vida!$X$16)*E2_tabla_vida!$P$16,EXP(-E40*E2_tabla_vida!$X$17)*E2_tabla_vida!$P$17,EXP(-E40*E2_tabla_vida!$X$18)*E2_tabla_vida!$P$18,EXP(-E40*E2_tabla_vida!$X$19)*E2_tabla_vida!$P$19,EXP(-E40*E2_tabla_vida!$X$20)*E2_tabla_vida!$P$20,EXP(-E40*E2_tabla_vida!$X$21)*E2_tabla_vida!$P$21,EXP(-E40*E2_tabla_vida!$X$22)*E2_tabla_vida!$P$22,EXP(-E40*E2_tabla_vida!$X$23)*E2_tabla_vida!$P$23,EXP(-E40*E2_tabla_vida!$X$24)*E2_tabla_vida!$P$24,EXP(-E40*E2_tabla_vida!$X$25)*E2_tabla_vida!$P$25,EXP(-E40*E2_tabla_vida!$X$26)*E2_tabla_vida!$P$26,EXP(-E40*E2_tabla_vida!$X$27)*E2_tabla_vida!$P$27,EXP(-E40*E2_tabla_vida!$X$28)*E2_tabla_vida!$P$28,EXP(-E40*E2_tabla_vida!$X$29)*E2_tabla_vida!$P$29,EXP(-E40*E2_tabla_vida!$X$30)*E2_tabla_vida!$P$30,EXP(-E40*E2_tabla_vida!$X$31)*E2_tabla_vida!$P$31,EXP(-E40*E2_tabla_vida!$X$32)*E2_tabla_vida!$P$32,EXP(-E40*E2_tabla_vida!$X$33)*E2_tabla_vida!$P$33,EXP(-E40*E2_tabla_vida!$X$34)*E2_tabla_vida!$P$34,EXP(-E40*E2_tabla_vida!$X$35)*E2_tabla_vida!$P$35,EXP(-E40*E2_tabla_vida!$X$36)*E2_tabla_vida!$P$36,EXP(-E40*E2_tabla_vida!$X$37)*E2_tabla_vida!$P$37,EXP(-E40*E2_tabla_vida!$X$38)*E2_tabla_vida!$P$38,EXP(-E40*E2_tabla_vida!$X$39)*E2_tabla_vida!$P$39,EXP(-E40*E2_tabla_vida!$X$40)*E2_tabla_vida!$P$40,EXP(-E40*E2_tabla_vida!$X$41)*E2_tabla_vida!$P$41,EXP(-E40*E2_tabla_vida!$X$42)*E2_tabla_vida!$P$42,EXP(-E40*E2_tabla_vida!$X$43)*E2_tabla_vida!$P$43)-1</x:f>
        <x:v>1.1660228338428169e-11</x:v>
      </x:c>
      <x:c r="G40" s="24" t="n">
        <x:f>SUM(EXP(-C40*E2_tabla_vida!$X$2)*E2_tabla_vida!$P$2,EXP(-C40*E2_tabla_vida!$X$3)*E2_tabla_vida!$P$3,EXP(-C40*E2_tabla_vida!$X$4)*E2_tabla_vida!$P$4,EXP(-C40*E2_tabla_vida!$X$5)*E2_tabla_vida!$P$5,EXP(-C40*E2_tabla_vida!$X$6)*E2_tabla_vida!$P$6,EXP(-C40*E2_tabla_vida!$X$7)*E2_tabla_vida!$P$7,EXP(-C40*E2_tabla_vida!$X$8)*E2_tabla_vida!$P$8,EXP(-C40*E2_tabla_vida!$X$9)*E2_tabla_vida!$P$9,EXP(-C40*E2_tabla_vida!$X$10)*E2_tabla_vida!$P$10,EXP(-C40*E2_tabla_vida!$X$11)*E2_tabla_vida!$P$11,EXP(-C40*E2_tabla_vida!$X$12)*E2_tabla_vida!$P$12,EXP(-C40*E2_tabla_vida!$X$13)*E2_tabla_vida!$P$13,EXP(-C40*E2_tabla_vida!$X$14)*E2_tabla_vida!$P$14,EXP(-C40*E2_tabla_vida!$X$15)*E2_tabla_vida!$P$15,EXP(-C40*E2_tabla_vida!$X$16)*E2_tabla_vida!$P$16,EXP(-C40*E2_tabla_vida!$X$17)*E2_tabla_vida!$P$17,EXP(-C40*E2_tabla_vida!$X$18)*E2_tabla_vida!$P$18,EXP(-C40*E2_tabla_vida!$X$19)*E2_tabla_vida!$P$19,EXP(-C40*E2_tabla_vida!$X$20)*E2_tabla_vida!$P$20,EXP(-C40*E2_tabla_vida!$X$21)*E2_tabla_vida!$P$21,EXP(-C40*E2_tabla_vida!$X$22)*E2_tabla_vida!$P$22,EXP(-C40*E2_tabla_vida!$X$23)*E2_tabla_vida!$P$23,EXP(-C40*E2_tabla_vida!$X$24)*E2_tabla_vida!$P$24,EXP(-C40*E2_tabla_vida!$X$25)*E2_tabla_vida!$P$25,EXP(-C40*E2_tabla_vida!$X$26)*E2_tabla_vida!$P$26,EXP(-C40*E2_tabla_vida!$X$27)*E2_tabla_vida!$P$27,EXP(-C40*E2_tabla_vida!$X$28)*E2_tabla_vida!$P$28,EXP(-C40*E2_tabla_vida!$X$29)*E2_tabla_vida!$P$29,EXP(-C40*E2_tabla_vida!$X$30)*E2_tabla_vida!$P$30,EXP(-C40*E2_tabla_vida!$X$31)*E2_tabla_vida!$P$31,EXP(-C40*E2_tabla_vida!$X$32)*E2_tabla_vida!$P$32,EXP(-C40*E2_tabla_vida!$X$33)*E2_tabla_vida!$P$33,EXP(-C40*E2_tabla_vida!$X$34)*E2_tabla_vida!$P$34,EXP(-C40*E2_tabla_vida!$X$35)*E2_tabla_vida!$P$35,EXP(-C40*E2_tabla_vida!$X$36)*E2_tabla_vida!$P$36,EXP(-C40*E2_tabla_vida!$X$37)*E2_tabla_vida!$P$37,EXP(-C40*E2_tabla_vida!$X$38)*E2_tabla_vida!$P$38,EXP(-C40*E2_tabla_vida!$X$39)*E2_tabla_vida!$P$39,EXP(-C40*E2_tabla_vida!$X$40)*E2_tabla_vida!$P$40,EXP(-C40*E2_tabla_vida!$X$41)*E2_tabla_vida!$P$41,EXP(-C40*E2_tabla_vida!$X$42)*E2_tabla_vida!$P$42,EXP(-C40*E2_tabla_vida!$X$43)*E2_tabla_vida!$P$43)-1</x:f>
        <x:v>8.481482183242406e-11</x:v>
      </x:c>
      <x:c r="H40" s="24" t="n">
        <x:f>SUM(EXP(-D40*E2_tabla_vida!$X$2)*E2_tabla_vida!$P$2,EXP(-D40*E2_tabla_vida!$X$3)*E2_tabla_vida!$P$3,EXP(-D40*E2_tabla_vida!$X$4)*E2_tabla_vida!$P$4,EXP(-D40*E2_tabla_vida!$X$5)*E2_tabla_vida!$P$5,EXP(-D40*E2_tabla_vida!$X$6)*E2_tabla_vida!$P$6,EXP(-D40*E2_tabla_vida!$X$7)*E2_tabla_vida!$P$7,EXP(-D40*E2_tabla_vida!$X$8)*E2_tabla_vida!$P$8,EXP(-D40*E2_tabla_vida!$X$9)*E2_tabla_vida!$P$9,EXP(-D40*E2_tabla_vida!$X$10)*E2_tabla_vida!$P$10,EXP(-D40*E2_tabla_vida!$X$11)*E2_tabla_vida!$P$11,EXP(-D40*E2_tabla_vida!$X$12)*E2_tabla_vida!$P$12,EXP(-D40*E2_tabla_vida!$X$13)*E2_tabla_vida!$P$13,EXP(-D40*E2_tabla_vida!$X$14)*E2_tabla_vida!$P$14,EXP(-D40*E2_tabla_vida!$X$15)*E2_tabla_vida!$P$15,EXP(-D40*E2_tabla_vida!$X$16)*E2_tabla_vida!$P$16,EXP(-D40*E2_tabla_vida!$X$17)*E2_tabla_vida!$P$17,EXP(-D40*E2_tabla_vida!$X$18)*E2_tabla_vida!$P$18,EXP(-D40*E2_tabla_vida!$X$19)*E2_tabla_vida!$P$19,EXP(-D40*E2_tabla_vida!$X$20)*E2_tabla_vida!$P$20,EXP(-D40*E2_tabla_vida!$X$21)*E2_tabla_vida!$P$21,EXP(-D40*E2_tabla_vida!$X$22)*E2_tabla_vida!$P$22,EXP(-D40*E2_tabla_vida!$X$23)*E2_tabla_vida!$P$23,EXP(-D40*E2_tabla_vida!$X$24)*E2_tabla_vida!$P$24,EXP(-D40*E2_tabla_vida!$X$25)*E2_tabla_vida!$P$25,EXP(-D40*E2_tabla_vida!$X$26)*E2_tabla_vida!$P$26,EXP(-D40*E2_tabla_vida!$X$27)*E2_tabla_vida!$P$27,EXP(-D40*E2_tabla_vida!$X$28)*E2_tabla_vida!$P$28,EXP(-D40*E2_tabla_vida!$X$29)*E2_tabla_vida!$P$29,EXP(-D40*E2_tabla_vida!$X$30)*E2_tabla_vida!$P$30,EXP(-D40*E2_tabla_vida!$X$31)*E2_tabla_vida!$P$31,EXP(-D40*E2_tabla_vida!$X$32)*E2_tabla_vida!$P$32,EXP(-D40*E2_tabla_vida!$X$33)*E2_tabla_vida!$P$33,EXP(-D40*E2_tabla_vida!$X$34)*E2_tabla_vida!$P$34,EXP(-D40*E2_tabla_vida!$X$35)*E2_tabla_vida!$P$35,EXP(-D40*E2_tabla_vida!$X$36)*E2_tabla_vida!$P$36,EXP(-D40*E2_tabla_vida!$X$37)*E2_tabla_vida!$P$37,EXP(-D40*E2_tabla_vida!$X$38)*E2_tabla_vida!$P$38,EXP(-D40*E2_tabla_vida!$X$39)*E2_tabla_vida!$P$39,EXP(-D40*E2_tabla_vida!$X$40)*E2_tabla_vida!$P$40,EXP(-D40*E2_tabla_vida!$X$41)*E2_tabla_vida!$P$41,EXP(-D40*E2_tabla_vida!$X$42)*E2_tabla_vida!$P$42,EXP(-D40*E2_tabla_vida!$X$43)*E2_tabla_vida!$P$43)-1</x:f>
        <x:v>-6.149436515556772e-11</x:v>
      </x:c>
    </x:row>
    <x:row r="41" ht="19" customHeight="1">
      <x:c r="A41" s="2" t="str">
        <x:v>MP_L0</x:v>
      </x:c>
      <x:c r="B41" s="2" t="n">
        <x:v>39</x:v>
      </x:c>
      <x:c r="C41" s="22" t="n">
        <x:f>IF(F40&gt;0,E40,C40)</x:f>
        <x:v>0.2610752873679303</x:v>
      </x:c>
      <x:c r="D41" s="22" t="n">
        <x:f>IF(F40&gt;0,D40,E40)</x:f>
        <x:v>0.26107528737338725</x:v>
      </x:c>
      <x:c r="E41" s="22" t="n">
        <x:f>AVERAGE(C41:D41)</x:f>
        <x:v>0.26107528737065877</x:v>
      </x:c>
      <x:c r="F41" s="24" t="n">
        <x:f>SUM(EXP(-E41*E2_tabla_vida!$X$2)*E2_tabla_vida!$P$2,EXP(-E41*E2_tabla_vida!$X$3)*E2_tabla_vida!$P$3,EXP(-E41*E2_tabla_vida!$X$4)*E2_tabla_vida!$P$4,EXP(-E41*E2_tabla_vida!$X$5)*E2_tabla_vida!$P$5,EXP(-E41*E2_tabla_vida!$X$6)*E2_tabla_vida!$P$6,EXP(-E41*E2_tabla_vida!$X$7)*E2_tabla_vida!$P$7,EXP(-E41*E2_tabla_vida!$X$8)*E2_tabla_vida!$P$8,EXP(-E41*E2_tabla_vida!$X$9)*E2_tabla_vida!$P$9,EXP(-E41*E2_tabla_vida!$X$10)*E2_tabla_vida!$P$10,EXP(-E41*E2_tabla_vida!$X$11)*E2_tabla_vida!$P$11,EXP(-E41*E2_tabla_vida!$X$12)*E2_tabla_vida!$P$12,EXP(-E41*E2_tabla_vida!$X$13)*E2_tabla_vida!$P$13,EXP(-E41*E2_tabla_vida!$X$14)*E2_tabla_vida!$P$14,EXP(-E41*E2_tabla_vida!$X$15)*E2_tabla_vida!$P$15,EXP(-E41*E2_tabla_vida!$X$16)*E2_tabla_vida!$P$16,EXP(-E41*E2_tabla_vida!$X$17)*E2_tabla_vida!$P$17,EXP(-E41*E2_tabla_vida!$X$18)*E2_tabla_vida!$P$18,EXP(-E41*E2_tabla_vida!$X$19)*E2_tabla_vida!$P$19,EXP(-E41*E2_tabla_vida!$X$20)*E2_tabla_vida!$P$20,EXP(-E41*E2_tabla_vida!$X$21)*E2_tabla_vida!$P$21,EXP(-E41*E2_tabla_vida!$X$22)*E2_tabla_vida!$P$22,EXP(-E41*E2_tabla_vida!$X$23)*E2_tabla_vida!$P$23,EXP(-E41*E2_tabla_vida!$X$24)*E2_tabla_vida!$P$24,EXP(-E41*E2_tabla_vida!$X$25)*E2_tabla_vida!$P$25,EXP(-E41*E2_tabla_vida!$X$26)*E2_tabla_vida!$P$26,EXP(-E41*E2_tabla_vida!$X$27)*E2_tabla_vida!$P$27,EXP(-E41*E2_tabla_vida!$X$28)*E2_tabla_vida!$P$28,EXP(-E41*E2_tabla_vida!$X$29)*E2_tabla_vida!$P$29,EXP(-E41*E2_tabla_vida!$X$30)*E2_tabla_vida!$P$30,EXP(-E41*E2_tabla_vida!$X$31)*E2_tabla_vida!$P$31,EXP(-E41*E2_tabla_vida!$X$32)*E2_tabla_vida!$P$32,EXP(-E41*E2_tabla_vida!$X$33)*E2_tabla_vida!$P$33,EXP(-E41*E2_tabla_vida!$X$34)*E2_tabla_vida!$P$34,EXP(-E41*E2_tabla_vida!$X$35)*E2_tabla_vida!$P$35,EXP(-E41*E2_tabla_vida!$X$36)*E2_tabla_vida!$P$36,EXP(-E41*E2_tabla_vida!$X$37)*E2_tabla_vida!$P$37,EXP(-E41*E2_tabla_vida!$X$38)*E2_tabla_vida!$P$38,EXP(-E41*E2_tabla_vida!$X$39)*E2_tabla_vida!$P$39,EXP(-E41*E2_tabla_vida!$X$40)*E2_tabla_vida!$P$40,EXP(-E41*E2_tabla_vida!$X$41)*E2_tabla_vida!$P$41,EXP(-E41*E2_tabla_vida!$X$42)*E2_tabla_vida!$P$42,EXP(-E41*E2_tabla_vida!$X$43)*E2_tabla_vida!$P$43)-1</x:f>
        <x:v>-2.491684636396485e-11</x:v>
      </x:c>
      <x:c r="G41" s="24" t="n">
        <x:f>SUM(EXP(-C41*E2_tabla_vida!$X$2)*E2_tabla_vida!$P$2,EXP(-C41*E2_tabla_vida!$X$3)*E2_tabla_vida!$P$3,EXP(-C41*E2_tabla_vida!$X$4)*E2_tabla_vida!$P$4,EXP(-C41*E2_tabla_vida!$X$5)*E2_tabla_vida!$P$5,EXP(-C41*E2_tabla_vida!$X$6)*E2_tabla_vida!$P$6,EXP(-C41*E2_tabla_vida!$X$7)*E2_tabla_vida!$P$7,EXP(-C41*E2_tabla_vida!$X$8)*E2_tabla_vida!$P$8,EXP(-C41*E2_tabla_vida!$X$9)*E2_tabla_vida!$P$9,EXP(-C41*E2_tabla_vida!$X$10)*E2_tabla_vida!$P$10,EXP(-C41*E2_tabla_vida!$X$11)*E2_tabla_vida!$P$11,EXP(-C41*E2_tabla_vida!$X$12)*E2_tabla_vida!$P$12,EXP(-C41*E2_tabla_vida!$X$13)*E2_tabla_vida!$P$13,EXP(-C41*E2_tabla_vida!$X$14)*E2_tabla_vida!$P$14,EXP(-C41*E2_tabla_vida!$X$15)*E2_tabla_vida!$P$15,EXP(-C41*E2_tabla_vida!$X$16)*E2_tabla_vida!$P$16,EXP(-C41*E2_tabla_vida!$X$17)*E2_tabla_vida!$P$17,EXP(-C41*E2_tabla_vida!$X$18)*E2_tabla_vida!$P$18,EXP(-C41*E2_tabla_vida!$X$19)*E2_tabla_vida!$P$19,EXP(-C41*E2_tabla_vida!$X$20)*E2_tabla_vida!$P$20,EXP(-C41*E2_tabla_vida!$X$21)*E2_tabla_vida!$P$21,EXP(-C41*E2_tabla_vida!$X$22)*E2_tabla_vida!$P$22,EXP(-C41*E2_tabla_vida!$X$23)*E2_tabla_vida!$P$23,EXP(-C41*E2_tabla_vida!$X$24)*E2_tabla_vida!$P$24,EXP(-C41*E2_tabla_vida!$X$25)*E2_tabla_vida!$P$25,EXP(-C41*E2_tabla_vida!$X$26)*E2_tabla_vida!$P$26,EXP(-C41*E2_tabla_vida!$X$27)*E2_tabla_vida!$P$27,EXP(-C41*E2_tabla_vida!$X$28)*E2_tabla_vida!$P$28,EXP(-C41*E2_tabla_vida!$X$29)*E2_tabla_vida!$P$29,EXP(-C41*E2_tabla_vida!$X$30)*E2_tabla_vida!$P$30,EXP(-C41*E2_tabla_vida!$X$31)*E2_tabla_vida!$P$31,EXP(-C41*E2_tabla_vida!$X$32)*E2_tabla_vida!$P$32,EXP(-C41*E2_tabla_vida!$X$33)*E2_tabla_vida!$P$33,EXP(-C41*E2_tabla_vida!$X$34)*E2_tabla_vida!$P$34,EXP(-C41*E2_tabla_vida!$X$35)*E2_tabla_vida!$P$35,EXP(-C41*E2_tabla_vida!$X$36)*E2_tabla_vida!$P$36,EXP(-C41*E2_tabla_vida!$X$37)*E2_tabla_vida!$P$37,EXP(-C41*E2_tabla_vida!$X$38)*E2_tabla_vida!$P$38,EXP(-C41*E2_tabla_vida!$X$39)*E2_tabla_vida!$P$39,EXP(-C41*E2_tabla_vida!$X$40)*E2_tabla_vida!$P$40,EXP(-C41*E2_tabla_vida!$X$41)*E2_tabla_vida!$P$41,EXP(-C41*E2_tabla_vida!$X$42)*E2_tabla_vida!$P$42,EXP(-C41*E2_tabla_vida!$X$43)*E2_tabla_vida!$P$43)-1</x:f>
        <x:v>1.1660228338428169e-11</x:v>
      </x:c>
      <x:c r="H41" s="24" t="n">
        <x:f>SUM(EXP(-D41*E2_tabla_vida!$X$2)*E2_tabla_vida!$P$2,EXP(-D41*E2_tabla_vida!$X$3)*E2_tabla_vida!$P$3,EXP(-D41*E2_tabla_vida!$X$4)*E2_tabla_vida!$P$4,EXP(-D41*E2_tabla_vida!$X$5)*E2_tabla_vida!$P$5,EXP(-D41*E2_tabla_vida!$X$6)*E2_tabla_vida!$P$6,EXP(-D41*E2_tabla_vida!$X$7)*E2_tabla_vida!$P$7,EXP(-D41*E2_tabla_vida!$X$8)*E2_tabla_vida!$P$8,EXP(-D41*E2_tabla_vida!$X$9)*E2_tabla_vida!$P$9,EXP(-D41*E2_tabla_vida!$X$10)*E2_tabla_vida!$P$10,EXP(-D41*E2_tabla_vida!$X$11)*E2_tabla_vida!$P$11,EXP(-D41*E2_tabla_vida!$X$12)*E2_tabla_vida!$P$12,EXP(-D41*E2_tabla_vida!$X$13)*E2_tabla_vida!$P$13,EXP(-D41*E2_tabla_vida!$X$14)*E2_tabla_vida!$P$14,EXP(-D41*E2_tabla_vida!$X$15)*E2_tabla_vida!$P$15,EXP(-D41*E2_tabla_vida!$X$16)*E2_tabla_vida!$P$16,EXP(-D41*E2_tabla_vida!$X$17)*E2_tabla_vida!$P$17,EXP(-D41*E2_tabla_vida!$X$18)*E2_tabla_vida!$P$18,EXP(-D41*E2_tabla_vida!$X$19)*E2_tabla_vida!$P$19,EXP(-D41*E2_tabla_vida!$X$20)*E2_tabla_vida!$P$20,EXP(-D41*E2_tabla_vida!$X$21)*E2_tabla_vida!$P$21,EXP(-D41*E2_tabla_vida!$X$22)*E2_tabla_vida!$P$22,EXP(-D41*E2_tabla_vida!$X$23)*E2_tabla_vida!$P$23,EXP(-D41*E2_tabla_vida!$X$24)*E2_tabla_vida!$P$24,EXP(-D41*E2_tabla_vida!$X$25)*E2_tabla_vida!$P$25,EXP(-D41*E2_tabla_vida!$X$26)*E2_tabla_vida!$P$26,EXP(-D41*E2_tabla_vida!$X$27)*E2_tabla_vida!$P$27,EXP(-D41*E2_tabla_vida!$X$28)*E2_tabla_vida!$P$28,EXP(-D41*E2_tabla_vida!$X$29)*E2_tabla_vida!$P$29,EXP(-D41*E2_tabla_vida!$X$30)*E2_tabla_vida!$P$30,EXP(-D41*E2_tabla_vida!$X$31)*E2_tabla_vida!$P$31,EXP(-D41*E2_tabla_vida!$X$32)*E2_tabla_vida!$P$32,EXP(-D41*E2_tabla_vida!$X$33)*E2_tabla_vida!$P$33,EXP(-D41*E2_tabla_vida!$X$34)*E2_tabla_vida!$P$34,EXP(-D41*E2_tabla_vida!$X$35)*E2_tabla_vida!$P$35,EXP(-D41*E2_tabla_vida!$X$36)*E2_tabla_vida!$P$36,EXP(-D41*E2_tabla_vida!$X$37)*E2_tabla_vida!$P$37,EXP(-D41*E2_tabla_vida!$X$38)*E2_tabla_vida!$P$38,EXP(-D41*E2_tabla_vida!$X$39)*E2_tabla_vida!$P$39,EXP(-D41*E2_tabla_vida!$X$40)*E2_tabla_vida!$P$40,EXP(-D41*E2_tabla_vida!$X$41)*E2_tabla_vida!$P$41,EXP(-D41*E2_tabla_vida!$X$42)*E2_tabla_vida!$P$42,EXP(-D41*E2_tabla_vida!$X$43)*E2_tabla_vida!$P$43)-1</x:f>
        <x:v>-6.149436515556772e-11</x:v>
      </x:c>
    </x:row>
    <x:row r="42" ht="19" customHeight="1">
      <x:c r="A42" s="2" t="str">
        <x:v>MP_L0</x:v>
      </x:c>
      <x:c r="B42" s="2" t="n">
        <x:v>40</x:v>
      </x:c>
      <x:c r="C42" s="22" t="n">
        <x:f>IF(F41&gt;0,E41,C41)</x:f>
        <x:v>0.2610752873679303</x:v>
      </x:c>
      <x:c r="D42" s="22" t="n">
        <x:f>IF(F41&gt;0,D41,E41)</x:f>
        <x:v>0.26107528737065877</x:v>
      </x:c>
      <x:c r="E42" s="22" t="n">
        <x:f>AVERAGE(C42:D42)</x:f>
        <x:v>0.26107528736929453</x:v>
      </x:c>
      <x:c r="F42" s="24" t="n">
        <x:f>SUM(EXP(-E42*E2_tabla_vida!$X$2)*E2_tabla_vida!$P$2,EXP(-E42*E2_tabla_vida!$X$3)*E2_tabla_vida!$P$3,EXP(-E42*E2_tabla_vida!$X$4)*E2_tabla_vida!$P$4,EXP(-E42*E2_tabla_vida!$X$5)*E2_tabla_vida!$P$5,EXP(-E42*E2_tabla_vida!$X$6)*E2_tabla_vida!$P$6,EXP(-E42*E2_tabla_vida!$X$7)*E2_tabla_vida!$P$7,EXP(-E42*E2_tabla_vida!$X$8)*E2_tabla_vida!$P$8,EXP(-E42*E2_tabla_vida!$X$9)*E2_tabla_vida!$P$9,EXP(-E42*E2_tabla_vida!$X$10)*E2_tabla_vida!$P$10,EXP(-E42*E2_tabla_vida!$X$11)*E2_tabla_vida!$P$11,EXP(-E42*E2_tabla_vida!$X$12)*E2_tabla_vida!$P$12,EXP(-E42*E2_tabla_vida!$X$13)*E2_tabla_vida!$P$13,EXP(-E42*E2_tabla_vida!$X$14)*E2_tabla_vida!$P$14,EXP(-E42*E2_tabla_vida!$X$15)*E2_tabla_vida!$P$15,EXP(-E42*E2_tabla_vida!$X$16)*E2_tabla_vida!$P$16,EXP(-E42*E2_tabla_vida!$X$17)*E2_tabla_vida!$P$17,EXP(-E42*E2_tabla_vida!$X$18)*E2_tabla_vida!$P$18,EXP(-E42*E2_tabla_vida!$X$19)*E2_tabla_vida!$P$19,EXP(-E42*E2_tabla_vida!$X$20)*E2_tabla_vida!$P$20,EXP(-E42*E2_tabla_vida!$X$21)*E2_tabla_vida!$P$21,EXP(-E42*E2_tabla_vida!$X$22)*E2_tabla_vida!$P$22,EXP(-E42*E2_tabla_vida!$X$23)*E2_tabla_vida!$P$23,EXP(-E42*E2_tabla_vida!$X$24)*E2_tabla_vida!$P$24,EXP(-E42*E2_tabla_vida!$X$25)*E2_tabla_vida!$P$25,EXP(-E42*E2_tabla_vida!$X$26)*E2_tabla_vida!$P$26,EXP(-E42*E2_tabla_vida!$X$27)*E2_tabla_vida!$P$27,EXP(-E42*E2_tabla_vida!$X$28)*E2_tabla_vida!$P$28,EXP(-E42*E2_tabla_vida!$X$29)*E2_tabla_vida!$P$29,EXP(-E42*E2_tabla_vida!$X$30)*E2_tabla_vida!$P$30,EXP(-E42*E2_tabla_vida!$X$31)*E2_tabla_vida!$P$31,EXP(-E42*E2_tabla_vida!$X$32)*E2_tabla_vida!$P$32,EXP(-E42*E2_tabla_vida!$X$33)*E2_tabla_vida!$P$33,EXP(-E42*E2_tabla_vida!$X$34)*E2_tabla_vida!$P$34,EXP(-E42*E2_tabla_vida!$X$35)*E2_tabla_vida!$P$35,EXP(-E42*E2_tabla_vida!$X$36)*E2_tabla_vida!$P$36,EXP(-E42*E2_tabla_vida!$X$37)*E2_tabla_vida!$P$37,EXP(-E42*E2_tabla_vida!$X$38)*E2_tabla_vida!$P$38,EXP(-E42*E2_tabla_vida!$X$39)*E2_tabla_vida!$P$39,EXP(-E42*E2_tabla_vida!$X$40)*E2_tabla_vida!$P$40,EXP(-E42*E2_tabla_vida!$X$41)*E2_tabla_vida!$P$41,EXP(-E42*E2_tabla_vida!$X$42)*E2_tabla_vida!$P$42,EXP(-E42*E2_tabla_vida!$X$43)*E2_tabla_vida!$P$43)-1</x:f>
        <x:v>-6.628142479314647e-12</x:v>
      </x:c>
      <x:c r="G42" s="24" t="n">
        <x:f>SUM(EXP(-C42*E2_tabla_vida!$X$2)*E2_tabla_vida!$P$2,EXP(-C42*E2_tabla_vida!$X$3)*E2_tabla_vida!$P$3,EXP(-C42*E2_tabla_vida!$X$4)*E2_tabla_vida!$P$4,EXP(-C42*E2_tabla_vida!$X$5)*E2_tabla_vida!$P$5,EXP(-C42*E2_tabla_vida!$X$6)*E2_tabla_vida!$P$6,EXP(-C42*E2_tabla_vida!$X$7)*E2_tabla_vida!$P$7,EXP(-C42*E2_tabla_vida!$X$8)*E2_tabla_vida!$P$8,EXP(-C42*E2_tabla_vida!$X$9)*E2_tabla_vida!$P$9,EXP(-C42*E2_tabla_vida!$X$10)*E2_tabla_vida!$P$10,EXP(-C42*E2_tabla_vida!$X$11)*E2_tabla_vida!$P$11,EXP(-C42*E2_tabla_vida!$X$12)*E2_tabla_vida!$P$12,EXP(-C42*E2_tabla_vida!$X$13)*E2_tabla_vida!$P$13,EXP(-C42*E2_tabla_vida!$X$14)*E2_tabla_vida!$P$14,EXP(-C42*E2_tabla_vida!$X$15)*E2_tabla_vida!$P$15,EXP(-C42*E2_tabla_vida!$X$16)*E2_tabla_vida!$P$16,EXP(-C42*E2_tabla_vida!$X$17)*E2_tabla_vida!$P$17,EXP(-C42*E2_tabla_vida!$X$18)*E2_tabla_vida!$P$18,EXP(-C42*E2_tabla_vida!$X$19)*E2_tabla_vida!$P$19,EXP(-C42*E2_tabla_vida!$X$20)*E2_tabla_vida!$P$20,EXP(-C42*E2_tabla_vida!$X$21)*E2_tabla_vida!$P$21,EXP(-C42*E2_tabla_vida!$X$22)*E2_tabla_vida!$P$22,EXP(-C42*E2_tabla_vida!$X$23)*E2_tabla_vida!$P$23,EXP(-C42*E2_tabla_vida!$X$24)*E2_tabla_vida!$P$24,EXP(-C42*E2_tabla_vida!$X$25)*E2_tabla_vida!$P$25,EXP(-C42*E2_tabla_vida!$X$26)*E2_tabla_vida!$P$26,EXP(-C42*E2_tabla_vida!$X$27)*E2_tabla_vida!$P$27,EXP(-C42*E2_tabla_vida!$X$28)*E2_tabla_vida!$P$28,EXP(-C42*E2_tabla_vida!$X$29)*E2_tabla_vida!$P$29,EXP(-C42*E2_tabla_vida!$X$30)*E2_tabla_vida!$P$30,EXP(-C42*E2_tabla_vida!$X$31)*E2_tabla_vida!$P$31,EXP(-C42*E2_tabla_vida!$X$32)*E2_tabla_vida!$P$32,EXP(-C42*E2_tabla_vida!$X$33)*E2_tabla_vida!$P$33,EXP(-C42*E2_tabla_vida!$X$34)*E2_tabla_vida!$P$34,EXP(-C42*E2_tabla_vida!$X$35)*E2_tabla_vida!$P$35,EXP(-C42*E2_tabla_vida!$X$36)*E2_tabla_vida!$P$36,EXP(-C42*E2_tabla_vida!$X$37)*E2_tabla_vida!$P$37,EXP(-C42*E2_tabla_vida!$X$38)*E2_tabla_vida!$P$38,EXP(-C42*E2_tabla_vida!$X$39)*E2_tabla_vida!$P$39,EXP(-C42*E2_tabla_vida!$X$40)*E2_tabla_vida!$P$40,EXP(-C42*E2_tabla_vida!$X$41)*E2_tabla_vida!$P$41,EXP(-C42*E2_tabla_vida!$X$42)*E2_tabla_vida!$P$42,EXP(-C42*E2_tabla_vida!$X$43)*E2_tabla_vida!$P$43)-1</x:f>
        <x:v>1.1660228338428169e-11</x:v>
      </x:c>
      <x:c r="H42" s="24" t="n">
        <x:f>SUM(EXP(-D42*E2_tabla_vida!$X$2)*E2_tabla_vida!$P$2,EXP(-D42*E2_tabla_vida!$X$3)*E2_tabla_vida!$P$3,EXP(-D42*E2_tabla_vida!$X$4)*E2_tabla_vida!$P$4,EXP(-D42*E2_tabla_vida!$X$5)*E2_tabla_vida!$P$5,EXP(-D42*E2_tabla_vida!$X$6)*E2_tabla_vida!$P$6,EXP(-D42*E2_tabla_vida!$X$7)*E2_tabla_vida!$P$7,EXP(-D42*E2_tabla_vida!$X$8)*E2_tabla_vida!$P$8,EXP(-D42*E2_tabla_vida!$X$9)*E2_tabla_vida!$P$9,EXP(-D42*E2_tabla_vida!$X$10)*E2_tabla_vida!$P$10,EXP(-D42*E2_tabla_vida!$X$11)*E2_tabla_vida!$P$11,EXP(-D42*E2_tabla_vida!$X$12)*E2_tabla_vida!$P$12,EXP(-D42*E2_tabla_vida!$X$13)*E2_tabla_vida!$P$13,EXP(-D42*E2_tabla_vida!$X$14)*E2_tabla_vida!$P$14,EXP(-D42*E2_tabla_vida!$X$15)*E2_tabla_vida!$P$15,EXP(-D42*E2_tabla_vida!$X$16)*E2_tabla_vida!$P$16,EXP(-D42*E2_tabla_vida!$X$17)*E2_tabla_vida!$P$17,EXP(-D42*E2_tabla_vida!$X$18)*E2_tabla_vida!$P$18,EXP(-D42*E2_tabla_vida!$X$19)*E2_tabla_vida!$P$19,EXP(-D42*E2_tabla_vida!$X$20)*E2_tabla_vida!$P$20,EXP(-D42*E2_tabla_vida!$X$21)*E2_tabla_vida!$P$21,EXP(-D42*E2_tabla_vida!$X$22)*E2_tabla_vida!$P$22,EXP(-D42*E2_tabla_vida!$X$23)*E2_tabla_vida!$P$23,EXP(-D42*E2_tabla_vida!$X$24)*E2_tabla_vida!$P$24,EXP(-D42*E2_tabla_vida!$X$25)*E2_tabla_vida!$P$25,EXP(-D42*E2_tabla_vida!$X$26)*E2_tabla_vida!$P$26,EXP(-D42*E2_tabla_vida!$X$27)*E2_tabla_vida!$P$27,EXP(-D42*E2_tabla_vida!$X$28)*E2_tabla_vida!$P$28,EXP(-D42*E2_tabla_vida!$X$29)*E2_tabla_vida!$P$29,EXP(-D42*E2_tabla_vida!$X$30)*E2_tabla_vida!$P$30,EXP(-D42*E2_tabla_vida!$X$31)*E2_tabla_vida!$P$31,EXP(-D42*E2_tabla_vida!$X$32)*E2_tabla_vida!$P$32,EXP(-D42*E2_tabla_vida!$X$33)*E2_tabla_vida!$P$33,EXP(-D42*E2_tabla_vida!$X$34)*E2_tabla_vida!$P$34,EXP(-D42*E2_tabla_vida!$X$35)*E2_tabla_vida!$P$35,EXP(-D42*E2_tabla_vida!$X$36)*E2_tabla_vida!$P$36,EXP(-D42*E2_tabla_vida!$X$37)*E2_tabla_vida!$P$37,EXP(-D42*E2_tabla_vida!$X$38)*E2_tabla_vida!$P$38,EXP(-D42*E2_tabla_vida!$X$39)*E2_tabla_vida!$P$39,EXP(-D42*E2_tabla_vida!$X$40)*E2_tabla_vida!$P$40,EXP(-D42*E2_tabla_vida!$X$41)*E2_tabla_vida!$P$41,EXP(-D42*E2_tabla_vida!$X$42)*E2_tabla_vida!$P$42,EXP(-D42*E2_tabla_vida!$X$43)*E2_tabla_vida!$P$43)-1</x:f>
        <x:v>-2.491684636396485e-11</x:v>
      </x:c>
    </x:row>
    <x:row r="43" ht="19" customHeight="1">
      <x:c r="A43" s="2" t="str">
        <x:v>MP_L0</x:v>
      </x:c>
      <x:c r="B43" s="2" t="n">
        <x:v>41</x:v>
      </x:c>
      <x:c r="C43" s="22" t="n">
        <x:f>IF(F42&gt;0,E42,C42)</x:f>
        <x:v>0.2610752873679303</x:v>
      </x:c>
      <x:c r="D43" s="22" t="n">
        <x:f>IF(F42&gt;0,D42,E42)</x:f>
        <x:v>0.26107528736929453</x:v>
      </x:c>
      <x:c r="E43" s="22" t="n">
        <x:f>AVERAGE(C43:D43)</x:f>
        <x:v>0.2610752873686124</x:v>
      </x:c>
      <x:c r="F43" s="24" t="n">
        <x:f>SUM(EXP(-E43*E2_tabla_vida!$X$2)*E2_tabla_vida!$P$2,EXP(-E43*E2_tabla_vida!$X$3)*E2_tabla_vida!$P$3,EXP(-E43*E2_tabla_vida!$X$4)*E2_tabla_vida!$P$4,EXP(-E43*E2_tabla_vida!$X$5)*E2_tabla_vida!$P$5,EXP(-E43*E2_tabla_vida!$X$6)*E2_tabla_vida!$P$6,EXP(-E43*E2_tabla_vida!$X$7)*E2_tabla_vida!$P$7,EXP(-E43*E2_tabla_vida!$X$8)*E2_tabla_vida!$P$8,EXP(-E43*E2_tabla_vida!$X$9)*E2_tabla_vida!$P$9,EXP(-E43*E2_tabla_vida!$X$10)*E2_tabla_vida!$P$10,EXP(-E43*E2_tabla_vida!$X$11)*E2_tabla_vida!$P$11,EXP(-E43*E2_tabla_vida!$X$12)*E2_tabla_vida!$P$12,EXP(-E43*E2_tabla_vida!$X$13)*E2_tabla_vida!$P$13,EXP(-E43*E2_tabla_vida!$X$14)*E2_tabla_vida!$P$14,EXP(-E43*E2_tabla_vida!$X$15)*E2_tabla_vida!$P$15,EXP(-E43*E2_tabla_vida!$X$16)*E2_tabla_vida!$P$16,EXP(-E43*E2_tabla_vida!$X$17)*E2_tabla_vida!$P$17,EXP(-E43*E2_tabla_vida!$X$18)*E2_tabla_vida!$P$18,EXP(-E43*E2_tabla_vida!$X$19)*E2_tabla_vida!$P$19,EXP(-E43*E2_tabla_vida!$X$20)*E2_tabla_vida!$P$20,EXP(-E43*E2_tabla_vida!$X$21)*E2_tabla_vida!$P$21,EXP(-E43*E2_tabla_vida!$X$22)*E2_tabla_vida!$P$22,EXP(-E43*E2_tabla_vida!$X$23)*E2_tabla_vida!$P$23,EXP(-E43*E2_tabla_vida!$X$24)*E2_tabla_vida!$P$24,EXP(-E43*E2_tabla_vida!$X$25)*E2_tabla_vida!$P$25,EXP(-E43*E2_tabla_vida!$X$26)*E2_tabla_vida!$P$26,EXP(-E43*E2_tabla_vida!$X$27)*E2_tabla_vida!$P$27,EXP(-E43*E2_tabla_vida!$X$28)*E2_tabla_vida!$P$28,EXP(-E43*E2_tabla_vida!$X$29)*E2_tabla_vida!$P$29,EXP(-E43*E2_tabla_vida!$X$30)*E2_tabla_vida!$P$30,EXP(-E43*E2_tabla_vida!$X$31)*E2_tabla_vida!$P$31,EXP(-E43*E2_tabla_vida!$X$32)*E2_tabla_vida!$P$32,EXP(-E43*E2_tabla_vida!$X$33)*E2_tabla_vida!$P$33,EXP(-E43*E2_tabla_vida!$X$34)*E2_tabla_vida!$P$34,EXP(-E43*E2_tabla_vida!$X$35)*E2_tabla_vida!$P$35,EXP(-E43*E2_tabla_vida!$X$36)*E2_tabla_vida!$P$36,EXP(-E43*E2_tabla_vida!$X$37)*E2_tabla_vida!$P$37,EXP(-E43*E2_tabla_vida!$X$38)*E2_tabla_vida!$P$38,EXP(-E43*E2_tabla_vida!$X$39)*E2_tabla_vida!$P$39,EXP(-E43*E2_tabla_vida!$X$40)*E2_tabla_vida!$P$40,EXP(-E43*E2_tabla_vida!$X$41)*E2_tabla_vida!$P$41,EXP(-E43*E2_tabla_vida!$X$42)*E2_tabla_vida!$P$42,EXP(-E43*E2_tabla_vida!$X$43)*E2_tabla_vida!$P$43)-1</x:f>
        <x:v>2.5157653738006047e-12</x:v>
      </x:c>
      <x:c r="G43" s="24" t="n">
        <x:f>SUM(EXP(-C43*E2_tabla_vida!$X$2)*E2_tabla_vida!$P$2,EXP(-C43*E2_tabla_vida!$X$3)*E2_tabla_vida!$P$3,EXP(-C43*E2_tabla_vida!$X$4)*E2_tabla_vida!$P$4,EXP(-C43*E2_tabla_vida!$X$5)*E2_tabla_vida!$P$5,EXP(-C43*E2_tabla_vida!$X$6)*E2_tabla_vida!$P$6,EXP(-C43*E2_tabla_vida!$X$7)*E2_tabla_vida!$P$7,EXP(-C43*E2_tabla_vida!$X$8)*E2_tabla_vida!$P$8,EXP(-C43*E2_tabla_vida!$X$9)*E2_tabla_vida!$P$9,EXP(-C43*E2_tabla_vida!$X$10)*E2_tabla_vida!$P$10,EXP(-C43*E2_tabla_vida!$X$11)*E2_tabla_vida!$P$11,EXP(-C43*E2_tabla_vida!$X$12)*E2_tabla_vida!$P$12,EXP(-C43*E2_tabla_vida!$X$13)*E2_tabla_vida!$P$13,EXP(-C43*E2_tabla_vida!$X$14)*E2_tabla_vida!$P$14,EXP(-C43*E2_tabla_vida!$X$15)*E2_tabla_vida!$P$15,EXP(-C43*E2_tabla_vida!$X$16)*E2_tabla_vida!$P$16,EXP(-C43*E2_tabla_vida!$X$17)*E2_tabla_vida!$P$17,EXP(-C43*E2_tabla_vida!$X$18)*E2_tabla_vida!$P$18,EXP(-C43*E2_tabla_vida!$X$19)*E2_tabla_vida!$P$19,EXP(-C43*E2_tabla_vida!$X$20)*E2_tabla_vida!$P$20,EXP(-C43*E2_tabla_vida!$X$21)*E2_tabla_vida!$P$21,EXP(-C43*E2_tabla_vida!$X$22)*E2_tabla_vida!$P$22,EXP(-C43*E2_tabla_vida!$X$23)*E2_tabla_vida!$P$23,EXP(-C43*E2_tabla_vida!$X$24)*E2_tabla_vida!$P$24,EXP(-C43*E2_tabla_vida!$X$25)*E2_tabla_vida!$P$25,EXP(-C43*E2_tabla_vida!$X$26)*E2_tabla_vida!$P$26,EXP(-C43*E2_tabla_vida!$X$27)*E2_tabla_vida!$P$27,EXP(-C43*E2_tabla_vida!$X$28)*E2_tabla_vida!$P$28,EXP(-C43*E2_tabla_vida!$X$29)*E2_tabla_vida!$P$29,EXP(-C43*E2_tabla_vida!$X$30)*E2_tabla_vida!$P$30,EXP(-C43*E2_tabla_vida!$X$31)*E2_tabla_vida!$P$31,EXP(-C43*E2_tabla_vida!$X$32)*E2_tabla_vida!$P$32,EXP(-C43*E2_tabla_vida!$X$33)*E2_tabla_vida!$P$33,EXP(-C43*E2_tabla_vida!$X$34)*E2_tabla_vida!$P$34,EXP(-C43*E2_tabla_vida!$X$35)*E2_tabla_vida!$P$35,EXP(-C43*E2_tabla_vida!$X$36)*E2_tabla_vida!$P$36,EXP(-C43*E2_tabla_vida!$X$37)*E2_tabla_vida!$P$37,EXP(-C43*E2_tabla_vida!$X$38)*E2_tabla_vida!$P$38,EXP(-C43*E2_tabla_vida!$X$39)*E2_tabla_vida!$P$39,EXP(-C43*E2_tabla_vida!$X$40)*E2_tabla_vida!$P$40,EXP(-C43*E2_tabla_vida!$X$41)*E2_tabla_vida!$P$41,EXP(-C43*E2_tabla_vida!$X$42)*E2_tabla_vida!$P$42,EXP(-C43*E2_tabla_vida!$X$43)*E2_tabla_vida!$P$43)-1</x:f>
        <x:v>1.1660228338428169e-11</x:v>
      </x:c>
      <x:c r="H43" s="24" t="n">
        <x:f>SUM(EXP(-D43*E2_tabla_vida!$X$2)*E2_tabla_vida!$P$2,EXP(-D43*E2_tabla_vida!$X$3)*E2_tabla_vida!$P$3,EXP(-D43*E2_tabla_vida!$X$4)*E2_tabla_vida!$P$4,EXP(-D43*E2_tabla_vida!$X$5)*E2_tabla_vida!$P$5,EXP(-D43*E2_tabla_vida!$X$6)*E2_tabla_vida!$P$6,EXP(-D43*E2_tabla_vida!$X$7)*E2_tabla_vida!$P$7,EXP(-D43*E2_tabla_vida!$X$8)*E2_tabla_vida!$P$8,EXP(-D43*E2_tabla_vida!$X$9)*E2_tabla_vida!$P$9,EXP(-D43*E2_tabla_vida!$X$10)*E2_tabla_vida!$P$10,EXP(-D43*E2_tabla_vida!$X$11)*E2_tabla_vida!$P$11,EXP(-D43*E2_tabla_vida!$X$12)*E2_tabla_vida!$P$12,EXP(-D43*E2_tabla_vida!$X$13)*E2_tabla_vida!$P$13,EXP(-D43*E2_tabla_vida!$X$14)*E2_tabla_vida!$P$14,EXP(-D43*E2_tabla_vida!$X$15)*E2_tabla_vida!$P$15,EXP(-D43*E2_tabla_vida!$X$16)*E2_tabla_vida!$P$16,EXP(-D43*E2_tabla_vida!$X$17)*E2_tabla_vida!$P$17,EXP(-D43*E2_tabla_vida!$X$18)*E2_tabla_vida!$P$18,EXP(-D43*E2_tabla_vida!$X$19)*E2_tabla_vida!$P$19,EXP(-D43*E2_tabla_vida!$X$20)*E2_tabla_vida!$P$20,EXP(-D43*E2_tabla_vida!$X$21)*E2_tabla_vida!$P$21,EXP(-D43*E2_tabla_vida!$X$22)*E2_tabla_vida!$P$22,EXP(-D43*E2_tabla_vida!$X$23)*E2_tabla_vida!$P$23,EXP(-D43*E2_tabla_vida!$X$24)*E2_tabla_vida!$P$24,EXP(-D43*E2_tabla_vida!$X$25)*E2_tabla_vida!$P$25,EXP(-D43*E2_tabla_vida!$X$26)*E2_tabla_vida!$P$26,EXP(-D43*E2_tabla_vida!$X$27)*E2_tabla_vida!$P$27,EXP(-D43*E2_tabla_vida!$X$28)*E2_tabla_vida!$P$28,EXP(-D43*E2_tabla_vida!$X$29)*E2_tabla_vida!$P$29,EXP(-D43*E2_tabla_vida!$X$30)*E2_tabla_vida!$P$30,EXP(-D43*E2_tabla_vida!$X$31)*E2_tabla_vida!$P$31,EXP(-D43*E2_tabla_vida!$X$32)*E2_tabla_vida!$P$32,EXP(-D43*E2_tabla_vida!$X$33)*E2_tabla_vida!$P$33,EXP(-D43*E2_tabla_vida!$X$34)*E2_tabla_vida!$P$34,EXP(-D43*E2_tabla_vida!$X$35)*E2_tabla_vida!$P$35,EXP(-D43*E2_tabla_vida!$X$36)*E2_tabla_vida!$P$36,EXP(-D43*E2_tabla_vida!$X$37)*E2_tabla_vida!$P$37,EXP(-D43*E2_tabla_vida!$X$38)*E2_tabla_vida!$P$38,EXP(-D43*E2_tabla_vida!$X$39)*E2_tabla_vida!$P$39,EXP(-D43*E2_tabla_vida!$X$40)*E2_tabla_vida!$P$40,EXP(-D43*E2_tabla_vida!$X$41)*E2_tabla_vida!$P$41,EXP(-D43*E2_tabla_vida!$X$42)*E2_tabla_vida!$P$42,EXP(-D43*E2_tabla_vida!$X$43)*E2_tabla_vida!$P$43)-1</x:f>
        <x:v>-6.628142479314647e-12</x:v>
      </x:c>
    </x:row>
    <x:row r="44" ht="19" customHeight="1">
      <x:c r="A44" s="2" t="str">
        <x:v>MP_L0</x:v>
      </x:c>
      <x:c r="B44" s="2" t="n">
        <x:v>42</x:v>
      </x:c>
      <x:c r="C44" s="22" t="n">
        <x:f>IF(F43&gt;0,E43,C43)</x:f>
        <x:v>0.2610752873686124</x:v>
      </x:c>
      <x:c r="D44" s="22" t="n">
        <x:f>IF(F43&gt;0,D43,E43)</x:f>
        <x:v>0.26107528736929453</x:v>
      </x:c>
      <x:c r="E44" s="22" t="n">
        <x:f>AVERAGE(C44:D44)</x:f>
        <x:v>0.26107528736895347</x:v>
      </x:c>
      <x:c r="F44" s="24" t="n">
        <x:f>SUM(EXP(-E44*E2_tabla_vida!$X$2)*E2_tabla_vida!$P$2,EXP(-E44*E2_tabla_vida!$X$3)*E2_tabla_vida!$P$3,EXP(-E44*E2_tabla_vida!$X$4)*E2_tabla_vida!$P$4,EXP(-E44*E2_tabla_vida!$X$5)*E2_tabla_vida!$P$5,EXP(-E44*E2_tabla_vida!$X$6)*E2_tabla_vida!$P$6,EXP(-E44*E2_tabla_vida!$X$7)*E2_tabla_vida!$P$7,EXP(-E44*E2_tabla_vida!$X$8)*E2_tabla_vida!$P$8,EXP(-E44*E2_tabla_vida!$X$9)*E2_tabla_vida!$P$9,EXP(-E44*E2_tabla_vida!$X$10)*E2_tabla_vida!$P$10,EXP(-E44*E2_tabla_vida!$X$11)*E2_tabla_vida!$P$11,EXP(-E44*E2_tabla_vida!$X$12)*E2_tabla_vida!$P$12,EXP(-E44*E2_tabla_vida!$X$13)*E2_tabla_vida!$P$13,EXP(-E44*E2_tabla_vida!$X$14)*E2_tabla_vida!$P$14,EXP(-E44*E2_tabla_vida!$X$15)*E2_tabla_vida!$P$15,EXP(-E44*E2_tabla_vida!$X$16)*E2_tabla_vida!$P$16,EXP(-E44*E2_tabla_vida!$X$17)*E2_tabla_vida!$P$17,EXP(-E44*E2_tabla_vida!$X$18)*E2_tabla_vida!$P$18,EXP(-E44*E2_tabla_vida!$X$19)*E2_tabla_vida!$P$19,EXP(-E44*E2_tabla_vida!$X$20)*E2_tabla_vida!$P$20,EXP(-E44*E2_tabla_vida!$X$21)*E2_tabla_vida!$P$21,EXP(-E44*E2_tabla_vida!$X$22)*E2_tabla_vida!$P$22,EXP(-E44*E2_tabla_vida!$X$23)*E2_tabla_vida!$P$23,EXP(-E44*E2_tabla_vida!$X$24)*E2_tabla_vida!$P$24,EXP(-E44*E2_tabla_vida!$X$25)*E2_tabla_vida!$P$25,EXP(-E44*E2_tabla_vida!$X$26)*E2_tabla_vida!$P$26,EXP(-E44*E2_tabla_vida!$X$27)*E2_tabla_vida!$P$27,EXP(-E44*E2_tabla_vida!$X$28)*E2_tabla_vida!$P$28,EXP(-E44*E2_tabla_vida!$X$29)*E2_tabla_vida!$P$29,EXP(-E44*E2_tabla_vida!$X$30)*E2_tabla_vida!$P$30,EXP(-E44*E2_tabla_vida!$X$31)*E2_tabla_vida!$P$31,EXP(-E44*E2_tabla_vida!$X$32)*E2_tabla_vida!$P$32,EXP(-E44*E2_tabla_vida!$X$33)*E2_tabla_vida!$P$33,EXP(-E44*E2_tabla_vida!$X$34)*E2_tabla_vida!$P$34,EXP(-E44*E2_tabla_vida!$X$35)*E2_tabla_vida!$P$35,EXP(-E44*E2_tabla_vida!$X$36)*E2_tabla_vida!$P$36,EXP(-E44*E2_tabla_vida!$X$37)*E2_tabla_vida!$P$37,EXP(-E44*E2_tabla_vida!$X$38)*E2_tabla_vida!$P$38,EXP(-E44*E2_tabla_vida!$X$39)*E2_tabla_vida!$P$39,EXP(-E44*E2_tabla_vida!$X$40)*E2_tabla_vida!$P$40,EXP(-E44*E2_tabla_vida!$X$41)*E2_tabla_vida!$P$41,EXP(-E44*E2_tabla_vida!$X$42)*E2_tabla_vida!$P$42,EXP(-E44*E2_tabla_vida!$X$43)*E2_tabla_vida!$P$43)-1</x:f>
        <x:v>-2.05613304160579e-12</x:v>
      </x:c>
      <x:c r="G44" s="24" t="n">
        <x:f>SUM(EXP(-C44*E2_tabla_vida!$X$2)*E2_tabla_vida!$P$2,EXP(-C44*E2_tabla_vida!$X$3)*E2_tabla_vida!$P$3,EXP(-C44*E2_tabla_vida!$X$4)*E2_tabla_vida!$P$4,EXP(-C44*E2_tabla_vida!$X$5)*E2_tabla_vida!$P$5,EXP(-C44*E2_tabla_vida!$X$6)*E2_tabla_vida!$P$6,EXP(-C44*E2_tabla_vida!$X$7)*E2_tabla_vida!$P$7,EXP(-C44*E2_tabla_vida!$X$8)*E2_tabla_vida!$P$8,EXP(-C44*E2_tabla_vida!$X$9)*E2_tabla_vida!$P$9,EXP(-C44*E2_tabla_vida!$X$10)*E2_tabla_vida!$P$10,EXP(-C44*E2_tabla_vida!$X$11)*E2_tabla_vida!$P$11,EXP(-C44*E2_tabla_vida!$X$12)*E2_tabla_vida!$P$12,EXP(-C44*E2_tabla_vida!$X$13)*E2_tabla_vida!$P$13,EXP(-C44*E2_tabla_vida!$X$14)*E2_tabla_vida!$P$14,EXP(-C44*E2_tabla_vida!$X$15)*E2_tabla_vida!$P$15,EXP(-C44*E2_tabla_vida!$X$16)*E2_tabla_vida!$P$16,EXP(-C44*E2_tabla_vida!$X$17)*E2_tabla_vida!$P$17,EXP(-C44*E2_tabla_vida!$X$18)*E2_tabla_vida!$P$18,EXP(-C44*E2_tabla_vida!$X$19)*E2_tabla_vida!$P$19,EXP(-C44*E2_tabla_vida!$X$20)*E2_tabla_vida!$P$20,EXP(-C44*E2_tabla_vida!$X$21)*E2_tabla_vida!$P$21,EXP(-C44*E2_tabla_vida!$X$22)*E2_tabla_vida!$P$22,EXP(-C44*E2_tabla_vida!$X$23)*E2_tabla_vida!$P$23,EXP(-C44*E2_tabla_vida!$X$24)*E2_tabla_vida!$P$24,EXP(-C44*E2_tabla_vida!$X$25)*E2_tabla_vida!$P$25,EXP(-C44*E2_tabla_vida!$X$26)*E2_tabla_vida!$P$26,EXP(-C44*E2_tabla_vida!$X$27)*E2_tabla_vida!$P$27,EXP(-C44*E2_tabla_vida!$X$28)*E2_tabla_vida!$P$28,EXP(-C44*E2_tabla_vida!$X$29)*E2_tabla_vida!$P$29,EXP(-C44*E2_tabla_vida!$X$30)*E2_tabla_vida!$P$30,EXP(-C44*E2_tabla_vida!$X$31)*E2_tabla_vida!$P$31,EXP(-C44*E2_tabla_vida!$X$32)*E2_tabla_vida!$P$32,EXP(-C44*E2_tabla_vida!$X$33)*E2_tabla_vida!$P$33,EXP(-C44*E2_tabla_vida!$X$34)*E2_tabla_vida!$P$34,EXP(-C44*E2_tabla_vida!$X$35)*E2_tabla_vida!$P$35,EXP(-C44*E2_tabla_vida!$X$36)*E2_tabla_vida!$P$36,EXP(-C44*E2_tabla_vida!$X$37)*E2_tabla_vida!$P$37,EXP(-C44*E2_tabla_vida!$X$38)*E2_tabla_vida!$P$38,EXP(-C44*E2_tabla_vida!$X$39)*E2_tabla_vida!$P$39,EXP(-C44*E2_tabla_vida!$X$40)*E2_tabla_vida!$P$40,EXP(-C44*E2_tabla_vida!$X$41)*E2_tabla_vida!$P$41,EXP(-C44*E2_tabla_vida!$X$42)*E2_tabla_vida!$P$42,EXP(-C44*E2_tabla_vida!$X$43)*E2_tabla_vida!$P$43)-1</x:f>
        <x:v>2.5157653738006047e-12</x:v>
      </x:c>
      <x:c r="H44" s="24" t="n">
        <x:f>SUM(EXP(-D44*E2_tabla_vida!$X$2)*E2_tabla_vida!$P$2,EXP(-D44*E2_tabla_vida!$X$3)*E2_tabla_vida!$P$3,EXP(-D44*E2_tabla_vida!$X$4)*E2_tabla_vida!$P$4,EXP(-D44*E2_tabla_vida!$X$5)*E2_tabla_vida!$P$5,EXP(-D44*E2_tabla_vida!$X$6)*E2_tabla_vida!$P$6,EXP(-D44*E2_tabla_vida!$X$7)*E2_tabla_vida!$P$7,EXP(-D44*E2_tabla_vida!$X$8)*E2_tabla_vida!$P$8,EXP(-D44*E2_tabla_vida!$X$9)*E2_tabla_vida!$P$9,EXP(-D44*E2_tabla_vida!$X$10)*E2_tabla_vida!$P$10,EXP(-D44*E2_tabla_vida!$X$11)*E2_tabla_vida!$P$11,EXP(-D44*E2_tabla_vida!$X$12)*E2_tabla_vida!$P$12,EXP(-D44*E2_tabla_vida!$X$13)*E2_tabla_vida!$P$13,EXP(-D44*E2_tabla_vida!$X$14)*E2_tabla_vida!$P$14,EXP(-D44*E2_tabla_vida!$X$15)*E2_tabla_vida!$P$15,EXP(-D44*E2_tabla_vida!$X$16)*E2_tabla_vida!$P$16,EXP(-D44*E2_tabla_vida!$X$17)*E2_tabla_vida!$P$17,EXP(-D44*E2_tabla_vida!$X$18)*E2_tabla_vida!$P$18,EXP(-D44*E2_tabla_vida!$X$19)*E2_tabla_vida!$P$19,EXP(-D44*E2_tabla_vida!$X$20)*E2_tabla_vida!$P$20,EXP(-D44*E2_tabla_vida!$X$21)*E2_tabla_vida!$P$21,EXP(-D44*E2_tabla_vida!$X$22)*E2_tabla_vida!$P$22,EXP(-D44*E2_tabla_vida!$X$23)*E2_tabla_vida!$P$23,EXP(-D44*E2_tabla_vida!$X$24)*E2_tabla_vida!$P$24,EXP(-D44*E2_tabla_vida!$X$25)*E2_tabla_vida!$P$25,EXP(-D44*E2_tabla_vida!$X$26)*E2_tabla_vida!$P$26,EXP(-D44*E2_tabla_vida!$X$27)*E2_tabla_vida!$P$27,EXP(-D44*E2_tabla_vida!$X$28)*E2_tabla_vida!$P$28,EXP(-D44*E2_tabla_vida!$X$29)*E2_tabla_vida!$P$29,EXP(-D44*E2_tabla_vida!$X$30)*E2_tabla_vida!$P$30,EXP(-D44*E2_tabla_vida!$X$31)*E2_tabla_vida!$P$31,EXP(-D44*E2_tabla_vida!$X$32)*E2_tabla_vida!$P$32,EXP(-D44*E2_tabla_vida!$X$33)*E2_tabla_vida!$P$33,EXP(-D44*E2_tabla_vida!$X$34)*E2_tabla_vida!$P$34,EXP(-D44*E2_tabla_vida!$X$35)*E2_tabla_vida!$P$35,EXP(-D44*E2_tabla_vida!$X$36)*E2_tabla_vida!$P$36,EXP(-D44*E2_tabla_vida!$X$37)*E2_tabla_vida!$P$37,EXP(-D44*E2_tabla_vida!$X$38)*E2_tabla_vida!$P$38,EXP(-D44*E2_tabla_vida!$X$39)*E2_tabla_vida!$P$39,EXP(-D44*E2_tabla_vida!$X$40)*E2_tabla_vida!$P$40,EXP(-D44*E2_tabla_vida!$X$41)*E2_tabla_vida!$P$41,EXP(-D44*E2_tabla_vida!$X$42)*E2_tabla_vida!$P$42,EXP(-D44*E2_tabla_vida!$X$43)*E2_tabla_vida!$P$43)-1</x:f>
        <x:v>-6.628142479314647e-12</x:v>
      </x:c>
    </x:row>
    <x:row r="45" ht="19" customHeight="1">
      <x:c r="A45" s="2" t="str">
        <x:v>MP_L0</x:v>
      </x:c>
      <x:c r="B45" s="2" t="n">
        <x:v>43</x:v>
      </x:c>
      <x:c r="C45" s="22" t="n">
        <x:f>IF(F44&gt;0,E44,C44)</x:f>
        <x:v>0.2610752873686124</x:v>
      </x:c>
      <x:c r="D45" s="22" t="n">
        <x:f>IF(F44&gt;0,D44,E44)</x:f>
        <x:v>0.26107528736895347</x:v>
      </x:c>
      <x:c r="E45" s="22" t="n">
        <x:f>AVERAGE(C45:D45)</x:f>
        <x:v>0.26107528736878294</x:v>
      </x:c>
      <x:c r="F45" s="24" t="n">
        <x:f>SUM(EXP(-E45*E2_tabla_vida!$X$2)*E2_tabla_vida!$P$2,EXP(-E45*E2_tabla_vida!$X$3)*E2_tabla_vida!$P$3,EXP(-E45*E2_tabla_vida!$X$4)*E2_tabla_vida!$P$4,EXP(-E45*E2_tabla_vida!$X$5)*E2_tabla_vida!$P$5,EXP(-E45*E2_tabla_vida!$X$6)*E2_tabla_vida!$P$6,EXP(-E45*E2_tabla_vida!$X$7)*E2_tabla_vida!$P$7,EXP(-E45*E2_tabla_vida!$X$8)*E2_tabla_vida!$P$8,EXP(-E45*E2_tabla_vida!$X$9)*E2_tabla_vida!$P$9,EXP(-E45*E2_tabla_vida!$X$10)*E2_tabla_vida!$P$10,EXP(-E45*E2_tabla_vida!$X$11)*E2_tabla_vida!$P$11,EXP(-E45*E2_tabla_vida!$X$12)*E2_tabla_vida!$P$12,EXP(-E45*E2_tabla_vida!$X$13)*E2_tabla_vida!$P$13,EXP(-E45*E2_tabla_vida!$X$14)*E2_tabla_vida!$P$14,EXP(-E45*E2_tabla_vida!$X$15)*E2_tabla_vida!$P$15,EXP(-E45*E2_tabla_vida!$X$16)*E2_tabla_vida!$P$16,EXP(-E45*E2_tabla_vida!$X$17)*E2_tabla_vida!$P$17,EXP(-E45*E2_tabla_vida!$X$18)*E2_tabla_vida!$P$18,EXP(-E45*E2_tabla_vida!$X$19)*E2_tabla_vida!$P$19,EXP(-E45*E2_tabla_vida!$X$20)*E2_tabla_vida!$P$20,EXP(-E45*E2_tabla_vida!$X$21)*E2_tabla_vida!$P$21,EXP(-E45*E2_tabla_vida!$X$22)*E2_tabla_vida!$P$22,EXP(-E45*E2_tabla_vida!$X$23)*E2_tabla_vida!$P$23,EXP(-E45*E2_tabla_vida!$X$24)*E2_tabla_vida!$P$24,EXP(-E45*E2_tabla_vida!$X$25)*E2_tabla_vida!$P$25,EXP(-E45*E2_tabla_vida!$X$26)*E2_tabla_vida!$P$26,EXP(-E45*E2_tabla_vida!$X$27)*E2_tabla_vida!$P$27,EXP(-E45*E2_tabla_vida!$X$28)*E2_tabla_vida!$P$28,EXP(-E45*E2_tabla_vida!$X$29)*E2_tabla_vida!$P$29,EXP(-E45*E2_tabla_vida!$X$30)*E2_tabla_vida!$P$30,EXP(-E45*E2_tabla_vida!$X$31)*E2_tabla_vida!$P$31,EXP(-E45*E2_tabla_vida!$X$32)*E2_tabla_vida!$P$32,EXP(-E45*E2_tabla_vida!$X$33)*E2_tabla_vida!$P$33,EXP(-E45*E2_tabla_vida!$X$34)*E2_tabla_vida!$P$34,EXP(-E45*E2_tabla_vida!$X$35)*E2_tabla_vida!$P$35,EXP(-E45*E2_tabla_vida!$X$36)*E2_tabla_vida!$P$36,EXP(-E45*E2_tabla_vida!$X$37)*E2_tabla_vida!$P$37,EXP(-E45*E2_tabla_vida!$X$38)*E2_tabla_vida!$P$38,EXP(-E45*E2_tabla_vida!$X$39)*E2_tabla_vida!$P$39,EXP(-E45*E2_tabla_vida!$X$40)*E2_tabla_vida!$P$40,EXP(-E45*E2_tabla_vida!$X$41)*E2_tabla_vida!$P$41,EXP(-E45*E2_tabla_vida!$X$42)*E2_tabla_vida!$P$42,EXP(-E45*E2_tabla_vida!$X$43)*E2_tabla_vida!$P$43)-1</x:f>
        <x:v>2.3026025530725747e-13</x:v>
      </x:c>
      <x:c r="G45" s="24" t="n">
        <x:f>SUM(EXP(-C45*E2_tabla_vida!$X$2)*E2_tabla_vida!$P$2,EXP(-C45*E2_tabla_vida!$X$3)*E2_tabla_vida!$P$3,EXP(-C45*E2_tabla_vida!$X$4)*E2_tabla_vida!$P$4,EXP(-C45*E2_tabla_vida!$X$5)*E2_tabla_vida!$P$5,EXP(-C45*E2_tabla_vida!$X$6)*E2_tabla_vida!$P$6,EXP(-C45*E2_tabla_vida!$X$7)*E2_tabla_vida!$P$7,EXP(-C45*E2_tabla_vida!$X$8)*E2_tabla_vida!$P$8,EXP(-C45*E2_tabla_vida!$X$9)*E2_tabla_vida!$P$9,EXP(-C45*E2_tabla_vida!$X$10)*E2_tabla_vida!$P$10,EXP(-C45*E2_tabla_vida!$X$11)*E2_tabla_vida!$P$11,EXP(-C45*E2_tabla_vida!$X$12)*E2_tabla_vida!$P$12,EXP(-C45*E2_tabla_vida!$X$13)*E2_tabla_vida!$P$13,EXP(-C45*E2_tabla_vida!$X$14)*E2_tabla_vida!$P$14,EXP(-C45*E2_tabla_vida!$X$15)*E2_tabla_vida!$P$15,EXP(-C45*E2_tabla_vida!$X$16)*E2_tabla_vida!$P$16,EXP(-C45*E2_tabla_vida!$X$17)*E2_tabla_vida!$P$17,EXP(-C45*E2_tabla_vida!$X$18)*E2_tabla_vida!$P$18,EXP(-C45*E2_tabla_vida!$X$19)*E2_tabla_vida!$P$19,EXP(-C45*E2_tabla_vida!$X$20)*E2_tabla_vida!$P$20,EXP(-C45*E2_tabla_vida!$X$21)*E2_tabla_vida!$P$21,EXP(-C45*E2_tabla_vida!$X$22)*E2_tabla_vida!$P$22,EXP(-C45*E2_tabla_vida!$X$23)*E2_tabla_vida!$P$23,EXP(-C45*E2_tabla_vida!$X$24)*E2_tabla_vida!$P$24,EXP(-C45*E2_tabla_vida!$X$25)*E2_tabla_vida!$P$25,EXP(-C45*E2_tabla_vida!$X$26)*E2_tabla_vida!$P$26,EXP(-C45*E2_tabla_vida!$X$27)*E2_tabla_vida!$P$27,EXP(-C45*E2_tabla_vida!$X$28)*E2_tabla_vida!$P$28,EXP(-C45*E2_tabla_vida!$X$29)*E2_tabla_vida!$P$29,EXP(-C45*E2_tabla_vida!$X$30)*E2_tabla_vida!$P$30,EXP(-C45*E2_tabla_vida!$X$31)*E2_tabla_vida!$P$31,EXP(-C45*E2_tabla_vida!$X$32)*E2_tabla_vida!$P$32,EXP(-C45*E2_tabla_vida!$X$33)*E2_tabla_vida!$P$33,EXP(-C45*E2_tabla_vida!$X$34)*E2_tabla_vida!$P$34,EXP(-C45*E2_tabla_vida!$X$35)*E2_tabla_vida!$P$35,EXP(-C45*E2_tabla_vida!$X$36)*E2_tabla_vida!$P$36,EXP(-C45*E2_tabla_vida!$X$37)*E2_tabla_vida!$P$37,EXP(-C45*E2_tabla_vida!$X$38)*E2_tabla_vida!$P$38,EXP(-C45*E2_tabla_vida!$X$39)*E2_tabla_vida!$P$39,EXP(-C45*E2_tabla_vida!$X$40)*E2_tabla_vida!$P$40,EXP(-C45*E2_tabla_vida!$X$41)*E2_tabla_vida!$P$41,EXP(-C45*E2_tabla_vida!$X$42)*E2_tabla_vida!$P$42,EXP(-C45*E2_tabla_vida!$X$43)*E2_tabla_vida!$P$43)-1</x:f>
        <x:v>2.5157653738006047e-12</x:v>
      </x:c>
      <x:c r="H45" s="24" t="n">
        <x:f>SUM(EXP(-D45*E2_tabla_vida!$X$2)*E2_tabla_vida!$P$2,EXP(-D45*E2_tabla_vida!$X$3)*E2_tabla_vida!$P$3,EXP(-D45*E2_tabla_vida!$X$4)*E2_tabla_vida!$P$4,EXP(-D45*E2_tabla_vida!$X$5)*E2_tabla_vida!$P$5,EXP(-D45*E2_tabla_vida!$X$6)*E2_tabla_vida!$P$6,EXP(-D45*E2_tabla_vida!$X$7)*E2_tabla_vida!$P$7,EXP(-D45*E2_tabla_vida!$X$8)*E2_tabla_vida!$P$8,EXP(-D45*E2_tabla_vida!$X$9)*E2_tabla_vida!$P$9,EXP(-D45*E2_tabla_vida!$X$10)*E2_tabla_vida!$P$10,EXP(-D45*E2_tabla_vida!$X$11)*E2_tabla_vida!$P$11,EXP(-D45*E2_tabla_vida!$X$12)*E2_tabla_vida!$P$12,EXP(-D45*E2_tabla_vida!$X$13)*E2_tabla_vida!$P$13,EXP(-D45*E2_tabla_vida!$X$14)*E2_tabla_vida!$P$14,EXP(-D45*E2_tabla_vida!$X$15)*E2_tabla_vida!$P$15,EXP(-D45*E2_tabla_vida!$X$16)*E2_tabla_vida!$P$16,EXP(-D45*E2_tabla_vida!$X$17)*E2_tabla_vida!$P$17,EXP(-D45*E2_tabla_vida!$X$18)*E2_tabla_vida!$P$18,EXP(-D45*E2_tabla_vida!$X$19)*E2_tabla_vida!$P$19,EXP(-D45*E2_tabla_vida!$X$20)*E2_tabla_vida!$P$20,EXP(-D45*E2_tabla_vida!$X$21)*E2_tabla_vida!$P$21,EXP(-D45*E2_tabla_vida!$X$22)*E2_tabla_vida!$P$22,EXP(-D45*E2_tabla_vida!$X$23)*E2_tabla_vida!$P$23,EXP(-D45*E2_tabla_vida!$X$24)*E2_tabla_vida!$P$24,EXP(-D45*E2_tabla_vida!$X$25)*E2_tabla_vida!$P$25,EXP(-D45*E2_tabla_vida!$X$26)*E2_tabla_vida!$P$26,EXP(-D45*E2_tabla_vida!$X$27)*E2_tabla_vida!$P$27,EXP(-D45*E2_tabla_vida!$X$28)*E2_tabla_vida!$P$28,EXP(-D45*E2_tabla_vida!$X$29)*E2_tabla_vida!$P$29,EXP(-D45*E2_tabla_vida!$X$30)*E2_tabla_vida!$P$30,EXP(-D45*E2_tabla_vida!$X$31)*E2_tabla_vida!$P$31,EXP(-D45*E2_tabla_vida!$X$32)*E2_tabla_vida!$P$32,EXP(-D45*E2_tabla_vida!$X$33)*E2_tabla_vida!$P$33,EXP(-D45*E2_tabla_vida!$X$34)*E2_tabla_vida!$P$34,EXP(-D45*E2_tabla_vida!$X$35)*E2_tabla_vida!$P$35,EXP(-D45*E2_tabla_vida!$X$36)*E2_tabla_vida!$P$36,EXP(-D45*E2_tabla_vida!$X$37)*E2_tabla_vida!$P$37,EXP(-D45*E2_tabla_vida!$X$38)*E2_tabla_vida!$P$38,EXP(-D45*E2_tabla_vida!$X$39)*E2_tabla_vida!$P$39,EXP(-D45*E2_tabla_vida!$X$40)*E2_tabla_vida!$P$40,EXP(-D45*E2_tabla_vida!$X$41)*E2_tabla_vida!$P$41,EXP(-D45*E2_tabla_vida!$X$42)*E2_tabla_vida!$P$42,EXP(-D45*E2_tabla_vida!$X$43)*E2_tabla_vida!$P$43)-1</x:f>
        <x:v>-2.05613304160579e-12</x:v>
      </x:c>
    </x:row>
    <x:row r="46" ht="19" customHeight="1">
      <x:c r="A46" s="2" t="str">
        <x:v>MP_L0</x:v>
      </x:c>
      <x:c r="B46" s="2" t="n">
        <x:v>44</x:v>
      </x:c>
      <x:c r="C46" s="22" t="n">
        <x:f>IF(F45&gt;0,E45,C45)</x:f>
        <x:v>0.2610752873686124</x:v>
      </x:c>
      <x:c r="D46" s="22" t="n">
        <x:f>IF(F45&gt;0,D45,E45)</x:f>
        <x:v>0.26107528736878294</x:v>
      </x:c>
      <x:c r="E46" s="22" t="n">
        <x:f>AVERAGE(C46:D46)</x:f>
        <x:v>0.2610752873686977</x:v>
      </x:c>
      <x:c r="F46" s="24" t="n">
        <x:f>SUM(EXP(-E46*E2_tabla_vida!$X$2)*E2_tabla_vida!$P$2,EXP(-E46*E2_tabla_vida!$X$3)*E2_tabla_vida!$P$3,EXP(-E46*E2_tabla_vida!$X$4)*E2_tabla_vida!$P$4,EXP(-E46*E2_tabla_vida!$X$5)*E2_tabla_vida!$P$5,EXP(-E46*E2_tabla_vida!$X$6)*E2_tabla_vida!$P$6,EXP(-E46*E2_tabla_vida!$X$7)*E2_tabla_vida!$P$7,EXP(-E46*E2_tabla_vida!$X$8)*E2_tabla_vida!$P$8,EXP(-E46*E2_tabla_vida!$X$9)*E2_tabla_vida!$P$9,EXP(-E46*E2_tabla_vida!$X$10)*E2_tabla_vida!$P$10,EXP(-E46*E2_tabla_vida!$X$11)*E2_tabla_vida!$P$11,EXP(-E46*E2_tabla_vida!$X$12)*E2_tabla_vida!$P$12,EXP(-E46*E2_tabla_vida!$X$13)*E2_tabla_vida!$P$13,EXP(-E46*E2_tabla_vida!$X$14)*E2_tabla_vida!$P$14,EXP(-E46*E2_tabla_vida!$X$15)*E2_tabla_vida!$P$15,EXP(-E46*E2_tabla_vida!$X$16)*E2_tabla_vida!$P$16,EXP(-E46*E2_tabla_vida!$X$17)*E2_tabla_vida!$P$17,EXP(-E46*E2_tabla_vida!$X$18)*E2_tabla_vida!$P$18,EXP(-E46*E2_tabla_vida!$X$19)*E2_tabla_vida!$P$19,EXP(-E46*E2_tabla_vida!$X$20)*E2_tabla_vida!$P$20,EXP(-E46*E2_tabla_vida!$X$21)*E2_tabla_vida!$P$21,EXP(-E46*E2_tabla_vida!$X$22)*E2_tabla_vida!$P$22,EXP(-E46*E2_tabla_vida!$X$23)*E2_tabla_vida!$P$23,EXP(-E46*E2_tabla_vida!$X$24)*E2_tabla_vida!$P$24,EXP(-E46*E2_tabla_vida!$X$25)*E2_tabla_vida!$P$25,EXP(-E46*E2_tabla_vida!$X$26)*E2_tabla_vida!$P$26,EXP(-E46*E2_tabla_vida!$X$27)*E2_tabla_vida!$P$27,EXP(-E46*E2_tabla_vida!$X$28)*E2_tabla_vida!$P$28,EXP(-E46*E2_tabla_vida!$X$29)*E2_tabla_vida!$P$29,EXP(-E46*E2_tabla_vida!$X$30)*E2_tabla_vida!$P$30,EXP(-E46*E2_tabla_vida!$X$31)*E2_tabla_vida!$P$31,EXP(-E46*E2_tabla_vida!$X$32)*E2_tabla_vida!$P$32,EXP(-E46*E2_tabla_vida!$X$33)*E2_tabla_vida!$P$33,EXP(-E46*E2_tabla_vida!$X$34)*E2_tabla_vida!$P$34,EXP(-E46*E2_tabla_vida!$X$35)*E2_tabla_vida!$P$35,EXP(-E46*E2_tabla_vida!$X$36)*E2_tabla_vida!$P$36,EXP(-E46*E2_tabla_vida!$X$37)*E2_tabla_vida!$P$37,EXP(-E46*E2_tabla_vida!$X$38)*E2_tabla_vida!$P$38,EXP(-E46*E2_tabla_vida!$X$39)*E2_tabla_vida!$P$39,EXP(-E46*E2_tabla_vida!$X$40)*E2_tabla_vida!$P$40,EXP(-E46*E2_tabla_vida!$X$41)*E2_tabla_vida!$P$41,EXP(-E46*E2_tabla_vida!$X$42)*E2_tabla_vida!$P$42,EXP(-E46*E2_tabla_vida!$X$43)*E2_tabla_vida!$P$43)-1</x:f>
        <x:v>1.3729017922514686e-12</x:v>
      </x:c>
      <x:c r="G46" s="24" t="n">
        <x:f>SUM(EXP(-C46*E2_tabla_vida!$X$2)*E2_tabla_vida!$P$2,EXP(-C46*E2_tabla_vida!$X$3)*E2_tabla_vida!$P$3,EXP(-C46*E2_tabla_vida!$X$4)*E2_tabla_vida!$P$4,EXP(-C46*E2_tabla_vida!$X$5)*E2_tabla_vida!$P$5,EXP(-C46*E2_tabla_vida!$X$6)*E2_tabla_vida!$P$6,EXP(-C46*E2_tabla_vida!$X$7)*E2_tabla_vida!$P$7,EXP(-C46*E2_tabla_vida!$X$8)*E2_tabla_vida!$P$8,EXP(-C46*E2_tabla_vida!$X$9)*E2_tabla_vida!$P$9,EXP(-C46*E2_tabla_vida!$X$10)*E2_tabla_vida!$P$10,EXP(-C46*E2_tabla_vida!$X$11)*E2_tabla_vida!$P$11,EXP(-C46*E2_tabla_vida!$X$12)*E2_tabla_vida!$P$12,EXP(-C46*E2_tabla_vida!$X$13)*E2_tabla_vida!$P$13,EXP(-C46*E2_tabla_vida!$X$14)*E2_tabla_vida!$P$14,EXP(-C46*E2_tabla_vida!$X$15)*E2_tabla_vida!$P$15,EXP(-C46*E2_tabla_vida!$X$16)*E2_tabla_vida!$P$16,EXP(-C46*E2_tabla_vida!$X$17)*E2_tabla_vida!$P$17,EXP(-C46*E2_tabla_vida!$X$18)*E2_tabla_vida!$P$18,EXP(-C46*E2_tabla_vida!$X$19)*E2_tabla_vida!$P$19,EXP(-C46*E2_tabla_vida!$X$20)*E2_tabla_vida!$P$20,EXP(-C46*E2_tabla_vida!$X$21)*E2_tabla_vida!$P$21,EXP(-C46*E2_tabla_vida!$X$22)*E2_tabla_vida!$P$22,EXP(-C46*E2_tabla_vida!$X$23)*E2_tabla_vida!$P$23,EXP(-C46*E2_tabla_vida!$X$24)*E2_tabla_vida!$P$24,EXP(-C46*E2_tabla_vida!$X$25)*E2_tabla_vida!$P$25,EXP(-C46*E2_tabla_vida!$X$26)*E2_tabla_vida!$P$26,EXP(-C46*E2_tabla_vida!$X$27)*E2_tabla_vida!$P$27,EXP(-C46*E2_tabla_vida!$X$28)*E2_tabla_vida!$P$28,EXP(-C46*E2_tabla_vida!$X$29)*E2_tabla_vida!$P$29,EXP(-C46*E2_tabla_vida!$X$30)*E2_tabla_vida!$P$30,EXP(-C46*E2_tabla_vida!$X$31)*E2_tabla_vida!$P$31,EXP(-C46*E2_tabla_vida!$X$32)*E2_tabla_vida!$P$32,EXP(-C46*E2_tabla_vida!$X$33)*E2_tabla_vida!$P$33,EXP(-C46*E2_tabla_vida!$X$34)*E2_tabla_vida!$P$34,EXP(-C46*E2_tabla_vida!$X$35)*E2_tabla_vida!$P$35,EXP(-C46*E2_tabla_vida!$X$36)*E2_tabla_vida!$P$36,EXP(-C46*E2_tabla_vida!$X$37)*E2_tabla_vida!$P$37,EXP(-C46*E2_tabla_vida!$X$38)*E2_tabla_vida!$P$38,EXP(-C46*E2_tabla_vida!$X$39)*E2_tabla_vida!$P$39,EXP(-C46*E2_tabla_vida!$X$40)*E2_tabla_vida!$P$40,EXP(-C46*E2_tabla_vida!$X$41)*E2_tabla_vida!$P$41,EXP(-C46*E2_tabla_vida!$X$42)*E2_tabla_vida!$P$42,EXP(-C46*E2_tabla_vida!$X$43)*E2_tabla_vida!$P$43)-1</x:f>
        <x:v>2.5157653738006047e-12</x:v>
      </x:c>
      <x:c r="H46" s="24" t="n">
        <x:f>SUM(EXP(-D46*E2_tabla_vida!$X$2)*E2_tabla_vida!$P$2,EXP(-D46*E2_tabla_vida!$X$3)*E2_tabla_vida!$P$3,EXP(-D46*E2_tabla_vida!$X$4)*E2_tabla_vida!$P$4,EXP(-D46*E2_tabla_vida!$X$5)*E2_tabla_vida!$P$5,EXP(-D46*E2_tabla_vida!$X$6)*E2_tabla_vida!$P$6,EXP(-D46*E2_tabla_vida!$X$7)*E2_tabla_vida!$P$7,EXP(-D46*E2_tabla_vida!$X$8)*E2_tabla_vida!$P$8,EXP(-D46*E2_tabla_vida!$X$9)*E2_tabla_vida!$P$9,EXP(-D46*E2_tabla_vida!$X$10)*E2_tabla_vida!$P$10,EXP(-D46*E2_tabla_vida!$X$11)*E2_tabla_vida!$P$11,EXP(-D46*E2_tabla_vida!$X$12)*E2_tabla_vida!$P$12,EXP(-D46*E2_tabla_vida!$X$13)*E2_tabla_vida!$P$13,EXP(-D46*E2_tabla_vida!$X$14)*E2_tabla_vida!$P$14,EXP(-D46*E2_tabla_vida!$X$15)*E2_tabla_vida!$P$15,EXP(-D46*E2_tabla_vida!$X$16)*E2_tabla_vida!$P$16,EXP(-D46*E2_tabla_vida!$X$17)*E2_tabla_vida!$P$17,EXP(-D46*E2_tabla_vida!$X$18)*E2_tabla_vida!$P$18,EXP(-D46*E2_tabla_vida!$X$19)*E2_tabla_vida!$P$19,EXP(-D46*E2_tabla_vida!$X$20)*E2_tabla_vida!$P$20,EXP(-D46*E2_tabla_vida!$X$21)*E2_tabla_vida!$P$21,EXP(-D46*E2_tabla_vida!$X$22)*E2_tabla_vida!$P$22,EXP(-D46*E2_tabla_vida!$X$23)*E2_tabla_vida!$P$23,EXP(-D46*E2_tabla_vida!$X$24)*E2_tabla_vida!$P$24,EXP(-D46*E2_tabla_vida!$X$25)*E2_tabla_vida!$P$25,EXP(-D46*E2_tabla_vida!$X$26)*E2_tabla_vida!$P$26,EXP(-D46*E2_tabla_vida!$X$27)*E2_tabla_vida!$P$27,EXP(-D46*E2_tabla_vida!$X$28)*E2_tabla_vida!$P$28,EXP(-D46*E2_tabla_vida!$X$29)*E2_tabla_vida!$P$29,EXP(-D46*E2_tabla_vida!$X$30)*E2_tabla_vida!$P$30,EXP(-D46*E2_tabla_vida!$X$31)*E2_tabla_vida!$P$31,EXP(-D46*E2_tabla_vida!$X$32)*E2_tabla_vida!$P$32,EXP(-D46*E2_tabla_vida!$X$33)*E2_tabla_vida!$P$33,EXP(-D46*E2_tabla_vida!$X$34)*E2_tabla_vida!$P$34,EXP(-D46*E2_tabla_vida!$X$35)*E2_tabla_vida!$P$35,EXP(-D46*E2_tabla_vida!$X$36)*E2_tabla_vida!$P$36,EXP(-D46*E2_tabla_vida!$X$37)*E2_tabla_vida!$P$37,EXP(-D46*E2_tabla_vida!$X$38)*E2_tabla_vida!$P$38,EXP(-D46*E2_tabla_vida!$X$39)*E2_tabla_vida!$P$39,EXP(-D46*E2_tabla_vida!$X$40)*E2_tabla_vida!$P$40,EXP(-D46*E2_tabla_vida!$X$41)*E2_tabla_vida!$P$41,EXP(-D46*E2_tabla_vida!$X$42)*E2_tabla_vida!$P$42,EXP(-D46*E2_tabla_vida!$X$43)*E2_tabla_vida!$P$43)-1</x:f>
        <x:v>2.3026025530725747e-13</x:v>
      </x:c>
    </x:row>
    <x:row r="47" ht="19" customHeight="1">
      <x:c r="A47" s="2" t="str">
        <x:v>MP_L0</x:v>
      </x:c>
      <x:c r="B47" s="2" t="n">
        <x:v>45</x:v>
      </x:c>
      <x:c r="C47" s="22" t="n">
        <x:f>IF(F46&gt;0,E46,C46)</x:f>
        <x:v>0.2610752873686977</x:v>
      </x:c>
      <x:c r="D47" s="22" t="n">
        <x:f>IF(F46&gt;0,D46,E46)</x:f>
        <x:v>0.26107528736878294</x:v>
      </x:c>
      <x:c r="E47" s="22" t="n">
        <x:f>AVERAGE(C47:D47)</x:f>
        <x:v>0.2610752873687403</x:v>
      </x:c>
      <x:c r="F47" s="24" t="n">
        <x:f>SUM(EXP(-E47*E2_tabla_vida!$X$2)*E2_tabla_vida!$P$2,EXP(-E47*E2_tabla_vida!$X$3)*E2_tabla_vida!$P$3,EXP(-E47*E2_tabla_vida!$X$4)*E2_tabla_vida!$P$4,EXP(-E47*E2_tabla_vida!$X$5)*E2_tabla_vida!$P$5,EXP(-E47*E2_tabla_vida!$X$6)*E2_tabla_vida!$P$6,EXP(-E47*E2_tabla_vida!$X$7)*E2_tabla_vida!$P$7,EXP(-E47*E2_tabla_vida!$X$8)*E2_tabla_vida!$P$8,EXP(-E47*E2_tabla_vida!$X$9)*E2_tabla_vida!$P$9,EXP(-E47*E2_tabla_vida!$X$10)*E2_tabla_vida!$P$10,EXP(-E47*E2_tabla_vida!$X$11)*E2_tabla_vida!$P$11,EXP(-E47*E2_tabla_vida!$X$12)*E2_tabla_vida!$P$12,EXP(-E47*E2_tabla_vida!$X$13)*E2_tabla_vida!$P$13,EXP(-E47*E2_tabla_vida!$X$14)*E2_tabla_vida!$P$14,EXP(-E47*E2_tabla_vida!$X$15)*E2_tabla_vida!$P$15,EXP(-E47*E2_tabla_vida!$X$16)*E2_tabla_vida!$P$16,EXP(-E47*E2_tabla_vida!$X$17)*E2_tabla_vida!$P$17,EXP(-E47*E2_tabla_vida!$X$18)*E2_tabla_vida!$P$18,EXP(-E47*E2_tabla_vida!$X$19)*E2_tabla_vida!$P$19,EXP(-E47*E2_tabla_vida!$X$20)*E2_tabla_vida!$P$20,EXP(-E47*E2_tabla_vida!$X$21)*E2_tabla_vida!$P$21,EXP(-E47*E2_tabla_vida!$X$22)*E2_tabla_vida!$P$22,EXP(-E47*E2_tabla_vida!$X$23)*E2_tabla_vida!$P$23,EXP(-E47*E2_tabla_vida!$X$24)*E2_tabla_vida!$P$24,EXP(-E47*E2_tabla_vida!$X$25)*E2_tabla_vida!$P$25,EXP(-E47*E2_tabla_vida!$X$26)*E2_tabla_vida!$P$26,EXP(-E47*E2_tabla_vida!$X$27)*E2_tabla_vida!$P$27,EXP(-E47*E2_tabla_vida!$X$28)*E2_tabla_vida!$P$28,EXP(-E47*E2_tabla_vida!$X$29)*E2_tabla_vida!$P$29,EXP(-E47*E2_tabla_vida!$X$30)*E2_tabla_vida!$P$30,EXP(-E47*E2_tabla_vida!$X$31)*E2_tabla_vida!$P$31,EXP(-E47*E2_tabla_vida!$X$32)*E2_tabla_vida!$P$32,EXP(-E47*E2_tabla_vida!$X$33)*E2_tabla_vida!$P$33,EXP(-E47*E2_tabla_vida!$X$34)*E2_tabla_vida!$P$34,EXP(-E47*E2_tabla_vida!$X$35)*E2_tabla_vida!$P$35,EXP(-E47*E2_tabla_vida!$X$36)*E2_tabla_vida!$P$36,EXP(-E47*E2_tabla_vida!$X$37)*E2_tabla_vida!$P$37,EXP(-E47*E2_tabla_vida!$X$38)*E2_tabla_vida!$P$38,EXP(-E47*E2_tabla_vida!$X$39)*E2_tabla_vida!$P$39,EXP(-E47*E2_tabla_vida!$X$40)*E2_tabla_vida!$P$40,EXP(-E47*E2_tabla_vida!$X$41)*E2_tabla_vida!$P$41,EXP(-E47*E2_tabla_vida!$X$42)*E2_tabla_vida!$P$42,EXP(-E47*E2_tabla_vida!$X$43)*E2_tabla_vida!$P$43)-1</x:f>
        <x:v>8.01358979174438e-13</x:v>
      </x:c>
      <x:c r="G47" s="24" t="n">
        <x:f>SUM(EXP(-C47*E2_tabla_vida!$X$2)*E2_tabla_vida!$P$2,EXP(-C47*E2_tabla_vida!$X$3)*E2_tabla_vida!$P$3,EXP(-C47*E2_tabla_vida!$X$4)*E2_tabla_vida!$P$4,EXP(-C47*E2_tabla_vida!$X$5)*E2_tabla_vida!$P$5,EXP(-C47*E2_tabla_vida!$X$6)*E2_tabla_vida!$P$6,EXP(-C47*E2_tabla_vida!$X$7)*E2_tabla_vida!$P$7,EXP(-C47*E2_tabla_vida!$X$8)*E2_tabla_vida!$P$8,EXP(-C47*E2_tabla_vida!$X$9)*E2_tabla_vida!$P$9,EXP(-C47*E2_tabla_vida!$X$10)*E2_tabla_vida!$P$10,EXP(-C47*E2_tabla_vida!$X$11)*E2_tabla_vida!$P$11,EXP(-C47*E2_tabla_vida!$X$12)*E2_tabla_vida!$P$12,EXP(-C47*E2_tabla_vida!$X$13)*E2_tabla_vida!$P$13,EXP(-C47*E2_tabla_vida!$X$14)*E2_tabla_vida!$P$14,EXP(-C47*E2_tabla_vida!$X$15)*E2_tabla_vida!$P$15,EXP(-C47*E2_tabla_vida!$X$16)*E2_tabla_vida!$P$16,EXP(-C47*E2_tabla_vida!$X$17)*E2_tabla_vida!$P$17,EXP(-C47*E2_tabla_vida!$X$18)*E2_tabla_vida!$P$18,EXP(-C47*E2_tabla_vida!$X$19)*E2_tabla_vida!$P$19,EXP(-C47*E2_tabla_vida!$X$20)*E2_tabla_vida!$P$20,EXP(-C47*E2_tabla_vida!$X$21)*E2_tabla_vida!$P$21,EXP(-C47*E2_tabla_vida!$X$22)*E2_tabla_vida!$P$22,EXP(-C47*E2_tabla_vida!$X$23)*E2_tabla_vida!$P$23,EXP(-C47*E2_tabla_vida!$X$24)*E2_tabla_vida!$P$24,EXP(-C47*E2_tabla_vida!$X$25)*E2_tabla_vida!$P$25,EXP(-C47*E2_tabla_vida!$X$26)*E2_tabla_vida!$P$26,EXP(-C47*E2_tabla_vida!$X$27)*E2_tabla_vida!$P$27,EXP(-C47*E2_tabla_vida!$X$28)*E2_tabla_vida!$P$28,EXP(-C47*E2_tabla_vida!$X$29)*E2_tabla_vida!$P$29,EXP(-C47*E2_tabla_vida!$X$30)*E2_tabla_vida!$P$30,EXP(-C47*E2_tabla_vida!$X$31)*E2_tabla_vida!$P$31,EXP(-C47*E2_tabla_vida!$X$32)*E2_tabla_vida!$P$32,EXP(-C47*E2_tabla_vida!$X$33)*E2_tabla_vida!$P$33,EXP(-C47*E2_tabla_vida!$X$34)*E2_tabla_vida!$P$34,EXP(-C47*E2_tabla_vida!$X$35)*E2_tabla_vida!$P$35,EXP(-C47*E2_tabla_vida!$X$36)*E2_tabla_vida!$P$36,EXP(-C47*E2_tabla_vida!$X$37)*E2_tabla_vida!$P$37,EXP(-C47*E2_tabla_vida!$X$38)*E2_tabla_vida!$P$38,EXP(-C47*E2_tabla_vida!$X$39)*E2_tabla_vida!$P$39,EXP(-C47*E2_tabla_vida!$X$40)*E2_tabla_vida!$P$40,EXP(-C47*E2_tabla_vida!$X$41)*E2_tabla_vida!$P$41,EXP(-C47*E2_tabla_vida!$X$42)*E2_tabla_vida!$P$42,EXP(-C47*E2_tabla_vida!$X$43)*E2_tabla_vida!$P$43)-1</x:f>
        <x:v>1.3729017922514686e-12</x:v>
      </x:c>
      <x:c r="H47" s="24" t="n">
        <x:f>SUM(EXP(-D47*E2_tabla_vida!$X$2)*E2_tabla_vida!$P$2,EXP(-D47*E2_tabla_vida!$X$3)*E2_tabla_vida!$P$3,EXP(-D47*E2_tabla_vida!$X$4)*E2_tabla_vida!$P$4,EXP(-D47*E2_tabla_vida!$X$5)*E2_tabla_vida!$P$5,EXP(-D47*E2_tabla_vida!$X$6)*E2_tabla_vida!$P$6,EXP(-D47*E2_tabla_vida!$X$7)*E2_tabla_vida!$P$7,EXP(-D47*E2_tabla_vida!$X$8)*E2_tabla_vida!$P$8,EXP(-D47*E2_tabla_vida!$X$9)*E2_tabla_vida!$P$9,EXP(-D47*E2_tabla_vida!$X$10)*E2_tabla_vida!$P$10,EXP(-D47*E2_tabla_vida!$X$11)*E2_tabla_vida!$P$11,EXP(-D47*E2_tabla_vida!$X$12)*E2_tabla_vida!$P$12,EXP(-D47*E2_tabla_vida!$X$13)*E2_tabla_vida!$P$13,EXP(-D47*E2_tabla_vida!$X$14)*E2_tabla_vida!$P$14,EXP(-D47*E2_tabla_vida!$X$15)*E2_tabla_vida!$P$15,EXP(-D47*E2_tabla_vida!$X$16)*E2_tabla_vida!$P$16,EXP(-D47*E2_tabla_vida!$X$17)*E2_tabla_vida!$P$17,EXP(-D47*E2_tabla_vida!$X$18)*E2_tabla_vida!$P$18,EXP(-D47*E2_tabla_vida!$X$19)*E2_tabla_vida!$P$19,EXP(-D47*E2_tabla_vida!$X$20)*E2_tabla_vida!$P$20,EXP(-D47*E2_tabla_vida!$X$21)*E2_tabla_vida!$P$21,EXP(-D47*E2_tabla_vida!$X$22)*E2_tabla_vida!$P$22,EXP(-D47*E2_tabla_vida!$X$23)*E2_tabla_vida!$P$23,EXP(-D47*E2_tabla_vida!$X$24)*E2_tabla_vida!$P$24,EXP(-D47*E2_tabla_vida!$X$25)*E2_tabla_vida!$P$25,EXP(-D47*E2_tabla_vida!$X$26)*E2_tabla_vida!$P$26,EXP(-D47*E2_tabla_vida!$X$27)*E2_tabla_vida!$P$27,EXP(-D47*E2_tabla_vida!$X$28)*E2_tabla_vida!$P$28,EXP(-D47*E2_tabla_vida!$X$29)*E2_tabla_vida!$P$29,EXP(-D47*E2_tabla_vida!$X$30)*E2_tabla_vida!$P$30,EXP(-D47*E2_tabla_vida!$X$31)*E2_tabla_vida!$P$31,EXP(-D47*E2_tabla_vida!$X$32)*E2_tabla_vida!$P$32,EXP(-D47*E2_tabla_vida!$X$33)*E2_tabla_vida!$P$33,EXP(-D47*E2_tabla_vida!$X$34)*E2_tabla_vida!$P$34,EXP(-D47*E2_tabla_vida!$X$35)*E2_tabla_vida!$P$35,EXP(-D47*E2_tabla_vida!$X$36)*E2_tabla_vida!$P$36,EXP(-D47*E2_tabla_vida!$X$37)*E2_tabla_vida!$P$37,EXP(-D47*E2_tabla_vida!$X$38)*E2_tabla_vida!$P$38,EXP(-D47*E2_tabla_vida!$X$39)*E2_tabla_vida!$P$39,EXP(-D47*E2_tabla_vida!$X$40)*E2_tabla_vida!$P$40,EXP(-D47*E2_tabla_vida!$X$41)*E2_tabla_vida!$P$41,EXP(-D47*E2_tabla_vida!$X$42)*E2_tabla_vida!$P$42,EXP(-D47*E2_tabla_vida!$X$43)*E2_tabla_vida!$P$43)-1</x:f>
        <x:v>2.3026025530725747e-13</x:v>
      </x:c>
    </x:row>
    <x:row r="48" ht="19" customHeight="1">
      <x:c r="A48" s="2" t="str">
        <x:v>MP_L8</x:v>
      </x:c>
      <x:c r="B48" s="2" t="n">
        <x:v>0</x:v>
      </x:c>
      <x:c r="C48" s="22" t="n">
        <x:f>Supuestos!$C$17</x:f>
        <x:v>-1</x:v>
      </x:c>
      <x:c r="D48" s="22" t="n">
        <x:f>Supuestos!$C$18</x:f>
        <x:v>2</x:v>
      </x:c>
      <x:c r="E48" s="22" t="n">
        <x:f>AVERAGE(C48:D48)</x:f>
        <x:v>0.5</x:v>
      </x:c>
      <x:c r="F48" s="24" t="n">
        <x:f>SUM(EXP(-E48*E2_tabla_vida!$X$44)*E2_tabla_vida!$P$44,EXP(-E48*E2_tabla_vida!$X$45)*E2_tabla_vida!$P$45,EXP(-E48*E2_tabla_vida!$X$46)*E2_tabla_vida!$P$46,EXP(-E48*E2_tabla_vida!$X$47)*E2_tabla_vida!$P$47,EXP(-E48*E2_tabla_vida!$X$48)*E2_tabla_vida!$P$48,EXP(-E48*E2_tabla_vida!$X$49)*E2_tabla_vida!$P$49,EXP(-E48*E2_tabla_vida!$X$50)*E2_tabla_vida!$P$50,EXP(-E48*E2_tabla_vida!$X$51)*E2_tabla_vida!$P$51,EXP(-E48*E2_tabla_vida!$X$52)*E2_tabla_vida!$P$52,EXP(-E48*E2_tabla_vida!$X$53)*E2_tabla_vida!$P$53,EXP(-E48*E2_tabla_vida!$X$54)*E2_tabla_vida!$P$54,EXP(-E48*E2_tabla_vida!$X$55)*E2_tabla_vida!$P$55,EXP(-E48*E2_tabla_vida!$X$56)*E2_tabla_vida!$P$56,EXP(-E48*E2_tabla_vida!$X$57)*E2_tabla_vida!$P$57,EXP(-E48*E2_tabla_vida!$X$58)*E2_tabla_vida!$P$58,EXP(-E48*E2_tabla_vida!$X$59)*E2_tabla_vida!$P$59,EXP(-E48*E2_tabla_vida!$X$60)*E2_tabla_vida!$P$60,EXP(-E48*E2_tabla_vida!$X$61)*E2_tabla_vida!$P$61,EXP(-E48*E2_tabla_vida!$X$62)*E2_tabla_vida!$P$62,EXP(-E48*E2_tabla_vida!$X$63)*E2_tabla_vida!$P$63,EXP(-E48*E2_tabla_vida!$X$64)*E2_tabla_vida!$P$64,EXP(-E48*E2_tabla_vida!$X$65)*E2_tabla_vida!$P$65,EXP(-E48*E2_tabla_vida!$X$66)*E2_tabla_vida!$P$66,EXP(-E48*E2_tabla_vida!$X$67)*E2_tabla_vida!$P$67,EXP(-E48*E2_tabla_vida!$X$68)*E2_tabla_vida!$P$68,EXP(-E48*E2_tabla_vida!$X$69)*E2_tabla_vida!$P$69,EXP(-E48*E2_tabla_vida!$X$70)*E2_tabla_vida!$P$70,EXP(-E48*E2_tabla_vida!$X$71)*E2_tabla_vida!$P$71,EXP(-E48*E2_tabla_vida!$X$72)*E2_tabla_vida!$P$72,EXP(-E48*E2_tabla_vida!$X$73)*E2_tabla_vida!$P$73,EXP(-E48*E2_tabla_vida!$X$74)*E2_tabla_vida!$P$74,EXP(-E48*E2_tabla_vida!$X$75)*E2_tabla_vida!$P$75,EXP(-E48*E2_tabla_vida!$X$76)*E2_tabla_vida!$P$76,EXP(-E48*E2_tabla_vida!$X$77)*E2_tabla_vida!$P$77,EXP(-E48*E2_tabla_vida!$X$78)*E2_tabla_vida!$P$78,EXP(-E48*E2_tabla_vida!$X$79)*E2_tabla_vida!$P$79,EXP(-E48*E2_tabla_vida!$X$80)*E2_tabla_vida!$P$80,EXP(-E48*E2_tabla_vida!$X$81)*E2_tabla_vida!$P$81,EXP(-E48*E2_tabla_vida!$X$82)*E2_tabla_vida!$P$82,EXP(-E48*E2_tabla_vida!$X$83)*E2_tabla_vida!$P$83,EXP(-E48*E2_tabla_vida!$X$84)*E2_tabla_vida!$P$84,EXP(-E48*E2_tabla_vida!$X$85)*E2_tabla_vida!$P$85)-1</x:f>
        <x:v>-0.9861076898261719</x:v>
      </x:c>
      <x:c r="G48" s="24" t="n">
        <x:f>SUM(EXP(-C48*E2_tabla_vida!$X$44)*E2_tabla_vida!$P$44,EXP(-C48*E2_tabla_vida!$X$45)*E2_tabla_vida!$P$45,EXP(-C48*E2_tabla_vida!$X$46)*E2_tabla_vida!$P$46,EXP(-C48*E2_tabla_vida!$X$47)*E2_tabla_vida!$P$47,EXP(-C48*E2_tabla_vida!$X$48)*E2_tabla_vida!$P$48,EXP(-C48*E2_tabla_vida!$X$49)*E2_tabla_vida!$P$49,EXP(-C48*E2_tabla_vida!$X$50)*E2_tabla_vida!$P$50,EXP(-C48*E2_tabla_vida!$X$51)*E2_tabla_vida!$P$51,EXP(-C48*E2_tabla_vida!$X$52)*E2_tabla_vida!$P$52,EXP(-C48*E2_tabla_vida!$X$53)*E2_tabla_vida!$P$53,EXP(-C48*E2_tabla_vida!$X$54)*E2_tabla_vida!$P$54,EXP(-C48*E2_tabla_vida!$X$55)*E2_tabla_vida!$P$55,EXP(-C48*E2_tabla_vida!$X$56)*E2_tabla_vida!$P$56,EXP(-C48*E2_tabla_vida!$X$57)*E2_tabla_vida!$P$57,EXP(-C48*E2_tabla_vida!$X$58)*E2_tabla_vida!$P$58,EXP(-C48*E2_tabla_vida!$X$59)*E2_tabla_vida!$P$59,EXP(-C48*E2_tabla_vida!$X$60)*E2_tabla_vida!$P$60,EXP(-C48*E2_tabla_vida!$X$61)*E2_tabla_vida!$P$61,EXP(-C48*E2_tabla_vida!$X$62)*E2_tabla_vida!$P$62,EXP(-C48*E2_tabla_vida!$X$63)*E2_tabla_vida!$P$63,EXP(-C48*E2_tabla_vida!$X$64)*E2_tabla_vida!$P$64,EXP(-C48*E2_tabla_vida!$X$65)*E2_tabla_vida!$P$65,EXP(-C48*E2_tabla_vida!$X$66)*E2_tabla_vida!$P$66,EXP(-C48*E2_tabla_vida!$X$67)*E2_tabla_vida!$P$67,EXP(-C48*E2_tabla_vida!$X$68)*E2_tabla_vida!$P$68,EXP(-C48*E2_tabla_vida!$X$69)*E2_tabla_vida!$P$69,EXP(-C48*E2_tabla_vida!$X$70)*E2_tabla_vida!$P$70,EXP(-C48*E2_tabla_vida!$X$71)*E2_tabla_vida!$P$71,EXP(-C48*E2_tabla_vida!$X$72)*E2_tabla_vida!$P$72,EXP(-C48*E2_tabla_vida!$X$73)*E2_tabla_vida!$P$73,EXP(-C48*E2_tabla_vida!$X$74)*E2_tabla_vida!$P$74,EXP(-C48*E2_tabla_vida!$X$75)*E2_tabla_vida!$P$75,EXP(-C48*E2_tabla_vida!$X$76)*E2_tabla_vida!$P$76,EXP(-C48*E2_tabla_vida!$X$77)*E2_tabla_vida!$P$77,EXP(-C48*E2_tabla_vida!$X$78)*E2_tabla_vida!$P$78,EXP(-C48*E2_tabla_vida!$X$79)*E2_tabla_vida!$P$79,EXP(-C48*E2_tabla_vida!$X$80)*E2_tabla_vida!$P$80,EXP(-C48*E2_tabla_vida!$X$81)*E2_tabla_vida!$P$81,EXP(-C48*E2_tabla_vida!$X$82)*E2_tabla_vida!$P$82,EXP(-C48*E2_tabla_vida!$X$83)*E2_tabla_vida!$P$83,EXP(-C48*E2_tabla_vida!$X$84)*E2_tabla_vida!$P$84,EXP(-C48*E2_tabla_vida!$X$85)*E2_tabla_vida!$P$85)-1</x:f>
        <x:v>4263396249114.285</x:v>
      </x:c>
      <x:c r="H48" s="24" t="n">
        <x:f>SUM(EXP(-D48*E2_tabla_vida!$X$44)*E2_tabla_vida!$P$44,EXP(-D48*E2_tabla_vida!$X$45)*E2_tabla_vida!$P$45,EXP(-D48*E2_tabla_vida!$X$46)*E2_tabla_vida!$P$46,EXP(-D48*E2_tabla_vida!$X$47)*E2_tabla_vida!$P$47,EXP(-D48*E2_tabla_vida!$X$48)*E2_tabla_vida!$P$48,EXP(-D48*E2_tabla_vida!$X$49)*E2_tabla_vida!$P$49,EXP(-D48*E2_tabla_vida!$X$50)*E2_tabla_vida!$P$50,EXP(-D48*E2_tabla_vida!$X$51)*E2_tabla_vida!$P$51,EXP(-D48*E2_tabla_vida!$X$52)*E2_tabla_vida!$P$52,EXP(-D48*E2_tabla_vida!$X$53)*E2_tabla_vida!$P$53,EXP(-D48*E2_tabla_vida!$X$54)*E2_tabla_vida!$P$54,EXP(-D48*E2_tabla_vida!$X$55)*E2_tabla_vida!$P$55,EXP(-D48*E2_tabla_vida!$X$56)*E2_tabla_vida!$P$56,EXP(-D48*E2_tabla_vida!$X$57)*E2_tabla_vida!$P$57,EXP(-D48*E2_tabla_vida!$X$58)*E2_tabla_vida!$P$58,EXP(-D48*E2_tabla_vida!$X$59)*E2_tabla_vida!$P$59,EXP(-D48*E2_tabla_vida!$X$60)*E2_tabla_vida!$P$60,EXP(-D48*E2_tabla_vida!$X$61)*E2_tabla_vida!$P$61,EXP(-D48*E2_tabla_vida!$X$62)*E2_tabla_vida!$P$62,EXP(-D48*E2_tabla_vida!$X$63)*E2_tabla_vida!$P$63,EXP(-D48*E2_tabla_vida!$X$64)*E2_tabla_vida!$P$64,EXP(-D48*E2_tabla_vida!$X$65)*E2_tabla_vida!$P$65,EXP(-D48*E2_tabla_vida!$X$66)*E2_tabla_vida!$P$66,EXP(-D48*E2_tabla_vida!$X$67)*E2_tabla_vida!$P$67,EXP(-D48*E2_tabla_vida!$X$68)*E2_tabla_vida!$P$68,EXP(-D48*E2_tabla_vida!$X$69)*E2_tabla_vida!$P$69,EXP(-D48*E2_tabla_vida!$X$70)*E2_tabla_vida!$P$70,EXP(-D48*E2_tabla_vida!$X$71)*E2_tabla_vida!$P$71,EXP(-D48*E2_tabla_vida!$X$72)*E2_tabla_vida!$P$72,EXP(-D48*E2_tabla_vida!$X$73)*E2_tabla_vida!$P$73,EXP(-D48*E2_tabla_vida!$X$74)*E2_tabla_vida!$P$74,EXP(-D48*E2_tabla_vida!$X$75)*E2_tabla_vida!$P$75,EXP(-D48*E2_tabla_vida!$X$76)*E2_tabla_vida!$P$76,EXP(-D48*E2_tabla_vida!$X$77)*E2_tabla_vida!$P$77,EXP(-D48*E2_tabla_vida!$X$78)*E2_tabla_vida!$P$78,EXP(-D48*E2_tabla_vida!$X$79)*E2_tabla_vida!$P$79,EXP(-D48*E2_tabla_vida!$X$80)*E2_tabla_vida!$P$80,EXP(-D48*E2_tabla_vida!$X$81)*E2_tabla_vida!$P$81,EXP(-D48*E2_tabla_vida!$X$82)*E2_tabla_vida!$P$82,EXP(-D48*E2_tabla_vida!$X$83)*E2_tabla_vida!$P$83,EXP(-D48*E2_tabla_vida!$X$84)*E2_tabla_vida!$P$84,EXP(-D48*E2_tabla_vida!$X$85)*E2_tabla_vida!$P$85)-1</x:f>
        <x:v>-0.9999999975630133</x:v>
      </x:c>
    </x:row>
    <x:row r="49" ht="19" customHeight="1">
      <x:c r="A49" s="2" t="str">
        <x:v>MP_L8</x:v>
      </x:c>
      <x:c r="B49" s="2" t="n">
        <x:v>1</x:v>
      </x:c>
      <x:c r="C49" s="22" t="n">
        <x:f>IF(F48&gt;0,E48,C48)</x:f>
        <x:v>-1</x:v>
      </x:c>
      <x:c r="D49" s="22" t="n">
        <x:f>IF(F48&gt;0,D48,E48)</x:f>
        <x:v>0.5</x:v>
      </x:c>
      <x:c r="E49" s="22" t="n">
        <x:f>AVERAGE(C49:D49)</x:f>
        <x:v>-0.25</x:v>
      </x:c>
      <x:c r="F49" s="24" t="n">
        <x:f>SUM(EXP(-E49*E2_tabla_vida!$X$44)*E2_tabla_vida!$P$44,EXP(-E49*E2_tabla_vida!$X$45)*E2_tabla_vida!$P$45,EXP(-E49*E2_tabla_vida!$X$46)*E2_tabla_vida!$P$46,EXP(-E49*E2_tabla_vida!$X$47)*E2_tabla_vida!$P$47,EXP(-E49*E2_tabla_vida!$X$48)*E2_tabla_vida!$P$48,EXP(-E49*E2_tabla_vida!$X$49)*E2_tabla_vida!$P$49,EXP(-E49*E2_tabla_vida!$X$50)*E2_tabla_vida!$P$50,EXP(-E49*E2_tabla_vida!$X$51)*E2_tabla_vida!$P$51,EXP(-E49*E2_tabla_vida!$X$52)*E2_tabla_vida!$P$52,EXP(-E49*E2_tabla_vida!$X$53)*E2_tabla_vida!$P$53,EXP(-E49*E2_tabla_vida!$X$54)*E2_tabla_vida!$P$54,EXP(-E49*E2_tabla_vida!$X$55)*E2_tabla_vida!$P$55,EXP(-E49*E2_tabla_vida!$X$56)*E2_tabla_vida!$P$56,EXP(-E49*E2_tabla_vida!$X$57)*E2_tabla_vida!$P$57,EXP(-E49*E2_tabla_vida!$X$58)*E2_tabla_vida!$P$58,EXP(-E49*E2_tabla_vida!$X$59)*E2_tabla_vida!$P$59,EXP(-E49*E2_tabla_vida!$X$60)*E2_tabla_vida!$P$60,EXP(-E49*E2_tabla_vida!$X$61)*E2_tabla_vida!$P$61,EXP(-E49*E2_tabla_vida!$X$62)*E2_tabla_vida!$P$62,EXP(-E49*E2_tabla_vida!$X$63)*E2_tabla_vida!$P$63,EXP(-E49*E2_tabla_vida!$X$64)*E2_tabla_vida!$P$64,EXP(-E49*E2_tabla_vida!$X$65)*E2_tabla_vida!$P$65,EXP(-E49*E2_tabla_vida!$X$66)*E2_tabla_vida!$P$66,EXP(-E49*E2_tabla_vida!$X$67)*E2_tabla_vida!$P$67,EXP(-E49*E2_tabla_vida!$X$68)*E2_tabla_vida!$P$68,EXP(-E49*E2_tabla_vida!$X$69)*E2_tabla_vida!$P$69,EXP(-E49*E2_tabla_vida!$X$70)*E2_tabla_vida!$P$70,EXP(-E49*E2_tabla_vida!$X$71)*E2_tabla_vida!$P$71,EXP(-E49*E2_tabla_vida!$X$72)*E2_tabla_vida!$P$72,EXP(-E49*E2_tabla_vida!$X$73)*E2_tabla_vida!$P$73,EXP(-E49*E2_tabla_vida!$X$74)*E2_tabla_vida!$P$74,EXP(-E49*E2_tabla_vida!$X$75)*E2_tabla_vida!$P$75,EXP(-E49*E2_tabla_vida!$X$76)*E2_tabla_vida!$P$76,EXP(-E49*E2_tabla_vida!$X$77)*E2_tabla_vida!$P$77,EXP(-E49*E2_tabla_vida!$X$78)*E2_tabla_vida!$P$78,EXP(-E49*E2_tabla_vida!$X$79)*E2_tabla_vida!$P$79,EXP(-E49*E2_tabla_vida!$X$80)*E2_tabla_vida!$P$80,EXP(-E49*E2_tabla_vida!$X$81)*E2_tabla_vida!$P$81,EXP(-E49*E2_tabla_vida!$X$82)*E2_tabla_vida!$P$82,EXP(-E49*E2_tabla_vida!$X$83)*E2_tabla_vida!$P$83,EXP(-E49*E2_tabla_vida!$X$84)*E2_tabla_vida!$P$84,EXP(-E49*E2_tabla_vida!$X$85)*E2_tabla_vida!$P$85)-1</x:f>
        <x:v>5516.31052509741</x:v>
      </x:c>
      <x:c r="G49" s="24" t="n">
        <x:f>SUM(EXP(-C49*E2_tabla_vida!$X$44)*E2_tabla_vida!$P$44,EXP(-C49*E2_tabla_vida!$X$45)*E2_tabla_vida!$P$45,EXP(-C49*E2_tabla_vida!$X$46)*E2_tabla_vida!$P$46,EXP(-C49*E2_tabla_vida!$X$47)*E2_tabla_vida!$P$47,EXP(-C49*E2_tabla_vida!$X$48)*E2_tabla_vida!$P$48,EXP(-C49*E2_tabla_vida!$X$49)*E2_tabla_vida!$P$49,EXP(-C49*E2_tabla_vida!$X$50)*E2_tabla_vida!$P$50,EXP(-C49*E2_tabla_vida!$X$51)*E2_tabla_vida!$P$51,EXP(-C49*E2_tabla_vida!$X$52)*E2_tabla_vida!$P$52,EXP(-C49*E2_tabla_vida!$X$53)*E2_tabla_vida!$P$53,EXP(-C49*E2_tabla_vida!$X$54)*E2_tabla_vida!$P$54,EXP(-C49*E2_tabla_vida!$X$55)*E2_tabla_vida!$P$55,EXP(-C49*E2_tabla_vida!$X$56)*E2_tabla_vida!$P$56,EXP(-C49*E2_tabla_vida!$X$57)*E2_tabla_vida!$P$57,EXP(-C49*E2_tabla_vida!$X$58)*E2_tabla_vida!$P$58,EXP(-C49*E2_tabla_vida!$X$59)*E2_tabla_vida!$P$59,EXP(-C49*E2_tabla_vida!$X$60)*E2_tabla_vida!$P$60,EXP(-C49*E2_tabla_vida!$X$61)*E2_tabla_vida!$P$61,EXP(-C49*E2_tabla_vida!$X$62)*E2_tabla_vida!$P$62,EXP(-C49*E2_tabla_vida!$X$63)*E2_tabla_vida!$P$63,EXP(-C49*E2_tabla_vida!$X$64)*E2_tabla_vida!$P$64,EXP(-C49*E2_tabla_vida!$X$65)*E2_tabla_vida!$P$65,EXP(-C49*E2_tabla_vida!$X$66)*E2_tabla_vida!$P$66,EXP(-C49*E2_tabla_vida!$X$67)*E2_tabla_vida!$P$67,EXP(-C49*E2_tabla_vida!$X$68)*E2_tabla_vida!$P$68,EXP(-C49*E2_tabla_vida!$X$69)*E2_tabla_vida!$P$69,EXP(-C49*E2_tabla_vida!$X$70)*E2_tabla_vida!$P$70,EXP(-C49*E2_tabla_vida!$X$71)*E2_tabla_vida!$P$71,EXP(-C49*E2_tabla_vida!$X$72)*E2_tabla_vida!$P$72,EXP(-C49*E2_tabla_vida!$X$73)*E2_tabla_vida!$P$73,EXP(-C49*E2_tabla_vida!$X$74)*E2_tabla_vida!$P$74,EXP(-C49*E2_tabla_vida!$X$75)*E2_tabla_vida!$P$75,EXP(-C49*E2_tabla_vida!$X$76)*E2_tabla_vida!$P$76,EXP(-C49*E2_tabla_vida!$X$77)*E2_tabla_vida!$P$77,EXP(-C49*E2_tabla_vida!$X$78)*E2_tabla_vida!$P$78,EXP(-C49*E2_tabla_vida!$X$79)*E2_tabla_vida!$P$79,EXP(-C49*E2_tabla_vida!$X$80)*E2_tabla_vida!$P$80,EXP(-C49*E2_tabla_vida!$X$81)*E2_tabla_vida!$P$81,EXP(-C49*E2_tabla_vida!$X$82)*E2_tabla_vida!$P$82,EXP(-C49*E2_tabla_vida!$X$83)*E2_tabla_vida!$P$83,EXP(-C49*E2_tabla_vida!$X$84)*E2_tabla_vida!$P$84,EXP(-C49*E2_tabla_vida!$X$85)*E2_tabla_vida!$P$85)-1</x:f>
        <x:v>4263396249114.285</x:v>
      </x:c>
      <x:c r="H49" s="24" t="n">
        <x:f>SUM(EXP(-D49*E2_tabla_vida!$X$44)*E2_tabla_vida!$P$44,EXP(-D49*E2_tabla_vida!$X$45)*E2_tabla_vida!$P$45,EXP(-D49*E2_tabla_vida!$X$46)*E2_tabla_vida!$P$46,EXP(-D49*E2_tabla_vida!$X$47)*E2_tabla_vida!$P$47,EXP(-D49*E2_tabla_vida!$X$48)*E2_tabla_vida!$P$48,EXP(-D49*E2_tabla_vida!$X$49)*E2_tabla_vida!$P$49,EXP(-D49*E2_tabla_vida!$X$50)*E2_tabla_vida!$P$50,EXP(-D49*E2_tabla_vida!$X$51)*E2_tabla_vida!$P$51,EXP(-D49*E2_tabla_vida!$X$52)*E2_tabla_vida!$P$52,EXP(-D49*E2_tabla_vida!$X$53)*E2_tabla_vida!$P$53,EXP(-D49*E2_tabla_vida!$X$54)*E2_tabla_vida!$P$54,EXP(-D49*E2_tabla_vida!$X$55)*E2_tabla_vida!$P$55,EXP(-D49*E2_tabla_vida!$X$56)*E2_tabla_vida!$P$56,EXP(-D49*E2_tabla_vida!$X$57)*E2_tabla_vida!$P$57,EXP(-D49*E2_tabla_vida!$X$58)*E2_tabla_vida!$P$58,EXP(-D49*E2_tabla_vida!$X$59)*E2_tabla_vida!$P$59,EXP(-D49*E2_tabla_vida!$X$60)*E2_tabla_vida!$P$60,EXP(-D49*E2_tabla_vida!$X$61)*E2_tabla_vida!$P$61,EXP(-D49*E2_tabla_vida!$X$62)*E2_tabla_vida!$P$62,EXP(-D49*E2_tabla_vida!$X$63)*E2_tabla_vida!$P$63,EXP(-D49*E2_tabla_vida!$X$64)*E2_tabla_vida!$P$64,EXP(-D49*E2_tabla_vida!$X$65)*E2_tabla_vida!$P$65,EXP(-D49*E2_tabla_vida!$X$66)*E2_tabla_vida!$P$66,EXP(-D49*E2_tabla_vida!$X$67)*E2_tabla_vida!$P$67,EXP(-D49*E2_tabla_vida!$X$68)*E2_tabla_vida!$P$68,EXP(-D49*E2_tabla_vida!$X$69)*E2_tabla_vida!$P$69,EXP(-D49*E2_tabla_vida!$X$70)*E2_tabla_vida!$P$70,EXP(-D49*E2_tabla_vida!$X$71)*E2_tabla_vida!$P$71,EXP(-D49*E2_tabla_vida!$X$72)*E2_tabla_vida!$P$72,EXP(-D49*E2_tabla_vida!$X$73)*E2_tabla_vida!$P$73,EXP(-D49*E2_tabla_vida!$X$74)*E2_tabla_vida!$P$74,EXP(-D49*E2_tabla_vida!$X$75)*E2_tabla_vida!$P$75,EXP(-D49*E2_tabla_vida!$X$76)*E2_tabla_vida!$P$76,EXP(-D49*E2_tabla_vida!$X$77)*E2_tabla_vida!$P$77,EXP(-D49*E2_tabla_vida!$X$78)*E2_tabla_vida!$P$78,EXP(-D49*E2_tabla_vida!$X$79)*E2_tabla_vida!$P$79,EXP(-D49*E2_tabla_vida!$X$80)*E2_tabla_vida!$P$80,EXP(-D49*E2_tabla_vida!$X$81)*E2_tabla_vida!$P$81,EXP(-D49*E2_tabla_vida!$X$82)*E2_tabla_vida!$P$82,EXP(-D49*E2_tabla_vida!$X$83)*E2_tabla_vida!$P$83,EXP(-D49*E2_tabla_vida!$X$84)*E2_tabla_vida!$P$84,EXP(-D49*E2_tabla_vida!$X$85)*E2_tabla_vida!$P$85)-1</x:f>
        <x:v>-0.9861076898261719</x:v>
      </x:c>
    </x:row>
    <x:row r="50" ht="19" customHeight="1">
      <x:c r="A50" s="2" t="str">
        <x:v>MP_L8</x:v>
      </x:c>
      <x:c r="B50" s="2" t="n">
        <x:v>2</x:v>
      </x:c>
      <x:c r="C50" s="22" t="n">
        <x:f>IF(F49&gt;0,E49,C49)</x:f>
        <x:v>-0.25</x:v>
      </x:c>
      <x:c r="D50" s="22" t="n">
        <x:f>IF(F49&gt;0,D49,E49)</x:f>
        <x:v>0.5</x:v>
      </x:c>
      <x:c r="E50" s="22" t="n">
        <x:f>AVERAGE(C50:D50)</x:f>
        <x:v>0.125</x:v>
      </x:c>
      <x:c r="F50" s="24" t="n">
        <x:f>SUM(EXP(-E50*E2_tabla_vida!$X$44)*E2_tabla_vida!$P$44,EXP(-E50*E2_tabla_vida!$X$45)*E2_tabla_vida!$P$45,EXP(-E50*E2_tabla_vida!$X$46)*E2_tabla_vida!$P$46,EXP(-E50*E2_tabla_vida!$X$47)*E2_tabla_vida!$P$47,EXP(-E50*E2_tabla_vida!$X$48)*E2_tabla_vida!$P$48,EXP(-E50*E2_tabla_vida!$X$49)*E2_tabla_vida!$P$49,EXP(-E50*E2_tabla_vida!$X$50)*E2_tabla_vida!$P$50,EXP(-E50*E2_tabla_vida!$X$51)*E2_tabla_vida!$P$51,EXP(-E50*E2_tabla_vida!$X$52)*E2_tabla_vida!$P$52,EXP(-E50*E2_tabla_vida!$X$53)*E2_tabla_vida!$P$53,EXP(-E50*E2_tabla_vida!$X$54)*E2_tabla_vida!$P$54,EXP(-E50*E2_tabla_vida!$X$55)*E2_tabla_vida!$P$55,EXP(-E50*E2_tabla_vida!$X$56)*E2_tabla_vida!$P$56,EXP(-E50*E2_tabla_vida!$X$57)*E2_tabla_vida!$P$57,EXP(-E50*E2_tabla_vida!$X$58)*E2_tabla_vida!$P$58,EXP(-E50*E2_tabla_vida!$X$59)*E2_tabla_vida!$P$59,EXP(-E50*E2_tabla_vida!$X$60)*E2_tabla_vida!$P$60,EXP(-E50*E2_tabla_vida!$X$61)*E2_tabla_vida!$P$61,EXP(-E50*E2_tabla_vida!$X$62)*E2_tabla_vida!$P$62,EXP(-E50*E2_tabla_vida!$X$63)*E2_tabla_vida!$P$63,EXP(-E50*E2_tabla_vida!$X$64)*E2_tabla_vida!$P$64,EXP(-E50*E2_tabla_vida!$X$65)*E2_tabla_vida!$P$65,EXP(-E50*E2_tabla_vida!$X$66)*E2_tabla_vida!$P$66,EXP(-E50*E2_tabla_vida!$X$67)*E2_tabla_vida!$P$67,EXP(-E50*E2_tabla_vida!$X$68)*E2_tabla_vida!$P$68,EXP(-E50*E2_tabla_vida!$X$69)*E2_tabla_vida!$P$69,EXP(-E50*E2_tabla_vida!$X$70)*E2_tabla_vida!$P$70,EXP(-E50*E2_tabla_vida!$X$71)*E2_tabla_vida!$P$71,EXP(-E50*E2_tabla_vida!$X$72)*E2_tabla_vida!$P$72,EXP(-E50*E2_tabla_vida!$X$73)*E2_tabla_vida!$P$73,EXP(-E50*E2_tabla_vida!$X$74)*E2_tabla_vida!$P$74,EXP(-E50*E2_tabla_vida!$X$75)*E2_tabla_vida!$P$75,EXP(-E50*E2_tabla_vida!$X$76)*E2_tabla_vida!$P$76,EXP(-E50*E2_tabla_vida!$X$77)*E2_tabla_vida!$P$77,EXP(-E50*E2_tabla_vida!$X$78)*E2_tabla_vida!$P$78,EXP(-E50*E2_tabla_vida!$X$79)*E2_tabla_vida!$P$79,EXP(-E50*E2_tabla_vida!$X$80)*E2_tabla_vida!$P$80,EXP(-E50*E2_tabla_vida!$X$81)*E2_tabla_vida!$P$81,EXP(-E50*E2_tabla_vida!$X$82)*E2_tabla_vida!$P$82,EXP(-E50*E2_tabla_vida!$X$83)*E2_tabla_vida!$P$83,EXP(-E50*E2_tabla_vida!$X$84)*E2_tabla_vida!$P$84,EXP(-E50*E2_tabla_vida!$X$85)*E2_tabla_vida!$P$85)-1</x:f>
        <x:v>2.1353664393647516</x:v>
      </x:c>
      <x:c r="G50" s="24" t="n">
        <x:f>SUM(EXP(-C50*E2_tabla_vida!$X$44)*E2_tabla_vida!$P$44,EXP(-C50*E2_tabla_vida!$X$45)*E2_tabla_vida!$P$45,EXP(-C50*E2_tabla_vida!$X$46)*E2_tabla_vida!$P$46,EXP(-C50*E2_tabla_vida!$X$47)*E2_tabla_vida!$P$47,EXP(-C50*E2_tabla_vida!$X$48)*E2_tabla_vida!$P$48,EXP(-C50*E2_tabla_vida!$X$49)*E2_tabla_vida!$P$49,EXP(-C50*E2_tabla_vida!$X$50)*E2_tabla_vida!$P$50,EXP(-C50*E2_tabla_vida!$X$51)*E2_tabla_vida!$P$51,EXP(-C50*E2_tabla_vida!$X$52)*E2_tabla_vida!$P$52,EXP(-C50*E2_tabla_vida!$X$53)*E2_tabla_vida!$P$53,EXP(-C50*E2_tabla_vida!$X$54)*E2_tabla_vida!$P$54,EXP(-C50*E2_tabla_vida!$X$55)*E2_tabla_vida!$P$55,EXP(-C50*E2_tabla_vida!$X$56)*E2_tabla_vida!$P$56,EXP(-C50*E2_tabla_vida!$X$57)*E2_tabla_vida!$P$57,EXP(-C50*E2_tabla_vida!$X$58)*E2_tabla_vida!$P$58,EXP(-C50*E2_tabla_vida!$X$59)*E2_tabla_vida!$P$59,EXP(-C50*E2_tabla_vida!$X$60)*E2_tabla_vida!$P$60,EXP(-C50*E2_tabla_vida!$X$61)*E2_tabla_vida!$P$61,EXP(-C50*E2_tabla_vida!$X$62)*E2_tabla_vida!$P$62,EXP(-C50*E2_tabla_vida!$X$63)*E2_tabla_vida!$P$63,EXP(-C50*E2_tabla_vida!$X$64)*E2_tabla_vida!$P$64,EXP(-C50*E2_tabla_vida!$X$65)*E2_tabla_vida!$P$65,EXP(-C50*E2_tabla_vida!$X$66)*E2_tabla_vida!$P$66,EXP(-C50*E2_tabla_vida!$X$67)*E2_tabla_vida!$P$67,EXP(-C50*E2_tabla_vida!$X$68)*E2_tabla_vida!$P$68,EXP(-C50*E2_tabla_vida!$X$69)*E2_tabla_vida!$P$69,EXP(-C50*E2_tabla_vida!$X$70)*E2_tabla_vida!$P$70,EXP(-C50*E2_tabla_vida!$X$71)*E2_tabla_vida!$P$71,EXP(-C50*E2_tabla_vida!$X$72)*E2_tabla_vida!$P$72,EXP(-C50*E2_tabla_vida!$X$73)*E2_tabla_vida!$P$73,EXP(-C50*E2_tabla_vida!$X$74)*E2_tabla_vida!$P$74,EXP(-C50*E2_tabla_vida!$X$75)*E2_tabla_vida!$P$75,EXP(-C50*E2_tabla_vida!$X$76)*E2_tabla_vida!$P$76,EXP(-C50*E2_tabla_vida!$X$77)*E2_tabla_vida!$P$77,EXP(-C50*E2_tabla_vida!$X$78)*E2_tabla_vida!$P$78,EXP(-C50*E2_tabla_vida!$X$79)*E2_tabla_vida!$P$79,EXP(-C50*E2_tabla_vida!$X$80)*E2_tabla_vida!$P$80,EXP(-C50*E2_tabla_vida!$X$81)*E2_tabla_vida!$P$81,EXP(-C50*E2_tabla_vida!$X$82)*E2_tabla_vida!$P$82,EXP(-C50*E2_tabla_vida!$X$83)*E2_tabla_vida!$P$83,EXP(-C50*E2_tabla_vida!$X$84)*E2_tabla_vida!$P$84,EXP(-C50*E2_tabla_vida!$X$85)*E2_tabla_vida!$P$85)-1</x:f>
        <x:v>5516.31052509741</x:v>
      </x:c>
      <x:c r="H50" s="24" t="n">
        <x:f>SUM(EXP(-D50*E2_tabla_vida!$X$44)*E2_tabla_vida!$P$44,EXP(-D50*E2_tabla_vida!$X$45)*E2_tabla_vida!$P$45,EXP(-D50*E2_tabla_vida!$X$46)*E2_tabla_vida!$P$46,EXP(-D50*E2_tabla_vida!$X$47)*E2_tabla_vida!$P$47,EXP(-D50*E2_tabla_vida!$X$48)*E2_tabla_vida!$P$48,EXP(-D50*E2_tabla_vida!$X$49)*E2_tabla_vida!$P$49,EXP(-D50*E2_tabla_vida!$X$50)*E2_tabla_vida!$P$50,EXP(-D50*E2_tabla_vida!$X$51)*E2_tabla_vida!$P$51,EXP(-D50*E2_tabla_vida!$X$52)*E2_tabla_vida!$P$52,EXP(-D50*E2_tabla_vida!$X$53)*E2_tabla_vida!$P$53,EXP(-D50*E2_tabla_vida!$X$54)*E2_tabla_vida!$P$54,EXP(-D50*E2_tabla_vida!$X$55)*E2_tabla_vida!$P$55,EXP(-D50*E2_tabla_vida!$X$56)*E2_tabla_vida!$P$56,EXP(-D50*E2_tabla_vida!$X$57)*E2_tabla_vida!$P$57,EXP(-D50*E2_tabla_vida!$X$58)*E2_tabla_vida!$P$58,EXP(-D50*E2_tabla_vida!$X$59)*E2_tabla_vida!$P$59,EXP(-D50*E2_tabla_vida!$X$60)*E2_tabla_vida!$P$60,EXP(-D50*E2_tabla_vida!$X$61)*E2_tabla_vida!$P$61,EXP(-D50*E2_tabla_vida!$X$62)*E2_tabla_vida!$P$62,EXP(-D50*E2_tabla_vida!$X$63)*E2_tabla_vida!$P$63,EXP(-D50*E2_tabla_vida!$X$64)*E2_tabla_vida!$P$64,EXP(-D50*E2_tabla_vida!$X$65)*E2_tabla_vida!$P$65,EXP(-D50*E2_tabla_vida!$X$66)*E2_tabla_vida!$P$66,EXP(-D50*E2_tabla_vida!$X$67)*E2_tabla_vida!$P$67,EXP(-D50*E2_tabla_vida!$X$68)*E2_tabla_vida!$P$68,EXP(-D50*E2_tabla_vida!$X$69)*E2_tabla_vida!$P$69,EXP(-D50*E2_tabla_vida!$X$70)*E2_tabla_vida!$P$70,EXP(-D50*E2_tabla_vida!$X$71)*E2_tabla_vida!$P$71,EXP(-D50*E2_tabla_vida!$X$72)*E2_tabla_vida!$P$72,EXP(-D50*E2_tabla_vida!$X$73)*E2_tabla_vida!$P$73,EXP(-D50*E2_tabla_vida!$X$74)*E2_tabla_vida!$P$74,EXP(-D50*E2_tabla_vida!$X$75)*E2_tabla_vida!$P$75,EXP(-D50*E2_tabla_vida!$X$76)*E2_tabla_vida!$P$76,EXP(-D50*E2_tabla_vida!$X$77)*E2_tabla_vida!$P$77,EXP(-D50*E2_tabla_vida!$X$78)*E2_tabla_vida!$P$78,EXP(-D50*E2_tabla_vida!$X$79)*E2_tabla_vida!$P$79,EXP(-D50*E2_tabla_vida!$X$80)*E2_tabla_vida!$P$80,EXP(-D50*E2_tabla_vida!$X$81)*E2_tabla_vida!$P$81,EXP(-D50*E2_tabla_vida!$X$82)*E2_tabla_vida!$P$82,EXP(-D50*E2_tabla_vida!$X$83)*E2_tabla_vida!$P$83,EXP(-D50*E2_tabla_vida!$X$84)*E2_tabla_vida!$P$84,EXP(-D50*E2_tabla_vida!$X$85)*E2_tabla_vida!$P$85)-1</x:f>
        <x:v>-0.9861076898261719</x:v>
      </x:c>
    </x:row>
    <x:row r="51" ht="19" customHeight="1">
      <x:c r="A51" s="2" t="str">
        <x:v>MP_L8</x:v>
      </x:c>
      <x:c r="B51" s="2" t="n">
        <x:v>3</x:v>
      </x:c>
      <x:c r="C51" s="22" t="n">
        <x:f>IF(F50&gt;0,E50,C50)</x:f>
        <x:v>0.125</x:v>
      </x:c>
      <x:c r="D51" s="22" t="n">
        <x:f>IF(F50&gt;0,D50,E50)</x:f>
        <x:v>0.5</x:v>
      </x:c>
      <x:c r="E51" s="22" t="n">
        <x:f>AVERAGE(C51:D51)</x:f>
        <x:v>0.3125</x:v>
      </x:c>
      <x:c r="F51" s="24" t="n">
        <x:f>SUM(EXP(-E51*E2_tabla_vida!$X$44)*E2_tabla_vida!$P$44,EXP(-E51*E2_tabla_vida!$X$45)*E2_tabla_vida!$P$45,EXP(-E51*E2_tabla_vida!$X$46)*E2_tabla_vida!$P$46,EXP(-E51*E2_tabla_vida!$X$47)*E2_tabla_vida!$P$47,EXP(-E51*E2_tabla_vida!$X$48)*E2_tabla_vida!$P$48,EXP(-E51*E2_tabla_vida!$X$49)*E2_tabla_vida!$P$49,EXP(-E51*E2_tabla_vida!$X$50)*E2_tabla_vida!$P$50,EXP(-E51*E2_tabla_vida!$X$51)*E2_tabla_vida!$P$51,EXP(-E51*E2_tabla_vida!$X$52)*E2_tabla_vida!$P$52,EXP(-E51*E2_tabla_vida!$X$53)*E2_tabla_vida!$P$53,EXP(-E51*E2_tabla_vida!$X$54)*E2_tabla_vida!$P$54,EXP(-E51*E2_tabla_vida!$X$55)*E2_tabla_vida!$P$55,EXP(-E51*E2_tabla_vida!$X$56)*E2_tabla_vida!$P$56,EXP(-E51*E2_tabla_vida!$X$57)*E2_tabla_vida!$P$57,EXP(-E51*E2_tabla_vida!$X$58)*E2_tabla_vida!$P$58,EXP(-E51*E2_tabla_vida!$X$59)*E2_tabla_vida!$P$59,EXP(-E51*E2_tabla_vida!$X$60)*E2_tabla_vida!$P$60,EXP(-E51*E2_tabla_vida!$X$61)*E2_tabla_vida!$P$61,EXP(-E51*E2_tabla_vida!$X$62)*E2_tabla_vida!$P$62,EXP(-E51*E2_tabla_vida!$X$63)*E2_tabla_vida!$P$63,EXP(-E51*E2_tabla_vida!$X$64)*E2_tabla_vida!$P$64,EXP(-E51*E2_tabla_vida!$X$65)*E2_tabla_vida!$P$65,EXP(-E51*E2_tabla_vida!$X$66)*E2_tabla_vida!$P$66,EXP(-E51*E2_tabla_vida!$X$67)*E2_tabla_vida!$P$67,EXP(-E51*E2_tabla_vida!$X$68)*E2_tabla_vida!$P$68,EXP(-E51*E2_tabla_vida!$X$69)*E2_tabla_vida!$P$69,EXP(-E51*E2_tabla_vida!$X$70)*E2_tabla_vida!$P$70,EXP(-E51*E2_tabla_vida!$X$71)*E2_tabla_vida!$P$71,EXP(-E51*E2_tabla_vida!$X$72)*E2_tabla_vida!$P$72,EXP(-E51*E2_tabla_vida!$X$73)*E2_tabla_vida!$P$73,EXP(-E51*E2_tabla_vida!$X$74)*E2_tabla_vida!$P$74,EXP(-E51*E2_tabla_vida!$X$75)*E2_tabla_vida!$P$75,EXP(-E51*E2_tabla_vida!$X$76)*E2_tabla_vida!$P$76,EXP(-E51*E2_tabla_vida!$X$77)*E2_tabla_vida!$P$77,EXP(-E51*E2_tabla_vida!$X$78)*E2_tabla_vida!$P$78,EXP(-E51*E2_tabla_vida!$X$79)*E2_tabla_vida!$P$79,EXP(-E51*E2_tabla_vida!$X$80)*E2_tabla_vida!$P$80,EXP(-E51*E2_tabla_vida!$X$81)*E2_tabla_vida!$P$81,EXP(-E51*E2_tabla_vida!$X$82)*E2_tabla_vida!$P$82,EXP(-E51*E2_tabla_vida!$X$83)*E2_tabla_vida!$P$83,EXP(-E51*E2_tabla_vida!$X$84)*E2_tabla_vida!$P$84,EXP(-E51*E2_tabla_vida!$X$85)*E2_tabla_vida!$P$85)-1</x:f>
        <x:v>-0.8257426025550221</x:v>
      </x:c>
      <x:c r="G51" s="24" t="n">
        <x:f>SUM(EXP(-C51*E2_tabla_vida!$X$44)*E2_tabla_vida!$P$44,EXP(-C51*E2_tabla_vida!$X$45)*E2_tabla_vida!$P$45,EXP(-C51*E2_tabla_vida!$X$46)*E2_tabla_vida!$P$46,EXP(-C51*E2_tabla_vida!$X$47)*E2_tabla_vida!$P$47,EXP(-C51*E2_tabla_vida!$X$48)*E2_tabla_vida!$P$48,EXP(-C51*E2_tabla_vida!$X$49)*E2_tabla_vida!$P$49,EXP(-C51*E2_tabla_vida!$X$50)*E2_tabla_vida!$P$50,EXP(-C51*E2_tabla_vida!$X$51)*E2_tabla_vida!$P$51,EXP(-C51*E2_tabla_vida!$X$52)*E2_tabla_vida!$P$52,EXP(-C51*E2_tabla_vida!$X$53)*E2_tabla_vida!$P$53,EXP(-C51*E2_tabla_vida!$X$54)*E2_tabla_vida!$P$54,EXP(-C51*E2_tabla_vida!$X$55)*E2_tabla_vida!$P$55,EXP(-C51*E2_tabla_vida!$X$56)*E2_tabla_vida!$P$56,EXP(-C51*E2_tabla_vida!$X$57)*E2_tabla_vida!$P$57,EXP(-C51*E2_tabla_vida!$X$58)*E2_tabla_vida!$P$58,EXP(-C51*E2_tabla_vida!$X$59)*E2_tabla_vida!$P$59,EXP(-C51*E2_tabla_vida!$X$60)*E2_tabla_vida!$P$60,EXP(-C51*E2_tabla_vida!$X$61)*E2_tabla_vida!$P$61,EXP(-C51*E2_tabla_vida!$X$62)*E2_tabla_vida!$P$62,EXP(-C51*E2_tabla_vida!$X$63)*E2_tabla_vida!$P$63,EXP(-C51*E2_tabla_vida!$X$64)*E2_tabla_vida!$P$64,EXP(-C51*E2_tabla_vida!$X$65)*E2_tabla_vida!$P$65,EXP(-C51*E2_tabla_vida!$X$66)*E2_tabla_vida!$P$66,EXP(-C51*E2_tabla_vida!$X$67)*E2_tabla_vida!$P$67,EXP(-C51*E2_tabla_vida!$X$68)*E2_tabla_vida!$P$68,EXP(-C51*E2_tabla_vida!$X$69)*E2_tabla_vida!$P$69,EXP(-C51*E2_tabla_vida!$X$70)*E2_tabla_vida!$P$70,EXP(-C51*E2_tabla_vida!$X$71)*E2_tabla_vida!$P$71,EXP(-C51*E2_tabla_vida!$X$72)*E2_tabla_vida!$P$72,EXP(-C51*E2_tabla_vida!$X$73)*E2_tabla_vida!$P$73,EXP(-C51*E2_tabla_vida!$X$74)*E2_tabla_vida!$P$74,EXP(-C51*E2_tabla_vida!$X$75)*E2_tabla_vida!$P$75,EXP(-C51*E2_tabla_vida!$X$76)*E2_tabla_vida!$P$76,EXP(-C51*E2_tabla_vida!$X$77)*E2_tabla_vida!$P$77,EXP(-C51*E2_tabla_vida!$X$78)*E2_tabla_vida!$P$78,EXP(-C51*E2_tabla_vida!$X$79)*E2_tabla_vida!$P$79,EXP(-C51*E2_tabla_vida!$X$80)*E2_tabla_vida!$P$80,EXP(-C51*E2_tabla_vida!$X$81)*E2_tabla_vida!$P$81,EXP(-C51*E2_tabla_vida!$X$82)*E2_tabla_vida!$P$82,EXP(-C51*E2_tabla_vida!$X$83)*E2_tabla_vida!$P$83,EXP(-C51*E2_tabla_vida!$X$84)*E2_tabla_vida!$P$84,EXP(-C51*E2_tabla_vida!$X$85)*E2_tabla_vida!$P$85)-1</x:f>
        <x:v>2.1353664393647516</x:v>
      </x:c>
      <x:c r="H51" s="24" t="n">
        <x:f>SUM(EXP(-D51*E2_tabla_vida!$X$44)*E2_tabla_vida!$P$44,EXP(-D51*E2_tabla_vida!$X$45)*E2_tabla_vida!$P$45,EXP(-D51*E2_tabla_vida!$X$46)*E2_tabla_vida!$P$46,EXP(-D51*E2_tabla_vida!$X$47)*E2_tabla_vida!$P$47,EXP(-D51*E2_tabla_vida!$X$48)*E2_tabla_vida!$P$48,EXP(-D51*E2_tabla_vida!$X$49)*E2_tabla_vida!$P$49,EXP(-D51*E2_tabla_vida!$X$50)*E2_tabla_vida!$P$50,EXP(-D51*E2_tabla_vida!$X$51)*E2_tabla_vida!$P$51,EXP(-D51*E2_tabla_vida!$X$52)*E2_tabla_vida!$P$52,EXP(-D51*E2_tabla_vida!$X$53)*E2_tabla_vida!$P$53,EXP(-D51*E2_tabla_vida!$X$54)*E2_tabla_vida!$P$54,EXP(-D51*E2_tabla_vida!$X$55)*E2_tabla_vida!$P$55,EXP(-D51*E2_tabla_vida!$X$56)*E2_tabla_vida!$P$56,EXP(-D51*E2_tabla_vida!$X$57)*E2_tabla_vida!$P$57,EXP(-D51*E2_tabla_vida!$X$58)*E2_tabla_vida!$P$58,EXP(-D51*E2_tabla_vida!$X$59)*E2_tabla_vida!$P$59,EXP(-D51*E2_tabla_vida!$X$60)*E2_tabla_vida!$P$60,EXP(-D51*E2_tabla_vida!$X$61)*E2_tabla_vida!$P$61,EXP(-D51*E2_tabla_vida!$X$62)*E2_tabla_vida!$P$62,EXP(-D51*E2_tabla_vida!$X$63)*E2_tabla_vida!$P$63,EXP(-D51*E2_tabla_vida!$X$64)*E2_tabla_vida!$P$64,EXP(-D51*E2_tabla_vida!$X$65)*E2_tabla_vida!$P$65,EXP(-D51*E2_tabla_vida!$X$66)*E2_tabla_vida!$P$66,EXP(-D51*E2_tabla_vida!$X$67)*E2_tabla_vida!$P$67,EXP(-D51*E2_tabla_vida!$X$68)*E2_tabla_vida!$P$68,EXP(-D51*E2_tabla_vida!$X$69)*E2_tabla_vida!$P$69,EXP(-D51*E2_tabla_vida!$X$70)*E2_tabla_vida!$P$70,EXP(-D51*E2_tabla_vida!$X$71)*E2_tabla_vida!$P$71,EXP(-D51*E2_tabla_vida!$X$72)*E2_tabla_vida!$P$72,EXP(-D51*E2_tabla_vida!$X$73)*E2_tabla_vida!$P$73,EXP(-D51*E2_tabla_vida!$X$74)*E2_tabla_vida!$P$74,EXP(-D51*E2_tabla_vida!$X$75)*E2_tabla_vida!$P$75,EXP(-D51*E2_tabla_vida!$X$76)*E2_tabla_vida!$P$76,EXP(-D51*E2_tabla_vida!$X$77)*E2_tabla_vida!$P$77,EXP(-D51*E2_tabla_vida!$X$78)*E2_tabla_vida!$P$78,EXP(-D51*E2_tabla_vida!$X$79)*E2_tabla_vida!$P$79,EXP(-D51*E2_tabla_vida!$X$80)*E2_tabla_vida!$P$80,EXP(-D51*E2_tabla_vida!$X$81)*E2_tabla_vida!$P$81,EXP(-D51*E2_tabla_vida!$X$82)*E2_tabla_vida!$P$82,EXP(-D51*E2_tabla_vida!$X$83)*E2_tabla_vida!$P$83,EXP(-D51*E2_tabla_vida!$X$84)*E2_tabla_vida!$P$84,EXP(-D51*E2_tabla_vida!$X$85)*E2_tabla_vida!$P$85)-1</x:f>
        <x:v>-0.9861076898261719</x:v>
      </x:c>
    </x:row>
    <x:row r="52" ht="19" customHeight="1">
      <x:c r="A52" s="2" t="str">
        <x:v>MP_L8</x:v>
      </x:c>
      <x:c r="B52" s="2" t="n">
        <x:v>4</x:v>
      </x:c>
      <x:c r="C52" s="22" t="n">
        <x:f>IF(F51&gt;0,E51,C51)</x:f>
        <x:v>0.125</x:v>
      </x:c>
      <x:c r="D52" s="22" t="n">
        <x:f>IF(F51&gt;0,D51,E51)</x:f>
        <x:v>0.3125</x:v>
      </x:c>
      <x:c r="E52" s="22" t="n">
        <x:f>AVERAGE(C52:D52)</x:f>
        <x:v>0.21875</x:v>
      </x:c>
      <x:c r="F52" s="24" t="n">
        <x:f>SUM(EXP(-E52*E2_tabla_vida!$X$44)*E2_tabla_vida!$P$44,EXP(-E52*E2_tabla_vida!$X$45)*E2_tabla_vida!$P$45,EXP(-E52*E2_tabla_vida!$X$46)*E2_tabla_vida!$P$46,EXP(-E52*E2_tabla_vida!$X$47)*E2_tabla_vida!$P$47,EXP(-E52*E2_tabla_vida!$X$48)*E2_tabla_vida!$P$48,EXP(-E52*E2_tabla_vida!$X$49)*E2_tabla_vida!$P$49,EXP(-E52*E2_tabla_vida!$X$50)*E2_tabla_vida!$P$50,EXP(-E52*E2_tabla_vida!$X$51)*E2_tabla_vida!$P$51,EXP(-E52*E2_tabla_vida!$X$52)*E2_tabla_vida!$P$52,EXP(-E52*E2_tabla_vida!$X$53)*E2_tabla_vida!$P$53,EXP(-E52*E2_tabla_vida!$X$54)*E2_tabla_vida!$P$54,EXP(-E52*E2_tabla_vida!$X$55)*E2_tabla_vida!$P$55,EXP(-E52*E2_tabla_vida!$X$56)*E2_tabla_vida!$P$56,EXP(-E52*E2_tabla_vida!$X$57)*E2_tabla_vida!$P$57,EXP(-E52*E2_tabla_vida!$X$58)*E2_tabla_vida!$P$58,EXP(-E52*E2_tabla_vida!$X$59)*E2_tabla_vida!$P$59,EXP(-E52*E2_tabla_vida!$X$60)*E2_tabla_vida!$P$60,EXP(-E52*E2_tabla_vida!$X$61)*E2_tabla_vida!$P$61,EXP(-E52*E2_tabla_vida!$X$62)*E2_tabla_vida!$P$62,EXP(-E52*E2_tabla_vida!$X$63)*E2_tabla_vida!$P$63,EXP(-E52*E2_tabla_vida!$X$64)*E2_tabla_vida!$P$64,EXP(-E52*E2_tabla_vida!$X$65)*E2_tabla_vida!$P$65,EXP(-E52*E2_tabla_vida!$X$66)*E2_tabla_vida!$P$66,EXP(-E52*E2_tabla_vida!$X$67)*E2_tabla_vida!$P$67,EXP(-E52*E2_tabla_vida!$X$68)*E2_tabla_vida!$P$68,EXP(-E52*E2_tabla_vida!$X$69)*E2_tabla_vida!$P$69,EXP(-E52*E2_tabla_vida!$X$70)*E2_tabla_vida!$P$70,EXP(-E52*E2_tabla_vida!$X$71)*E2_tabla_vida!$P$71,EXP(-E52*E2_tabla_vida!$X$72)*E2_tabla_vida!$P$72,EXP(-E52*E2_tabla_vida!$X$73)*E2_tabla_vida!$P$73,EXP(-E52*E2_tabla_vida!$X$74)*E2_tabla_vida!$P$74,EXP(-E52*E2_tabla_vida!$X$75)*E2_tabla_vida!$P$75,EXP(-E52*E2_tabla_vida!$X$76)*E2_tabla_vida!$P$76,EXP(-E52*E2_tabla_vida!$X$77)*E2_tabla_vida!$P$77,EXP(-E52*E2_tabla_vida!$X$78)*E2_tabla_vida!$P$78,EXP(-E52*E2_tabla_vida!$X$79)*E2_tabla_vida!$P$79,EXP(-E52*E2_tabla_vida!$X$80)*E2_tabla_vida!$P$80,EXP(-E52*E2_tabla_vida!$X$81)*E2_tabla_vida!$P$81,EXP(-E52*E2_tabla_vida!$X$82)*E2_tabla_vida!$P$82,EXP(-E52*E2_tabla_vida!$X$83)*E2_tabla_vida!$P$83,EXP(-E52*E2_tabla_vida!$X$84)*E2_tabla_vida!$P$84,EXP(-E52*E2_tabla_vida!$X$85)*E2_tabla_vida!$P$85)-1</x:f>
        <x:v>-0.30044386066902895</x:v>
      </x:c>
      <x:c r="G52" s="24" t="n">
        <x:f>SUM(EXP(-C52*E2_tabla_vida!$X$44)*E2_tabla_vida!$P$44,EXP(-C52*E2_tabla_vida!$X$45)*E2_tabla_vida!$P$45,EXP(-C52*E2_tabla_vida!$X$46)*E2_tabla_vida!$P$46,EXP(-C52*E2_tabla_vida!$X$47)*E2_tabla_vida!$P$47,EXP(-C52*E2_tabla_vida!$X$48)*E2_tabla_vida!$P$48,EXP(-C52*E2_tabla_vida!$X$49)*E2_tabla_vida!$P$49,EXP(-C52*E2_tabla_vida!$X$50)*E2_tabla_vida!$P$50,EXP(-C52*E2_tabla_vida!$X$51)*E2_tabla_vida!$P$51,EXP(-C52*E2_tabla_vida!$X$52)*E2_tabla_vida!$P$52,EXP(-C52*E2_tabla_vida!$X$53)*E2_tabla_vida!$P$53,EXP(-C52*E2_tabla_vida!$X$54)*E2_tabla_vida!$P$54,EXP(-C52*E2_tabla_vida!$X$55)*E2_tabla_vida!$P$55,EXP(-C52*E2_tabla_vida!$X$56)*E2_tabla_vida!$P$56,EXP(-C52*E2_tabla_vida!$X$57)*E2_tabla_vida!$P$57,EXP(-C52*E2_tabla_vida!$X$58)*E2_tabla_vida!$P$58,EXP(-C52*E2_tabla_vida!$X$59)*E2_tabla_vida!$P$59,EXP(-C52*E2_tabla_vida!$X$60)*E2_tabla_vida!$P$60,EXP(-C52*E2_tabla_vida!$X$61)*E2_tabla_vida!$P$61,EXP(-C52*E2_tabla_vida!$X$62)*E2_tabla_vida!$P$62,EXP(-C52*E2_tabla_vida!$X$63)*E2_tabla_vida!$P$63,EXP(-C52*E2_tabla_vida!$X$64)*E2_tabla_vida!$P$64,EXP(-C52*E2_tabla_vida!$X$65)*E2_tabla_vida!$P$65,EXP(-C52*E2_tabla_vida!$X$66)*E2_tabla_vida!$P$66,EXP(-C52*E2_tabla_vida!$X$67)*E2_tabla_vida!$P$67,EXP(-C52*E2_tabla_vida!$X$68)*E2_tabla_vida!$P$68,EXP(-C52*E2_tabla_vida!$X$69)*E2_tabla_vida!$P$69,EXP(-C52*E2_tabla_vida!$X$70)*E2_tabla_vida!$P$70,EXP(-C52*E2_tabla_vida!$X$71)*E2_tabla_vida!$P$71,EXP(-C52*E2_tabla_vida!$X$72)*E2_tabla_vida!$P$72,EXP(-C52*E2_tabla_vida!$X$73)*E2_tabla_vida!$P$73,EXP(-C52*E2_tabla_vida!$X$74)*E2_tabla_vida!$P$74,EXP(-C52*E2_tabla_vida!$X$75)*E2_tabla_vida!$P$75,EXP(-C52*E2_tabla_vida!$X$76)*E2_tabla_vida!$P$76,EXP(-C52*E2_tabla_vida!$X$77)*E2_tabla_vida!$P$77,EXP(-C52*E2_tabla_vida!$X$78)*E2_tabla_vida!$P$78,EXP(-C52*E2_tabla_vida!$X$79)*E2_tabla_vida!$P$79,EXP(-C52*E2_tabla_vida!$X$80)*E2_tabla_vida!$P$80,EXP(-C52*E2_tabla_vida!$X$81)*E2_tabla_vida!$P$81,EXP(-C52*E2_tabla_vida!$X$82)*E2_tabla_vida!$P$82,EXP(-C52*E2_tabla_vida!$X$83)*E2_tabla_vida!$P$83,EXP(-C52*E2_tabla_vida!$X$84)*E2_tabla_vida!$P$84,EXP(-C52*E2_tabla_vida!$X$85)*E2_tabla_vida!$P$85)-1</x:f>
        <x:v>2.1353664393647516</x:v>
      </x:c>
      <x:c r="H52" s="24" t="n">
        <x:f>SUM(EXP(-D52*E2_tabla_vida!$X$44)*E2_tabla_vida!$P$44,EXP(-D52*E2_tabla_vida!$X$45)*E2_tabla_vida!$P$45,EXP(-D52*E2_tabla_vida!$X$46)*E2_tabla_vida!$P$46,EXP(-D52*E2_tabla_vida!$X$47)*E2_tabla_vida!$P$47,EXP(-D52*E2_tabla_vida!$X$48)*E2_tabla_vida!$P$48,EXP(-D52*E2_tabla_vida!$X$49)*E2_tabla_vida!$P$49,EXP(-D52*E2_tabla_vida!$X$50)*E2_tabla_vida!$P$50,EXP(-D52*E2_tabla_vida!$X$51)*E2_tabla_vida!$P$51,EXP(-D52*E2_tabla_vida!$X$52)*E2_tabla_vida!$P$52,EXP(-D52*E2_tabla_vida!$X$53)*E2_tabla_vida!$P$53,EXP(-D52*E2_tabla_vida!$X$54)*E2_tabla_vida!$P$54,EXP(-D52*E2_tabla_vida!$X$55)*E2_tabla_vida!$P$55,EXP(-D52*E2_tabla_vida!$X$56)*E2_tabla_vida!$P$56,EXP(-D52*E2_tabla_vida!$X$57)*E2_tabla_vida!$P$57,EXP(-D52*E2_tabla_vida!$X$58)*E2_tabla_vida!$P$58,EXP(-D52*E2_tabla_vida!$X$59)*E2_tabla_vida!$P$59,EXP(-D52*E2_tabla_vida!$X$60)*E2_tabla_vida!$P$60,EXP(-D52*E2_tabla_vida!$X$61)*E2_tabla_vida!$P$61,EXP(-D52*E2_tabla_vida!$X$62)*E2_tabla_vida!$P$62,EXP(-D52*E2_tabla_vida!$X$63)*E2_tabla_vida!$P$63,EXP(-D52*E2_tabla_vida!$X$64)*E2_tabla_vida!$P$64,EXP(-D52*E2_tabla_vida!$X$65)*E2_tabla_vida!$P$65,EXP(-D52*E2_tabla_vida!$X$66)*E2_tabla_vida!$P$66,EXP(-D52*E2_tabla_vida!$X$67)*E2_tabla_vida!$P$67,EXP(-D52*E2_tabla_vida!$X$68)*E2_tabla_vida!$P$68,EXP(-D52*E2_tabla_vida!$X$69)*E2_tabla_vida!$P$69,EXP(-D52*E2_tabla_vida!$X$70)*E2_tabla_vida!$P$70,EXP(-D52*E2_tabla_vida!$X$71)*E2_tabla_vida!$P$71,EXP(-D52*E2_tabla_vida!$X$72)*E2_tabla_vida!$P$72,EXP(-D52*E2_tabla_vida!$X$73)*E2_tabla_vida!$P$73,EXP(-D52*E2_tabla_vida!$X$74)*E2_tabla_vida!$P$74,EXP(-D52*E2_tabla_vida!$X$75)*E2_tabla_vida!$P$75,EXP(-D52*E2_tabla_vida!$X$76)*E2_tabla_vida!$P$76,EXP(-D52*E2_tabla_vida!$X$77)*E2_tabla_vida!$P$77,EXP(-D52*E2_tabla_vida!$X$78)*E2_tabla_vida!$P$78,EXP(-D52*E2_tabla_vida!$X$79)*E2_tabla_vida!$P$79,EXP(-D52*E2_tabla_vida!$X$80)*E2_tabla_vida!$P$80,EXP(-D52*E2_tabla_vida!$X$81)*E2_tabla_vida!$P$81,EXP(-D52*E2_tabla_vida!$X$82)*E2_tabla_vida!$P$82,EXP(-D52*E2_tabla_vida!$X$83)*E2_tabla_vida!$P$83,EXP(-D52*E2_tabla_vida!$X$84)*E2_tabla_vida!$P$84,EXP(-D52*E2_tabla_vida!$X$85)*E2_tabla_vida!$P$85)-1</x:f>
        <x:v>-0.8257426025550221</x:v>
      </x:c>
    </x:row>
    <x:row r="53" ht="19" customHeight="1">
      <x:c r="A53" s="2" t="str">
        <x:v>MP_L8</x:v>
      </x:c>
      <x:c r="B53" s="2" t="n">
        <x:v>5</x:v>
      </x:c>
      <x:c r="C53" s="22" t="n">
        <x:f>IF(F52&gt;0,E52,C52)</x:f>
        <x:v>0.125</x:v>
      </x:c>
      <x:c r="D53" s="22" t="n">
        <x:f>IF(F52&gt;0,D52,E52)</x:f>
        <x:v>0.21875</x:v>
      </x:c>
      <x:c r="E53" s="22" t="n">
        <x:f>AVERAGE(C53:D53)</x:f>
        <x:v>0.171875</x:v>
      </x:c>
      <x:c r="F53" s="24" t="n">
        <x:f>SUM(EXP(-E53*E2_tabla_vida!$X$44)*E2_tabla_vida!$P$44,EXP(-E53*E2_tabla_vida!$X$45)*E2_tabla_vida!$P$45,EXP(-E53*E2_tabla_vida!$X$46)*E2_tabla_vida!$P$46,EXP(-E53*E2_tabla_vida!$X$47)*E2_tabla_vida!$P$47,EXP(-E53*E2_tabla_vida!$X$48)*E2_tabla_vida!$P$48,EXP(-E53*E2_tabla_vida!$X$49)*E2_tabla_vida!$P$49,EXP(-E53*E2_tabla_vida!$X$50)*E2_tabla_vida!$P$50,EXP(-E53*E2_tabla_vida!$X$51)*E2_tabla_vida!$P$51,EXP(-E53*E2_tabla_vida!$X$52)*E2_tabla_vida!$P$52,EXP(-E53*E2_tabla_vida!$X$53)*E2_tabla_vida!$P$53,EXP(-E53*E2_tabla_vida!$X$54)*E2_tabla_vida!$P$54,EXP(-E53*E2_tabla_vida!$X$55)*E2_tabla_vida!$P$55,EXP(-E53*E2_tabla_vida!$X$56)*E2_tabla_vida!$P$56,EXP(-E53*E2_tabla_vida!$X$57)*E2_tabla_vida!$P$57,EXP(-E53*E2_tabla_vida!$X$58)*E2_tabla_vida!$P$58,EXP(-E53*E2_tabla_vida!$X$59)*E2_tabla_vida!$P$59,EXP(-E53*E2_tabla_vida!$X$60)*E2_tabla_vida!$P$60,EXP(-E53*E2_tabla_vida!$X$61)*E2_tabla_vida!$P$61,EXP(-E53*E2_tabla_vida!$X$62)*E2_tabla_vida!$P$62,EXP(-E53*E2_tabla_vida!$X$63)*E2_tabla_vida!$P$63,EXP(-E53*E2_tabla_vida!$X$64)*E2_tabla_vida!$P$64,EXP(-E53*E2_tabla_vida!$X$65)*E2_tabla_vida!$P$65,EXP(-E53*E2_tabla_vida!$X$66)*E2_tabla_vida!$P$66,EXP(-E53*E2_tabla_vida!$X$67)*E2_tabla_vida!$P$67,EXP(-E53*E2_tabla_vida!$X$68)*E2_tabla_vida!$P$68,EXP(-E53*E2_tabla_vida!$X$69)*E2_tabla_vida!$P$69,EXP(-E53*E2_tabla_vida!$X$70)*E2_tabla_vida!$P$70,EXP(-E53*E2_tabla_vida!$X$71)*E2_tabla_vida!$P$71,EXP(-E53*E2_tabla_vida!$X$72)*E2_tabla_vida!$P$72,EXP(-E53*E2_tabla_vida!$X$73)*E2_tabla_vida!$P$73,EXP(-E53*E2_tabla_vida!$X$74)*E2_tabla_vida!$P$74,EXP(-E53*E2_tabla_vida!$X$75)*E2_tabla_vida!$P$75,EXP(-E53*E2_tabla_vida!$X$76)*E2_tabla_vida!$P$76,EXP(-E53*E2_tabla_vida!$X$77)*E2_tabla_vida!$P$77,EXP(-E53*E2_tabla_vida!$X$78)*E2_tabla_vida!$P$78,EXP(-E53*E2_tabla_vida!$X$79)*E2_tabla_vida!$P$79,EXP(-E53*E2_tabla_vida!$X$80)*E2_tabla_vida!$P$80,EXP(-E53*E2_tabla_vida!$X$81)*E2_tabla_vida!$P$81,EXP(-E53*E2_tabla_vida!$X$82)*E2_tabla_vida!$P$82,EXP(-E53*E2_tabla_vida!$X$83)*E2_tabla_vida!$P$83,EXP(-E53*E2_tabla_vida!$X$84)*E2_tabla_vida!$P$84,EXP(-E53*E2_tabla_vida!$X$85)*E2_tabla_vida!$P$85)-1</x:f>
        <x:v>0.4586461775475048</x:v>
      </x:c>
      <x:c r="G53" s="24" t="n">
        <x:f>SUM(EXP(-C53*E2_tabla_vida!$X$44)*E2_tabla_vida!$P$44,EXP(-C53*E2_tabla_vida!$X$45)*E2_tabla_vida!$P$45,EXP(-C53*E2_tabla_vida!$X$46)*E2_tabla_vida!$P$46,EXP(-C53*E2_tabla_vida!$X$47)*E2_tabla_vida!$P$47,EXP(-C53*E2_tabla_vida!$X$48)*E2_tabla_vida!$P$48,EXP(-C53*E2_tabla_vida!$X$49)*E2_tabla_vida!$P$49,EXP(-C53*E2_tabla_vida!$X$50)*E2_tabla_vida!$P$50,EXP(-C53*E2_tabla_vida!$X$51)*E2_tabla_vida!$P$51,EXP(-C53*E2_tabla_vida!$X$52)*E2_tabla_vida!$P$52,EXP(-C53*E2_tabla_vida!$X$53)*E2_tabla_vida!$P$53,EXP(-C53*E2_tabla_vida!$X$54)*E2_tabla_vida!$P$54,EXP(-C53*E2_tabla_vida!$X$55)*E2_tabla_vida!$P$55,EXP(-C53*E2_tabla_vida!$X$56)*E2_tabla_vida!$P$56,EXP(-C53*E2_tabla_vida!$X$57)*E2_tabla_vida!$P$57,EXP(-C53*E2_tabla_vida!$X$58)*E2_tabla_vida!$P$58,EXP(-C53*E2_tabla_vida!$X$59)*E2_tabla_vida!$P$59,EXP(-C53*E2_tabla_vida!$X$60)*E2_tabla_vida!$P$60,EXP(-C53*E2_tabla_vida!$X$61)*E2_tabla_vida!$P$61,EXP(-C53*E2_tabla_vida!$X$62)*E2_tabla_vida!$P$62,EXP(-C53*E2_tabla_vida!$X$63)*E2_tabla_vida!$P$63,EXP(-C53*E2_tabla_vida!$X$64)*E2_tabla_vida!$P$64,EXP(-C53*E2_tabla_vida!$X$65)*E2_tabla_vida!$P$65,EXP(-C53*E2_tabla_vida!$X$66)*E2_tabla_vida!$P$66,EXP(-C53*E2_tabla_vida!$X$67)*E2_tabla_vida!$P$67,EXP(-C53*E2_tabla_vida!$X$68)*E2_tabla_vida!$P$68,EXP(-C53*E2_tabla_vida!$X$69)*E2_tabla_vida!$P$69,EXP(-C53*E2_tabla_vida!$X$70)*E2_tabla_vida!$P$70,EXP(-C53*E2_tabla_vida!$X$71)*E2_tabla_vida!$P$71,EXP(-C53*E2_tabla_vida!$X$72)*E2_tabla_vida!$P$72,EXP(-C53*E2_tabla_vida!$X$73)*E2_tabla_vida!$P$73,EXP(-C53*E2_tabla_vida!$X$74)*E2_tabla_vida!$P$74,EXP(-C53*E2_tabla_vida!$X$75)*E2_tabla_vida!$P$75,EXP(-C53*E2_tabla_vida!$X$76)*E2_tabla_vida!$P$76,EXP(-C53*E2_tabla_vida!$X$77)*E2_tabla_vida!$P$77,EXP(-C53*E2_tabla_vida!$X$78)*E2_tabla_vida!$P$78,EXP(-C53*E2_tabla_vida!$X$79)*E2_tabla_vida!$P$79,EXP(-C53*E2_tabla_vida!$X$80)*E2_tabla_vida!$P$80,EXP(-C53*E2_tabla_vida!$X$81)*E2_tabla_vida!$P$81,EXP(-C53*E2_tabla_vida!$X$82)*E2_tabla_vida!$P$82,EXP(-C53*E2_tabla_vida!$X$83)*E2_tabla_vida!$P$83,EXP(-C53*E2_tabla_vida!$X$84)*E2_tabla_vida!$P$84,EXP(-C53*E2_tabla_vida!$X$85)*E2_tabla_vida!$P$85)-1</x:f>
        <x:v>2.1353664393647516</x:v>
      </x:c>
      <x:c r="H53" s="24" t="n">
        <x:f>SUM(EXP(-D53*E2_tabla_vida!$X$44)*E2_tabla_vida!$P$44,EXP(-D53*E2_tabla_vida!$X$45)*E2_tabla_vida!$P$45,EXP(-D53*E2_tabla_vida!$X$46)*E2_tabla_vida!$P$46,EXP(-D53*E2_tabla_vida!$X$47)*E2_tabla_vida!$P$47,EXP(-D53*E2_tabla_vida!$X$48)*E2_tabla_vida!$P$48,EXP(-D53*E2_tabla_vida!$X$49)*E2_tabla_vida!$P$49,EXP(-D53*E2_tabla_vida!$X$50)*E2_tabla_vida!$P$50,EXP(-D53*E2_tabla_vida!$X$51)*E2_tabla_vida!$P$51,EXP(-D53*E2_tabla_vida!$X$52)*E2_tabla_vida!$P$52,EXP(-D53*E2_tabla_vida!$X$53)*E2_tabla_vida!$P$53,EXP(-D53*E2_tabla_vida!$X$54)*E2_tabla_vida!$P$54,EXP(-D53*E2_tabla_vida!$X$55)*E2_tabla_vida!$P$55,EXP(-D53*E2_tabla_vida!$X$56)*E2_tabla_vida!$P$56,EXP(-D53*E2_tabla_vida!$X$57)*E2_tabla_vida!$P$57,EXP(-D53*E2_tabla_vida!$X$58)*E2_tabla_vida!$P$58,EXP(-D53*E2_tabla_vida!$X$59)*E2_tabla_vida!$P$59,EXP(-D53*E2_tabla_vida!$X$60)*E2_tabla_vida!$P$60,EXP(-D53*E2_tabla_vida!$X$61)*E2_tabla_vida!$P$61,EXP(-D53*E2_tabla_vida!$X$62)*E2_tabla_vida!$P$62,EXP(-D53*E2_tabla_vida!$X$63)*E2_tabla_vida!$P$63,EXP(-D53*E2_tabla_vida!$X$64)*E2_tabla_vida!$P$64,EXP(-D53*E2_tabla_vida!$X$65)*E2_tabla_vida!$P$65,EXP(-D53*E2_tabla_vida!$X$66)*E2_tabla_vida!$P$66,EXP(-D53*E2_tabla_vida!$X$67)*E2_tabla_vida!$P$67,EXP(-D53*E2_tabla_vida!$X$68)*E2_tabla_vida!$P$68,EXP(-D53*E2_tabla_vida!$X$69)*E2_tabla_vida!$P$69,EXP(-D53*E2_tabla_vida!$X$70)*E2_tabla_vida!$P$70,EXP(-D53*E2_tabla_vida!$X$71)*E2_tabla_vida!$P$71,EXP(-D53*E2_tabla_vida!$X$72)*E2_tabla_vida!$P$72,EXP(-D53*E2_tabla_vida!$X$73)*E2_tabla_vida!$P$73,EXP(-D53*E2_tabla_vida!$X$74)*E2_tabla_vida!$P$74,EXP(-D53*E2_tabla_vida!$X$75)*E2_tabla_vida!$P$75,EXP(-D53*E2_tabla_vida!$X$76)*E2_tabla_vida!$P$76,EXP(-D53*E2_tabla_vida!$X$77)*E2_tabla_vida!$P$77,EXP(-D53*E2_tabla_vida!$X$78)*E2_tabla_vida!$P$78,EXP(-D53*E2_tabla_vida!$X$79)*E2_tabla_vida!$P$79,EXP(-D53*E2_tabla_vida!$X$80)*E2_tabla_vida!$P$80,EXP(-D53*E2_tabla_vida!$X$81)*E2_tabla_vida!$P$81,EXP(-D53*E2_tabla_vida!$X$82)*E2_tabla_vida!$P$82,EXP(-D53*E2_tabla_vida!$X$83)*E2_tabla_vida!$P$83,EXP(-D53*E2_tabla_vida!$X$84)*E2_tabla_vida!$P$84,EXP(-D53*E2_tabla_vida!$X$85)*E2_tabla_vida!$P$85)-1</x:f>
        <x:v>-0.30044386066902895</x:v>
      </x:c>
    </x:row>
    <x:row r="54" ht="19" customHeight="1">
      <x:c r="A54" s="2" t="str">
        <x:v>MP_L8</x:v>
      </x:c>
      <x:c r="B54" s="2" t="n">
        <x:v>6</x:v>
      </x:c>
      <x:c r="C54" s="22" t="n">
        <x:f>IF(F53&gt;0,E53,C53)</x:f>
        <x:v>0.171875</x:v>
      </x:c>
      <x:c r="D54" s="22" t="n">
        <x:f>IF(F53&gt;0,D53,E53)</x:f>
        <x:v>0.21875</x:v>
      </x:c>
      <x:c r="E54" s="22" t="n">
        <x:f>AVERAGE(C54:D54)</x:f>
        <x:v>0.1953125</x:v>
      </x:c>
      <x:c r="F54" s="24" t="n">
        <x:f>SUM(EXP(-E54*E2_tabla_vida!$X$44)*E2_tabla_vida!$P$44,EXP(-E54*E2_tabla_vida!$X$45)*E2_tabla_vida!$P$45,EXP(-E54*E2_tabla_vida!$X$46)*E2_tabla_vida!$P$46,EXP(-E54*E2_tabla_vida!$X$47)*E2_tabla_vida!$P$47,EXP(-E54*E2_tabla_vida!$X$48)*E2_tabla_vida!$P$48,EXP(-E54*E2_tabla_vida!$X$49)*E2_tabla_vida!$P$49,EXP(-E54*E2_tabla_vida!$X$50)*E2_tabla_vida!$P$50,EXP(-E54*E2_tabla_vida!$X$51)*E2_tabla_vida!$P$51,EXP(-E54*E2_tabla_vida!$X$52)*E2_tabla_vida!$P$52,EXP(-E54*E2_tabla_vida!$X$53)*E2_tabla_vida!$P$53,EXP(-E54*E2_tabla_vida!$X$54)*E2_tabla_vida!$P$54,EXP(-E54*E2_tabla_vida!$X$55)*E2_tabla_vida!$P$55,EXP(-E54*E2_tabla_vida!$X$56)*E2_tabla_vida!$P$56,EXP(-E54*E2_tabla_vida!$X$57)*E2_tabla_vida!$P$57,EXP(-E54*E2_tabla_vida!$X$58)*E2_tabla_vida!$P$58,EXP(-E54*E2_tabla_vida!$X$59)*E2_tabla_vida!$P$59,EXP(-E54*E2_tabla_vida!$X$60)*E2_tabla_vida!$P$60,EXP(-E54*E2_tabla_vida!$X$61)*E2_tabla_vida!$P$61,EXP(-E54*E2_tabla_vida!$X$62)*E2_tabla_vida!$P$62,EXP(-E54*E2_tabla_vida!$X$63)*E2_tabla_vida!$P$63,EXP(-E54*E2_tabla_vida!$X$64)*E2_tabla_vida!$P$64,EXP(-E54*E2_tabla_vida!$X$65)*E2_tabla_vida!$P$65,EXP(-E54*E2_tabla_vida!$X$66)*E2_tabla_vida!$P$66,EXP(-E54*E2_tabla_vida!$X$67)*E2_tabla_vida!$P$67,EXP(-E54*E2_tabla_vida!$X$68)*E2_tabla_vida!$P$68,EXP(-E54*E2_tabla_vida!$X$69)*E2_tabla_vida!$P$69,EXP(-E54*E2_tabla_vida!$X$70)*E2_tabla_vida!$P$70,EXP(-E54*E2_tabla_vida!$X$71)*E2_tabla_vida!$P$71,EXP(-E54*E2_tabla_vida!$X$72)*E2_tabla_vida!$P$72,EXP(-E54*E2_tabla_vida!$X$73)*E2_tabla_vida!$P$73,EXP(-E54*E2_tabla_vida!$X$74)*E2_tabla_vida!$P$74,EXP(-E54*E2_tabla_vida!$X$75)*E2_tabla_vida!$P$75,EXP(-E54*E2_tabla_vida!$X$76)*E2_tabla_vida!$P$76,EXP(-E54*E2_tabla_vida!$X$77)*E2_tabla_vida!$P$77,EXP(-E54*E2_tabla_vida!$X$78)*E2_tabla_vida!$P$78,EXP(-E54*E2_tabla_vida!$X$79)*E2_tabla_vida!$P$79,EXP(-E54*E2_tabla_vida!$X$80)*E2_tabla_vida!$P$80,EXP(-E54*E2_tabla_vida!$X$81)*E2_tabla_vida!$P$81,EXP(-E54*E2_tabla_vida!$X$82)*E2_tabla_vida!$P$82,EXP(-E54*E2_tabla_vida!$X$83)*E2_tabla_vida!$P$83,EXP(-E54*E2_tabla_vida!$X$84)*E2_tabla_vida!$P$84,EXP(-E54*E2_tabla_vida!$X$85)*E2_tabla_vida!$P$85)-1</x:f>
        <x:v>0.006502771129936802</x:v>
      </x:c>
      <x:c r="G54" s="24" t="n">
        <x:f>SUM(EXP(-C54*E2_tabla_vida!$X$44)*E2_tabla_vida!$P$44,EXP(-C54*E2_tabla_vida!$X$45)*E2_tabla_vida!$P$45,EXP(-C54*E2_tabla_vida!$X$46)*E2_tabla_vida!$P$46,EXP(-C54*E2_tabla_vida!$X$47)*E2_tabla_vida!$P$47,EXP(-C54*E2_tabla_vida!$X$48)*E2_tabla_vida!$P$48,EXP(-C54*E2_tabla_vida!$X$49)*E2_tabla_vida!$P$49,EXP(-C54*E2_tabla_vida!$X$50)*E2_tabla_vida!$P$50,EXP(-C54*E2_tabla_vida!$X$51)*E2_tabla_vida!$P$51,EXP(-C54*E2_tabla_vida!$X$52)*E2_tabla_vida!$P$52,EXP(-C54*E2_tabla_vida!$X$53)*E2_tabla_vida!$P$53,EXP(-C54*E2_tabla_vida!$X$54)*E2_tabla_vida!$P$54,EXP(-C54*E2_tabla_vida!$X$55)*E2_tabla_vida!$P$55,EXP(-C54*E2_tabla_vida!$X$56)*E2_tabla_vida!$P$56,EXP(-C54*E2_tabla_vida!$X$57)*E2_tabla_vida!$P$57,EXP(-C54*E2_tabla_vida!$X$58)*E2_tabla_vida!$P$58,EXP(-C54*E2_tabla_vida!$X$59)*E2_tabla_vida!$P$59,EXP(-C54*E2_tabla_vida!$X$60)*E2_tabla_vida!$P$60,EXP(-C54*E2_tabla_vida!$X$61)*E2_tabla_vida!$P$61,EXP(-C54*E2_tabla_vida!$X$62)*E2_tabla_vida!$P$62,EXP(-C54*E2_tabla_vida!$X$63)*E2_tabla_vida!$P$63,EXP(-C54*E2_tabla_vida!$X$64)*E2_tabla_vida!$P$64,EXP(-C54*E2_tabla_vida!$X$65)*E2_tabla_vida!$P$65,EXP(-C54*E2_tabla_vida!$X$66)*E2_tabla_vida!$P$66,EXP(-C54*E2_tabla_vida!$X$67)*E2_tabla_vida!$P$67,EXP(-C54*E2_tabla_vida!$X$68)*E2_tabla_vida!$P$68,EXP(-C54*E2_tabla_vida!$X$69)*E2_tabla_vida!$P$69,EXP(-C54*E2_tabla_vida!$X$70)*E2_tabla_vida!$P$70,EXP(-C54*E2_tabla_vida!$X$71)*E2_tabla_vida!$P$71,EXP(-C54*E2_tabla_vida!$X$72)*E2_tabla_vida!$P$72,EXP(-C54*E2_tabla_vida!$X$73)*E2_tabla_vida!$P$73,EXP(-C54*E2_tabla_vida!$X$74)*E2_tabla_vida!$P$74,EXP(-C54*E2_tabla_vida!$X$75)*E2_tabla_vida!$P$75,EXP(-C54*E2_tabla_vida!$X$76)*E2_tabla_vida!$P$76,EXP(-C54*E2_tabla_vida!$X$77)*E2_tabla_vida!$P$77,EXP(-C54*E2_tabla_vida!$X$78)*E2_tabla_vida!$P$78,EXP(-C54*E2_tabla_vida!$X$79)*E2_tabla_vida!$P$79,EXP(-C54*E2_tabla_vida!$X$80)*E2_tabla_vida!$P$80,EXP(-C54*E2_tabla_vida!$X$81)*E2_tabla_vida!$P$81,EXP(-C54*E2_tabla_vida!$X$82)*E2_tabla_vida!$P$82,EXP(-C54*E2_tabla_vida!$X$83)*E2_tabla_vida!$P$83,EXP(-C54*E2_tabla_vida!$X$84)*E2_tabla_vida!$P$84,EXP(-C54*E2_tabla_vida!$X$85)*E2_tabla_vida!$P$85)-1</x:f>
        <x:v>0.4586461775475048</x:v>
      </x:c>
      <x:c r="H54" s="24" t="n">
        <x:f>SUM(EXP(-D54*E2_tabla_vida!$X$44)*E2_tabla_vida!$P$44,EXP(-D54*E2_tabla_vida!$X$45)*E2_tabla_vida!$P$45,EXP(-D54*E2_tabla_vida!$X$46)*E2_tabla_vida!$P$46,EXP(-D54*E2_tabla_vida!$X$47)*E2_tabla_vida!$P$47,EXP(-D54*E2_tabla_vida!$X$48)*E2_tabla_vida!$P$48,EXP(-D54*E2_tabla_vida!$X$49)*E2_tabla_vida!$P$49,EXP(-D54*E2_tabla_vida!$X$50)*E2_tabla_vida!$P$50,EXP(-D54*E2_tabla_vida!$X$51)*E2_tabla_vida!$P$51,EXP(-D54*E2_tabla_vida!$X$52)*E2_tabla_vida!$P$52,EXP(-D54*E2_tabla_vida!$X$53)*E2_tabla_vida!$P$53,EXP(-D54*E2_tabla_vida!$X$54)*E2_tabla_vida!$P$54,EXP(-D54*E2_tabla_vida!$X$55)*E2_tabla_vida!$P$55,EXP(-D54*E2_tabla_vida!$X$56)*E2_tabla_vida!$P$56,EXP(-D54*E2_tabla_vida!$X$57)*E2_tabla_vida!$P$57,EXP(-D54*E2_tabla_vida!$X$58)*E2_tabla_vida!$P$58,EXP(-D54*E2_tabla_vida!$X$59)*E2_tabla_vida!$P$59,EXP(-D54*E2_tabla_vida!$X$60)*E2_tabla_vida!$P$60,EXP(-D54*E2_tabla_vida!$X$61)*E2_tabla_vida!$P$61,EXP(-D54*E2_tabla_vida!$X$62)*E2_tabla_vida!$P$62,EXP(-D54*E2_tabla_vida!$X$63)*E2_tabla_vida!$P$63,EXP(-D54*E2_tabla_vida!$X$64)*E2_tabla_vida!$P$64,EXP(-D54*E2_tabla_vida!$X$65)*E2_tabla_vida!$P$65,EXP(-D54*E2_tabla_vida!$X$66)*E2_tabla_vida!$P$66,EXP(-D54*E2_tabla_vida!$X$67)*E2_tabla_vida!$P$67,EXP(-D54*E2_tabla_vida!$X$68)*E2_tabla_vida!$P$68,EXP(-D54*E2_tabla_vida!$X$69)*E2_tabla_vida!$P$69,EXP(-D54*E2_tabla_vida!$X$70)*E2_tabla_vida!$P$70,EXP(-D54*E2_tabla_vida!$X$71)*E2_tabla_vida!$P$71,EXP(-D54*E2_tabla_vida!$X$72)*E2_tabla_vida!$P$72,EXP(-D54*E2_tabla_vida!$X$73)*E2_tabla_vida!$P$73,EXP(-D54*E2_tabla_vida!$X$74)*E2_tabla_vida!$P$74,EXP(-D54*E2_tabla_vida!$X$75)*E2_tabla_vida!$P$75,EXP(-D54*E2_tabla_vida!$X$76)*E2_tabla_vida!$P$76,EXP(-D54*E2_tabla_vida!$X$77)*E2_tabla_vida!$P$77,EXP(-D54*E2_tabla_vida!$X$78)*E2_tabla_vida!$P$78,EXP(-D54*E2_tabla_vida!$X$79)*E2_tabla_vida!$P$79,EXP(-D54*E2_tabla_vida!$X$80)*E2_tabla_vida!$P$80,EXP(-D54*E2_tabla_vida!$X$81)*E2_tabla_vida!$P$81,EXP(-D54*E2_tabla_vida!$X$82)*E2_tabla_vida!$P$82,EXP(-D54*E2_tabla_vida!$X$83)*E2_tabla_vida!$P$83,EXP(-D54*E2_tabla_vida!$X$84)*E2_tabla_vida!$P$84,EXP(-D54*E2_tabla_vida!$X$85)*E2_tabla_vida!$P$85)-1</x:f>
        <x:v>-0.30044386066902895</x:v>
      </x:c>
    </x:row>
    <x:row r="55" ht="19" customHeight="1">
      <x:c r="A55" s="2" t="str">
        <x:v>MP_L8</x:v>
      </x:c>
      <x:c r="B55" s="2" t="n">
        <x:v>7</x:v>
      </x:c>
      <x:c r="C55" s="22" t="n">
        <x:f>IF(F54&gt;0,E54,C54)</x:f>
        <x:v>0.1953125</x:v>
      </x:c>
      <x:c r="D55" s="22" t="n">
        <x:f>IF(F54&gt;0,D54,E54)</x:f>
        <x:v>0.21875</x:v>
      </x:c>
      <x:c r="E55" s="22" t="n">
        <x:f>AVERAGE(C55:D55)</x:f>
        <x:v>0.20703125</x:v>
      </x:c>
      <x:c r="F55" s="24" t="n">
        <x:f>SUM(EXP(-E55*E2_tabla_vida!$X$44)*E2_tabla_vida!$P$44,EXP(-E55*E2_tabla_vida!$X$45)*E2_tabla_vida!$P$45,EXP(-E55*E2_tabla_vida!$X$46)*E2_tabla_vida!$P$46,EXP(-E55*E2_tabla_vida!$X$47)*E2_tabla_vida!$P$47,EXP(-E55*E2_tabla_vida!$X$48)*E2_tabla_vida!$P$48,EXP(-E55*E2_tabla_vida!$X$49)*E2_tabla_vida!$P$49,EXP(-E55*E2_tabla_vida!$X$50)*E2_tabla_vida!$P$50,EXP(-E55*E2_tabla_vida!$X$51)*E2_tabla_vida!$P$51,EXP(-E55*E2_tabla_vida!$X$52)*E2_tabla_vida!$P$52,EXP(-E55*E2_tabla_vida!$X$53)*E2_tabla_vida!$P$53,EXP(-E55*E2_tabla_vida!$X$54)*E2_tabla_vida!$P$54,EXP(-E55*E2_tabla_vida!$X$55)*E2_tabla_vida!$P$55,EXP(-E55*E2_tabla_vida!$X$56)*E2_tabla_vida!$P$56,EXP(-E55*E2_tabla_vida!$X$57)*E2_tabla_vida!$P$57,EXP(-E55*E2_tabla_vida!$X$58)*E2_tabla_vida!$P$58,EXP(-E55*E2_tabla_vida!$X$59)*E2_tabla_vida!$P$59,EXP(-E55*E2_tabla_vida!$X$60)*E2_tabla_vida!$P$60,EXP(-E55*E2_tabla_vida!$X$61)*E2_tabla_vida!$P$61,EXP(-E55*E2_tabla_vida!$X$62)*E2_tabla_vida!$P$62,EXP(-E55*E2_tabla_vida!$X$63)*E2_tabla_vida!$P$63,EXP(-E55*E2_tabla_vida!$X$64)*E2_tabla_vida!$P$64,EXP(-E55*E2_tabla_vida!$X$65)*E2_tabla_vida!$P$65,EXP(-E55*E2_tabla_vida!$X$66)*E2_tabla_vida!$P$66,EXP(-E55*E2_tabla_vida!$X$67)*E2_tabla_vida!$P$67,EXP(-E55*E2_tabla_vida!$X$68)*E2_tabla_vida!$P$68,EXP(-E55*E2_tabla_vida!$X$69)*E2_tabla_vida!$P$69,EXP(-E55*E2_tabla_vida!$X$70)*E2_tabla_vida!$P$70,EXP(-E55*E2_tabla_vida!$X$71)*E2_tabla_vida!$P$71,EXP(-E55*E2_tabla_vida!$X$72)*E2_tabla_vida!$P$72,EXP(-E55*E2_tabla_vida!$X$73)*E2_tabla_vida!$P$73,EXP(-E55*E2_tabla_vida!$X$74)*E2_tabla_vida!$P$74,EXP(-E55*E2_tabla_vida!$X$75)*E2_tabla_vida!$P$75,EXP(-E55*E2_tabla_vida!$X$76)*E2_tabla_vida!$P$76,EXP(-E55*E2_tabla_vida!$X$77)*E2_tabla_vida!$P$77,EXP(-E55*E2_tabla_vida!$X$78)*E2_tabla_vida!$P$78,EXP(-E55*E2_tabla_vida!$X$79)*E2_tabla_vida!$P$79,EXP(-E55*E2_tabla_vida!$X$80)*E2_tabla_vida!$P$80,EXP(-E55*E2_tabla_vida!$X$81)*E2_tabla_vida!$P$81,EXP(-E55*E2_tabla_vida!$X$82)*E2_tabla_vida!$P$82,EXP(-E55*E2_tabla_vida!$X$83)*E2_tabla_vida!$P$83,EXP(-E55*E2_tabla_vida!$X$84)*E2_tabla_vida!$P$84,EXP(-E55*E2_tabla_vida!$X$85)*E2_tabla_vida!$P$85)-1</x:f>
        <x:v>-0.16162966418370317</x:v>
      </x:c>
      <x:c r="G55" s="24" t="n">
        <x:f>SUM(EXP(-C55*E2_tabla_vida!$X$44)*E2_tabla_vida!$P$44,EXP(-C55*E2_tabla_vida!$X$45)*E2_tabla_vida!$P$45,EXP(-C55*E2_tabla_vida!$X$46)*E2_tabla_vida!$P$46,EXP(-C55*E2_tabla_vida!$X$47)*E2_tabla_vida!$P$47,EXP(-C55*E2_tabla_vida!$X$48)*E2_tabla_vida!$P$48,EXP(-C55*E2_tabla_vida!$X$49)*E2_tabla_vida!$P$49,EXP(-C55*E2_tabla_vida!$X$50)*E2_tabla_vida!$P$50,EXP(-C55*E2_tabla_vida!$X$51)*E2_tabla_vida!$P$51,EXP(-C55*E2_tabla_vida!$X$52)*E2_tabla_vida!$P$52,EXP(-C55*E2_tabla_vida!$X$53)*E2_tabla_vida!$P$53,EXP(-C55*E2_tabla_vida!$X$54)*E2_tabla_vida!$P$54,EXP(-C55*E2_tabla_vida!$X$55)*E2_tabla_vida!$P$55,EXP(-C55*E2_tabla_vida!$X$56)*E2_tabla_vida!$P$56,EXP(-C55*E2_tabla_vida!$X$57)*E2_tabla_vida!$P$57,EXP(-C55*E2_tabla_vida!$X$58)*E2_tabla_vida!$P$58,EXP(-C55*E2_tabla_vida!$X$59)*E2_tabla_vida!$P$59,EXP(-C55*E2_tabla_vida!$X$60)*E2_tabla_vida!$P$60,EXP(-C55*E2_tabla_vida!$X$61)*E2_tabla_vida!$P$61,EXP(-C55*E2_tabla_vida!$X$62)*E2_tabla_vida!$P$62,EXP(-C55*E2_tabla_vida!$X$63)*E2_tabla_vida!$P$63,EXP(-C55*E2_tabla_vida!$X$64)*E2_tabla_vida!$P$64,EXP(-C55*E2_tabla_vida!$X$65)*E2_tabla_vida!$P$65,EXP(-C55*E2_tabla_vida!$X$66)*E2_tabla_vida!$P$66,EXP(-C55*E2_tabla_vida!$X$67)*E2_tabla_vida!$P$67,EXP(-C55*E2_tabla_vida!$X$68)*E2_tabla_vida!$P$68,EXP(-C55*E2_tabla_vida!$X$69)*E2_tabla_vida!$P$69,EXP(-C55*E2_tabla_vida!$X$70)*E2_tabla_vida!$P$70,EXP(-C55*E2_tabla_vida!$X$71)*E2_tabla_vida!$P$71,EXP(-C55*E2_tabla_vida!$X$72)*E2_tabla_vida!$P$72,EXP(-C55*E2_tabla_vida!$X$73)*E2_tabla_vida!$P$73,EXP(-C55*E2_tabla_vida!$X$74)*E2_tabla_vida!$P$74,EXP(-C55*E2_tabla_vida!$X$75)*E2_tabla_vida!$P$75,EXP(-C55*E2_tabla_vida!$X$76)*E2_tabla_vida!$P$76,EXP(-C55*E2_tabla_vida!$X$77)*E2_tabla_vida!$P$77,EXP(-C55*E2_tabla_vida!$X$78)*E2_tabla_vida!$P$78,EXP(-C55*E2_tabla_vida!$X$79)*E2_tabla_vida!$P$79,EXP(-C55*E2_tabla_vida!$X$80)*E2_tabla_vida!$P$80,EXP(-C55*E2_tabla_vida!$X$81)*E2_tabla_vida!$P$81,EXP(-C55*E2_tabla_vida!$X$82)*E2_tabla_vida!$P$82,EXP(-C55*E2_tabla_vida!$X$83)*E2_tabla_vida!$P$83,EXP(-C55*E2_tabla_vida!$X$84)*E2_tabla_vida!$P$84,EXP(-C55*E2_tabla_vida!$X$85)*E2_tabla_vida!$P$85)-1</x:f>
        <x:v>0.006502771129936802</x:v>
      </x:c>
      <x:c r="H55" s="24" t="n">
        <x:f>SUM(EXP(-D55*E2_tabla_vida!$X$44)*E2_tabla_vida!$P$44,EXP(-D55*E2_tabla_vida!$X$45)*E2_tabla_vida!$P$45,EXP(-D55*E2_tabla_vida!$X$46)*E2_tabla_vida!$P$46,EXP(-D55*E2_tabla_vida!$X$47)*E2_tabla_vida!$P$47,EXP(-D55*E2_tabla_vida!$X$48)*E2_tabla_vida!$P$48,EXP(-D55*E2_tabla_vida!$X$49)*E2_tabla_vida!$P$49,EXP(-D55*E2_tabla_vida!$X$50)*E2_tabla_vida!$P$50,EXP(-D55*E2_tabla_vida!$X$51)*E2_tabla_vida!$P$51,EXP(-D55*E2_tabla_vida!$X$52)*E2_tabla_vida!$P$52,EXP(-D55*E2_tabla_vida!$X$53)*E2_tabla_vida!$P$53,EXP(-D55*E2_tabla_vida!$X$54)*E2_tabla_vida!$P$54,EXP(-D55*E2_tabla_vida!$X$55)*E2_tabla_vida!$P$55,EXP(-D55*E2_tabla_vida!$X$56)*E2_tabla_vida!$P$56,EXP(-D55*E2_tabla_vida!$X$57)*E2_tabla_vida!$P$57,EXP(-D55*E2_tabla_vida!$X$58)*E2_tabla_vida!$P$58,EXP(-D55*E2_tabla_vida!$X$59)*E2_tabla_vida!$P$59,EXP(-D55*E2_tabla_vida!$X$60)*E2_tabla_vida!$P$60,EXP(-D55*E2_tabla_vida!$X$61)*E2_tabla_vida!$P$61,EXP(-D55*E2_tabla_vida!$X$62)*E2_tabla_vida!$P$62,EXP(-D55*E2_tabla_vida!$X$63)*E2_tabla_vida!$P$63,EXP(-D55*E2_tabla_vida!$X$64)*E2_tabla_vida!$P$64,EXP(-D55*E2_tabla_vida!$X$65)*E2_tabla_vida!$P$65,EXP(-D55*E2_tabla_vida!$X$66)*E2_tabla_vida!$P$66,EXP(-D55*E2_tabla_vida!$X$67)*E2_tabla_vida!$P$67,EXP(-D55*E2_tabla_vida!$X$68)*E2_tabla_vida!$P$68,EXP(-D55*E2_tabla_vida!$X$69)*E2_tabla_vida!$P$69,EXP(-D55*E2_tabla_vida!$X$70)*E2_tabla_vida!$P$70,EXP(-D55*E2_tabla_vida!$X$71)*E2_tabla_vida!$P$71,EXP(-D55*E2_tabla_vida!$X$72)*E2_tabla_vida!$P$72,EXP(-D55*E2_tabla_vida!$X$73)*E2_tabla_vida!$P$73,EXP(-D55*E2_tabla_vida!$X$74)*E2_tabla_vida!$P$74,EXP(-D55*E2_tabla_vida!$X$75)*E2_tabla_vida!$P$75,EXP(-D55*E2_tabla_vida!$X$76)*E2_tabla_vida!$P$76,EXP(-D55*E2_tabla_vida!$X$77)*E2_tabla_vida!$P$77,EXP(-D55*E2_tabla_vida!$X$78)*E2_tabla_vida!$P$78,EXP(-D55*E2_tabla_vida!$X$79)*E2_tabla_vida!$P$79,EXP(-D55*E2_tabla_vida!$X$80)*E2_tabla_vida!$P$80,EXP(-D55*E2_tabla_vida!$X$81)*E2_tabla_vida!$P$81,EXP(-D55*E2_tabla_vida!$X$82)*E2_tabla_vida!$P$82,EXP(-D55*E2_tabla_vida!$X$83)*E2_tabla_vida!$P$83,EXP(-D55*E2_tabla_vida!$X$84)*E2_tabla_vida!$P$84,EXP(-D55*E2_tabla_vida!$X$85)*E2_tabla_vida!$P$85)-1</x:f>
        <x:v>-0.30044386066902895</x:v>
      </x:c>
    </x:row>
    <x:row r="56" ht="19" customHeight="1">
      <x:c r="A56" s="2" t="str">
        <x:v>MP_L8</x:v>
      </x:c>
      <x:c r="B56" s="2" t="n">
        <x:v>8</x:v>
      </x:c>
      <x:c r="C56" s="22" t="n">
        <x:f>IF(F55&gt;0,E55,C55)</x:f>
        <x:v>0.1953125</x:v>
      </x:c>
      <x:c r="D56" s="22" t="n">
        <x:f>IF(F55&gt;0,D55,E55)</x:f>
        <x:v>0.20703125</x:v>
      </x:c>
      <x:c r="E56" s="22" t="n">
        <x:f>AVERAGE(C56:D56)</x:f>
        <x:v>0.201171875</x:v>
      </x:c>
      <x:c r="F56" s="24" t="n">
        <x:f>SUM(EXP(-E56*E2_tabla_vida!$X$44)*E2_tabla_vida!$P$44,EXP(-E56*E2_tabla_vida!$X$45)*E2_tabla_vida!$P$45,EXP(-E56*E2_tabla_vida!$X$46)*E2_tabla_vida!$P$46,EXP(-E56*E2_tabla_vida!$X$47)*E2_tabla_vida!$P$47,EXP(-E56*E2_tabla_vida!$X$48)*E2_tabla_vida!$P$48,EXP(-E56*E2_tabla_vida!$X$49)*E2_tabla_vida!$P$49,EXP(-E56*E2_tabla_vida!$X$50)*E2_tabla_vida!$P$50,EXP(-E56*E2_tabla_vida!$X$51)*E2_tabla_vida!$P$51,EXP(-E56*E2_tabla_vida!$X$52)*E2_tabla_vida!$P$52,EXP(-E56*E2_tabla_vida!$X$53)*E2_tabla_vida!$P$53,EXP(-E56*E2_tabla_vida!$X$54)*E2_tabla_vida!$P$54,EXP(-E56*E2_tabla_vida!$X$55)*E2_tabla_vida!$P$55,EXP(-E56*E2_tabla_vida!$X$56)*E2_tabla_vida!$P$56,EXP(-E56*E2_tabla_vida!$X$57)*E2_tabla_vida!$P$57,EXP(-E56*E2_tabla_vida!$X$58)*E2_tabla_vida!$P$58,EXP(-E56*E2_tabla_vida!$X$59)*E2_tabla_vida!$P$59,EXP(-E56*E2_tabla_vida!$X$60)*E2_tabla_vida!$P$60,EXP(-E56*E2_tabla_vida!$X$61)*E2_tabla_vida!$P$61,EXP(-E56*E2_tabla_vida!$X$62)*E2_tabla_vida!$P$62,EXP(-E56*E2_tabla_vida!$X$63)*E2_tabla_vida!$P$63,EXP(-E56*E2_tabla_vida!$X$64)*E2_tabla_vida!$P$64,EXP(-E56*E2_tabla_vida!$X$65)*E2_tabla_vida!$P$65,EXP(-E56*E2_tabla_vida!$X$66)*E2_tabla_vida!$P$66,EXP(-E56*E2_tabla_vida!$X$67)*E2_tabla_vida!$P$67,EXP(-E56*E2_tabla_vida!$X$68)*E2_tabla_vida!$P$68,EXP(-E56*E2_tabla_vida!$X$69)*E2_tabla_vida!$P$69,EXP(-E56*E2_tabla_vida!$X$70)*E2_tabla_vida!$P$70,EXP(-E56*E2_tabla_vida!$X$71)*E2_tabla_vida!$P$71,EXP(-E56*E2_tabla_vida!$X$72)*E2_tabla_vida!$P$72,EXP(-E56*E2_tabla_vida!$X$73)*E2_tabla_vida!$P$73,EXP(-E56*E2_tabla_vida!$X$74)*E2_tabla_vida!$P$74,EXP(-E56*E2_tabla_vida!$X$75)*E2_tabla_vida!$P$75,EXP(-E56*E2_tabla_vida!$X$76)*E2_tabla_vida!$P$76,EXP(-E56*E2_tabla_vida!$X$77)*E2_tabla_vida!$P$77,EXP(-E56*E2_tabla_vida!$X$78)*E2_tabla_vida!$P$78,EXP(-E56*E2_tabla_vida!$X$79)*E2_tabla_vida!$P$79,EXP(-E56*E2_tabla_vida!$X$80)*E2_tabla_vida!$P$80,EXP(-E56*E2_tabla_vida!$X$81)*E2_tabla_vida!$P$81,EXP(-E56*E2_tabla_vida!$X$82)*E2_tabla_vida!$P$82,EXP(-E56*E2_tabla_vida!$X$83)*E2_tabla_vida!$P$83,EXP(-E56*E2_tabla_vida!$X$84)*E2_tabla_vida!$P$84,EXP(-E56*E2_tabla_vida!$X$85)*E2_tabla_vida!$P$85)-1</x:f>
        <x:v>-0.0816071714810469</x:v>
      </x:c>
      <x:c r="G56" s="24" t="n">
        <x:f>SUM(EXP(-C56*E2_tabla_vida!$X$44)*E2_tabla_vida!$P$44,EXP(-C56*E2_tabla_vida!$X$45)*E2_tabla_vida!$P$45,EXP(-C56*E2_tabla_vida!$X$46)*E2_tabla_vida!$P$46,EXP(-C56*E2_tabla_vida!$X$47)*E2_tabla_vida!$P$47,EXP(-C56*E2_tabla_vida!$X$48)*E2_tabla_vida!$P$48,EXP(-C56*E2_tabla_vida!$X$49)*E2_tabla_vida!$P$49,EXP(-C56*E2_tabla_vida!$X$50)*E2_tabla_vida!$P$50,EXP(-C56*E2_tabla_vida!$X$51)*E2_tabla_vida!$P$51,EXP(-C56*E2_tabla_vida!$X$52)*E2_tabla_vida!$P$52,EXP(-C56*E2_tabla_vida!$X$53)*E2_tabla_vida!$P$53,EXP(-C56*E2_tabla_vida!$X$54)*E2_tabla_vida!$P$54,EXP(-C56*E2_tabla_vida!$X$55)*E2_tabla_vida!$P$55,EXP(-C56*E2_tabla_vida!$X$56)*E2_tabla_vida!$P$56,EXP(-C56*E2_tabla_vida!$X$57)*E2_tabla_vida!$P$57,EXP(-C56*E2_tabla_vida!$X$58)*E2_tabla_vida!$P$58,EXP(-C56*E2_tabla_vida!$X$59)*E2_tabla_vida!$P$59,EXP(-C56*E2_tabla_vida!$X$60)*E2_tabla_vida!$P$60,EXP(-C56*E2_tabla_vida!$X$61)*E2_tabla_vida!$P$61,EXP(-C56*E2_tabla_vida!$X$62)*E2_tabla_vida!$P$62,EXP(-C56*E2_tabla_vida!$X$63)*E2_tabla_vida!$P$63,EXP(-C56*E2_tabla_vida!$X$64)*E2_tabla_vida!$P$64,EXP(-C56*E2_tabla_vida!$X$65)*E2_tabla_vida!$P$65,EXP(-C56*E2_tabla_vida!$X$66)*E2_tabla_vida!$P$66,EXP(-C56*E2_tabla_vida!$X$67)*E2_tabla_vida!$P$67,EXP(-C56*E2_tabla_vida!$X$68)*E2_tabla_vida!$P$68,EXP(-C56*E2_tabla_vida!$X$69)*E2_tabla_vida!$P$69,EXP(-C56*E2_tabla_vida!$X$70)*E2_tabla_vida!$P$70,EXP(-C56*E2_tabla_vida!$X$71)*E2_tabla_vida!$P$71,EXP(-C56*E2_tabla_vida!$X$72)*E2_tabla_vida!$P$72,EXP(-C56*E2_tabla_vida!$X$73)*E2_tabla_vida!$P$73,EXP(-C56*E2_tabla_vida!$X$74)*E2_tabla_vida!$P$74,EXP(-C56*E2_tabla_vida!$X$75)*E2_tabla_vida!$P$75,EXP(-C56*E2_tabla_vida!$X$76)*E2_tabla_vida!$P$76,EXP(-C56*E2_tabla_vida!$X$77)*E2_tabla_vida!$P$77,EXP(-C56*E2_tabla_vida!$X$78)*E2_tabla_vida!$P$78,EXP(-C56*E2_tabla_vida!$X$79)*E2_tabla_vida!$P$79,EXP(-C56*E2_tabla_vida!$X$80)*E2_tabla_vida!$P$80,EXP(-C56*E2_tabla_vida!$X$81)*E2_tabla_vida!$P$81,EXP(-C56*E2_tabla_vida!$X$82)*E2_tabla_vida!$P$82,EXP(-C56*E2_tabla_vida!$X$83)*E2_tabla_vida!$P$83,EXP(-C56*E2_tabla_vida!$X$84)*E2_tabla_vida!$P$84,EXP(-C56*E2_tabla_vida!$X$85)*E2_tabla_vida!$P$85)-1</x:f>
        <x:v>0.006502771129936802</x:v>
      </x:c>
      <x:c r="H56" s="24" t="n">
        <x:f>SUM(EXP(-D56*E2_tabla_vida!$X$44)*E2_tabla_vida!$P$44,EXP(-D56*E2_tabla_vida!$X$45)*E2_tabla_vida!$P$45,EXP(-D56*E2_tabla_vida!$X$46)*E2_tabla_vida!$P$46,EXP(-D56*E2_tabla_vida!$X$47)*E2_tabla_vida!$P$47,EXP(-D56*E2_tabla_vida!$X$48)*E2_tabla_vida!$P$48,EXP(-D56*E2_tabla_vida!$X$49)*E2_tabla_vida!$P$49,EXP(-D56*E2_tabla_vida!$X$50)*E2_tabla_vida!$P$50,EXP(-D56*E2_tabla_vida!$X$51)*E2_tabla_vida!$P$51,EXP(-D56*E2_tabla_vida!$X$52)*E2_tabla_vida!$P$52,EXP(-D56*E2_tabla_vida!$X$53)*E2_tabla_vida!$P$53,EXP(-D56*E2_tabla_vida!$X$54)*E2_tabla_vida!$P$54,EXP(-D56*E2_tabla_vida!$X$55)*E2_tabla_vida!$P$55,EXP(-D56*E2_tabla_vida!$X$56)*E2_tabla_vida!$P$56,EXP(-D56*E2_tabla_vida!$X$57)*E2_tabla_vida!$P$57,EXP(-D56*E2_tabla_vida!$X$58)*E2_tabla_vida!$P$58,EXP(-D56*E2_tabla_vida!$X$59)*E2_tabla_vida!$P$59,EXP(-D56*E2_tabla_vida!$X$60)*E2_tabla_vida!$P$60,EXP(-D56*E2_tabla_vida!$X$61)*E2_tabla_vida!$P$61,EXP(-D56*E2_tabla_vida!$X$62)*E2_tabla_vida!$P$62,EXP(-D56*E2_tabla_vida!$X$63)*E2_tabla_vida!$P$63,EXP(-D56*E2_tabla_vida!$X$64)*E2_tabla_vida!$P$64,EXP(-D56*E2_tabla_vida!$X$65)*E2_tabla_vida!$P$65,EXP(-D56*E2_tabla_vida!$X$66)*E2_tabla_vida!$P$66,EXP(-D56*E2_tabla_vida!$X$67)*E2_tabla_vida!$P$67,EXP(-D56*E2_tabla_vida!$X$68)*E2_tabla_vida!$P$68,EXP(-D56*E2_tabla_vida!$X$69)*E2_tabla_vida!$P$69,EXP(-D56*E2_tabla_vida!$X$70)*E2_tabla_vida!$P$70,EXP(-D56*E2_tabla_vida!$X$71)*E2_tabla_vida!$P$71,EXP(-D56*E2_tabla_vida!$X$72)*E2_tabla_vida!$P$72,EXP(-D56*E2_tabla_vida!$X$73)*E2_tabla_vida!$P$73,EXP(-D56*E2_tabla_vida!$X$74)*E2_tabla_vida!$P$74,EXP(-D56*E2_tabla_vida!$X$75)*E2_tabla_vida!$P$75,EXP(-D56*E2_tabla_vida!$X$76)*E2_tabla_vida!$P$76,EXP(-D56*E2_tabla_vida!$X$77)*E2_tabla_vida!$P$77,EXP(-D56*E2_tabla_vida!$X$78)*E2_tabla_vida!$P$78,EXP(-D56*E2_tabla_vida!$X$79)*E2_tabla_vida!$P$79,EXP(-D56*E2_tabla_vida!$X$80)*E2_tabla_vida!$P$80,EXP(-D56*E2_tabla_vida!$X$81)*E2_tabla_vida!$P$81,EXP(-D56*E2_tabla_vida!$X$82)*E2_tabla_vida!$P$82,EXP(-D56*E2_tabla_vida!$X$83)*E2_tabla_vida!$P$83,EXP(-D56*E2_tabla_vida!$X$84)*E2_tabla_vida!$P$84,EXP(-D56*E2_tabla_vida!$X$85)*E2_tabla_vida!$P$85)-1</x:f>
        <x:v>-0.16162966418370317</x:v>
      </x:c>
    </x:row>
    <x:row r="57" ht="19" customHeight="1">
      <x:c r="A57" s="2" t="str">
        <x:v>MP_L8</x:v>
      </x:c>
      <x:c r="B57" s="2" t="n">
        <x:v>9</x:v>
      </x:c>
      <x:c r="C57" s="22" t="n">
        <x:f>IF(F56&gt;0,E56,C56)</x:f>
        <x:v>0.1953125</x:v>
      </x:c>
      <x:c r="D57" s="22" t="n">
        <x:f>IF(F56&gt;0,D56,E56)</x:f>
        <x:v>0.201171875</x:v>
      </x:c>
      <x:c r="E57" s="22" t="n">
        <x:f>AVERAGE(C57:D57)</x:f>
        <x:v>0.1982421875</x:v>
      </x:c>
      <x:c r="F57" s="24" t="n">
        <x:f>SUM(EXP(-E57*E2_tabla_vida!$X$44)*E2_tabla_vida!$P$44,EXP(-E57*E2_tabla_vida!$X$45)*E2_tabla_vida!$P$45,EXP(-E57*E2_tabla_vida!$X$46)*E2_tabla_vida!$P$46,EXP(-E57*E2_tabla_vida!$X$47)*E2_tabla_vida!$P$47,EXP(-E57*E2_tabla_vida!$X$48)*E2_tabla_vida!$P$48,EXP(-E57*E2_tabla_vida!$X$49)*E2_tabla_vida!$P$49,EXP(-E57*E2_tabla_vida!$X$50)*E2_tabla_vida!$P$50,EXP(-E57*E2_tabla_vida!$X$51)*E2_tabla_vida!$P$51,EXP(-E57*E2_tabla_vida!$X$52)*E2_tabla_vida!$P$52,EXP(-E57*E2_tabla_vida!$X$53)*E2_tabla_vida!$P$53,EXP(-E57*E2_tabla_vida!$X$54)*E2_tabla_vida!$P$54,EXP(-E57*E2_tabla_vida!$X$55)*E2_tabla_vida!$P$55,EXP(-E57*E2_tabla_vida!$X$56)*E2_tabla_vida!$P$56,EXP(-E57*E2_tabla_vida!$X$57)*E2_tabla_vida!$P$57,EXP(-E57*E2_tabla_vida!$X$58)*E2_tabla_vida!$P$58,EXP(-E57*E2_tabla_vida!$X$59)*E2_tabla_vida!$P$59,EXP(-E57*E2_tabla_vida!$X$60)*E2_tabla_vida!$P$60,EXP(-E57*E2_tabla_vida!$X$61)*E2_tabla_vida!$P$61,EXP(-E57*E2_tabla_vida!$X$62)*E2_tabla_vida!$P$62,EXP(-E57*E2_tabla_vida!$X$63)*E2_tabla_vida!$P$63,EXP(-E57*E2_tabla_vida!$X$64)*E2_tabla_vida!$P$64,EXP(-E57*E2_tabla_vida!$X$65)*E2_tabla_vida!$P$65,EXP(-E57*E2_tabla_vida!$X$66)*E2_tabla_vida!$P$66,EXP(-E57*E2_tabla_vida!$X$67)*E2_tabla_vida!$P$67,EXP(-E57*E2_tabla_vida!$X$68)*E2_tabla_vida!$P$68,EXP(-E57*E2_tabla_vida!$X$69)*E2_tabla_vida!$P$69,EXP(-E57*E2_tabla_vida!$X$70)*E2_tabla_vida!$P$70,EXP(-E57*E2_tabla_vida!$X$71)*E2_tabla_vida!$P$71,EXP(-E57*E2_tabla_vida!$X$72)*E2_tabla_vida!$P$72,EXP(-E57*E2_tabla_vida!$X$73)*E2_tabla_vida!$P$73,EXP(-E57*E2_tabla_vida!$X$74)*E2_tabla_vida!$P$74,EXP(-E57*E2_tabla_vida!$X$75)*E2_tabla_vida!$P$75,EXP(-E57*E2_tabla_vida!$X$76)*E2_tabla_vida!$P$76,EXP(-E57*E2_tabla_vida!$X$77)*E2_tabla_vida!$P$77,EXP(-E57*E2_tabla_vida!$X$78)*E2_tabla_vida!$P$78,EXP(-E57*E2_tabla_vida!$X$79)*E2_tabla_vida!$P$79,EXP(-E57*E2_tabla_vida!$X$80)*E2_tabla_vida!$P$80,EXP(-E57*E2_tabla_vida!$X$81)*E2_tabla_vida!$P$81,EXP(-E57*E2_tabla_vida!$X$82)*E2_tabla_vida!$P$82,EXP(-E57*E2_tabla_vida!$X$83)*E2_tabla_vida!$P$83,EXP(-E57*E2_tabla_vida!$X$84)*E2_tabla_vida!$P$84,EXP(-E57*E2_tabla_vida!$X$85)*E2_tabla_vida!$P$85)-1</x:f>
        <x:v>-0.038615014618316734</x:v>
      </x:c>
      <x:c r="G57" s="24" t="n">
        <x:f>SUM(EXP(-C57*E2_tabla_vida!$X$44)*E2_tabla_vida!$P$44,EXP(-C57*E2_tabla_vida!$X$45)*E2_tabla_vida!$P$45,EXP(-C57*E2_tabla_vida!$X$46)*E2_tabla_vida!$P$46,EXP(-C57*E2_tabla_vida!$X$47)*E2_tabla_vida!$P$47,EXP(-C57*E2_tabla_vida!$X$48)*E2_tabla_vida!$P$48,EXP(-C57*E2_tabla_vida!$X$49)*E2_tabla_vida!$P$49,EXP(-C57*E2_tabla_vida!$X$50)*E2_tabla_vida!$P$50,EXP(-C57*E2_tabla_vida!$X$51)*E2_tabla_vida!$P$51,EXP(-C57*E2_tabla_vida!$X$52)*E2_tabla_vida!$P$52,EXP(-C57*E2_tabla_vida!$X$53)*E2_tabla_vida!$P$53,EXP(-C57*E2_tabla_vida!$X$54)*E2_tabla_vida!$P$54,EXP(-C57*E2_tabla_vida!$X$55)*E2_tabla_vida!$P$55,EXP(-C57*E2_tabla_vida!$X$56)*E2_tabla_vida!$P$56,EXP(-C57*E2_tabla_vida!$X$57)*E2_tabla_vida!$P$57,EXP(-C57*E2_tabla_vida!$X$58)*E2_tabla_vida!$P$58,EXP(-C57*E2_tabla_vida!$X$59)*E2_tabla_vida!$P$59,EXP(-C57*E2_tabla_vida!$X$60)*E2_tabla_vida!$P$60,EXP(-C57*E2_tabla_vida!$X$61)*E2_tabla_vida!$P$61,EXP(-C57*E2_tabla_vida!$X$62)*E2_tabla_vida!$P$62,EXP(-C57*E2_tabla_vida!$X$63)*E2_tabla_vida!$P$63,EXP(-C57*E2_tabla_vida!$X$64)*E2_tabla_vida!$P$64,EXP(-C57*E2_tabla_vida!$X$65)*E2_tabla_vida!$P$65,EXP(-C57*E2_tabla_vida!$X$66)*E2_tabla_vida!$P$66,EXP(-C57*E2_tabla_vida!$X$67)*E2_tabla_vida!$P$67,EXP(-C57*E2_tabla_vida!$X$68)*E2_tabla_vida!$P$68,EXP(-C57*E2_tabla_vida!$X$69)*E2_tabla_vida!$P$69,EXP(-C57*E2_tabla_vida!$X$70)*E2_tabla_vida!$P$70,EXP(-C57*E2_tabla_vida!$X$71)*E2_tabla_vida!$P$71,EXP(-C57*E2_tabla_vida!$X$72)*E2_tabla_vida!$P$72,EXP(-C57*E2_tabla_vida!$X$73)*E2_tabla_vida!$P$73,EXP(-C57*E2_tabla_vida!$X$74)*E2_tabla_vida!$P$74,EXP(-C57*E2_tabla_vida!$X$75)*E2_tabla_vida!$P$75,EXP(-C57*E2_tabla_vida!$X$76)*E2_tabla_vida!$P$76,EXP(-C57*E2_tabla_vida!$X$77)*E2_tabla_vida!$P$77,EXP(-C57*E2_tabla_vida!$X$78)*E2_tabla_vida!$P$78,EXP(-C57*E2_tabla_vida!$X$79)*E2_tabla_vida!$P$79,EXP(-C57*E2_tabla_vida!$X$80)*E2_tabla_vida!$P$80,EXP(-C57*E2_tabla_vida!$X$81)*E2_tabla_vida!$P$81,EXP(-C57*E2_tabla_vida!$X$82)*E2_tabla_vida!$P$82,EXP(-C57*E2_tabla_vida!$X$83)*E2_tabla_vida!$P$83,EXP(-C57*E2_tabla_vida!$X$84)*E2_tabla_vida!$P$84,EXP(-C57*E2_tabla_vida!$X$85)*E2_tabla_vida!$P$85)-1</x:f>
        <x:v>0.006502771129936802</x:v>
      </x:c>
      <x:c r="H57" s="24" t="n">
        <x:f>SUM(EXP(-D57*E2_tabla_vida!$X$44)*E2_tabla_vida!$P$44,EXP(-D57*E2_tabla_vida!$X$45)*E2_tabla_vida!$P$45,EXP(-D57*E2_tabla_vida!$X$46)*E2_tabla_vida!$P$46,EXP(-D57*E2_tabla_vida!$X$47)*E2_tabla_vida!$P$47,EXP(-D57*E2_tabla_vida!$X$48)*E2_tabla_vida!$P$48,EXP(-D57*E2_tabla_vida!$X$49)*E2_tabla_vida!$P$49,EXP(-D57*E2_tabla_vida!$X$50)*E2_tabla_vida!$P$50,EXP(-D57*E2_tabla_vida!$X$51)*E2_tabla_vida!$P$51,EXP(-D57*E2_tabla_vida!$X$52)*E2_tabla_vida!$P$52,EXP(-D57*E2_tabla_vida!$X$53)*E2_tabla_vida!$P$53,EXP(-D57*E2_tabla_vida!$X$54)*E2_tabla_vida!$P$54,EXP(-D57*E2_tabla_vida!$X$55)*E2_tabla_vida!$P$55,EXP(-D57*E2_tabla_vida!$X$56)*E2_tabla_vida!$P$56,EXP(-D57*E2_tabla_vida!$X$57)*E2_tabla_vida!$P$57,EXP(-D57*E2_tabla_vida!$X$58)*E2_tabla_vida!$P$58,EXP(-D57*E2_tabla_vida!$X$59)*E2_tabla_vida!$P$59,EXP(-D57*E2_tabla_vida!$X$60)*E2_tabla_vida!$P$60,EXP(-D57*E2_tabla_vida!$X$61)*E2_tabla_vida!$P$61,EXP(-D57*E2_tabla_vida!$X$62)*E2_tabla_vida!$P$62,EXP(-D57*E2_tabla_vida!$X$63)*E2_tabla_vida!$P$63,EXP(-D57*E2_tabla_vida!$X$64)*E2_tabla_vida!$P$64,EXP(-D57*E2_tabla_vida!$X$65)*E2_tabla_vida!$P$65,EXP(-D57*E2_tabla_vida!$X$66)*E2_tabla_vida!$P$66,EXP(-D57*E2_tabla_vida!$X$67)*E2_tabla_vida!$P$67,EXP(-D57*E2_tabla_vida!$X$68)*E2_tabla_vida!$P$68,EXP(-D57*E2_tabla_vida!$X$69)*E2_tabla_vida!$P$69,EXP(-D57*E2_tabla_vida!$X$70)*E2_tabla_vida!$P$70,EXP(-D57*E2_tabla_vida!$X$71)*E2_tabla_vida!$P$71,EXP(-D57*E2_tabla_vida!$X$72)*E2_tabla_vida!$P$72,EXP(-D57*E2_tabla_vida!$X$73)*E2_tabla_vida!$P$73,EXP(-D57*E2_tabla_vida!$X$74)*E2_tabla_vida!$P$74,EXP(-D57*E2_tabla_vida!$X$75)*E2_tabla_vida!$P$75,EXP(-D57*E2_tabla_vida!$X$76)*E2_tabla_vida!$P$76,EXP(-D57*E2_tabla_vida!$X$77)*E2_tabla_vida!$P$77,EXP(-D57*E2_tabla_vida!$X$78)*E2_tabla_vida!$P$78,EXP(-D57*E2_tabla_vida!$X$79)*E2_tabla_vida!$P$79,EXP(-D57*E2_tabla_vida!$X$80)*E2_tabla_vida!$P$80,EXP(-D57*E2_tabla_vida!$X$81)*E2_tabla_vida!$P$81,EXP(-D57*E2_tabla_vida!$X$82)*E2_tabla_vida!$P$82,EXP(-D57*E2_tabla_vida!$X$83)*E2_tabla_vida!$P$83,EXP(-D57*E2_tabla_vida!$X$84)*E2_tabla_vida!$P$84,EXP(-D57*E2_tabla_vida!$X$85)*E2_tabla_vida!$P$85)-1</x:f>
        <x:v>-0.0816071714810469</x:v>
      </x:c>
    </x:row>
    <x:row r="58" ht="19" customHeight="1">
      <x:c r="A58" s="2" t="str">
        <x:v>MP_L8</x:v>
      </x:c>
      <x:c r="B58" s="2" t="n">
        <x:v>10</x:v>
      </x:c>
      <x:c r="C58" s="22" t="n">
        <x:f>IF(F57&gt;0,E57,C57)</x:f>
        <x:v>0.1953125</x:v>
      </x:c>
      <x:c r="D58" s="22" t="n">
        <x:f>IF(F57&gt;0,D57,E57)</x:f>
        <x:v>0.1982421875</x:v>
      </x:c>
      <x:c r="E58" s="22" t="n">
        <x:f>AVERAGE(C58:D58)</x:f>
        <x:v>0.19677734375</x:v>
      </x:c>
      <x:c r="F58" s="24" t="n">
        <x:f>SUM(EXP(-E58*E2_tabla_vida!$X$44)*E2_tabla_vida!$P$44,EXP(-E58*E2_tabla_vida!$X$45)*E2_tabla_vida!$P$45,EXP(-E58*E2_tabla_vida!$X$46)*E2_tabla_vida!$P$46,EXP(-E58*E2_tabla_vida!$X$47)*E2_tabla_vida!$P$47,EXP(-E58*E2_tabla_vida!$X$48)*E2_tabla_vida!$P$48,EXP(-E58*E2_tabla_vida!$X$49)*E2_tabla_vida!$P$49,EXP(-E58*E2_tabla_vida!$X$50)*E2_tabla_vida!$P$50,EXP(-E58*E2_tabla_vida!$X$51)*E2_tabla_vida!$P$51,EXP(-E58*E2_tabla_vida!$X$52)*E2_tabla_vida!$P$52,EXP(-E58*E2_tabla_vida!$X$53)*E2_tabla_vida!$P$53,EXP(-E58*E2_tabla_vida!$X$54)*E2_tabla_vida!$P$54,EXP(-E58*E2_tabla_vida!$X$55)*E2_tabla_vida!$P$55,EXP(-E58*E2_tabla_vida!$X$56)*E2_tabla_vida!$P$56,EXP(-E58*E2_tabla_vida!$X$57)*E2_tabla_vida!$P$57,EXP(-E58*E2_tabla_vida!$X$58)*E2_tabla_vida!$P$58,EXP(-E58*E2_tabla_vida!$X$59)*E2_tabla_vida!$P$59,EXP(-E58*E2_tabla_vida!$X$60)*E2_tabla_vida!$P$60,EXP(-E58*E2_tabla_vida!$X$61)*E2_tabla_vida!$P$61,EXP(-E58*E2_tabla_vida!$X$62)*E2_tabla_vida!$P$62,EXP(-E58*E2_tabla_vida!$X$63)*E2_tabla_vida!$P$63,EXP(-E58*E2_tabla_vida!$X$64)*E2_tabla_vida!$P$64,EXP(-E58*E2_tabla_vida!$X$65)*E2_tabla_vida!$P$65,EXP(-E58*E2_tabla_vida!$X$66)*E2_tabla_vida!$P$66,EXP(-E58*E2_tabla_vida!$X$67)*E2_tabla_vida!$P$67,EXP(-E58*E2_tabla_vida!$X$68)*E2_tabla_vida!$P$68,EXP(-E58*E2_tabla_vida!$X$69)*E2_tabla_vida!$P$69,EXP(-E58*E2_tabla_vida!$X$70)*E2_tabla_vida!$P$70,EXP(-E58*E2_tabla_vida!$X$71)*E2_tabla_vida!$P$71,EXP(-E58*E2_tabla_vida!$X$72)*E2_tabla_vida!$P$72,EXP(-E58*E2_tabla_vida!$X$73)*E2_tabla_vida!$P$73,EXP(-E58*E2_tabla_vida!$X$74)*E2_tabla_vida!$P$74,EXP(-E58*E2_tabla_vida!$X$75)*E2_tabla_vida!$P$75,EXP(-E58*E2_tabla_vida!$X$76)*E2_tabla_vida!$P$76,EXP(-E58*E2_tabla_vida!$X$77)*E2_tabla_vida!$P$77,EXP(-E58*E2_tabla_vida!$X$78)*E2_tabla_vida!$P$78,EXP(-E58*E2_tabla_vida!$X$79)*E2_tabla_vida!$P$79,EXP(-E58*E2_tabla_vida!$X$80)*E2_tabla_vida!$P$80,EXP(-E58*E2_tabla_vida!$X$81)*E2_tabla_vida!$P$81,EXP(-E58*E2_tabla_vida!$X$82)*E2_tabla_vida!$P$82,EXP(-E58*E2_tabla_vida!$X$83)*E2_tabla_vida!$P$83,EXP(-E58*E2_tabla_vida!$X$84)*E2_tabla_vida!$P$84,EXP(-E58*E2_tabla_vida!$X$85)*E2_tabla_vida!$P$85)-1</x:f>
        <x:v>-0.01632861703761812</x:v>
      </x:c>
      <x:c r="G58" s="24" t="n">
        <x:f>SUM(EXP(-C58*E2_tabla_vida!$X$44)*E2_tabla_vida!$P$44,EXP(-C58*E2_tabla_vida!$X$45)*E2_tabla_vida!$P$45,EXP(-C58*E2_tabla_vida!$X$46)*E2_tabla_vida!$P$46,EXP(-C58*E2_tabla_vida!$X$47)*E2_tabla_vida!$P$47,EXP(-C58*E2_tabla_vida!$X$48)*E2_tabla_vida!$P$48,EXP(-C58*E2_tabla_vida!$X$49)*E2_tabla_vida!$P$49,EXP(-C58*E2_tabla_vida!$X$50)*E2_tabla_vida!$P$50,EXP(-C58*E2_tabla_vida!$X$51)*E2_tabla_vida!$P$51,EXP(-C58*E2_tabla_vida!$X$52)*E2_tabla_vida!$P$52,EXP(-C58*E2_tabla_vida!$X$53)*E2_tabla_vida!$P$53,EXP(-C58*E2_tabla_vida!$X$54)*E2_tabla_vida!$P$54,EXP(-C58*E2_tabla_vida!$X$55)*E2_tabla_vida!$P$55,EXP(-C58*E2_tabla_vida!$X$56)*E2_tabla_vida!$P$56,EXP(-C58*E2_tabla_vida!$X$57)*E2_tabla_vida!$P$57,EXP(-C58*E2_tabla_vida!$X$58)*E2_tabla_vida!$P$58,EXP(-C58*E2_tabla_vida!$X$59)*E2_tabla_vida!$P$59,EXP(-C58*E2_tabla_vida!$X$60)*E2_tabla_vida!$P$60,EXP(-C58*E2_tabla_vida!$X$61)*E2_tabla_vida!$P$61,EXP(-C58*E2_tabla_vida!$X$62)*E2_tabla_vida!$P$62,EXP(-C58*E2_tabla_vida!$X$63)*E2_tabla_vida!$P$63,EXP(-C58*E2_tabla_vida!$X$64)*E2_tabla_vida!$P$64,EXP(-C58*E2_tabla_vida!$X$65)*E2_tabla_vida!$P$65,EXP(-C58*E2_tabla_vida!$X$66)*E2_tabla_vida!$P$66,EXP(-C58*E2_tabla_vida!$X$67)*E2_tabla_vida!$P$67,EXP(-C58*E2_tabla_vida!$X$68)*E2_tabla_vida!$P$68,EXP(-C58*E2_tabla_vida!$X$69)*E2_tabla_vida!$P$69,EXP(-C58*E2_tabla_vida!$X$70)*E2_tabla_vida!$P$70,EXP(-C58*E2_tabla_vida!$X$71)*E2_tabla_vida!$P$71,EXP(-C58*E2_tabla_vida!$X$72)*E2_tabla_vida!$P$72,EXP(-C58*E2_tabla_vida!$X$73)*E2_tabla_vida!$P$73,EXP(-C58*E2_tabla_vida!$X$74)*E2_tabla_vida!$P$74,EXP(-C58*E2_tabla_vida!$X$75)*E2_tabla_vida!$P$75,EXP(-C58*E2_tabla_vida!$X$76)*E2_tabla_vida!$P$76,EXP(-C58*E2_tabla_vida!$X$77)*E2_tabla_vida!$P$77,EXP(-C58*E2_tabla_vida!$X$78)*E2_tabla_vida!$P$78,EXP(-C58*E2_tabla_vida!$X$79)*E2_tabla_vida!$P$79,EXP(-C58*E2_tabla_vida!$X$80)*E2_tabla_vida!$P$80,EXP(-C58*E2_tabla_vida!$X$81)*E2_tabla_vida!$P$81,EXP(-C58*E2_tabla_vida!$X$82)*E2_tabla_vida!$P$82,EXP(-C58*E2_tabla_vida!$X$83)*E2_tabla_vida!$P$83,EXP(-C58*E2_tabla_vida!$X$84)*E2_tabla_vida!$P$84,EXP(-C58*E2_tabla_vida!$X$85)*E2_tabla_vida!$P$85)-1</x:f>
        <x:v>0.006502771129936802</x:v>
      </x:c>
      <x:c r="H58" s="24" t="n">
        <x:f>SUM(EXP(-D58*E2_tabla_vida!$X$44)*E2_tabla_vida!$P$44,EXP(-D58*E2_tabla_vida!$X$45)*E2_tabla_vida!$P$45,EXP(-D58*E2_tabla_vida!$X$46)*E2_tabla_vida!$P$46,EXP(-D58*E2_tabla_vida!$X$47)*E2_tabla_vida!$P$47,EXP(-D58*E2_tabla_vida!$X$48)*E2_tabla_vida!$P$48,EXP(-D58*E2_tabla_vida!$X$49)*E2_tabla_vida!$P$49,EXP(-D58*E2_tabla_vida!$X$50)*E2_tabla_vida!$P$50,EXP(-D58*E2_tabla_vida!$X$51)*E2_tabla_vida!$P$51,EXP(-D58*E2_tabla_vida!$X$52)*E2_tabla_vida!$P$52,EXP(-D58*E2_tabla_vida!$X$53)*E2_tabla_vida!$P$53,EXP(-D58*E2_tabla_vida!$X$54)*E2_tabla_vida!$P$54,EXP(-D58*E2_tabla_vida!$X$55)*E2_tabla_vida!$P$55,EXP(-D58*E2_tabla_vida!$X$56)*E2_tabla_vida!$P$56,EXP(-D58*E2_tabla_vida!$X$57)*E2_tabla_vida!$P$57,EXP(-D58*E2_tabla_vida!$X$58)*E2_tabla_vida!$P$58,EXP(-D58*E2_tabla_vida!$X$59)*E2_tabla_vida!$P$59,EXP(-D58*E2_tabla_vida!$X$60)*E2_tabla_vida!$P$60,EXP(-D58*E2_tabla_vida!$X$61)*E2_tabla_vida!$P$61,EXP(-D58*E2_tabla_vida!$X$62)*E2_tabla_vida!$P$62,EXP(-D58*E2_tabla_vida!$X$63)*E2_tabla_vida!$P$63,EXP(-D58*E2_tabla_vida!$X$64)*E2_tabla_vida!$P$64,EXP(-D58*E2_tabla_vida!$X$65)*E2_tabla_vida!$P$65,EXP(-D58*E2_tabla_vida!$X$66)*E2_tabla_vida!$P$66,EXP(-D58*E2_tabla_vida!$X$67)*E2_tabla_vida!$P$67,EXP(-D58*E2_tabla_vida!$X$68)*E2_tabla_vida!$P$68,EXP(-D58*E2_tabla_vida!$X$69)*E2_tabla_vida!$P$69,EXP(-D58*E2_tabla_vida!$X$70)*E2_tabla_vida!$P$70,EXP(-D58*E2_tabla_vida!$X$71)*E2_tabla_vida!$P$71,EXP(-D58*E2_tabla_vida!$X$72)*E2_tabla_vida!$P$72,EXP(-D58*E2_tabla_vida!$X$73)*E2_tabla_vida!$P$73,EXP(-D58*E2_tabla_vida!$X$74)*E2_tabla_vida!$P$74,EXP(-D58*E2_tabla_vida!$X$75)*E2_tabla_vida!$P$75,EXP(-D58*E2_tabla_vida!$X$76)*E2_tabla_vida!$P$76,EXP(-D58*E2_tabla_vida!$X$77)*E2_tabla_vida!$P$77,EXP(-D58*E2_tabla_vida!$X$78)*E2_tabla_vida!$P$78,EXP(-D58*E2_tabla_vida!$X$79)*E2_tabla_vida!$P$79,EXP(-D58*E2_tabla_vida!$X$80)*E2_tabla_vida!$P$80,EXP(-D58*E2_tabla_vida!$X$81)*E2_tabla_vida!$P$81,EXP(-D58*E2_tabla_vida!$X$82)*E2_tabla_vida!$P$82,EXP(-D58*E2_tabla_vida!$X$83)*E2_tabla_vida!$P$83,EXP(-D58*E2_tabla_vida!$X$84)*E2_tabla_vida!$P$84,EXP(-D58*E2_tabla_vida!$X$85)*E2_tabla_vida!$P$85)-1</x:f>
        <x:v>-0.038615014618316734</x:v>
      </x:c>
    </x:row>
    <x:row r="59" ht="19" customHeight="1">
      <x:c r="A59" s="2" t="str">
        <x:v>MP_L8</x:v>
      </x:c>
      <x:c r="B59" s="2" t="n">
        <x:v>11</x:v>
      </x:c>
      <x:c r="C59" s="22" t="n">
        <x:f>IF(F58&gt;0,E58,C58)</x:f>
        <x:v>0.1953125</x:v>
      </x:c>
      <x:c r="D59" s="22" t="n">
        <x:f>IF(F58&gt;0,D58,E58)</x:f>
        <x:v>0.19677734375</x:v>
      </x:c>
      <x:c r="E59" s="22" t="n">
        <x:f>AVERAGE(C59:D59)</x:f>
        <x:v>0.196044921875</x:v>
      </x:c>
      <x:c r="F59" s="24" t="n">
        <x:f>SUM(EXP(-E59*E2_tabla_vida!$X$44)*E2_tabla_vida!$P$44,EXP(-E59*E2_tabla_vida!$X$45)*E2_tabla_vida!$P$45,EXP(-E59*E2_tabla_vida!$X$46)*E2_tabla_vida!$P$46,EXP(-E59*E2_tabla_vida!$X$47)*E2_tabla_vida!$P$47,EXP(-E59*E2_tabla_vida!$X$48)*E2_tabla_vida!$P$48,EXP(-E59*E2_tabla_vida!$X$49)*E2_tabla_vida!$P$49,EXP(-E59*E2_tabla_vida!$X$50)*E2_tabla_vida!$P$50,EXP(-E59*E2_tabla_vida!$X$51)*E2_tabla_vida!$P$51,EXP(-E59*E2_tabla_vida!$X$52)*E2_tabla_vida!$P$52,EXP(-E59*E2_tabla_vida!$X$53)*E2_tabla_vida!$P$53,EXP(-E59*E2_tabla_vida!$X$54)*E2_tabla_vida!$P$54,EXP(-E59*E2_tabla_vida!$X$55)*E2_tabla_vida!$P$55,EXP(-E59*E2_tabla_vida!$X$56)*E2_tabla_vida!$P$56,EXP(-E59*E2_tabla_vida!$X$57)*E2_tabla_vida!$P$57,EXP(-E59*E2_tabla_vida!$X$58)*E2_tabla_vida!$P$58,EXP(-E59*E2_tabla_vida!$X$59)*E2_tabla_vida!$P$59,EXP(-E59*E2_tabla_vida!$X$60)*E2_tabla_vida!$P$60,EXP(-E59*E2_tabla_vida!$X$61)*E2_tabla_vida!$P$61,EXP(-E59*E2_tabla_vida!$X$62)*E2_tabla_vida!$P$62,EXP(-E59*E2_tabla_vida!$X$63)*E2_tabla_vida!$P$63,EXP(-E59*E2_tabla_vida!$X$64)*E2_tabla_vida!$P$64,EXP(-E59*E2_tabla_vida!$X$65)*E2_tabla_vida!$P$65,EXP(-E59*E2_tabla_vida!$X$66)*E2_tabla_vida!$P$66,EXP(-E59*E2_tabla_vida!$X$67)*E2_tabla_vida!$P$67,EXP(-E59*E2_tabla_vida!$X$68)*E2_tabla_vida!$P$68,EXP(-E59*E2_tabla_vida!$X$69)*E2_tabla_vida!$P$69,EXP(-E59*E2_tabla_vida!$X$70)*E2_tabla_vida!$P$70,EXP(-E59*E2_tabla_vida!$X$71)*E2_tabla_vida!$P$71,EXP(-E59*E2_tabla_vida!$X$72)*E2_tabla_vida!$P$72,EXP(-E59*E2_tabla_vida!$X$73)*E2_tabla_vida!$P$73,EXP(-E59*E2_tabla_vida!$X$74)*E2_tabla_vida!$P$74,EXP(-E59*E2_tabla_vida!$X$75)*E2_tabla_vida!$P$75,EXP(-E59*E2_tabla_vida!$X$76)*E2_tabla_vida!$P$76,EXP(-E59*E2_tabla_vida!$X$77)*E2_tabla_vida!$P$77,EXP(-E59*E2_tabla_vida!$X$78)*E2_tabla_vida!$P$78,EXP(-E59*E2_tabla_vida!$X$79)*E2_tabla_vida!$P$79,EXP(-E59*E2_tabla_vida!$X$80)*E2_tabla_vida!$P$80,EXP(-E59*E2_tabla_vida!$X$81)*E2_tabla_vida!$P$81,EXP(-E59*E2_tabla_vida!$X$82)*E2_tabla_vida!$P$82,EXP(-E59*E2_tabla_vida!$X$83)*E2_tabla_vida!$P$83,EXP(-E59*E2_tabla_vida!$X$84)*E2_tabla_vida!$P$84,EXP(-E59*E2_tabla_vida!$X$85)*E2_tabla_vida!$P$85)-1</x:f>
        <x:v>-0.004981915690581928</x:v>
      </x:c>
      <x:c r="G59" s="24" t="n">
        <x:f>SUM(EXP(-C59*E2_tabla_vida!$X$44)*E2_tabla_vida!$P$44,EXP(-C59*E2_tabla_vida!$X$45)*E2_tabla_vida!$P$45,EXP(-C59*E2_tabla_vida!$X$46)*E2_tabla_vida!$P$46,EXP(-C59*E2_tabla_vida!$X$47)*E2_tabla_vida!$P$47,EXP(-C59*E2_tabla_vida!$X$48)*E2_tabla_vida!$P$48,EXP(-C59*E2_tabla_vida!$X$49)*E2_tabla_vida!$P$49,EXP(-C59*E2_tabla_vida!$X$50)*E2_tabla_vida!$P$50,EXP(-C59*E2_tabla_vida!$X$51)*E2_tabla_vida!$P$51,EXP(-C59*E2_tabla_vida!$X$52)*E2_tabla_vida!$P$52,EXP(-C59*E2_tabla_vida!$X$53)*E2_tabla_vida!$P$53,EXP(-C59*E2_tabla_vida!$X$54)*E2_tabla_vida!$P$54,EXP(-C59*E2_tabla_vida!$X$55)*E2_tabla_vida!$P$55,EXP(-C59*E2_tabla_vida!$X$56)*E2_tabla_vida!$P$56,EXP(-C59*E2_tabla_vida!$X$57)*E2_tabla_vida!$P$57,EXP(-C59*E2_tabla_vida!$X$58)*E2_tabla_vida!$P$58,EXP(-C59*E2_tabla_vida!$X$59)*E2_tabla_vida!$P$59,EXP(-C59*E2_tabla_vida!$X$60)*E2_tabla_vida!$P$60,EXP(-C59*E2_tabla_vida!$X$61)*E2_tabla_vida!$P$61,EXP(-C59*E2_tabla_vida!$X$62)*E2_tabla_vida!$P$62,EXP(-C59*E2_tabla_vida!$X$63)*E2_tabla_vida!$P$63,EXP(-C59*E2_tabla_vida!$X$64)*E2_tabla_vida!$P$64,EXP(-C59*E2_tabla_vida!$X$65)*E2_tabla_vida!$P$65,EXP(-C59*E2_tabla_vida!$X$66)*E2_tabla_vida!$P$66,EXP(-C59*E2_tabla_vida!$X$67)*E2_tabla_vida!$P$67,EXP(-C59*E2_tabla_vida!$X$68)*E2_tabla_vida!$P$68,EXP(-C59*E2_tabla_vida!$X$69)*E2_tabla_vida!$P$69,EXP(-C59*E2_tabla_vida!$X$70)*E2_tabla_vida!$P$70,EXP(-C59*E2_tabla_vida!$X$71)*E2_tabla_vida!$P$71,EXP(-C59*E2_tabla_vida!$X$72)*E2_tabla_vida!$P$72,EXP(-C59*E2_tabla_vida!$X$73)*E2_tabla_vida!$P$73,EXP(-C59*E2_tabla_vida!$X$74)*E2_tabla_vida!$P$74,EXP(-C59*E2_tabla_vida!$X$75)*E2_tabla_vida!$P$75,EXP(-C59*E2_tabla_vida!$X$76)*E2_tabla_vida!$P$76,EXP(-C59*E2_tabla_vida!$X$77)*E2_tabla_vida!$P$77,EXP(-C59*E2_tabla_vida!$X$78)*E2_tabla_vida!$P$78,EXP(-C59*E2_tabla_vida!$X$79)*E2_tabla_vida!$P$79,EXP(-C59*E2_tabla_vida!$X$80)*E2_tabla_vida!$P$80,EXP(-C59*E2_tabla_vida!$X$81)*E2_tabla_vida!$P$81,EXP(-C59*E2_tabla_vida!$X$82)*E2_tabla_vida!$P$82,EXP(-C59*E2_tabla_vida!$X$83)*E2_tabla_vida!$P$83,EXP(-C59*E2_tabla_vida!$X$84)*E2_tabla_vida!$P$84,EXP(-C59*E2_tabla_vida!$X$85)*E2_tabla_vida!$P$85)-1</x:f>
        <x:v>0.006502771129936802</x:v>
      </x:c>
      <x:c r="H59" s="24" t="n">
        <x:f>SUM(EXP(-D59*E2_tabla_vida!$X$44)*E2_tabla_vida!$P$44,EXP(-D59*E2_tabla_vida!$X$45)*E2_tabla_vida!$P$45,EXP(-D59*E2_tabla_vida!$X$46)*E2_tabla_vida!$P$46,EXP(-D59*E2_tabla_vida!$X$47)*E2_tabla_vida!$P$47,EXP(-D59*E2_tabla_vida!$X$48)*E2_tabla_vida!$P$48,EXP(-D59*E2_tabla_vida!$X$49)*E2_tabla_vida!$P$49,EXP(-D59*E2_tabla_vida!$X$50)*E2_tabla_vida!$P$50,EXP(-D59*E2_tabla_vida!$X$51)*E2_tabla_vida!$P$51,EXP(-D59*E2_tabla_vida!$X$52)*E2_tabla_vida!$P$52,EXP(-D59*E2_tabla_vida!$X$53)*E2_tabla_vida!$P$53,EXP(-D59*E2_tabla_vida!$X$54)*E2_tabla_vida!$P$54,EXP(-D59*E2_tabla_vida!$X$55)*E2_tabla_vida!$P$55,EXP(-D59*E2_tabla_vida!$X$56)*E2_tabla_vida!$P$56,EXP(-D59*E2_tabla_vida!$X$57)*E2_tabla_vida!$P$57,EXP(-D59*E2_tabla_vida!$X$58)*E2_tabla_vida!$P$58,EXP(-D59*E2_tabla_vida!$X$59)*E2_tabla_vida!$P$59,EXP(-D59*E2_tabla_vida!$X$60)*E2_tabla_vida!$P$60,EXP(-D59*E2_tabla_vida!$X$61)*E2_tabla_vida!$P$61,EXP(-D59*E2_tabla_vida!$X$62)*E2_tabla_vida!$P$62,EXP(-D59*E2_tabla_vida!$X$63)*E2_tabla_vida!$P$63,EXP(-D59*E2_tabla_vida!$X$64)*E2_tabla_vida!$P$64,EXP(-D59*E2_tabla_vida!$X$65)*E2_tabla_vida!$P$65,EXP(-D59*E2_tabla_vida!$X$66)*E2_tabla_vida!$P$66,EXP(-D59*E2_tabla_vida!$X$67)*E2_tabla_vida!$P$67,EXP(-D59*E2_tabla_vida!$X$68)*E2_tabla_vida!$P$68,EXP(-D59*E2_tabla_vida!$X$69)*E2_tabla_vida!$P$69,EXP(-D59*E2_tabla_vida!$X$70)*E2_tabla_vida!$P$70,EXP(-D59*E2_tabla_vida!$X$71)*E2_tabla_vida!$P$71,EXP(-D59*E2_tabla_vida!$X$72)*E2_tabla_vida!$P$72,EXP(-D59*E2_tabla_vida!$X$73)*E2_tabla_vida!$P$73,EXP(-D59*E2_tabla_vida!$X$74)*E2_tabla_vida!$P$74,EXP(-D59*E2_tabla_vida!$X$75)*E2_tabla_vida!$P$75,EXP(-D59*E2_tabla_vida!$X$76)*E2_tabla_vida!$P$76,EXP(-D59*E2_tabla_vida!$X$77)*E2_tabla_vida!$P$77,EXP(-D59*E2_tabla_vida!$X$78)*E2_tabla_vida!$P$78,EXP(-D59*E2_tabla_vida!$X$79)*E2_tabla_vida!$P$79,EXP(-D59*E2_tabla_vida!$X$80)*E2_tabla_vida!$P$80,EXP(-D59*E2_tabla_vida!$X$81)*E2_tabla_vida!$P$81,EXP(-D59*E2_tabla_vida!$X$82)*E2_tabla_vida!$P$82,EXP(-D59*E2_tabla_vida!$X$83)*E2_tabla_vida!$P$83,EXP(-D59*E2_tabla_vida!$X$84)*E2_tabla_vida!$P$84,EXP(-D59*E2_tabla_vida!$X$85)*E2_tabla_vida!$P$85)-1</x:f>
        <x:v>-0.01632861703761812</x:v>
      </x:c>
    </x:row>
    <x:row r="60" ht="19" customHeight="1">
      <x:c r="A60" s="2" t="str">
        <x:v>MP_L8</x:v>
      </x:c>
      <x:c r="B60" s="2" t="n">
        <x:v>12</x:v>
      </x:c>
      <x:c r="C60" s="22" t="n">
        <x:f>IF(F59&gt;0,E59,C59)</x:f>
        <x:v>0.1953125</x:v>
      </x:c>
      <x:c r="D60" s="22" t="n">
        <x:f>IF(F59&gt;0,D59,E59)</x:f>
        <x:v>0.196044921875</x:v>
      </x:c>
      <x:c r="E60" s="22" t="n">
        <x:f>AVERAGE(C60:D60)</x:f>
        <x:v>0.1956787109375</x:v>
      </x:c>
      <x:c r="F60" s="24" t="n">
        <x:f>SUM(EXP(-E60*E2_tabla_vida!$X$44)*E2_tabla_vida!$P$44,EXP(-E60*E2_tabla_vida!$X$45)*E2_tabla_vida!$P$45,EXP(-E60*E2_tabla_vida!$X$46)*E2_tabla_vida!$P$46,EXP(-E60*E2_tabla_vida!$X$47)*E2_tabla_vida!$P$47,EXP(-E60*E2_tabla_vida!$X$48)*E2_tabla_vida!$P$48,EXP(-E60*E2_tabla_vida!$X$49)*E2_tabla_vida!$P$49,EXP(-E60*E2_tabla_vida!$X$50)*E2_tabla_vida!$P$50,EXP(-E60*E2_tabla_vida!$X$51)*E2_tabla_vida!$P$51,EXP(-E60*E2_tabla_vida!$X$52)*E2_tabla_vida!$P$52,EXP(-E60*E2_tabla_vida!$X$53)*E2_tabla_vida!$P$53,EXP(-E60*E2_tabla_vida!$X$54)*E2_tabla_vida!$P$54,EXP(-E60*E2_tabla_vida!$X$55)*E2_tabla_vida!$P$55,EXP(-E60*E2_tabla_vida!$X$56)*E2_tabla_vida!$P$56,EXP(-E60*E2_tabla_vida!$X$57)*E2_tabla_vida!$P$57,EXP(-E60*E2_tabla_vida!$X$58)*E2_tabla_vida!$P$58,EXP(-E60*E2_tabla_vida!$X$59)*E2_tabla_vida!$P$59,EXP(-E60*E2_tabla_vida!$X$60)*E2_tabla_vida!$P$60,EXP(-E60*E2_tabla_vida!$X$61)*E2_tabla_vida!$P$61,EXP(-E60*E2_tabla_vida!$X$62)*E2_tabla_vida!$P$62,EXP(-E60*E2_tabla_vida!$X$63)*E2_tabla_vida!$P$63,EXP(-E60*E2_tabla_vida!$X$64)*E2_tabla_vida!$P$64,EXP(-E60*E2_tabla_vida!$X$65)*E2_tabla_vida!$P$65,EXP(-E60*E2_tabla_vida!$X$66)*E2_tabla_vida!$P$66,EXP(-E60*E2_tabla_vida!$X$67)*E2_tabla_vida!$P$67,EXP(-E60*E2_tabla_vida!$X$68)*E2_tabla_vida!$P$68,EXP(-E60*E2_tabla_vida!$X$69)*E2_tabla_vida!$P$69,EXP(-E60*E2_tabla_vida!$X$70)*E2_tabla_vida!$P$70,EXP(-E60*E2_tabla_vida!$X$71)*E2_tabla_vida!$P$71,EXP(-E60*E2_tabla_vida!$X$72)*E2_tabla_vida!$P$72,EXP(-E60*E2_tabla_vida!$X$73)*E2_tabla_vida!$P$73,EXP(-E60*E2_tabla_vida!$X$74)*E2_tabla_vida!$P$74,EXP(-E60*E2_tabla_vida!$X$75)*E2_tabla_vida!$P$75,EXP(-E60*E2_tabla_vida!$X$76)*E2_tabla_vida!$P$76,EXP(-E60*E2_tabla_vida!$X$77)*E2_tabla_vida!$P$77,EXP(-E60*E2_tabla_vida!$X$78)*E2_tabla_vida!$P$78,EXP(-E60*E2_tabla_vida!$X$79)*E2_tabla_vida!$P$79,EXP(-E60*E2_tabla_vida!$X$80)*E2_tabla_vida!$P$80,EXP(-E60*E2_tabla_vida!$X$81)*E2_tabla_vida!$P$81,EXP(-E60*E2_tabla_vida!$X$82)*E2_tabla_vida!$P$82,EXP(-E60*E2_tabla_vida!$X$83)*E2_tabla_vida!$P$83,EXP(-E60*E2_tabla_vida!$X$84)*E2_tabla_vida!$P$84,EXP(-E60*E2_tabla_vida!$X$85)*E2_tabla_vida!$P$85)-1</x:f>
        <x:v>0.0007430696479671095</x:v>
      </x:c>
      <x:c r="G60" s="24" t="n">
        <x:f>SUM(EXP(-C60*E2_tabla_vida!$X$44)*E2_tabla_vida!$P$44,EXP(-C60*E2_tabla_vida!$X$45)*E2_tabla_vida!$P$45,EXP(-C60*E2_tabla_vida!$X$46)*E2_tabla_vida!$P$46,EXP(-C60*E2_tabla_vida!$X$47)*E2_tabla_vida!$P$47,EXP(-C60*E2_tabla_vida!$X$48)*E2_tabla_vida!$P$48,EXP(-C60*E2_tabla_vida!$X$49)*E2_tabla_vida!$P$49,EXP(-C60*E2_tabla_vida!$X$50)*E2_tabla_vida!$P$50,EXP(-C60*E2_tabla_vida!$X$51)*E2_tabla_vida!$P$51,EXP(-C60*E2_tabla_vida!$X$52)*E2_tabla_vida!$P$52,EXP(-C60*E2_tabla_vida!$X$53)*E2_tabla_vida!$P$53,EXP(-C60*E2_tabla_vida!$X$54)*E2_tabla_vida!$P$54,EXP(-C60*E2_tabla_vida!$X$55)*E2_tabla_vida!$P$55,EXP(-C60*E2_tabla_vida!$X$56)*E2_tabla_vida!$P$56,EXP(-C60*E2_tabla_vida!$X$57)*E2_tabla_vida!$P$57,EXP(-C60*E2_tabla_vida!$X$58)*E2_tabla_vida!$P$58,EXP(-C60*E2_tabla_vida!$X$59)*E2_tabla_vida!$P$59,EXP(-C60*E2_tabla_vida!$X$60)*E2_tabla_vida!$P$60,EXP(-C60*E2_tabla_vida!$X$61)*E2_tabla_vida!$P$61,EXP(-C60*E2_tabla_vida!$X$62)*E2_tabla_vida!$P$62,EXP(-C60*E2_tabla_vida!$X$63)*E2_tabla_vida!$P$63,EXP(-C60*E2_tabla_vida!$X$64)*E2_tabla_vida!$P$64,EXP(-C60*E2_tabla_vida!$X$65)*E2_tabla_vida!$P$65,EXP(-C60*E2_tabla_vida!$X$66)*E2_tabla_vida!$P$66,EXP(-C60*E2_tabla_vida!$X$67)*E2_tabla_vida!$P$67,EXP(-C60*E2_tabla_vida!$X$68)*E2_tabla_vida!$P$68,EXP(-C60*E2_tabla_vida!$X$69)*E2_tabla_vida!$P$69,EXP(-C60*E2_tabla_vida!$X$70)*E2_tabla_vida!$P$70,EXP(-C60*E2_tabla_vida!$X$71)*E2_tabla_vida!$P$71,EXP(-C60*E2_tabla_vida!$X$72)*E2_tabla_vida!$P$72,EXP(-C60*E2_tabla_vida!$X$73)*E2_tabla_vida!$P$73,EXP(-C60*E2_tabla_vida!$X$74)*E2_tabla_vida!$P$74,EXP(-C60*E2_tabla_vida!$X$75)*E2_tabla_vida!$P$75,EXP(-C60*E2_tabla_vida!$X$76)*E2_tabla_vida!$P$76,EXP(-C60*E2_tabla_vida!$X$77)*E2_tabla_vida!$P$77,EXP(-C60*E2_tabla_vida!$X$78)*E2_tabla_vida!$P$78,EXP(-C60*E2_tabla_vida!$X$79)*E2_tabla_vida!$P$79,EXP(-C60*E2_tabla_vida!$X$80)*E2_tabla_vida!$P$80,EXP(-C60*E2_tabla_vida!$X$81)*E2_tabla_vida!$P$81,EXP(-C60*E2_tabla_vida!$X$82)*E2_tabla_vida!$P$82,EXP(-C60*E2_tabla_vida!$X$83)*E2_tabla_vida!$P$83,EXP(-C60*E2_tabla_vida!$X$84)*E2_tabla_vida!$P$84,EXP(-C60*E2_tabla_vida!$X$85)*E2_tabla_vida!$P$85)-1</x:f>
        <x:v>0.006502771129936802</x:v>
      </x:c>
      <x:c r="H60" s="24" t="n">
        <x:f>SUM(EXP(-D60*E2_tabla_vida!$X$44)*E2_tabla_vida!$P$44,EXP(-D60*E2_tabla_vida!$X$45)*E2_tabla_vida!$P$45,EXP(-D60*E2_tabla_vida!$X$46)*E2_tabla_vida!$P$46,EXP(-D60*E2_tabla_vida!$X$47)*E2_tabla_vida!$P$47,EXP(-D60*E2_tabla_vida!$X$48)*E2_tabla_vida!$P$48,EXP(-D60*E2_tabla_vida!$X$49)*E2_tabla_vida!$P$49,EXP(-D60*E2_tabla_vida!$X$50)*E2_tabla_vida!$P$50,EXP(-D60*E2_tabla_vida!$X$51)*E2_tabla_vida!$P$51,EXP(-D60*E2_tabla_vida!$X$52)*E2_tabla_vida!$P$52,EXP(-D60*E2_tabla_vida!$X$53)*E2_tabla_vida!$P$53,EXP(-D60*E2_tabla_vida!$X$54)*E2_tabla_vida!$P$54,EXP(-D60*E2_tabla_vida!$X$55)*E2_tabla_vida!$P$55,EXP(-D60*E2_tabla_vida!$X$56)*E2_tabla_vida!$P$56,EXP(-D60*E2_tabla_vida!$X$57)*E2_tabla_vida!$P$57,EXP(-D60*E2_tabla_vida!$X$58)*E2_tabla_vida!$P$58,EXP(-D60*E2_tabla_vida!$X$59)*E2_tabla_vida!$P$59,EXP(-D60*E2_tabla_vida!$X$60)*E2_tabla_vida!$P$60,EXP(-D60*E2_tabla_vida!$X$61)*E2_tabla_vida!$P$61,EXP(-D60*E2_tabla_vida!$X$62)*E2_tabla_vida!$P$62,EXP(-D60*E2_tabla_vida!$X$63)*E2_tabla_vida!$P$63,EXP(-D60*E2_tabla_vida!$X$64)*E2_tabla_vida!$P$64,EXP(-D60*E2_tabla_vida!$X$65)*E2_tabla_vida!$P$65,EXP(-D60*E2_tabla_vida!$X$66)*E2_tabla_vida!$P$66,EXP(-D60*E2_tabla_vida!$X$67)*E2_tabla_vida!$P$67,EXP(-D60*E2_tabla_vida!$X$68)*E2_tabla_vida!$P$68,EXP(-D60*E2_tabla_vida!$X$69)*E2_tabla_vida!$P$69,EXP(-D60*E2_tabla_vida!$X$70)*E2_tabla_vida!$P$70,EXP(-D60*E2_tabla_vida!$X$71)*E2_tabla_vida!$P$71,EXP(-D60*E2_tabla_vida!$X$72)*E2_tabla_vida!$P$72,EXP(-D60*E2_tabla_vida!$X$73)*E2_tabla_vida!$P$73,EXP(-D60*E2_tabla_vida!$X$74)*E2_tabla_vida!$P$74,EXP(-D60*E2_tabla_vida!$X$75)*E2_tabla_vida!$P$75,EXP(-D60*E2_tabla_vida!$X$76)*E2_tabla_vida!$P$76,EXP(-D60*E2_tabla_vida!$X$77)*E2_tabla_vida!$P$77,EXP(-D60*E2_tabla_vida!$X$78)*E2_tabla_vida!$P$78,EXP(-D60*E2_tabla_vida!$X$79)*E2_tabla_vida!$P$79,EXP(-D60*E2_tabla_vida!$X$80)*E2_tabla_vida!$P$80,EXP(-D60*E2_tabla_vida!$X$81)*E2_tabla_vida!$P$81,EXP(-D60*E2_tabla_vida!$X$82)*E2_tabla_vida!$P$82,EXP(-D60*E2_tabla_vida!$X$83)*E2_tabla_vida!$P$83,EXP(-D60*E2_tabla_vida!$X$84)*E2_tabla_vida!$P$84,EXP(-D60*E2_tabla_vida!$X$85)*E2_tabla_vida!$P$85)-1</x:f>
        <x:v>-0.004981915690581928</x:v>
      </x:c>
    </x:row>
    <x:row r="61" ht="19" customHeight="1">
      <x:c r="A61" s="2" t="str">
        <x:v>MP_L8</x:v>
      </x:c>
      <x:c r="B61" s="2" t="n">
        <x:v>13</x:v>
      </x:c>
      <x:c r="C61" s="22" t="n">
        <x:f>IF(F60&gt;0,E60,C60)</x:f>
        <x:v>0.1956787109375</x:v>
      </x:c>
      <x:c r="D61" s="22" t="n">
        <x:f>IF(F60&gt;0,D60,E60)</x:f>
        <x:v>0.196044921875</x:v>
      </x:c>
      <x:c r="E61" s="22" t="n">
        <x:f>AVERAGE(C61:D61)</x:f>
        <x:v>0.19586181640625</x:v>
      </x:c>
      <x:c r="F61" s="24" t="n">
        <x:f>SUM(EXP(-E61*E2_tabla_vida!$X$44)*E2_tabla_vida!$P$44,EXP(-E61*E2_tabla_vida!$X$45)*E2_tabla_vida!$P$45,EXP(-E61*E2_tabla_vida!$X$46)*E2_tabla_vida!$P$46,EXP(-E61*E2_tabla_vida!$X$47)*E2_tabla_vida!$P$47,EXP(-E61*E2_tabla_vida!$X$48)*E2_tabla_vida!$P$48,EXP(-E61*E2_tabla_vida!$X$49)*E2_tabla_vida!$P$49,EXP(-E61*E2_tabla_vida!$X$50)*E2_tabla_vida!$P$50,EXP(-E61*E2_tabla_vida!$X$51)*E2_tabla_vida!$P$51,EXP(-E61*E2_tabla_vida!$X$52)*E2_tabla_vida!$P$52,EXP(-E61*E2_tabla_vida!$X$53)*E2_tabla_vida!$P$53,EXP(-E61*E2_tabla_vida!$X$54)*E2_tabla_vida!$P$54,EXP(-E61*E2_tabla_vida!$X$55)*E2_tabla_vida!$P$55,EXP(-E61*E2_tabla_vida!$X$56)*E2_tabla_vida!$P$56,EXP(-E61*E2_tabla_vida!$X$57)*E2_tabla_vida!$P$57,EXP(-E61*E2_tabla_vida!$X$58)*E2_tabla_vida!$P$58,EXP(-E61*E2_tabla_vida!$X$59)*E2_tabla_vida!$P$59,EXP(-E61*E2_tabla_vida!$X$60)*E2_tabla_vida!$P$60,EXP(-E61*E2_tabla_vida!$X$61)*E2_tabla_vida!$P$61,EXP(-E61*E2_tabla_vida!$X$62)*E2_tabla_vida!$P$62,EXP(-E61*E2_tabla_vida!$X$63)*E2_tabla_vida!$P$63,EXP(-E61*E2_tabla_vida!$X$64)*E2_tabla_vida!$P$64,EXP(-E61*E2_tabla_vida!$X$65)*E2_tabla_vida!$P$65,EXP(-E61*E2_tabla_vida!$X$66)*E2_tabla_vida!$P$66,EXP(-E61*E2_tabla_vida!$X$67)*E2_tabla_vida!$P$67,EXP(-E61*E2_tabla_vida!$X$68)*E2_tabla_vida!$P$68,EXP(-E61*E2_tabla_vida!$X$69)*E2_tabla_vida!$P$69,EXP(-E61*E2_tabla_vida!$X$70)*E2_tabla_vida!$P$70,EXP(-E61*E2_tabla_vida!$X$71)*E2_tabla_vida!$P$71,EXP(-E61*E2_tabla_vida!$X$72)*E2_tabla_vida!$P$72,EXP(-E61*E2_tabla_vida!$X$73)*E2_tabla_vida!$P$73,EXP(-E61*E2_tabla_vida!$X$74)*E2_tabla_vida!$P$74,EXP(-E61*E2_tabla_vida!$X$75)*E2_tabla_vida!$P$75,EXP(-E61*E2_tabla_vida!$X$76)*E2_tabla_vida!$P$76,EXP(-E61*E2_tabla_vida!$X$77)*E2_tabla_vida!$P$77,EXP(-E61*E2_tabla_vida!$X$78)*E2_tabla_vida!$P$78,EXP(-E61*E2_tabla_vida!$X$79)*E2_tabla_vida!$P$79,EXP(-E61*E2_tabla_vida!$X$80)*E2_tabla_vida!$P$80,EXP(-E61*E2_tabla_vida!$X$81)*E2_tabla_vida!$P$81,EXP(-E61*E2_tabla_vida!$X$82)*E2_tabla_vida!$P$82,EXP(-E61*E2_tabla_vida!$X$83)*E2_tabla_vida!$P$83,EXP(-E61*E2_tabla_vida!$X$84)*E2_tabla_vida!$P$84,EXP(-E61*E2_tabla_vida!$X$85)*E2_tabla_vida!$P$85)-1</x:f>
        <x:v>-0.002123748745930687</x:v>
      </x:c>
      <x:c r="G61" s="24" t="n">
        <x:f>SUM(EXP(-C61*E2_tabla_vida!$X$44)*E2_tabla_vida!$P$44,EXP(-C61*E2_tabla_vida!$X$45)*E2_tabla_vida!$P$45,EXP(-C61*E2_tabla_vida!$X$46)*E2_tabla_vida!$P$46,EXP(-C61*E2_tabla_vida!$X$47)*E2_tabla_vida!$P$47,EXP(-C61*E2_tabla_vida!$X$48)*E2_tabla_vida!$P$48,EXP(-C61*E2_tabla_vida!$X$49)*E2_tabla_vida!$P$49,EXP(-C61*E2_tabla_vida!$X$50)*E2_tabla_vida!$P$50,EXP(-C61*E2_tabla_vida!$X$51)*E2_tabla_vida!$P$51,EXP(-C61*E2_tabla_vida!$X$52)*E2_tabla_vida!$P$52,EXP(-C61*E2_tabla_vida!$X$53)*E2_tabla_vida!$P$53,EXP(-C61*E2_tabla_vida!$X$54)*E2_tabla_vida!$P$54,EXP(-C61*E2_tabla_vida!$X$55)*E2_tabla_vida!$P$55,EXP(-C61*E2_tabla_vida!$X$56)*E2_tabla_vida!$P$56,EXP(-C61*E2_tabla_vida!$X$57)*E2_tabla_vida!$P$57,EXP(-C61*E2_tabla_vida!$X$58)*E2_tabla_vida!$P$58,EXP(-C61*E2_tabla_vida!$X$59)*E2_tabla_vida!$P$59,EXP(-C61*E2_tabla_vida!$X$60)*E2_tabla_vida!$P$60,EXP(-C61*E2_tabla_vida!$X$61)*E2_tabla_vida!$P$61,EXP(-C61*E2_tabla_vida!$X$62)*E2_tabla_vida!$P$62,EXP(-C61*E2_tabla_vida!$X$63)*E2_tabla_vida!$P$63,EXP(-C61*E2_tabla_vida!$X$64)*E2_tabla_vida!$P$64,EXP(-C61*E2_tabla_vida!$X$65)*E2_tabla_vida!$P$65,EXP(-C61*E2_tabla_vida!$X$66)*E2_tabla_vida!$P$66,EXP(-C61*E2_tabla_vida!$X$67)*E2_tabla_vida!$P$67,EXP(-C61*E2_tabla_vida!$X$68)*E2_tabla_vida!$P$68,EXP(-C61*E2_tabla_vida!$X$69)*E2_tabla_vida!$P$69,EXP(-C61*E2_tabla_vida!$X$70)*E2_tabla_vida!$P$70,EXP(-C61*E2_tabla_vida!$X$71)*E2_tabla_vida!$P$71,EXP(-C61*E2_tabla_vida!$X$72)*E2_tabla_vida!$P$72,EXP(-C61*E2_tabla_vida!$X$73)*E2_tabla_vida!$P$73,EXP(-C61*E2_tabla_vida!$X$74)*E2_tabla_vida!$P$74,EXP(-C61*E2_tabla_vida!$X$75)*E2_tabla_vida!$P$75,EXP(-C61*E2_tabla_vida!$X$76)*E2_tabla_vida!$P$76,EXP(-C61*E2_tabla_vida!$X$77)*E2_tabla_vida!$P$77,EXP(-C61*E2_tabla_vida!$X$78)*E2_tabla_vida!$P$78,EXP(-C61*E2_tabla_vida!$X$79)*E2_tabla_vida!$P$79,EXP(-C61*E2_tabla_vida!$X$80)*E2_tabla_vida!$P$80,EXP(-C61*E2_tabla_vida!$X$81)*E2_tabla_vida!$P$81,EXP(-C61*E2_tabla_vida!$X$82)*E2_tabla_vida!$P$82,EXP(-C61*E2_tabla_vida!$X$83)*E2_tabla_vida!$P$83,EXP(-C61*E2_tabla_vida!$X$84)*E2_tabla_vida!$P$84,EXP(-C61*E2_tabla_vida!$X$85)*E2_tabla_vida!$P$85)-1</x:f>
        <x:v>0.0007430696479671095</x:v>
      </x:c>
      <x:c r="H61" s="24" t="n">
        <x:f>SUM(EXP(-D61*E2_tabla_vida!$X$44)*E2_tabla_vida!$P$44,EXP(-D61*E2_tabla_vida!$X$45)*E2_tabla_vida!$P$45,EXP(-D61*E2_tabla_vida!$X$46)*E2_tabla_vida!$P$46,EXP(-D61*E2_tabla_vida!$X$47)*E2_tabla_vida!$P$47,EXP(-D61*E2_tabla_vida!$X$48)*E2_tabla_vida!$P$48,EXP(-D61*E2_tabla_vida!$X$49)*E2_tabla_vida!$P$49,EXP(-D61*E2_tabla_vida!$X$50)*E2_tabla_vida!$P$50,EXP(-D61*E2_tabla_vida!$X$51)*E2_tabla_vida!$P$51,EXP(-D61*E2_tabla_vida!$X$52)*E2_tabla_vida!$P$52,EXP(-D61*E2_tabla_vida!$X$53)*E2_tabla_vida!$P$53,EXP(-D61*E2_tabla_vida!$X$54)*E2_tabla_vida!$P$54,EXP(-D61*E2_tabla_vida!$X$55)*E2_tabla_vida!$P$55,EXP(-D61*E2_tabla_vida!$X$56)*E2_tabla_vida!$P$56,EXP(-D61*E2_tabla_vida!$X$57)*E2_tabla_vida!$P$57,EXP(-D61*E2_tabla_vida!$X$58)*E2_tabla_vida!$P$58,EXP(-D61*E2_tabla_vida!$X$59)*E2_tabla_vida!$P$59,EXP(-D61*E2_tabla_vida!$X$60)*E2_tabla_vida!$P$60,EXP(-D61*E2_tabla_vida!$X$61)*E2_tabla_vida!$P$61,EXP(-D61*E2_tabla_vida!$X$62)*E2_tabla_vida!$P$62,EXP(-D61*E2_tabla_vida!$X$63)*E2_tabla_vida!$P$63,EXP(-D61*E2_tabla_vida!$X$64)*E2_tabla_vida!$P$64,EXP(-D61*E2_tabla_vida!$X$65)*E2_tabla_vida!$P$65,EXP(-D61*E2_tabla_vida!$X$66)*E2_tabla_vida!$P$66,EXP(-D61*E2_tabla_vida!$X$67)*E2_tabla_vida!$P$67,EXP(-D61*E2_tabla_vida!$X$68)*E2_tabla_vida!$P$68,EXP(-D61*E2_tabla_vida!$X$69)*E2_tabla_vida!$P$69,EXP(-D61*E2_tabla_vida!$X$70)*E2_tabla_vida!$P$70,EXP(-D61*E2_tabla_vida!$X$71)*E2_tabla_vida!$P$71,EXP(-D61*E2_tabla_vida!$X$72)*E2_tabla_vida!$P$72,EXP(-D61*E2_tabla_vida!$X$73)*E2_tabla_vida!$P$73,EXP(-D61*E2_tabla_vida!$X$74)*E2_tabla_vida!$P$74,EXP(-D61*E2_tabla_vida!$X$75)*E2_tabla_vida!$P$75,EXP(-D61*E2_tabla_vida!$X$76)*E2_tabla_vida!$P$76,EXP(-D61*E2_tabla_vida!$X$77)*E2_tabla_vida!$P$77,EXP(-D61*E2_tabla_vida!$X$78)*E2_tabla_vida!$P$78,EXP(-D61*E2_tabla_vida!$X$79)*E2_tabla_vida!$P$79,EXP(-D61*E2_tabla_vida!$X$80)*E2_tabla_vida!$P$80,EXP(-D61*E2_tabla_vida!$X$81)*E2_tabla_vida!$P$81,EXP(-D61*E2_tabla_vida!$X$82)*E2_tabla_vida!$P$82,EXP(-D61*E2_tabla_vida!$X$83)*E2_tabla_vida!$P$83,EXP(-D61*E2_tabla_vida!$X$84)*E2_tabla_vida!$P$84,EXP(-D61*E2_tabla_vida!$X$85)*E2_tabla_vida!$P$85)-1</x:f>
        <x:v>-0.004981915690581928</x:v>
      </x:c>
    </x:row>
    <x:row r="62" ht="19" customHeight="1">
      <x:c r="A62" s="2" t="str">
        <x:v>MP_L8</x:v>
      </x:c>
      <x:c r="B62" s="2" t="n">
        <x:v>14</x:v>
      </x:c>
      <x:c r="C62" s="22" t="n">
        <x:f>IF(F61&gt;0,E61,C61)</x:f>
        <x:v>0.1956787109375</x:v>
      </x:c>
      <x:c r="D62" s="22" t="n">
        <x:f>IF(F61&gt;0,D61,E61)</x:f>
        <x:v>0.19586181640625</x:v>
      </x:c>
      <x:c r="E62" s="22" t="n">
        <x:f>AVERAGE(C62:D62)</x:f>
        <x:v>0.195770263671875</x:v>
      </x:c>
      <x:c r="F62" s="24" t="n">
        <x:f>SUM(EXP(-E62*E2_tabla_vida!$X$44)*E2_tabla_vida!$P$44,EXP(-E62*E2_tabla_vida!$X$45)*E2_tabla_vida!$P$45,EXP(-E62*E2_tabla_vida!$X$46)*E2_tabla_vida!$P$46,EXP(-E62*E2_tabla_vida!$X$47)*E2_tabla_vida!$P$47,EXP(-E62*E2_tabla_vida!$X$48)*E2_tabla_vida!$P$48,EXP(-E62*E2_tabla_vida!$X$49)*E2_tabla_vida!$P$49,EXP(-E62*E2_tabla_vida!$X$50)*E2_tabla_vida!$P$50,EXP(-E62*E2_tabla_vida!$X$51)*E2_tabla_vida!$P$51,EXP(-E62*E2_tabla_vida!$X$52)*E2_tabla_vida!$P$52,EXP(-E62*E2_tabla_vida!$X$53)*E2_tabla_vida!$P$53,EXP(-E62*E2_tabla_vida!$X$54)*E2_tabla_vida!$P$54,EXP(-E62*E2_tabla_vida!$X$55)*E2_tabla_vida!$P$55,EXP(-E62*E2_tabla_vida!$X$56)*E2_tabla_vida!$P$56,EXP(-E62*E2_tabla_vida!$X$57)*E2_tabla_vida!$P$57,EXP(-E62*E2_tabla_vida!$X$58)*E2_tabla_vida!$P$58,EXP(-E62*E2_tabla_vida!$X$59)*E2_tabla_vida!$P$59,EXP(-E62*E2_tabla_vida!$X$60)*E2_tabla_vida!$P$60,EXP(-E62*E2_tabla_vida!$X$61)*E2_tabla_vida!$P$61,EXP(-E62*E2_tabla_vida!$X$62)*E2_tabla_vida!$P$62,EXP(-E62*E2_tabla_vida!$X$63)*E2_tabla_vida!$P$63,EXP(-E62*E2_tabla_vida!$X$64)*E2_tabla_vida!$P$64,EXP(-E62*E2_tabla_vida!$X$65)*E2_tabla_vida!$P$65,EXP(-E62*E2_tabla_vida!$X$66)*E2_tabla_vida!$P$66,EXP(-E62*E2_tabla_vida!$X$67)*E2_tabla_vida!$P$67,EXP(-E62*E2_tabla_vida!$X$68)*E2_tabla_vida!$P$68,EXP(-E62*E2_tabla_vida!$X$69)*E2_tabla_vida!$P$69,EXP(-E62*E2_tabla_vida!$X$70)*E2_tabla_vida!$P$70,EXP(-E62*E2_tabla_vida!$X$71)*E2_tabla_vida!$P$71,EXP(-E62*E2_tabla_vida!$X$72)*E2_tabla_vida!$P$72,EXP(-E62*E2_tabla_vida!$X$73)*E2_tabla_vida!$P$73,EXP(-E62*E2_tabla_vida!$X$74)*E2_tabla_vida!$P$74,EXP(-E62*E2_tabla_vida!$X$75)*E2_tabla_vida!$P$75,EXP(-E62*E2_tabla_vida!$X$76)*E2_tabla_vida!$P$76,EXP(-E62*E2_tabla_vida!$X$77)*E2_tabla_vida!$P$77,EXP(-E62*E2_tabla_vida!$X$78)*E2_tabla_vida!$P$78,EXP(-E62*E2_tabla_vida!$X$79)*E2_tabla_vida!$P$79,EXP(-E62*E2_tabla_vida!$X$80)*E2_tabla_vida!$P$80,EXP(-E62*E2_tabla_vida!$X$81)*E2_tabla_vida!$P$81,EXP(-E62*E2_tabla_vida!$X$82)*E2_tabla_vida!$P$82,EXP(-E62*E2_tabla_vida!$X$83)*E2_tabla_vida!$P$83,EXP(-E62*E2_tabla_vida!$X$84)*E2_tabla_vida!$P$84,EXP(-E62*E2_tabla_vida!$X$85)*E2_tabla_vida!$P$85)-1</x:f>
        <x:v>-0.0006914227007016605</x:v>
      </x:c>
      <x:c r="G62" s="24" t="n">
        <x:f>SUM(EXP(-C62*E2_tabla_vida!$X$44)*E2_tabla_vida!$P$44,EXP(-C62*E2_tabla_vida!$X$45)*E2_tabla_vida!$P$45,EXP(-C62*E2_tabla_vida!$X$46)*E2_tabla_vida!$P$46,EXP(-C62*E2_tabla_vida!$X$47)*E2_tabla_vida!$P$47,EXP(-C62*E2_tabla_vida!$X$48)*E2_tabla_vida!$P$48,EXP(-C62*E2_tabla_vida!$X$49)*E2_tabla_vida!$P$49,EXP(-C62*E2_tabla_vida!$X$50)*E2_tabla_vida!$P$50,EXP(-C62*E2_tabla_vida!$X$51)*E2_tabla_vida!$P$51,EXP(-C62*E2_tabla_vida!$X$52)*E2_tabla_vida!$P$52,EXP(-C62*E2_tabla_vida!$X$53)*E2_tabla_vida!$P$53,EXP(-C62*E2_tabla_vida!$X$54)*E2_tabla_vida!$P$54,EXP(-C62*E2_tabla_vida!$X$55)*E2_tabla_vida!$P$55,EXP(-C62*E2_tabla_vida!$X$56)*E2_tabla_vida!$P$56,EXP(-C62*E2_tabla_vida!$X$57)*E2_tabla_vida!$P$57,EXP(-C62*E2_tabla_vida!$X$58)*E2_tabla_vida!$P$58,EXP(-C62*E2_tabla_vida!$X$59)*E2_tabla_vida!$P$59,EXP(-C62*E2_tabla_vida!$X$60)*E2_tabla_vida!$P$60,EXP(-C62*E2_tabla_vida!$X$61)*E2_tabla_vida!$P$61,EXP(-C62*E2_tabla_vida!$X$62)*E2_tabla_vida!$P$62,EXP(-C62*E2_tabla_vida!$X$63)*E2_tabla_vida!$P$63,EXP(-C62*E2_tabla_vida!$X$64)*E2_tabla_vida!$P$64,EXP(-C62*E2_tabla_vida!$X$65)*E2_tabla_vida!$P$65,EXP(-C62*E2_tabla_vida!$X$66)*E2_tabla_vida!$P$66,EXP(-C62*E2_tabla_vida!$X$67)*E2_tabla_vida!$P$67,EXP(-C62*E2_tabla_vida!$X$68)*E2_tabla_vida!$P$68,EXP(-C62*E2_tabla_vida!$X$69)*E2_tabla_vida!$P$69,EXP(-C62*E2_tabla_vida!$X$70)*E2_tabla_vida!$P$70,EXP(-C62*E2_tabla_vida!$X$71)*E2_tabla_vida!$P$71,EXP(-C62*E2_tabla_vida!$X$72)*E2_tabla_vida!$P$72,EXP(-C62*E2_tabla_vida!$X$73)*E2_tabla_vida!$P$73,EXP(-C62*E2_tabla_vida!$X$74)*E2_tabla_vida!$P$74,EXP(-C62*E2_tabla_vida!$X$75)*E2_tabla_vida!$P$75,EXP(-C62*E2_tabla_vida!$X$76)*E2_tabla_vida!$P$76,EXP(-C62*E2_tabla_vida!$X$77)*E2_tabla_vida!$P$77,EXP(-C62*E2_tabla_vida!$X$78)*E2_tabla_vida!$P$78,EXP(-C62*E2_tabla_vida!$X$79)*E2_tabla_vida!$P$79,EXP(-C62*E2_tabla_vida!$X$80)*E2_tabla_vida!$P$80,EXP(-C62*E2_tabla_vida!$X$81)*E2_tabla_vida!$P$81,EXP(-C62*E2_tabla_vida!$X$82)*E2_tabla_vida!$P$82,EXP(-C62*E2_tabla_vida!$X$83)*E2_tabla_vida!$P$83,EXP(-C62*E2_tabla_vida!$X$84)*E2_tabla_vida!$P$84,EXP(-C62*E2_tabla_vida!$X$85)*E2_tabla_vida!$P$85)-1</x:f>
        <x:v>0.0007430696479671095</x:v>
      </x:c>
      <x:c r="H62" s="24" t="n">
        <x:f>SUM(EXP(-D62*E2_tabla_vida!$X$44)*E2_tabla_vida!$P$44,EXP(-D62*E2_tabla_vida!$X$45)*E2_tabla_vida!$P$45,EXP(-D62*E2_tabla_vida!$X$46)*E2_tabla_vida!$P$46,EXP(-D62*E2_tabla_vida!$X$47)*E2_tabla_vida!$P$47,EXP(-D62*E2_tabla_vida!$X$48)*E2_tabla_vida!$P$48,EXP(-D62*E2_tabla_vida!$X$49)*E2_tabla_vida!$P$49,EXP(-D62*E2_tabla_vida!$X$50)*E2_tabla_vida!$P$50,EXP(-D62*E2_tabla_vida!$X$51)*E2_tabla_vida!$P$51,EXP(-D62*E2_tabla_vida!$X$52)*E2_tabla_vida!$P$52,EXP(-D62*E2_tabla_vida!$X$53)*E2_tabla_vida!$P$53,EXP(-D62*E2_tabla_vida!$X$54)*E2_tabla_vida!$P$54,EXP(-D62*E2_tabla_vida!$X$55)*E2_tabla_vida!$P$55,EXP(-D62*E2_tabla_vida!$X$56)*E2_tabla_vida!$P$56,EXP(-D62*E2_tabla_vida!$X$57)*E2_tabla_vida!$P$57,EXP(-D62*E2_tabla_vida!$X$58)*E2_tabla_vida!$P$58,EXP(-D62*E2_tabla_vida!$X$59)*E2_tabla_vida!$P$59,EXP(-D62*E2_tabla_vida!$X$60)*E2_tabla_vida!$P$60,EXP(-D62*E2_tabla_vida!$X$61)*E2_tabla_vida!$P$61,EXP(-D62*E2_tabla_vida!$X$62)*E2_tabla_vida!$P$62,EXP(-D62*E2_tabla_vida!$X$63)*E2_tabla_vida!$P$63,EXP(-D62*E2_tabla_vida!$X$64)*E2_tabla_vida!$P$64,EXP(-D62*E2_tabla_vida!$X$65)*E2_tabla_vida!$P$65,EXP(-D62*E2_tabla_vida!$X$66)*E2_tabla_vida!$P$66,EXP(-D62*E2_tabla_vida!$X$67)*E2_tabla_vida!$P$67,EXP(-D62*E2_tabla_vida!$X$68)*E2_tabla_vida!$P$68,EXP(-D62*E2_tabla_vida!$X$69)*E2_tabla_vida!$P$69,EXP(-D62*E2_tabla_vida!$X$70)*E2_tabla_vida!$P$70,EXP(-D62*E2_tabla_vida!$X$71)*E2_tabla_vida!$P$71,EXP(-D62*E2_tabla_vida!$X$72)*E2_tabla_vida!$P$72,EXP(-D62*E2_tabla_vida!$X$73)*E2_tabla_vida!$P$73,EXP(-D62*E2_tabla_vida!$X$74)*E2_tabla_vida!$P$74,EXP(-D62*E2_tabla_vida!$X$75)*E2_tabla_vida!$P$75,EXP(-D62*E2_tabla_vida!$X$76)*E2_tabla_vida!$P$76,EXP(-D62*E2_tabla_vida!$X$77)*E2_tabla_vida!$P$77,EXP(-D62*E2_tabla_vida!$X$78)*E2_tabla_vida!$P$78,EXP(-D62*E2_tabla_vida!$X$79)*E2_tabla_vida!$P$79,EXP(-D62*E2_tabla_vida!$X$80)*E2_tabla_vida!$P$80,EXP(-D62*E2_tabla_vida!$X$81)*E2_tabla_vida!$P$81,EXP(-D62*E2_tabla_vida!$X$82)*E2_tabla_vida!$P$82,EXP(-D62*E2_tabla_vida!$X$83)*E2_tabla_vida!$P$83,EXP(-D62*E2_tabla_vida!$X$84)*E2_tabla_vida!$P$84,EXP(-D62*E2_tabla_vida!$X$85)*E2_tabla_vida!$P$85)-1</x:f>
        <x:v>-0.002123748745930687</x:v>
      </x:c>
    </x:row>
    <x:row r="63" ht="19" customHeight="1">
      <x:c r="A63" s="2" t="str">
        <x:v>MP_L8</x:v>
      </x:c>
      <x:c r="B63" s="2" t="n">
        <x:v>15</x:v>
      </x:c>
      <x:c r="C63" s="22" t="n">
        <x:f>IF(F62&gt;0,E62,C62)</x:f>
        <x:v>0.1956787109375</x:v>
      </x:c>
      <x:c r="D63" s="22" t="n">
        <x:f>IF(F62&gt;0,D62,E62)</x:f>
        <x:v>0.195770263671875</x:v>
      </x:c>
      <x:c r="E63" s="22" t="n">
        <x:f>AVERAGE(C63:D63)</x:f>
        <x:v>0.1957244873046875</x:v>
      </x:c>
      <x:c r="F63" s="24" t="n">
        <x:f>SUM(EXP(-E63*E2_tabla_vida!$X$44)*E2_tabla_vida!$P$44,EXP(-E63*E2_tabla_vida!$X$45)*E2_tabla_vida!$P$45,EXP(-E63*E2_tabla_vida!$X$46)*E2_tabla_vida!$P$46,EXP(-E63*E2_tabla_vida!$X$47)*E2_tabla_vida!$P$47,EXP(-E63*E2_tabla_vida!$X$48)*E2_tabla_vida!$P$48,EXP(-E63*E2_tabla_vida!$X$49)*E2_tabla_vida!$P$49,EXP(-E63*E2_tabla_vida!$X$50)*E2_tabla_vida!$P$50,EXP(-E63*E2_tabla_vida!$X$51)*E2_tabla_vida!$P$51,EXP(-E63*E2_tabla_vida!$X$52)*E2_tabla_vida!$P$52,EXP(-E63*E2_tabla_vida!$X$53)*E2_tabla_vida!$P$53,EXP(-E63*E2_tabla_vida!$X$54)*E2_tabla_vida!$P$54,EXP(-E63*E2_tabla_vida!$X$55)*E2_tabla_vida!$P$55,EXP(-E63*E2_tabla_vida!$X$56)*E2_tabla_vida!$P$56,EXP(-E63*E2_tabla_vida!$X$57)*E2_tabla_vida!$P$57,EXP(-E63*E2_tabla_vida!$X$58)*E2_tabla_vida!$P$58,EXP(-E63*E2_tabla_vida!$X$59)*E2_tabla_vida!$P$59,EXP(-E63*E2_tabla_vida!$X$60)*E2_tabla_vida!$P$60,EXP(-E63*E2_tabla_vida!$X$61)*E2_tabla_vida!$P$61,EXP(-E63*E2_tabla_vida!$X$62)*E2_tabla_vida!$P$62,EXP(-E63*E2_tabla_vida!$X$63)*E2_tabla_vida!$P$63,EXP(-E63*E2_tabla_vida!$X$64)*E2_tabla_vida!$P$64,EXP(-E63*E2_tabla_vida!$X$65)*E2_tabla_vida!$P$65,EXP(-E63*E2_tabla_vida!$X$66)*E2_tabla_vida!$P$66,EXP(-E63*E2_tabla_vida!$X$67)*E2_tabla_vida!$P$67,EXP(-E63*E2_tabla_vida!$X$68)*E2_tabla_vida!$P$68,EXP(-E63*E2_tabla_vida!$X$69)*E2_tabla_vida!$P$69,EXP(-E63*E2_tabla_vida!$X$70)*E2_tabla_vida!$P$70,EXP(-E63*E2_tabla_vida!$X$71)*E2_tabla_vida!$P$71,EXP(-E63*E2_tabla_vida!$X$72)*E2_tabla_vida!$P$72,EXP(-E63*E2_tabla_vida!$X$73)*E2_tabla_vida!$P$73,EXP(-E63*E2_tabla_vida!$X$74)*E2_tabla_vida!$P$74,EXP(-E63*E2_tabla_vida!$X$75)*E2_tabla_vida!$P$75,EXP(-E63*E2_tabla_vida!$X$76)*E2_tabla_vida!$P$76,EXP(-E63*E2_tabla_vida!$X$77)*E2_tabla_vida!$P$77,EXP(-E63*E2_tabla_vida!$X$78)*E2_tabla_vida!$P$78,EXP(-E63*E2_tabla_vida!$X$79)*E2_tabla_vida!$P$79,EXP(-E63*E2_tabla_vida!$X$80)*E2_tabla_vida!$P$80,EXP(-E63*E2_tabla_vida!$X$81)*E2_tabla_vida!$P$81,EXP(-E63*E2_tabla_vida!$X$82)*E2_tabla_vida!$P$82,EXP(-E63*E2_tabla_vida!$X$83)*E2_tabla_vida!$P$83,EXP(-E63*E2_tabla_vida!$X$84)*E2_tabla_vida!$P$84,EXP(-E63*E2_tabla_vida!$X$85)*E2_tabla_vida!$P$85)-1</x:f>
        <x:v>0.000025552470317879994</x:v>
      </x:c>
      <x:c r="G63" s="24" t="n">
        <x:f>SUM(EXP(-C63*E2_tabla_vida!$X$44)*E2_tabla_vida!$P$44,EXP(-C63*E2_tabla_vida!$X$45)*E2_tabla_vida!$P$45,EXP(-C63*E2_tabla_vida!$X$46)*E2_tabla_vida!$P$46,EXP(-C63*E2_tabla_vida!$X$47)*E2_tabla_vida!$P$47,EXP(-C63*E2_tabla_vida!$X$48)*E2_tabla_vida!$P$48,EXP(-C63*E2_tabla_vida!$X$49)*E2_tabla_vida!$P$49,EXP(-C63*E2_tabla_vida!$X$50)*E2_tabla_vida!$P$50,EXP(-C63*E2_tabla_vida!$X$51)*E2_tabla_vida!$P$51,EXP(-C63*E2_tabla_vida!$X$52)*E2_tabla_vida!$P$52,EXP(-C63*E2_tabla_vida!$X$53)*E2_tabla_vida!$P$53,EXP(-C63*E2_tabla_vida!$X$54)*E2_tabla_vida!$P$54,EXP(-C63*E2_tabla_vida!$X$55)*E2_tabla_vida!$P$55,EXP(-C63*E2_tabla_vida!$X$56)*E2_tabla_vida!$P$56,EXP(-C63*E2_tabla_vida!$X$57)*E2_tabla_vida!$P$57,EXP(-C63*E2_tabla_vida!$X$58)*E2_tabla_vida!$P$58,EXP(-C63*E2_tabla_vida!$X$59)*E2_tabla_vida!$P$59,EXP(-C63*E2_tabla_vida!$X$60)*E2_tabla_vida!$P$60,EXP(-C63*E2_tabla_vida!$X$61)*E2_tabla_vida!$P$61,EXP(-C63*E2_tabla_vida!$X$62)*E2_tabla_vida!$P$62,EXP(-C63*E2_tabla_vida!$X$63)*E2_tabla_vida!$P$63,EXP(-C63*E2_tabla_vida!$X$64)*E2_tabla_vida!$P$64,EXP(-C63*E2_tabla_vida!$X$65)*E2_tabla_vida!$P$65,EXP(-C63*E2_tabla_vida!$X$66)*E2_tabla_vida!$P$66,EXP(-C63*E2_tabla_vida!$X$67)*E2_tabla_vida!$P$67,EXP(-C63*E2_tabla_vida!$X$68)*E2_tabla_vida!$P$68,EXP(-C63*E2_tabla_vida!$X$69)*E2_tabla_vida!$P$69,EXP(-C63*E2_tabla_vida!$X$70)*E2_tabla_vida!$P$70,EXP(-C63*E2_tabla_vida!$X$71)*E2_tabla_vida!$P$71,EXP(-C63*E2_tabla_vida!$X$72)*E2_tabla_vida!$P$72,EXP(-C63*E2_tabla_vida!$X$73)*E2_tabla_vida!$P$73,EXP(-C63*E2_tabla_vida!$X$74)*E2_tabla_vida!$P$74,EXP(-C63*E2_tabla_vida!$X$75)*E2_tabla_vida!$P$75,EXP(-C63*E2_tabla_vida!$X$76)*E2_tabla_vida!$P$76,EXP(-C63*E2_tabla_vida!$X$77)*E2_tabla_vida!$P$77,EXP(-C63*E2_tabla_vida!$X$78)*E2_tabla_vida!$P$78,EXP(-C63*E2_tabla_vida!$X$79)*E2_tabla_vida!$P$79,EXP(-C63*E2_tabla_vida!$X$80)*E2_tabla_vida!$P$80,EXP(-C63*E2_tabla_vida!$X$81)*E2_tabla_vida!$P$81,EXP(-C63*E2_tabla_vida!$X$82)*E2_tabla_vida!$P$82,EXP(-C63*E2_tabla_vida!$X$83)*E2_tabla_vida!$P$83,EXP(-C63*E2_tabla_vida!$X$84)*E2_tabla_vida!$P$84,EXP(-C63*E2_tabla_vida!$X$85)*E2_tabla_vida!$P$85)-1</x:f>
        <x:v>0.0007430696479671095</x:v>
      </x:c>
      <x:c r="H63" s="24" t="n">
        <x:f>SUM(EXP(-D63*E2_tabla_vida!$X$44)*E2_tabla_vida!$P$44,EXP(-D63*E2_tabla_vida!$X$45)*E2_tabla_vida!$P$45,EXP(-D63*E2_tabla_vida!$X$46)*E2_tabla_vida!$P$46,EXP(-D63*E2_tabla_vida!$X$47)*E2_tabla_vida!$P$47,EXP(-D63*E2_tabla_vida!$X$48)*E2_tabla_vida!$P$48,EXP(-D63*E2_tabla_vida!$X$49)*E2_tabla_vida!$P$49,EXP(-D63*E2_tabla_vida!$X$50)*E2_tabla_vida!$P$50,EXP(-D63*E2_tabla_vida!$X$51)*E2_tabla_vida!$P$51,EXP(-D63*E2_tabla_vida!$X$52)*E2_tabla_vida!$P$52,EXP(-D63*E2_tabla_vida!$X$53)*E2_tabla_vida!$P$53,EXP(-D63*E2_tabla_vida!$X$54)*E2_tabla_vida!$P$54,EXP(-D63*E2_tabla_vida!$X$55)*E2_tabla_vida!$P$55,EXP(-D63*E2_tabla_vida!$X$56)*E2_tabla_vida!$P$56,EXP(-D63*E2_tabla_vida!$X$57)*E2_tabla_vida!$P$57,EXP(-D63*E2_tabla_vida!$X$58)*E2_tabla_vida!$P$58,EXP(-D63*E2_tabla_vida!$X$59)*E2_tabla_vida!$P$59,EXP(-D63*E2_tabla_vida!$X$60)*E2_tabla_vida!$P$60,EXP(-D63*E2_tabla_vida!$X$61)*E2_tabla_vida!$P$61,EXP(-D63*E2_tabla_vida!$X$62)*E2_tabla_vida!$P$62,EXP(-D63*E2_tabla_vida!$X$63)*E2_tabla_vida!$P$63,EXP(-D63*E2_tabla_vida!$X$64)*E2_tabla_vida!$P$64,EXP(-D63*E2_tabla_vida!$X$65)*E2_tabla_vida!$P$65,EXP(-D63*E2_tabla_vida!$X$66)*E2_tabla_vida!$P$66,EXP(-D63*E2_tabla_vida!$X$67)*E2_tabla_vida!$P$67,EXP(-D63*E2_tabla_vida!$X$68)*E2_tabla_vida!$P$68,EXP(-D63*E2_tabla_vida!$X$69)*E2_tabla_vida!$P$69,EXP(-D63*E2_tabla_vida!$X$70)*E2_tabla_vida!$P$70,EXP(-D63*E2_tabla_vida!$X$71)*E2_tabla_vida!$P$71,EXP(-D63*E2_tabla_vida!$X$72)*E2_tabla_vida!$P$72,EXP(-D63*E2_tabla_vida!$X$73)*E2_tabla_vida!$P$73,EXP(-D63*E2_tabla_vida!$X$74)*E2_tabla_vida!$P$74,EXP(-D63*E2_tabla_vida!$X$75)*E2_tabla_vida!$P$75,EXP(-D63*E2_tabla_vida!$X$76)*E2_tabla_vida!$P$76,EXP(-D63*E2_tabla_vida!$X$77)*E2_tabla_vida!$P$77,EXP(-D63*E2_tabla_vida!$X$78)*E2_tabla_vida!$P$78,EXP(-D63*E2_tabla_vida!$X$79)*E2_tabla_vida!$P$79,EXP(-D63*E2_tabla_vida!$X$80)*E2_tabla_vida!$P$80,EXP(-D63*E2_tabla_vida!$X$81)*E2_tabla_vida!$P$81,EXP(-D63*E2_tabla_vida!$X$82)*E2_tabla_vida!$P$82,EXP(-D63*E2_tabla_vida!$X$83)*E2_tabla_vida!$P$83,EXP(-D63*E2_tabla_vida!$X$84)*E2_tabla_vida!$P$84,EXP(-D63*E2_tabla_vida!$X$85)*E2_tabla_vida!$P$85)-1</x:f>
        <x:v>-0.0006914227007016605</x:v>
      </x:c>
    </x:row>
    <x:row r="64" ht="19" customHeight="1">
      <x:c r="A64" s="2" t="str">
        <x:v>MP_L8</x:v>
      </x:c>
      <x:c r="B64" s="2" t="n">
        <x:v>16</x:v>
      </x:c>
      <x:c r="C64" s="22" t="n">
        <x:f>IF(F63&gt;0,E63,C63)</x:f>
        <x:v>0.1957244873046875</x:v>
      </x:c>
      <x:c r="D64" s="22" t="n">
        <x:f>IF(F63&gt;0,D63,E63)</x:f>
        <x:v>0.195770263671875</x:v>
      </x:c>
      <x:c r="E64" s="22" t="n">
        <x:f>AVERAGE(C64:D64)</x:f>
        <x:v>0.19574737548828125</x:v>
      </x:c>
      <x:c r="F64" s="24" t="n">
        <x:f>SUM(EXP(-E64*E2_tabla_vida!$X$44)*E2_tabla_vida!$P$44,EXP(-E64*E2_tabla_vida!$X$45)*E2_tabla_vida!$P$45,EXP(-E64*E2_tabla_vida!$X$46)*E2_tabla_vida!$P$46,EXP(-E64*E2_tabla_vida!$X$47)*E2_tabla_vida!$P$47,EXP(-E64*E2_tabla_vida!$X$48)*E2_tabla_vida!$P$48,EXP(-E64*E2_tabla_vida!$X$49)*E2_tabla_vida!$P$49,EXP(-E64*E2_tabla_vida!$X$50)*E2_tabla_vida!$P$50,EXP(-E64*E2_tabla_vida!$X$51)*E2_tabla_vida!$P$51,EXP(-E64*E2_tabla_vida!$X$52)*E2_tabla_vida!$P$52,EXP(-E64*E2_tabla_vida!$X$53)*E2_tabla_vida!$P$53,EXP(-E64*E2_tabla_vida!$X$54)*E2_tabla_vida!$P$54,EXP(-E64*E2_tabla_vida!$X$55)*E2_tabla_vida!$P$55,EXP(-E64*E2_tabla_vida!$X$56)*E2_tabla_vida!$P$56,EXP(-E64*E2_tabla_vida!$X$57)*E2_tabla_vida!$P$57,EXP(-E64*E2_tabla_vida!$X$58)*E2_tabla_vida!$P$58,EXP(-E64*E2_tabla_vida!$X$59)*E2_tabla_vida!$P$59,EXP(-E64*E2_tabla_vida!$X$60)*E2_tabla_vida!$P$60,EXP(-E64*E2_tabla_vida!$X$61)*E2_tabla_vida!$P$61,EXP(-E64*E2_tabla_vida!$X$62)*E2_tabla_vida!$P$62,EXP(-E64*E2_tabla_vida!$X$63)*E2_tabla_vida!$P$63,EXP(-E64*E2_tabla_vida!$X$64)*E2_tabla_vida!$P$64,EXP(-E64*E2_tabla_vida!$X$65)*E2_tabla_vida!$P$65,EXP(-E64*E2_tabla_vida!$X$66)*E2_tabla_vida!$P$66,EXP(-E64*E2_tabla_vida!$X$67)*E2_tabla_vida!$P$67,EXP(-E64*E2_tabla_vida!$X$68)*E2_tabla_vida!$P$68,EXP(-E64*E2_tabla_vida!$X$69)*E2_tabla_vida!$P$69,EXP(-E64*E2_tabla_vida!$X$70)*E2_tabla_vida!$P$70,EXP(-E64*E2_tabla_vida!$X$71)*E2_tabla_vida!$P$71,EXP(-E64*E2_tabla_vida!$X$72)*E2_tabla_vida!$P$72,EXP(-E64*E2_tabla_vida!$X$73)*E2_tabla_vida!$P$73,EXP(-E64*E2_tabla_vida!$X$74)*E2_tabla_vida!$P$74,EXP(-E64*E2_tabla_vida!$X$75)*E2_tabla_vida!$P$75,EXP(-E64*E2_tabla_vida!$X$76)*E2_tabla_vida!$P$76,EXP(-E64*E2_tabla_vida!$X$77)*E2_tabla_vida!$P$77,EXP(-E64*E2_tabla_vida!$X$78)*E2_tabla_vida!$P$78,EXP(-E64*E2_tabla_vida!$X$79)*E2_tabla_vida!$P$79,EXP(-E64*E2_tabla_vida!$X$80)*E2_tabla_vida!$P$80,EXP(-E64*E2_tabla_vida!$X$81)*E2_tabla_vida!$P$81,EXP(-E64*E2_tabla_vida!$X$82)*E2_tabla_vida!$P$82,EXP(-E64*E2_tabla_vida!$X$83)*E2_tabla_vida!$P$83,EXP(-E64*E2_tabla_vida!$X$84)*E2_tabla_vida!$P$84,EXP(-E64*E2_tabla_vida!$X$85)*E2_tabla_vida!$P$85)-1</x:f>
        <x:v>-0.00033300283908355155</x:v>
      </x:c>
      <x:c r="G64" s="24" t="n">
        <x:f>SUM(EXP(-C64*E2_tabla_vida!$X$44)*E2_tabla_vida!$P$44,EXP(-C64*E2_tabla_vida!$X$45)*E2_tabla_vida!$P$45,EXP(-C64*E2_tabla_vida!$X$46)*E2_tabla_vida!$P$46,EXP(-C64*E2_tabla_vida!$X$47)*E2_tabla_vida!$P$47,EXP(-C64*E2_tabla_vida!$X$48)*E2_tabla_vida!$P$48,EXP(-C64*E2_tabla_vida!$X$49)*E2_tabla_vida!$P$49,EXP(-C64*E2_tabla_vida!$X$50)*E2_tabla_vida!$P$50,EXP(-C64*E2_tabla_vida!$X$51)*E2_tabla_vida!$P$51,EXP(-C64*E2_tabla_vida!$X$52)*E2_tabla_vida!$P$52,EXP(-C64*E2_tabla_vida!$X$53)*E2_tabla_vida!$P$53,EXP(-C64*E2_tabla_vida!$X$54)*E2_tabla_vida!$P$54,EXP(-C64*E2_tabla_vida!$X$55)*E2_tabla_vida!$P$55,EXP(-C64*E2_tabla_vida!$X$56)*E2_tabla_vida!$P$56,EXP(-C64*E2_tabla_vida!$X$57)*E2_tabla_vida!$P$57,EXP(-C64*E2_tabla_vida!$X$58)*E2_tabla_vida!$P$58,EXP(-C64*E2_tabla_vida!$X$59)*E2_tabla_vida!$P$59,EXP(-C64*E2_tabla_vida!$X$60)*E2_tabla_vida!$P$60,EXP(-C64*E2_tabla_vida!$X$61)*E2_tabla_vida!$P$61,EXP(-C64*E2_tabla_vida!$X$62)*E2_tabla_vida!$P$62,EXP(-C64*E2_tabla_vida!$X$63)*E2_tabla_vida!$P$63,EXP(-C64*E2_tabla_vida!$X$64)*E2_tabla_vida!$P$64,EXP(-C64*E2_tabla_vida!$X$65)*E2_tabla_vida!$P$65,EXP(-C64*E2_tabla_vida!$X$66)*E2_tabla_vida!$P$66,EXP(-C64*E2_tabla_vida!$X$67)*E2_tabla_vida!$P$67,EXP(-C64*E2_tabla_vida!$X$68)*E2_tabla_vida!$P$68,EXP(-C64*E2_tabla_vida!$X$69)*E2_tabla_vida!$P$69,EXP(-C64*E2_tabla_vida!$X$70)*E2_tabla_vida!$P$70,EXP(-C64*E2_tabla_vida!$X$71)*E2_tabla_vida!$P$71,EXP(-C64*E2_tabla_vida!$X$72)*E2_tabla_vida!$P$72,EXP(-C64*E2_tabla_vida!$X$73)*E2_tabla_vida!$P$73,EXP(-C64*E2_tabla_vida!$X$74)*E2_tabla_vida!$P$74,EXP(-C64*E2_tabla_vida!$X$75)*E2_tabla_vida!$P$75,EXP(-C64*E2_tabla_vida!$X$76)*E2_tabla_vida!$P$76,EXP(-C64*E2_tabla_vida!$X$77)*E2_tabla_vida!$P$77,EXP(-C64*E2_tabla_vida!$X$78)*E2_tabla_vida!$P$78,EXP(-C64*E2_tabla_vida!$X$79)*E2_tabla_vida!$P$79,EXP(-C64*E2_tabla_vida!$X$80)*E2_tabla_vida!$P$80,EXP(-C64*E2_tabla_vida!$X$81)*E2_tabla_vida!$P$81,EXP(-C64*E2_tabla_vida!$X$82)*E2_tabla_vida!$P$82,EXP(-C64*E2_tabla_vida!$X$83)*E2_tabla_vida!$P$83,EXP(-C64*E2_tabla_vida!$X$84)*E2_tabla_vida!$P$84,EXP(-C64*E2_tabla_vida!$X$85)*E2_tabla_vida!$P$85)-1</x:f>
        <x:v>0.000025552470317879994</x:v>
      </x:c>
      <x:c r="H64" s="24" t="n">
        <x:f>SUM(EXP(-D64*E2_tabla_vida!$X$44)*E2_tabla_vida!$P$44,EXP(-D64*E2_tabla_vida!$X$45)*E2_tabla_vida!$P$45,EXP(-D64*E2_tabla_vida!$X$46)*E2_tabla_vida!$P$46,EXP(-D64*E2_tabla_vida!$X$47)*E2_tabla_vida!$P$47,EXP(-D64*E2_tabla_vida!$X$48)*E2_tabla_vida!$P$48,EXP(-D64*E2_tabla_vida!$X$49)*E2_tabla_vida!$P$49,EXP(-D64*E2_tabla_vida!$X$50)*E2_tabla_vida!$P$50,EXP(-D64*E2_tabla_vida!$X$51)*E2_tabla_vida!$P$51,EXP(-D64*E2_tabla_vida!$X$52)*E2_tabla_vida!$P$52,EXP(-D64*E2_tabla_vida!$X$53)*E2_tabla_vida!$P$53,EXP(-D64*E2_tabla_vida!$X$54)*E2_tabla_vida!$P$54,EXP(-D64*E2_tabla_vida!$X$55)*E2_tabla_vida!$P$55,EXP(-D64*E2_tabla_vida!$X$56)*E2_tabla_vida!$P$56,EXP(-D64*E2_tabla_vida!$X$57)*E2_tabla_vida!$P$57,EXP(-D64*E2_tabla_vida!$X$58)*E2_tabla_vida!$P$58,EXP(-D64*E2_tabla_vida!$X$59)*E2_tabla_vida!$P$59,EXP(-D64*E2_tabla_vida!$X$60)*E2_tabla_vida!$P$60,EXP(-D64*E2_tabla_vida!$X$61)*E2_tabla_vida!$P$61,EXP(-D64*E2_tabla_vida!$X$62)*E2_tabla_vida!$P$62,EXP(-D64*E2_tabla_vida!$X$63)*E2_tabla_vida!$P$63,EXP(-D64*E2_tabla_vida!$X$64)*E2_tabla_vida!$P$64,EXP(-D64*E2_tabla_vida!$X$65)*E2_tabla_vida!$P$65,EXP(-D64*E2_tabla_vida!$X$66)*E2_tabla_vida!$P$66,EXP(-D64*E2_tabla_vida!$X$67)*E2_tabla_vida!$P$67,EXP(-D64*E2_tabla_vida!$X$68)*E2_tabla_vida!$P$68,EXP(-D64*E2_tabla_vida!$X$69)*E2_tabla_vida!$P$69,EXP(-D64*E2_tabla_vida!$X$70)*E2_tabla_vida!$P$70,EXP(-D64*E2_tabla_vida!$X$71)*E2_tabla_vida!$P$71,EXP(-D64*E2_tabla_vida!$X$72)*E2_tabla_vida!$P$72,EXP(-D64*E2_tabla_vida!$X$73)*E2_tabla_vida!$P$73,EXP(-D64*E2_tabla_vida!$X$74)*E2_tabla_vida!$P$74,EXP(-D64*E2_tabla_vida!$X$75)*E2_tabla_vida!$P$75,EXP(-D64*E2_tabla_vida!$X$76)*E2_tabla_vida!$P$76,EXP(-D64*E2_tabla_vida!$X$77)*E2_tabla_vida!$P$77,EXP(-D64*E2_tabla_vida!$X$78)*E2_tabla_vida!$P$78,EXP(-D64*E2_tabla_vida!$X$79)*E2_tabla_vida!$P$79,EXP(-D64*E2_tabla_vida!$X$80)*E2_tabla_vida!$P$80,EXP(-D64*E2_tabla_vida!$X$81)*E2_tabla_vida!$P$81,EXP(-D64*E2_tabla_vida!$X$82)*E2_tabla_vida!$P$82,EXP(-D64*E2_tabla_vida!$X$83)*E2_tabla_vida!$P$83,EXP(-D64*E2_tabla_vida!$X$84)*E2_tabla_vida!$P$84,EXP(-D64*E2_tabla_vida!$X$85)*E2_tabla_vida!$P$85)-1</x:f>
        <x:v>-0.0006914227007016605</x:v>
      </x:c>
    </x:row>
    <x:row r="65" ht="19" customHeight="1">
      <x:c r="A65" s="2" t="str">
        <x:v>MP_L8</x:v>
      </x:c>
      <x:c r="B65" s="2" t="n">
        <x:v>17</x:v>
      </x:c>
      <x:c r="C65" s="22" t="n">
        <x:f>IF(F64&gt;0,E64,C64)</x:f>
        <x:v>0.1957244873046875</x:v>
      </x:c>
      <x:c r="D65" s="22" t="n">
        <x:f>IF(F64&gt;0,D64,E64)</x:f>
        <x:v>0.19574737548828125</x:v>
      </x:c>
      <x:c r="E65" s="22" t="n">
        <x:f>AVERAGE(C65:D65)</x:f>
        <x:v>0.19573593139648438</x:v>
      </x:c>
      <x:c r="F65" s="24" t="n">
        <x:f>SUM(EXP(-E65*E2_tabla_vida!$X$44)*E2_tabla_vida!$P$44,EXP(-E65*E2_tabla_vida!$X$45)*E2_tabla_vida!$P$45,EXP(-E65*E2_tabla_vida!$X$46)*E2_tabla_vida!$P$46,EXP(-E65*E2_tabla_vida!$X$47)*E2_tabla_vida!$P$47,EXP(-E65*E2_tabla_vida!$X$48)*E2_tabla_vida!$P$48,EXP(-E65*E2_tabla_vida!$X$49)*E2_tabla_vida!$P$49,EXP(-E65*E2_tabla_vida!$X$50)*E2_tabla_vida!$P$50,EXP(-E65*E2_tabla_vida!$X$51)*E2_tabla_vida!$P$51,EXP(-E65*E2_tabla_vida!$X$52)*E2_tabla_vida!$P$52,EXP(-E65*E2_tabla_vida!$X$53)*E2_tabla_vida!$P$53,EXP(-E65*E2_tabla_vida!$X$54)*E2_tabla_vida!$P$54,EXP(-E65*E2_tabla_vida!$X$55)*E2_tabla_vida!$P$55,EXP(-E65*E2_tabla_vida!$X$56)*E2_tabla_vida!$P$56,EXP(-E65*E2_tabla_vida!$X$57)*E2_tabla_vida!$P$57,EXP(-E65*E2_tabla_vida!$X$58)*E2_tabla_vida!$P$58,EXP(-E65*E2_tabla_vida!$X$59)*E2_tabla_vida!$P$59,EXP(-E65*E2_tabla_vida!$X$60)*E2_tabla_vida!$P$60,EXP(-E65*E2_tabla_vida!$X$61)*E2_tabla_vida!$P$61,EXP(-E65*E2_tabla_vida!$X$62)*E2_tabla_vida!$P$62,EXP(-E65*E2_tabla_vida!$X$63)*E2_tabla_vida!$P$63,EXP(-E65*E2_tabla_vida!$X$64)*E2_tabla_vida!$P$64,EXP(-E65*E2_tabla_vida!$X$65)*E2_tabla_vida!$P$65,EXP(-E65*E2_tabla_vida!$X$66)*E2_tabla_vida!$P$66,EXP(-E65*E2_tabla_vida!$X$67)*E2_tabla_vida!$P$67,EXP(-E65*E2_tabla_vida!$X$68)*E2_tabla_vida!$P$68,EXP(-E65*E2_tabla_vida!$X$69)*E2_tabla_vida!$P$69,EXP(-E65*E2_tabla_vida!$X$70)*E2_tabla_vida!$P$70,EXP(-E65*E2_tabla_vida!$X$71)*E2_tabla_vida!$P$71,EXP(-E65*E2_tabla_vida!$X$72)*E2_tabla_vida!$P$72,EXP(-E65*E2_tabla_vida!$X$73)*E2_tabla_vida!$P$73,EXP(-E65*E2_tabla_vida!$X$74)*E2_tabla_vida!$P$74,EXP(-E65*E2_tabla_vida!$X$75)*E2_tabla_vida!$P$75,EXP(-E65*E2_tabla_vida!$X$76)*E2_tabla_vida!$P$76,EXP(-E65*E2_tabla_vida!$X$77)*E2_tabla_vida!$P$77,EXP(-E65*E2_tabla_vida!$X$78)*E2_tabla_vida!$P$78,EXP(-E65*E2_tabla_vida!$X$79)*E2_tabla_vida!$P$79,EXP(-E65*E2_tabla_vida!$X$80)*E2_tabla_vida!$P$80,EXP(-E65*E2_tabla_vida!$X$81)*E2_tabla_vida!$P$81,EXP(-E65*E2_tabla_vida!$X$82)*E2_tabla_vida!$P$82,EXP(-E65*E2_tabla_vida!$X$83)*E2_tabla_vida!$P$83,EXP(-E65*E2_tabla_vida!$X$84)*E2_tabla_vida!$P$84,EXP(-E65*E2_tabla_vida!$X$85)*E2_tabla_vida!$P$85)-1</x:f>
        <x:v>-0.00015374211872209997</x:v>
      </x:c>
      <x:c r="G65" s="24" t="n">
        <x:f>SUM(EXP(-C65*E2_tabla_vida!$X$44)*E2_tabla_vida!$P$44,EXP(-C65*E2_tabla_vida!$X$45)*E2_tabla_vida!$P$45,EXP(-C65*E2_tabla_vida!$X$46)*E2_tabla_vida!$P$46,EXP(-C65*E2_tabla_vida!$X$47)*E2_tabla_vida!$P$47,EXP(-C65*E2_tabla_vida!$X$48)*E2_tabla_vida!$P$48,EXP(-C65*E2_tabla_vida!$X$49)*E2_tabla_vida!$P$49,EXP(-C65*E2_tabla_vida!$X$50)*E2_tabla_vida!$P$50,EXP(-C65*E2_tabla_vida!$X$51)*E2_tabla_vida!$P$51,EXP(-C65*E2_tabla_vida!$X$52)*E2_tabla_vida!$P$52,EXP(-C65*E2_tabla_vida!$X$53)*E2_tabla_vida!$P$53,EXP(-C65*E2_tabla_vida!$X$54)*E2_tabla_vida!$P$54,EXP(-C65*E2_tabla_vida!$X$55)*E2_tabla_vida!$P$55,EXP(-C65*E2_tabla_vida!$X$56)*E2_tabla_vida!$P$56,EXP(-C65*E2_tabla_vida!$X$57)*E2_tabla_vida!$P$57,EXP(-C65*E2_tabla_vida!$X$58)*E2_tabla_vida!$P$58,EXP(-C65*E2_tabla_vida!$X$59)*E2_tabla_vida!$P$59,EXP(-C65*E2_tabla_vida!$X$60)*E2_tabla_vida!$P$60,EXP(-C65*E2_tabla_vida!$X$61)*E2_tabla_vida!$P$61,EXP(-C65*E2_tabla_vida!$X$62)*E2_tabla_vida!$P$62,EXP(-C65*E2_tabla_vida!$X$63)*E2_tabla_vida!$P$63,EXP(-C65*E2_tabla_vida!$X$64)*E2_tabla_vida!$P$64,EXP(-C65*E2_tabla_vida!$X$65)*E2_tabla_vida!$P$65,EXP(-C65*E2_tabla_vida!$X$66)*E2_tabla_vida!$P$66,EXP(-C65*E2_tabla_vida!$X$67)*E2_tabla_vida!$P$67,EXP(-C65*E2_tabla_vida!$X$68)*E2_tabla_vida!$P$68,EXP(-C65*E2_tabla_vida!$X$69)*E2_tabla_vida!$P$69,EXP(-C65*E2_tabla_vida!$X$70)*E2_tabla_vida!$P$70,EXP(-C65*E2_tabla_vida!$X$71)*E2_tabla_vida!$P$71,EXP(-C65*E2_tabla_vida!$X$72)*E2_tabla_vida!$P$72,EXP(-C65*E2_tabla_vida!$X$73)*E2_tabla_vida!$P$73,EXP(-C65*E2_tabla_vida!$X$74)*E2_tabla_vida!$P$74,EXP(-C65*E2_tabla_vida!$X$75)*E2_tabla_vida!$P$75,EXP(-C65*E2_tabla_vida!$X$76)*E2_tabla_vida!$P$76,EXP(-C65*E2_tabla_vida!$X$77)*E2_tabla_vida!$P$77,EXP(-C65*E2_tabla_vida!$X$78)*E2_tabla_vida!$P$78,EXP(-C65*E2_tabla_vida!$X$79)*E2_tabla_vida!$P$79,EXP(-C65*E2_tabla_vida!$X$80)*E2_tabla_vida!$P$80,EXP(-C65*E2_tabla_vida!$X$81)*E2_tabla_vida!$P$81,EXP(-C65*E2_tabla_vida!$X$82)*E2_tabla_vida!$P$82,EXP(-C65*E2_tabla_vida!$X$83)*E2_tabla_vida!$P$83,EXP(-C65*E2_tabla_vida!$X$84)*E2_tabla_vida!$P$84,EXP(-C65*E2_tabla_vida!$X$85)*E2_tabla_vida!$P$85)-1</x:f>
        <x:v>0.000025552470317879994</x:v>
      </x:c>
      <x:c r="H65" s="24" t="n">
        <x:f>SUM(EXP(-D65*E2_tabla_vida!$X$44)*E2_tabla_vida!$P$44,EXP(-D65*E2_tabla_vida!$X$45)*E2_tabla_vida!$P$45,EXP(-D65*E2_tabla_vida!$X$46)*E2_tabla_vida!$P$46,EXP(-D65*E2_tabla_vida!$X$47)*E2_tabla_vida!$P$47,EXP(-D65*E2_tabla_vida!$X$48)*E2_tabla_vida!$P$48,EXP(-D65*E2_tabla_vida!$X$49)*E2_tabla_vida!$P$49,EXP(-D65*E2_tabla_vida!$X$50)*E2_tabla_vida!$P$50,EXP(-D65*E2_tabla_vida!$X$51)*E2_tabla_vida!$P$51,EXP(-D65*E2_tabla_vida!$X$52)*E2_tabla_vida!$P$52,EXP(-D65*E2_tabla_vida!$X$53)*E2_tabla_vida!$P$53,EXP(-D65*E2_tabla_vida!$X$54)*E2_tabla_vida!$P$54,EXP(-D65*E2_tabla_vida!$X$55)*E2_tabla_vida!$P$55,EXP(-D65*E2_tabla_vida!$X$56)*E2_tabla_vida!$P$56,EXP(-D65*E2_tabla_vida!$X$57)*E2_tabla_vida!$P$57,EXP(-D65*E2_tabla_vida!$X$58)*E2_tabla_vida!$P$58,EXP(-D65*E2_tabla_vida!$X$59)*E2_tabla_vida!$P$59,EXP(-D65*E2_tabla_vida!$X$60)*E2_tabla_vida!$P$60,EXP(-D65*E2_tabla_vida!$X$61)*E2_tabla_vida!$P$61,EXP(-D65*E2_tabla_vida!$X$62)*E2_tabla_vida!$P$62,EXP(-D65*E2_tabla_vida!$X$63)*E2_tabla_vida!$P$63,EXP(-D65*E2_tabla_vida!$X$64)*E2_tabla_vida!$P$64,EXP(-D65*E2_tabla_vida!$X$65)*E2_tabla_vida!$P$65,EXP(-D65*E2_tabla_vida!$X$66)*E2_tabla_vida!$P$66,EXP(-D65*E2_tabla_vida!$X$67)*E2_tabla_vida!$P$67,EXP(-D65*E2_tabla_vida!$X$68)*E2_tabla_vida!$P$68,EXP(-D65*E2_tabla_vida!$X$69)*E2_tabla_vida!$P$69,EXP(-D65*E2_tabla_vida!$X$70)*E2_tabla_vida!$P$70,EXP(-D65*E2_tabla_vida!$X$71)*E2_tabla_vida!$P$71,EXP(-D65*E2_tabla_vida!$X$72)*E2_tabla_vida!$P$72,EXP(-D65*E2_tabla_vida!$X$73)*E2_tabla_vida!$P$73,EXP(-D65*E2_tabla_vida!$X$74)*E2_tabla_vida!$P$74,EXP(-D65*E2_tabla_vida!$X$75)*E2_tabla_vida!$P$75,EXP(-D65*E2_tabla_vida!$X$76)*E2_tabla_vida!$P$76,EXP(-D65*E2_tabla_vida!$X$77)*E2_tabla_vida!$P$77,EXP(-D65*E2_tabla_vida!$X$78)*E2_tabla_vida!$P$78,EXP(-D65*E2_tabla_vida!$X$79)*E2_tabla_vida!$P$79,EXP(-D65*E2_tabla_vida!$X$80)*E2_tabla_vida!$P$80,EXP(-D65*E2_tabla_vida!$X$81)*E2_tabla_vida!$P$81,EXP(-D65*E2_tabla_vida!$X$82)*E2_tabla_vida!$P$82,EXP(-D65*E2_tabla_vida!$X$83)*E2_tabla_vida!$P$83,EXP(-D65*E2_tabla_vida!$X$84)*E2_tabla_vida!$P$84,EXP(-D65*E2_tabla_vida!$X$85)*E2_tabla_vida!$P$85)-1</x:f>
        <x:v>-0.00033300283908355155</x:v>
      </x:c>
    </x:row>
    <x:row r="66" ht="19" customHeight="1">
      <x:c r="A66" s="2" t="str">
        <x:v>MP_L8</x:v>
      </x:c>
      <x:c r="B66" s="2" t="n">
        <x:v>18</x:v>
      </x:c>
      <x:c r="C66" s="22" t="n">
        <x:f>IF(F65&gt;0,E65,C65)</x:f>
        <x:v>0.1957244873046875</x:v>
      </x:c>
      <x:c r="D66" s="22" t="n">
        <x:f>IF(F65&gt;0,D65,E65)</x:f>
        <x:v>0.19573593139648438</x:v>
      </x:c>
      <x:c r="E66" s="22" t="n">
        <x:f>AVERAGE(C66:D66)</x:f>
        <x:v>0.19573020935058594</x:v>
      </x:c>
      <x:c r="F66" s="24" t="n">
        <x:f>SUM(EXP(-E66*E2_tabla_vida!$X$44)*E2_tabla_vida!$P$44,EXP(-E66*E2_tabla_vida!$X$45)*E2_tabla_vida!$P$45,EXP(-E66*E2_tabla_vida!$X$46)*E2_tabla_vida!$P$46,EXP(-E66*E2_tabla_vida!$X$47)*E2_tabla_vida!$P$47,EXP(-E66*E2_tabla_vida!$X$48)*E2_tabla_vida!$P$48,EXP(-E66*E2_tabla_vida!$X$49)*E2_tabla_vida!$P$49,EXP(-E66*E2_tabla_vida!$X$50)*E2_tabla_vida!$P$50,EXP(-E66*E2_tabla_vida!$X$51)*E2_tabla_vida!$P$51,EXP(-E66*E2_tabla_vida!$X$52)*E2_tabla_vida!$P$52,EXP(-E66*E2_tabla_vida!$X$53)*E2_tabla_vida!$P$53,EXP(-E66*E2_tabla_vida!$X$54)*E2_tabla_vida!$P$54,EXP(-E66*E2_tabla_vida!$X$55)*E2_tabla_vida!$P$55,EXP(-E66*E2_tabla_vida!$X$56)*E2_tabla_vida!$P$56,EXP(-E66*E2_tabla_vida!$X$57)*E2_tabla_vida!$P$57,EXP(-E66*E2_tabla_vida!$X$58)*E2_tabla_vida!$P$58,EXP(-E66*E2_tabla_vida!$X$59)*E2_tabla_vida!$P$59,EXP(-E66*E2_tabla_vida!$X$60)*E2_tabla_vida!$P$60,EXP(-E66*E2_tabla_vida!$X$61)*E2_tabla_vida!$P$61,EXP(-E66*E2_tabla_vida!$X$62)*E2_tabla_vida!$P$62,EXP(-E66*E2_tabla_vida!$X$63)*E2_tabla_vida!$P$63,EXP(-E66*E2_tabla_vida!$X$64)*E2_tabla_vida!$P$64,EXP(-E66*E2_tabla_vida!$X$65)*E2_tabla_vida!$P$65,EXP(-E66*E2_tabla_vida!$X$66)*E2_tabla_vida!$P$66,EXP(-E66*E2_tabla_vida!$X$67)*E2_tabla_vida!$P$67,EXP(-E66*E2_tabla_vida!$X$68)*E2_tabla_vida!$P$68,EXP(-E66*E2_tabla_vida!$X$69)*E2_tabla_vida!$P$69,EXP(-E66*E2_tabla_vida!$X$70)*E2_tabla_vida!$P$70,EXP(-E66*E2_tabla_vida!$X$71)*E2_tabla_vida!$P$71,EXP(-E66*E2_tabla_vida!$X$72)*E2_tabla_vida!$P$72,EXP(-E66*E2_tabla_vida!$X$73)*E2_tabla_vida!$P$73,EXP(-E66*E2_tabla_vida!$X$74)*E2_tabla_vida!$P$74,EXP(-E66*E2_tabla_vida!$X$75)*E2_tabla_vida!$P$75,EXP(-E66*E2_tabla_vida!$X$76)*E2_tabla_vida!$P$76,EXP(-E66*E2_tabla_vida!$X$77)*E2_tabla_vida!$P$77,EXP(-E66*E2_tabla_vida!$X$78)*E2_tabla_vida!$P$78,EXP(-E66*E2_tabla_vida!$X$79)*E2_tabla_vida!$P$79,EXP(-E66*E2_tabla_vida!$X$80)*E2_tabla_vida!$P$80,EXP(-E66*E2_tabla_vida!$X$81)*E2_tabla_vida!$P$81,EXP(-E66*E2_tabla_vida!$X$82)*E2_tabla_vida!$P$82,EXP(-E66*E2_tabla_vida!$X$83)*E2_tabla_vida!$P$83,EXP(-E66*E2_tabla_vida!$X$84)*E2_tabla_vida!$P$84,EXP(-E66*E2_tabla_vida!$X$85)*E2_tabla_vida!$P$85)-1</x:f>
        <x:v>-0.00006409905820758954</x:v>
      </x:c>
      <x:c r="G66" s="24" t="n">
        <x:f>SUM(EXP(-C66*E2_tabla_vida!$X$44)*E2_tabla_vida!$P$44,EXP(-C66*E2_tabla_vida!$X$45)*E2_tabla_vida!$P$45,EXP(-C66*E2_tabla_vida!$X$46)*E2_tabla_vida!$P$46,EXP(-C66*E2_tabla_vida!$X$47)*E2_tabla_vida!$P$47,EXP(-C66*E2_tabla_vida!$X$48)*E2_tabla_vida!$P$48,EXP(-C66*E2_tabla_vida!$X$49)*E2_tabla_vida!$P$49,EXP(-C66*E2_tabla_vida!$X$50)*E2_tabla_vida!$P$50,EXP(-C66*E2_tabla_vida!$X$51)*E2_tabla_vida!$P$51,EXP(-C66*E2_tabla_vida!$X$52)*E2_tabla_vida!$P$52,EXP(-C66*E2_tabla_vida!$X$53)*E2_tabla_vida!$P$53,EXP(-C66*E2_tabla_vida!$X$54)*E2_tabla_vida!$P$54,EXP(-C66*E2_tabla_vida!$X$55)*E2_tabla_vida!$P$55,EXP(-C66*E2_tabla_vida!$X$56)*E2_tabla_vida!$P$56,EXP(-C66*E2_tabla_vida!$X$57)*E2_tabla_vida!$P$57,EXP(-C66*E2_tabla_vida!$X$58)*E2_tabla_vida!$P$58,EXP(-C66*E2_tabla_vida!$X$59)*E2_tabla_vida!$P$59,EXP(-C66*E2_tabla_vida!$X$60)*E2_tabla_vida!$P$60,EXP(-C66*E2_tabla_vida!$X$61)*E2_tabla_vida!$P$61,EXP(-C66*E2_tabla_vida!$X$62)*E2_tabla_vida!$P$62,EXP(-C66*E2_tabla_vida!$X$63)*E2_tabla_vida!$P$63,EXP(-C66*E2_tabla_vida!$X$64)*E2_tabla_vida!$P$64,EXP(-C66*E2_tabla_vida!$X$65)*E2_tabla_vida!$P$65,EXP(-C66*E2_tabla_vida!$X$66)*E2_tabla_vida!$P$66,EXP(-C66*E2_tabla_vida!$X$67)*E2_tabla_vida!$P$67,EXP(-C66*E2_tabla_vida!$X$68)*E2_tabla_vida!$P$68,EXP(-C66*E2_tabla_vida!$X$69)*E2_tabla_vida!$P$69,EXP(-C66*E2_tabla_vida!$X$70)*E2_tabla_vida!$P$70,EXP(-C66*E2_tabla_vida!$X$71)*E2_tabla_vida!$P$71,EXP(-C66*E2_tabla_vida!$X$72)*E2_tabla_vida!$P$72,EXP(-C66*E2_tabla_vida!$X$73)*E2_tabla_vida!$P$73,EXP(-C66*E2_tabla_vida!$X$74)*E2_tabla_vida!$P$74,EXP(-C66*E2_tabla_vida!$X$75)*E2_tabla_vida!$P$75,EXP(-C66*E2_tabla_vida!$X$76)*E2_tabla_vida!$P$76,EXP(-C66*E2_tabla_vida!$X$77)*E2_tabla_vida!$P$77,EXP(-C66*E2_tabla_vida!$X$78)*E2_tabla_vida!$P$78,EXP(-C66*E2_tabla_vida!$X$79)*E2_tabla_vida!$P$79,EXP(-C66*E2_tabla_vida!$X$80)*E2_tabla_vida!$P$80,EXP(-C66*E2_tabla_vida!$X$81)*E2_tabla_vida!$P$81,EXP(-C66*E2_tabla_vida!$X$82)*E2_tabla_vida!$P$82,EXP(-C66*E2_tabla_vida!$X$83)*E2_tabla_vida!$P$83,EXP(-C66*E2_tabla_vida!$X$84)*E2_tabla_vida!$P$84,EXP(-C66*E2_tabla_vida!$X$85)*E2_tabla_vida!$P$85)-1</x:f>
        <x:v>0.000025552470317879994</x:v>
      </x:c>
      <x:c r="H66" s="24" t="n">
        <x:f>SUM(EXP(-D66*E2_tabla_vida!$X$44)*E2_tabla_vida!$P$44,EXP(-D66*E2_tabla_vida!$X$45)*E2_tabla_vida!$P$45,EXP(-D66*E2_tabla_vida!$X$46)*E2_tabla_vida!$P$46,EXP(-D66*E2_tabla_vida!$X$47)*E2_tabla_vida!$P$47,EXP(-D66*E2_tabla_vida!$X$48)*E2_tabla_vida!$P$48,EXP(-D66*E2_tabla_vida!$X$49)*E2_tabla_vida!$P$49,EXP(-D66*E2_tabla_vida!$X$50)*E2_tabla_vida!$P$50,EXP(-D66*E2_tabla_vida!$X$51)*E2_tabla_vida!$P$51,EXP(-D66*E2_tabla_vida!$X$52)*E2_tabla_vida!$P$52,EXP(-D66*E2_tabla_vida!$X$53)*E2_tabla_vida!$P$53,EXP(-D66*E2_tabla_vida!$X$54)*E2_tabla_vida!$P$54,EXP(-D66*E2_tabla_vida!$X$55)*E2_tabla_vida!$P$55,EXP(-D66*E2_tabla_vida!$X$56)*E2_tabla_vida!$P$56,EXP(-D66*E2_tabla_vida!$X$57)*E2_tabla_vida!$P$57,EXP(-D66*E2_tabla_vida!$X$58)*E2_tabla_vida!$P$58,EXP(-D66*E2_tabla_vida!$X$59)*E2_tabla_vida!$P$59,EXP(-D66*E2_tabla_vida!$X$60)*E2_tabla_vida!$P$60,EXP(-D66*E2_tabla_vida!$X$61)*E2_tabla_vida!$P$61,EXP(-D66*E2_tabla_vida!$X$62)*E2_tabla_vida!$P$62,EXP(-D66*E2_tabla_vida!$X$63)*E2_tabla_vida!$P$63,EXP(-D66*E2_tabla_vida!$X$64)*E2_tabla_vida!$P$64,EXP(-D66*E2_tabla_vida!$X$65)*E2_tabla_vida!$P$65,EXP(-D66*E2_tabla_vida!$X$66)*E2_tabla_vida!$P$66,EXP(-D66*E2_tabla_vida!$X$67)*E2_tabla_vida!$P$67,EXP(-D66*E2_tabla_vida!$X$68)*E2_tabla_vida!$P$68,EXP(-D66*E2_tabla_vida!$X$69)*E2_tabla_vida!$P$69,EXP(-D66*E2_tabla_vida!$X$70)*E2_tabla_vida!$P$70,EXP(-D66*E2_tabla_vida!$X$71)*E2_tabla_vida!$P$71,EXP(-D66*E2_tabla_vida!$X$72)*E2_tabla_vida!$P$72,EXP(-D66*E2_tabla_vida!$X$73)*E2_tabla_vida!$P$73,EXP(-D66*E2_tabla_vida!$X$74)*E2_tabla_vida!$P$74,EXP(-D66*E2_tabla_vida!$X$75)*E2_tabla_vida!$P$75,EXP(-D66*E2_tabla_vida!$X$76)*E2_tabla_vida!$P$76,EXP(-D66*E2_tabla_vida!$X$77)*E2_tabla_vida!$P$77,EXP(-D66*E2_tabla_vida!$X$78)*E2_tabla_vida!$P$78,EXP(-D66*E2_tabla_vida!$X$79)*E2_tabla_vida!$P$79,EXP(-D66*E2_tabla_vida!$X$80)*E2_tabla_vida!$P$80,EXP(-D66*E2_tabla_vida!$X$81)*E2_tabla_vida!$P$81,EXP(-D66*E2_tabla_vida!$X$82)*E2_tabla_vida!$P$82,EXP(-D66*E2_tabla_vida!$X$83)*E2_tabla_vida!$P$83,EXP(-D66*E2_tabla_vida!$X$84)*E2_tabla_vida!$P$84,EXP(-D66*E2_tabla_vida!$X$85)*E2_tabla_vida!$P$85)-1</x:f>
        <x:v>-0.00015374211872209997</x:v>
      </x:c>
    </x:row>
    <x:row r="67" ht="19" customHeight="1">
      <x:c r="A67" s="2" t="str">
        <x:v>MP_L8</x:v>
      </x:c>
      <x:c r="B67" s="2" t="n">
        <x:v>19</x:v>
      </x:c>
      <x:c r="C67" s="22" t="n">
        <x:f>IF(F66&gt;0,E66,C66)</x:f>
        <x:v>0.1957244873046875</x:v>
      </x:c>
      <x:c r="D67" s="22" t="n">
        <x:f>IF(F66&gt;0,D66,E66)</x:f>
        <x:v>0.19573020935058594</x:v>
      </x:c>
      <x:c r="E67" s="22" t="n">
        <x:f>AVERAGE(C67:D67)</x:f>
        <x:v>0.19572734832763672</x:v>
      </x:c>
      <x:c r="F67" s="24" t="n">
        <x:f>SUM(EXP(-E67*E2_tabla_vida!$X$44)*E2_tabla_vida!$P$44,EXP(-E67*E2_tabla_vida!$X$45)*E2_tabla_vida!$P$45,EXP(-E67*E2_tabla_vida!$X$46)*E2_tabla_vida!$P$46,EXP(-E67*E2_tabla_vida!$X$47)*E2_tabla_vida!$P$47,EXP(-E67*E2_tabla_vida!$X$48)*E2_tabla_vida!$P$48,EXP(-E67*E2_tabla_vida!$X$49)*E2_tabla_vida!$P$49,EXP(-E67*E2_tabla_vida!$X$50)*E2_tabla_vida!$P$50,EXP(-E67*E2_tabla_vida!$X$51)*E2_tabla_vida!$P$51,EXP(-E67*E2_tabla_vida!$X$52)*E2_tabla_vida!$P$52,EXP(-E67*E2_tabla_vida!$X$53)*E2_tabla_vida!$P$53,EXP(-E67*E2_tabla_vida!$X$54)*E2_tabla_vida!$P$54,EXP(-E67*E2_tabla_vida!$X$55)*E2_tabla_vida!$P$55,EXP(-E67*E2_tabla_vida!$X$56)*E2_tabla_vida!$P$56,EXP(-E67*E2_tabla_vida!$X$57)*E2_tabla_vida!$P$57,EXP(-E67*E2_tabla_vida!$X$58)*E2_tabla_vida!$P$58,EXP(-E67*E2_tabla_vida!$X$59)*E2_tabla_vida!$P$59,EXP(-E67*E2_tabla_vida!$X$60)*E2_tabla_vida!$P$60,EXP(-E67*E2_tabla_vida!$X$61)*E2_tabla_vida!$P$61,EXP(-E67*E2_tabla_vida!$X$62)*E2_tabla_vida!$P$62,EXP(-E67*E2_tabla_vida!$X$63)*E2_tabla_vida!$P$63,EXP(-E67*E2_tabla_vida!$X$64)*E2_tabla_vida!$P$64,EXP(-E67*E2_tabla_vida!$X$65)*E2_tabla_vida!$P$65,EXP(-E67*E2_tabla_vida!$X$66)*E2_tabla_vida!$P$66,EXP(-E67*E2_tabla_vida!$X$67)*E2_tabla_vida!$P$67,EXP(-E67*E2_tabla_vida!$X$68)*E2_tabla_vida!$P$68,EXP(-E67*E2_tabla_vida!$X$69)*E2_tabla_vida!$P$69,EXP(-E67*E2_tabla_vida!$X$70)*E2_tabla_vida!$P$70,EXP(-E67*E2_tabla_vida!$X$71)*E2_tabla_vida!$P$71,EXP(-E67*E2_tabla_vida!$X$72)*E2_tabla_vida!$P$72,EXP(-E67*E2_tabla_vida!$X$73)*E2_tabla_vida!$P$73,EXP(-E67*E2_tabla_vida!$X$74)*E2_tabla_vida!$P$74,EXP(-E67*E2_tabla_vida!$X$75)*E2_tabla_vida!$P$75,EXP(-E67*E2_tabla_vida!$X$76)*E2_tabla_vida!$P$76,EXP(-E67*E2_tabla_vida!$X$77)*E2_tabla_vida!$P$77,EXP(-E67*E2_tabla_vida!$X$78)*E2_tabla_vida!$P$78,EXP(-E67*E2_tabla_vida!$X$79)*E2_tabla_vida!$P$79,EXP(-E67*E2_tabla_vida!$X$80)*E2_tabla_vida!$P$80,EXP(-E67*E2_tabla_vida!$X$81)*E2_tabla_vida!$P$81,EXP(-E67*E2_tabla_vida!$X$82)*E2_tabla_vida!$P$82,EXP(-E67*E2_tabla_vida!$X$83)*E2_tabla_vida!$P$83,EXP(-E67*E2_tabla_vida!$X$84)*E2_tabla_vida!$P$84,EXP(-E67*E2_tabla_vida!$X$85)*E2_tabla_vida!$P$85)-1</x:f>
        <x:v>-0.000019274352498710456</x:v>
      </x:c>
      <x:c r="G67" s="24" t="n">
        <x:f>SUM(EXP(-C67*E2_tabla_vida!$X$44)*E2_tabla_vida!$P$44,EXP(-C67*E2_tabla_vida!$X$45)*E2_tabla_vida!$P$45,EXP(-C67*E2_tabla_vida!$X$46)*E2_tabla_vida!$P$46,EXP(-C67*E2_tabla_vida!$X$47)*E2_tabla_vida!$P$47,EXP(-C67*E2_tabla_vida!$X$48)*E2_tabla_vida!$P$48,EXP(-C67*E2_tabla_vida!$X$49)*E2_tabla_vida!$P$49,EXP(-C67*E2_tabla_vida!$X$50)*E2_tabla_vida!$P$50,EXP(-C67*E2_tabla_vida!$X$51)*E2_tabla_vida!$P$51,EXP(-C67*E2_tabla_vida!$X$52)*E2_tabla_vida!$P$52,EXP(-C67*E2_tabla_vida!$X$53)*E2_tabla_vida!$P$53,EXP(-C67*E2_tabla_vida!$X$54)*E2_tabla_vida!$P$54,EXP(-C67*E2_tabla_vida!$X$55)*E2_tabla_vida!$P$55,EXP(-C67*E2_tabla_vida!$X$56)*E2_tabla_vida!$P$56,EXP(-C67*E2_tabla_vida!$X$57)*E2_tabla_vida!$P$57,EXP(-C67*E2_tabla_vida!$X$58)*E2_tabla_vida!$P$58,EXP(-C67*E2_tabla_vida!$X$59)*E2_tabla_vida!$P$59,EXP(-C67*E2_tabla_vida!$X$60)*E2_tabla_vida!$P$60,EXP(-C67*E2_tabla_vida!$X$61)*E2_tabla_vida!$P$61,EXP(-C67*E2_tabla_vida!$X$62)*E2_tabla_vida!$P$62,EXP(-C67*E2_tabla_vida!$X$63)*E2_tabla_vida!$P$63,EXP(-C67*E2_tabla_vida!$X$64)*E2_tabla_vida!$P$64,EXP(-C67*E2_tabla_vida!$X$65)*E2_tabla_vida!$P$65,EXP(-C67*E2_tabla_vida!$X$66)*E2_tabla_vida!$P$66,EXP(-C67*E2_tabla_vida!$X$67)*E2_tabla_vida!$P$67,EXP(-C67*E2_tabla_vida!$X$68)*E2_tabla_vida!$P$68,EXP(-C67*E2_tabla_vida!$X$69)*E2_tabla_vida!$P$69,EXP(-C67*E2_tabla_vida!$X$70)*E2_tabla_vida!$P$70,EXP(-C67*E2_tabla_vida!$X$71)*E2_tabla_vida!$P$71,EXP(-C67*E2_tabla_vida!$X$72)*E2_tabla_vida!$P$72,EXP(-C67*E2_tabla_vida!$X$73)*E2_tabla_vida!$P$73,EXP(-C67*E2_tabla_vida!$X$74)*E2_tabla_vida!$P$74,EXP(-C67*E2_tabla_vida!$X$75)*E2_tabla_vida!$P$75,EXP(-C67*E2_tabla_vida!$X$76)*E2_tabla_vida!$P$76,EXP(-C67*E2_tabla_vida!$X$77)*E2_tabla_vida!$P$77,EXP(-C67*E2_tabla_vida!$X$78)*E2_tabla_vida!$P$78,EXP(-C67*E2_tabla_vida!$X$79)*E2_tabla_vida!$P$79,EXP(-C67*E2_tabla_vida!$X$80)*E2_tabla_vida!$P$80,EXP(-C67*E2_tabla_vida!$X$81)*E2_tabla_vida!$P$81,EXP(-C67*E2_tabla_vida!$X$82)*E2_tabla_vida!$P$82,EXP(-C67*E2_tabla_vida!$X$83)*E2_tabla_vida!$P$83,EXP(-C67*E2_tabla_vida!$X$84)*E2_tabla_vida!$P$84,EXP(-C67*E2_tabla_vida!$X$85)*E2_tabla_vida!$P$85)-1</x:f>
        <x:v>0.000025552470317879994</x:v>
      </x:c>
      <x:c r="H67" s="24" t="n">
        <x:f>SUM(EXP(-D67*E2_tabla_vida!$X$44)*E2_tabla_vida!$P$44,EXP(-D67*E2_tabla_vida!$X$45)*E2_tabla_vida!$P$45,EXP(-D67*E2_tabla_vida!$X$46)*E2_tabla_vida!$P$46,EXP(-D67*E2_tabla_vida!$X$47)*E2_tabla_vida!$P$47,EXP(-D67*E2_tabla_vida!$X$48)*E2_tabla_vida!$P$48,EXP(-D67*E2_tabla_vida!$X$49)*E2_tabla_vida!$P$49,EXP(-D67*E2_tabla_vida!$X$50)*E2_tabla_vida!$P$50,EXP(-D67*E2_tabla_vida!$X$51)*E2_tabla_vida!$P$51,EXP(-D67*E2_tabla_vida!$X$52)*E2_tabla_vida!$P$52,EXP(-D67*E2_tabla_vida!$X$53)*E2_tabla_vida!$P$53,EXP(-D67*E2_tabla_vida!$X$54)*E2_tabla_vida!$P$54,EXP(-D67*E2_tabla_vida!$X$55)*E2_tabla_vida!$P$55,EXP(-D67*E2_tabla_vida!$X$56)*E2_tabla_vida!$P$56,EXP(-D67*E2_tabla_vida!$X$57)*E2_tabla_vida!$P$57,EXP(-D67*E2_tabla_vida!$X$58)*E2_tabla_vida!$P$58,EXP(-D67*E2_tabla_vida!$X$59)*E2_tabla_vida!$P$59,EXP(-D67*E2_tabla_vida!$X$60)*E2_tabla_vida!$P$60,EXP(-D67*E2_tabla_vida!$X$61)*E2_tabla_vida!$P$61,EXP(-D67*E2_tabla_vida!$X$62)*E2_tabla_vida!$P$62,EXP(-D67*E2_tabla_vida!$X$63)*E2_tabla_vida!$P$63,EXP(-D67*E2_tabla_vida!$X$64)*E2_tabla_vida!$P$64,EXP(-D67*E2_tabla_vida!$X$65)*E2_tabla_vida!$P$65,EXP(-D67*E2_tabla_vida!$X$66)*E2_tabla_vida!$P$66,EXP(-D67*E2_tabla_vida!$X$67)*E2_tabla_vida!$P$67,EXP(-D67*E2_tabla_vida!$X$68)*E2_tabla_vida!$P$68,EXP(-D67*E2_tabla_vida!$X$69)*E2_tabla_vida!$P$69,EXP(-D67*E2_tabla_vida!$X$70)*E2_tabla_vida!$P$70,EXP(-D67*E2_tabla_vida!$X$71)*E2_tabla_vida!$P$71,EXP(-D67*E2_tabla_vida!$X$72)*E2_tabla_vida!$P$72,EXP(-D67*E2_tabla_vida!$X$73)*E2_tabla_vida!$P$73,EXP(-D67*E2_tabla_vida!$X$74)*E2_tabla_vida!$P$74,EXP(-D67*E2_tabla_vida!$X$75)*E2_tabla_vida!$P$75,EXP(-D67*E2_tabla_vida!$X$76)*E2_tabla_vida!$P$76,EXP(-D67*E2_tabla_vida!$X$77)*E2_tabla_vida!$P$77,EXP(-D67*E2_tabla_vida!$X$78)*E2_tabla_vida!$P$78,EXP(-D67*E2_tabla_vida!$X$79)*E2_tabla_vida!$P$79,EXP(-D67*E2_tabla_vida!$X$80)*E2_tabla_vida!$P$80,EXP(-D67*E2_tabla_vida!$X$81)*E2_tabla_vida!$P$81,EXP(-D67*E2_tabla_vida!$X$82)*E2_tabla_vida!$P$82,EXP(-D67*E2_tabla_vida!$X$83)*E2_tabla_vida!$P$83,EXP(-D67*E2_tabla_vida!$X$84)*E2_tabla_vida!$P$84,EXP(-D67*E2_tabla_vida!$X$85)*E2_tabla_vida!$P$85)-1</x:f>
        <x:v>-0.00006409905820758954</x:v>
      </x:c>
    </x:row>
    <x:row r="68" ht="19" customHeight="1">
      <x:c r="A68" s="2" t="str">
        <x:v>MP_L8</x:v>
      </x:c>
      <x:c r="B68" s="2" t="n">
        <x:v>20</x:v>
      </x:c>
      <x:c r="C68" s="22" t="n">
        <x:f>IF(F67&gt;0,E67,C67)</x:f>
        <x:v>0.1957244873046875</x:v>
      </x:c>
      <x:c r="D68" s="22" t="n">
        <x:f>IF(F67&gt;0,D67,E67)</x:f>
        <x:v>0.19572734832763672</x:v>
      </x:c>
      <x:c r="E68" s="22" t="n">
        <x:f>AVERAGE(C68:D68)</x:f>
        <x:v>0.1957259178161621</x:v>
      </x:c>
      <x:c r="F68" s="24" t="n">
        <x:f>SUM(EXP(-E68*E2_tabla_vida!$X$44)*E2_tabla_vida!$P$44,EXP(-E68*E2_tabla_vida!$X$45)*E2_tabla_vida!$P$45,EXP(-E68*E2_tabla_vida!$X$46)*E2_tabla_vida!$P$46,EXP(-E68*E2_tabla_vida!$X$47)*E2_tabla_vida!$P$47,EXP(-E68*E2_tabla_vida!$X$48)*E2_tabla_vida!$P$48,EXP(-E68*E2_tabla_vida!$X$49)*E2_tabla_vida!$P$49,EXP(-E68*E2_tabla_vida!$X$50)*E2_tabla_vida!$P$50,EXP(-E68*E2_tabla_vida!$X$51)*E2_tabla_vida!$P$51,EXP(-E68*E2_tabla_vida!$X$52)*E2_tabla_vida!$P$52,EXP(-E68*E2_tabla_vida!$X$53)*E2_tabla_vida!$P$53,EXP(-E68*E2_tabla_vida!$X$54)*E2_tabla_vida!$P$54,EXP(-E68*E2_tabla_vida!$X$55)*E2_tabla_vida!$P$55,EXP(-E68*E2_tabla_vida!$X$56)*E2_tabla_vida!$P$56,EXP(-E68*E2_tabla_vida!$X$57)*E2_tabla_vida!$P$57,EXP(-E68*E2_tabla_vida!$X$58)*E2_tabla_vida!$P$58,EXP(-E68*E2_tabla_vida!$X$59)*E2_tabla_vida!$P$59,EXP(-E68*E2_tabla_vida!$X$60)*E2_tabla_vida!$P$60,EXP(-E68*E2_tabla_vida!$X$61)*E2_tabla_vida!$P$61,EXP(-E68*E2_tabla_vida!$X$62)*E2_tabla_vida!$P$62,EXP(-E68*E2_tabla_vida!$X$63)*E2_tabla_vida!$P$63,EXP(-E68*E2_tabla_vida!$X$64)*E2_tabla_vida!$P$64,EXP(-E68*E2_tabla_vida!$X$65)*E2_tabla_vida!$P$65,EXP(-E68*E2_tabla_vida!$X$66)*E2_tabla_vida!$P$66,EXP(-E68*E2_tabla_vida!$X$67)*E2_tabla_vida!$P$67,EXP(-E68*E2_tabla_vida!$X$68)*E2_tabla_vida!$P$68,EXP(-E68*E2_tabla_vida!$X$69)*E2_tabla_vida!$P$69,EXP(-E68*E2_tabla_vida!$X$70)*E2_tabla_vida!$P$70,EXP(-E68*E2_tabla_vida!$X$71)*E2_tabla_vida!$P$71,EXP(-E68*E2_tabla_vida!$X$72)*E2_tabla_vida!$P$72,EXP(-E68*E2_tabla_vida!$X$73)*E2_tabla_vida!$P$73,EXP(-E68*E2_tabla_vida!$X$74)*E2_tabla_vida!$P$74,EXP(-E68*E2_tabla_vida!$X$75)*E2_tabla_vida!$P$75,EXP(-E68*E2_tabla_vida!$X$76)*E2_tabla_vida!$P$76,EXP(-E68*E2_tabla_vida!$X$77)*E2_tabla_vida!$P$77,EXP(-E68*E2_tabla_vida!$X$78)*E2_tabla_vida!$P$78,EXP(-E68*E2_tabla_vida!$X$79)*E2_tabla_vida!$P$79,EXP(-E68*E2_tabla_vida!$X$80)*E2_tabla_vida!$P$80,EXP(-E68*E2_tabla_vida!$X$81)*E2_tabla_vida!$P$81,EXP(-E68*E2_tabla_vida!$X$82)*E2_tabla_vida!$P$82,EXP(-E68*E2_tabla_vida!$X$83)*E2_tabla_vida!$P$83,EXP(-E68*E2_tabla_vida!$X$84)*E2_tabla_vida!$P$84,EXP(-E68*E2_tabla_vida!$X$85)*E2_tabla_vida!$P$85)-1</x:f>
        <x:v>0.0000031387942645011435</x:v>
      </x:c>
      <x:c r="G68" s="24" t="n">
        <x:f>SUM(EXP(-C68*E2_tabla_vida!$X$44)*E2_tabla_vida!$P$44,EXP(-C68*E2_tabla_vida!$X$45)*E2_tabla_vida!$P$45,EXP(-C68*E2_tabla_vida!$X$46)*E2_tabla_vida!$P$46,EXP(-C68*E2_tabla_vida!$X$47)*E2_tabla_vida!$P$47,EXP(-C68*E2_tabla_vida!$X$48)*E2_tabla_vida!$P$48,EXP(-C68*E2_tabla_vida!$X$49)*E2_tabla_vida!$P$49,EXP(-C68*E2_tabla_vida!$X$50)*E2_tabla_vida!$P$50,EXP(-C68*E2_tabla_vida!$X$51)*E2_tabla_vida!$P$51,EXP(-C68*E2_tabla_vida!$X$52)*E2_tabla_vida!$P$52,EXP(-C68*E2_tabla_vida!$X$53)*E2_tabla_vida!$P$53,EXP(-C68*E2_tabla_vida!$X$54)*E2_tabla_vida!$P$54,EXP(-C68*E2_tabla_vida!$X$55)*E2_tabla_vida!$P$55,EXP(-C68*E2_tabla_vida!$X$56)*E2_tabla_vida!$P$56,EXP(-C68*E2_tabla_vida!$X$57)*E2_tabla_vida!$P$57,EXP(-C68*E2_tabla_vida!$X$58)*E2_tabla_vida!$P$58,EXP(-C68*E2_tabla_vida!$X$59)*E2_tabla_vida!$P$59,EXP(-C68*E2_tabla_vida!$X$60)*E2_tabla_vida!$P$60,EXP(-C68*E2_tabla_vida!$X$61)*E2_tabla_vida!$P$61,EXP(-C68*E2_tabla_vida!$X$62)*E2_tabla_vida!$P$62,EXP(-C68*E2_tabla_vida!$X$63)*E2_tabla_vida!$P$63,EXP(-C68*E2_tabla_vida!$X$64)*E2_tabla_vida!$P$64,EXP(-C68*E2_tabla_vida!$X$65)*E2_tabla_vida!$P$65,EXP(-C68*E2_tabla_vida!$X$66)*E2_tabla_vida!$P$66,EXP(-C68*E2_tabla_vida!$X$67)*E2_tabla_vida!$P$67,EXP(-C68*E2_tabla_vida!$X$68)*E2_tabla_vida!$P$68,EXP(-C68*E2_tabla_vida!$X$69)*E2_tabla_vida!$P$69,EXP(-C68*E2_tabla_vida!$X$70)*E2_tabla_vida!$P$70,EXP(-C68*E2_tabla_vida!$X$71)*E2_tabla_vida!$P$71,EXP(-C68*E2_tabla_vida!$X$72)*E2_tabla_vida!$P$72,EXP(-C68*E2_tabla_vida!$X$73)*E2_tabla_vida!$P$73,EXP(-C68*E2_tabla_vida!$X$74)*E2_tabla_vida!$P$74,EXP(-C68*E2_tabla_vida!$X$75)*E2_tabla_vida!$P$75,EXP(-C68*E2_tabla_vida!$X$76)*E2_tabla_vida!$P$76,EXP(-C68*E2_tabla_vida!$X$77)*E2_tabla_vida!$P$77,EXP(-C68*E2_tabla_vida!$X$78)*E2_tabla_vida!$P$78,EXP(-C68*E2_tabla_vida!$X$79)*E2_tabla_vida!$P$79,EXP(-C68*E2_tabla_vida!$X$80)*E2_tabla_vida!$P$80,EXP(-C68*E2_tabla_vida!$X$81)*E2_tabla_vida!$P$81,EXP(-C68*E2_tabla_vida!$X$82)*E2_tabla_vida!$P$82,EXP(-C68*E2_tabla_vida!$X$83)*E2_tabla_vida!$P$83,EXP(-C68*E2_tabla_vida!$X$84)*E2_tabla_vida!$P$84,EXP(-C68*E2_tabla_vida!$X$85)*E2_tabla_vida!$P$85)-1</x:f>
        <x:v>0.000025552470317879994</x:v>
      </x:c>
      <x:c r="H68" s="24" t="n">
        <x:f>SUM(EXP(-D68*E2_tabla_vida!$X$44)*E2_tabla_vida!$P$44,EXP(-D68*E2_tabla_vida!$X$45)*E2_tabla_vida!$P$45,EXP(-D68*E2_tabla_vida!$X$46)*E2_tabla_vida!$P$46,EXP(-D68*E2_tabla_vida!$X$47)*E2_tabla_vida!$P$47,EXP(-D68*E2_tabla_vida!$X$48)*E2_tabla_vida!$P$48,EXP(-D68*E2_tabla_vida!$X$49)*E2_tabla_vida!$P$49,EXP(-D68*E2_tabla_vida!$X$50)*E2_tabla_vida!$P$50,EXP(-D68*E2_tabla_vida!$X$51)*E2_tabla_vida!$P$51,EXP(-D68*E2_tabla_vida!$X$52)*E2_tabla_vida!$P$52,EXP(-D68*E2_tabla_vida!$X$53)*E2_tabla_vida!$P$53,EXP(-D68*E2_tabla_vida!$X$54)*E2_tabla_vida!$P$54,EXP(-D68*E2_tabla_vida!$X$55)*E2_tabla_vida!$P$55,EXP(-D68*E2_tabla_vida!$X$56)*E2_tabla_vida!$P$56,EXP(-D68*E2_tabla_vida!$X$57)*E2_tabla_vida!$P$57,EXP(-D68*E2_tabla_vida!$X$58)*E2_tabla_vida!$P$58,EXP(-D68*E2_tabla_vida!$X$59)*E2_tabla_vida!$P$59,EXP(-D68*E2_tabla_vida!$X$60)*E2_tabla_vida!$P$60,EXP(-D68*E2_tabla_vida!$X$61)*E2_tabla_vida!$P$61,EXP(-D68*E2_tabla_vida!$X$62)*E2_tabla_vida!$P$62,EXP(-D68*E2_tabla_vida!$X$63)*E2_tabla_vida!$P$63,EXP(-D68*E2_tabla_vida!$X$64)*E2_tabla_vida!$P$64,EXP(-D68*E2_tabla_vida!$X$65)*E2_tabla_vida!$P$65,EXP(-D68*E2_tabla_vida!$X$66)*E2_tabla_vida!$P$66,EXP(-D68*E2_tabla_vida!$X$67)*E2_tabla_vida!$P$67,EXP(-D68*E2_tabla_vida!$X$68)*E2_tabla_vida!$P$68,EXP(-D68*E2_tabla_vida!$X$69)*E2_tabla_vida!$P$69,EXP(-D68*E2_tabla_vida!$X$70)*E2_tabla_vida!$P$70,EXP(-D68*E2_tabla_vida!$X$71)*E2_tabla_vida!$P$71,EXP(-D68*E2_tabla_vida!$X$72)*E2_tabla_vida!$P$72,EXP(-D68*E2_tabla_vida!$X$73)*E2_tabla_vida!$P$73,EXP(-D68*E2_tabla_vida!$X$74)*E2_tabla_vida!$P$74,EXP(-D68*E2_tabla_vida!$X$75)*E2_tabla_vida!$P$75,EXP(-D68*E2_tabla_vida!$X$76)*E2_tabla_vida!$P$76,EXP(-D68*E2_tabla_vida!$X$77)*E2_tabla_vida!$P$77,EXP(-D68*E2_tabla_vida!$X$78)*E2_tabla_vida!$P$78,EXP(-D68*E2_tabla_vida!$X$79)*E2_tabla_vida!$P$79,EXP(-D68*E2_tabla_vida!$X$80)*E2_tabla_vida!$P$80,EXP(-D68*E2_tabla_vida!$X$81)*E2_tabla_vida!$P$81,EXP(-D68*E2_tabla_vida!$X$82)*E2_tabla_vida!$P$82,EXP(-D68*E2_tabla_vida!$X$83)*E2_tabla_vida!$P$83,EXP(-D68*E2_tabla_vida!$X$84)*E2_tabla_vida!$P$84,EXP(-D68*E2_tabla_vida!$X$85)*E2_tabla_vida!$P$85)-1</x:f>
        <x:v>-0.000019274352498710456</x:v>
      </x:c>
    </x:row>
    <x:row r="69" ht="19" customHeight="1">
      <x:c r="A69" s="2" t="str">
        <x:v>MP_L8</x:v>
      </x:c>
      <x:c r="B69" s="2" t="n">
        <x:v>21</x:v>
      </x:c>
      <x:c r="C69" s="22" t="n">
        <x:f>IF(F68&gt;0,E68,C68)</x:f>
        <x:v>0.1957259178161621</x:v>
      </x:c>
      <x:c r="D69" s="22" t="n">
        <x:f>IF(F68&gt;0,D68,E68)</x:f>
        <x:v>0.19572734832763672</x:v>
      </x:c>
      <x:c r="E69" s="22" t="n">
        <x:f>AVERAGE(C69:D69)</x:f>
        <x:v>0.19572663307189941</x:v>
      </x:c>
      <x:c r="F69" s="24" t="n">
        <x:f>SUM(EXP(-E69*E2_tabla_vida!$X$44)*E2_tabla_vida!$P$44,EXP(-E69*E2_tabla_vida!$X$45)*E2_tabla_vida!$P$45,EXP(-E69*E2_tabla_vida!$X$46)*E2_tabla_vida!$P$46,EXP(-E69*E2_tabla_vida!$X$47)*E2_tabla_vida!$P$47,EXP(-E69*E2_tabla_vida!$X$48)*E2_tabla_vida!$P$48,EXP(-E69*E2_tabla_vida!$X$49)*E2_tabla_vida!$P$49,EXP(-E69*E2_tabla_vida!$X$50)*E2_tabla_vida!$P$50,EXP(-E69*E2_tabla_vida!$X$51)*E2_tabla_vida!$P$51,EXP(-E69*E2_tabla_vida!$X$52)*E2_tabla_vida!$P$52,EXP(-E69*E2_tabla_vida!$X$53)*E2_tabla_vida!$P$53,EXP(-E69*E2_tabla_vida!$X$54)*E2_tabla_vida!$P$54,EXP(-E69*E2_tabla_vida!$X$55)*E2_tabla_vida!$P$55,EXP(-E69*E2_tabla_vida!$X$56)*E2_tabla_vida!$P$56,EXP(-E69*E2_tabla_vida!$X$57)*E2_tabla_vida!$P$57,EXP(-E69*E2_tabla_vida!$X$58)*E2_tabla_vida!$P$58,EXP(-E69*E2_tabla_vida!$X$59)*E2_tabla_vida!$P$59,EXP(-E69*E2_tabla_vida!$X$60)*E2_tabla_vida!$P$60,EXP(-E69*E2_tabla_vida!$X$61)*E2_tabla_vida!$P$61,EXP(-E69*E2_tabla_vida!$X$62)*E2_tabla_vida!$P$62,EXP(-E69*E2_tabla_vida!$X$63)*E2_tabla_vida!$P$63,EXP(-E69*E2_tabla_vida!$X$64)*E2_tabla_vida!$P$64,EXP(-E69*E2_tabla_vida!$X$65)*E2_tabla_vida!$P$65,EXP(-E69*E2_tabla_vida!$X$66)*E2_tabla_vida!$P$66,EXP(-E69*E2_tabla_vida!$X$67)*E2_tabla_vida!$P$67,EXP(-E69*E2_tabla_vida!$X$68)*E2_tabla_vida!$P$68,EXP(-E69*E2_tabla_vida!$X$69)*E2_tabla_vida!$P$69,EXP(-E69*E2_tabla_vida!$X$70)*E2_tabla_vida!$P$70,EXP(-E69*E2_tabla_vida!$X$71)*E2_tabla_vida!$P$71,EXP(-E69*E2_tabla_vida!$X$72)*E2_tabla_vida!$P$72,EXP(-E69*E2_tabla_vida!$X$73)*E2_tabla_vida!$P$73,EXP(-E69*E2_tabla_vida!$X$74)*E2_tabla_vida!$P$74,EXP(-E69*E2_tabla_vida!$X$75)*E2_tabla_vida!$P$75,EXP(-E69*E2_tabla_vida!$X$76)*E2_tabla_vida!$P$76,EXP(-E69*E2_tabla_vida!$X$77)*E2_tabla_vida!$P$77,EXP(-E69*E2_tabla_vida!$X$78)*E2_tabla_vida!$P$78,EXP(-E69*E2_tabla_vida!$X$79)*E2_tabla_vida!$P$79,EXP(-E69*E2_tabla_vida!$X$80)*E2_tabla_vida!$P$80,EXP(-E69*E2_tabla_vida!$X$81)*E2_tabla_vida!$P$81,EXP(-E69*E2_tabla_vida!$X$82)*E2_tabla_vida!$P$82,EXP(-E69*E2_tabla_vida!$X$83)*E2_tabla_vida!$P$83,EXP(-E69*E2_tabla_vida!$X$84)*E2_tabla_vida!$P$84,EXP(-E69*E2_tabla_vida!$X$85)*E2_tabla_vida!$P$85)-1</x:f>
        <x:v>-0.000008067845277626162</x:v>
      </x:c>
      <x:c r="G69" s="24" t="n">
        <x:f>SUM(EXP(-C69*E2_tabla_vida!$X$44)*E2_tabla_vida!$P$44,EXP(-C69*E2_tabla_vida!$X$45)*E2_tabla_vida!$P$45,EXP(-C69*E2_tabla_vida!$X$46)*E2_tabla_vida!$P$46,EXP(-C69*E2_tabla_vida!$X$47)*E2_tabla_vida!$P$47,EXP(-C69*E2_tabla_vida!$X$48)*E2_tabla_vida!$P$48,EXP(-C69*E2_tabla_vida!$X$49)*E2_tabla_vida!$P$49,EXP(-C69*E2_tabla_vida!$X$50)*E2_tabla_vida!$P$50,EXP(-C69*E2_tabla_vida!$X$51)*E2_tabla_vida!$P$51,EXP(-C69*E2_tabla_vida!$X$52)*E2_tabla_vida!$P$52,EXP(-C69*E2_tabla_vida!$X$53)*E2_tabla_vida!$P$53,EXP(-C69*E2_tabla_vida!$X$54)*E2_tabla_vida!$P$54,EXP(-C69*E2_tabla_vida!$X$55)*E2_tabla_vida!$P$55,EXP(-C69*E2_tabla_vida!$X$56)*E2_tabla_vida!$P$56,EXP(-C69*E2_tabla_vida!$X$57)*E2_tabla_vida!$P$57,EXP(-C69*E2_tabla_vida!$X$58)*E2_tabla_vida!$P$58,EXP(-C69*E2_tabla_vida!$X$59)*E2_tabla_vida!$P$59,EXP(-C69*E2_tabla_vida!$X$60)*E2_tabla_vida!$P$60,EXP(-C69*E2_tabla_vida!$X$61)*E2_tabla_vida!$P$61,EXP(-C69*E2_tabla_vida!$X$62)*E2_tabla_vida!$P$62,EXP(-C69*E2_tabla_vida!$X$63)*E2_tabla_vida!$P$63,EXP(-C69*E2_tabla_vida!$X$64)*E2_tabla_vida!$P$64,EXP(-C69*E2_tabla_vida!$X$65)*E2_tabla_vida!$P$65,EXP(-C69*E2_tabla_vida!$X$66)*E2_tabla_vida!$P$66,EXP(-C69*E2_tabla_vida!$X$67)*E2_tabla_vida!$P$67,EXP(-C69*E2_tabla_vida!$X$68)*E2_tabla_vida!$P$68,EXP(-C69*E2_tabla_vida!$X$69)*E2_tabla_vida!$P$69,EXP(-C69*E2_tabla_vida!$X$70)*E2_tabla_vida!$P$70,EXP(-C69*E2_tabla_vida!$X$71)*E2_tabla_vida!$P$71,EXP(-C69*E2_tabla_vida!$X$72)*E2_tabla_vida!$P$72,EXP(-C69*E2_tabla_vida!$X$73)*E2_tabla_vida!$P$73,EXP(-C69*E2_tabla_vida!$X$74)*E2_tabla_vida!$P$74,EXP(-C69*E2_tabla_vida!$X$75)*E2_tabla_vida!$P$75,EXP(-C69*E2_tabla_vida!$X$76)*E2_tabla_vida!$P$76,EXP(-C69*E2_tabla_vida!$X$77)*E2_tabla_vida!$P$77,EXP(-C69*E2_tabla_vida!$X$78)*E2_tabla_vida!$P$78,EXP(-C69*E2_tabla_vida!$X$79)*E2_tabla_vida!$P$79,EXP(-C69*E2_tabla_vida!$X$80)*E2_tabla_vida!$P$80,EXP(-C69*E2_tabla_vida!$X$81)*E2_tabla_vida!$P$81,EXP(-C69*E2_tabla_vida!$X$82)*E2_tabla_vida!$P$82,EXP(-C69*E2_tabla_vida!$X$83)*E2_tabla_vida!$P$83,EXP(-C69*E2_tabla_vida!$X$84)*E2_tabla_vida!$P$84,EXP(-C69*E2_tabla_vida!$X$85)*E2_tabla_vida!$P$85)-1</x:f>
        <x:v>0.0000031387942645011435</x:v>
      </x:c>
      <x:c r="H69" s="24" t="n">
        <x:f>SUM(EXP(-D69*E2_tabla_vida!$X$44)*E2_tabla_vida!$P$44,EXP(-D69*E2_tabla_vida!$X$45)*E2_tabla_vida!$P$45,EXP(-D69*E2_tabla_vida!$X$46)*E2_tabla_vida!$P$46,EXP(-D69*E2_tabla_vida!$X$47)*E2_tabla_vida!$P$47,EXP(-D69*E2_tabla_vida!$X$48)*E2_tabla_vida!$P$48,EXP(-D69*E2_tabla_vida!$X$49)*E2_tabla_vida!$P$49,EXP(-D69*E2_tabla_vida!$X$50)*E2_tabla_vida!$P$50,EXP(-D69*E2_tabla_vida!$X$51)*E2_tabla_vida!$P$51,EXP(-D69*E2_tabla_vida!$X$52)*E2_tabla_vida!$P$52,EXP(-D69*E2_tabla_vida!$X$53)*E2_tabla_vida!$P$53,EXP(-D69*E2_tabla_vida!$X$54)*E2_tabla_vida!$P$54,EXP(-D69*E2_tabla_vida!$X$55)*E2_tabla_vida!$P$55,EXP(-D69*E2_tabla_vida!$X$56)*E2_tabla_vida!$P$56,EXP(-D69*E2_tabla_vida!$X$57)*E2_tabla_vida!$P$57,EXP(-D69*E2_tabla_vida!$X$58)*E2_tabla_vida!$P$58,EXP(-D69*E2_tabla_vida!$X$59)*E2_tabla_vida!$P$59,EXP(-D69*E2_tabla_vida!$X$60)*E2_tabla_vida!$P$60,EXP(-D69*E2_tabla_vida!$X$61)*E2_tabla_vida!$P$61,EXP(-D69*E2_tabla_vida!$X$62)*E2_tabla_vida!$P$62,EXP(-D69*E2_tabla_vida!$X$63)*E2_tabla_vida!$P$63,EXP(-D69*E2_tabla_vida!$X$64)*E2_tabla_vida!$P$64,EXP(-D69*E2_tabla_vida!$X$65)*E2_tabla_vida!$P$65,EXP(-D69*E2_tabla_vida!$X$66)*E2_tabla_vida!$P$66,EXP(-D69*E2_tabla_vida!$X$67)*E2_tabla_vida!$P$67,EXP(-D69*E2_tabla_vida!$X$68)*E2_tabla_vida!$P$68,EXP(-D69*E2_tabla_vida!$X$69)*E2_tabla_vida!$P$69,EXP(-D69*E2_tabla_vida!$X$70)*E2_tabla_vida!$P$70,EXP(-D69*E2_tabla_vida!$X$71)*E2_tabla_vida!$P$71,EXP(-D69*E2_tabla_vida!$X$72)*E2_tabla_vida!$P$72,EXP(-D69*E2_tabla_vida!$X$73)*E2_tabla_vida!$P$73,EXP(-D69*E2_tabla_vida!$X$74)*E2_tabla_vida!$P$74,EXP(-D69*E2_tabla_vida!$X$75)*E2_tabla_vida!$P$75,EXP(-D69*E2_tabla_vida!$X$76)*E2_tabla_vida!$P$76,EXP(-D69*E2_tabla_vida!$X$77)*E2_tabla_vida!$P$77,EXP(-D69*E2_tabla_vida!$X$78)*E2_tabla_vida!$P$78,EXP(-D69*E2_tabla_vida!$X$79)*E2_tabla_vida!$P$79,EXP(-D69*E2_tabla_vida!$X$80)*E2_tabla_vida!$P$80,EXP(-D69*E2_tabla_vida!$X$81)*E2_tabla_vida!$P$81,EXP(-D69*E2_tabla_vida!$X$82)*E2_tabla_vida!$P$82,EXP(-D69*E2_tabla_vida!$X$83)*E2_tabla_vida!$P$83,EXP(-D69*E2_tabla_vida!$X$84)*E2_tabla_vida!$P$84,EXP(-D69*E2_tabla_vida!$X$85)*E2_tabla_vida!$P$85)-1</x:f>
        <x:v>-0.000019274352498710456</x:v>
      </x:c>
    </x:row>
    <x:row r="70" ht="19" customHeight="1">
      <x:c r="A70" s="2" t="str">
        <x:v>MP_L8</x:v>
      </x:c>
      <x:c r="B70" s="2" t="n">
        <x:v>22</x:v>
      </x:c>
      <x:c r="C70" s="22" t="n">
        <x:f>IF(F69&gt;0,E69,C69)</x:f>
        <x:v>0.1957259178161621</x:v>
      </x:c>
      <x:c r="D70" s="22" t="n">
        <x:f>IF(F69&gt;0,D69,E69)</x:f>
        <x:v>0.19572663307189941</x:v>
      </x:c>
      <x:c r="E70" s="22" t="n">
        <x:f>AVERAGE(C70:D70)</x:f>
        <x:v>0.19572627544403076</x:v>
      </x:c>
      <x:c r="F70" s="24" t="n">
        <x:f>SUM(EXP(-E70*E2_tabla_vida!$X$44)*E2_tabla_vida!$P$44,EXP(-E70*E2_tabla_vida!$X$45)*E2_tabla_vida!$P$45,EXP(-E70*E2_tabla_vida!$X$46)*E2_tabla_vida!$P$46,EXP(-E70*E2_tabla_vida!$X$47)*E2_tabla_vida!$P$47,EXP(-E70*E2_tabla_vida!$X$48)*E2_tabla_vida!$P$48,EXP(-E70*E2_tabla_vida!$X$49)*E2_tabla_vida!$P$49,EXP(-E70*E2_tabla_vida!$X$50)*E2_tabla_vida!$P$50,EXP(-E70*E2_tabla_vida!$X$51)*E2_tabla_vida!$P$51,EXP(-E70*E2_tabla_vida!$X$52)*E2_tabla_vida!$P$52,EXP(-E70*E2_tabla_vida!$X$53)*E2_tabla_vida!$P$53,EXP(-E70*E2_tabla_vida!$X$54)*E2_tabla_vida!$P$54,EXP(-E70*E2_tabla_vida!$X$55)*E2_tabla_vida!$P$55,EXP(-E70*E2_tabla_vida!$X$56)*E2_tabla_vida!$P$56,EXP(-E70*E2_tabla_vida!$X$57)*E2_tabla_vida!$P$57,EXP(-E70*E2_tabla_vida!$X$58)*E2_tabla_vida!$P$58,EXP(-E70*E2_tabla_vida!$X$59)*E2_tabla_vida!$P$59,EXP(-E70*E2_tabla_vida!$X$60)*E2_tabla_vida!$P$60,EXP(-E70*E2_tabla_vida!$X$61)*E2_tabla_vida!$P$61,EXP(-E70*E2_tabla_vida!$X$62)*E2_tabla_vida!$P$62,EXP(-E70*E2_tabla_vida!$X$63)*E2_tabla_vida!$P$63,EXP(-E70*E2_tabla_vida!$X$64)*E2_tabla_vida!$P$64,EXP(-E70*E2_tabla_vida!$X$65)*E2_tabla_vida!$P$65,EXP(-E70*E2_tabla_vida!$X$66)*E2_tabla_vida!$P$66,EXP(-E70*E2_tabla_vida!$X$67)*E2_tabla_vida!$P$67,EXP(-E70*E2_tabla_vida!$X$68)*E2_tabla_vida!$P$68,EXP(-E70*E2_tabla_vida!$X$69)*E2_tabla_vida!$P$69,EXP(-E70*E2_tabla_vida!$X$70)*E2_tabla_vida!$P$70,EXP(-E70*E2_tabla_vida!$X$71)*E2_tabla_vida!$P$71,EXP(-E70*E2_tabla_vida!$X$72)*E2_tabla_vida!$P$72,EXP(-E70*E2_tabla_vida!$X$73)*E2_tabla_vida!$P$73,EXP(-E70*E2_tabla_vida!$X$74)*E2_tabla_vida!$P$74,EXP(-E70*E2_tabla_vida!$X$75)*E2_tabla_vida!$P$75,EXP(-E70*E2_tabla_vida!$X$76)*E2_tabla_vida!$P$76,EXP(-E70*E2_tabla_vida!$X$77)*E2_tabla_vida!$P$77,EXP(-E70*E2_tabla_vida!$X$78)*E2_tabla_vida!$P$78,EXP(-E70*E2_tabla_vida!$X$79)*E2_tabla_vida!$P$79,EXP(-E70*E2_tabla_vida!$X$80)*E2_tabla_vida!$P$80,EXP(-E70*E2_tabla_vida!$X$81)*E2_tabla_vida!$P$81,EXP(-E70*E2_tabla_vida!$X$82)*E2_tabla_vida!$P$82,EXP(-E70*E2_tabla_vida!$X$83)*E2_tabla_vida!$P$83,EXP(-E70*E2_tabla_vida!$X$84)*E2_tabla_vida!$P$84,EXP(-E70*E2_tabla_vida!$X$85)*E2_tabla_vida!$P$85)-1</x:f>
        <x:v>-0.000002464542046887175</x:v>
      </x:c>
      <x:c r="G70" s="24" t="n">
        <x:f>SUM(EXP(-C70*E2_tabla_vida!$X$44)*E2_tabla_vida!$P$44,EXP(-C70*E2_tabla_vida!$X$45)*E2_tabla_vida!$P$45,EXP(-C70*E2_tabla_vida!$X$46)*E2_tabla_vida!$P$46,EXP(-C70*E2_tabla_vida!$X$47)*E2_tabla_vida!$P$47,EXP(-C70*E2_tabla_vida!$X$48)*E2_tabla_vida!$P$48,EXP(-C70*E2_tabla_vida!$X$49)*E2_tabla_vida!$P$49,EXP(-C70*E2_tabla_vida!$X$50)*E2_tabla_vida!$P$50,EXP(-C70*E2_tabla_vida!$X$51)*E2_tabla_vida!$P$51,EXP(-C70*E2_tabla_vida!$X$52)*E2_tabla_vida!$P$52,EXP(-C70*E2_tabla_vida!$X$53)*E2_tabla_vida!$P$53,EXP(-C70*E2_tabla_vida!$X$54)*E2_tabla_vida!$P$54,EXP(-C70*E2_tabla_vida!$X$55)*E2_tabla_vida!$P$55,EXP(-C70*E2_tabla_vida!$X$56)*E2_tabla_vida!$P$56,EXP(-C70*E2_tabla_vida!$X$57)*E2_tabla_vida!$P$57,EXP(-C70*E2_tabla_vida!$X$58)*E2_tabla_vida!$P$58,EXP(-C70*E2_tabla_vida!$X$59)*E2_tabla_vida!$P$59,EXP(-C70*E2_tabla_vida!$X$60)*E2_tabla_vida!$P$60,EXP(-C70*E2_tabla_vida!$X$61)*E2_tabla_vida!$P$61,EXP(-C70*E2_tabla_vida!$X$62)*E2_tabla_vida!$P$62,EXP(-C70*E2_tabla_vida!$X$63)*E2_tabla_vida!$P$63,EXP(-C70*E2_tabla_vida!$X$64)*E2_tabla_vida!$P$64,EXP(-C70*E2_tabla_vida!$X$65)*E2_tabla_vida!$P$65,EXP(-C70*E2_tabla_vida!$X$66)*E2_tabla_vida!$P$66,EXP(-C70*E2_tabla_vida!$X$67)*E2_tabla_vida!$P$67,EXP(-C70*E2_tabla_vida!$X$68)*E2_tabla_vida!$P$68,EXP(-C70*E2_tabla_vida!$X$69)*E2_tabla_vida!$P$69,EXP(-C70*E2_tabla_vida!$X$70)*E2_tabla_vida!$P$70,EXP(-C70*E2_tabla_vida!$X$71)*E2_tabla_vida!$P$71,EXP(-C70*E2_tabla_vida!$X$72)*E2_tabla_vida!$P$72,EXP(-C70*E2_tabla_vida!$X$73)*E2_tabla_vida!$P$73,EXP(-C70*E2_tabla_vida!$X$74)*E2_tabla_vida!$P$74,EXP(-C70*E2_tabla_vida!$X$75)*E2_tabla_vida!$P$75,EXP(-C70*E2_tabla_vida!$X$76)*E2_tabla_vida!$P$76,EXP(-C70*E2_tabla_vida!$X$77)*E2_tabla_vida!$P$77,EXP(-C70*E2_tabla_vida!$X$78)*E2_tabla_vida!$P$78,EXP(-C70*E2_tabla_vida!$X$79)*E2_tabla_vida!$P$79,EXP(-C70*E2_tabla_vida!$X$80)*E2_tabla_vida!$P$80,EXP(-C70*E2_tabla_vida!$X$81)*E2_tabla_vida!$P$81,EXP(-C70*E2_tabla_vida!$X$82)*E2_tabla_vida!$P$82,EXP(-C70*E2_tabla_vida!$X$83)*E2_tabla_vida!$P$83,EXP(-C70*E2_tabla_vida!$X$84)*E2_tabla_vida!$P$84,EXP(-C70*E2_tabla_vida!$X$85)*E2_tabla_vida!$P$85)-1</x:f>
        <x:v>0.0000031387942645011435</x:v>
      </x:c>
      <x:c r="H70" s="24" t="n">
        <x:f>SUM(EXP(-D70*E2_tabla_vida!$X$44)*E2_tabla_vida!$P$44,EXP(-D70*E2_tabla_vida!$X$45)*E2_tabla_vida!$P$45,EXP(-D70*E2_tabla_vida!$X$46)*E2_tabla_vida!$P$46,EXP(-D70*E2_tabla_vida!$X$47)*E2_tabla_vida!$P$47,EXP(-D70*E2_tabla_vida!$X$48)*E2_tabla_vida!$P$48,EXP(-D70*E2_tabla_vida!$X$49)*E2_tabla_vida!$P$49,EXP(-D70*E2_tabla_vida!$X$50)*E2_tabla_vida!$P$50,EXP(-D70*E2_tabla_vida!$X$51)*E2_tabla_vida!$P$51,EXP(-D70*E2_tabla_vida!$X$52)*E2_tabla_vida!$P$52,EXP(-D70*E2_tabla_vida!$X$53)*E2_tabla_vida!$P$53,EXP(-D70*E2_tabla_vida!$X$54)*E2_tabla_vida!$P$54,EXP(-D70*E2_tabla_vida!$X$55)*E2_tabla_vida!$P$55,EXP(-D70*E2_tabla_vida!$X$56)*E2_tabla_vida!$P$56,EXP(-D70*E2_tabla_vida!$X$57)*E2_tabla_vida!$P$57,EXP(-D70*E2_tabla_vida!$X$58)*E2_tabla_vida!$P$58,EXP(-D70*E2_tabla_vida!$X$59)*E2_tabla_vida!$P$59,EXP(-D70*E2_tabla_vida!$X$60)*E2_tabla_vida!$P$60,EXP(-D70*E2_tabla_vida!$X$61)*E2_tabla_vida!$P$61,EXP(-D70*E2_tabla_vida!$X$62)*E2_tabla_vida!$P$62,EXP(-D70*E2_tabla_vida!$X$63)*E2_tabla_vida!$P$63,EXP(-D70*E2_tabla_vida!$X$64)*E2_tabla_vida!$P$64,EXP(-D70*E2_tabla_vida!$X$65)*E2_tabla_vida!$P$65,EXP(-D70*E2_tabla_vida!$X$66)*E2_tabla_vida!$P$66,EXP(-D70*E2_tabla_vida!$X$67)*E2_tabla_vida!$P$67,EXP(-D70*E2_tabla_vida!$X$68)*E2_tabla_vida!$P$68,EXP(-D70*E2_tabla_vida!$X$69)*E2_tabla_vida!$P$69,EXP(-D70*E2_tabla_vida!$X$70)*E2_tabla_vida!$P$70,EXP(-D70*E2_tabla_vida!$X$71)*E2_tabla_vida!$P$71,EXP(-D70*E2_tabla_vida!$X$72)*E2_tabla_vida!$P$72,EXP(-D70*E2_tabla_vida!$X$73)*E2_tabla_vida!$P$73,EXP(-D70*E2_tabla_vida!$X$74)*E2_tabla_vida!$P$74,EXP(-D70*E2_tabla_vida!$X$75)*E2_tabla_vida!$P$75,EXP(-D70*E2_tabla_vida!$X$76)*E2_tabla_vida!$P$76,EXP(-D70*E2_tabla_vida!$X$77)*E2_tabla_vida!$P$77,EXP(-D70*E2_tabla_vida!$X$78)*E2_tabla_vida!$P$78,EXP(-D70*E2_tabla_vida!$X$79)*E2_tabla_vida!$P$79,EXP(-D70*E2_tabla_vida!$X$80)*E2_tabla_vida!$P$80,EXP(-D70*E2_tabla_vida!$X$81)*E2_tabla_vida!$P$81,EXP(-D70*E2_tabla_vida!$X$82)*E2_tabla_vida!$P$82,EXP(-D70*E2_tabla_vida!$X$83)*E2_tabla_vida!$P$83,EXP(-D70*E2_tabla_vida!$X$84)*E2_tabla_vida!$P$84,EXP(-D70*E2_tabla_vida!$X$85)*E2_tabla_vida!$P$85)-1</x:f>
        <x:v>-0.000008067845277626162</x:v>
      </x:c>
    </x:row>
    <x:row r="71" ht="19" customHeight="1">
      <x:c r="A71" s="2" t="str">
        <x:v>MP_L8</x:v>
      </x:c>
      <x:c r="B71" s="2" t="n">
        <x:v>23</x:v>
      </x:c>
      <x:c r="C71" s="22" t="n">
        <x:f>IF(F70&gt;0,E70,C70)</x:f>
        <x:v>0.1957259178161621</x:v>
      </x:c>
      <x:c r="D71" s="22" t="n">
        <x:f>IF(F70&gt;0,D70,E70)</x:f>
        <x:v>0.19572627544403076</x:v>
      </x:c>
      <x:c r="E71" s="22" t="n">
        <x:f>AVERAGE(C71:D71)</x:f>
        <x:v>0.19572609663009644</x:v>
      </x:c>
      <x:c r="F71" s="24" t="n">
        <x:f>SUM(EXP(-E71*E2_tabla_vida!$X$44)*E2_tabla_vida!$P$44,EXP(-E71*E2_tabla_vida!$X$45)*E2_tabla_vida!$P$45,EXP(-E71*E2_tabla_vida!$X$46)*E2_tabla_vida!$P$46,EXP(-E71*E2_tabla_vida!$X$47)*E2_tabla_vida!$P$47,EXP(-E71*E2_tabla_vida!$X$48)*E2_tabla_vida!$P$48,EXP(-E71*E2_tabla_vida!$X$49)*E2_tabla_vida!$P$49,EXP(-E71*E2_tabla_vida!$X$50)*E2_tabla_vida!$P$50,EXP(-E71*E2_tabla_vida!$X$51)*E2_tabla_vida!$P$51,EXP(-E71*E2_tabla_vida!$X$52)*E2_tabla_vida!$P$52,EXP(-E71*E2_tabla_vida!$X$53)*E2_tabla_vida!$P$53,EXP(-E71*E2_tabla_vida!$X$54)*E2_tabla_vida!$P$54,EXP(-E71*E2_tabla_vida!$X$55)*E2_tabla_vida!$P$55,EXP(-E71*E2_tabla_vida!$X$56)*E2_tabla_vida!$P$56,EXP(-E71*E2_tabla_vida!$X$57)*E2_tabla_vida!$P$57,EXP(-E71*E2_tabla_vida!$X$58)*E2_tabla_vida!$P$58,EXP(-E71*E2_tabla_vida!$X$59)*E2_tabla_vida!$P$59,EXP(-E71*E2_tabla_vida!$X$60)*E2_tabla_vida!$P$60,EXP(-E71*E2_tabla_vida!$X$61)*E2_tabla_vida!$P$61,EXP(-E71*E2_tabla_vida!$X$62)*E2_tabla_vida!$P$62,EXP(-E71*E2_tabla_vida!$X$63)*E2_tabla_vida!$P$63,EXP(-E71*E2_tabla_vida!$X$64)*E2_tabla_vida!$P$64,EXP(-E71*E2_tabla_vida!$X$65)*E2_tabla_vida!$P$65,EXP(-E71*E2_tabla_vida!$X$66)*E2_tabla_vida!$P$66,EXP(-E71*E2_tabla_vida!$X$67)*E2_tabla_vida!$P$67,EXP(-E71*E2_tabla_vida!$X$68)*E2_tabla_vida!$P$68,EXP(-E71*E2_tabla_vida!$X$69)*E2_tabla_vida!$P$69,EXP(-E71*E2_tabla_vida!$X$70)*E2_tabla_vida!$P$70,EXP(-E71*E2_tabla_vida!$X$71)*E2_tabla_vida!$P$71,EXP(-E71*E2_tabla_vida!$X$72)*E2_tabla_vida!$P$72,EXP(-E71*E2_tabla_vida!$X$73)*E2_tabla_vida!$P$73,EXP(-E71*E2_tabla_vida!$X$74)*E2_tabla_vida!$P$74,EXP(-E71*E2_tabla_vida!$X$75)*E2_tabla_vida!$P$75,EXP(-E71*E2_tabla_vida!$X$76)*E2_tabla_vida!$P$76,EXP(-E71*E2_tabla_vida!$X$77)*E2_tabla_vida!$P$77,EXP(-E71*E2_tabla_vida!$X$78)*E2_tabla_vida!$P$78,EXP(-E71*E2_tabla_vida!$X$79)*E2_tabla_vida!$P$79,EXP(-E71*E2_tabla_vida!$X$80)*E2_tabla_vida!$P$80,EXP(-E71*E2_tabla_vida!$X$81)*E2_tabla_vida!$P$81,EXP(-E71*E2_tabla_vida!$X$82)*E2_tabla_vida!$P$82,EXP(-E71*E2_tabla_vida!$X$83)*E2_tabla_vida!$P$83,EXP(-E71*E2_tabla_vida!$X$84)*E2_tabla_vida!$P$84,EXP(-E71*E2_tabla_vida!$X$85)*E2_tabla_vida!$P$85)-1</x:f>
        <x:v>3.3712197389235143e-7</x:v>
      </x:c>
      <x:c r="G71" s="24" t="n">
        <x:f>SUM(EXP(-C71*E2_tabla_vida!$X$44)*E2_tabla_vida!$P$44,EXP(-C71*E2_tabla_vida!$X$45)*E2_tabla_vida!$P$45,EXP(-C71*E2_tabla_vida!$X$46)*E2_tabla_vida!$P$46,EXP(-C71*E2_tabla_vida!$X$47)*E2_tabla_vida!$P$47,EXP(-C71*E2_tabla_vida!$X$48)*E2_tabla_vida!$P$48,EXP(-C71*E2_tabla_vida!$X$49)*E2_tabla_vida!$P$49,EXP(-C71*E2_tabla_vida!$X$50)*E2_tabla_vida!$P$50,EXP(-C71*E2_tabla_vida!$X$51)*E2_tabla_vida!$P$51,EXP(-C71*E2_tabla_vida!$X$52)*E2_tabla_vida!$P$52,EXP(-C71*E2_tabla_vida!$X$53)*E2_tabla_vida!$P$53,EXP(-C71*E2_tabla_vida!$X$54)*E2_tabla_vida!$P$54,EXP(-C71*E2_tabla_vida!$X$55)*E2_tabla_vida!$P$55,EXP(-C71*E2_tabla_vida!$X$56)*E2_tabla_vida!$P$56,EXP(-C71*E2_tabla_vida!$X$57)*E2_tabla_vida!$P$57,EXP(-C71*E2_tabla_vida!$X$58)*E2_tabla_vida!$P$58,EXP(-C71*E2_tabla_vida!$X$59)*E2_tabla_vida!$P$59,EXP(-C71*E2_tabla_vida!$X$60)*E2_tabla_vida!$P$60,EXP(-C71*E2_tabla_vida!$X$61)*E2_tabla_vida!$P$61,EXP(-C71*E2_tabla_vida!$X$62)*E2_tabla_vida!$P$62,EXP(-C71*E2_tabla_vida!$X$63)*E2_tabla_vida!$P$63,EXP(-C71*E2_tabla_vida!$X$64)*E2_tabla_vida!$P$64,EXP(-C71*E2_tabla_vida!$X$65)*E2_tabla_vida!$P$65,EXP(-C71*E2_tabla_vida!$X$66)*E2_tabla_vida!$P$66,EXP(-C71*E2_tabla_vida!$X$67)*E2_tabla_vida!$P$67,EXP(-C71*E2_tabla_vida!$X$68)*E2_tabla_vida!$P$68,EXP(-C71*E2_tabla_vida!$X$69)*E2_tabla_vida!$P$69,EXP(-C71*E2_tabla_vida!$X$70)*E2_tabla_vida!$P$70,EXP(-C71*E2_tabla_vida!$X$71)*E2_tabla_vida!$P$71,EXP(-C71*E2_tabla_vida!$X$72)*E2_tabla_vida!$P$72,EXP(-C71*E2_tabla_vida!$X$73)*E2_tabla_vida!$P$73,EXP(-C71*E2_tabla_vida!$X$74)*E2_tabla_vida!$P$74,EXP(-C71*E2_tabla_vida!$X$75)*E2_tabla_vida!$P$75,EXP(-C71*E2_tabla_vida!$X$76)*E2_tabla_vida!$P$76,EXP(-C71*E2_tabla_vida!$X$77)*E2_tabla_vida!$P$77,EXP(-C71*E2_tabla_vida!$X$78)*E2_tabla_vida!$P$78,EXP(-C71*E2_tabla_vida!$X$79)*E2_tabla_vida!$P$79,EXP(-C71*E2_tabla_vida!$X$80)*E2_tabla_vida!$P$80,EXP(-C71*E2_tabla_vida!$X$81)*E2_tabla_vida!$P$81,EXP(-C71*E2_tabla_vida!$X$82)*E2_tabla_vida!$P$82,EXP(-C71*E2_tabla_vida!$X$83)*E2_tabla_vida!$P$83,EXP(-C71*E2_tabla_vida!$X$84)*E2_tabla_vida!$P$84,EXP(-C71*E2_tabla_vida!$X$85)*E2_tabla_vida!$P$85)-1</x:f>
        <x:v>0.0000031387942645011435</x:v>
      </x:c>
      <x:c r="H71" s="24" t="n">
        <x:f>SUM(EXP(-D71*E2_tabla_vida!$X$44)*E2_tabla_vida!$P$44,EXP(-D71*E2_tabla_vida!$X$45)*E2_tabla_vida!$P$45,EXP(-D71*E2_tabla_vida!$X$46)*E2_tabla_vida!$P$46,EXP(-D71*E2_tabla_vida!$X$47)*E2_tabla_vida!$P$47,EXP(-D71*E2_tabla_vida!$X$48)*E2_tabla_vida!$P$48,EXP(-D71*E2_tabla_vida!$X$49)*E2_tabla_vida!$P$49,EXP(-D71*E2_tabla_vida!$X$50)*E2_tabla_vida!$P$50,EXP(-D71*E2_tabla_vida!$X$51)*E2_tabla_vida!$P$51,EXP(-D71*E2_tabla_vida!$X$52)*E2_tabla_vida!$P$52,EXP(-D71*E2_tabla_vida!$X$53)*E2_tabla_vida!$P$53,EXP(-D71*E2_tabla_vida!$X$54)*E2_tabla_vida!$P$54,EXP(-D71*E2_tabla_vida!$X$55)*E2_tabla_vida!$P$55,EXP(-D71*E2_tabla_vida!$X$56)*E2_tabla_vida!$P$56,EXP(-D71*E2_tabla_vida!$X$57)*E2_tabla_vida!$P$57,EXP(-D71*E2_tabla_vida!$X$58)*E2_tabla_vida!$P$58,EXP(-D71*E2_tabla_vida!$X$59)*E2_tabla_vida!$P$59,EXP(-D71*E2_tabla_vida!$X$60)*E2_tabla_vida!$P$60,EXP(-D71*E2_tabla_vida!$X$61)*E2_tabla_vida!$P$61,EXP(-D71*E2_tabla_vida!$X$62)*E2_tabla_vida!$P$62,EXP(-D71*E2_tabla_vida!$X$63)*E2_tabla_vida!$P$63,EXP(-D71*E2_tabla_vida!$X$64)*E2_tabla_vida!$P$64,EXP(-D71*E2_tabla_vida!$X$65)*E2_tabla_vida!$P$65,EXP(-D71*E2_tabla_vida!$X$66)*E2_tabla_vida!$P$66,EXP(-D71*E2_tabla_vida!$X$67)*E2_tabla_vida!$P$67,EXP(-D71*E2_tabla_vida!$X$68)*E2_tabla_vida!$P$68,EXP(-D71*E2_tabla_vida!$X$69)*E2_tabla_vida!$P$69,EXP(-D71*E2_tabla_vida!$X$70)*E2_tabla_vida!$P$70,EXP(-D71*E2_tabla_vida!$X$71)*E2_tabla_vida!$P$71,EXP(-D71*E2_tabla_vida!$X$72)*E2_tabla_vida!$P$72,EXP(-D71*E2_tabla_vida!$X$73)*E2_tabla_vida!$P$73,EXP(-D71*E2_tabla_vida!$X$74)*E2_tabla_vida!$P$74,EXP(-D71*E2_tabla_vida!$X$75)*E2_tabla_vida!$P$75,EXP(-D71*E2_tabla_vida!$X$76)*E2_tabla_vida!$P$76,EXP(-D71*E2_tabla_vida!$X$77)*E2_tabla_vida!$P$77,EXP(-D71*E2_tabla_vida!$X$78)*E2_tabla_vida!$P$78,EXP(-D71*E2_tabla_vida!$X$79)*E2_tabla_vida!$P$79,EXP(-D71*E2_tabla_vida!$X$80)*E2_tabla_vida!$P$80,EXP(-D71*E2_tabla_vida!$X$81)*E2_tabla_vida!$P$81,EXP(-D71*E2_tabla_vida!$X$82)*E2_tabla_vida!$P$82,EXP(-D71*E2_tabla_vida!$X$83)*E2_tabla_vida!$P$83,EXP(-D71*E2_tabla_vida!$X$84)*E2_tabla_vida!$P$84,EXP(-D71*E2_tabla_vida!$X$85)*E2_tabla_vida!$P$85)-1</x:f>
        <x:v>-0.000002464542046887175</x:v>
      </x:c>
    </x:row>
    <x:row r="72" ht="19" customHeight="1">
      <x:c r="A72" s="2" t="str">
        <x:v>MP_L8</x:v>
      </x:c>
      <x:c r="B72" s="2" t="n">
        <x:v>24</x:v>
      </x:c>
      <x:c r="C72" s="22" t="n">
        <x:f>IF(F71&gt;0,E71,C71)</x:f>
        <x:v>0.19572609663009644</x:v>
      </x:c>
      <x:c r="D72" s="22" t="n">
        <x:f>IF(F71&gt;0,D71,E71)</x:f>
        <x:v>0.19572627544403076</x:v>
      </x:c>
      <x:c r="E72" s="22" t="n">
        <x:f>AVERAGE(C72:D72)</x:f>
        <x:v>0.1957261860370636</x:v>
      </x:c>
      <x:c r="F72" s="24" t="n">
        <x:f>SUM(EXP(-E72*E2_tabla_vida!$X$44)*E2_tabla_vida!$P$44,EXP(-E72*E2_tabla_vida!$X$45)*E2_tabla_vida!$P$45,EXP(-E72*E2_tabla_vida!$X$46)*E2_tabla_vida!$P$46,EXP(-E72*E2_tabla_vida!$X$47)*E2_tabla_vida!$P$47,EXP(-E72*E2_tabla_vida!$X$48)*E2_tabla_vida!$P$48,EXP(-E72*E2_tabla_vida!$X$49)*E2_tabla_vida!$P$49,EXP(-E72*E2_tabla_vida!$X$50)*E2_tabla_vida!$P$50,EXP(-E72*E2_tabla_vida!$X$51)*E2_tabla_vida!$P$51,EXP(-E72*E2_tabla_vida!$X$52)*E2_tabla_vida!$P$52,EXP(-E72*E2_tabla_vida!$X$53)*E2_tabla_vida!$P$53,EXP(-E72*E2_tabla_vida!$X$54)*E2_tabla_vida!$P$54,EXP(-E72*E2_tabla_vida!$X$55)*E2_tabla_vida!$P$55,EXP(-E72*E2_tabla_vida!$X$56)*E2_tabla_vida!$P$56,EXP(-E72*E2_tabla_vida!$X$57)*E2_tabla_vida!$P$57,EXP(-E72*E2_tabla_vida!$X$58)*E2_tabla_vida!$P$58,EXP(-E72*E2_tabla_vida!$X$59)*E2_tabla_vida!$P$59,EXP(-E72*E2_tabla_vida!$X$60)*E2_tabla_vida!$P$60,EXP(-E72*E2_tabla_vida!$X$61)*E2_tabla_vida!$P$61,EXP(-E72*E2_tabla_vida!$X$62)*E2_tabla_vida!$P$62,EXP(-E72*E2_tabla_vida!$X$63)*E2_tabla_vida!$P$63,EXP(-E72*E2_tabla_vida!$X$64)*E2_tabla_vida!$P$64,EXP(-E72*E2_tabla_vida!$X$65)*E2_tabla_vida!$P$65,EXP(-E72*E2_tabla_vida!$X$66)*E2_tabla_vida!$P$66,EXP(-E72*E2_tabla_vida!$X$67)*E2_tabla_vida!$P$67,EXP(-E72*E2_tabla_vida!$X$68)*E2_tabla_vida!$P$68,EXP(-E72*E2_tabla_vida!$X$69)*E2_tabla_vida!$P$69,EXP(-E72*E2_tabla_vida!$X$70)*E2_tabla_vida!$P$70,EXP(-E72*E2_tabla_vida!$X$71)*E2_tabla_vida!$P$71,EXP(-E72*E2_tabla_vida!$X$72)*E2_tabla_vida!$P$72,EXP(-E72*E2_tabla_vida!$X$73)*E2_tabla_vida!$P$73,EXP(-E72*E2_tabla_vida!$X$74)*E2_tabla_vida!$P$74,EXP(-E72*E2_tabla_vida!$X$75)*E2_tabla_vida!$P$75,EXP(-E72*E2_tabla_vida!$X$76)*E2_tabla_vida!$P$76,EXP(-E72*E2_tabla_vida!$X$77)*E2_tabla_vida!$P$77,EXP(-E72*E2_tabla_vida!$X$78)*E2_tabla_vida!$P$78,EXP(-E72*E2_tabla_vida!$X$79)*E2_tabla_vida!$P$79,EXP(-E72*E2_tabla_vida!$X$80)*E2_tabla_vida!$P$80,EXP(-E72*E2_tabla_vida!$X$81)*E2_tabla_vida!$P$81,EXP(-E72*E2_tabla_vida!$X$82)*E2_tabla_vida!$P$82,EXP(-E72*E2_tabla_vida!$X$83)*E2_tabla_vida!$P$83,EXP(-E72*E2_tabla_vida!$X$84)*E2_tabla_vida!$P$84,EXP(-E72*E2_tabla_vida!$X$85)*E2_tabla_vida!$P$85)-1</x:f>
        <x:v>-0.0000010637110703370922</x:v>
      </x:c>
      <x:c r="G72" s="24" t="n">
        <x:f>SUM(EXP(-C72*E2_tabla_vida!$X$44)*E2_tabla_vida!$P$44,EXP(-C72*E2_tabla_vida!$X$45)*E2_tabla_vida!$P$45,EXP(-C72*E2_tabla_vida!$X$46)*E2_tabla_vida!$P$46,EXP(-C72*E2_tabla_vida!$X$47)*E2_tabla_vida!$P$47,EXP(-C72*E2_tabla_vida!$X$48)*E2_tabla_vida!$P$48,EXP(-C72*E2_tabla_vida!$X$49)*E2_tabla_vida!$P$49,EXP(-C72*E2_tabla_vida!$X$50)*E2_tabla_vida!$P$50,EXP(-C72*E2_tabla_vida!$X$51)*E2_tabla_vida!$P$51,EXP(-C72*E2_tabla_vida!$X$52)*E2_tabla_vida!$P$52,EXP(-C72*E2_tabla_vida!$X$53)*E2_tabla_vida!$P$53,EXP(-C72*E2_tabla_vida!$X$54)*E2_tabla_vida!$P$54,EXP(-C72*E2_tabla_vida!$X$55)*E2_tabla_vida!$P$55,EXP(-C72*E2_tabla_vida!$X$56)*E2_tabla_vida!$P$56,EXP(-C72*E2_tabla_vida!$X$57)*E2_tabla_vida!$P$57,EXP(-C72*E2_tabla_vida!$X$58)*E2_tabla_vida!$P$58,EXP(-C72*E2_tabla_vida!$X$59)*E2_tabla_vida!$P$59,EXP(-C72*E2_tabla_vida!$X$60)*E2_tabla_vida!$P$60,EXP(-C72*E2_tabla_vida!$X$61)*E2_tabla_vida!$P$61,EXP(-C72*E2_tabla_vida!$X$62)*E2_tabla_vida!$P$62,EXP(-C72*E2_tabla_vida!$X$63)*E2_tabla_vida!$P$63,EXP(-C72*E2_tabla_vida!$X$64)*E2_tabla_vida!$P$64,EXP(-C72*E2_tabla_vida!$X$65)*E2_tabla_vida!$P$65,EXP(-C72*E2_tabla_vida!$X$66)*E2_tabla_vida!$P$66,EXP(-C72*E2_tabla_vida!$X$67)*E2_tabla_vida!$P$67,EXP(-C72*E2_tabla_vida!$X$68)*E2_tabla_vida!$P$68,EXP(-C72*E2_tabla_vida!$X$69)*E2_tabla_vida!$P$69,EXP(-C72*E2_tabla_vida!$X$70)*E2_tabla_vida!$P$70,EXP(-C72*E2_tabla_vida!$X$71)*E2_tabla_vida!$P$71,EXP(-C72*E2_tabla_vida!$X$72)*E2_tabla_vida!$P$72,EXP(-C72*E2_tabla_vida!$X$73)*E2_tabla_vida!$P$73,EXP(-C72*E2_tabla_vida!$X$74)*E2_tabla_vida!$P$74,EXP(-C72*E2_tabla_vida!$X$75)*E2_tabla_vida!$P$75,EXP(-C72*E2_tabla_vida!$X$76)*E2_tabla_vida!$P$76,EXP(-C72*E2_tabla_vida!$X$77)*E2_tabla_vida!$P$77,EXP(-C72*E2_tabla_vida!$X$78)*E2_tabla_vida!$P$78,EXP(-C72*E2_tabla_vida!$X$79)*E2_tabla_vida!$P$79,EXP(-C72*E2_tabla_vida!$X$80)*E2_tabla_vida!$P$80,EXP(-C72*E2_tabla_vida!$X$81)*E2_tabla_vida!$P$81,EXP(-C72*E2_tabla_vida!$X$82)*E2_tabla_vida!$P$82,EXP(-C72*E2_tabla_vida!$X$83)*E2_tabla_vida!$P$83,EXP(-C72*E2_tabla_vida!$X$84)*E2_tabla_vida!$P$84,EXP(-C72*E2_tabla_vida!$X$85)*E2_tabla_vida!$P$85)-1</x:f>
        <x:v>3.3712197389235143e-7</x:v>
      </x:c>
      <x:c r="H72" s="24" t="n">
        <x:f>SUM(EXP(-D72*E2_tabla_vida!$X$44)*E2_tabla_vida!$P$44,EXP(-D72*E2_tabla_vida!$X$45)*E2_tabla_vida!$P$45,EXP(-D72*E2_tabla_vida!$X$46)*E2_tabla_vida!$P$46,EXP(-D72*E2_tabla_vida!$X$47)*E2_tabla_vida!$P$47,EXP(-D72*E2_tabla_vida!$X$48)*E2_tabla_vida!$P$48,EXP(-D72*E2_tabla_vida!$X$49)*E2_tabla_vida!$P$49,EXP(-D72*E2_tabla_vida!$X$50)*E2_tabla_vida!$P$50,EXP(-D72*E2_tabla_vida!$X$51)*E2_tabla_vida!$P$51,EXP(-D72*E2_tabla_vida!$X$52)*E2_tabla_vida!$P$52,EXP(-D72*E2_tabla_vida!$X$53)*E2_tabla_vida!$P$53,EXP(-D72*E2_tabla_vida!$X$54)*E2_tabla_vida!$P$54,EXP(-D72*E2_tabla_vida!$X$55)*E2_tabla_vida!$P$55,EXP(-D72*E2_tabla_vida!$X$56)*E2_tabla_vida!$P$56,EXP(-D72*E2_tabla_vida!$X$57)*E2_tabla_vida!$P$57,EXP(-D72*E2_tabla_vida!$X$58)*E2_tabla_vida!$P$58,EXP(-D72*E2_tabla_vida!$X$59)*E2_tabla_vida!$P$59,EXP(-D72*E2_tabla_vida!$X$60)*E2_tabla_vida!$P$60,EXP(-D72*E2_tabla_vida!$X$61)*E2_tabla_vida!$P$61,EXP(-D72*E2_tabla_vida!$X$62)*E2_tabla_vida!$P$62,EXP(-D72*E2_tabla_vida!$X$63)*E2_tabla_vida!$P$63,EXP(-D72*E2_tabla_vida!$X$64)*E2_tabla_vida!$P$64,EXP(-D72*E2_tabla_vida!$X$65)*E2_tabla_vida!$P$65,EXP(-D72*E2_tabla_vida!$X$66)*E2_tabla_vida!$P$66,EXP(-D72*E2_tabla_vida!$X$67)*E2_tabla_vida!$P$67,EXP(-D72*E2_tabla_vida!$X$68)*E2_tabla_vida!$P$68,EXP(-D72*E2_tabla_vida!$X$69)*E2_tabla_vida!$P$69,EXP(-D72*E2_tabla_vida!$X$70)*E2_tabla_vida!$P$70,EXP(-D72*E2_tabla_vida!$X$71)*E2_tabla_vida!$P$71,EXP(-D72*E2_tabla_vida!$X$72)*E2_tabla_vida!$P$72,EXP(-D72*E2_tabla_vida!$X$73)*E2_tabla_vida!$P$73,EXP(-D72*E2_tabla_vida!$X$74)*E2_tabla_vida!$P$74,EXP(-D72*E2_tabla_vida!$X$75)*E2_tabla_vida!$P$75,EXP(-D72*E2_tabla_vida!$X$76)*E2_tabla_vida!$P$76,EXP(-D72*E2_tabla_vida!$X$77)*E2_tabla_vida!$P$77,EXP(-D72*E2_tabla_vida!$X$78)*E2_tabla_vida!$P$78,EXP(-D72*E2_tabla_vida!$X$79)*E2_tabla_vida!$P$79,EXP(-D72*E2_tabla_vida!$X$80)*E2_tabla_vida!$P$80,EXP(-D72*E2_tabla_vida!$X$81)*E2_tabla_vida!$P$81,EXP(-D72*E2_tabla_vida!$X$82)*E2_tabla_vida!$P$82,EXP(-D72*E2_tabla_vida!$X$83)*E2_tabla_vida!$P$83,EXP(-D72*E2_tabla_vida!$X$84)*E2_tabla_vida!$P$84,EXP(-D72*E2_tabla_vida!$X$85)*E2_tabla_vida!$P$85)-1</x:f>
        <x:v>-0.000002464542046887175</x:v>
      </x:c>
    </x:row>
    <x:row r="73" ht="19" customHeight="1">
      <x:c r="A73" s="2" t="str">
        <x:v>MP_L8</x:v>
      </x:c>
      <x:c r="B73" s="2" t="n">
        <x:v>25</x:v>
      </x:c>
      <x:c r="C73" s="22" t="n">
        <x:f>IF(F72&gt;0,E72,C72)</x:f>
        <x:v>0.19572609663009644</x:v>
      </x:c>
      <x:c r="D73" s="22" t="n">
        <x:f>IF(F72&gt;0,D72,E72)</x:f>
        <x:v>0.1957261860370636</x:v>
      </x:c>
      <x:c r="E73" s="22" t="n">
        <x:f>AVERAGE(C73:D73)</x:f>
        <x:v>0.19572614133358002</x:v>
      </x:c>
      <x:c r="F73" s="24" t="n">
        <x:f>SUM(EXP(-E73*E2_tabla_vida!$X$44)*E2_tabla_vida!$P$44,EXP(-E73*E2_tabla_vida!$X$45)*E2_tabla_vida!$P$45,EXP(-E73*E2_tabla_vida!$X$46)*E2_tabla_vida!$P$46,EXP(-E73*E2_tabla_vida!$X$47)*E2_tabla_vida!$P$47,EXP(-E73*E2_tabla_vida!$X$48)*E2_tabla_vida!$P$48,EXP(-E73*E2_tabla_vida!$X$49)*E2_tabla_vida!$P$49,EXP(-E73*E2_tabla_vida!$X$50)*E2_tabla_vida!$P$50,EXP(-E73*E2_tabla_vida!$X$51)*E2_tabla_vida!$P$51,EXP(-E73*E2_tabla_vida!$X$52)*E2_tabla_vida!$P$52,EXP(-E73*E2_tabla_vida!$X$53)*E2_tabla_vida!$P$53,EXP(-E73*E2_tabla_vida!$X$54)*E2_tabla_vida!$P$54,EXP(-E73*E2_tabla_vida!$X$55)*E2_tabla_vida!$P$55,EXP(-E73*E2_tabla_vida!$X$56)*E2_tabla_vida!$P$56,EXP(-E73*E2_tabla_vida!$X$57)*E2_tabla_vida!$P$57,EXP(-E73*E2_tabla_vida!$X$58)*E2_tabla_vida!$P$58,EXP(-E73*E2_tabla_vida!$X$59)*E2_tabla_vida!$P$59,EXP(-E73*E2_tabla_vida!$X$60)*E2_tabla_vida!$P$60,EXP(-E73*E2_tabla_vida!$X$61)*E2_tabla_vida!$P$61,EXP(-E73*E2_tabla_vida!$X$62)*E2_tabla_vida!$P$62,EXP(-E73*E2_tabla_vida!$X$63)*E2_tabla_vida!$P$63,EXP(-E73*E2_tabla_vida!$X$64)*E2_tabla_vida!$P$64,EXP(-E73*E2_tabla_vida!$X$65)*E2_tabla_vida!$P$65,EXP(-E73*E2_tabla_vida!$X$66)*E2_tabla_vida!$P$66,EXP(-E73*E2_tabla_vida!$X$67)*E2_tabla_vida!$P$67,EXP(-E73*E2_tabla_vida!$X$68)*E2_tabla_vida!$P$68,EXP(-E73*E2_tabla_vida!$X$69)*E2_tabla_vida!$P$69,EXP(-E73*E2_tabla_vida!$X$70)*E2_tabla_vida!$P$70,EXP(-E73*E2_tabla_vida!$X$71)*E2_tabla_vida!$P$71,EXP(-E73*E2_tabla_vida!$X$72)*E2_tabla_vida!$P$72,EXP(-E73*E2_tabla_vida!$X$73)*E2_tabla_vida!$P$73,EXP(-E73*E2_tabla_vida!$X$74)*E2_tabla_vida!$P$74,EXP(-E73*E2_tabla_vida!$X$75)*E2_tabla_vida!$P$75,EXP(-E73*E2_tabla_vida!$X$76)*E2_tabla_vida!$P$76,EXP(-E73*E2_tabla_vida!$X$77)*E2_tabla_vida!$P$77,EXP(-E73*E2_tabla_vida!$X$78)*E2_tabla_vida!$P$78,EXP(-E73*E2_tabla_vida!$X$79)*E2_tabla_vida!$P$79,EXP(-E73*E2_tabla_vida!$X$80)*E2_tabla_vida!$P$80,EXP(-E73*E2_tabla_vida!$X$81)*E2_tabla_vida!$P$81,EXP(-E73*E2_tabla_vida!$X$82)*E2_tabla_vida!$P$82,EXP(-E73*E2_tabla_vida!$X$83)*E2_tabla_vida!$P$83,EXP(-E73*E2_tabla_vida!$X$84)*E2_tabla_vida!$P$84,EXP(-E73*E2_tabla_vida!$X$85)*E2_tabla_vida!$P$85)-1</x:f>
        <x:v>-3.6329480668229053e-7</x:v>
      </x:c>
      <x:c r="G73" s="24" t="n">
        <x:f>SUM(EXP(-C73*E2_tabla_vida!$X$44)*E2_tabla_vida!$P$44,EXP(-C73*E2_tabla_vida!$X$45)*E2_tabla_vida!$P$45,EXP(-C73*E2_tabla_vida!$X$46)*E2_tabla_vida!$P$46,EXP(-C73*E2_tabla_vida!$X$47)*E2_tabla_vida!$P$47,EXP(-C73*E2_tabla_vida!$X$48)*E2_tabla_vida!$P$48,EXP(-C73*E2_tabla_vida!$X$49)*E2_tabla_vida!$P$49,EXP(-C73*E2_tabla_vida!$X$50)*E2_tabla_vida!$P$50,EXP(-C73*E2_tabla_vida!$X$51)*E2_tabla_vida!$P$51,EXP(-C73*E2_tabla_vida!$X$52)*E2_tabla_vida!$P$52,EXP(-C73*E2_tabla_vida!$X$53)*E2_tabla_vida!$P$53,EXP(-C73*E2_tabla_vida!$X$54)*E2_tabla_vida!$P$54,EXP(-C73*E2_tabla_vida!$X$55)*E2_tabla_vida!$P$55,EXP(-C73*E2_tabla_vida!$X$56)*E2_tabla_vida!$P$56,EXP(-C73*E2_tabla_vida!$X$57)*E2_tabla_vida!$P$57,EXP(-C73*E2_tabla_vida!$X$58)*E2_tabla_vida!$P$58,EXP(-C73*E2_tabla_vida!$X$59)*E2_tabla_vida!$P$59,EXP(-C73*E2_tabla_vida!$X$60)*E2_tabla_vida!$P$60,EXP(-C73*E2_tabla_vida!$X$61)*E2_tabla_vida!$P$61,EXP(-C73*E2_tabla_vida!$X$62)*E2_tabla_vida!$P$62,EXP(-C73*E2_tabla_vida!$X$63)*E2_tabla_vida!$P$63,EXP(-C73*E2_tabla_vida!$X$64)*E2_tabla_vida!$P$64,EXP(-C73*E2_tabla_vida!$X$65)*E2_tabla_vida!$P$65,EXP(-C73*E2_tabla_vida!$X$66)*E2_tabla_vida!$P$66,EXP(-C73*E2_tabla_vida!$X$67)*E2_tabla_vida!$P$67,EXP(-C73*E2_tabla_vida!$X$68)*E2_tabla_vida!$P$68,EXP(-C73*E2_tabla_vida!$X$69)*E2_tabla_vida!$P$69,EXP(-C73*E2_tabla_vida!$X$70)*E2_tabla_vida!$P$70,EXP(-C73*E2_tabla_vida!$X$71)*E2_tabla_vida!$P$71,EXP(-C73*E2_tabla_vida!$X$72)*E2_tabla_vida!$P$72,EXP(-C73*E2_tabla_vida!$X$73)*E2_tabla_vida!$P$73,EXP(-C73*E2_tabla_vida!$X$74)*E2_tabla_vida!$P$74,EXP(-C73*E2_tabla_vida!$X$75)*E2_tabla_vida!$P$75,EXP(-C73*E2_tabla_vida!$X$76)*E2_tabla_vida!$P$76,EXP(-C73*E2_tabla_vida!$X$77)*E2_tabla_vida!$P$77,EXP(-C73*E2_tabla_vida!$X$78)*E2_tabla_vida!$P$78,EXP(-C73*E2_tabla_vida!$X$79)*E2_tabla_vida!$P$79,EXP(-C73*E2_tabla_vida!$X$80)*E2_tabla_vida!$P$80,EXP(-C73*E2_tabla_vida!$X$81)*E2_tabla_vida!$P$81,EXP(-C73*E2_tabla_vida!$X$82)*E2_tabla_vida!$P$82,EXP(-C73*E2_tabla_vida!$X$83)*E2_tabla_vida!$P$83,EXP(-C73*E2_tabla_vida!$X$84)*E2_tabla_vida!$P$84,EXP(-C73*E2_tabla_vida!$X$85)*E2_tabla_vida!$P$85)-1</x:f>
        <x:v>3.3712197389235143e-7</x:v>
      </x:c>
      <x:c r="H73" s="24" t="n">
        <x:f>SUM(EXP(-D73*E2_tabla_vida!$X$44)*E2_tabla_vida!$P$44,EXP(-D73*E2_tabla_vida!$X$45)*E2_tabla_vida!$P$45,EXP(-D73*E2_tabla_vida!$X$46)*E2_tabla_vida!$P$46,EXP(-D73*E2_tabla_vida!$X$47)*E2_tabla_vida!$P$47,EXP(-D73*E2_tabla_vida!$X$48)*E2_tabla_vida!$P$48,EXP(-D73*E2_tabla_vida!$X$49)*E2_tabla_vida!$P$49,EXP(-D73*E2_tabla_vida!$X$50)*E2_tabla_vida!$P$50,EXP(-D73*E2_tabla_vida!$X$51)*E2_tabla_vida!$P$51,EXP(-D73*E2_tabla_vida!$X$52)*E2_tabla_vida!$P$52,EXP(-D73*E2_tabla_vida!$X$53)*E2_tabla_vida!$P$53,EXP(-D73*E2_tabla_vida!$X$54)*E2_tabla_vida!$P$54,EXP(-D73*E2_tabla_vida!$X$55)*E2_tabla_vida!$P$55,EXP(-D73*E2_tabla_vida!$X$56)*E2_tabla_vida!$P$56,EXP(-D73*E2_tabla_vida!$X$57)*E2_tabla_vida!$P$57,EXP(-D73*E2_tabla_vida!$X$58)*E2_tabla_vida!$P$58,EXP(-D73*E2_tabla_vida!$X$59)*E2_tabla_vida!$P$59,EXP(-D73*E2_tabla_vida!$X$60)*E2_tabla_vida!$P$60,EXP(-D73*E2_tabla_vida!$X$61)*E2_tabla_vida!$P$61,EXP(-D73*E2_tabla_vida!$X$62)*E2_tabla_vida!$P$62,EXP(-D73*E2_tabla_vida!$X$63)*E2_tabla_vida!$P$63,EXP(-D73*E2_tabla_vida!$X$64)*E2_tabla_vida!$P$64,EXP(-D73*E2_tabla_vida!$X$65)*E2_tabla_vida!$P$65,EXP(-D73*E2_tabla_vida!$X$66)*E2_tabla_vida!$P$66,EXP(-D73*E2_tabla_vida!$X$67)*E2_tabla_vida!$P$67,EXP(-D73*E2_tabla_vida!$X$68)*E2_tabla_vida!$P$68,EXP(-D73*E2_tabla_vida!$X$69)*E2_tabla_vida!$P$69,EXP(-D73*E2_tabla_vida!$X$70)*E2_tabla_vida!$P$70,EXP(-D73*E2_tabla_vida!$X$71)*E2_tabla_vida!$P$71,EXP(-D73*E2_tabla_vida!$X$72)*E2_tabla_vida!$P$72,EXP(-D73*E2_tabla_vida!$X$73)*E2_tabla_vida!$P$73,EXP(-D73*E2_tabla_vida!$X$74)*E2_tabla_vida!$P$74,EXP(-D73*E2_tabla_vida!$X$75)*E2_tabla_vida!$P$75,EXP(-D73*E2_tabla_vida!$X$76)*E2_tabla_vida!$P$76,EXP(-D73*E2_tabla_vida!$X$77)*E2_tabla_vida!$P$77,EXP(-D73*E2_tabla_vida!$X$78)*E2_tabla_vida!$P$78,EXP(-D73*E2_tabla_vida!$X$79)*E2_tabla_vida!$P$79,EXP(-D73*E2_tabla_vida!$X$80)*E2_tabla_vida!$P$80,EXP(-D73*E2_tabla_vida!$X$81)*E2_tabla_vida!$P$81,EXP(-D73*E2_tabla_vida!$X$82)*E2_tabla_vida!$P$82,EXP(-D73*E2_tabla_vida!$X$83)*E2_tabla_vida!$P$83,EXP(-D73*E2_tabla_vida!$X$84)*E2_tabla_vida!$P$84,EXP(-D73*E2_tabla_vida!$X$85)*E2_tabla_vida!$P$85)-1</x:f>
        <x:v>-0.0000010637110703370922</x:v>
      </x:c>
    </x:row>
    <x:row r="74" ht="19" customHeight="1">
      <x:c r="A74" s="2" t="str">
        <x:v>MP_L8</x:v>
      </x:c>
      <x:c r="B74" s="2" t="n">
        <x:v>26</x:v>
      </x:c>
      <x:c r="C74" s="22" t="n">
        <x:f>IF(F73&gt;0,E73,C73)</x:f>
        <x:v>0.19572609663009644</x:v>
      </x:c>
      <x:c r="D74" s="22" t="n">
        <x:f>IF(F73&gt;0,D73,E73)</x:f>
        <x:v>0.19572614133358002</x:v>
      </x:c>
      <x:c r="E74" s="22" t="n">
        <x:f>AVERAGE(C74:D74)</x:f>
        <x:v>0.19572611898183823</x:v>
      </x:c>
      <x:c r="F74" s="24" t="n">
        <x:f>SUM(EXP(-E74*E2_tabla_vida!$X$44)*E2_tabla_vida!$P$44,EXP(-E74*E2_tabla_vida!$X$45)*E2_tabla_vida!$P$45,EXP(-E74*E2_tabla_vida!$X$46)*E2_tabla_vida!$P$46,EXP(-E74*E2_tabla_vida!$X$47)*E2_tabla_vida!$P$47,EXP(-E74*E2_tabla_vida!$X$48)*E2_tabla_vida!$P$48,EXP(-E74*E2_tabla_vida!$X$49)*E2_tabla_vida!$P$49,EXP(-E74*E2_tabla_vida!$X$50)*E2_tabla_vida!$P$50,EXP(-E74*E2_tabla_vida!$X$51)*E2_tabla_vida!$P$51,EXP(-E74*E2_tabla_vida!$X$52)*E2_tabla_vida!$P$52,EXP(-E74*E2_tabla_vida!$X$53)*E2_tabla_vida!$P$53,EXP(-E74*E2_tabla_vida!$X$54)*E2_tabla_vida!$P$54,EXP(-E74*E2_tabla_vida!$X$55)*E2_tabla_vida!$P$55,EXP(-E74*E2_tabla_vida!$X$56)*E2_tabla_vida!$P$56,EXP(-E74*E2_tabla_vida!$X$57)*E2_tabla_vida!$P$57,EXP(-E74*E2_tabla_vida!$X$58)*E2_tabla_vida!$P$58,EXP(-E74*E2_tabla_vida!$X$59)*E2_tabla_vida!$P$59,EXP(-E74*E2_tabla_vida!$X$60)*E2_tabla_vida!$P$60,EXP(-E74*E2_tabla_vida!$X$61)*E2_tabla_vida!$P$61,EXP(-E74*E2_tabla_vida!$X$62)*E2_tabla_vida!$P$62,EXP(-E74*E2_tabla_vida!$X$63)*E2_tabla_vida!$P$63,EXP(-E74*E2_tabla_vida!$X$64)*E2_tabla_vida!$P$64,EXP(-E74*E2_tabla_vida!$X$65)*E2_tabla_vida!$P$65,EXP(-E74*E2_tabla_vida!$X$66)*E2_tabla_vida!$P$66,EXP(-E74*E2_tabla_vida!$X$67)*E2_tabla_vida!$P$67,EXP(-E74*E2_tabla_vida!$X$68)*E2_tabla_vida!$P$68,EXP(-E74*E2_tabla_vida!$X$69)*E2_tabla_vida!$P$69,EXP(-E74*E2_tabla_vida!$X$70)*E2_tabla_vida!$P$70,EXP(-E74*E2_tabla_vida!$X$71)*E2_tabla_vida!$P$71,EXP(-E74*E2_tabla_vida!$X$72)*E2_tabla_vida!$P$72,EXP(-E74*E2_tabla_vida!$X$73)*E2_tabla_vida!$P$73,EXP(-E74*E2_tabla_vida!$X$74)*E2_tabla_vida!$P$74,EXP(-E74*E2_tabla_vida!$X$75)*E2_tabla_vida!$P$75,EXP(-E74*E2_tabla_vida!$X$76)*E2_tabla_vida!$P$76,EXP(-E74*E2_tabla_vida!$X$77)*E2_tabla_vida!$P$77,EXP(-E74*E2_tabla_vida!$X$78)*E2_tabla_vida!$P$78,EXP(-E74*E2_tabla_vida!$X$79)*E2_tabla_vida!$P$79,EXP(-E74*E2_tabla_vida!$X$80)*E2_tabla_vida!$P$80,EXP(-E74*E2_tabla_vida!$X$81)*E2_tabla_vida!$P$81,EXP(-E74*E2_tabla_vida!$X$82)*E2_tabla_vida!$P$82,EXP(-E74*E2_tabla_vida!$X$83)*E2_tabla_vida!$P$83,EXP(-E74*E2_tabla_vida!$X$84)*E2_tabla_vida!$P$84,EXP(-E74*E2_tabla_vida!$X$85)*E2_tabla_vida!$P$85)-1</x:f>
        <x:v>-1.3086481343016487e-8</x:v>
      </x:c>
      <x:c r="G74" s="24" t="n">
        <x:f>SUM(EXP(-C74*E2_tabla_vida!$X$44)*E2_tabla_vida!$P$44,EXP(-C74*E2_tabla_vida!$X$45)*E2_tabla_vida!$P$45,EXP(-C74*E2_tabla_vida!$X$46)*E2_tabla_vida!$P$46,EXP(-C74*E2_tabla_vida!$X$47)*E2_tabla_vida!$P$47,EXP(-C74*E2_tabla_vida!$X$48)*E2_tabla_vida!$P$48,EXP(-C74*E2_tabla_vida!$X$49)*E2_tabla_vida!$P$49,EXP(-C74*E2_tabla_vida!$X$50)*E2_tabla_vida!$P$50,EXP(-C74*E2_tabla_vida!$X$51)*E2_tabla_vida!$P$51,EXP(-C74*E2_tabla_vida!$X$52)*E2_tabla_vida!$P$52,EXP(-C74*E2_tabla_vida!$X$53)*E2_tabla_vida!$P$53,EXP(-C74*E2_tabla_vida!$X$54)*E2_tabla_vida!$P$54,EXP(-C74*E2_tabla_vida!$X$55)*E2_tabla_vida!$P$55,EXP(-C74*E2_tabla_vida!$X$56)*E2_tabla_vida!$P$56,EXP(-C74*E2_tabla_vida!$X$57)*E2_tabla_vida!$P$57,EXP(-C74*E2_tabla_vida!$X$58)*E2_tabla_vida!$P$58,EXP(-C74*E2_tabla_vida!$X$59)*E2_tabla_vida!$P$59,EXP(-C74*E2_tabla_vida!$X$60)*E2_tabla_vida!$P$60,EXP(-C74*E2_tabla_vida!$X$61)*E2_tabla_vida!$P$61,EXP(-C74*E2_tabla_vida!$X$62)*E2_tabla_vida!$P$62,EXP(-C74*E2_tabla_vida!$X$63)*E2_tabla_vida!$P$63,EXP(-C74*E2_tabla_vida!$X$64)*E2_tabla_vida!$P$64,EXP(-C74*E2_tabla_vida!$X$65)*E2_tabla_vida!$P$65,EXP(-C74*E2_tabla_vida!$X$66)*E2_tabla_vida!$P$66,EXP(-C74*E2_tabla_vida!$X$67)*E2_tabla_vida!$P$67,EXP(-C74*E2_tabla_vida!$X$68)*E2_tabla_vida!$P$68,EXP(-C74*E2_tabla_vida!$X$69)*E2_tabla_vida!$P$69,EXP(-C74*E2_tabla_vida!$X$70)*E2_tabla_vida!$P$70,EXP(-C74*E2_tabla_vida!$X$71)*E2_tabla_vida!$P$71,EXP(-C74*E2_tabla_vida!$X$72)*E2_tabla_vida!$P$72,EXP(-C74*E2_tabla_vida!$X$73)*E2_tabla_vida!$P$73,EXP(-C74*E2_tabla_vida!$X$74)*E2_tabla_vida!$P$74,EXP(-C74*E2_tabla_vida!$X$75)*E2_tabla_vida!$P$75,EXP(-C74*E2_tabla_vida!$X$76)*E2_tabla_vida!$P$76,EXP(-C74*E2_tabla_vida!$X$77)*E2_tabla_vida!$P$77,EXP(-C74*E2_tabla_vida!$X$78)*E2_tabla_vida!$P$78,EXP(-C74*E2_tabla_vida!$X$79)*E2_tabla_vida!$P$79,EXP(-C74*E2_tabla_vida!$X$80)*E2_tabla_vida!$P$80,EXP(-C74*E2_tabla_vida!$X$81)*E2_tabla_vida!$P$81,EXP(-C74*E2_tabla_vida!$X$82)*E2_tabla_vida!$P$82,EXP(-C74*E2_tabla_vida!$X$83)*E2_tabla_vida!$P$83,EXP(-C74*E2_tabla_vida!$X$84)*E2_tabla_vida!$P$84,EXP(-C74*E2_tabla_vida!$X$85)*E2_tabla_vida!$P$85)-1</x:f>
        <x:v>3.3712197389235143e-7</x:v>
      </x:c>
      <x:c r="H74" s="24" t="n">
        <x:f>SUM(EXP(-D74*E2_tabla_vida!$X$44)*E2_tabla_vida!$P$44,EXP(-D74*E2_tabla_vida!$X$45)*E2_tabla_vida!$P$45,EXP(-D74*E2_tabla_vida!$X$46)*E2_tabla_vida!$P$46,EXP(-D74*E2_tabla_vida!$X$47)*E2_tabla_vida!$P$47,EXP(-D74*E2_tabla_vida!$X$48)*E2_tabla_vida!$P$48,EXP(-D74*E2_tabla_vida!$X$49)*E2_tabla_vida!$P$49,EXP(-D74*E2_tabla_vida!$X$50)*E2_tabla_vida!$P$50,EXP(-D74*E2_tabla_vida!$X$51)*E2_tabla_vida!$P$51,EXP(-D74*E2_tabla_vida!$X$52)*E2_tabla_vida!$P$52,EXP(-D74*E2_tabla_vida!$X$53)*E2_tabla_vida!$P$53,EXP(-D74*E2_tabla_vida!$X$54)*E2_tabla_vida!$P$54,EXP(-D74*E2_tabla_vida!$X$55)*E2_tabla_vida!$P$55,EXP(-D74*E2_tabla_vida!$X$56)*E2_tabla_vida!$P$56,EXP(-D74*E2_tabla_vida!$X$57)*E2_tabla_vida!$P$57,EXP(-D74*E2_tabla_vida!$X$58)*E2_tabla_vida!$P$58,EXP(-D74*E2_tabla_vida!$X$59)*E2_tabla_vida!$P$59,EXP(-D74*E2_tabla_vida!$X$60)*E2_tabla_vida!$P$60,EXP(-D74*E2_tabla_vida!$X$61)*E2_tabla_vida!$P$61,EXP(-D74*E2_tabla_vida!$X$62)*E2_tabla_vida!$P$62,EXP(-D74*E2_tabla_vida!$X$63)*E2_tabla_vida!$P$63,EXP(-D74*E2_tabla_vida!$X$64)*E2_tabla_vida!$P$64,EXP(-D74*E2_tabla_vida!$X$65)*E2_tabla_vida!$P$65,EXP(-D74*E2_tabla_vida!$X$66)*E2_tabla_vida!$P$66,EXP(-D74*E2_tabla_vida!$X$67)*E2_tabla_vida!$P$67,EXP(-D74*E2_tabla_vida!$X$68)*E2_tabla_vida!$P$68,EXP(-D74*E2_tabla_vida!$X$69)*E2_tabla_vida!$P$69,EXP(-D74*E2_tabla_vida!$X$70)*E2_tabla_vida!$P$70,EXP(-D74*E2_tabla_vida!$X$71)*E2_tabla_vida!$P$71,EXP(-D74*E2_tabla_vida!$X$72)*E2_tabla_vida!$P$72,EXP(-D74*E2_tabla_vida!$X$73)*E2_tabla_vida!$P$73,EXP(-D74*E2_tabla_vida!$X$74)*E2_tabla_vida!$P$74,EXP(-D74*E2_tabla_vida!$X$75)*E2_tabla_vida!$P$75,EXP(-D74*E2_tabla_vida!$X$76)*E2_tabla_vida!$P$76,EXP(-D74*E2_tabla_vida!$X$77)*E2_tabla_vida!$P$77,EXP(-D74*E2_tabla_vida!$X$78)*E2_tabla_vida!$P$78,EXP(-D74*E2_tabla_vida!$X$79)*E2_tabla_vida!$P$79,EXP(-D74*E2_tabla_vida!$X$80)*E2_tabla_vida!$P$80,EXP(-D74*E2_tabla_vida!$X$81)*E2_tabla_vida!$P$81,EXP(-D74*E2_tabla_vida!$X$82)*E2_tabla_vida!$P$82,EXP(-D74*E2_tabla_vida!$X$83)*E2_tabla_vida!$P$83,EXP(-D74*E2_tabla_vida!$X$84)*E2_tabla_vida!$P$84,EXP(-D74*E2_tabla_vida!$X$85)*E2_tabla_vida!$P$85)-1</x:f>
        <x:v>-3.6329480668229053e-7</x:v>
      </x:c>
    </x:row>
    <x:row r="75" ht="19" customHeight="1">
      <x:c r="A75" s="2" t="str">
        <x:v>MP_L8</x:v>
      </x:c>
      <x:c r="B75" s="2" t="n">
        <x:v>27</x:v>
      </x:c>
      <x:c r="C75" s="22" t="n">
        <x:f>IF(F74&gt;0,E74,C74)</x:f>
        <x:v>0.19572609663009644</x:v>
      </x:c>
      <x:c r="D75" s="22" t="n">
        <x:f>IF(F74&gt;0,D74,E74)</x:f>
        <x:v>0.19572611898183823</x:v>
      </x:c>
      <x:c r="E75" s="22" t="n">
        <x:f>AVERAGE(C75:D75)</x:f>
        <x:v>0.19572610780596733</x:v>
      </x:c>
      <x:c r="F75" s="24" t="n">
        <x:f>SUM(EXP(-E75*E2_tabla_vida!$X$44)*E2_tabla_vida!$P$44,EXP(-E75*E2_tabla_vida!$X$45)*E2_tabla_vida!$P$45,EXP(-E75*E2_tabla_vida!$X$46)*E2_tabla_vida!$P$46,EXP(-E75*E2_tabla_vida!$X$47)*E2_tabla_vida!$P$47,EXP(-E75*E2_tabla_vida!$X$48)*E2_tabla_vida!$P$48,EXP(-E75*E2_tabla_vida!$X$49)*E2_tabla_vida!$P$49,EXP(-E75*E2_tabla_vida!$X$50)*E2_tabla_vida!$P$50,EXP(-E75*E2_tabla_vida!$X$51)*E2_tabla_vida!$P$51,EXP(-E75*E2_tabla_vida!$X$52)*E2_tabla_vida!$P$52,EXP(-E75*E2_tabla_vida!$X$53)*E2_tabla_vida!$P$53,EXP(-E75*E2_tabla_vida!$X$54)*E2_tabla_vida!$P$54,EXP(-E75*E2_tabla_vida!$X$55)*E2_tabla_vida!$P$55,EXP(-E75*E2_tabla_vida!$X$56)*E2_tabla_vida!$P$56,EXP(-E75*E2_tabla_vida!$X$57)*E2_tabla_vida!$P$57,EXP(-E75*E2_tabla_vida!$X$58)*E2_tabla_vida!$P$58,EXP(-E75*E2_tabla_vida!$X$59)*E2_tabla_vida!$P$59,EXP(-E75*E2_tabla_vida!$X$60)*E2_tabla_vida!$P$60,EXP(-E75*E2_tabla_vida!$X$61)*E2_tabla_vida!$P$61,EXP(-E75*E2_tabla_vida!$X$62)*E2_tabla_vida!$P$62,EXP(-E75*E2_tabla_vida!$X$63)*E2_tabla_vida!$P$63,EXP(-E75*E2_tabla_vida!$X$64)*E2_tabla_vida!$P$64,EXP(-E75*E2_tabla_vida!$X$65)*E2_tabla_vida!$P$65,EXP(-E75*E2_tabla_vida!$X$66)*E2_tabla_vida!$P$66,EXP(-E75*E2_tabla_vida!$X$67)*E2_tabla_vida!$P$67,EXP(-E75*E2_tabla_vida!$X$68)*E2_tabla_vida!$P$68,EXP(-E75*E2_tabla_vida!$X$69)*E2_tabla_vida!$P$69,EXP(-E75*E2_tabla_vida!$X$70)*E2_tabla_vida!$P$70,EXP(-E75*E2_tabla_vida!$X$71)*E2_tabla_vida!$P$71,EXP(-E75*E2_tabla_vida!$X$72)*E2_tabla_vida!$P$72,EXP(-E75*E2_tabla_vida!$X$73)*E2_tabla_vida!$P$73,EXP(-E75*E2_tabla_vida!$X$74)*E2_tabla_vida!$P$74,EXP(-E75*E2_tabla_vida!$X$75)*E2_tabla_vida!$P$75,EXP(-E75*E2_tabla_vida!$X$76)*E2_tabla_vida!$P$76,EXP(-E75*E2_tabla_vida!$X$77)*E2_tabla_vida!$P$77,EXP(-E75*E2_tabla_vida!$X$78)*E2_tabla_vida!$P$78,EXP(-E75*E2_tabla_vida!$X$79)*E2_tabla_vida!$P$79,EXP(-E75*E2_tabla_vida!$X$80)*E2_tabla_vida!$P$80,EXP(-E75*E2_tabla_vida!$X$81)*E2_tabla_vida!$P$81,EXP(-E75*E2_tabla_vida!$X$82)*E2_tabla_vida!$P$82,EXP(-E75*E2_tabla_vida!$X$83)*E2_tabla_vida!$P$83,EXP(-E75*E2_tabla_vida!$X$84)*E2_tabla_vida!$P$84,EXP(-E75*E2_tabla_vida!$X$85)*E2_tabla_vida!$P$85)-1</x:f>
        <x:v>1.6201773034296707e-7</x:v>
      </x:c>
      <x:c r="G75" s="24" t="n">
        <x:f>SUM(EXP(-C75*E2_tabla_vida!$X$44)*E2_tabla_vida!$P$44,EXP(-C75*E2_tabla_vida!$X$45)*E2_tabla_vida!$P$45,EXP(-C75*E2_tabla_vida!$X$46)*E2_tabla_vida!$P$46,EXP(-C75*E2_tabla_vida!$X$47)*E2_tabla_vida!$P$47,EXP(-C75*E2_tabla_vida!$X$48)*E2_tabla_vida!$P$48,EXP(-C75*E2_tabla_vida!$X$49)*E2_tabla_vida!$P$49,EXP(-C75*E2_tabla_vida!$X$50)*E2_tabla_vida!$P$50,EXP(-C75*E2_tabla_vida!$X$51)*E2_tabla_vida!$P$51,EXP(-C75*E2_tabla_vida!$X$52)*E2_tabla_vida!$P$52,EXP(-C75*E2_tabla_vida!$X$53)*E2_tabla_vida!$P$53,EXP(-C75*E2_tabla_vida!$X$54)*E2_tabla_vida!$P$54,EXP(-C75*E2_tabla_vida!$X$55)*E2_tabla_vida!$P$55,EXP(-C75*E2_tabla_vida!$X$56)*E2_tabla_vida!$P$56,EXP(-C75*E2_tabla_vida!$X$57)*E2_tabla_vida!$P$57,EXP(-C75*E2_tabla_vida!$X$58)*E2_tabla_vida!$P$58,EXP(-C75*E2_tabla_vida!$X$59)*E2_tabla_vida!$P$59,EXP(-C75*E2_tabla_vida!$X$60)*E2_tabla_vida!$P$60,EXP(-C75*E2_tabla_vida!$X$61)*E2_tabla_vida!$P$61,EXP(-C75*E2_tabla_vida!$X$62)*E2_tabla_vida!$P$62,EXP(-C75*E2_tabla_vida!$X$63)*E2_tabla_vida!$P$63,EXP(-C75*E2_tabla_vida!$X$64)*E2_tabla_vida!$P$64,EXP(-C75*E2_tabla_vida!$X$65)*E2_tabla_vida!$P$65,EXP(-C75*E2_tabla_vida!$X$66)*E2_tabla_vida!$P$66,EXP(-C75*E2_tabla_vida!$X$67)*E2_tabla_vida!$P$67,EXP(-C75*E2_tabla_vida!$X$68)*E2_tabla_vida!$P$68,EXP(-C75*E2_tabla_vida!$X$69)*E2_tabla_vida!$P$69,EXP(-C75*E2_tabla_vida!$X$70)*E2_tabla_vida!$P$70,EXP(-C75*E2_tabla_vida!$X$71)*E2_tabla_vida!$P$71,EXP(-C75*E2_tabla_vida!$X$72)*E2_tabla_vida!$P$72,EXP(-C75*E2_tabla_vida!$X$73)*E2_tabla_vida!$P$73,EXP(-C75*E2_tabla_vida!$X$74)*E2_tabla_vida!$P$74,EXP(-C75*E2_tabla_vida!$X$75)*E2_tabla_vida!$P$75,EXP(-C75*E2_tabla_vida!$X$76)*E2_tabla_vida!$P$76,EXP(-C75*E2_tabla_vida!$X$77)*E2_tabla_vida!$P$77,EXP(-C75*E2_tabla_vida!$X$78)*E2_tabla_vida!$P$78,EXP(-C75*E2_tabla_vida!$X$79)*E2_tabla_vida!$P$79,EXP(-C75*E2_tabla_vida!$X$80)*E2_tabla_vida!$P$80,EXP(-C75*E2_tabla_vida!$X$81)*E2_tabla_vida!$P$81,EXP(-C75*E2_tabla_vida!$X$82)*E2_tabla_vida!$P$82,EXP(-C75*E2_tabla_vida!$X$83)*E2_tabla_vida!$P$83,EXP(-C75*E2_tabla_vida!$X$84)*E2_tabla_vida!$P$84,EXP(-C75*E2_tabla_vida!$X$85)*E2_tabla_vida!$P$85)-1</x:f>
        <x:v>3.3712197389235143e-7</x:v>
      </x:c>
      <x:c r="H75" s="24" t="n">
        <x:f>SUM(EXP(-D75*E2_tabla_vida!$X$44)*E2_tabla_vida!$P$44,EXP(-D75*E2_tabla_vida!$X$45)*E2_tabla_vida!$P$45,EXP(-D75*E2_tabla_vida!$X$46)*E2_tabla_vida!$P$46,EXP(-D75*E2_tabla_vida!$X$47)*E2_tabla_vida!$P$47,EXP(-D75*E2_tabla_vida!$X$48)*E2_tabla_vida!$P$48,EXP(-D75*E2_tabla_vida!$X$49)*E2_tabla_vida!$P$49,EXP(-D75*E2_tabla_vida!$X$50)*E2_tabla_vida!$P$50,EXP(-D75*E2_tabla_vida!$X$51)*E2_tabla_vida!$P$51,EXP(-D75*E2_tabla_vida!$X$52)*E2_tabla_vida!$P$52,EXP(-D75*E2_tabla_vida!$X$53)*E2_tabla_vida!$P$53,EXP(-D75*E2_tabla_vida!$X$54)*E2_tabla_vida!$P$54,EXP(-D75*E2_tabla_vida!$X$55)*E2_tabla_vida!$P$55,EXP(-D75*E2_tabla_vida!$X$56)*E2_tabla_vida!$P$56,EXP(-D75*E2_tabla_vida!$X$57)*E2_tabla_vida!$P$57,EXP(-D75*E2_tabla_vida!$X$58)*E2_tabla_vida!$P$58,EXP(-D75*E2_tabla_vida!$X$59)*E2_tabla_vida!$P$59,EXP(-D75*E2_tabla_vida!$X$60)*E2_tabla_vida!$P$60,EXP(-D75*E2_tabla_vida!$X$61)*E2_tabla_vida!$P$61,EXP(-D75*E2_tabla_vida!$X$62)*E2_tabla_vida!$P$62,EXP(-D75*E2_tabla_vida!$X$63)*E2_tabla_vida!$P$63,EXP(-D75*E2_tabla_vida!$X$64)*E2_tabla_vida!$P$64,EXP(-D75*E2_tabla_vida!$X$65)*E2_tabla_vida!$P$65,EXP(-D75*E2_tabla_vida!$X$66)*E2_tabla_vida!$P$66,EXP(-D75*E2_tabla_vida!$X$67)*E2_tabla_vida!$P$67,EXP(-D75*E2_tabla_vida!$X$68)*E2_tabla_vida!$P$68,EXP(-D75*E2_tabla_vida!$X$69)*E2_tabla_vida!$P$69,EXP(-D75*E2_tabla_vida!$X$70)*E2_tabla_vida!$P$70,EXP(-D75*E2_tabla_vida!$X$71)*E2_tabla_vida!$P$71,EXP(-D75*E2_tabla_vida!$X$72)*E2_tabla_vida!$P$72,EXP(-D75*E2_tabla_vida!$X$73)*E2_tabla_vida!$P$73,EXP(-D75*E2_tabla_vida!$X$74)*E2_tabla_vida!$P$74,EXP(-D75*E2_tabla_vida!$X$75)*E2_tabla_vida!$P$75,EXP(-D75*E2_tabla_vida!$X$76)*E2_tabla_vida!$P$76,EXP(-D75*E2_tabla_vida!$X$77)*E2_tabla_vida!$P$77,EXP(-D75*E2_tabla_vida!$X$78)*E2_tabla_vida!$P$78,EXP(-D75*E2_tabla_vida!$X$79)*E2_tabla_vida!$P$79,EXP(-D75*E2_tabla_vida!$X$80)*E2_tabla_vida!$P$80,EXP(-D75*E2_tabla_vida!$X$81)*E2_tabla_vida!$P$81,EXP(-D75*E2_tabla_vida!$X$82)*E2_tabla_vida!$P$82,EXP(-D75*E2_tabla_vida!$X$83)*E2_tabla_vida!$P$83,EXP(-D75*E2_tabla_vida!$X$84)*E2_tabla_vida!$P$84,EXP(-D75*E2_tabla_vida!$X$85)*E2_tabla_vida!$P$85)-1</x:f>
        <x:v>-1.3086481343016487e-8</x:v>
      </x:c>
    </x:row>
    <x:row r="76" ht="19" customHeight="1">
      <x:c r="A76" s="2" t="str">
        <x:v>MP_L8</x:v>
      </x:c>
      <x:c r="B76" s="2" t="n">
        <x:v>28</x:v>
      </x:c>
      <x:c r="C76" s="22" t="n">
        <x:f>IF(F75&gt;0,E75,C75)</x:f>
        <x:v>0.19572610780596733</x:v>
      </x:c>
      <x:c r="D76" s="22" t="n">
        <x:f>IF(F75&gt;0,D75,E75)</x:f>
        <x:v>0.19572611898183823</x:v>
      </x:c>
      <x:c r="E76" s="22" t="n">
        <x:f>AVERAGE(C76:D76)</x:f>
        <x:v>0.19572611339390278</x:v>
      </x:c>
      <x:c r="F76" s="24" t="n">
        <x:f>SUM(EXP(-E76*E2_tabla_vida!$X$44)*E2_tabla_vida!$P$44,EXP(-E76*E2_tabla_vida!$X$45)*E2_tabla_vida!$P$45,EXP(-E76*E2_tabla_vida!$X$46)*E2_tabla_vida!$P$46,EXP(-E76*E2_tabla_vida!$X$47)*E2_tabla_vida!$P$47,EXP(-E76*E2_tabla_vida!$X$48)*E2_tabla_vida!$P$48,EXP(-E76*E2_tabla_vida!$X$49)*E2_tabla_vida!$P$49,EXP(-E76*E2_tabla_vida!$X$50)*E2_tabla_vida!$P$50,EXP(-E76*E2_tabla_vida!$X$51)*E2_tabla_vida!$P$51,EXP(-E76*E2_tabla_vida!$X$52)*E2_tabla_vida!$P$52,EXP(-E76*E2_tabla_vida!$X$53)*E2_tabla_vida!$P$53,EXP(-E76*E2_tabla_vida!$X$54)*E2_tabla_vida!$P$54,EXP(-E76*E2_tabla_vida!$X$55)*E2_tabla_vida!$P$55,EXP(-E76*E2_tabla_vida!$X$56)*E2_tabla_vida!$P$56,EXP(-E76*E2_tabla_vida!$X$57)*E2_tabla_vida!$P$57,EXP(-E76*E2_tabla_vida!$X$58)*E2_tabla_vida!$P$58,EXP(-E76*E2_tabla_vida!$X$59)*E2_tabla_vida!$P$59,EXP(-E76*E2_tabla_vida!$X$60)*E2_tabla_vida!$P$60,EXP(-E76*E2_tabla_vida!$X$61)*E2_tabla_vida!$P$61,EXP(-E76*E2_tabla_vida!$X$62)*E2_tabla_vida!$P$62,EXP(-E76*E2_tabla_vida!$X$63)*E2_tabla_vida!$P$63,EXP(-E76*E2_tabla_vida!$X$64)*E2_tabla_vida!$P$64,EXP(-E76*E2_tabla_vida!$X$65)*E2_tabla_vida!$P$65,EXP(-E76*E2_tabla_vida!$X$66)*E2_tabla_vida!$P$66,EXP(-E76*E2_tabla_vida!$X$67)*E2_tabla_vida!$P$67,EXP(-E76*E2_tabla_vida!$X$68)*E2_tabla_vida!$P$68,EXP(-E76*E2_tabla_vida!$X$69)*E2_tabla_vida!$P$69,EXP(-E76*E2_tabla_vida!$X$70)*E2_tabla_vida!$P$70,EXP(-E76*E2_tabla_vida!$X$71)*E2_tabla_vida!$P$71,EXP(-E76*E2_tabla_vida!$X$72)*E2_tabla_vida!$P$72,EXP(-E76*E2_tabla_vida!$X$73)*E2_tabla_vida!$P$73,EXP(-E76*E2_tabla_vida!$X$74)*E2_tabla_vida!$P$74,EXP(-E76*E2_tabla_vida!$X$75)*E2_tabla_vida!$P$75,EXP(-E76*E2_tabla_vida!$X$76)*E2_tabla_vida!$P$76,EXP(-E76*E2_tabla_vida!$X$77)*E2_tabla_vida!$P$77,EXP(-E76*E2_tabla_vida!$X$78)*E2_tabla_vida!$P$78,EXP(-E76*E2_tabla_vida!$X$79)*E2_tabla_vida!$P$79,EXP(-E76*E2_tabla_vida!$X$80)*E2_tabla_vida!$P$80,EXP(-E76*E2_tabla_vida!$X$81)*E2_tabla_vida!$P$81,EXP(-E76*E2_tabla_vida!$X$82)*E2_tabla_vida!$P$82,EXP(-E76*E2_tabla_vida!$X$83)*E2_tabla_vida!$P$83,EXP(-E76*E2_tabla_vida!$X$84)*E2_tabla_vida!$P$84,EXP(-E76*E2_tabla_vida!$X$85)*E2_tabla_vida!$P$85)-1</x:f>
        <x:v>7.446562033663895e-8</x:v>
      </x:c>
      <x:c r="G76" s="24" t="n">
        <x:f>SUM(EXP(-C76*E2_tabla_vida!$X$44)*E2_tabla_vida!$P$44,EXP(-C76*E2_tabla_vida!$X$45)*E2_tabla_vida!$P$45,EXP(-C76*E2_tabla_vida!$X$46)*E2_tabla_vida!$P$46,EXP(-C76*E2_tabla_vida!$X$47)*E2_tabla_vida!$P$47,EXP(-C76*E2_tabla_vida!$X$48)*E2_tabla_vida!$P$48,EXP(-C76*E2_tabla_vida!$X$49)*E2_tabla_vida!$P$49,EXP(-C76*E2_tabla_vida!$X$50)*E2_tabla_vida!$P$50,EXP(-C76*E2_tabla_vida!$X$51)*E2_tabla_vida!$P$51,EXP(-C76*E2_tabla_vida!$X$52)*E2_tabla_vida!$P$52,EXP(-C76*E2_tabla_vida!$X$53)*E2_tabla_vida!$P$53,EXP(-C76*E2_tabla_vida!$X$54)*E2_tabla_vida!$P$54,EXP(-C76*E2_tabla_vida!$X$55)*E2_tabla_vida!$P$55,EXP(-C76*E2_tabla_vida!$X$56)*E2_tabla_vida!$P$56,EXP(-C76*E2_tabla_vida!$X$57)*E2_tabla_vida!$P$57,EXP(-C76*E2_tabla_vida!$X$58)*E2_tabla_vida!$P$58,EXP(-C76*E2_tabla_vida!$X$59)*E2_tabla_vida!$P$59,EXP(-C76*E2_tabla_vida!$X$60)*E2_tabla_vida!$P$60,EXP(-C76*E2_tabla_vida!$X$61)*E2_tabla_vida!$P$61,EXP(-C76*E2_tabla_vida!$X$62)*E2_tabla_vida!$P$62,EXP(-C76*E2_tabla_vida!$X$63)*E2_tabla_vida!$P$63,EXP(-C76*E2_tabla_vida!$X$64)*E2_tabla_vida!$P$64,EXP(-C76*E2_tabla_vida!$X$65)*E2_tabla_vida!$P$65,EXP(-C76*E2_tabla_vida!$X$66)*E2_tabla_vida!$P$66,EXP(-C76*E2_tabla_vida!$X$67)*E2_tabla_vida!$P$67,EXP(-C76*E2_tabla_vida!$X$68)*E2_tabla_vida!$P$68,EXP(-C76*E2_tabla_vida!$X$69)*E2_tabla_vida!$P$69,EXP(-C76*E2_tabla_vida!$X$70)*E2_tabla_vida!$P$70,EXP(-C76*E2_tabla_vida!$X$71)*E2_tabla_vida!$P$71,EXP(-C76*E2_tabla_vida!$X$72)*E2_tabla_vida!$P$72,EXP(-C76*E2_tabla_vida!$X$73)*E2_tabla_vida!$P$73,EXP(-C76*E2_tabla_vida!$X$74)*E2_tabla_vida!$P$74,EXP(-C76*E2_tabla_vida!$X$75)*E2_tabla_vida!$P$75,EXP(-C76*E2_tabla_vida!$X$76)*E2_tabla_vida!$P$76,EXP(-C76*E2_tabla_vida!$X$77)*E2_tabla_vida!$P$77,EXP(-C76*E2_tabla_vida!$X$78)*E2_tabla_vida!$P$78,EXP(-C76*E2_tabla_vida!$X$79)*E2_tabla_vida!$P$79,EXP(-C76*E2_tabla_vida!$X$80)*E2_tabla_vida!$P$80,EXP(-C76*E2_tabla_vida!$X$81)*E2_tabla_vida!$P$81,EXP(-C76*E2_tabla_vida!$X$82)*E2_tabla_vida!$P$82,EXP(-C76*E2_tabla_vida!$X$83)*E2_tabla_vida!$P$83,EXP(-C76*E2_tabla_vida!$X$84)*E2_tabla_vida!$P$84,EXP(-C76*E2_tabla_vida!$X$85)*E2_tabla_vida!$P$85)-1</x:f>
        <x:v>1.6201773034296707e-7</x:v>
      </x:c>
      <x:c r="H76" s="24" t="n">
        <x:f>SUM(EXP(-D76*E2_tabla_vida!$X$44)*E2_tabla_vida!$P$44,EXP(-D76*E2_tabla_vida!$X$45)*E2_tabla_vida!$P$45,EXP(-D76*E2_tabla_vida!$X$46)*E2_tabla_vida!$P$46,EXP(-D76*E2_tabla_vida!$X$47)*E2_tabla_vida!$P$47,EXP(-D76*E2_tabla_vida!$X$48)*E2_tabla_vida!$P$48,EXP(-D76*E2_tabla_vida!$X$49)*E2_tabla_vida!$P$49,EXP(-D76*E2_tabla_vida!$X$50)*E2_tabla_vida!$P$50,EXP(-D76*E2_tabla_vida!$X$51)*E2_tabla_vida!$P$51,EXP(-D76*E2_tabla_vida!$X$52)*E2_tabla_vida!$P$52,EXP(-D76*E2_tabla_vida!$X$53)*E2_tabla_vida!$P$53,EXP(-D76*E2_tabla_vida!$X$54)*E2_tabla_vida!$P$54,EXP(-D76*E2_tabla_vida!$X$55)*E2_tabla_vida!$P$55,EXP(-D76*E2_tabla_vida!$X$56)*E2_tabla_vida!$P$56,EXP(-D76*E2_tabla_vida!$X$57)*E2_tabla_vida!$P$57,EXP(-D76*E2_tabla_vida!$X$58)*E2_tabla_vida!$P$58,EXP(-D76*E2_tabla_vida!$X$59)*E2_tabla_vida!$P$59,EXP(-D76*E2_tabla_vida!$X$60)*E2_tabla_vida!$P$60,EXP(-D76*E2_tabla_vida!$X$61)*E2_tabla_vida!$P$61,EXP(-D76*E2_tabla_vida!$X$62)*E2_tabla_vida!$P$62,EXP(-D76*E2_tabla_vida!$X$63)*E2_tabla_vida!$P$63,EXP(-D76*E2_tabla_vida!$X$64)*E2_tabla_vida!$P$64,EXP(-D76*E2_tabla_vida!$X$65)*E2_tabla_vida!$P$65,EXP(-D76*E2_tabla_vida!$X$66)*E2_tabla_vida!$P$66,EXP(-D76*E2_tabla_vida!$X$67)*E2_tabla_vida!$P$67,EXP(-D76*E2_tabla_vida!$X$68)*E2_tabla_vida!$P$68,EXP(-D76*E2_tabla_vida!$X$69)*E2_tabla_vida!$P$69,EXP(-D76*E2_tabla_vida!$X$70)*E2_tabla_vida!$P$70,EXP(-D76*E2_tabla_vida!$X$71)*E2_tabla_vida!$P$71,EXP(-D76*E2_tabla_vida!$X$72)*E2_tabla_vida!$P$72,EXP(-D76*E2_tabla_vida!$X$73)*E2_tabla_vida!$P$73,EXP(-D76*E2_tabla_vida!$X$74)*E2_tabla_vida!$P$74,EXP(-D76*E2_tabla_vida!$X$75)*E2_tabla_vida!$P$75,EXP(-D76*E2_tabla_vida!$X$76)*E2_tabla_vida!$P$76,EXP(-D76*E2_tabla_vida!$X$77)*E2_tabla_vida!$P$77,EXP(-D76*E2_tabla_vida!$X$78)*E2_tabla_vida!$P$78,EXP(-D76*E2_tabla_vida!$X$79)*E2_tabla_vida!$P$79,EXP(-D76*E2_tabla_vida!$X$80)*E2_tabla_vida!$P$80,EXP(-D76*E2_tabla_vida!$X$81)*E2_tabla_vida!$P$81,EXP(-D76*E2_tabla_vida!$X$82)*E2_tabla_vida!$P$82,EXP(-D76*E2_tabla_vida!$X$83)*E2_tabla_vida!$P$83,EXP(-D76*E2_tabla_vida!$X$84)*E2_tabla_vida!$P$84,EXP(-D76*E2_tabla_vida!$X$85)*E2_tabla_vida!$P$85)-1</x:f>
        <x:v>-1.3086481343016487e-8</x:v>
      </x:c>
    </x:row>
    <x:row r="77" ht="19" customHeight="1">
      <x:c r="A77" s="2" t="str">
        <x:v>MP_L8</x:v>
      </x:c>
      <x:c r="B77" s="2" t="n">
        <x:v>29</x:v>
      </x:c>
      <x:c r="C77" s="22" t="n">
        <x:f>IF(F76&gt;0,E76,C76)</x:f>
        <x:v>0.19572611339390278</x:v>
      </x:c>
      <x:c r="D77" s="22" t="n">
        <x:f>IF(F76&gt;0,D76,E76)</x:f>
        <x:v>0.19572611898183823</x:v>
      </x:c>
      <x:c r="E77" s="22" t="n">
        <x:f>AVERAGE(C77:D77)</x:f>
        <x:v>0.1957261161878705</x:v>
      </x:c>
      <x:c r="F77" s="24" t="n">
        <x:f>SUM(EXP(-E77*E2_tabla_vida!$X$44)*E2_tabla_vida!$P$44,EXP(-E77*E2_tabla_vida!$X$45)*E2_tabla_vida!$P$45,EXP(-E77*E2_tabla_vida!$X$46)*E2_tabla_vida!$P$46,EXP(-E77*E2_tabla_vida!$X$47)*E2_tabla_vida!$P$47,EXP(-E77*E2_tabla_vida!$X$48)*E2_tabla_vida!$P$48,EXP(-E77*E2_tabla_vida!$X$49)*E2_tabla_vida!$P$49,EXP(-E77*E2_tabla_vida!$X$50)*E2_tabla_vida!$P$50,EXP(-E77*E2_tabla_vida!$X$51)*E2_tabla_vida!$P$51,EXP(-E77*E2_tabla_vida!$X$52)*E2_tabla_vida!$P$52,EXP(-E77*E2_tabla_vida!$X$53)*E2_tabla_vida!$P$53,EXP(-E77*E2_tabla_vida!$X$54)*E2_tabla_vida!$P$54,EXP(-E77*E2_tabla_vida!$X$55)*E2_tabla_vida!$P$55,EXP(-E77*E2_tabla_vida!$X$56)*E2_tabla_vida!$P$56,EXP(-E77*E2_tabla_vida!$X$57)*E2_tabla_vida!$P$57,EXP(-E77*E2_tabla_vida!$X$58)*E2_tabla_vida!$P$58,EXP(-E77*E2_tabla_vida!$X$59)*E2_tabla_vida!$P$59,EXP(-E77*E2_tabla_vida!$X$60)*E2_tabla_vida!$P$60,EXP(-E77*E2_tabla_vida!$X$61)*E2_tabla_vida!$P$61,EXP(-E77*E2_tabla_vida!$X$62)*E2_tabla_vida!$P$62,EXP(-E77*E2_tabla_vida!$X$63)*E2_tabla_vida!$P$63,EXP(-E77*E2_tabla_vida!$X$64)*E2_tabla_vida!$P$64,EXP(-E77*E2_tabla_vida!$X$65)*E2_tabla_vida!$P$65,EXP(-E77*E2_tabla_vida!$X$66)*E2_tabla_vida!$P$66,EXP(-E77*E2_tabla_vida!$X$67)*E2_tabla_vida!$P$67,EXP(-E77*E2_tabla_vida!$X$68)*E2_tabla_vida!$P$68,EXP(-E77*E2_tabla_vida!$X$69)*E2_tabla_vida!$P$69,EXP(-E77*E2_tabla_vida!$X$70)*E2_tabla_vida!$P$70,EXP(-E77*E2_tabla_vida!$X$71)*E2_tabla_vida!$P$71,EXP(-E77*E2_tabla_vida!$X$72)*E2_tabla_vida!$P$72,EXP(-E77*E2_tabla_vida!$X$73)*E2_tabla_vida!$P$73,EXP(-E77*E2_tabla_vida!$X$74)*E2_tabla_vida!$P$74,EXP(-E77*E2_tabla_vida!$X$75)*E2_tabla_vida!$P$75,EXP(-E77*E2_tabla_vida!$X$76)*E2_tabla_vida!$P$76,EXP(-E77*E2_tabla_vida!$X$77)*E2_tabla_vida!$P$77,EXP(-E77*E2_tabla_vida!$X$78)*E2_tabla_vida!$P$78,EXP(-E77*E2_tabla_vida!$X$79)*E2_tabla_vida!$P$79,EXP(-E77*E2_tabla_vida!$X$80)*E2_tabla_vida!$P$80,EXP(-E77*E2_tabla_vida!$X$81)*E2_tabla_vida!$P$81,EXP(-E77*E2_tabla_vida!$X$82)*E2_tabla_vida!$P$82,EXP(-E77*E2_tabla_vida!$X$83)*E2_tabla_vida!$P$83,EXP(-E77*E2_tabla_vida!$X$84)*E2_tabla_vida!$P$84,EXP(-E77*E2_tabla_vida!$X$85)*E2_tabla_vida!$P$85)-1</x:f>
        <x:v>3.068956866414396e-8</x:v>
      </x:c>
      <x:c r="G77" s="24" t="n">
        <x:f>SUM(EXP(-C77*E2_tabla_vida!$X$44)*E2_tabla_vida!$P$44,EXP(-C77*E2_tabla_vida!$X$45)*E2_tabla_vida!$P$45,EXP(-C77*E2_tabla_vida!$X$46)*E2_tabla_vida!$P$46,EXP(-C77*E2_tabla_vida!$X$47)*E2_tabla_vida!$P$47,EXP(-C77*E2_tabla_vida!$X$48)*E2_tabla_vida!$P$48,EXP(-C77*E2_tabla_vida!$X$49)*E2_tabla_vida!$P$49,EXP(-C77*E2_tabla_vida!$X$50)*E2_tabla_vida!$P$50,EXP(-C77*E2_tabla_vida!$X$51)*E2_tabla_vida!$P$51,EXP(-C77*E2_tabla_vida!$X$52)*E2_tabla_vida!$P$52,EXP(-C77*E2_tabla_vida!$X$53)*E2_tabla_vida!$P$53,EXP(-C77*E2_tabla_vida!$X$54)*E2_tabla_vida!$P$54,EXP(-C77*E2_tabla_vida!$X$55)*E2_tabla_vida!$P$55,EXP(-C77*E2_tabla_vida!$X$56)*E2_tabla_vida!$P$56,EXP(-C77*E2_tabla_vida!$X$57)*E2_tabla_vida!$P$57,EXP(-C77*E2_tabla_vida!$X$58)*E2_tabla_vida!$P$58,EXP(-C77*E2_tabla_vida!$X$59)*E2_tabla_vida!$P$59,EXP(-C77*E2_tabla_vida!$X$60)*E2_tabla_vida!$P$60,EXP(-C77*E2_tabla_vida!$X$61)*E2_tabla_vida!$P$61,EXP(-C77*E2_tabla_vida!$X$62)*E2_tabla_vida!$P$62,EXP(-C77*E2_tabla_vida!$X$63)*E2_tabla_vida!$P$63,EXP(-C77*E2_tabla_vida!$X$64)*E2_tabla_vida!$P$64,EXP(-C77*E2_tabla_vida!$X$65)*E2_tabla_vida!$P$65,EXP(-C77*E2_tabla_vida!$X$66)*E2_tabla_vida!$P$66,EXP(-C77*E2_tabla_vida!$X$67)*E2_tabla_vida!$P$67,EXP(-C77*E2_tabla_vida!$X$68)*E2_tabla_vida!$P$68,EXP(-C77*E2_tabla_vida!$X$69)*E2_tabla_vida!$P$69,EXP(-C77*E2_tabla_vida!$X$70)*E2_tabla_vida!$P$70,EXP(-C77*E2_tabla_vida!$X$71)*E2_tabla_vida!$P$71,EXP(-C77*E2_tabla_vida!$X$72)*E2_tabla_vida!$P$72,EXP(-C77*E2_tabla_vida!$X$73)*E2_tabla_vida!$P$73,EXP(-C77*E2_tabla_vida!$X$74)*E2_tabla_vida!$P$74,EXP(-C77*E2_tabla_vida!$X$75)*E2_tabla_vida!$P$75,EXP(-C77*E2_tabla_vida!$X$76)*E2_tabla_vida!$P$76,EXP(-C77*E2_tabla_vida!$X$77)*E2_tabla_vida!$P$77,EXP(-C77*E2_tabla_vida!$X$78)*E2_tabla_vida!$P$78,EXP(-C77*E2_tabla_vida!$X$79)*E2_tabla_vida!$P$79,EXP(-C77*E2_tabla_vida!$X$80)*E2_tabla_vida!$P$80,EXP(-C77*E2_tabla_vida!$X$81)*E2_tabla_vida!$P$81,EXP(-C77*E2_tabla_vida!$X$82)*E2_tabla_vida!$P$82,EXP(-C77*E2_tabla_vida!$X$83)*E2_tabla_vida!$P$83,EXP(-C77*E2_tabla_vida!$X$84)*E2_tabla_vida!$P$84,EXP(-C77*E2_tabla_vida!$X$85)*E2_tabla_vida!$P$85)-1</x:f>
        <x:v>7.446562033663895e-8</x:v>
      </x:c>
      <x:c r="H77" s="24" t="n">
        <x:f>SUM(EXP(-D77*E2_tabla_vida!$X$44)*E2_tabla_vida!$P$44,EXP(-D77*E2_tabla_vida!$X$45)*E2_tabla_vida!$P$45,EXP(-D77*E2_tabla_vida!$X$46)*E2_tabla_vida!$P$46,EXP(-D77*E2_tabla_vida!$X$47)*E2_tabla_vida!$P$47,EXP(-D77*E2_tabla_vida!$X$48)*E2_tabla_vida!$P$48,EXP(-D77*E2_tabla_vida!$X$49)*E2_tabla_vida!$P$49,EXP(-D77*E2_tabla_vida!$X$50)*E2_tabla_vida!$P$50,EXP(-D77*E2_tabla_vida!$X$51)*E2_tabla_vida!$P$51,EXP(-D77*E2_tabla_vida!$X$52)*E2_tabla_vida!$P$52,EXP(-D77*E2_tabla_vida!$X$53)*E2_tabla_vida!$P$53,EXP(-D77*E2_tabla_vida!$X$54)*E2_tabla_vida!$P$54,EXP(-D77*E2_tabla_vida!$X$55)*E2_tabla_vida!$P$55,EXP(-D77*E2_tabla_vida!$X$56)*E2_tabla_vida!$P$56,EXP(-D77*E2_tabla_vida!$X$57)*E2_tabla_vida!$P$57,EXP(-D77*E2_tabla_vida!$X$58)*E2_tabla_vida!$P$58,EXP(-D77*E2_tabla_vida!$X$59)*E2_tabla_vida!$P$59,EXP(-D77*E2_tabla_vida!$X$60)*E2_tabla_vida!$P$60,EXP(-D77*E2_tabla_vida!$X$61)*E2_tabla_vida!$P$61,EXP(-D77*E2_tabla_vida!$X$62)*E2_tabla_vida!$P$62,EXP(-D77*E2_tabla_vida!$X$63)*E2_tabla_vida!$P$63,EXP(-D77*E2_tabla_vida!$X$64)*E2_tabla_vida!$P$64,EXP(-D77*E2_tabla_vida!$X$65)*E2_tabla_vida!$P$65,EXP(-D77*E2_tabla_vida!$X$66)*E2_tabla_vida!$P$66,EXP(-D77*E2_tabla_vida!$X$67)*E2_tabla_vida!$P$67,EXP(-D77*E2_tabla_vida!$X$68)*E2_tabla_vida!$P$68,EXP(-D77*E2_tabla_vida!$X$69)*E2_tabla_vida!$P$69,EXP(-D77*E2_tabla_vida!$X$70)*E2_tabla_vida!$P$70,EXP(-D77*E2_tabla_vida!$X$71)*E2_tabla_vida!$P$71,EXP(-D77*E2_tabla_vida!$X$72)*E2_tabla_vida!$P$72,EXP(-D77*E2_tabla_vida!$X$73)*E2_tabla_vida!$P$73,EXP(-D77*E2_tabla_vida!$X$74)*E2_tabla_vida!$P$74,EXP(-D77*E2_tabla_vida!$X$75)*E2_tabla_vida!$P$75,EXP(-D77*E2_tabla_vida!$X$76)*E2_tabla_vida!$P$76,EXP(-D77*E2_tabla_vida!$X$77)*E2_tabla_vida!$P$77,EXP(-D77*E2_tabla_vida!$X$78)*E2_tabla_vida!$P$78,EXP(-D77*E2_tabla_vida!$X$79)*E2_tabla_vida!$P$79,EXP(-D77*E2_tabla_vida!$X$80)*E2_tabla_vida!$P$80,EXP(-D77*E2_tabla_vida!$X$81)*E2_tabla_vida!$P$81,EXP(-D77*E2_tabla_vida!$X$82)*E2_tabla_vida!$P$82,EXP(-D77*E2_tabla_vida!$X$83)*E2_tabla_vida!$P$83,EXP(-D77*E2_tabla_vida!$X$84)*E2_tabla_vida!$P$84,EXP(-D77*E2_tabla_vida!$X$85)*E2_tabla_vida!$P$85)-1</x:f>
        <x:v>-1.3086481343016487e-8</x:v>
      </x:c>
    </x:row>
    <x:row r="78" ht="19" customHeight="1">
      <x:c r="A78" s="2" t="str">
        <x:v>MP_L8</x:v>
      </x:c>
      <x:c r="B78" s="2" t="n">
        <x:v>30</x:v>
      </x:c>
      <x:c r="C78" s="22" t="n">
        <x:f>IF(F77&gt;0,E77,C77)</x:f>
        <x:v>0.1957261161878705</x:v>
      </x:c>
      <x:c r="D78" s="22" t="n">
        <x:f>IF(F77&gt;0,D77,E77)</x:f>
        <x:v>0.19572611898183823</x:v>
      </x:c>
      <x:c r="E78" s="22" t="n">
        <x:f>AVERAGE(C78:D78)</x:f>
        <x:v>0.19572611758485436</x:v>
      </x:c>
      <x:c r="F78" s="24" t="n">
        <x:f>SUM(EXP(-E78*E2_tabla_vida!$X$44)*E2_tabla_vida!$P$44,EXP(-E78*E2_tabla_vida!$X$45)*E2_tabla_vida!$P$45,EXP(-E78*E2_tabla_vida!$X$46)*E2_tabla_vida!$P$46,EXP(-E78*E2_tabla_vida!$X$47)*E2_tabla_vida!$P$47,EXP(-E78*E2_tabla_vida!$X$48)*E2_tabla_vida!$P$48,EXP(-E78*E2_tabla_vida!$X$49)*E2_tabla_vida!$P$49,EXP(-E78*E2_tabla_vida!$X$50)*E2_tabla_vida!$P$50,EXP(-E78*E2_tabla_vida!$X$51)*E2_tabla_vida!$P$51,EXP(-E78*E2_tabla_vida!$X$52)*E2_tabla_vida!$P$52,EXP(-E78*E2_tabla_vida!$X$53)*E2_tabla_vida!$P$53,EXP(-E78*E2_tabla_vida!$X$54)*E2_tabla_vida!$P$54,EXP(-E78*E2_tabla_vida!$X$55)*E2_tabla_vida!$P$55,EXP(-E78*E2_tabla_vida!$X$56)*E2_tabla_vida!$P$56,EXP(-E78*E2_tabla_vida!$X$57)*E2_tabla_vida!$P$57,EXP(-E78*E2_tabla_vida!$X$58)*E2_tabla_vida!$P$58,EXP(-E78*E2_tabla_vida!$X$59)*E2_tabla_vida!$P$59,EXP(-E78*E2_tabla_vida!$X$60)*E2_tabla_vida!$P$60,EXP(-E78*E2_tabla_vida!$X$61)*E2_tabla_vida!$P$61,EXP(-E78*E2_tabla_vida!$X$62)*E2_tabla_vida!$P$62,EXP(-E78*E2_tabla_vida!$X$63)*E2_tabla_vida!$P$63,EXP(-E78*E2_tabla_vida!$X$64)*E2_tabla_vida!$P$64,EXP(-E78*E2_tabla_vida!$X$65)*E2_tabla_vida!$P$65,EXP(-E78*E2_tabla_vida!$X$66)*E2_tabla_vida!$P$66,EXP(-E78*E2_tabla_vida!$X$67)*E2_tabla_vida!$P$67,EXP(-E78*E2_tabla_vida!$X$68)*E2_tabla_vida!$P$68,EXP(-E78*E2_tabla_vida!$X$69)*E2_tabla_vida!$P$69,EXP(-E78*E2_tabla_vida!$X$70)*E2_tabla_vida!$P$70,EXP(-E78*E2_tabla_vida!$X$71)*E2_tabla_vida!$P$71,EXP(-E78*E2_tabla_vida!$X$72)*E2_tabla_vida!$P$72,EXP(-E78*E2_tabla_vida!$X$73)*E2_tabla_vida!$P$73,EXP(-E78*E2_tabla_vida!$X$74)*E2_tabla_vida!$P$74,EXP(-E78*E2_tabla_vida!$X$75)*E2_tabla_vida!$P$75,EXP(-E78*E2_tabla_vida!$X$76)*E2_tabla_vida!$P$76,EXP(-E78*E2_tabla_vida!$X$77)*E2_tabla_vida!$P$77,EXP(-E78*E2_tabla_vida!$X$78)*E2_tabla_vida!$P$78,EXP(-E78*E2_tabla_vida!$X$79)*E2_tabla_vida!$P$79,EXP(-E78*E2_tabla_vida!$X$80)*E2_tabla_vida!$P$80,EXP(-E78*E2_tabla_vida!$X$81)*E2_tabla_vida!$P$81,EXP(-E78*E2_tabla_vida!$X$82)*E2_tabla_vida!$P$82,EXP(-E78*E2_tabla_vida!$X$83)*E2_tabla_vida!$P$83,EXP(-E78*E2_tabla_vida!$X$84)*E2_tabla_vida!$P$84,EXP(-E78*E2_tabla_vida!$X$85)*E2_tabla_vida!$P$85)-1</x:f>
        <x:v>8.801543494030284e-9</x:v>
      </x:c>
      <x:c r="G78" s="24" t="n">
        <x:f>SUM(EXP(-C78*E2_tabla_vida!$X$44)*E2_tabla_vida!$P$44,EXP(-C78*E2_tabla_vida!$X$45)*E2_tabla_vida!$P$45,EXP(-C78*E2_tabla_vida!$X$46)*E2_tabla_vida!$P$46,EXP(-C78*E2_tabla_vida!$X$47)*E2_tabla_vida!$P$47,EXP(-C78*E2_tabla_vida!$X$48)*E2_tabla_vida!$P$48,EXP(-C78*E2_tabla_vida!$X$49)*E2_tabla_vida!$P$49,EXP(-C78*E2_tabla_vida!$X$50)*E2_tabla_vida!$P$50,EXP(-C78*E2_tabla_vida!$X$51)*E2_tabla_vida!$P$51,EXP(-C78*E2_tabla_vida!$X$52)*E2_tabla_vida!$P$52,EXP(-C78*E2_tabla_vida!$X$53)*E2_tabla_vida!$P$53,EXP(-C78*E2_tabla_vida!$X$54)*E2_tabla_vida!$P$54,EXP(-C78*E2_tabla_vida!$X$55)*E2_tabla_vida!$P$55,EXP(-C78*E2_tabla_vida!$X$56)*E2_tabla_vida!$P$56,EXP(-C78*E2_tabla_vida!$X$57)*E2_tabla_vida!$P$57,EXP(-C78*E2_tabla_vida!$X$58)*E2_tabla_vida!$P$58,EXP(-C78*E2_tabla_vida!$X$59)*E2_tabla_vida!$P$59,EXP(-C78*E2_tabla_vida!$X$60)*E2_tabla_vida!$P$60,EXP(-C78*E2_tabla_vida!$X$61)*E2_tabla_vida!$P$61,EXP(-C78*E2_tabla_vida!$X$62)*E2_tabla_vida!$P$62,EXP(-C78*E2_tabla_vida!$X$63)*E2_tabla_vida!$P$63,EXP(-C78*E2_tabla_vida!$X$64)*E2_tabla_vida!$P$64,EXP(-C78*E2_tabla_vida!$X$65)*E2_tabla_vida!$P$65,EXP(-C78*E2_tabla_vida!$X$66)*E2_tabla_vida!$P$66,EXP(-C78*E2_tabla_vida!$X$67)*E2_tabla_vida!$P$67,EXP(-C78*E2_tabla_vida!$X$68)*E2_tabla_vida!$P$68,EXP(-C78*E2_tabla_vida!$X$69)*E2_tabla_vida!$P$69,EXP(-C78*E2_tabla_vida!$X$70)*E2_tabla_vida!$P$70,EXP(-C78*E2_tabla_vida!$X$71)*E2_tabla_vida!$P$71,EXP(-C78*E2_tabla_vida!$X$72)*E2_tabla_vida!$P$72,EXP(-C78*E2_tabla_vida!$X$73)*E2_tabla_vida!$P$73,EXP(-C78*E2_tabla_vida!$X$74)*E2_tabla_vida!$P$74,EXP(-C78*E2_tabla_vida!$X$75)*E2_tabla_vida!$P$75,EXP(-C78*E2_tabla_vida!$X$76)*E2_tabla_vida!$P$76,EXP(-C78*E2_tabla_vida!$X$77)*E2_tabla_vida!$P$77,EXP(-C78*E2_tabla_vida!$X$78)*E2_tabla_vida!$P$78,EXP(-C78*E2_tabla_vida!$X$79)*E2_tabla_vida!$P$79,EXP(-C78*E2_tabla_vida!$X$80)*E2_tabla_vida!$P$80,EXP(-C78*E2_tabla_vida!$X$81)*E2_tabla_vida!$P$81,EXP(-C78*E2_tabla_vida!$X$82)*E2_tabla_vida!$P$82,EXP(-C78*E2_tabla_vida!$X$83)*E2_tabla_vida!$P$83,EXP(-C78*E2_tabla_vida!$X$84)*E2_tabla_vida!$P$84,EXP(-C78*E2_tabla_vida!$X$85)*E2_tabla_vida!$P$85)-1</x:f>
        <x:v>3.068956866414396e-8</x:v>
      </x:c>
      <x:c r="H78" s="24" t="n">
        <x:f>SUM(EXP(-D78*E2_tabla_vida!$X$44)*E2_tabla_vida!$P$44,EXP(-D78*E2_tabla_vida!$X$45)*E2_tabla_vida!$P$45,EXP(-D78*E2_tabla_vida!$X$46)*E2_tabla_vida!$P$46,EXP(-D78*E2_tabla_vida!$X$47)*E2_tabla_vida!$P$47,EXP(-D78*E2_tabla_vida!$X$48)*E2_tabla_vida!$P$48,EXP(-D78*E2_tabla_vida!$X$49)*E2_tabla_vida!$P$49,EXP(-D78*E2_tabla_vida!$X$50)*E2_tabla_vida!$P$50,EXP(-D78*E2_tabla_vida!$X$51)*E2_tabla_vida!$P$51,EXP(-D78*E2_tabla_vida!$X$52)*E2_tabla_vida!$P$52,EXP(-D78*E2_tabla_vida!$X$53)*E2_tabla_vida!$P$53,EXP(-D78*E2_tabla_vida!$X$54)*E2_tabla_vida!$P$54,EXP(-D78*E2_tabla_vida!$X$55)*E2_tabla_vida!$P$55,EXP(-D78*E2_tabla_vida!$X$56)*E2_tabla_vida!$P$56,EXP(-D78*E2_tabla_vida!$X$57)*E2_tabla_vida!$P$57,EXP(-D78*E2_tabla_vida!$X$58)*E2_tabla_vida!$P$58,EXP(-D78*E2_tabla_vida!$X$59)*E2_tabla_vida!$P$59,EXP(-D78*E2_tabla_vida!$X$60)*E2_tabla_vida!$P$60,EXP(-D78*E2_tabla_vida!$X$61)*E2_tabla_vida!$P$61,EXP(-D78*E2_tabla_vida!$X$62)*E2_tabla_vida!$P$62,EXP(-D78*E2_tabla_vida!$X$63)*E2_tabla_vida!$P$63,EXP(-D78*E2_tabla_vida!$X$64)*E2_tabla_vida!$P$64,EXP(-D78*E2_tabla_vida!$X$65)*E2_tabla_vida!$P$65,EXP(-D78*E2_tabla_vida!$X$66)*E2_tabla_vida!$P$66,EXP(-D78*E2_tabla_vida!$X$67)*E2_tabla_vida!$P$67,EXP(-D78*E2_tabla_vida!$X$68)*E2_tabla_vida!$P$68,EXP(-D78*E2_tabla_vida!$X$69)*E2_tabla_vida!$P$69,EXP(-D78*E2_tabla_vida!$X$70)*E2_tabla_vida!$P$70,EXP(-D78*E2_tabla_vida!$X$71)*E2_tabla_vida!$P$71,EXP(-D78*E2_tabla_vida!$X$72)*E2_tabla_vida!$P$72,EXP(-D78*E2_tabla_vida!$X$73)*E2_tabla_vida!$P$73,EXP(-D78*E2_tabla_vida!$X$74)*E2_tabla_vida!$P$74,EXP(-D78*E2_tabla_vida!$X$75)*E2_tabla_vida!$P$75,EXP(-D78*E2_tabla_vida!$X$76)*E2_tabla_vida!$P$76,EXP(-D78*E2_tabla_vida!$X$77)*E2_tabla_vida!$P$77,EXP(-D78*E2_tabla_vida!$X$78)*E2_tabla_vida!$P$78,EXP(-D78*E2_tabla_vida!$X$79)*E2_tabla_vida!$P$79,EXP(-D78*E2_tabla_vida!$X$80)*E2_tabla_vida!$P$80,EXP(-D78*E2_tabla_vida!$X$81)*E2_tabla_vida!$P$81,EXP(-D78*E2_tabla_vida!$X$82)*E2_tabla_vida!$P$82,EXP(-D78*E2_tabla_vida!$X$83)*E2_tabla_vida!$P$83,EXP(-D78*E2_tabla_vida!$X$84)*E2_tabla_vida!$P$84,EXP(-D78*E2_tabla_vida!$X$85)*E2_tabla_vida!$P$85)-1</x:f>
        <x:v>-1.3086481343016487e-8</x:v>
      </x:c>
    </x:row>
    <x:row r="79" ht="19" customHeight="1">
      <x:c r="A79" s="2" t="str">
        <x:v>MP_L8</x:v>
      </x:c>
      <x:c r="B79" s="2" t="n">
        <x:v>31</x:v>
      </x:c>
      <x:c r="C79" s="22" t="n">
        <x:f>IF(F78&gt;0,E78,C78)</x:f>
        <x:v>0.19572611758485436</x:v>
      </x:c>
      <x:c r="D79" s="22" t="n">
        <x:f>IF(F78&gt;0,D78,E78)</x:f>
        <x:v>0.19572611898183823</x:v>
      </x:c>
      <x:c r="E79" s="22" t="n">
        <x:f>AVERAGE(C79:D79)</x:f>
        <x:v>0.1957261182833463</x:v>
      </x:c>
      <x:c r="F79" s="24" t="n">
        <x:f>SUM(EXP(-E79*E2_tabla_vida!$X$44)*E2_tabla_vida!$P$44,EXP(-E79*E2_tabla_vida!$X$45)*E2_tabla_vida!$P$45,EXP(-E79*E2_tabla_vida!$X$46)*E2_tabla_vida!$P$46,EXP(-E79*E2_tabla_vida!$X$47)*E2_tabla_vida!$P$47,EXP(-E79*E2_tabla_vida!$X$48)*E2_tabla_vida!$P$48,EXP(-E79*E2_tabla_vida!$X$49)*E2_tabla_vida!$P$49,EXP(-E79*E2_tabla_vida!$X$50)*E2_tabla_vida!$P$50,EXP(-E79*E2_tabla_vida!$X$51)*E2_tabla_vida!$P$51,EXP(-E79*E2_tabla_vida!$X$52)*E2_tabla_vida!$P$52,EXP(-E79*E2_tabla_vida!$X$53)*E2_tabla_vida!$P$53,EXP(-E79*E2_tabla_vida!$X$54)*E2_tabla_vida!$P$54,EXP(-E79*E2_tabla_vida!$X$55)*E2_tabla_vida!$P$55,EXP(-E79*E2_tabla_vida!$X$56)*E2_tabla_vida!$P$56,EXP(-E79*E2_tabla_vida!$X$57)*E2_tabla_vida!$P$57,EXP(-E79*E2_tabla_vida!$X$58)*E2_tabla_vida!$P$58,EXP(-E79*E2_tabla_vida!$X$59)*E2_tabla_vida!$P$59,EXP(-E79*E2_tabla_vida!$X$60)*E2_tabla_vida!$P$60,EXP(-E79*E2_tabla_vida!$X$61)*E2_tabla_vida!$P$61,EXP(-E79*E2_tabla_vida!$X$62)*E2_tabla_vida!$P$62,EXP(-E79*E2_tabla_vida!$X$63)*E2_tabla_vida!$P$63,EXP(-E79*E2_tabla_vida!$X$64)*E2_tabla_vida!$P$64,EXP(-E79*E2_tabla_vida!$X$65)*E2_tabla_vida!$P$65,EXP(-E79*E2_tabla_vida!$X$66)*E2_tabla_vida!$P$66,EXP(-E79*E2_tabla_vida!$X$67)*E2_tabla_vida!$P$67,EXP(-E79*E2_tabla_vida!$X$68)*E2_tabla_vida!$P$68,EXP(-E79*E2_tabla_vida!$X$69)*E2_tabla_vida!$P$69,EXP(-E79*E2_tabla_vida!$X$70)*E2_tabla_vida!$P$70,EXP(-E79*E2_tabla_vida!$X$71)*E2_tabla_vida!$P$71,EXP(-E79*E2_tabla_vida!$X$72)*E2_tabla_vida!$P$72,EXP(-E79*E2_tabla_vida!$X$73)*E2_tabla_vida!$P$73,EXP(-E79*E2_tabla_vida!$X$74)*E2_tabla_vida!$P$74,EXP(-E79*E2_tabla_vida!$X$75)*E2_tabla_vida!$P$75,EXP(-E79*E2_tabla_vida!$X$76)*E2_tabla_vida!$P$76,EXP(-E79*E2_tabla_vida!$X$77)*E2_tabla_vida!$P$77,EXP(-E79*E2_tabla_vida!$X$78)*E2_tabla_vida!$P$78,EXP(-E79*E2_tabla_vida!$X$79)*E2_tabla_vida!$P$79,EXP(-E79*E2_tabla_vida!$X$80)*E2_tabla_vida!$P$80,EXP(-E79*E2_tabla_vida!$X$81)*E2_tabla_vida!$P$81,EXP(-E79*E2_tabla_vida!$X$82)*E2_tabla_vida!$P$82,EXP(-E79*E2_tabla_vida!$X$83)*E2_tabla_vida!$P$83,EXP(-E79*E2_tabla_vida!$X$84)*E2_tabla_vida!$P$84,EXP(-E79*E2_tabla_vida!$X$85)*E2_tabla_vida!$P$85)-1</x:f>
        <x:v>-2.1424688689819504e-9</x:v>
      </x:c>
      <x:c r="G79" s="24" t="n">
        <x:f>SUM(EXP(-C79*E2_tabla_vida!$X$44)*E2_tabla_vida!$P$44,EXP(-C79*E2_tabla_vida!$X$45)*E2_tabla_vida!$P$45,EXP(-C79*E2_tabla_vida!$X$46)*E2_tabla_vida!$P$46,EXP(-C79*E2_tabla_vida!$X$47)*E2_tabla_vida!$P$47,EXP(-C79*E2_tabla_vida!$X$48)*E2_tabla_vida!$P$48,EXP(-C79*E2_tabla_vida!$X$49)*E2_tabla_vida!$P$49,EXP(-C79*E2_tabla_vida!$X$50)*E2_tabla_vida!$P$50,EXP(-C79*E2_tabla_vida!$X$51)*E2_tabla_vida!$P$51,EXP(-C79*E2_tabla_vida!$X$52)*E2_tabla_vida!$P$52,EXP(-C79*E2_tabla_vida!$X$53)*E2_tabla_vida!$P$53,EXP(-C79*E2_tabla_vida!$X$54)*E2_tabla_vida!$P$54,EXP(-C79*E2_tabla_vida!$X$55)*E2_tabla_vida!$P$55,EXP(-C79*E2_tabla_vida!$X$56)*E2_tabla_vida!$P$56,EXP(-C79*E2_tabla_vida!$X$57)*E2_tabla_vida!$P$57,EXP(-C79*E2_tabla_vida!$X$58)*E2_tabla_vida!$P$58,EXP(-C79*E2_tabla_vida!$X$59)*E2_tabla_vida!$P$59,EXP(-C79*E2_tabla_vida!$X$60)*E2_tabla_vida!$P$60,EXP(-C79*E2_tabla_vida!$X$61)*E2_tabla_vida!$P$61,EXP(-C79*E2_tabla_vida!$X$62)*E2_tabla_vida!$P$62,EXP(-C79*E2_tabla_vida!$X$63)*E2_tabla_vida!$P$63,EXP(-C79*E2_tabla_vida!$X$64)*E2_tabla_vida!$P$64,EXP(-C79*E2_tabla_vida!$X$65)*E2_tabla_vida!$P$65,EXP(-C79*E2_tabla_vida!$X$66)*E2_tabla_vida!$P$66,EXP(-C79*E2_tabla_vida!$X$67)*E2_tabla_vida!$P$67,EXP(-C79*E2_tabla_vida!$X$68)*E2_tabla_vida!$P$68,EXP(-C79*E2_tabla_vida!$X$69)*E2_tabla_vida!$P$69,EXP(-C79*E2_tabla_vida!$X$70)*E2_tabla_vida!$P$70,EXP(-C79*E2_tabla_vida!$X$71)*E2_tabla_vida!$P$71,EXP(-C79*E2_tabla_vida!$X$72)*E2_tabla_vida!$P$72,EXP(-C79*E2_tabla_vida!$X$73)*E2_tabla_vida!$P$73,EXP(-C79*E2_tabla_vida!$X$74)*E2_tabla_vida!$P$74,EXP(-C79*E2_tabla_vida!$X$75)*E2_tabla_vida!$P$75,EXP(-C79*E2_tabla_vida!$X$76)*E2_tabla_vida!$P$76,EXP(-C79*E2_tabla_vida!$X$77)*E2_tabla_vida!$P$77,EXP(-C79*E2_tabla_vida!$X$78)*E2_tabla_vida!$P$78,EXP(-C79*E2_tabla_vida!$X$79)*E2_tabla_vida!$P$79,EXP(-C79*E2_tabla_vida!$X$80)*E2_tabla_vida!$P$80,EXP(-C79*E2_tabla_vida!$X$81)*E2_tabla_vida!$P$81,EXP(-C79*E2_tabla_vida!$X$82)*E2_tabla_vida!$P$82,EXP(-C79*E2_tabla_vida!$X$83)*E2_tabla_vida!$P$83,EXP(-C79*E2_tabla_vida!$X$84)*E2_tabla_vida!$P$84,EXP(-C79*E2_tabla_vida!$X$85)*E2_tabla_vida!$P$85)-1</x:f>
        <x:v>8.801543494030284e-9</x:v>
      </x:c>
      <x:c r="H79" s="24" t="n">
        <x:f>SUM(EXP(-D79*E2_tabla_vida!$X$44)*E2_tabla_vida!$P$44,EXP(-D79*E2_tabla_vida!$X$45)*E2_tabla_vida!$P$45,EXP(-D79*E2_tabla_vida!$X$46)*E2_tabla_vida!$P$46,EXP(-D79*E2_tabla_vida!$X$47)*E2_tabla_vida!$P$47,EXP(-D79*E2_tabla_vida!$X$48)*E2_tabla_vida!$P$48,EXP(-D79*E2_tabla_vida!$X$49)*E2_tabla_vida!$P$49,EXP(-D79*E2_tabla_vida!$X$50)*E2_tabla_vida!$P$50,EXP(-D79*E2_tabla_vida!$X$51)*E2_tabla_vida!$P$51,EXP(-D79*E2_tabla_vida!$X$52)*E2_tabla_vida!$P$52,EXP(-D79*E2_tabla_vida!$X$53)*E2_tabla_vida!$P$53,EXP(-D79*E2_tabla_vida!$X$54)*E2_tabla_vida!$P$54,EXP(-D79*E2_tabla_vida!$X$55)*E2_tabla_vida!$P$55,EXP(-D79*E2_tabla_vida!$X$56)*E2_tabla_vida!$P$56,EXP(-D79*E2_tabla_vida!$X$57)*E2_tabla_vida!$P$57,EXP(-D79*E2_tabla_vida!$X$58)*E2_tabla_vida!$P$58,EXP(-D79*E2_tabla_vida!$X$59)*E2_tabla_vida!$P$59,EXP(-D79*E2_tabla_vida!$X$60)*E2_tabla_vida!$P$60,EXP(-D79*E2_tabla_vida!$X$61)*E2_tabla_vida!$P$61,EXP(-D79*E2_tabla_vida!$X$62)*E2_tabla_vida!$P$62,EXP(-D79*E2_tabla_vida!$X$63)*E2_tabla_vida!$P$63,EXP(-D79*E2_tabla_vida!$X$64)*E2_tabla_vida!$P$64,EXP(-D79*E2_tabla_vida!$X$65)*E2_tabla_vida!$P$65,EXP(-D79*E2_tabla_vida!$X$66)*E2_tabla_vida!$P$66,EXP(-D79*E2_tabla_vida!$X$67)*E2_tabla_vida!$P$67,EXP(-D79*E2_tabla_vida!$X$68)*E2_tabla_vida!$P$68,EXP(-D79*E2_tabla_vida!$X$69)*E2_tabla_vida!$P$69,EXP(-D79*E2_tabla_vida!$X$70)*E2_tabla_vida!$P$70,EXP(-D79*E2_tabla_vida!$X$71)*E2_tabla_vida!$P$71,EXP(-D79*E2_tabla_vida!$X$72)*E2_tabla_vida!$P$72,EXP(-D79*E2_tabla_vida!$X$73)*E2_tabla_vida!$P$73,EXP(-D79*E2_tabla_vida!$X$74)*E2_tabla_vida!$P$74,EXP(-D79*E2_tabla_vida!$X$75)*E2_tabla_vida!$P$75,EXP(-D79*E2_tabla_vida!$X$76)*E2_tabla_vida!$P$76,EXP(-D79*E2_tabla_vida!$X$77)*E2_tabla_vida!$P$77,EXP(-D79*E2_tabla_vida!$X$78)*E2_tabla_vida!$P$78,EXP(-D79*E2_tabla_vida!$X$79)*E2_tabla_vida!$P$79,EXP(-D79*E2_tabla_vida!$X$80)*E2_tabla_vida!$P$80,EXP(-D79*E2_tabla_vida!$X$81)*E2_tabla_vida!$P$81,EXP(-D79*E2_tabla_vida!$X$82)*E2_tabla_vida!$P$82,EXP(-D79*E2_tabla_vida!$X$83)*E2_tabla_vida!$P$83,EXP(-D79*E2_tabla_vida!$X$84)*E2_tabla_vida!$P$84,EXP(-D79*E2_tabla_vida!$X$85)*E2_tabla_vida!$P$85)-1</x:f>
        <x:v>-1.3086481343016487e-8</x:v>
      </x:c>
    </x:row>
    <x:row r="80" ht="19" customHeight="1">
      <x:c r="A80" s="2" t="str">
        <x:v>MP_L8</x:v>
      </x:c>
      <x:c r="B80" s="2" t="n">
        <x:v>32</x:v>
      </x:c>
      <x:c r="C80" s="22" t="n">
        <x:f>IF(F79&gt;0,E79,C79)</x:f>
        <x:v>0.19572611758485436</x:v>
      </x:c>
      <x:c r="D80" s="22" t="n">
        <x:f>IF(F79&gt;0,D79,E79)</x:f>
        <x:v>0.1957261182833463</x:v>
      </x:c>
      <x:c r="E80" s="22" t="n">
        <x:f>AVERAGE(C80:D80)</x:f>
        <x:v>0.19572611793410033</x:v>
      </x:c>
      <x:c r="F80" s="24" t="n">
        <x:f>SUM(EXP(-E80*E2_tabla_vida!$X$44)*E2_tabla_vida!$P$44,EXP(-E80*E2_tabla_vida!$X$45)*E2_tabla_vida!$P$45,EXP(-E80*E2_tabla_vida!$X$46)*E2_tabla_vida!$P$46,EXP(-E80*E2_tabla_vida!$X$47)*E2_tabla_vida!$P$47,EXP(-E80*E2_tabla_vida!$X$48)*E2_tabla_vida!$P$48,EXP(-E80*E2_tabla_vida!$X$49)*E2_tabla_vida!$P$49,EXP(-E80*E2_tabla_vida!$X$50)*E2_tabla_vida!$P$50,EXP(-E80*E2_tabla_vida!$X$51)*E2_tabla_vida!$P$51,EXP(-E80*E2_tabla_vida!$X$52)*E2_tabla_vida!$P$52,EXP(-E80*E2_tabla_vida!$X$53)*E2_tabla_vida!$P$53,EXP(-E80*E2_tabla_vida!$X$54)*E2_tabla_vida!$P$54,EXP(-E80*E2_tabla_vida!$X$55)*E2_tabla_vida!$P$55,EXP(-E80*E2_tabla_vida!$X$56)*E2_tabla_vida!$P$56,EXP(-E80*E2_tabla_vida!$X$57)*E2_tabla_vida!$P$57,EXP(-E80*E2_tabla_vida!$X$58)*E2_tabla_vida!$P$58,EXP(-E80*E2_tabla_vida!$X$59)*E2_tabla_vida!$P$59,EXP(-E80*E2_tabla_vida!$X$60)*E2_tabla_vida!$P$60,EXP(-E80*E2_tabla_vida!$X$61)*E2_tabla_vida!$P$61,EXP(-E80*E2_tabla_vida!$X$62)*E2_tabla_vida!$P$62,EXP(-E80*E2_tabla_vida!$X$63)*E2_tabla_vida!$P$63,EXP(-E80*E2_tabla_vida!$X$64)*E2_tabla_vida!$P$64,EXP(-E80*E2_tabla_vida!$X$65)*E2_tabla_vida!$P$65,EXP(-E80*E2_tabla_vida!$X$66)*E2_tabla_vida!$P$66,EXP(-E80*E2_tabla_vida!$X$67)*E2_tabla_vida!$P$67,EXP(-E80*E2_tabla_vida!$X$68)*E2_tabla_vida!$P$68,EXP(-E80*E2_tabla_vida!$X$69)*E2_tabla_vida!$P$69,EXP(-E80*E2_tabla_vida!$X$70)*E2_tabla_vida!$P$70,EXP(-E80*E2_tabla_vida!$X$71)*E2_tabla_vida!$P$71,EXP(-E80*E2_tabla_vida!$X$72)*E2_tabla_vida!$P$72,EXP(-E80*E2_tabla_vida!$X$73)*E2_tabla_vida!$P$73,EXP(-E80*E2_tabla_vida!$X$74)*E2_tabla_vida!$P$74,EXP(-E80*E2_tabla_vida!$X$75)*E2_tabla_vida!$P$75,EXP(-E80*E2_tabla_vida!$X$76)*E2_tabla_vida!$P$76,EXP(-E80*E2_tabla_vida!$X$77)*E2_tabla_vida!$P$77,EXP(-E80*E2_tabla_vida!$X$78)*E2_tabla_vida!$P$78,EXP(-E80*E2_tabla_vida!$X$79)*E2_tabla_vida!$P$79,EXP(-E80*E2_tabla_vida!$X$80)*E2_tabla_vida!$P$80,EXP(-E80*E2_tabla_vida!$X$81)*E2_tabla_vida!$P$81,EXP(-E80*E2_tabla_vida!$X$82)*E2_tabla_vida!$P$82,EXP(-E80*E2_tabla_vida!$X$83)*E2_tabla_vida!$P$83,EXP(-E80*E2_tabla_vida!$X$84)*E2_tabla_vida!$P$84,EXP(-E80*E2_tabla_vida!$X$85)*E2_tabla_vida!$P$85)-1</x:f>
        <x:v>3.3295373125241667e-9</x:v>
      </x:c>
      <x:c r="G80" s="24" t="n">
        <x:f>SUM(EXP(-C80*E2_tabla_vida!$X$44)*E2_tabla_vida!$P$44,EXP(-C80*E2_tabla_vida!$X$45)*E2_tabla_vida!$P$45,EXP(-C80*E2_tabla_vida!$X$46)*E2_tabla_vida!$P$46,EXP(-C80*E2_tabla_vida!$X$47)*E2_tabla_vida!$P$47,EXP(-C80*E2_tabla_vida!$X$48)*E2_tabla_vida!$P$48,EXP(-C80*E2_tabla_vida!$X$49)*E2_tabla_vida!$P$49,EXP(-C80*E2_tabla_vida!$X$50)*E2_tabla_vida!$P$50,EXP(-C80*E2_tabla_vida!$X$51)*E2_tabla_vida!$P$51,EXP(-C80*E2_tabla_vida!$X$52)*E2_tabla_vida!$P$52,EXP(-C80*E2_tabla_vida!$X$53)*E2_tabla_vida!$P$53,EXP(-C80*E2_tabla_vida!$X$54)*E2_tabla_vida!$P$54,EXP(-C80*E2_tabla_vida!$X$55)*E2_tabla_vida!$P$55,EXP(-C80*E2_tabla_vida!$X$56)*E2_tabla_vida!$P$56,EXP(-C80*E2_tabla_vida!$X$57)*E2_tabla_vida!$P$57,EXP(-C80*E2_tabla_vida!$X$58)*E2_tabla_vida!$P$58,EXP(-C80*E2_tabla_vida!$X$59)*E2_tabla_vida!$P$59,EXP(-C80*E2_tabla_vida!$X$60)*E2_tabla_vida!$P$60,EXP(-C80*E2_tabla_vida!$X$61)*E2_tabla_vida!$P$61,EXP(-C80*E2_tabla_vida!$X$62)*E2_tabla_vida!$P$62,EXP(-C80*E2_tabla_vida!$X$63)*E2_tabla_vida!$P$63,EXP(-C80*E2_tabla_vida!$X$64)*E2_tabla_vida!$P$64,EXP(-C80*E2_tabla_vida!$X$65)*E2_tabla_vida!$P$65,EXP(-C80*E2_tabla_vida!$X$66)*E2_tabla_vida!$P$66,EXP(-C80*E2_tabla_vida!$X$67)*E2_tabla_vida!$P$67,EXP(-C80*E2_tabla_vida!$X$68)*E2_tabla_vida!$P$68,EXP(-C80*E2_tabla_vida!$X$69)*E2_tabla_vida!$P$69,EXP(-C80*E2_tabla_vida!$X$70)*E2_tabla_vida!$P$70,EXP(-C80*E2_tabla_vida!$X$71)*E2_tabla_vida!$P$71,EXP(-C80*E2_tabla_vida!$X$72)*E2_tabla_vida!$P$72,EXP(-C80*E2_tabla_vida!$X$73)*E2_tabla_vida!$P$73,EXP(-C80*E2_tabla_vida!$X$74)*E2_tabla_vida!$P$74,EXP(-C80*E2_tabla_vida!$X$75)*E2_tabla_vida!$P$75,EXP(-C80*E2_tabla_vida!$X$76)*E2_tabla_vida!$P$76,EXP(-C80*E2_tabla_vida!$X$77)*E2_tabla_vida!$P$77,EXP(-C80*E2_tabla_vida!$X$78)*E2_tabla_vida!$P$78,EXP(-C80*E2_tabla_vida!$X$79)*E2_tabla_vida!$P$79,EXP(-C80*E2_tabla_vida!$X$80)*E2_tabla_vida!$P$80,EXP(-C80*E2_tabla_vida!$X$81)*E2_tabla_vida!$P$81,EXP(-C80*E2_tabla_vida!$X$82)*E2_tabla_vida!$P$82,EXP(-C80*E2_tabla_vida!$X$83)*E2_tabla_vida!$P$83,EXP(-C80*E2_tabla_vida!$X$84)*E2_tabla_vida!$P$84,EXP(-C80*E2_tabla_vida!$X$85)*E2_tabla_vida!$P$85)-1</x:f>
        <x:v>8.801543494030284e-9</x:v>
      </x:c>
      <x:c r="H80" s="24" t="n">
        <x:f>SUM(EXP(-D80*E2_tabla_vida!$X$44)*E2_tabla_vida!$P$44,EXP(-D80*E2_tabla_vida!$X$45)*E2_tabla_vida!$P$45,EXP(-D80*E2_tabla_vida!$X$46)*E2_tabla_vida!$P$46,EXP(-D80*E2_tabla_vida!$X$47)*E2_tabla_vida!$P$47,EXP(-D80*E2_tabla_vida!$X$48)*E2_tabla_vida!$P$48,EXP(-D80*E2_tabla_vida!$X$49)*E2_tabla_vida!$P$49,EXP(-D80*E2_tabla_vida!$X$50)*E2_tabla_vida!$P$50,EXP(-D80*E2_tabla_vida!$X$51)*E2_tabla_vida!$P$51,EXP(-D80*E2_tabla_vida!$X$52)*E2_tabla_vida!$P$52,EXP(-D80*E2_tabla_vida!$X$53)*E2_tabla_vida!$P$53,EXP(-D80*E2_tabla_vida!$X$54)*E2_tabla_vida!$P$54,EXP(-D80*E2_tabla_vida!$X$55)*E2_tabla_vida!$P$55,EXP(-D80*E2_tabla_vida!$X$56)*E2_tabla_vida!$P$56,EXP(-D80*E2_tabla_vida!$X$57)*E2_tabla_vida!$P$57,EXP(-D80*E2_tabla_vida!$X$58)*E2_tabla_vida!$P$58,EXP(-D80*E2_tabla_vida!$X$59)*E2_tabla_vida!$P$59,EXP(-D80*E2_tabla_vida!$X$60)*E2_tabla_vida!$P$60,EXP(-D80*E2_tabla_vida!$X$61)*E2_tabla_vida!$P$61,EXP(-D80*E2_tabla_vida!$X$62)*E2_tabla_vida!$P$62,EXP(-D80*E2_tabla_vida!$X$63)*E2_tabla_vida!$P$63,EXP(-D80*E2_tabla_vida!$X$64)*E2_tabla_vida!$P$64,EXP(-D80*E2_tabla_vida!$X$65)*E2_tabla_vida!$P$65,EXP(-D80*E2_tabla_vida!$X$66)*E2_tabla_vida!$P$66,EXP(-D80*E2_tabla_vida!$X$67)*E2_tabla_vida!$P$67,EXP(-D80*E2_tabla_vida!$X$68)*E2_tabla_vida!$P$68,EXP(-D80*E2_tabla_vida!$X$69)*E2_tabla_vida!$P$69,EXP(-D80*E2_tabla_vida!$X$70)*E2_tabla_vida!$P$70,EXP(-D80*E2_tabla_vida!$X$71)*E2_tabla_vida!$P$71,EXP(-D80*E2_tabla_vida!$X$72)*E2_tabla_vida!$P$72,EXP(-D80*E2_tabla_vida!$X$73)*E2_tabla_vida!$P$73,EXP(-D80*E2_tabla_vida!$X$74)*E2_tabla_vida!$P$74,EXP(-D80*E2_tabla_vida!$X$75)*E2_tabla_vida!$P$75,EXP(-D80*E2_tabla_vida!$X$76)*E2_tabla_vida!$P$76,EXP(-D80*E2_tabla_vida!$X$77)*E2_tabla_vida!$P$77,EXP(-D80*E2_tabla_vida!$X$78)*E2_tabla_vida!$P$78,EXP(-D80*E2_tabla_vida!$X$79)*E2_tabla_vida!$P$79,EXP(-D80*E2_tabla_vida!$X$80)*E2_tabla_vida!$P$80,EXP(-D80*E2_tabla_vida!$X$81)*E2_tabla_vida!$P$81,EXP(-D80*E2_tabla_vida!$X$82)*E2_tabla_vida!$P$82,EXP(-D80*E2_tabla_vida!$X$83)*E2_tabla_vida!$P$83,EXP(-D80*E2_tabla_vida!$X$84)*E2_tabla_vida!$P$84,EXP(-D80*E2_tabla_vida!$X$85)*E2_tabla_vida!$P$85)-1</x:f>
        <x:v>-2.1424688689819504e-9</x:v>
      </x:c>
    </x:row>
    <x:row r="81" ht="19" customHeight="1">
      <x:c r="A81" s="2" t="str">
        <x:v>MP_L8</x:v>
      </x:c>
      <x:c r="B81" s="2" t="n">
        <x:v>33</x:v>
      </x:c>
      <x:c r="C81" s="22" t="n">
        <x:f>IF(F80&gt;0,E80,C80)</x:f>
        <x:v>0.19572611793410033</x:v>
      </x:c>
      <x:c r="D81" s="22" t="n">
        <x:f>IF(F80&gt;0,D80,E80)</x:f>
        <x:v>0.1957261182833463</x:v>
      </x:c>
      <x:c r="E81" s="22" t="n">
        <x:f>AVERAGE(C81:D81)</x:f>
        <x:v>0.1957261181087233</x:v>
      </x:c>
      <x:c r="F81" s="24" t="n">
        <x:f>SUM(EXP(-E81*E2_tabla_vida!$X$44)*E2_tabla_vida!$P$44,EXP(-E81*E2_tabla_vida!$X$45)*E2_tabla_vida!$P$45,EXP(-E81*E2_tabla_vida!$X$46)*E2_tabla_vida!$P$46,EXP(-E81*E2_tabla_vida!$X$47)*E2_tabla_vida!$P$47,EXP(-E81*E2_tabla_vida!$X$48)*E2_tabla_vida!$P$48,EXP(-E81*E2_tabla_vida!$X$49)*E2_tabla_vida!$P$49,EXP(-E81*E2_tabla_vida!$X$50)*E2_tabla_vida!$P$50,EXP(-E81*E2_tabla_vida!$X$51)*E2_tabla_vida!$P$51,EXP(-E81*E2_tabla_vida!$X$52)*E2_tabla_vida!$P$52,EXP(-E81*E2_tabla_vida!$X$53)*E2_tabla_vida!$P$53,EXP(-E81*E2_tabla_vida!$X$54)*E2_tabla_vida!$P$54,EXP(-E81*E2_tabla_vida!$X$55)*E2_tabla_vida!$P$55,EXP(-E81*E2_tabla_vida!$X$56)*E2_tabla_vida!$P$56,EXP(-E81*E2_tabla_vida!$X$57)*E2_tabla_vida!$P$57,EXP(-E81*E2_tabla_vida!$X$58)*E2_tabla_vida!$P$58,EXP(-E81*E2_tabla_vida!$X$59)*E2_tabla_vida!$P$59,EXP(-E81*E2_tabla_vida!$X$60)*E2_tabla_vida!$P$60,EXP(-E81*E2_tabla_vida!$X$61)*E2_tabla_vida!$P$61,EXP(-E81*E2_tabla_vida!$X$62)*E2_tabla_vida!$P$62,EXP(-E81*E2_tabla_vida!$X$63)*E2_tabla_vida!$P$63,EXP(-E81*E2_tabla_vida!$X$64)*E2_tabla_vida!$P$64,EXP(-E81*E2_tabla_vida!$X$65)*E2_tabla_vida!$P$65,EXP(-E81*E2_tabla_vida!$X$66)*E2_tabla_vida!$P$66,EXP(-E81*E2_tabla_vida!$X$67)*E2_tabla_vida!$P$67,EXP(-E81*E2_tabla_vida!$X$68)*E2_tabla_vida!$P$68,EXP(-E81*E2_tabla_vida!$X$69)*E2_tabla_vida!$P$69,EXP(-E81*E2_tabla_vida!$X$70)*E2_tabla_vida!$P$70,EXP(-E81*E2_tabla_vida!$X$71)*E2_tabla_vida!$P$71,EXP(-E81*E2_tabla_vida!$X$72)*E2_tabla_vida!$P$72,EXP(-E81*E2_tabla_vida!$X$73)*E2_tabla_vida!$P$73,EXP(-E81*E2_tabla_vida!$X$74)*E2_tabla_vida!$P$74,EXP(-E81*E2_tabla_vida!$X$75)*E2_tabla_vida!$P$75,EXP(-E81*E2_tabla_vida!$X$76)*E2_tabla_vida!$P$76,EXP(-E81*E2_tabla_vida!$X$77)*E2_tabla_vida!$P$77,EXP(-E81*E2_tabla_vida!$X$78)*E2_tabla_vida!$P$78,EXP(-E81*E2_tabla_vida!$X$79)*E2_tabla_vida!$P$79,EXP(-E81*E2_tabla_vida!$X$80)*E2_tabla_vida!$P$80,EXP(-E81*E2_tabla_vida!$X$81)*E2_tabla_vida!$P$81,EXP(-E81*E2_tabla_vida!$X$82)*E2_tabla_vida!$P$82,EXP(-E81*E2_tabla_vida!$X$83)*E2_tabla_vida!$P$83,EXP(-E81*E2_tabla_vida!$X$84)*E2_tabla_vida!$P$84,EXP(-E81*E2_tabla_vida!$X$85)*E2_tabla_vida!$P$85)-1</x:f>
        <x:v>5.935341107488057e-10</x:v>
      </x:c>
      <x:c r="G81" s="24" t="n">
        <x:f>SUM(EXP(-C81*E2_tabla_vida!$X$44)*E2_tabla_vida!$P$44,EXP(-C81*E2_tabla_vida!$X$45)*E2_tabla_vida!$P$45,EXP(-C81*E2_tabla_vida!$X$46)*E2_tabla_vida!$P$46,EXP(-C81*E2_tabla_vida!$X$47)*E2_tabla_vida!$P$47,EXP(-C81*E2_tabla_vida!$X$48)*E2_tabla_vida!$P$48,EXP(-C81*E2_tabla_vida!$X$49)*E2_tabla_vida!$P$49,EXP(-C81*E2_tabla_vida!$X$50)*E2_tabla_vida!$P$50,EXP(-C81*E2_tabla_vida!$X$51)*E2_tabla_vida!$P$51,EXP(-C81*E2_tabla_vida!$X$52)*E2_tabla_vida!$P$52,EXP(-C81*E2_tabla_vida!$X$53)*E2_tabla_vida!$P$53,EXP(-C81*E2_tabla_vida!$X$54)*E2_tabla_vida!$P$54,EXP(-C81*E2_tabla_vida!$X$55)*E2_tabla_vida!$P$55,EXP(-C81*E2_tabla_vida!$X$56)*E2_tabla_vida!$P$56,EXP(-C81*E2_tabla_vida!$X$57)*E2_tabla_vida!$P$57,EXP(-C81*E2_tabla_vida!$X$58)*E2_tabla_vida!$P$58,EXP(-C81*E2_tabla_vida!$X$59)*E2_tabla_vida!$P$59,EXP(-C81*E2_tabla_vida!$X$60)*E2_tabla_vida!$P$60,EXP(-C81*E2_tabla_vida!$X$61)*E2_tabla_vida!$P$61,EXP(-C81*E2_tabla_vida!$X$62)*E2_tabla_vida!$P$62,EXP(-C81*E2_tabla_vida!$X$63)*E2_tabla_vida!$P$63,EXP(-C81*E2_tabla_vida!$X$64)*E2_tabla_vida!$P$64,EXP(-C81*E2_tabla_vida!$X$65)*E2_tabla_vida!$P$65,EXP(-C81*E2_tabla_vida!$X$66)*E2_tabla_vida!$P$66,EXP(-C81*E2_tabla_vida!$X$67)*E2_tabla_vida!$P$67,EXP(-C81*E2_tabla_vida!$X$68)*E2_tabla_vida!$P$68,EXP(-C81*E2_tabla_vida!$X$69)*E2_tabla_vida!$P$69,EXP(-C81*E2_tabla_vida!$X$70)*E2_tabla_vida!$P$70,EXP(-C81*E2_tabla_vida!$X$71)*E2_tabla_vida!$P$71,EXP(-C81*E2_tabla_vida!$X$72)*E2_tabla_vida!$P$72,EXP(-C81*E2_tabla_vida!$X$73)*E2_tabla_vida!$P$73,EXP(-C81*E2_tabla_vida!$X$74)*E2_tabla_vida!$P$74,EXP(-C81*E2_tabla_vida!$X$75)*E2_tabla_vida!$P$75,EXP(-C81*E2_tabla_vida!$X$76)*E2_tabla_vida!$P$76,EXP(-C81*E2_tabla_vida!$X$77)*E2_tabla_vida!$P$77,EXP(-C81*E2_tabla_vida!$X$78)*E2_tabla_vida!$P$78,EXP(-C81*E2_tabla_vida!$X$79)*E2_tabla_vida!$P$79,EXP(-C81*E2_tabla_vida!$X$80)*E2_tabla_vida!$P$80,EXP(-C81*E2_tabla_vida!$X$81)*E2_tabla_vida!$P$81,EXP(-C81*E2_tabla_vida!$X$82)*E2_tabla_vida!$P$82,EXP(-C81*E2_tabla_vida!$X$83)*E2_tabla_vida!$P$83,EXP(-C81*E2_tabla_vida!$X$84)*E2_tabla_vida!$P$84,EXP(-C81*E2_tabla_vida!$X$85)*E2_tabla_vida!$P$85)-1</x:f>
        <x:v>3.3295373125241667e-9</x:v>
      </x:c>
      <x:c r="H81" s="24" t="n">
        <x:f>SUM(EXP(-D81*E2_tabla_vida!$X$44)*E2_tabla_vida!$P$44,EXP(-D81*E2_tabla_vida!$X$45)*E2_tabla_vida!$P$45,EXP(-D81*E2_tabla_vida!$X$46)*E2_tabla_vida!$P$46,EXP(-D81*E2_tabla_vida!$X$47)*E2_tabla_vida!$P$47,EXP(-D81*E2_tabla_vida!$X$48)*E2_tabla_vida!$P$48,EXP(-D81*E2_tabla_vida!$X$49)*E2_tabla_vida!$P$49,EXP(-D81*E2_tabla_vida!$X$50)*E2_tabla_vida!$P$50,EXP(-D81*E2_tabla_vida!$X$51)*E2_tabla_vida!$P$51,EXP(-D81*E2_tabla_vida!$X$52)*E2_tabla_vida!$P$52,EXP(-D81*E2_tabla_vida!$X$53)*E2_tabla_vida!$P$53,EXP(-D81*E2_tabla_vida!$X$54)*E2_tabla_vida!$P$54,EXP(-D81*E2_tabla_vida!$X$55)*E2_tabla_vida!$P$55,EXP(-D81*E2_tabla_vida!$X$56)*E2_tabla_vida!$P$56,EXP(-D81*E2_tabla_vida!$X$57)*E2_tabla_vida!$P$57,EXP(-D81*E2_tabla_vida!$X$58)*E2_tabla_vida!$P$58,EXP(-D81*E2_tabla_vida!$X$59)*E2_tabla_vida!$P$59,EXP(-D81*E2_tabla_vida!$X$60)*E2_tabla_vida!$P$60,EXP(-D81*E2_tabla_vida!$X$61)*E2_tabla_vida!$P$61,EXP(-D81*E2_tabla_vida!$X$62)*E2_tabla_vida!$P$62,EXP(-D81*E2_tabla_vida!$X$63)*E2_tabla_vida!$P$63,EXP(-D81*E2_tabla_vida!$X$64)*E2_tabla_vida!$P$64,EXP(-D81*E2_tabla_vida!$X$65)*E2_tabla_vida!$P$65,EXP(-D81*E2_tabla_vida!$X$66)*E2_tabla_vida!$P$66,EXP(-D81*E2_tabla_vida!$X$67)*E2_tabla_vida!$P$67,EXP(-D81*E2_tabla_vida!$X$68)*E2_tabla_vida!$P$68,EXP(-D81*E2_tabla_vida!$X$69)*E2_tabla_vida!$P$69,EXP(-D81*E2_tabla_vida!$X$70)*E2_tabla_vida!$P$70,EXP(-D81*E2_tabla_vida!$X$71)*E2_tabla_vida!$P$71,EXP(-D81*E2_tabla_vida!$X$72)*E2_tabla_vida!$P$72,EXP(-D81*E2_tabla_vida!$X$73)*E2_tabla_vida!$P$73,EXP(-D81*E2_tabla_vida!$X$74)*E2_tabla_vida!$P$74,EXP(-D81*E2_tabla_vida!$X$75)*E2_tabla_vida!$P$75,EXP(-D81*E2_tabla_vida!$X$76)*E2_tabla_vida!$P$76,EXP(-D81*E2_tabla_vida!$X$77)*E2_tabla_vida!$P$77,EXP(-D81*E2_tabla_vida!$X$78)*E2_tabla_vida!$P$78,EXP(-D81*E2_tabla_vida!$X$79)*E2_tabla_vida!$P$79,EXP(-D81*E2_tabla_vida!$X$80)*E2_tabla_vida!$P$80,EXP(-D81*E2_tabla_vida!$X$81)*E2_tabla_vida!$P$81,EXP(-D81*E2_tabla_vida!$X$82)*E2_tabla_vida!$P$82,EXP(-D81*E2_tabla_vida!$X$83)*E2_tabla_vida!$P$83,EXP(-D81*E2_tabla_vida!$X$84)*E2_tabla_vida!$P$84,EXP(-D81*E2_tabla_vida!$X$85)*E2_tabla_vida!$P$85)-1</x:f>
        <x:v>-2.1424688689819504e-9</x:v>
      </x:c>
    </x:row>
    <x:row r="82" ht="19" customHeight="1">
      <x:c r="A82" s="2" t="str">
        <x:v>MP_L8</x:v>
      </x:c>
      <x:c r="B82" s="2" t="n">
        <x:v>34</x:v>
      </x:c>
      <x:c r="C82" s="22" t="n">
        <x:f>IF(F81&gt;0,E81,C81)</x:f>
        <x:v>0.1957261181087233</x:v>
      </x:c>
      <x:c r="D82" s="22" t="n">
        <x:f>IF(F81&gt;0,D81,E81)</x:f>
        <x:v>0.1957261182833463</x:v>
      </x:c>
      <x:c r="E82" s="22" t="n">
        <x:f>AVERAGE(C82:D82)</x:f>
        <x:v>0.1957261181960348</x:v>
      </x:c>
      <x:c r="F82" s="24" t="n">
        <x:f>SUM(EXP(-E82*E2_tabla_vida!$X$44)*E2_tabla_vida!$P$44,EXP(-E82*E2_tabla_vida!$X$45)*E2_tabla_vida!$P$45,EXP(-E82*E2_tabla_vida!$X$46)*E2_tabla_vida!$P$46,EXP(-E82*E2_tabla_vida!$X$47)*E2_tabla_vida!$P$47,EXP(-E82*E2_tabla_vida!$X$48)*E2_tabla_vida!$P$48,EXP(-E82*E2_tabla_vida!$X$49)*E2_tabla_vida!$P$49,EXP(-E82*E2_tabla_vida!$X$50)*E2_tabla_vida!$P$50,EXP(-E82*E2_tabla_vida!$X$51)*E2_tabla_vida!$P$51,EXP(-E82*E2_tabla_vida!$X$52)*E2_tabla_vida!$P$52,EXP(-E82*E2_tabla_vida!$X$53)*E2_tabla_vida!$P$53,EXP(-E82*E2_tabla_vida!$X$54)*E2_tabla_vida!$P$54,EXP(-E82*E2_tabla_vida!$X$55)*E2_tabla_vida!$P$55,EXP(-E82*E2_tabla_vida!$X$56)*E2_tabla_vida!$P$56,EXP(-E82*E2_tabla_vida!$X$57)*E2_tabla_vida!$P$57,EXP(-E82*E2_tabla_vida!$X$58)*E2_tabla_vida!$P$58,EXP(-E82*E2_tabla_vida!$X$59)*E2_tabla_vida!$P$59,EXP(-E82*E2_tabla_vida!$X$60)*E2_tabla_vida!$P$60,EXP(-E82*E2_tabla_vida!$X$61)*E2_tabla_vida!$P$61,EXP(-E82*E2_tabla_vida!$X$62)*E2_tabla_vida!$P$62,EXP(-E82*E2_tabla_vida!$X$63)*E2_tabla_vida!$P$63,EXP(-E82*E2_tabla_vida!$X$64)*E2_tabla_vida!$P$64,EXP(-E82*E2_tabla_vida!$X$65)*E2_tabla_vida!$P$65,EXP(-E82*E2_tabla_vida!$X$66)*E2_tabla_vida!$P$66,EXP(-E82*E2_tabla_vida!$X$67)*E2_tabla_vida!$P$67,EXP(-E82*E2_tabla_vida!$X$68)*E2_tabla_vida!$P$68,EXP(-E82*E2_tabla_vida!$X$69)*E2_tabla_vida!$P$69,EXP(-E82*E2_tabla_vida!$X$70)*E2_tabla_vida!$P$70,EXP(-E82*E2_tabla_vida!$X$71)*E2_tabla_vida!$P$71,EXP(-E82*E2_tabla_vida!$X$72)*E2_tabla_vida!$P$72,EXP(-E82*E2_tabla_vida!$X$73)*E2_tabla_vida!$P$73,EXP(-E82*E2_tabla_vida!$X$74)*E2_tabla_vida!$P$74,EXP(-E82*E2_tabla_vida!$X$75)*E2_tabla_vida!$P$75,EXP(-E82*E2_tabla_vida!$X$76)*E2_tabla_vida!$P$76,EXP(-E82*E2_tabla_vida!$X$77)*E2_tabla_vida!$P$77,EXP(-E82*E2_tabla_vida!$X$78)*E2_tabla_vida!$P$78,EXP(-E82*E2_tabla_vida!$X$79)*E2_tabla_vida!$P$79,EXP(-E82*E2_tabla_vida!$X$80)*E2_tabla_vida!$P$80,EXP(-E82*E2_tabla_vida!$X$81)*E2_tabla_vida!$P$81,EXP(-E82*E2_tabla_vida!$X$82)*E2_tabla_vida!$P$82,EXP(-E82*E2_tabla_vida!$X$83)*E2_tabla_vida!$P$83,EXP(-E82*E2_tabla_vida!$X$84)*E2_tabla_vida!$P$84,EXP(-E82*E2_tabla_vida!$X$85)*E2_tabla_vida!$P$85)-1</x:f>
        <x:v>-7.744673791165724e-10</x:v>
      </x:c>
      <x:c r="G82" s="24" t="n">
        <x:f>SUM(EXP(-C82*E2_tabla_vida!$X$44)*E2_tabla_vida!$P$44,EXP(-C82*E2_tabla_vida!$X$45)*E2_tabla_vida!$P$45,EXP(-C82*E2_tabla_vida!$X$46)*E2_tabla_vida!$P$46,EXP(-C82*E2_tabla_vida!$X$47)*E2_tabla_vida!$P$47,EXP(-C82*E2_tabla_vida!$X$48)*E2_tabla_vida!$P$48,EXP(-C82*E2_tabla_vida!$X$49)*E2_tabla_vida!$P$49,EXP(-C82*E2_tabla_vida!$X$50)*E2_tabla_vida!$P$50,EXP(-C82*E2_tabla_vida!$X$51)*E2_tabla_vida!$P$51,EXP(-C82*E2_tabla_vida!$X$52)*E2_tabla_vida!$P$52,EXP(-C82*E2_tabla_vida!$X$53)*E2_tabla_vida!$P$53,EXP(-C82*E2_tabla_vida!$X$54)*E2_tabla_vida!$P$54,EXP(-C82*E2_tabla_vida!$X$55)*E2_tabla_vida!$P$55,EXP(-C82*E2_tabla_vida!$X$56)*E2_tabla_vida!$P$56,EXP(-C82*E2_tabla_vida!$X$57)*E2_tabla_vida!$P$57,EXP(-C82*E2_tabla_vida!$X$58)*E2_tabla_vida!$P$58,EXP(-C82*E2_tabla_vida!$X$59)*E2_tabla_vida!$P$59,EXP(-C82*E2_tabla_vida!$X$60)*E2_tabla_vida!$P$60,EXP(-C82*E2_tabla_vida!$X$61)*E2_tabla_vida!$P$61,EXP(-C82*E2_tabla_vida!$X$62)*E2_tabla_vida!$P$62,EXP(-C82*E2_tabla_vida!$X$63)*E2_tabla_vida!$P$63,EXP(-C82*E2_tabla_vida!$X$64)*E2_tabla_vida!$P$64,EXP(-C82*E2_tabla_vida!$X$65)*E2_tabla_vida!$P$65,EXP(-C82*E2_tabla_vida!$X$66)*E2_tabla_vida!$P$66,EXP(-C82*E2_tabla_vida!$X$67)*E2_tabla_vida!$P$67,EXP(-C82*E2_tabla_vida!$X$68)*E2_tabla_vida!$P$68,EXP(-C82*E2_tabla_vida!$X$69)*E2_tabla_vida!$P$69,EXP(-C82*E2_tabla_vida!$X$70)*E2_tabla_vida!$P$70,EXP(-C82*E2_tabla_vida!$X$71)*E2_tabla_vida!$P$71,EXP(-C82*E2_tabla_vida!$X$72)*E2_tabla_vida!$P$72,EXP(-C82*E2_tabla_vida!$X$73)*E2_tabla_vida!$P$73,EXP(-C82*E2_tabla_vida!$X$74)*E2_tabla_vida!$P$74,EXP(-C82*E2_tabla_vida!$X$75)*E2_tabla_vida!$P$75,EXP(-C82*E2_tabla_vida!$X$76)*E2_tabla_vida!$P$76,EXP(-C82*E2_tabla_vida!$X$77)*E2_tabla_vida!$P$77,EXP(-C82*E2_tabla_vida!$X$78)*E2_tabla_vida!$P$78,EXP(-C82*E2_tabla_vida!$X$79)*E2_tabla_vida!$P$79,EXP(-C82*E2_tabla_vida!$X$80)*E2_tabla_vida!$P$80,EXP(-C82*E2_tabla_vida!$X$81)*E2_tabla_vida!$P$81,EXP(-C82*E2_tabla_vida!$X$82)*E2_tabla_vida!$P$82,EXP(-C82*E2_tabla_vida!$X$83)*E2_tabla_vida!$P$83,EXP(-C82*E2_tabla_vida!$X$84)*E2_tabla_vida!$P$84,EXP(-C82*E2_tabla_vida!$X$85)*E2_tabla_vida!$P$85)-1</x:f>
        <x:v>5.935341107488057e-10</x:v>
      </x:c>
      <x:c r="H82" s="24" t="n">
        <x:f>SUM(EXP(-D82*E2_tabla_vida!$X$44)*E2_tabla_vida!$P$44,EXP(-D82*E2_tabla_vida!$X$45)*E2_tabla_vida!$P$45,EXP(-D82*E2_tabla_vida!$X$46)*E2_tabla_vida!$P$46,EXP(-D82*E2_tabla_vida!$X$47)*E2_tabla_vida!$P$47,EXP(-D82*E2_tabla_vida!$X$48)*E2_tabla_vida!$P$48,EXP(-D82*E2_tabla_vida!$X$49)*E2_tabla_vida!$P$49,EXP(-D82*E2_tabla_vida!$X$50)*E2_tabla_vida!$P$50,EXP(-D82*E2_tabla_vida!$X$51)*E2_tabla_vida!$P$51,EXP(-D82*E2_tabla_vida!$X$52)*E2_tabla_vida!$P$52,EXP(-D82*E2_tabla_vida!$X$53)*E2_tabla_vida!$P$53,EXP(-D82*E2_tabla_vida!$X$54)*E2_tabla_vida!$P$54,EXP(-D82*E2_tabla_vida!$X$55)*E2_tabla_vida!$P$55,EXP(-D82*E2_tabla_vida!$X$56)*E2_tabla_vida!$P$56,EXP(-D82*E2_tabla_vida!$X$57)*E2_tabla_vida!$P$57,EXP(-D82*E2_tabla_vida!$X$58)*E2_tabla_vida!$P$58,EXP(-D82*E2_tabla_vida!$X$59)*E2_tabla_vida!$P$59,EXP(-D82*E2_tabla_vida!$X$60)*E2_tabla_vida!$P$60,EXP(-D82*E2_tabla_vida!$X$61)*E2_tabla_vida!$P$61,EXP(-D82*E2_tabla_vida!$X$62)*E2_tabla_vida!$P$62,EXP(-D82*E2_tabla_vida!$X$63)*E2_tabla_vida!$P$63,EXP(-D82*E2_tabla_vida!$X$64)*E2_tabla_vida!$P$64,EXP(-D82*E2_tabla_vida!$X$65)*E2_tabla_vida!$P$65,EXP(-D82*E2_tabla_vida!$X$66)*E2_tabla_vida!$P$66,EXP(-D82*E2_tabla_vida!$X$67)*E2_tabla_vida!$P$67,EXP(-D82*E2_tabla_vida!$X$68)*E2_tabla_vida!$P$68,EXP(-D82*E2_tabla_vida!$X$69)*E2_tabla_vida!$P$69,EXP(-D82*E2_tabla_vida!$X$70)*E2_tabla_vida!$P$70,EXP(-D82*E2_tabla_vida!$X$71)*E2_tabla_vida!$P$71,EXP(-D82*E2_tabla_vida!$X$72)*E2_tabla_vida!$P$72,EXP(-D82*E2_tabla_vida!$X$73)*E2_tabla_vida!$P$73,EXP(-D82*E2_tabla_vida!$X$74)*E2_tabla_vida!$P$74,EXP(-D82*E2_tabla_vida!$X$75)*E2_tabla_vida!$P$75,EXP(-D82*E2_tabla_vida!$X$76)*E2_tabla_vida!$P$76,EXP(-D82*E2_tabla_vida!$X$77)*E2_tabla_vida!$P$77,EXP(-D82*E2_tabla_vida!$X$78)*E2_tabla_vida!$P$78,EXP(-D82*E2_tabla_vida!$X$79)*E2_tabla_vida!$P$79,EXP(-D82*E2_tabla_vida!$X$80)*E2_tabla_vida!$P$80,EXP(-D82*E2_tabla_vida!$X$81)*E2_tabla_vida!$P$81,EXP(-D82*E2_tabla_vida!$X$82)*E2_tabla_vida!$P$82,EXP(-D82*E2_tabla_vida!$X$83)*E2_tabla_vida!$P$83,EXP(-D82*E2_tabla_vida!$X$84)*E2_tabla_vida!$P$84,EXP(-D82*E2_tabla_vida!$X$85)*E2_tabla_vida!$P$85)-1</x:f>
        <x:v>-2.1424688689819504e-9</x:v>
      </x:c>
    </x:row>
    <x:row r="83" ht="19" customHeight="1">
      <x:c r="A83" s="2" t="str">
        <x:v>MP_L8</x:v>
      </x:c>
      <x:c r="B83" s="2" t="n">
        <x:v>35</x:v>
      </x:c>
      <x:c r="C83" s="22" t="n">
        <x:f>IF(F82&gt;0,E82,C82)</x:f>
        <x:v>0.1957261181087233</x:v>
      </x:c>
      <x:c r="D83" s="22" t="n">
        <x:f>IF(F82&gt;0,D82,E82)</x:f>
        <x:v>0.1957261181960348</x:v>
      </x:c>
      <x:c r="E83" s="22" t="n">
        <x:f>AVERAGE(C83:D83)</x:f>
        <x:v>0.19572611815237906</x:v>
      </x:c>
      <x:c r="F83" s="24" t="n">
        <x:f>SUM(EXP(-E83*E2_tabla_vida!$X$44)*E2_tabla_vida!$P$44,EXP(-E83*E2_tabla_vida!$X$45)*E2_tabla_vida!$P$45,EXP(-E83*E2_tabla_vida!$X$46)*E2_tabla_vida!$P$46,EXP(-E83*E2_tabla_vida!$X$47)*E2_tabla_vida!$P$47,EXP(-E83*E2_tabla_vida!$X$48)*E2_tabla_vida!$P$48,EXP(-E83*E2_tabla_vida!$X$49)*E2_tabla_vida!$P$49,EXP(-E83*E2_tabla_vida!$X$50)*E2_tabla_vida!$P$50,EXP(-E83*E2_tabla_vida!$X$51)*E2_tabla_vida!$P$51,EXP(-E83*E2_tabla_vida!$X$52)*E2_tabla_vida!$P$52,EXP(-E83*E2_tabla_vida!$X$53)*E2_tabla_vida!$P$53,EXP(-E83*E2_tabla_vida!$X$54)*E2_tabla_vida!$P$54,EXP(-E83*E2_tabla_vida!$X$55)*E2_tabla_vida!$P$55,EXP(-E83*E2_tabla_vida!$X$56)*E2_tabla_vida!$P$56,EXP(-E83*E2_tabla_vida!$X$57)*E2_tabla_vida!$P$57,EXP(-E83*E2_tabla_vida!$X$58)*E2_tabla_vida!$P$58,EXP(-E83*E2_tabla_vida!$X$59)*E2_tabla_vida!$P$59,EXP(-E83*E2_tabla_vida!$X$60)*E2_tabla_vida!$P$60,EXP(-E83*E2_tabla_vida!$X$61)*E2_tabla_vida!$P$61,EXP(-E83*E2_tabla_vida!$X$62)*E2_tabla_vida!$P$62,EXP(-E83*E2_tabla_vida!$X$63)*E2_tabla_vida!$P$63,EXP(-E83*E2_tabla_vida!$X$64)*E2_tabla_vida!$P$64,EXP(-E83*E2_tabla_vida!$X$65)*E2_tabla_vida!$P$65,EXP(-E83*E2_tabla_vida!$X$66)*E2_tabla_vida!$P$66,EXP(-E83*E2_tabla_vida!$X$67)*E2_tabla_vida!$P$67,EXP(-E83*E2_tabla_vida!$X$68)*E2_tabla_vida!$P$68,EXP(-E83*E2_tabla_vida!$X$69)*E2_tabla_vida!$P$69,EXP(-E83*E2_tabla_vida!$X$70)*E2_tabla_vida!$P$70,EXP(-E83*E2_tabla_vida!$X$71)*E2_tabla_vida!$P$71,EXP(-E83*E2_tabla_vida!$X$72)*E2_tabla_vida!$P$72,EXP(-E83*E2_tabla_vida!$X$73)*E2_tabla_vida!$P$73,EXP(-E83*E2_tabla_vida!$X$74)*E2_tabla_vida!$P$74,EXP(-E83*E2_tabla_vida!$X$75)*E2_tabla_vida!$P$75,EXP(-E83*E2_tabla_vida!$X$76)*E2_tabla_vida!$P$76,EXP(-E83*E2_tabla_vida!$X$77)*E2_tabla_vida!$P$77,EXP(-E83*E2_tabla_vida!$X$78)*E2_tabla_vida!$P$78,EXP(-E83*E2_tabla_vida!$X$79)*E2_tabla_vida!$P$79,EXP(-E83*E2_tabla_vida!$X$80)*E2_tabla_vida!$P$80,EXP(-E83*E2_tabla_vida!$X$81)*E2_tabla_vida!$P$81,EXP(-E83*E2_tabla_vida!$X$82)*E2_tabla_vida!$P$82,EXP(-E83*E2_tabla_vida!$X$83)*E2_tabla_vida!$P$83,EXP(-E83*E2_tabla_vida!$X$84)*E2_tabla_vida!$P$84,EXP(-E83*E2_tabla_vida!$X$85)*E2_tabla_vida!$P$85)-1</x:f>
        <x:v>-9.046652316158088e-11</x:v>
      </x:c>
      <x:c r="G83" s="24" t="n">
        <x:f>SUM(EXP(-C83*E2_tabla_vida!$X$44)*E2_tabla_vida!$P$44,EXP(-C83*E2_tabla_vida!$X$45)*E2_tabla_vida!$P$45,EXP(-C83*E2_tabla_vida!$X$46)*E2_tabla_vida!$P$46,EXP(-C83*E2_tabla_vida!$X$47)*E2_tabla_vida!$P$47,EXP(-C83*E2_tabla_vida!$X$48)*E2_tabla_vida!$P$48,EXP(-C83*E2_tabla_vida!$X$49)*E2_tabla_vida!$P$49,EXP(-C83*E2_tabla_vida!$X$50)*E2_tabla_vida!$P$50,EXP(-C83*E2_tabla_vida!$X$51)*E2_tabla_vida!$P$51,EXP(-C83*E2_tabla_vida!$X$52)*E2_tabla_vida!$P$52,EXP(-C83*E2_tabla_vida!$X$53)*E2_tabla_vida!$P$53,EXP(-C83*E2_tabla_vida!$X$54)*E2_tabla_vida!$P$54,EXP(-C83*E2_tabla_vida!$X$55)*E2_tabla_vida!$P$55,EXP(-C83*E2_tabla_vida!$X$56)*E2_tabla_vida!$P$56,EXP(-C83*E2_tabla_vida!$X$57)*E2_tabla_vida!$P$57,EXP(-C83*E2_tabla_vida!$X$58)*E2_tabla_vida!$P$58,EXP(-C83*E2_tabla_vida!$X$59)*E2_tabla_vida!$P$59,EXP(-C83*E2_tabla_vida!$X$60)*E2_tabla_vida!$P$60,EXP(-C83*E2_tabla_vida!$X$61)*E2_tabla_vida!$P$61,EXP(-C83*E2_tabla_vida!$X$62)*E2_tabla_vida!$P$62,EXP(-C83*E2_tabla_vida!$X$63)*E2_tabla_vida!$P$63,EXP(-C83*E2_tabla_vida!$X$64)*E2_tabla_vida!$P$64,EXP(-C83*E2_tabla_vida!$X$65)*E2_tabla_vida!$P$65,EXP(-C83*E2_tabla_vida!$X$66)*E2_tabla_vida!$P$66,EXP(-C83*E2_tabla_vida!$X$67)*E2_tabla_vida!$P$67,EXP(-C83*E2_tabla_vida!$X$68)*E2_tabla_vida!$P$68,EXP(-C83*E2_tabla_vida!$X$69)*E2_tabla_vida!$P$69,EXP(-C83*E2_tabla_vida!$X$70)*E2_tabla_vida!$P$70,EXP(-C83*E2_tabla_vida!$X$71)*E2_tabla_vida!$P$71,EXP(-C83*E2_tabla_vida!$X$72)*E2_tabla_vida!$P$72,EXP(-C83*E2_tabla_vida!$X$73)*E2_tabla_vida!$P$73,EXP(-C83*E2_tabla_vida!$X$74)*E2_tabla_vida!$P$74,EXP(-C83*E2_tabla_vida!$X$75)*E2_tabla_vida!$P$75,EXP(-C83*E2_tabla_vida!$X$76)*E2_tabla_vida!$P$76,EXP(-C83*E2_tabla_vida!$X$77)*E2_tabla_vida!$P$77,EXP(-C83*E2_tabla_vida!$X$78)*E2_tabla_vida!$P$78,EXP(-C83*E2_tabla_vida!$X$79)*E2_tabla_vida!$P$79,EXP(-C83*E2_tabla_vida!$X$80)*E2_tabla_vida!$P$80,EXP(-C83*E2_tabla_vida!$X$81)*E2_tabla_vida!$P$81,EXP(-C83*E2_tabla_vida!$X$82)*E2_tabla_vida!$P$82,EXP(-C83*E2_tabla_vida!$X$83)*E2_tabla_vida!$P$83,EXP(-C83*E2_tabla_vida!$X$84)*E2_tabla_vida!$P$84,EXP(-C83*E2_tabla_vida!$X$85)*E2_tabla_vida!$P$85)-1</x:f>
        <x:v>5.935341107488057e-10</x:v>
      </x:c>
      <x:c r="H83" s="24" t="n">
        <x:f>SUM(EXP(-D83*E2_tabla_vida!$X$44)*E2_tabla_vida!$P$44,EXP(-D83*E2_tabla_vida!$X$45)*E2_tabla_vida!$P$45,EXP(-D83*E2_tabla_vida!$X$46)*E2_tabla_vida!$P$46,EXP(-D83*E2_tabla_vida!$X$47)*E2_tabla_vida!$P$47,EXP(-D83*E2_tabla_vida!$X$48)*E2_tabla_vida!$P$48,EXP(-D83*E2_tabla_vida!$X$49)*E2_tabla_vida!$P$49,EXP(-D83*E2_tabla_vida!$X$50)*E2_tabla_vida!$P$50,EXP(-D83*E2_tabla_vida!$X$51)*E2_tabla_vida!$P$51,EXP(-D83*E2_tabla_vida!$X$52)*E2_tabla_vida!$P$52,EXP(-D83*E2_tabla_vida!$X$53)*E2_tabla_vida!$P$53,EXP(-D83*E2_tabla_vida!$X$54)*E2_tabla_vida!$P$54,EXP(-D83*E2_tabla_vida!$X$55)*E2_tabla_vida!$P$55,EXP(-D83*E2_tabla_vida!$X$56)*E2_tabla_vida!$P$56,EXP(-D83*E2_tabla_vida!$X$57)*E2_tabla_vida!$P$57,EXP(-D83*E2_tabla_vida!$X$58)*E2_tabla_vida!$P$58,EXP(-D83*E2_tabla_vida!$X$59)*E2_tabla_vida!$P$59,EXP(-D83*E2_tabla_vida!$X$60)*E2_tabla_vida!$P$60,EXP(-D83*E2_tabla_vida!$X$61)*E2_tabla_vida!$P$61,EXP(-D83*E2_tabla_vida!$X$62)*E2_tabla_vida!$P$62,EXP(-D83*E2_tabla_vida!$X$63)*E2_tabla_vida!$P$63,EXP(-D83*E2_tabla_vida!$X$64)*E2_tabla_vida!$P$64,EXP(-D83*E2_tabla_vida!$X$65)*E2_tabla_vida!$P$65,EXP(-D83*E2_tabla_vida!$X$66)*E2_tabla_vida!$P$66,EXP(-D83*E2_tabla_vida!$X$67)*E2_tabla_vida!$P$67,EXP(-D83*E2_tabla_vida!$X$68)*E2_tabla_vida!$P$68,EXP(-D83*E2_tabla_vida!$X$69)*E2_tabla_vida!$P$69,EXP(-D83*E2_tabla_vida!$X$70)*E2_tabla_vida!$P$70,EXP(-D83*E2_tabla_vida!$X$71)*E2_tabla_vida!$P$71,EXP(-D83*E2_tabla_vida!$X$72)*E2_tabla_vida!$P$72,EXP(-D83*E2_tabla_vida!$X$73)*E2_tabla_vida!$P$73,EXP(-D83*E2_tabla_vida!$X$74)*E2_tabla_vida!$P$74,EXP(-D83*E2_tabla_vida!$X$75)*E2_tabla_vida!$P$75,EXP(-D83*E2_tabla_vida!$X$76)*E2_tabla_vida!$P$76,EXP(-D83*E2_tabla_vida!$X$77)*E2_tabla_vida!$P$77,EXP(-D83*E2_tabla_vida!$X$78)*E2_tabla_vida!$P$78,EXP(-D83*E2_tabla_vida!$X$79)*E2_tabla_vida!$P$79,EXP(-D83*E2_tabla_vida!$X$80)*E2_tabla_vida!$P$80,EXP(-D83*E2_tabla_vida!$X$81)*E2_tabla_vida!$P$81,EXP(-D83*E2_tabla_vida!$X$82)*E2_tabla_vida!$P$82,EXP(-D83*E2_tabla_vida!$X$83)*E2_tabla_vida!$P$83,EXP(-D83*E2_tabla_vida!$X$84)*E2_tabla_vida!$P$84,EXP(-D83*E2_tabla_vida!$X$85)*E2_tabla_vida!$P$85)-1</x:f>
        <x:v>-7.744673791165724e-10</x:v>
      </x:c>
    </x:row>
    <x:row r="84" ht="19" customHeight="1">
      <x:c r="A84" s="2" t="str">
        <x:v>MP_L8</x:v>
      </x:c>
      <x:c r="B84" s="2" t="n">
        <x:v>36</x:v>
      </x:c>
      <x:c r="C84" s="22" t="n">
        <x:f>IF(F83&gt;0,E83,C83)</x:f>
        <x:v>0.1957261181087233</x:v>
      </x:c>
      <x:c r="D84" s="22" t="n">
        <x:f>IF(F83&gt;0,D83,E83)</x:f>
        <x:v>0.19572611815237906</x:v>
      </x:c>
      <x:c r="E84" s="22" t="n">
        <x:f>AVERAGE(C84:D84)</x:f>
        <x:v>0.19572611813055119</x:v>
      </x:c>
      <x:c r="F84" s="24" t="n">
        <x:f>SUM(EXP(-E84*E2_tabla_vida!$X$44)*E2_tabla_vida!$P$44,EXP(-E84*E2_tabla_vida!$X$45)*E2_tabla_vida!$P$45,EXP(-E84*E2_tabla_vida!$X$46)*E2_tabla_vida!$P$46,EXP(-E84*E2_tabla_vida!$X$47)*E2_tabla_vida!$P$47,EXP(-E84*E2_tabla_vida!$X$48)*E2_tabla_vida!$P$48,EXP(-E84*E2_tabla_vida!$X$49)*E2_tabla_vida!$P$49,EXP(-E84*E2_tabla_vida!$X$50)*E2_tabla_vida!$P$50,EXP(-E84*E2_tabla_vida!$X$51)*E2_tabla_vida!$P$51,EXP(-E84*E2_tabla_vida!$X$52)*E2_tabla_vida!$P$52,EXP(-E84*E2_tabla_vida!$X$53)*E2_tabla_vida!$P$53,EXP(-E84*E2_tabla_vida!$X$54)*E2_tabla_vida!$P$54,EXP(-E84*E2_tabla_vida!$X$55)*E2_tabla_vida!$P$55,EXP(-E84*E2_tabla_vida!$X$56)*E2_tabla_vida!$P$56,EXP(-E84*E2_tabla_vida!$X$57)*E2_tabla_vida!$P$57,EXP(-E84*E2_tabla_vida!$X$58)*E2_tabla_vida!$P$58,EXP(-E84*E2_tabla_vida!$X$59)*E2_tabla_vida!$P$59,EXP(-E84*E2_tabla_vida!$X$60)*E2_tabla_vida!$P$60,EXP(-E84*E2_tabla_vida!$X$61)*E2_tabla_vida!$P$61,EXP(-E84*E2_tabla_vida!$X$62)*E2_tabla_vida!$P$62,EXP(-E84*E2_tabla_vida!$X$63)*E2_tabla_vida!$P$63,EXP(-E84*E2_tabla_vida!$X$64)*E2_tabla_vida!$P$64,EXP(-E84*E2_tabla_vida!$X$65)*E2_tabla_vida!$P$65,EXP(-E84*E2_tabla_vida!$X$66)*E2_tabla_vida!$P$66,EXP(-E84*E2_tabla_vida!$X$67)*E2_tabla_vida!$P$67,EXP(-E84*E2_tabla_vida!$X$68)*E2_tabla_vida!$P$68,EXP(-E84*E2_tabla_vida!$X$69)*E2_tabla_vida!$P$69,EXP(-E84*E2_tabla_vida!$X$70)*E2_tabla_vida!$P$70,EXP(-E84*E2_tabla_vida!$X$71)*E2_tabla_vida!$P$71,EXP(-E84*E2_tabla_vida!$X$72)*E2_tabla_vida!$P$72,EXP(-E84*E2_tabla_vida!$X$73)*E2_tabla_vida!$P$73,EXP(-E84*E2_tabla_vida!$X$74)*E2_tabla_vida!$P$74,EXP(-E84*E2_tabla_vida!$X$75)*E2_tabla_vida!$P$75,EXP(-E84*E2_tabla_vida!$X$76)*E2_tabla_vida!$P$76,EXP(-E84*E2_tabla_vida!$X$77)*E2_tabla_vida!$P$77,EXP(-E84*E2_tabla_vida!$X$78)*E2_tabla_vida!$P$78,EXP(-E84*E2_tabla_vida!$X$79)*E2_tabla_vida!$P$79,EXP(-E84*E2_tabla_vida!$X$80)*E2_tabla_vida!$P$80,EXP(-E84*E2_tabla_vida!$X$81)*E2_tabla_vida!$P$81,EXP(-E84*E2_tabla_vida!$X$82)*E2_tabla_vida!$P$82,EXP(-E84*E2_tabla_vida!$X$83)*E2_tabla_vida!$P$83,EXP(-E84*E2_tabla_vida!$X$84)*E2_tabla_vida!$P$84,EXP(-E84*E2_tabla_vida!$X$85)*E2_tabla_vida!$P$85)-1</x:f>
        <x:v>2.5153390481591487e-10</x:v>
      </x:c>
      <x:c r="G84" s="24" t="n">
        <x:f>SUM(EXP(-C84*E2_tabla_vida!$X$44)*E2_tabla_vida!$P$44,EXP(-C84*E2_tabla_vida!$X$45)*E2_tabla_vida!$P$45,EXP(-C84*E2_tabla_vida!$X$46)*E2_tabla_vida!$P$46,EXP(-C84*E2_tabla_vida!$X$47)*E2_tabla_vida!$P$47,EXP(-C84*E2_tabla_vida!$X$48)*E2_tabla_vida!$P$48,EXP(-C84*E2_tabla_vida!$X$49)*E2_tabla_vida!$P$49,EXP(-C84*E2_tabla_vida!$X$50)*E2_tabla_vida!$P$50,EXP(-C84*E2_tabla_vida!$X$51)*E2_tabla_vida!$P$51,EXP(-C84*E2_tabla_vida!$X$52)*E2_tabla_vida!$P$52,EXP(-C84*E2_tabla_vida!$X$53)*E2_tabla_vida!$P$53,EXP(-C84*E2_tabla_vida!$X$54)*E2_tabla_vida!$P$54,EXP(-C84*E2_tabla_vida!$X$55)*E2_tabla_vida!$P$55,EXP(-C84*E2_tabla_vida!$X$56)*E2_tabla_vida!$P$56,EXP(-C84*E2_tabla_vida!$X$57)*E2_tabla_vida!$P$57,EXP(-C84*E2_tabla_vida!$X$58)*E2_tabla_vida!$P$58,EXP(-C84*E2_tabla_vida!$X$59)*E2_tabla_vida!$P$59,EXP(-C84*E2_tabla_vida!$X$60)*E2_tabla_vida!$P$60,EXP(-C84*E2_tabla_vida!$X$61)*E2_tabla_vida!$P$61,EXP(-C84*E2_tabla_vida!$X$62)*E2_tabla_vida!$P$62,EXP(-C84*E2_tabla_vida!$X$63)*E2_tabla_vida!$P$63,EXP(-C84*E2_tabla_vida!$X$64)*E2_tabla_vida!$P$64,EXP(-C84*E2_tabla_vida!$X$65)*E2_tabla_vida!$P$65,EXP(-C84*E2_tabla_vida!$X$66)*E2_tabla_vida!$P$66,EXP(-C84*E2_tabla_vida!$X$67)*E2_tabla_vida!$P$67,EXP(-C84*E2_tabla_vida!$X$68)*E2_tabla_vida!$P$68,EXP(-C84*E2_tabla_vida!$X$69)*E2_tabla_vida!$P$69,EXP(-C84*E2_tabla_vida!$X$70)*E2_tabla_vida!$P$70,EXP(-C84*E2_tabla_vida!$X$71)*E2_tabla_vida!$P$71,EXP(-C84*E2_tabla_vida!$X$72)*E2_tabla_vida!$P$72,EXP(-C84*E2_tabla_vida!$X$73)*E2_tabla_vida!$P$73,EXP(-C84*E2_tabla_vida!$X$74)*E2_tabla_vida!$P$74,EXP(-C84*E2_tabla_vida!$X$75)*E2_tabla_vida!$P$75,EXP(-C84*E2_tabla_vida!$X$76)*E2_tabla_vida!$P$76,EXP(-C84*E2_tabla_vida!$X$77)*E2_tabla_vida!$P$77,EXP(-C84*E2_tabla_vida!$X$78)*E2_tabla_vida!$P$78,EXP(-C84*E2_tabla_vida!$X$79)*E2_tabla_vida!$P$79,EXP(-C84*E2_tabla_vida!$X$80)*E2_tabla_vida!$P$80,EXP(-C84*E2_tabla_vida!$X$81)*E2_tabla_vida!$P$81,EXP(-C84*E2_tabla_vida!$X$82)*E2_tabla_vida!$P$82,EXP(-C84*E2_tabla_vida!$X$83)*E2_tabla_vida!$P$83,EXP(-C84*E2_tabla_vida!$X$84)*E2_tabla_vida!$P$84,EXP(-C84*E2_tabla_vida!$X$85)*E2_tabla_vida!$P$85)-1</x:f>
        <x:v>5.935341107488057e-10</x:v>
      </x:c>
      <x:c r="H84" s="24" t="n">
        <x:f>SUM(EXP(-D84*E2_tabla_vida!$X$44)*E2_tabla_vida!$P$44,EXP(-D84*E2_tabla_vida!$X$45)*E2_tabla_vida!$P$45,EXP(-D84*E2_tabla_vida!$X$46)*E2_tabla_vida!$P$46,EXP(-D84*E2_tabla_vida!$X$47)*E2_tabla_vida!$P$47,EXP(-D84*E2_tabla_vida!$X$48)*E2_tabla_vida!$P$48,EXP(-D84*E2_tabla_vida!$X$49)*E2_tabla_vida!$P$49,EXP(-D84*E2_tabla_vida!$X$50)*E2_tabla_vida!$P$50,EXP(-D84*E2_tabla_vida!$X$51)*E2_tabla_vida!$P$51,EXP(-D84*E2_tabla_vida!$X$52)*E2_tabla_vida!$P$52,EXP(-D84*E2_tabla_vida!$X$53)*E2_tabla_vida!$P$53,EXP(-D84*E2_tabla_vida!$X$54)*E2_tabla_vida!$P$54,EXP(-D84*E2_tabla_vida!$X$55)*E2_tabla_vida!$P$55,EXP(-D84*E2_tabla_vida!$X$56)*E2_tabla_vida!$P$56,EXP(-D84*E2_tabla_vida!$X$57)*E2_tabla_vida!$P$57,EXP(-D84*E2_tabla_vida!$X$58)*E2_tabla_vida!$P$58,EXP(-D84*E2_tabla_vida!$X$59)*E2_tabla_vida!$P$59,EXP(-D84*E2_tabla_vida!$X$60)*E2_tabla_vida!$P$60,EXP(-D84*E2_tabla_vida!$X$61)*E2_tabla_vida!$P$61,EXP(-D84*E2_tabla_vida!$X$62)*E2_tabla_vida!$P$62,EXP(-D84*E2_tabla_vida!$X$63)*E2_tabla_vida!$P$63,EXP(-D84*E2_tabla_vida!$X$64)*E2_tabla_vida!$P$64,EXP(-D84*E2_tabla_vida!$X$65)*E2_tabla_vida!$P$65,EXP(-D84*E2_tabla_vida!$X$66)*E2_tabla_vida!$P$66,EXP(-D84*E2_tabla_vida!$X$67)*E2_tabla_vida!$P$67,EXP(-D84*E2_tabla_vida!$X$68)*E2_tabla_vida!$P$68,EXP(-D84*E2_tabla_vida!$X$69)*E2_tabla_vida!$P$69,EXP(-D84*E2_tabla_vida!$X$70)*E2_tabla_vida!$P$70,EXP(-D84*E2_tabla_vida!$X$71)*E2_tabla_vida!$P$71,EXP(-D84*E2_tabla_vida!$X$72)*E2_tabla_vida!$P$72,EXP(-D84*E2_tabla_vida!$X$73)*E2_tabla_vida!$P$73,EXP(-D84*E2_tabla_vida!$X$74)*E2_tabla_vida!$P$74,EXP(-D84*E2_tabla_vida!$X$75)*E2_tabla_vida!$P$75,EXP(-D84*E2_tabla_vida!$X$76)*E2_tabla_vida!$P$76,EXP(-D84*E2_tabla_vida!$X$77)*E2_tabla_vida!$P$77,EXP(-D84*E2_tabla_vida!$X$78)*E2_tabla_vida!$P$78,EXP(-D84*E2_tabla_vida!$X$79)*E2_tabla_vida!$P$79,EXP(-D84*E2_tabla_vida!$X$80)*E2_tabla_vida!$P$80,EXP(-D84*E2_tabla_vida!$X$81)*E2_tabla_vida!$P$81,EXP(-D84*E2_tabla_vida!$X$82)*E2_tabla_vida!$P$82,EXP(-D84*E2_tabla_vida!$X$83)*E2_tabla_vida!$P$83,EXP(-D84*E2_tabla_vida!$X$84)*E2_tabla_vida!$P$84,EXP(-D84*E2_tabla_vida!$X$85)*E2_tabla_vida!$P$85)-1</x:f>
        <x:v>-9.046652316158088e-11</x:v>
      </x:c>
    </x:row>
    <x:row r="85" ht="19" customHeight="1">
      <x:c r="A85" s="2" t="str">
        <x:v>MP_L8</x:v>
      </x:c>
      <x:c r="B85" s="2" t="n">
        <x:v>37</x:v>
      </x:c>
      <x:c r="C85" s="22" t="n">
        <x:f>IF(F84&gt;0,E84,C84)</x:f>
        <x:v>0.19572611813055119</x:v>
      </x:c>
      <x:c r="D85" s="22" t="n">
        <x:f>IF(F84&gt;0,D84,E84)</x:f>
        <x:v>0.19572611815237906</x:v>
      </x:c>
      <x:c r="E85" s="22" t="n">
        <x:f>AVERAGE(C85:D85)</x:f>
        <x:v>0.19572611814146512</x:v>
      </x:c>
      <x:c r="F85" s="24" t="n">
        <x:f>SUM(EXP(-E85*E2_tabla_vida!$X$44)*E2_tabla_vida!$P$44,EXP(-E85*E2_tabla_vida!$X$45)*E2_tabla_vida!$P$45,EXP(-E85*E2_tabla_vida!$X$46)*E2_tabla_vida!$P$46,EXP(-E85*E2_tabla_vida!$X$47)*E2_tabla_vida!$P$47,EXP(-E85*E2_tabla_vida!$X$48)*E2_tabla_vida!$P$48,EXP(-E85*E2_tabla_vida!$X$49)*E2_tabla_vida!$P$49,EXP(-E85*E2_tabla_vida!$X$50)*E2_tabla_vida!$P$50,EXP(-E85*E2_tabla_vida!$X$51)*E2_tabla_vida!$P$51,EXP(-E85*E2_tabla_vida!$X$52)*E2_tabla_vida!$P$52,EXP(-E85*E2_tabla_vida!$X$53)*E2_tabla_vida!$P$53,EXP(-E85*E2_tabla_vida!$X$54)*E2_tabla_vida!$P$54,EXP(-E85*E2_tabla_vida!$X$55)*E2_tabla_vida!$P$55,EXP(-E85*E2_tabla_vida!$X$56)*E2_tabla_vida!$P$56,EXP(-E85*E2_tabla_vida!$X$57)*E2_tabla_vida!$P$57,EXP(-E85*E2_tabla_vida!$X$58)*E2_tabla_vida!$P$58,EXP(-E85*E2_tabla_vida!$X$59)*E2_tabla_vida!$P$59,EXP(-E85*E2_tabla_vida!$X$60)*E2_tabla_vida!$P$60,EXP(-E85*E2_tabla_vida!$X$61)*E2_tabla_vida!$P$61,EXP(-E85*E2_tabla_vida!$X$62)*E2_tabla_vida!$P$62,EXP(-E85*E2_tabla_vida!$X$63)*E2_tabla_vida!$P$63,EXP(-E85*E2_tabla_vida!$X$64)*E2_tabla_vida!$P$64,EXP(-E85*E2_tabla_vida!$X$65)*E2_tabla_vida!$P$65,EXP(-E85*E2_tabla_vida!$X$66)*E2_tabla_vida!$P$66,EXP(-E85*E2_tabla_vida!$X$67)*E2_tabla_vida!$P$67,EXP(-E85*E2_tabla_vida!$X$68)*E2_tabla_vida!$P$68,EXP(-E85*E2_tabla_vida!$X$69)*E2_tabla_vida!$P$69,EXP(-E85*E2_tabla_vida!$X$70)*E2_tabla_vida!$P$70,EXP(-E85*E2_tabla_vida!$X$71)*E2_tabla_vida!$P$71,EXP(-E85*E2_tabla_vida!$X$72)*E2_tabla_vida!$P$72,EXP(-E85*E2_tabla_vida!$X$73)*E2_tabla_vida!$P$73,EXP(-E85*E2_tabla_vida!$X$74)*E2_tabla_vida!$P$74,EXP(-E85*E2_tabla_vida!$X$75)*E2_tabla_vida!$P$75,EXP(-E85*E2_tabla_vida!$X$76)*E2_tabla_vida!$P$76,EXP(-E85*E2_tabla_vida!$X$77)*E2_tabla_vida!$P$77,EXP(-E85*E2_tabla_vida!$X$78)*E2_tabla_vida!$P$78,EXP(-E85*E2_tabla_vida!$X$79)*E2_tabla_vida!$P$79,EXP(-E85*E2_tabla_vida!$X$80)*E2_tabla_vida!$P$80,EXP(-E85*E2_tabla_vida!$X$81)*E2_tabla_vida!$P$81,EXP(-E85*E2_tabla_vida!$X$82)*E2_tabla_vida!$P$82,EXP(-E85*E2_tabla_vida!$X$83)*E2_tabla_vida!$P$83,EXP(-E85*E2_tabla_vida!$X$84)*E2_tabla_vida!$P$84,EXP(-E85*E2_tabla_vida!$X$85)*E2_tabla_vida!$P$85)-1</x:f>
        <x:v>8.053380184946946e-11</x:v>
      </x:c>
      <x:c r="G85" s="24" t="n">
        <x:f>SUM(EXP(-C85*E2_tabla_vida!$X$44)*E2_tabla_vida!$P$44,EXP(-C85*E2_tabla_vida!$X$45)*E2_tabla_vida!$P$45,EXP(-C85*E2_tabla_vida!$X$46)*E2_tabla_vida!$P$46,EXP(-C85*E2_tabla_vida!$X$47)*E2_tabla_vida!$P$47,EXP(-C85*E2_tabla_vida!$X$48)*E2_tabla_vida!$P$48,EXP(-C85*E2_tabla_vida!$X$49)*E2_tabla_vida!$P$49,EXP(-C85*E2_tabla_vida!$X$50)*E2_tabla_vida!$P$50,EXP(-C85*E2_tabla_vida!$X$51)*E2_tabla_vida!$P$51,EXP(-C85*E2_tabla_vida!$X$52)*E2_tabla_vida!$P$52,EXP(-C85*E2_tabla_vida!$X$53)*E2_tabla_vida!$P$53,EXP(-C85*E2_tabla_vida!$X$54)*E2_tabla_vida!$P$54,EXP(-C85*E2_tabla_vida!$X$55)*E2_tabla_vida!$P$55,EXP(-C85*E2_tabla_vida!$X$56)*E2_tabla_vida!$P$56,EXP(-C85*E2_tabla_vida!$X$57)*E2_tabla_vida!$P$57,EXP(-C85*E2_tabla_vida!$X$58)*E2_tabla_vida!$P$58,EXP(-C85*E2_tabla_vida!$X$59)*E2_tabla_vida!$P$59,EXP(-C85*E2_tabla_vida!$X$60)*E2_tabla_vida!$P$60,EXP(-C85*E2_tabla_vida!$X$61)*E2_tabla_vida!$P$61,EXP(-C85*E2_tabla_vida!$X$62)*E2_tabla_vida!$P$62,EXP(-C85*E2_tabla_vida!$X$63)*E2_tabla_vida!$P$63,EXP(-C85*E2_tabla_vida!$X$64)*E2_tabla_vida!$P$64,EXP(-C85*E2_tabla_vida!$X$65)*E2_tabla_vida!$P$65,EXP(-C85*E2_tabla_vida!$X$66)*E2_tabla_vida!$P$66,EXP(-C85*E2_tabla_vida!$X$67)*E2_tabla_vida!$P$67,EXP(-C85*E2_tabla_vida!$X$68)*E2_tabla_vida!$P$68,EXP(-C85*E2_tabla_vida!$X$69)*E2_tabla_vida!$P$69,EXP(-C85*E2_tabla_vida!$X$70)*E2_tabla_vida!$P$70,EXP(-C85*E2_tabla_vida!$X$71)*E2_tabla_vida!$P$71,EXP(-C85*E2_tabla_vida!$X$72)*E2_tabla_vida!$P$72,EXP(-C85*E2_tabla_vida!$X$73)*E2_tabla_vida!$P$73,EXP(-C85*E2_tabla_vida!$X$74)*E2_tabla_vida!$P$74,EXP(-C85*E2_tabla_vida!$X$75)*E2_tabla_vida!$P$75,EXP(-C85*E2_tabla_vida!$X$76)*E2_tabla_vida!$P$76,EXP(-C85*E2_tabla_vida!$X$77)*E2_tabla_vida!$P$77,EXP(-C85*E2_tabla_vida!$X$78)*E2_tabla_vida!$P$78,EXP(-C85*E2_tabla_vida!$X$79)*E2_tabla_vida!$P$79,EXP(-C85*E2_tabla_vida!$X$80)*E2_tabla_vida!$P$80,EXP(-C85*E2_tabla_vida!$X$81)*E2_tabla_vida!$P$81,EXP(-C85*E2_tabla_vida!$X$82)*E2_tabla_vida!$P$82,EXP(-C85*E2_tabla_vida!$X$83)*E2_tabla_vida!$P$83,EXP(-C85*E2_tabla_vida!$X$84)*E2_tabla_vida!$P$84,EXP(-C85*E2_tabla_vida!$X$85)*E2_tabla_vida!$P$85)-1</x:f>
        <x:v>2.5153390481591487e-10</x:v>
      </x:c>
      <x:c r="H85" s="24" t="n">
        <x:f>SUM(EXP(-D85*E2_tabla_vida!$X$44)*E2_tabla_vida!$P$44,EXP(-D85*E2_tabla_vida!$X$45)*E2_tabla_vida!$P$45,EXP(-D85*E2_tabla_vida!$X$46)*E2_tabla_vida!$P$46,EXP(-D85*E2_tabla_vida!$X$47)*E2_tabla_vida!$P$47,EXP(-D85*E2_tabla_vida!$X$48)*E2_tabla_vida!$P$48,EXP(-D85*E2_tabla_vida!$X$49)*E2_tabla_vida!$P$49,EXP(-D85*E2_tabla_vida!$X$50)*E2_tabla_vida!$P$50,EXP(-D85*E2_tabla_vida!$X$51)*E2_tabla_vida!$P$51,EXP(-D85*E2_tabla_vida!$X$52)*E2_tabla_vida!$P$52,EXP(-D85*E2_tabla_vida!$X$53)*E2_tabla_vida!$P$53,EXP(-D85*E2_tabla_vida!$X$54)*E2_tabla_vida!$P$54,EXP(-D85*E2_tabla_vida!$X$55)*E2_tabla_vida!$P$55,EXP(-D85*E2_tabla_vida!$X$56)*E2_tabla_vida!$P$56,EXP(-D85*E2_tabla_vida!$X$57)*E2_tabla_vida!$P$57,EXP(-D85*E2_tabla_vida!$X$58)*E2_tabla_vida!$P$58,EXP(-D85*E2_tabla_vida!$X$59)*E2_tabla_vida!$P$59,EXP(-D85*E2_tabla_vida!$X$60)*E2_tabla_vida!$P$60,EXP(-D85*E2_tabla_vida!$X$61)*E2_tabla_vida!$P$61,EXP(-D85*E2_tabla_vida!$X$62)*E2_tabla_vida!$P$62,EXP(-D85*E2_tabla_vida!$X$63)*E2_tabla_vida!$P$63,EXP(-D85*E2_tabla_vida!$X$64)*E2_tabla_vida!$P$64,EXP(-D85*E2_tabla_vida!$X$65)*E2_tabla_vida!$P$65,EXP(-D85*E2_tabla_vida!$X$66)*E2_tabla_vida!$P$66,EXP(-D85*E2_tabla_vida!$X$67)*E2_tabla_vida!$P$67,EXP(-D85*E2_tabla_vida!$X$68)*E2_tabla_vida!$P$68,EXP(-D85*E2_tabla_vida!$X$69)*E2_tabla_vida!$P$69,EXP(-D85*E2_tabla_vida!$X$70)*E2_tabla_vida!$P$70,EXP(-D85*E2_tabla_vida!$X$71)*E2_tabla_vida!$P$71,EXP(-D85*E2_tabla_vida!$X$72)*E2_tabla_vida!$P$72,EXP(-D85*E2_tabla_vida!$X$73)*E2_tabla_vida!$P$73,EXP(-D85*E2_tabla_vida!$X$74)*E2_tabla_vida!$P$74,EXP(-D85*E2_tabla_vida!$X$75)*E2_tabla_vida!$P$75,EXP(-D85*E2_tabla_vida!$X$76)*E2_tabla_vida!$P$76,EXP(-D85*E2_tabla_vida!$X$77)*E2_tabla_vida!$P$77,EXP(-D85*E2_tabla_vida!$X$78)*E2_tabla_vida!$P$78,EXP(-D85*E2_tabla_vida!$X$79)*E2_tabla_vida!$P$79,EXP(-D85*E2_tabla_vida!$X$80)*E2_tabla_vida!$P$80,EXP(-D85*E2_tabla_vida!$X$81)*E2_tabla_vida!$P$81,EXP(-D85*E2_tabla_vida!$X$82)*E2_tabla_vida!$P$82,EXP(-D85*E2_tabla_vida!$X$83)*E2_tabla_vida!$P$83,EXP(-D85*E2_tabla_vida!$X$84)*E2_tabla_vida!$P$84,EXP(-D85*E2_tabla_vida!$X$85)*E2_tabla_vida!$P$85)-1</x:f>
        <x:v>-9.046652316158088e-11</x:v>
      </x:c>
    </x:row>
    <x:row r="86" ht="19" customHeight="1">
      <x:c r="A86" s="2" t="str">
        <x:v>MP_L8</x:v>
      </x:c>
      <x:c r="B86" s="2" t="n">
        <x:v>38</x:v>
      </x:c>
      <x:c r="C86" s="22" t="n">
        <x:f>IF(F85&gt;0,E85,C85)</x:f>
        <x:v>0.19572611814146512</x:v>
      </x:c>
      <x:c r="D86" s="22" t="n">
        <x:f>IF(F85&gt;0,D85,E85)</x:f>
        <x:v>0.19572611815237906</x:v>
      </x:c>
      <x:c r="E86" s="22" t="n">
        <x:f>AVERAGE(C86:D86)</x:f>
        <x:v>0.1957261181469221</x:v>
      </x:c>
      <x:c r="F86" s="24" t="n">
        <x:f>SUM(EXP(-E86*E2_tabla_vida!$X$44)*E2_tabla_vida!$P$44,EXP(-E86*E2_tabla_vida!$X$45)*E2_tabla_vida!$P$45,EXP(-E86*E2_tabla_vida!$X$46)*E2_tabla_vida!$P$46,EXP(-E86*E2_tabla_vida!$X$47)*E2_tabla_vida!$P$47,EXP(-E86*E2_tabla_vida!$X$48)*E2_tabla_vida!$P$48,EXP(-E86*E2_tabla_vida!$X$49)*E2_tabla_vida!$P$49,EXP(-E86*E2_tabla_vida!$X$50)*E2_tabla_vida!$P$50,EXP(-E86*E2_tabla_vida!$X$51)*E2_tabla_vida!$P$51,EXP(-E86*E2_tabla_vida!$X$52)*E2_tabla_vida!$P$52,EXP(-E86*E2_tabla_vida!$X$53)*E2_tabla_vida!$P$53,EXP(-E86*E2_tabla_vida!$X$54)*E2_tabla_vida!$P$54,EXP(-E86*E2_tabla_vida!$X$55)*E2_tabla_vida!$P$55,EXP(-E86*E2_tabla_vida!$X$56)*E2_tabla_vida!$P$56,EXP(-E86*E2_tabla_vida!$X$57)*E2_tabla_vida!$P$57,EXP(-E86*E2_tabla_vida!$X$58)*E2_tabla_vida!$P$58,EXP(-E86*E2_tabla_vida!$X$59)*E2_tabla_vida!$P$59,EXP(-E86*E2_tabla_vida!$X$60)*E2_tabla_vida!$P$60,EXP(-E86*E2_tabla_vida!$X$61)*E2_tabla_vida!$P$61,EXP(-E86*E2_tabla_vida!$X$62)*E2_tabla_vida!$P$62,EXP(-E86*E2_tabla_vida!$X$63)*E2_tabla_vida!$P$63,EXP(-E86*E2_tabla_vida!$X$64)*E2_tabla_vida!$P$64,EXP(-E86*E2_tabla_vida!$X$65)*E2_tabla_vida!$P$65,EXP(-E86*E2_tabla_vida!$X$66)*E2_tabla_vida!$P$66,EXP(-E86*E2_tabla_vida!$X$67)*E2_tabla_vida!$P$67,EXP(-E86*E2_tabla_vida!$X$68)*E2_tabla_vida!$P$68,EXP(-E86*E2_tabla_vida!$X$69)*E2_tabla_vida!$P$69,EXP(-E86*E2_tabla_vida!$X$70)*E2_tabla_vida!$P$70,EXP(-E86*E2_tabla_vida!$X$71)*E2_tabla_vida!$P$71,EXP(-E86*E2_tabla_vida!$X$72)*E2_tabla_vida!$P$72,EXP(-E86*E2_tabla_vida!$X$73)*E2_tabla_vida!$P$73,EXP(-E86*E2_tabla_vida!$X$74)*E2_tabla_vida!$P$74,EXP(-E86*E2_tabla_vida!$X$75)*E2_tabla_vida!$P$75,EXP(-E86*E2_tabla_vida!$X$76)*E2_tabla_vida!$P$76,EXP(-E86*E2_tabla_vida!$X$77)*E2_tabla_vida!$P$77,EXP(-E86*E2_tabla_vida!$X$78)*E2_tabla_vida!$P$78,EXP(-E86*E2_tabla_vida!$X$79)*E2_tabla_vida!$P$79,EXP(-E86*E2_tabla_vida!$X$80)*E2_tabla_vida!$P$80,EXP(-E86*E2_tabla_vida!$X$81)*E2_tabla_vida!$P$81,EXP(-E86*E2_tabla_vida!$X$82)*E2_tabla_vida!$P$82,EXP(-E86*E2_tabla_vida!$X$83)*E2_tabla_vida!$P$83,EXP(-E86*E2_tabla_vida!$X$84)*E2_tabla_vida!$P$84,EXP(-E86*E2_tabla_vida!$X$85)*E2_tabla_vida!$P$85)-1</x:f>
        <x:v>-4.966471678358175e-12</x:v>
      </x:c>
      <x:c r="G86" s="24" t="n">
        <x:f>SUM(EXP(-C86*E2_tabla_vida!$X$44)*E2_tabla_vida!$P$44,EXP(-C86*E2_tabla_vida!$X$45)*E2_tabla_vida!$P$45,EXP(-C86*E2_tabla_vida!$X$46)*E2_tabla_vida!$P$46,EXP(-C86*E2_tabla_vida!$X$47)*E2_tabla_vida!$P$47,EXP(-C86*E2_tabla_vida!$X$48)*E2_tabla_vida!$P$48,EXP(-C86*E2_tabla_vida!$X$49)*E2_tabla_vida!$P$49,EXP(-C86*E2_tabla_vida!$X$50)*E2_tabla_vida!$P$50,EXP(-C86*E2_tabla_vida!$X$51)*E2_tabla_vida!$P$51,EXP(-C86*E2_tabla_vida!$X$52)*E2_tabla_vida!$P$52,EXP(-C86*E2_tabla_vida!$X$53)*E2_tabla_vida!$P$53,EXP(-C86*E2_tabla_vida!$X$54)*E2_tabla_vida!$P$54,EXP(-C86*E2_tabla_vida!$X$55)*E2_tabla_vida!$P$55,EXP(-C86*E2_tabla_vida!$X$56)*E2_tabla_vida!$P$56,EXP(-C86*E2_tabla_vida!$X$57)*E2_tabla_vida!$P$57,EXP(-C86*E2_tabla_vida!$X$58)*E2_tabla_vida!$P$58,EXP(-C86*E2_tabla_vida!$X$59)*E2_tabla_vida!$P$59,EXP(-C86*E2_tabla_vida!$X$60)*E2_tabla_vida!$P$60,EXP(-C86*E2_tabla_vida!$X$61)*E2_tabla_vida!$P$61,EXP(-C86*E2_tabla_vida!$X$62)*E2_tabla_vida!$P$62,EXP(-C86*E2_tabla_vida!$X$63)*E2_tabla_vida!$P$63,EXP(-C86*E2_tabla_vida!$X$64)*E2_tabla_vida!$P$64,EXP(-C86*E2_tabla_vida!$X$65)*E2_tabla_vida!$P$65,EXP(-C86*E2_tabla_vida!$X$66)*E2_tabla_vida!$P$66,EXP(-C86*E2_tabla_vida!$X$67)*E2_tabla_vida!$P$67,EXP(-C86*E2_tabla_vida!$X$68)*E2_tabla_vida!$P$68,EXP(-C86*E2_tabla_vida!$X$69)*E2_tabla_vida!$P$69,EXP(-C86*E2_tabla_vida!$X$70)*E2_tabla_vida!$P$70,EXP(-C86*E2_tabla_vida!$X$71)*E2_tabla_vida!$P$71,EXP(-C86*E2_tabla_vida!$X$72)*E2_tabla_vida!$P$72,EXP(-C86*E2_tabla_vida!$X$73)*E2_tabla_vida!$P$73,EXP(-C86*E2_tabla_vida!$X$74)*E2_tabla_vida!$P$74,EXP(-C86*E2_tabla_vida!$X$75)*E2_tabla_vida!$P$75,EXP(-C86*E2_tabla_vida!$X$76)*E2_tabla_vida!$P$76,EXP(-C86*E2_tabla_vida!$X$77)*E2_tabla_vida!$P$77,EXP(-C86*E2_tabla_vida!$X$78)*E2_tabla_vida!$P$78,EXP(-C86*E2_tabla_vida!$X$79)*E2_tabla_vida!$P$79,EXP(-C86*E2_tabla_vida!$X$80)*E2_tabla_vida!$P$80,EXP(-C86*E2_tabla_vida!$X$81)*E2_tabla_vida!$P$81,EXP(-C86*E2_tabla_vida!$X$82)*E2_tabla_vida!$P$82,EXP(-C86*E2_tabla_vida!$X$83)*E2_tabla_vida!$P$83,EXP(-C86*E2_tabla_vida!$X$84)*E2_tabla_vida!$P$84,EXP(-C86*E2_tabla_vida!$X$85)*E2_tabla_vida!$P$85)-1</x:f>
        <x:v>8.053380184946946e-11</x:v>
      </x:c>
      <x:c r="H86" s="24" t="n">
        <x:f>SUM(EXP(-D86*E2_tabla_vida!$X$44)*E2_tabla_vida!$P$44,EXP(-D86*E2_tabla_vida!$X$45)*E2_tabla_vida!$P$45,EXP(-D86*E2_tabla_vida!$X$46)*E2_tabla_vida!$P$46,EXP(-D86*E2_tabla_vida!$X$47)*E2_tabla_vida!$P$47,EXP(-D86*E2_tabla_vida!$X$48)*E2_tabla_vida!$P$48,EXP(-D86*E2_tabla_vida!$X$49)*E2_tabla_vida!$P$49,EXP(-D86*E2_tabla_vida!$X$50)*E2_tabla_vida!$P$50,EXP(-D86*E2_tabla_vida!$X$51)*E2_tabla_vida!$P$51,EXP(-D86*E2_tabla_vida!$X$52)*E2_tabla_vida!$P$52,EXP(-D86*E2_tabla_vida!$X$53)*E2_tabla_vida!$P$53,EXP(-D86*E2_tabla_vida!$X$54)*E2_tabla_vida!$P$54,EXP(-D86*E2_tabla_vida!$X$55)*E2_tabla_vida!$P$55,EXP(-D86*E2_tabla_vida!$X$56)*E2_tabla_vida!$P$56,EXP(-D86*E2_tabla_vida!$X$57)*E2_tabla_vida!$P$57,EXP(-D86*E2_tabla_vida!$X$58)*E2_tabla_vida!$P$58,EXP(-D86*E2_tabla_vida!$X$59)*E2_tabla_vida!$P$59,EXP(-D86*E2_tabla_vida!$X$60)*E2_tabla_vida!$P$60,EXP(-D86*E2_tabla_vida!$X$61)*E2_tabla_vida!$P$61,EXP(-D86*E2_tabla_vida!$X$62)*E2_tabla_vida!$P$62,EXP(-D86*E2_tabla_vida!$X$63)*E2_tabla_vida!$P$63,EXP(-D86*E2_tabla_vida!$X$64)*E2_tabla_vida!$P$64,EXP(-D86*E2_tabla_vida!$X$65)*E2_tabla_vida!$P$65,EXP(-D86*E2_tabla_vida!$X$66)*E2_tabla_vida!$P$66,EXP(-D86*E2_tabla_vida!$X$67)*E2_tabla_vida!$P$67,EXP(-D86*E2_tabla_vida!$X$68)*E2_tabla_vida!$P$68,EXP(-D86*E2_tabla_vida!$X$69)*E2_tabla_vida!$P$69,EXP(-D86*E2_tabla_vida!$X$70)*E2_tabla_vida!$P$70,EXP(-D86*E2_tabla_vida!$X$71)*E2_tabla_vida!$P$71,EXP(-D86*E2_tabla_vida!$X$72)*E2_tabla_vida!$P$72,EXP(-D86*E2_tabla_vida!$X$73)*E2_tabla_vida!$P$73,EXP(-D86*E2_tabla_vida!$X$74)*E2_tabla_vida!$P$74,EXP(-D86*E2_tabla_vida!$X$75)*E2_tabla_vida!$P$75,EXP(-D86*E2_tabla_vida!$X$76)*E2_tabla_vida!$P$76,EXP(-D86*E2_tabla_vida!$X$77)*E2_tabla_vida!$P$77,EXP(-D86*E2_tabla_vida!$X$78)*E2_tabla_vida!$P$78,EXP(-D86*E2_tabla_vida!$X$79)*E2_tabla_vida!$P$79,EXP(-D86*E2_tabla_vida!$X$80)*E2_tabla_vida!$P$80,EXP(-D86*E2_tabla_vida!$X$81)*E2_tabla_vida!$P$81,EXP(-D86*E2_tabla_vida!$X$82)*E2_tabla_vida!$P$82,EXP(-D86*E2_tabla_vida!$X$83)*E2_tabla_vida!$P$83,EXP(-D86*E2_tabla_vida!$X$84)*E2_tabla_vida!$P$84,EXP(-D86*E2_tabla_vida!$X$85)*E2_tabla_vida!$P$85)-1</x:f>
        <x:v>-9.046652316158088e-11</x:v>
      </x:c>
    </x:row>
    <x:row r="87" ht="19" customHeight="1">
      <x:c r="A87" s="2" t="str">
        <x:v>MP_L8</x:v>
      </x:c>
      <x:c r="B87" s="2" t="n">
        <x:v>39</x:v>
      </x:c>
      <x:c r="C87" s="22" t="n">
        <x:f>IF(F86&gt;0,E86,C86)</x:f>
        <x:v>0.19572611814146512</x:v>
      </x:c>
      <x:c r="D87" s="22" t="n">
        <x:f>IF(F86&gt;0,D86,E86)</x:f>
        <x:v>0.1957261181469221</x:v>
      </x:c>
      <x:c r="E87" s="22" t="n">
        <x:f>AVERAGE(C87:D87)</x:f>
        <x:v>0.1957261181441936</x:v>
      </x:c>
      <x:c r="F87" s="24" t="n">
        <x:f>SUM(EXP(-E87*E2_tabla_vida!$X$44)*E2_tabla_vida!$P$44,EXP(-E87*E2_tabla_vida!$X$45)*E2_tabla_vida!$P$45,EXP(-E87*E2_tabla_vida!$X$46)*E2_tabla_vida!$P$46,EXP(-E87*E2_tabla_vida!$X$47)*E2_tabla_vida!$P$47,EXP(-E87*E2_tabla_vida!$X$48)*E2_tabla_vida!$P$48,EXP(-E87*E2_tabla_vida!$X$49)*E2_tabla_vida!$P$49,EXP(-E87*E2_tabla_vida!$X$50)*E2_tabla_vida!$P$50,EXP(-E87*E2_tabla_vida!$X$51)*E2_tabla_vida!$P$51,EXP(-E87*E2_tabla_vida!$X$52)*E2_tabla_vida!$P$52,EXP(-E87*E2_tabla_vida!$X$53)*E2_tabla_vida!$P$53,EXP(-E87*E2_tabla_vida!$X$54)*E2_tabla_vida!$P$54,EXP(-E87*E2_tabla_vida!$X$55)*E2_tabla_vida!$P$55,EXP(-E87*E2_tabla_vida!$X$56)*E2_tabla_vida!$P$56,EXP(-E87*E2_tabla_vida!$X$57)*E2_tabla_vida!$P$57,EXP(-E87*E2_tabla_vida!$X$58)*E2_tabla_vida!$P$58,EXP(-E87*E2_tabla_vida!$X$59)*E2_tabla_vida!$P$59,EXP(-E87*E2_tabla_vida!$X$60)*E2_tabla_vida!$P$60,EXP(-E87*E2_tabla_vida!$X$61)*E2_tabla_vida!$P$61,EXP(-E87*E2_tabla_vida!$X$62)*E2_tabla_vida!$P$62,EXP(-E87*E2_tabla_vida!$X$63)*E2_tabla_vida!$P$63,EXP(-E87*E2_tabla_vida!$X$64)*E2_tabla_vida!$P$64,EXP(-E87*E2_tabla_vida!$X$65)*E2_tabla_vida!$P$65,EXP(-E87*E2_tabla_vida!$X$66)*E2_tabla_vida!$P$66,EXP(-E87*E2_tabla_vida!$X$67)*E2_tabla_vida!$P$67,EXP(-E87*E2_tabla_vida!$X$68)*E2_tabla_vida!$P$68,EXP(-E87*E2_tabla_vida!$X$69)*E2_tabla_vida!$P$69,EXP(-E87*E2_tabla_vida!$X$70)*E2_tabla_vida!$P$70,EXP(-E87*E2_tabla_vida!$X$71)*E2_tabla_vida!$P$71,EXP(-E87*E2_tabla_vida!$X$72)*E2_tabla_vida!$P$72,EXP(-E87*E2_tabla_vida!$X$73)*E2_tabla_vida!$P$73,EXP(-E87*E2_tabla_vida!$X$74)*E2_tabla_vida!$P$74,EXP(-E87*E2_tabla_vida!$X$75)*E2_tabla_vida!$P$75,EXP(-E87*E2_tabla_vida!$X$76)*E2_tabla_vida!$P$76,EXP(-E87*E2_tabla_vida!$X$77)*E2_tabla_vida!$P$77,EXP(-E87*E2_tabla_vida!$X$78)*E2_tabla_vida!$P$78,EXP(-E87*E2_tabla_vida!$X$79)*E2_tabla_vida!$P$79,EXP(-E87*E2_tabla_vida!$X$80)*E2_tabla_vida!$P$80,EXP(-E87*E2_tabla_vida!$X$81)*E2_tabla_vida!$P$81,EXP(-E87*E2_tabla_vida!$X$82)*E2_tabla_vida!$P$82,EXP(-E87*E2_tabla_vida!$X$83)*E2_tabla_vida!$P$83,EXP(-E87*E2_tabla_vida!$X$84)*E2_tabla_vida!$P$84,EXP(-E87*E2_tabla_vida!$X$85)*E2_tabla_vida!$P$85)-1</x:f>
        <x:v>3.77837761078581e-11</x:v>
      </x:c>
      <x:c r="G87" s="24" t="n">
        <x:f>SUM(EXP(-C87*E2_tabla_vida!$X$44)*E2_tabla_vida!$P$44,EXP(-C87*E2_tabla_vida!$X$45)*E2_tabla_vida!$P$45,EXP(-C87*E2_tabla_vida!$X$46)*E2_tabla_vida!$P$46,EXP(-C87*E2_tabla_vida!$X$47)*E2_tabla_vida!$P$47,EXP(-C87*E2_tabla_vida!$X$48)*E2_tabla_vida!$P$48,EXP(-C87*E2_tabla_vida!$X$49)*E2_tabla_vida!$P$49,EXP(-C87*E2_tabla_vida!$X$50)*E2_tabla_vida!$P$50,EXP(-C87*E2_tabla_vida!$X$51)*E2_tabla_vida!$P$51,EXP(-C87*E2_tabla_vida!$X$52)*E2_tabla_vida!$P$52,EXP(-C87*E2_tabla_vida!$X$53)*E2_tabla_vida!$P$53,EXP(-C87*E2_tabla_vida!$X$54)*E2_tabla_vida!$P$54,EXP(-C87*E2_tabla_vida!$X$55)*E2_tabla_vida!$P$55,EXP(-C87*E2_tabla_vida!$X$56)*E2_tabla_vida!$P$56,EXP(-C87*E2_tabla_vida!$X$57)*E2_tabla_vida!$P$57,EXP(-C87*E2_tabla_vida!$X$58)*E2_tabla_vida!$P$58,EXP(-C87*E2_tabla_vida!$X$59)*E2_tabla_vida!$P$59,EXP(-C87*E2_tabla_vida!$X$60)*E2_tabla_vida!$P$60,EXP(-C87*E2_tabla_vida!$X$61)*E2_tabla_vida!$P$61,EXP(-C87*E2_tabla_vida!$X$62)*E2_tabla_vida!$P$62,EXP(-C87*E2_tabla_vida!$X$63)*E2_tabla_vida!$P$63,EXP(-C87*E2_tabla_vida!$X$64)*E2_tabla_vida!$P$64,EXP(-C87*E2_tabla_vida!$X$65)*E2_tabla_vida!$P$65,EXP(-C87*E2_tabla_vida!$X$66)*E2_tabla_vida!$P$66,EXP(-C87*E2_tabla_vida!$X$67)*E2_tabla_vida!$P$67,EXP(-C87*E2_tabla_vida!$X$68)*E2_tabla_vida!$P$68,EXP(-C87*E2_tabla_vida!$X$69)*E2_tabla_vida!$P$69,EXP(-C87*E2_tabla_vida!$X$70)*E2_tabla_vida!$P$70,EXP(-C87*E2_tabla_vida!$X$71)*E2_tabla_vida!$P$71,EXP(-C87*E2_tabla_vida!$X$72)*E2_tabla_vida!$P$72,EXP(-C87*E2_tabla_vida!$X$73)*E2_tabla_vida!$P$73,EXP(-C87*E2_tabla_vida!$X$74)*E2_tabla_vida!$P$74,EXP(-C87*E2_tabla_vida!$X$75)*E2_tabla_vida!$P$75,EXP(-C87*E2_tabla_vida!$X$76)*E2_tabla_vida!$P$76,EXP(-C87*E2_tabla_vida!$X$77)*E2_tabla_vida!$P$77,EXP(-C87*E2_tabla_vida!$X$78)*E2_tabla_vida!$P$78,EXP(-C87*E2_tabla_vida!$X$79)*E2_tabla_vida!$P$79,EXP(-C87*E2_tabla_vida!$X$80)*E2_tabla_vida!$P$80,EXP(-C87*E2_tabla_vida!$X$81)*E2_tabla_vida!$P$81,EXP(-C87*E2_tabla_vida!$X$82)*E2_tabla_vida!$P$82,EXP(-C87*E2_tabla_vida!$X$83)*E2_tabla_vida!$P$83,EXP(-C87*E2_tabla_vida!$X$84)*E2_tabla_vida!$P$84,EXP(-C87*E2_tabla_vida!$X$85)*E2_tabla_vida!$P$85)-1</x:f>
        <x:v>8.053380184946946e-11</x:v>
      </x:c>
      <x:c r="H87" s="24" t="n">
        <x:f>SUM(EXP(-D87*E2_tabla_vida!$X$44)*E2_tabla_vida!$P$44,EXP(-D87*E2_tabla_vida!$X$45)*E2_tabla_vida!$P$45,EXP(-D87*E2_tabla_vida!$X$46)*E2_tabla_vida!$P$46,EXP(-D87*E2_tabla_vida!$X$47)*E2_tabla_vida!$P$47,EXP(-D87*E2_tabla_vida!$X$48)*E2_tabla_vida!$P$48,EXP(-D87*E2_tabla_vida!$X$49)*E2_tabla_vida!$P$49,EXP(-D87*E2_tabla_vida!$X$50)*E2_tabla_vida!$P$50,EXP(-D87*E2_tabla_vida!$X$51)*E2_tabla_vida!$P$51,EXP(-D87*E2_tabla_vida!$X$52)*E2_tabla_vida!$P$52,EXP(-D87*E2_tabla_vida!$X$53)*E2_tabla_vida!$P$53,EXP(-D87*E2_tabla_vida!$X$54)*E2_tabla_vida!$P$54,EXP(-D87*E2_tabla_vida!$X$55)*E2_tabla_vida!$P$55,EXP(-D87*E2_tabla_vida!$X$56)*E2_tabla_vida!$P$56,EXP(-D87*E2_tabla_vida!$X$57)*E2_tabla_vida!$P$57,EXP(-D87*E2_tabla_vida!$X$58)*E2_tabla_vida!$P$58,EXP(-D87*E2_tabla_vida!$X$59)*E2_tabla_vida!$P$59,EXP(-D87*E2_tabla_vida!$X$60)*E2_tabla_vida!$P$60,EXP(-D87*E2_tabla_vida!$X$61)*E2_tabla_vida!$P$61,EXP(-D87*E2_tabla_vida!$X$62)*E2_tabla_vida!$P$62,EXP(-D87*E2_tabla_vida!$X$63)*E2_tabla_vida!$P$63,EXP(-D87*E2_tabla_vida!$X$64)*E2_tabla_vida!$P$64,EXP(-D87*E2_tabla_vida!$X$65)*E2_tabla_vida!$P$65,EXP(-D87*E2_tabla_vida!$X$66)*E2_tabla_vida!$P$66,EXP(-D87*E2_tabla_vida!$X$67)*E2_tabla_vida!$P$67,EXP(-D87*E2_tabla_vida!$X$68)*E2_tabla_vida!$P$68,EXP(-D87*E2_tabla_vida!$X$69)*E2_tabla_vida!$P$69,EXP(-D87*E2_tabla_vida!$X$70)*E2_tabla_vida!$P$70,EXP(-D87*E2_tabla_vida!$X$71)*E2_tabla_vida!$P$71,EXP(-D87*E2_tabla_vida!$X$72)*E2_tabla_vida!$P$72,EXP(-D87*E2_tabla_vida!$X$73)*E2_tabla_vida!$P$73,EXP(-D87*E2_tabla_vida!$X$74)*E2_tabla_vida!$P$74,EXP(-D87*E2_tabla_vida!$X$75)*E2_tabla_vida!$P$75,EXP(-D87*E2_tabla_vida!$X$76)*E2_tabla_vida!$P$76,EXP(-D87*E2_tabla_vida!$X$77)*E2_tabla_vida!$P$77,EXP(-D87*E2_tabla_vida!$X$78)*E2_tabla_vida!$P$78,EXP(-D87*E2_tabla_vida!$X$79)*E2_tabla_vida!$P$79,EXP(-D87*E2_tabla_vida!$X$80)*E2_tabla_vida!$P$80,EXP(-D87*E2_tabla_vida!$X$81)*E2_tabla_vida!$P$81,EXP(-D87*E2_tabla_vida!$X$82)*E2_tabla_vida!$P$82,EXP(-D87*E2_tabla_vida!$X$83)*E2_tabla_vida!$P$83,EXP(-D87*E2_tabla_vida!$X$84)*E2_tabla_vida!$P$84,EXP(-D87*E2_tabla_vida!$X$85)*E2_tabla_vida!$P$85)-1</x:f>
        <x:v>-4.966471678358175e-12</x:v>
      </x:c>
    </x:row>
    <x:row r="88" ht="19" customHeight="1">
      <x:c r="A88" s="2" t="str">
        <x:v>MP_L8</x:v>
      </x:c>
      <x:c r="B88" s="2" t="n">
        <x:v>40</x:v>
      </x:c>
      <x:c r="C88" s="22" t="n">
        <x:f>IF(F87&gt;0,E87,C87)</x:f>
        <x:v>0.1957261181441936</x:v>
      </x:c>
      <x:c r="D88" s="22" t="n">
        <x:f>IF(F87&gt;0,D87,E87)</x:f>
        <x:v>0.1957261181469221</x:v>
      </x:c>
      <x:c r="E88" s="22" t="n">
        <x:f>AVERAGE(C88:D88)</x:f>
        <x:v>0.19572611814555785</x:v>
      </x:c>
      <x:c r="F88" s="24" t="n">
        <x:f>SUM(EXP(-E88*E2_tabla_vida!$X$44)*E2_tabla_vida!$P$44,EXP(-E88*E2_tabla_vida!$X$45)*E2_tabla_vida!$P$45,EXP(-E88*E2_tabla_vida!$X$46)*E2_tabla_vida!$P$46,EXP(-E88*E2_tabla_vida!$X$47)*E2_tabla_vida!$P$47,EXP(-E88*E2_tabla_vida!$X$48)*E2_tabla_vida!$P$48,EXP(-E88*E2_tabla_vida!$X$49)*E2_tabla_vida!$P$49,EXP(-E88*E2_tabla_vida!$X$50)*E2_tabla_vida!$P$50,EXP(-E88*E2_tabla_vida!$X$51)*E2_tabla_vida!$P$51,EXP(-E88*E2_tabla_vida!$X$52)*E2_tabla_vida!$P$52,EXP(-E88*E2_tabla_vida!$X$53)*E2_tabla_vida!$P$53,EXP(-E88*E2_tabla_vida!$X$54)*E2_tabla_vida!$P$54,EXP(-E88*E2_tabla_vida!$X$55)*E2_tabla_vida!$P$55,EXP(-E88*E2_tabla_vida!$X$56)*E2_tabla_vida!$P$56,EXP(-E88*E2_tabla_vida!$X$57)*E2_tabla_vida!$P$57,EXP(-E88*E2_tabla_vida!$X$58)*E2_tabla_vida!$P$58,EXP(-E88*E2_tabla_vida!$X$59)*E2_tabla_vida!$P$59,EXP(-E88*E2_tabla_vida!$X$60)*E2_tabla_vida!$P$60,EXP(-E88*E2_tabla_vida!$X$61)*E2_tabla_vida!$P$61,EXP(-E88*E2_tabla_vida!$X$62)*E2_tabla_vida!$P$62,EXP(-E88*E2_tabla_vida!$X$63)*E2_tabla_vida!$P$63,EXP(-E88*E2_tabla_vida!$X$64)*E2_tabla_vida!$P$64,EXP(-E88*E2_tabla_vida!$X$65)*E2_tabla_vida!$P$65,EXP(-E88*E2_tabla_vida!$X$66)*E2_tabla_vida!$P$66,EXP(-E88*E2_tabla_vida!$X$67)*E2_tabla_vida!$P$67,EXP(-E88*E2_tabla_vida!$X$68)*E2_tabla_vida!$P$68,EXP(-E88*E2_tabla_vida!$X$69)*E2_tabla_vida!$P$69,EXP(-E88*E2_tabla_vida!$X$70)*E2_tabla_vida!$P$70,EXP(-E88*E2_tabla_vida!$X$71)*E2_tabla_vida!$P$71,EXP(-E88*E2_tabla_vida!$X$72)*E2_tabla_vida!$P$72,EXP(-E88*E2_tabla_vida!$X$73)*E2_tabla_vida!$P$73,EXP(-E88*E2_tabla_vida!$X$74)*E2_tabla_vida!$P$74,EXP(-E88*E2_tabla_vida!$X$75)*E2_tabla_vida!$P$75,EXP(-E88*E2_tabla_vida!$X$76)*E2_tabla_vida!$P$76,EXP(-E88*E2_tabla_vida!$X$77)*E2_tabla_vida!$P$77,EXP(-E88*E2_tabla_vida!$X$78)*E2_tabla_vida!$P$78,EXP(-E88*E2_tabla_vida!$X$79)*E2_tabla_vida!$P$79,EXP(-E88*E2_tabla_vida!$X$80)*E2_tabla_vida!$P$80,EXP(-E88*E2_tabla_vida!$X$81)*E2_tabla_vida!$P$81,EXP(-E88*E2_tabla_vida!$X$82)*E2_tabla_vida!$P$82,EXP(-E88*E2_tabla_vida!$X$83)*E2_tabla_vida!$P$83,EXP(-E88*E2_tabla_vida!$X$84)*E2_tabla_vida!$P$84,EXP(-E88*E2_tabla_vida!$X$85)*E2_tabla_vida!$P$85)-1</x:f>
        <x:v>1.6408652214749964e-11</x:v>
      </x:c>
      <x:c r="G88" s="24" t="n">
        <x:f>SUM(EXP(-C88*E2_tabla_vida!$X$44)*E2_tabla_vida!$P$44,EXP(-C88*E2_tabla_vida!$X$45)*E2_tabla_vida!$P$45,EXP(-C88*E2_tabla_vida!$X$46)*E2_tabla_vida!$P$46,EXP(-C88*E2_tabla_vida!$X$47)*E2_tabla_vida!$P$47,EXP(-C88*E2_tabla_vida!$X$48)*E2_tabla_vida!$P$48,EXP(-C88*E2_tabla_vida!$X$49)*E2_tabla_vida!$P$49,EXP(-C88*E2_tabla_vida!$X$50)*E2_tabla_vida!$P$50,EXP(-C88*E2_tabla_vida!$X$51)*E2_tabla_vida!$P$51,EXP(-C88*E2_tabla_vida!$X$52)*E2_tabla_vida!$P$52,EXP(-C88*E2_tabla_vida!$X$53)*E2_tabla_vida!$P$53,EXP(-C88*E2_tabla_vida!$X$54)*E2_tabla_vida!$P$54,EXP(-C88*E2_tabla_vida!$X$55)*E2_tabla_vida!$P$55,EXP(-C88*E2_tabla_vida!$X$56)*E2_tabla_vida!$P$56,EXP(-C88*E2_tabla_vida!$X$57)*E2_tabla_vida!$P$57,EXP(-C88*E2_tabla_vida!$X$58)*E2_tabla_vida!$P$58,EXP(-C88*E2_tabla_vida!$X$59)*E2_tabla_vida!$P$59,EXP(-C88*E2_tabla_vida!$X$60)*E2_tabla_vida!$P$60,EXP(-C88*E2_tabla_vida!$X$61)*E2_tabla_vida!$P$61,EXP(-C88*E2_tabla_vida!$X$62)*E2_tabla_vida!$P$62,EXP(-C88*E2_tabla_vida!$X$63)*E2_tabla_vida!$P$63,EXP(-C88*E2_tabla_vida!$X$64)*E2_tabla_vida!$P$64,EXP(-C88*E2_tabla_vida!$X$65)*E2_tabla_vida!$P$65,EXP(-C88*E2_tabla_vida!$X$66)*E2_tabla_vida!$P$66,EXP(-C88*E2_tabla_vida!$X$67)*E2_tabla_vida!$P$67,EXP(-C88*E2_tabla_vida!$X$68)*E2_tabla_vida!$P$68,EXP(-C88*E2_tabla_vida!$X$69)*E2_tabla_vida!$P$69,EXP(-C88*E2_tabla_vida!$X$70)*E2_tabla_vida!$P$70,EXP(-C88*E2_tabla_vida!$X$71)*E2_tabla_vida!$P$71,EXP(-C88*E2_tabla_vida!$X$72)*E2_tabla_vida!$P$72,EXP(-C88*E2_tabla_vida!$X$73)*E2_tabla_vida!$P$73,EXP(-C88*E2_tabla_vida!$X$74)*E2_tabla_vida!$P$74,EXP(-C88*E2_tabla_vida!$X$75)*E2_tabla_vida!$P$75,EXP(-C88*E2_tabla_vida!$X$76)*E2_tabla_vida!$P$76,EXP(-C88*E2_tabla_vida!$X$77)*E2_tabla_vida!$P$77,EXP(-C88*E2_tabla_vida!$X$78)*E2_tabla_vida!$P$78,EXP(-C88*E2_tabla_vida!$X$79)*E2_tabla_vida!$P$79,EXP(-C88*E2_tabla_vida!$X$80)*E2_tabla_vida!$P$80,EXP(-C88*E2_tabla_vida!$X$81)*E2_tabla_vida!$P$81,EXP(-C88*E2_tabla_vida!$X$82)*E2_tabla_vida!$P$82,EXP(-C88*E2_tabla_vida!$X$83)*E2_tabla_vida!$P$83,EXP(-C88*E2_tabla_vida!$X$84)*E2_tabla_vida!$P$84,EXP(-C88*E2_tabla_vida!$X$85)*E2_tabla_vida!$P$85)-1</x:f>
        <x:v>3.77837761078581e-11</x:v>
      </x:c>
      <x:c r="H88" s="24" t="n">
        <x:f>SUM(EXP(-D88*E2_tabla_vida!$X$44)*E2_tabla_vida!$P$44,EXP(-D88*E2_tabla_vida!$X$45)*E2_tabla_vida!$P$45,EXP(-D88*E2_tabla_vida!$X$46)*E2_tabla_vida!$P$46,EXP(-D88*E2_tabla_vida!$X$47)*E2_tabla_vida!$P$47,EXP(-D88*E2_tabla_vida!$X$48)*E2_tabla_vida!$P$48,EXP(-D88*E2_tabla_vida!$X$49)*E2_tabla_vida!$P$49,EXP(-D88*E2_tabla_vida!$X$50)*E2_tabla_vida!$P$50,EXP(-D88*E2_tabla_vida!$X$51)*E2_tabla_vida!$P$51,EXP(-D88*E2_tabla_vida!$X$52)*E2_tabla_vida!$P$52,EXP(-D88*E2_tabla_vida!$X$53)*E2_tabla_vida!$P$53,EXP(-D88*E2_tabla_vida!$X$54)*E2_tabla_vida!$P$54,EXP(-D88*E2_tabla_vida!$X$55)*E2_tabla_vida!$P$55,EXP(-D88*E2_tabla_vida!$X$56)*E2_tabla_vida!$P$56,EXP(-D88*E2_tabla_vida!$X$57)*E2_tabla_vida!$P$57,EXP(-D88*E2_tabla_vida!$X$58)*E2_tabla_vida!$P$58,EXP(-D88*E2_tabla_vida!$X$59)*E2_tabla_vida!$P$59,EXP(-D88*E2_tabla_vida!$X$60)*E2_tabla_vida!$P$60,EXP(-D88*E2_tabla_vida!$X$61)*E2_tabla_vida!$P$61,EXP(-D88*E2_tabla_vida!$X$62)*E2_tabla_vida!$P$62,EXP(-D88*E2_tabla_vida!$X$63)*E2_tabla_vida!$P$63,EXP(-D88*E2_tabla_vida!$X$64)*E2_tabla_vida!$P$64,EXP(-D88*E2_tabla_vida!$X$65)*E2_tabla_vida!$P$65,EXP(-D88*E2_tabla_vida!$X$66)*E2_tabla_vida!$P$66,EXP(-D88*E2_tabla_vida!$X$67)*E2_tabla_vida!$P$67,EXP(-D88*E2_tabla_vida!$X$68)*E2_tabla_vida!$P$68,EXP(-D88*E2_tabla_vida!$X$69)*E2_tabla_vida!$P$69,EXP(-D88*E2_tabla_vida!$X$70)*E2_tabla_vida!$P$70,EXP(-D88*E2_tabla_vida!$X$71)*E2_tabla_vida!$P$71,EXP(-D88*E2_tabla_vida!$X$72)*E2_tabla_vida!$P$72,EXP(-D88*E2_tabla_vida!$X$73)*E2_tabla_vida!$P$73,EXP(-D88*E2_tabla_vida!$X$74)*E2_tabla_vida!$P$74,EXP(-D88*E2_tabla_vida!$X$75)*E2_tabla_vida!$P$75,EXP(-D88*E2_tabla_vida!$X$76)*E2_tabla_vida!$P$76,EXP(-D88*E2_tabla_vida!$X$77)*E2_tabla_vida!$P$77,EXP(-D88*E2_tabla_vida!$X$78)*E2_tabla_vida!$P$78,EXP(-D88*E2_tabla_vida!$X$79)*E2_tabla_vida!$P$79,EXP(-D88*E2_tabla_vida!$X$80)*E2_tabla_vida!$P$80,EXP(-D88*E2_tabla_vida!$X$81)*E2_tabla_vida!$P$81,EXP(-D88*E2_tabla_vida!$X$82)*E2_tabla_vida!$P$82,EXP(-D88*E2_tabla_vida!$X$83)*E2_tabla_vida!$P$83,EXP(-D88*E2_tabla_vida!$X$84)*E2_tabla_vida!$P$84,EXP(-D88*E2_tabla_vida!$X$85)*E2_tabla_vida!$P$85)-1</x:f>
        <x:v>-4.966471678358175e-12</x:v>
      </x:c>
    </x:row>
    <x:row r="89" ht="19" customHeight="1">
      <x:c r="A89" s="2" t="str">
        <x:v>MP_L8</x:v>
      </x:c>
      <x:c r="B89" s="2" t="n">
        <x:v>41</x:v>
      </x:c>
      <x:c r="C89" s="22" t="n">
        <x:f>IF(F88&gt;0,E88,C88)</x:f>
        <x:v>0.19572611814555785</x:v>
      </x:c>
      <x:c r="D89" s="22" t="n">
        <x:f>IF(F88&gt;0,D88,E88)</x:f>
        <x:v>0.1957261181469221</x:v>
      </x:c>
      <x:c r="E89" s="22" t="n">
        <x:f>AVERAGE(C89:D89)</x:f>
        <x:v>0.19572611814623997</x:v>
      </x:c>
      <x:c r="F89" s="24" t="n">
        <x:f>SUM(EXP(-E89*E2_tabla_vida!$X$44)*E2_tabla_vida!$P$44,EXP(-E89*E2_tabla_vida!$X$45)*E2_tabla_vida!$P$45,EXP(-E89*E2_tabla_vida!$X$46)*E2_tabla_vida!$P$46,EXP(-E89*E2_tabla_vida!$X$47)*E2_tabla_vida!$P$47,EXP(-E89*E2_tabla_vida!$X$48)*E2_tabla_vida!$P$48,EXP(-E89*E2_tabla_vida!$X$49)*E2_tabla_vida!$P$49,EXP(-E89*E2_tabla_vida!$X$50)*E2_tabla_vida!$P$50,EXP(-E89*E2_tabla_vida!$X$51)*E2_tabla_vida!$P$51,EXP(-E89*E2_tabla_vida!$X$52)*E2_tabla_vida!$P$52,EXP(-E89*E2_tabla_vida!$X$53)*E2_tabla_vida!$P$53,EXP(-E89*E2_tabla_vida!$X$54)*E2_tabla_vida!$P$54,EXP(-E89*E2_tabla_vida!$X$55)*E2_tabla_vida!$P$55,EXP(-E89*E2_tabla_vida!$X$56)*E2_tabla_vida!$P$56,EXP(-E89*E2_tabla_vida!$X$57)*E2_tabla_vida!$P$57,EXP(-E89*E2_tabla_vida!$X$58)*E2_tabla_vida!$P$58,EXP(-E89*E2_tabla_vida!$X$59)*E2_tabla_vida!$P$59,EXP(-E89*E2_tabla_vida!$X$60)*E2_tabla_vida!$P$60,EXP(-E89*E2_tabla_vida!$X$61)*E2_tabla_vida!$P$61,EXP(-E89*E2_tabla_vida!$X$62)*E2_tabla_vida!$P$62,EXP(-E89*E2_tabla_vida!$X$63)*E2_tabla_vida!$P$63,EXP(-E89*E2_tabla_vida!$X$64)*E2_tabla_vida!$P$64,EXP(-E89*E2_tabla_vida!$X$65)*E2_tabla_vida!$P$65,EXP(-E89*E2_tabla_vida!$X$66)*E2_tabla_vida!$P$66,EXP(-E89*E2_tabla_vida!$X$67)*E2_tabla_vida!$P$67,EXP(-E89*E2_tabla_vida!$X$68)*E2_tabla_vida!$P$68,EXP(-E89*E2_tabla_vida!$X$69)*E2_tabla_vida!$P$69,EXP(-E89*E2_tabla_vida!$X$70)*E2_tabla_vida!$P$70,EXP(-E89*E2_tabla_vida!$X$71)*E2_tabla_vida!$P$71,EXP(-E89*E2_tabla_vida!$X$72)*E2_tabla_vida!$P$72,EXP(-E89*E2_tabla_vida!$X$73)*E2_tabla_vida!$P$73,EXP(-E89*E2_tabla_vida!$X$74)*E2_tabla_vida!$P$74,EXP(-E89*E2_tabla_vida!$X$75)*E2_tabla_vida!$P$75,EXP(-E89*E2_tabla_vida!$X$76)*E2_tabla_vida!$P$76,EXP(-E89*E2_tabla_vida!$X$77)*E2_tabla_vida!$P$77,EXP(-E89*E2_tabla_vida!$X$78)*E2_tabla_vida!$P$78,EXP(-E89*E2_tabla_vida!$X$79)*E2_tabla_vida!$P$79,EXP(-E89*E2_tabla_vida!$X$80)*E2_tabla_vida!$P$80,EXP(-E89*E2_tabla_vida!$X$81)*E2_tabla_vida!$P$81,EXP(-E89*E2_tabla_vida!$X$82)*E2_tabla_vida!$P$82,EXP(-E89*E2_tabla_vida!$X$83)*E2_tabla_vida!$P$83,EXP(-E89*E2_tabla_vida!$X$84)*E2_tabla_vida!$P$84,EXP(-E89*E2_tabla_vida!$X$85)*E2_tabla_vida!$P$85)-1</x:f>
        <x:v>5.720979245893432e-12</x:v>
      </x:c>
      <x:c r="G89" s="24" t="n">
        <x:f>SUM(EXP(-C89*E2_tabla_vida!$X$44)*E2_tabla_vida!$P$44,EXP(-C89*E2_tabla_vida!$X$45)*E2_tabla_vida!$P$45,EXP(-C89*E2_tabla_vida!$X$46)*E2_tabla_vida!$P$46,EXP(-C89*E2_tabla_vida!$X$47)*E2_tabla_vida!$P$47,EXP(-C89*E2_tabla_vida!$X$48)*E2_tabla_vida!$P$48,EXP(-C89*E2_tabla_vida!$X$49)*E2_tabla_vida!$P$49,EXP(-C89*E2_tabla_vida!$X$50)*E2_tabla_vida!$P$50,EXP(-C89*E2_tabla_vida!$X$51)*E2_tabla_vida!$P$51,EXP(-C89*E2_tabla_vida!$X$52)*E2_tabla_vida!$P$52,EXP(-C89*E2_tabla_vida!$X$53)*E2_tabla_vida!$P$53,EXP(-C89*E2_tabla_vida!$X$54)*E2_tabla_vida!$P$54,EXP(-C89*E2_tabla_vida!$X$55)*E2_tabla_vida!$P$55,EXP(-C89*E2_tabla_vida!$X$56)*E2_tabla_vida!$P$56,EXP(-C89*E2_tabla_vida!$X$57)*E2_tabla_vida!$P$57,EXP(-C89*E2_tabla_vida!$X$58)*E2_tabla_vida!$P$58,EXP(-C89*E2_tabla_vida!$X$59)*E2_tabla_vida!$P$59,EXP(-C89*E2_tabla_vida!$X$60)*E2_tabla_vida!$P$60,EXP(-C89*E2_tabla_vida!$X$61)*E2_tabla_vida!$P$61,EXP(-C89*E2_tabla_vida!$X$62)*E2_tabla_vida!$P$62,EXP(-C89*E2_tabla_vida!$X$63)*E2_tabla_vida!$P$63,EXP(-C89*E2_tabla_vida!$X$64)*E2_tabla_vida!$P$64,EXP(-C89*E2_tabla_vida!$X$65)*E2_tabla_vida!$P$65,EXP(-C89*E2_tabla_vida!$X$66)*E2_tabla_vida!$P$66,EXP(-C89*E2_tabla_vida!$X$67)*E2_tabla_vida!$P$67,EXP(-C89*E2_tabla_vida!$X$68)*E2_tabla_vida!$P$68,EXP(-C89*E2_tabla_vida!$X$69)*E2_tabla_vida!$P$69,EXP(-C89*E2_tabla_vida!$X$70)*E2_tabla_vida!$P$70,EXP(-C89*E2_tabla_vida!$X$71)*E2_tabla_vida!$P$71,EXP(-C89*E2_tabla_vida!$X$72)*E2_tabla_vida!$P$72,EXP(-C89*E2_tabla_vida!$X$73)*E2_tabla_vida!$P$73,EXP(-C89*E2_tabla_vida!$X$74)*E2_tabla_vida!$P$74,EXP(-C89*E2_tabla_vida!$X$75)*E2_tabla_vida!$P$75,EXP(-C89*E2_tabla_vida!$X$76)*E2_tabla_vida!$P$76,EXP(-C89*E2_tabla_vida!$X$77)*E2_tabla_vida!$P$77,EXP(-C89*E2_tabla_vida!$X$78)*E2_tabla_vida!$P$78,EXP(-C89*E2_tabla_vida!$X$79)*E2_tabla_vida!$P$79,EXP(-C89*E2_tabla_vida!$X$80)*E2_tabla_vida!$P$80,EXP(-C89*E2_tabla_vida!$X$81)*E2_tabla_vida!$P$81,EXP(-C89*E2_tabla_vida!$X$82)*E2_tabla_vida!$P$82,EXP(-C89*E2_tabla_vida!$X$83)*E2_tabla_vida!$P$83,EXP(-C89*E2_tabla_vida!$X$84)*E2_tabla_vida!$P$84,EXP(-C89*E2_tabla_vida!$X$85)*E2_tabla_vida!$P$85)-1</x:f>
        <x:v>1.6408652214749964e-11</x:v>
      </x:c>
      <x:c r="H89" s="24" t="n">
        <x:f>SUM(EXP(-D89*E2_tabla_vida!$X$44)*E2_tabla_vida!$P$44,EXP(-D89*E2_tabla_vida!$X$45)*E2_tabla_vida!$P$45,EXP(-D89*E2_tabla_vida!$X$46)*E2_tabla_vida!$P$46,EXP(-D89*E2_tabla_vida!$X$47)*E2_tabla_vida!$P$47,EXP(-D89*E2_tabla_vida!$X$48)*E2_tabla_vida!$P$48,EXP(-D89*E2_tabla_vida!$X$49)*E2_tabla_vida!$P$49,EXP(-D89*E2_tabla_vida!$X$50)*E2_tabla_vida!$P$50,EXP(-D89*E2_tabla_vida!$X$51)*E2_tabla_vida!$P$51,EXP(-D89*E2_tabla_vida!$X$52)*E2_tabla_vida!$P$52,EXP(-D89*E2_tabla_vida!$X$53)*E2_tabla_vida!$P$53,EXP(-D89*E2_tabla_vida!$X$54)*E2_tabla_vida!$P$54,EXP(-D89*E2_tabla_vida!$X$55)*E2_tabla_vida!$P$55,EXP(-D89*E2_tabla_vida!$X$56)*E2_tabla_vida!$P$56,EXP(-D89*E2_tabla_vida!$X$57)*E2_tabla_vida!$P$57,EXP(-D89*E2_tabla_vida!$X$58)*E2_tabla_vida!$P$58,EXP(-D89*E2_tabla_vida!$X$59)*E2_tabla_vida!$P$59,EXP(-D89*E2_tabla_vida!$X$60)*E2_tabla_vida!$P$60,EXP(-D89*E2_tabla_vida!$X$61)*E2_tabla_vida!$P$61,EXP(-D89*E2_tabla_vida!$X$62)*E2_tabla_vida!$P$62,EXP(-D89*E2_tabla_vida!$X$63)*E2_tabla_vida!$P$63,EXP(-D89*E2_tabla_vida!$X$64)*E2_tabla_vida!$P$64,EXP(-D89*E2_tabla_vida!$X$65)*E2_tabla_vida!$P$65,EXP(-D89*E2_tabla_vida!$X$66)*E2_tabla_vida!$P$66,EXP(-D89*E2_tabla_vida!$X$67)*E2_tabla_vida!$P$67,EXP(-D89*E2_tabla_vida!$X$68)*E2_tabla_vida!$P$68,EXP(-D89*E2_tabla_vida!$X$69)*E2_tabla_vida!$P$69,EXP(-D89*E2_tabla_vida!$X$70)*E2_tabla_vida!$P$70,EXP(-D89*E2_tabla_vida!$X$71)*E2_tabla_vida!$P$71,EXP(-D89*E2_tabla_vida!$X$72)*E2_tabla_vida!$P$72,EXP(-D89*E2_tabla_vida!$X$73)*E2_tabla_vida!$P$73,EXP(-D89*E2_tabla_vida!$X$74)*E2_tabla_vida!$P$74,EXP(-D89*E2_tabla_vida!$X$75)*E2_tabla_vida!$P$75,EXP(-D89*E2_tabla_vida!$X$76)*E2_tabla_vida!$P$76,EXP(-D89*E2_tabla_vida!$X$77)*E2_tabla_vida!$P$77,EXP(-D89*E2_tabla_vida!$X$78)*E2_tabla_vida!$P$78,EXP(-D89*E2_tabla_vida!$X$79)*E2_tabla_vida!$P$79,EXP(-D89*E2_tabla_vida!$X$80)*E2_tabla_vida!$P$80,EXP(-D89*E2_tabla_vida!$X$81)*E2_tabla_vida!$P$81,EXP(-D89*E2_tabla_vida!$X$82)*E2_tabla_vida!$P$82,EXP(-D89*E2_tabla_vida!$X$83)*E2_tabla_vida!$P$83,EXP(-D89*E2_tabla_vida!$X$84)*E2_tabla_vida!$P$84,EXP(-D89*E2_tabla_vida!$X$85)*E2_tabla_vida!$P$85)-1</x:f>
        <x:v>-4.966471678358175e-12</x:v>
      </x:c>
    </x:row>
    <x:row r="90" ht="19" customHeight="1">
      <x:c r="A90" s="2" t="str">
        <x:v>MP_L8</x:v>
      </x:c>
      <x:c r="B90" s="2" t="n">
        <x:v>42</x:v>
      </x:c>
      <x:c r="C90" s="22" t="n">
        <x:f>IF(F89&gt;0,E89,C89)</x:f>
        <x:v>0.19572611814623997</x:v>
      </x:c>
      <x:c r="D90" s="22" t="n">
        <x:f>IF(F89&gt;0,D89,E89)</x:f>
        <x:v>0.1957261181469221</x:v>
      </x:c>
      <x:c r="E90" s="22" t="n">
        <x:f>AVERAGE(C90:D90)</x:f>
        <x:v>0.19572611814658103</x:v>
      </x:c>
      <x:c r="F90" s="24" t="n">
        <x:f>SUM(EXP(-E90*E2_tabla_vida!$X$44)*E2_tabla_vida!$P$44,EXP(-E90*E2_tabla_vida!$X$45)*E2_tabla_vida!$P$45,EXP(-E90*E2_tabla_vida!$X$46)*E2_tabla_vida!$P$46,EXP(-E90*E2_tabla_vida!$X$47)*E2_tabla_vida!$P$47,EXP(-E90*E2_tabla_vida!$X$48)*E2_tabla_vida!$P$48,EXP(-E90*E2_tabla_vida!$X$49)*E2_tabla_vida!$P$49,EXP(-E90*E2_tabla_vida!$X$50)*E2_tabla_vida!$P$50,EXP(-E90*E2_tabla_vida!$X$51)*E2_tabla_vida!$P$51,EXP(-E90*E2_tabla_vida!$X$52)*E2_tabla_vida!$P$52,EXP(-E90*E2_tabla_vida!$X$53)*E2_tabla_vida!$P$53,EXP(-E90*E2_tabla_vida!$X$54)*E2_tabla_vida!$P$54,EXP(-E90*E2_tabla_vida!$X$55)*E2_tabla_vida!$P$55,EXP(-E90*E2_tabla_vida!$X$56)*E2_tabla_vida!$P$56,EXP(-E90*E2_tabla_vida!$X$57)*E2_tabla_vida!$P$57,EXP(-E90*E2_tabla_vida!$X$58)*E2_tabla_vida!$P$58,EXP(-E90*E2_tabla_vida!$X$59)*E2_tabla_vida!$P$59,EXP(-E90*E2_tabla_vida!$X$60)*E2_tabla_vida!$P$60,EXP(-E90*E2_tabla_vida!$X$61)*E2_tabla_vida!$P$61,EXP(-E90*E2_tabla_vida!$X$62)*E2_tabla_vida!$P$62,EXP(-E90*E2_tabla_vida!$X$63)*E2_tabla_vida!$P$63,EXP(-E90*E2_tabla_vida!$X$64)*E2_tabla_vida!$P$64,EXP(-E90*E2_tabla_vida!$X$65)*E2_tabla_vida!$P$65,EXP(-E90*E2_tabla_vida!$X$66)*E2_tabla_vida!$P$66,EXP(-E90*E2_tabla_vida!$X$67)*E2_tabla_vida!$P$67,EXP(-E90*E2_tabla_vida!$X$68)*E2_tabla_vida!$P$68,EXP(-E90*E2_tabla_vida!$X$69)*E2_tabla_vida!$P$69,EXP(-E90*E2_tabla_vida!$X$70)*E2_tabla_vida!$P$70,EXP(-E90*E2_tabla_vida!$X$71)*E2_tabla_vida!$P$71,EXP(-E90*E2_tabla_vida!$X$72)*E2_tabla_vida!$P$72,EXP(-E90*E2_tabla_vida!$X$73)*E2_tabla_vida!$P$73,EXP(-E90*E2_tabla_vida!$X$74)*E2_tabla_vida!$P$74,EXP(-E90*E2_tabla_vida!$X$75)*E2_tabla_vida!$P$75,EXP(-E90*E2_tabla_vida!$X$76)*E2_tabla_vida!$P$76,EXP(-E90*E2_tabla_vida!$X$77)*E2_tabla_vida!$P$77,EXP(-E90*E2_tabla_vida!$X$78)*E2_tabla_vida!$P$78,EXP(-E90*E2_tabla_vida!$X$79)*E2_tabla_vida!$P$79,EXP(-E90*E2_tabla_vida!$X$80)*E2_tabla_vida!$P$80,EXP(-E90*E2_tabla_vida!$X$81)*E2_tabla_vida!$P$81,EXP(-E90*E2_tabla_vida!$X$82)*E2_tabla_vida!$P$82,EXP(-E90*E2_tabla_vida!$X$83)*E2_tabla_vida!$P$83,EXP(-E90*E2_tabla_vida!$X$84)*E2_tabla_vida!$P$84,EXP(-E90*E2_tabla_vida!$X$85)*E2_tabla_vida!$P$85)-1</x:f>
        <x:v>3.772537837676282e-13</x:v>
      </x:c>
      <x:c r="G90" s="24" t="n">
        <x:f>SUM(EXP(-C90*E2_tabla_vida!$X$44)*E2_tabla_vida!$P$44,EXP(-C90*E2_tabla_vida!$X$45)*E2_tabla_vida!$P$45,EXP(-C90*E2_tabla_vida!$X$46)*E2_tabla_vida!$P$46,EXP(-C90*E2_tabla_vida!$X$47)*E2_tabla_vida!$P$47,EXP(-C90*E2_tabla_vida!$X$48)*E2_tabla_vida!$P$48,EXP(-C90*E2_tabla_vida!$X$49)*E2_tabla_vida!$P$49,EXP(-C90*E2_tabla_vida!$X$50)*E2_tabla_vida!$P$50,EXP(-C90*E2_tabla_vida!$X$51)*E2_tabla_vida!$P$51,EXP(-C90*E2_tabla_vida!$X$52)*E2_tabla_vida!$P$52,EXP(-C90*E2_tabla_vida!$X$53)*E2_tabla_vida!$P$53,EXP(-C90*E2_tabla_vida!$X$54)*E2_tabla_vida!$P$54,EXP(-C90*E2_tabla_vida!$X$55)*E2_tabla_vida!$P$55,EXP(-C90*E2_tabla_vida!$X$56)*E2_tabla_vida!$P$56,EXP(-C90*E2_tabla_vida!$X$57)*E2_tabla_vida!$P$57,EXP(-C90*E2_tabla_vida!$X$58)*E2_tabla_vida!$P$58,EXP(-C90*E2_tabla_vida!$X$59)*E2_tabla_vida!$P$59,EXP(-C90*E2_tabla_vida!$X$60)*E2_tabla_vida!$P$60,EXP(-C90*E2_tabla_vida!$X$61)*E2_tabla_vida!$P$61,EXP(-C90*E2_tabla_vida!$X$62)*E2_tabla_vida!$P$62,EXP(-C90*E2_tabla_vida!$X$63)*E2_tabla_vida!$P$63,EXP(-C90*E2_tabla_vida!$X$64)*E2_tabla_vida!$P$64,EXP(-C90*E2_tabla_vida!$X$65)*E2_tabla_vida!$P$65,EXP(-C90*E2_tabla_vida!$X$66)*E2_tabla_vida!$P$66,EXP(-C90*E2_tabla_vida!$X$67)*E2_tabla_vida!$P$67,EXP(-C90*E2_tabla_vida!$X$68)*E2_tabla_vida!$P$68,EXP(-C90*E2_tabla_vida!$X$69)*E2_tabla_vida!$P$69,EXP(-C90*E2_tabla_vida!$X$70)*E2_tabla_vida!$P$70,EXP(-C90*E2_tabla_vida!$X$71)*E2_tabla_vida!$P$71,EXP(-C90*E2_tabla_vida!$X$72)*E2_tabla_vida!$P$72,EXP(-C90*E2_tabla_vida!$X$73)*E2_tabla_vida!$P$73,EXP(-C90*E2_tabla_vida!$X$74)*E2_tabla_vida!$P$74,EXP(-C90*E2_tabla_vida!$X$75)*E2_tabla_vida!$P$75,EXP(-C90*E2_tabla_vida!$X$76)*E2_tabla_vida!$P$76,EXP(-C90*E2_tabla_vida!$X$77)*E2_tabla_vida!$P$77,EXP(-C90*E2_tabla_vida!$X$78)*E2_tabla_vida!$P$78,EXP(-C90*E2_tabla_vida!$X$79)*E2_tabla_vida!$P$79,EXP(-C90*E2_tabla_vida!$X$80)*E2_tabla_vida!$P$80,EXP(-C90*E2_tabla_vida!$X$81)*E2_tabla_vida!$P$81,EXP(-C90*E2_tabla_vida!$X$82)*E2_tabla_vida!$P$82,EXP(-C90*E2_tabla_vida!$X$83)*E2_tabla_vida!$P$83,EXP(-C90*E2_tabla_vida!$X$84)*E2_tabla_vida!$P$84,EXP(-C90*E2_tabla_vida!$X$85)*E2_tabla_vida!$P$85)-1</x:f>
        <x:v>5.720979245893432e-12</x:v>
      </x:c>
      <x:c r="H90" s="24" t="n">
        <x:f>SUM(EXP(-D90*E2_tabla_vida!$X$44)*E2_tabla_vida!$P$44,EXP(-D90*E2_tabla_vida!$X$45)*E2_tabla_vida!$P$45,EXP(-D90*E2_tabla_vida!$X$46)*E2_tabla_vida!$P$46,EXP(-D90*E2_tabla_vida!$X$47)*E2_tabla_vida!$P$47,EXP(-D90*E2_tabla_vida!$X$48)*E2_tabla_vida!$P$48,EXP(-D90*E2_tabla_vida!$X$49)*E2_tabla_vida!$P$49,EXP(-D90*E2_tabla_vida!$X$50)*E2_tabla_vida!$P$50,EXP(-D90*E2_tabla_vida!$X$51)*E2_tabla_vida!$P$51,EXP(-D90*E2_tabla_vida!$X$52)*E2_tabla_vida!$P$52,EXP(-D90*E2_tabla_vida!$X$53)*E2_tabla_vida!$P$53,EXP(-D90*E2_tabla_vida!$X$54)*E2_tabla_vida!$P$54,EXP(-D90*E2_tabla_vida!$X$55)*E2_tabla_vida!$P$55,EXP(-D90*E2_tabla_vida!$X$56)*E2_tabla_vida!$P$56,EXP(-D90*E2_tabla_vida!$X$57)*E2_tabla_vida!$P$57,EXP(-D90*E2_tabla_vida!$X$58)*E2_tabla_vida!$P$58,EXP(-D90*E2_tabla_vida!$X$59)*E2_tabla_vida!$P$59,EXP(-D90*E2_tabla_vida!$X$60)*E2_tabla_vida!$P$60,EXP(-D90*E2_tabla_vida!$X$61)*E2_tabla_vida!$P$61,EXP(-D90*E2_tabla_vida!$X$62)*E2_tabla_vida!$P$62,EXP(-D90*E2_tabla_vida!$X$63)*E2_tabla_vida!$P$63,EXP(-D90*E2_tabla_vida!$X$64)*E2_tabla_vida!$P$64,EXP(-D90*E2_tabla_vida!$X$65)*E2_tabla_vida!$P$65,EXP(-D90*E2_tabla_vida!$X$66)*E2_tabla_vida!$P$66,EXP(-D90*E2_tabla_vida!$X$67)*E2_tabla_vida!$P$67,EXP(-D90*E2_tabla_vida!$X$68)*E2_tabla_vida!$P$68,EXP(-D90*E2_tabla_vida!$X$69)*E2_tabla_vida!$P$69,EXP(-D90*E2_tabla_vida!$X$70)*E2_tabla_vida!$P$70,EXP(-D90*E2_tabla_vida!$X$71)*E2_tabla_vida!$P$71,EXP(-D90*E2_tabla_vida!$X$72)*E2_tabla_vida!$P$72,EXP(-D90*E2_tabla_vida!$X$73)*E2_tabla_vida!$P$73,EXP(-D90*E2_tabla_vida!$X$74)*E2_tabla_vida!$P$74,EXP(-D90*E2_tabla_vida!$X$75)*E2_tabla_vida!$P$75,EXP(-D90*E2_tabla_vida!$X$76)*E2_tabla_vida!$P$76,EXP(-D90*E2_tabla_vida!$X$77)*E2_tabla_vida!$P$77,EXP(-D90*E2_tabla_vida!$X$78)*E2_tabla_vida!$P$78,EXP(-D90*E2_tabla_vida!$X$79)*E2_tabla_vida!$P$79,EXP(-D90*E2_tabla_vida!$X$80)*E2_tabla_vida!$P$80,EXP(-D90*E2_tabla_vida!$X$81)*E2_tabla_vida!$P$81,EXP(-D90*E2_tabla_vida!$X$82)*E2_tabla_vida!$P$82,EXP(-D90*E2_tabla_vida!$X$83)*E2_tabla_vida!$P$83,EXP(-D90*E2_tabla_vida!$X$84)*E2_tabla_vida!$P$84,EXP(-D90*E2_tabla_vida!$X$85)*E2_tabla_vida!$P$85)-1</x:f>
        <x:v>-4.966471678358175e-12</x:v>
      </x:c>
    </x:row>
    <x:row r="91" ht="19" customHeight="1">
      <x:c r="A91" s="2" t="str">
        <x:v>MP_L8</x:v>
      </x:c>
      <x:c r="B91" s="2" t="n">
        <x:v>43</x:v>
      </x:c>
      <x:c r="C91" s="22" t="n">
        <x:f>IF(F90&gt;0,E90,C90)</x:f>
        <x:v>0.19572611814623997</x:v>
      </x:c>
      <x:c r="D91" s="22" t="n">
        <x:f>IF(F90&gt;0,D90,E90)</x:f>
        <x:v>0.19572611814658103</x:v>
      </x:c>
      <x:c r="E91" s="22" t="n">
        <x:f>AVERAGE(C91:D91)</x:f>
        <x:v>0.1957261181464105</x:v>
      </x:c>
      <x:c r="F91" s="24" t="n">
        <x:f>SUM(EXP(-E91*E2_tabla_vida!$X$44)*E2_tabla_vida!$P$44,EXP(-E91*E2_tabla_vida!$X$45)*E2_tabla_vida!$P$45,EXP(-E91*E2_tabla_vida!$X$46)*E2_tabla_vida!$P$46,EXP(-E91*E2_tabla_vida!$X$47)*E2_tabla_vida!$P$47,EXP(-E91*E2_tabla_vida!$X$48)*E2_tabla_vida!$P$48,EXP(-E91*E2_tabla_vida!$X$49)*E2_tabla_vida!$P$49,EXP(-E91*E2_tabla_vida!$X$50)*E2_tabla_vida!$P$50,EXP(-E91*E2_tabla_vida!$X$51)*E2_tabla_vida!$P$51,EXP(-E91*E2_tabla_vida!$X$52)*E2_tabla_vida!$P$52,EXP(-E91*E2_tabla_vida!$X$53)*E2_tabla_vida!$P$53,EXP(-E91*E2_tabla_vida!$X$54)*E2_tabla_vida!$P$54,EXP(-E91*E2_tabla_vida!$X$55)*E2_tabla_vida!$P$55,EXP(-E91*E2_tabla_vida!$X$56)*E2_tabla_vida!$P$56,EXP(-E91*E2_tabla_vida!$X$57)*E2_tabla_vida!$P$57,EXP(-E91*E2_tabla_vida!$X$58)*E2_tabla_vida!$P$58,EXP(-E91*E2_tabla_vida!$X$59)*E2_tabla_vida!$P$59,EXP(-E91*E2_tabla_vida!$X$60)*E2_tabla_vida!$P$60,EXP(-E91*E2_tabla_vida!$X$61)*E2_tabla_vida!$P$61,EXP(-E91*E2_tabla_vida!$X$62)*E2_tabla_vida!$P$62,EXP(-E91*E2_tabla_vida!$X$63)*E2_tabla_vida!$P$63,EXP(-E91*E2_tabla_vida!$X$64)*E2_tabla_vida!$P$64,EXP(-E91*E2_tabla_vida!$X$65)*E2_tabla_vida!$P$65,EXP(-E91*E2_tabla_vida!$X$66)*E2_tabla_vida!$P$66,EXP(-E91*E2_tabla_vida!$X$67)*E2_tabla_vida!$P$67,EXP(-E91*E2_tabla_vida!$X$68)*E2_tabla_vida!$P$68,EXP(-E91*E2_tabla_vida!$X$69)*E2_tabla_vida!$P$69,EXP(-E91*E2_tabla_vida!$X$70)*E2_tabla_vida!$P$70,EXP(-E91*E2_tabla_vida!$X$71)*E2_tabla_vida!$P$71,EXP(-E91*E2_tabla_vida!$X$72)*E2_tabla_vida!$P$72,EXP(-E91*E2_tabla_vida!$X$73)*E2_tabla_vida!$P$73,EXP(-E91*E2_tabla_vida!$X$74)*E2_tabla_vida!$P$74,EXP(-E91*E2_tabla_vida!$X$75)*E2_tabla_vida!$P$75,EXP(-E91*E2_tabla_vida!$X$76)*E2_tabla_vida!$P$76,EXP(-E91*E2_tabla_vida!$X$77)*E2_tabla_vida!$P$77,EXP(-E91*E2_tabla_vida!$X$78)*E2_tabla_vida!$P$78,EXP(-E91*E2_tabla_vida!$X$79)*E2_tabla_vida!$P$79,EXP(-E91*E2_tabla_vida!$X$80)*E2_tabla_vida!$P$80,EXP(-E91*E2_tabla_vida!$X$81)*E2_tabla_vida!$P$81,EXP(-E91*E2_tabla_vida!$X$82)*E2_tabla_vida!$P$82,EXP(-E91*E2_tabla_vida!$X$83)*E2_tabla_vida!$P$83,EXP(-E91*E2_tabla_vida!$X$84)*E2_tabla_vida!$P$84,EXP(-E91*E2_tabla_vida!$X$85)*E2_tabla_vida!$P$85)-1</x:f>
        <x:v>3.04911651483053e-12</x:v>
      </x:c>
      <x:c r="G91" s="24" t="n">
        <x:f>SUM(EXP(-C91*E2_tabla_vida!$X$44)*E2_tabla_vida!$P$44,EXP(-C91*E2_tabla_vida!$X$45)*E2_tabla_vida!$P$45,EXP(-C91*E2_tabla_vida!$X$46)*E2_tabla_vida!$P$46,EXP(-C91*E2_tabla_vida!$X$47)*E2_tabla_vida!$P$47,EXP(-C91*E2_tabla_vida!$X$48)*E2_tabla_vida!$P$48,EXP(-C91*E2_tabla_vida!$X$49)*E2_tabla_vida!$P$49,EXP(-C91*E2_tabla_vida!$X$50)*E2_tabla_vida!$P$50,EXP(-C91*E2_tabla_vida!$X$51)*E2_tabla_vida!$P$51,EXP(-C91*E2_tabla_vida!$X$52)*E2_tabla_vida!$P$52,EXP(-C91*E2_tabla_vida!$X$53)*E2_tabla_vida!$P$53,EXP(-C91*E2_tabla_vida!$X$54)*E2_tabla_vida!$P$54,EXP(-C91*E2_tabla_vida!$X$55)*E2_tabla_vida!$P$55,EXP(-C91*E2_tabla_vida!$X$56)*E2_tabla_vida!$P$56,EXP(-C91*E2_tabla_vida!$X$57)*E2_tabla_vida!$P$57,EXP(-C91*E2_tabla_vida!$X$58)*E2_tabla_vida!$P$58,EXP(-C91*E2_tabla_vida!$X$59)*E2_tabla_vida!$P$59,EXP(-C91*E2_tabla_vida!$X$60)*E2_tabla_vida!$P$60,EXP(-C91*E2_tabla_vida!$X$61)*E2_tabla_vida!$P$61,EXP(-C91*E2_tabla_vida!$X$62)*E2_tabla_vida!$P$62,EXP(-C91*E2_tabla_vida!$X$63)*E2_tabla_vida!$P$63,EXP(-C91*E2_tabla_vida!$X$64)*E2_tabla_vida!$P$64,EXP(-C91*E2_tabla_vida!$X$65)*E2_tabla_vida!$P$65,EXP(-C91*E2_tabla_vida!$X$66)*E2_tabla_vida!$P$66,EXP(-C91*E2_tabla_vida!$X$67)*E2_tabla_vida!$P$67,EXP(-C91*E2_tabla_vida!$X$68)*E2_tabla_vida!$P$68,EXP(-C91*E2_tabla_vida!$X$69)*E2_tabla_vida!$P$69,EXP(-C91*E2_tabla_vida!$X$70)*E2_tabla_vida!$P$70,EXP(-C91*E2_tabla_vida!$X$71)*E2_tabla_vida!$P$71,EXP(-C91*E2_tabla_vida!$X$72)*E2_tabla_vida!$P$72,EXP(-C91*E2_tabla_vida!$X$73)*E2_tabla_vida!$P$73,EXP(-C91*E2_tabla_vida!$X$74)*E2_tabla_vida!$P$74,EXP(-C91*E2_tabla_vida!$X$75)*E2_tabla_vida!$P$75,EXP(-C91*E2_tabla_vida!$X$76)*E2_tabla_vida!$P$76,EXP(-C91*E2_tabla_vida!$X$77)*E2_tabla_vida!$P$77,EXP(-C91*E2_tabla_vida!$X$78)*E2_tabla_vida!$P$78,EXP(-C91*E2_tabla_vida!$X$79)*E2_tabla_vida!$P$79,EXP(-C91*E2_tabla_vida!$X$80)*E2_tabla_vida!$P$80,EXP(-C91*E2_tabla_vida!$X$81)*E2_tabla_vida!$P$81,EXP(-C91*E2_tabla_vida!$X$82)*E2_tabla_vida!$P$82,EXP(-C91*E2_tabla_vida!$X$83)*E2_tabla_vida!$P$83,EXP(-C91*E2_tabla_vida!$X$84)*E2_tabla_vida!$P$84,EXP(-C91*E2_tabla_vida!$X$85)*E2_tabla_vida!$P$85)-1</x:f>
        <x:v>5.720979245893432e-12</x:v>
      </x:c>
      <x:c r="H91" s="24" t="n">
        <x:f>SUM(EXP(-D91*E2_tabla_vida!$X$44)*E2_tabla_vida!$P$44,EXP(-D91*E2_tabla_vida!$X$45)*E2_tabla_vida!$P$45,EXP(-D91*E2_tabla_vida!$X$46)*E2_tabla_vida!$P$46,EXP(-D91*E2_tabla_vida!$X$47)*E2_tabla_vida!$P$47,EXP(-D91*E2_tabla_vida!$X$48)*E2_tabla_vida!$P$48,EXP(-D91*E2_tabla_vida!$X$49)*E2_tabla_vida!$P$49,EXP(-D91*E2_tabla_vida!$X$50)*E2_tabla_vida!$P$50,EXP(-D91*E2_tabla_vida!$X$51)*E2_tabla_vida!$P$51,EXP(-D91*E2_tabla_vida!$X$52)*E2_tabla_vida!$P$52,EXP(-D91*E2_tabla_vida!$X$53)*E2_tabla_vida!$P$53,EXP(-D91*E2_tabla_vida!$X$54)*E2_tabla_vida!$P$54,EXP(-D91*E2_tabla_vida!$X$55)*E2_tabla_vida!$P$55,EXP(-D91*E2_tabla_vida!$X$56)*E2_tabla_vida!$P$56,EXP(-D91*E2_tabla_vida!$X$57)*E2_tabla_vida!$P$57,EXP(-D91*E2_tabla_vida!$X$58)*E2_tabla_vida!$P$58,EXP(-D91*E2_tabla_vida!$X$59)*E2_tabla_vida!$P$59,EXP(-D91*E2_tabla_vida!$X$60)*E2_tabla_vida!$P$60,EXP(-D91*E2_tabla_vida!$X$61)*E2_tabla_vida!$P$61,EXP(-D91*E2_tabla_vida!$X$62)*E2_tabla_vida!$P$62,EXP(-D91*E2_tabla_vida!$X$63)*E2_tabla_vida!$P$63,EXP(-D91*E2_tabla_vida!$X$64)*E2_tabla_vida!$P$64,EXP(-D91*E2_tabla_vida!$X$65)*E2_tabla_vida!$P$65,EXP(-D91*E2_tabla_vida!$X$66)*E2_tabla_vida!$P$66,EXP(-D91*E2_tabla_vida!$X$67)*E2_tabla_vida!$P$67,EXP(-D91*E2_tabla_vida!$X$68)*E2_tabla_vida!$P$68,EXP(-D91*E2_tabla_vida!$X$69)*E2_tabla_vida!$P$69,EXP(-D91*E2_tabla_vida!$X$70)*E2_tabla_vida!$P$70,EXP(-D91*E2_tabla_vida!$X$71)*E2_tabla_vida!$P$71,EXP(-D91*E2_tabla_vida!$X$72)*E2_tabla_vida!$P$72,EXP(-D91*E2_tabla_vida!$X$73)*E2_tabla_vida!$P$73,EXP(-D91*E2_tabla_vida!$X$74)*E2_tabla_vida!$P$74,EXP(-D91*E2_tabla_vida!$X$75)*E2_tabla_vida!$P$75,EXP(-D91*E2_tabla_vida!$X$76)*E2_tabla_vida!$P$76,EXP(-D91*E2_tabla_vida!$X$77)*E2_tabla_vida!$P$77,EXP(-D91*E2_tabla_vida!$X$78)*E2_tabla_vida!$P$78,EXP(-D91*E2_tabla_vida!$X$79)*E2_tabla_vida!$P$79,EXP(-D91*E2_tabla_vida!$X$80)*E2_tabla_vida!$P$80,EXP(-D91*E2_tabla_vida!$X$81)*E2_tabla_vida!$P$81,EXP(-D91*E2_tabla_vida!$X$82)*E2_tabla_vida!$P$82,EXP(-D91*E2_tabla_vida!$X$83)*E2_tabla_vida!$P$83,EXP(-D91*E2_tabla_vida!$X$84)*E2_tabla_vida!$P$84,EXP(-D91*E2_tabla_vida!$X$85)*E2_tabla_vida!$P$85)-1</x:f>
        <x:v>3.772537837676282e-13</x:v>
      </x:c>
    </x:row>
    <x:row r="92" ht="19" customHeight="1">
      <x:c r="A92" s="2" t="str">
        <x:v>MP_L8</x:v>
      </x:c>
      <x:c r="B92" s="2" t="n">
        <x:v>44</x:v>
      </x:c>
      <x:c r="C92" s="22" t="n">
        <x:f>IF(F91&gt;0,E91,C91)</x:f>
        <x:v>0.1957261181464105</x:v>
      </x:c>
      <x:c r="D92" s="22" t="n">
        <x:f>IF(F91&gt;0,D91,E91)</x:f>
        <x:v>0.19572611814658103</x:v>
      </x:c>
      <x:c r="E92" s="22" t="n">
        <x:f>AVERAGE(C92:D92)</x:f>
        <x:v>0.19572611814649576</x:v>
      </x:c>
      <x:c r="F92" s="24" t="n">
        <x:f>SUM(EXP(-E92*E2_tabla_vida!$X$44)*E2_tabla_vida!$P$44,EXP(-E92*E2_tabla_vida!$X$45)*E2_tabla_vida!$P$45,EXP(-E92*E2_tabla_vida!$X$46)*E2_tabla_vida!$P$46,EXP(-E92*E2_tabla_vida!$X$47)*E2_tabla_vida!$P$47,EXP(-E92*E2_tabla_vida!$X$48)*E2_tabla_vida!$P$48,EXP(-E92*E2_tabla_vida!$X$49)*E2_tabla_vida!$P$49,EXP(-E92*E2_tabla_vida!$X$50)*E2_tabla_vida!$P$50,EXP(-E92*E2_tabla_vida!$X$51)*E2_tabla_vida!$P$51,EXP(-E92*E2_tabla_vida!$X$52)*E2_tabla_vida!$P$52,EXP(-E92*E2_tabla_vida!$X$53)*E2_tabla_vida!$P$53,EXP(-E92*E2_tabla_vida!$X$54)*E2_tabla_vida!$P$54,EXP(-E92*E2_tabla_vida!$X$55)*E2_tabla_vida!$P$55,EXP(-E92*E2_tabla_vida!$X$56)*E2_tabla_vida!$P$56,EXP(-E92*E2_tabla_vida!$X$57)*E2_tabla_vida!$P$57,EXP(-E92*E2_tabla_vida!$X$58)*E2_tabla_vida!$P$58,EXP(-E92*E2_tabla_vida!$X$59)*E2_tabla_vida!$P$59,EXP(-E92*E2_tabla_vida!$X$60)*E2_tabla_vida!$P$60,EXP(-E92*E2_tabla_vida!$X$61)*E2_tabla_vida!$P$61,EXP(-E92*E2_tabla_vida!$X$62)*E2_tabla_vida!$P$62,EXP(-E92*E2_tabla_vida!$X$63)*E2_tabla_vida!$P$63,EXP(-E92*E2_tabla_vida!$X$64)*E2_tabla_vida!$P$64,EXP(-E92*E2_tabla_vida!$X$65)*E2_tabla_vida!$P$65,EXP(-E92*E2_tabla_vida!$X$66)*E2_tabla_vida!$P$66,EXP(-E92*E2_tabla_vida!$X$67)*E2_tabla_vida!$P$67,EXP(-E92*E2_tabla_vida!$X$68)*E2_tabla_vida!$P$68,EXP(-E92*E2_tabla_vida!$X$69)*E2_tabla_vida!$P$69,EXP(-E92*E2_tabla_vida!$X$70)*E2_tabla_vida!$P$70,EXP(-E92*E2_tabla_vida!$X$71)*E2_tabla_vida!$P$71,EXP(-E92*E2_tabla_vida!$X$72)*E2_tabla_vida!$P$72,EXP(-E92*E2_tabla_vida!$X$73)*E2_tabla_vida!$P$73,EXP(-E92*E2_tabla_vida!$X$74)*E2_tabla_vida!$P$74,EXP(-E92*E2_tabla_vida!$X$75)*E2_tabla_vida!$P$75,EXP(-E92*E2_tabla_vida!$X$76)*E2_tabla_vida!$P$76,EXP(-E92*E2_tabla_vida!$X$77)*E2_tabla_vida!$P$77,EXP(-E92*E2_tabla_vida!$X$78)*E2_tabla_vida!$P$78,EXP(-E92*E2_tabla_vida!$X$79)*E2_tabla_vida!$P$79,EXP(-E92*E2_tabla_vida!$X$80)*E2_tabla_vida!$P$80,EXP(-E92*E2_tabla_vida!$X$81)*E2_tabla_vida!$P$81,EXP(-E92*E2_tabla_vida!$X$82)*E2_tabla_vida!$P$82,EXP(-E92*E2_tabla_vida!$X$83)*E2_tabla_vida!$P$83,EXP(-E92*E2_tabla_vida!$X$84)*E2_tabla_vida!$P$84,EXP(-E92*E2_tabla_vida!$X$85)*E2_tabla_vida!$P$85)-1</x:f>
        <x:v>1.7132961716015416e-12</x:v>
      </x:c>
      <x:c r="G92" s="24" t="n">
        <x:f>SUM(EXP(-C92*E2_tabla_vida!$X$44)*E2_tabla_vida!$P$44,EXP(-C92*E2_tabla_vida!$X$45)*E2_tabla_vida!$P$45,EXP(-C92*E2_tabla_vida!$X$46)*E2_tabla_vida!$P$46,EXP(-C92*E2_tabla_vida!$X$47)*E2_tabla_vida!$P$47,EXP(-C92*E2_tabla_vida!$X$48)*E2_tabla_vida!$P$48,EXP(-C92*E2_tabla_vida!$X$49)*E2_tabla_vida!$P$49,EXP(-C92*E2_tabla_vida!$X$50)*E2_tabla_vida!$P$50,EXP(-C92*E2_tabla_vida!$X$51)*E2_tabla_vida!$P$51,EXP(-C92*E2_tabla_vida!$X$52)*E2_tabla_vida!$P$52,EXP(-C92*E2_tabla_vida!$X$53)*E2_tabla_vida!$P$53,EXP(-C92*E2_tabla_vida!$X$54)*E2_tabla_vida!$P$54,EXP(-C92*E2_tabla_vida!$X$55)*E2_tabla_vida!$P$55,EXP(-C92*E2_tabla_vida!$X$56)*E2_tabla_vida!$P$56,EXP(-C92*E2_tabla_vida!$X$57)*E2_tabla_vida!$P$57,EXP(-C92*E2_tabla_vida!$X$58)*E2_tabla_vida!$P$58,EXP(-C92*E2_tabla_vida!$X$59)*E2_tabla_vida!$P$59,EXP(-C92*E2_tabla_vida!$X$60)*E2_tabla_vida!$P$60,EXP(-C92*E2_tabla_vida!$X$61)*E2_tabla_vida!$P$61,EXP(-C92*E2_tabla_vida!$X$62)*E2_tabla_vida!$P$62,EXP(-C92*E2_tabla_vida!$X$63)*E2_tabla_vida!$P$63,EXP(-C92*E2_tabla_vida!$X$64)*E2_tabla_vida!$P$64,EXP(-C92*E2_tabla_vida!$X$65)*E2_tabla_vida!$P$65,EXP(-C92*E2_tabla_vida!$X$66)*E2_tabla_vida!$P$66,EXP(-C92*E2_tabla_vida!$X$67)*E2_tabla_vida!$P$67,EXP(-C92*E2_tabla_vida!$X$68)*E2_tabla_vida!$P$68,EXP(-C92*E2_tabla_vida!$X$69)*E2_tabla_vida!$P$69,EXP(-C92*E2_tabla_vida!$X$70)*E2_tabla_vida!$P$70,EXP(-C92*E2_tabla_vida!$X$71)*E2_tabla_vida!$P$71,EXP(-C92*E2_tabla_vida!$X$72)*E2_tabla_vida!$P$72,EXP(-C92*E2_tabla_vida!$X$73)*E2_tabla_vida!$P$73,EXP(-C92*E2_tabla_vida!$X$74)*E2_tabla_vida!$P$74,EXP(-C92*E2_tabla_vida!$X$75)*E2_tabla_vida!$P$75,EXP(-C92*E2_tabla_vida!$X$76)*E2_tabla_vida!$P$76,EXP(-C92*E2_tabla_vida!$X$77)*E2_tabla_vida!$P$77,EXP(-C92*E2_tabla_vida!$X$78)*E2_tabla_vida!$P$78,EXP(-C92*E2_tabla_vida!$X$79)*E2_tabla_vida!$P$79,EXP(-C92*E2_tabla_vida!$X$80)*E2_tabla_vida!$P$80,EXP(-C92*E2_tabla_vida!$X$81)*E2_tabla_vida!$P$81,EXP(-C92*E2_tabla_vida!$X$82)*E2_tabla_vida!$P$82,EXP(-C92*E2_tabla_vida!$X$83)*E2_tabla_vida!$P$83,EXP(-C92*E2_tabla_vida!$X$84)*E2_tabla_vida!$P$84,EXP(-C92*E2_tabla_vida!$X$85)*E2_tabla_vida!$P$85)-1</x:f>
        <x:v>3.04911651483053e-12</x:v>
      </x:c>
      <x:c r="H92" s="24" t="n">
        <x:f>SUM(EXP(-D92*E2_tabla_vida!$X$44)*E2_tabla_vida!$P$44,EXP(-D92*E2_tabla_vida!$X$45)*E2_tabla_vida!$P$45,EXP(-D92*E2_tabla_vida!$X$46)*E2_tabla_vida!$P$46,EXP(-D92*E2_tabla_vida!$X$47)*E2_tabla_vida!$P$47,EXP(-D92*E2_tabla_vida!$X$48)*E2_tabla_vida!$P$48,EXP(-D92*E2_tabla_vida!$X$49)*E2_tabla_vida!$P$49,EXP(-D92*E2_tabla_vida!$X$50)*E2_tabla_vida!$P$50,EXP(-D92*E2_tabla_vida!$X$51)*E2_tabla_vida!$P$51,EXP(-D92*E2_tabla_vida!$X$52)*E2_tabla_vida!$P$52,EXP(-D92*E2_tabla_vida!$X$53)*E2_tabla_vida!$P$53,EXP(-D92*E2_tabla_vida!$X$54)*E2_tabla_vida!$P$54,EXP(-D92*E2_tabla_vida!$X$55)*E2_tabla_vida!$P$55,EXP(-D92*E2_tabla_vida!$X$56)*E2_tabla_vida!$P$56,EXP(-D92*E2_tabla_vida!$X$57)*E2_tabla_vida!$P$57,EXP(-D92*E2_tabla_vida!$X$58)*E2_tabla_vida!$P$58,EXP(-D92*E2_tabla_vida!$X$59)*E2_tabla_vida!$P$59,EXP(-D92*E2_tabla_vida!$X$60)*E2_tabla_vida!$P$60,EXP(-D92*E2_tabla_vida!$X$61)*E2_tabla_vida!$P$61,EXP(-D92*E2_tabla_vida!$X$62)*E2_tabla_vida!$P$62,EXP(-D92*E2_tabla_vida!$X$63)*E2_tabla_vida!$P$63,EXP(-D92*E2_tabla_vida!$X$64)*E2_tabla_vida!$P$64,EXP(-D92*E2_tabla_vida!$X$65)*E2_tabla_vida!$P$65,EXP(-D92*E2_tabla_vida!$X$66)*E2_tabla_vida!$P$66,EXP(-D92*E2_tabla_vida!$X$67)*E2_tabla_vida!$P$67,EXP(-D92*E2_tabla_vida!$X$68)*E2_tabla_vida!$P$68,EXP(-D92*E2_tabla_vida!$X$69)*E2_tabla_vida!$P$69,EXP(-D92*E2_tabla_vida!$X$70)*E2_tabla_vida!$P$70,EXP(-D92*E2_tabla_vida!$X$71)*E2_tabla_vida!$P$71,EXP(-D92*E2_tabla_vida!$X$72)*E2_tabla_vida!$P$72,EXP(-D92*E2_tabla_vida!$X$73)*E2_tabla_vida!$P$73,EXP(-D92*E2_tabla_vida!$X$74)*E2_tabla_vida!$P$74,EXP(-D92*E2_tabla_vida!$X$75)*E2_tabla_vida!$P$75,EXP(-D92*E2_tabla_vida!$X$76)*E2_tabla_vida!$P$76,EXP(-D92*E2_tabla_vida!$X$77)*E2_tabla_vida!$P$77,EXP(-D92*E2_tabla_vida!$X$78)*E2_tabla_vida!$P$78,EXP(-D92*E2_tabla_vida!$X$79)*E2_tabla_vida!$P$79,EXP(-D92*E2_tabla_vida!$X$80)*E2_tabla_vida!$P$80,EXP(-D92*E2_tabla_vida!$X$81)*E2_tabla_vida!$P$81,EXP(-D92*E2_tabla_vida!$X$82)*E2_tabla_vida!$P$82,EXP(-D92*E2_tabla_vida!$X$83)*E2_tabla_vida!$P$83,EXP(-D92*E2_tabla_vida!$X$84)*E2_tabla_vida!$P$84,EXP(-D92*E2_tabla_vida!$X$85)*E2_tabla_vida!$P$85)-1</x:f>
        <x:v>3.772537837676282e-13</x:v>
      </x:c>
    </x:row>
    <x:row r="93" ht="19" customHeight="1">
      <x:c r="A93" s="2" t="str">
        <x:v>MP_L8</x:v>
      </x:c>
      <x:c r="B93" s="2" t="n">
        <x:v>45</x:v>
      </x:c>
      <x:c r="C93" s="22" t="n">
        <x:f>IF(F92&gt;0,E92,C92)</x:f>
        <x:v>0.19572611814649576</x:v>
      </x:c>
      <x:c r="D93" s="22" t="n">
        <x:f>IF(F92&gt;0,D92,E92)</x:f>
        <x:v>0.19572611814658103</x:v>
      </x:c>
      <x:c r="E93" s="22" t="n">
        <x:f>AVERAGE(C93:D93)</x:f>
        <x:v>0.1957261181465384</x:v>
      </x:c>
      <x:c r="F93" s="24" t="n">
        <x:f>SUM(EXP(-E93*E2_tabla_vida!$X$44)*E2_tabla_vida!$P$44,EXP(-E93*E2_tabla_vida!$X$45)*E2_tabla_vida!$P$45,EXP(-E93*E2_tabla_vida!$X$46)*E2_tabla_vida!$P$46,EXP(-E93*E2_tabla_vida!$X$47)*E2_tabla_vida!$P$47,EXP(-E93*E2_tabla_vida!$X$48)*E2_tabla_vida!$P$48,EXP(-E93*E2_tabla_vida!$X$49)*E2_tabla_vida!$P$49,EXP(-E93*E2_tabla_vida!$X$50)*E2_tabla_vida!$P$50,EXP(-E93*E2_tabla_vida!$X$51)*E2_tabla_vida!$P$51,EXP(-E93*E2_tabla_vida!$X$52)*E2_tabla_vida!$P$52,EXP(-E93*E2_tabla_vida!$X$53)*E2_tabla_vida!$P$53,EXP(-E93*E2_tabla_vida!$X$54)*E2_tabla_vida!$P$54,EXP(-E93*E2_tabla_vida!$X$55)*E2_tabla_vida!$P$55,EXP(-E93*E2_tabla_vida!$X$56)*E2_tabla_vida!$P$56,EXP(-E93*E2_tabla_vida!$X$57)*E2_tabla_vida!$P$57,EXP(-E93*E2_tabla_vida!$X$58)*E2_tabla_vida!$P$58,EXP(-E93*E2_tabla_vida!$X$59)*E2_tabla_vida!$P$59,EXP(-E93*E2_tabla_vida!$X$60)*E2_tabla_vida!$P$60,EXP(-E93*E2_tabla_vida!$X$61)*E2_tabla_vida!$P$61,EXP(-E93*E2_tabla_vida!$X$62)*E2_tabla_vida!$P$62,EXP(-E93*E2_tabla_vida!$X$63)*E2_tabla_vida!$P$63,EXP(-E93*E2_tabla_vida!$X$64)*E2_tabla_vida!$P$64,EXP(-E93*E2_tabla_vida!$X$65)*E2_tabla_vida!$P$65,EXP(-E93*E2_tabla_vida!$X$66)*E2_tabla_vida!$P$66,EXP(-E93*E2_tabla_vida!$X$67)*E2_tabla_vida!$P$67,EXP(-E93*E2_tabla_vida!$X$68)*E2_tabla_vida!$P$68,EXP(-E93*E2_tabla_vida!$X$69)*E2_tabla_vida!$P$69,EXP(-E93*E2_tabla_vida!$X$70)*E2_tabla_vida!$P$70,EXP(-E93*E2_tabla_vida!$X$71)*E2_tabla_vida!$P$71,EXP(-E93*E2_tabla_vida!$X$72)*E2_tabla_vida!$P$72,EXP(-E93*E2_tabla_vida!$X$73)*E2_tabla_vida!$P$73,EXP(-E93*E2_tabla_vida!$X$74)*E2_tabla_vida!$P$74,EXP(-E93*E2_tabla_vida!$X$75)*E2_tabla_vida!$P$75,EXP(-E93*E2_tabla_vida!$X$76)*E2_tabla_vida!$P$76,EXP(-E93*E2_tabla_vida!$X$77)*E2_tabla_vida!$P$77,EXP(-E93*E2_tabla_vida!$X$78)*E2_tabla_vida!$P$78,EXP(-E93*E2_tabla_vida!$X$79)*E2_tabla_vida!$P$79,EXP(-E93*E2_tabla_vida!$X$80)*E2_tabla_vida!$P$80,EXP(-E93*E2_tabla_vida!$X$81)*E2_tabla_vida!$P$81,EXP(-E93*E2_tabla_vida!$X$82)*E2_tabla_vida!$P$82,EXP(-E93*E2_tabla_vida!$X$83)*E2_tabla_vida!$P$83,EXP(-E93*E2_tabla_vida!$X$84)*E2_tabla_vida!$P$84,EXP(-E93*E2_tabla_vida!$X$85)*E2_tabla_vida!$P$85)-1</x:f>
        <x:v>1.0453859999870474e-12</x:v>
      </x:c>
      <x:c r="G93" s="24" t="n">
        <x:f>SUM(EXP(-C93*E2_tabla_vida!$X$44)*E2_tabla_vida!$P$44,EXP(-C93*E2_tabla_vida!$X$45)*E2_tabla_vida!$P$45,EXP(-C93*E2_tabla_vida!$X$46)*E2_tabla_vida!$P$46,EXP(-C93*E2_tabla_vida!$X$47)*E2_tabla_vida!$P$47,EXP(-C93*E2_tabla_vida!$X$48)*E2_tabla_vida!$P$48,EXP(-C93*E2_tabla_vida!$X$49)*E2_tabla_vida!$P$49,EXP(-C93*E2_tabla_vida!$X$50)*E2_tabla_vida!$P$50,EXP(-C93*E2_tabla_vida!$X$51)*E2_tabla_vida!$P$51,EXP(-C93*E2_tabla_vida!$X$52)*E2_tabla_vida!$P$52,EXP(-C93*E2_tabla_vida!$X$53)*E2_tabla_vida!$P$53,EXP(-C93*E2_tabla_vida!$X$54)*E2_tabla_vida!$P$54,EXP(-C93*E2_tabla_vida!$X$55)*E2_tabla_vida!$P$55,EXP(-C93*E2_tabla_vida!$X$56)*E2_tabla_vida!$P$56,EXP(-C93*E2_tabla_vida!$X$57)*E2_tabla_vida!$P$57,EXP(-C93*E2_tabla_vida!$X$58)*E2_tabla_vida!$P$58,EXP(-C93*E2_tabla_vida!$X$59)*E2_tabla_vida!$P$59,EXP(-C93*E2_tabla_vida!$X$60)*E2_tabla_vida!$P$60,EXP(-C93*E2_tabla_vida!$X$61)*E2_tabla_vida!$P$61,EXP(-C93*E2_tabla_vida!$X$62)*E2_tabla_vida!$P$62,EXP(-C93*E2_tabla_vida!$X$63)*E2_tabla_vida!$P$63,EXP(-C93*E2_tabla_vida!$X$64)*E2_tabla_vida!$P$64,EXP(-C93*E2_tabla_vida!$X$65)*E2_tabla_vida!$P$65,EXP(-C93*E2_tabla_vida!$X$66)*E2_tabla_vida!$P$66,EXP(-C93*E2_tabla_vida!$X$67)*E2_tabla_vida!$P$67,EXP(-C93*E2_tabla_vida!$X$68)*E2_tabla_vida!$P$68,EXP(-C93*E2_tabla_vida!$X$69)*E2_tabla_vida!$P$69,EXP(-C93*E2_tabla_vida!$X$70)*E2_tabla_vida!$P$70,EXP(-C93*E2_tabla_vida!$X$71)*E2_tabla_vida!$P$71,EXP(-C93*E2_tabla_vida!$X$72)*E2_tabla_vida!$P$72,EXP(-C93*E2_tabla_vida!$X$73)*E2_tabla_vida!$P$73,EXP(-C93*E2_tabla_vida!$X$74)*E2_tabla_vida!$P$74,EXP(-C93*E2_tabla_vida!$X$75)*E2_tabla_vida!$P$75,EXP(-C93*E2_tabla_vida!$X$76)*E2_tabla_vida!$P$76,EXP(-C93*E2_tabla_vida!$X$77)*E2_tabla_vida!$P$77,EXP(-C93*E2_tabla_vida!$X$78)*E2_tabla_vida!$P$78,EXP(-C93*E2_tabla_vida!$X$79)*E2_tabla_vida!$P$79,EXP(-C93*E2_tabla_vida!$X$80)*E2_tabla_vida!$P$80,EXP(-C93*E2_tabla_vida!$X$81)*E2_tabla_vida!$P$81,EXP(-C93*E2_tabla_vida!$X$82)*E2_tabla_vida!$P$82,EXP(-C93*E2_tabla_vida!$X$83)*E2_tabla_vida!$P$83,EXP(-C93*E2_tabla_vida!$X$84)*E2_tabla_vida!$P$84,EXP(-C93*E2_tabla_vida!$X$85)*E2_tabla_vida!$P$85)-1</x:f>
        <x:v>1.7132961716015416e-12</x:v>
      </x:c>
      <x:c r="H93" s="24" t="n">
        <x:f>SUM(EXP(-D93*E2_tabla_vida!$X$44)*E2_tabla_vida!$P$44,EXP(-D93*E2_tabla_vida!$X$45)*E2_tabla_vida!$P$45,EXP(-D93*E2_tabla_vida!$X$46)*E2_tabla_vida!$P$46,EXP(-D93*E2_tabla_vida!$X$47)*E2_tabla_vida!$P$47,EXP(-D93*E2_tabla_vida!$X$48)*E2_tabla_vida!$P$48,EXP(-D93*E2_tabla_vida!$X$49)*E2_tabla_vida!$P$49,EXP(-D93*E2_tabla_vida!$X$50)*E2_tabla_vida!$P$50,EXP(-D93*E2_tabla_vida!$X$51)*E2_tabla_vida!$P$51,EXP(-D93*E2_tabla_vida!$X$52)*E2_tabla_vida!$P$52,EXP(-D93*E2_tabla_vida!$X$53)*E2_tabla_vida!$P$53,EXP(-D93*E2_tabla_vida!$X$54)*E2_tabla_vida!$P$54,EXP(-D93*E2_tabla_vida!$X$55)*E2_tabla_vida!$P$55,EXP(-D93*E2_tabla_vida!$X$56)*E2_tabla_vida!$P$56,EXP(-D93*E2_tabla_vida!$X$57)*E2_tabla_vida!$P$57,EXP(-D93*E2_tabla_vida!$X$58)*E2_tabla_vida!$P$58,EXP(-D93*E2_tabla_vida!$X$59)*E2_tabla_vida!$P$59,EXP(-D93*E2_tabla_vida!$X$60)*E2_tabla_vida!$P$60,EXP(-D93*E2_tabla_vida!$X$61)*E2_tabla_vida!$P$61,EXP(-D93*E2_tabla_vida!$X$62)*E2_tabla_vida!$P$62,EXP(-D93*E2_tabla_vida!$X$63)*E2_tabla_vida!$P$63,EXP(-D93*E2_tabla_vida!$X$64)*E2_tabla_vida!$P$64,EXP(-D93*E2_tabla_vida!$X$65)*E2_tabla_vida!$P$65,EXP(-D93*E2_tabla_vida!$X$66)*E2_tabla_vida!$P$66,EXP(-D93*E2_tabla_vida!$X$67)*E2_tabla_vida!$P$67,EXP(-D93*E2_tabla_vida!$X$68)*E2_tabla_vida!$P$68,EXP(-D93*E2_tabla_vida!$X$69)*E2_tabla_vida!$P$69,EXP(-D93*E2_tabla_vida!$X$70)*E2_tabla_vida!$P$70,EXP(-D93*E2_tabla_vida!$X$71)*E2_tabla_vida!$P$71,EXP(-D93*E2_tabla_vida!$X$72)*E2_tabla_vida!$P$72,EXP(-D93*E2_tabla_vida!$X$73)*E2_tabla_vida!$P$73,EXP(-D93*E2_tabla_vida!$X$74)*E2_tabla_vida!$P$74,EXP(-D93*E2_tabla_vida!$X$75)*E2_tabla_vida!$P$75,EXP(-D93*E2_tabla_vida!$X$76)*E2_tabla_vida!$P$76,EXP(-D93*E2_tabla_vida!$X$77)*E2_tabla_vida!$P$77,EXP(-D93*E2_tabla_vida!$X$78)*E2_tabla_vida!$P$78,EXP(-D93*E2_tabla_vida!$X$79)*E2_tabla_vida!$P$79,EXP(-D93*E2_tabla_vida!$X$80)*E2_tabla_vida!$P$80,EXP(-D93*E2_tabla_vida!$X$81)*E2_tabla_vida!$P$81,EXP(-D93*E2_tabla_vida!$X$82)*E2_tabla_vida!$P$82,EXP(-D93*E2_tabla_vida!$X$83)*E2_tabla_vida!$P$83,EXP(-D93*E2_tabla_vida!$X$84)*E2_tabla_vida!$P$84,EXP(-D93*E2_tabla_vida!$X$85)*E2_tabla_vida!$P$85)-1</x:f>
        <x:v>3.772537837676282e-13</x:v>
      </x:c>
    </x:row>
    <x:row r="94" ht="19" customHeight="1">
      <x:c r="A94" s="2" t="str">
        <x:v>MP_L7</x:v>
      </x:c>
      <x:c r="B94" s="2" t="n">
        <x:v>0</x:v>
      </x:c>
      <x:c r="C94" s="22" t="n">
        <x:f>Supuestos!$C$17</x:f>
        <x:v>-1</x:v>
      </x:c>
      <x:c r="D94" s="22" t="n">
        <x:f>Supuestos!$C$18</x:f>
        <x:v>2</x:v>
      </x:c>
      <x:c r="E94" s="22" t="n">
        <x:f>AVERAGE(C94:D94)</x:f>
        <x:v>0.5</x:v>
      </x:c>
      <x:c r="F94" s="24" t="n">
        <x:f>SUM(EXP(-E94*E2_tabla_vida!$X$86)*E2_tabla_vida!$P$86,EXP(-E94*E2_tabla_vida!$X$87)*E2_tabla_vida!$P$87,EXP(-E94*E2_tabla_vida!$X$88)*E2_tabla_vida!$P$88,EXP(-E94*E2_tabla_vida!$X$89)*E2_tabla_vida!$P$89,EXP(-E94*E2_tabla_vida!$X$90)*E2_tabla_vida!$P$90,EXP(-E94*E2_tabla_vida!$X$91)*E2_tabla_vida!$P$91,EXP(-E94*E2_tabla_vida!$X$92)*E2_tabla_vida!$P$92,EXP(-E94*E2_tabla_vida!$X$93)*E2_tabla_vida!$P$93,EXP(-E94*E2_tabla_vida!$X$94)*E2_tabla_vida!$P$94,EXP(-E94*E2_tabla_vida!$X$95)*E2_tabla_vida!$P$95,EXP(-E94*E2_tabla_vida!$X$96)*E2_tabla_vida!$P$96,EXP(-E94*E2_tabla_vida!$X$97)*E2_tabla_vida!$P$97,EXP(-E94*E2_tabla_vida!$X$98)*E2_tabla_vida!$P$98,EXP(-E94*E2_tabla_vida!$X$99)*E2_tabla_vida!$P$99,EXP(-E94*E2_tabla_vida!$X$100)*E2_tabla_vida!$P$100,EXP(-E94*E2_tabla_vida!$X$101)*E2_tabla_vida!$P$101,EXP(-E94*E2_tabla_vida!$X$102)*E2_tabla_vida!$P$102,EXP(-E94*E2_tabla_vida!$X$103)*E2_tabla_vida!$P$103,EXP(-E94*E2_tabla_vida!$X$104)*E2_tabla_vida!$P$104,EXP(-E94*E2_tabla_vida!$X$105)*E2_tabla_vida!$P$105,EXP(-E94*E2_tabla_vida!$X$106)*E2_tabla_vida!$P$106,EXP(-E94*E2_tabla_vida!$X$107)*E2_tabla_vida!$P$107,EXP(-E94*E2_tabla_vida!$X$108)*E2_tabla_vida!$P$108,EXP(-E94*E2_tabla_vida!$X$109)*E2_tabla_vida!$P$109,EXP(-E94*E2_tabla_vida!$X$110)*E2_tabla_vida!$P$110,EXP(-E94*E2_tabla_vida!$X$111)*E2_tabla_vida!$P$111,EXP(-E94*E2_tabla_vida!$X$112)*E2_tabla_vida!$P$112,EXP(-E94*E2_tabla_vida!$X$113)*E2_tabla_vida!$P$113,EXP(-E94*E2_tabla_vida!$X$114)*E2_tabla_vida!$P$114,EXP(-E94*E2_tabla_vida!$X$115)*E2_tabla_vida!$P$115,EXP(-E94*E2_tabla_vida!$X$116)*E2_tabla_vida!$P$116,EXP(-E94*E2_tabla_vida!$X$117)*E2_tabla_vida!$P$117,EXP(-E94*E2_tabla_vida!$X$118)*E2_tabla_vida!$P$118,EXP(-E94*E2_tabla_vida!$X$119)*E2_tabla_vida!$P$119,EXP(-E94*E2_tabla_vida!$X$120)*E2_tabla_vida!$P$120,EXP(-E94*E2_tabla_vida!$X$121)*E2_tabla_vida!$P$121,EXP(-E94*E2_tabla_vida!$X$122)*E2_tabla_vida!$P$122,EXP(-E94*E2_tabla_vida!$X$123)*E2_tabla_vida!$P$123,EXP(-E94*E2_tabla_vida!$X$124)*E2_tabla_vida!$P$124,EXP(-E94*E2_tabla_vida!$X$125)*E2_tabla_vida!$P$125,EXP(-E94*E2_tabla_vida!$X$126)*E2_tabla_vida!$P$126,EXP(-E94*E2_tabla_vida!$X$127)*E2_tabla_vida!$P$127)-1</x:f>
        <x:v>-0.9912194890450733</x:v>
      </x:c>
      <x:c r="G94" s="24" t="n">
        <x:f>SUM(EXP(-C94*E2_tabla_vida!$X$86)*E2_tabla_vida!$P$86,EXP(-C94*E2_tabla_vida!$X$87)*E2_tabla_vida!$P$87,EXP(-C94*E2_tabla_vida!$X$88)*E2_tabla_vida!$P$88,EXP(-C94*E2_tabla_vida!$X$89)*E2_tabla_vida!$P$89,EXP(-C94*E2_tabla_vida!$X$90)*E2_tabla_vida!$P$90,EXP(-C94*E2_tabla_vida!$X$91)*E2_tabla_vida!$P$91,EXP(-C94*E2_tabla_vida!$X$92)*E2_tabla_vida!$P$92,EXP(-C94*E2_tabla_vida!$X$93)*E2_tabla_vida!$P$93,EXP(-C94*E2_tabla_vida!$X$94)*E2_tabla_vida!$P$94,EXP(-C94*E2_tabla_vida!$X$95)*E2_tabla_vida!$P$95,EXP(-C94*E2_tabla_vida!$X$96)*E2_tabla_vida!$P$96,EXP(-C94*E2_tabla_vida!$X$97)*E2_tabla_vida!$P$97,EXP(-C94*E2_tabla_vida!$X$98)*E2_tabla_vida!$P$98,EXP(-C94*E2_tabla_vida!$X$99)*E2_tabla_vida!$P$99,EXP(-C94*E2_tabla_vida!$X$100)*E2_tabla_vida!$P$100,EXP(-C94*E2_tabla_vida!$X$101)*E2_tabla_vida!$P$101,EXP(-C94*E2_tabla_vida!$X$102)*E2_tabla_vida!$P$102,EXP(-C94*E2_tabla_vida!$X$103)*E2_tabla_vida!$P$103,EXP(-C94*E2_tabla_vida!$X$104)*E2_tabla_vida!$P$104,EXP(-C94*E2_tabla_vida!$X$105)*E2_tabla_vida!$P$105,EXP(-C94*E2_tabla_vida!$X$106)*E2_tabla_vida!$P$106,EXP(-C94*E2_tabla_vida!$X$107)*E2_tabla_vida!$P$107,EXP(-C94*E2_tabla_vida!$X$108)*E2_tabla_vida!$P$108,EXP(-C94*E2_tabla_vida!$X$109)*E2_tabla_vida!$P$109,EXP(-C94*E2_tabla_vida!$X$110)*E2_tabla_vida!$P$110,EXP(-C94*E2_tabla_vida!$X$111)*E2_tabla_vida!$P$111,EXP(-C94*E2_tabla_vida!$X$112)*E2_tabla_vida!$P$112,EXP(-C94*E2_tabla_vida!$X$113)*E2_tabla_vida!$P$113,EXP(-C94*E2_tabla_vida!$X$114)*E2_tabla_vida!$P$114,EXP(-C94*E2_tabla_vida!$X$115)*E2_tabla_vida!$P$115,EXP(-C94*E2_tabla_vida!$X$116)*E2_tabla_vida!$P$116,EXP(-C94*E2_tabla_vida!$X$117)*E2_tabla_vida!$P$117,EXP(-C94*E2_tabla_vida!$X$118)*E2_tabla_vida!$P$118,EXP(-C94*E2_tabla_vida!$X$119)*E2_tabla_vida!$P$119,EXP(-C94*E2_tabla_vida!$X$120)*E2_tabla_vida!$P$120,EXP(-C94*E2_tabla_vida!$X$121)*E2_tabla_vida!$P$121,EXP(-C94*E2_tabla_vida!$X$122)*E2_tabla_vida!$P$122,EXP(-C94*E2_tabla_vida!$X$123)*E2_tabla_vida!$P$123,EXP(-C94*E2_tabla_vida!$X$124)*E2_tabla_vida!$P$124,EXP(-C94*E2_tabla_vida!$X$125)*E2_tabla_vida!$P$125,EXP(-C94*E2_tabla_vida!$X$126)*E2_tabla_vida!$P$126,EXP(-C94*E2_tabla_vida!$X$127)*E2_tabla_vida!$P$127)-1</x:f>
        <x:v>654630796945.6294</x:v>
      </x:c>
      <x:c r="H94" s="24" t="n">
        <x:f>SUM(EXP(-D94*E2_tabla_vida!$X$86)*E2_tabla_vida!$P$86,EXP(-D94*E2_tabla_vida!$X$87)*E2_tabla_vida!$P$87,EXP(-D94*E2_tabla_vida!$X$88)*E2_tabla_vida!$P$88,EXP(-D94*E2_tabla_vida!$X$89)*E2_tabla_vida!$P$89,EXP(-D94*E2_tabla_vida!$X$90)*E2_tabla_vida!$P$90,EXP(-D94*E2_tabla_vida!$X$91)*E2_tabla_vida!$P$91,EXP(-D94*E2_tabla_vida!$X$92)*E2_tabla_vida!$P$92,EXP(-D94*E2_tabla_vida!$X$93)*E2_tabla_vida!$P$93,EXP(-D94*E2_tabla_vida!$X$94)*E2_tabla_vida!$P$94,EXP(-D94*E2_tabla_vida!$X$95)*E2_tabla_vida!$P$95,EXP(-D94*E2_tabla_vida!$X$96)*E2_tabla_vida!$P$96,EXP(-D94*E2_tabla_vida!$X$97)*E2_tabla_vida!$P$97,EXP(-D94*E2_tabla_vida!$X$98)*E2_tabla_vida!$P$98,EXP(-D94*E2_tabla_vida!$X$99)*E2_tabla_vida!$P$99,EXP(-D94*E2_tabla_vida!$X$100)*E2_tabla_vida!$P$100,EXP(-D94*E2_tabla_vida!$X$101)*E2_tabla_vida!$P$101,EXP(-D94*E2_tabla_vida!$X$102)*E2_tabla_vida!$P$102,EXP(-D94*E2_tabla_vida!$X$103)*E2_tabla_vida!$P$103,EXP(-D94*E2_tabla_vida!$X$104)*E2_tabla_vida!$P$104,EXP(-D94*E2_tabla_vida!$X$105)*E2_tabla_vida!$P$105,EXP(-D94*E2_tabla_vida!$X$106)*E2_tabla_vida!$P$106,EXP(-D94*E2_tabla_vida!$X$107)*E2_tabla_vida!$P$107,EXP(-D94*E2_tabla_vida!$X$108)*E2_tabla_vida!$P$108,EXP(-D94*E2_tabla_vida!$X$109)*E2_tabla_vida!$P$109,EXP(-D94*E2_tabla_vida!$X$110)*E2_tabla_vida!$P$110,EXP(-D94*E2_tabla_vida!$X$111)*E2_tabla_vida!$P$111,EXP(-D94*E2_tabla_vida!$X$112)*E2_tabla_vida!$P$112,EXP(-D94*E2_tabla_vida!$X$113)*E2_tabla_vida!$P$113,EXP(-D94*E2_tabla_vida!$X$114)*E2_tabla_vida!$P$114,EXP(-D94*E2_tabla_vida!$X$115)*E2_tabla_vida!$P$115,EXP(-D94*E2_tabla_vida!$X$116)*E2_tabla_vida!$P$116,EXP(-D94*E2_tabla_vida!$X$117)*E2_tabla_vida!$P$117,EXP(-D94*E2_tabla_vida!$X$118)*E2_tabla_vida!$P$118,EXP(-D94*E2_tabla_vida!$X$119)*E2_tabla_vida!$P$119,EXP(-D94*E2_tabla_vida!$X$120)*E2_tabla_vida!$P$120,EXP(-D94*E2_tabla_vida!$X$121)*E2_tabla_vida!$P$121,EXP(-D94*E2_tabla_vida!$X$122)*E2_tabla_vida!$P$122,EXP(-D94*E2_tabla_vida!$X$123)*E2_tabla_vida!$P$123,EXP(-D94*E2_tabla_vida!$X$124)*E2_tabla_vida!$P$124,EXP(-D94*E2_tabla_vida!$X$125)*E2_tabla_vida!$P$125,EXP(-D94*E2_tabla_vida!$X$126)*E2_tabla_vida!$P$126,EXP(-D94*E2_tabla_vida!$X$127)*E2_tabla_vida!$P$127)-1</x:f>
        <x:v>-0.9999999997210656</x:v>
      </x:c>
    </x:row>
    <x:row r="95" ht="19" customHeight="1">
      <x:c r="A95" s="2" t="str">
        <x:v>MP_L7</x:v>
      </x:c>
      <x:c r="B95" s="2" t="n">
        <x:v>1</x:v>
      </x:c>
      <x:c r="C95" s="22" t="n">
        <x:f>IF(F94&gt;0,E94,C94)</x:f>
        <x:v>-1</x:v>
      </x:c>
      <x:c r="D95" s="22" t="n">
        <x:f>IF(F94&gt;0,D94,E94)</x:f>
        <x:v>0.5</x:v>
      </x:c>
      <x:c r="E95" s="22" t="n">
        <x:f>AVERAGE(C95:D95)</x:f>
        <x:v>-0.25</x:v>
      </x:c>
      <x:c r="F95" s="24" t="n">
        <x:f>SUM(EXP(-E95*E2_tabla_vida!$X$86)*E2_tabla_vida!$P$86,EXP(-E95*E2_tabla_vida!$X$87)*E2_tabla_vida!$P$87,EXP(-E95*E2_tabla_vida!$X$88)*E2_tabla_vida!$P$88,EXP(-E95*E2_tabla_vida!$X$89)*E2_tabla_vida!$P$89,EXP(-E95*E2_tabla_vida!$X$90)*E2_tabla_vida!$P$90,EXP(-E95*E2_tabla_vida!$X$91)*E2_tabla_vida!$P$91,EXP(-E95*E2_tabla_vida!$X$92)*E2_tabla_vida!$P$92,EXP(-E95*E2_tabla_vida!$X$93)*E2_tabla_vida!$P$93,EXP(-E95*E2_tabla_vida!$X$94)*E2_tabla_vida!$P$94,EXP(-E95*E2_tabla_vida!$X$95)*E2_tabla_vida!$P$95,EXP(-E95*E2_tabla_vida!$X$96)*E2_tabla_vida!$P$96,EXP(-E95*E2_tabla_vida!$X$97)*E2_tabla_vida!$P$97,EXP(-E95*E2_tabla_vida!$X$98)*E2_tabla_vida!$P$98,EXP(-E95*E2_tabla_vida!$X$99)*E2_tabla_vida!$P$99,EXP(-E95*E2_tabla_vida!$X$100)*E2_tabla_vida!$P$100,EXP(-E95*E2_tabla_vida!$X$101)*E2_tabla_vida!$P$101,EXP(-E95*E2_tabla_vida!$X$102)*E2_tabla_vida!$P$102,EXP(-E95*E2_tabla_vida!$X$103)*E2_tabla_vida!$P$103,EXP(-E95*E2_tabla_vida!$X$104)*E2_tabla_vida!$P$104,EXP(-E95*E2_tabla_vida!$X$105)*E2_tabla_vida!$P$105,EXP(-E95*E2_tabla_vida!$X$106)*E2_tabla_vida!$P$106,EXP(-E95*E2_tabla_vida!$X$107)*E2_tabla_vida!$P$107,EXP(-E95*E2_tabla_vida!$X$108)*E2_tabla_vida!$P$108,EXP(-E95*E2_tabla_vida!$X$109)*E2_tabla_vida!$P$109,EXP(-E95*E2_tabla_vida!$X$110)*E2_tabla_vida!$P$110,EXP(-E95*E2_tabla_vida!$X$111)*E2_tabla_vida!$P$111,EXP(-E95*E2_tabla_vida!$X$112)*E2_tabla_vida!$P$112,EXP(-E95*E2_tabla_vida!$X$113)*E2_tabla_vida!$P$113,EXP(-E95*E2_tabla_vida!$X$114)*E2_tabla_vida!$P$114,EXP(-E95*E2_tabla_vida!$X$115)*E2_tabla_vida!$P$115,EXP(-E95*E2_tabla_vida!$X$116)*E2_tabla_vida!$P$116,EXP(-E95*E2_tabla_vida!$X$117)*E2_tabla_vida!$P$117,EXP(-E95*E2_tabla_vida!$X$118)*E2_tabla_vida!$P$118,EXP(-E95*E2_tabla_vida!$X$119)*E2_tabla_vida!$P$119,EXP(-E95*E2_tabla_vida!$X$120)*E2_tabla_vida!$P$120,EXP(-E95*E2_tabla_vida!$X$121)*E2_tabla_vida!$P$121,EXP(-E95*E2_tabla_vida!$X$122)*E2_tabla_vida!$P$122,EXP(-E95*E2_tabla_vida!$X$123)*E2_tabla_vida!$P$123,EXP(-E95*E2_tabla_vida!$X$124)*E2_tabla_vida!$P$124,EXP(-E95*E2_tabla_vida!$X$125)*E2_tabla_vida!$P$125,EXP(-E95*E2_tabla_vida!$X$126)*E2_tabla_vida!$P$126,EXP(-E95*E2_tabla_vida!$X$127)*E2_tabla_vida!$P$127)-1</x:f>
        <x:v>3784.0678967041376</x:v>
      </x:c>
      <x:c r="G95" s="24" t="n">
        <x:f>SUM(EXP(-C95*E2_tabla_vida!$X$86)*E2_tabla_vida!$P$86,EXP(-C95*E2_tabla_vida!$X$87)*E2_tabla_vida!$P$87,EXP(-C95*E2_tabla_vida!$X$88)*E2_tabla_vida!$P$88,EXP(-C95*E2_tabla_vida!$X$89)*E2_tabla_vida!$P$89,EXP(-C95*E2_tabla_vida!$X$90)*E2_tabla_vida!$P$90,EXP(-C95*E2_tabla_vida!$X$91)*E2_tabla_vida!$P$91,EXP(-C95*E2_tabla_vida!$X$92)*E2_tabla_vida!$P$92,EXP(-C95*E2_tabla_vida!$X$93)*E2_tabla_vida!$P$93,EXP(-C95*E2_tabla_vida!$X$94)*E2_tabla_vida!$P$94,EXP(-C95*E2_tabla_vida!$X$95)*E2_tabla_vida!$P$95,EXP(-C95*E2_tabla_vida!$X$96)*E2_tabla_vida!$P$96,EXP(-C95*E2_tabla_vida!$X$97)*E2_tabla_vida!$P$97,EXP(-C95*E2_tabla_vida!$X$98)*E2_tabla_vida!$P$98,EXP(-C95*E2_tabla_vida!$X$99)*E2_tabla_vida!$P$99,EXP(-C95*E2_tabla_vida!$X$100)*E2_tabla_vida!$P$100,EXP(-C95*E2_tabla_vida!$X$101)*E2_tabla_vida!$P$101,EXP(-C95*E2_tabla_vida!$X$102)*E2_tabla_vida!$P$102,EXP(-C95*E2_tabla_vida!$X$103)*E2_tabla_vida!$P$103,EXP(-C95*E2_tabla_vida!$X$104)*E2_tabla_vida!$P$104,EXP(-C95*E2_tabla_vida!$X$105)*E2_tabla_vida!$P$105,EXP(-C95*E2_tabla_vida!$X$106)*E2_tabla_vida!$P$106,EXP(-C95*E2_tabla_vida!$X$107)*E2_tabla_vida!$P$107,EXP(-C95*E2_tabla_vida!$X$108)*E2_tabla_vida!$P$108,EXP(-C95*E2_tabla_vida!$X$109)*E2_tabla_vida!$P$109,EXP(-C95*E2_tabla_vida!$X$110)*E2_tabla_vida!$P$110,EXP(-C95*E2_tabla_vida!$X$111)*E2_tabla_vida!$P$111,EXP(-C95*E2_tabla_vida!$X$112)*E2_tabla_vida!$P$112,EXP(-C95*E2_tabla_vida!$X$113)*E2_tabla_vida!$P$113,EXP(-C95*E2_tabla_vida!$X$114)*E2_tabla_vida!$P$114,EXP(-C95*E2_tabla_vida!$X$115)*E2_tabla_vida!$P$115,EXP(-C95*E2_tabla_vida!$X$116)*E2_tabla_vida!$P$116,EXP(-C95*E2_tabla_vida!$X$117)*E2_tabla_vida!$P$117,EXP(-C95*E2_tabla_vida!$X$118)*E2_tabla_vida!$P$118,EXP(-C95*E2_tabla_vida!$X$119)*E2_tabla_vida!$P$119,EXP(-C95*E2_tabla_vida!$X$120)*E2_tabla_vida!$P$120,EXP(-C95*E2_tabla_vida!$X$121)*E2_tabla_vida!$P$121,EXP(-C95*E2_tabla_vida!$X$122)*E2_tabla_vida!$P$122,EXP(-C95*E2_tabla_vida!$X$123)*E2_tabla_vida!$P$123,EXP(-C95*E2_tabla_vida!$X$124)*E2_tabla_vida!$P$124,EXP(-C95*E2_tabla_vida!$X$125)*E2_tabla_vida!$P$125,EXP(-C95*E2_tabla_vida!$X$126)*E2_tabla_vida!$P$126,EXP(-C95*E2_tabla_vida!$X$127)*E2_tabla_vida!$P$127)-1</x:f>
        <x:v>654630796945.6294</x:v>
      </x:c>
      <x:c r="H95" s="24" t="n">
        <x:f>SUM(EXP(-D95*E2_tabla_vida!$X$86)*E2_tabla_vida!$P$86,EXP(-D95*E2_tabla_vida!$X$87)*E2_tabla_vida!$P$87,EXP(-D95*E2_tabla_vida!$X$88)*E2_tabla_vida!$P$88,EXP(-D95*E2_tabla_vida!$X$89)*E2_tabla_vida!$P$89,EXP(-D95*E2_tabla_vida!$X$90)*E2_tabla_vida!$P$90,EXP(-D95*E2_tabla_vida!$X$91)*E2_tabla_vida!$P$91,EXP(-D95*E2_tabla_vida!$X$92)*E2_tabla_vida!$P$92,EXP(-D95*E2_tabla_vida!$X$93)*E2_tabla_vida!$P$93,EXP(-D95*E2_tabla_vida!$X$94)*E2_tabla_vida!$P$94,EXP(-D95*E2_tabla_vida!$X$95)*E2_tabla_vida!$P$95,EXP(-D95*E2_tabla_vida!$X$96)*E2_tabla_vida!$P$96,EXP(-D95*E2_tabla_vida!$X$97)*E2_tabla_vida!$P$97,EXP(-D95*E2_tabla_vida!$X$98)*E2_tabla_vida!$P$98,EXP(-D95*E2_tabla_vida!$X$99)*E2_tabla_vida!$P$99,EXP(-D95*E2_tabla_vida!$X$100)*E2_tabla_vida!$P$100,EXP(-D95*E2_tabla_vida!$X$101)*E2_tabla_vida!$P$101,EXP(-D95*E2_tabla_vida!$X$102)*E2_tabla_vida!$P$102,EXP(-D95*E2_tabla_vida!$X$103)*E2_tabla_vida!$P$103,EXP(-D95*E2_tabla_vida!$X$104)*E2_tabla_vida!$P$104,EXP(-D95*E2_tabla_vida!$X$105)*E2_tabla_vida!$P$105,EXP(-D95*E2_tabla_vida!$X$106)*E2_tabla_vida!$P$106,EXP(-D95*E2_tabla_vida!$X$107)*E2_tabla_vida!$P$107,EXP(-D95*E2_tabla_vida!$X$108)*E2_tabla_vida!$P$108,EXP(-D95*E2_tabla_vida!$X$109)*E2_tabla_vida!$P$109,EXP(-D95*E2_tabla_vida!$X$110)*E2_tabla_vida!$P$110,EXP(-D95*E2_tabla_vida!$X$111)*E2_tabla_vida!$P$111,EXP(-D95*E2_tabla_vida!$X$112)*E2_tabla_vida!$P$112,EXP(-D95*E2_tabla_vida!$X$113)*E2_tabla_vida!$P$113,EXP(-D95*E2_tabla_vida!$X$114)*E2_tabla_vida!$P$114,EXP(-D95*E2_tabla_vida!$X$115)*E2_tabla_vida!$P$115,EXP(-D95*E2_tabla_vida!$X$116)*E2_tabla_vida!$P$116,EXP(-D95*E2_tabla_vida!$X$117)*E2_tabla_vida!$P$117,EXP(-D95*E2_tabla_vida!$X$118)*E2_tabla_vida!$P$118,EXP(-D95*E2_tabla_vida!$X$119)*E2_tabla_vida!$P$119,EXP(-D95*E2_tabla_vida!$X$120)*E2_tabla_vida!$P$120,EXP(-D95*E2_tabla_vida!$X$121)*E2_tabla_vida!$P$121,EXP(-D95*E2_tabla_vida!$X$122)*E2_tabla_vida!$P$122,EXP(-D95*E2_tabla_vida!$X$123)*E2_tabla_vida!$P$123,EXP(-D95*E2_tabla_vida!$X$124)*E2_tabla_vida!$P$124,EXP(-D95*E2_tabla_vida!$X$125)*E2_tabla_vida!$P$125,EXP(-D95*E2_tabla_vida!$X$126)*E2_tabla_vida!$P$126,EXP(-D95*E2_tabla_vida!$X$127)*E2_tabla_vida!$P$127)-1</x:f>
        <x:v>-0.9912194890450733</x:v>
      </x:c>
    </x:row>
    <x:row r="96" ht="19" customHeight="1">
      <x:c r="A96" s="2" t="str">
        <x:v>MP_L7</x:v>
      </x:c>
      <x:c r="B96" s="2" t="n">
        <x:v>2</x:v>
      </x:c>
      <x:c r="C96" s="22" t="n">
        <x:f>IF(F95&gt;0,E95,C95)</x:f>
        <x:v>-0.25</x:v>
      </x:c>
      <x:c r="D96" s="22" t="n">
        <x:f>IF(F95&gt;0,D95,E95)</x:f>
        <x:v>0.5</x:v>
      </x:c>
      <x:c r="E96" s="22" t="n">
        <x:f>AVERAGE(C96:D96)</x:f>
        <x:v>0.125</x:v>
      </x:c>
      <x:c r="F96" s="24" t="n">
        <x:f>SUM(EXP(-E96*E2_tabla_vida!$X$86)*E2_tabla_vida!$P$86,EXP(-E96*E2_tabla_vida!$X$87)*E2_tabla_vida!$P$87,EXP(-E96*E2_tabla_vida!$X$88)*E2_tabla_vida!$P$88,EXP(-E96*E2_tabla_vida!$X$89)*E2_tabla_vida!$P$89,EXP(-E96*E2_tabla_vida!$X$90)*E2_tabla_vida!$P$90,EXP(-E96*E2_tabla_vida!$X$91)*E2_tabla_vida!$P$91,EXP(-E96*E2_tabla_vida!$X$92)*E2_tabla_vida!$P$92,EXP(-E96*E2_tabla_vida!$X$93)*E2_tabla_vida!$P$93,EXP(-E96*E2_tabla_vida!$X$94)*E2_tabla_vida!$P$94,EXP(-E96*E2_tabla_vida!$X$95)*E2_tabla_vida!$P$95,EXP(-E96*E2_tabla_vida!$X$96)*E2_tabla_vida!$P$96,EXP(-E96*E2_tabla_vida!$X$97)*E2_tabla_vida!$P$97,EXP(-E96*E2_tabla_vida!$X$98)*E2_tabla_vida!$P$98,EXP(-E96*E2_tabla_vida!$X$99)*E2_tabla_vida!$P$99,EXP(-E96*E2_tabla_vida!$X$100)*E2_tabla_vida!$P$100,EXP(-E96*E2_tabla_vida!$X$101)*E2_tabla_vida!$P$101,EXP(-E96*E2_tabla_vida!$X$102)*E2_tabla_vida!$P$102,EXP(-E96*E2_tabla_vida!$X$103)*E2_tabla_vida!$P$103,EXP(-E96*E2_tabla_vida!$X$104)*E2_tabla_vida!$P$104,EXP(-E96*E2_tabla_vida!$X$105)*E2_tabla_vida!$P$105,EXP(-E96*E2_tabla_vida!$X$106)*E2_tabla_vida!$P$106,EXP(-E96*E2_tabla_vida!$X$107)*E2_tabla_vida!$P$107,EXP(-E96*E2_tabla_vida!$X$108)*E2_tabla_vida!$P$108,EXP(-E96*E2_tabla_vida!$X$109)*E2_tabla_vida!$P$109,EXP(-E96*E2_tabla_vida!$X$110)*E2_tabla_vida!$P$110,EXP(-E96*E2_tabla_vida!$X$111)*E2_tabla_vida!$P$111,EXP(-E96*E2_tabla_vida!$X$112)*E2_tabla_vida!$P$112,EXP(-E96*E2_tabla_vida!$X$113)*E2_tabla_vida!$P$113,EXP(-E96*E2_tabla_vida!$X$114)*E2_tabla_vida!$P$114,EXP(-E96*E2_tabla_vida!$X$115)*E2_tabla_vida!$P$115,EXP(-E96*E2_tabla_vida!$X$116)*E2_tabla_vida!$P$116,EXP(-E96*E2_tabla_vida!$X$117)*E2_tabla_vida!$P$117,EXP(-E96*E2_tabla_vida!$X$118)*E2_tabla_vida!$P$118,EXP(-E96*E2_tabla_vida!$X$119)*E2_tabla_vida!$P$119,EXP(-E96*E2_tabla_vida!$X$120)*E2_tabla_vida!$P$120,EXP(-E96*E2_tabla_vida!$X$121)*E2_tabla_vida!$P$121,EXP(-E96*E2_tabla_vida!$X$122)*E2_tabla_vida!$P$122,EXP(-E96*E2_tabla_vida!$X$123)*E2_tabla_vida!$P$123,EXP(-E96*E2_tabla_vida!$X$124)*E2_tabla_vida!$P$124,EXP(-E96*E2_tabla_vida!$X$125)*E2_tabla_vida!$P$125,EXP(-E96*E2_tabla_vida!$X$126)*E2_tabla_vida!$P$126,EXP(-E96*E2_tabla_vida!$X$127)*E2_tabla_vida!$P$127)-1</x:f>
        <x:v>1.4311711216145446</x:v>
      </x:c>
      <x:c r="G96" s="24" t="n">
        <x:f>SUM(EXP(-C96*E2_tabla_vida!$X$86)*E2_tabla_vida!$P$86,EXP(-C96*E2_tabla_vida!$X$87)*E2_tabla_vida!$P$87,EXP(-C96*E2_tabla_vida!$X$88)*E2_tabla_vida!$P$88,EXP(-C96*E2_tabla_vida!$X$89)*E2_tabla_vida!$P$89,EXP(-C96*E2_tabla_vida!$X$90)*E2_tabla_vida!$P$90,EXP(-C96*E2_tabla_vida!$X$91)*E2_tabla_vida!$P$91,EXP(-C96*E2_tabla_vida!$X$92)*E2_tabla_vida!$P$92,EXP(-C96*E2_tabla_vida!$X$93)*E2_tabla_vida!$P$93,EXP(-C96*E2_tabla_vida!$X$94)*E2_tabla_vida!$P$94,EXP(-C96*E2_tabla_vida!$X$95)*E2_tabla_vida!$P$95,EXP(-C96*E2_tabla_vida!$X$96)*E2_tabla_vida!$P$96,EXP(-C96*E2_tabla_vida!$X$97)*E2_tabla_vida!$P$97,EXP(-C96*E2_tabla_vida!$X$98)*E2_tabla_vida!$P$98,EXP(-C96*E2_tabla_vida!$X$99)*E2_tabla_vida!$P$99,EXP(-C96*E2_tabla_vida!$X$100)*E2_tabla_vida!$P$100,EXP(-C96*E2_tabla_vida!$X$101)*E2_tabla_vida!$P$101,EXP(-C96*E2_tabla_vida!$X$102)*E2_tabla_vida!$P$102,EXP(-C96*E2_tabla_vida!$X$103)*E2_tabla_vida!$P$103,EXP(-C96*E2_tabla_vida!$X$104)*E2_tabla_vida!$P$104,EXP(-C96*E2_tabla_vida!$X$105)*E2_tabla_vida!$P$105,EXP(-C96*E2_tabla_vida!$X$106)*E2_tabla_vida!$P$106,EXP(-C96*E2_tabla_vida!$X$107)*E2_tabla_vida!$P$107,EXP(-C96*E2_tabla_vida!$X$108)*E2_tabla_vida!$P$108,EXP(-C96*E2_tabla_vida!$X$109)*E2_tabla_vida!$P$109,EXP(-C96*E2_tabla_vida!$X$110)*E2_tabla_vida!$P$110,EXP(-C96*E2_tabla_vida!$X$111)*E2_tabla_vida!$P$111,EXP(-C96*E2_tabla_vida!$X$112)*E2_tabla_vida!$P$112,EXP(-C96*E2_tabla_vida!$X$113)*E2_tabla_vida!$P$113,EXP(-C96*E2_tabla_vida!$X$114)*E2_tabla_vida!$P$114,EXP(-C96*E2_tabla_vida!$X$115)*E2_tabla_vida!$P$115,EXP(-C96*E2_tabla_vida!$X$116)*E2_tabla_vida!$P$116,EXP(-C96*E2_tabla_vida!$X$117)*E2_tabla_vida!$P$117,EXP(-C96*E2_tabla_vida!$X$118)*E2_tabla_vida!$P$118,EXP(-C96*E2_tabla_vida!$X$119)*E2_tabla_vida!$P$119,EXP(-C96*E2_tabla_vida!$X$120)*E2_tabla_vida!$P$120,EXP(-C96*E2_tabla_vida!$X$121)*E2_tabla_vida!$P$121,EXP(-C96*E2_tabla_vida!$X$122)*E2_tabla_vida!$P$122,EXP(-C96*E2_tabla_vida!$X$123)*E2_tabla_vida!$P$123,EXP(-C96*E2_tabla_vida!$X$124)*E2_tabla_vida!$P$124,EXP(-C96*E2_tabla_vida!$X$125)*E2_tabla_vida!$P$125,EXP(-C96*E2_tabla_vida!$X$126)*E2_tabla_vida!$P$126,EXP(-C96*E2_tabla_vida!$X$127)*E2_tabla_vida!$P$127)-1</x:f>
        <x:v>3784.0678967041376</x:v>
      </x:c>
      <x:c r="H96" s="24" t="n">
        <x:f>SUM(EXP(-D96*E2_tabla_vida!$X$86)*E2_tabla_vida!$P$86,EXP(-D96*E2_tabla_vida!$X$87)*E2_tabla_vida!$P$87,EXP(-D96*E2_tabla_vida!$X$88)*E2_tabla_vida!$P$88,EXP(-D96*E2_tabla_vida!$X$89)*E2_tabla_vida!$P$89,EXP(-D96*E2_tabla_vida!$X$90)*E2_tabla_vida!$P$90,EXP(-D96*E2_tabla_vida!$X$91)*E2_tabla_vida!$P$91,EXP(-D96*E2_tabla_vida!$X$92)*E2_tabla_vida!$P$92,EXP(-D96*E2_tabla_vida!$X$93)*E2_tabla_vida!$P$93,EXP(-D96*E2_tabla_vida!$X$94)*E2_tabla_vida!$P$94,EXP(-D96*E2_tabla_vida!$X$95)*E2_tabla_vida!$P$95,EXP(-D96*E2_tabla_vida!$X$96)*E2_tabla_vida!$P$96,EXP(-D96*E2_tabla_vida!$X$97)*E2_tabla_vida!$P$97,EXP(-D96*E2_tabla_vida!$X$98)*E2_tabla_vida!$P$98,EXP(-D96*E2_tabla_vida!$X$99)*E2_tabla_vida!$P$99,EXP(-D96*E2_tabla_vida!$X$100)*E2_tabla_vida!$P$100,EXP(-D96*E2_tabla_vida!$X$101)*E2_tabla_vida!$P$101,EXP(-D96*E2_tabla_vida!$X$102)*E2_tabla_vida!$P$102,EXP(-D96*E2_tabla_vida!$X$103)*E2_tabla_vida!$P$103,EXP(-D96*E2_tabla_vida!$X$104)*E2_tabla_vida!$P$104,EXP(-D96*E2_tabla_vida!$X$105)*E2_tabla_vida!$P$105,EXP(-D96*E2_tabla_vida!$X$106)*E2_tabla_vida!$P$106,EXP(-D96*E2_tabla_vida!$X$107)*E2_tabla_vida!$P$107,EXP(-D96*E2_tabla_vida!$X$108)*E2_tabla_vida!$P$108,EXP(-D96*E2_tabla_vida!$X$109)*E2_tabla_vida!$P$109,EXP(-D96*E2_tabla_vida!$X$110)*E2_tabla_vida!$P$110,EXP(-D96*E2_tabla_vida!$X$111)*E2_tabla_vida!$P$111,EXP(-D96*E2_tabla_vida!$X$112)*E2_tabla_vida!$P$112,EXP(-D96*E2_tabla_vida!$X$113)*E2_tabla_vida!$P$113,EXP(-D96*E2_tabla_vida!$X$114)*E2_tabla_vida!$P$114,EXP(-D96*E2_tabla_vida!$X$115)*E2_tabla_vida!$P$115,EXP(-D96*E2_tabla_vida!$X$116)*E2_tabla_vida!$P$116,EXP(-D96*E2_tabla_vida!$X$117)*E2_tabla_vida!$P$117,EXP(-D96*E2_tabla_vida!$X$118)*E2_tabla_vida!$P$118,EXP(-D96*E2_tabla_vida!$X$119)*E2_tabla_vida!$P$119,EXP(-D96*E2_tabla_vida!$X$120)*E2_tabla_vida!$P$120,EXP(-D96*E2_tabla_vida!$X$121)*E2_tabla_vida!$P$121,EXP(-D96*E2_tabla_vida!$X$122)*E2_tabla_vida!$P$122,EXP(-D96*E2_tabla_vida!$X$123)*E2_tabla_vida!$P$123,EXP(-D96*E2_tabla_vida!$X$124)*E2_tabla_vida!$P$124,EXP(-D96*E2_tabla_vida!$X$125)*E2_tabla_vida!$P$125,EXP(-D96*E2_tabla_vida!$X$126)*E2_tabla_vida!$P$126,EXP(-D96*E2_tabla_vida!$X$127)*E2_tabla_vida!$P$127)-1</x:f>
        <x:v>-0.9912194890450733</x:v>
      </x:c>
    </x:row>
    <x:row r="97" ht="19" customHeight="1">
      <x:c r="A97" s="2" t="str">
        <x:v>MP_L7</x:v>
      </x:c>
      <x:c r="B97" s="2" t="n">
        <x:v>3</x:v>
      </x:c>
      <x:c r="C97" s="22" t="n">
        <x:f>IF(F96&gt;0,E96,C96)</x:f>
        <x:v>0.125</x:v>
      </x:c>
      <x:c r="D97" s="22" t="n">
        <x:f>IF(F96&gt;0,D96,E96)</x:f>
        <x:v>0.5</x:v>
      </x:c>
      <x:c r="E97" s="22" t="n">
        <x:f>AVERAGE(C97:D97)</x:f>
        <x:v>0.3125</x:v>
      </x:c>
      <x:c r="F97" s="24" t="n">
        <x:f>SUM(EXP(-E97*E2_tabla_vida!$X$86)*E2_tabla_vida!$P$86,EXP(-E97*E2_tabla_vida!$X$87)*E2_tabla_vida!$P$87,EXP(-E97*E2_tabla_vida!$X$88)*E2_tabla_vida!$P$88,EXP(-E97*E2_tabla_vida!$X$89)*E2_tabla_vida!$P$89,EXP(-E97*E2_tabla_vida!$X$90)*E2_tabla_vida!$P$90,EXP(-E97*E2_tabla_vida!$X$91)*E2_tabla_vida!$P$91,EXP(-E97*E2_tabla_vida!$X$92)*E2_tabla_vida!$P$92,EXP(-E97*E2_tabla_vida!$X$93)*E2_tabla_vida!$P$93,EXP(-E97*E2_tabla_vida!$X$94)*E2_tabla_vida!$P$94,EXP(-E97*E2_tabla_vida!$X$95)*E2_tabla_vida!$P$95,EXP(-E97*E2_tabla_vida!$X$96)*E2_tabla_vida!$P$96,EXP(-E97*E2_tabla_vida!$X$97)*E2_tabla_vida!$P$97,EXP(-E97*E2_tabla_vida!$X$98)*E2_tabla_vida!$P$98,EXP(-E97*E2_tabla_vida!$X$99)*E2_tabla_vida!$P$99,EXP(-E97*E2_tabla_vida!$X$100)*E2_tabla_vida!$P$100,EXP(-E97*E2_tabla_vida!$X$101)*E2_tabla_vida!$P$101,EXP(-E97*E2_tabla_vida!$X$102)*E2_tabla_vida!$P$102,EXP(-E97*E2_tabla_vida!$X$103)*E2_tabla_vida!$P$103,EXP(-E97*E2_tabla_vida!$X$104)*E2_tabla_vida!$P$104,EXP(-E97*E2_tabla_vida!$X$105)*E2_tabla_vida!$P$105,EXP(-E97*E2_tabla_vida!$X$106)*E2_tabla_vida!$P$106,EXP(-E97*E2_tabla_vida!$X$107)*E2_tabla_vida!$P$107,EXP(-E97*E2_tabla_vida!$X$108)*E2_tabla_vida!$P$108,EXP(-E97*E2_tabla_vida!$X$109)*E2_tabla_vida!$P$109,EXP(-E97*E2_tabla_vida!$X$110)*E2_tabla_vida!$P$110,EXP(-E97*E2_tabla_vida!$X$111)*E2_tabla_vida!$P$111,EXP(-E97*E2_tabla_vida!$X$112)*E2_tabla_vida!$P$112,EXP(-E97*E2_tabla_vida!$X$113)*E2_tabla_vida!$P$113,EXP(-E97*E2_tabla_vida!$X$114)*E2_tabla_vida!$P$114,EXP(-E97*E2_tabla_vida!$X$115)*E2_tabla_vida!$P$115,EXP(-E97*E2_tabla_vida!$X$116)*E2_tabla_vida!$P$116,EXP(-E97*E2_tabla_vida!$X$117)*E2_tabla_vida!$P$117,EXP(-E97*E2_tabla_vida!$X$118)*E2_tabla_vida!$P$118,EXP(-E97*E2_tabla_vida!$X$119)*E2_tabla_vida!$P$119,EXP(-E97*E2_tabla_vida!$X$120)*E2_tabla_vida!$P$120,EXP(-E97*E2_tabla_vida!$X$121)*E2_tabla_vida!$P$121,EXP(-E97*E2_tabla_vida!$X$122)*E2_tabla_vida!$P$122,EXP(-E97*E2_tabla_vida!$X$123)*E2_tabla_vida!$P$123,EXP(-E97*E2_tabla_vida!$X$124)*E2_tabla_vida!$P$124,EXP(-E97*E2_tabla_vida!$X$125)*E2_tabla_vida!$P$125,EXP(-E97*E2_tabla_vida!$X$126)*E2_tabla_vida!$P$126,EXP(-E97*E2_tabla_vida!$X$127)*E2_tabla_vida!$P$127)-1</x:f>
        <x:v>-0.8723145299228392</x:v>
      </x:c>
      <x:c r="G97" s="24" t="n">
        <x:f>SUM(EXP(-C97*E2_tabla_vida!$X$86)*E2_tabla_vida!$P$86,EXP(-C97*E2_tabla_vida!$X$87)*E2_tabla_vida!$P$87,EXP(-C97*E2_tabla_vida!$X$88)*E2_tabla_vida!$P$88,EXP(-C97*E2_tabla_vida!$X$89)*E2_tabla_vida!$P$89,EXP(-C97*E2_tabla_vida!$X$90)*E2_tabla_vida!$P$90,EXP(-C97*E2_tabla_vida!$X$91)*E2_tabla_vida!$P$91,EXP(-C97*E2_tabla_vida!$X$92)*E2_tabla_vida!$P$92,EXP(-C97*E2_tabla_vida!$X$93)*E2_tabla_vida!$P$93,EXP(-C97*E2_tabla_vida!$X$94)*E2_tabla_vida!$P$94,EXP(-C97*E2_tabla_vida!$X$95)*E2_tabla_vida!$P$95,EXP(-C97*E2_tabla_vida!$X$96)*E2_tabla_vida!$P$96,EXP(-C97*E2_tabla_vida!$X$97)*E2_tabla_vida!$P$97,EXP(-C97*E2_tabla_vida!$X$98)*E2_tabla_vida!$P$98,EXP(-C97*E2_tabla_vida!$X$99)*E2_tabla_vida!$P$99,EXP(-C97*E2_tabla_vida!$X$100)*E2_tabla_vida!$P$100,EXP(-C97*E2_tabla_vida!$X$101)*E2_tabla_vida!$P$101,EXP(-C97*E2_tabla_vida!$X$102)*E2_tabla_vida!$P$102,EXP(-C97*E2_tabla_vida!$X$103)*E2_tabla_vida!$P$103,EXP(-C97*E2_tabla_vida!$X$104)*E2_tabla_vida!$P$104,EXP(-C97*E2_tabla_vida!$X$105)*E2_tabla_vida!$P$105,EXP(-C97*E2_tabla_vida!$X$106)*E2_tabla_vida!$P$106,EXP(-C97*E2_tabla_vida!$X$107)*E2_tabla_vida!$P$107,EXP(-C97*E2_tabla_vida!$X$108)*E2_tabla_vida!$P$108,EXP(-C97*E2_tabla_vida!$X$109)*E2_tabla_vida!$P$109,EXP(-C97*E2_tabla_vida!$X$110)*E2_tabla_vida!$P$110,EXP(-C97*E2_tabla_vida!$X$111)*E2_tabla_vida!$P$111,EXP(-C97*E2_tabla_vida!$X$112)*E2_tabla_vida!$P$112,EXP(-C97*E2_tabla_vida!$X$113)*E2_tabla_vida!$P$113,EXP(-C97*E2_tabla_vida!$X$114)*E2_tabla_vida!$P$114,EXP(-C97*E2_tabla_vida!$X$115)*E2_tabla_vida!$P$115,EXP(-C97*E2_tabla_vida!$X$116)*E2_tabla_vida!$P$116,EXP(-C97*E2_tabla_vida!$X$117)*E2_tabla_vida!$P$117,EXP(-C97*E2_tabla_vida!$X$118)*E2_tabla_vida!$P$118,EXP(-C97*E2_tabla_vida!$X$119)*E2_tabla_vida!$P$119,EXP(-C97*E2_tabla_vida!$X$120)*E2_tabla_vida!$P$120,EXP(-C97*E2_tabla_vida!$X$121)*E2_tabla_vida!$P$121,EXP(-C97*E2_tabla_vida!$X$122)*E2_tabla_vida!$P$122,EXP(-C97*E2_tabla_vida!$X$123)*E2_tabla_vida!$P$123,EXP(-C97*E2_tabla_vida!$X$124)*E2_tabla_vida!$P$124,EXP(-C97*E2_tabla_vida!$X$125)*E2_tabla_vida!$P$125,EXP(-C97*E2_tabla_vida!$X$126)*E2_tabla_vida!$P$126,EXP(-C97*E2_tabla_vida!$X$127)*E2_tabla_vida!$P$127)-1</x:f>
        <x:v>1.4311711216145446</x:v>
      </x:c>
      <x:c r="H97" s="24" t="n">
        <x:f>SUM(EXP(-D97*E2_tabla_vida!$X$86)*E2_tabla_vida!$P$86,EXP(-D97*E2_tabla_vida!$X$87)*E2_tabla_vida!$P$87,EXP(-D97*E2_tabla_vida!$X$88)*E2_tabla_vida!$P$88,EXP(-D97*E2_tabla_vida!$X$89)*E2_tabla_vida!$P$89,EXP(-D97*E2_tabla_vida!$X$90)*E2_tabla_vida!$P$90,EXP(-D97*E2_tabla_vida!$X$91)*E2_tabla_vida!$P$91,EXP(-D97*E2_tabla_vida!$X$92)*E2_tabla_vida!$P$92,EXP(-D97*E2_tabla_vida!$X$93)*E2_tabla_vida!$P$93,EXP(-D97*E2_tabla_vida!$X$94)*E2_tabla_vida!$P$94,EXP(-D97*E2_tabla_vida!$X$95)*E2_tabla_vida!$P$95,EXP(-D97*E2_tabla_vida!$X$96)*E2_tabla_vida!$P$96,EXP(-D97*E2_tabla_vida!$X$97)*E2_tabla_vida!$P$97,EXP(-D97*E2_tabla_vida!$X$98)*E2_tabla_vida!$P$98,EXP(-D97*E2_tabla_vida!$X$99)*E2_tabla_vida!$P$99,EXP(-D97*E2_tabla_vida!$X$100)*E2_tabla_vida!$P$100,EXP(-D97*E2_tabla_vida!$X$101)*E2_tabla_vida!$P$101,EXP(-D97*E2_tabla_vida!$X$102)*E2_tabla_vida!$P$102,EXP(-D97*E2_tabla_vida!$X$103)*E2_tabla_vida!$P$103,EXP(-D97*E2_tabla_vida!$X$104)*E2_tabla_vida!$P$104,EXP(-D97*E2_tabla_vida!$X$105)*E2_tabla_vida!$P$105,EXP(-D97*E2_tabla_vida!$X$106)*E2_tabla_vida!$P$106,EXP(-D97*E2_tabla_vida!$X$107)*E2_tabla_vida!$P$107,EXP(-D97*E2_tabla_vida!$X$108)*E2_tabla_vida!$P$108,EXP(-D97*E2_tabla_vida!$X$109)*E2_tabla_vida!$P$109,EXP(-D97*E2_tabla_vida!$X$110)*E2_tabla_vida!$P$110,EXP(-D97*E2_tabla_vida!$X$111)*E2_tabla_vida!$P$111,EXP(-D97*E2_tabla_vida!$X$112)*E2_tabla_vida!$P$112,EXP(-D97*E2_tabla_vida!$X$113)*E2_tabla_vida!$P$113,EXP(-D97*E2_tabla_vida!$X$114)*E2_tabla_vida!$P$114,EXP(-D97*E2_tabla_vida!$X$115)*E2_tabla_vida!$P$115,EXP(-D97*E2_tabla_vida!$X$116)*E2_tabla_vida!$P$116,EXP(-D97*E2_tabla_vida!$X$117)*E2_tabla_vida!$P$117,EXP(-D97*E2_tabla_vida!$X$118)*E2_tabla_vida!$P$118,EXP(-D97*E2_tabla_vida!$X$119)*E2_tabla_vida!$P$119,EXP(-D97*E2_tabla_vida!$X$120)*E2_tabla_vida!$P$120,EXP(-D97*E2_tabla_vida!$X$121)*E2_tabla_vida!$P$121,EXP(-D97*E2_tabla_vida!$X$122)*E2_tabla_vida!$P$122,EXP(-D97*E2_tabla_vida!$X$123)*E2_tabla_vida!$P$123,EXP(-D97*E2_tabla_vida!$X$124)*E2_tabla_vida!$P$124,EXP(-D97*E2_tabla_vida!$X$125)*E2_tabla_vida!$P$125,EXP(-D97*E2_tabla_vida!$X$126)*E2_tabla_vida!$P$126,EXP(-D97*E2_tabla_vida!$X$127)*E2_tabla_vida!$P$127)-1</x:f>
        <x:v>-0.9912194890450733</x:v>
      </x:c>
    </x:row>
    <x:row r="98" ht="19" customHeight="1">
      <x:c r="A98" s="2" t="str">
        <x:v>MP_L7</x:v>
      </x:c>
      <x:c r="B98" s="2" t="n">
        <x:v>4</x:v>
      </x:c>
      <x:c r="C98" s="22" t="n">
        <x:f>IF(F97&gt;0,E97,C97)</x:f>
        <x:v>0.125</x:v>
      </x:c>
      <x:c r="D98" s="22" t="n">
        <x:f>IF(F97&gt;0,D97,E97)</x:f>
        <x:v>0.3125</x:v>
      </x:c>
      <x:c r="E98" s="22" t="n">
        <x:f>AVERAGE(C98:D98)</x:f>
        <x:v>0.21875</x:v>
      </x:c>
      <x:c r="F98" s="24" t="n">
        <x:f>SUM(EXP(-E98*E2_tabla_vida!$X$86)*E2_tabla_vida!$P$86,EXP(-E98*E2_tabla_vida!$X$87)*E2_tabla_vida!$P$87,EXP(-E98*E2_tabla_vida!$X$88)*E2_tabla_vida!$P$88,EXP(-E98*E2_tabla_vida!$X$89)*E2_tabla_vida!$P$89,EXP(-E98*E2_tabla_vida!$X$90)*E2_tabla_vida!$P$90,EXP(-E98*E2_tabla_vida!$X$91)*E2_tabla_vida!$P$91,EXP(-E98*E2_tabla_vida!$X$92)*E2_tabla_vida!$P$92,EXP(-E98*E2_tabla_vida!$X$93)*E2_tabla_vida!$P$93,EXP(-E98*E2_tabla_vida!$X$94)*E2_tabla_vida!$P$94,EXP(-E98*E2_tabla_vida!$X$95)*E2_tabla_vida!$P$95,EXP(-E98*E2_tabla_vida!$X$96)*E2_tabla_vida!$P$96,EXP(-E98*E2_tabla_vida!$X$97)*E2_tabla_vida!$P$97,EXP(-E98*E2_tabla_vida!$X$98)*E2_tabla_vida!$P$98,EXP(-E98*E2_tabla_vida!$X$99)*E2_tabla_vida!$P$99,EXP(-E98*E2_tabla_vida!$X$100)*E2_tabla_vida!$P$100,EXP(-E98*E2_tabla_vida!$X$101)*E2_tabla_vida!$P$101,EXP(-E98*E2_tabla_vida!$X$102)*E2_tabla_vida!$P$102,EXP(-E98*E2_tabla_vida!$X$103)*E2_tabla_vida!$P$103,EXP(-E98*E2_tabla_vida!$X$104)*E2_tabla_vida!$P$104,EXP(-E98*E2_tabla_vida!$X$105)*E2_tabla_vida!$P$105,EXP(-E98*E2_tabla_vida!$X$106)*E2_tabla_vida!$P$106,EXP(-E98*E2_tabla_vida!$X$107)*E2_tabla_vida!$P$107,EXP(-E98*E2_tabla_vida!$X$108)*E2_tabla_vida!$P$108,EXP(-E98*E2_tabla_vida!$X$109)*E2_tabla_vida!$P$109,EXP(-E98*E2_tabla_vida!$X$110)*E2_tabla_vida!$P$110,EXP(-E98*E2_tabla_vida!$X$111)*E2_tabla_vida!$P$111,EXP(-E98*E2_tabla_vida!$X$112)*E2_tabla_vida!$P$112,EXP(-E98*E2_tabla_vida!$X$113)*E2_tabla_vida!$P$113,EXP(-E98*E2_tabla_vida!$X$114)*E2_tabla_vida!$P$114,EXP(-E98*E2_tabla_vida!$X$115)*E2_tabla_vida!$P$115,EXP(-E98*E2_tabla_vida!$X$116)*E2_tabla_vida!$P$116,EXP(-E98*E2_tabla_vida!$X$117)*E2_tabla_vida!$P$117,EXP(-E98*E2_tabla_vida!$X$118)*E2_tabla_vida!$P$118,EXP(-E98*E2_tabla_vida!$X$119)*E2_tabla_vida!$P$119,EXP(-E98*E2_tabla_vida!$X$120)*E2_tabla_vida!$P$120,EXP(-E98*E2_tabla_vida!$X$121)*E2_tabla_vida!$P$121,EXP(-E98*E2_tabla_vida!$X$122)*E2_tabla_vida!$P$122,EXP(-E98*E2_tabla_vida!$X$123)*E2_tabla_vida!$P$123,EXP(-E98*E2_tabla_vida!$X$124)*E2_tabla_vida!$P$124,EXP(-E98*E2_tabla_vida!$X$125)*E2_tabla_vida!$P$125,EXP(-E98*E2_tabla_vida!$X$126)*E2_tabla_vida!$P$126,EXP(-E98*E2_tabla_vida!$X$127)*E2_tabla_vida!$P$127)-1</x:f>
        <x:v>-0.46580660295186926</x:v>
      </x:c>
      <x:c r="G98" s="24" t="n">
        <x:f>SUM(EXP(-C98*E2_tabla_vida!$X$86)*E2_tabla_vida!$P$86,EXP(-C98*E2_tabla_vida!$X$87)*E2_tabla_vida!$P$87,EXP(-C98*E2_tabla_vida!$X$88)*E2_tabla_vida!$P$88,EXP(-C98*E2_tabla_vida!$X$89)*E2_tabla_vida!$P$89,EXP(-C98*E2_tabla_vida!$X$90)*E2_tabla_vida!$P$90,EXP(-C98*E2_tabla_vida!$X$91)*E2_tabla_vida!$P$91,EXP(-C98*E2_tabla_vida!$X$92)*E2_tabla_vida!$P$92,EXP(-C98*E2_tabla_vida!$X$93)*E2_tabla_vida!$P$93,EXP(-C98*E2_tabla_vida!$X$94)*E2_tabla_vida!$P$94,EXP(-C98*E2_tabla_vida!$X$95)*E2_tabla_vida!$P$95,EXP(-C98*E2_tabla_vida!$X$96)*E2_tabla_vida!$P$96,EXP(-C98*E2_tabla_vida!$X$97)*E2_tabla_vida!$P$97,EXP(-C98*E2_tabla_vida!$X$98)*E2_tabla_vida!$P$98,EXP(-C98*E2_tabla_vida!$X$99)*E2_tabla_vida!$P$99,EXP(-C98*E2_tabla_vida!$X$100)*E2_tabla_vida!$P$100,EXP(-C98*E2_tabla_vida!$X$101)*E2_tabla_vida!$P$101,EXP(-C98*E2_tabla_vida!$X$102)*E2_tabla_vida!$P$102,EXP(-C98*E2_tabla_vida!$X$103)*E2_tabla_vida!$P$103,EXP(-C98*E2_tabla_vida!$X$104)*E2_tabla_vida!$P$104,EXP(-C98*E2_tabla_vida!$X$105)*E2_tabla_vida!$P$105,EXP(-C98*E2_tabla_vida!$X$106)*E2_tabla_vida!$P$106,EXP(-C98*E2_tabla_vida!$X$107)*E2_tabla_vida!$P$107,EXP(-C98*E2_tabla_vida!$X$108)*E2_tabla_vida!$P$108,EXP(-C98*E2_tabla_vida!$X$109)*E2_tabla_vida!$P$109,EXP(-C98*E2_tabla_vida!$X$110)*E2_tabla_vida!$P$110,EXP(-C98*E2_tabla_vida!$X$111)*E2_tabla_vida!$P$111,EXP(-C98*E2_tabla_vida!$X$112)*E2_tabla_vida!$P$112,EXP(-C98*E2_tabla_vida!$X$113)*E2_tabla_vida!$P$113,EXP(-C98*E2_tabla_vida!$X$114)*E2_tabla_vida!$P$114,EXP(-C98*E2_tabla_vida!$X$115)*E2_tabla_vida!$P$115,EXP(-C98*E2_tabla_vida!$X$116)*E2_tabla_vida!$P$116,EXP(-C98*E2_tabla_vida!$X$117)*E2_tabla_vida!$P$117,EXP(-C98*E2_tabla_vida!$X$118)*E2_tabla_vida!$P$118,EXP(-C98*E2_tabla_vida!$X$119)*E2_tabla_vida!$P$119,EXP(-C98*E2_tabla_vida!$X$120)*E2_tabla_vida!$P$120,EXP(-C98*E2_tabla_vida!$X$121)*E2_tabla_vida!$P$121,EXP(-C98*E2_tabla_vida!$X$122)*E2_tabla_vida!$P$122,EXP(-C98*E2_tabla_vida!$X$123)*E2_tabla_vida!$P$123,EXP(-C98*E2_tabla_vida!$X$124)*E2_tabla_vida!$P$124,EXP(-C98*E2_tabla_vida!$X$125)*E2_tabla_vida!$P$125,EXP(-C98*E2_tabla_vida!$X$126)*E2_tabla_vida!$P$126,EXP(-C98*E2_tabla_vida!$X$127)*E2_tabla_vida!$P$127)-1</x:f>
        <x:v>1.4311711216145446</x:v>
      </x:c>
      <x:c r="H98" s="24" t="n">
        <x:f>SUM(EXP(-D98*E2_tabla_vida!$X$86)*E2_tabla_vida!$P$86,EXP(-D98*E2_tabla_vida!$X$87)*E2_tabla_vida!$P$87,EXP(-D98*E2_tabla_vida!$X$88)*E2_tabla_vida!$P$88,EXP(-D98*E2_tabla_vida!$X$89)*E2_tabla_vida!$P$89,EXP(-D98*E2_tabla_vida!$X$90)*E2_tabla_vida!$P$90,EXP(-D98*E2_tabla_vida!$X$91)*E2_tabla_vida!$P$91,EXP(-D98*E2_tabla_vida!$X$92)*E2_tabla_vida!$P$92,EXP(-D98*E2_tabla_vida!$X$93)*E2_tabla_vida!$P$93,EXP(-D98*E2_tabla_vida!$X$94)*E2_tabla_vida!$P$94,EXP(-D98*E2_tabla_vida!$X$95)*E2_tabla_vida!$P$95,EXP(-D98*E2_tabla_vida!$X$96)*E2_tabla_vida!$P$96,EXP(-D98*E2_tabla_vida!$X$97)*E2_tabla_vida!$P$97,EXP(-D98*E2_tabla_vida!$X$98)*E2_tabla_vida!$P$98,EXP(-D98*E2_tabla_vida!$X$99)*E2_tabla_vida!$P$99,EXP(-D98*E2_tabla_vida!$X$100)*E2_tabla_vida!$P$100,EXP(-D98*E2_tabla_vida!$X$101)*E2_tabla_vida!$P$101,EXP(-D98*E2_tabla_vida!$X$102)*E2_tabla_vida!$P$102,EXP(-D98*E2_tabla_vida!$X$103)*E2_tabla_vida!$P$103,EXP(-D98*E2_tabla_vida!$X$104)*E2_tabla_vida!$P$104,EXP(-D98*E2_tabla_vida!$X$105)*E2_tabla_vida!$P$105,EXP(-D98*E2_tabla_vida!$X$106)*E2_tabla_vida!$P$106,EXP(-D98*E2_tabla_vida!$X$107)*E2_tabla_vida!$P$107,EXP(-D98*E2_tabla_vida!$X$108)*E2_tabla_vida!$P$108,EXP(-D98*E2_tabla_vida!$X$109)*E2_tabla_vida!$P$109,EXP(-D98*E2_tabla_vida!$X$110)*E2_tabla_vida!$P$110,EXP(-D98*E2_tabla_vida!$X$111)*E2_tabla_vida!$P$111,EXP(-D98*E2_tabla_vida!$X$112)*E2_tabla_vida!$P$112,EXP(-D98*E2_tabla_vida!$X$113)*E2_tabla_vida!$P$113,EXP(-D98*E2_tabla_vida!$X$114)*E2_tabla_vida!$P$114,EXP(-D98*E2_tabla_vida!$X$115)*E2_tabla_vida!$P$115,EXP(-D98*E2_tabla_vida!$X$116)*E2_tabla_vida!$P$116,EXP(-D98*E2_tabla_vida!$X$117)*E2_tabla_vida!$P$117,EXP(-D98*E2_tabla_vida!$X$118)*E2_tabla_vida!$P$118,EXP(-D98*E2_tabla_vida!$X$119)*E2_tabla_vida!$P$119,EXP(-D98*E2_tabla_vida!$X$120)*E2_tabla_vida!$P$120,EXP(-D98*E2_tabla_vida!$X$121)*E2_tabla_vida!$P$121,EXP(-D98*E2_tabla_vida!$X$122)*E2_tabla_vida!$P$122,EXP(-D98*E2_tabla_vida!$X$123)*E2_tabla_vida!$P$123,EXP(-D98*E2_tabla_vida!$X$124)*E2_tabla_vida!$P$124,EXP(-D98*E2_tabla_vida!$X$125)*E2_tabla_vida!$P$125,EXP(-D98*E2_tabla_vida!$X$126)*E2_tabla_vida!$P$126,EXP(-D98*E2_tabla_vida!$X$127)*E2_tabla_vida!$P$127)-1</x:f>
        <x:v>-0.8723145299228392</x:v>
      </x:c>
    </x:row>
    <x:row r="99" ht="19" customHeight="1">
      <x:c r="A99" s="2" t="str">
        <x:v>MP_L7</x:v>
      </x:c>
      <x:c r="B99" s="2" t="n">
        <x:v>5</x:v>
      </x:c>
      <x:c r="C99" s="22" t="n">
        <x:f>IF(F98&gt;0,E98,C98)</x:f>
        <x:v>0.125</x:v>
      </x:c>
      <x:c r="D99" s="22" t="n">
        <x:f>IF(F98&gt;0,D98,E98)</x:f>
        <x:v>0.21875</x:v>
      </x:c>
      <x:c r="E99" s="22" t="n">
        <x:f>AVERAGE(C99:D99)</x:f>
        <x:v>0.171875</x:v>
      </x:c>
      <x:c r="F99" s="24" t="n">
        <x:f>SUM(EXP(-E99*E2_tabla_vida!$X$86)*E2_tabla_vida!$P$86,EXP(-E99*E2_tabla_vida!$X$87)*E2_tabla_vida!$P$87,EXP(-E99*E2_tabla_vida!$X$88)*E2_tabla_vida!$P$88,EXP(-E99*E2_tabla_vida!$X$89)*E2_tabla_vida!$P$89,EXP(-E99*E2_tabla_vida!$X$90)*E2_tabla_vida!$P$90,EXP(-E99*E2_tabla_vida!$X$91)*E2_tabla_vida!$P$91,EXP(-E99*E2_tabla_vida!$X$92)*E2_tabla_vida!$P$92,EXP(-E99*E2_tabla_vida!$X$93)*E2_tabla_vida!$P$93,EXP(-E99*E2_tabla_vida!$X$94)*E2_tabla_vida!$P$94,EXP(-E99*E2_tabla_vida!$X$95)*E2_tabla_vida!$P$95,EXP(-E99*E2_tabla_vida!$X$96)*E2_tabla_vida!$P$96,EXP(-E99*E2_tabla_vida!$X$97)*E2_tabla_vida!$P$97,EXP(-E99*E2_tabla_vida!$X$98)*E2_tabla_vida!$P$98,EXP(-E99*E2_tabla_vida!$X$99)*E2_tabla_vida!$P$99,EXP(-E99*E2_tabla_vida!$X$100)*E2_tabla_vida!$P$100,EXP(-E99*E2_tabla_vida!$X$101)*E2_tabla_vida!$P$101,EXP(-E99*E2_tabla_vida!$X$102)*E2_tabla_vida!$P$102,EXP(-E99*E2_tabla_vida!$X$103)*E2_tabla_vida!$P$103,EXP(-E99*E2_tabla_vida!$X$104)*E2_tabla_vida!$P$104,EXP(-E99*E2_tabla_vida!$X$105)*E2_tabla_vida!$P$105,EXP(-E99*E2_tabla_vida!$X$106)*E2_tabla_vida!$P$106,EXP(-E99*E2_tabla_vida!$X$107)*E2_tabla_vida!$P$107,EXP(-E99*E2_tabla_vida!$X$108)*E2_tabla_vida!$P$108,EXP(-E99*E2_tabla_vida!$X$109)*E2_tabla_vida!$P$109,EXP(-E99*E2_tabla_vida!$X$110)*E2_tabla_vida!$P$110,EXP(-E99*E2_tabla_vida!$X$111)*E2_tabla_vida!$P$111,EXP(-E99*E2_tabla_vida!$X$112)*E2_tabla_vida!$P$112,EXP(-E99*E2_tabla_vida!$X$113)*E2_tabla_vida!$P$113,EXP(-E99*E2_tabla_vida!$X$114)*E2_tabla_vida!$P$114,EXP(-E99*E2_tabla_vida!$X$115)*E2_tabla_vida!$P$115,EXP(-E99*E2_tabla_vida!$X$116)*E2_tabla_vida!$P$116,EXP(-E99*E2_tabla_vida!$X$117)*E2_tabla_vida!$P$117,EXP(-E99*E2_tabla_vida!$X$118)*E2_tabla_vida!$P$118,EXP(-E99*E2_tabla_vida!$X$119)*E2_tabla_vida!$P$119,EXP(-E99*E2_tabla_vida!$X$120)*E2_tabla_vida!$P$120,EXP(-E99*E2_tabla_vida!$X$121)*E2_tabla_vida!$P$121,EXP(-E99*E2_tabla_vida!$X$122)*E2_tabla_vida!$P$122,EXP(-E99*E2_tabla_vida!$X$123)*E2_tabla_vida!$P$123,EXP(-E99*E2_tabla_vida!$X$124)*E2_tabla_vida!$P$124,EXP(-E99*E2_tabla_vida!$X$125)*E2_tabla_vida!$P$125,EXP(-E99*E2_tabla_vida!$X$126)*E2_tabla_vida!$P$126,EXP(-E99*E2_tabla_vida!$X$127)*E2_tabla_vida!$P$127)-1</x:f>
        <x:v>0.1261251556361549</x:v>
      </x:c>
      <x:c r="G99" s="24" t="n">
        <x:f>SUM(EXP(-C99*E2_tabla_vida!$X$86)*E2_tabla_vida!$P$86,EXP(-C99*E2_tabla_vida!$X$87)*E2_tabla_vida!$P$87,EXP(-C99*E2_tabla_vida!$X$88)*E2_tabla_vida!$P$88,EXP(-C99*E2_tabla_vida!$X$89)*E2_tabla_vida!$P$89,EXP(-C99*E2_tabla_vida!$X$90)*E2_tabla_vida!$P$90,EXP(-C99*E2_tabla_vida!$X$91)*E2_tabla_vida!$P$91,EXP(-C99*E2_tabla_vida!$X$92)*E2_tabla_vida!$P$92,EXP(-C99*E2_tabla_vida!$X$93)*E2_tabla_vida!$P$93,EXP(-C99*E2_tabla_vida!$X$94)*E2_tabla_vida!$P$94,EXP(-C99*E2_tabla_vida!$X$95)*E2_tabla_vida!$P$95,EXP(-C99*E2_tabla_vida!$X$96)*E2_tabla_vida!$P$96,EXP(-C99*E2_tabla_vida!$X$97)*E2_tabla_vida!$P$97,EXP(-C99*E2_tabla_vida!$X$98)*E2_tabla_vida!$P$98,EXP(-C99*E2_tabla_vida!$X$99)*E2_tabla_vida!$P$99,EXP(-C99*E2_tabla_vida!$X$100)*E2_tabla_vida!$P$100,EXP(-C99*E2_tabla_vida!$X$101)*E2_tabla_vida!$P$101,EXP(-C99*E2_tabla_vida!$X$102)*E2_tabla_vida!$P$102,EXP(-C99*E2_tabla_vida!$X$103)*E2_tabla_vida!$P$103,EXP(-C99*E2_tabla_vida!$X$104)*E2_tabla_vida!$P$104,EXP(-C99*E2_tabla_vida!$X$105)*E2_tabla_vida!$P$105,EXP(-C99*E2_tabla_vida!$X$106)*E2_tabla_vida!$P$106,EXP(-C99*E2_tabla_vida!$X$107)*E2_tabla_vida!$P$107,EXP(-C99*E2_tabla_vida!$X$108)*E2_tabla_vida!$P$108,EXP(-C99*E2_tabla_vida!$X$109)*E2_tabla_vida!$P$109,EXP(-C99*E2_tabla_vida!$X$110)*E2_tabla_vida!$P$110,EXP(-C99*E2_tabla_vida!$X$111)*E2_tabla_vida!$P$111,EXP(-C99*E2_tabla_vida!$X$112)*E2_tabla_vida!$P$112,EXP(-C99*E2_tabla_vida!$X$113)*E2_tabla_vida!$P$113,EXP(-C99*E2_tabla_vida!$X$114)*E2_tabla_vida!$P$114,EXP(-C99*E2_tabla_vida!$X$115)*E2_tabla_vida!$P$115,EXP(-C99*E2_tabla_vida!$X$116)*E2_tabla_vida!$P$116,EXP(-C99*E2_tabla_vida!$X$117)*E2_tabla_vida!$P$117,EXP(-C99*E2_tabla_vida!$X$118)*E2_tabla_vida!$P$118,EXP(-C99*E2_tabla_vida!$X$119)*E2_tabla_vida!$P$119,EXP(-C99*E2_tabla_vida!$X$120)*E2_tabla_vida!$P$120,EXP(-C99*E2_tabla_vida!$X$121)*E2_tabla_vida!$P$121,EXP(-C99*E2_tabla_vida!$X$122)*E2_tabla_vida!$P$122,EXP(-C99*E2_tabla_vida!$X$123)*E2_tabla_vida!$P$123,EXP(-C99*E2_tabla_vida!$X$124)*E2_tabla_vida!$P$124,EXP(-C99*E2_tabla_vida!$X$125)*E2_tabla_vida!$P$125,EXP(-C99*E2_tabla_vida!$X$126)*E2_tabla_vida!$P$126,EXP(-C99*E2_tabla_vida!$X$127)*E2_tabla_vida!$P$127)-1</x:f>
        <x:v>1.4311711216145446</x:v>
      </x:c>
      <x:c r="H99" s="24" t="n">
        <x:f>SUM(EXP(-D99*E2_tabla_vida!$X$86)*E2_tabla_vida!$P$86,EXP(-D99*E2_tabla_vida!$X$87)*E2_tabla_vida!$P$87,EXP(-D99*E2_tabla_vida!$X$88)*E2_tabla_vida!$P$88,EXP(-D99*E2_tabla_vida!$X$89)*E2_tabla_vida!$P$89,EXP(-D99*E2_tabla_vida!$X$90)*E2_tabla_vida!$P$90,EXP(-D99*E2_tabla_vida!$X$91)*E2_tabla_vida!$P$91,EXP(-D99*E2_tabla_vida!$X$92)*E2_tabla_vida!$P$92,EXP(-D99*E2_tabla_vida!$X$93)*E2_tabla_vida!$P$93,EXP(-D99*E2_tabla_vida!$X$94)*E2_tabla_vida!$P$94,EXP(-D99*E2_tabla_vida!$X$95)*E2_tabla_vida!$P$95,EXP(-D99*E2_tabla_vida!$X$96)*E2_tabla_vida!$P$96,EXP(-D99*E2_tabla_vida!$X$97)*E2_tabla_vida!$P$97,EXP(-D99*E2_tabla_vida!$X$98)*E2_tabla_vida!$P$98,EXP(-D99*E2_tabla_vida!$X$99)*E2_tabla_vida!$P$99,EXP(-D99*E2_tabla_vida!$X$100)*E2_tabla_vida!$P$100,EXP(-D99*E2_tabla_vida!$X$101)*E2_tabla_vida!$P$101,EXP(-D99*E2_tabla_vida!$X$102)*E2_tabla_vida!$P$102,EXP(-D99*E2_tabla_vida!$X$103)*E2_tabla_vida!$P$103,EXP(-D99*E2_tabla_vida!$X$104)*E2_tabla_vida!$P$104,EXP(-D99*E2_tabla_vida!$X$105)*E2_tabla_vida!$P$105,EXP(-D99*E2_tabla_vida!$X$106)*E2_tabla_vida!$P$106,EXP(-D99*E2_tabla_vida!$X$107)*E2_tabla_vida!$P$107,EXP(-D99*E2_tabla_vida!$X$108)*E2_tabla_vida!$P$108,EXP(-D99*E2_tabla_vida!$X$109)*E2_tabla_vida!$P$109,EXP(-D99*E2_tabla_vida!$X$110)*E2_tabla_vida!$P$110,EXP(-D99*E2_tabla_vida!$X$111)*E2_tabla_vida!$P$111,EXP(-D99*E2_tabla_vida!$X$112)*E2_tabla_vida!$P$112,EXP(-D99*E2_tabla_vida!$X$113)*E2_tabla_vida!$P$113,EXP(-D99*E2_tabla_vida!$X$114)*E2_tabla_vida!$P$114,EXP(-D99*E2_tabla_vida!$X$115)*E2_tabla_vida!$P$115,EXP(-D99*E2_tabla_vida!$X$116)*E2_tabla_vida!$P$116,EXP(-D99*E2_tabla_vida!$X$117)*E2_tabla_vida!$P$117,EXP(-D99*E2_tabla_vida!$X$118)*E2_tabla_vida!$P$118,EXP(-D99*E2_tabla_vida!$X$119)*E2_tabla_vida!$P$119,EXP(-D99*E2_tabla_vida!$X$120)*E2_tabla_vida!$P$120,EXP(-D99*E2_tabla_vida!$X$121)*E2_tabla_vida!$P$121,EXP(-D99*E2_tabla_vida!$X$122)*E2_tabla_vida!$P$122,EXP(-D99*E2_tabla_vida!$X$123)*E2_tabla_vida!$P$123,EXP(-D99*E2_tabla_vida!$X$124)*E2_tabla_vida!$P$124,EXP(-D99*E2_tabla_vida!$X$125)*E2_tabla_vida!$P$125,EXP(-D99*E2_tabla_vida!$X$126)*E2_tabla_vida!$P$126,EXP(-D99*E2_tabla_vida!$X$127)*E2_tabla_vida!$P$127)-1</x:f>
        <x:v>-0.46580660295186926</x:v>
      </x:c>
    </x:row>
    <x:row r="100" ht="19" customHeight="1">
      <x:c r="A100" s="2" t="str">
        <x:v>MP_L7</x:v>
      </x:c>
      <x:c r="B100" s="2" t="n">
        <x:v>6</x:v>
      </x:c>
      <x:c r="C100" s="22" t="n">
        <x:f>IF(F99&gt;0,E99,C99)</x:f>
        <x:v>0.171875</x:v>
      </x:c>
      <x:c r="D100" s="22" t="n">
        <x:f>IF(F99&gt;0,D99,E99)</x:f>
        <x:v>0.21875</x:v>
      </x:c>
      <x:c r="E100" s="22" t="n">
        <x:f>AVERAGE(C100:D100)</x:f>
        <x:v>0.1953125</x:v>
      </x:c>
      <x:c r="F100" s="24" t="n">
        <x:f>SUM(EXP(-E100*E2_tabla_vida!$X$86)*E2_tabla_vida!$P$86,EXP(-E100*E2_tabla_vida!$X$87)*E2_tabla_vida!$P$87,EXP(-E100*E2_tabla_vida!$X$88)*E2_tabla_vida!$P$88,EXP(-E100*E2_tabla_vida!$X$89)*E2_tabla_vida!$P$89,EXP(-E100*E2_tabla_vida!$X$90)*E2_tabla_vida!$P$90,EXP(-E100*E2_tabla_vida!$X$91)*E2_tabla_vida!$P$91,EXP(-E100*E2_tabla_vida!$X$92)*E2_tabla_vida!$P$92,EXP(-E100*E2_tabla_vida!$X$93)*E2_tabla_vida!$P$93,EXP(-E100*E2_tabla_vida!$X$94)*E2_tabla_vida!$P$94,EXP(-E100*E2_tabla_vida!$X$95)*E2_tabla_vida!$P$95,EXP(-E100*E2_tabla_vida!$X$96)*E2_tabla_vida!$P$96,EXP(-E100*E2_tabla_vida!$X$97)*E2_tabla_vida!$P$97,EXP(-E100*E2_tabla_vida!$X$98)*E2_tabla_vida!$P$98,EXP(-E100*E2_tabla_vida!$X$99)*E2_tabla_vida!$P$99,EXP(-E100*E2_tabla_vida!$X$100)*E2_tabla_vida!$P$100,EXP(-E100*E2_tabla_vida!$X$101)*E2_tabla_vida!$P$101,EXP(-E100*E2_tabla_vida!$X$102)*E2_tabla_vida!$P$102,EXP(-E100*E2_tabla_vida!$X$103)*E2_tabla_vida!$P$103,EXP(-E100*E2_tabla_vida!$X$104)*E2_tabla_vida!$P$104,EXP(-E100*E2_tabla_vida!$X$105)*E2_tabla_vida!$P$105,EXP(-E100*E2_tabla_vida!$X$106)*E2_tabla_vida!$P$106,EXP(-E100*E2_tabla_vida!$X$107)*E2_tabla_vida!$P$107,EXP(-E100*E2_tabla_vida!$X$108)*E2_tabla_vida!$P$108,EXP(-E100*E2_tabla_vida!$X$109)*E2_tabla_vida!$P$109,EXP(-E100*E2_tabla_vida!$X$110)*E2_tabla_vida!$P$110,EXP(-E100*E2_tabla_vida!$X$111)*E2_tabla_vida!$P$111,EXP(-E100*E2_tabla_vida!$X$112)*E2_tabla_vida!$P$112,EXP(-E100*E2_tabla_vida!$X$113)*E2_tabla_vida!$P$113,EXP(-E100*E2_tabla_vida!$X$114)*E2_tabla_vida!$P$114,EXP(-E100*E2_tabla_vida!$X$115)*E2_tabla_vida!$P$115,EXP(-E100*E2_tabla_vida!$X$116)*E2_tabla_vida!$P$116,EXP(-E100*E2_tabla_vida!$X$117)*E2_tabla_vida!$P$117,EXP(-E100*E2_tabla_vida!$X$118)*E2_tabla_vida!$P$118,EXP(-E100*E2_tabla_vida!$X$119)*E2_tabla_vida!$P$119,EXP(-E100*E2_tabla_vida!$X$120)*E2_tabla_vida!$P$120,EXP(-E100*E2_tabla_vida!$X$121)*E2_tabla_vida!$P$121,EXP(-E100*E2_tabla_vida!$X$122)*E2_tabla_vida!$P$122,EXP(-E100*E2_tabla_vida!$X$123)*E2_tabla_vida!$P$123,EXP(-E100*E2_tabla_vida!$X$124)*E2_tabla_vida!$P$124,EXP(-E100*E2_tabla_vida!$X$125)*E2_tabla_vida!$P$125,EXP(-E100*E2_tabla_vida!$X$126)*E2_tabla_vida!$P$126,EXP(-E100*E2_tabla_vida!$X$127)*E2_tabla_vida!$P$127)-1</x:f>
        <x:v>-0.22655090599117478</x:v>
      </x:c>
      <x:c r="G100" s="24" t="n">
        <x:f>SUM(EXP(-C100*E2_tabla_vida!$X$86)*E2_tabla_vida!$P$86,EXP(-C100*E2_tabla_vida!$X$87)*E2_tabla_vida!$P$87,EXP(-C100*E2_tabla_vida!$X$88)*E2_tabla_vida!$P$88,EXP(-C100*E2_tabla_vida!$X$89)*E2_tabla_vida!$P$89,EXP(-C100*E2_tabla_vida!$X$90)*E2_tabla_vida!$P$90,EXP(-C100*E2_tabla_vida!$X$91)*E2_tabla_vida!$P$91,EXP(-C100*E2_tabla_vida!$X$92)*E2_tabla_vida!$P$92,EXP(-C100*E2_tabla_vida!$X$93)*E2_tabla_vida!$P$93,EXP(-C100*E2_tabla_vida!$X$94)*E2_tabla_vida!$P$94,EXP(-C100*E2_tabla_vida!$X$95)*E2_tabla_vida!$P$95,EXP(-C100*E2_tabla_vida!$X$96)*E2_tabla_vida!$P$96,EXP(-C100*E2_tabla_vida!$X$97)*E2_tabla_vida!$P$97,EXP(-C100*E2_tabla_vida!$X$98)*E2_tabla_vida!$P$98,EXP(-C100*E2_tabla_vida!$X$99)*E2_tabla_vida!$P$99,EXP(-C100*E2_tabla_vida!$X$100)*E2_tabla_vida!$P$100,EXP(-C100*E2_tabla_vida!$X$101)*E2_tabla_vida!$P$101,EXP(-C100*E2_tabla_vida!$X$102)*E2_tabla_vida!$P$102,EXP(-C100*E2_tabla_vida!$X$103)*E2_tabla_vida!$P$103,EXP(-C100*E2_tabla_vida!$X$104)*E2_tabla_vida!$P$104,EXP(-C100*E2_tabla_vida!$X$105)*E2_tabla_vida!$P$105,EXP(-C100*E2_tabla_vida!$X$106)*E2_tabla_vida!$P$106,EXP(-C100*E2_tabla_vida!$X$107)*E2_tabla_vida!$P$107,EXP(-C100*E2_tabla_vida!$X$108)*E2_tabla_vida!$P$108,EXP(-C100*E2_tabla_vida!$X$109)*E2_tabla_vida!$P$109,EXP(-C100*E2_tabla_vida!$X$110)*E2_tabla_vida!$P$110,EXP(-C100*E2_tabla_vida!$X$111)*E2_tabla_vida!$P$111,EXP(-C100*E2_tabla_vida!$X$112)*E2_tabla_vida!$P$112,EXP(-C100*E2_tabla_vida!$X$113)*E2_tabla_vida!$P$113,EXP(-C100*E2_tabla_vida!$X$114)*E2_tabla_vida!$P$114,EXP(-C100*E2_tabla_vida!$X$115)*E2_tabla_vida!$P$115,EXP(-C100*E2_tabla_vida!$X$116)*E2_tabla_vida!$P$116,EXP(-C100*E2_tabla_vida!$X$117)*E2_tabla_vida!$P$117,EXP(-C100*E2_tabla_vida!$X$118)*E2_tabla_vida!$P$118,EXP(-C100*E2_tabla_vida!$X$119)*E2_tabla_vida!$P$119,EXP(-C100*E2_tabla_vida!$X$120)*E2_tabla_vida!$P$120,EXP(-C100*E2_tabla_vida!$X$121)*E2_tabla_vida!$P$121,EXP(-C100*E2_tabla_vida!$X$122)*E2_tabla_vida!$P$122,EXP(-C100*E2_tabla_vida!$X$123)*E2_tabla_vida!$P$123,EXP(-C100*E2_tabla_vida!$X$124)*E2_tabla_vida!$P$124,EXP(-C100*E2_tabla_vida!$X$125)*E2_tabla_vida!$P$125,EXP(-C100*E2_tabla_vida!$X$126)*E2_tabla_vida!$P$126,EXP(-C100*E2_tabla_vida!$X$127)*E2_tabla_vida!$P$127)-1</x:f>
        <x:v>0.1261251556361549</x:v>
      </x:c>
      <x:c r="H100" s="24" t="n">
        <x:f>SUM(EXP(-D100*E2_tabla_vida!$X$86)*E2_tabla_vida!$P$86,EXP(-D100*E2_tabla_vida!$X$87)*E2_tabla_vida!$P$87,EXP(-D100*E2_tabla_vida!$X$88)*E2_tabla_vida!$P$88,EXP(-D100*E2_tabla_vida!$X$89)*E2_tabla_vida!$P$89,EXP(-D100*E2_tabla_vida!$X$90)*E2_tabla_vida!$P$90,EXP(-D100*E2_tabla_vida!$X$91)*E2_tabla_vida!$P$91,EXP(-D100*E2_tabla_vida!$X$92)*E2_tabla_vida!$P$92,EXP(-D100*E2_tabla_vida!$X$93)*E2_tabla_vida!$P$93,EXP(-D100*E2_tabla_vida!$X$94)*E2_tabla_vida!$P$94,EXP(-D100*E2_tabla_vida!$X$95)*E2_tabla_vida!$P$95,EXP(-D100*E2_tabla_vida!$X$96)*E2_tabla_vida!$P$96,EXP(-D100*E2_tabla_vida!$X$97)*E2_tabla_vida!$P$97,EXP(-D100*E2_tabla_vida!$X$98)*E2_tabla_vida!$P$98,EXP(-D100*E2_tabla_vida!$X$99)*E2_tabla_vida!$P$99,EXP(-D100*E2_tabla_vida!$X$100)*E2_tabla_vida!$P$100,EXP(-D100*E2_tabla_vida!$X$101)*E2_tabla_vida!$P$101,EXP(-D100*E2_tabla_vida!$X$102)*E2_tabla_vida!$P$102,EXP(-D100*E2_tabla_vida!$X$103)*E2_tabla_vida!$P$103,EXP(-D100*E2_tabla_vida!$X$104)*E2_tabla_vida!$P$104,EXP(-D100*E2_tabla_vida!$X$105)*E2_tabla_vida!$P$105,EXP(-D100*E2_tabla_vida!$X$106)*E2_tabla_vida!$P$106,EXP(-D100*E2_tabla_vida!$X$107)*E2_tabla_vida!$P$107,EXP(-D100*E2_tabla_vida!$X$108)*E2_tabla_vida!$P$108,EXP(-D100*E2_tabla_vida!$X$109)*E2_tabla_vida!$P$109,EXP(-D100*E2_tabla_vida!$X$110)*E2_tabla_vida!$P$110,EXP(-D100*E2_tabla_vida!$X$111)*E2_tabla_vida!$P$111,EXP(-D100*E2_tabla_vida!$X$112)*E2_tabla_vida!$P$112,EXP(-D100*E2_tabla_vida!$X$113)*E2_tabla_vida!$P$113,EXP(-D100*E2_tabla_vida!$X$114)*E2_tabla_vida!$P$114,EXP(-D100*E2_tabla_vida!$X$115)*E2_tabla_vida!$P$115,EXP(-D100*E2_tabla_vida!$X$116)*E2_tabla_vida!$P$116,EXP(-D100*E2_tabla_vida!$X$117)*E2_tabla_vida!$P$117,EXP(-D100*E2_tabla_vida!$X$118)*E2_tabla_vida!$P$118,EXP(-D100*E2_tabla_vida!$X$119)*E2_tabla_vida!$P$119,EXP(-D100*E2_tabla_vida!$X$120)*E2_tabla_vida!$P$120,EXP(-D100*E2_tabla_vida!$X$121)*E2_tabla_vida!$P$121,EXP(-D100*E2_tabla_vida!$X$122)*E2_tabla_vida!$P$122,EXP(-D100*E2_tabla_vida!$X$123)*E2_tabla_vida!$P$123,EXP(-D100*E2_tabla_vida!$X$124)*E2_tabla_vida!$P$124,EXP(-D100*E2_tabla_vida!$X$125)*E2_tabla_vida!$P$125,EXP(-D100*E2_tabla_vida!$X$126)*E2_tabla_vida!$P$126,EXP(-D100*E2_tabla_vida!$X$127)*E2_tabla_vida!$P$127)-1</x:f>
        <x:v>-0.46580660295186926</x:v>
      </x:c>
    </x:row>
    <x:row r="101" ht="19" customHeight="1">
      <x:c r="A101" s="2" t="str">
        <x:v>MP_L7</x:v>
      </x:c>
      <x:c r="B101" s="2" t="n">
        <x:v>7</x:v>
      </x:c>
      <x:c r="C101" s="22" t="n">
        <x:f>IF(F100&gt;0,E100,C100)</x:f>
        <x:v>0.171875</x:v>
      </x:c>
      <x:c r="D101" s="22" t="n">
        <x:f>IF(F100&gt;0,D100,E100)</x:f>
        <x:v>0.1953125</x:v>
      </x:c>
      <x:c r="E101" s="22" t="n">
        <x:f>AVERAGE(C101:D101)</x:f>
        <x:v>0.18359375</x:v>
      </x:c>
      <x:c r="F101" s="24" t="n">
        <x:f>SUM(EXP(-E101*E2_tabla_vida!$X$86)*E2_tabla_vida!$P$86,EXP(-E101*E2_tabla_vida!$X$87)*E2_tabla_vida!$P$87,EXP(-E101*E2_tabla_vida!$X$88)*E2_tabla_vida!$P$88,EXP(-E101*E2_tabla_vida!$X$89)*E2_tabla_vida!$P$89,EXP(-E101*E2_tabla_vida!$X$90)*E2_tabla_vida!$P$90,EXP(-E101*E2_tabla_vida!$X$91)*E2_tabla_vida!$P$91,EXP(-E101*E2_tabla_vida!$X$92)*E2_tabla_vida!$P$92,EXP(-E101*E2_tabla_vida!$X$93)*E2_tabla_vida!$P$93,EXP(-E101*E2_tabla_vida!$X$94)*E2_tabla_vida!$P$94,EXP(-E101*E2_tabla_vida!$X$95)*E2_tabla_vida!$P$95,EXP(-E101*E2_tabla_vida!$X$96)*E2_tabla_vida!$P$96,EXP(-E101*E2_tabla_vida!$X$97)*E2_tabla_vida!$P$97,EXP(-E101*E2_tabla_vida!$X$98)*E2_tabla_vida!$P$98,EXP(-E101*E2_tabla_vida!$X$99)*E2_tabla_vida!$P$99,EXP(-E101*E2_tabla_vida!$X$100)*E2_tabla_vida!$P$100,EXP(-E101*E2_tabla_vida!$X$101)*E2_tabla_vida!$P$101,EXP(-E101*E2_tabla_vida!$X$102)*E2_tabla_vida!$P$102,EXP(-E101*E2_tabla_vida!$X$103)*E2_tabla_vida!$P$103,EXP(-E101*E2_tabla_vida!$X$104)*E2_tabla_vida!$P$104,EXP(-E101*E2_tabla_vida!$X$105)*E2_tabla_vida!$P$105,EXP(-E101*E2_tabla_vida!$X$106)*E2_tabla_vida!$P$106,EXP(-E101*E2_tabla_vida!$X$107)*E2_tabla_vida!$P$107,EXP(-E101*E2_tabla_vida!$X$108)*E2_tabla_vida!$P$108,EXP(-E101*E2_tabla_vida!$X$109)*E2_tabla_vida!$P$109,EXP(-E101*E2_tabla_vida!$X$110)*E2_tabla_vida!$P$110,EXP(-E101*E2_tabla_vida!$X$111)*E2_tabla_vida!$P$111,EXP(-E101*E2_tabla_vida!$X$112)*E2_tabla_vida!$P$112,EXP(-E101*E2_tabla_vida!$X$113)*E2_tabla_vida!$P$113,EXP(-E101*E2_tabla_vida!$X$114)*E2_tabla_vida!$P$114,EXP(-E101*E2_tabla_vida!$X$115)*E2_tabla_vida!$P$115,EXP(-E101*E2_tabla_vida!$X$116)*E2_tabla_vida!$P$116,EXP(-E101*E2_tabla_vida!$X$117)*E2_tabla_vida!$P$117,EXP(-E101*E2_tabla_vida!$X$118)*E2_tabla_vida!$P$118,EXP(-E101*E2_tabla_vida!$X$119)*E2_tabla_vida!$P$119,EXP(-E101*E2_tabla_vida!$X$120)*E2_tabla_vida!$P$120,EXP(-E101*E2_tabla_vida!$X$121)*E2_tabla_vida!$P$121,EXP(-E101*E2_tabla_vida!$X$122)*E2_tabla_vida!$P$122,EXP(-E101*E2_tabla_vida!$X$123)*E2_tabla_vida!$P$123,EXP(-E101*E2_tabla_vida!$X$124)*E2_tabla_vida!$P$124,EXP(-E101*E2_tabla_vida!$X$125)*E2_tabla_vida!$P$125,EXP(-E101*E2_tabla_vida!$X$126)*E2_tabla_vida!$P$126,EXP(-E101*E2_tabla_vida!$X$127)*E2_tabla_vida!$P$127)-1</x:f>
        <x:v>-0.06739731554296058</x:v>
      </x:c>
      <x:c r="G101" s="24" t="n">
        <x:f>SUM(EXP(-C101*E2_tabla_vida!$X$86)*E2_tabla_vida!$P$86,EXP(-C101*E2_tabla_vida!$X$87)*E2_tabla_vida!$P$87,EXP(-C101*E2_tabla_vida!$X$88)*E2_tabla_vida!$P$88,EXP(-C101*E2_tabla_vida!$X$89)*E2_tabla_vida!$P$89,EXP(-C101*E2_tabla_vida!$X$90)*E2_tabla_vida!$P$90,EXP(-C101*E2_tabla_vida!$X$91)*E2_tabla_vida!$P$91,EXP(-C101*E2_tabla_vida!$X$92)*E2_tabla_vida!$P$92,EXP(-C101*E2_tabla_vida!$X$93)*E2_tabla_vida!$P$93,EXP(-C101*E2_tabla_vida!$X$94)*E2_tabla_vida!$P$94,EXP(-C101*E2_tabla_vida!$X$95)*E2_tabla_vida!$P$95,EXP(-C101*E2_tabla_vida!$X$96)*E2_tabla_vida!$P$96,EXP(-C101*E2_tabla_vida!$X$97)*E2_tabla_vida!$P$97,EXP(-C101*E2_tabla_vida!$X$98)*E2_tabla_vida!$P$98,EXP(-C101*E2_tabla_vida!$X$99)*E2_tabla_vida!$P$99,EXP(-C101*E2_tabla_vida!$X$100)*E2_tabla_vida!$P$100,EXP(-C101*E2_tabla_vida!$X$101)*E2_tabla_vida!$P$101,EXP(-C101*E2_tabla_vida!$X$102)*E2_tabla_vida!$P$102,EXP(-C101*E2_tabla_vida!$X$103)*E2_tabla_vida!$P$103,EXP(-C101*E2_tabla_vida!$X$104)*E2_tabla_vida!$P$104,EXP(-C101*E2_tabla_vida!$X$105)*E2_tabla_vida!$P$105,EXP(-C101*E2_tabla_vida!$X$106)*E2_tabla_vida!$P$106,EXP(-C101*E2_tabla_vida!$X$107)*E2_tabla_vida!$P$107,EXP(-C101*E2_tabla_vida!$X$108)*E2_tabla_vida!$P$108,EXP(-C101*E2_tabla_vida!$X$109)*E2_tabla_vida!$P$109,EXP(-C101*E2_tabla_vida!$X$110)*E2_tabla_vida!$P$110,EXP(-C101*E2_tabla_vida!$X$111)*E2_tabla_vida!$P$111,EXP(-C101*E2_tabla_vida!$X$112)*E2_tabla_vida!$P$112,EXP(-C101*E2_tabla_vida!$X$113)*E2_tabla_vida!$P$113,EXP(-C101*E2_tabla_vida!$X$114)*E2_tabla_vida!$P$114,EXP(-C101*E2_tabla_vida!$X$115)*E2_tabla_vida!$P$115,EXP(-C101*E2_tabla_vida!$X$116)*E2_tabla_vida!$P$116,EXP(-C101*E2_tabla_vida!$X$117)*E2_tabla_vida!$P$117,EXP(-C101*E2_tabla_vida!$X$118)*E2_tabla_vida!$P$118,EXP(-C101*E2_tabla_vida!$X$119)*E2_tabla_vida!$P$119,EXP(-C101*E2_tabla_vida!$X$120)*E2_tabla_vida!$P$120,EXP(-C101*E2_tabla_vida!$X$121)*E2_tabla_vida!$P$121,EXP(-C101*E2_tabla_vida!$X$122)*E2_tabla_vida!$P$122,EXP(-C101*E2_tabla_vida!$X$123)*E2_tabla_vida!$P$123,EXP(-C101*E2_tabla_vida!$X$124)*E2_tabla_vida!$P$124,EXP(-C101*E2_tabla_vida!$X$125)*E2_tabla_vida!$P$125,EXP(-C101*E2_tabla_vida!$X$126)*E2_tabla_vida!$P$126,EXP(-C101*E2_tabla_vida!$X$127)*E2_tabla_vida!$P$127)-1</x:f>
        <x:v>0.1261251556361549</x:v>
      </x:c>
      <x:c r="H101" s="24" t="n">
        <x:f>SUM(EXP(-D101*E2_tabla_vida!$X$86)*E2_tabla_vida!$P$86,EXP(-D101*E2_tabla_vida!$X$87)*E2_tabla_vida!$P$87,EXP(-D101*E2_tabla_vida!$X$88)*E2_tabla_vida!$P$88,EXP(-D101*E2_tabla_vida!$X$89)*E2_tabla_vida!$P$89,EXP(-D101*E2_tabla_vida!$X$90)*E2_tabla_vida!$P$90,EXP(-D101*E2_tabla_vida!$X$91)*E2_tabla_vida!$P$91,EXP(-D101*E2_tabla_vida!$X$92)*E2_tabla_vida!$P$92,EXP(-D101*E2_tabla_vida!$X$93)*E2_tabla_vida!$P$93,EXP(-D101*E2_tabla_vida!$X$94)*E2_tabla_vida!$P$94,EXP(-D101*E2_tabla_vida!$X$95)*E2_tabla_vida!$P$95,EXP(-D101*E2_tabla_vida!$X$96)*E2_tabla_vida!$P$96,EXP(-D101*E2_tabla_vida!$X$97)*E2_tabla_vida!$P$97,EXP(-D101*E2_tabla_vida!$X$98)*E2_tabla_vida!$P$98,EXP(-D101*E2_tabla_vida!$X$99)*E2_tabla_vida!$P$99,EXP(-D101*E2_tabla_vida!$X$100)*E2_tabla_vida!$P$100,EXP(-D101*E2_tabla_vida!$X$101)*E2_tabla_vida!$P$101,EXP(-D101*E2_tabla_vida!$X$102)*E2_tabla_vida!$P$102,EXP(-D101*E2_tabla_vida!$X$103)*E2_tabla_vida!$P$103,EXP(-D101*E2_tabla_vida!$X$104)*E2_tabla_vida!$P$104,EXP(-D101*E2_tabla_vida!$X$105)*E2_tabla_vida!$P$105,EXP(-D101*E2_tabla_vida!$X$106)*E2_tabla_vida!$P$106,EXP(-D101*E2_tabla_vida!$X$107)*E2_tabla_vida!$P$107,EXP(-D101*E2_tabla_vida!$X$108)*E2_tabla_vida!$P$108,EXP(-D101*E2_tabla_vida!$X$109)*E2_tabla_vida!$P$109,EXP(-D101*E2_tabla_vida!$X$110)*E2_tabla_vida!$P$110,EXP(-D101*E2_tabla_vida!$X$111)*E2_tabla_vida!$P$111,EXP(-D101*E2_tabla_vida!$X$112)*E2_tabla_vida!$P$112,EXP(-D101*E2_tabla_vida!$X$113)*E2_tabla_vida!$P$113,EXP(-D101*E2_tabla_vida!$X$114)*E2_tabla_vida!$P$114,EXP(-D101*E2_tabla_vida!$X$115)*E2_tabla_vida!$P$115,EXP(-D101*E2_tabla_vida!$X$116)*E2_tabla_vida!$P$116,EXP(-D101*E2_tabla_vida!$X$117)*E2_tabla_vida!$P$117,EXP(-D101*E2_tabla_vida!$X$118)*E2_tabla_vida!$P$118,EXP(-D101*E2_tabla_vida!$X$119)*E2_tabla_vida!$P$119,EXP(-D101*E2_tabla_vida!$X$120)*E2_tabla_vida!$P$120,EXP(-D101*E2_tabla_vida!$X$121)*E2_tabla_vida!$P$121,EXP(-D101*E2_tabla_vida!$X$122)*E2_tabla_vida!$P$122,EXP(-D101*E2_tabla_vida!$X$123)*E2_tabla_vida!$P$123,EXP(-D101*E2_tabla_vida!$X$124)*E2_tabla_vida!$P$124,EXP(-D101*E2_tabla_vida!$X$125)*E2_tabla_vida!$P$125,EXP(-D101*E2_tabla_vida!$X$126)*E2_tabla_vida!$P$126,EXP(-D101*E2_tabla_vida!$X$127)*E2_tabla_vida!$P$127)-1</x:f>
        <x:v>-0.22655090599117478</x:v>
      </x:c>
    </x:row>
    <x:row r="102" ht="19" customHeight="1">
      <x:c r="A102" s="2" t="str">
        <x:v>MP_L7</x:v>
      </x:c>
      <x:c r="B102" s="2" t="n">
        <x:v>8</x:v>
      </x:c>
      <x:c r="C102" s="22" t="n">
        <x:f>IF(F101&gt;0,E101,C101)</x:f>
        <x:v>0.171875</x:v>
      </x:c>
      <x:c r="D102" s="22" t="n">
        <x:f>IF(F101&gt;0,D101,E101)</x:f>
        <x:v>0.18359375</x:v>
      </x:c>
      <x:c r="E102" s="22" t="n">
        <x:f>AVERAGE(C102:D102)</x:f>
        <x:v>0.177734375</x:v>
      </x:c>
      <x:c r="F102" s="24" t="n">
        <x:f>SUM(EXP(-E102*E2_tabla_vida!$X$86)*E2_tabla_vida!$P$86,EXP(-E102*E2_tabla_vida!$X$87)*E2_tabla_vida!$P$87,EXP(-E102*E2_tabla_vida!$X$88)*E2_tabla_vida!$P$88,EXP(-E102*E2_tabla_vida!$X$89)*E2_tabla_vida!$P$89,EXP(-E102*E2_tabla_vida!$X$90)*E2_tabla_vida!$P$90,EXP(-E102*E2_tabla_vida!$X$91)*E2_tabla_vida!$P$91,EXP(-E102*E2_tabla_vida!$X$92)*E2_tabla_vida!$P$92,EXP(-E102*E2_tabla_vida!$X$93)*E2_tabla_vida!$P$93,EXP(-E102*E2_tabla_vida!$X$94)*E2_tabla_vida!$P$94,EXP(-E102*E2_tabla_vida!$X$95)*E2_tabla_vida!$P$95,EXP(-E102*E2_tabla_vida!$X$96)*E2_tabla_vida!$P$96,EXP(-E102*E2_tabla_vida!$X$97)*E2_tabla_vida!$P$97,EXP(-E102*E2_tabla_vida!$X$98)*E2_tabla_vida!$P$98,EXP(-E102*E2_tabla_vida!$X$99)*E2_tabla_vida!$P$99,EXP(-E102*E2_tabla_vida!$X$100)*E2_tabla_vida!$P$100,EXP(-E102*E2_tabla_vida!$X$101)*E2_tabla_vida!$P$101,EXP(-E102*E2_tabla_vida!$X$102)*E2_tabla_vida!$P$102,EXP(-E102*E2_tabla_vida!$X$103)*E2_tabla_vida!$P$103,EXP(-E102*E2_tabla_vida!$X$104)*E2_tabla_vida!$P$104,EXP(-E102*E2_tabla_vida!$X$105)*E2_tabla_vida!$P$105,EXP(-E102*E2_tabla_vida!$X$106)*E2_tabla_vida!$P$106,EXP(-E102*E2_tabla_vida!$X$107)*E2_tabla_vida!$P$107,EXP(-E102*E2_tabla_vida!$X$108)*E2_tabla_vida!$P$108,EXP(-E102*E2_tabla_vida!$X$109)*E2_tabla_vida!$P$109,EXP(-E102*E2_tabla_vida!$X$110)*E2_tabla_vida!$P$110,EXP(-E102*E2_tabla_vida!$X$111)*E2_tabla_vida!$P$111,EXP(-E102*E2_tabla_vida!$X$112)*E2_tabla_vida!$P$112,EXP(-E102*E2_tabla_vida!$X$113)*E2_tabla_vida!$P$113,EXP(-E102*E2_tabla_vida!$X$114)*E2_tabla_vida!$P$114,EXP(-E102*E2_tabla_vida!$X$115)*E2_tabla_vida!$P$115,EXP(-E102*E2_tabla_vida!$X$116)*E2_tabla_vida!$P$116,EXP(-E102*E2_tabla_vida!$X$117)*E2_tabla_vida!$P$117,EXP(-E102*E2_tabla_vida!$X$118)*E2_tabla_vida!$P$118,EXP(-E102*E2_tabla_vida!$X$119)*E2_tabla_vida!$P$119,EXP(-E102*E2_tabla_vida!$X$120)*E2_tabla_vida!$P$120,EXP(-E102*E2_tabla_vida!$X$121)*E2_tabla_vida!$P$121,EXP(-E102*E2_tabla_vida!$X$122)*E2_tabla_vida!$P$122,EXP(-E102*E2_tabla_vida!$X$123)*E2_tabla_vida!$P$123,EXP(-E102*E2_tabla_vida!$X$124)*E2_tabla_vida!$P$124,EXP(-E102*E2_tabla_vida!$X$125)*E2_tabla_vida!$P$125,EXP(-E102*E2_tabla_vida!$X$126)*E2_tabla_vida!$P$126,EXP(-E102*E2_tabla_vida!$X$127)*E2_tabla_vida!$P$127)-1</x:f>
        <x:v>0.02461866386215039</x:v>
      </x:c>
      <x:c r="G102" s="24" t="n">
        <x:f>SUM(EXP(-C102*E2_tabla_vida!$X$86)*E2_tabla_vida!$P$86,EXP(-C102*E2_tabla_vida!$X$87)*E2_tabla_vida!$P$87,EXP(-C102*E2_tabla_vida!$X$88)*E2_tabla_vida!$P$88,EXP(-C102*E2_tabla_vida!$X$89)*E2_tabla_vida!$P$89,EXP(-C102*E2_tabla_vida!$X$90)*E2_tabla_vida!$P$90,EXP(-C102*E2_tabla_vida!$X$91)*E2_tabla_vida!$P$91,EXP(-C102*E2_tabla_vida!$X$92)*E2_tabla_vida!$P$92,EXP(-C102*E2_tabla_vida!$X$93)*E2_tabla_vida!$P$93,EXP(-C102*E2_tabla_vida!$X$94)*E2_tabla_vida!$P$94,EXP(-C102*E2_tabla_vida!$X$95)*E2_tabla_vida!$P$95,EXP(-C102*E2_tabla_vida!$X$96)*E2_tabla_vida!$P$96,EXP(-C102*E2_tabla_vida!$X$97)*E2_tabla_vida!$P$97,EXP(-C102*E2_tabla_vida!$X$98)*E2_tabla_vida!$P$98,EXP(-C102*E2_tabla_vida!$X$99)*E2_tabla_vida!$P$99,EXP(-C102*E2_tabla_vida!$X$100)*E2_tabla_vida!$P$100,EXP(-C102*E2_tabla_vida!$X$101)*E2_tabla_vida!$P$101,EXP(-C102*E2_tabla_vida!$X$102)*E2_tabla_vida!$P$102,EXP(-C102*E2_tabla_vida!$X$103)*E2_tabla_vida!$P$103,EXP(-C102*E2_tabla_vida!$X$104)*E2_tabla_vida!$P$104,EXP(-C102*E2_tabla_vida!$X$105)*E2_tabla_vida!$P$105,EXP(-C102*E2_tabla_vida!$X$106)*E2_tabla_vida!$P$106,EXP(-C102*E2_tabla_vida!$X$107)*E2_tabla_vida!$P$107,EXP(-C102*E2_tabla_vida!$X$108)*E2_tabla_vida!$P$108,EXP(-C102*E2_tabla_vida!$X$109)*E2_tabla_vida!$P$109,EXP(-C102*E2_tabla_vida!$X$110)*E2_tabla_vida!$P$110,EXP(-C102*E2_tabla_vida!$X$111)*E2_tabla_vida!$P$111,EXP(-C102*E2_tabla_vida!$X$112)*E2_tabla_vida!$P$112,EXP(-C102*E2_tabla_vida!$X$113)*E2_tabla_vida!$P$113,EXP(-C102*E2_tabla_vida!$X$114)*E2_tabla_vida!$P$114,EXP(-C102*E2_tabla_vida!$X$115)*E2_tabla_vida!$P$115,EXP(-C102*E2_tabla_vida!$X$116)*E2_tabla_vida!$P$116,EXP(-C102*E2_tabla_vida!$X$117)*E2_tabla_vida!$P$117,EXP(-C102*E2_tabla_vida!$X$118)*E2_tabla_vida!$P$118,EXP(-C102*E2_tabla_vida!$X$119)*E2_tabla_vida!$P$119,EXP(-C102*E2_tabla_vida!$X$120)*E2_tabla_vida!$P$120,EXP(-C102*E2_tabla_vida!$X$121)*E2_tabla_vida!$P$121,EXP(-C102*E2_tabla_vida!$X$122)*E2_tabla_vida!$P$122,EXP(-C102*E2_tabla_vida!$X$123)*E2_tabla_vida!$P$123,EXP(-C102*E2_tabla_vida!$X$124)*E2_tabla_vida!$P$124,EXP(-C102*E2_tabla_vida!$X$125)*E2_tabla_vida!$P$125,EXP(-C102*E2_tabla_vida!$X$126)*E2_tabla_vida!$P$126,EXP(-C102*E2_tabla_vida!$X$127)*E2_tabla_vida!$P$127)-1</x:f>
        <x:v>0.1261251556361549</x:v>
      </x:c>
      <x:c r="H102" s="24" t="n">
        <x:f>SUM(EXP(-D102*E2_tabla_vida!$X$86)*E2_tabla_vida!$P$86,EXP(-D102*E2_tabla_vida!$X$87)*E2_tabla_vida!$P$87,EXP(-D102*E2_tabla_vida!$X$88)*E2_tabla_vida!$P$88,EXP(-D102*E2_tabla_vida!$X$89)*E2_tabla_vida!$P$89,EXP(-D102*E2_tabla_vida!$X$90)*E2_tabla_vida!$P$90,EXP(-D102*E2_tabla_vida!$X$91)*E2_tabla_vida!$P$91,EXP(-D102*E2_tabla_vida!$X$92)*E2_tabla_vida!$P$92,EXP(-D102*E2_tabla_vida!$X$93)*E2_tabla_vida!$P$93,EXP(-D102*E2_tabla_vida!$X$94)*E2_tabla_vida!$P$94,EXP(-D102*E2_tabla_vida!$X$95)*E2_tabla_vida!$P$95,EXP(-D102*E2_tabla_vida!$X$96)*E2_tabla_vida!$P$96,EXP(-D102*E2_tabla_vida!$X$97)*E2_tabla_vida!$P$97,EXP(-D102*E2_tabla_vida!$X$98)*E2_tabla_vida!$P$98,EXP(-D102*E2_tabla_vida!$X$99)*E2_tabla_vida!$P$99,EXP(-D102*E2_tabla_vida!$X$100)*E2_tabla_vida!$P$100,EXP(-D102*E2_tabla_vida!$X$101)*E2_tabla_vida!$P$101,EXP(-D102*E2_tabla_vida!$X$102)*E2_tabla_vida!$P$102,EXP(-D102*E2_tabla_vida!$X$103)*E2_tabla_vida!$P$103,EXP(-D102*E2_tabla_vida!$X$104)*E2_tabla_vida!$P$104,EXP(-D102*E2_tabla_vida!$X$105)*E2_tabla_vida!$P$105,EXP(-D102*E2_tabla_vida!$X$106)*E2_tabla_vida!$P$106,EXP(-D102*E2_tabla_vida!$X$107)*E2_tabla_vida!$P$107,EXP(-D102*E2_tabla_vida!$X$108)*E2_tabla_vida!$P$108,EXP(-D102*E2_tabla_vida!$X$109)*E2_tabla_vida!$P$109,EXP(-D102*E2_tabla_vida!$X$110)*E2_tabla_vida!$P$110,EXP(-D102*E2_tabla_vida!$X$111)*E2_tabla_vida!$P$111,EXP(-D102*E2_tabla_vida!$X$112)*E2_tabla_vida!$P$112,EXP(-D102*E2_tabla_vida!$X$113)*E2_tabla_vida!$P$113,EXP(-D102*E2_tabla_vida!$X$114)*E2_tabla_vida!$P$114,EXP(-D102*E2_tabla_vida!$X$115)*E2_tabla_vida!$P$115,EXP(-D102*E2_tabla_vida!$X$116)*E2_tabla_vida!$P$116,EXP(-D102*E2_tabla_vida!$X$117)*E2_tabla_vida!$P$117,EXP(-D102*E2_tabla_vida!$X$118)*E2_tabla_vida!$P$118,EXP(-D102*E2_tabla_vida!$X$119)*E2_tabla_vida!$P$119,EXP(-D102*E2_tabla_vida!$X$120)*E2_tabla_vida!$P$120,EXP(-D102*E2_tabla_vida!$X$121)*E2_tabla_vida!$P$121,EXP(-D102*E2_tabla_vida!$X$122)*E2_tabla_vida!$P$122,EXP(-D102*E2_tabla_vida!$X$123)*E2_tabla_vida!$P$123,EXP(-D102*E2_tabla_vida!$X$124)*E2_tabla_vida!$P$124,EXP(-D102*E2_tabla_vida!$X$125)*E2_tabla_vida!$P$125,EXP(-D102*E2_tabla_vida!$X$126)*E2_tabla_vida!$P$126,EXP(-D102*E2_tabla_vida!$X$127)*E2_tabla_vida!$P$127)-1</x:f>
        <x:v>-0.06739731554296058</x:v>
      </x:c>
    </x:row>
    <x:row r="103" ht="19" customHeight="1">
      <x:c r="A103" s="2" t="str">
        <x:v>MP_L7</x:v>
      </x:c>
      <x:c r="B103" s="2" t="n">
        <x:v>9</x:v>
      </x:c>
      <x:c r="C103" s="22" t="n">
        <x:f>IF(F102&gt;0,E102,C102)</x:f>
        <x:v>0.177734375</x:v>
      </x:c>
      <x:c r="D103" s="22" t="n">
        <x:f>IF(F102&gt;0,D102,E102)</x:f>
        <x:v>0.18359375</x:v>
      </x:c>
      <x:c r="E103" s="22" t="n">
        <x:f>AVERAGE(C103:D103)</x:f>
        <x:v>0.1806640625</x:v>
      </x:c>
      <x:c r="F103" s="24" t="n">
        <x:f>SUM(EXP(-E103*E2_tabla_vida!$X$86)*E2_tabla_vida!$P$86,EXP(-E103*E2_tabla_vida!$X$87)*E2_tabla_vida!$P$87,EXP(-E103*E2_tabla_vida!$X$88)*E2_tabla_vida!$P$88,EXP(-E103*E2_tabla_vida!$X$89)*E2_tabla_vida!$P$89,EXP(-E103*E2_tabla_vida!$X$90)*E2_tabla_vida!$P$90,EXP(-E103*E2_tabla_vida!$X$91)*E2_tabla_vida!$P$91,EXP(-E103*E2_tabla_vida!$X$92)*E2_tabla_vida!$P$92,EXP(-E103*E2_tabla_vida!$X$93)*E2_tabla_vida!$P$93,EXP(-E103*E2_tabla_vida!$X$94)*E2_tabla_vida!$P$94,EXP(-E103*E2_tabla_vida!$X$95)*E2_tabla_vida!$P$95,EXP(-E103*E2_tabla_vida!$X$96)*E2_tabla_vida!$P$96,EXP(-E103*E2_tabla_vida!$X$97)*E2_tabla_vida!$P$97,EXP(-E103*E2_tabla_vida!$X$98)*E2_tabla_vida!$P$98,EXP(-E103*E2_tabla_vida!$X$99)*E2_tabla_vida!$P$99,EXP(-E103*E2_tabla_vida!$X$100)*E2_tabla_vida!$P$100,EXP(-E103*E2_tabla_vida!$X$101)*E2_tabla_vida!$P$101,EXP(-E103*E2_tabla_vida!$X$102)*E2_tabla_vida!$P$102,EXP(-E103*E2_tabla_vida!$X$103)*E2_tabla_vida!$P$103,EXP(-E103*E2_tabla_vida!$X$104)*E2_tabla_vida!$P$104,EXP(-E103*E2_tabla_vida!$X$105)*E2_tabla_vida!$P$105,EXP(-E103*E2_tabla_vida!$X$106)*E2_tabla_vida!$P$106,EXP(-E103*E2_tabla_vida!$X$107)*E2_tabla_vida!$P$107,EXP(-E103*E2_tabla_vida!$X$108)*E2_tabla_vida!$P$108,EXP(-E103*E2_tabla_vida!$X$109)*E2_tabla_vida!$P$109,EXP(-E103*E2_tabla_vida!$X$110)*E2_tabla_vida!$P$110,EXP(-E103*E2_tabla_vida!$X$111)*E2_tabla_vida!$P$111,EXP(-E103*E2_tabla_vida!$X$112)*E2_tabla_vida!$P$112,EXP(-E103*E2_tabla_vida!$X$113)*E2_tabla_vida!$P$113,EXP(-E103*E2_tabla_vida!$X$114)*E2_tabla_vida!$P$114,EXP(-E103*E2_tabla_vida!$X$115)*E2_tabla_vida!$P$115,EXP(-E103*E2_tabla_vida!$X$116)*E2_tabla_vida!$P$116,EXP(-E103*E2_tabla_vida!$X$117)*E2_tabla_vida!$P$117,EXP(-E103*E2_tabla_vida!$X$118)*E2_tabla_vida!$P$118,EXP(-E103*E2_tabla_vida!$X$119)*E2_tabla_vida!$P$119,EXP(-E103*E2_tabla_vida!$X$120)*E2_tabla_vida!$P$120,EXP(-E103*E2_tabla_vida!$X$121)*E2_tabla_vida!$P$121,EXP(-E103*E2_tabla_vida!$X$122)*E2_tabla_vida!$P$122,EXP(-E103*E2_tabla_vida!$X$123)*E2_tabla_vida!$P$123,EXP(-E103*E2_tabla_vida!$X$124)*E2_tabla_vida!$P$124,EXP(-E103*E2_tabla_vida!$X$125)*E2_tabla_vida!$P$125,EXP(-E103*E2_tabla_vida!$X$126)*E2_tabla_vida!$P$126,EXP(-E103*E2_tabla_vida!$X$127)*E2_tabla_vida!$P$127)-1</x:f>
        <x:v>-0.022515742198820465</x:v>
      </x:c>
      <x:c r="G103" s="24" t="n">
        <x:f>SUM(EXP(-C103*E2_tabla_vida!$X$86)*E2_tabla_vida!$P$86,EXP(-C103*E2_tabla_vida!$X$87)*E2_tabla_vida!$P$87,EXP(-C103*E2_tabla_vida!$X$88)*E2_tabla_vida!$P$88,EXP(-C103*E2_tabla_vida!$X$89)*E2_tabla_vida!$P$89,EXP(-C103*E2_tabla_vida!$X$90)*E2_tabla_vida!$P$90,EXP(-C103*E2_tabla_vida!$X$91)*E2_tabla_vida!$P$91,EXP(-C103*E2_tabla_vida!$X$92)*E2_tabla_vida!$P$92,EXP(-C103*E2_tabla_vida!$X$93)*E2_tabla_vida!$P$93,EXP(-C103*E2_tabla_vida!$X$94)*E2_tabla_vida!$P$94,EXP(-C103*E2_tabla_vida!$X$95)*E2_tabla_vida!$P$95,EXP(-C103*E2_tabla_vida!$X$96)*E2_tabla_vida!$P$96,EXP(-C103*E2_tabla_vida!$X$97)*E2_tabla_vida!$P$97,EXP(-C103*E2_tabla_vida!$X$98)*E2_tabla_vida!$P$98,EXP(-C103*E2_tabla_vida!$X$99)*E2_tabla_vida!$P$99,EXP(-C103*E2_tabla_vida!$X$100)*E2_tabla_vida!$P$100,EXP(-C103*E2_tabla_vida!$X$101)*E2_tabla_vida!$P$101,EXP(-C103*E2_tabla_vida!$X$102)*E2_tabla_vida!$P$102,EXP(-C103*E2_tabla_vida!$X$103)*E2_tabla_vida!$P$103,EXP(-C103*E2_tabla_vida!$X$104)*E2_tabla_vida!$P$104,EXP(-C103*E2_tabla_vida!$X$105)*E2_tabla_vida!$P$105,EXP(-C103*E2_tabla_vida!$X$106)*E2_tabla_vida!$P$106,EXP(-C103*E2_tabla_vida!$X$107)*E2_tabla_vida!$P$107,EXP(-C103*E2_tabla_vida!$X$108)*E2_tabla_vida!$P$108,EXP(-C103*E2_tabla_vida!$X$109)*E2_tabla_vida!$P$109,EXP(-C103*E2_tabla_vida!$X$110)*E2_tabla_vida!$P$110,EXP(-C103*E2_tabla_vida!$X$111)*E2_tabla_vida!$P$111,EXP(-C103*E2_tabla_vida!$X$112)*E2_tabla_vida!$P$112,EXP(-C103*E2_tabla_vida!$X$113)*E2_tabla_vida!$P$113,EXP(-C103*E2_tabla_vida!$X$114)*E2_tabla_vida!$P$114,EXP(-C103*E2_tabla_vida!$X$115)*E2_tabla_vida!$P$115,EXP(-C103*E2_tabla_vida!$X$116)*E2_tabla_vida!$P$116,EXP(-C103*E2_tabla_vida!$X$117)*E2_tabla_vida!$P$117,EXP(-C103*E2_tabla_vida!$X$118)*E2_tabla_vida!$P$118,EXP(-C103*E2_tabla_vida!$X$119)*E2_tabla_vida!$P$119,EXP(-C103*E2_tabla_vida!$X$120)*E2_tabla_vida!$P$120,EXP(-C103*E2_tabla_vida!$X$121)*E2_tabla_vida!$P$121,EXP(-C103*E2_tabla_vida!$X$122)*E2_tabla_vida!$P$122,EXP(-C103*E2_tabla_vida!$X$123)*E2_tabla_vida!$P$123,EXP(-C103*E2_tabla_vida!$X$124)*E2_tabla_vida!$P$124,EXP(-C103*E2_tabla_vida!$X$125)*E2_tabla_vida!$P$125,EXP(-C103*E2_tabla_vida!$X$126)*E2_tabla_vida!$P$126,EXP(-C103*E2_tabla_vida!$X$127)*E2_tabla_vida!$P$127)-1</x:f>
        <x:v>0.02461866386215039</x:v>
      </x:c>
      <x:c r="H103" s="24" t="n">
        <x:f>SUM(EXP(-D103*E2_tabla_vida!$X$86)*E2_tabla_vida!$P$86,EXP(-D103*E2_tabla_vida!$X$87)*E2_tabla_vida!$P$87,EXP(-D103*E2_tabla_vida!$X$88)*E2_tabla_vida!$P$88,EXP(-D103*E2_tabla_vida!$X$89)*E2_tabla_vida!$P$89,EXP(-D103*E2_tabla_vida!$X$90)*E2_tabla_vida!$P$90,EXP(-D103*E2_tabla_vida!$X$91)*E2_tabla_vida!$P$91,EXP(-D103*E2_tabla_vida!$X$92)*E2_tabla_vida!$P$92,EXP(-D103*E2_tabla_vida!$X$93)*E2_tabla_vida!$P$93,EXP(-D103*E2_tabla_vida!$X$94)*E2_tabla_vida!$P$94,EXP(-D103*E2_tabla_vida!$X$95)*E2_tabla_vida!$P$95,EXP(-D103*E2_tabla_vida!$X$96)*E2_tabla_vida!$P$96,EXP(-D103*E2_tabla_vida!$X$97)*E2_tabla_vida!$P$97,EXP(-D103*E2_tabla_vida!$X$98)*E2_tabla_vida!$P$98,EXP(-D103*E2_tabla_vida!$X$99)*E2_tabla_vida!$P$99,EXP(-D103*E2_tabla_vida!$X$100)*E2_tabla_vida!$P$100,EXP(-D103*E2_tabla_vida!$X$101)*E2_tabla_vida!$P$101,EXP(-D103*E2_tabla_vida!$X$102)*E2_tabla_vida!$P$102,EXP(-D103*E2_tabla_vida!$X$103)*E2_tabla_vida!$P$103,EXP(-D103*E2_tabla_vida!$X$104)*E2_tabla_vida!$P$104,EXP(-D103*E2_tabla_vida!$X$105)*E2_tabla_vida!$P$105,EXP(-D103*E2_tabla_vida!$X$106)*E2_tabla_vida!$P$106,EXP(-D103*E2_tabla_vida!$X$107)*E2_tabla_vida!$P$107,EXP(-D103*E2_tabla_vida!$X$108)*E2_tabla_vida!$P$108,EXP(-D103*E2_tabla_vida!$X$109)*E2_tabla_vida!$P$109,EXP(-D103*E2_tabla_vida!$X$110)*E2_tabla_vida!$P$110,EXP(-D103*E2_tabla_vida!$X$111)*E2_tabla_vida!$P$111,EXP(-D103*E2_tabla_vida!$X$112)*E2_tabla_vida!$P$112,EXP(-D103*E2_tabla_vida!$X$113)*E2_tabla_vida!$P$113,EXP(-D103*E2_tabla_vida!$X$114)*E2_tabla_vida!$P$114,EXP(-D103*E2_tabla_vida!$X$115)*E2_tabla_vida!$P$115,EXP(-D103*E2_tabla_vida!$X$116)*E2_tabla_vida!$P$116,EXP(-D103*E2_tabla_vida!$X$117)*E2_tabla_vida!$P$117,EXP(-D103*E2_tabla_vida!$X$118)*E2_tabla_vida!$P$118,EXP(-D103*E2_tabla_vida!$X$119)*E2_tabla_vida!$P$119,EXP(-D103*E2_tabla_vida!$X$120)*E2_tabla_vida!$P$120,EXP(-D103*E2_tabla_vida!$X$121)*E2_tabla_vida!$P$121,EXP(-D103*E2_tabla_vida!$X$122)*E2_tabla_vida!$P$122,EXP(-D103*E2_tabla_vida!$X$123)*E2_tabla_vida!$P$123,EXP(-D103*E2_tabla_vida!$X$124)*E2_tabla_vida!$P$124,EXP(-D103*E2_tabla_vida!$X$125)*E2_tabla_vida!$P$125,EXP(-D103*E2_tabla_vida!$X$126)*E2_tabla_vida!$P$126,EXP(-D103*E2_tabla_vida!$X$127)*E2_tabla_vida!$P$127)-1</x:f>
        <x:v>-0.06739731554296058</x:v>
      </x:c>
    </x:row>
    <x:row r="104" ht="19" customHeight="1">
      <x:c r="A104" s="2" t="str">
        <x:v>MP_L7</x:v>
      </x:c>
      <x:c r="B104" s="2" t="n">
        <x:v>10</x:v>
      </x:c>
      <x:c r="C104" s="22" t="n">
        <x:f>IF(F103&gt;0,E103,C103)</x:f>
        <x:v>0.177734375</x:v>
      </x:c>
      <x:c r="D104" s="22" t="n">
        <x:f>IF(F103&gt;0,D103,E103)</x:f>
        <x:v>0.1806640625</x:v>
      </x:c>
      <x:c r="E104" s="22" t="n">
        <x:f>AVERAGE(C104:D104)</x:f>
        <x:v>0.17919921875</x:v>
      </x:c>
      <x:c r="F104" s="24" t="n">
        <x:f>SUM(EXP(-E104*E2_tabla_vida!$X$86)*E2_tabla_vida!$P$86,EXP(-E104*E2_tabla_vida!$X$87)*E2_tabla_vida!$P$87,EXP(-E104*E2_tabla_vida!$X$88)*E2_tabla_vida!$P$88,EXP(-E104*E2_tabla_vida!$X$89)*E2_tabla_vida!$P$89,EXP(-E104*E2_tabla_vida!$X$90)*E2_tabla_vida!$P$90,EXP(-E104*E2_tabla_vida!$X$91)*E2_tabla_vida!$P$91,EXP(-E104*E2_tabla_vida!$X$92)*E2_tabla_vida!$P$92,EXP(-E104*E2_tabla_vida!$X$93)*E2_tabla_vida!$P$93,EXP(-E104*E2_tabla_vida!$X$94)*E2_tabla_vida!$P$94,EXP(-E104*E2_tabla_vida!$X$95)*E2_tabla_vida!$P$95,EXP(-E104*E2_tabla_vida!$X$96)*E2_tabla_vida!$P$96,EXP(-E104*E2_tabla_vida!$X$97)*E2_tabla_vida!$P$97,EXP(-E104*E2_tabla_vida!$X$98)*E2_tabla_vida!$P$98,EXP(-E104*E2_tabla_vida!$X$99)*E2_tabla_vida!$P$99,EXP(-E104*E2_tabla_vida!$X$100)*E2_tabla_vida!$P$100,EXP(-E104*E2_tabla_vida!$X$101)*E2_tabla_vida!$P$101,EXP(-E104*E2_tabla_vida!$X$102)*E2_tabla_vida!$P$102,EXP(-E104*E2_tabla_vida!$X$103)*E2_tabla_vida!$P$103,EXP(-E104*E2_tabla_vida!$X$104)*E2_tabla_vida!$P$104,EXP(-E104*E2_tabla_vida!$X$105)*E2_tabla_vida!$P$105,EXP(-E104*E2_tabla_vida!$X$106)*E2_tabla_vida!$P$106,EXP(-E104*E2_tabla_vida!$X$107)*E2_tabla_vida!$P$107,EXP(-E104*E2_tabla_vida!$X$108)*E2_tabla_vida!$P$108,EXP(-E104*E2_tabla_vida!$X$109)*E2_tabla_vida!$P$109,EXP(-E104*E2_tabla_vida!$X$110)*E2_tabla_vida!$P$110,EXP(-E104*E2_tabla_vida!$X$111)*E2_tabla_vida!$P$111,EXP(-E104*E2_tabla_vida!$X$112)*E2_tabla_vida!$P$112,EXP(-E104*E2_tabla_vida!$X$113)*E2_tabla_vida!$P$113,EXP(-E104*E2_tabla_vida!$X$114)*E2_tabla_vida!$P$114,EXP(-E104*E2_tabla_vida!$X$115)*E2_tabla_vida!$P$115,EXP(-E104*E2_tabla_vida!$X$116)*E2_tabla_vida!$P$116,EXP(-E104*E2_tabla_vida!$X$117)*E2_tabla_vida!$P$117,EXP(-E104*E2_tabla_vida!$X$118)*E2_tabla_vida!$P$118,EXP(-E104*E2_tabla_vida!$X$119)*E2_tabla_vida!$P$119,EXP(-E104*E2_tabla_vida!$X$120)*E2_tabla_vida!$P$120,EXP(-E104*E2_tabla_vida!$X$121)*E2_tabla_vida!$P$121,EXP(-E104*E2_tabla_vida!$X$122)*E2_tabla_vida!$P$122,EXP(-E104*E2_tabla_vida!$X$123)*E2_tabla_vida!$P$123,EXP(-E104*E2_tabla_vida!$X$124)*E2_tabla_vida!$P$124,EXP(-E104*E2_tabla_vida!$X$125)*E2_tabla_vida!$P$125,EXP(-E104*E2_tabla_vida!$X$126)*E2_tabla_vida!$P$126,EXP(-E104*E2_tabla_vida!$X$127)*E2_tabla_vida!$P$127)-1</x:f>
        <x:v>0.0007626186465050644</x:v>
      </x:c>
      <x:c r="G104" s="24" t="n">
        <x:f>SUM(EXP(-C104*E2_tabla_vida!$X$86)*E2_tabla_vida!$P$86,EXP(-C104*E2_tabla_vida!$X$87)*E2_tabla_vida!$P$87,EXP(-C104*E2_tabla_vida!$X$88)*E2_tabla_vida!$P$88,EXP(-C104*E2_tabla_vida!$X$89)*E2_tabla_vida!$P$89,EXP(-C104*E2_tabla_vida!$X$90)*E2_tabla_vida!$P$90,EXP(-C104*E2_tabla_vida!$X$91)*E2_tabla_vida!$P$91,EXP(-C104*E2_tabla_vida!$X$92)*E2_tabla_vida!$P$92,EXP(-C104*E2_tabla_vida!$X$93)*E2_tabla_vida!$P$93,EXP(-C104*E2_tabla_vida!$X$94)*E2_tabla_vida!$P$94,EXP(-C104*E2_tabla_vida!$X$95)*E2_tabla_vida!$P$95,EXP(-C104*E2_tabla_vida!$X$96)*E2_tabla_vida!$P$96,EXP(-C104*E2_tabla_vida!$X$97)*E2_tabla_vida!$P$97,EXP(-C104*E2_tabla_vida!$X$98)*E2_tabla_vida!$P$98,EXP(-C104*E2_tabla_vida!$X$99)*E2_tabla_vida!$P$99,EXP(-C104*E2_tabla_vida!$X$100)*E2_tabla_vida!$P$100,EXP(-C104*E2_tabla_vida!$X$101)*E2_tabla_vida!$P$101,EXP(-C104*E2_tabla_vida!$X$102)*E2_tabla_vida!$P$102,EXP(-C104*E2_tabla_vida!$X$103)*E2_tabla_vida!$P$103,EXP(-C104*E2_tabla_vida!$X$104)*E2_tabla_vida!$P$104,EXP(-C104*E2_tabla_vida!$X$105)*E2_tabla_vida!$P$105,EXP(-C104*E2_tabla_vida!$X$106)*E2_tabla_vida!$P$106,EXP(-C104*E2_tabla_vida!$X$107)*E2_tabla_vida!$P$107,EXP(-C104*E2_tabla_vida!$X$108)*E2_tabla_vida!$P$108,EXP(-C104*E2_tabla_vida!$X$109)*E2_tabla_vida!$P$109,EXP(-C104*E2_tabla_vida!$X$110)*E2_tabla_vida!$P$110,EXP(-C104*E2_tabla_vida!$X$111)*E2_tabla_vida!$P$111,EXP(-C104*E2_tabla_vida!$X$112)*E2_tabla_vida!$P$112,EXP(-C104*E2_tabla_vida!$X$113)*E2_tabla_vida!$P$113,EXP(-C104*E2_tabla_vida!$X$114)*E2_tabla_vida!$P$114,EXP(-C104*E2_tabla_vida!$X$115)*E2_tabla_vida!$P$115,EXP(-C104*E2_tabla_vida!$X$116)*E2_tabla_vida!$P$116,EXP(-C104*E2_tabla_vida!$X$117)*E2_tabla_vida!$P$117,EXP(-C104*E2_tabla_vida!$X$118)*E2_tabla_vida!$P$118,EXP(-C104*E2_tabla_vida!$X$119)*E2_tabla_vida!$P$119,EXP(-C104*E2_tabla_vida!$X$120)*E2_tabla_vida!$P$120,EXP(-C104*E2_tabla_vida!$X$121)*E2_tabla_vida!$P$121,EXP(-C104*E2_tabla_vida!$X$122)*E2_tabla_vida!$P$122,EXP(-C104*E2_tabla_vida!$X$123)*E2_tabla_vida!$P$123,EXP(-C104*E2_tabla_vida!$X$124)*E2_tabla_vida!$P$124,EXP(-C104*E2_tabla_vida!$X$125)*E2_tabla_vida!$P$125,EXP(-C104*E2_tabla_vida!$X$126)*E2_tabla_vida!$P$126,EXP(-C104*E2_tabla_vida!$X$127)*E2_tabla_vida!$P$127)-1</x:f>
        <x:v>0.02461866386215039</x:v>
      </x:c>
      <x:c r="H104" s="24" t="n">
        <x:f>SUM(EXP(-D104*E2_tabla_vida!$X$86)*E2_tabla_vida!$P$86,EXP(-D104*E2_tabla_vida!$X$87)*E2_tabla_vida!$P$87,EXP(-D104*E2_tabla_vida!$X$88)*E2_tabla_vida!$P$88,EXP(-D104*E2_tabla_vida!$X$89)*E2_tabla_vida!$P$89,EXP(-D104*E2_tabla_vida!$X$90)*E2_tabla_vida!$P$90,EXP(-D104*E2_tabla_vida!$X$91)*E2_tabla_vida!$P$91,EXP(-D104*E2_tabla_vida!$X$92)*E2_tabla_vida!$P$92,EXP(-D104*E2_tabla_vida!$X$93)*E2_tabla_vida!$P$93,EXP(-D104*E2_tabla_vida!$X$94)*E2_tabla_vida!$P$94,EXP(-D104*E2_tabla_vida!$X$95)*E2_tabla_vida!$P$95,EXP(-D104*E2_tabla_vida!$X$96)*E2_tabla_vida!$P$96,EXP(-D104*E2_tabla_vida!$X$97)*E2_tabla_vida!$P$97,EXP(-D104*E2_tabla_vida!$X$98)*E2_tabla_vida!$P$98,EXP(-D104*E2_tabla_vida!$X$99)*E2_tabla_vida!$P$99,EXP(-D104*E2_tabla_vida!$X$100)*E2_tabla_vida!$P$100,EXP(-D104*E2_tabla_vida!$X$101)*E2_tabla_vida!$P$101,EXP(-D104*E2_tabla_vida!$X$102)*E2_tabla_vida!$P$102,EXP(-D104*E2_tabla_vida!$X$103)*E2_tabla_vida!$P$103,EXP(-D104*E2_tabla_vida!$X$104)*E2_tabla_vida!$P$104,EXP(-D104*E2_tabla_vida!$X$105)*E2_tabla_vida!$P$105,EXP(-D104*E2_tabla_vida!$X$106)*E2_tabla_vida!$P$106,EXP(-D104*E2_tabla_vida!$X$107)*E2_tabla_vida!$P$107,EXP(-D104*E2_tabla_vida!$X$108)*E2_tabla_vida!$P$108,EXP(-D104*E2_tabla_vida!$X$109)*E2_tabla_vida!$P$109,EXP(-D104*E2_tabla_vida!$X$110)*E2_tabla_vida!$P$110,EXP(-D104*E2_tabla_vida!$X$111)*E2_tabla_vida!$P$111,EXP(-D104*E2_tabla_vida!$X$112)*E2_tabla_vida!$P$112,EXP(-D104*E2_tabla_vida!$X$113)*E2_tabla_vida!$P$113,EXP(-D104*E2_tabla_vida!$X$114)*E2_tabla_vida!$P$114,EXP(-D104*E2_tabla_vida!$X$115)*E2_tabla_vida!$P$115,EXP(-D104*E2_tabla_vida!$X$116)*E2_tabla_vida!$P$116,EXP(-D104*E2_tabla_vida!$X$117)*E2_tabla_vida!$P$117,EXP(-D104*E2_tabla_vida!$X$118)*E2_tabla_vida!$P$118,EXP(-D104*E2_tabla_vida!$X$119)*E2_tabla_vida!$P$119,EXP(-D104*E2_tabla_vida!$X$120)*E2_tabla_vida!$P$120,EXP(-D104*E2_tabla_vida!$X$121)*E2_tabla_vida!$P$121,EXP(-D104*E2_tabla_vida!$X$122)*E2_tabla_vida!$P$122,EXP(-D104*E2_tabla_vida!$X$123)*E2_tabla_vida!$P$123,EXP(-D104*E2_tabla_vida!$X$124)*E2_tabla_vida!$P$124,EXP(-D104*E2_tabla_vida!$X$125)*E2_tabla_vida!$P$125,EXP(-D104*E2_tabla_vida!$X$126)*E2_tabla_vida!$P$126,EXP(-D104*E2_tabla_vida!$X$127)*E2_tabla_vida!$P$127)-1</x:f>
        <x:v>-0.022515742198820465</x:v>
      </x:c>
    </x:row>
    <x:row r="105" ht="19" customHeight="1">
      <x:c r="A105" s="2" t="str">
        <x:v>MP_L7</x:v>
      </x:c>
      <x:c r="B105" s="2" t="n">
        <x:v>11</x:v>
      </x:c>
      <x:c r="C105" s="22" t="n">
        <x:f>IF(F104&gt;0,E104,C104)</x:f>
        <x:v>0.17919921875</x:v>
      </x:c>
      <x:c r="D105" s="22" t="n">
        <x:f>IF(F104&gt;0,D104,E104)</x:f>
        <x:v>0.1806640625</x:v>
      </x:c>
      <x:c r="E105" s="22" t="n">
        <x:f>AVERAGE(C105:D105)</x:f>
        <x:v>0.179931640625</x:v>
      </x:c>
      <x:c r="F105" s="24" t="n">
        <x:f>SUM(EXP(-E105*E2_tabla_vida!$X$86)*E2_tabla_vida!$P$86,EXP(-E105*E2_tabla_vida!$X$87)*E2_tabla_vida!$P$87,EXP(-E105*E2_tabla_vida!$X$88)*E2_tabla_vida!$P$88,EXP(-E105*E2_tabla_vida!$X$89)*E2_tabla_vida!$P$89,EXP(-E105*E2_tabla_vida!$X$90)*E2_tabla_vida!$P$90,EXP(-E105*E2_tabla_vida!$X$91)*E2_tabla_vida!$P$91,EXP(-E105*E2_tabla_vida!$X$92)*E2_tabla_vida!$P$92,EXP(-E105*E2_tabla_vida!$X$93)*E2_tabla_vida!$P$93,EXP(-E105*E2_tabla_vida!$X$94)*E2_tabla_vida!$P$94,EXP(-E105*E2_tabla_vida!$X$95)*E2_tabla_vida!$P$95,EXP(-E105*E2_tabla_vida!$X$96)*E2_tabla_vida!$P$96,EXP(-E105*E2_tabla_vida!$X$97)*E2_tabla_vida!$P$97,EXP(-E105*E2_tabla_vida!$X$98)*E2_tabla_vida!$P$98,EXP(-E105*E2_tabla_vida!$X$99)*E2_tabla_vida!$P$99,EXP(-E105*E2_tabla_vida!$X$100)*E2_tabla_vida!$P$100,EXP(-E105*E2_tabla_vida!$X$101)*E2_tabla_vida!$P$101,EXP(-E105*E2_tabla_vida!$X$102)*E2_tabla_vida!$P$102,EXP(-E105*E2_tabla_vida!$X$103)*E2_tabla_vida!$P$103,EXP(-E105*E2_tabla_vida!$X$104)*E2_tabla_vida!$P$104,EXP(-E105*E2_tabla_vida!$X$105)*E2_tabla_vida!$P$105,EXP(-E105*E2_tabla_vida!$X$106)*E2_tabla_vida!$P$106,EXP(-E105*E2_tabla_vida!$X$107)*E2_tabla_vida!$P$107,EXP(-E105*E2_tabla_vida!$X$108)*E2_tabla_vida!$P$108,EXP(-E105*E2_tabla_vida!$X$109)*E2_tabla_vida!$P$109,EXP(-E105*E2_tabla_vida!$X$110)*E2_tabla_vida!$P$110,EXP(-E105*E2_tabla_vida!$X$111)*E2_tabla_vida!$P$111,EXP(-E105*E2_tabla_vida!$X$112)*E2_tabla_vida!$P$112,EXP(-E105*E2_tabla_vida!$X$113)*E2_tabla_vida!$P$113,EXP(-E105*E2_tabla_vida!$X$114)*E2_tabla_vida!$P$114,EXP(-E105*E2_tabla_vida!$X$115)*E2_tabla_vida!$P$115,EXP(-E105*E2_tabla_vida!$X$116)*E2_tabla_vida!$P$116,EXP(-E105*E2_tabla_vida!$X$117)*E2_tabla_vida!$P$117,EXP(-E105*E2_tabla_vida!$X$118)*E2_tabla_vida!$P$118,EXP(-E105*E2_tabla_vida!$X$119)*E2_tabla_vida!$P$119,EXP(-E105*E2_tabla_vida!$X$120)*E2_tabla_vida!$P$120,EXP(-E105*E2_tabla_vida!$X$121)*E2_tabla_vida!$P$121,EXP(-E105*E2_tabla_vida!$X$122)*E2_tabla_vida!$P$122,EXP(-E105*E2_tabla_vida!$X$123)*E2_tabla_vida!$P$123,EXP(-E105*E2_tabla_vida!$X$124)*E2_tabla_vida!$P$124,EXP(-E105*E2_tabla_vida!$X$125)*E2_tabla_vida!$P$125,EXP(-E105*E2_tabla_vida!$X$126)*E2_tabla_vida!$P$126,EXP(-E105*E2_tabla_vida!$X$127)*E2_tabla_vida!$P$127)-1</x:f>
        <x:v>-0.010947852465793217</x:v>
      </x:c>
      <x:c r="G105" s="24" t="n">
        <x:f>SUM(EXP(-C105*E2_tabla_vida!$X$86)*E2_tabla_vida!$P$86,EXP(-C105*E2_tabla_vida!$X$87)*E2_tabla_vida!$P$87,EXP(-C105*E2_tabla_vida!$X$88)*E2_tabla_vida!$P$88,EXP(-C105*E2_tabla_vida!$X$89)*E2_tabla_vida!$P$89,EXP(-C105*E2_tabla_vida!$X$90)*E2_tabla_vida!$P$90,EXP(-C105*E2_tabla_vida!$X$91)*E2_tabla_vida!$P$91,EXP(-C105*E2_tabla_vida!$X$92)*E2_tabla_vida!$P$92,EXP(-C105*E2_tabla_vida!$X$93)*E2_tabla_vida!$P$93,EXP(-C105*E2_tabla_vida!$X$94)*E2_tabla_vida!$P$94,EXP(-C105*E2_tabla_vida!$X$95)*E2_tabla_vida!$P$95,EXP(-C105*E2_tabla_vida!$X$96)*E2_tabla_vida!$P$96,EXP(-C105*E2_tabla_vida!$X$97)*E2_tabla_vida!$P$97,EXP(-C105*E2_tabla_vida!$X$98)*E2_tabla_vida!$P$98,EXP(-C105*E2_tabla_vida!$X$99)*E2_tabla_vida!$P$99,EXP(-C105*E2_tabla_vida!$X$100)*E2_tabla_vida!$P$100,EXP(-C105*E2_tabla_vida!$X$101)*E2_tabla_vida!$P$101,EXP(-C105*E2_tabla_vida!$X$102)*E2_tabla_vida!$P$102,EXP(-C105*E2_tabla_vida!$X$103)*E2_tabla_vida!$P$103,EXP(-C105*E2_tabla_vida!$X$104)*E2_tabla_vida!$P$104,EXP(-C105*E2_tabla_vida!$X$105)*E2_tabla_vida!$P$105,EXP(-C105*E2_tabla_vida!$X$106)*E2_tabla_vida!$P$106,EXP(-C105*E2_tabla_vida!$X$107)*E2_tabla_vida!$P$107,EXP(-C105*E2_tabla_vida!$X$108)*E2_tabla_vida!$P$108,EXP(-C105*E2_tabla_vida!$X$109)*E2_tabla_vida!$P$109,EXP(-C105*E2_tabla_vida!$X$110)*E2_tabla_vida!$P$110,EXP(-C105*E2_tabla_vida!$X$111)*E2_tabla_vida!$P$111,EXP(-C105*E2_tabla_vida!$X$112)*E2_tabla_vida!$P$112,EXP(-C105*E2_tabla_vida!$X$113)*E2_tabla_vida!$P$113,EXP(-C105*E2_tabla_vida!$X$114)*E2_tabla_vida!$P$114,EXP(-C105*E2_tabla_vida!$X$115)*E2_tabla_vida!$P$115,EXP(-C105*E2_tabla_vida!$X$116)*E2_tabla_vida!$P$116,EXP(-C105*E2_tabla_vida!$X$117)*E2_tabla_vida!$P$117,EXP(-C105*E2_tabla_vida!$X$118)*E2_tabla_vida!$P$118,EXP(-C105*E2_tabla_vida!$X$119)*E2_tabla_vida!$P$119,EXP(-C105*E2_tabla_vida!$X$120)*E2_tabla_vida!$P$120,EXP(-C105*E2_tabla_vida!$X$121)*E2_tabla_vida!$P$121,EXP(-C105*E2_tabla_vida!$X$122)*E2_tabla_vida!$P$122,EXP(-C105*E2_tabla_vida!$X$123)*E2_tabla_vida!$P$123,EXP(-C105*E2_tabla_vida!$X$124)*E2_tabla_vida!$P$124,EXP(-C105*E2_tabla_vida!$X$125)*E2_tabla_vida!$P$125,EXP(-C105*E2_tabla_vida!$X$126)*E2_tabla_vida!$P$126,EXP(-C105*E2_tabla_vida!$X$127)*E2_tabla_vida!$P$127)-1</x:f>
        <x:v>0.0007626186465050644</x:v>
      </x:c>
      <x:c r="H105" s="24" t="n">
        <x:f>SUM(EXP(-D105*E2_tabla_vida!$X$86)*E2_tabla_vida!$P$86,EXP(-D105*E2_tabla_vida!$X$87)*E2_tabla_vida!$P$87,EXP(-D105*E2_tabla_vida!$X$88)*E2_tabla_vida!$P$88,EXP(-D105*E2_tabla_vida!$X$89)*E2_tabla_vida!$P$89,EXP(-D105*E2_tabla_vida!$X$90)*E2_tabla_vida!$P$90,EXP(-D105*E2_tabla_vida!$X$91)*E2_tabla_vida!$P$91,EXP(-D105*E2_tabla_vida!$X$92)*E2_tabla_vida!$P$92,EXP(-D105*E2_tabla_vida!$X$93)*E2_tabla_vida!$P$93,EXP(-D105*E2_tabla_vida!$X$94)*E2_tabla_vida!$P$94,EXP(-D105*E2_tabla_vida!$X$95)*E2_tabla_vida!$P$95,EXP(-D105*E2_tabla_vida!$X$96)*E2_tabla_vida!$P$96,EXP(-D105*E2_tabla_vida!$X$97)*E2_tabla_vida!$P$97,EXP(-D105*E2_tabla_vida!$X$98)*E2_tabla_vida!$P$98,EXP(-D105*E2_tabla_vida!$X$99)*E2_tabla_vida!$P$99,EXP(-D105*E2_tabla_vida!$X$100)*E2_tabla_vida!$P$100,EXP(-D105*E2_tabla_vida!$X$101)*E2_tabla_vida!$P$101,EXP(-D105*E2_tabla_vida!$X$102)*E2_tabla_vida!$P$102,EXP(-D105*E2_tabla_vida!$X$103)*E2_tabla_vida!$P$103,EXP(-D105*E2_tabla_vida!$X$104)*E2_tabla_vida!$P$104,EXP(-D105*E2_tabla_vida!$X$105)*E2_tabla_vida!$P$105,EXP(-D105*E2_tabla_vida!$X$106)*E2_tabla_vida!$P$106,EXP(-D105*E2_tabla_vida!$X$107)*E2_tabla_vida!$P$107,EXP(-D105*E2_tabla_vida!$X$108)*E2_tabla_vida!$P$108,EXP(-D105*E2_tabla_vida!$X$109)*E2_tabla_vida!$P$109,EXP(-D105*E2_tabla_vida!$X$110)*E2_tabla_vida!$P$110,EXP(-D105*E2_tabla_vida!$X$111)*E2_tabla_vida!$P$111,EXP(-D105*E2_tabla_vida!$X$112)*E2_tabla_vida!$P$112,EXP(-D105*E2_tabla_vida!$X$113)*E2_tabla_vida!$P$113,EXP(-D105*E2_tabla_vida!$X$114)*E2_tabla_vida!$P$114,EXP(-D105*E2_tabla_vida!$X$115)*E2_tabla_vida!$P$115,EXP(-D105*E2_tabla_vida!$X$116)*E2_tabla_vida!$P$116,EXP(-D105*E2_tabla_vida!$X$117)*E2_tabla_vida!$P$117,EXP(-D105*E2_tabla_vida!$X$118)*E2_tabla_vida!$P$118,EXP(-D105*E2_tabla_vida!$X$119)*E2_tabla_vida!$P$119,EXP(-D105*E2_tabla_vida!$X$120)*E2_tabla_vida!$P$120,EXP(-D105*E2_tabla_vida!$X$121)*E2_tabla_vida!$P$121,EXP(-D105*E2_tabla_vida!$X$122)*E2_tabla_vida!$P$122,EXP(-D105*E2_tabla_vida!$X$123)*E2_tabla_vida!$P$123,EXP(-D105*E2_tabla_vida!$X$124)*E2_tabla_vida!$P$124,EXP(-D105*E2_tabla_vida!$X$125)*E2_tabla_vida!$P$125,EXP(-D105*E2_tabla_vida!$X$126)*E2_tabla_vida!$P$126,EXP(-D105*E2_tabla_vida!$X$127)*E2_tabla_vida!$P$127)-1</x:f>
        <x:v>-0.022515742198820465</x:v>
      </x:c>
    </x:row>
    <x:row r="106" ht="19" customHeight="1">
      <x:c r="A106" s="2" t="str">
        <x:v>MP_L7</x:v>
      </x:c>
      <x:c r="B106" s="2" t="n">
        <x:v>12</x:v>
      </x:c>
      <x:c r="C106" s="22" t="n">
        <x:f>IF(F105&gt;0,E105,C105)</x:f>
        <x:v>0.17919921875</x:v>
      </x:c>
      <x:c r="D106" s="22" t="n">
        <x:f>IF(F105&gt;0,D105,E105)</x:f>
        <x:v>0.179931640625</x:v>
      </x:c>
      <x:c r="E106" s="22" t="n">
        <x:f>AVERAGE(C106:D106)</x:f>
        <x:v>0.1795654296875</x:v>
      </x:c>
      <x:c r="F106" s="24" t="n">
        <x:f>SUM(EXP(-E106*E2_tabla_vida!$X$86)*E2_tabla_vida!$P$86,EXP(-E106*E2_tabla_vida!$X$87)*E2_tabla_vida!$P$87,EXP(-E106*E2_tabla_vida!$X$88)*E2_tabla_vida!$P$88,EXP(-E106*E2_tabla_vida!$X$89)*E2_tabla_vida!$P$89,EXP(-E106*E2_tabla_vida!$X$90)*E2_tabla_vida!$P$90,EXP(-E106*E2_tabla_vida!$X$91)*E2_tabla_vida!$P$91,EXP(-E106*E2_tabla_vida!$X$92)*E2_tabla_vida!$P$92,EXP(-E106*E2_tabla_vida!$X$93)*E2_tabla_vida!$P$93,EXP(-E106*E2_tabla_vida!$X$94)*E2_tabla_vida!$P$94,EXP(-E106*E2_tabla_vida!$X$95)*E2_tabla_vida!$P$95,EXP(-E106*E2_tabla_vida!$X$96)*E2_tabla_vida!$P$96,EXP(-E106*E2_tabla_vida!$X$97)*E2_tabla_vida!$P$97,EXP(-E106*E2_tabla_vida!$X$98)*E2_tabla_vida!$P$98,EXP(-E106*E2_tabla_vida!$X$99)*E2_tabla_vida!$P$99,EXP(-E106*E2_tabla_vida!$X$100)*E2_tabla_vida!$P$100,EXP(-E106*E2_tabla_vida!$X$101)*E2_tabla_vida!$P$101,EXP(-E106*E2_tabla_vida!$X$102)*E2_tabla_vida!$P$102,EXP(-E106*E2_tabla_vida!$X$103)*E2_tabla_vida!$P$103,EXP(-E106*E2_tabla_vida!$X$104)*E2_tabla_vida!$P$104,EXP(-E106*E2_tabla_vida!$X$105)*E2_tabla_vida!$P$105,EXP(-E106*E2_tabla_vida!$X$106)*E2_tabla_vida!$P$106,EXP(-E106*E2_tabla_vida!$X$107)*E2_tabla_vida!$P$107,EXP(-E106*E2_tabla_vida!$X$108)*E2_tabla_vida!$P$108,EXP(-E106*E2_tabla_vida!$X$109)*E2_tabla_vida!$P$109,EXP(-E106*E2_tabla_vida!$X$110)*E2_tabla_vida!$P$110,EXP(-E106*E2_tabla_vida!$X$111)*E2_tabla_vida!$P$111,EXP(-E106*E2_tabla_vida!$X$112)*E2_tabla_vida!$P$112,EXP(-E106*E2_tabla_vida!$X$113)*E2_tabla_vida!$P$113,EXP(-E106*E2_tabla_vida!$X$114)*E2_tabla_vida!$P$114,EXP(-E106*E2_tabla_vida!$X$115)*E2_tabla_vida!$P$115,EXP(-E106*E2_tabla_vida!$X$116)*E2_tabla_vida!$P$116,EXP(-E106*E2_tabla_vida!$X$117)*E2_tabla_vida!$P$117,EXP(-E106*E2_tabla_vida!$X$118)*E2_tabla_vida!$P$118,EXP(-E106*E2_tabla_vida!$X$119)*E2_tabla_vida!$P$119,EXP(-E106*E2_tabla_vida!$X$120)*E2_tabla_vida!$P$120,EXP(-E106*E2_tabla_vida!$X$121)*E2_tabla_vida!$P$121,EXP(-E106*E2_tabla_vida!$X$122)*E2_tabla_vida!$P$122,EXP(-E106*E2_tabla_vida!$X$123)*E2_tabla_vida!$P$123,EXP(-E106*E2_tabla_vida!$X$124)*E2_tabla_vida!$P$124,EXP(-E106*E2_tabla_vida!$X$125)*E2_tabla_vida!$P$125,EXP(-E106*E2_tabla_vida!$X$126)*E2_tabla_vida!$P$126,EXP(-E106*E2_tabla_vida!$X$127)*E2_tabla_vida!$P$127)-1</x:f>
        <x:v>-0.00511055360624757</x:v>
      </x:c>
      <x:c r="G106" s="24" t="n">
        <x:f>SUM(EXP(-C106*E2_tabla_vida!$X$86)*E2_tabla_vida!$P$86,EXP(-C106*E2_tabla_vida!$X$87)*E2_tabla_vida!$P$87,EXP(-C106*E2_tabla_vida!$X$88)*E2_tabla_vida!$P$88,EXP(-C106*E2_tabla_vida!$X$89)*E2_tabla_vida!$P$89,EXP(-C106*E2_tabla_vida!$X$90)*E2_tabla_vida!$P$90,EXP(-C106*E2_tabla_vida!$X$91)*E2_tabla_vida!$P$91,EXP(-C106*E2_tabla_vida!$X$92)*E2_tabla_vida!$P$92,EXP(-C106*E2_tabla_vida!$X$93)*E2_tabla_vida!$P$93,EXP(-C106*E2_tabla_vida!$X$94)*E2_tabla_vida!$P$94,EXP(-C106*E2_tabla_vida!$X$95)*E2_tabla_vida!$P$95,EXP(-C106*E2_tabla_vida!$X$96)*E2_tabla_vida!$P$96,EXP(-C106*E2_tabla_vida!$X$97)*E2_tabla_vida!$P$97,EXP(-C106*E2_tabla_vida!$X$98)*E2_tabla_vida!$P$98,EXP(-C106*E2_tabla_vida!$X$99)*E2_tabla_vida!$P$99,EXP(-C106*E2_tabla_vida!$X$100)*E2_tabla_vida!$P$100,EXP(-C106*E2_tabla_vida!$X$101)*E2_tabla_vida!$P$101,EXP(-C106*E2_tabla_vida!$X$102)*E2_tabla_vida!$P$102,EXP(-C106*E2_tabla_vida!$X$103)*E2_tabla_vida!$P$103,EXP(-C106*E2_tabla_vida!$X$104)*E2_tabla_vida!$P$104,EXP(-C106*E2_tabla_vida!$X$105)*E2_tabla_vida!$P$105,EXP(-C106*E2_tabla_vida!$X$106)*E2_tabla_vida!$P$106,EXP(-C106*E2_tabla_vida!$X$107)*E2_tabla_vida!$P$107,EXP(-C106*E2_tabla_vida!$X$108)*E2_tabla_vida!$P$108,EXP(-C106*E2_tabla_vida!$X$109)*E2_tabla_vida!$P$109,EXP(-C106*E2_tabla_vida!$X$110)*E2_tabla_vida!$P$110,EXP(-C106*E2_tabla_vida!$X$111)*E2_tabla_vida!$P$111,EXP(-C106*E2_tabla_vida!$X$112)*E2_tabla_vida!$P$112,EXP(-C106*E2_tabla_vida!$X$113)*E2_tabla_vida!$P$113,EXP(-C106*E2_tabla_vida!$X$114)*E2_tabla_vida!$P$114,EXP(-C106*E2_tabla_vida!$X$115)*E2_tabla_vida!$P$115,EXP(-C106*E2_tabla_vida!$X$116)*E2_tabla_vida!$P$116,EXP(-C106*E2_tabla_vida!$X$117)*E2_tabla_vida!$P$117,EXP(-C106*E2_tabla_vida!$X$118)*E2_tabla_vida!$P$118,EXP(-C106*E2_tabla_vida!$X$119)*E2_tabla_vida!$P$119,EXP(-C106*E2_tabla_vida!$X$120)*E2_tabla_vida!$P$120,EXP(-C106*E2_tabla_vida!$X$121)*E2_tabla_vida!$P$121,EXP(-C106*E2_tabla_vida!$X$122)*E2_tabla_vida!$P$122,EXP(-C106*E2_tabla_vida!$X$123)*E2_tabla_vida!$P$123,EXP(-C106*E2_tabla_vida!$X$124)*E2_tabla_vida!$P$124,EXP(-C106*E2_tabla_vida!$X$125)*E2_tabla_vida!$P$125,EXP(-C106*E2_tabla_vida!$X$126)*E2_tabla_vida!$P$126,EXP(-C106*E2_tabla_vida!$X$127)*E2_tabla_vida!$P$127)-1</x:f>
        <x:v>0.0007626186465050644</x:v>
      </x:c>
      <x:c r="H106" s="24" t="n">
        <x:f>SUM(EXP(-D106*E2_tabla_vida!$X$86)*E2_tabla_vida!$P$86,EXP(-D106*E2_tabla_vida!$X$87)*E2_tabla_vida!$P$87,EXP(-D106*E2_tabla_vida!$X$88)*E2_tabla_vida!$P$88,EXP(-D106*E2_tabla_vida!$X$89)*E2_tabla_vida!$P$89,EXP(-D106*E2_tabla_vida!$X$90)*E2_tabla_vida!$P$90,EXP(-D106*E2_tabla_vida!$X$91)*E2_tabla_vida!$P$91,EXP(-D106*E2_tabla_vida!$X$92)*E2_tabla_vida!$P$92,EXP(-D106*E2_tabla_vida!$X$93)*E2_tabla_vida!$P$93,EXP(-D106*E2_tabla_vida!$X$94)*E2_tabla_vida!$P$94,EXP(-D106*E2_tabla_vida!$X$95)*E2_tabla_vida!$P$95,EXP(-D106*E2_tabla_vida!$X$96)*E2_tabla_vida!$P$96,EXP(-D106*E2_tabla_vida!$X$97)*E2_tabla_vida!$P$97,EXP(-D106*E2_tabla_vida!$X$98)*E2_tabla_vida!$P$98,EXP(-D106*E2_tabla_vida!$X$99)*E2_tabla_vida!$P$99,EXP(-D106*E2_tabla_vida!$X$100)*E2_tabla_vida!$P$100,EXP(-D106*E2_tabla_vida!$X$101)*E2_tabla_vida!$P$101,EXP(-D106*E2_tabla_vida!$X$102)*E2_tabla_vida!$P$102,EXP(-D106*E2_tabla_vida!$X$103)*E2_tabla_vida!$P$103,EXP(-D106*E2_tabla_vida!$X$104)*E2_tabla_vida!$P$104,EXP(-D106*E2_tabla_vida!$X$105)*E2_tabla_vida!$P$105,EXP(-D106*E2_tabla_vida!$X$106)*E2_tabla_vida!$P$106,EXP(-D106*E2_tabla_vida!$X$107)*E2_tabla_vida!$P$107,EXP(-D106*E2_tabla_vida!$X$108)*E2_tabla_vida!$P$108,EXP(-D106*E2_tabla_vida!$X$109)*E2_tabla_vida!$P$109,EXP(-D106*E2_tabla_vida!$X$110)*E2_tabla_vida!$P$110,EXP(-D106*E2_tabla_vida!$X$111)*E2_tabla_vida!$P$111,EXP(-D106*E2_tabla_vida!$X$112)*E2_tabla_vida!$P$112,EXP(-D106*E2_tabla_vida!$X$113)*E2_tabla_vida!$P$113,EXP(-D106*E2_tabla_vida!$X$114)*E2_tabla_vida!$P$114,EXP(-D106*E2_tabla_vida!$X$115)*E2_tabla_vida!$P$115,EXP(-D106*E2_tabla_vida!$X$116)*E2_tabla_vida!$P$116,EXP(-D106*E2_tabla_vida!$X$117)*E2_tabla_vida!$P$117,EXP(-D106*E2_tabla_vida!$X$118)*E2_tabla_vida!$P$118,EXP(-D106*E2_tabla_vida!$X$119)*E2_tabla_vida!$P$119,EXP(-D106*E2_tabla_vida!$X$120)*E2_tabla_vida!$P$120,EXP(-D106*E2_tabla_vida!$X$121)*E2_tabla_vida!$P$121,EXP(-D106*E2_tabla_vida!$X$122)*E2_tabla_vida!$P$122,EXP(-D106*E2_tabla_vida!$X$123)*E2_tabla_vida!$P$123,EXP(-D106*E2_tabla_vida!$X$124)*E2_tabla_vida!$P$124,EXP(-D106*E2_tabla_vida!$X$125)*E2_tabla_vida!$P$125,EXP(-D106*E2_tabla_vida!$X$126)*E2_tabla_vida!$P$126,EXP(-D106*E2_tabla_vida!$X$127)*E2_tabla_vida!$P$127)-1</x:f>
        <x:v>-0.010947852465793217</x:v>
      </x:c>
    </x:row>
    <x:row r="107" ht="19" customHeight="1">
      <x:c r="A107" s="2" t="str">
        <x:v>MP_L7</x:v>
      </x:c>
      <x:c r="B107" s="2" t="n">
        <x:v>13</x:v>
      </x:c>
      <x:c r="C107" s="22" t="n">
        <x:f>IF(F106&gt;0,E106,C106)</x:f>
        <x:v>0.17919921875</x:v>
      </x:c>
      <x:c r="D107" s="22" t="n">
        <x:f>IF(F106&gt;0,D106,E106)</x:f>
        <x:v>0.1795654296875</x:v>
      </x:c>
      <x:c r="E107" s="22" t="n">
        <x:f>AVERAGE(C107:D107)</x:f>
        <x:v>0.17938232421875</x:v>
      </x:c>
      <x:c r="F107" s="24" t="n">
        <x:f>SUM(EXP(-E107*E2_tabla_vida!$X$86)*E2_tabla_vida!$P$86,EXP(-E107*E2_tabla_vida!$X$87)*E2_tabla_vida!$P$87,EXP(-E107*E2_tabla_vida!$X$88)*E2_tabla_vida!$P$88,EXP(-E107*E2_tabla_vida!$X$89)*E2_tabla_vida!$P$89,EXP(-E107*E2_tabla_vida!$X$90)*E2_tabla_vida!$P$90,EXP(-E107*E2_tabla_vida!$X$91)*E2_tabla_vida!$P$91,EXP(-E107*E2_tabla_vida!$X$92)*E2_tabla_vida!$P$92,EXP(-E107*E2_tabla_vida!$X$93)*E2_tabla_vida!$P$93,EXP(-E107*E2_tabla_vida!$X$94)*E2_tabla_vida!$P$94,EXP(-E107*E2_tabla_vida!$X$95)*E2_tabla_vida!$P$95,EXP(-E107*E2_tabla_vida!$X$96)*E2_tabla_vida!$P$96,EXP(-E107*E2_tabla_vida!$X$97)*E2_tabla_vida!$P$97,EXP(-E107*E2_tabla_vida!$X$98)*E2_tabla_vida!$P$98,EXP(-E107*E2_tabla_vida!$X$99)*E2_tabla_vida!$P$99,EXP(-E107*E2_tabla_vida!$X$100)*E2_tabla_vida!$P$100,EXP(-E107*E2_tabla_vida!$X$101)*E2_tabla_vida!$P$101,EXP(-E107*E2_tabla_vida!$X$102)*E2_tabla_vida!$P$102,EXP(-E107*E2_tabla_vida!$X$103)*E2_tabla_vida!$P$103,EXP(-E107*E2_tabla_vida!$X$104)*E2_tabla_vida!$P$104,EXP(-E107*E2_tabla_vida!$X$105)*E2_tabla_vida!$P$105,EXP(-E107*E2_tabla_vida!$X$106)*E2_tabla_vida!$P$106,EXP(-E107*E2_tabla_vida!$X$107)*E2_tabla_vida!$P$107,EXP(-E107*E2_tabla_vida!$X$108)*E2_tabla_vida!$P$108,EXP(-E107*E2_tabla_vida!$X$109)*E2_tabla_vida!$P$109,EXP(-E107*E2_tabla_vida!$X$110)*E2_tabla_vida!$P$110,EXP(-E107*E2_tabla_vida!$X$111)*E2_tabla_vida!$P$111,EXP(-E107*E2_tabla_vida!$X$112)*E2_tabla_vida!$P$112,EXP(-E107*E2_tabla_vida!$X$113)*E2_tabla_vida!$P$113,EXP(-E107*E2_tabla_vida!$X$114)*E2_tabla_vida!$P$114,EXP(-E107*E2_tabla_vida!$X$115)*E2_tabla_vida!$P$115,EXP(-E107*E2_tabla_vida!$X$116)*E2_tabla_vida!$P$116,EXP(-E107*E2_tabla_vida!$X$117)*E2_tabla_vida!$P$117,EXP(-E107*E2_tabla_vida!$X$118)*E2_tabla_vida!$P$118,EXP(-E107*E2_tabla_vida!$X$119)*E2_tabla_vida!$P$119,EXP(-E107*E2_tabla_vida!$X$120)*E2_tabla_vida!$P$120,EXP(-E107*E2_tabla_vida!$X$121)*E2_tabla_vida!$P$121,EXP(-E107*E2_tabla_vida!$X$122)*E2_tabla_vida!$P$122,EXP(-E107*E2_tabla_vida!$X$123)*E2_tabla_vida!$P$123,EXP(-E107*E2_tabla_vida!$X$124)*E2_tabla_vida!$P$124,EXP(-E107*E2_tabla_vida!$X$125)*E2_tabla_vida!$P$125,EXP(-E107*E2_tabla_vida!$X$126)*E2_tabla_vida!$P$126,EXP(-E107*E2_tabla_vida!$X$127)*E2_tabla_vida!$P$127)-1</x:f>
        <x:v>-0.0021784659903363313</x:v>
      </x:c>
      <x:c r="G107" s="24" t="n">
        <x:f>SUM(EXP(-C107*E2_tabla_vida!$X$86)*E2_tabla_vida!$P$86,EXP(-C107*E2_tabla_vida!$X$87)*E2_tabla_vida!$P$87,EXP(-C107*E2_tabla_vida!$X$88)*E2_tabla_vida!$P$88,EXP(-C107*E2_tabla_vida!$X$89)*E2_tabla_vida!$P$89,EXP(-C107*E2_tabla_vida!$X$90)*E2_tabla_vida!$P$90,EXP(-C107*E2_tabla_vida!$X$91)*E2_tabla_vida!$P$91,EXP(-C107*E2_tabla_vida!$X$92)*E2_tabla_vida!$P$92,EXP(-C107*E2_tabla_vida!$X$93)*E2_tabla_vida!$P$93,EXP(-C107*E2_tabla_vida!$X$94)*E2_tabla_vida!$P$94,EXP(-C107*E2_tabla_vida!$X$95)*E2_tabla_vida!$P$95,EXP(-C107*E2_tabla_vida!$X$96)*E2_tabla_vida!$P$96,EXP(-C107*E2_tabla_vida!$X$97)*E2_tabla_vida!$P$97,EXP(-C107*E2_tabla_vida!$X$98)*E2_tabla_vida!$P$98,EXP(-C107*E2_tabla_vida!$X$99)*E2_tabla_vida!$P$99,EXP(-C107*E2_tabla_vida!$X$100)*E2_tabla_vida!$P$100,EXP(-C107*E2_tabla_vida!$X$101)*E2_tabla_vida!$P$101,EXP(-C107*E2_tabla_vida!$X$102)*E2_tabla_vida!$P$102,EXP(-C107*E2_tabla_vida!$X$103)*E2_tabla_vida!$P$103,EXP(-C107*E2_tabla_vida!$X$104)*E2_tabla_vida!$P$104,EXP(-C107*E2_tabla_vida!$X$105)*E2_tabla_vida!$P$105,EXP(-C107*E2_tabla_vida!$X$106)*E2_tabla_vida!$P$106,EXP(-C107*E2_tabla_vida!$X$107)*E2_tabla_vida!$P$107,EXP(-C107*E2_tabla_vida!$X$108)*E2_tabla_vida!$P$108,EXP(-C107*E2_tabla_vida!$X$109)*E2_tabla_vida!$P$109,EXP(-C107*E2_tabla_vida!$X$110)*E2_tabla_vida!$P$110,EXP(-C107*E2_tabla_vida!$X$111)*E2_tabla_vida!$P$111,EXP(-C107*E2_tabla_vida!$X$112)*E2_tabla_vida!$P$112,EXP(-C107*E2_tabla_vida!$X$113)*E2_tabla_vida!$P$113,EXP(-C107*E2_tabla_vida!$X$114)*E2_tabla_vida!$P$114,EXP(-C107*E2_tabla_vida!$X$115)*E2_tabla_vida!$P$115,EXP(-C107*E2_tabla_vida!$X$116)*E2_tabla_vida!$P$116,EXP(-C107*E2_tabla_vida!$X$117)*E2_tabla_vida!$P$117,EXP(-C107*E2_tabla_vida!$X$118)*E2_tabla_vida!$P$118,EXP(-C107*E2_tabla_vida!$X$119)*E2_tabla_vida!$P$119,EXP(-C107*E2_tabla_vida!$X$120)*E2_tabla_vida!$P$120,EXP(-C107*E2_tabla_vida!$X$121)*E2_tabla_vida!$P$121,EXP(-C107*E2_tabla_vida!$X$122)*E2_tabla_vida!$P$122,EXP(-C107*E2_tabla_vida!$X$123)*E2_tabla_vida!$P$123,EXP(-C107*E2_tabla_vida!$X$124)*E2_tabla_vida!$P$124,EXP(-C107*E2_tabla_vida!$X$125)*E2_tabla_vida!$P$125,EXP(-C107*E2_tabla_vida!$X$126)*E2_tabla_vida!$P$126,EXP(-C107*E2_tabla_vida!$X$127)*E2_tabla_vida!$P$127)-1</x:f>
        <x:v>0.0007626186465050644</x:v>
      </x:c>
      <x:c r="H107" s="24" t="n">
        <x:f>SUM(EXP(-D107*E2_tabla_vida!$X$86)*E2_tabla_vida!$P$86,EXP(-D107*E2_tabla_vida!$X$87)*E2_tabla_vida!$P$87,EXP(-D107*E2_tabla_vida!$X$88)*E2_tabla_vida!$P$88,EXP(-D107*E2_tabla_vida!$X$89)*E2_tabla_vida!$P$89,EXP(-D107*E2_tabla_vida!$X$90)*E2_tabla_vida!$P$90,EXP(-D107*E2_tabla_vida!$X$91)*E2_tabla_vida!$P$91,EXP(-D107*E2_tabla_vida!$X$92)*E2_tabla_vida!$P$92,EXP(-D107*E2_tabla_vida!$X$93)*E2_tabla_vida!$P$93,EXP(-D107*E2_tabla_vida!$X$94)*E2_tabla_vida!$P$94,EXP(-D107*E2_tabla_vida!$X$95)*E2_tabla_vida!$P$95,EXP(-D107*E2_tabla_vida!$X$96)*E2_tabla_vida!$P$96,EXP(-D107*E2_tabla_vida!$X$97)*E2_tabla_vida!$P$97,EXP(-D107*E2_tabla_vida!$X$98)*E2_tabla_vida!$P$98,EXP(-D107*E2_tabla_vida!$X$99)*E2_tabla_vida!$P$99,EXP(-D107*E2_tabla_vida!$X$100)*E2_tabla_vida!$P$100,EXP(-D107*E2_tabla_vida!$X$101)*E2_tabla_vida!$P$101,EXP(-D107*E2_tabla_vida!$X$102)*E2_tabla_vida!$P$102,EXP(-D107*E2_tabla_vida!$X$103)*E2_tabla_vida!$P$103,EXP(-D107*E2_tabla_vida!$X$104)*E2_tabla_vida!$P$104,EXP(-D107*E2_tabla_vida!$X$105)*E2_tabla_vida!$P$105,EXP(-D107*E2_tabla_vida!$X$106)*E2_tabla_vida!$P$106,EXP(-D107*E2_tabla_vida!$X$107)*E2_tabla_vida!$P$107,EXP(-D107*E2_tabla_vida!$X$108)*E2_tabla_vida!$P$108,EXP(-D107*E2_tabla_vida!$X$109)*E2_tabla_vida!$P$109,EXP(-D107*E2_tabla_vida!$X$110)*E2_tabla_vida!$P$110,EXP(-D107*E2_tabla_vida!$X$111)*E2_tabla_vida!$P$111,EXP(-D107*E2_tabla_vida!$X$112)*E2_tabla_vida!$P$112,EXP(-D107*E2_tabla_vida!$X$113)*E2_tabla_vida!$P$113,EXP(-D107*E2_tabla_vida!$X$114)*E2_tabla_vida!$P$114,EXP(-D107*E2_tabla_vida!$X$115)*E2_tabla_vida!$P$115,EXP(-D107*E2_tabla_vida!$X$116)*E2_tabla_vida!$P$116,EXP(-D107*E2_tabla_vida!$X$117)*E2_tabla_vida!$P$117,EXP(-D107*E2_tabla_vida!$X$118)*E2_tabla_vida!$P$118,EXP(-D107*E2_tabla_vida!$X$119)*E2_tabla_vida!$P$119,EXP(-D107*E2_tabla_vida!$X$120)*E2_tabla_vida!$P$120,EXP(-D107*E2_tabla_vida!$X$121)*E2_tabla_vida!$P$121,EXP(-D107*E2_tabla_vida!$X$122)*E2_tabla_vida!$P$122,EXP(-D107*E2_tabla_vida!$X$123)*E2_tabla_vida!$P$123,EXP(-D107*E2_tabla_vida!$X$124)*E2_tabla_vida!$P$124,EXP(-D107*E2_tabla_vida!$X$125)*E2_tabla_vida!$P$125,EXP(-D107*E2_tabla_vida!$X$126)*E2_tabla_vida!$P$126,EXP(-D107*E2_tabla_vida!$X$127)*E2_tabla_vida!$P$127)-1</x:f>
        <x:v>-0.00511055360624757</x:v>
      </x:c>
    </x:row>
    <x:row r="108" ht="19" customHeight="1">
      <x:c r="A108" s="2" t="str">
        <x:v>MP_L7</x:v>
      </x:c>
      <x:c r="B108" s="2" t="n">
        <x:v>14</x:v>
      </x:c>
      <x:c r="C108" s="22" t="n">
        <x:f>IF(F107&gt;0,E107,C107)</x:f>
        <x:v>0.17919921875</x:v>
      </x:c>
      <x:c r="D108" s="22" t="n">
        <x:f>IF(F107&gt;0,D107,E107)</x:f>
        <x:v>0.17938232421875</x:v>
      </x:c>
      <x:c r="E108" s="22" t="n">
        <x:f>AVERAGE(C108:D108)</x:f>
        <x:v>0.179290771484375</x:v>
      </x:c>
      <x:c r="F108" s="24" t="n">
        <x:f>SUM(EXP(-E108*E2_tabla_vida!$X$86)*E2_tabla_vida!$P$86,EXP(-E108*E2_tabla_vida!$X$87)*E2_tabla_vida!$P$87,EXP(-E108*E2_tabla_vida!$X$88)*E2_tabla_vida!$P$88,EXP(-E108*E2_tabla_vida!$X$89)*E2_tabla_vida!$P$89,EXP(-E108*E2_tabla_vida!$X$90)*E2_tabla_vida!$P$90,EXP(-E108*E2_tabla_vida!$X$91)*E2_tabla_vida!$P$91,EXP(-E108*E2_tabla_vida!$X$92)*E2_tabla_vida!$P$92,EXP(-E108*E2_tabla_vida!$X$93)*E2_tabla_vida!$P$93,EXP(-E108*E2_tabla_vida!$X$94)*E2_tabla_vida!$P$94,EXP(-E108*E2_tabla_vida!$X$95)*E2_tabla_vida!$P$95,EXP(-E108*E2_tabla_vida!$X$96)*E2_tabla_vida!$P$96,EXP(-E108*E2_tabla_vida!$X$97)*E2_tabla_vida!$P$97,EXP(-E108*E2_tabla_vida!$X$98)*E2_tabla_vida!$P$98,EXP(-E108*E2_tabla_vida!$X$99)*E2_tabla_vida!$P$99,EXP(-E108*E2_tabla_vida!$X$100)*E2_tabla_vida!$P$100,EXP(-E108*E2_tabla_vida!$X$101)*E2_tabla_vida!$P$101,EXP(-E108*E2_tabla_vida!$X$102)*E2_tabla_vida!$P$102,EXP(-E108*E2_tabla_vida!$X$103)*E2_tabla_vida!$P$103,EXP(-E108*E2_tabla_vida!$X$104)*E2_tabla_vida!$P$104,EXP(-E108*E2_tabla_vida!$X$105)*E2_tabla_vida!$P$105,EXP(-E108*E2_tabla_vida!$X$106)*E2_tabla_vida!$P$106,EXP(-E108*E2_tabla_vida!$X$107)*E2_tabla_vida!$P$107,EXP(-E108*E2_tabla_vida!$X$108)*E2_tabla_vida!$P$108,EXP(-E108*E2_tabla_vida!$X$109)*E2_tabla_vida!$P$109,EXP(-E108*E2_tabla_vida!$X$110)*E2_tabla_vida!$P$110,EXP(-E108*E2_tabla_vida!$X$111)*E2_tabla_vida!$P$111,EXP(-E108*E2_tabla_vida!$X$112)*E2_tabla_vida!$P$112,EXP(-E108*E2_tabla_vida!$X$113)*E2_tabla_vida!$P$113,EXP(-E108*E2_tabla_vida!$X$114)*E2_tabla_vida!$P$114,EXP(-E108*E2_tabla_vida!$X$115)*E2_tabla_vida!$P$115,EXP(-E108*E2_tabla_vida!$X$116)*E2_tabla_vida!$P$116,EXP(-E108*E2_tabla_vida!$X$117)*E2_tabla_vida!$P$117,EXP(-E108*E2_tabla_vida!$X$118)*E2_tabla_vida!$P$118,EXP(-E108*E2_tabla_vida!$X$119)*E2_tabla_vida!$P$119,EXP(-E108*E2_tabla_vida!$X$120)*E2_tabla_vida!$P$120,EXP(-E108*E2_tabla_vida!$X$121)*E2_tabla_vida!$P$121,EXP(-E108*E2_tabla_vida!$X$122)*E2_tabla_vida!$P$122,EXP(-E108*E2_tabla_vida!$X$123)*E2_tabla_vida!$P$123,EXP(-E108*E2_tabla_vida!$X$124)*E2_tabla_vida!$P$124,EXP(-E108*E2_tabla_vida!$X$125)*E2_tabla_vida!$P$125,EXP(-E108*E2_tabla_vida!$X$126)*E2_tabla_vida!$P$126,EXP(-E108*E2_tabla_vida!$X$127)*E2_tabla_vida!$P$127)-1</x:f>
        <x:v>-0.0007090500968039981</x:v>
      </x:c>
      <x:c r="G108" s="24" t="n">
        <x:f>SUM(EXP(-C108*E2_tabla_vida!$X$86)*E2_tabla_vida!$P$86,EXP(-C108*E2_tabla_vida!$X$87)*E2_tabla_vida!$P$87,EXP(-C108*E2_tabla_vida!$X$88)*E2_tabla_vida!$P$88,EXP(-C108*E2_tabla_vida!$X$89)*E2_tabla_vida!$P$89,EXP(-C108*E2_tabla_vida!$X$90)*E2_tabla_vida!$P$90,EXP(-C108*E2_tabla_vida!$X$91)*E2_tabla_vida!$P$91,EXP(-C108*E2_tabla_vida!$X$92)*E2_tabla_vida!$P$92,EXP(-C108*E2_tabla_vida!$X$93)*E2_tabla_vida!$P$93,EXP(-C108*E2_tabla_vida!$X$94)*E2_tabla_vida!$P$94,EXP(-C108*E2_tabla_vida!$X$95)*E2_tabla_vida!$P$95,EXP(-C108*E2_tabla_vida!$X$96)*E2_tabla_vida!$P$96,EXP(-C108*E2_tabla_vida!$X$97)*E2_tabla_vida!$P$97,EXP(-C108*E2_tabla_vida!$X$98)*E2_tabla_vida!$P$98,EXP(-C108*E2_tabla_vida!$X$99)*E2_tabla_vida!$P$99,EXP(-C108*E2_tabla_vida!$X$100)*E2_tabla_vida!$P$100,EXP(-C108*E2_tabla_vida!$X$101)*E2_tabla_vida!$P$101,EXP(-C108*E2_tabla_vida!$X$102)*E2_tabla_vida!$P$102,EXP(-C108*E2_tabla_vida!$X$103)*E2_tabla_vida!$P$103,EXP(-C108*E2_tabla_vida!$X$104)*E2_tabla_vida!$P$104,EXP(-C108*E2_tabla_vida!$X$105)*E2_tabla_vida!$P$105,EXP(-C108*E2_tabla_vida!$X$106)*E2_tabla_vida!$P$106,EXP(-C108*E2_tabla_vida!$X$107)*E2_tabla_vida!$P$107,EXP(-C108*E2_tabla_vida!$X$108)*E2_tabla_vida!$P$108,EXP(-C108*E2_tabla_vida!$X$109)*E2_tabla_vida!$P$109,EXP(-C108*E2_tabla_vida!$X$110)*E2_tabla_vida!$P$110,EXP(-C108*E2_tabla_vida!$X$111)*E2_tabla_vida!$P$111,EXP(-C108*E2_tabla_vida!$X$112)*E2_tabla_vida!$P$112,EXP(-C108*E2_tabla_vida!$X$113)*E2_tabla_vida!$P$113,EXP(-C108*E2_tabla_vida!$X$114)*E2_tabla_vida!$P$114,EXP(-C108*E2_tabla_vida!$X$115)*E2_tabla_vida!$P$115,EXP(-C108*E2_tabla_vida!$X$116)*E2_tabla_vida!$P$116,EXP(-C108*E2_tabla_vida!$X$117)*E2_tabla_vida!$P$117,EXP(-C108*E2_tabla_vida!$X$118)*E2_tabla_vida!$P$118,EXP(-C108*E2_tabla_vida!$X$119)*E2_tabla_vida!$P$119,EXP(-C108*E2_tabla_vida!$X$120)*E2_tabla_vida!$P$120,EXP(-C108*E2_tabla_vida!$X$121)*E2_tabla_vida!$P$121,EXP(-C108*E2_tabla_vida!$X$122)*E2_tabla_vida!$P$122,EXP(-C108*E2_tabla_vida!$X$123)*E2_tabla_vida!$P$123,EXP(-C108*E2_tabla_vida!$X$124)*E2_tabla_vida!$P$124,EXP(-C108*E2_tabla_vida!$X$125)*E2_tabla_vida!$P$125,EXP(-C108*E2_tabla_vida!$X$126)*E2_tabla_vida!$P$126,EXP(-C108*E2_tabla_vida!$X$127)*E2_tabla_vida!$P$127)-1</x:f>
        <x:v>0.0007626186465050644</x:v>
      </x:c>
      <x:c r="H108" s="24" t="n">
        <x:f>SUM(EXP(-D108*E2_tabla_vida!$X$86)*E2_tabla_vida!$P$86,EXP(-D108*E2_tabla_vida!$X$87)*E2_tabla_vida!$P$87,EXP(-D108*E2_tabla_vida!$X$88)*E2_tabla_vida!$P$88,EXP(-D108*E2_tabla_vida!$X$89)*E2_tabla_vida!$P$89,EXP(-D108*E2_tabla_vida!$X$90)*E2_tabla_vida!$P$90,EXP(-D108*E2_tabla_vida!$X$91)*E2_tabla_vida!$P$91,EXP(-D108*E2_tabla_vida!$X$92)*E2_tabla_vida!$P$92,EXP(-D108*E2_tabla_vida!$X$93)*E2_tabla_vida!$P$93,EXP(-D108*E2_tabla_vida!$X$94)*E2_tabla_vida!$P$94,EXP(-D108*E2_tabla_vida!$X$95)*E2_tabla_vida!$P$95,EXP(-D108*E2_tabla_vida!$X$96)*E2_tabla_vida!$P$96,EXP(-D108*E2_tabla_vida!$X$97)*E2_tabla_vida!$P$97,EXP(-D108*E2_tabla_vida!$X$98)*E2_tabla_vida!$P$98,EXP(-D108*E2_tabla_vida!$X$99)*E2_tabla_vida!$P$99,EXP(-D108*E2_tabla_vida!$X$100)*E2_tabla_vida!$P$100,EXP(-D108*E2_tabla_vida!$X$101)*E2_tabla_vida!$P$101,EXP(-D108*E2_tabla_vida!$X$102)*E2_tabla_vida!$P$102,EXP(-D108*E2_tabla_vida!$X$103)*E2_tabla_vida!$P$103,EXP(-D108*E2_tabla_vida!$X$104)*E2_tabla_vida!$P$104,EXP(-D108*E2_tabla_vida!$X$105)*E2_tabla_vida!$P$105,EXP(-D108*E2_tabla_vida!$X$106)*E2_tabla_vida!$P$106,EXP(-D108*E2_tabla_vida!$X$107)*E2_tabla_vida!$P$107,EXP(-D108*E2_tabla_vida!$X$108)*E2_tabla_vida!$P$108,EXP(-D108*E2_tabla_vida!$X$109)*E2_tabla_vida!$P$109,EXP(-D108*E2_tabla_vida!$X$110)*E2_tabla_vida!$P$110,EXP(-D108*E2_tabla_vida!$X$111)*E2_tabla_vida!$P$111,EXP(-D108*E2_tabla_vida!$X$112)*E2_tabla_vida!$P$112,EXP(-D108*E2_tabla_vida!$X$113)*E2_tabla_vida!$P$113,EXP(-D108*E2_tabla_vida!$X$114)*E2_tabla_vida!$P$114,EXP(-D108*E2_tabla_vida!$X$115)*E2_tabla_vida!$P$115,EXP(-D108*E2_tabla_vida!$X$116)*E2_tabla_vida!$P$116,EXP(-D108*E2_tabla_vida!$X$117)*E2_tabla_vida!$P$117,EXP(-D108*E2_tabla_vida!$X$118)*E2_tabla_vida!$P$118,EXP(-D108*E2_tabla_vida!$X$119)*E2_tabla_vida!$P$119,EXP(-D108*E2_tabla_vida!$X$120)*E2_tabla_vida!$P$120,EXP(-D108*E2_tabla_vida!$X$121)*E2_tabla_vida!$P$121,EXP(-D108*E2_tabla_vida!$X$122)*E2_tabla_vida!$P$122,EXP(-D108*E2_tabla_vida!$X$123)*E2_tabla_vida!$P$123,EXP(-D108*E2_tabla_vida!$X$124)*E2_tabla_vida!$P$124,EXP(-D108*E2_tabla_vida!$X$125)*E2_tabla_vida!$P$125,EXP(-D108*E2_tabla_vida!$X$126)*E2_tabla_vida!$P$126,EXP(-D108*E2_tabla_vida!$X$127)*E2_tabla_vida!$P$127)-1</x:f>
        <x:v>-0.0021784659903363313</x:v>
      </x:c>
    </x:row>
    <x:row r="109" ht="19" customHeight="1">
      <x:c r="A109" s="2" t="str">
        <x:v>MP_L7</x:v>
      </x:c>
      <x:c r="B109" s="2" t="n">
        <x:v>15</x:v>
      </x:c>
      <x:c r="C109" s="22" t="n">
        <x:f>IF(F108&gt;0,E108,C108)</x:f>
        <x:v>0.17919921875</x:v>
      </x:c>
      <x:c r="D109" s="22" t="n">
        <x:f>IF(F108&gt;0,D108,E108)</x:f>
        <x:v>0.179290771484375</x:v>
      </x:c>
      <x:c r="E109" s="22" t="n">
        <x:f>AVERAGE(C109:D109)</x:f>
        <x:v>0.1792449951171875</x:v>
      </x:c>
      <x:c r="F109" s="24" t="n">
        <x:f>SUM(EXP(-E109*E2_tabla_vida!$X$86)*E2_tabla_vida!$P$86,EXP(-E109*E2_tabla_vida!$X$87)*E2_tabla_vida!$P$87,EXP(-E109*E2_tabla_vida!$X$88)*E2_tabla_vida!$P$88,EXP(-E109*E2_tabla_vida!$X$89)*E2_tabla_vida!$P$89,EXP(-E109*E2_tabla_vida!$X$90)*E2_tabla_vida!$P$90,EXP(-E109*E2_tabla_vida!$X$91)*E2_tabla_vida!$P$91,EXP(-E109*E2_tabla_vida!$X$92)*E2_tabla_vida!$P$92,EXP(-E109*E2_tabla_vida!$X$93)*E2_tabla_vida!$P$93,EXP(-E109*E2_tabla_vida!$X$94)*E2_tabla_vida!$P$94,EXP(-E109*E2_tabla_vida!$X$95)*E2_tabla_vida!$P$95,EXP(-E109*E2_tabla_vida!$X$96)*E2_tabla_vida!$P$96,EXP(-E109*E2_tabla_vida!$X$97)*E2_tabla_vida!$P$97,EXP(-E109*E2_tabla_vida!$X$98)*E2_tabla_vida!$P$98,EXP(-E109*E2_tabla_vida!$X$99)*E2_tabla_vida!$P$99,EXP(-E109*E2_tabla_vida!$X$100)*E2_tabla_vida!$P$100,EXP(-E109*E2_tabla_vida!$X$101)*E2_tabla_vida!$P$101,EXP(-E109*E2_tabla_vida!$X$102)*E2_tabla_vida!$P$102,EXP(-E109*E2_tabla_vida!$X$103)*E2_tabla_vida!$P$103,EXP(-E109*E2_tabla_vida!$X$104)*E2_tabla_vida!$P$104,EXP(-E109*E2_tabla_vida!$X$105)*E2_tabla_vida!$P$105,EXP(-E109*E2_tabla_vida!$X$106)*E2_tabla_vida!$P$106,EXP(-E109*E2_tabla_vida!$X$107)*E2_tabla_vida!$P$107,EXP(-E109*E2_tabla_vida!$X$108)*E2_tabla_vida!$P$108,EXP(-E109*E2_tabla_vida!$X$109)*E2_tabla_vida!$P$109,EXP(-E109*E2_tabla_vida!$X$110)*E2_tabla_vida!$P$110,EXP(-E109*E2_tabla_vida!$X$111)*E2_tabla_vida!$P$111,EXP(-E109*E2_tabla_vida!$X$112)*E2_tabla_vida!$P$112,EXP(-E109*E2_tabla_vida!$X$113)*E2_tabla_vida!$P$113,EXP(-E109*E2_tabla_vida!$X$114)*E2_tabla_vida!$P$114,EXP(-E109*E2_tabla_vida!$X$115)*E2_tabla_vida!$P$115,EXP(-E109*E2_tabla_vida!$X$116)*E2_tabla_vida!$P$116,EXP(-E109*E2_tabla_vida!$X$117)*E2_tabla_vida!$P$117,EXP(-E109*E2_tabla_vida!$X$118)*E2_tabla_vida!$P$118,EXP(-E109*E2_tabla_vida!$X$119)*E2_tabla_vida!$P$119,EXP(-E109*E2_tabla_vida!$X$120)*E2_tabla_vida!$P$120,EXP(-E109*E2_tabla_vida!$X$121)*E2_tabla_vida!$P$121,EXP(-E109*E2_tabla_vida!$X$122)*E2_tabla_vida!$P$122,EXP(-E109*E2_tabla_vida!$X$123)*E2_tabla_vida!$P$123,EXP(-E109*E2_tabla_vida!$X$124)*E2_tabla_vida!$P$124,EXP(-E109*E2_tabla_vida!$X$125)*E2_tabla_vida!$P$125,EXP(-E109*E2_tabla_vida!$X$126)*E2_tabla_vida!$P$126,EXP(-E109*E2_tabla_vida!$X$127)*E2_tabla_vida!$P$127)-1</x:f>
        <x:v>0.000026502443641662765</x:v>
      </x:c>
      <x:c r="G109" s="24" t="n">
        <x:f>SUM(EXP(-C109*E2_tabla_vida!$X$86)*E2_tabla_vida!$P$86,EXP(-C109*E2_tabla_vida!$X$87)*E2_tabla_vida!$P$87,EXP(-C109*E2_tabla_vida!$X$88)*E2_tabla_vida!$P$88,EXP(-C109*E2_tabla_vida!$X$89)*E2_tabla_vida!$P$89,EXP(-C109*E2_tabla_vida!$X$90)*E2_tabla_vida!$P$90,EXP(-C109*E2_tabla_vida!$X$91)*E2_tabla_vida!$P$91,EXP(-C109*E2_tabla_vida!$X$92)*E2_tabla_vida!$P$92,EXP(-C109*E2_tabla_vida!$X$93)*E2_tabla_vida!$P$93,EXP(-C109*E2_tabla_vida!$X$94)*E2_tabla_vida!$P$94,EXP(-C109*E2_tabla_vida!$X$95)*E2_tabla_vida!$P$95,EXP(-C109*E2_tabla_vida!$X$96)*E2_tabla_vida!$P$96,EXP(-C109*E2_tabla_vida!$X$97)*E2_tabla_vida!$P$97,EXP(-C109*E2_tabla_vida!$X$98)*E2_tabla_vida!$P$98,EXP(-C109*E2_tabla_vida!$X$99)*E2_tabla_vida!$P$99,EXP(-C109*E2_tabla_vida!$X$100)*E2_tabla_vida!$P$100,EXP(-C109*E2_tabla_vida!$X$101)*E2_tabla_vida!$P$101,EXP(-C109*E2_tabla_vida!$X$102)*E2_tabla_vida!$P$102,EXP(-C109*E2_tabla_vida!$X$103)*E2_tabla_vida!$P$103,EXP(-C109*E2_tabla_vida!$X$104)*E2_tabla_vida!$P$104,EXP(-C109*E2_tabla_vida!$X$105)*E2_tabla_vida!$P$105,EXP(-C109*E2_tabla_vida!$X$106)*E2_tabla_vida!$P$106,EXP(-C109*E2_tabla_vida!$X$107)*E2_tabla_vida!$P$107,EXP(-C109*E2_tabla_vida!$X$108)*E2_tabla_vida!$P$108,EXP(-C109*E2_tabla_vida!$X$109)*E2_tabla_vida!$P$109,EXP(-C109*E2_tabla_vida!$X$110)*E2_tabla_vida!$P$110,EXP(-C109*E2_tabla_vida!$X$111)*E2_tabla_vida!$P$111,EXP(-C109*E2_tabla_vida!$X$112)*E2_tabla_vida!$P$112,EXP(-C109*E2_tabla_vida!$X$113)*E2_tabla_vida!$P$113,EXP(-C109*E2_tabla_vida!$X$114)*E2_tabla_vida!$P$114,EXP(-C109*E2_tabla_vida!$X$115)*E2_tabla_vida!$P$115,EXP(-C109*E2_tabla_vida!$X$116)*E2_tabla_vida!$P$116,EXP(-C109*E2_tabla_vida!$X$117)*E2_tabla_vida!$P$117,EXP(-C109*E2_tabla_vida!$X$118)*E2_tabla_vida!$P$118,EXP(-C109*E2_tabla_vida!$X$119)*E2_tabla_vida!$P$119,EXP(-C109*E2_tabla_vida!$X$120)*E2_tabla_vida!$P$120,EXP(-C109*E2_tabla_vida!$X$121)*E2_tabla_vida!$P$121,EXP(-C109*E2_tabla_vida!$X$122)*E2_tabla_vida!$P$122,EXP(-C109*E2_tabla_vida!$X$123)*E2_tabla_vida!$P$123,EXP(-C109*E2_tabla_vida!$X$124)*E2_tabla_vida!$P$124,EXP(-C109*E2_tabla_vida!$X$125)*E2_tabla_vida!$P$125,EXP(-C109*E2_tabla_vida!$X$126)*E2_tabla_vida!$P$126,EXP(-C109*E2_tabla_vida!$X$127)*E2_tabla_vida!$P$127)-1</x:f>
        <x:v>0.0007626186465050644</x:v>
      </x:c>
      <x:c r="H109" s="24" t="n">
        <x:f>SUM(EXP(-D109*E2_tabla_vida!$X$86)*E2_tabla_vida!$P$86,EXP(-D109*E2_tabla_vida!$X$87)*E2_tabla_vida!$P$87,EXP(-D109*E2_tabla_vida!$X$88)*E2_tabla_vida!$P$88,EXP(-D109*E2_tabla_vida!$X$89)*E2_tabla_vida!$P$89,EXP(-D109*E2_tabla_vida!$X$90)*E2_tabla_vida!$P$90,EXP(-D109*E2_tabla_vida!$X$91)*E2_tabla_vida!$P$91,EXP(-D109*E2_tabla_vida!$X$92)*E2_tabla_vida!$P$92,EXP(-D109*E2_tabla_vida!$X$93)*E2_tabla_vida!$P$93,EXP(-D109*E2_tabla_vida!$X$94)*E2_tabla_vida!$P$94,EXP(-D109*E2_tabla_vida!$X$95)*E2_tabla_vida!$P$95,EXP(-D109*E2_tabla_vida!$X$96)*E2_tabla_vida!$P$96,EXP(-D109*E2_tabla_vida!$X$97)*E2_tabla_vida!$P$97,EXP(-D109*E2_tabla_vida!$X$98)*E2_tabla_vida!$P$98,EXP(-D109*E2_tabla_vida!$X$99)*E2_tabla_vida!$P$99,EXP(-D109*E2_tabla_vida!$X$100)*E2_tabla_vida!$P$100,EXP(-D109*E2_tabla_vida!$X$101)*E2_tabla_vida!$P$101,EXP(-D109*E2_tabla_vida!$X$102)*E2_tabla_vida!$P$102,EXP(-D109*E2_tabla_vida!$X$103)*E2_tabla_vida!$P$103,EXP(-D109*E2_tabla_vida!$X$104)*E2_tabla_vida!$P$104,EXP(-D109*E2_tabla_vida!$X$105)*E2_tabla_vida!$P$105,EXP(-D109*E2_tabla_vida!$X$106)*E2_tabla_vida!$P$106,EXP(-D109*E2_tabla_vida!$X$107)*E2_tabla_vida!$P$107,EXP(-D109*E2_tabla_vida!$X$108)*E2_tabla_vida!$P$108,EXP(-D109*E2_tabla_vida!$X$109)*E2_tabla_vida!$P$109,EXP(-D109*E2_tabla_vida!$X$110)*E2_tabla_vida!$P$110,EXP(-D109*E2_tabla_vida!$X$111)*E2_tabla_vida!$P$111,EXP(-D109*E2_tabla_vida!$X$112)*E2_tabla_vida!$P$112,EXP(-D109*E2_tabla_vida!$X$113)*E2_tabla_vida!$P$113,EXP(-D109*E2_tabla_vida!$X$114)*E2_tabla_vida!$P$114,EXP(-D109*E2_tabla_vida!$X$115)*E2_tabla_vida!$P$115,EXP(-D109*E2_tabla_vida!$X$116)*E2_tabla_vida!$P$116,EXP(-D109*E2_tabla_vida!$X$117)*E2_tabla_vida!$P$117,EXP(-D109*E2_tabla_vida!$X$118)*E2_tabla_vida!$P$118,EXP(-D109*E2_tabla_vida!$X$119)*E2_tabla_vida!$P$119,EXP(-D109*E2_tabla_vida!$X$120)*E2_tabla_vida!$P$120,EXP(-D109*E2_tabla_vida!$X$121)*E2_tabla_vida!$P$121,EXP(-D109*E2_tabla_vida!$X$122)*E2_tabla_vida!$P$122,EXP(-D109*E2_tabla_vida!$X$123)*E2_tabla_vida!$P$123,EXP(-D109*E2_tabla_vida!$X$124)*E2_tabla_vida!$P$124,EXP(-D109*E2_tabla_vida!$X$125)*E2_tabla_vida!$P$125,EXP(-D109*E2_tabla_vida!$X$126)*E2_tabla_vida!$P$126,EXP(-D109*E2_tabla_vida!$X$127)*E2_tabla_vida!$P$127)-1</x:f>
        <x:v>-0.0007090500968039981</x:v>
      </x:c>
    </x:row>
    <x:row r="110" ht="19" customHeight="1">
      <x:c r="A110" s="2" t="str">
        <x:v>MP_L7</x:v>
      </x:c>
      <x:c r="B110" s="2" t="n">
        <x:v>16</x:v>
      </x:c>
      <x:c r="C110" s="22" t="n">
        <x:f>IF(F109&gt;0,E109,C109)</x:f>
        <x:v>0.1792449951171875</x:v>
      </x:c>
      <x:c r="D110" s="22" t="n">
        <x:f>IF(F109&gt;0,D109,E109)</x:f>
        <x:v>0.179290771484375</x:v>
      </x:c>
      <x:c r="E110" s="22" t="n">
        <x:f>AVERAGE(C110:D110)</x:f>
        <x:v>0.17926788330078125</x:v>
      </x:c>
      <x:c r="F110" s="24" t="n">
        <x:f>SUM(EXP(-E110*E2_tabla_vida!$X$86)*E2_tabla_vida!$P$86,EXP(-E110*E2_tabla_vida!$X$87)*E2_tabla_vida!$P$87,EXP(-E110*E2_tabla_vida!$X$88)*E2_tabla_vida!$P$88,EXP(-E110*E2_tabla_vida!$X$89)*E2_tabla_vida!$P$89,EXP(-E110*E2_tabla_vida!$X$90)*E2_tabla_vida!$P$90,EXP(-E110*E2_tabla_vida!$X$91)*E2_tabla_vida!$P$91,EXP(-E110*E2_tabla_vida!$X$92)*E2_tabla_vida!$P$92,EXP(-E110*E2_tabla_vida!$X$93)*E2_tabla_vida!$P$93,EXP(-E110*E2_tabla_vida!$X$94)*E2_tabla_vida!$P$94,EXP(-E110*E2_tabla_vida!$X$95)*E2_tabla_vida!$P$95,EXP(-E110*E2_tabla_vida!$X$96)*E2_tabla_vida!$P$96,EXP(-E110*E2_tabla_vida!$X$97)*E2_tabla_vida!$P$97,EXP(-E110*E2_tabla_vida!$X$98)*E2_tabla_vida!$P$98,EXP(-E110*E2_tabla_vida!$X$99)*E2_tabla_vida!$P$99,EXP(-E110*E2_tabla_vida!$X$100)*E2_tabla_vida!$P$100,EXP(-E110*E2_tabla_vida!$X$101)*E2_tabla_vida!$P$101,EXP(-E110*E2_tabla_vida!$X$102)*E2_tabla_vida!$P$102,EXP(-E110*E2_tabla_vida!$X$103)*E2_tabla_vida!$P$103,EXP(-E110*E2_tabla_vida!$X$104)*E2_tabla_vida!$P$104,EXP(-E110*E2_tabla_vida!$X$105)*E2_tabla_vida!$P$105,EXP(-E110*E2_tabla_vida!$X$106)*E2_tabla_vida!$P$106,EXP(-E110*E2_tabla_vida!$X$107)*E2_tabla_vida!$P$107,EXP(-E110*E2_tabla_vida!$X$108)*E2_tabla_vida!$P$108,EXP(-E110*E2_tabla_vida!$X$109)*E2_tabla_vida!$P$109,EXP(-E110*E2_tabla_vida!$X$110)*E2_tabla_vida!$P$110,EXP(-E110*E2_tabla_vida!$X$111)*E2_tabla_vida!$P$111,EXP(-E110*E2_tabla_vida!$X$112)*E2_tabla_vida!$P$112,EXP(-E110*E2_tabla_vida!$X$113)*E2_tabla_vida!$P$113,EXP(-E110*E2_tabla_vida!$X$114)*E2_tabla_vida!$P$114,EXP(-E110*E2_tabla_vida!$X$115)*E2_tabla_vida!$P$115,EXP(-E110*E2_tabla_vida!$X$116)*E2_tabla_vida!$P$116,EXP(-E110*E2_tabla_vida!$X$117)*E2_tabla_vida!$P$117,EXP(-E110*E2_tabla_vida!$X$118)*E2_tabla_vida!$P$118,EXP(-E110*E2_tabla_vida!$X$119)*E2_tabla_vida!$P$119,EXP(-E110*E2_tabla_vida!$X$120)*E2_tabla_vida!$P$120,EXP(-E110*E2_tabla_vida!$X$121)*E2_tabla_vida!$P$121,EXP(-E110*E2_tabla_vida!$X$122)*E2_tabla_vida!$P$122,EXP(-E110*E2_tabla_vida!$X$123)*E2_tabla_vida!$P$123,EXP(-E110*E2_tabla_vida!$X$124)*E2_tabla_vida!$P$124,EXP(-E110*E2_tabla_vida!$X$125)*E2_tabla_vida!$P$125,EXP(-E110*E2_tabla_vida!$X$126)*E2_tabla_vida!$P$126,EXP(-E110*E2_tabla_vida!$X$127)*E2_tabla_vida!$P$127)-1</x:f>
        <x:v>-0.00034134425624543496</x:v>
      </x:c>
      <x:c r="G110" s="24" t="n">
        <x:f>SUM(EXP(-C110*E2_tabla_vida!$X$86)*E2_tabla_vida!$P$86,EXP(-C110*E2_tabla_vida!$X$87)*E2_tabla_vida!$P$87,EXP(-C110*E2_tabla_vida!$X$88)*E2_tabla_vida!$P$88,EXP(-C110*E2_tabla_vida!$X$89)*E2_tabla_vida!$P$89,EXP(-C110*E2_tabla_vida!$X$90)*E2_tabla_vida!$P$90,EXP(-C110*E2_tabla_vida!$X$91)*E2_tabla_vida!$P$91,EXP(-C110*E2_tabla_vida!$X$92)*E2_tabla_vida!$P$92,EXP(-C110*E2_tabla_vida!$X$93)*E2_tabla_vida!$P$93,EXP(-C110*E2_tabla_vida!$X$94)*E2_tabla_vida!$P$94,EXP(-C110*E2_tabla_vida!$X$95)*E2_tabla_vida!$P$95,EXP(-C110*E2_tabla_vida!$X$96)*E2_tabla_vida!$P$96,EXP(-C110*E2_tabla_vida!$X$97)*E2_tabla_vida!$P$97,EXP(-C110*E2_tabla_vida!$X$98)*E2_tabla_vida!$P$98,EXP(-C110*E2_tabla_vida!$X$99)*E2_tabla_vida!$P$99,EXP(-C110*E2_tabla_vida!$X$100)*E2_tabla_vida!$P$100,EXP(-C110*E2_tabla_vida!$X$101)*E2_tabla_vida!$P$101,EXP(-C110*E2_tabla_vida!$X$102)*E2_tabla_vida!$P$102,EXP(-C110*E2_tabla_vida!$X$103)*E2_tabla_vida!$P$103,EXP(-C110*E2_tabla_vida!$X$104)*E2_tabla_vida!$P$104,EXP(-C110*E2_tabla_vida!$X$105)*E2_tabla_vida!$P$105,EXP(-C110*E2_tabla_vida!$X$106)*E2_tabla_vida!$P$106,EXP(-C110*E2_tabla_vida!$X$107)*E2_tabla_vida!$P$107,EXP(-C110*E2_tabla_vida!$X$108)*E2_tabla_vida!$P$108,EXP(-C110*E2_tabla_vida!$X$109)*E2_tabla_vida!$P$109,EXP(-C110*E2_tabla_vida!$X$110)*E2_tabla_vida!$P$110,EXP(-C110*E2_tabla_vida!$X$111)*E2_tabla_vida!$P$111,EXP(-C110*E2_tabla_vida!$X$112)*E2_tabla_vida!$P$112,EXP(-C110*E2_tabla_vida!$X$113)*E2_tabla_vida!$P$113,EXP(-C110*E2_tabla_vida!$X$114)*E2_tabla_vida!$P$114,EXP(-C110*E2_tabla_vida!$X$115)*E2_tabla_vida!$P$115,EXP(-C110*E2_tabla_vida!$X$116)*E2_tabla_vida!$P$116,EXP(-C110*E2_tabla_vida!$X$117)*E2_tabla_vida!$P$117,EXP(-C110*E2_tabla_vida!$X$118)*E2_tabla_vida!$P$118,EXP(-C110*E2_tabla_vida!$X$119)*E2_tabla_vida!$P$119,EXP(-C110*E2_tabla_vida!$X$120)*E2_tabla_vida!$P$120,EXP(-C110*E2_tabla_vida!$X$121)*E2_tabla_vida!$P$121,EXP(-C110*E2_tabla_vida!$X$122)*E2_tabla_vida!$P$122,EXP(-C110*E2_tabla_vida!$X$123)*E2_tabla_vida!$P$123,EXP(-C110*E2_tabla_vida!$X$124)*E2_tabla_vida!$P$124,EXP(-C110*E2_tabla_vida!$X$125)*E2_tabla_vida!$P$125,EXP(-C110*E2_tabla_vida!$X$126)*E2_tabla_vida!$P$126,EXP(-C110*E2_tabla_vida!$X$127)*E2_tabla_vida!$P$127)-1</x:f>
        <x:v>0.000026502443641662765</x:v>
      </x:c>
      <x:c r="H110" s="24" t="n">
        <x:f>SUM(EXP(-D110*E2_tabla_vida!$X$86)*E2_tabla_vida!$P$86,EXP(-D110*E2_tabla_vida!$X$87)*E2_tabla_vida!$P$87,EXP(-D110*E2_tabla_vida!$X$88)*E2_tabla_vida!$P$88,EXP(-D110*E2_tabla_vida!$X$89)*E2_tabla_vida!$P$89,EXP(-D110*E2_tabla_vida!$X$90)*E2_tabla_vida!$P$90,EXP(-D110*E2_tabla_vida!$X$91)*E2_tabla_vida!$P$91,EXP(-D110*E2_tabla_vida!$X$92)*E2_tabla_vida!$P$92,EXP(-D110*E2_tabla_vida!$X$93)*E2_tabla_vida!$P$93,EXP(-D110*E2_tabla_vida!$X$94)*E2_tabla_vida!$P$94,EXP(-D110*E2_tabla_vida!$X$95)*E2_tabla_vida!$P$95,EXP(-D110*E2_tabla_vida!$X$96)*E2_tabla_vida!$P$96,EXP(-D110*E2_tabla_vida!$X$97)*E2_tabla_vida!$P$97,EXP(-D110*E2_tabla_vida!$X$98)*E2_tabla_vida!$P$98,EXP(-D110*E2_tabla_vida!$X$99)*E2_tabla_vida!$P$99,EXP(-D110*E2_tabla_vida!$X$100)*E2_tabla_vida!$P$100,EXP(-D110*E2_tabla_vida!$X$101)*E2_tabla_vida!$P$101,EXP(-D110*E2_tabla_vida!$X$102)*E2_tabla_vida!$P$102,EXP(-D110*E2_tabla_vida!$X$103)*E2_tabla_vida!$P$103,EXP(-D110*E2_tabla_vida!$X$104)*E2_tabla_vida!$P$104,EXP(-D110*E2_tabla_vida!$X$105)*E2_tabla_vida!$P$105,EXP(-D110*E2_tabla_vida!$X$106)*E2_tabla_vida!$P$106,EXP(-D110*E2_tabla_vida!$X$107)*E2_tabla_vida!$P$107,EXP(-D110*E2_tabla_vida!$X$108)*E2_tabla_vida!$P$108,EXP(-D110*E2_tabla_vida!$X$109)*E2_tabla_vida!$P$109,EXP(-D110*E2_tabla_vida!$X$110)*E2_tabla_vida!$P$110,EXP(-D110*E2_tabla_vida!$X$111)*E2_tabla_vida!$P$111,EXP(-D110*E2_tabla_vida!$X$112)*E2_tabla_vida!$P$112,EXP(-D110*E2_tabla_vida!$X$113)*E2_tabla_vida!$P$113,EXP(-D110*E2_tabla_vida!$X$114)*E2_tabla_vida!$P$114,EXP(-D110*E2_tabla_vida!$X$115)*E2_tabla_vida!$P$115,EXP(-D110*E2_tabla_vida!$X$116)*E2_tabla_vida!$P$116,EXP(-D110*E2_tabla_vida!$X$117)*E2_tabla_vida!$P$117,EXP(-D110*E2_tabla_vida!$X$118)*E2_tabla_vida!$P$118,EXP(-D110*E2_tabla_vida!$X$119)*E2_tabla_vida!$P$119,EXP(-D110*E2_tabla_vida!$X$120)*E2_tabla_vida!$P$120,EXP(-D110*E2_tabla_vida!$X$121)*E2_tabla_vida!$P$121,EXP(-D110*E2_tabla_vida!$X$122)*E2_tabla_vida!$P$122,EXP(-D110*E2_tabla_vida!$X$123)*E2_tabla_vida!$P$123,EXP(-D110*E2_tabla_vida!$X$124)*E2_tabla_vida!$P$124,EXP(-D110*E2_tabla_vida!$X$125)*E2_tabla_vida!$P$125,EXP(-D110*E2_tabla_vida!$X$126)*E2_tabla_vida!$P$126,EXP(-D110*E2_tabla_vida!$X$127)*E2_tabla_vida!$P$127)-1</x:f>
        <x:v>-0.0007090500968039981</x:v>
      </x:c>
    </x:row>
    <x:row r="111" ht="19" customHeight="1">
      <x:c r="A111" s="2" t="str">
        <x:v>MP_L7</x:v>
      </x:c>
      <x:c r="B111" s="2" t="n">
        <x:v>17</x:v>
      </x:c>
      <x:c r="C111" s="22" t="n">
        <x:f>IF(F110&gt;0,E110,C110)</x:f>
        <x:v>0.1792449951171875</x:v>
      </x:c>
      <x:c r="D111" s="22" t="n">
        <x:f>IF(F110&gt;0,D110,E110)</x:f>
        <x:v>0.17926788330078125</x:v>
      </x:c>
      <x:c r="E111" s="22" t="n">
        <x:f>AVERAGE(C111:D111)</x:f>
        <x:v>0.17925643920898438</x:v>
      </x:c>
      <x:c r="F111" s="24" t="n">
        <x:f>SUM(EXP(-E111*E2_tabla_vida!$X$86)*E2_tabla_vida!$P$86,EXP(-E111*E2_tabla_vida!$X$87)*E2_tabla_vida!$P$87,EXP(-E111*E2_tabla_vida!$X$88)*E2_tabla_vida!$P$88,EXP(-E111*E2_tabla_vida!$X$89)*E2_tabla_vida!$P$89,EXP(-E111*E2_tabla_vida!$X$90)*E2_tabla_vida!$P$90,EXP(-E111*E2_tabla_vida!$X$91)*E2_tabla_vida!$P$91,EXP(-E111*E2_tabla_vida!$X$92)*E2_tabla_vida!$P$92,EXP(-E111*E2_tabla_vida!$X$93)*E2_tabla_vida!$P$93,EXP(-E111*E2_tabla_vida!$X$94)*E2_tabla_vida!$P$94,EXP(-E111*E2_tabla_vida!$X$95)*E2_tabla_vida!$P$95,EXP(-E111*E2_tabla_vida!$X$96)*E2_tabla_vida!$P$96,EXP(-E111*E2_tabla_vida!$X$97)*E2_tabla_vida!$P$97,EXP(-E111*E2_tabla_vida!$X$98)*E2_tabla_vida!$P$98,EXP(-E111*E2_tabla_vida!$X$99)*E2_tabla_vida!$P$99,EXP(-E111*E2_tabla_vida!$X$100)*E2_tabla_vida!$P$100,EXP(-E111*E2_tabla_vida!$X$101)*E2_tabla_vida!$P$101,EXP(-E111*E2_tabla_vida!$X$102)*E2_tabla_vida!$P$102,EXP(-E111*E2_tabla_vida!$X$103)*E2_tabla_vida!$P$103,EXP(-E111*E2_tabla_vida!$X$104)*E2_tabla_vida!$P$104,EXP(-E111*E2_tabla_vida!$X$105)*E2_tabla_vida!$P$105,EXP(-E111*E2_tabla_vida!$X$106)*E2_tabla_vida!$P$106,EXP(-E111*E2_tabla_vida!$X$107)*E2_tabla_vida!$P$107,EXP(-E111*E2_tabla_vida!$X$108)*E2_tabla_vida!$P$108,EXP(-E111*E2_tabla_vida!$X$109)*E2_tabla_vida!$P$109,EXP(-E111*E2_tabla_vida!$X$110)*E2_tabla_vida!$P$110,EXP(-E111*E2_tabla_vida!$X$111)*E2_tabla_vida!$P$111,EXP(-E111*E2_tabla_vida!$X$112)*E2_tabla_vida!$P$112,EXP(-E111*E2_tabla_vida!$X$113)*E2_tabla_vida!$P$113,EXP(-E111*E2_tabla_vida!$X$114)*E2_tabla_vida!$P$114,EXP(-E111*E2_tabla_vida!$X$115)*E2_tabla_vida!$P$115,EXP(-E111*E2_tabla_vida!$X$116)*E2_tabla_vida!$P$116,EXP(-E111*E2_tabla_vida!$X$117)*E2_tabla_vida!$P$117,EXP(-E111*E2_tabla_vida!$X$118)*E2_tabla_vida!$P$118,EXP(-E111*E2_tabla_vida!$X$119)*E2_tabla_vida!$P$119,EXP(-E111*E2_tabla_vida!$X$120)*E2_tabla_vida!$P$120,EXP(-E111*E2_tabla_vida!$X$121)*E2_tabla_vida!$P$121,EXP(-E111*E2_tabla_vida!$X$122)*E2_tabla_vida!$P$122,EXP(-E111*E2_tabla_vida!$X$123)*E2_tabla_vida!$P$123,EXP(-E111*E2_tabla_vida!$X$124)*E2_tabla_vida!$P$124,EXP(-E111*E2_tabla_vida!$X$125)*E2_tabla_vida!$P$125,EXP(-E111*E2_tabla_vida!$X$126)*E2_tabla_vida!$P$126,EXP(-E111*E2_tabla_vida!$X$127)*E2_tabla_vida!$P$127)-1</x:f>
        <x:v>-0.0001574385172344872</x:v>
      </x:c>
      <x:c r="G111" s="24" t="n">
        <x:f>SUM(EXP(-C111*E2_tabla_vida!$X$86)*E2_tabla_vida!$P$86,EXP(-C111*E2_tabla_vida!$X$87)*E2_tabla_vida!$P$87,EXP(-C111*E2_tabla_vida!$X$88)*E2_tabla_vida!$P$88,EXP(-C111*E2_tabla_vida!$X$89)*E2_tabla_vida!$P$89,EXP(-C111*E2_tabla_vida!$X$90)*E2_tabla_vida!$P$90,EXP(-C111*E2_tabla_vida!$X$91)*E2_tabla_vida!$P$91,EXP(-C111*E2_tabla_vida!$X$92)*E2_tabla_vida!$P$92,EXP(-C111*E2_tabla_vida!$X$93)*E2_tabla_vida!$P$93,EXP(-C111*E2_tabla_vida!$X$94)*E2_tabla_vida!$P$94,EXP(-C111*E2_tabla_vida!$X$95)*E2_tabla_vida!$P$95,EXP(-C111*E2_tabla_vida!$X$96)*E2_tabla_vida!$P$96,EXP(-C111*E2_tabla_vida!$X$97)*E2_tabla_vida!$P$97,EXP(-C111*E2_tabla_vida!$X$98)*E2_tabla_vida!$P$98,EXP(-C111*E2_tabla_vida!$X$99)*E2_tabla_vida!$P$99,EXP(-C111*E2_tabla_vida!$X$100)*E2_tabla_vida!$P$100,EXP(-C111*E2_tabla_vida!$X$101)*E2_tabla_vida!$P$101,EXP(-C111*E2_tabla_vida!$X$102)*E2_tabla_vida!$P$102,EXP(-C111*E2_tabla_vida!$X$103)*E2_tabla_vida!$P$103,EXP(-C111*E2_tabla_vida!$X$104)*E2_tabla_vida!$P$104,EXP(-C111*E2_tabla_vida!$X$105)*E2_tabla_vida!$P$105,EXP(-C111*E2_tabla_vida!$X$106)*E2_tabla_vida!$P$106,EXP(-C111*E2_tabla_vida!$X$107)*E2_tabla_vida!$P$107,EXP(-C111*E2_tabla_vida!$X$108)*E2_tabla_vida!$P$108,EXP(-C111*E2_tabla_vida!$X$109)*E2_tabla_vida!$P$109,EXP(-C111*E2_tabla_vida!$X$110)*E2_tabla_vida!$P$110,EXP(-C111*E2_tabla_vida!$X$111)*E2_tabla_vida!$P$111,EXP(-C111*E2_tabla_vida!$X$112)*E2_tabla_vida!$P$112,EXP(-C111*E2_tabla_vida!$X$113)*E2_tabla_vida!$P$113,EXP(-C111*E2_tabla_vida!$X$114)*E2_tabla_vida!$P$114,EXP(-C111*E2_tabla_vida!$X$115)*E2_tabla_vida!$P$115,EXP(-C111*E2_tabla_vida!$X$116)*E2_tabla_vida!$P$116,EXP(-C111*E2_tabla_vida!$X$117)*E2_tabla_vida!$P$117,EXP(-C111*E2_tabla_vida!$X$118)*E2_tabla_vida!$P$118,EXP(-C111*E2_tabla_vida!$X$119)*E2_tabla_vida!$P$119,EXP(-C111*E2_tabla_vida!$X$120)*E2_tabla_vida!$P$120,EXP(-C111*E2_tabla_vida!$X$121)*E2_tabla_vida!$P$121,EXP(-C111*E2_tabla_vida!$X$122)*E2_tabla_vida!$P$122,EXP(-C111*E2_tabla_vida!$X$123)*E2_tabla_vida!$P$123,EXP(-C111*E2_tabla_vida!$X$124)*E2_tabla_vida!$P$124,EXP(-C111*E2_tabla_vida!$X$125)*E2_tabla_vida!$P$125,EXP(-C111*E2_tabla_vida!$X$126)*E2_tabla_vida!$P$126,EXP(-C111*E2_tabla_vida!$X$127)*E2_tabla_vida!$P$127)-1</x:f>
        <x:v>0.000026502443641662765</x:v>
      </x:c>
      <x:c r="H111" s="24" t="n">
        <x:f>SUM(EXP(-D111*E2_tabla_vida!$X$86)*E2_tabla_vida!$P$86,EXP(-D111*E2_tabla_vida!$X$87)*E2_tabla_vida!$P$87,EXP(-D111*E2_tabla_vida!$X$88)*E2_tabla_vida!$P$88,EXP(-D111*E2_tabla_vida!$X$89)*E2_tabla_vida!$P$89,EXP(-D111*E2_tabla_vida!$X$90)*E2_tabla_vida!$P$90,EXP(-D111*E2_tabla_vida!$X$91)*E2_tabla_vida!$P$91,EXP(-D111*E2_tabla_vida!$X$92)*E2_tabla_vida!$P$92,EXP(-D111*E2_tabla_vida!$X$93)*E2_tabla_vida!$P$93,EXP(-D111*E2_tabla_vida!$X$94)*E2_tabla_vida!$P$94,EXP(-D111*E2_tabla_vida!$X$95)*E2_tabla_vida!$P$95,EXP(-D111*E2_tabla_vida!$X$96)*E2_tabla_vida!$P$96,EXP(-D111*E2_tabla_vida!$X$97)*E2_tabla_vida!$P$97,EXP(-D111*E2_tabla_vida!$X$98)*E2_tabla_vida!$P$98,EXP(-D111*E2_tabla_vida!$X$99)*E2_tabla_vida!$P$99,EXP(-D111*E2_tabla_vida!$X$100)*E2_tabla_vida!$P$100,EXP(-D111*E2_tabla_vida!$X$101)*E2_tabla_vida!$P$101,EXP(-D111*E2_tabla_vida!$X$102)*E2_tabla_vida!$P$102,EXP(-D111*E2_tabla_vida!$X$103)*E2_tabla_vida!$P$103,EXP(-D111*E2_tabla_vida!$X$104)*E2_tabla_vida!$P$104,EXP(-D111*E2_tabla_vida!$X$105)*E2_tabla_vida!$P$105,EXP(-D111*E2_tabla_vida!$X$106)*E2_tabla_vida!$P$106,EXP(-D111*E2_tabla_vida!$X$107)*E2_tabla_vida!$P$107,EXP(-D111*E2_tabla_vida!$X$108)*E2_tabla_vida!$P$108,EXP(-D111*E2_tabla_vida!$X$109)*E2_tabla_vida!$P$109,EXP(-D111*E2_tabla_vida!$X$110)*E2_tabla_vida!$P$110,EXP(-D111*E2_tabla_vida!$X$111)*E2_tabla_vida!$P$111,EXP(-D111*E2_tabla_vida!$X$112)*E2_tabla_vida!$P$112,EXP(-D111*E2_tabla_vida!$X$113)*E2_tabla_vida!$P$113,EXP(-D111*E2_tabla_vida!$X$114)*E2_tabla_vida!$P$114,EXP(-D111*E2_tabla_vida!$X$115)*E2_tabla_vida!$P$115,EXP(-D111*E2_tabla_vida!$X$116)*E2_tabla_vida!$P$116,EXP(-D111*E2_tabla_vida!$X$117)*E2_tabla_vida!$P$117,EXP(-D111*E2_tabla_vida!$X$118)*E2_tabla_vida!$P$118,EXP(-D111*E2_tabla_vida!$X$119)*E2_tabla_vida!$P$119,EXP(-D111*E2_tabla_vida!$X$120)*E2_tabla_vida!$P$120,EXP(-D111*E2_tabla_vida!$X$121)*E2_tabla_vida!$P$121,EXP(-D111*E2_tabla_vida!$X$122)*E2_tabla_vida!$P$122,EXP(-D111*E2_tabla_vida!$X$123)*E2_tabla_vida!$P$123,EXP(-D111*E2_tabla_vida!$X$124)*E2_tabla_vida!$P$124,EXP(-D111*E2_tabla_vida!$X$125)*E2_tabla_vida!$P$125,EXP(-D111*E2_tabla_vida!$X$126)*E2_tabla_vida!$P$126,EXP(-D111*E2_tabla_vida!$X$127)*E2_tabla_vida!$P$127)-1</x:f>
        <x:v>-0.00034134425624543496</x:v>
      </x:c>
    </x:row>
    <x:row r="112" ht="19" customHeight="1">
      <x:c r="A112" s="2" t="str">
        <x:v>MP_L7</x:v>
      </x:c>
      <x:c r="B112" s="2" t="n">
        <x:v>18</x:v>
      </x:c>
      <x:c r="C112" s="22" t="n">
        <x:f>IF(F111&gt;0,E111,C111)</x:f>
        <x:v>0.1792449951171875</x:v>
      </x:c>
      <x:c r="D112" s="22" t="n">
        <x:f>IF(F111&gt;0,D111,E111)</x:f>
        <x:v>0.17925643920898438</x:v>
      </x:c>
      <x:c r="E112" s="22" t="n">
        <x:f>AVERAGE(C112:D112)</x:f>
        <x:v>0.17925071716308594</x:v>
      </x:c>
      <x:c r="F112" s="24" t="n">
        <x:f>SUM(EXP(-E112*E2_tabla_vida!$X$86)*E2_tabla_vida!$P$86,EXP(-E112*E2_tabla_vida!$X$87)*E2_tabla_vida!$P$87,EXP(-E112*E2_tabla_vida!$X$88)*E2_tabla_vida!$P$88,EXP(-E112*E2_tabla_vida!$X$89)*E2_tabla_vida!$P$89,EXP(-E112*E2_tabla_vida!$X$90)*E2_tabla_vida!$P$90,EXP(-E112*E2_tabla_vida!$X$91)*E2_tabla_vida!$P$91,EXP(-E112*E2_tabla_vida!$X$92)*E2_tabla_vida!$P$92,EXP(-E112*E2_tabla_vida!$X$93)*E2_tabla_vida!$P$93,EXP(-E112*E2_tabla_vida!$X$94)*E2_tabla_vida!$P$94,EXP(-E112*E2_tabla_vida!$X$95)*E2_tabla_vida!$P$95,EXP(-E112*E2_tabla_vida!$X$96)*E2_tabla_vida!$P$96,EXP(-E112*E2_tabla_vida!$X$97)*E2_tabla_vida!$P$97,EXP(-E112*E2_tabla_vida!$X$98)*E2_tabla_vida!$P$98,EXP(-E112*E2_tabla_vida!$X$99)*E2_tabla_vida!$P$99,EXP(-E112*E2_tabla_vida!$X$100)*E2_tabla_vida!$P$100,EXP(-E112*E2_tabla_vida!$X$101)*E2_tabla_vida!$P$101,EXP(-E112*E2_tabla_vida!$X$102)*E2_tabla_vida!$P$102,EXP(-E112*E2_tabla_vida!$X$103)*E2_tabla_vida!$P$103,EXP(-E112*E2_tabla_vida!$X$104)*E2_tabla_vida!$P$104,EXP(-E112*E2_tabla_vida!$X$105)*E2_tabla_vida!$P$105,EXP(-E112*E2_tabla_vida!$X$106)*E2_tabla_vida!$P$106,EXP(-E112*E2_tabla_vida!$X$107)*E2_tabla_vida!$P$107,EXP(-E112*E2_tabla_vida!$X$108)*E2_tabla_vida!$P$108,EXP(-E112*E2_tabla_vida!$X$109)*E2_tabla_vida!$P$109,EXP(-E112*E2_tabla_vida!$X$110)*E2_tabla_vida!$P$110,EXP(-E112*E2_tabla_vida!$X$111)*E2_tabla_vida!$P$111,EXP(-E112*E2_tabla_vida!$X$112)*E2_tabla_vida!$P$112,EXP(-E112*E2_tabla_vida!$X$113)*E2_tabla_vida!$P$113,EXP(-E112*E2_tabla_vida!$X$114)*E2_tabla_vida!$P$114,EXP(-E112*E2_tabla_vida!$X$115)*E2_tabla_vida!$P$115,EXP(-E112*E2_tabla_vida!$X$116)*E2_tabla_vida!$P$116,EXP(-E112*E2_tabla_vida!$X$117)*E2_tabla_vida!$P$117,EXP(-E112*E2_tabla_vida!$X$118)*E2_tabla_vida!$P$118,EXP(-E112*E2_tabla_vida!$X$119)*E2_tabla_vida!$P$119,EXP(-E112*E2_tabla_vida!$X$120)*E2_tabla_vida!$P$120,EXP(-E112*E2_tabla_vida!$X$121)*E2_tabla_vida!$P$121,EXP(-E112*E2_tabla_vida!$X$122)*E2_tabla_vida!$P$122,EXP(-E112*E2_tabla_vida!$X$123)*E2_tabla_vida!$P$123,EXP(-E112*E2_tabla_vida!$X$124)*E2_tabla_vida!$P$124,EXP(-E112*E2_tabla_vida!$X$125)*E2_tabla_vida!$P$125,EXP(-E112*E2_tabla_vida!$X$126)*E2_tabla_vida!$P$126,EXP(-E112*E2_tabla_vida!$X$127)*E2_tabla_vida!$P$127)-1</x:f>
        <x:v>-0.00006547243996912755</x:v>
      </x:c>
      <x:c r="G112" s="24" t="n">
        <x:f>SUM(EXP(-C112*E2_tabla_vida!$X$86)*E2_tabla_vida!$P$86,EXP(-C112*E2_tabla_vida!$X$87)*E2_tabla_vida!$P$87,EXP(-C112*E2_tabla_vida!$X$88)*E2_tabla_vida!$P$88,EXP(-C112*E2_tabla_vida!$X$89)*E2_tabla_vida!$P$89,EXP(-C112*E2_tabla_vida!$X$90)*E2_tabla_vida!$P$90,EXP(-C112*E2_tabla_vida!$X$91)*E2_tabla_vida!$P$91,EXP(-C112*E2_tabla_vida!$X$92)*E2_tabla_vida!$P$92,EXP(-C112*E2_tabla_vida!$X$93)*E2_tabla_vida!$P$93,EXP(-C112*E2_tabla_vida!$X$94)*E2_tabla_vida!$P$94,EXP(-C112*E2_tabla_vida!$X$95)*E2_tabla_vida!$P$95,EXP(-C112*E2_tabla_vida!$X$96)*E2_tabla_vida!$P$96,EXP(-C112*E2_tabla_vida!$X$97)*E2_tabla_vida!$P$97,EXP(-C112*E2_tabla_vida!$X$98)*E2_tabla_vida!$P$98,EXP(-C112*E2_tabla_vida!$X$99)*E2_tabla_vida!$P$99,EXP(-C112*E2_tabla_vida!$X$100)*E2_tabla_vida!$P$100,EXP(-C112*E2_tabla_vida!$X$101)*E2_tabla_vida!$P$101,EXP(-C112*E2_tabla_vida!$X$102)*E2_tabla_vida!$P$102,EXP(-C112*E2_tabla_vida!$X$103)*E2_tabla_vida!$P$103,EXP(-C112*E2_tabla_vida!$X$104)*E2_tabla_vida!$P$104,EXP(-C112*E2_tabla_vida!$X$105)*E2_tabla_vida!$P$105,EXP(-C112*E2_tabla_vida!$X$106)*E2_tabla_vida!$P$106,EXP(-C112*E2_tabla_vida!$X$107)*E2_tabla_vida!$P$107,EXP(-C112*E2_tabla_vida!$X$108)*E2_tabla_vida!$P$108,EXP(-C112*E2_tabla_vida!$X$109)*E2_tabla_vida!$P$109,EXP(-C112*E2_tabla_vida!$X$110)*E2_tabla_vida!$P$110,EXP(-C112*E2_tabla_vida!$X$111)*E2_tabla_vida!$P$111,EXP(-C112*E2_tabla_vida!$X$112)*E2_tabla_vida!$P$112,EXP(-C112*E2_tabla_vida!$X$113)*E2_tabla_vida!$P$113,EXP(-C112*E2_tabla_vida!$X$114)*E2_tabla_vida!$P$114,EXP(-C112*E2_tabla_vida!$X$115)*E2_tabla_vida!$P$115,EXP(-C112*E2_tabla_vida!$X$116)*E2_tabla_vida!$P$116,EXP(-C112*E2_tabla_vida!$X$117)*E2_tabla_vida!$P$117,EXP(-C112*E2_tabla_vida!$X$118)*E2_tabla_vida!$P$118,EXP(-C112*E2_tabla_vida!$X$119)*E2_tabla_vida!$P$119,EXP(-C112*E2_tabla_vida!$X$120)*E2_tabla_vida!$P$120,EXP(-C112*E2_tabla_vida!$X$121)*E2_tabla_vida!$P$121,EXP(-C112*E2_tabla_vida!$X$122)*E2_tabla_vida!$P$122,EXP(-C112*E2_tabla_vida!$X$123)*E2_tabla_vida!$P$123,EXP(-C112*E2_tabla_vida!$X$124)*E2_tabla_vida!$P$124,EXP(-C112*E2_tabla_vida!$X$125)*E2_tabla_vida!$P$125,EXP(-C112*E2_tabla_vida!$X$126)*E2_tabla_vida!$P$126,EXP(-C112*E2_tabla_vida!$X$127)*E2_tabla_vida!$P$127)-1</x:f>
        <x:v>0.000026502443641662765</x:v>
      </x:c>
      <x:c r="H112" s="24" t="n">
        <x:f>SUM(EXP(-D112*E2_tabla_vida!$X$86)*E2_tabla_vida!$P$86,EXP(-D112*E2_tabla_vida!$X$87)*E2_tabla_vida!$P$87,EXP(-D112*E2_tabla_vida!$X$88)*E2_tabla_vida!$P$88,EXP(-D112*E2_tabla_vida!$X$89)*E2_tabla_vida!$P$89,EXP(-D112*E2_tabla_vida!$X$90)*E2_tabla_vida!$P$90,EXP(-D112*E2_tabla_vida!$X$91)*E2_tabla_vida!$P$91,EXP(-D112*E2_tabla_vida!$X$92)*E2_tabla_vida!$P$92,EXP(-D112*E2_tabla_vida!$X$93)*E2_tabla_vida!$P$93,EXP(-D112*E2_tabla_vida!$X$94)*E2_tabla_vida!$P$94,EXP(-D112*E2_tabla_vida!$X$95)*E2_tabla_vida!$P$95,EXP(-D112*E2_tabla_vida!$X$96)*E2_tabla_vida!$P$96,EXP(-D112*E2_tabla_vida!$X$97)*E2_tabla_vida!$P$97,EXP(-D112*E2_tabla_vida!$X$98)*E2_tabla_vida!$P$98,EXP(-D112*E2_tabla_vida!$X$99)*E2_tabla_vida!$P$99,EXP(-D112*E2_tabla_vida!$X$100)*E2_tabla_vida!$P$100,EXP(-D112*E2_tabla_vida!$X$101)*E2_tabla_vida!$P$101,EXP(-D112*E2_tabla_vida!$X$102)*E2_tabla_vida!$P$102,EXP(-D112*E2_tabla_vida!$X$103)*E2_tabla_vida!$P$103,EXP(-D112*E2_tabla_vida!$X$104)*E2_tabla_vida!$P$104,EXP(-D112*E2_tabla_vida!$X$105)*E2_tabla_vida!$P$105,EXP(-D112*E2_tabla_vida!$X$106)*E2_tabla_vida!$P$106,EXP(-D112*E2_tabla_vida!$X$107)*E2_tabla_vida!$P$107,EXP(-D112*E2_tabla_vida!$X$108)*E2_tabla_vida!$P$108,EXP(-D112*E2_tabla_vida!$X$109)*E2_tabla_vida!$P$109,EXP(-D112*E2_tabla_vida!$X$110)*E2_tabla_vida!$P$110,EXP(-D112*E2_tabla_vida!$X$111)*E2_tabla_vida!$P$111,EXP(-D112*E2_tabla_vida!$X$112)*E2_tabla_vida!$P$112,EXP(-D112*E2_tabla_vida!$X$113)*E2_tabla_vida!$P$113,EXP(-D112*E2_tabla_vida!$X$114)*E2_tabla_vida!$P$114,EXP(-D112*E2_tabla_vida!$X$115)*E2_tabla_vida!$P$115,EXP(-D112*E2_tabla_vida!$X$116)*E2_tabla_vida!$P$116,EXP(-D112*E2_tabla_vida!$X$117)*E2_tabla_vida!$P$117,EXP(-D112*E2_tabla_vida!$X$118)*E2_tabla_vida!$P$118,EXP(-D112*E2_tabla_vida!$X$119)*E2_tabla_vida!$P$119,EXP(-D112*E2_tabla_vida!$X$120)*E2_tabla_vida!$P$120,EXP(-D112*E2_tabla_vida!$X$121)*E2_tabla_vida!$P$121,EXP(-D112*E2_tabla_vida!$X$122)*E2_tabla_vida!$P$122,EXP(-D112*E2_tabla_vida!$X$123)*E2_tabla_vida!$P$123,EXP(-D112*E2_tabla_vida!$X$124)*E2_tabla_vida!$P$124,EXP(-D112*E2_tabla_vida!$X$125)*E2_tabla_vida!$P$125,EXP(-D112*E2_tabla_vida!$X$126)*E2_tabla_vida!$P$126,EXP(-D112*E2_tabla_vida!$X$127)*E2_tabla_vida!$P$127)-1</x:f>
        <x:v>-0.0001574385172344872</x:v>
      </x:c>
    </x:row>
    <x:row r="113" ht="19" customHeight="1">
      <x:c r="A113" s="2" t="str">
        <x:v>MP_L7</x:v>
      </x:c>
      <x:c r="B113" s="2" t="n">
        <x:v>19</x:v>
      </x:c>
      <x:c r="C113" s="22" t="n">
        <x:f>IF(F112&gt;0,E112,C112)</x:f>
        <x:v>0.1792449951171875</x:v>
      </x:c>
      <x:c r="D113" s="22" t="n">
        <x:f>IF(F112&gt;0,D112,E112)</x:f>
        <x:v>0.17925071716308594</x:v>
      </x:c>
      <x:c r="E113" s="22" t="n">
        <x:f>AVERAGE(C113:D113)</x:f>
        <x:v>0.17924785614013672</x:v>
      </x:c>
      <x:c r="F113" s="24" t="n">
        <x:f>SUM(EXP(-E113*E2_tabla_vida!$X$86)*E2_tabla_vida!$P$86,EXP(-E113*E2_tabla_vida!$X$87)*E2_tabla_vida!$P$87,EXP(-E113*E2_tabla_vida!$X$88)*E2_tabla_vida!$P$88,EXP(-E113*E2_tabla_vida!$X$89)*E2_tabla_vida!$P$89,EXP(-E113*E2_tabla_vida!$X$90)*E2_tabla_vida!$P$90,EXP(-E113*E2_tabla_vida!$X$91)*E2_tabla_vida!$P$91,EXP(-E113*E2_tabla_vida!$X$92)*E2_tabla_vida!$P$92,EXP(-E113*E2_tabla_vida!$X$93)*E2_tabla_vida!$P$93,EXP(-E113*E2_tabla_vida!$X$94)*E2_tabla_vida!$P$94,EXP(-E113*E2_tabla_vida!$X$95)*E2_tabla_vida!$P$95,EXP(-E113*E2_tabla_vida!$X$96)*E2_tabla_vida!$P$96,EXP(-E113*E2_tabla_vida!$X$97)*E2_tabla_vida!$P$97,EXP(-E113*E2_tabla_vida!$X$98)*E2_tabla_vida!$P$98,EXP(-E113*E2_tabla_vida!$X$99)*E2_tabla_vida!$P$99,EXP(-E113*E2_tabla_vida!$X$100)*E2_tabla_vida!$P$100,EXP(-E113*E2_tabla_vida!$X$101)*E2_tabla_vida!$P$101,EXP(-E113*E2_tabla_vida!$X$102)*E2_tabla_vida!$P$102,EXP(-E113*E2_tabla_vida!$X$103)*E2_tabla_vida!$P$103,EXP(-E113*E2_tabla_vida!$X$104)*E2_tabla_vida!$P$104,EXP(-E113*E2_tabla_vida!$X$105)*E2_tabla_vida!$P$105,EXP(-E113*E2_tabla_vida!$X$106)*E2_tabla_vida!$P$106,EXP(-E113*E2_tabla_vida!$X$107)*E2_tabla_vida!$P$107,EXP(-E113*E2_tabla_vida!$X$108)*E2_tabla_vida!$P$108,EXP(-E113*E2_tabla_vida!$X$109)*E2_tabla_vida!$P$109,EXP(-E113*E2_tabla_vida!$X$110)*E2_tabla_vida!$P$110,EXP(-E113*E2_tabla_vida!$X$111)*E2_tabla_vida!$P$111,EXP(-E113*E2_tabla_vida!$X$112)*E2_tabla_vida!$P$112,EXP(-E113*E2_tabla_vida!$X$113)*E2_tabla_vida!$P$113,EXP(-E113*E2_tabla_vida!$X$114)*E2_tabla_vida!$P$114,EXP(-E113*E2_tabla_vida!$X$115)*E2_tabla_vida!$P$115,EXP(-E113*E2_tabla_vida!$X$116)*E2_tabla_vida!$P$116,EXP(-E113*E2_tabla_vida!$X$117)*E2_tabla_vida!$P$117,EXP(-E113*E2_tabla_vida!$X$118)*E2_tabla_vida!$P$118,EXP(-E113*E2_tabla_vida!$X$119)*E2_tabla_vida!$P$119,EXP(-E113*E2_tabla_vida!$X$120)*E2_tabla_vida!$P$120,EXP(-E113*E2_tabla_vida!$X$121)*E2_tabla_vida!$P$121,EXP(-E113*E2_tabla_vida!$X$122)*E2_tabla_vida!$P$122,EXP(-E113*E2_tabla_vida!$X$123)*E2_tabla_vida!$P$123,EXP(-E113*E2_tabla_vida!$X$124)*E2_tabla_vida!$P$124,EXP(-E113*E2_tabla_vida!$X$125)*E2_tabla_vida!$P$125,EXP(-E113*E2_tabla_vida!$X$126)*E2_tabla_vida!$P$126,EXP(-E113*E2_tabla_vida!$X$127)*E2_tabla_vida!$P$127)-1</x:f>
        <x:v>-0.000019486099011811753</x:v>
      </x:c>
      <x:c r="G113" s="24" t="n">
        <x:f>SUM(EXP(-C113*E2_tabla_vida!$X$86)*E2_tabla_vida!$P$86,EXP(-C113*E2_tabla_vida!$X$87)*E2_tabla_vida!$P$87,EXP(-C113*E2_tabla_vida!$X$88)*E2_tabla_vida!$P$88,EXP(-C113*E2_tabla_vida!$X$89)*E2_tabla_vida!$P$89,EXP(-C113*E2_tabla_vida!$X$90)*E2_tabla_vida!$P$90,EXP(-C113*E2_tabla_vida!$X$91)*E2_tabla_vida!$P$91,EXP(-C113*E2_tabla_vida!$X$92)*E2_tabla_vida!$P$92,EXP(-C113*E2_tabla_vida!$X$93)*E2_tabla_vida!$P$93,EXP(-C113*E2_tabla_vida!$X$94)*E2_tabla_vida!$P$94,EXP(-C113*E2_tabla_vida!$X$95)*E2_tabla_vida!$P$95,EXP(-C113*E2_tabla_vida!$X$96)*E2_tabla_vida!$P$96,EXP(-C113*E2_tabla_vida!$X$97)*E2_tabla_vida!$P$97,EXP(-C113*E2_tabla_vida!$X$98)*E2_tabla_vida!$P$98,EXP(-C113*E2_tabla_vida!$X$99)*E2_tabla_vida!$P$99,EXP(-C113*E2_tabla_vida!$X$100)*E2_tabla_vida!$P$100,EXP(-C113*E2_tabla_vida!$X$101)*E2_tabla_vida!$P$101,EXP(-C113*E2_tabla_vida!$X$102)*E2_tabla_vida!$P$102,EXP(-C113*E2_tabla_vida!$X$103)*E2_tabla_vida!$P$103,EXP(-C113*E2_tabla_vida!$X$104)*E2_tabla_vida!$P$104,EXP(-C113*E2_tabla_vida!$X$105)*E2_tabla_vida!$P$105,EXP(-C113*E2_tabla_vida!$X$106)*E2_tabla_vida!$P$106,EXP(-C113*E2_tabla_vida!$X$107)*E2_tabla_vida!$P$107,EXP(-C113*E2_tabla_vida!$X$108)*E2_tabla_vida!$P$108,EXP(-C113*E2_tabla_vida!$X$109)*E2_tabla_vida!$P$109,EXP(-C113*E2_tabla_vida!$X$110)*E2_tabla_vida!$P$110,EXP(-C113*E2_tabla_vida!$X$111)*E2_tabla_vida!$P$111,EXP(-C113*E2_tabla_vida!$X$112)*E2_tabla_vida!$P$112,EXP(-C113*E2_tabla_vida!$X$113)*E2_tabla_vida!$P$113,EXP(-C113*E2_tabla_vida!$X$114)*E2_tabla_vida!$P$114,EXP(-C113*E2_tabla_vida!$X$115)*E2_tabla_vida!$P$115,EXP(-C113*E2_tabla_vida!$X$116)*E2_tabla_vida!$P$116,EXP(-C113*E2_tabla_vida!$X$117)*E2_tabla_vida!$P$117,EXP(-C113*E2_tabla_vida!$X$118)*E2_tabla_vida!$P$118,EXP(-C113*E2_tabla_vida!$X$119)*E2_tabla_vida!$P$119,EXP(-C113*E2_tabla_vida!$X$120)*E2_tabla_vida!$P$120,EXP(-C113*E2_tabla_vida!$X$121)*E2_tabla_vida!$P$121,EXP(-C113*E2_tabla_vida!$X$122)*E2_tabla_vida!$P$122,EXP(-C113*E2_tabla_vida!$X$123)*E2_tabla_vida!$P$123,EXP(-C113*E2_tabla_vida!$X$124)*E2_tabla_vida!$P$124,EXP(-C113*E2_tabla_vida!$X$125)*E2_tabla_vida!$P$125,EXP(-C113*E2_tabla_vida!$X$126)*E2_tabla_vida!$P$126,EXP(-C113*E2_tabla_vida!$X$127)*E2_tabla_vida!$P$127)-1</x:f>
        <x:v>0.000026502443641662765</x:v>
      </x:c>
      <x:c r="H113" s="24" t="n">
        <x:f>SUM(EXP(-D113*E2_tabla_vida!$X$86)*E2_tabla_vida!$P$86,EXP(-D113*E2_tabla_vida!$X$87)*E2_tabla_vida!$P$87,EXP(-D113*E2_tabla_vida!$X$88)*E2_tabla_vida!$P$88,EXP(-D113*E2_tabla_vida!$X$89)*E2_tabla_vida!$P$89,EXP(-D113*E2_tabla_vida!$X$90)*E2_tabla_vida!$P$90,EXP(-D113*E2_tabla_vida!$X$91)*E2_tabla_vida!$P$91,EXP(-D113*E2_tabla_vida!$X$92)*E2_tabla_vida!$P$92,EXP(-D113*E2_tabla_vida!$X$93)*E2_tabla_vida!$P$93,EXP(-D113*E2_tabla_vida!$X$94)*E2_tabla_vida!$P$94,EXP(-D113*E2_tabla_vida!$X$95)*E2_tabla_vida!$P$95,EXP(-D113*E2_tabla_vida!$X$96)*E2_tabla_vida!$P$96,EXP(-D113*E2_tabla_vida!$X$97)*E2_tabla_vida!$P$97,EXP(-D113*E2_tabla_vida!$X$98)*E2_tabla_vida!$P$98,EXP(-D113*E2_tabla_vida!$X$99)*E2_tabla_vida!$P$99,EXP(-D113*E2_tabla_vida!$X$100)*E2_tabla_vida!$P$100,EXP(-D113*E2_tabla_vida!$X$101)*E2_tabla_vida!$P$101,EXP(-D113*E2_tabla_vida!$X$102)*E2_tabla_vida!$P$102,EXP(-D113*E2_tabla_vida!$X$103)*E2_tabla_vida!$P$103,EXP(-D113*E2_tabla_vida!$X$104)*E2_tabla_vida!$P$104,EXP(-D113*E2_tabla_vida!$X$105)*E2_tabla_vida!$P$105,EXP(-D113*E2_tabla_vida!$X$106)*E2_tabla_vida!$P$106,EXP(-D113*E2_tabla_vida!$X$107)*E2_tabla_vida!$P$107,EXP(-D113*E2_tabla_vida!$X$108)*E2_tabla_vida!$P$108,EXP(-D113*E2_tabla_vida!$X$109)*E2_tabla_vida!$P$109,EXP(-D113*E2_tabla_vida!$X$110)*E2_tabla_vida!$P$110,EXP(-D113*E2_tabla_vida!$X$111)*E2_tabla_vida!$P$111,EXP(-D113*E2_tabla_vida!$X$112)*E2_tabla_vida!$P$112,EXP(-D113*E2_tabla_vida!$X$113)*E2_tabla_vida!$P$113,EXP(-D113*E2_tabla_vida!$X$114)*E2_tabla_vida!$P$114,EXP(-D113*E2_tabla_vida!$X$115)*E2_tabla_vida!$P$115,EXP(-D113*E2_tabla_vida!$X$116)*E2_tabla_vida!$P$116,EXP(-D113*E2_tabla_vida!$X$117)*E2_tabla_vida!$P$117,EXP(-D113*E2_tabla_vida!$X$118)*E2_tabla_vida!$P$118,EXP(-D113*E2_tabla_vida!$X$119)*E2_tabla_vida!$P$119,EXP(-D113*E2_tabla_vida!$X$120)*E2_tabla_vida!$P$120,EXP(-D113*E2_tabla_vida!$X$121)*E2_tabla_vida!$P$121,EXP(-D113*E2_tabla_vida!$X$122)*E2_tabla_vida!$P$122,EXP(-D113*E2_tabla_vida!$X$123)*E2_tabla_vida!$P$123,EXP(-D113*E2_tabla_vida!$X$124)*E2_tabla_vida!$P$124,EXP(-D113*E2_tabla_vida!$X$125)*E2_tabla_vida!$P$125,EXP(-D113*E2_tabla_vida!$X$126)*E2_tabla_vida!$P$126,EXP(-D113*E2_tabla_vida!$X$127)*E2_tabla_vida!$P$127)-1</x:f>
        <x:v>-0.00006547243996912755</x:v>
      </x:c>
    </x:row>
    <x:row r="114" ht="19" customHeight="1">
      <x:c r="A114" s="2" t="str">
        <x:v>MP_L7</x:v>
      </x:c>
      <x:c r="B114" s="2" t="n">
        <x:v>20</x:v>
      </x:c>
      <x:c r="C114" s="22" t="n">
        <x:f>IF(F113&gt;0,E113,C113)</x:f>
        <x:v>0.1792449951171875</x:v>
      </x:c>
      <x:c r="D114" s="22" t="n">
        <x:f>IF(F113&gt;0,D113,E113)</x:f>
        <x:v>0.17924785614013672</x:v>
      </x:c>
      <x:c r="E114" s="22" t="n">
        <x:f>AVERAGE(C114:D114)</x:f>
        <x:v>0.1792464256286621</x:v>
      </x:c>
      <x:c r="F114" s="24" t="n">
        <x:f>SUM(EXP(-E114*E2_tabla_vida!$X$86)*E2_tabla_vida!$P$86,EXP(-E114*E2_tabla_vida!$X$87)*E2_tabla_vida!$P$87,EXP(-E114*E2_tabla_vida!$X$88)*E2_tabla_vida!$P$88,EXP(-E114*E2_tabla_vida!$X$89)*E2_tabla_vida!$P$89,EXP(-E114*E2_tabla_vida!$X$90)*E2_tabla_vida!$P$90,EXP(-E114*E2_tabla_vida!$X$91)*E2_tabla_vida!$P$91,EXP(-E114*E2_tabla_vida!$X$92)*E2_tabla_vida!$P$92,EXP(-E114*E2_tabla_vida!$X$93)*E2_tabla_vida!$P$93,EXP(-E114*E2_tabla_vida!$X$94)*E2_tabla_vida!$P$94,EXP(-E114*E2_tabla_vida!$X$95)*E2_tabla_vida!$P$95,EXP(-E114*E2_tabla_vida!$X$96)*E2_tabla_vida!$P$96,EXP(-E114*E2_tabla_vida!$X$97)*E2_tabla_vida!$P$97,EXP(-E114*E2_tabla_vida!$X$98)*E2_tabla_vida!$P$98,EXP(-E114*E2_tabla_vida!$X$99)*E2_tabla_vida!$P$99,EXP(-E114*E2_tabla_vida!$X$100)*E2_tabla_vida!$P$100,EXP(-E114*E2_tabla_vida!$X$101)*E2_tabla_vida!$P$101,EXP(-E114*E2_tabla_vida!$X$102)*E2_tabla_vida!$P$102,EXP(-E114*E2_tabla_vida!$X$103)*E2_tabla_vida!$P$103,EXP(-E114*E2_tabla_vida!$X$104)*E2_tabla_vida!$P$104,EXP(-E114*E2_tabla_vida!$X$105)*E2_tabla_vida!$P$105,EXP(-E114*E2_tabla_vida!$X$106)*E2_tabla_vida!$P$106,EXP(-E114*E2_tabla_vida!$X$107)*E2_tabla_vida!$P$107,EXP(-E114*E2_tabla_vida!$X$108)*E2_tabla_vida!$P$108,EXP(-E114*E2_tabla_vida!$X$109)*E2_tabla_vida!$P$109,EXP(-E114*E2_tabla_vida!$X$110)*E2_tabla_vida!$P$110,EXP(-E114*E2_tabla_vida!$X$111)*E2_tabla_vida!$P$111,EXP(-E114*E2_tabla_vida!$X$112)*E2_tabla_vida!$P$112,EXP(-E114*E2_tabla_vida!$X$113)*E2_tabla_vida!$P$113,EXP(-E114*E2_tabla_vida!$X$114)*E2_tabla_vida!$P$114,EXP(-E114*E2_tabla_vida!$X$115)*E2_tabla_vida!$P$115,EXP(-E114*E2_tabla_vida!$X$116)*E2_tabla_vida!$P$116,EXP(-E114*E2_tabla_vida!$X$117)*E2_tabla_vida!$P$117,EXP(-E114*E2_tabla_vida!$X$118)*E2_tabla_vida!$P$118,EXP(-E114*E2_tabla_vida!$X$119)*E2_tabla_vida!$P$119,EXP(-E114*E2_tabla_vida!$X$120)*E2_tabla_vida!$P$120,EXP(-E114*E2_tabla_vida!$X$121)*E2_tabla_vida!$P$121,EXP(-E114*E2_tabla_vida!$X$122)*E2_tabla_vida!$P$122,EXP(-E114*E2_tabla_vida!$X$123)*E2_tabla_vida!$P$123,EXP(-E114*E2_tabla_vida!$X$124)*E2_tabla_vida!$P$124,EXP(-E114*E2_tabla_vida!$X$125)*E2_tabla_vida!$P$125,EXP(-E114*E2_tabla_vida!$X$126)*E2_tabla_vida!$P$126,EXP(-E114*E2_tabla_vida!$X$127)*E2_tabla_vida!$P$127)-1</x:f>
        <x:v>0.0000035078970956892164</x:v>
      </x:c>
      <x:c r="G114" s="24" t="n">
        <x:f>SUM(EXP(-C114*E2_tabla_vida!$X$86)*E2_tabla_vida!$P$86,EXP(-C114*E2_tabla_vida!$X$87)*E2_tabla_vida!$P$87,EXP(-C114*E2_tabla_vida!$X$88)*E2_tabla_vida!$P$88,EXP(-C114*E2_tabla_vida!$X$89)*E2_tabla_vida!$P$89,EXP(-C114*E2_tabla_vida!$X$90)*E2_tabla_vida!$P$90,EXP(-C114*E2_tabla_vida!$X$91)*E2_tabla_vida!$P$91,EXP(-C114*E2_tabla_vida!$X$92)*E2_tabla_vida!$P$92,EXP(-C114*E2_tabla_vida!$X$93)*E2_tabla_vida!$P$93,EXP(-C114*E2_tabla_vida!$X$94)*E2_tabla_vida!$P$94,EXP(-C114*E2_tabla_vida!$X$95)*E2_tabla_vida!$P$95,EXP(-C114*E2_tabla_vida!$X$96)*E2_tabla_vida!$P$96,EXP(-C114*E2_tabla_vida!$X$97)*E2_tabla_vida!$P$97,EXP(-C114*E2_tabla_vida!$X$98)*E2_tabla_vida!$P$98,EXP(-C114*E2_tabla_vida!$X$99)*E2_tabla_vida!$P$99,EXP(-C114*E2_tabla_vida!$X$100)*E2_tabla_vida!$P$100,EXP(-C114*E2_tabla_vida!$X$101)*E2_tabla_vida!$P$101,EXP(-C114*E2_tabla_vida!$X$102)*E2_tabla_vida!$P$102,EXP(-C114*E2_tabla_vida!$X$103)*E2_tabla_vida!$P$103,EXP(-C114*E2_tabla_vida!$X$104)*E2_tabla_vida!$P$104,EXP(-C114*E2_tabla_vida!$X$105)*E2_tabla_vida!$P$105,EXP(-C114*E2_tabla_vida!$X$106)*E2_tabla_vida!$P$106,EXP(-C114*E2_tabla_vida!$X$107)*E2_tabla_vida!$P$107,EXP(-C114*E2_tabla_vida!$X$108)*E2_tabla_vida!$P$108,EXP(-C114*E2_tabla_vida!$X$109)*E2_tabla_vida!$P$109,EXP(-C114*E2_tabla_vida!$X$110)*E2_tabla_vida!$P$110,EXP(-C114*E2_tabla_vida!$X$111)*E2_tabla_vida!$P$111,EXP(-C114*E2_tabla_vida!$X$112)*E2_tabla_vida!$P$112,EXP(-C114*E2_tabla_vida!$X$113)*E2_tabla_vida!$P$113,EXP(-C114*E2_tabla_vida!$X$114)*E2_tabla_vida!$P$114,EXP(-C114*E2_tabla_vida!$X$115)*E2_tabla_vida!$P$115,EXP(-C114*E2_tabla_vida!$X$116)*E2_tabla_vida!$P$116,EXP(-C114*E2_tabla_vida!$X$117)*E2_tabla_vida!$P$117,EXP(-C114*E2_tabla_vida!$X$118)*E2_tabla_vida!$P$118,EXP(-C114*E2_tabla_vida!$X$119)*E2_tabla_vida!$P$119,EXP(-C114*E2_tabla_vida!$X$120)*E2_tabla_vida!$P$120,EXP(-C114*E2_tabla_vida!$X$121)*E2_tabla_vida!$P$121,EXP(-C114*E2_tabla_vida!$X$122)*E2_tabla_vida!$P$122,EXP(-C114*E2_tabla_vida!$X$123)*E2_tabla_vida!$P$123,EXP(-C114*E2_tabla_vida!$X$124)*E2_tabla_vida!$P$124,EXP(-C114*E2_tabla_vida!$X$125)*E2_tabla_vida!$P$125,EXP(-C114*E2_tabla_vida!$X$126)*E2_tabla_vida!$P$126,EXP(-C114*E2_tabla_vida!$X$127)*E2_tabla_vida!$P$127)-1</x:f>
        <x:v>0.000026502443641662765</x:v>
      </x:c>
      <x:c r="H114" s="24" t="n">
        <x:f>SUM(EXP(-D114*E2_tabla_vida!$X$86)*E2_tabla_vida!$P$86,EXP(-D114*E2_tabla_vida!$X$87)*E2_tabla_vida!$P$87,EXP(-D114*E2_tabla_vida!$X$88)*E2_tabla_vida!$P$88,EXP(-D114*E2_tabla_vida!$X$89)*E2_tabla_vida!$P$89,EXP(-D114*E2_tabla_vida!$X$90)*E2_tabla_vida!$P$90,EXP(-D114*E2_tabla_vida!$X$91)*E2_tabla_vida!$P$91,EXP(-D114*E2_tabla_vida!$X$92)*E2_tabla_vida!$P$92,EXP(-D114*E2_tabla_vida!$X$93)*E2_tabla_vida!$P$93,EXP(-D114*E2_tabla_vida!$X$94)*E2_tabla_vida!$P$94,EXP(-D114*E2_tabla_vida!$X$95)*E2_tabla_vida!$P$95,EXP(-D114*E2_tabla_vida!$X$96)*E2_tabla_vida!$P$96,EXP(-D114*E2_tabla_vida!$X$97)*E2_tabla_vida!$P$97,EXP(-D114*E2_tabla_vida!$X$98)*E2_tabla_vida!$P$98,EXP(-D114*E2_tabla_vida!$X$99)*E2_tabla_vida!$P$99,EXP(-D114*E2_tabla_vida!$X$100)*E2_tabla_vida!$P$100,EXP(-D114*E2_tabla_vida!$X$101)*E2_tabla_vida!$P$101,EXP(-D114*E2_tabla_vida!$X$102)*E2_tabla_vida!$P$102,EXP(-D114*E2_tabla_vida!$X$103)*E2_tabla_vida!$P$103,EXP(-D114*E2_tabla_vida!$X$104)*E2_tabla_vida!$P$104,EXP(-D114*E2_tabla_vida!$X$105)*E2_tabla_vida!$P$105,EXP(-D114*E2_tabla_vida!$X$106)*E2_tabla_vida!$P$106,EXP(-D114*E2_tabla_vida!$X$107)*E2_tabla_vida!$P$107,EXP(-D114*E2_tabla_vida!$X$108)*E2_tabla_vida!$P$108,EXP(-D114*E2_tabla_vida!$X$109)*E2_tabla_vida!$P$109,EXP(-D114*E2_tabla_vida!$X$110)*E2_tabla_vida!$P$110,EXP(-D114*E2_tabla_vida!$X$111)*E2_tabla_vida!$P$111,EXP(-D114*E2_tabla_vida!$X$112)*E2_tabla_vida!$P$112,EXP(-D114*E2_tabla_vida!$X$113)*E2_tabla_vida!$P$113,EXP(-D114*E2_tabla_vida!$X$114)*E2_tabla_vida!$P$114,EXP(-D114*E2_tabla_vida!$X$115)*E2_tabla_vida!$P$115,EXP(-D114*E2_tabla_vida!$X$116)*E2_tabla_vida!$P$116,EXP(-D114*E2_tabla_vida!$X$117)*E2_tabla_vida!$P$117,EXP(-D114*E2_tabla_vida!$X$118)*E2_tabla_vida!$P$118,EXP(-D114*E2_tabla_vida!$X$119)*E2_tabla_vida!$P$119,EXP(-D114*E2_tabla_vida!$X$120)*E2_tabla_vida!$P$120,EXP(-D114*E2_tabla_vida!$X$121)*E2_tabla_vida!$P$121,EXP(-D114*E2_tabla_vida!$X$122)*E2_tabla_vida!$P$122,EXP(-D114*E2_tabla_vida!$X$123)*E2_tabla_vida!$P$123,EXP(-D114*E2_tabla_vida!$X$124)*E2_tabla_vida!$P$124,EXP(-D114*E2_tabla_vida!$X$125)*E2_tabla_vida!$P$125,EXP(-D114*E2_tabla_vida!$X$126)*E2_tabla_vida!$P$126,EXP(-D114*E2_tabla_vida!$X$127)*E2_tabla_vida!$P$127)-1</x:f>
        <x:v>-0.000019486099011811753</x:v>
      </x:c>
    </x:row>
    <x:row r="115" ht="19" customHeight="1">
      <x:c r="A115" s="2" t="str">
        <x:v>MP_L7</x:v>
      </x:c>
      <x:c r="B115" s="2" t="n">
        <x:v>21</x:v>
      </x:c>
      <x:c r="C115" s="22" t="n">
        <x:f>IF(F114&gt;0,E114,C114)</x:f>
        <x:v>0.1792464256286621</x:v>
      </x:c>
      <x:c r="D115" s="22" t="n">
        <x:f>IF(F114&gt;0,D114,E114)</x:f>
        <x:v>0.17924785614013672</x:v>
      </x:c>
      <x:c r="E115" s="22" t="n">
        <x:f>AVERAGE(C115:D115)</x:f>
        <x:v>0.17924714088439941</x:v>
      </x:c>
      <x:c r="F115" s="24" t="n">
        <x:f>SUM(EXP(-E115*E2_tabla_vida!$X$86)*E2_tabla_vida!$P$86,EXP(-E115*E2_tabla_vida!$X$87)*E2_tabla_vida!$P$87,EXP(-E115*E2_tabla_vida!$X$88)*E2_tabla_vida!$P$88,EXP(-E115*E2_tabla_vida!$X$89)*E2_tabla_vida!$P$89,EXP(-E115*E2_tabla_vida!$X$90)*E2_tabla_vida!$P$90,EXP(-E115*E2_tabla_vida!$X$91)*E2_tabla_vida!$P$91,EXP(-E115*E2_tabla_vida!$X$92)*E2_tabla_vida!$P$92,EXP(-E115*E2_tabla_vida!$X$93)*E2_tabla_vida!$P$93,EXP(-E115*E2_tabla_vida!$X$94)*E2_tabla_vida!$P$94,EXP(-E115*E2_tabla_vida!$X$95)*E2_tabla_vida!$P$95,EXP(-E115*E2_tabla_vida!$X$96)*E2_tabla_vida!$P$96,EXP(-E115*E2_tabla_vida!$X$97)*E2_tabla_vida!$P$97,EXP(-E115*E2_tabla_vida!$X$98)*E2_tabla_vida!$P$98,EXP(-E115*E2_tabla_vida!$X$99)*E2_tabla_vida!$P$99,EXP(-E115*E2_tabla_vida!$X$100)*E2_tabla_vida!$P$100,EXP(-E115*E2_tabla_vida!$X$101)*E2_tabla_vida!$P$101,EXP(-E115*E2_tabla_vida!$X$102)*E2_tabla_vida!$P$102,EXP(-E115*E2_tabla_vida!$X$103)*E2_tabla_vida!$P$103,EXP(-E115*E2_tabla_vida!$X$104)*E2_tabla_vida!$P$104,EXP(-E115*E2_tabla_vida!$X$105)*E2_tabla_vida!$P$105,EXP(-E115*E2_tabla_vida!$X$106)*E2_tabla_vida!$P$106,EXP(-E115*E2_tabla_vida!$X$107)*E2_tabla_vida!$P$107,EXP(-E115*E2_tabla_vida!$X$108)*E2_tabla_vida!$P$108,EXP(-E115*E2_tabla_vida!$X$109)*E2_tabla_vida!$P$109,EXP(-E115*E2_tabla_vida!$X$110)*E2_tabla_vida!$P$110,EXP(-E115*E2_tabla_vida!$X$111)*E2_tabla_vida!$P$111,EXP(-E115*E2_tabla_vida!$X$112)*E2_tabla_vida!$P$112,EXP(-E115*E2_tabla_vida!$X$113)*E2_tabla_vida!$P$113,EXP(-E115*E2_tabla_vida!$X$114)*E2_tabla_vida!$P$114,EXP(-E115*E2_tabla_vida!$X$115)*E2_tabla_vida!$P$115,EXP(-E115*E2_tabla_vida!$X$116)*E2_tabla_vida!$P$116,EXP(-E115*E2_tabla_vida!$X$117)*E2_tabla_vida!$P$117,EXP(-E115*E2_tabla_vida!$X$118)*E2_tabla_vida!$P$118,EXP(-E115*E2_tabla_vida!$X$119)*E2_tabla_vida!$P$119,EXP(-E115*E2_tabla_vida!$X$120)*E2_tabla_vida!$P$120,EXP(-E115*E2_tabla_vida!$X$121)*E2_tabla_vida!$P$121,EXP(-E115*E2_tabla_vida!$X$122)*E2_tabla_vida!$P$122,EXP(-E115*E2_tabla_vida!$X$123)*E2_tabla_vida!$P$123,EXP(-E115*E2_tabla_vida!$X$124)*E2_tabla_vida!$P$124,EXP(-E115*E2_tabla_vida!$X$125)*E2_tabla_vida!$P$125,EXP(-E115*E2_tabla_vida!$X$126)*E2_tabla_vida!$P$126,EXP(-E115*E2_tabla_vida!$X$127)*E2_tabla_vida!$P$127)-1</x:f>
        <x:v>-0.00000798916976174624</x:v>
      </x:c>
      <x:c r="G115" s="24" t="n">
        <x:f>SUM(EXP(-C115*E2_tabla_vida!$X$86)*E2_tabla_vida!$P$86,EXP(-C115*E2_tabla_vida!$X$87)*E2_tabla_vida!$P$87,EXP(-C115*E2_tabla_vida!$X$88)*E2_tabla_vida!$P$88,EXP(-C115*E2_tabla_vida!$X$89)*E2_tabla_vida!$P$89,EXP(-C115*E2_tabla_vida!$X$90)*E2_tabla_vida!$P$90,EXP(-C115*E2_tabla_vida!$X$91)*E2_tabla_vida!$P$91,EXP(-C115*E2_tabla_vida!$X$92)*E2_tabla_vida!$P$92,EXP(-C115*E2_tabla_vida!$X$93)*E2_tabla_vida!$P$93,EXP(-C115*E2_tabla_vida!$X$94)*E2_tabla_vida!$P$94,EXP(-C115*E2_tabla_vida!$X$95)*E2_tabla_vida!$P$95,EXP(-C115*E2_tabla_vida!$X$96)*E2_tabla_vida!$P$96,EXP(-C115*E2_tabla_vida!$X$97)*E2_tabla_vida!$P$97,EXP(-C115*E2_tabla_vida!$X$98)*E2_tabla_vida!$P$98,EXP(-C115*E2_tabla_vida!$X$99)*E2_tabla_vida!$P$99,EXP(-C115*E2_tabla_vida!$X$100)*E2_tabla_vida!$P$100,EXP(-C115*E2_tabla_vida!$X$101)*E2_tabla_vida!$P$101,EXP(-C115*E2_tabla_vida!$X$102)*E2_tabla_vida!$P$102,EXP(-C115*E2_tabla_vida!$X$103)*E2_tabla_vida!$P$103,EXP(-C115*E2_tabla_vida!$X$104)*E2_tabla_vida!$P$104,EXP(-C115*E2_tabla_vida!$X$105)*E2_tabla_vida!$P$105,EXP(-C115*E2_tabla_vida!$X$106)*E2_tabla_vida!$P$106,EXP(-C115*E2_tabla_vida!$X$107)*E2_tabla_vida!$P$107,EXP(-C115*E2_tabla_vida!$X$108)*E2_tabla_vida!$P$108,EXP(-C115*E2_tabla_vida!$X$109)*E2_tabla_vida!$P$109,EXP(-C115*E2_tabla_vida!$X$110)*E2_tabla_vida!$P$110,EXP(-C115*E2_tabla_vida!$X$111)*E2_tabla_vida!$P$111,EXP(-C115*E2_tabla_vida!$X$112)*E2_tabla_vida!$P$112,EXP(-C115*E2_tabla_vida!$X$113)*E2_tabla_vida!$P$113,EXP(-C115*E2_tabla_vida!$X$114)*E2_tabla_vida!$P$114,EXP(-C115*E2_tabla_vida!$X$115)*E2_tabla_vida!$P$115,EXP(-C115*E2_tabla_vida!$X$116)*E2_tabla_vida!$P$116,EXP(-C115*E2_tabla_vida!$X$117)*E2_tabla_vida!$P$117,EXP(-C115*E2_tabla_vida!$X$118)*E2_tabla_vida!$P$118,EXP(-C115*E2_tabla_vida!$X$119)*E2_tabla_vida!$P$119,EXP(-C115*E2_tabla_vida!$X$120)*E2_tabla_vida!$P$120,EXP(-C115*E2_tabla_vida!$X$121)*E2_tabla_vida!$P$121,EXP(-C115*E2_tabla_vida!$X$122)*E2_tabla_vida!$P$122,EXP(-C115*E2_tabla_vida!$X$123)*E2_tabla_vida!$P$123,EXP(-C115*E2_tabla_vida!$X$124)*E2_tabla_vida!$P$124,EXP(-C115*E2_tabla_vida!$X$125)*E2_tabla_vida!$P$125,EXP(-C115*E2_tabla_vida!$X$126)*E2_tabla_vida!$P$126,EXP(-C115*E2_tabla_vida!$X$127)*E2_tabla_vida!$P$127)-1</x:f>
        <x:v>0.0000035078970956892164</x:v>
      </x:c>
      <x:c r="H115" s="24" t="n">
        <x:f>SUM(EXP(-D115*E2_tabla_vida!$X$86)*E2_tabla_vida!$P$86,EXP(-D115*E2_tabla_vida!$X$87)*E2_tabla_vida!$P$87,EXP(-D115*E2_tabla_vida!$X$88)*E2_tabla_vida!$P$88,EXP(-D115*E2_tabla_vida!$X$89)*E2_tabla_vida!$P$89,EXP(-D115*E2_tabla_vida!$X$90)*E2_tabla_vida!$P$90,EXP(-D115*E2_tabla_vida!$X$91)*E2_tabla_vida!$P$91,EXP(-D115*E2_tabla_vida!$X$92)*E2_tabla_vida!$P$92,EXP(-D115*E2_tabla_vida!$X$93)*E2_tabla_vida!$P$93,EXP(-D115*E2_tabla_vida!$X$94)*E2_tabla_vida!$P$94,EXP(-D115*E2_tabla_vida!$X$95)*E2_tabla_vida!$P$95,EXP(-D115*E2_tabla_vida!$X$96)*E2_tabla_vida!$P$96,EXP(-D115*E2_tabla_vida!$X$97)*E2_tabla_vida!$P$97,EXP(-D115*E2_tabla_vida!$X$98)*E2_tabla_vida!$P$98,EXP(-D115*E2_tabla_vida!$X$99)*E2_tabla_vida!$P$99,EXP(-D115*E2_tabla_vida!$X$100)*E2_tabla_vida!$P$100,EXP(-D115*E2_tabla_vida!$X$101)*E2_tabla_vida!$P$101,EXP(-D115*E2_tabla_vida!$X$102)*E2_tabla_vida!$P$102,EXP(-D115*E2_tabla_vida!$X$103)*E2_tabla_vida!$P$103,EXP(-D115*E2_tabla_vida!$X$104)*E2_tabla_vida!$P$104,EXP(-D115*E2_tabla_vida!$X$105)*E2_tabla_vida!$P$105,EXP(-D115*E2_tabla_vida!$X$106)*E2_tabla_vida!$P$106,EXP(-D115*E2_tabla_vida!$X$107)*E2_tabla_vida!$P$107,EXP(-D115*E2_tabla_vida!$X$108)*E2_tabla_vida!$P$108,EXP(-D115*E2_tabla_vida!$X$109)*E2_tabla_vida!$P$109,EXP(-D115*E2_tabla_vida!$X$110)*E2_tabla_vida!$P$110,EXP(-D115*E2_tabla_vida!$X$111)*E2_tabla_vida!$P$111,EXP(-D115*E2_tabla_vida!$X$112)*E2_tabla_vida!$P$112,EXP(-D115*E2_tabla_vida!$X$113)*E2_tabla_vida!$P$113,EXP(-D115*E2_tabla_vida!$X$114)*E2_tabla_vida!$P$114,EXP(-D115*E2_tabla_vida!$X$115)*E2_tabla_vida!$P$115,EXP(-D115*E2_tabla_vida!$X$116)*E2_tabla_vida!$P$116,EXP(-D115*E2_tabla_vida!$X$117)*E2_tabla_vida!$P$117,EXP(-D115*E2_tabla_vida!$X$118)*E2_tabla_vida!$P$118,EXP(-D115*E2_tabla_vida!$X$119)*E2_tabla_vida!$P$119,EXP(-D115*E2_tabla_vida!$X$120)*E2_tabla_vida!$P$120,EXP(-D115*E2_tabla_vida!$X$121)*E2_tabla_vida!$P$121,EXP(-D115*E2_tabla_vida!$X$122)*E2_tabla_vida!$P$122,EXP(-D115*E2_tabla_vida!$X$123)*E2_tabla_vida!$P$123,EXP(-D115*E2_tabla_vida!$X$124)*E2_tabla_vida!$P$124,EXP(-D115*E2_tabla_vida!$X$125)*E2_tabla_vida!$P$125,EXP(-D115*E2_tabla_vida!$X$126)*E2_tabla_vida!$P$126,EXP(-D115*E2_tabla_vida!$X$127)*E2_tabla_vida!$P$127)-1</x:f>
        <x:v>-0.000019486099011811753</x:v>
      </x:c>
    </x:row>
    <x:row r="116" ht="19" customHeight="1">
      <x:c r="A116" s="2" t="str">
        <x:v>MP_L7</x:v>
      </x:c>
      <x:c r="B116" s="2" t="n">
        <x:v>22</x:v>
      </x:c>
      <x:c r="C116" s="22" t="n">
        <x:f>IF(F115&gt;0,E115,C115)</x:f>
        <x:v>0.1792464256286621</x:v>
      </x:c>
      <x:c r="D116" s="22" t="n">
        <x:f>IF(F115&gt;0,D115,E115)</x:f>
        <x:v>0.17924714088439941</x:v>
      </x:c>
      <x:c r="E116" s="22" t="n">
        <x:f>AVERAGE(C116:D116)</x:f>
        <x:v>0.17924678325653076</x:v>
      </x:c>
      <x:c r="F116" s="24" t="n">
        <x:f>SUM(EXP(-E116*E2_tabla_vida!$X$86)*E2_tabla_vida!$P$86,EXP(-E116*E2_tabla_vida!$X$87)*E2_tabla_vida!$P$87,EXP(-E116*E2_tabla_vida!$X$88)*E2_tabla_vida!$P$88,EXP(-E116*E2_tabla_vida!$X$89)*E2_tabla_vida!$P$89,EXP(-E116*E2_tabla_vida!$X$90)*E2_tabla_vida!$P$90,EXP(-E116*E2_tabla_vida!$X$91)*E2_tabla_vida!$P$91,EXP(-E116*E2_tabla_vida!$X$92)*E2_tabla_vida!$P$92,EXP(-E116*E2_tabla_vida!$X$93)*E2_tabla_vida!$P$93,EXP(-E116*E2_tabla_vida!$X$94)*E2_tabla_vida!$P$94,EXP(-E116*E2_tabla_vida!$X$95)*E2_tabla_vida!$P$95,EXP(-E116*E2_tabla_vida!$X$96)*E2_tabla_vida!$P$96,EXP(-E116*E2_tabla_vida!$X$97)*E2_tabla_vida!$P$97,EXP(-E116*E2_tabla_vida!$X$98)*E2_tabla_vida!$P$98,EXP(-E116*E2_tabla_vida!$X$99)*E2_tabla_vida!$P$99,EXP(-E116*E2_tabla_vida!$X$100)*E2_tabla_vida!$P$100,EXP(-E116*E2_tabla_vida!$X$101)*E2_tabla_vida!$P$101,EXP(-E116*E2_tabla_vida!$X$102)*E2_tabla_vida!$P$102,EXP(-E116*E2_tabla_vida!$X$103)*E2_tabla_vida!$P$103,EXP(-E116*E2_tabla_vida!$X$104)*E2_tabla_vida!$P$104,EXP(-E116*E2_tabla_vida!$X$105)*E2_tabla_vida!$P$105,EXP(-E116*E2_tabla_vida!$X$106)*E2_tabla_vida!$P$106,EXP(-E116*E2_tabla_vida!$X$107)*E2_tabla_vida!$P$107,EXP(-E116*E2_tabla_vida!$X$108)*E2_tabla_vida!$P$108,EXP(-E116*E2_tabla_vida!$X$109)*E2_tabla_vida!$P$109,EXP(-E116*E2_tabla_vida!$X$110)*E2_tabla_vida!$P$110,EXP(-E116*E2_tabla_vida!$X$111)*E2_tabla_vida!$P$111,EXP(-E116*E2_tabla_vida!$X$112)*E2_tabla_vida!$P$112,EXP(-E116*E2_tabla_vida!$X$113)*E2_tabla_vida!$P$113,EXP(-E116*E2_tabla_vida!$X$114)*E2_tabla_vida!$P$114,EXP(-E116*E2_tabla_vida!$X$115)*E2_tabla_vida!$P$115,EXP(-E116*E2_tabla_vida!$X$116)*E2_tabla_vida!$P$116,EXP(-E116*E2_tabla_vida!$X$117)*E2_tabla_vida!$P$117,EXP(-E116*E2_tabla_vida!$X$118)*E2_tabla_vida!$P$118,EXP(-E116*E2_tabla_vida!$X$119)*E2_tabla_vida!$P$119,EXP(-E116*E2_tabla_vida!$X$120)*E2_tabla_vida!$P$120,EXP(-E116*E2_tabla_vida!$X$121)*E2_tabla_vida!$P$121,EXP(-E116*E2_tabla_vida!$X$122)*E2_tabla_vida!$P$122,EXP(-E116*E2_tabla_vida!$X$123)*E2_tabla_vida!$P$123,EXP(-E116*E2_tabla_vida!$X$124)*E2_tabla_vida!$P$124,EXP(-E116*E2_tabla_vida!$X$125)*E2_tabla_vida!$P$125,EXP(-E116*E2_tabla_vida!$X$126)*E2_tabla_vida!$P$126,EXP(-E116*E2_tabla_vida!$X$127)*E2_tabla_vida!$P$127)-1</x:f>
        <x:v>-0.000002240653534046899</x:v>
      </x:c>
      <x:c r="G116" s="24" t="n">
        <x:f>SUM(EXP(-C116*E2_tabla_vida!$X$86)*E2_tabla_vida!$P$86,EXP(-C116*E2_tabla_vida!$X$87)*E2_tabla_vida!$P$87,EXP(-C116*E2_tabla_vida!$X$88)*E2_tabla_vida!$P$88,EXP(-C116*E2_tabla_vida!$X$89)*E2_tabla_vida!$P$89,EXP(-C116*E2_tabla_vida!$X$90)*E2_tabla_vida!$P$90,EXP(-C116*E2_tabla_vida!$X$91)*E2_tabla_vida!$P$91,EXP(-C116*E2_tabla_vida!$X$92)*E2_tabla_vida!$P$92,EXP(-C116*E2_tabla_vida!$X$93)*E2_tabla_vida!$P$93,EXP(-C116*E2_tabla_vida!$X$94)*E2_tabla_vida!$P$94,EXP(-C116*E2_tabla_vida!$X$95)*E2_tabla_vida!$P$95,EXP(-C116*E2_tabla_vida!$X$96)*E2_tabla_vida!$P$96,EXP(-C116*E2_tabla_vida!$X$97)*E2_tabla_vida!$P$97,EXP(-C116*E2_tabla_vida!$X$98)*E2_tabla_vida!$P$98,EXP(-C116*E2_tabla_vida!$X$99)*E2_tabla_vida!$P$99,EXP(-C116*E2_tabla_vida!$X$100)*E2_tabla_vida!$P$100,EXP(-C116*E2_tabla_vida!$X$101)*E2_tabla_vida!$P$101,EXP(-C116*E2_tabla_vida!$X$102)*E2_tabla_vida!$P$102,EXP(-C116*E2_tabla_vida!$X$103)*E2_tabla_vida!$P$103,EXP(-C116*E2_tabla_vida!$X$104)*E2_tabla_vida!$P$104,EXP(-C116*E2_tabla_vida!$X$105)*E2_tabla_vida!$P$105,EXP(-C116*E2_tabla_vida!$X$106)*E2_tabla_vida!$P$106,EXP(-C116*E2_tabla_vida!$X$107)*E2_tabla_vida!$P$107,EXP(-C116*E2_tabla_vida!$X$108)*E2_tabla_vida!$P$108,EXP(-C116*E2_tabla_vida!$X$109)*E2_tabla_vida!$P$109,EXP(-C116*E2_tabla_vida!$X$110)*E2_tabla_vida!$P$110,EXP(-C116*E2_tabla_vida!$X$111)*E2_tabla_vida!$P$111,EXP(-C116*E2_tabla_vida!$X$112)*E2_tabla_vida!$P$112,EXP(-C116*E2_tabla_vida!$X$113)*E2_tabla_vida!$P$113,EXP(-C116*E2_tabla_vida!$X$114)*E2_tabla_vida!$P$114,EXP(-C116*E2_tabla_vida!$X$115)*E2_tabla_vida!$P$115,EXP(-C116*E2_tabla_vida!$X$116)*E2_tabla_vida!$P$116,EXP(-C116*E2_tabla_vida!$X$117)*E2_tabla_vida!$P$117,EXP(-C116*E2_tabla_vida!$X$118)*E2_tabla_vida!$P$118,EXP(-C116*E2_tabla_vida!$X$119)*E2_tabla_vida!$P$119,EXP(-C116*E2_tabla_vida!$X$120)*E2_tabla_vida!$P$120,EXP(-C116*E2_tabla_vida!$X$121)*E2_tabla_vida!$P$121,EXP(-C116*E2_tabla_vida!$X$122)*E2_tabla_vida!$P$122,EXP(-C116*E2_tabla_vida!$X$123)*E2_tabla_vida!$P$123,EXP(-C116*E2_tabla_vida!$X$124)*E2_tabla_vida!$P$124,EXP(-C116*E2_tabla_vida!$X$125)*E2_tabla_vida!$P$125,EXP(-C116*E2_tabla_vida!$X$126)*E2_tabla_vida!$P$126,EXP(-C116*E2_tabla_vida!$X$127)*E2_tabla_vida!$P$127)-1</x:f>
        <x:v>0.0000035078970956892164</x:v>
      </x:c>
      <x:c r="H116" s="24" t="n">
        <x:f>SUM(EXP(-D116*E2_tabla_vida!$X$86)*E2_tabla_vida!$P$86,EXP(-D116*E2_tabla_vida!$X$87)*E2_tabla_vida!$P$87,EXP(-D116*E2_tabla_vida!$X$88)*E2_tabla_vida!$P$88,EXP(-D116*E2_tabla_vida!$X$89)*E2_tabla_vida!$P$89,EXP(-D116*E2_tabla_vida!$X$90)*E2_tabla_vida!$P$90,EXP(-D116*E2_tabla_vida!$X$91)*E2_tabla_vida!$P$91,EXP(-D116*E2_tabla_vida!$X$92)*E2_tabla_vida!$P$92,EXP(-D116*E2_tabla_vida!$X$93)*E2_tabla_vida!$P$93,EXP(-D116*E2_tabla_vida!$X$94)*E2_tabla_vida!$P$94,EXP(-D116*E2_tabla_vida!$X$95)*E2_tabla_vida!$P$95,EXP(-D116*E2_tabla_vida!$X$96)*E2_tabla_vida!$P$96,EXP(-D116*E2_tabla_vida!$X$97)*E2_tabla_vida!$P$97,EXP(-D116*E2_tabla_vida!$X$98)*E2_tabla_vida!$P$98,EXP(-D116*E2_tabla_vida!$X$99)*E2_tabla_vida!$P$99,EXP(-D116*E2_tabla_vida!$X$100)*E2_tabla_vida!$P$100,EXP(-D116*E2_tabla_vida!$X$101)*E2_tabla_vida!$P$101,EXP(-D116*E2_tabla_vida!$X$102)*E2_tabla_vida!$P$102,EXP(-D116*E2_tabla_vida!$X$103)*E2_tabla_vida!$P$103,EXP(-D116*E2_tabla_vida!$X$104)*E2_tabla_vida!$P$104,EXP(-D116*E2_tabla_vida!$X$105)*E2_tabla_vida!$P$105,EXP(-D116*E2_tabla_vida!$X$106)*E2_tabla_vida!$P$106,EXP(-D116*E2_tabla_vida!$X$107)*E2_tabla_vida!$P$107,EXP(-D116*E2_tabla_vida!$X$108)*E2_tabla_vida!$P$108,EXP(-D116*E2_tabla_vida!$X$109)*E2_tabla_vida!$P$109,EXP(-D116*E2_tabla_vida!$X$110)*E2_tabla_vida!$P$110,EXP(-D116*E2_tabla_vida!$X$111)*E2_tabla_vida!$P$111,EXP(-D116*E2_tabla_vida!$X$112)*E2_tabla_vida!$P$112,EXP(-D116*E2_tabla_vida!$X$113)*E2_tabla_vida!$P$113,EXP(-D116*E2_tabla_vida!$X$114)*E2_tabla_vida!$P$114,EXP(-D116*E2_tabla_vida!$X$115)*E2_tabla_vida!$P$115,EXP(-D116*E2_tabla_vida!$X$116)*E2_tabla_vida!$P$116,EXP(-D116*E2_tabla_vida!$X$117)*E2_tabla_vida!$P$117,EXP(-D116*E2_tabla_vida!$X$118)*E2_tabla_vida!$P$118,EXP(-D116*E2_tabla_vida!$X$119)*E2_tabla_vida!$P$119,EXP(-D116*E2_tabla_vida!$X$120)*E2_tabla_vida!$P$120,EXP(-D116*E2_tabla_vida!$X$121)*E2_tabla_vida!$P$121,EXP(-D116*E2_tabla_vida!$X$122)*E2_tabla_vida!$P$122,EXP(-D116*E2_tabla_vida!$X$123)*E2_tabla_vida!$P$123,EXP(-D116*E2_tabla_vida!$X$124)*E2_tabla_vida!$P$124,EXP(-D116*E2_tabla_vida!$X$125)*E2_tabla_vida!$P$125,EXP(-D116*E2_tabla_vida!$X$126)*E2_tabla_vida!$P$126,EXP(-D116*E2_tabla_vida!$X$127)*E2_tabla_vida!$P$127)-1</x:f>
        <x:v>-0.00000798916976174624</x:v>
      </x:c>
    </x:row>
    <x:row r="117" ht="19" customHeight="1">
      <x:c r="A117" s="2" t="str">
        <x:v>MP_L7</x:v>
      </x:c>
      <x:c r="B117" s="2" t="n">
        <x:v>23</x:v>
      </x:c>
      <x:c r="C117" s="22" t="n">
        <x:f>IF(F116&gt;0,E116,C116)</x:f>
        <x:v>0.1792464256286621</x:v>
      </x:c>
      <x:c r="D117" s="22" t="n">
        <x:f>IF(F116&gt;0,D116,E116)</x:f>
        <x:v>0.17924678325653076</x:v>
      </x:c>
      <x:c r="E117" s="22" t="n">
        <x:f>AVERAGE(C117:D117)</x:f>
        <x:v>0.17924660444259644</x:v>
      </x:c>
      <x:c r="F117" s="24" t="n">
        <x:f>SUM(EXP(-E117*E2_tabla_vida!$X$86)*E2_tabla_vida!$P$86,EXP(-E117*E2_tabla_vida!$X$87)*E2_tabla_vida!$P$87,EXP(-E117*E2_tabla_vida!$X$88)*E2_tabla_vida!$P$88,EXP(-E117*E2_tabla_vida!$X$89)*E2_tabla_vida!$P$89,EXP(-E117*E2_tabla_vida!$X$90)*E2_tabla_vida!$P$90,EXP(-E117*E2_tabla_vida!$X$91)*E2_tabla_vida!$P$91,EXP(-E117*E2_tabla_vida!$X$92)*E2_tabla_vida!$P$92,EXP(-E117*E2_tabla_vida!$X$93)*E2_tabla_vida!$P$93,EXP(-E117*E2_tabla_vida!$X$94)*E2_tabla_vida!$P$94,EXP(-E117*E2_tabla_vida!$X$95)*E2_tabla_vida!$P$95,EXP(-E117*E2_tabla_vida!$X$96)*E2_tabla_vida!$P$96,EXP(-E117*E2_tabla_vida!$X$97)*E2_tabla_vida!$P$97,EXP(-E117*E2_tabla_vida!$X$98)*E2_tabla_vida!$P$98,EXP(-E117*E2_tabla_vida!$X$99)*E2_tabla_vida!$P$99,EXP(-E117*E2_tabla_vida!$X$100)*E2_tabla_vida!$P$100,EXP(-E117*E2_tabla_vida!$X$101)*E2_tabla_vida!$P$101,EXP(-E117*E2_tabla_vida!$X$102)*E2_tabla_vida!$P$102,EXP(-E117*E2_tabla_vida!$X$103)*E2_tabla_vida!$P$103,EXP(-E117*E2_tabla_vida!$X$104)*E2_tabla_vida!$P$104,EXP(-E117*E2_tabla_vida!$X$105)*E2_tabla_vida!$P$105,EXP(-E117*E2_tabla_vida!$X$106)*E2_tabla_vida!$P$106,EXP(-E117*E2_tabla_vida!$X$107)*E2_tabla_vida!$P$107,EXP(-E117*E2_tabla_vida!$X$108)*E2_tabla_vida!$P$108,EXP(-E117*E2_tabla_vida!$X$109)*E2_tabla_vida!$P$109,EXP(-E117*E2_tabla_vida!$X$110)*E2_tabla_vida!$P$110,EXP(-E117*E2_tabla_vida!$X$111)*E2_tabla_vida!$P$111,EXP(-E117*E2_tabla_vida!$X$112)*E2_tabla_vida!$P$112,EXP(-E117*E2_tabla_vida!$X$113)*E2_tabla_vida!$P$113,EXP(-E117*E2_tabla_vida!$X$114)*E2_tabla_vida!$P$114,EXP(-E117*E2_tabla_vida!$X$115)*E2_tabla_vida!$P$115,EXP(-E117*E2_tabla_vida!$X$116)*E2_tabla_vida!$P$116,EXP(-E117*E2_tabla_vida!$X$117)*E2_tabla_vida!$P$117,EXP(-E117*E2_tabla_vida!$X$118)*E2_tabla_vida!$P$118,EXP(-E117*E2_tabla_vida!$X$119)*E2_tabla_vida!$P$119,EXP(-E117*E2_tabla_vida!$X$120)*E2_tabla_vida!$P$120,EXP(-E117*E2_tabla_vida!$X$121)*E2_tabla_vida!$P$121,EXP(-E117*E2_tabla_vida!$X$122)*E2_tabla_vida!$P$122,EXP(-E117*E2_tabla_vida!$X$123)*E2_tabla_vida!$P$123,EXP(-E117*E2_tabla_vida!$X$124)*E2_tabla_vida!$P$124,EXP(-E117*E2_tabla_vida!$X$125)*E2_tabla_vida!$P$125,EXP(-E117*E2_tabla_vida!$X$126)*E2_tabla_vida!$P$126,EXP(-E117*E2_tabla_vida!$X$127)*E2_tabla_vida!$P$127)-1</x:f>
        <x:v>6.33617480483295e-7</x:v>
      </x:c>
      <x:c r="G117" s="24" t="n">
        <x:f>SUM(EXP(-C117*E2_tabla_vida!$X$86)*E2_tabla_vida!$P$86,EXP(-C117*E2_tabla_vida!$X$87)*E2_tabla_vida!$P$87,EXP(-C117*E2_tabla_vida!$X$88)*E2_tabla_vida!$P$88,EXP(-C117*E2_tabla_vida!$X$89)*E2_tabla_vida!$P$89,EXP(-C117*E2_tabla_vida!$X$90)*E2_tabla_vida!$P$90,EXP(-C117*E2_tabla_vida!$X$91)*E2_tabla_vida!$P$91,EXP(-C117*E2_tabla_vida!$X$92)*E2_tabla_vida!$P$92,EXP(-C117*E2_tabla_vida!$X$93)*E2_tabla_vida!$P$93,EXP(-C117*E2_tabla_vida!$X$94)*E2_tabla_vida!$P$94,EXP(-C117*E2_tabla_vida!$X$95)*E2_tabla_vida!$P$95,EXP(-C117*E2_tabla_vida!$X$96)*E2_tabla_vida!$P$96,EXP(-C117*E2_tabla_vida!$X$97)*E2_tabla_vida!$P$97,EXP(-C117*E2_tabla_vida!$X$98)*E2_tabla_vida!$P$98,EXP(-C117*E2_tabla_vida!$X$99)*E2_tabla_vida!$P$99,EXP(-C117*E2_tabla_vida!$X$100)*E2_tabla_vida!$P$100,EXP(-C117*E2_tabla_vida!$X$101)*E2_tabla_vida!$P$101,EXP(-C117*E2_tabla_vida!$X$102)*E2_tabla_vida!$P$102,EXP(-C117*E2_tabla_vida!$X$103)*E2_tabla_vida!$P$103,EXP(-C117*E2_tabla_vida!$X$104)*E2_tabla_vida!$P$104,EXP(-C117*E2_tabla_vida!$X$105)*E2_tabla_vida!$P$105,EXP(-C117*E2_tabla_vida!$X$106)*E2_tabla_vida!$P$106,EXP(-C117*E2_tabla_vida!$X$107)*E2_tabla_vida!$P$107,EXP(-C117*E2_tabla_vida!$X$108)*E2_tabla_vida!$P$108,EXP(-C117*E2_tabla_vida!$X$109)*E2_tabla_vida!$P$109,EXP(-C117*E2_tabla_vida!$X$110)*E2_tabla_vida!$P$110,EXP(-C117*E2_tabla_vida!$X$111)*E2_tabla_vida!$P$111,EXP(-C117*E2_tabla_vida!$X$112)*E2_tabla_vida!$P$112,EXP(-C117*E2_tabla_vida!$X$113)*E2_tabla_vida!$P$113,EXP(-C117*E2_tabla_vida!$X$114)*E2_tabla_vida!$P$114,EXP(-C117*E2_tabla_vida!$X$115)*E2_tabla_vida!$P$115,EXP(-C117*E2_tabla_vida!$X$116)*E2_tabla_vida!$P$116,EXP(-C117*E2_tabla_vida!$X$117)*E2_tabla_vida!$P$117,EXP(-C117*E2_tabla_vida!$X$118)*E2_tabla_vida!$P$118,EXP(-C117*E2_tabla_vida!$X$119)*E2_tabla_vida!$P$119,EXP(-C117*E2_tabla_vida!$X$120)*E2_tabla_vida!$P$120,EXP(-C117*E2_tabla_vida!$X$121)*E2_tabla_vida!$P$121,EXP(-C117*E2_tabla_vida!$X$122)*E2_tabla_vida!$P$122,EXP(-C117*E2_tabla_vida!$X$123)*E2_tabla_vida!$P$123,EXP(-C117*E2_tabla_vida!$X$124)*E2_tabla_vida!$P$124,EXP(-C117*E2_tabla_vida!$X$125)*E2_tabla_vida!$P$125,EXP(-C117*E2_tabla_vida!$X$126)*E2_tabla_vida!$P$126,EXP(-C117*E2_tabla_vida!$X$127)*E2_tabla_vida!$P$127)-1</x:f>
        <x:v>0.0000035078970956892164</x:v>
      </x:c>
      <x:c r="H117" s="24" t="n">
        <x:f>SUM(EXP(-D117*E2_tabla_vida!$X$86)*E2_tabla_vida!$P$86,EXP(-D117*E2_tabla_vida!$X$87)*E2_tabla_vida!$P$87,EXP(-D117*E2_tabla_vida!$X$88)*E2_tabla_vida!$P$88,EXP(-D117*E2_tabla_vida!$X$89)*E2_tabla_vida!$P$89,EXP(-D117*E2_tabla_vida!$X$90)*E2_tabla_vida!$P$90,EXP(-D117*E2_tabla_vida!$X$91)*E2_tabla_vida!$P$91,EXP(-D117*E2_tabla_vida!$X$92)*E2_tabla_vida!$P$92,EXP(-D117*E2_tabla_vida!$X$93)*E2_tabla_vida!$P$93,EXP(-D117*E2_tabla_vida!$X$94)*E2_tabla_vida!$P$94,EXP(-D117*E2_tabla_vida!$X$95)*E2_tabla_vida!$P$95,EXP(-D117*E2_tabla_vida!$X$96)*E2_tabla_vida!$P$96,EXP(-D117*E2_tabla_vida!$X$97)*E2_tabla_vida!$P$97,EXP(-D117*E2_tabla_vida!$X$98)*E2_tabla_vida!$P$98,EXP(-D117*E2_tabla_vida!$X$99)*E2_tabla_vida!$P$99,EXP(-D117*E2_tabla_vida!$X$100)*E2_tabla_vida!$P$100,EXP(-D117*E2_tabla_vida!$X$101)*E2_tabla_vida!$P$101,EXP(-D117*E2_tabla_vida!$X$102)*E2_tabla_vida!$P$102,EXP(-D117*E2_tabla_vida!$X$103)*E2_tabla_vida!$P$103,EXP(-D117*E2_tabla_vida!$X$104)*E2_tabla_vida!$P$104,EXP(-D117*E2_tabla_vida!$X$105)*E2_tabla_vida!$P$105,EXP(-D117*E2_tabla_vida!$X$106)*E2_tabla_vida!$P$106,EXP(-D117*E2_tabla_vida!$X$107)*E2_tabla_vida!$P$107,EXP(-D117*E2_tabla_vida!$X$108)*E2_tabla_vida!$P$108,EXP(-D117*E2_tabla_vida!$X$109)*E2_tabla_vida!$P$109,EXP(-D117*E2_tabla_vida!$X$110)*E2_tabla_vida!$P$110,EXP(-D117*E2_tabla_vida!$X$111)*E2_tabla_vida!$P$111,EXP(-D117*E2_tabla_vida!$X$112)*E2_tabla_vida!$P$112,EXP(-D117*E2_tabla_vida!$X$113)*E2_tabla_vida!$P$113,EXP(-D117*E2_tabla_vida!$X$114)*E2_tabla_vida!$P$114,EXP(-D117*E2_tabla_vida!$X$115)*E2_tabla_vida!$P$115,EXP(-D117*E2_tabla_vida!$X$116)*E2_tabla_vida!$P$116,EXP(-D117*E2_tabla_vida!$X$117)*E2_tabla_vida!$P$117,EXP(-D117*E2_tabla_vida!$X$118)*E2_tabla_vida!$P$118,EXP(-D117*E2_tabla_vida!$X$119)*E2_tabla_vida!$P$119,EXP(-D117*E2_tabla_vida!$X$120)*E2_tabla_vida!$P$120,EXP(-D117*E2_tabla_vida!$X$121)*E2_tabla_vida!$P$121,EXP(-D117*E2_tabla_vida!$X$122)*E2_tabla_vida!$P$122,EXP(-D117*E2_tabla_vida!$X$123)*E2_tabla_vida!$P$123,EXP(-D117*E2_tabla_vida!$X$124)*E2_tabla_vida!$P$124,EXP(-D117*E2_tabla_vida!$X$125)*E2_tabla_vida!$P$125,EXP(-D117*E2_tabla_vida!$X$126)*E2_tabla_vida!$P$126,EXP(-D117*E2_tabla_vida!$X$127)*E2_tabla_vida!$P$127)-1</x:f>
        <x:v>-0.000002240653534046899</x:v>
      </x:c>
    </x:row>
    <x:row r="118" ht="19" customHeight="1">
      <x:c r="A118" s="2" t="str">
        <x:v>MP_L7</x:v>
      </x:c>
      <x:c r="B118" s="2" t="n">
        <x:v>24</x:v>
      </x:c>
      <x:c r="C118" s="22" t="n">
        <x:f>IF(F117&gt;0,E117,C117)</x:f>
        <x:v>0.17924660444259644</x:v>
      </x:c>
      <x:c r="D118" s="22" t="n">
        <x:f>IF(F117&gt;0,D117,E117)</x:f>
        <x:v>0.17924678325653076</x:v>
      </x:c>
      <x:c r="E118" s="22" t="n">
        <x:f>AVERAGE(C118:D118)</x:f>
        <x:v>0.1792466938495636</x:v>
      </x:c>
      <x:c r="F118" s="24" t="n">
        <x:f>SUM(EXP(-E118*E2_tabla_vida!$X$86)*E2_tabla_vida!$P$86,EXP(-E118*E2_tabla_vida!$X$87)*E2_tabla_vida!$P$87,EXP(-E118*E2_tabla_vida!$X$88)*E2_tabla_vida!$P$88,EXP(-E118*E2_tabla_vida!$X$89)*E2_tabla_vida!$P$89,EXP(-E118*E2_tabla_vida!$X$90)*E2_tabla_vida!$P$90,EXP(-E118*E2_tabla_vida!$X$91)*E2_tabla_vida!$P$91,EXP(-E118*E2_tabla_vida!$X$92)*E2_tabla_vida!$P$92,EXP(-E118*E2_tabla_vida!$X$93)*E2_tabla_vida!$P$93,EXP(-E118*E2_tabla_vida!$X$94)*E2_tabla_vida!$P$94,EXP(-E118*E2_tabla_vida!$X$95)*E2_tabla_vida!$P$95,EXP(-E118*E2_tabla_vida!$X$96)*E2_tabla_vida!$P$96,EXP(-E118*E2_tabla_vida!$X$97)*E2_tabla_vida!$P$97,EXP(-E118*E2_tabla_vida!$X$98)*E2_tabla_vida!$P$98,EXP(-E118*E2_tabla_vida!$X$99)*E2_tabla_vida!$P$99,EXP(-E118*E2_tabla_vida!$X$100)*E2_tabla_vida!$P$100,EXP(-E118*E2_tabla_vida!$X$101)*E2_tabla_vida!$P$101,EXP(-E118*E2_tabla_vida!$X$102)*E2_tabla_vida!$P$102,EXP(-E118*E2_tabla_vida!$X$103)*E2_tabla_vida!$P$103,EXP(-E118*E2_tabla_vida!$X$104)*E2_tabla_vida!$P$104,EXP(-E118*E2_tabla_vida!$X$105)*E2_tabla_vida!$P$105,EXP(-E118*E2_tabla_vida!$X$106)*E2_tabla_vida!$P$106,EXP(-E118*E2_tabla_vida!$X$107)*E2_tabla_vida!$P$107,EXP(-E118*E2_tabla_vida!$X$108)*E2_tabla_vida!$P$108,EXP(-E118*E2_tabla_vida!$X$109)*E2_tabla_vida!$P$109,EXP(-E118*E2_tabla_vida!$X$110)*E2_tabla_vida!$P$110,EXP(-E118*E2_tabla_vida!$X$111)*E2_tabla_vida!$P$111,EXP(-E118*E2_tabla_vida!$X$112)*E2_tabla_vida!$P$112,EXP(-E118*E2_tabla_vida!$X$113)*E2_tabla_vida!$P$113,EXP(-E118*E2_tabla_vida!$X$114)*E2_tabla_vida!$P$114,EXP(-E118*E2_tabla_vida!$X$115)*E2_tabla_vida!$P$115,EXP(-E118*E2_tabla_vida!$X$116)*E2_tabla_vida!$P$116,EXP(-E118*E2_tabla_vida!$X$117)*E2_tabla_vida!$P$117,EXP(-E118*E2_tabla_vida!$X$118)*E2_tabla_vida!$P$118,EXP(-E118*E2_tabla_vida!$X$119)*E2_tabla_vida!$P$119,EXP(-E118*E2_tabla_vida!$X$120)*E2_tabla_vida!$P$120,EXP(-E118*E2_tabla_vida!$X$121)*E2_tabla_vida!$P$121,EXP(-E118*E2_tabla_vida!$X$122)*E2_tabla_vida!$P$122,EXP(-E118*E2_tabla_vida!$X$123)*E2_tabla_vida!$P$123,EXP(-E118*E2_tabla_vida!$X$124)*E2_tabla_vida!$P$124,EXP(-E118*E2_tabla_vida!$X$125)*E2_tabla_vida!$P$125,EXP(-E118*E2_tabla_vida!$X$126)*E2_tabla_vida!$P$126,EXP(-E118*E2_tabla_vida!$X$127)*E2_tabla_vida!$P$127)-1</x:f>
        <x:v>-8.035191019217791e-7</x:v>
      </x:c>
      <x:c r="G118" s="24" t="n">
        <x:f>SUM(EXP(-C118*E2_tabla_vida!$X$86)*E2_tabla_vida!$P$86,EXP(-C118*E2_tabla_vida!$X$87)*E2_tabla_vida!$P$87,EXP(-C118*E2_tabla_vida!$X$88)*E2_tabla_vida!$P$88,EXP(-C118*E2_tabla_vida!$X$89)*E2_tabla_vida!$P$89,EXP(-C118*E2_tabla_vida!$X$90)*E2_tabla_vida!$P$90,EXP(-C118*E2_tabla_vida!$X$91)*E2_tabla_vida!$P$91,EXP(-C118*E2_tabla_vida!$X$92)*E2_tabla_vida!$P$92,EXP(-C118*E2_tabla_vida!$X$93)*E2_tabla_vida!$P$93,EXP(-C118*E2_tabla_vida!$X$94)*E2_tabla_vida!$P$94,EXP(-C118*E2_tabla_vida!$X$95)*E2_tabla_vida!$P$95,EXP(-C118*E2_tabla_vida!$X$96)*E2_tabla_vida!$P$96,EXP(-C118*E2_tabla_vida!$X$97)*E2_tabla_vida!$P$97,EXP(-C118*E2_tabla_vida!$X$98)*E2_tabla_vida!$P$98,EXP(-C118*E2_tabla_vida!$X$99)*E2_tabla_vida!$P$99,EXP(-C118*E2_tabla_vida!$X$100)*E2_tabla_vida!$P$100,EXP(-C118*E2_tabla_vida!$X$101)*E2_tabla_vida!$P$101,EXP(-C118*E2_tabla_vida!$X$102)*E2_tabla_vida!$P$102,EXP(-C118*E2_tabla_vida!$X$103)*E2_tabla_vida!$P$103,EXP(-C118*E2_tabla_vida!$X$104)*E2_tabla_vida!$P$104,EXP(-C118*E2_tabla_vida!$X$105)*E2_tabla_vida!$P$105,EXP(-C118*E2_tabla_vida!$X$106)*E2_tabla_vida!$P$106,EXP(-C118*E2_tabla_vida!$X$107)*E2_tabla_vida!$P$107,EXP(-C118*E2_tabla_vida!$X$108)*E2_tabla_vida!$P$108,EXP(-C118*E2_tabla_vida!$X$109)*E2_tabla_vida!$P$109,EXP(-C118*E2_tabla_vida!$X$110)*E2_tabla_vida!$P$110,EXP(-C118*E2_tabla_vida!$X$111)*E2_tabla_vida!$P$111,EXP(-C118*E2_tabla_vida!$X$112)*E2_tabla_vida!$P$112,EXP(-C118*E2_tabla_vida!$X$113)*E2_tabla_vida!$P$113,EXP(-C118*E2_tabla_vida!$X$114)*E2_tabla_vida!$P$114,EXP(-C118*E2_tabla_vida!$X$115)*E2_tabla_vida!$P$115,EXP(-C118*E2_tabla_vida!$X$116)*E2_tabla_vida!$P$116,EXP(-C118*E2_tabla_vida!$X$117)*E2_tabla_vida!$P$117,EXP(-C118*E2_tabla_vida!$X$118)*E2_tabla_vida!$P$118,EXP(-C118*E2_tabla_vida!$X$119)*E2_tabla_vida!$P$119,EXP(-C118*E2_tabla_vida!$X$120)*E2_tabla_vida!$P$120,EXP(-C118*E2_tabla_vida!$X$121)*E2_tabla_vida!$P$121,EXP(-C118*E2_tabla_vida!$X$122)*E2_tabla_vida!$P$122,EXP(-C118*E2_tabla_vida!$X$123)*E2_tabla_vida!$P$123,EXP(-C118*E2_tabla_vida!$X$124)*E2_tabla_vida!$P$124,EXP(-C118*E2_tabla_vida!$X$125)*E2_tabla_vida!$P$125,EXP(-C118*E2_tabla_vida!$X$126)*E2_tabla_vida!$P$126,EXP(-C118*E2_tabla_vida!$X$127)*E2_tabla_vida!$P$127)-1</x:f>
        <x:v>6.33617480483295e-7</x:v>
      </x:c>
      <x:c r="H118" s="24" t="n">
        <x:f>SUM(EXP(-D118*E2_tabla_vida!$X$86)*E2_tabla_vida!$P$86,EXP(-D118*E2_tabla_vida!$X$87)*E2_tabla_vida!$P$87,EXP(-D118*E2_tabla_vida!$X$88)*E2_tabla_vida!$P$88,EXP(-D118*E2_tabla_vida!$X$89)*E2_tabla_vida!$P$89,EXP(-D118*E2_tabla_vida!$X$90)*E2_tabla_vida!$P$90,EXP(-D118*E2_tabla_vida!$X$91)*E2_tabla_vida!$P$91,EXP(-D118*E2_tabla_vida!$X$92)*E2_tabla_vida!$P$92,EXP(-D118*E2_tabla_vida!$X$93)*E2_tabla_vida!$P$93,EXP(-D118*E2_tabla_vida!$X$94)*E2_tabla_vida!$P$94,EXP(-D118*E2_tabla_vida!$X$95)*E2_tabla_vida!$P$95,EXP(-D118*E2_tabla_vida!$X$96)*E2_tabla_vida!$P$96,EXP(-D118*E2_tabla_vida!$X$97)*E2_tabla_vida!$P$97,EXP(-D118*E2_tabla_vida!$X$98)*E2_tabla_vida!$P$98,EXP(-D118*E2_tabla_vida!$X$99)*E2_tabla_vida!$P$99,EXP(-D118*E2_tabla_vida!$X$100)*E2_tabla_vida!$P$100,EXP(-D118*E2_tabla_vida!$X$101)*E2_tabla_vida!$P$101,EXP(-D118*E2_tabla_vida!$X$102)*E2_tabla_vida!$P$102,EXP(-D118*E2_tabla_vida!$X$103)*E2_tabla_vida!$P$103,EXP(-D118*E2_tabla_vida!$X$104)*E2_tabla_vida!$P$104,EXP(-D118*E2_tabla_vida!$X$105)*E2_tabla_vida!$P$105,EXP(-D118*E2_tabla_vida!$X$106)*E2_tabla_vida!$P$106,EXP(-D118*E2_tabla_vida!$X$107)*E2_tabla_vida!$P$107,EXP(-D118*E2_tabla_vida!$X$108)*E2_tabla_vida!$P$108,EXP(-D118*E2_tabla_vida!$X$109)*E2_tabla_vida!$P$109,EXP(-D118*E2_tabla_vida!$X$110)*E2_tabla_vida!$P$110,EXP(-D118*E2_tabla_vida!$X$111)*E2_tabla_vida!$P$111,EXP(-D118*E2_tabla_vida!$X$112)*E2_tabla_vida!$P$112,EXP(-D118*E2_tabla_vida!$X$113)*E2_tabla_vida!$P$113,EXP(-D118*E2_tabla_vida!$X$114)*E2_tabla_vida!$P$114,EXP(-D118*E2_tabla_vida!$X$115)*E2_tabla_vida!$P$115,EXP(-D118*E2_tabla_vida!$X$116)*E2_tabla_vida!$P$116,EXP(-D118*E2_tabla_vida!$X$117)*E2_tabla_vida!$P$117,EXP(-D118*E2_tabla_vida!$X$118)*E2_tabla_vida!$P$118,EXP(-D118*E2_tabla_vida!$X$119)*E2_tabla_vida!$P$119,EXP(-D118*E2_tabla_vida!$X$120)*E2_tabla_vida!$P$120,EXP(-D118*E2_tabla_vida!$X$121)*E2_tabla_vida!$P$121,EXP(-D118*E2_tabla_vida!$X$122)*E2_tabla_vida!$P$122,EXP(-D118*E2_tabla_vida!$X$123)*E2_tabla_vida!$P$123,EXP(-D118*E2_tabla_vida!$X$124)*E2_tabla_vida!$P$124,EXP(-D118*E2_tabla_vida!$X$125)*E2_tabla_vida!$P$125,EXP(-D118*E2_tabla_vida!$X$126)*E2_tabla_vida!$P$126,EXP(-D118*E2_tabla_vida!$X$127)*E2_tabla_vida!$P$127)-1</x:f>
        <x:v>-0.000002240653534046899</x:v>
      </x:c>
    </x:row>
    <x:row r="119" ht="19" customHeight="1">
      <x:c r="A119" s="2" t="str">
        <x:v>MP_L7</x:v>
      </x:c>
      <x:c r="B119" s="2" t="n">
        <x:v>25</x:v>
      </x:c>
      <x:c r="C119" s="22" t="n">
        <x:f>IF(F118&gt;0,E118,C118)</x:f>
        <x:v>0.17924660444259644</x:v>
      </x:c>
      <x:c r="D119" s="22" t="n">
        <x:f>IF(F118&gt;0,D118,E118)</x:f>
        <x:v>0.1792466938495636</x:v>
      </x:c>
      <x:c r="E119" s="22" t="n">
        <x:f>AVERAGE(C119:D119)</x:f>
        <x:v>0.17924664914608002</x:v>
      </x:c>
      <x:c r="F119" s="24" t="n">
        <x:f>SUM(EXP(-E119*E2_tabla_vida!$X$86)*E2_tabla_vida!$P$86,EXP(-E119*E2_tabla_vida!$X$87)*E2_tabla_vida!$P$87,EXP(-E119*E2_tabla_vida!$X$88)*E2_tabla_vida!$P$88,EXP(-E119*E2_tabla_vida!$X$89)*E2_tabla_vida!$P$89,EXP(-E119*E2_tabla_vida!$X$90)*E2_tabla_vida!$P$90,EXP(-E119*E2_tabla_vida!$X$91)*E2_tabla_vida!$P$91,EXP(-E119*E2_tabla_vida!$X$92)*E2_tabla_vida!$P$92,EXP(-E119*E2_tabla_vida!$X$93)*E2_tabla_vida!$P$93,EXP(-E119*E2_tabla_vida!$X$94)*E2_tabla_vida!$P$94,EXP(-E119*E2_tabla_vida!$X$95)*E2_tabla_vida!$P$95,EXP(-E119*E2_tabla_vida!$X$96)*E2_tabla_vida!$P$96,EXP(-E119*E2_tabla_vida!$X$97)*E2_tabla_vida!$P$97,EXP(-E119*E2_tabla_vida!$X$98)*E2_tabla_vida!$P$98,EXP(-E119*E2_tabla_vida!$X$99)*E2_tabla_vida!$P$99,EXP(-E119*E2_tabla_vida!$X$100)*E2_tabla_vida!$P$100,EXP(-E119*E2_tabla_vida!$X$101)*E2_tabla_vida!$P$101,EXP(-E119*E2_tabla_vida!$X$102)*E2_tabla_vida!$P$102,EXP(-E119*E2_tabla_vida!$X$103)*E2_tabla_vida!$P$103,EXP(-E119*E2_tabla_vida!$X$104)*E2_tabla_vida!$P$104,EXP(-E119*E2_tabla_vida!$X$105)*E2_tabla_vida!$P$105,EXP(-E119*E2_tabla_vida!$X$106)*E2_tabla_vida!$P$106,EXP(-E119*E2_tabla_vida!$X$107)*E2_tabla_vida!$P$107,EXP(-E119*E2_tabla_vida!$X$108)*E2_tabla_vida!$P$108,EXP(-E119*E2_tabla_vida!$X$109)*E2_tabla_vida!$P$109,EXP(-E119*E2_tabla_vida!$X$110)*E2_tabla_vida!$P$110,EXP(-E119*E2_tabla_vida!$X$111)*E2_tabla_vida!$P$111,EXP(-E119*E2_tabla_vida!$X$112)*E2_tabla_vida!$P$112,EXP(-E119*E2_tabla_vida!$X$113)*E2_tabla_vida!$P$113,EXP(-E119*E2_tabla_vida!$X$114)*E2_tabla_vida!$P$114,EXP(-E119*E2_tabla_vida!$X$115)*E2_tabla_vida!$P$115,EXP(-E119*E2_tabla_vida!$X$116)*E2_tabla_vida!$P$116,EXP(-E119*E2_tabla_vida!$X$117)*E2_tabla_vida!$P$117,EXP(-E119*E2_tabla_vida!$X$118)*E2_tabla_vida!$P$118,EXP(-E119*E2_tabla_vida!$X$119)*E2_tabla_vida!$P$119,EXP(-E119*E2_tabla_vida!$X$120)*E2_tabla_vida!$P$120,EXP(-E119*E2_tabla_vida!$X$121)*E2_tabla_vida!$P$121,EXP(-E119*E2_tabla_vida!$X$122)*E2_tabla_vida!$P$122,EXP(-E119*E2_tabla_vida!$X$123)*E2_tabla_vida!$P$123,EXP(-E119*E2_tabla_vida!$X$124)*E2_tabla_vida!$P$124,EXP(-E119*E2_tabla_vida!$X$125)*E2_tabla_vida!$P$125,EXP(-E119*E2_tabla_vida!$X$126)*E2_tabla_vida!$P$126,EXP(-E119*E2_tabla_vida!$X$127)*E2_tabla_vida!$P$127)-1</x:f>
        <x:v>-8.49510792821917e-8</x:v>
      </x:c>
      <x:c r="G119" s="24" t="n">
        <x:f>SUM(EXP(-C119*E2_tabla_vida!$X$86)*E2_tabla_vida!$P$86,EXP(-C119*E2_tabla_vida!$X$87)*E2_tabla_vida!$P$87,EXP(-C119*E2_tabla_vida!$X$88)*E2_tabla_vida!$P$88,EXP(-C119*E2_tabla_vida!$X$89)*E2_tabla_vida!$P$89,EXP(-C119*E2_tabla_vida!$X$90)*E2_tabla_vida!$P$90,EXP(-C119*E2_tabla_vida!$X$91)*E2_tabla_vida!$P$91,EXP(-C119*E2_tabla_vida!$X$92)*E2_tabla_vida!$P$92,EXP(-C119*E2_tabla_vida!$X$93)*E2_tabla_vida!$P$93,EXP(-C119*E2_tabla_vida!$X$94)*E2_tabla_vida!$P$94,EXP(-C119*E2_tabla_vida!$X$95)*E2_tabla_vida!$P$95,EXP(-C119*E2_tabla_vida!$X$96)*E2_tabla_vida!$P$96,EXP(-C119*E2_tabla_vida!$X$97)*E2_tabla_vida!$P$97,EXP(-C119*E2_tabla_vida!$X$98)*E2_tabla_vida!$P$98,EXP(-C119*E2_tabla_vida!$X$99)*E2_tabla_vida!$P$99,EXP(-C119*E2_tabla_vida!$X$100)*E2_tabla_vida!$P$100,EXP(-C119*E2_tabla_vida!$X$101)*E2_tabla_vida!$P$101,EXP(-C119*E2_tabla_vida!$X$102)*E2_tabla_vida!$P$102,EXP(-C119*E2_tabla_vida!$X$103)*E2_tabla_vida!$P$103,EXP(-C119*E2_tabla_vida!$X$104)*E2_tabla_vida!$P$104,EXP(-C119*E2_tabla_vida!$X$105)*E2_tabla_vida!$P$105,EXP(-C119*E2_tabla_vida!$X$106)*E2_tabla_vida!$P$106,EXP(-C119*E2_tabla_vida!$X$107)*E2_tabla_vida!$P$107,EXP(-C119*E2_tabla_vida!$X$108)*E2_tabla_vida!$P$108,EXP(-C119*E2_tabla_vida!$X$109)*E2_tabla_vida!$P$109,EXP(-C119*E2_tabla_vida!$X$110)*E2_tabla_vida!$P$110,EXP(-C119*E2_tabla_vida!$X$111)*E2_tabla_vida!$P$111,EXP(-C119*E2_tabla_vida!$X$112)*E2_tabla_vida!$P$112,EXP(-C119*E2_tabla_vida!$X$113)*E2_tabla_vida!$P$113,EXP(-C119*E2_tabla_vida!$X$114)*E2_tabla_vida!$P$114,EXP(-C119*E2_tabla_vida!$X$115)*E2_tabla_vida!$P$115,EXP(-C119*E2_tabla_vida!$X$116)*E2_tabla_vida!$P$116,EXP(-C119*E2_tabla_vida!$X$117)*E2_tabla_vida!$P$117,EXP(-C119*E2_tabla_vida!$X$118)*E2_tabla_vida!$P$118,EXP(-C119*E2_tabla_vida!$X$119)*E2_tabla_vida!$P$119,EXP(-C119*E2_tabla_vida!$X$120)*E2_tabla_vida!$P$120,EXP(-C119*E2_tabla_vida!$X$121)*E2_tabla_vida!$P$121,EXP(-C119*E2_tabla_vida!$X$122)*E2_tabla_vida!$P$122,EXP(-C119*E2_tabla_vida!$X$123)*E2_tabla_vida!$P$123,EXP(-C119*E2_tabla_vida!$X$124)*E2_tabla_vida!$P$124,EXP(-C119*E2_tabla_vida!$X$125)*E2_tabla_vida!$P$125,EXP(-C119*E2_tabla_vida!$X$126)*E2_tabla_vida!$P$126,EXP(-C119*E2_tabla_vida!$X$127)*E2_tabla_vida!$P$127)-1</x:f>
        <x:v>6.33617480483295e-7</x:v>
      </x:c>
      <x:c r="H119" s="24" t="n">
        <x:f>SUM(EXP(-D119*E2_tabla_vida!$X$86)*E2_tabla_vida!$P$86,EXP(-D119*E2_tabla_vida!$X$87)*E2_tabla_vida!$P$87,EXP(-D119*E2_tabla_vida!$X$88)*E2_tabla_vida!$P$88,EXP(-D119*E2_tabla_vida!$X$89)*E2_tabla_vida!$P$89,EXP(-D119*E2_tabla_vida!$X$90)*E2_tabla_vida!$P$90,EXP(-D119*E2_tabla_vida!$X$91)*E2_tabla_vida!$P$91,EXP(-D119*E2_tabla_vida!$X$92)*E2_tabla_vida!$P$92,EXP(-D119*E2_tabla_vida!$X$93)*E2_tabla_vida!$P$93,EXP(-D119*E2_tabla_vida!$X$94)*E2_tabla_vida!$P$94,EXP(-D119*E2_tabla_vida!$X$95)*E2_tabla_vida!$P$95,EXP(-D119*E2_tabla_vida!$X$96)*E2_tabla_vida!$P$96,EXP(-D119*E2_tabla_vida!$X$97)*E2_tabla_vida!$P$97,EXP(-D119*E2_tabla_vida!$X$98)*E2_tabla_vida!$P$98,EXP(-D119*E2_tabla_vida!$X$99)*E2_tabla_vida!$P$99,EXP(-D119*E2_tabla_vida!$X$100)*E2_tabla_vida!$P$100,EXP(-D119*E2_tabla_vida!$X$101)*E2_tabla_vida!$P$101,EXP(-D119*E2_tabla_vida!$X$102)*E2_tabla_vida!$P$102,EXP(-D119*E2_tabla_vida!$X$103)*E2_tabla_vida!$P$103,EXP(-D119*E2_tabla_vida!$X$104)*E2_tabla_vida!$P$104,EXP(-D119*E2_tabla_vida!$X$105)*E2_tabla_vida!$P$105,EXP(-D119*E2_tabla_vida!$X$106)*E2_tabla_vida!$P$106,EXP(-D119*E2_tabla_vida!$X$107)*E2_tabla_vida!$P$107,EXP(-D119*E2_tabla_vida!$X$108)*E2_tabla_vida!$P$108,EXP(-D119*E2_tabla_vida!$X$109)*E2_tabla_vida!$P$109,EXP(-D119*E2_tabla_vida!$X$110)*E2_tabla_vida!$P$110,EXP(-D119*E2_tabla_vida!$X$111)*E2_tabla_vida!$P$111,EXP(-D119*E2_tabla_vida!$X$112)*E2_tabla_vida!$P$112,EXP(-D119*E2_tabla_vida!$X$113)*E2_tabla_vida!$P$113,EXP(-D119*E2_tabla_vida!$X$114)*E2_tabla_vida!$P$114,EXP(-D119*E2_tabla_vida!$X$115)*E2_tabla_vida!$P$115,EXP(-D119*E2_tabla_vida!$X$116)*E2_tabla_vida!$P$116,EXP(-D119*E2_tabla_vida!$X$117)*E2_tabla_vida!$P$117,EXP(-D119*E2_tabla_vida!$X$118)*E2_tabla_vida!$P$118,EXP(-D119*E2_tabla_vida!$X$119)*E2_tabla_vida!$P$119,EXP(-D119*E2_tabla_vida!$X$120)*E2_tabla_vida!$P$120,EXP(-D119*E2_tabla_vida!$X$121)*E2_tabla_vida!$P$121,EXP(-D119*E2_tabla_vida!$X$122)*E2_tabla_vida!$P$122,EXP(-D119*E2_tabla_vida!$X$123)*E2_tabla_vida!$P$123,EXP(-D119*E2_tabla_vida!$X$124)*E2_tabla_vida!$P$124,EXP(-D119*E2_tabla_vida!$X$125)*E2_tabla_vida!$P$125,EXP(-D119*E2_tabla_vida!$X$126)*E2_tabla_vida!$P$126,EXP(-D119*E2_tabla_vida!$X$127)*E2_tabla_vida!$P$127)-1</x:f>
        <x:v>-8.035191019217791e-7</x:v>
      </x:c>
    </x:row>
    <x:row r="120" ht="19" customHeight="1">
      <x:c r="A120" s="2" t="str">
        <x:v>MP_L7</x:v>
      </x:c>
      <x:c r="B120" s="2" t="n">
        <x:v>26</x:v>
      </x:c>
      <x:c r="C120" s="22" t="n">
        <x:f>IF(F119&gt;0,E119,C119)</x:f>
        <x:v>0.17924660444259644</x:v>
      </x:c>
      <x:c r="D120" s="22" t="n">
        <x:f>IF(F119&gt;0,D119,E119)</x:f>
        <x:v>0.17924664914608002</x:v>
      </x:c>
      <x:c r="E120" s="22" t="n">
        <x:f>AVERAGE(C120:D120)</x:f>
        <x:v>0.17924662679433823</x:v>
      </x:c>
      <x:c r="F120" s="24" t="n">
        <x:f>SUM(EXP(-E120*E2_tabla_vida!$X$86)*E2_tabla_vida!$P$86,EXP(-E120*E2_tabla_vida!$X$87)*E2_tabla_vida!$P$87,EXP(-E120*E2_tabla_vida!$X$88)*E2_tabla_vida!$P$88,EXP(-E120*E2_tabla_vida!$X$89)*E2_tabla_vida!$P$89,EXP(-E120*E2_tabla_vida!$X$90)*E2_tabla_vida!$P$90,EXP(-E120*E2_tabla_vida!$X$91)*E2_tabla_vida!$P$91,EXP(-E120*E2_tabla_vida!$X$92)*E2_tabla_vida!$P$92,EXP(-E120*E2_tabla_vida!$X$93)*E2_tabla_vida!$P$93,EXP(-E120*E2_tabla_vida!$X$94)*E2_tabla_vida!$P$94,EXP(-E120*E2_tabla_vida!$X$95)*E2_tabla_vida!$P$95,EXP(-E120*E2_tabla_vida!$X$96)*E2_tabla_vida!$P$96,EXP(-E120*E2_tabla_vida!$X$97)*E2_tabla_vida!$P$97,EXP(-E120*E2_tabla_vida!$X$98)*E2_tabla_vida!$P$98,EXP(-E120*E2_tabla_vida!$X$99)*E2_tabla_vida!$P$99,EXP(-E120*E2_tabla_vida!$X$100)*E2_tabla_vida!$P$100,EXP(-E120*E2_tabla_vida!$X$101)*E2_tabla_vida!$P$101,EXP(-E120*E2_tabla_vida!$X$102)*E2_tabla_vida!$P$102,EXP(-E120*E2_tabla_vida!$X$103)*E2_tabla_vida!$P$103,EXP(-E120*E2_tabla_vida!$X$104)*E2_tabla_vida!$P$104,EXP(-E120*E2_tabla_vida!$X$105)*E2_tabla_vida!$P$105,EXP(-E120*E2_tabla_vida!$X$106)*E2_tabla_vida!$P$106,EXP(-E120*E2_tabla_vida!$X$107)*E2_tabla_vida!$P$107,EXP(-E120*E2_tabla_vida!$X$108)*E2_tabla_vida!$P$108,EXP(-E120*E2_tabla_vida!$X$109)*E2_tabla_vida!$P$109,EXP(-E120*E2_tabla_vida!$X$110)*E2_tabla_vida!$P$110,EXP(-E120*E2_tabla_vida!$X$111)*E2_tabla_vida!$P$111,EXP(-E120*E2_tabla_vida!$X$112)*E2_tabla_vida!$P$112,EXP(-E120*E2_tabla_vida!$X$113)*E2_tabla_vida!$P$113,EXP(-E120*E2_tabla_vida!$X$114)*E2_tabla_vida!$P$114,EXP(-E120*E2_tabla_vida!$X$115)*E2_tabla_vida!$P$115,EXP(-E120*E2_tabla_vida!$X$116)*E2_tabla_vida!$P$116,EXP(-E120*E2_tabla_vida!$X$117)*E2_tabla_vida!$P$117,EXP(-E120*E2_tabla_vida!$X$118)*E2_tabla_vida!$P$118,EXP(-E120*E2_tabla_vida!$X$119)*E2_tabla_vida!$P$119,EXP(-E120*E2_tabla_vida!$X$120)*E2_tabla_vida!$P$120,EXP(-E120*E2_tabla_vida!$X$121)*E2_tabla_vida!$P$121,EXP(-E120*E2_tabla_vida!$X$122)*E2_tabla_vida!$P$122,EXP(-E120*E2_tabla_vida!$X$123)*E2_tabla_vida!$P$123,EXP(-E120*E2_tabla_vida!$X$124)*E2_tabla_vida!$P$124,EXP(-E120*E2_tabla_vida!$X$125)*E2_tabla_vida!$P$125,EXP(-E120*E2_tabla_vida!$X$126)*E2_tabla_vida!$P$126,EXP(-E120*E2_tabla_vida!$X$127)*E2_tabla_vida!$P$127)-1</x:f>
        <x:v>2.74333133543081e-7</x:v>
      </x:c>
      <x:c r="G120" s="24" t="n">
        <x:f>SUM(EXP(-C120*E2_tabla_vida!$X$86)*E2_tabla_vida!$P$86,EXP(-C120*E2_tabla_vida!$X$87)*E2_tabla_vida!$P$87,EXP(-C120*E2_tabla_vida!$X$88)*E2_tabla_vida!$P$88,EXP(-C120*E2_tabla_vida!$X$89)*E2_tabla_vida!$P$89,EXP(-C120*E2_tabla_vida!$X$90)*E2_tabla_vida!$P$90,EXP(-C120*E2_tabla_vida!$X$91)*E2_tabla_vida!$P$91,EXP(-C120*E2_tabla_vida!$X$92)*E2_tabla_vida!$P$92,EXP(-C120*E2_tabla_vida!$X$93)*E2_tabla_vida!$P$93,EXP(-C120*E2_tabla_vida!$X$94)*E2_tabla_vida!$P$94,EXP(-C120*E2_tabla_vida!$X$95)*E2_tabla_vida!$P$95,EXP(-C120*E2_tabla_vida!$X$96)*E2_tabla_vida!$P$96,EXP(-C120*E2_tabla_vida!$X$97)*E2_tabla_vida!$P$97,EXP(-C120*E2_tabla_vida!$X$98)*E2_tabla_vida!$P$98,EXP(-C120*E2_tabla_vida!$X$99)*E2_tabla_vida!$P$99,EXP(-C120*E2_tabla_vida!$X$100)*E2_tabla_vida!$P$100,EXP(-C120*E2_tabla_vida!$X$101)*E2_tabla_vida!$P$101,EXP(-C120*E2_tabla_vida!$X$102)*E2_tabla_vida!$P$102,EXP(-C120*E2_tabla_vida!$X$103)*E2_tabla_vida!$P$103,EXP(-C120*E2_tabla_vida!$X$104)*E2_tabla_vida!$P$104,EXP(-C120*E2_tabla_vida!$X$105)*E2_tabla_vida!$P$105,EXP(-C120*E2_tabla_vida!$X$106)*E2_tabla_vida!$P$106,EXP(-C120*E2_tabla_vida!$X$107)*E2_tabla_vida!$P$107,EXP(-C120*E2_tabla_vida!$X$108)*E2_tabla_vida!$P$108,EXP(-C120*E2_tabla_vida!$X$109)*E2_tabla_vida!$P$109,EXP(-C120*E2_tabla_vida!$X$110)*E2_tabla_vida!$P$110,EXP(-C120*E2_tabla_vida!$X$111)*E2_tabla_vida!$P$111,EXP(-C120*E2_tabla_vida!$X$112)*E2_tabla_vida!$P$112,EXP(-C120*E2_tabla_vida!$X$113)*E2_tabla_vida!$P$113,EXP(-C120*E2_tabla_vida!$X$114)*E2_tabla_vida!$P$114,EXP(-C120*E2_tabla_vida!$X$115)*E2_tabla_vida!$P$115,EXP(-C120*E2_tabla_vida!$X$116)*E2_tabla_vida!$P$116,EXP(-C120*E2_tabla_vida!$X$117)*E2_tabla_vida!$P$117,EXP(-C120*E2_tabla_vida!$X$118)*E2_tabla_vida!$P$118,EXP(-C120*E2_tabla_vida!$X$119)*E2_tabla_vida!$P$119,EXP(-C120*E2_tabla_vida!$X$120)*E2_tabla_vida!$P$120,EXP(-C120*E2_tabla_vida!$X$121)*E2_tabla_vida!$P$121,EXP(-C120*E2_tabla_vida!$X$122)*E2_tabla_vida!$P$122,EXP(-C120*E2_tabla_vida!$X$123)*E2_tabla_vida!$P$123,EXP(-C120*E2_tabla_vida!$X$124)*E2_tabla_vida!$P$124,EXP(-C120*E2_tabla_vida!$X$125)*E2_tabla_vida!$P$125,EXP(-C120*E2_tabla_vida!$X$126)*E2_tabla_vida!$P$126,EXP(-C120*E2_tabla_vida!$X$127)*E2_tabla_vida!$P$127)-1</x:f>
        <x:v>6.33617480483295e-7</x:v>
      </x:c>
      <x:c r="H120" s="24" t="n">
        <x:f>SUM(EXP(-D120*E2_tabla_vida!$X$86)*E2_tabla_vida!$P$86,EXP(-D120*E2_tabla_vida!$X$87)*E2_tabla_vida!$P$87,EXP(-D120*E2_tabla_vida!$X$88)*E2_tabla_vida!$P$88,EXP(-D120*E2_tabla_vida!$X$89)*E2_tabla_vida!$P$89,EXP(-D120*E2_tabla_vida!$X$90)*E2_tabla_vida!$P$90,EXP(-D120*E2_tabla_vida!$X$91)*E2_tabla_vida!$P$91,EXP(-D120*E2_tabla_vida!$X$92)*E2_tabla_vida!$P$92,EXP(-D120*E2_tabla_vida!$X$93)*E2_tabla_vida!$P$93,EXP(-D120*E2_tabla_vida!$X$94)*E2_tabla_vida!$P$94,EXP(-D120*E2_tabla_vida!$X$95)*E2_tabla_vida!$P$95,EXP(-D120*E2_tabla_vida!$X$96)*E2_tabla_vida!$P$96,EXP(-D120*E2_tabla_vida!$X$97)*E2_tabla_vida!$P$97,EXP(-D120*E2_tabla_vida!$X$98)*E2_tabla_vida!$P$98,EXP(-D120*E2_tabla_vida!$X$99)*E2_tabla_vida!$P$99,EXP(-D120*E2_tabla_vida!$X$100)*E2_tabla_vida!$P$100,EXP(-D120*E2_tabla_vida!$X$101)*E2_tabla_vida!$P$101,EXP(-D120*E2_tabla_vida!$X$102)*E2_tabla_vida!$P$102,EXP(-D120*E2_tabla_vida!$X$103)*E2_tabla_vida!$P$103,EXP(-D120*E2_tabla_vida!$X$104)*E2_tabla_vida!$P$104,EXP(-D120*E2_tabla_vida!$X$105)*E2_tabla_vida!$P$105,EXP(-D120*E2_tabla_vida!$X$106)*E2_tabla_vida!$P$106,EXP(-D120*E2_tabla_vida!$X$107)*E2_tabla_vida!$P$107,EXP(-D120*E2_tabla_vida!$X$108)*E2_tabla_vida!$P$108,EXP(-D120*E2_tabla_vida!$X$109)*E2_tabla_vida!$P$109,EXP(-D120*E2_tabla_vida!$X$110)*E2_tabla_vida!$P$110,EXP(-D120*E2_tabla_vida!$X$111)*E2_tabla_vida!$P$111,EXP(-D120*E2_tabla_vida!$X$112)*E2_tabla_vida!$P$112,EXP(-D120*E2_tabla_vida!$X$113)*E2_tabla_vida!$P$113,EXP(-D120*E2_tabla_vida!$X$114)*E2_tabla_vida!$P$114,EXP(-D120*E2_tabla_vida!$X$115)*E2_tabla_vida!$P$115,EXP(-D120*E2_tabla_vida!$X$116)*E2_tabla_vida!$P$116,EXP(-D120*E2_tabla_vida!$X$117)*E2_tabla_vida!$P$117,EXP(-D120*E2_tabla_vida!$X$118)*E2_tabla_vida!$P$118,EXP(-D120*E2_tabla_vida!$X$119)*E2_tabla_vida!$P$119,EXP(-D120*E2_tabla_vida!$X$120)*E2_tabla_vida!$P$120,EXP(-D120*E2_tabla_vida!$X$121)*E2_tabla_vida!$P$121,EXP(-D120*E2_tabla_vida!$X$122)*E2_tabla_vida!$P$122,EXP(-D120*E2_tabla_vida!$X$123)*E2_tabla_vida!$P$123,EXP(-D120*E2_tabla_vida!$X$124)*E2_tabla_vida!$P$124,EXP(-D120*E2_tabla_vida!$X$125)*E2_tabla_vida!$P$125,EXP(-D120*E2_tabla_vida!$X$126)*E2_tabla_vida!$P$126,EXP(-D120*E2_tabla_vida!$X$127)*E2_tabla_vida!$P$127)-1</x:f>
        <x:v>-8.49510792821917e-8</x:v>
      </x:c>
    </x:row>
    <x:row r="121" ht="19" customHeight="1">
      <x:c r="A121" s="2" t="str">
        <x:v>MP_L7</x:v>
      </x:c>
      <x:c r="B121" s="2" t="n">
        <x:v>27</x:v>
      </x:c>
      <x:c r="C121" s="22" t="n">
        <x:f>IF(F120&gt;0,E120,C120)</x:f>
        <x:v>0.17924662679433823</x:v>
      </x:c>
      <x:c r="D121" s="22" t="n">
        <x:f>IF(F120&gt;0,D120,E120)</x:f>
        <x:v>0.17924664914608002</x:v>
      </x:c>
      <x:c r="E121" s="22" t="n">
        <x:f>AVERAGE(C121:D121)</x:f>
        <x:v>0.17924663797020912</x:v>
      </x:c>
      <x:c r="F121" s="24" t="n">
        <x:f>SUM(EXP(-E121*E2_tabla_vida!$X$86)*E2_tabla_vida!$P$86,EXP(-E121*E2_tabla_vida!$X$87)*E2_tabla_vida!$P$87,EXP(-E121*E2_tabla_vida!$X$88)*E2_tabla_vida!$P$88,EXP(-E121*E2_tabla_vida!$X$89)*E2_tabla_vida!$P$89,EXP(-E121*E2_tabla_vida!$X$90)*E2_tabla_vida!$P$90,EXP(-E121*E2_tabla_vida!$X$91)*E2_tabla_vida!$P$91,EXP(-E121*E2_tabla_vida!$X$92)*E2_tabla_vida!$P$92,EXP(-E121*E2_tabla_vida!$X$93)*E2_tabla_vida!$P$93,EXP(-E121*E2_tabla_vida!$X$94)*E2_tabla_vida!$P$94,EXP(-E121*E2_tabla_vida!$X$95)*E2_tabla_vida!$P$95,EXP(-E121*E2_tabla_vida!$X$96)*E2_tabla_vida!$P$96,EXP(-E121*E2_tabla_vida!$X$97)*E2_tabla_vida!$P$97,EXP(-E121*E2_tabla_vida!$X$98)*E2_tabla_vida!$P$98,EXP(-E121*E2_tabla_vida!$X$99)*E2_tabla_vida!$P$99,EXP(-E121*E2_tabla_vida!$X$100)*E2_tabla_vida!$P$100,EXP(-E121*E2_tabla_vida!$X$101)*E2_tabla_vida!$P$101,EXP(-E121*E2_tabla_vida!$X$102)*E2_tabla_vida!$P$102,EXP(-E121*E2_tabla_vida!$X$103)*E2_tabla_vida!$P$103,EXP(-E121*E2_tabla_vida!$X$104)*E2_tabla_vida!$P$104,EXP(-E121*E2_tabla_vida!$X$105)*E2_tabla_vida!$P$105,EXP(-E121*E2_tabla_vida!$X$106)*E2_tabla_vida!$P$106,EXP(-E121*E2_tabla_vida!$X$107)*E2_tabla_vida!$P$107,EXP(-E121*E2_tabla_vida!$X$108)*E2_tabla_vida!$P$108,EXP(-E121*E2_tabla_vida!$X$109)*E2_tabla_vida!$P$109,EXP(-E121*E2_tabla_vida!$X$110)*E2_tabla_vida!$P$110,EXP(-E121*E2_tabla_vida!$X$111)*E2_tabla_vida!$P$111,EXP(-E121*E2_tabla_vida!$X$112)*E2_tabla_vida!$P$112,EXP(-E121*E2_tabla_vida!$X$113)*E2_tabla_vida!$P$113,EXP(-E121*E2_tabla_vida!$X$114)*E2_tabla_vida!$P$114,EXP(-E121*E2_tabla_vida!$X$115)*E2_tabla_vida!$P$115,EXP(-E121*E2_tabla_vida!$X$116)*E2_tabla_vida!$P$116,EXP(-E121*E2_tabla_vida!$X$117)*E2_tabla_vida!$P$117,EXP(-E121*E2_tabla_vida!$X$118)*E2_tabla_vida!$P$118,EXP(-E121*E2_tabla_vida!$X$119)*E2_tabla_vida!$P$119,EXP(-E121*E2_tabla_vida!$X$120)*E2_tabla_vida!$P$120,EXP(-E121*E2_tabla_vida!$X$121)*E2_tabla_vida!$P$121,EXP(-E121*E2_tabla_vida!$X$122)*E2_tabla_vida!$P$122,EXP(-E121*E2_tabla_vida!$X$123)*E2_tabla_vida!$P$123,EXP(-E121*E2_tabla_vida!$X$124)*E2_tabla_vida!$P$124,EXP(-E121*E2_tabla_vida!$X$125)*E2_tabla_vida!$P$125,EXP(-E121*E2_tabla_vida!$X$126)*E2_tabla_vida!$P$126,EXP(-E121*E2_tabla_vida!$X$127)*E2_tabla_vida!$P$127)-1</x:f>
        <x:v>9.469101036607697e-8</x:v>
      </x:c>
      <x:c r="G121" s="24" t="n">
        <x:f>SUM(EXP(-C121*E2_tabla_vida!$X$86)*E2_tabla_vida!$P$86,EXP(-C121*E2_tabla_vida!$X$87)*E2_tabla_vida!$P$87,EXP(-C121*E2_tabla_vida!$X$88)*E2_tabla_vida!$P$88,EXP(-C121*E2_tabla_vida!$X$89)*E2_tabla_vida!$P$89,EXP(-C121*E2_tabla_vida!$X$90)*E2_tabla_vida!$P$90,EXP(-C121*E2_tabla_vida!$X$91)*E2_tabla_vida!$P$91,EXP(-C121*E2_tabla_vida!$X$92)*E2_tabla_vida!$P$92,EXP(-C121*E2_tabla_vida!$X$93)*E2_tabla_vida!$P$93,EXP(-C121*E2_tabla_vida!$X$94)*E2_tabla_vida!$P$94,EXP(-C121*E2_tabla_vida!$X$95)*E2_tabla_vida!$P$95,EXP(-C121*E2_tabla_vida!$X$96)*E2_tabla_vida!$P$96,EXP(-C121*E2_tabla_vida!$X$97)*E2_tabla_vida!$P$97,EXP(-C121*E2_tabla_vida!$X$98)*E2_tabla_vida!$P$98,EXP(-C121*E2_tabla_vida!$X$99)*E2_tabla_vida!$P$99,EXP(-C121*E2_tabla_vida!$X$100)*E2_tabla_vida!$P$100,EXP(-C121*E2_tabla_vida!$X$101)*E2_tabla_vida!$P$101,EXP(-C121*E2_tabla_vida!$X$102)*E2_tabla_vida!$P$102,EXP(-C121*E2_tabla_vida!$X$103)*E2_tabla_vida!$P$103,EXP(-C121*E2_tabla_vida!$X$104)*E2_tabla_vida!$P$104,EXP(-C121*E2_tabla_vida!$X$105)*E2_tabla_vida!$P$105,EXP(-C121*E2_tabla_vida!$X$106)*E2_tabla_vida!$P$106,EXP(-C121*E2_tabla_vida!$X$107)*E2_tabla_vida!$P$107,EXP(-C121*E2_tabla_vida!$X$108)*E2_tabla_vida!$P$108,EXP(-C121*E2_tabla_vida!$X$109)*E2_tabla_vida!$P$109,EXP(-C121*E2_tabla_vida!$X$110)*E2_tabla_vida!$P$110,EXP(-C121*E2_tabla_vida!$X$111)*E2_tabla_vida!$P$111,EXP(-C121*E2_tabla_vida!$X$112)*E2_tabla_vida!$P$112,EXP(-C121*E2_tabla_vida!$X$113)*E2_tabla_vida!$P$113,EXP(-C121*E2_tabla_vida!$X$114)*E2_tabla_vida!$P$114,EXP(-C121*E2_tabla_vida!$X$115)*E2_tabla_vida!$P$115,EXP(-C121*E2_tabla_vida!$X$116)*E2_tabla_vida!$P$116,EXP(-C121*E2_tabla_vida!$X$117)*E2_tabla_vida!$P$117,EXP(-C121*E2_tabla_vida!$X$118)*E2_tabla_vida!$P$118,EXP(-C121*E2_tabla_vida!$X$119)*E2_tabla_vida!$P$119,EXP(-C121*E2_tabla_vida!$X$120)*E2_tabla_vida!$P$120,EXP(-C121*E2_tabla_vida!$X$121)*E2_tabla_vida!$P$121,EXP(-C121*E2_tabla_vida!$X$122)*E2_tabla_vida!$P$122,EXP(-C121*E2_tabla_vida!$X$123)*E2_tabla_vida!$P$123,EXP(-C121*E2_tabla_vida!$X$124)*E2_tabla_vida!$P$124,EXP(-C121*E2_tabla_vida!$X$125)*E2_tabla_vida!$P$125,EXP(-C121*E2_tabla_vida!$X$126)*E2_tabla_vida!$P$126,EXP(-C121*E2_tabla_vida!$X$127)*E2_tabla_vida!$P$127)-1</x:f>
        <x:v>2.74333133543081e-7</x:v>
      </x:c>
      <x:c r="H121" s="24" t="n">
        <x:f>SUM(EXP(-D121*E2_tabla_vida!$X$86)*E2_tabla_vida!$P$86,EXP(-D121*E2_tabla_vida!$X$87)*E2_tabla_vida!$P$87,EXP(-D121*E2_tabla_vida!$X$88)*E2_tabla_vida!$P$88,EXP(-D121*E2_tabla_vida!$X$89)*E2_tabla_vida!$P$89,EXP(-D121*E2_tabla_vida!$X$90)*E2_tabla_vida!$P$90,EXP(-D121*E2_tabla_vida!$X$91)*E2_tabla_vida!$P$91,EXP(-D121*E2_tabla_vida!$X$92)*E2_tabla_vida!$P$92,EXP(-D121*E2_tabla_vida!$X$93)*E2_tabla_vida!$P$93,EXP(-D121*E2_tabla_vida!$X$94)*E2_tabla_vida!$P$94,EXP(-D121*E2_tabla_vida!$X$95)*E2_tabla_vida!$P$95,EXP(-D121*E2_tabla_vida!$X$96)*E2_tabla_vida!$P$96,EXP(-D121*E2_tabla_vida!$X$97)*E2_tabla_vida!$P$97,EXP(-D121*E2_tabla_vida!$X$98)*E2_tabla_vida!$P$98,EXP(-D121*E2_tabla_vida!$X$99)*E2_tabla_vida!$P$99,EXP(-D121*E2_tabla_vida!$X$100)*E2_tabla_vida!$P$100,EXP(-D121*E2_tabla_vida!$X$101)*E2_tabla_vida!$P$101,EXP(-D121*E2_tabla_vida!$X$102)*E2_tabla_vida!$P$102,EXP(-D121*E2_tabla_vida!$X$103)*E2_tabla_vida!$P$103,EXP(-D121*E2_tabla_vida!$X$104)*E2_tabla_vida!$P$104,EXP(-D121*E2_tabla_vida!$X$105)*E2_tabla_vida!$P$105,EXP(-D121*E2_tabla_vida!$X$106)*E2_tabla_vida!$P$106,EXP(-D121*E2_tabla_vida!$X$107)*E2_tabla_vida!$P$107,EXP(-D121*E2_tabla_vida!$X$108)*E2_tabla_vida!$P$108,EXP(-D121*E2_tabla_vida!$X$109)*E2_tabla_vida!$P$109,EXP(-D121*E2_tabla_vida!$X$110)*E2_tabla_vida!$P$110,EXP(-D121*E2_tabla_vida!$X$111)*E2_tabla_vida!$P$111,EXP(-D121*E2_tabla_vida!$X$112)*E2_tabla_vida!$P$112,EXP(-D121*E2_tabla_vida!$X$113)*E2_tabla_vida!$P$113,EXP(-D121*E2_tabla_vida!$X$114)*E2_tabla_vida!$P$114,EXP(-D121*E2_tabla_vida!$X$115)*E2_tabla_vida!$P$115,EXP(-D121*E2_tabla_vida!$X$116)*E2_tabla_vida!$P$116,EXP(-D121*E2_tabla_vida!$X$117)*E2_tabla_vida!$P$117,EXP(-D121*E2_tabla_vida!$X$118)*E2_tabla_vida!$P$118,EXP(-D121*E2_tabla_vida!$X$119)*E2_tabla_vida!$P$119,EXP(-D121*E2_tabla_vida!$X$120)*E2_tabla_vida!$P$120,EXP(-D121*E2_tabla_vida!$X$121)*E2_tabla_vida!$P$121,EXP(-D121*E2_tabla_vida!$X$122)*E2_tabla_vida!$P$122,EXP(-D121*E2_tabla_vida!$X$123)*E2_tabla_vida!$P$123,EXP(-D121*E2_tabla_vida!$X$124)*E2_tabla_vida!$P$124,EXP(-D121*E2_tabla_vida!$X$125)*E2_tabla_vida!$P$125,EXP(-D121*E2_tabla_vida!$X$126)*E2_tabla_vida!$P$126,EXP(-D121*E2_tabla_vida!$X$127)*E2_tabla_vida!$P$127)-1</x:f>
        <x:v>-8.49510792821917e-8</x:v>
      </x:c>
    </x:row>
    <x:row r="122" ht="19" customHeight="1">
      <x:c r="A122" s="2" t="str">
        <x:v>MP_L7</x:v>
      </x:c>
      <x:c r="B122" s="2" t="n">
        <x:v>28</x:v>
      </x:c>
      <x:c r="C122" s="22" t="n">
        <x:f>IF(F121&gt;0,E121,C121)</x:f>
        <x:v>0.17924663797020912</x:v>
      </x:c>
      <x:c r="D122" s="22" t="n">
        <x:f>IF(F121&gt;0,D121,E121)</x:f>
        <x:v>0.17924664914608002</x:v>
      </x:c>
      <x:c r="E122" s="22" t="n">
        <x:f>AVERAGE(C122:D122)</x:f>
        <x:v>0.17924664355814457</x:v>
      </x:c>
      <x:c r="F122" s="24" t="n">
        <x:f>SUM(EXP(-E122*E2_tabla_vida!$X$86)*E2_tabla_vida!$P$86,EXP(-E122*E2_tabla_vida!$X$87)*E2_tabla_vida!$P$87,EXP(-E122*E2_tabla_vida!$X$88)*E2_tabla_vida!$P$88,EXP(-E122*E2_tabla_vida!$X$89)*E2_tabla_vida!$P$89,EXP(-E122*E2_tabla_vida!$X$90)*E2_tabla_vida!$P$90,EXP(-E122*E2_tabla_vida!$X$91)*E2_tabla_vida!$P$91,EXP(-E122*E2_tabla_vida!$X$92)*E2_tabla_vida!$P$92,EXP(-E122*E2_tabla_vida!$X$93)*E2_tabla_vida!$P$93,EXP(-E122*E2_tabla_vida!$X$94)*E2_tabla_vida!$P$94,EXP(-E122*E2_tabla_vida!$X$95)*E2_tabla_vida!$P$95,EXP(-E122*E2_tabla_vida!$X$96)*E2_tabla_vida!$P$96,EXP(-E122*E2_tabla_vida!$X$97)*E2_tabla_vida!$P$97,EXP(-E122*E2_tabla_vida!$X$98)*E2_tabla_vida!$P$98,EXP(-E122*E2_tabla_vida!$X$99)*E2_tabla_vida!$P$99,EXP(-E122*E2_tabla_vida!$X$100)*E2_tabla_vida!$P$100,EXP(-E122*E2_tabla_vida!$X$101)*E2_tabla_vida!$P$101,EXP(-E122*E2_tabla_vida!$X$102)*E2_tabla_vida!$P$102,EXP(-E122*E2_tabla_vida!$X$103)*E2_tabla_vida!$P$103,EXP(-E122*E2_tabla_vida!$X$104)*E2_tabla_vida!$P$104,EXP(-E122*E2_tabla_vida!$X$105)*E2_tabla_vida!$P$105,EXP(-E122*E2_tabla_vida!$X$106)*E2_tabla_vida!$P$106,EXP(-E122*E2_tabla_vida!$X$107)*E2_tabla_vida!$P$107,EXP(-E122*E2_tabla_vida!$X$108)*E2_tabla_vida!$P$108,EXP(-E122*E2_tabla_vida!$X$109)*E2_tabla_vida!$P$109,EXP(-E122*E2_tabla_vida!$X$110)*E2_tabla_vida!$P$110,EXP(-E122*E2_tabla_vida!$X$111)*E2_tabla_vida!$P$111,EXP(-E122*E2_tabla_vida!$X$112)*E2_tabla_vida!$P$112,EXP(-E122*E2_tabla_vida!$X$113)*E2_tabla_vida!$P$113,EXP(-E122*E2_tabla_vida!$X$114)*E2_tabla_vida!$P$114,EXP(-E122*E2_tabla_vida!$X$115)*E2_tabla_vida!$P$115,EXP(-E122*E2_tabla_vida!$X$116)*E2_tabla_vida!$P$116,EXP(-E122*E2_tabla_vida!$X$117)*E2_tabla_vida!$P$117,EXP(-E122*E2_tabla_vida!$X$118)*E2_tabla_vida!$P$118,EXP(-E122*E2_tabla_vida!$X$119)*E2_tabla_vida!$P$119,EXP(-E122*E2_tabla_vida!$X$120)*E2_tabla_vida!$P$120,EXP(-E122*E2_tabla_vida!$X$121)*E2_tabla_vida!$P$121,EXP(-E122*E2_tabla_vida!$X$122)*E2_tabla_vida!$P$122,EXP(-E122*E2_tabla_vida!$X$123)*E2_tabla_vida!$P$123,EXP(-E122*E2_tabla_vida!$X$124)*E2_tabla_vida!$P$124,EXP(-E122*E2_tabla_vida!$X$125)*E2_tabla_vida!$P$125,EXP(-E122*E2_tabla_vida!$X$126)*E2_tabla_vida!$P$126,EXP(-E122*E2_tabla_vida!$X$127)*E2_tabla_vida!$P$127)-1</x:f>
        <x:v>4.86996132309514e-9</x:v>
      </x:c>
      <x:c r="G122" s="24" t="n">
        <x:f>SUM(EXP(-C122*E2_tabla_vida!$X$86)*E2_tabla_vida!$P$86,EXP(-C122*E2_tabla_vida!$X$87)*E2_tabla_vida!$P$87,EXP(-C122*E2_tabla_vida!$X$88)*E2_tabla_vida!$P$88,EXP(-C122*E2_tabla_vida!$X$89)*E2_tabla_vida!$P$89,EXP(-C122*E2_tabla_vida!$X$90)*E2_tabla_vida!$P$90,EXP(-C122*E2_tabla_vida!$X$91)*E2_tabla_vida!$P$91,EXP(-C122*E2_tabla_vida!$X$92)*E2_tabla_vida!$P$92,EXP(-C122*E2_tabla_vida!$X$93)*E2_tabla_vida!$P$93,EXP(-C122*E2_tabla_vida!$X$94)*E2_tabla_vida!$P$94,EXP(-C122*E2_tabla_vida!$X$95)*E2_tabla_vida!$P$95,EXP(-C122*E2_tabla_vida!$X$96)*E2_tabla_vida!$P$96,EXP(-C122*E2_tabla_vida!$X$97)*E2_tabla_vida!$P$97,EXP(-C122*E2_tabla_vida!$X$98)*E2_tabla_vida!$P$98,EXP(-C122*E2_tabla_vida!$X$99)*E2_tabla_vida!$P$99,EXP(-C122*E2_tabla_vida!$X$100)*E2_tabla_vida!$P$100,EXP(-C122*E2_tabla_vida!$X$101)*E2_tabla_vida!$P$101,EXP(-C122*E2_tabla_vida!$X$102)*E2_tabla_vida!$P$102,EXP(-C122*E2_tabla_vida!$X$103)*E2_tabla_vida!$P$103,EXP(-C122*E2_tabla_vida!$X$104)*E2_tabla_vida!$P$104,EXP(-C122*E2_tabla_vida!$X$105)*E2_tabla_vida!$P$105,EXP(-C122*E2_tabla_vida!$X$106)*E2_tabla_vida!$P$106,EXP(-C122*E2_tabla_vida!$X$107)*E2_tabla_vida!$P$107,EXP(-C122*E2_tabla_vida!$X$108)*E2_tabla_vida!$P$108,EXP(-C122*E2_tabla_vida!$X$109)*E2_tabla_vida!$P$109,EXP(-C122*E2_tabla_vida!$X$110)*E2_tabla_vida!$P$110,EXP(-C122*E2_tabla_vida!$X$111)*E2_tabla_vida!$P$111,EXP(-C122*E2_tabla_vida!$X$112)*E2_tabla_vida!$P$112,EXP(-C122*E2_tabla_vida!$X$113)*E2_tabla_vida!$P$113,EXP(-C122*E2_tabla_vida!$X$114)*E2_tabla_vida!$P$114,EXP(-C122*E2_tabla_vida!$X$115)*E2_tabla_vida!$P$115,EXP(-C122*E2_tabla_vida!$X$116)*E2_tabla_vida!$P$116,EXP(-C122*E2_tabla_vida!$X$117)*E2_tabla_vida!$P$117,EXP(-C122*E2_tabla_vida!$X$118)*E2_tabla_vida!$P$118,EXP(-C122*E2_tabla_vida!$X$119)*E2_tabla_vida!$P$119,EXP(-C122*E2_tabla_vida!$X$120)*E2_tabla_vida!$P$120,EXP(-C122*E2_tabla_vida!$X$121)*E2_tabla_vida!$P$121,EXP(-C122*E2_tabla_vida!$X$122)*E2_tabla_vida!$P$122,EXP(-C122*E2_tabla_vida!$X$123)*E2_tabla_vida!$P$123,EXP(-C122*E2_tabla_vida!$X$124)*E2_tabla_vida!$P$124,EXP(-C122*E2_tabla_vida!$X$125)*E2_tabla_vida!$P$125,EXP(-C122*E2_tabla_vida!$X$126)*E2_tabla_vida!$P$126,EXP(-C122*E2_tabla_vida!$X$127)*E2_tabla_vida!$P$127)-1</x:f>
        <x:v>9.469101036607697e-8</x:v>
      </x:c>
      <x:c r="H122" s="24" t="n">
        <x:f>SUM(EXP(-D122*E2_tabla_vida!$X$86)*E2_tabla_vida!$P$86,EXP(-D122*E2_tabla_vida!$X$87)*E2_tabla_vida!$P$87,EXP(-D122*E2_tabla_vida!$X$88)*E2_tabla_vida!$P$88,EXP(-D122*E2_tabla_vida!$X$89)*E2_tabla_vida!$P$89,EXP(-D122*E2_tabla_vida!$X$90)*E2_tabla_vida!$P$90,EXP(-D122*E2_tabla_vida!$X$91)*E2_tabla_vida!$P$91,EXP(-D122*E2_tabla_vida!$X$92)*E2_tabla_vida!$P$92,EXP(-D122*E2_tabla_vida!$X$93)*E2_tabla_vida!$P$93,EXP(-D122*E2_tabla_vida!$X$94)*E2_tabla_vida!$P$94,EXP(-D122*E2_tabla_vida!$X$95)*E2_tabla_vida!$P$95,EXP(-D122*E2_tabla_vida!$X$96)*E2_tabla_vida!$P$96,EXP(-D122*E2_tabla_vida!$X$97)*E2_tabla_vida!$P$97,EXP(-D122*E2_tabla_vida!$X$98)*E2_tabla_vida!$P$98,EXP(-D122*E2_tabla_vida!$X$99)*E2_tabla_vida!$P$99,EXP(-D122*E2_tabla_vida!$X$100)*E2_tabla_vida!$P$100,EXP(-D122*E2_tabla_vida!$X$101)*E2_tabla_vida!$P$101,EXP(-D122*E2_tabla_vida!$X$102)*E2_tabla_vida!$P$102,EXP(-D122*E2_tabla_vida!$X$103)*E2_tabla_vida!$P$103,EXP(-D122*E2_tabla_vida!$X$104)*E2_tabla_vida!$P$104,EXP(-D122*E2_tabla_vida!$X$105)*E2_tabla_vida!$P$105,EXP(-D122*E2_tabla_vida!$X$106)*E2_tabla_vida!$P$106,EXP(-D122*E2_tabla_vida!$X$107)*E2_tabla_vida!$P$107,EXP(-D122*E2_tabla_vida!$X$108)*E2_tabla_vida!$P$108,EXP(-D122*E2_tabla_vida!$X$109)*E2_tabla_vida!$P$109,EXP(-D122*E2_tabla_vida!$X$110)*E2_tabla_vida!$P$110,EXP(-D122*E2_tabla_vida!$X$111)*E2_tabla_vida!$P$111,EXP(-D122*E2_tabla_vida!$X$112)*E2_tabla_vida!$P$112,EXP(-D122*E2_tabla_vida!$X$113)*E2_tabla_vida!$P$113,EXP(-D122*E2_tabla_vida!$X$114)*E2_tabla_vida!$P$114,EXP(-D122*E2_tabla_vida!$X$115)*E2_tabla_vida!$P$115,EXP(-D122*E2_tabla_vida!$X$116)*E2_tabla_vida!$P$116,EXP(-D122*E2_tabla_vida!$X$117)*E2_tabla_vida!$P$117,EXP(-D122*E2_tabla_vida!$X$118)*E2_tabla_vida!$P$118,EXP(-D122*E2_tabla_vida!$X$119)*E2_tabla_vida!$P$119,EXP(-D122*E2_tabla_vida!$X$120)*E2_tabla_vida!$P$120,EXP(-D122*E2_tabla_vida!$X$121)*E2_tabla_vida!$P$121,EXP(-D122*E2_tabla_vida!$X$122)*E2_tabla_vida!$P$122,EXP(-D122*E2_tabla_vida!$X$123)*E2_tabla_vida!$P$123,EXP(-D122*E2_tabla_vida!$X$124)*E2_tabla_vida!$P$124,EXP(-D122*E2_tabla_vida!$X$125)*E2_tabla_vida!$P$125,EXP(-D122*E2_tabla_vida!$X$126)*E2_tabla_vida!$P$126,EXP(-D122*E2_tabla_vida!$X$127)*E2_tabla_vida!$P$127)-1</x:f>
        <x:v>-8.49510792821917e-8</x:v>
      </x:c>
    </x:row>
    <x:row r="123" ht="19" customHeight="1">
      <x:c r="A123" s="2" t="str">
        <x:v>MP_L7</x:v>
      </x:c>
      <x:c r="B123" s="2" t="n">
        <x:v>29</x:v>
      </x:c>
      <x:c r="C123" s="22" t="n">
        <x:f>IF(F122&gt;0,E122,C122)</x:f>
        <x:v>0.17924664355814457</x:v>
      </x:c>
      <x:c r="D123" s="22" t="n">
        <x:f>IF(F122&gt;0,D122,E122)</x:f>
        <x:v>0.17924664914608002</x:v>
      </x:c>
      <x:c r="E123" s="22" t="n">
        <x:f>AVERAGE(C123:D123)</x:f>
        <x:v>0.1792466463521123</x:v>
      </x:c>
      <x:c r="F123" s="24" t="n">
        <x:f>SUM(EXP(-E123*E2_tabla_vida!$X$86)*E2_tabla_vida!$P$86,EXP(-E123*E2_tabla_vida!$X$87)*E2_tabla_vida!$P$87,EXP(-E123*E2_tabla_vida!$X$88)*E2_tabla_vida!$P$88,EXP(-E123*E2_tabla_vida!$X$89)*E2_tabla_vida!$P$89,EXP(-E123*E2_tabla_vida!$X$90)*E2_tabla_vida!$P$90,EXP(-E123*E2_tabla_vida!$X$91)*E2_tabla_vida!$P$91,EXP(-E123*E2_tabla_vida!$X$92)*E2_tabla_vida!$P$92,EXP(-E123*E2_tabla_vida!$X$93)*E2_tabla_vida!$P$93,EXP(-E123*E2_tabla_vida!$X$94)*E2_tabla_vida!$P$94,EXP(-E123*E2_tabla_vida!$X$95)*E2_tabla_vida!$P$95,EXP(-E123*E2_tabla_vida!$X$96)*E2_tabla_vida!$P$96,EXP(-E123*E2_tabla_vida!$X$97)*E2_tabla_vida!$P$97,EXP(-E123*E2_tabla_vida!$X$98)*E2_tabla_vida!$P$98,EXP(-E123*E2_tabla_vida!$X$99)*E2_tabla_vida!$P$99,EXP(-E123*E2_tabla_vida!$X$100)*E2_tabla_vida!$P$100,EXP(-E123*E2_tabla_vida!$X$101)*E2_tabla_vida!$P$101,EXP(-E123*E2_tabla_vida!$X$102)*E2_tabla_vida!$P$102,EXP(-E123*E2_tabla_vida!$X$103)*E2_tabla_vida!$P$103,EXP(-E123*E2_tabla_vida!$X$104)*E2_tabla_vida!$P$104,EXP(-E123*E2_tabla_vida!$X$105)*E2_tabla_vida!$P$105,EXP(-E123*E2_tabla_vida!$X$106)*E2_tabla_vida!$P$106,EXP(-E123*E2_tabla_vida!$X$107)*E2_tabla_vida!$P$107,EXP(-E123*E2_tabla_vida!$X$108)*E2_tabla_vida!$P$108,EXP(-E123*E2_tabla_vida!$X$109)*E2_tabla_vida!$P$109,EXP(-E123*E2_tabla_vida!$X$110)*E2_tabla_vida!$P$110,EXP(-E123*E2_tabla_vida!$X$111)*E2_tabla_vida!$P$111,EXP(-E123*E2_tabla_vida!$X$112)*E2_tabla_vida!$P$112,EXP(-E123*E2_tabla_vida!$X$113)*E2_tabla_vida!$P$113,EXP(-E123*E2_tabla_vida!$X$114)*E2_tabla_vida!$P$114,EXP(-E123*E2_tabla_vida!$X$115)*E2_tabla_vida!$P$115,EXP(-E123*E2_tabla_vida!$X$116)*E2_tabla_vida!$P$116,EXP(-E123*E2_tabla_vida!$X$117)*E2_tabla_vida!$P$117,EXP(-E123*E2_tabla_vida!$X$118)*E2_tabla_vida!$P$118,EXP(-E123*E2_tabla_vida!$X$119)*E2_tabla_vida!$P$119,EXP(-E123*E2_tabla_vida!$X$120)*E2_tabla_vida!$P$120,EXP(-E123*E2_tabla_vida!$X$121)*E2_tabla_vida!$P$121,EXP(-E123*E2_tabla_vida!$X$122)*E2_tabla_vida!$P$122,EXP(-E123*E2_tabla_vida!$X$123)*E2_tabla_vida!$P$123,EXP(-E123*E2_tabla_vida!$X$124)*E2_tabla_vida!$P$124,EXP(-E123*E2_tabla_vida!$X$125)*E2_tabla_vida!$P$125,EXP(-E123*E2_tabla_vida!$X$126)*E2_tabla_vida!$P$126,EXP(-E123*E2_tabla_vida!$X$127)*E2_tabla_vida!$P$127)-1</x:f>
        <x:v>-4.0040560089771304e-8</x:v>
      </x:c>
      <x:c r="G123" s="24" t="n">
        <x:f>SUM(EXP(-C123*E2_tabla_vida!$X$86)*E2_tabla_vida!$P$86,EXP(-C123*E2_tabla_vida!$X$87)*E2_tabla_vida!$P$87,EXP(-C123*E2_tabla_vida!$X$88)*E2_tabla_vida!$P$88,EXP(-C123*E2_tabla_vida!$X$89)*E2_tabla_vida!$P$89,EXP(-C123*E2_tabla_vida!$X$90)*E2_tabla_vida!$P$90,EXP(-C123*E2_tabla_vida!$X$91)*E2_tabla_vida!$P$91,EXP(-C123*E2_tabla_vida!$X$92)*E2_tabla_vida!$P$92,EXP(-C123*E2_tabla_vida!$X$93)*E2_tabla_vida!$P$93,EXP(-C123*E2_tabla_vida!$X$94)*E2_tabla_vida!$P$94,EXP(-C123*E2_tabla_vida!$X$95)*E2_tabla_vida!$P$95,EXP(-C123*E2_tabla_vida!$X$96)*E2_tabla_vida!$P$96,EXP(-C123*E2_tabla_vida!$X$97)*E2_tabla_vida!$P$97,EXP(-C123*E2_tabla_vida!$X$98)*E2_tabla_vida!$P$98,EXP(-C123*E2_tabla_vida!$X$99)*E2_tabla_vida!$P$99,EXP(-C123*E2_tabla_vida!$X$100)*E2_tabla_vida!$P$100,EXP(-C123*E2_tabla_vida!$X$101)*E2_tabla_vida!$P$101,EXP(-C123*E2_tabla_vida!$X$102)*E2_tabla_vida!$P$102,EXP(-C123*E2_tabla_vida!$X$103)*E2_tabla_vida!$P$103,EXP(-C123*E2_tabla_vida!$X$104)*E2_tabla_vida!$P$104,EXP(-C123*E2_tabla_vida!$X$105)*E2_tabla_vida!$P$105,EXP(-C123*E2_tabla_vida!$X$106)*E2_tabla_vida!$P$106,EXP(-C123*E2_tabla_vida!$X$107)*E2_tabla_vida!$P$107,EXP(-C123*E2_tabla_vida!$X$108)*E2_tabla_vida!$P$108,EXP(-C123*E2_tabla_vida!$X$109)*E2_tabla_vida!$P$109,EXP(-C123*E2_tabla_vida!$X$110)*E2_tabla_vida!$P$110,EXP(-C123*E2_tabla_vida!$X$111)*E2_tabla_vida!$P$111,EXP(-C123*E2_tabla_vida!$X$112)*E2_tabla_vida!$P$112,EXP(-C123*E2_tabla_vida!$X$113)*E2_tabla_vida!$P$113,EXP(-C123*E2_tabla_vida!$X$114)*E2_tabla_vida!$P$114,EXP(-C123*E2_tabla_vida!$X$115)*E2_tabla_vida!$P$115,EXP(-C123*E2_tabla_vida!$X$116)*E2_tabla_vida!$P$116,EXP(-C123*E2_tabla_vida!$X$117)*E2_tabla_vida!$P$117,EXP(-C123*E2_tabla_vida!$X$118)*E2_tabla_vida!$P$118,EXP(-C123*E2_tabla_vida!$X$119)*E2_tabla_vida!$P$119,EXP(-C123*E2_tabla_vida!$X$120)*E2_tabla_vida!$P$120,EXP(-C123*E2_tabla_vida!$X$121)*E2_tabla_vida!$P$121,EXP(-C123*E2_tabla_vida!$X$122)*E2_tabla_vida!$P$122,EXP(-C123*E2_tabla_vida!$X$123)*E2_tabla_vida!$P$123,EXP(-C123*E2_tabla_vida!$X$124)*E2_tabla_vida!$P$124,EXP(-C123*E2_tabla_vida!$X$125)*E2_tabla_vida!$P$125,EXP(-C123*E2_tabla_vida!$X$126)*E2_tabla_vida!$P$126,EXP(-C123*E2_tabla_vida!$X$127)*E2_tabla_vida!$P$127)-1</x:f>
        <x:v>4.86996132309514e-9</x:v>
      </x:c>
      <x:c r="H123" s="24" t="n">
        <x:f>SUM(EXP(-D123*E2_tabla_vida!$X$86)*E2_tabla_vida!$P$86,EXP(-D123*E2_tabla_vida!$X$87)*E2_tabla_vida!$P$87,EXP(-D123*E2_tabla_vida!$X$88)*E2_tabla_vida!$P$88,EXP(-D123*E2_tabla_vida!$X$89)*E2_tabla_vida!$P$89,EXP(-D123*E2_tabla_vida!$X$90)*E2_tabla_vida!$P$90,EXP(-D123*E2_tabla_vida!$X$91)*E2_tabla_vida!$P$91,EXP(-D123*E2_tabla_vida!$X$92)*E2_tabla_vida!$P$92,EXP(-D123*E2_tabla_vida!$X$93)*E2_tabla_vida!$P$93,EXP(-D123*E2_tabla_vida!$X$94)*E2_tabla_vida!$P$94,EXP(-D123*E2_tabla_vida!$X$95)*E2_tabla_vida!$P$95,EXP(-D123*E2_tabla_vida!$X$96)*E2_tabla_vida!$P$96,EXP(-D123*E2_tabla_vida!$X$97)*E2_tabla_vida!$P$97,EXP(-D123*E2_tabla_vida!$X$98)*E2_tabla_vida!$P$98,EXP(-D123*E2_tabla_vida!$X$99)*E2_tabla_vida!$P$99,EXP(-D123*E2_tabla_vida!$X$100)*E2_tabla_vida!$P$100,EXP(-D123*E2_tabla_vida!$X$101)*E2_tabla_vida!$P$101,EXP(-D123*E2_tabla_vida!$X$102)*E2_tabla_vida!$P$102,EXP(-D123*E2_tabla_vida!$X$103)*E2_tabla_vida!$P$103,EXP(-D123*E2_tabla_vida!$X$104)*E2_tabla_vida!$P$104,EXP(-D123*E2_tabla_vida!$X$105)*E2_tabla_vida!$P$105,EXP(-D123*E2_tabla_vida!$X$106)*E2_tabla_vida!$P$106,EXP(-D123*E2_tabla_vida!$X$107)*E2_tabla_vida!$P$107,EXP(-D123*E2_tabla_vida!$X$108)*E2_tabla_vida!$P$108,EXP(-D123*E2_tabla_vida!$X$109)*E2_tabla_vida!$P$109,EXP(-D123*E2_tabla_vida!$X$110)*E2_tabla_vida!$P$110,EXP(-D123*E2_tabla_vida!$X$111)*E2_tabla_vida!$P$111,EXP(-D123*E2_tabla_vida!$X$112)*E2_tabla_vida!$P$112,EXP(-D123*E2_tabla_vida!$X$113)*E2_tabla_vida!$P$113,EXP(-D123*E2_tabla_vida!$X$114)*E2_tabla_vida!$P$114,EXP(-D123*E2_tabla_vida!$X$115)*E2_tabla_vida!$P$115,EXP(-D123*E2_tabla_vida!$X$116)*E2_tabla_vida!$P$116,EXP(-D123*E2_tabla_vida!$X$117)*E2_tabla_vida!$P$117,EXP(-D123*E2_tabla_vida!$X$118)*E2_tabla_vida!$P$118,EXP(-D123*E2_tabla_vida!$X$119)*E2_tabla_vida!$P$119,EXP(-D123*E2_tabla_vida!$X$120)*E2_tabla_vida!$P$120,EXP(-D123*E2_tabla_vida!$X$121)*E2_tabla_vida!$P$121,EXP(-D123*E2_tabla_vida!$X$122)*E2_tabla_vida!$P$122,EXP(-D123*E2_tabla_vida!$X$123)*E2_tabla_vida!$P$123,EXP(-D123*E2_tabla_vida!$X$124)*E2_tabla_vida!$P$124,EXP(-D123*E2_tabla_vida!$X$125)*E2_tabla_vida!$P$125,EXP(-D123*E2_tabla_vida!$X$126)*E2_tabla_vida!$P$126,EXP(-D123*E2_tabla_vida!$X$127)*E2_tabla_vida!$P$127)-1</x:f>
        <x:v>-8.49510792821917e-8</x:v>
      </x:c>
    </x:row>
    <x:row r="124" ht="19" customHeight="1">
      <x:c r="A124" s="2" t="str">
        <x:v>MP_L7</x:v>
      </x:c>
      <x:c r="B124" s="2" t="n">
        <x:v>30</x:v>
      </x:c>
      <x:c r="C124" s="22" t="n">
        <x:f>IF(F123&gt;0,E123,C123)</x:f>
        <x:v>0.17924664355814457</x:v>
      </x:c>
      <x:c r="D124" s="22" t="n">
        <x:f>IF(F123&gt;0,D123,E123)</x:f>
        <x:v>0.1792466463521123</x:v>
      </x:c>
      <x:c r="E124" s="22" t="n">
        <x:f>AVERAGE(C124:D124)</x:f>
        <x:v>0.17924664495512843</x:v>
      </x:c>
      <x:c r="F124" s="24" t="n">
        <x:f>SUM(EXP(-E124*E2_tabla_vida!$X$86)*E2_tabla_vida!$P$86,EXP(-E124*E2_tabla_vida!$X$87)*E2_tabla_vida!$P$87,EXP(-E124*E2_tabla_vida!$X$88)*E2_tabla_vida!$P$88,EXP(-E124*E2_tabla_vida!$X$89)*E2_tabla_vida!$P$89,EXP(-E124*E2_tabla_vida!$X$90)*E2_tabla_vida!$P$90,EXP(-E124*E2_tabla_vida!$X$91)*E2_tabla_vida!$P$91,EXP(-E124*E2_tabla_vida!$X$92)*E2_tabla_vida!$P$92,EXP(-E124*E2_tabla_vida!$X$93)*E2_tabla_vida!$P$93,EXP(-E124*E2_tabla_vida!$X$94)*E2_tabla_vida!$P$94,EXP(-E124*E2_tabla_vida!$X$95)*E2_tabla_vida!$P$95,EXP(-E124*E2_tabla_vida!$X$96)*E2_tabla_vida!$P$96,EXP(-E124*E2_tabla_vida!$X$97)*E2_tabla_vida!$P$97,EXP(-E124*E2_tabla_vida!$X$98)*E2_tabla_vida!$P$98,EXP(-E124*E2_tabla_vida!$X$99)*E2_tabla_vida!$P$99,EXP(-E124*E2_tabla_vida!$X$100)*E2_tabla_vida!$P$100,EXP(-E124*E2_tabla_vida!$X$101)*E2_tabla_vida!$P$101,EXP(-E124*E2_tabla_vida!$X$102)*E2_tabla_vida!$P$102,EXP(-E124*E2_tabla_vida!$X$103)*E2_tabla_vida!$P$103,EXP(-E124*E2_tabla_vida!$X$104)*E2_tabla_vida!$P$104,EXP(-E124*E2_tabla_vida!$X$105)*E2_tabla_vida!$P$105,EXP(-E124*E2_tabla_vida!$X$106)*E2_tabla_vida!$P$106,EXP(-E124*E2_tabla_vida!$X$107)*E2_tabla_vida!$P$107,EXP(-E124*E2_tabla_vida!$X$108)*E2_tabla_vida!$P$108,EXP(-E124*E2_tabla_vida!$X$109)*E2_tabla_vida!$P$109,EXP(-E124*E2_tabla_vida!$X$110)*E2_tabla_vida!$P$110,EXP(-E124*E2_tabla_vida!$X$111)*E2_tabla_vida!$P$111,EXP(-E124*E2_tabla_vida!$X$112)*E2_tabla_vida!$P$112,EXP(-E124*E2_tabla_vida!$X$113)*E2_tabla_vida!$P$113,EXP(-E124*E2_tabla_vida!$X$114)*E2_tabla_vida!$P$114,EXP(-E124*E2_tabla_vida!$X$115)*E2_tabla_vida!$P$115,EXP(-E124*E2_tabla_vida!$X$116)*E2_tabla_vida!$P$116,EXP(-E124*E2_tabla_vida!$X$117)*E2_tabla_vida!$P$117,EXP(-E124*E2_tabla_vida!$X$118)*E2_tabla_vida!$P$118,EXP(-E124*E2_tabla_vida!$X$119)*E2_tabla_vida!$P$119,EXP(-E124*E2_tabla_vida!$X$120)*E2_tabla_vida!$P$120,EXP(-E124*E2_tabla_vida!$X$121)*E2_tabla_vida!$P$121,EXP(-E124*E2_tabla_vida!$X$122)*E2_tabla_vida!$P$122,EXP(-E124*E2_tabla_vida!$X$123)*E2_tabla_vida!$P$123,EXP(-E124*E2_tabla_vida!$X$124)*E2_tabla_vida!$P$124,EXP(-E124*E2_tabla_vida!$X$125)*E2_tabla_vida!$P$125,EXP(-E124*E2_tabla_vida!$X$126)*E2_tabla_vida!$P$126,EXP(-E124*E2_tabla_vida!$X$127)*E2_tabla_vida!$P$127)-1</x:f>
        <x:v>-1.7585299438849233e-8</x:v>
      </x:c>
      <x:c r="G124" s="24" t="n">
        <x:f>SUM(EXP(-C124*E2_tabla_vida!$X$86)*E2_tabla_vida!$P$86,EXP(-C124*E2_tabla_vida!$X$87)*E2_tabla_vida!$P$87,EXP(-C124*E2_tabla_vida!$X$88)*E2_tabla_vida!$P$88,EXP(-C124*E2_tabla_vida!$X$89)*E2_tabla_vida!$P$89,EXP(-C124*E2_tabla_vida!$X$90)*E2_tabla_vida!$P$90,EXP(-C124*E2_tabla_vida!$X$91)*E2_tabla_vida!$P$91,EXP(-C124*E2_tabla_vida!$X$92)*E2_tabla_vida!$P$92,EXP(-C124*E2_tabla_vida!$X$93)*E2_tabla_vida!$P$93,EXP(-C124*E2_tabla_vida!$X$94)*E2_tabla_vida!$P$94,EXP(-C124*E2_tabla_vida!$X$95)*E2_tabla_vida!$P$95,EXP(-C124*E2_tabla_vida!$X$96)*E2_tabla_vida!$P$96,EXP(-C124*E2_tabla_vida!$X$97)*E2_tabla_vida!$P$97,EXP(-C124*E2_tabla_vida!$X$98)*E2_tabla_vida!$P$98,EXP(-C124*E2_tabla_vida!$X$99)*E2_tabla_vida!$P$99,EXP(-C124*E2_tabla_vida!$X$100)*E2_tabla_vida!$P$100,EXP(-C124*E2_tabla_vida!$X$101)*E2_tabla_vida!$P$101,EXP(-C124*E2_tabla_vida!$X$102)*E2_tabla_vida!$P$102,EXP(-C124*E2_tabla_vida!$X$103)*E2_tabla_vida!$P$103,EXP(-C124*E2_tabla_vida!$X$104)*E2_tabla_vida!$P$104,EXP(-C124*E2_tabla_vida!$X$105)*E2_tabla_vida!$P$105,EXP(-C124*E2_tabla_vida!$X$106)*E2_tabla_vida!$P$106,EXP(-C124*E2_tabla_vida!$X$107)*E2_tabla_vida!$P$107,EXP(-C124*E2_tabla_vida!$X$108)*E2_tabla_vida!$P$108,EXP(-C124*E2_tabla_vida!$X$109)*E2_tabla_vida!$P$109,EXP(-C124*E2_tabla_vida!$X$110)*E2_tabla_vida!$P$110,EXP(-C124*E2_tabla_vida!$X$111)*E2_tabla_vida!$P$111,EXP(-C124*E2_tabla_vida!$X$112)*E2_tabla_vida!$P$112,EXP(-C124*E2_tabla_vida!$X$113)*E2_tabla_vida!$P$113,EXP(-C124*E2_tabla_vida!$X$114)*E2_tabla_vida!$P$114,EXP(-C124*E2_tabla_vida!$X$115)*E2_tabla_vida!$P$115,EXP(-C124*E2_tabla_vida!$X$116)*E2_tabla_vida!$P$116,EXP(-C124*E2_tabla_vida!$X$117)*E2_tabla_vida!$P$117,EXP(-C124*E2_tabla_vida!$X$118)*E2_tabla_vida!$P$118,EXP(-C124*E2_tabla_vida!$X$119)*E2_tabla_vida!$P$119,EXP(-C124*E2_tabla_vida!$X$120)*E2_tabla_vida!$P$120,EXP(-C124*E2_tabla_vida!$X$121)*E2_tabla_vida!$P$121,EXP(-C124*E2_tabla_vida!$X$122)*E2_tabla_vida!$P$122,EXP(-C124*E2_tabla_vida!$X$123)*E2_tabla_vida!$P$123,EXP(-C124*E2_tabla_vida!$X$124)*E2_tabla_vida!$P$124,EXP(-C124*E2_tabla_vida!$X$125)*E2_tabla_vida!$P$125,EXP(-C124*E2_tabla_vida!$X$126)*E2_tabla_vida!$P$126,EXP(-C124*E2_tabla_vida!$X$127)*E2_tabla_vida!$P$127)-1</x:f>
        <x:v>4.86996132309514e-9</x:v>
      </x:c>
      <x:c r="H124" s="24" t="n">
        <x:f>SUM(EXP(-D124*E2_tabla_vida!$X$86)*E2_tabla_vida!$P$86,EXP(-D124*E2_tabla_vida!$X$87)*E2_tabla_vida!$P$87,EXP(-D124*E2_tabla_vida!$X$88)*E2_tabla_vida!$P$88,EXP(-D124*E2_tabla_vida!$X$89)*E2_tabla_vida!$P$89,EXP(-D124*E2_tabla_vida!$X$90)*E2_tabla_vida!$P$90,EXP(-D124*E2_tabla_vida!$X$91)*E2_tabla_vida!$P$91,EXP(-D124*E2_tabla_vida!$X$92)*E2_tabla_vida!$P$92,EXP(-D124*E2_tabla_vida!$X$93)*E2_tabla_vida!$P$93,EXP(-D124*E2_tabla_vida!$X$94)*E2_tabla_vida!$P$94,EXP(-D124*E2_tabla_vida!$X$95)*E2_tabla_vida!$P$95,EXP(-D124*E2_tabla_vida!$X$96)*E2_tabla_vida!$P$96,EXP(-D124*E2_tabla_vida!$X$97)*E2_tabla_vida!$P$97,EXP(-D124*E2_tabla_vida!$X$98)*E2_tabla_vida!$P$98,EXP(-D124*E2_tabla_vida!$X$99)*E2_tabla_vida!$P$99,EXP(-D124*E2_tabla_vida!$X$100)*E2_tabla_vida!$P$100,EXP(-D124*E2_tabla_vida!$X$101)*E2_tabla_vida!$P$101,EXP(-D124*E2_tabla_vida!$X$102)*E2_tabla_vida!$P$102,EXP(-D124*E2_tabla_vida!$X$103)*E2_tabla_vida!$P$103,EXP(-D124*E2_tabla_vida!$X$104)*E2_tabla_vida!$P$104,EXP(-D124*E2_tabla_vida!$X$105)*E2_tabla_vida!$P$105,EXP(-D124*E2_tabla_vida!$X$106)*E2_tabla_vida!$P$106,EXP(-D124*E2_tabla_vida!$X$107)*E2_tabla_vida!$P$107,EXP(-D124*E2_tabla_vida!$X$108)*E2_tabla_vida!$P$108,EXP(-D124*E2_tabla_vida!$X$109)*E2_tabla_vida!$P$109,EXP(-D124*E2_tabla_vida!$X$110)*E2_tabla_vida!$P$110,EXP(-D124*E2_tabla_vida!$X$111)*E2_tabla_vida!$P$111,EXP(-D124*E2_tabla_vida!$X$112)*E2_tabla_vida!$P$112,EXP(-D124*E2_tabla_vida!$X$113)*E2_tabla_vida!$P$113,EXP(-D124*E2_tabla_vida!$X$114)*E2_tabla_vida!$P$114,EXP(-D124*E2_tabla_vida!$X$115)*E2_tabla_vida!$P$115,EXP(-D124*E2_tabla_vida!$X$116)*E2_tabla_vida!$P$116,EXP(-D124*E2_tabla_vida!$X$117)*E2_tabla_vida!$P$117,EXP(-D124*E2_tabla_vida!$X$118)*E2_tabla_vida!$P$118,EXP(-D124*E2_tabla_vida!$X$119)*E2_tabla_vida!$P$119,EXP(-D124*E2_tabla_vida!$X$120)*E2_tabla_vida!$P$120,EXP(-D124*E2_tabla_vida!$X$121)*E2_tabla_vida!$P$121,EXP(-D124*E2_tabla_vida!$X$122)*E2_tabla_vida!$P$122,EXP(-D124*E2_tabla_vida!$X$123)*E2_tabla_vida!$P$123,EXP(-D124*E2_tabla_vida!$X$124)*E2_tabla_vida!$P$124,EXP(-D124*E2_tabla_vida!$X$125)*E2_tabla_vida!$P$125,EXP(-D124*E2_tabla_vida!$X$126)*E2_tabla_vida!$P$126,EXP(-D124*E2_tabla_vida!$X$127)*E2_tabla_vida!$P$127)-1</x:f>
        <x:v>-4.0040560089771304e-8</x:v>
      </x:c>
    </x:row>
    <x:row r="125" ht="19" customHeight="1">
      <x:c r="A125" s="2" t="str">
        <x:v>MP_L7</x:v>
      </x:c>
      <x:c r="B125" s="2" t="n">
        <x:v>31</x:v>
      </x:c>
      <x:c r="C125" s="22" t="n">
        <x:f>IF(F124&gt;0,E124,C124)</x:f>
        <x:v>0.17924664355814457</x:v>
      </x:c>
      <x:c r="D125" s="22" t="n">
        <x:f>IF(F124&gt;0,D124,E124)</x:f>
        <x:v>0.17924664495512843</x:v>
      </x:c>
      <x:c r="E125" s="22" t="n">
        <x:f>AVERAGE(C125:D125)</x:f>
        <x:v>0.1792466442566365</x:v>
      </x:c>
      <x:c r="F125" s="24" t="n">
        <x:f>SUM(EXP(-E125*E2_tabla_vida!$X$86)*E2_tabla_vida!$P$86,EXP(-E125*E2_tabla_vida!$X$87)*E2_tabla_vida!$P$87,EXP(-E125*E2_tabla_vida!$X$88)*E2_tabla_vida!$P$88,EXP(-E125*E2_tabla_vida!$X$89)*E2_tabla_vida!$P$89,EXP(-E125*E2_tabla_vida!$X$90)*E2_tabla_vida!$P$90,EXP(-E125*E2_tabla_vida!$X$91)*E2_tabla_vida!$P$91,EXP(-E125*E2_tabla_vida!$X$92)*E2_tabla_vida!$P$92,EXP(-E125*E2_tabla_vida!$X$93)*E2_tabla_vida!$P$93,EXP(-E125*E2_tabla_vida!$X$94)*E2_tabla_vida!$P$94,EXP(-E125*E2_tabla_vida!$X$95)*E2_tabla_vida!$P$95,EXP(-E125*E2_tabla_vida!$X$96)*E2_tabla_vida!$P$96,EXP(-E125*E2_tabla_vida!$X$97)*E2_tabla_vida!$P$97,EXP(-E125*E2_tabla_vida!$X$98)*E2_tabla_vida!$P$98,EXP(-E125*E2_tabla_vida!$X$99)*E2_tabla_vida!$P$99,EXP(-E125*E2_tabla_vida!$X$100)*E2_tabla_vida!$P$100,EXP(-E125*E2_tabla_vida!$X$101)*E2_tabla_vida!$P$101,EXP(-E125*E2_tabla_vida!$X$102)*E2_tabla_vida!$P$102,EXP(-E125*E2_tabla_vida!$X$103)*E2_tabla_vida!$P$103,EXP(-E125*E2_tabla_vida!$X$104)*E2_tabla_vida!$P$104,EXP(-E125*E2_tabla_vida!$X$105)*E2_tabla_vida!$P$105,EXP(-E125*E2_tabla_vida!$X$106)*E2_tabla_vida!$P$106,EXP(-E125*E2_tabla_vida!$X$107)*E2_tabla_vida!$P$107,EXP(-E125*E2_tabla_vida!$X$108)*E2_tabla_vida!$P$108,EXP(-E125*E2_tabla_vida!$X$109)*E2_tabla_vida!$P$109,EXP(-E125*E2_tabla_vida!$X$110)*E2_tabla_vida!$P$110,EXP(-E125*E2_tabla_vida!$X$111)*E2_tabla_vida!$P$111,EXP(-E125*E2_tabla_vida!$X$112)*E2_tabla_vida!$P$112,EXP(-E125*E2_tabla_vida!$X$113)*E2_tabla_vida!$P$113,EXP(-E125*E2_tabla_vida!$X$114)*E2_tabla_vida!$P$114,EXP(-E125*E2_tabla_vida!$X$115)*E2_tabla_vida!$P$115,EXP(-E125*E2_tabla_vida!$X$116)*E2_tabla_vida!$P$116,EXP(-E125*E2_tabla_vida!$X$117)*E2_tabla_vida!$P$117,EXP(-E125*E2_tabla_vida!$X$118)*E2_tabla_vida!$P$118,EXP(-E125*E2_tabla_vida!$X$119)*E2_tabla_vida!$P$119,EXP(-E125*E2_tabla_vida!$X$120)*E2_tabla_vida!$P$120,EXP(-E125*E2_tabla_vida!$X$121)*E2_tabla_vida!$P$121,EXP(-E125*E2_tabla_vida!$X$122)*E2_tabla_vida!$P$122,EXP(-E125*E2_tabla_vida!$X$123)*E2_tabla_vida!$P$123,EXP(-E125*E2_tabla_vida!$X$124)*E2_tabla_vida!$P$124,EXP(-E125*E2_tabla_vida!$X$125)*E2_tabla_vida!$P$125,EXP(-E125*E2_tabla_vida!$X$126)*E2_tabla_vida!$P$126,EXP(-E125*E2_tabla_vida!$X$127)*E2_tabla_vida!$P$127)-1</x:f>
        <x:v>-6.357669057877047e-9</x:v>
      </x:c>
      <x:c r="G125" s="24" t="n">
        <x:f>SUM(EXP(-C125*E2_tabla_vida!$X$86)*E2_tabla_vida!$P$86,EXP(-C125*E2_tabla_vida!$X$87)*E2_tabla_vida!$P$87,EXP(-C125*E2_tabla_vida!$X$88)*E2_tabla_vida!$P$88,EXP(-C125*E2_tabla_vida!$X$89)*E2_tabla_vida!$P$89,EXP(-C125*E2_tabla_vida!$X$90)*E2_tabla_vida!$P$90,EXP(-C125*E2_tabla_vida!$X$91)*E2_tabla_vida!$P$91,EXP(-C125*E2_tabla_vida!$X$92)*E2_tabla_vida!$P$92,EXP(-C125*E2_tabla_vida!$X$93)*E2_tabla_vida!$P$93,EXP(-C125*E2_tabla_vida!$X$94)*E2_tabla_vida!$P$94,EXP(-C125*E2_tabla_vida!$X$95)*E2_tabla_vida!$P$95,EXP(-C125*E2_tabla_vida!$X$96)*E2_tabla_vida!$P$96,EXP(-C125*E2_tabla_vida!$X$97)*E2_tabla_vida!$P$97,EXP(-C125*E2_tabla_vida!$X$98)*E2_tabla_vida!$P$98,EXP(-C125*E2_tabla_vida!$X$99)*E2_tabla_vida!$P$99,EXP(-C125*E2_tabla_vida!$X$100)*E2_tabla_vida!$P$100,EXP(-C125*E2_tabla_vida!$X$101)*E2_tabla_vida!$P$101,EXP(-C125*E2_tabla_vida!$X$102)*E2_tabla_vida!$P$102,EXP(-C125*E2_tabla_vida!$X$103)*E2_tabla_vida!$P$103,EXP(-C125*E2_tabla_vida!$X$104)*E2_tabla_vida!$P$104,EXP(-C125*E2_tabla_vida!$X$105)*E2_tabla_vida!$P$105,EXP(-C125*E2_tabla_vida!$X$106)*E2_tabla_vida!$P$106,EXP(-C125*E2_tabla_vida!$X$107)*E2_tabla_vida!$P$107,EXP(-C125*E2_tabla_vida!$X$108)*E2_tabla_vida!$P$108,EXP(-C125*E2_tabla_vida!$X$109)*E2_tabla_vida!$P$109,EXP(-C125*E2_tabla_vida!$X$110)*E2_tabla_vida!$P$110,EXP(-C125*E2_tabla_vida!$X$111)*E2_tabla_vida!$P$111,EXP(-C125*E2_tabla_vida!$X$112)*E2_tabla_vida!$P$112,EXP(-C125*E2_tabla_vida!$X$113)*E2_tabla_vida!$P$113,EXP(-C125*E2_tabla_vida!$X$114)*E2_tabla_vida!$P$114,EXP(-C125*E2_tabla_vida!$X$115)*E2_tabla_vida!$P$115,EXP(-C125*E2_tabla_vida!$X$116)*E2_tabla_vida!$P$116,EXP(-C125*E2_tabla_vida!$X$117)*E2_tabla_vida!$P$117,EXP(-C125*E2_tabla_vida!$X$118)*E2_tabla_vida!$P$118,EXP(-C125*E2_tabla_vida!$X$119)*E2_tabla_vida!$P$119,EXP(-C125*E2_tabla_vida!$X$120)*E2_tabla_vida!$P$120,EXP(-C125*E2_tabla_vida!$X$121)*E2_tabla_vida!$P$121,EXP(-C125*E2_tabla_vida!$X$122)*E2_tabla_vida!$P$122,EXP(-C125*E2_tabla_vida!$X$123)*E2_tabla_vida!$P$123,EXP(-C125*E2_tabla_vida!$X$124)*E2_tabla_vida!$P$124,EXP(-C125*E2_tabla_vida!$X$125)*E2_tabla_vida!$P$125,EXP(-C125*E2_tabla_vida!$X$126)*E2_tabla_vida!$P$126,EXP(-C125*E2_tabla_vida!$X$127)*E2_tabla_vida!$P$127)-1</x:f>
        <x:v>4.86996132309514e-9</x:v>
      </x:c>
      <x:c r="H125" s="24" t="n">
        <x:f>SUM(EXP(-D125*E2_tabla_vida!$X$86)*E2_tabla_vida!$P$86,EXP(-D125*E2_tabla_vida!$X$87)*E2_tabla_vida!$P$87,EXP(-D125*E2_tabla_vida!$X$88)*E2_tabla_vida!$P$88,EXP(-D125*E2_tabla_vida!$X$89)*E2_tabla_vida!$P$89,EXP(-D125*E2_tabla_vida!$X$90)*E2_tabla_vida!$P$90,EXP(-D125*E2_tabla_vida!$X$91)*E2_tabla_vida!$P$91,EXP(-D125*E2_tabla_vida!$X$92)*E2_tabla_vida!$P$92,EXP(-D125*E2_tabla_vida!$X$93)*E2_tabla_vida!$P$93,EXP(-D125*E2_tabla_vida!$X$94)*E2_tabla_vida!$P$94,EXP(-D125*E2_tabla_vida!$X$95)*E2_tabla_vida!$P$95,EXP(-D125*E2_tabla_vida!$X$96)*E2_tabla_vida!$P$96,EXP(-D125*E2_tabla_vida!$X$97)*E2_tabla_vida!$P$97,EXP(-D125*E2_tabla_vida!$X$98)*E2_tabla_vida!$P$98,EXP(-D125*E2_tabla_vida!$X$99)*E2_tabla_vida!$P$99,EXP(-D125*E2_tabla_vida!$X$100)*E2_tabla_vida!$P$100,EXP(-D125*E2_tabla_vida!$X$101)*E2_tabla_vida!$P$101,EXP(-D125*E2_tabla_vida!$X$102)*E2_tabla_vida!$P$102,EXP(-D125*E2_tabla_vida!$X$103)*E2_tabla_vida!$P$103,EXP(-D125*E2_tabla_vida!$X$104)*E2_tabla_vida!$P$104,EXP(-D125*E2_tabla_vida!$X$105)*E2_tabla_vida!$P$105,EXP(-D125*E2_tabla_vida!$X$106)*E2_tabla_vida!$P$106,EXP(-D125*E2_tabla_vida!$X$107)*E2_tabla_vida!$P$107,EXP(-D125*E2_tabla_vida!$X$108)*E2_tabla_vida!$P$108,EXP(-D125*E2_tabla_vida!$X$109)*E2_tabla_vida!$P$109,EXP(-D125*E2_tabla_vida!$X$110)*E2_tabla_vida!$P$110,EXP(-D125*E2_tabla_vida!$X$111)*E2_tabla_vida!$P$111,EXP(-D125*E2_tabla_vida!$X$112)*E2_tabla_vida!$P$112,EXP(-D125*E2_tabla_vida!$X$113)*E2_tabla_vida!$P$113,EXP(-D125*E2_tabla_vida!$X$114)*E2_tabla_vida!$P$114,EXP(-D125*E2_tabla_vida!$X$115)*E2_tabla_vida!$P$115,EXP(-D125*E2_tabla_vida!$X$116)*E2_tabla_vida!$P$116,EXP(-D125*E2_tabla_vida!$X$117)*E2_tabla_vida!$P$117,EXP(-D125*E2_tabla_vida!$X$118)*E2_tabla_vida!$P$118,EXP(-D125*E2_tabla_vida!$X$119)*E2_tabla_vida!$P$119,EXP(-D125*E2_tabla_vida!$X$120)*E2_tabla_vida!$P$120,EXP(-D125*E2_tabla_vida!$X$121)*E2_tabla_vida!$P$121,EXP(-D125*E2_tabla_vida!$X$122)*E2_tabla_vida!$P$122,EXP(-D125*E2_tabla_vida!$X$123)*E2_tabla_vida!$P$123,EXP(-D125*E2_tabla_vida!$X$124)*E2_tabla_vida!$P$124,EXP(-D125*E2_tabla_vida!$X$125)*E2_tabla_vida!$P$125,EXP(-D125*E2_tabla_vida!$X$126)*E2_tabla_vida!$P$126,EXP(-D125*E2_tabla_vida!$X$127)*E2_tabla_vida!$P$127)-1</x:f>
        <x:v>-1.7585299438849233e-8</x:v>
      </x:c>
    </x:row>
    <x:row r="126" ht="19" customHeight="1">
      <x:c r="A126" s="2" t="str">
        <x:v>MP_L7</x:v>
      </x:c>
      <x:c r="B126" s="2" t="n">
        <x:v>32</x:v>
      </x:c>
      <x:c r="C126" s="22" t="n">
        <x:f>IF(F125&gt;0,E125,C125)</x:f>
        <x:v>0.17924664355814457</x:v>
      </x:c>
      <x:c r="D126" s="22" t="n">
        <x:f>IF(F125&gt;0,D125,E125)</x:f>
        <x:v>0.1792466442566365</x:v>
      </x:c>
      <x:c r="E126" s="22" t="n">
        <x:f>AVERAGE(C126:D126)</x:f>
        <x:v>0.17924664390739053</x:v>
      </x:c>
      <x:c r="F126" s="24" t="n">
        <x:f>SUM(EXP(-E126*E2_tabla_vida!$X$86)*E2_tabla_vida!$P$86,EXP(-E126*E2_tabla_vida!$X$87)*E2_tabla_vida!$P$87,EXP(-E126*E2_tabla_vida!$X$88)*E2_tabla_vida!$P$88,EXP(-E126*E2_tabla_vida!$X$89)*E2_tabla_vida!$P$89,EXP(-E126*E2_tabla_vida!$X$90)*E2_tabla_vida!$P$90,EXP(-E126*E2_tabla_vida!$X$91)*E2_tabla_vida!$P$91,EXP(-E126*E2_tabla_vida!$X$92)*E2_tabla_vida!$P$92,EXP(-E126*E2_tabla_vida!$X$93)*E2_tabla_vida!$P$93,EXP(-E126*E2_tabla_vida!$X$94)*E2_tabla_vida!$P$94,EXP(-E126*E2_tabla_vida!$X$95)*E2_tabla_vida!$P$95,EXP(-E126*E2_tabla_vida!$X$96)*E2_tabla_vida!$P$96,EXP(-E126*E2_tabla_vida!$X$97)*E2_tabla_vida!$P$97,EXP(-E126*E2_tabla_vida!$X$98)*E2_tabla_vida!$P$98,EXP(-E126*E2_tabla_vida!$X$99)*E2_tabla_vida!$P$99,EXP(-E126*E2_tabla_vida!$X$100)*E2_tabla_vida!$P$100,EXP(-E126*E2_tabla_vida!$X$101)*E2_tabla_vida!$P$101,EXP(-E126*E2_tabla_vida!$X$102)*E2_tabla_vida!$P$102,EXP(-E126*E2_tabla_vida!$X$103)*E2_tabla_vida!$P$103,EXP(-E126*E2_tabla_vida!$X$104)*E2_tabla_vida!$P$104,EXP(-E126*E2_tabla_vida!$X$105)*E2_tabla_vida!$P$105,EXP(-E126*E2_tabla_vida!$X$106)*E2_tabla_vida!$P$106,EXP(-E126*E2_tabla_vida!$X$107)*E2_tabla_vida!$P$107,EXP(-E126*E2_tabla_vida!$X$108)*E2_tabla_vida!$P$108,EXP(-E126*E2_tabla_vida!$X$109)*E2_tabla_vida!$P$109,EXP(-E126*E2_tabla_vida!$X$110)*E2_tabla_vida!$P$110,EXP(-E126*E2_tabla_vida!$X$111)*E2_tabla_vida!$P$111,EXP(-E126*E2_tabla_vida!$X$112)*E2_tabla_vida!$P$112,EXP(-E126*E2_tabla_vida!$X$113)*E2_tabla_vida!$P$113,EXP(-E126*E2_tabla_vida!$X$114)*E2_tabla_vida!$P$114,EXP(-E126*E2_tabla_vida!$X$115)*E2_tabla_vida!$P$115,EXP(-E126*E2_tabla_vida!$X$116)*E2_tabla_vida!$P$116,EXP(-E126*E2_tabla_vida!$X$117)*E2_tabla_vida!$P$117,EXP(-E126*E2_tabla_vida!$X$118)*E2_tabla_vida!$P$118,EXP(-E126*E2_tabla_vida!$X$119)*E2_tabla_vida!$P$119,EXP(-E126*E2_tabla_vida!$X$120)*E2_tabla_vida!$P$120,EXP(-E126*E2_tabla_vida!$X$121)*E2_tabla_vida!$P$121,EXP(-E126*E2_tabla_vida!$X$122)*E2_tabla_vida!$P$122,EXP(-E126*E2_tabla_vida!$X$123)*E2_tabla_vida!$P$123,EXP(-E126*E2_tabla_vida!$X$124)*E2_tabla_vida!$P$124,EXP(-E126*E2_tabla_vida!$X$125)*E2_tabla_vida!$P$125,EXP(-E126*E2_tabla_vida!$X$126)*E2_tabla_vida!$P$126,EXP(-E126*E2_tabla_vida!$X$127)*E2_tabla_vida!$P$127)-1</x:f>
        <x:v>-7.438539784132558e-10</x:v>
      </x:c>
      <x:c r="G126" s="24" t="n">
        <x:f>SUM(EXP(-C126*E2_tabla_vida!$X$86)*E2_tabla_vida!$P$86,EXP(-C126*E2_tabla_vida!$X$87)*E2_tabla_vida!$P$87,EXP(-C126*E2_tabla_vida!$X$88)*E2_tabla_vida!$P$88,EXP(-C126*E2_tabla_vida!$X$89)*E2_tabla_vida!$P$89,EXP(-C126*E2_tabla_vida!$X$90)*E2_tabla_vida!$P$90,EXP(-C126*E2_tabla_vida!$X$91)*E2_tabla_vida!$P$91,EXP(-C126*E2_tabla_vida!$X$92)*E2_tabla_vida!$P$92,EXP(-C126*E2_tabla_vida!$X$93)*E2_tabla_vida!$P$93,EXP(-C126*E2_tabla_vida!$X$94)*E2_tabla_vida!$P$94,EXP(-C126*E2_tabla_vida!$X$95)*E2_tabla_vida!$P$95,EXP(-C126*E2_tabla_vida!$X$96)*E2_tabla_vida!$P$96,EXP(-C126*E2_tabla_vida!$X$97)*E2_tabla_vida!$P$97,EXP(-C126*E2_tabla_vida!$X$98)*E2_tabla_vida!$P$98,EXP(-C126*E2_tabla_vida!$X$99)*E2_tabla_vida!$P$99,EXP(-C126*E2_tabla_vida!$X$100)*E2_tabla_vida!$P$100,EXP(-C126*E2_tabla_vida!$X$101)*E2_tabla_vida!$P$101,EXP(-C126*E2_tabla_vida!$X$102)*E2_tabla_vida!$P$102,EXP(-C126*E2_tabla_vida!$X$103)*E2_tabla_vida!$P$103,EXP(-C126*E2_tabla_vida!$X$104)*E2_tabla_vida!$P$104,EXP(-C126*E2_tabla_vida!$X$105)*E2_tabla_vida!$P$105,EXP(-C126*E2_tabla_vida!$X$106)*E2_tabla_vida!$P$106,EXP(-C126*E2_tabla_vida!$X$107)*E2_tabla_vida!$P$107,EXP(-C126*E2_tabla_vida!$X$108)*E2_tabla_vida!$P$108,EXP(-C126*E2_tabla_vida!$X$109)*E2_tabla_vida!$P$109,EXP(-C126*E2_tabla_vida!$X$110)*E2_tabla_vida!$P$110,EXP(-C126*E2_tabla_vida!$X$111)*E2_tabla_vida!$P$111,EXP(-C126*E2_tabla_vida!$X$112)*E2_tabla_vida!$P$112,EXP(-C126*E2_tabla_vida!$X$113)*E2_tabla_vida!$P$113,EXP(-C126*E2_tabla_vida!$X$114)*E2_tabla_vida!$P$114,EXP(-C126*E2_tabla_vida!$X$115)*E2_tabla_vida!$P$115,EXP(-C126*E2_tabla_vida!$X$116)*E2_tabla_vida!$P$116,EXP(-C126*E2_tabla_vida!$X$117)*E2_tabla_vida!$P$117,EXP(-C126*E2_tabla_vida!$X$118)*E2_tabla_vida!$P$118,EXP(-C126*E2_tabla_vida!$X$119)*E2_tabla_vida!$P$119,EXP(-C126*E2_tabla_vida!$X$120)*E2_tabla_vida!$P$120,EXP(-C126*E2_tabla_vida!$X$121)*E2_tabla_vida!$P$121,EXP(-C126*E2_tabla_vida!$X$122)*E2_tabla_vida!$P$122,EXP(-C126*E2_tabla_vida!$X$123)*E2_tabla_vida!$P$123,EXP(-C126*E2_tabla_vida!$X$124)*E2_tabla_vida!$P$124,EXP(-C126*E2_tabla_vida!$X$125)*E2_tabla_vida!$P$125,EXP(-C126*E2_tabla_vida!$X$126)*E2_tabla_vida!$P$126,EXP(-C126*E2_tabla_vida!$X$127)*E2_tabla_vida!$P$127)-1</x:f>
        <x:v>4.86996132309514e-9</x:v>
      </x:c>
      <x:c r="H126" s="24" t="n">
        <x:f>SUM(EXP(-D126*E2_tabla_vida!$X$86)*E2_tabla_vida!$P$86,EXP(-D126*E2_tabla_vida!$X$87)*E2_tabla_vida!$P$87,EXP(-D126*E2_tabla_vida!$X$88)*E2_tabla_vida!$P$88,EXP(-D126*E2_tabla_vida!$X$89)*E2_tabla_vida!$P$89,EXP(-D126*E2_tabla_vida!$X$90)*E2_tabla_vida!$P$90,EXP(-D126*E2_tabla_vida!$X$91)*E2_tabla_vida!$P$91,EXP(-D126*E2_tabla_vida!$X$92)*E2_tabla_vida!$P$92,EXP(-D126*E2_tabla_vida!$X$93)*E2_tabla_vida!$P$93,EXP(-D126*E2_tabla_vida!$X$94)*E2_tabla_vida!$P$94,EXP(-D126*E2_tabla_vida!$X$95)*E2_tabla_vida!$P$95,EXP(-D126*E2_tabla_vida!$X$96)*E2_tabla_vida!$P$96,EXP(-D126*E2_tabla_vida!$X$97)*E2_tabla_vida!$P$97,EXP(-D126*E2_tabla_vida!$X$98)*E2_tabla_vida!$P$98,EXP(-D126*E2_tabla_vida!$X$99)*E2_tabla_vida!$P$99,EXP(-D126*E2_tabla_vida!$X$100)*E2_tabla_vida!$P$100,EXP(-D126*E2_tabla_vida!$X$101)*E2_tabla_vida!$P$101,EXP(-D126*E2_tabla_vida!$X$102)*E2_tabla_vida!$P$102,EXP(-D126*E2_tabla_vida!$X$103)*E2_tabla_vida!$P$103,EXP(-D126*E2_tabla_vida!$X$104)*E2_tabla_vida!$P$104,EXP(-D126*E2_tabla_vida!$X$105)*E2_tabla_vida!$P$105,EXP(-D126*E2_tabla_vida!$X$106)*E2_tabla_vida!$P$106,EXP(-D126*E2_tabla_vida!$X$107)*E2_tabla_vida!$P$107,EXP(-D126*E2_tabla_vida!$X$108)*E2_tabla_vida!$P$108,EXP(-D126*E2_tabla_vida!$X$109)*E2_tabla_vida!$P$109,EXP(-D126*E2_tabla_vida!$X$110)*E2_tabla_vida!$P$110,EXP(-D126*E2_tabla_vida!$X$111)*E2_tabla_vida!$P$111,EXP(-D126*E2_tabla_vida!$X$112)*E2_tabla_vida!$P$112,EXP(-D126*E2_tabla_vida!$X$113)*E2_tabla_vida!$P$113,EXP(-D126*E2_tabla_vida!$X$114)*E2_tabla_vida!$P$114,EXP(-D126*E2_tabla_vida!$X$115)*E2_tabla_vida!$P$115,EXP(-D126*E2_tabla_vida!$X$116)*E2_tabla_vida!$P$116,EXP(-D126*E2_tabla_vida!$X$117)*E2_tabla_vida!$P$117,EXP(-D126*E2_tabla_vida!$X$118)*E2_tabla_vida!$P$118,EXP(-D126*E2_tabla_vida!$X$119)*E2_tabla_vida!$P$119,EXP(-D126*E2_tabla_vida!$X$120)*E2_tabla_vida!$P$120,EXP(-D126*E2_tabla_vida!$X$121)*E2_tabla_vida!$P$121,EXP(-D126*E2_tabla_vida!$X$122)*E2_tabla_vida!$P$122,EXP(-D126*E2_tabla_vida!$X$123)*E2_tabla_vida!$P$123,EXP(-D126*E2_tabla_vida!$X$124)*E2_tabla_vida!$P$124,EXP(-D126*E2_tabla_vida!$X$125)*E2_tabla_vida!$P$125,EXP(-D126*E2_tabla_vida!$X$126)*E2_tabla_vida!$P$126,EXP(-D126*E2_tabla_vida!$X$127)*E2_tabla_vida!$P$127)-1</x:f>
        <x:v>-6.357669057877047e-9</x:v>
      </x:c>
    </x:row>
    <x:row r="127" ht="19" customHeight="1">
      <x:c r="A127" s="2" t="str">
        <x:v>MP_L7</x:v>
      </x:c>
      <x:c r="B127" s="2" t="n">
        <x:v>33</x:v>
      </x:c>
      <x:c r="C127" s="22" t="n">
        <x:f>IF(F126&gt;0,E126,C126)</x:f>
        <x:v>0.17924664355814457</x:v>
      </x:c>
      <x:c r="D127" s="22" t="n">
        <x:f>IF(F126&gt;0,D126,E126)</x:f>
        <x:v>0.17924664390739053</x:v>
      </x:c>
      <x:c r="E127" s="22" t="n">
        <x:f>AVERAGE(C127:D127)</x:f>
        <x:v>0.17924664373276755</x:v>
      </x:c>
      <x:c r="F127" s="24" t="n">
        <x:f>SUM(EXP(-E127*E2_tabla_vida!$X$86)*E2_tabla_vida!$P$86,EXP(-E127*E2_tabla_vida!$X$87)*E2_tabla_vida!$P$87,EXP(-E127*E2_tabla_vida!$X$88)*E2_tabla_vida!$P$88,EXP(-E127*E2_tabla_vida!$X$89)*E2_tabla_vida!$P$89,EXP(-E127*E2_tabla_vida!$X$90)*E2_tabla_vida!$P$90,EXP(-E127*E2_tabla_vida!$X$91)*E2_tabla_vida!$P$91,EXP(-E127*E2_tabla_vida!$X$92)*E2_tabla_vida!$P$92,EXP(-E127*E2_tabla_vida!$X$93)*E2_tabla_vida!$P$93,EXP(-E127*E2_tabla_vida!$X$94)*E2_tabla_vida!$P$94,EXP(-E127*E2_tabla_vida!$X$95)*E2_tabla_vida!$P$95,EXP(-E127*E2_tabla_vida!$X$96)*E2_tabla_vida!$P$96,EXP(-E127*E2_tabla_vida!$X$97)*E2_tabla_vida!$P$97,EXP(-E127*E2_tabla_vida!$X$98)*E2_tabla_vida!$P$98,EXP(-E127*E2_tabla_vida!$X$99)*E2_tabla_vida!$P$99,EXP(-E127*E2_tabla_vida!$X$100)*E2_tabla_vida!$P$100,EXP(-E127*E2_tabla_vida!$X$101)*E2_tabla_vida!$P$101,EXP(-E127*E2_tabla_vida!$X$102)*E2_tabla_vida!$P$102,EXP(-E127*E2_tabla_vida!$X$103)*E2_tabla_vida!$P$103,EXP(-E127*E2_tabla_vida!$X$104)*E2_tabla_vida!$P$104,EXP(-E127*E2_tabla_vida!$X$105)*E2_tabla_vida!$P$105,EXP(-E127*E2_tabla_vida!$X$106)*E2_tabla_vida!$P$106,EXP(-E127*E2_tabla_vida!$X$107)*E2_tabla_vida!$P$107,EXP(-E127*E2_tabla_vida!$X$108)*E2_tabla_vida!$P$108,EXP(-E127*E2_tabla_vida!$X$109)*E2_tabla_vida!$P$109,EXP(-E127*E2_tabla_vida!$X$110)*E2_tabla_vida!$P$110,EXP(-E127*E2_tabla_vida!$X$111)*E2_tabla_vida!$P$111,EXP(-E127*E2_tabla_vida!$X$112)*E2_tabla_vida!$P$112,EXP(-E127*E2_tabla_vida!$X$113)*E2_tabla_vida!$P$113,EXP(-E127*E2_tabla_vida!$X$114)*E2_tabla_vida!$P$114,EXP(-E127*E2_tabla_vida!$X$115)*E2_tabla_vida!$P$115,EXP(-E127*E2_tabla_vida!$X$116)*E2_tabla_vida!$P$116,EXP(-E127*E2_tabla_vida!$X$117)*E2_tabla_vida!$P$117,EXP(-E127*E2_tabla_vida!$X$118)*E2_tabla_vida!$P$118,EXP(-E127*E2_tabla_vida!$X$119)*E2_tabla_vida!$P$119,EXP(-E127*E2_tabla_vida!$X$120)*E2_tabla_vida!$P$120,EXP(-E127*E2_tabla_vida!$X$121)*E2_tabla_vida!$P$121,EXP(-E127*E2_tabla_vida!$X$122)*E2_tabla_vida!$P$122,EXP(-E127*E2_tabla_vida!$X$123)*E2_tabla_vida!$P$123,EXP(-E127*E2_tabla_vida!$X$124)*E2_tabla_vida!$P$124,EXP(-E127*E2_tabla_vida!$X$125)*E2_tabla_vida!$P$125,EXP(-E127*E2_tabla_vida!$X$126)*E2_tabla_vida!$P$126,EXP(-E127*E2_tabla_vida!$X$127)*E2_tabla_vida!$P$127)-1</x:f>
        <x:v>2.0630537278520933e-9</x:v>
      </x:c>
      <x:c r="G127" s="24" t="n">
        <x:f>SUM(EXP(-C127*E2_tabla_vida!$X$86)*E2_tabla_vida!$P$86,EXP(-C127*E2_tabla_vida!$X$87)*E2_tabla_vida!$P$87,EXP(-C127*E2_tabla_vida!$X$88)*E2_tabla_vida!$P$88,EXP(-C127*E2_tabla_vida!$X$89)*E2_tabla_vida!$P$89,EXP(-C127*E2_tabla_vida!$X$90)*E2_tabla_vida!$P$90,EXP(-C127*E2_tabla_vida!$X$91)*E2_tabla_vida!$P$91,EXP(-C127*E2_tabla_vida!$X$92)*E2_tabla_vida!$P$92,EXP(-C127*E2_tabla_vida!$X$93)*E2_tabla_vida!$P$93,EXP(-C127*E2_tabla_vida!$X$94)*E2_tabla_vida!$P$94,EXP(-C127*E2_tabla_vida!$X$95)*E2_tabla_vida!$P$95,EXP(-C127*E2_tabla_vida!$X$96)*E2_tabla_vida!$P$96,EXP(-C127*E2_tabla_vida!$X$97)*E2_tabla_vida!$P$97,EXP(-C127*E2_tabla_vida!$X$98)*E2_tabla_vida!$P$98,EXP(-C127*E2_tabla_vida!$X$99)*E2_tabla_vida!$P$99,EXP(-C127*E2_tabla_vida!$X$100)*E2_tabla_vida!$P$100,EXP(-C127*E2_tabla_vida!$X$101)*E2_tabla_vida!$P$101,EXP(-C127*E2_tabla_vida!$X$102)*E2_tabla_vida!$P$102,EXP(-C127*E2_tabla_vida!$X$103)*E2_tabla_vida!$P$103,EXP(-C127*E2_tabla_vida!$X$104)*E2_tabla_vida!$P$104,EXP(-C127*E2_tabla_vida!$X$105)*E2_tabla_vida!$P$105,EXP(-C127*E2_tabla_vida!$X$106)*E2_tabla_vida!$P$106,EXP(-C127*E2_tabla_vida!$X$107)*E2_tabla_vida!$P$107,EXP(-C127*E2_tabla_vida!$X$108)*E2_tabla_vida!$P$108,EXP(-C127*E2_tabla_vida!$X$109)*E2_tabla_vida!$P$109,EXP(-C127*E2_tabla_vida!$X$110)*E2_tabla_vida!$P$110,EXP(-C127*E2_tabla_vida!$X$111)*E2_tabla_vida!$P$111,EXP(-C127*E2_tabla_vida!$X$112)*E2_tabla_vida!$P$112,EXP(-C127*E2_tabla_vida!$X$113)*E2_tabla_vida!$P$113,EXP(-C127*E2_tabla_vida!$X$114)*E2_tabla_vida!$P$114,EXP(-C127*E2_tabla_vida!$X$115)*E2_tabla_vida!$P$115,EXP(-C127*E2_tabla_vida!$X$116)*E2_tabla_vida!$P$116,EXP(-C127*E2_tabla_vida!$X$117)*E2_tabla_vida!$P$117,EXP(-C127*E2_tabla_vida!$X$118)*E2_tabla_vida!$P$118,EXP(-C127*E2_tabla_vida!$X$119)*E2_tabla_vida!$P$119,EXP(-C127*E2_tabla_vida!$X$120)*E2_tabla_vida!$P$120,EXP(-C127*E2_tabla_vida!$X$121)*E2_tabla_vida!$P$121,EXP(-C127*E2_tabla_vida!$X$122)*E2_tabla_vida!$P$122,EXP(-C127*E2_tabla_vida!$X$123)*E2_tabla_vida!$P$123,EXP(-C127*E2_tabla_vida!$X$124)*E2_tabla_vida!$P$124,EXP(-C127*E2_tabla_vida!$X$125)*E2_tabla_vida!$P$125,EXP(-C127*E2_tabla_vida!$X$126)*E2_tabla_vida!$P$126,EXP(-C127*E2_tabla_vida!$X$127)*E2_tabla_vida!$P$127)-1</x:f>
        <x:v>4.86996132309514e-9</x:v>
      </x:c>
      <x:c r="H127" s="24" t="n">
        <x:f>SUM(EXP(-D127*E2_tabla_vida!$X$86)*E2_tabla_vida!$P$86,EXP(-D127*E2_tabla_vida!$X$87)*E2_tabla_vida!$P$87,EXP(-D127*E2_tabla_vida!$X$88)*E2_tabla_vida!$P$88,EXP(-D127*E2_tabla_vida!$X$89)*E2_tabla_vida!$P$89,EXP(-D127*E2_tabla_vida!$X$90)*E2_tabla_vida!$P$90,EXP(-D127*E2_tabla_vida!$X$91)*E2_tabla_vida!$P$91,EXP(-D127*E2_tabla_vida!$X$92)*E2_tabla_vida!$P$92,EXP(-D127*E2_tabla_vida!$X$93)*E2_tabla_vida!$P$93,EXP(-D127*E2_tabla_vida!$X$94)*E2_tabla_vida!$P$94,EXP(-D127*E2_tabla_vida!$X$95)*E2_tabla_vida!$P$95,EXP(-D127*E2_tabla_vida!$X$96)*E2_tabla_vida!$P$96,EXP(-D127*E2_tabla_vida!$X$97)*E2_tabla_vida!$P$97,EXP(-D127*E2_tabla_vida!$X$98)*E2_tabla_vida!$P$98,EXP(-D127*E2_tabla_vida!$X$99)*E2_tabla_vida!$P$99,EXP(-D127*E2_tabla_vida!$X$100)*E2_tabla_vida!$P$100,EXP(-D127*E2_tabla_vida!$X$101)*E2_tabla_vida!$P$101,EXP(-D127*E2_tabla_vida!$X$102)*E2_tabla_vida!$P$102,EXP(-D127*E2_tabla_vida!$X$103)*E2_tabla_vida!$P$103,EXP(-D127*E2_tabla_vida!$X$104)*E2_tabla_vida!$P$104,EXP(-D127*E2_tabla_vida!$X$105)*E2_tabla_vida!$P$105,EXP(-D127*E2_tabla_vida!$X$106)*E2_tabla_vida!$P$106,EXP(-D127*E2_tabla_vida!$X$107)*E2_tabla_vida!$P$107,EXP(-D127*E2_tabla_vida!$X$108)*E2_tabla_vida!$P$108,EXP(-D127*E2_tabla_vida!$X$109)*E2_tabla_vida!$P$109,EXP(-D127*E2_tabla_vida!$X$110)*E2_tabla_vida!$P$110,EXP(-D127*E2_tabla_vida!$X$111)*E2_tabla_vida!$P$111,EXP(-D127*E2_tabla_vida!$X$112)*E2_tabla_vida!$P$112,EXP(-D127*E2_tabla_vida!$X$113)*E2_tabla_vida!$P$113,EXP(-D127*E2_tabla_vida!$X$114)*E2_tabla_vida!$P$114,EXP(-D127*E2_tabla_vida!$X$115)*E2_tabla_vida!$P$115,EXP(-D127*E2_tabla_vida!$X$116)*E2_tabla_vida!$P$116,EXP(-D127*E2_tabla_vida!$X$117)*E2_tabla_vida!$P$117,EXP(-D127*E2_tabla_vida!$X$118)*E2_tabla_vida!$P$118,EXP(-D127*E2_tabla_vida!$X$119)*E2_tabla_vida!$P$119,EXP(-D127*E2_tabla_vida!$X$120)*E2_tabla_vida!$P$120,EXP(-D127*E2_tabla_vida!$X$121)*E2_tabla_vida!$P$121,EXP(-D127*E2_tabla_vida!$X$122)*E2_tabla_vida!$P$122,EXP(-D127*E2_tabla_vida!$X$123)*E2_tabla_vida!$P$123,EXP(-D127*E2_tabla_vida!$X$124)*E2_tabla_vida!$P$124,EXP(-D127*E2_tabla_vida!$X$125)*E2_tabla_vida!$P$125,EXP(-D127*E2_tabla_vida!$X$126)*E2_tabla_vida!$P$126,EXP(-D127*E2_tabla_vida!$X$127)*E2_tabla_vida!$P$127)-1</x:f>
        <x:v>-7.438539784132558e-10</x:v>
      </x:c>
    </x:row>
    <x:row r="128" ht="19" customHeight="1">
      <x:c r="A128" s="2" t="str">
        <x:v>MP_L7</x:v>
      </x:c>
      <x:c r="B128" s="2" t="n">
        <x:v>34</x:v>
      </x:c>
      <x:c r="C128" s="22" t="n">
        <x:f>IF(F127&gt;0,E127,C127)</x:f>
        <x:v>0.17924664373276755</x:v>
      </x:c>
      <x:c r="D128" s="22" t="n">
        <x:f>IF(F127&gt;0,D127,E127)</x:f>
        <x:v>0.17924664390739053</x:v>
      </x:c>
      <x:c r="E128" s="22" t="n">
        <x:f>AVERAGE(C128:D128)</x:f>
        <x:v>0.17924664382007904</x:v>
      </x:c>
      <x:c r="F128" s="24" t="n">
        <x:f>SUM(EXP(-E128*E2_tabla_vida!$X$86)*E2_tabla_vida!$P$86,EXP(-E128*E2_tabla_vida!$X$87)*E2_tabla_vida!$P$87,EXP(-E128*E2_tabla_vida!$X$88)*E2_tabla_vida!$P$88,EXP(-E128*E2_tabla_vida!$X$89)*E2_tabla_vida!$P$89,EXP(-E128*E2_tabla_vida!$X$90)*E2_tabla_vida!$P$90,EXP(-E128*E2_tabla_vida!$X$91)*E2_tabla_vida!$P$91,EXP(-E128*E2_tabla_vida!$X$92)*E2_tabla_vida!$P$92,EXP(-E128*E2_tabla_vida!$X$93)*E2_tabla_vida!$P$93,EXP(-E128*E2_tabla_vida!$X$94)*E2_tabla_vida!$P$94,EXP(-E128*E2_tabla_vida!$X$95)*E2_tabla_vida!$P$95,EXP(-E128*E2_tabla_vida!$X$96)*E2_tabla_vida!$P$96,EXP(-E128*E2_tabla_vida!$X$97)*E2_tabla_vida!$P$97,EXP(-E128*E2_tabla_vida!$X$98)*E2_tabla_vida!$P$98,EXP(-E128*E2_tabla_vida!$X$99)*E2_tabla_vida!$P$99,EXP(-E128*E2_tabla_vida!$X$100)*E2_tabla_vida!$P$100,EXP(-E128*E2_tabla_vida!$X$101)*E2_tabla_vida!$P$101,EXP(-E128*E2_tabla_vida!$X$102)*E2_tabla_vida!$P$102,EXP(-E128*E2_tabla_vida!$X$103)*E2_tabla_vida!$P$103,EXP(-E128*E2_tabla_vida!$X$104)*E2_tabla_vida!$P$104,EXP(-E128*E2_tabla_vida!$X$105)*E2_tabla_vida!$P$105,EXP(-E128*E2_tabla_vida!$X$106)*E2_tabla_vida!$P$106,EXP(-E128*E2_tabla_vida!$X$107)*E2_tabla_vida!$P$107,EXP(-E128*E2_tabla_vida!$X$108)*E2_tabla_vida!$P$108,EXP(-E128*E2_tabla_vida!$X$109)*E2_tabla_vida!$P$109,EXP(-E128*E2_tabla_vida!$X$110)*E2_tabla_vida!$P$110,EXP(-E128*E2_tabla_vida!$X$111)*E2_tabla_vida!$P$111,EXP(-E128*E2_tabla_vida!$X$112)*E2_tabla_vida!$P$112,EXP(-E128*E2_tabla_vida!$X$113)*E2_tabla_vida!$P$113,EXP(-E128*E2_tabla_vida!$X$114)*E2_tabla_vida!$P$114,EXP(-E128*E2_tabla_vida!$X$115)*E2_tabla_vida!$P$115,EXP(-E128*E2_tabla_vida!$X$116)*E2_tabla_vida!$P$116,EXP(-E128*E2_tabla_vida!$X$117)*E2_tabla_vida!$P$117,EXP(-E128*E2_tabla_vida!$X$118)*E2_tabla_vida!$P$118,EXP(-E128*E2_tabla_vida!$X$119)*E2_tabla_vida!$P$119,EXP(-E128*E2_tabla_vida!$X$120)*E2_tabla_vida!$P$120,EXP(-E128*E2_tabla_vida!$X$121)*E2_tabla_vida!$P$121,EXP(-E128*E2_tabla_vida!$X$122)*E2_tabla_vida!$P$122,EXP(-E128*E2_tabla_vida!$X$123)*E2_tabla_vida!$P$123,EXP(-E128*E2_tabla_vida!$X$124)*E2_tabla_vida!$P$124,EXP(-E128*E2_tabla_vida!$X$125)*E2_tabla_vida!$P$125,EXP(-E128*E2_tabla_vida!$X$126)*E2_tabla_vida!$P$126,EXP(-E128*E2_tabla_vida!$X$127)*E2_tabla_vida!$P$127)-1</x:f>
        <x:v>6.5959993023057e-10</x:v>
      </x:c>
      <x:c r="G128" s="24" t="n">
        <x:f>SUM(EXP(-C128*E2_tabla_vida!$X$86)*E2_tabla_vida!$P$86,EXP(-C128*E2_tabla_vida!$X$87)*E2_tabla_vida!$P$87,EXP(-C128*E2_tabla_vida!$X$88)*E2_tabla_vida!$P$88,EXP(-C128*E2_tabla_vida!$X$89)*E2_tabla_vida!$P$89,EXP(-C128*E2_tabla_vida!$X$90)*E2_tabla_vida!$P$90,EXP(-C128*E2_tabla_vida!$X$91)*E2_tabla_vida!$P$91,EXP(-C128*E2_tabla_vida!$X$92)*E2_tabla_vida!$P$92,EXP(-C128*E2_tabla_vida!$X$93)*E2_tabla_vida!$P$93,EXP(-C128*E2_tabla_vida!$X$94)*E2_tabla_vida!$P$94,EXP(-C128*E2_tabla_vida!$X$95)*E2_tabla_vida!$P$95,EXP(-C128*E2_tabla_vida!$X$96)*E2_tabla_vida!$P$96,EXP(-C128*E2_tabla_vida!$X$97)*E2_tabla_vida!$P$97,EXP(-C128*E2_tabla_vida!$X$98)*E2_tabla_vida!$P$98,EXP(-C128*E2_tabla_vida!$X$99)*E2_tabla_vida!$P$99,EXP(-C128*E2_tabla_vida!$X$100)*E2_tabla_vida!$P$100,EXP(-C128*E2_tabla_vida!$X$101)*E2_tabla_vida!$P$101,EXP(-C128*E2_tabla_vida!$X$102)*E2_tabla_vida!$P$102,EXP(-C128*E2_tabla_vida!$X$103)*E2_tabla_vida!$P$103,EXP(-C128*E2_tabla_vida!$X$104)*E2_tabla_vida!$P$104,EXP(-C128*E2_tabla_vida!$X$105)*E2_tabla_vida!$P$105,EXP(-C128*E2_tabla_vida!$X$106)*E2_tabla_vida!$P$106,EXP(-C128*E2_tabla_vida!$X$107)*E2_tabla_vida!$P$107,EXP(-C128*E2_tabla_vida!$X$108)*E2_tabla_vida!$P$108,EXP(-C128*E2_tabla_vida!$X$109)*E2_tabla_vida!$P$109,EXP(-C128*E2_tabla_vida!$X$110)*E2_tabla_vida!$P$110,EXP(-C128*E2_tabla_vida!$X$111)*E2_tabla_vida!$P$111,EXP(-C128*E2_tabla_vida!$X$112)*E2_tabla_vida!$P$112,EXP(-C128*E2_tabla_vida!$X$113)*E2_tabla_vida!$P$113,EXP(-C128*E2_tabla_vida!$X$114)*E2_tabla_vida!$P$114,EXP(-C128*E2_tabla_vida!$X$115)*E2_tabla_vida!$P$115,EXP(-C128*E2_tabla_vida!$X$116)*E2_tabla_vida!$P$116,EXP(-C128*E2_tabla_vida!$X$117)*E2_tabla_vida!$P$117,EXP(-C128*E2_tabla_vida!$X$118)*E2_tabla_vida!$P$118,EXP(-C128*E2_tabla_vida!$X$119)*E2_tabla_vida!$P$119,EXP(-C128*E2_tabla_vida!$X$120)*E2_tabla_vida!$P$120,EXP(-C128*E2_tabla_vida!$X$121)*E2_tabla_vida!$P$121,EXP(-C128*E2_tabla_vida!$X$122)*E2_tabla_vida!$P$122,EXP(-C128*E2_tabla_vida!$X$123)*E2_tabla_vida!$P$123,EXP(-C128*E2_tabla_vida!$X$124)*E2_tabla_vida!$P$124,EXP(-C128*E2_tabla_vida!$X$125)*E2_tabla_vida!$P$125,EXP(-C128*E2_tabla_vida!$X$126)*E2_tabla_vida!$P$126,EXP(-C128*E2_tabla_vida!$X$127)*E2_tabla_vida!$P$127)-1</x:f>
        <x:v>2.0630537278520933e-9</x:v>
      </x:c>
      <x:c r="H128" s="24" t="n">
        <x:f>SUM(EXP(-D128*E2_tabla_vida!$X$86)*E2_tabla_vida!$P$86,EXP(-D128*E2_tabla_vida!$X$87)*E2_tabla_vida!$P$87,EXP(-D128*E2_tabla_vida!$X$88)*E2_tabla_vida!$P$88,EXP(-D128*E2_tabla_vida!$X$89)*E2_tabla_vida!$P$89,EXP(-D128*E2_tabla_vida!$X$90)*E2_tabla_vida!$P$90,EXP(-D128*E2_tabla_vida!$X$91)*E2_tabla_vida!$P$91,EXP(-D128*E2_tabla_vida!$X$92)*E2_tabla_vida!$P$92,EXP(-D128*E2_tabla_vida!$X$93)*E2_tabla_vida!$P$93,EXP(-D128*E2_tabla_vida!$X$94)*E2_tabla_vida!$P$94,EXP(-D128*E2_tabla_vida!$X$95)*E2_tabla_vida!$P$95,EXP(-D128*E2_tabla_vida!$X$96)*E2_tabla_vida!$P$96,EXP(-D128*E2_tabla_vida!$X$97)*E2_tabla_vida!$P$97,EXP(-D128*E2_tabla_vida!$X$98)*E2_tabla_vida!$P$98,EXP(-D128*E2_tabla_vida!$X$99)*E2_tabla_vida!$P$99,EXP(-D128*E2_tabla_vida!$X$100)*E2_tabla_vida!$P$100,EXP(-D128*E2_tabla_vida!$X$101)*E2_tabla_vida!$P$101,EXP(-D128*E2_tabla_vida!$X$102)*E2_tabla_vida!$P$102,EXP(-D128*E2_tabla_vida!$X$103)*E2_tabla_vida!$P$103,EXP(-D128*E2_tabla_vida!$X$104)*E2_tabla_vida!$P$104,EXP(-D128*E2_tabla_vida!$X$105)*E2_tabla_vida!$P$105,EXP(-D128*E2_tabla_vida!$X$106)*E2_tabla_vida!$P$106,EXP(-D128*E2_tabla_vida!$X$107)*E2_tabla_vida!$P$107,EXP(-D128*E2_tabla_vida!$X$108)*E2_tabla_vida!$P$108,EXP(-D128*E2_tabla_vida!$X$109)*E2_tabla_vida!$P$109,EXP(-D128*E2_tabla_vida!$X$110)*E2_tabla_vida!$P$110,EXP(-D128*E2_tabla_vida!$X$111)*E2_tabla_vida!$P$111,EXP(-D128*E2_tabla_vida!$X$112)*E2_tabla_vida!$P$112,EXP(-D128*E2_tabla_vida!$X$113)*E2_tabla_vida!$P$113,EXP(-D128*E2_tabla_vida!$X$114)*E2_tabla_vida!$P$114,EXP(-D128*E2_tabla_vida!$X$115)*E2_tabla_vida!$P$115,EXP(-D128*E2_tabla_vida!$X$116)*E2_tabla_vida!$P$116,EXP(-D128*E2_tabla_vida!$X$117)*E2_tabla_vida!$P$117,EXP(-D128*E2_tabla_vida!$X$118)*E2_tabla_vida!$P$118,EXP(-D128*E2_tabla_vida!$X$119)*E2_tabla_vida!$P$119,EXP(-D128*E2_tabla_vida!$X$120)*E2_tabla_vida!$P$120,EXP(-D128*E2_tabla_vida!$X$121)*E2_tabla_vida!$P$121,EXP(-D128*E2_tabla_vida!$X$122)*E2_tabla_vida!$P$122,EXP(-D128*E2_tabla_vida!$X$123)*E2_tabla_vida!$P$123,EXP(-D128*E2_tabla_vida!$X$124)*E2_tabla_vida!$P$124,EXP(-D128*E2_tabla_vida!$X$125)*E2_tabla_vida!$P$125,EXP(-D128*E2_tabla_vida!$X$126)*E2_tabla_vida!$P$126,EXP(-D128*E2_tabla_vida!$X$127)*E2_tabla_vida!$P$127)-1</x:f>
        <x:v>-7.438539784132558e-10</x:v>
      </x:c>
    </x:row>
    <x:row r="129" ht="19" customHeight="1">
      <x:c r="A129" s="2" t="str">
        <x:v>MP_L7</x:v>
      </x:c>
      <x:c r="B129" s="2" t="n">
        <x:v>35</x:v>
      </x:c>
      <x:c r="C129" s="22" t="n">
        <x:f>IF(F128&gt;0,E128,C128)</x:f>
        <x:v>0.17924664382007904</x:v>
      </x:c>
      <x:c r="D129" s="22" t="n">
        <x:f>IF(F128&gt;0,D128,E128)</x:f>
        <x:v>0.17924664390739053</x:v>
      </x:c>
      <x:c r="E129" s="22" t="n">
        <x:f>AVERAGE(C129:D129)</x:f>
        <x:v>0.1792466438637348</x:v>
      </x:c>
      <x:c r="F129" s="24" t="n">
        <x:f>SUM(EXP(-E129*E2_tabla_vida!$X$86)*E2_tabla_vida!$P$86,EXP(-E129*E2_tabla_vida!$X$87)*E2_tabla_vida!$P$87,EXP(-E129*E2_tabla_vida!$X$88)*E2_tabla_vida!$P$88,EXP(-E129*E2_tabla_vida!$X$89)*E2_tabla_vida!$P$89,EXP(-E129*E2_tabla_vida!$X$90)*E2_tabla_vida!$P$90,EXP(-E129*E2_tabla_vida!$X$91)*E2_tabla_vida!$P$91,EXP(-E129*E2_tabla_vida!$X$92)*E2_tabla_vida!$P$92,EXP(-E129*E2_tabla_vida!$X$93)*E2_tabla_vida!$P$93,EXP(-E129*E2_tabla_vida!$X$94)*E2_tabla_vida!$P$94,EXP(-E129*E2_tabla_vida!$X$95)*E2_tabla_vida!$P$95,EXP(-E129*E2_tabla_vida!$X$96)*E2_tabla_vida!$P$96,EXP(-E129*E2_tabla_vida!$X$97)*E2_tabla_vida!$P$97,EXP(-E129*E2_tabla_vida!$X$98)*E2_tabla_vida!$P$98,EXP(-E129*E2_tabla_vida!$X$99)*E2_tabla_vida!$P$99,EXP(-E129*E2_tabla_vida!$X$100)*E2_tabla_vida!$P$100,EXP(-E129*E2_tabla_vida!$X$101)*E2_tabla_vida!$P$101,EXP(-E129*E2_tabla_vida!$X$102)*E2_tabla_vida!$P$102,EXP(-E129*E2_tabla_vida!$X$103)*E2_tabla_vida!$P$103,EXP(-E129*E2_tabla_vida!$X$104)*E2_tabla_vida!$P$104,EXP(-E129*E2_tabla_vida!$X$105)*E2_tabla_vida!$P$105,EXP(-E129*E2_tabla_vida!$X$106)*E2_tabla_vida!$P$106,EXP(-E129*E2_tabla_vida!$X$107)*E2_tabla_vida!$P$107,EXP(-E129*E2_tabla_vida!$X$108)*E2_tabla_vida!$P$108,EXP(-E129*E2_tabla_vida!$X$109)*E2_tabla_vida!$P$109,EXP(-E129*E2_tabla_vida!$X$110)*E2_tabla_vida!$P$110,EXP(-E129*E2_tabla_vida!$X$111)*E2_tabla_vida!$P$111,EXP(-E129*E2_tabla_vida!$X$112)*E2_tabla_vida!$P$112,EXP(-E129*E2_tabla_vida!$X$113)*E2_tabla_vida!$P$113,EXP(-E129*E2_tabla_vida!$X$114)*E2_tabla_vida!$P$114,EXP(-E129*E2_tabla_vida!$X$115)*E2_tabla_vida!$P$115,EXP(-E129*E2_tabla_vida!$X$116)*E2_tabla_vida!$P$116,EXP(-E129*E2_tabla_vida!$X$117)*E2_tabla_vida!$P$117,EXP(-E129*E2_tabla_vida!$X$118)*E2_tabla_vida!$P$118,EXP(-E129*E2_tabla_vida!$X$119)*E2_tabla_vida!$P$119,EXP(-E129*E2_tabla_vida!$X$120)*E2_tabla_vida!$P$120,EXP(-E129*E2_tabla_vida!$X$121)*E2_tabla_vida!$P$121,EXP(-E129*E2_tabla_vida!$X$122)*E2_tabla_vida!$P$122,EXP(-E129*E2_tabla_vida!$X$123)*E2_tabla_vida!$P$123,EXP(-E129*E2_tabla_vida!$X$124)*E2_tabla_vida!$P$124,EXP(-E129*E2_tabla_vida!$X$125)*E2_tabla_vida!$P$125,EXP(-E129*E2_tabla_vida!$X$126)*E2_tabla_vida!$P$126,EXP(-E129*E2_tabla_vida!$X$127)*E2_tabla_vida!$P$127)-1</x:f>
        <x:v>-4.212719062479664e-11</x:v>
      </x:c>
      <x:c r="G129" s="24" t="n">
        <x:f>SUM(EXP(-C129*E2_tabla_vida!$X$86)*E2_tabla_vida!$P$86,EXP(-C129*E2_tabla_vida!$X$87)*E2_tabla_vida!$P$87,EXP(-C129*E2_tabla_vida!$X$88)*E2_tabla_vida!$P$88,EXP(-C129*E2_tabla_vida!$X$89)*E2_tabla_vida!$P$89,EXP(-C129*E2_tabla_vida!$X$90)*E2_tabla_vida!$P$90,EXP(-C129*E2_tabla_vida!$X$91)*E2_tabla_vida!$P$91,EXP(-C129*E2_tabla_vida!$X$92)*E2_tabla_vida!$P$92,EXP(-C129*E2_tabla_vida!$X$93)*E2_tabla_vida!$P$93,EXP(-C129*E2_tabla_vida!$X$94)*E2_tabla_vida!$P$94,EXP(-C129*E2_tabla_vida!$X$95)*E2_tabla_vida!$P$95,EXP(-C129*E2_tabla_vida!$X$96)*E2_tabla_vida!$P$96,EXP(-C129*E2_tabla_vida!$X$97)*E2_tabla_vida!$P$97,EXP(-C129*E2_tabla_vida!$X$98)*E2_tabla_vida!$P$98,EXP(-C129*E2_tabla_vida!$X$99)*E2_tabla_vida!$P$99,EXP(-C129*E2_tabla_vida!$X$100)*E2_tabla_vida!$P$100,EXP(-C129*E2_tabla_vida!$X$101)*E2_tabla_vida!$P$101,EXP(-C129*E2_tabla_vida!$X$102)*E2_tabla_vida!$P$102,EXP(-C129*E2_tabla_vida!$X$103)*E2_tabla_vida!$P$103,EXP(-C129*E2_tabla_vida!$X$104)*E2_tabla_vida!$P$104,EXP(-C129*E2_tabla_vida!$X$105)*E2_tabla_vida!$P$105,EXP(-C129*E2_tabla_vida!$X$106)*E2_tabla_vida!$P$106,EXP(-C129*E2_tabla_vida!$X$107)*E2_tabla_vida!$P$107,EXP(-C129*E2_tabla_vida!$X$108)*E2_tabla_vida!$P$108,EXP(-C129*E2_tabla_vida!$X$109)*E2_tabla_vida!$P$109,EXP(-C129*E2_tabla_vida!$X$110)*E2_tabla_vida!$P$110,EXP(-C129*E2_tabla_vida!$X$111)*E2_tabla_vida!$P$111,EXP(-C129*E2_tabla_vida!$X$112)*E2_tabla_vida!$P$112,EXP(-C129*E2_tabla_vida!$X$113)*E2_tabla_vida!$P$113,EXP(-C129*E2_tabla_vida!$X$114)*E2_tabla_vida!$P$114,EXP(-C129*E2_tabla_vida!$X$115)*E2_tabla_vida!$P$115,EXP(-C129*E2_tabla_vida!$X$116)*E2_tabla_vida!$P$116,EXP(-C129*E2_tabla_vida!$X$117)*E2_tabla_vida!$P$117,EXP(-C129*E2_tabla_vida!$X$118)*E2_tabla_vida!$P$118,EXP(-C129*E2_tabla_vida!$X$119)*E2_tabla_vida!$P$119,EXP(-C129*E2_tabla_vida!$X$120)*E2_tabla_vida!$P$120,EXP(-C129*E2_tabla_vida!$X$121)*E2_tabla_vida!$P$121,EXP(-C129*E2_tabla_vida!$X$122)*E2_tabla_vida!$P$122,EXP(-C129*E2_tabla_vida!$X$123)*E2_tabla_vida!$P$123,EXP(-C129*E2_tabla_vida!$X$124)*E2_tabla_vida!$P$124,EXP(-C129*E2_tabla_vida!$X$125)*E2_tabla_vida!$P$125,EXP(-C129*E2_tabla_vida!$X$126)*E2_tabla_vida!$P$126,EXP(-C129*E2_tabla_vida!$X$127)*E2_tabla_vida!$P$127)-1</x:f>
        <x:v>6.5959993023057e-10</x:v>
      </x:c>
      <x:c r="H129" s="24" t="n">
        <x:f>SUM(EXP(-D129*E2_tabla_vida!$X$86)*E2_tabla_vida!$P$86,EXP(-D129*E2_tabla_vida!$X$87)*E2_tabla_vida!$P$87,EXP(-D129*E2_tabla_vida!$X$88)*E2_tabla_vida!$P$88,EXP(-D129*E2_tabla_vida!$X$89)*E2_tabla_vida!$P$89,EXP(-D129*E2_tabla_vida!$X$90)*E2_tabla_vida!$P$90,EXP(-D129*E2_tabla_vida!$X$91)*E2_tabla_vida!$P$91,EXP(-D129*E2_tabla_vida!$X$92)*E2_tabla_vida!$P$92,EXP(-D129*E2_tabla_vida!$X$93)*E2_tabla_vida!$P$93,EXP(-D129*E2_tabla_vida!$X$94)*E2_tabla_vida!$P$94,EXP(-D129*E2_tabla_vida!$X$95)*E2_tabla_vida!$P$95,EXP(-D129*E2_tabla_vida!$X$96)*E2_tabla_vida!$P$96,EXP(-D129*E2_tabla_vida!$X$97)*E2_tabla_vida!$P$97,EXP(-D129*E2_tabla_vida!$X$98)*E2_tabla_vida!$P$98,EXP(-D129*E2_tabla_vida!$X$99)*E2_tabla_vida!$P$99,EXP(-D129*E2_tabla_vida!$X$100)*E2_tabla_vida!$P$100,EXP(-D129*E2_tabla_vida!$X$101)*E2_tabla_vida!$P$101,EXP(-D129*E2_tabla_vida!$X$102)*E2_tabla_vida!$P$102,EXP(-D129*E2_tabla_vida!$X$103)*E2_tabla_vida!$P$103,EXP(-D129*E2_tabla_vida!$X$104)*E2_tabla_vida!$P$104,EXP(-D129*E2_tabla_vida!$X$105)*E2_tabla_vida!$P$105,EXP(-D129*E2_tabla_vida!$X$106)*E2_tabla_vida!$P$106,EXP(-D129*E2_tabla_vida!$X$107)*E2_tabla_vida!$P$107,EXP(-D129*E2_tabla_vida!$X$108)*E2_tabla_vida!$P$108,EXP(-D129*E2_tabla_vida!$X$109)*E2_tabla_vida!$P$109,EXP(-D129*E2_tabla_vida!$X$110)*E2_tabla_vida!$P$110,EXP(-D129*E2_tabla_vida!$X$111)*E2_tabla_vida!$P$111,EXP(-D129*E2_tabla_vida!$X$112)*E2_tabla_vida!$P$112,EXP(-D129*E2_tabla_vida!$X$113)*E2_tabla_vida!$P$113,EXP(-D129*E2_tabla_vida!$X$114)*E2_tabla_vida!$P$114,EXP(-D129*E2_tabla_vida!$X$115)*E2_tabla_vida!$P$115,EXP(-D129*E2_tabla_vida!$X$116)*E2_tabla_vida!$P$116,EXP(-D129*E2_tabla_vida!$X$117)*E2_tabla_vida!$P$117,EXP(-D129*E2_tabla_vida!$X$118)*E2_tabla_vida!$P$118,EXP(-D129*E2_tabla_vida!$X$119)*E2_tabla_vida!$P$119,EXP(-D129*E2_tabla_vida!$X$120)*E2_tabla_vida!$P$120,EXP(-D129*E2_tabla_vida!$X$121)*E2_tabla_vida!$P$121,EXP(-D129*E2_tabla_vida!$X$122)*E2_tabla_vida!$P$122,EXP(-D129*E2_tabla_vida!$X$123)*E2_tabla_vida!$P$123,EXP(-D129*E2_tabla_vida!$X$124)*E2_tabla_vida!$P$124,EXP(-D129*E2_tabla_vida!$X$125)*E2_tabla_vida!$P$125,EXP(-D129*E2_tabla_vida!$X$126)*E2_tabla_vida!$P$126,EXP(-D129*E2_tabla_vida!$X$127)*E2_tabla_vida!$P$127)-1</x:f>
        <x:v>-7.438539784132558e-10</x:v>
      </x:c>
    </x:row>
    <x:row r="130" ht="19" customHeight="1">
      <x:c r="A130" s="2" t="str">
        <x:v>MP_L7</x:v>
      </x:c>
      <x:c r="B130" s="2" t="n">
        <x:v>36</x:v>
      </x:c>
      <x:c r="C130" s="22" t="n">
        <x:f>IF(F129&gt;0,E129,C129)</x:f>
        <x:v>0.17924664382007904</x:v>
      </x:c>
      <x:c r="D130" s="22" t="n">
        <x:f>IF(F129&gt;0,D129,E129)</x:f>
        <x:v>0.1792466438637348</x:v>
      </x:c>
      <x:c r="E130" s="22" t="n">
        <x:f>AVERAGE(C130:D130)</x:f>
        <x:v>0.17924664384190692</x:v>
      </x:c>
      <x:c r="F130" s="24" t="n">
        <x:f>SUM(EXP(-E130*E2_tabla_vida!$X$86)*E2_tabla_vida!$P$86,EXP(-E130*E2_tabla_vida!$X$87)*E2_tabla_vida!$P$87,EXP(-E130*E2_tabla_vida!$X$88)*E2_tabla_vida!$P$88,EXP(-E130*E2_tabla_vida!$X$89)*E2_tabla_vida!$P$89,EXP(-E130*E2_tabla_vida!$X$90)*E2_tabla_vida!$P$90,EXP(-E130*E2_tabla_vida!$X$91)*E2_tabla_vida!$P$91,EXP(-E130*E2_tabla_vida!$X$92)*E2_tabla_vida!$P$92,EXP(-E130*E2_tabla_vida!$X$93)*E2_tabla_vida!$P$93,EXP(-E130*E2_tabla_vida!$X$94)*E2_tabla_vida!$P$94,EXP(-E130*E2_tabla_vida!$X$95)*E2_tabla_vida!$P$95,EXP(-E130*E2_tabla_vida!$X$96)*E2_tabla_vida!$P$96,EXP(-E130*E2_tabla_vida!$X$97)*E2_tabla_vida!$P$97,EXP(-E130*E2_tabla_vida!$X$98)*E2_tabla_vida!$P$98,EXP(-E130*E2_tabla_vida!$X$99)*E2_tabla_vida!$P$99,EXP(-E130*E2_tabla_vida!$X$100)*E2_tabla_vida!$P$100,EXP(-E130*E2_tabla_vida!$X$101)*E2_tabla_vida!$P$101,EXP(-E130*E2_tabla_vida!$X$102)*E2_tabla_vida!$P$102,EXP(-E130*E2_tabla_vida!$X$103)*E2_tabla_vida!$P$103,EXP(-E130*E2_tabla_vida!$X$104)*E2_tabla_vida!$P$104,EXP(-E130*E2_tabla_vida!$X$105)*E2_tabla_vida!$P$105,EXP(-E130*E2_tabla_vida!$X$106)*E2_tabla_vida!$P$106,EXP(-E130*E2_tabla_vida!$X$107)*E2_tabla_vida!$P$107,EXP(-E130*E2_tabla_vida!$X$108)*E2_tabla_vida!$P$108,EXP(-E130*E2_tabla_vida!$X$109)*E2_tabla_vida!$P$109,EXP(-E130*E2_tabla_vida!$X$110)*E2_tabla_vida!$P$110,EXP(-E130*E2_tabla_vida!$X$111)*E2_tabla_vida!$P$111,EXP(-E130*E2_tabla_vida!$X$112)*E2_tabla_vida!$P$112,EXP(-E130*E2_tabla_vida!$X$113)*E2_tabla_vida!$P$113,EXP(-E130*E2_tabla_vida!$X$114)*E2_tabla_vida!$P$114,EXP(-E130*E2_tabla_vida!$X$115)*E2_tabla_vida!$P$115,EXP(-E130*E2_tabla_vida!$X$116)*E2_tabla_vida!$P$116,EXP(-E130*E2_tabla_vida!$X$117)*E2_tabla_vida!$P$117,EXP(-E130*E2_tabla_vida!$X$118)*E2_tabla_vida!$P$118,EXP(-E130*E2_tabla_vida!$X$119)*E2_tabla_vida!$P$119,EXP(-E130*E2_tabla_vida!$X$120)*E2_tabla_vida!$P$120,EXP(-E130*E2_tabla_vida!$X$121)*E2_tabla_vida!$P$121,EXP(-E130*E2_tabla_vida!$X$122)*E2_tabla_vida!$P$122,EXP(-E130*E2_tabla_vida!$X$123)*E2_tabla_vida!$P$123,EXP(-E130*E2_tabla_vida!$X$124)*E2_tabla_vida!$P$124,EXP(-E130*E2_tabla_vida!$X$125)*E2_tabla_vida!$P$125,EXP(-E130*E2_tabla_vida!$X$126)*E2_tabla_vida!$P$126,EXP(-E130*E2_tabla_vida!$X$127)*E2_tabla_vida!$P$127)-1</x:f>
        <x:v>3.0873636980288666e-10</x:v>
      </x:c>
      <x:c r="G130" s="24" t="n">
        <x:f>SUM(EXP(-C130*E2_tabla_vida!$X$86)*E2_tabla_vida!$P$86,EXP(-C130*E2_tabla_vida!$X$87)*E2_tabla_vida!$P$87,EXP(-C130*E2_tabla_vida!$X$88)*E2_tabla_vida!$P$88,EXP(-C130*E2_tabla_vida!$X$89)*E2_tabla_vida!$P$89,EXP(-C130*E2_tabla_vida!$X$90)*E2_tabla_vida!$P$90,EXP(-C130*E2_tabla_vida!$X$91)*E2_tabla_vida!$P$91,EXP(-C130*E2_tabla_vida!$X$92)*E2_tabla_vida!$P$92,EXP(-C130*E2_tabla_vida!$X$93)*E2_tabla_vida!$P$93,EXP(-C130*E2_tabla_vida!$X$94)*E2_tabla_vida!$P$94,EXP(-C130*E2_tabla_vida!$X$95)*E2_tabla_vida!$P$95,EXP(-C130*E2_tabla_vida!$X$96)*E2_tabla_vida!$P$96,EXP(-C130*E2_tabla_vida!$X$97)*E2_tabla_vida!$P$97,EXP(-C130*E2_tabla_vida!$X$98)*E2_tabla_vida!$P$98,EXP(-C130*E2_tabla_vida!$X$99)*E2_tabla_vida!$P$99,EXP(-C130*E2_tabla_vida!$X$100)*E2_tabla_vida!$P$100,EXP(-C130*E2_tabla_vida!$X$101)*E2_tabla_vida!$P$101,EXP(-C130*E2_tabla_vida!$X$102)*E2_tabla_vida!$P$102,EXP(-C130*E2_tabla_vida!$X$103)*E2_tabla_vida!$P$103,EXP(-C130*E2_tabla_vida!$X$104)*E2_tabla_vida!$P$104,EXP(-C130*E2_tabla_vida!$X$105)*E2_tabla_vida!$P$105,EXP(-C130*E2_tabla_vida!$X$106)*E2_tabla_vida!$P$106,EXP(-C130*E2_tabla_vida!$X$107)*E2_tabla_vida!$P$107,EXP(-C130*E2_tabla_vida!$X$108)*E2_tabla_vida!$P$108,EXP(-C130*E2_tabla_vida!$X$109)*E2_tabla_vida!$P$109,EXP(-C130*E2_tabla_vida!$X$110)*E2_tabla_vida!$P$110,EXP(-C130*E2_tabla_vida!$X$111)*E2_tabla_vida!$P$111,EXP(-C130*E2_tabla_vida!$X$112)*E2_tabla_vida!$P$112,EXP(-C130*E2_tabla_vida!$X$113)*E2_tabla_vida!$P$113,EXP(-C130*E2_tabla_vida!$X$114)*E2_tabla_vida!$P$114,EXP(-C130*E2_tabla_vida!$X$115)*E2_tabla_vida!$P$115,EXP(-C130*E2_tabla_vida!$X$116)*E2_tabla_vida!$P$116,EXP(-C130*E2_tabla_vida!$X$117)*E2_tabla_vida!$P$117,EXP(-C130*E2_tabla_vida!$X$118)*E2_tabla_vida!$P$118,EXP(-C130*E2_tabla_vida!$X$119)*E2_tabla_vida!$P$119,EXP(-C130*E2_tabla_vida!$X$120)*E2_tabla_vida!$P$120,EXP(-C130*E2_tabla_vida!$X$121)*E2_tabla_vida!$P$121,EXP(-C130*E2_tabla_vida!$X$122)*E2_tabla_vida!$P$122,EXP(-C130*E2_tabla_vida!$X$123)*E2_tabla_vida!$P$123,EXP(-C130*E2_tabla_vida!$X$124)*E2_tabla_vida!$P$124,EXP(-C130*E2_tabla_vida!$X$125)*E2_tabla_vida!$P$125,EXP(-C130*E2_tabla_vida!$X$126)*E2_tabla_vida!$P$126,EXP(-C130*E2_tabla_vida!$X$127)*E2_tabla_vida!$P$127)-1</x:f>
        <x:v>6.5959993023057e-10</x:v>
      </x:c>
      <x:c r="H130" s="24" t="n">
        <x:f>SUM(EXP(-D130*E2_tabla_vida!$X$86)*E2_tabla_vida!$P$86,EXP(-D130*E2_tabla_vida!$X$87)*E2_tabla_vida!$P$87,EXP(-D130*E2_tabla_vida!$X$88)*E2_tabla_vida!$P$88,EXP(-D130*E2_tabla_vida!$X$89)*E2_tabla_vida!$P$89,EXP(-D130*E2_tabla_vida!$X$90)*E2_tabla_vida!$P$90,EXP(-D130*E2_tabla_vida!$X$91)*E2_tabla_vida!$P$91,EXP(-D130*E2_tabla_vida!$X$92)*E2_tabla_vida!$P$92,EXP(-D130*E2_tabla_vida!$X$93)*E2_tabla_vida!$P$93,EXP(-D130*E2_tabla_vida!$X$94)*E2_tabla_vida!$P$94,EXP(-D130*E2_tabla_vida!$X$95)*E2_tabla_vida!$P$95,EXP(-D130*E2_tabla_vida!$X$96)*E2_tabla_vida!$P$96,EXP(-D130*E2_tabla_vida!$X$97)*E2_tabla_vida!$P$97,EXP(-D130*E2_tabla_vida!$X$98)*E2_tabla_vida!$P$98,EXP(-D130*E2_tabla_vida!$X$99)*E2_tabla_vida!$P$99,EXP(-D130*E2_tabla_vida!$X$100)*E2_tabla_vida!$P$100,EXP(-D130*E2_tabla_vida!$X$101)*E2_tabla_vida!$P$101,EXP(-D130*E2_tabla_vida!$X$102)*E2_tabla_vida!$P$102,EXP(-D130*E2_tabla_vida!$X$103)*E2_tabla_vida!$P$103,EXP(-D130*E2_tabla_vida!$X$104)*E2_tabla_vida!$P$104,EXP(-D130*E2_tabla_vida!$X$105)*E2_tabla_vida!$P$105,EXP(-D130*E2_tabla_vida!$X$106)*E2_tabla_vida!$P$106,EXP(-D130*E2_tabla_vida!$X$107)*E2_tabla_vida!$P$107,EXP(-D130*E2_tabla_vida!$X$108)*E2_tabla_vida!$P$108,EXP(-D130*E2_tabla_vida!$X$109)*E2_tabla_vida!$P$109,EXP(-D130*E2_tabla_vida!$X$110)*E2_tabla_vida!$P$110,EXP(-D130*E2_tabla_vida!$X$111)*E2_tabla_vida!$P$111,EXP(-D130*E2_tabla_vida!$X$112)*E2_tabla_vida!$P$112,EXP(-D130*E2_tabla_vida!$X$113)*E2_tabla_vida!$P$113,EXP(-D130*E2_tabla_vida!$X$114)*E2_tabla_vida!$P$114,EXP(-D130*E2_tabla_vida!$X$115)*E2_tabla_vida!$P$115,EXP(-D130*E2_tabla_vida!$X$116)*E2_tabla_vida!$P$116,EXP(-D130*E2_tabla_vida!$X$117)*E2_tabla_vida!$P$117,EXP(-D130*E2_tabla_vida!$X$118)*E2_tabla_vida!$P$118,EXP(-D130*E2_tabla_vida!$X$119)*E2_tabla_vida!$P$119,EXP(-D130*E2_tabla_vida!$X$120)*E2_tabla_vida!$P$120,EXP(-D130*E2_tabla_vida!$X$121)*E2_tabla_vida!$P$121,EXP(-D130*E2_tabla_vida!$X$122)*E2_tabla_vida!$P$122,EXP(-D130*E2_tabla_vida!$X$123)*E2_tabla_vida!$P$123,EXP(-D130*E2_tabla_vida!$X$124)*E2_tabla_vida!$P$124,EXP(-D130*E2_tabla_vida!$X$125)*E2_tabla_vida!$P$125,EXP(-D130*E2_tabla_vida!$X$126)*E2_tabla_vida!$P$126,EXP(-D130*E2_tabla_vida!$X$127)*E2_tabla_vida!$P$127)-1</x:f>
        <x:v>-4.212719062479664e-11</x:v>
      </x:c>
    </x:row>
    <x:row r="131" ht="19" customHeight="1">
      <x:c r="A131" s="2" t="str">
        <x:v>MP_L7</x:v>
      </x:c>
      <x:c r="B131" s="2" t="n">
        <x:v>37</x:v>
      </x:c>
      <x:c r="C131" s="22" t="n">
        <x:f>IF(F130&gt;0,E130,C130)</x:f>
        <x:v>0.17924664384190692</x:v>
      </x:c>
      <x:c r="D131" s="22" t="n">
        <x:f>IF(F130&gt;0,D130,E130)</x:f>
        <x:v>0.1792466438637348</x:v>
      </x:c>
      <x:c r="E131" s="22" t="n">
        <x:f>AVERAGE(C131:D131)</x:f>
        <x:v>0.17924664385282085</x:v>
      </x:c>
      <x:c r="F131" s="24" t="n">
        <x:f>SUM(EXP(-E131*E2_tabla_vida!$X$86)*E2_tabla_vida!$P$86,EXP(-E131*E2_tabla_vida!$X$87)*E2_tabla_vida!$P$87,EXP(-E131*E2_tabla_vida!$X$88)*E2_tabla_vida!$P$88,EXP(-E131*E2_tabla_vida!$X$89)*E2_tabla_vida!$P$89,EXP(-E131*E2_tabla_vida!$X$90)*E2_tabla_vida!$P$90,EXP(-E131*E2_tabla_vida!$X$91)*E2_tabla_vida!$P$91,EXP(-E131*E2_tabla_vida!$X$92)*E2_tabla_vida!$P$92,EXP(-E131*E2_tabla_vida!$X$93)*E2_tabla_vida!$P$93,EXP(-E131*E2_tabla_vida!$X$94)*E2_tabla_vida!$P$94,EXP(-E131*E2_tabla_vida!$X$95)*E2_tabla_vida!$P$95,EXP(-E131*E2_tabla_vida!$X$96)*E2_tabla_vida!$P$96,EXP(-E131*E2_tabla_vida!$X$97)*E2_tabla_vida!$P$97,EXP(-E131*E2_tabla_vida!$X$98)*E2_tabla_vida!$P$98,EXP(-E131*E2_tabla_vida!$X$99)*E2_tabla_vida!$P$99,EXP(-E131*E2_tabla_vida!$X$100)*E2_tabla_vida!$P$100,EXP(-E131*E2_tabla_vida!$X$101)*E2_tabla_vida!$P$101,EXP(-E131*E2_tabla_vida!$X$102)*E2_tabla_vida!$P$102,EXP(-E131*E2_tabla_vida!$X$103)*E2_tabla_vida!$P$103,EXP(-E131*E2_tabla_vida!$X$104)*E2_tabla_vida!$P$104,EXP(-E131*E2_tabla_vida!$X$105)*E2_tabla_vida!$P$105,EXP(-E131*E2_tabla_vida!$X$106)*E2_tabla_vida!$P$106,EXP(-E131*E2_tabla_vida!$X$107)*E2_tabla_vida!$P$107,EXP(-E131*E2_tabla_vida!$X$108)*E2_tabla_vida!$P$108,EXP(-E131*E2_tabla_vida!$X$109)*E2_tabla_vida!$P$109,EXP(-E131*E2_tabla_vida!$X$110)*E2_tabla_vida!$P$110,EXP(-E131*E2_tabla_vida!$X$111)*E2_tabla_vida!$P$111,EXP(-E131*E2_tabla_vida!$X$112)*E2_tabla_vida!$P$112,EXP(-E131*E2_tabla_vida!$X$113)*E2_tabla_vida!$P$113,EXP(-E131*E2_tabla_vida!$X$114)*E2_tabla_vida!$P$114,EXP(-E131*E2_tabla_vida!$X$115)*E2_tabla_vida!$P$115,EXP(-E131*E2_tabla_vida!$X$116)*E2_tabla_vida!$P$116,EXP(-E131*E2_tabla_vida!$X$117)*E2_tabla_vida!$P$117,EXP(-E131*E2_tabla_vida!$X$118)*E2_tabla_vida!$P$118,EXP(-E131*E2_tabla_vida!$X$119)*E2_tabla_vida!$P$119,EXP(-E131*E2_tabla_vida!$X$120)*E2_tabla_vida!$P$120,EXP(-E131*E2_tabla_vida!$X$121)*E2_tabla_vida!$P$121,EXP(-E131*E2_tabla_vida!$X$122)*E2_tabla_vida!$P$122,EXP(-E131*E2_tabla_vida!$X$123)*E2_tabla_vida!$P$123,EXP(-E131*E2_tabla_vida!$X$124)*E2_tabla_vida!$P$124,EXP(-E131*E2_tabla_vida!$X$125)*E2_tabla_vida!$P$125,EXP(-E131*E2_tabla_vida!$X$126)*E2_tabla_vida!$P$126,EXP(-E131*E2_tabla_vida!$X$127)*E2_tabla_vida!$P$127)-1</x:f>
        <x:v>1.333049226559524e-10</x:v>
      </x:c>
      <x:c r="G131" s="24" t="n">
        <x:f>SUM(EXP(-C131*E2_tabla_vida!$X$86)*E2_tabla_vida!$P$86,EXP(-C131*E2_tabla_vida!$X$87)*E2_tabla_vida!$P$87,EXP(-C131*E2_tabla_vida!$X$88)*E2_tabla_vida!$P$88,EXP(-C131*E2_tabla_vida!$X$89)*E2_tabla_vida!$P$89,EXP(-C131*E2_tabla_vida!$X$90)*E2_tabla_vida!$P$90,EXP(-C131*E2_tabla_vida!$X$91)*E2_tabla_vida!$P$91,EXP(-C131*E2_tabla_vida!$X$92)*E2_tabla_vida!$P$92,EXP(-C131*E2_tabla_vida!$X$93)*E2_tabla_vida!$P$93,EXP(-C131*E2_tabla_vida!$X$94)*E2_tabla_vida!$P$94,EXP(-C131*E2_tabla_vida!$X$95)*E2_tabla_vida!$P$95,EXP(-C131*E2_tabla_vida!$X$96)*E2_tabla_vida!$P$96,EXP(-C131*E2_tabla_vida!$X$97)*E2_tabla_vida!$P$97,EXP(-C131*E2_tabla_vida!$X$98)*E2_tabla_vida!$P$98,EXP(-C131*E2_tabla_vida!$X$99)*E2_tabla_vida!$P$99,EXP(-C131*E2_tabla_vida!$X$100)*E2_tabla_vida!$P$100,EXP(-C131*E2_tabla_vida!$X$101)*E2_tabla_vida!$P$101,EXP(-C131*E2_tabla_vida!$X$102)*E2_tabla_vida!$P$102,EXP(-C131*E2_tabla_vida!$X$103)*E2_tabla_vida!$P$103,EXP(-C131*E2_tabla_vida!$X$104)*E2_tabla_vida!$P$104,EXP(-C131*E2_tabla_vida!$X$105)*E2_tabla_vida!$P$105,EXP(-C131*E2_tabla_vida!$X$106)*E2_tabla_vida!$P$106,EXP(-C131*E2_tabla_vida!$X$107)*E2_tabla_vida!$P$107,EXP(-C131*E2_tabla_vida!$X$108)*E2_tabla_vida!$P$108,EXP(-C131*E2_tabla_vida!$X$109)*E2_tabla_vida!$P$109,EXP(-C131*E2_tabla_vida!$X$110)*E2_tabla_vida!$P$110,EXP(-C131*E2_tabla_vida!$X$111)*E2_tabla_vida!$P$111,EXP(-C131*E2_tabla_vida!$X$112)*E2_tabla_vida!$P$112,EXP(-C131*E2_tabla_vida!$X$113)*E2_tabla_vida!$P$113,EXP(-C131*E2_tabla_vida!$X$114)*E2_tabla_vida!$P$114,EXP(-C131*E2_tabla_vida!$X$115)*E2_tabla_vida!$P$115,EXP(-C131*E2_tabla_vida!$X$116)*E2_tabla_vida!$P$116,EXP(-C131*E2_tabla_vida!$X$117)*E2_tabla_vida!$P$117,EXP(-C131*E2_tabla_vida!$X$118)*E2_tabla_vida!$P$118,EXP(-C131*E2_tabla_vida!$X$119)*E2_tabla_vida!$P$119,EXP(-C131*E2_tabla_vida!$X$120)*E2_tabla_vida!$P$120,EXP(-C131*E2_tabla_vida!$X$121)*E2_tabla_vida!$P$121,EXP(-C131*E2_tabla_vida!$X$122)*E2_tabla_vida!$P$122,EXP(-C131*E2_tabla_vida!$X$123)*E2_tabla_vida!$P$123,EXP(-C131*E2_tabla_vida!$X$124)*E2_tabla_vida!$P$124,EXP(-C131*E2_tabla_vida!$X$125)*E2_tabla_vida!$P$125,EXP(-C131*E2_tabla_vida!$X$126)*E2_tabla_vida!$P$126,EXP(-C131*E2_tabla_vida!$X$127)*E2_tabla_vida!$P$127)-1</x:f>
        <x:v>3.0873636980288666e-10</x:v>
      </x:c>
      <x:c r="H131" s="24" t="n">
        <x:f>SUM(EXP(-D131*E2_tabla_vida!$X$86)*E2_tabla_vida!$P$86,EXP(-D131*E2_tabla_vida!$X$87)*E2_tabla_vida!$P$87,EXP(-D131*E2_tabla_vida!$X$88)*E2_tabla_vida!$P$88,EXP(-D131*E2_tabla_vida!$X$89)*E2_tabla_vida!$P$89,EXP(-D131*E2_tabla_vida!$X$90)*E2_tabla_vida!$P$90,EXP(-D131*E2_tabla_vida!$X$91)*E2_tabla_vida!$P$91,EXP(-D131*E2_tabla_vida!$X$92)*E2_tabla_vida!$P$92,EXP(-D131*E2_tabla_vida!$X$93)*E2_tabla_vida!$P$93,EXP(-D131*E2_tabla_vida!$X$94)*E2_tabla_vida!$P$94,EXP(-D131*E2_tabla_vida!$X$95)*E2_tabla_vida!$P$95,EXP(-D131*E2_tabla_vida!$X$96)*E2_tabla_vida!$P$96,EXP(-D131*E2_tabla_vida!$X$97)*E2_tabla_vida!$P$97,EXP(-D131*E2_tabla_vida!$X$98)*E2_tabla_vida!$P$98,EXP(-D131*E2_tabla_vida!$X$99)*E2_tabla_vida!$P$99,EXP(-D131*E2_tabla_vida!$X$100)*E2_tabla_vida!$P$100,EXP(-D131*E2_tabla_vida!$X$101)*E2_tabla_vida!$P$101,EXP(-D131*E2_tabla_vida!$X$102)*E2_tabla_vida!$P$102,EXP(-D131*E2_tabla_vida!$X$103)*E2_tabla_vida!$P$103,EXP(-D131*E2_tabla_vida!$X$104)*E2_tabla_vida!$P$104,EXP(-D131*E2_tabla_vida!$X$105)*E2_tabla_vida!$P$105,EXP(-D131*E2_tabla_vida!$X$106)*E2_tabla_vida!$P$106,EXP(-D131*E2_tabla_vida!$X$107)*E2_tabla_vida!$P$107,EXP(-D131*E2_tabla_vida!$X$108)*E2_tabla_vida!$P$108,EXP(-D131*E2_tabla_vida!$X$109)*E2_tabla_vida!$P$109,EXP(-D131*E2_tabla_vida!$X$110)*E2_tabla_vida!$P$110,EXP(-D131*E2_tabla_vida!$X$111)*E2_tabla_vida!$P$111,EXP(-D131*E2_tabla_vida!$X$112)*E2_tabla_vida!$P$112,EXP(-D131*E2_tabla_vida!$X$113)*E2_tabla_vida!$P$113,EXP(-D131*E2_tabla_vida!$X$114)*E2_tabla_vida!$P$114,EXP(-D131*E2_tabla_vida!$X$115)*E2_tabla_vida!$P$115,EXP(-D131*E2_tabla_vida!$X$116)*E2_tabla_vida!$P$116,EXP(-D131*E2_tabla_vida!$X$117)*E2_tabla_vida!$P$117,EXP(-D131*E2_tabla_vida!$X$118)*E2_tabla_vida!$P$118,EXP(-D131*E2_tabla_vida!$X$119)*E2_tabla_vida!$P$119,EXP(-D131*E2_tabla_vida!$X$120)*E2_tabla_vida!$P$120,EXP(-D131*E2_tabla_vida!$X$121)*E2_tabla_vida!$P$121,EXP(-D131*E2_tabla_vida!$X$122)*E2_tabla_vida!$P$122,EXP(-D131*E2_tabla_vida!$X$123)*E2_tabla_vida!$P$123,EXP(-D131*E2_tabla_vida!$X$124)*E2_tabla_vida!$P$124,EXP(-D131*E2_tabla_vida!$X$125)*E2_tabla_vida!$P$125,EXP(-D131*E2_tabla_vida!$X$126)*E2_tabla_vida!$P$126,EXP(-D131*E2_tabla_vida!$X$127)*E2_tabla_vida!$P$127)-1</x:f>
        <x:v>-4.212719062479664e-11</x:v>
      </x:c>
    </x:row>
    <x:row r="132" ht="19" customHeight="1">
      <x:c r="A132" s="2" t="str">
        <x:v>MP_L7</x:v>
      </x:c>
      <x:c r="B132" s="2" t="n">
        <x:v>38</x:v>
      </x:c>
      <x:c r="C132" s="22" t="n">
        <x:f>IF(F131&gt;0,E131,C131)</x:f>
        <x:v>0.17924664385282085</x:v>
      </x:c>
      <x:c r="D132" s="22" t="n">
        <x:f>IF(F131&gt;0,D131,E131)</x:f>
        <x:v>0.1792466438637348</x:v>
      </x:c>
      <x:c r="E132" s="22" t="n">
        <x:f>AVERAGE(C132:D132)</x:f>
        <x:v>0.17924664385827782</x:v>
      </x:c>
      <x:c r="F132" s="24" t="n">
        <x:f>SUM(EXP(-E132*E2_tabla_vida!$X$86)*E2_tabla_vida!$P$86,EXP(-E132*E2_tabla_vida!$X$87)*E2_tabla_vida!$P$87,EXP(-E132*E2_tabla_vida!$X$88)*E2_tabla_vida!$P$88,EXP(-E132*E2_tabla_vida!$X$89)*E2_tabla_vida!$P$89,EXP(-E132*E2_tabla_vida!$X$90)*E2_tabla_vida!$P$90,EXP(-E132*E2_tabla_vida!$X$91)*E2_tabla_vida!$P$91,EXP(-E132*E2_tabla_vida!$X$92)*E2_tabla_vida!$P$92,EXP(-E132*E2_tabla_vida!$X$93)*E2_tabla_vida!$P$93,EXP(-E132*E2_tabla_vida!$X$94)*E2_tabla_vida!$P$94,EXP(-E132*E2_tabla_vida!$X$95)*E2_tabla_vida!$P$95,EXP(-E132*E2_tabla_vida!$X$96)*E2_tabla_vida!$P$96,EXP(-E132*E2_tabla_vida!$X$97)*E2_tabla_vida!$P$97,EXP(-E132*E2_tabla_vida!$X$98)*E2_tabla_vida!$P$98,EXP(-E132*E2_tabla_vida!$X$99)*E2_tabla_vida!$P$99,EXP(-E132*E2_tabla_vida!$X$100)*E2_tabla_vida!$P$100,EXP(-E132*E2_tabla_vida!$X$101)*E2_tabla_vida!$P$101,EXP(-E132*E2_tabla_vida!$X$102)*E2_tabla_vida!$P$102,EXP(-E132*E2_tabla_vida!$X$103)*E2_tabla_vida!$P$103,EXP(-E132*E2_tabla_vida!$X$104)*E2_tabla_vida!$P$104,EXP(-E132*E2_tabla_vida!$X$105)*E2_tabla_vida!$P$105,EXP(-E132*E2_tabla_vida!$X$106)*E2_tabla_vida!$P$106,EXP(-E132*E2_tabla_vida!$X$107)*E2_tabla_vida!$P$107,EXP(-E132*E2_tabla_vida!$X$108)*E2_tabla_vida!$P$108,EXP(-E132*E2_tabla_vida!$X$109)*E2_tabla_vida!$P$109,EXP(-E132*E2_tabla_vida!$X$110)*E2_tabla_vida!$P$110,EXP(-E132*E2_tabla_vida!$X$111)*E2_tabla_vida!$P$111,EXP(-E132*E2_tabla_vida!$X$112)*E2_tabla_vida!$P$112,EXP(-E132*E2_tabla_vida!$X$113)*E2_tabla_vida!$P$113,EXP(-E132*E2_tabla_vida!$X$114)*E2_tabla_vida!$P$114,EXP(-E132*E2_tabla_vida!$X$115)*E2_tabla_vida!$P$115,EXP(-E132*E2_tabla_vida!$X$116)*E2_tabla_vida!$P$116,EXP(-E132*E2_tabla_vida!$X$117)*E2_tabla_vida!$P$117,EXP(-E132*E2_tabla_vida!$X$118)*E2_tabla_vida!$P$118,EXP(-E132*E2_tabla_vida!$X$119)*E2_tabla_vida!$P$119,EXP(-E132*E2_tabla_vida!$X$120)*E2_tabla_vida!$P$120,EXP(-E132*E2_tabla_vida!$X$121)*E2_tabla_vida!$P$121,EXP(-E132*E2_tabla_vida!$X$122)*E2_tabla_vida!$P$122,EXP(-E132*E2_tabla_vida!$X$123)*E2_tabla_vida!$P$123,EXP(-E132*E2_tabla_vida!$X$124)*E2_tabla_vida!$P$124,EXP(-E132*E2_tabla_vida!$X$125)*E2_tabla_vida!$P$125,EXP(-E132*E2_tabla_vida!$X$126)*E2_tabla_vida!$P$126,EXP(-E132*E2_tabla_vida!$X$127)*E2_tabla_vida!$P$127)-1</x:f>
        <x:v>4.558886601557788e-11</x:v>
      </x:c>
      <x:c r="G132" s="24" t="n">
        <x:f>SUM(EXP(-C132*E2_tabla_vida!$X$86)*E2_tabla_vida!$P$86,EXP(-C132*E2_tabla_vida!$X$87)*E2_tabla_vida!$P$87,EXP(-C132*E2_tabla_vida!$X$88)*E2_tabla_vida!$P$88,EXP(-C132*E2_tabla_vida!$X$89)*E2_tabla_vida!$P$89,EXP(-C132*E2_tabla_vida!$X$90)*E2_tabla_vida!$P$90,EXP(-C132*E2_tabla_vida!$X$91)*E2_tabla_vida!$P$91,EXP(-C132*E2_tabla_vida!$X$92)*E2_tabla_vida!$P$92,EXP(-C132*E2_tabla_vida!$X$93)*E2_tabla_vida!$P$93,EXP(-C132*E2_tabla_vida!$X$94)*E2_tabla_vida!$P$94,EXP(-C132*E2_tabla_vida!$X$95)*E2_tabla_vida!$P$95,EXP(-C132*E2_tabla_vida!$X$96)*E2_tabla_vida!$P$96,EXP(-C132*E2_tabla_vida!$X$97)*E2_tabla_vida!$P$97,EXP(-C132*E2_tabla_vida!$X$98)*E2_tabla_vida!$P$98,EXP(-C132*E2_tabla_vida!$X$99)*E2_tabla_vida!$P$99,EXP(-C132*E2_tabla_vida!$X$100)*E2_tabla_vida!$P$100,EXP(-C132*E2_tabla_vida!$X$101)*E2_tabla_vida!$P$101,EXP(-C132*E2_tabla_vida!$X$102)*E2_tabla_vida!$P$102,EXP(-C132*E2_tabla_vida!$X$103)*E2_tabla_vida!$P$103,EXP(-C132*E2_tabla_vida!$X$104)*E2_tabla_vida!$P$104,EXP(-C132*E2_tabla_vida!$X$105)*E2_tabla_vida!$P$105,EXP(-C132*E2_tabla_vida!$X$106)*E2_tabla_vida!$P$106,EXP(-C132*E2_tabla_vida!$X$107)*E2_tabla_vida!$P$107,EXP(-C132*E2_tabla_vida!$X$108)*E2_tabla_vida!$P$108,EXP(-C132*E2_tabla_vida!$X$109)*E2_tabla_vida!$P$109,EXP(-C132*E2_tabla_vida!$X$110)*E2_tabla_vida!$P$110,EXP(-C132*E2_tabla_vida!$X$111)*E2_tabla_vida!$P$111,EXP(-C132*E2_tabla_vida!$X$112)*E2_tabla_vida!$P$112,EXP(-C132*E2_tabla_vida!$X$113)*E2_tabla_vida!$P$113,EXP(-C132*E2_tabla_vida!$X$114)*E2_tabla_vida!$P$114,EXP(-C132*E2_tabla_vida!$X$115)*E2_tabla_vida!$P$115,EXP(-C132*E2_tabla_vida!$X$116)*E2_tabla_vida!$P$116,EXP(-C132*E2_tabla_vida!$X$117)*E2_tabla_vida!$P$117,EXP(-C132*E2_tabla_vida!$X$118)*E2_tabla_vida!$P$118,EXP(-C132*E2_tabla_vida!$X$119)*E2_tabla_vida!$P$119,EXP(-C132*E2_tabla_vida!$X$120)*E2_tabla_vida!$P$120,EXP(-C132*E2_tabla_vida!$X$121)*E2_tabla_vida!$P$121,EXP(-C132*E2_tabla_vida!$X$122)*E2_tabla_vida!$P$122,EXP(-C132*E2_tabla_vida!$X$123)*E2_tabla_vida!$P$123,EXP(-C132*E2_tabla_vida!$X$124)*E2_tabla_vida!$P$124,EXP(-C132*E2_tabla_vida!$X$125)*E2_tabla_vida!$P$125,EXP(-C132*E2_tabla_vida!$X$126)*E2_tabla_vida!$P$126,EXP(-C132*E2_tabla_vida!$X$127)*E2_tabla_vida!$P$127)-1</x:f>
        <x:v>1.333049226559524e-10</x:v>
      </x:c>
      <x:c r="H132" s="24" t="n">
        <x:f>SUM(EXP(-D132*E2_tabla_vida!$X$86)*E2_tabla_vida!$P$86,EXP(-D132*E2_tabla_vida!$X$87)*E2_tabla_vida!$P$87,EXP(-D132*E2_tabla_vida!$X$88)*E2_tabla_vida!$P$88,EXP(-D132*E2_tabla_vida!$X$89)*E2_tabla_vida!$P$89,EXP(-D132*E2_tabla_vida!$X$90)*E2_tabla_vida!$P$90,EXP(-D132*E2_tabla_vida!$X$91)*E2_tabla_vida!$P$91,EXP(-D132*E2_tabla_vida!$X$92)*E2_tabla_vida!$P$92,EXP(-D132*E2_tabla_vida!$X$93)*E2_tabla_vida!$P$93,EXP(-D132*E2_tabla_vida!$X$94)*E2_tabla_vida!$P$94,EXP(-D132*E2_tabla_vida!$X$95)*E2_tabla_vida!$P$95,EXP(-D132*E2_tabla_vida!$X$96)*E2_tabla_vida!$P$96,EXP(-D132*E2_tabla_vida!$X$97)*E2_tabla_vida!$P$97,EXP(-D132*E2_tabla_vida!$X$98)*E2_tabla_vida!$P$98,EXP(-D132*E2_tabla_vida!$X$99)*E2_tabla_vida!$P$99,EXP(-D132*E2_tabla_vida!$X$100)*E2_tabla_vida!$P$100,EXP(-D132*E2_tabla_vida!$X$101)*E2_tabla_vida!$P$101,EXP(-D132*E2_tabla_vida!$X$102)*E2_tabla_vida!$P$102,EXP(-D132*E2_tabla_vida!$X$103)*E2_tabla_vida!$P$103,EXP(-D132*E2_tabla_vida!$X$104)*E2_tabla_vida!$P$104,EXP(-D132*E2_tabla_vida!$X$105)*E2_tabla_vida!$P$105,EXP(-D132*E2_tabla_vida!$X$106)*E2_tabla_vida!$P$106,EXP(-D132*E2_tabla_vida!$X$107)*E2_tabla_vida!$P$107,EXP(-D132*E2_tabla_vida!$X$108)*E2_tabla_vida!$P$108,EXP(-D132*E2_tabla_vida!$X$109)*E2_tabla_vida!$P$109,EXP(-D132*E2_tabla_vida!$X$110)*E2_tabla_vida!$P$110,EXP(-D132*E2_tabla_vida!$X$111)*E2_tabla_vida!$P$111,EXP(-D132*E2_tabla_vida!$X$112)*E2_tabla_vida!$P$112,EXP(-D132*E2_tabla_vida!$X$113)*E2_tabla_vida!$P$113,EXP(-D132*E2_tabla_vida!$X$114)*E2_tabla_vida!$P$114,EXP(-D132*E2_tabla_vida!$X$115)*E2_tabla_vida!$P$115,EXP(-D132*E2_tabla_vida!$X$116)*E2_tabla_vida!$P$116,EXP(-D132*E2_tabla_vida!$X$117)*E2_tabla_vida!$P$117,EXP(-D132*E2_tabla_vida!$X$118)*E2_tabla_vida!$P$118,EXP(-D132*E2_tabla_vida!$X$119)*E2_tabla_vida!$P$119,EXP(-D132*E2_tabla_vida!$X$120)*E2_tabla_vida!$P$120,EXP(-D132*E2_tabla_vida!$X$121)*E2_tabla_vida!$P$121,EXP(-D132*E2_tabla_vida!$X$122)*E2_tabla_vida!$P$122,EXP(-D132*E2_tabla_vida!$X$123)*E2_tabla_vida!$P$123,EXP(-D132*E2_tabla_vida!$X$124)*E2_tabla_vida!$P$124,EXP(-D132*E2_tabla_vida!$X$125)*E2_tabla_vida!$P$125,EXP(-D132*E2_tabla_vida!$X$126)*E2_tabla_vida!$P$126,EXP(-D132*E2_tabla_vida!$X$127)*E2_tabla_vida!$P$127)-1</x:f>
        <x:v>-4.212719062479664e-11</x:v>
      </x:c>
    </x:row>
    <x:row r="133" ht="19" customHeight="1">
      <x:c r="A133" s="2" t="str">
        <x:v>MP_L7</x:v>
      </x:c>
      <x:c r="B133" s="2" t="n">
        <x:v>39</x:v>
      </x:c>
      <x:c r="C133" s="22" t="n">
        <x:f>IF(F132&gt;0,E132,C132)</x:f>
        <x:v>0.17924664385827782</x:v>
      </x:c>
      <x:c r="D133" s="22" t="n">
        <x:f>IF(F132&gt;0,D132,E132)</x:f>
        <x:v>0.1792466438637348</x:v>
      </x:c>
      <x:c r="E133" s="22" t="n">
        <x:f>AVERAGE(C133:D133)</x:f>
        <x:v>0.1792466438610063</x:v>
      </x:c>
      <x:c r="F133" s="24" t="n">
        <x:f>SUM(EXP(-E133*E2_tabla_vida!$X$86)*E2_tabla_vida!$P$86,EXP(-E133*E2_tabla_vida!$X$87)*E2_tabla_vida!$P$87,EXP(-E133*E2_tabla_vida!$X$88)*E2_tabla_vida!$P$88,EXP(-E133*E2_tabla_vida!$X$89)*E2_tabla_vida!$P$89,EXP(-E133*E2_tabla_vida!$X$90)*E2_tabla_vida!$P$90,EXP(-E133*E2_tabla_vida!$X$91)*E2_tabla_vida!$P$91,EXP(-E133*E2_tabla_vida!$X$92)*E2_tabla_vida!$P$92,EXP(-E133*E2_tabla_vida!$X$93)*E2_tabla_vida!$P$93,EXP(-E133*E2_tabla_vida!$X$94)*E2_tabla_vida!$P$94,EXP(-E133*E2_tabla_vida!$X$95)*E2_tabla_vida!$P$95,EXP(-E133*E2_tabla_vida!$X$96)*E2_tabla_vida!$P$96,EXP(-E133*E2_tabla_vida!$X$97)*E2_tabla_vida!$P$97,EXP(-E133*E2_tabla_vida!$X$98)*E2_tabla_vida!$P$98,EXP(-E133*E2_tabla_vida!$X$99)*E2_tabla_vida!$P$99,EXP(-E133*E2_tabla_vida!$X$100)*E2_tabla_vida!$P$100,EXP(-E133*E2_tabla_vida!$X$101)*E2_tabla_vida!$P$101,EXP(-E133*E2_tabla_vida!$X$102)*E2_tabla_vida!$P$102,EXP(-E133*E2_tabla_vida!$X$103)*E2_tabla_vida!$P$103,EXP(-E133*E2_tabla_vida!$X$104)*E2_tabla_vida!$P$104,EXP(-E133*E2_tabla_vida!$X$105)*E2_tabla_vida!$P$105,EXP(-E133*E2_tabla_vida!$X$106)*E2_tabla_vida!$P$106,EXP(-E133*E2_tabla_vida!$X$107)*E2_tabla_vida!$P$107,EXP(-E133*E2_tabla_vida!$X$108)*E2_tabla_vida!$P$108,EXP(-E133*E2_tabla_vida!$X$109)*E2_tabla_vida!$P$109,EXP(-E133*E2_tabla_vida!$X$110)*E2_tabla_vida!$P$110,EXP(-E133*E2_tabla_vida!$X$111)*E2_tabla_vida!$P$111,EXP(-E133*E2_tabla_vida!$X$112)*E2_tabla_vida!$P$112,EXP(-E133*E2_tabla_vida!$X$113)*E2_tabla_vida!$P$113,EXP(-E133*E2_tabla_vida!$X$114)*E2_tabla_vida!$P$114,EXP(-E133*E2_tabla_vida!$X$115)*E2_tabla_vida!$P$115,EXP(-E133*E2_tabla_vida!$X$116)*E2_tabla_vida!$P$116,EXP(-E133*E2_tabla_vida!$X$117)*E2_tabla_vida!$P$117,EXP(-E133*E2_tabla_vida!$X$118)*E2_tabla_vida!$P$118,EXP(-E133*E2_tabla_vida!$X$119)*E2_tabla_vida!$P$119,EXP(-E133*E2_tabla_vida!$X$120)*E2_tabla_vida!$P$120,EXP(-E133*E2_tabla_vida!$X$121)*E2_tabla_vida!$P$121,EXP(-E133*E2_tabla_vida!$X$122)*E2_tabla_vida!$P$122,EXP(-E133*E2_tabla_vida!$X$123)*E2_tabla_vida!$P$123,EXP(-E133*E2_tabla_vida!$X$124)*E2_tabla_vida!$P$124,EXP(-E133*E2_tabla_vida!$X$125)*E2_tabla_vida!$P$125,EXP(-E133*E2_tabla_vida!$X$126)*E2_tabla_vida!$P$126,EXP(-E133*E2_tabla_vida!$X$127)*E2_tabla_vida!$P$127)-1</x:f>
        <x:v>1.731059739995544e-12</x:v>
      </x:c>
      <x:c r="G133" s="24" t="n">
        <x:f>SUM(EXP(-C133*E2_tabla_vida!$X$86)*E2_tabla_vida!$P$86,EXP(-C133*E2_tabla_vida!$X$87)*E2_tabla_vida!$P$87,EXP(-C133*E2_tabla_vida!$X$88)*E2_tabla_vida!$P$88,EXP(-C133*E2_tabla_vida!$X$89)*E2_tabla_vida!$P$89,EXP(-C133*E2_tabla_vida!$X$90)*E2_tabla_vida!$P$90,EXP(-C133*E2_tabla_vida!$X$91)*E2_tabla_vida!$P$91,EXP(-C133*E2_tabla_vida!$X$92)*E2_tabla_vida!$P$92,EXP(-C133*E2_tabla_vida!$X$93)*E2_tabla_vida!$P$93,EXP(-C133*E2_tabla_vida!$X$94)*E2_tabla_vida!$P$94,EXP(-C133*E2_tabla_vida!$X$95)*E2_tabla_vida!$P$95,EXP(-C133*E2_tabla_vida!$X$96)*E2_tabla_vida!$P$96,EXP(-C133*E2_tabla_vida!$X$97)*E2_tabla_vida!$P$97,EXP(-C133*E2_tabla_vida!$X$98)*E2_tabla_vida!$P$98,EXP(-C133*E2_tabla_vida!$X$99)*E2_tabla_vida!$P$99,EXP(-C133*E2_tabla_vida!$X$100)*E2_tabla_vida!$P$100,EXP(-C133*E2_tabla_vida!$X$101)*E2_tabla_vida!$P$101,EXP(-C133*E2_tabla_vida!$X$102)*E2_tabla_vida!$P$102,EXP(-C133*E2_tabla_vida!$X$103)*E2_tabla_vida!$P$103,EXP(-C133*E2_tabla_vida!$X$104)*E2_tabla_vida!$P$104,EXP(-C133*E2_tabla_vida!$X$105)*E2_tabla_vida!$P$105,EXP(-C133*E2_tabla_vida!$X$106)*E2_tabla_vida!$P$106,EXP(-C133*E2_tabla_vida!$X$107)*E2_tabla_vida!$P$107,EXP(-C133*E2_tabla_vida!$X$108)*E2_tabla_vida!$P$108,EXP(-C133*E2_tabla_vida!$X$109)*E2_tabla_vida!$P$109,EXP(-C133*E2_tabla_vida!$X$110)*E2_tabla_vida!$P$110,EXP(-C133*E2_tabla_vida!$X$111)*E2_tabla_vida!$P$111,EXP(-C133*E2_tabla_vida!$X$112)*E2_tabla_vida!$P$112,EXP(-C133*E2_tabla_vida!$X$113)*E2_tabla_vida!$P$113,EXP(-C133*E2_tabla_vida!$X$114)*E2_tabla_vida!$P$114,EXP(-C133*E2_tabla_vida!$X$115)*E2_tabla_vida!$P$115,EXP(-C133*E2_tabla_vida!$X$116)*E2_tabla_vida!$P$116,EXP(-C133*E2_tabla_vida!$X$117)*E2_tabla_vida!$P$117,EXP(-C133*E2_tabla_vida!$X$118)*E2_tabla_vida!$P$118,EXP(-C133*E2_tabla_vida!$X$119)*E2_tabla_vida!$P$119,EXP(-C133*E2_tabla_vida!$X$120)*E2_tabla_vida!$P$120,EXP(-C133*E2_tabla_vida!$X$121)*E2_tabla_vida!$P$121,EXP(-C133*E2_tabla_vida!$X$122)*E2_tabla_vida!$P$122,EXP(-C133*E2_tabla_vida!$X$123)*E2_tabla_vida!$P$123,EXP(-C133*E2_tabla_vida!$X$124)*E2_tabla_vida!$P$124,EXP(-C133*E2_tabla_vida!$X$125)*E2_tabla_vida!$P$125,EXP(-C133*E2_tabla_vida!$X$126)*E2_tabla_vida!$P$126,EXP(-C133*E2_tabla_vida!$X$127)*E2_tabla_vida!$P$127)-1</x:f>
        <x:v>4.558886601557788e-11</x:v>
      </x:c>
      <x:c r="H133" s="24" t="n">
        <x:f>SUM(EXP(-D133*E2_tabla_vida!$X$86)*E2_tabla_vida!$P$86,EXP(-D133*E2_tabla_vida!$X$87)*E2_tabla_vida!$P$87,EXP(-D133*E2_tabla_vida!$X$88)*E2_tabla_vida!$P$88,EXP(-D133*E2_tabla_vida!$X$89)*E2_tabla_vida!$P$89,EXP(-D133*E2_tabla_vida!$X$90)*E2_tabla_vida!$P$90,EXP(-D133*E2_tabla_vida!$X$91)*E2_tabla_vida!$P$91,EXP(-D133*E2_tabla_vida!$X$92)*E2_tabla_vida!$P$92,EXP(-D133*E2_tabla_vida!$X$93)*E2_tabla_vida!$P$93,EXP(-D133*E2_tabla_vida!$X$94)*E2_tabla_vida!$P$94,EXP(-D133*E2_tabla_vida!$X$95)*E2_tabla_vida!$P$95,EXP(-D133*E2_tabla_vida!$X$96)*E2_tabla_vida!$P$96,EXP(-D133*E2_tabla_vida!$X$97)*E2_tabla_vida!$P$97,EXP(-D133*E2_tabla_vida!$X$98)*E2_tabla_vida!$P$98,EXP(-D133*E2_tabla_vida!$X$99)*E2_tabla_vida!$P$99,EXP(-D133*E2_tabla_vida!$X$100)*E2_tabla_vida!$P$100,EXP(-D133*E2_tabla_vida!$X$101)*E2_tabla_vida!$P$101,EXP(-D133*E2_tabla_vida!$X$102)*E2_tabla_vida!$P$102,EXP(-D133*E2_tabla_vida!$X$103)*E2_tabla_vida!$P$103,EXP(-D133*E2_tabla_vida!$X$104)*E2_tabla_vida!$P$104,EXP(-D133*E2_tabla_vida!$X$105)*E2_tabla_vida!$P$105,EXP(-D133*E2_tabla_vida!$X$106)*E2_tabla_vida!$P$106,EXP(-D133*E2_tabla_vida!$X$107)*E2_tabla_vida!$P$107,EXP(-D133*E2_tabla_vida!$X$108)*E2_tabla_vida!$P$108,EXP(-D133*E2_tabla_vida!$X$109)*E2_tabla_vida!$P$109,EXP(-D133*E2_tabla_vida!$X$110)*E2_tabla_vida!$P$110,EXP(-D133*E2_tabla_vida!$X$111)*E2_tabla_vida!$P$111,EXP(-D133*E2_tabla_vida!$X$112)*E2_tabla_vida!$P$112,EXP(-D133*E2_tabla_vida!$X$113)*E2_tabla_vida!$P$113,EXP(-D133*E2_tabla_vida!$X$114)*E2_tabla_vida!$P$114,EXP(-D133*E2_tabla_vida!$X$115)*E2_tabla_vida!$P$115,EXP(-D133*E2_tabla_vida!$X$116)*E2_tabla_vida!$P$116,EXP(-D133*E2_tabla_vida!$X$117)*E2_tabla_vida!$P$117,EXP(-D133*E2_tabla_vida!$X$118)*E2_tabla_vida!$P$118,EXP(-D133*E2_tabla_vida!$X$119)*E2_tabla_vida!$P$119,EXP(-D133*E2_tabla_vida!$X$120)*E2_tabla_vida!$P$120,EXP(-D133*E2_tabla_vida!$X$121)*E2_tabla_vida!$P$121,EXP(-D133*E2_tabla_vida!$X$122)*E2_tabla_vida!$P$122,EXP(-D133*E2_tabla_vida!$X$123)*E2_tabla_vida!$P$123,EXP(-D133*E2_tabla_vida!$X$124)*E2_tabla_vida!$P$124,EXP(-D133*E2_tabla_vida!$X$125)*E2_tabla_vida!$P$125,EXP(-D133*E2_tabla_vida!$X$126)*E2_tabla_vida!$P$126,EXP(-D133*E2_tabla_vida!$X$127)*E2_tabla_vida!$P$127)-1</x:f>
        <x:v>-4.212719062479664e-11</x:v>
      </x:c>
    </x:row>
    <x:row r="134" ht="19" customHeight="1">
      <x:c r="A134" s="2" t="str">
        <x:v>MP_L7</x:v>
      </x:c>
      <x:c r="B134" s="2" t="n">
        <x:v>40</x:v>
      </x:c>
      <x:c r="C134" s="22" t="n">
        <x:f>IF(F133&gt;0,E133,C133)</x:f>
        <x:v>0.1792466438610063</x:v>
      </x:c>
      <x:c r="D134" s="22" t="n">
        <x:f>IF(F133&gt;0,D133,E133)</x:f>
        <x:v>0.1792466438637348</x:v>
      </x:c>
      <x:c r="E134" s="22" t="n">
        <x:f>AVERAGE(C134:D134)</x:f>
        <x:v>0.17924664386237055</x:v>
      </x:c>
      <x:c r="F134" s="24" t="n">
        <x:f>SUM(EXP(-E134*E2_tabla_vida!$X$86)*E2_tabla_vida!$P$86,EXP(-E134*E2_tabla_vida!$X$87)*E2_tabla_vida!$P$87,EXP(-E134*E2_tabla_vida!$X$88)*E2_tabla_vida!$P$88,EXP(-E134*E2_tabla_vida!$X$89)*E2_tabla_vida!$P$89,EXP(-E134*E2_tabla_vida!$X$90)*E2_tabla_vida!$P$90,EXP(-E134*E2_tabla_vida!$X$91)*E2_tabla_vida!$P$91,EXP(-E134*E2_tabla_vida!$X$92)*E2_tabla_vida!$P$92,EXP(-E134*E2_tabla_vida!$X$93)*E2_tabla_vida!$P$93,EXP(-E134*E2_tabla_vida!$X$94)*E2_tabla_vida!$P$94,EXP(-E134*E2_tabla_vida!$X$95)*E2_tabla_vida!$P$95,EXP(-E134*E2_tabla_vida!$X$96)*E2_tabla_vida!$P$96,EXP(-E134*E2_tabla_vida!$X$97)*E2_tabla_vida!$P$97,EXP(-E134*E2_tabla_vida!$X$98)*E2_tabla_vida!$P$98,EXP(-E134*E2_tabla_vida!$X$99)*E2_tabla_vida!$P$99,EXP(-E134*E2_tabla_vida!$X$100)*E2_tabla_vida!$P$100,EXP(-E134*E2_tabla_vida!$X$101)*E2_tabla_vida!$P$101,EXP(-E134*E2_tabla_vida!$X$102)*E2_tabla_vida!$P$102,EXP(-E134*E2_tabla_vida!$X$103)*E2_tabla_vida!$P$103,EXP(-E134*E2_tabla_vida!$X$104)*E2_tabla_vida!$P$104,EXP(-E134*E2_tabla_vida!$X$105)*E2_tabla_vida!$P$105,EXP(-E134*E2_tabla_vida!$X$106)*E2_tabla_vida!$P$106,EXP(-E134*E2_tabla_vida!$X$107)*E2_tabla_vida!$P$107,EXP(-E134*E2_tabla_vida!$X$108)*E2_tabla_vida!$P$108,EXP(-E134*E2_tabla_vida!$X$109)*E2_tabla_vida!$P$109,EXP(-E134*E2_tabla_vida!$X$110)*E2_tabla_vida!$P$110,EXP(-E134*E2_tabla_vida!$X$111)*E2_tabla_vida!$P$111,EXP(-E134*E2_tabla_vida!$X$112)*E2_tabla_vida!$P$112,EXP(-E134*E2_tabla_vida!$X$113)*E2_tabla_vida!$P$113,EXP(-E134*E2_tabla_vida!$X$114)*E2_tabla_vida!$P$114,EXP(-E134*E2_tabla_vida!$X$115)*E2_tabla_vida!$P$115,EXP(-E134*E2_tabla_vida!$X$116)*E2_tabla_vida!$P$116,EXP(-E134*E2_tabla_vida!$X$117)*E2_tabla_vida!$P$117,EXP(-E134*E2_tabla_vida!$X$118)*E2_tabla_vida!$P$118,EXP(-E134*E2_tabla_vida!$X$119)*E2_tabla_vida!$P$119,EXP(-E134*E2_tabla_vida!$X$120)*E2_tabla_vida!$P$120,EXP(-E134*E2_tabla_vida!$X$121)*E2_tabla_vida!$P$121,EXP(-E134*E2_tabla_vida!$X$122)*E2_tabla_vida!$P$122,EXP(-E134*E2_tabla_vida!$X$123)*E2_tabla_vida!$P$123,EXP(-E134*E2_tabla_vida!$X$124)*E2_tabla_vida!$P$124,EXP(-E134*E2_tabla_vida!$X$125)*E2_tabla_vida!$P$125,EXP(-E134*E2_tabla_vida!$X$126)*E2_tabla_vida!$P$126,EXP(-E134*E2_tabla_vida!$X$127)*E2_tabla_vida!$P$127)-1</x:f>
        <x:v>-2.0197954420098085e-11</x:v>
      </x:c>
      <x:c r="G134" s="24" t="n">
        <x:f>SUM(EXP(-C134*E2_tabla_vida!$X$86)*E2_tabla_vida!$P$86,EXP(-C134*E2_tabla_vida!$X$87)*E2_tabla_vida!$P$87,EXP(-C134*E2_tabla_vida!$X$88)*E2_tabla_vida!$P$88,EXP(-C134*E2_tabla_vida!$X$89)*E2_tabla_vida!$P$89,EXP(-C134*E2_tabla_vida!$X$90)*E2_tabla_vida!$P$90,EXP(-C134*E2_tabla_vida!$X$91)*E2_tabla_vida!$P$91,EXP(-C134*E2_tabla_vida!$X$92)*E2_tabla_vida!$P$92,EXP(-C134*E2_tabla_vida!$X$93)*E2_tabla_vida!$P$93,EXP(-C134*E2_tabla_vida!$X$94)*E2_tabla_vida!$P$94,EXP(-C134*E2_tabla_vida!$X$95)*E2_tabla_vida!$P$95,EXP(-C134*E2_tabla_vida!$X$96)*E2_tabla_vida!$P$96,EXP(-C134*E2_tabla_vida!$X$97)*E2_tabla_vida!$P$97,EXP(-C134*E2_tabla_vida!$X$98)*E2_tabla_vida!$P$98,EXP(-C134*E2_tabla_vida!$X$99)*E2_tabla_vida!$P$99,EXP(-C134*E2_tabla_vida!$X$100)*E2_tabla_vida!$P$100,EXP(-C134*E2_tabla_vida!$X$101)*E2_tabla_vida!$P$101,EXP(-C134*E2_tabla_vida!$X$102)*E2_tabla_vida!$P$102,EXP(-C134*E2_tabla_vida!$X$103)*E2_tabla_vida!$P$103,EXP(-C134*E2_tabla_vida!$X$104)*E2_tabla_vida!$P$104,EXP(-C134*E2_tabla_vida!$X$105)*E2_tabla_vida!$P$105,EXP(-C134*E2_tabla_vida!$X$106)*E2_tabla_vida!$P$106,EXP(-C134*E2_tabla_vida!$X$107)*E2_tabla_vida!$P$107,EXP(-C134*E2_tabla_vida!$X$108)*E2_tabla_vida!$P$108,EXP(-C134*E2_tabla_vida!$X$109)*E2_tabla_vida!$P$109,EXP(-C134*E2_tabla_vida!$X$110)*E2_tabla_vida!$P$110,EXP(-C134*E2_tabla_vida!$X$111)*E2_tabla_vida!$P$111,EXP(-C134*E2_tabla_vida!$X$112)*E2_tabla_vida!$P$112,EXP(-C134*E2_tabla_vida!$X$113)*E2_tabla_vida!$P$113,EXP(-C134*E2_tabla_vida!$X$114)*E2_tabla_vida!$P$114,EXP(-C134*E2_tabla_vida!$X$115)*E2_tabla_vida!$P$115,EXP(-C134*E2_tabla_vida!$X$116)*E2_tabla_vida!$P$116,EXP(-C134*E2_tabla_vida!$X$117)*E2_tabla_vida!$P$117,EXP(-C134*E2_tabla_vida!$X$118)*E2_tabla_vida!$P$118,EXP(-C134*E2_tabla_vida!$X$119)*E2_tabla_vida!$P$119,EXP(-C134*E2_tabla_vida!$X$120)*E2_tabla_vida!$P$120,EXP(-C134*E2_tabla_vida!$X$121)*E2_tabla_vida!$P$121,EXP(-C134*E2_tabla_vida!$X$122)*E2_tabla_vida!$P$122,EXP(-C134*E2_tabla_vida!$X$123)*E2_tabla_vida!$P$123,EXP(-C134*E2_tabla_vida!$X$124)*E2_tabla_vida!$P$124,EXP(-C134*E2_tabla_vida!$X$125)*E2_tabla_vida!$P$125,EXP(-C134*E2_tabla_vida!$X$126)*E2_tabla_vida!$P$126,EXP(-C134*E2_tabla_vida!$X$127)*E2_tabla_vida!$P$127)-1</x:f>
        <x:v>1.731059739995544e-12</x:v>
      </x:c>
      <x:c r="H134" s="24" t="n">
        <x:f>SUM(EXP(-D134*E2_tabla_vida!$X$86)*E2_tabla_vida!$P$86,EXP(-D134*E2_tabla_vida!$X$87)*E2_tabla_vida!$P$87,EXP(-D134*E2_tabla_vida!$X$88)*E2_tabla_vida!$P$88,EXP(-D134*E2_tabla_vida!$X$89)*E2_tabla_vida!$P$89,EXP(-D134*E2_tabla_vida!$X$90)*E2_tabla_vida!$P$90,EXP(-D134*E2_tabla_vida!$X$91)*E2_tabla_vida!$P$91,EXP(-D134*E2_tabla_vida!$X$92)*E2_tabla_vida!$P$92,EXP(-D134*E2_tabla_vida!$X$93)*E2_tabla_vida!$P$93,EXP(-D134*E2_tabla_vida!$X$94)*E2_tabla_vida!$P$94,EXP(-D134*E2_tabla_vida!$X$95)*E2_tabla_vida!$P$95,EXP(-D134*E2_tabla_vida!$X$96)*E2_tabla_vida!$P$96,EXP(-D134*E2_tabla_vida!$X$97)*E2_tabla_vida!$P$97,EXP(-D134*E2_tabla_vida!$X$98)*E2_tabla_vida!$P$98,EXP(-D134*E2_tabla_vida!$X$99)*E2_tabla_vida!$P$99,EXP(-D134*E2_tabla_vida!$X$100)*E2_tabla_vida!$P$100,EXP(-D134*E2_tabla_vida!$X$101)*E2_tabla_vida!$P$101,EXP(-D134*E2_tabla_vida!$X$102)*E2_tabla_vida!$P$102,EXP(-D134*E2_tabla_vida!$X$103)*E2_tabla_vida!$P$103,EXP(-D134*E2_tabla_vida!$X$104)*E2_tabla_vida!$P$104,EXP(-D134*E2_tabla_vida!$X$105)*E2_tabla_vida!$P$105,EXP(-D134*E2_tabla_vida!$X$106)*E2_tabla_vida!$P$106,EXP(-D134*E2_tabla_vida!$X$107)*E2_tabla_vida!$P$107,EXP(-D134*E2_tabla_vida!$X$108)*E2_tabla_vida!$P$108,EXP(-D134*E2_tabla_vida!$X$109)*E2_tabla_vida!$P$109,EXP(-D134*E2_tabla_vida!$X$110)*E2_tabla_vida!$P$110,EXP(-D134*E2_tabla_vida!$X$111)*E2_tabla_vida!$P$111,EXP(-D134*E2_tabla_vida!$X$112)*E2_tabla_vida!$P$112,EXP(-D134*E2_tabla_vida!$X$113)*E2_tabla_vida!$P$113,EXP(-D134*E2_tabla_vida!$X$114)*E2_tabla_vida!$P$114,EXP(-D134*E2_tabla_vida!$X$115)*E2_tabla_vida!$P$115,EXP(-D134*E2_tabla_vida!$X$116)*E2_tabla_vida!$P$116,EXP(-D134*E2_tabla_vida!$X$117)*E2_tabla_vida!$P$117,EXP(-D134*E2_tabla_vida!$X$118)*E2_tabla_vida!$P$118,EXP(-D134*E2_tabla_vida!$X$119)*E2_tabla_vida!$P$119,EXP(-D134*E2_tabla_vida!$X$120)*E2_tabla_vida!$P$120,EXP(-D134*E2_tabla_vida!$X$121)*E2_tabla_vida!$P$121,EXP(-D134*E2_tabla_vida!$X$122)*E2_tabla_vida!$P$122,EXP(-D134*E2_tabla_vida!$X$123)*E2_tabla_vida!$P$123,EXP(-D134*E2_tabla_vida!$X$124)*E2_tabla_vida!$P$124,EXP(-D134*E2_tabla_vida!$X$125)*E2_tabla_vida!$P$125,EXP(-D134*E2_tabla_vida!$X$126)*E2_tabla_vida!$P$126,EXP(-D134*E2_tabla_vida!$X$127)*E2_tabla_vida!$P$127)-1</x:f>
        <x:v>-4.212719062479664e-11</x:v>
      </x:c>
    </x:row>
    <x:row r="135" ht="19" customHeight="1">
      <x:c r="A135" s="2" t="str">
        <x:v>MP_L7</x:v>
      </x:c>
      <x:c r="B135" s="2" t="n">
        <x:v>41</x:v>
      </x:c>
      <x:c r="C135" s="22" t="n">
        <x:f>IF(F134&gt;0,E134,C134)</x:f>
        <x:v>0.1792466438610063</x:v>
      </x:c>
      <x:c r="D135" s="22" t="n">
        <x:f>IF(F134&gt;0,D134,E134)</x:f>
        <x:v>0.17924664386237055</x:v>
      </x:c>
      <x:c r="E135" s="22" t="n">
        <x:f>AVERAGE(C135:D135)</x:f>
        <x:v>0.17924664386168843</x:v>
      </x:c>
      <x:c r="F135" s="24" t="n">
        <x:f>SUM(EXP(-E135*E2_tabla_vida!$X$86)*E2_tabla_vida!$P$86,EXP(-E135*E2_tabla_vida!$X$87)*E2_tabla_vida!$P$87,EXP(-E135*E2_tabla_vida!$X$88)*E2_tabla_vida!$P$88,EXP(-E135*E2_tabla_vida!$X$89)*E2_tabla_vida!$P$89,EXP(-E135*E2_tabla_vida!$X$90)*E2_tabla_vida!$P$90,EXP(-E135*E2_tabla_vida!$X$91)*E2_tabla_vida!$P$91,EXP(-E135*E2_tabla_vida!$X$92)*E2_tabla_vida!$P$92,EXP(-E135*E2_tabla_vida!$X$93)*E2_tabla_vida!$P$93,EXP(-E135*E2_tabla_vida!$X$94)*E2_tabla_vida!$P$94,EXP(-E135*E2_tabla_vida!$X$95)*E2_tabla_vida!$P$95,EXP(-E135*E2_tabla_vida!$X$96)*E2_tabla_vida!$P$96,EXP(-E135*E2_tabla_vida!$X$97)*E2_tabla_vida!$P$97,EXP(-E135*E2_tabla_vida!$X$98)*E2_tabla_vida!$P$98,EXP(-E135*E2_tabla_vida!$X$99)*E2_tabla_vida!$P$99,EXP(-E135*E2_tabla_vida!$X$100)*E2_tabla_vida!$P$100,EXP(-E135*E2_tabla_vida!$X$101)*E2_tabla_vida!$P$101,EXP(-E135*E2_tabla_vida!$X$102)*E2_tabla_vida!$P$102,EXP(-E135*E2_tabla_vida!$X$103)*E2_tabla_vida!$P$103,EXP(-E135*E2_tabla_vida!$X$104)*E2_tabla_vida!$P$104,EXP(-E135*E2_tabla_vida!$X$105)*E2_tabla_vida!$P$105,EXP(-E135*E2_tabla_vida!$X$106)*E2_tabla_vida!$P$106,EXP(-E135*E2_tabla_vida!$X$107)*E2_tabla_vida!$P$107,EXP(-E135*E2_tabla_vida!$X$108)*E2_tabla_vida!$P$108,EXP(-E135*E2_tabla_vida!$X$109)*E2_tabla_vida!$P$109,EXP(-E135*E2_tabla_vida!$X$110)*E2_tabla_vida!$P$110,EXP(-E135*E2_tabla_vida!$X$111)*E2_tabla_vida!$P$111,EXP(-E135*E2_tabla_vida!$X$112)*E2_tabla_vida!$P$112,EXP(-E135*E2_tabla_vida!$X$113)*E2_tabla_vida!$P$113,EXP(-E135*E2_tabla_vida!$X$114)*E2_tabla_vida!$P$114,EXP(-E135*E2_tabla_vida!$X$115)*E2_tabla_vida!$P$115,EXP(-E135*E2_tabla_vida!$X$116)*E2_tabla_vida!$P$116,EXP(-E135*E2_tabla_vida!$X$117)*E2_tabla_vida!$P$117,EXP(-E135*E2_tabla_vida!$X$118)*E2_tabla_vida!$P$118,EXP(-E135*E2_tabla_vida!$X$119)*E2_tabla_vida!$P$119,EXP(-E135*E2_tabla_vida!$X$120)*E2_tabla_vida!$P$120,EXP(-E135*E2_tabla_vida!$X$121)*E2_tabla_vida!$P$121,EXP(-E135*E2_tabla_vida!$X$122)*E2_tabla_vida!$P$122,EXP(-E135*E2_tabla_vida!$X$123)*E2_tabla_vida!$P$123,EXP(-E135*E2_tabla_vida!$X$124)*E2_tabla_vida!$P$124,EXP(-E135*E2_tabla_vida!$X$125)*E2_tabla_vida!$P$125,EXP(-E135*E2_tabla_vida!$X$126)*E2_tabla_vida!$P$126,EXP(-E135*E2_tabla_vida!$X$127)*E2_tabla_vida!$P$127)-1</x:f>
        <x:v>-9.233613873504964e-12</x:v>
      </x:c>
      <x:c r="G135" s="24" t="n">
        <x:f>SUM(EXP(-C135*E2_tabla_vida!$X$86)*E2_tabla_vida!$P$86,EXP(-C135*E2_tabla_vida!$X$87)*E2_tabla_vida!$P$87,EXP(-C135*E2_tabla_vida!$X$88)*E2_tabla_vida!$P$88,EXP(-C135*E2_tabla_vida!$X$89)*E2_tabla_vida!$P$89,EXP(-C135*E2_tabla_vida!$X$90)*E2_tabla_vida!$P$90,EXP(-C135*E2_tabla_vida!$X$91)*E2_tabla_vida!$P$91,EXP(-C135*E2_tabla_vida!$X$92)*E2_tabla_vida!$P$92,EXP(-C135*E2_tabla_vida!$X$93)*E2_tabla_vida!$P$93,EXP(-C135*E2_tabla_vida!$X$94)*E2_tabla_vida!$P$94,EXP(-C135*E2_tabla_vida!$X$95)*E2_tabla_vida!$P$95,EXP(-C135*E2_tabla_vida!$X$96)*E2_tabla_vida!$P$96,EXP(-C135*E2_tabla_vida!$X$97)*E2_tabla_vida!$P$97,EXP(-C135*E2_tabla_vida!$X$98)*E2_tabla_vida!$P$98,EXP(-C135*E2_tabla_vida!$X$99)*E2_tabla_vida!$P$99,EXP(-C135*E2_tabla_vida!$X$100)*E2_tabla_vida!$P$100,EXP(-C135*E2_tabla_vida!$X$101)*E2_tabla_vida!$P$101,EXP(-C135*E2_tabla_vida!$X$102)*E2_tabla_vida!$P$102,EXP(-C135*E2_tabla_vida!$X$103)*E2_tabla_vida!$P$103,EXP(-C135*E2_tabla_vida!$X$104)*E2_tabla_vida!$P$104,EXP(-C135*E2_tabla_vida!$X$105)*E2_tabla_vida!$P$105,EXP(-C135*E2_tabla_vida!$X$106)*E2_tabla_vida!$P$106,EXP(-C135*E2_tabla_vida!$X$107)*E2_tabla_vida!$P$107,EXP(-C135*E2_tabla_vida!$X$108)*E2_tabla_vida!$P$108,EXP(-C135*E2_tabla_vida!$X$109)*E2_tabla_vida!$P$109,EXP(-C135*E2_tabla_vida!$X$110)*E2_tabla_vida!$P$110,EXP(-C135*E2_tabla_vida!$X$111)*E2_tabla_vida!$P$111,EXP(-C135*E2_tabla_vida!$X$112)*E2_tabla_vida!$P$112,EXP(-C135*E2_tabla_vida!$X$113)*E2_tabla_vida!$P$113,EXP(-C135*E2_tabla_vida!$X$114)*E2_tabla_vida!$P$114,EXP(-C135*E2_tabla_vida!$X$115)*E2_tabla_vida!$P$115,EXP(-C135*E2_tabla_vida!$X$116)*E2_tabla_vida!$P$116,EXP(-C135*E2_tabla_vida!$X$117)*E2_tabla_vida!$P$117,EXP(-C135*E2_tabla_vida!$X$118)*E2_tabla_vida!$P$118,EXP(-C135*E2_tabla_vida!$X$119)*E2_tabla_vida!$P$119,EXP(-C135*E2_tabla_vida!$X$120)*E2_tabla_vida!$P$120,EXP(-C135*E2_tabla_vida!$X$121)*E2_tabla_vida!$P$121,EXP(-C135*E2_tabla_vida!$X$122)*E2_tabla_vida!$P$122,EXP(-C135*E2_tabla_vida!$X$123)*E2_tabla_vida!$P$123,EXP(-C135*E2_tabla_vida!$X$124)*E2_tabla_vida!$P$124,EXP(-C135*E2_tabla_vida!$X$125)*E2_tabla_vida!$P$125,EXP(-C135*E2_tabla_vida!$X$126)*E2_tabla_vida!$P$126,EXP(-C135*E2_tabla_vida!$X$127)*E2_tabla_vida!$P$127)-1</x:f>
        <x:v>1.731059739995544e-12</x:v>
      </x:c>
      <x:c r="H135" s="24" t="n">
        <x:f>SUM(EXP(-D135*E2_tabla_vida!$X$86)*E2_tabla_vida!$P$86,EXP(-D135*E2_tabla_vida!$X$87)*E2_tabla_vida!$P$87,EXP(-D135*E2_tabla_vida!$X$88)*E2_tabla_vida!$P$88,EXP(-D135*E2_tabla_vida!$X$89)*E2_tabla_vida!$P$89,EXP(-D135*E2_tabla_vida!$X$90)*E2_tabla_vida!$P$90,EXP(-D135*E2_tabla_vida!$X$91)*E2_tabla_vida!$P$91,EXP(-D135*E2_tabla_vida!$X$92)*E2_tabla_vida!$P$92,EXP(-D135*E2_tabla_vida!$X$93)*E2_tabla_vida!$P$93,EXP(-D135*E2_tabla_vida!$X$94)*E2_tabla_vida!$P$94,EXP(-D135*E2_tabla_vida!$X$95)*E2_tabla_vida!$P$95,EXP(-D135*E2_tabla_vida!$X$96)*E2_tabla_vida!$P$96,EXP(-D135*E2_tabla_vida!$X$97)*E2_tabla_vida!$P$97,EXP(-D135*E2_tabla_vida!$X$98)*E2_tabla_vida!$P$98,EXP(-D135*E2_tabla_vida!$X$99)*E2_tabla_vida!$P$99,EXP(-D135*E2_tabla_vida!$X$100)*E2_tabla_vida!$P$100,EXP(-D135*E2_tabla_vida!$X$101)*E2_tabla_vida!$P$101,EXP(-D135*E2_tabla_vida!$X$102)*E2_tabla_vida!$P$102,EXP(-D135*E2_tabla_vida!$X$103)*E2_tabla_vida!$P$103,EXP(-D135*E2_tabla_vida!$X$104)*E2_tabla_vida!$P$104,EXP(-D135*E2_tabla_vida!$X$105)*E2_tabla_vida!$P$105,EXP(-D135*E2_tabla_vida!$X$106)*E2_tabla_vida!$P$106,EXP(-D135*E2_tabla_vida!$X$107)*E2_tabla_vida!$P$107,EXP(-D135*E2_tabla_vida!$X$108)*E2_tabla_vida!$P$108,EXP(-D135*E2_tabla_vida!$X$109)*E2_tabla_vida!$P$109,EXP(-D135*E2_tabla_vida!$X$110)*E2_tabla_vida!$P$110,EXP(-D135*E2_tabla_vida!$X$111)*E2_tabla_vida!$P$111,EXP(-D135*E2_tabla_vida!$X$112)*E2_tabla_vida!$P$112,EXP(-D135*E2_tabla_vida!$X$113)*E2_tabla_vida!$P$113,EXP(-D135*E2_tabla_vida!$X$114)*E2_tabla_vida!$P$114,EXP(-D135*E2_tabla_vida!$X$115)*E2_tabla_vida!$P$115,EXP(-D135*E2_tabla_vida!$X$116)*E2_tabla_vida!$P$116,EXP(-D135*E2_tabla_vida!$X$117)*E2_tabla_vida!$P$117,EXP(-D135*E2_tabla_vida!$X$118)*E2_tabla_vida!$P$118,EXP(-D135*E2_tabla_vida!$X$119)*E2_tabla_vida!$P$119,EXP(-D135*E2_tabla_vida!$X$120)*E2_tabla_vida!$P$120,EXP(-D135*E2_tabla_vida!$X$121)*E2_tabla_vida!$P$121,EXP(-D135*E2_tabla_vida!$X$122)*E2_tabla_vida!$P$122,EXP(-D135*E2_tabla_vida!$X$123)*E2_tabla_vida!$P$123,EXP(-D135*E2_tabla_vida!$X$124)*E2_tabla_vida!$P$124,EXP(-D135*E2_tabla_vida!$X$125)*E2_tabla_vida!$P$125,EXP(-D135*E2_tabla_vida!$X$126)*E2_tabla_vida!$P$126,EXP(-D135*E2_tabla_vida!$X$127)*E2_tabla_vida!$P$127)-1</x:f>
        <x:v>-2.0197954420098085e-11</x:v>
      </x:c>
    </x:row>
    <x:row r="136" ht="19" customHeight="1">
      <x:c r="A136" s="2" t="str">
        <x:v>MP_L7</x:v>
      </x:c>
      <x:c r="B136" s="2" t="n">
        <x:v>42</x:v>
      </x:c>
      <x:c r="C136" s="22" t="n">
        <x:f>IF(F135&gt;0,E135,C135)</x:f>
        <x:v>0.1792466438610063</x:v>
      </x:c>
      <x:c r="D136" s="22" t="n">
        <x:f>IF(F135&gt;0,D135,E135)</x:f>
        <x:v>0.17924664386168843</x:v>
      </x:c>
      <x:c r="E136" s="22" t="n">
        <x:f>AVERAGE(C136:D136)</x:f>
        <x:v>0.17924664386134737</x:v>
      </x:c>
      <x:c r="F136" s="24" t="n">
        <x:f>SUM(EXP(-E136*E2_tabla_vida!$X$86)*E2_tabla_vida!$P$86,EXP(-E136*E2_tabla_vida!$X$87)*E2_tabla_vida!$P$87,EXP(-E136*E2_tabla_vida!$X$88)*E2_tabla_vida!$P$88,EXP(-E136*E2_tabla_vida!$X$89)*E2_tabla_vida!$P$89,EXP(-E136*E2_tabla_vida!$X$90)*E2_tabla_vida!$P$90,EXP(-E136*E2_tabla_vida!$X$91)*E2_tabla_vida!$P$91,EXP(-E136*E2_tabla_vida!$X$92)*E2_tabla_vida!$P$92,EXP(-E136*E2_tabla_vida!$X$93)*E2_tabla_vida!$P$93,EXP(-E136*E2_tabla_vida!$X$94)*E2_tabla_vida!$P$94,EXP(-E136*E2_tabla_vida!$X$95)*E2_tabla_vida!$P$95,EXP(-E136*E2_tabla_vida!$X$96)*E2_tabla_vida!$P$96,EXP(-E136*E2_tabla_vida!$X$97)*E2_tabla_vida!$P$97,EXP(-E136*E2_tabla_vida!$X$98)*E2_tabla_vida!$P$98,EXP(-E136*E2_tabla_vida!$X$99)*E2_tabla_vida!$P$99,EXP(-E136*E2_tabla_vida!$X$100)*E2_tabla_vida!$P$100,EXP(-E136*E2_tabla_vida!$X$101)*E2_tabla_vida!$P$101,EXP(-E136*E2_tabla_vida!$X$102)*E2_tabla_vida!$P$102,EXP(-E136*E2_tabla_vida!$X$103)*E2_tabla_vida!$P$103,EXP(-E136*E2_tabla_vida!$X$104)*E2_tabla_vida!$P$104,EXP(-E136*E2_tabla_vida!$X$105)*E2_tabla_vida!$P$105,EXP(-E136*E2_tabla_vida!$X$106)*E2_tabla_vida!$P$106,EXP(-E136*E2_tabla_vida!$X$107)*E2_tabla_vida!$P$107,EXP(-E136*E2_tabla_vida!$X$108)*E2_tabla_vida!$P$108,EXP(-E136*E2_tabla_vida!$X$109)*E2_tabla_vida!$P$109,EXP(-E136*E2_tabla_vida!$X$110)*E2_tabla_vida!$P$110,EXP(-E136*E2_tabla_vida!$X$111)*E2_tabla_vida!$P$111,EXP(-E136*E2_tabla_vida!$X$112)*E2_tabla_vida!$P$112,EXP(-E136*E2_tabla_vida!$X$113)*E2_tabla_vida!$P$113,EXP(-E136*E2_tabla_vida!$X$114)*E2_tabla_vida!$P$114,EXP(-E136*E2_tabla_vida!$X$115)*E2_tabla_vida!$P$115,EXP(-E136*E2_tabla_vida!$X$116)*E2_tabla_vida!$P$116,EXP(-E136*E2_tabla_vida!$X$117)*E2_tabla_vida!$P$117,EXP(-E136*E2_tabla_vida!$X$118)*E2_tabla_vida!$P$118,EXP(-E136*E2_tabla_vida!$X$119)*E2_tabla_vida!$P$119,EXP(-E136*E2_tabla_vida!$X$120)*E2_tabla_vida!$P$120,EXP(-E136*E2_tabla_vida!$X$121)*E2_tabla_vida!$P$121,EXP(-E136*E2_tabla_vida!$X$122)*E2_tabla_vida!$P$122,EXP(-E136*E2_tabla_vida!$X$123)*E2_tabla_vida!$P$123,EXP(-E136*E2_tabla_vida!$X$124)*E2_tabla_vida!$P$124,EXP(-E136*E2_tabla_vida!$X$125)*E2_tabla_vida!$P$125,EXP(-E136*E2_tabla_vida!$X$126)*E2_tabla_vida!$P$126,EXP(-E136*E2_tabla_vida!$X$127)*E2_tabla_vida!$P$127)-1</x:f>
        <x:v>-3.7513325779059414e-12</x:v>
      </x:c>
      <x:c r="G136" s="24" t="n">
        <x:f>SUM(EXP(-C136*E2_tabla_vida!$X$86)*E2_tabla_vida!$P$86,EXP(-C136*E2_tabla_vida!$X$87)*E2_tabla_vida!$P$87,EXP(-C136*E2_tabla_vida!$X$88)*E2_tabla_vida!$P$88,EXP(-C136*E2_tabla_vida!$X$89)*E2_tabla_vida!$P$89,EXP(-C136*E2_tabla_vida!$X$90)*E2_tabla_vida!$P$90,EXP(-C136*E2_tabla_vida!$X$91)*E2_tabla_vida!$P$91,EXP(-C136*E2_tabla_vida!$X$92)*E2_tabla_vida!$P$92,EXP(-C136*E2_tabla_vida!$X$93)*E2_tabla_vida!$P$93,EXP(-C136*E2_tabla_vida!$X$94)*E2_tabla_vida!$P$94,EXP(-C136*E2_tabla_vida!$X$95)*E2_tabla_vida!$P$95,EXP(-C136*E2_tabla_vida!$X$96)*E2_tabla_vida!$P$96,EXP(-C136*E2_tabla_vida!$X$97)*E2_tabla_vida!$P$97,EXP(-C136*E2_tabla_vida!$X$98)*E2_tabla_vida!$P$98,EXP(-C136*E2_tabla_vida!$X$99)*E2_tabla_vida!$P$99,EXP(-C136*E2_tabla_vida!$X$100)*E2_tabla_vida!$P$100,EXP(-C136*E2_tabla_vida!$X$101)*E2_tabla_vida!$P$101,EXP(-C136*E2_tabla_vida!$X$102)*E2_tabla_vida!$P$102,EXP(-C136*E2_tabla_vida!$X$103)*E2_tabla_vida!$P$103,EXP(-C136*E2_tabla_vida!$X$104)*E2_tabla_vida!$P$104,EXP(-C136*E2_tabla_vida!$X$105)*E2_tabla_vida!$P$105,EXP(-C136*E2_tabla_vida!$X$106)*E2_tabla_vida!$P$106,EXP(-C136*E2_tabla_vida!$X$107)*E2_tabla_vida!$P$107,EXP(-C136*E2_tabla_vida!$X$108)*E2_tabla_vida!$P$108,EXP(-C136*E2_tabla_vida!$X$109)*E2_tabla_vida!$P$109,EXP(-C136*E2_tabla_vida!$X$110)*E2_tabla_vida!$P$110,EXP(-C136*E2_tabla_vida!$X$111)*E2_tabla_vida!$P$111,EXP(-C136*E2_tabla_vida!$X$112)*E2_tabla_vida!$P$112,EXP(-C136*E2_tabla_vida!$X$113)*E2_tabla_vida!$P$113,EXP(-C136*E2_tabla_vida!$X$114)*E2_tabla_vida!$P$114,EXP(-C136*E2_tabla_vida!$X$115)*E2_tabla_vida!$P$115,EXP(-C136*E2_tabla_vida!$X$116)*E2_tabla_vida!$P$116,EXP(-C136*E2_tabla_vida!$X$117)*E2_tabla_vida!$P$117,EXP(-C136*E2_tabla_vida!$X$118)*E2_tabla_vida!$P$118,EXP(-C136*E2_tabla_vida!$X$119)*E2_tabla_vida!$P$119,EXP(-C136*E2_tabla_vida!$X$120)*E2_tabla_vida!$P$120,EXP(-C136*E2_tabla_vida!$X$121)*E2_tabla_vida!$P$121,EXP(-C136*E2_tabla_vida!$X$122)*E2_tabla_vida!$P$122,EXP(-C136*E2_tabla_vida!$X$123)*E2_tabla_vida!$P$123,EXP(-C136*E2_tabla_vida!$X$124)*E2_tabla_vida!$P$124,EXP(-C136*E2_tabla_vida!$X$125)*E2_tabla_vida!$P$125,EXP(-C136*E2_tabla_vida!$X$126)*E2_tabla_vida!$P$126,EXP(-C136*E2_tabla_vida!$X$127)*E2_tabla_vida!$P$127)-1</x:f>
        <x:v>1.731059739995544e-12</x:v>
      </x:c>
      <x:c r="H136" s="24" t="n">
        <x:f>SUM(EXP(-D136*E2_tabla_vida!$X$86)*E2_tabla_vida!$P$86,EXP(-D136*E2_tabla_vida!$X$87)*E2_tabla_vida!$P$87,EXP(-D136*E2_tabla_vida!$X$88)*E2_tabla_vida!$P$88,EXP(-D136*E2_tabla_vida!$X$89)*E2_tabla_vida!$P$89,EXP(-D136*E2_tabla_vida!$X$90)*E2_tabla_vida!$P$90,EXP(-D136*E2_tabla_vida!$X$91)*E2_tabla_vida!$P$91,EXP(-D136*E2_tabla_vida!$X$92)*E2_tabla_vida!$P$92,EXP(-D136*E2_tabla_vida!$X$93)*E2_tabla_vida!$P$93,EXP(-D136*E2_tabla_vida!$X$94)*E2_tabla_vida!$P$94,EXP(-D136*E2_tabla_vida!$X$95)*E2_tabla_vida!$P$95,EXP(-D136*E2_tabla_vida!$X$96)*E2_tabla_vida!$P$96,EXP(-D136*E2_tabla_vida!$X$97)*E2_tabla_vida!$P$97,EXP(-D136*E2_tabla_vida!$X$98)*E2_tabla_vida!$P$98,EXP(-D136*E2_tabla_vida!$X$99)*E2_tabla_vida!$P$99,EXP(-D136*E2_tabla_vida!$X$100)*E2_tabla_vida!$P$100,EXP(-D136*E2_tabla_vida!$X$101)*E2_tabla_vida!$P$101,EXP(-D136*E2_tabla_vida!$X$102)*E2_tabla_vida!$P$102,EXP(-D136*E2_tabla_vida!$X$103)*E2_tabla_vida!$P$103,EXP(-D136*E2_tabla_vida!$X$104)*E2_tabla_vida!$P$104,EXP(-D136*E2_tabla_vida!$X$105)*E2_tabla_vida!$P$105,EXP(-D136*E2_tabla_vida!$X$106)*E2_tabla_vida!$P$106,EXP(-D136*E2_tabla_vida!$X$107)*E2_tabla_vida!$P$107,EXP(-D136*E2_tabla_vida!$X$108)*E2_tabla_vida!$P$108,EXP(-D136*E2_tabla_vida!$X$109)*E2_tabla_vida!$P$109,EXP(-D136*E2_tabla_vida!$X$110)*E2_tabla_vida!$P$110,EXP(-D136*E2_tabla_vida!$X$111)*E2_tabla_vida!$P$111,EXP(-D136*E2_tabla_vida!$X$112)*E2_tabla_vida!$P$112,EXP(-D136*E2_tabla_vida!$X$113)*E2_tabla_vida!$P$113,EXP(-D136*E2_tabla_vida!$X$114)*E2_tabla_vida!$P$114,EXP(-D136*E2_tabla_vida!$X$115)*E2_tabla_vida!$P$115,EXP(-D136*E2_tabla_vida!$X$116)*E2_tabla_vida!$P$116,EXP(-D136*E2_tabla_vida!$X$117)*E2_tabla_vida!$P$117,EXP(-D136*E2_tabla_vida!$X$118)*E2_tabla_vida!$P$118,EXP(-D136*E2_tabla_vida!$X$119)*E2_tabla_vida!$P$119,EXP(-D136*E2_tabla_vida!$X$120)*E2_tabla_vida!$P$120,EXP(-D136*E2_tabla_vida!$X$121)*E2_tabla_vida!$P$121,EXP(-D136*E2_tabla_vida!$X$122)*E2_tabla_vida!$P$122,EXP(-D136*E2_tabla_vida!$X$123)*E2_tabla_vida!$P$123,EXP(-D136*E2_tabla_vida!$X$124)*E2_tabla_vida!$P$124,EXP(-D136*E2_tabla_vida!$X$125)*E2_tabla_vida!$P$125,EXP(-D136*E2_tabla_vida!$X$126)*E2_tabla_vida!$P$126,EXP(-D136*E2_tabla_vida!$X$127)*E2_tabla_vida!$P$127)-1</x:f>
        <x:v>-9.233613873504964e-12</x:v>
      </x:c>
    </x:row>
    <x:row r="137" ht="19" customHeight="1">
      <x:c r="A137" s="2" t="str">
        <x:v>MP_L7</x:v>
      </x:c>
      <x:c r="B137" s="2" t="n">
        <x:v>43</x:v>
      </x:c>
      <x:c r="C137" s="22" t="n">
        <x:f>IF(F136&gt;0,E136,C136)</x:f>
        <x:v>0.1792466438610063</x:v>
      </x:c>
      <x:c r="D137" s="22" t="n">
        <x:f>IF(F136&gt;0,D136,E136)</x:f>
        <x:v>0.17924664386134737</x:v>
      </x:c>
      <x:c r="E137" s="22" t="n">
        <x:f>AVERAGE(C137:D137)</x:f>
        <x:v>0.17924664386117684</x:v>
      </x:c>
      <x:c r="F137" s="24" t="n">
        <x:f>SUM(EXP(-E137*E2_tabla_vida!$X$86)*E2_tabla_vida!$P$86,EXP(-E137*E2_tabla_vida!$X$87)*E2_tabla_vida!$P$87,EXP(-E137*E2_tabla_vida!$X$88)*E2_tabla_vida!$P$88,EXP(-E137*E2_tabla_vida!$X$89)*E2_tabla_vida!$P$89,EXP(-E137*E2_tabla_vida!$X$90)*E2_tabla_vida!$P$90,EXP(-E137*E2_tabla_vida!$X$91)*E2_tabla_vida!$P$91,EXP(-E137*E2_tabla_vida!$X$92)*E2_tabla_vida!$P$92,EXP(-E137*E2_tabla_vida!$X$93)*E2_tabla_vida!$P$93,EXP(-E137*E2_tabla_vida!$X$94)*E2_tabla_vida!$P$94,EXP(-E137*E2_tabla_vida!$X$95)*E2_tabla_vida!$P$95,EXP(-E137*E2_tabla_vida!$X$96)*E2_tabla_vida!$P$96,EXP(-E137*E2_tabla_vida!$X$97)*E2_tabla_vida!$P$97,EXP(-E137*E2_tabla_vida!$X$98)*E2_tabla_vida!$P$98,EXP(-E137*E2_tabla_vida!$X$99)*E2_tabla_vida!$P$99,EXP(-E137*E2_tabla_vida!$X$100)*E2_tabla_vida!$P$100,EXP(-E137*E2_tabla_vida!$X$101)*E2_tabla_vida!$P$101,EXP(-E137*E2_tabla_vida!$X$102)*E2_tabla_vida!$P$102,EXP(-E137*E2_tabla_vida!$X$103)*E2_tabla_vida!$P$103,EXP(-E137*E2_tabla_vida!$X$104)*E2_tabla_vida!$P$104,EXP(-E137*E2_tabla_vida!$X$105)*E2_tabla_vida!$P$105,EXP(-E137*E2_tabla_vida!$X$106)*E2_tabla_vida!$P$106,EXP(-E137*E2_tabla_vida!$X$107)*E2_tabla_vida!$P$107,EXP(-E137*E2_tabla_vida!$X$108)*E2_tabla_vida!$P$108,EXP(-E137*E2_tabla_vida!$X$109)*E2_tabla_vida!$P$109,EXP(-E137*E2_tabla_vida!$X$110)*E2_tabla_vida!$P$110,EXP(-E137*E2_tabla_vida!$X$111)*E2_tabla_vida!$P$111,EXP(-E137*E2_tabla_vida!$X$112)*E2_tabla_vida!$P$112,EXP(-E137*E2_tabla_vida!$X$113)*E2_tabla_vida!$P$113,EXP(-E137*E2_tabla_vida!$X$114)*E2_tabla_vida!$P$114,EXP(-E137*E2_tabla_vida!$X$115)*E2_tabla_vida!$P$115,EXP(-E137*E2_tabla_vida!$X$116)*E2_tabla_vida!$P$116,EXP(-E137*E2_tabla_vida!$X$117)*E2_tabla_vida!$P$117,EXP(-E137*E2_tabla_vida!$X$118)*E2_tabla_vida!$P$118,EXP(-E137*E2_tabla_vida!$X$119)*E2_tabla_vida!$P$119,EXP(-E137*E2_tabla_vida!$X$120)*E2_tabla_vida!$P$120,EXP(-E137*E2_tabla_vida!$X$121)*E2_tabla_vida!$P$121,EXP(-E137*E2_tabla_vida!$X$122)*E2_tabla_vida!$P$122,EXP(-E137*E2_tabla_vida!$X$123)*E2_tabla_vida!$P$123,EXP(-E137*E2_tabla_vida!$X$124)*E2_tabla_vida!$P$124,EXP(-E137*E2_tabla_vida!$X$125)*E2_tabla_vida!$P$125,EXP(-E137*E2_tabla_vida!$X$126)*E2_tabla_vida!$P$126,EXP(-E137*E2_tabla_vida!$X$127)*E2_tabla_vida!$P$127)-1</x:f>
        <x:v>-1.009969885501505e-12</x:v>
      </x:c>
      <x:c r="G137" s="24" t="n">
        <x:f>SUM(EXP(-C137*E2_tabla_vida!$X$86)*E2_tabla_vida!$P$86,EXP(-C137*E2_tabla_vida!$X$87)*E2_tabla_vida!$P$87,EXP(-C137*E2_tabla_vida!$X$88)*E2_tabla_vida!$P$88,EXP(-C137*E2_tabla_vida!$X$89)*E2_tabla_vida!$P$89,EXP(-C137*E2_tabla_vida!$X$90)*E2_tabla_vida!$P$90,EXP(-C137*E2_tabla_vida!$X$91)*E2_tabla_vida!$P$91,EXP(-C137*E2_tabla_vida!$X$92)*E2_tabla_vida!$P$92,EXP(-C137*E2_tabla_vida!$X$93)*E2_tabla_vida!$P$93,EXP(-C137*E2_tabla_vida!$X$94)*E2_tabla_vida!$P$94,EXP(-C137*E2_tabla_vida!$X$95)*E2_tabla_vida!$P$95,EXP(-C137*E2_tabla_vida!$X$96)*E2_tabla_vida!$P$96,EXP(-C137*E2_tabla_vida!$X$97)*E2_tabla_vida!$P$97,EXP(-C137*E2_tabla_vida!$X$98)*E2_tabla_vida!$P$98,EXP(-C137*E2_tabla_vida!$X$99)*E2_tabla_vida!$P$99,EXP(-C137*E2_tabla_vida!$X$100)*E2_tabla_vida!$P$100,EXP(-C137*E2_tabla_vida!$X$101)*E2_tabla_vida!$P$101,EXP(-C137*E2_tabla_vida!$X$102)*E2_tabla_vida!$P$102,EXP(-C137*E2_tabla_vida!$X$103)*E2_tabla_vida!$P$103,EXP(-C137*E2_tabla_vida!$X$104)*E2_tabla_vida!$P$104,EXP(-C137*E2_tabla_vida!$X$105)*E2_tabla_vida!$P$105,EXP(-C137*E2_tabla_vida!$X$106)*E2_tabla_vida!$P$106,EXP(-C137*E2_tabla_vida!$X$107)*E2_tabla_vida!$P$107,EXP(-C137*E2_tabla_vida!$X$108)*E2_tabla_vida!$P$108,EXP(-C137*E2_tabla_vida!$X$109)*E2_tabla_vida!$P$109,EXP(-C137*E2_tabla_vida!$X$110)*E2_tabla_vida!$P$110,EXP(-C137*E2_tabla_vida!$X$111)*E2_tabla_vida!$P$111,EXP(-C137*E2_tabla_vida!$X$112)*E2_tabla_vida!$P$112,EXP(-C137*E2_tabla_vida!$X$113)*E2_tabla_vida!$P$113,EXP(-C137*E2_tabla_vida!$X$114)*E2_tabla_vida!$P$114,EXP(-C137*E2_tabla_vida!$X$115)*E2_tabla_vida!$P$115,EXP(-C137*E2_tabla_vida!$X$116)*E2_tabla_vida!$P$116,EXP(-C137*E2_tabla_vida!$X$117)*E2_tabla_vida!$P$117,EXP(-C137*E2_tabla_vida!$X$118)*E2_tabla_vida!$P$118,EXP(-C137*E2_tabla_vida!$X$119)*E2_tabla_vida!$P$119,EXP(-C137*E2_tabla_vida!$X$120)*E2_tabla_vida!$P$120,EXP(-C137*E2_tabla_vida!$X$121)*E2_tabla_vida!$P$121,EXP(-C137*E2_tabla_vida!$X$122)*E2_tabla_vida!$P$122,EXP(-C137*E2_tabla_vida!$X$123)*E2_tabla_vida!$P$123,EXP(-C137*E2_tabla_vida!$X$124)*E2_tabla_vida!$P$124,EXP(-C137*E2_tabla_vida!$X$125)*E2_tabla_vida!$P$125,EXP(-C137*E2_tabla_vida!$X$126)*E2_tabla_vida!$P$126,EXP(-C137*E2_tabla_vida!$X$127)*E2_tabla_vida!$P$127)-1</x:f>
        <x:v>1.731059739995544e-12</x:v>
      </x:c>
      <x:c r="H137" s="24" t="n">
        <x:f>SUM(EXP(-D137*E2_tabla_vida!$X$86)*E2_tabla_vida!$P$86,EXP(-D137*E2_tabla_vida!$X$87)*E2_tabla_vida!$P$87,EXP(-D137*E2_tabla_vida!$X$88)*E2_tabla_vida!$P$88,EXP(-D137*E2_tabla_vida!$X$89)*E2_tabla_vida!$P$89,EXP(-D137*E2_tabla_vida!$X$90)*E2_tabla_vida!$P$90,EXP(-D137*E2_tabla_vida!$X$91)*E2_tabla_vida!$P$91,EXP(-D137*E2_tabla_vida!$X$92)*E2_tabla_vida!$P$92,EXP(-D137*E2_tabla_vida!$X$93)*E2_tabla_vida!$P$93,EXP(-D137*E2_tabla_vida!$X$94)*E2_tabla_vida!$P$94,EXP(-D137*E2_tabla_vida!$X$95)*E2_tabla_vida!$P$95,EXP(-D137*E2_tabla_vida!$X$96)*E2_tabla_vida!$P$96,EXP(-D137*E2_tabla_vida!$X$97)*E2_tabla_vida!$P$97,EXP(-D137*E2_tabla_vida!$X$98)*E2_tabla_vida!$P$98,EXP(-D137*E2_tabla_vida!$X$99)*E2_tabla_vida!$P$99,EXP(-D137*E2_tabla_vida!$X$100)*E2_tabla_vida!$P$100,EXP(-D137*E2_tabla_vida!$X$101)*E2_tabla_vida!$P$101,EXP(-D137*E2_tabla_vida!$X$102)*E2_tabla_vida!$P$102,EXP(-D137*E2_tabla_vida!$X$103)*E2_tabla_vida!$P$103,EXP(-D137*E2_tabla_vida!$X$104)*E2_tabla_vida!$P$104,EXP(-D137*E2_tabla_vida!$X$105)*E2_tabla_vida!$P$105,EXP(-D137*E2_tabla_vida!$X$106)*E2_tabla_vida!$P$106,EXP(-D137*E2_tabla_vida!$X$107)*E2_tabla_vida!$P$107,EXP(-D137*E2_tabla_vida!$X$108)*E2_tabla_vida!$P$108,EXP(-D137*E2_tabla_vida!$X$109)*E2_tabla_vida!$P$109,EXP(-D137*E2_tabla_vida!$X$110)*E2_tabla_vida!$P$110,EXP(-D137*E2_tabla_vida!$X$111)*E2_tabla_vida!$P$111,EXP(-D137*E2_tabla_vida!$X$112)*E2_tabla_vida!$P$112,EXP(-D137*E2_tabla_vida!$X$113)*E2_tabla_vida!$P$113,EXP(-D137*E2_tabla_vida!$X$114)*E2_tabla_vida!$P$114,EXP(-D137*E2_tabla_vida!$X$115)*E2_tabla_vida!$P$115,EXP(-D137*E2_tabla_vida!$X$116)*E2_tabla_vida!$P$116,EXP(-D137*E2_tabla_vida!$X$117)*E2_tabla_vida!$P$117,EXP(-D137*E2_tabla_vida!$X$118)*E2_tabla_vida!$P$118,EXP(-D137*E2_tabla_vida!$X$119)*E2_tabla_vida!$P$119,EXP(-D137*E2_tabla_vida!$X$120)*E2_tabla_vida!$P$120,EXP(-D137*E2_tabla_vida!$X$121)*E2_tabla_vida!$P$121,EXP(-D137*E2_tabla_vida!$X$122)*E2_tabla_vida!$P$122,EXP(-D137*E2_tabla_vida!$X$123)*E2_tabla_vida!$P$123,EXP(-D137*E2_tabla_vida!$X$124)*E2_tabla_vida!$P$124,EXP(-D137*E2_tabla_vida!$X$125)*E2_tabla_vida!$P$125,EXP(-D137*E2_tabla_vida!$X$126)*E2_tabla_vida!$P$126,EXP(-D137*E2_tabla_vida!$X$127)*E2_tabla_vida!$P$127)-1</x:f>
        <x:v>-3.7513325779059414e-12</x:v>
      </x:c>
    </x:row>
    <x:row r="138" ht="19" customHeight="1">
      <x:c r="A138" s="2" t="str">
        <x:v>MP_L7</x:v>
      </x:c>
      <x:c r="B138" s="2" t="n">
        <x:v>44</x:v>
      </x:c>
      <x:c r="C138" s="22" t="n">
        <x:f>IF(F137&gt;0,E137,C137)</x:f>
        <x:v>0.1792466438610063</x:v>
      </x:c>
      <x:c r="D138" s="22" t="n">
        <x:f>IF(F137&gt;0,D137,E137)</x:f>
        <x:v>0.17924664386117684</x:v>
      </x:c>
      <x:c r="E138" s="22" t="n">
        <x:f>AVERAGE(C138:D138)</x:f>
        <x:v>0.17924664386109157</x:v>
      </x:c>
      <x:c r="F138" s="24" t="n">
        <x:f>SUM(EXP(-E138*E2_tabla_vida!$X$86)*E2_tabla_vida!$P$86,EXP(-E138*E2_tabla_vida!$X$87)*E2_tabla_vida!$P$87,EXP(-E138*E2_tabla_vida!$X$88)*E2_tabla_vida!$P$88,EXP(-E138*E2_tabla_vida!$X$89)*E2_tabla_vida!$P$89,EXP(-E138*E2_tabla_vida!$X$90)*E2_tabla_vida!$P$90,EXP(-E138*E2_tabla_vida!$X$91)*E2_tabla_vida!$P$91,EXP(-E138*E2_tabla_vida!$X$92)*E2_tabla_vida!$P$92,EXP(-E138*E2_tabla_vida!$X$93)*E2_tabla_vida!$P$93,EXP(-E138*E2_tabla_vida!$X$94)*E2_tabla_vida!$P$94,EXP(-E138*E2_tabla_vida!$X$95)*E2_tabla_vida!$P$95,EXP(-E138*E2_tabla_vida!$X$96)*E2_tabla_vida!$P$96,EXP(-E138*E2_tabla_vida!$X$97)*E2_tabla_vida!$P$97,EXP(-E138*E2_tabla_vida!$X$98)*E2_tabla_vida!$P$98,EXP(-E138*E2_tabla_vida!$X$99)*E2_tabla_vida!$P$99,EXP(-E138*E2_tabla_vida!$X$100)*E2_tabla_vida!$P$100,EXP(-E138*E2_tabla_vida!$X$101)*E2_tabla_vida!$P$101,EXP(-E138*E2_tabla_vida!$X$102)*E2_tabla_vida!$P$102,EXP(-E138*E2_tabla_vida!$X$103)*E2_tabla_vida!$P$103,EXP(-E138*E2_tabla_vida!$X$104)*E2_tabla_vida!$P$104,EXP(-E138*E2_tabla_vida!$X$105)*E2_tabla_vida!$P$105,EXP(-E138*E2_tabla_vida!$X$106)*E2_tabla_vida!$P$106,EXP(-E138*E2_tabla_vida!$X$107)*E2_tabla_vida!$P$107,EXP(-E138*E2_tabla_vida!$X$108)*E2_tabla_vida!$P$108,EXP(-E138*E2_tabla_vida!$X$109)*E2_tabla_vida!$P$109,EXP(-E138*E2_tabla_vida!$X$110)*E2_tabla_vida!$P$110,EXP(-E138*E2_tabla_vida!$X$111)*E2_tabla_vida!$P$111,EXP(-E138*E2_tabla_vida!$X$112)*E2_tabla_vida!$P$112,EXP(-E138*E2_tabla_vida!$X$113)*E2_tabla_vida!$P$113,EXP(-E138*E2_tabla_vida!$X$114)*E2_tabla_vida!$P$114,EXP(-E138*E2_tabla_vida!$X$115)*E2_tabla_vida!$P$115,EXP(-E138*E2_tabla_vida!$X$116)*E2_tabla_vida!$P$116,EXP(-E138*E2_tabla_vida!$X$117)*E2_tabla_vida!$P$117,EXP(-E138*E2_tabla_vida!$X$118)*E2_tabla_vida!$P$118,EXP(-E138*E2_tabla_vida!$X$119)*E2_tabla_vida!$P$119,EXP(-E138*E2_tabla_vida!$X$120)*E2_tabla_vida!$P$120,EXP(-E138*E2_tabla_vida!$X$121)*E2_tabla_vida!$P$121,EXP(-E138*E2_tabla_vida!$X$122)*E2_tabla_vida!$P$122,EXP(-E138*E2_tabla_vida!$X$123)*E2_tabla_vida!$P$123,EXP(-E138*E2_tabla_vida!$X$124)*E2_tabla_vida!$P$124,EXP(-E138*E2_tabla_vida!$X$125)*E2_tabla_vida!$P$125,EXP(-E138*E2_tabla_vida!$X$126)*E2_tabla_vida!$P$126,EXP(-E138*E2_tabla_vida!$X$127)*E2_tabla_vida!$P$127)-1</x:f>
        <x:v>3.603783937933258e-13</x:v>
      </x:c>
      <x:c r="G138" s="24" t="n">
        <x:f>SUM(EXP(-C138*E2_tabla_vida!$X$86)*E2_tabla_vida!$P$86,EXP(-C138*E2_tabla_vida!$X$87)*E2_tabla_vida!$P$87,EXP(-C138*E2_tabla_vida!$X$88)*E2_tabla_vida!$P$88,EXP(-C138*E2_tabla_vida!$X$89)*E2_tabla_vida!$P$89,EXP(-C138*E2_tabla_vida!$X$90)*E2_tabla_vida!$P$90,EXP(-C138*E2_tabla_vida!$X$91)*E2_tabla_vida!$P$91,EXP(-C138*E2_tabla_vida!$X$92)*E2_tabla_vida!$P$92,EXP(-C138*E2_tabla_vida!$X$93)*E2_tabla_vida!$P$93,EXP(-C138*E2_tabla_vida!$X$94)*E2_tabla_vida!$P$94,EXP(-C138*E2_tabla_vida!$X$95)*E2_tabla_vida!$P$95,EXP(-C138*E2_tabla_vida!$X$96)*E2_tabla_vida!$P$96,EXP(-C138*E2_tabla_vida!$X$97)*E2_tabla_vida!$P$97,EXP(-C138*E2_tabla_vida!$X$98)*E2_tabla_vida!$P$98,EXP(-C138*E2_tabla_vida!$X$99)*E2_tabla_vida!$P$99,EXP(-C138*E2_tabla_vida!$X$100)*E2_tabla_vida!$P$100,EXP(-C138*E2_tabla_vida!$X$101)*E2_tabla_vida!$P$101,EXP(-C138*E2_tabla_vida!$X$102)*E2_tabla_vida!$P$102,EXP(-C138*E2_tabla_vida!$X$103)*E2_tabla_vida!$P$103,EXP(-C138*E2_tabla_vida!$X$104)*E2_tabla_vida!$P$104,EXP(-C138*E2_tabla_vida!$X$105)*E2_tabla_vida!$P$105,EXP(-C138*E2_tabla_vida!$X$106)*E2_tabla_vida!$P$106,EXP(-C138*E2_tabla_vida!$X$107)*E2_tabla_vida!$P$107,EXP(-C138*E2_tabla_vida!$X$108)*E2_tabla_vida!$P$108,EXP(-C138*E2_tabla_vida!$X$109)*E2_tabla_vida!$P$109,EXP(-C138*E2_tabla_vida!$X$110)*E2_tabla_vida!$P$110,EXP(-C138*E2_tabla_vida!$X$111)*E2_tabla_vida!$P$111,EXP(-C138*E2_tabla_vida!$X$112)*E2_tabla_vida!$P$112,EXP(-C138*E2_tabla_vida!$X$113)*E2_tabla_vida!$P$113,EXP(-C138*E2_tabla_vida!$X$114)*E2_tabla_vida!$P$114,EXP(-C138*E2_tabla_vida!$X$115)*E2_tabla_vida!$P$115,EXP(-C138*E2_tabla_vida!$X$116)*E2_tabla_vida!$P$116,EXP(-C138*E2_tabla_vida!$X$117)*E2_tabla_vida!$P$117,EXP(-C138*E2_tabla_vida!$X$118)*E2_tabla_vida!$P$118,EXP(-C138*E2_tabla_vida!$X$119)*E2_tabla_vida!$P$119,EXP(-C138*E2_tabla_vida!$X$120)*E2_tabla_vida!$P$120,EXP(-C138*E2_tabla_vida!$X$121)*E2_tabla_vida!$P$121,EXP(-C138*E2_tabla_vida!$X$122)*E2_tabla_vida!$P$122,EXP(-C138*E2_tabla_vida!$X$123)*E2_tabla_vida!$P$123,EXP(-C138*E2_tabla_vida!$X$124)*E2_tabla_vida!$P$124,EXP(-C138*E2_tabla_vida!$X$125)*E2_tabla_vida!$P$125,EXP(-C138*E2_tabla_vida!$X$126)*E2_tabla_vida!$P$126,EXP(-C138*E2_tabla_vida!$X$127)*E2_tabla_vida!$P$127)-1</x:f>
        <x:v>1.731059739995544e-12</x:v>
      </x:c>
      <x:c r="H138" s="24" t="n">
        <x:f>SUM(EXP(-D138*E2_tabla_vida!$X$86)*E2_tabla_vida!$P$86,EXP(-D138*E2_tabla_vida!$X$87)*E2_tabla_vida!$P$87,EXP(-D138*E2_tabla_vida!$X$88)*E2_tabla_vida!$P$88,EXP(-D138*E2_tabla_vida!$X$89)*E2_tabla_vida!$P$89,EXP(-D138*E2_tabla_vida!$X$90)*E2_tabla_vida!$P$90,EXP(-D138*E2_tabla_vida!$X$91)*E2_tabla_vida!$P$91,EXP(-D138*E2_tabla_vida!$X$92)*E2_tabla_vida!$P$92,EXP(-D138*E2_tabla_vida!$X$93)*E2_tabla_vida!$P$93,EXP(-D138*E2_tabla_vida!$X$94)*E2_tabla_vida!$P$94,EXP(-D138*E2_tabla_vida!$X$95)*E2_tabla_vida!$P$95,EXP(-D138*E2_tabla_vida!$X$96)*E2_tabla_vida!$P$96,EXP(-D138*E2_tabla_vida!$X$97)*E2_tabla_vida!$P$97,EXP(-D138*E2_tabla_vida!$X$98)*E2_tabla_vida!$P$98,EXP(-D138*E2_tabla_vida!$X$99)*E2_tabla_vida!$P$99,EXP(-D138*E2_tabla_vida!$X$100)*E2_tabla_vida!$P$100,EXP(-D138*E2_tabla_vida!$X$101)*E2_tabla_vida!$P$101,EXP(-D138*E2_tabla_vida!$X$102)*E2_tabla_vida!$P$102,EXP(-D138*E2_tabla_vida!$X$103)*E2_tabla_vida!$P$103,EXP(-D138*E2_tabla_vida!$X$104)*E2_tabla_vida!$P$104,EXP(-D138*E2_tabla_vida!$X$105)*E2_tabla_vida!$P$105,EXP(-D138*E2_tabla_vida!$X$106)*E2_tabla_vida!$P$106,EXP(-D138*E2_tabla_vida!$X$107)*E2_tabla_vida!$P$107,EXP(-D138*E2_tabla_vida!$X$108)*E2_tabla_vida!$P$108,EXP(-D138*E2_tabla_vida!$X$109)*E2_tabla_vida!$P$109,EXP(-D138*E2_tabla_vida!$X$110)*E2_tabla_vida!$P$110,EXP(-D138*E2_tabla_vida!$X$111)*E2_tabla_vida!$P$111,EXP(-D138*E2_tabla_vida!$X$112)*E2_tabla_vida!$P$112,EXP(-D138*E2_tabla_vida!$X$113)*E2_tabla_vida!$P$113,EXP(-D138*E2_tabla_vida!$X$114)*E2_tabla_vida!$P$114,EXP(-D138*E2_tabla_vida!$X$115)*E2_tabla_vida!$P$115,EXP(-D138*E2_tabla_vida!$X$116)*E2_tabla_vida!$P$116,EXP(-D138*E2_tabla_vida!$X$117)*E2_tabla_vida!$P$117,EXP(-D138*E2_tabla_vida!$X$118)*E2_tabla_vida!$P$118,EXP(-D138*E2_tabla_vida!$X$119)*E2_tabla_vida!$P$119,EXP(-D138*E2_tabla_vida!$X$120)*E2_tabla_vida!$P$120,EXP(-D138*E2_tabla_vida!$X$121)*E2_tabla_vida!$P$121,EXP(-D138*E2_tabla_vida!$X$122)*E2_tabla_vida!$P$122,EXP(-D138*E2_tabla_vida!$X$123)*E2_tabla_vida!$P$123,EXP(-D138*E2_tabla_vida!$X$124)*E2_tabla_vida!$P$124,EXP(-D138*E2_tabla_vida!$X$125)*E2_tabla_vida!$P$125,EXP(-D138*E2_tabla_vida!$X$126)*E2_tabla_vida!$P$126,EXP(-D138*E2_tabla_vida!$X$127)*E2_tabla_vida!$P$127)-1</x:f>
        <x:v>-1.009969885501505e-12</x:v>
      </x:c>
    </x:row>
    <x:row r="139" ht="19" customHeight="1">
      <x:c r="A139" s="2" t="str">
        <x:v>MP_L7</x:v>
      </x:c>
      <x:c r="B139" s="2" t="n">
        <x:v>45</x:v>
      </x:c>
      <x:c r="C139" s="22" t="n">
        <x:f>IF(F138&gt;0,E138,C138)</x:f>
        <x:v>0.1792466438610063</x:v>
      </x:c>
      <x:c r="D139" s="22" t="n">
        <x:f>IF(F138&gt;0,D138,E138)</x:f>
        <x:v>0.17924664386109157</x:v>
      </x:c>
      <x:c r="E139" s="22" t="n">
        <x:f>AVERAGE(C139:D139)</x:f>
        <x:v>0.17924664386104894</x:v>
      </x:c>
      <x:c r="F139" s="24" t="n">
        <x:f>SUM(EXP(-E139*E2_tabla_vida!$X$86)*E2_tabla_vida!$P$86,EXP(-E139*E2_tabla_vida!$X$87)*E2_tabla_vida!$P$87,EXP(-E139*E2_tabla_vida!$X$88)*E2_tabla_vida!$P$88,EXP(-E139*E2_tabla_vida!$X$89)*E2_tabla_vida!$P$89,EXP(-E139*E2_tabla_vida!$X$90)*E2_tabla_vida!$P$90,EXP(-E139*E2_tabla_vida!$X$91)*E2_tabla_vida!$P$91,EXP(-E139*E2_tabla_vida!$X$92)*E2_tabla_vida!$P$92,EXP(-E139*E2_tabla_vida!$X$93)*E2_tabla_vida!$P$93,EXP(-E139*E2_tabla_vida!$X$94)*E2_tabla_vida!$P$94,EXP(-E139*E2_tabla_vida!$X$95)*E2_tabla_vida!$P$95,EXP(-E139*E2_tabla_vida!$X$96)*E2_tabla_vida!$P$96,EXP(-E139*E2_tabla_vida!$X$97)*E2_tabla_vida!$P$97,EXP(-E139*E2_tabla_vida!$X$98)*E2_tabla_vida!$P$98,EXP(-E139*E2_tabla_vida!$X$99)*E2_tabla_vida!$P$99,EXP(-E139*E2_tabla_vida!$X$100)*E2_tabla_vida!$P$100,EXP(-E139*E2_tabla_vida!$X$101)*E2_tabla_vida!$P$101,EXP(-E139*E2_tabla_vida!$X$102)*E2_tabla_vida!$P$102,EXP(-E139*E2_tabla_vida!$X$103)*E2_tabla_vida!$P$103,EXP(-E139*E2_tabla_vida!$X$104)*E2_tabla_vida!$P$104,EXP(-E139*E2_tabla_vida!$X$105)*E2_tabla_vida!$P$105,EXP(-E139*E2_tabla_vida!$X$106)*E2_tabla_vida!$P$106,EXP(-E139*E2_tabla_vida!$X$107)*E2_tabla_vida!$P$107,EXP(-E139*E2_tabla_vida!$X$108)*E2_tabla_vida!$P$108,EXP(-E139*E2_tabla_vida!$X$109)*E2_tabla_vida!$P$109,EXP(-E139*E2_tabla_vida!$X$110)*E2_tabla_vida!$P$110,EXP(-E139*E2_tabla_vida!$X$111)*E2_tabla_vida!$P$111,EXP(-E139*E2_tabla_vida!$X$112)*E2_tabla_vida!$P$112,EXP(-E139*E2_tabla_vida!$X$113)*E2_tabla_vida!$P$113,EXP(-E139*E2_tabla_vida!$X$114)*E2_tabla_vida!$P$114,EXP(-E139*E2_tabla_vida!$X$115)*E2_tabla_vida!$P$115,EXP(-E139*E2_tabla_vida!$X$116)*E2_tabla_vida!$P$116,EXP(-E139*E2_tabla_vida!$X$117)*E2_tabla_vida!$P$117,EXP(-E139*E2_tabla_vida!$X$118)*E2_tabla_vida!$P$118,EXP(-E139*E2_tabla_vida!$X$119)*E2_tabla_vida!$P$119,EXP(-E139*E2_tabla_vida!$X$120)*E2_tabla_vida!$P$120,EXP(-E139*E2_tabla_vida!$X$121)*E2_tabla_vida!$P$121,EXP(-E139*E2_tabla_vida!$X$122)*E2_tabla_vida!$P$122,EXP(-E139*E2_tabla_vida!$X$123)*E2_tabla_vida!$P$123,EXP(-E139*E2_tabla_vida!$X$124)*E2_tabla_vida!$P$124,EXP(-E139*E2_tabla_vida!$X$125)*E2_tabla_vida!$P$125,EXP(-E139*E2_tabla_vida!$X$126)*E2_tabla_vida!$P$126,EXP(-E139*E2_tabla_vida!$X$127)*E2_tabla_vida!$P$127)-1</x:f>
        <x:v>1.0456080445919724e-12</x:v>
      </x:c>
      <x:c r="G139" s="24" t="n">
        <x:f>SUM(EXP(-C139*E2_tabla_vida!$X$86)*E2_tabla_vida!$P$86,EXP(-C139*E2_tabla_vida!$X$87)*E2_tabla_vida!$P$87,EXP(-C139*E2_tabla_vida!$X$88)*E2_tabla_vida!$P$88,EXP(-C139*E2_tabla_vida!$X$89)*E2_tabla_vida!$P$89,EXP(-C139*E2_tabla_vida!$X$90)*E2_tabla_vida!$P$90,EXP(-C139*E2_tabla_vida!$X$91)*E2_tabla_vida!$P$91,EXP(-C139*E2_tabla_vida!$X$92)*E2_tabla_vida!$P$92,EXP(-C139*E2_tabla_vida!$X$93)*E2_tabla_vida!$P$93,EXP(-C139*E2_tabla_vida!$X$94)*E2_tabla_vida!$P$94,EXP(-C139*E2_tabla_vida!$X$95)*E2_tabla_vida!$P$95,EXP(-C139*E2_tabla_vida!$X$96)*E2_tabla_vida!$P$96,EXP(-C139*E2_tabla_vida!$X$97)*E2_tabla_vida!$P$97,EXP(-C139*E2_tabla_vida!$X$98)*E2_tabla_vida!$P$98,EXP(-C139*E2_tabla_vida!$X$99)*E2_tabla_vida!$P$99,EXP(-C139*E2_tabla_vida!$X$100)*E2_tabla_vida!$P$100,EXP(-C139*E2_tabla_vida!$X$101)*E2_tabla_vida!$P$101,EXP(-C139*E2_tabla_vida!$X$102)*E2_tabla_vida!$P$102,EXP(-C139*E2_tabla_vida!$X$103)*E2_tabla_vida!$P$103,EXP(-C139*E2_tabla_vida!$X$104)*E2_tabla_vida!$P$104,EXP(-C139*E2_tabla_vida!$X$105)*E2_tabla_vida!$P$105,EXP(-C139*E2_tabla_vida!$X$106)*E2_tabla_vida!$P$106,EXP(-C139*E2_tabla_vida!$X$107)*E2_tabla_vida!$P$107,EXP(-C139*E2_tabla_vida!$X$108)*E2_tabla_vida!$P$108,EXP(-C139*E2_tabla_vida!$X$109)*E2_tabla_vida!$P$109,EXP(-C139*E2_tabla_vida!$X$110)*E2_tabla_vida!$P$110,EXP(-C139*E2_tabla_vida!$X$111)*E2_tabla_vida!$P$111,EXP(-C139*E2_tabla_vida!$X$112)*E2_tabla_vida!$P$112,EXP(-C139*E2_tabla_vida!$X$113)*E2_tabla_vida!$P$113,EXP(-C139*E2_tabla_vida!$X$114)*E2_tabla_vida!$P$114,EXP(-C139*E2_tabla_vida!$X$115)*E2_tabla_vida!$P$115,EXP(-C139*E2_tabla_vida!$X$116)*E2_tabla_vida!$P$116,EXP(-C139*E2_tabla_vida!$X$117)*E2_tabla_vida!$P$117,EXP(-C139*E2_tabla_vida!$X$118)*E2_tabla_vida!$P$118,EXP(-C139*E2_tabla_vida!$X$119)*E2_tabla_vida!$P$119,EXP(-C139*E2_tabla_vida!$X$120)*E2_tabla_vida!$P$120,EXP(-C139*E2_tabla_vida!$X$121)*E2_tabla_vida!$P$121,EXP(-C139*E2_tabla_vida!$X$122)*E2_tabla_vida!$P$122,EXP(-C139*E2_tabla_vida!$X$123)*E2_tabla_vida!$P$123,EXP(-C139*E2_tabla_vida!$X$124)*E2_tabla_vida!$P$124,EXP(-C139*E2_tabla_vida!$X$125)*E2_tabla_vida!$P$125,EXP(-C139*E2_tabla_vida!$X$126)*E2_tabla_vida!$P$126,EXP(-C139*E2_tabla_vida!$X$127)*E2_tabla_vida!$P$127)-1</x:f>
        <x:v>1.731059739995544e-12</x:v>
      </x:c>
      <x:c r="H139" s="24" t="n">
        <x:f>SUM(EXP(-D139*E2_tabla_vida!$X$86)*E2_tabla_vida!$P$86,EXP(-D139*E2_tabla_vida!$X$87)*E2_tabla_vida!$P$87,EXP(-D139*E2_tabla_vida!$X$88)*E2_tabla_vida!$P$88,EXP(-D139*E2_tabla_vida!$X$89)*E2_tabla_vida!$P$89,EXP(-D139*E2_tabla_vida!$X$90)*E2_tabla_vida!$P$90,EXP(-D139*E2_tabla_vida!$X$91)*E2_tabla_vida!$P$91,EXP(-D139*E2_tabla_vida!$X$92)*E2_tabla_vida!$P$92,EXP(-D139*E2_tabla_vida!$X$93)*E2_tabla_vida!$P$93,EXP(-D139*E2_tabla_vida!$X$94)*E2_tabla_vida!$P$94,EXP(-D139*E2_tabla_vida!$X$95)*E2_tabla_vida!$P$95,EXP(-D139*E2_tabla_vida!$X$96)*E2_tabla_vida!$P$96,EXP(-D139*E2_tabla_vida!$X$97)*E2_tabla_vida!$P$97,EXP(-D139*E2_tabla_vida!$X$98)*E2_tabla_vida!$P$98,EXP(-D139*E2_tabla_vida!$X$99)*E2_tabla_vida!$P$99,EXP(-D139*E2_tabla_vida!$X$100)*E2_tabla_vida!$P$100,EXP(-D139*E2_tabla_vida!$X$101)*E2_tabla_vida!$P$101,EXP(-D139*E2_tabla_vida!$X$102)*E2_tabla_vida!$P$102,EXP(-D139*E2_tabla_vida!$X$103)*E2_tabla_vida!$P$103,EXP(-D139*E2_tabla_vida!$X$104)*E2_tabla_vida!$P$104,EXP(-D139*E2_tabla_vida!$X$105)*E2_tabla_vida!$P$105,EXP(-D139*E2_tabla_vida!$X$106)*E2_tabla_vida!$P$106,EXP(-D139*E2_tabla_vida!$X$107)*E2_tabla_vida!$P$107,EXP(-D139*E2_tabla_vida!$X$108)*E2_tabla_vida!$P$108,EXP(-D139*E2_tabla_vida!$X$109)*E2_tabla_vida!$P$109,EXP(-D139*E2_tabla_vida!$X$110)*E2_tabla_vida!$P$110,EXP(-D139*E2_tabla_vida!$X$111)*E2_tabla_vida!$P$111,EXP(-D139*E2_tabla_vida!$X$112)*E2_tabla_vida!$P$112,EXP(-D139*E2_tabla_vida!$X$113)*E2_tabla_vida!$P$113,EXP(-D139*E2_tabla_vida!$X$114)*E2_tabla_vida!$P$114,EXP(-D139*E2_tabla_vida!$X$115)*E2_tabla_vida!$P$115,EXP(-D139*E2_tabla_vida!$X$116)*E2_tabla_vida!$P$116,EXP(-D139*E2_tabla_vida!$X$117)*E2_tabla_vida!$P$117,EXP(-D139*E2_tabla_vida!$X$118)*E2_tabla_vida!$P$118,EXP(-D139*E2_tabla_vida!$X$119)*E2_tabla_vida!$P$119,EXP(-D139*E2_tabla_vida!$X$120)*E2_tabla_vida!$P$120,EXP(-D139*E2_tabla_vida!$X$121)*E2_tabla_vida!$P$121,EXP(-D139*E2_tabla_vida!$X$122)*E2_tabla_vida!$P$122,EXP(-D139*E2_tabla_vida!$X$123)*E2_tabla_vida!$P$123,EXP(-D139*E2_tabla_vida!$X$124)*E2_tabla_vida!$P$124,EXP(-D139*E2_tabla_vida!$X$125)*E2_tabla_vida!$P$125,EXP(-D139*E2_tabla_vida!$X$126)*E2_tabla_vida!$P$126,EXP(-D139*E2_tabla_vida!$X$127)*E2_tabla_vida!$P$127)-1</x:f>
        <x:v>3.603783937933258e-13</x:v>
      </x:c>
    </x:row>
    <x:row r="140" ht="19" customHeight="1">
      <x:c r="A140" s="2" t="str">
        <x:v>BB_L0</x:v>
      </x:c>
      <x:c r="B140" s="2" t="n">
        <x:v>0</x:v>
      </x:c>
      <x:c r="C140" s="22" t="n">
        <x:f>Supuestos!$C$17</x:f>
        <x:v>-1</x:v>
      </x:c>
      <x:c r="D140" s="22" t="n">
        <x:f>Supuestos!$C$18</x:f>
        <x:v>2</x:v>
      </x:c>
      <x:c r="E140" s="22" t="n">
        <x:f>AVERAGE(C140:D140)</x:f>
        <x:v>0.5</x:v>
      </x:c>
      <x:c r="F140" s="24" t="n">
        <x:f>SUM(EXP(-E140*E2_tabla_vida!$X$128)*E2_tabla_vida!$P$128,EXP(-E140*E2_tabla_vida!$X$129)*E2_tabla_vida!$P$129,EXP(-E140*E2_tabla_vida!$X$130)*E2_tabla_vida!$P$130,EXP(-E140*E2_tabla_vida!$X$131)*E2_tabla_vida!$P$131,EXP(-E140*E2_tabla_vida!$X$132)*E2_tabla_vida!$P$132,EXP(-E140*E2_tabla_vida!$X$133)*E2_tabla_vida!$P$133,EXP(-E140*E2_tabla_vida!$X$134)*E2_tabla_vida!$P$134,EXP(-E140*E2_tabla_vida!$X$135)*E2_tabla_vida!$P$135,EXP(-E140*E2_tabla_vida!$X$136)*E2_tabla_vida!$P$136,EXP(-E140*E2_tabla_vida!$X$137)*E2_tabla_vida!$P$137,EXP(-E140*E2_tabla_vida!$X$138)*E2_tabla_vida!$P$138,EXP(-E140*E2_tabla_vida!$X$139)*E2_tabla_vida!$P$139,EXP(-E140*E2_tabla_vida!$X$140)*E2_tabla_vida!$P$140,EXP(-E140*E2_tabla_vida!$X$141)*E2_tabla_vida!$P$141,EXP(-E140*E2_tabla_vida!$X$142)*E2_tabla_vida!$P$142,EXP(-E140*E2_tabla_vida!$X$143)*E2_tabla_vida!$P$143,EXP(-E140*E2_tabla_vida!$X$144)*E2_tabla_vida!$P$144,EXP(-E140*E2_tabla_vida!$X$145)*E2_tabla_vida!$P$145,EXP(-E140*E2_tabla_vida!$X$146)*E2_tabla_vida!$P$146,EXP(-E140*E2_tabla_vida!$X$147)*E2_tabla_vida!$P$147,EXP(-E140*E2_tabla_vida!$X$148)*E2_tabla_vida!$P$148,EXP(-E140*E2_tabla_vida!$X$149)*E2_tabla_vida!$P$149,EXP(-E140*E2_tabla_vida!$X$150)*E2_tabla_vida!$P$150,EXP(-E140*E2_tabla_vida!$X$151)*E2_tabla_vida!$P$151,EXP(-E140*E2_tabla_vida!$X$152)*E2_tabla_vida!$P$152,EXP(-E140*E2_tabla_vida!$X$153)*E2_tabla_vida!$P$153,EXP(-E140*E2_tabla_vida!$X$154)*E2_tabla_vida!$P$154,EXP(-E140*E2_tabla_vida!$X$155)*E2_tabla_vida!$P$155,EXP(-E140*E2_tabla_vida!$X$156)*E2_tabla_vida!$P$156,EXP(-E140*E2_tabla_vida!$X$157)*E2_tabla_vida!$P$157,EXP(-E140*E2_tabla_vida!$X$158)*E2_tabla_vida!$P$158,EXP(-E140*E2_tabla_vida!$X$159)*E2_tabla_vida!$P$159,EXP(-E140*E2_tabla_vida!$X$160)*E2_tabla_vida!$P$160,EXP(-E140*E2_tabla_vida!$X$161)*E2_tabla_vida!$P$161,EXP(-E140*E2_tabla_vida!$X$162)*E2_tabla_vida!$P$162,EXP(-E140*E2_tabla_vida!$X$163)*E2_tabla_vida!$P$163,EXP(-E140*E2_tabla_vida!$X$164)*E2_tabla_vida!$P$164,EXP(-E140*E2_tabla_vida!$X$165)*E2_tabla_vida!$P$165,EXP(-E140*E2_tabla_vida!$X$166)*E2_tabla_vida!$P$166,EXP(-E140*E2_tabla_vida!$X$167)*E2_tabla_vida!$P$167,EXP(-E140*E2_tabla_vida!$X$168)*E2_tabla_vida!$P$168,EXP(-E140*E2_tabla_vida!$X$169)*E2_tabla_vida!$P$169)-1</x:f>
        <x:v>-0.9366386905789013</x:v>
      </x:c>
      <x:c r="G140" s="24" t="n">
        <x:f>SUM(EXP(-C140*E2_tabla_vida!$X$128)*E2_tabla_vida!$P$128,EXP(-C140*E2_tabla_vida!$X$129)*E2_tabla_vida!$P$129,EXP(-C140*E2_tabla_vida!$X$130)*E2_tabla_vida!$P$130,EXP(-C140*E2_tabla_vida!$X$131)*E2_tabla_vida!$P$131,EXP(-C140*E2_tabla_vida!$X$132)*E2_tabla_vida!$P$132,EXP(-C140*E2_tabla_vida!$X$133)*E2_tabla_vida!$P$133,EXP(-C140*E2_tabla_vida!$X$134)*E2_tabla_vida!$P$134,EXP(-C140*E2_tabla_vida!$X$135)*E2_tabla_vida!$P$135,EXP(-C140*E2_tabla_vida!$X$136)*E2_tabla_vida!$P$136,EXP(-C140*E2_tabla_vida!$X$137)*E2_tabla_vida!$P$137,EXP(-C140*E2_tabla_vida!$X$138)*E2_tabla_vida!$P$138,EXP(-C140*E2_tabla_vida!$X$139)*E2_tabla_vida!$P$139,EXP(-C140*E2_tabla_vida!$X$140)*E2_tabla_vida!$P$140,EXP(-C140*E2_tabla_vida!$X$141)*E2_tabla_vida!$P$141,EXP(-C140*E2_tabla_vida!$X$142)*E2_tabla_vida!$P$142,EXP(-C140*E2_tabla_vida!$X$143)*E2_tabla_vida!$P$143,EXP(-C140*E2_tabla_vida!$X$144)*E2_tabla_vida!$P$144,EXP(-C140*E2_tabla_vida!$X$145)*E2_tabla_vida!$P$145,EXP(-C140*E2_tabla_vida!$X$146)*E2_tabla_vida!$P$146,EXP(-C140*E2_tabla_vida!$X$147)*E2_tabla_vida!$P$147,EXP(-C140*E2_tabla_vida!$X$148)*E2_tabla_vida!$P$148,EXP(-C140*E2_tabla_vida!$X$149)*E2_tabla_vida!$P$149,EXP(-C140*E2_tabla_vida!$X$150)*E2_tabla_vida!$P$150,EXP(-C140*E2_tabla_vida!$X$151)*E2_tabla_vida!$P$151,EXP(-C140*E2_tabla_vida!$X$152)*E2_tabla_vida!$P$152,EXP(-C140*E2_tabla_vida!$X$153)*E2_tabla_vida!$P$153,EXP(-C140*E2_tabla_vida!$X$154)*E2_tabla_vida!$P$154,EXP(-C140*E2_tabla_vida!$X$155)*E2_tabla_vida!$P$155,EXP(-C140*E2_tabla_vida!$X$156)*E2_tabla_vida!$P$156,EXP(-C140*E2_tabla_vida!$X$157)*E2_tabla_vida!$P$157,EXP(-C140*E2_tabla_vida!$X$158)*E2_tabla_vida!$P$158,EXP(-C140*E2_tabla_vida!$X$159)*E2_tabla_vida!$P$159,EXP(-C140*E2_tabla_vida!$X$160)*E2_tabla_vida!$P$160,EXP(-C140*E2_tabla_vida!$X$161)*E2_tabla_vida!$P$161,EXP(-C140*E2_tabla_vida!$X$162)*E2_tabla_vida!$P$162,EXP(-C140*E2_tabla_vida!$X$163)*E2_tabla_vida!$P$163,EXP(-C140*E2_tabla_vida!$X$164)*E2_tabla_vida!$P$164,EXP(-C140*E2_tabla_vida!$X$165)*E2_tabla_vida!$P$165,EXP(-C140*E2_tabla_vida!$X$166)*E2_tabla_vida!$P$166,EXP(-C140*E2_tabla_vida!$X$167)*E2_tabla_vida!$P$167,EXP(-C140*E2_tabla_vida!$X$168)*E2_tabla_vida!$P$168,EXP(-C140*E2_tabla_vida!$X$169)*E2_tabla_vida!$P$169)-1</x:f>
        <x:v>300406423839220.8</x:v>
      </x:c>
      <x:c r="H140" s="24" t="n">
        <x:f>SUM(EXP(-D140*E2_tabla_vida!$X$128)*E2_tabla_vida!$P$128,EXP(-D140*E2_tabla_vida!$X$129)*E2_tabla_vida!$P$129,EXP(-D140*E2_tabla_vida!$X$130)*E2_tabla_vida!$P$130,EXP(-D140*E2_tabla_vida!$X$131)*E2_tabla_vida!$P$131,EXP(-D140*E2_tabla_vida!$X$132)*E2_tabla_vida!$P$132,EXP(-D140*E2_tabla_vida!$X$133)*E2_tabla_vida!$P$133,EXP(-D140*E2_tabla_vida!$X$134)*E2_tabla_vida!$P$134,EXP(-D140*E2_tabla_vida!$X$135)*E2_tabla_vida!$P$135,EXP(-D140*E2_tabla_vida!$X$136)*E2_tabla_vida!$P$136,EXP(-D140*E2_tabla_vida!$X$137)*E2_tabla_vida!$P$137,EXP(-D140*E2_tabla_vida!$X$138)*E2_tabla_vida!$P$138,EXP(-D140*E2_tabla_vida!$X$139)*E2_tabla_vida!$P$139,EXP(-D140*E2_tabla_vida!$X$140)*E2_tabla_vida!$P$140,EXP(-D140*E2_tabla_vida!$X$141)*E2_tabla_vida!$P$141,EXP(-D140*E2_tabla_vida!$X$142)*E2_tabla_vida!$P$142,EXP(-D140*E2_tabla_vida!$X$143)*E2_tabla_vida!$P$143,EXP(-D140*E2_tabla_vida!$X$144)*E2_tabla_vida!$P$144,EXP(-D140*E2_tabla_vida!$X$145)*E2_tabla_vida!$P$145,EXP(-D140*E2_tabla_vida!$X$146)*E2_tabla_vida!$P$146,EXP(-D140*E2_tabla_vida!$X$147)*E2_tabla_vida!$P$147,EXP(-D140*E2_tabla_vida!$X$148)*E2_tabla_vida!$P$148,EXP(-D140*E2_tabla_vida!$X$149)*E2_tabla_vida!$P$149,EXP(-D140*E2_tabla_vida!$X$150)*E2_tabla_vida!$P$150,EXP(-D140*E2_tabla_vida!$X$151)*E2_tabla_vida!$P$151,EXP(-D140*E2_tabla_vida!$X$152)*E2_tabla_vida!$P$152,EXP(-D140*E2_tabla_vida!$X$153)*E2_tabla_vida!$P$153,EXP(-D140*E2_tabla_vida!$X$154)*E2_tabla_vida!$P$154,EXP(-D140*E2_tabla_vida!$X$155)*E2_tabla_vida!$P$155,EXP(-D140*E2_tabla_vida!$X$156)*E2_tabla_vida!$P$156,EXP(-D140*E2_tabla_vida!$X$157)*E2_tabla_vida!$P$157,EXP(-D140*E2_tabla_vida!$X$158)*E2_tabla_vida!$P$158,EXP(-D140*E2_tabla_vida!$X$159)*E2_tabla_vida!$P$159,EXP(-D140*E2_tabla_vida!$X$160)*E2_tabla_vida!$P$160,EXP(-D140*E2_tabla_vida!$X$161)*E2_tabla_vida!$P$161,EXP(-D140*E2_tabla_vida!$X$162)*E2_tabla_vida!$P$162,EXP(-D140*E2_tabla_vida!$X$163)*E2_tabla_vida!$P$163,EXP(-D140*E2_tabla_vida!$X$164)*E2_tabla_vida!$P$164,EXP(-D140*E2_tabla_vida!$X$165)*E2_tabla_vida!$P$165,EXP(-D140*E2_tabla_vida!$X$166)*E2_tabla_vida!$P$166,EXP(-D140*E2_tabla_vida!$X$167)*E2_tabla_vida!$P$167,EXP(-D140*E2_tabla_vida!$X$168)*E2_tabla_vida!$P$168,EXP(-D140*E2_tabla_vida!$X$169)*E2_tabla_vida!$P$169)-1</x:f>
        <x:v>-0.9999999217562051</x:v>
      </x:c>
    </x:row>
    <x:row r="141" ht="19" customHeight="1">
      <x:c r="A141" s="2" t="str">
        <x:v>BB_L0</x:v>
      </x:c>
      <x:c r="B141" s="2" t="n">
        <x:v>1</x:v>
      </x:c>
      <x:c r="C141" s="22" t="n">
        <x:f>IF(F140&gt;0,E140,C140)</x:f>
        <x:v>-1</x:v>
      </x:c>
      <x:c r="D141" s="22" t="n">
        <x:f>IF(F140&gt;0,D140,E140)</x:f>
        <x:v>0.5</x:v>
      </x:c>
      <x:c r="E141" s="22" t="n">
        <x:f>AVERAGE(C141:D141)</x:f>
        <x:v>-0.25</x:v>
      </x:c>
      <x:c r="F141" s="24" t="n">
        <x:f>SUM(EXP(-E141*E2_tabla_vida!$X$128)*E2_tabla_vida!$P$128,EXP(-E141*E2_tabla_vida!$X$129)*E2_tabla_vida!$P$129,EXP(-E141*E2_tabla_vida!$X$130)*E2_tabla_vida!$P$130,EXP(-E141*E2_tabla_vida!$X$131)*E2_tabla_vida!$P$131,EXP(-E141*E2_tabla_vida!$X$132)*E2_tabla_vida!$P$132,EXP(-E141*E2_tabla_vida!$X$133)*E2_tabla_vida!$P$133,EXP(-E141*E2_tabla_vida!$X$134)*E2_tabla_vida!$P$134,EXP(-E141*E2_tabla_vida!$X$135)*E2_tabla_vida!$P$135,EXP(-E141*E2_tabla_vida!$X$136)*E2_tabla_vida!$P$136,EXP(-E141*E2_tabla_vida!$X$137)*E2_tabla_vida!$P$137,EXP(-E141*E2_tabla_vida!$X$138)*E2_tabla_vida!$P$138,EXP(-E141*E2_tabla_vida!$X$139)*E2_tabla_vida!$P$139,EXP(-E141*E2_tabla_vida!$X$140)*E2_tabla_vida!$P$140,EXP(-E141*E2_tabla_vida!$X$141)*E2_tabla_vida!$P$141,EXP(-E141*E2_tabla_vida!$X$142)*E2_tabla_vida!$P$142,EXP(-E141*E2_tabla_vida!$X$143)*E2_tabla_vida!$P$143,EXP(-E141*E2_tabla_vida!$X$144)*E2_tabla_vida!$P$144,EXP(-E141*E2_tabla_vida!$X$145)*E2_tabla_vida!$P$145,EXP(-E141*E2_tabla_vida!$X$146)*E2_tabla_vida!$P$146,EXP(-E141*E2_tabla_vida!$X$147)*E2_tabla_vida!$P$147,EXP(-E141*E2_tabla_vida!$X$148)*E2_tabla_vida!$P$148,EXP(-E141*E2_tabla_vida!$X$149)*E2_tabla_vida!$P$149,EXP(-E141*E2_tabla_vida!$X$150)*E2_tabla_vida!$P$150,EXP(-E141*E2_tabla_vida!$X$151)*E2_tabla_vida!$P$151,EXP(-E141*E2_tabla_vida!$X$152)*E2_tabla_vida!$P$152,EXP(-E141*E2_tabla_vida!$X$153)*E2_tabla_vida!$P$153,EXP(-E141*E2_tabla_vida!$X$154)*E2_tabla_vida!$P$154,EXP(-E141*E2_tabla_vida!$X$155)*E2_tabla_vida!$P$155,EXP(-E141*E2_tabla_vida!$X$156)*E2_tabla_vida!$P$156,EXP(-E141*E2_tabla_vida!$X$157)*E2_tabla_vida!$P$157,EXP(-E141*E2_tabla_vida!$X$158)*E2_tabla_vida!$P$158,EXP(-E141*E2_tabla_vida!$X$159)*E2_tabla_vida!$P$159,EXP(-E141*E2_tabla_vida!$X$160)*E2_tabla_vida!$P$160,EXP(-E141*E2_tabla_vida!$X$161)*E2_tabla_vida!$P$161,EXP(-E141*E2_tabla_vida!$X$162)*E2_tabla_vida!$P$162,EXP(-E141*E2_tabla_vida!$X$163)*E2_tabla_vida!$P$163,EXP(-E141*E2_tabla_vida!$X$164)*E2_tabla_vida!$P$164,EXP(-E141*E2_tabla_vida!$X$165)*E2_tabla_vida!$P$165,EXP(-E141*E2_tabla_vida!$X$166)*E2_tabla_vida!$P$166,EXP(-E141*E2_tabla_vida!$X$167)*E2_tabla_vida!$P$167,EXP(-E141*E2_tabla_vida!$X$168)*E2_tabla_vida!$P$168,EXP(-E141*E2_tabla_vida!$X$169)*E2_tabla_vida!$P$169)-1</x:f>
        <x:v>16110.914008574564</x:v>
      </x:c>
      <x:c r="G141" s="24" t="n">
        <x:f>SUM(EXP(-C141*E2_tabla_vida!$X$128)*E2_tabla_vida!$P$128,EXP(-C141*E2_tabla_vida!$X$129)*E2_tabla_vida!$P$129,EXP(-C141*E2_tabla_vida!$X$130)*E2_tabla_vida!$P$130,EXP(-C141*E2_tabla_vida!$X$131)*E2_tabla_vida!$P$131,EXP(-C141*E2_tabla_vida!$X$132)*E2_tabla_vida!$P$132,EXP(-C141*E2_tabla_vida!$X$133)*E2_tabla_vida!$P$133,EXP(-C141*E2_tabla_vida!$X$134)*E2_tabla_vida!$P$134,EXP(-C141*E2_tabla_vida!$X$135)*E2_tabla_vida!$P$135,EXP(-C141*E2_tabla_vida!$X$136)*E2_tabla_vida!$P$136,EXP(-C141*E2_tabla_vida!$X$137)*E2_tabla_vida!$P$137,EXP(-C141*E2_tabla_vida!$X$138)*E2_tabla_vida!$P$138,EXP(-C141*E2_tabla_vida!$X$139)*E2_tabla_vida!$P$139,EXP(-C141*E2_tabla_vida!$X$140)*E2_tabla_vida!$P$140,EXP(-C141*E2_tabla_vida!$X$141)*E2_tabla_vida!$P$141,EXP(-C141*E2_tabla_vida!$X$142)*E2_tabla_vida!$P$142,EXP(-C141*E2_tabla_vida!$X$143)*E2_tabla_vida!$P$143,EXP(-C141*E2_tabla_vida!$X$144)*E2_tabla_vida!$P$144,EXP(-C141*E2_tabla_vida!$X$145)*E2_tabla_vida!$P$145,EXP(-C141*E2_tabla_vida!$X$146)*E2_tabla_vida!$P$146,EXP(-C141*E2_tabla_vida!$X$147)*E2_tabla_vida!$P$147,EXP(-C141*E2_tabla_vida!$X$148)*E2_tabla_vida!$P$148,EXP(-C141*E2_tabla_vida!$X$149)*E2_tabla_vida!$P$149,EXP(-C141*E2_tabla_vida!$X$150)*E2_tabla_vida!$P$150,EXP(-C141*E2_tabla_vida!$X$151)*E2_tabla_vida!$P$151,EXP(-C141*E2_tabla_vida!$X$152)*E2_tabla_vida!$P$152,EXP(-C141*E2_tabla_vida!$X$153)*E2_tabla_vida!$P$153,EXP(-C141*E2_tabla_vida!$X$154)*E2_tabla_vida!$P$154,EXP(-C141*E2_tabla_vida!$X$155)*E2_tabla_vida!$P$155,EXP(-C141*E2_tabla_vida!$X$156)*E2_tabla_vida!$P$156,EXP(-C141*E2_tabla_vida!$X$157)*E2_tabla_vida!$P$157,EXP(-C141*E2_tabla_vida!$X$158)*E2_tabla_vida!$P$158,EXP(-C141*E2_tabla_vida!$X$159)*E2_tabla_vida!$P$159,EXP(-C141*E2_tabla_vida!$X$160)*E2_tabla_vida!$P$160,EXP(-C141*E2_tabla_vida!$X$161)*E2_tabla_vida!$P$161,EXP(-C141*E2_tabla_vida!$X$162)*E2_tabla_vida!$P$162,EXP(-C141*E2_tabla_vida!$X$163)*E2_tabla_vida!$P$163,EXP(-C141*E2_tabla_vida!$X$164)*E2_tabla_vida!$P$164,EXP(-C141*E2_tabla_vida!$X$165)*E2_tabla_vida!$P$165,EXP(-C141*E2_tabla_vida!$X$166)*E2_tabla_vida!$P$166,EXP(-C141*E2_tabla_vida!$X$167)*E2_tabla_vida!$P$167,EXP(-C141*E2_tabla_vida!$X$168)*E2_tabla_vida!$P$168,EXP(-C141*E2_tabla_vida!$X$169)*E2_tabla_vida!$P$169)-1</x:f>
        <x:v>300406423839220.8</x:v>
      </x:c>
      <x:c r="H141" s="24" t="n">
        <x:f>SUM(EXP(-D141*E2_tabla_vida!$X$128)*E2_tabla_vida!$P$128,EXP(-D141*E2_tabla_vida!$X$129)*E2_tabla_vida!$P$129,EXP(-D141*E2_tabla_vida!$X$130)*E2_tabla_vida!$P$130,EXP(-D141*E2_tabla_vida!$X$131)*E2_tabla_vida!$P$131,EXP(-D141*E2_tabla_vida!$X$132)*E2_tabla_vida!$P$132,EXP(-D141*E2_tabla_vida!$X$133)*E2_tabla_vida!$P$133,EXP(-D141*E2_tabla_vida!$X$134)*E2_tabla_vida!$P$134,EXP(-D141*E2_tabla_vida!$X$135)*E2_tabla_vida!$P$135,EXP(-D141*E2_tabla_vida!$X$136)*E2_tabla_vida!$P$136,EXP(-D141*E2_tabla_vida!$X$137)*E2_tabla_vida!$P$137,EXP(-D141*E2_tabla_vida!$X$138)*E2_tabla_vida!$P$138,EXP(-D141*E2_tabla_vida!$X$139)*E2_tabla_vida!$P$139,EXP(-D141*E2_tabla_vida!$X$140)*E2_tabla_vida!$P$140,EXP(-D141*E2_tabla_vida!$X$141)*E2_tabla_vida!$P$141,EXP(-D141*E2_tabla_vida!$X$142)*E2_tabla_vida!$P$142,EXP(-D141*E2_tabla_vida!$X$143)*E2_tabla_vida!$P$143,EXP(-D141*E2_tabla_vida!$X$144)*E2_tabla_vida!$P$144,EXP(-D141*E2_tabla_vida!$X$145)*E2_tabla_vida!$P$145,EXP(-D141*E2_tabla_vida!$X$146)*E2_tabla_vida!$P$146,EXP(-D141*E2_tabla_vida!$X$147)*E2_tabla_vida!$P$147,EXP(-D141*E2_tabla_vida!$X$148)*E2_tabla_vida!$P$148,EXP(-D141*E2_tabla_vida!$X$149)*E2_tabla_vida!$P$149,EXP(-D141*E2_tabla_vida!$X$150)*E2_tabla_vida!$P$150,EXP(-D141*E2_tabla_vida!$X$151)*E2_tabla_vida!$P$151,EXP(-D141*E2_tabla_vida!$X$152)*E2_tabla_vida!$P$152,EXP(-D141*E2_tabla_vida!$X$153)*E2_tabla_vida!$P$153,EXP(-D141*E2_tabla_vida!$X$154)*E2_tabla_vida!$P$154,EXP(-D141*E2_tabla_vida!$X$155)*E2_tabla_vida!$P$155,EXP(-D141*E2_tabla_vida!$X$156)*E2_tabla_vida!$P$156,EXP(-D141*E2_tabla_vida!$X$157)*E2_tabla_vida!$P$157,EXP(-D141*E2_tabla_vida!$X$158)*E2_tabla_vida!$P$158,EXP(-D141*E2_tabla_vida!$X$159)*E2_tabla_vida!$P$159,EXP(-D141*E2_tabla_vida!$X$160)*E2_tabla_vida!$P$160,EXP(-D141*E2_tabla_vida!$X$161)*E2_tabla_vida!$P$161,EXP(-D141*E2_tabla_vida!$X$162)*E2_tabla_vida!$P$162,EXP(-D141*E2_tabla_vida!$X$163)*E2_tabla_vida!$P$163,EXP(-D141*E2_tabla_vida!$X$164)*E2_tabla_vida!$P$164,EXP(-D141*E2_tabla_vida!$X$165)*E2_tabla_vida!$P$165,EXP(-D141*E2_tabla_vida!$X$166)*E2_tabla_vida!$P$166,EXP(-D141*E2_tabla_vida!$X$167)*E2_tabla_vida!$P$167,EXP(-D141*E2_tabla_vida!$X$168)*E2_tabla_vida!$P$168,EXP(-D141*E2_tabla_vida!$X$169)*E2_tabla_vida!$P$169)-1</x:f>
        <x:v>-0.9366386905789013</x:v>
      </x:c>
    </x:row>
    <x:row r="142" ht="19" customHeight="1">
      <x:c r="A142" s="2" t="str">
        <x:v>BB_L0</x:v>
      </x:c>
      <x:c r="B142" s="2" t="n">
        <x:v>2</x:v>
      </x:c>
      <x:c r="C142" s="22" t="n">
        <x:f>IF(F141&gt;0,E141,C141)</x:f>
        <x:v>-0.25</x:v>
      </x:c>
      <x:c r="D142" s="22" t="n">
        <x:f>IF(F141&gt;0,D141,E141)</x:f>
        <x:v>0.5</x:v>
      </x:c>
      <x:c r="E142" s="22" t="n">
        <x:f>AVERAGE(C142:D142)</x:f>
        <x:v>0.125</x:v>
      </x:c>
      <x:c r="F142" s="24" t="n">
        <x:f>SUM(EXP(-E142*E2_tabla_vida!$X$128)*E2_tabla_vida!$P$128,EXP(-E142*E2_tabla_vida!$X$129)*E2_tabla_vida!$P$129,EXP(-E142*E2_tabla_vida!$X$130)*E2_tabla_vida!$P$130,EXP(-E142*E2_tabla_vida!$X$131)*E2_tabla_vida!$P$131,EXP(-E142*E2_tabla_vida!$X$132)*E2_tabla_vida!$P$132,EXP(-E142*E2_tabla_vida!$X$133)*E2_tabla_vida!$P$133,EXP(-E142*E2_tabla_vida!$X$134)*E2_tabla_vida!$P$134,EXP(-E142*E2_tabla_vida!$X$135)*E2_tabla_vida!$P$135,EXP(-E142*E2_tabla_vida!$X$136)*E2_tabla_vida!$P$136,EXP(-E142*E2_tabla_vida!$X$137)*E2_tabla_vida!$P$137,EXP(-E142*E2_tabla_vida!$X$138)*E2_tabla_vida!$P$138,EXP(-E142*E2_tabla_vida!$X$139)*E2_tabla_vida!$P$139,EXP(-E142*E2_tabla_vida!$X$140)*E2_tabla_vida!$P$140,EXP(-E142*E2_tabla_vida!$X$141)*E2_tabla_vida!$P$141,EXP(-E142*E2_tabla_vida!$X$142)*E2_tabla_vida!$P$142,EXP(-E142*E2_tabla_vida!$X$143)*E2_tabla_vida!$P$143,EXP(-E142*E2_tabla_vida!$X$144)*E2_tabla_vida!$P$144,EXP(-E142*E2_tabla_vida!$X$145)*E2_tabla_vida!$P$145,EXP(-E142*E2_tabla_vida!$X$146)*E2_tabla_vida!$P$146,EXP(-E142*E2_tabla_vida!$X$147)*E2_tabla_vida!$P$147,EXP(-E142*E2_tabla_vida!$X$148)*E2_tabla_vida!$P$148,EXP(-E142*E2_tabla_vida!$X$149)*E2_tabla_vida!$P$149,EXP(-E142*E2_tabla_vida!$X$150)*E2_tabla_vida!$P$150,EXP(-E142*E2_tabla_vida!$X$151)*E2_tabla_vida!$P$151,EXP(-E142*E2_tabla_vida!$X$152)*E2_tabla_vida!$P$152,EXP(-E142*E2_tabla_vida!$X$153)*E2_tabla_vida!$P$153,EXP(-E142*E2_tabla_vida!$X$154)*E2_tabla_vida!$P$154,EXP(-E142*E2_tabla_vida!$X$155)*E2_tabla_vida!$P$155,EXP(-E142*E2_tabla_vida!$X$156)*E2_tabla_vida!$P$156,EXP(-E142*E2_tabla_vida!$X$157)*E2_tabla_vida!$P$157,EXP(-E142*E2_tabla_vida!$X$158)*E2_tabla_vida!$P$158,EXP(-E142*E2_tabla_vida!$X$159)*E2_tabla_vida!$P$159,EXP(-E142*E2_tabla_vida!$X$160)*E2_tabla_vida!$P$160,EXP(-E142*E2_tabla_vida!$X$161)*E2_tabla_vida!$P$161,EXP(-E142*E2_tabla_vida!$X$162)*E2_tabla_vida!$P$162,EXP(-E142*E2_tabla_vida!$X$163)*E2_tabla_vida!$P$163,EXP(-E142*E2_tabla_vida!$X$164)*E2_tabla_vida!$P$164,EXP(-E142*E2_tabla_vida!$X$165)*E2_tabla_vida!$P$165,EXP(-E142*E2_tabla_vida!$X$166)*E2_tabla_vida!$P$166,EXP(-E142*E2_tabla_vida!$X$167)*E2_tabla_vida!$P$167,EXP(-E142*E2_tabla_vida!$X$168)*E2_tabla_vida!$P$168,EXP(-E142*E2_tabla_vida!$X$169)*E2_tabla_vida!$P$169)-1</x:f>
        <x:v>5.513169480935088</x:v>
      </x:c>
      <x:c r="G142" s="24" t="n">
        <x:f>SUM(EXP(-C142*E2_tabla_vida!$X$128)*E2_tabla_vida!$P$128,EXP(-C142*E2_tabla_vida!$X$129)*E2_tabla_vida!$P$129,EXP(-C142*E2_tabla_vida!$X$130)*E2_tabla_vida!$P$130,EXP(-C142*E2_tabla_vida!$X$131)*E2_tabla_vida!$P$131,EXP(-C142*E2_tabla_vida!$X$132)*E2_tabla_vida!$P$132,EXP(-C142*E2_tabla_vida!$X$133)*E2_tabla_vida!$P$133,EXP(-C142*E2_tabla_vida!$X$134)*E2_tabla_vida!$P$134,EXP(-C142*E2_tabla_vida!$X$135)*E2_tabla_vida!$P$135,EXP(-C142*E2_tabla_vida!$X$136)*E2_tabla_vida!$P$136,EXP(-C142*E2_tabla_vida!$X$137)*E2_tabla_vida!$P$137,EXP(-C142*E2_tabla_vida!$X$138)*E2_tabla_vida!$P$138,EXP(-C142*E2_tabla_vida!$X$139)*E2_tabla_vida!$P$139,EXP(-C142*E2_tabla_vida!$X$140)*E2_tabla_vida!$P$140,EXP(-C142*E2_tabla_vida!$X$141)*E2_tabla_vida!$P$141,EXP(-C142*E2_tabla_vida!$X$142)*E2_tabla_vida!$P$142,EXP(-C142*E2_tabla_vida!$X$143)*E2_tabla_vida!$P$143,EXP(-C142*E2_tabla_vida!$X$144)*E2_tabla_vida!$P$144,EXP(-C142*E2_tabla_vida!$X$145)*E2_tabla_vida!$P$145,EXP(-C142*E2_tabla_vida!$X$146)*E2_tabla_vida!$P$146,EXP(-C142*E2_tabla_vida!$X$147)*E2_tabla_vida!$P$147,EXP(-C142*E2_tabla_vida!$X$148)*E2_tabla_vida!$P$148,EXP(-C142*E2_tabla_vida!$X$149)*E2_tabla_vida!$P$149,EXP(-C142*E2_tabla_vida!$X$150)*E2_tabla_vida!$P$150,EXP(-C142*E2_tabla_vida!$X$151)*E2_tabla_vida!$P$151,EXP(-C142*E2_tabla_vida!$X$152)*E2_tabla_vida!$P$152,EXP(-C142*E2_tabla_vida!$X$153)*E2_tabla_vida!$P$153,EXP(-C142*E2_tabla_vida!$X$154)*E2_tabla_vida!$P$154,EXP(-C142*E2_tabla_vida!$X$155)*E2_tabla_vida!$P$155,EXP(-C142*E2_tabla_vida!$X$156)*E2_tabla_vida!$P$156,EXP(-C142*E2_tabla_vida!$X$157)*E2_tabla_vida!$P$157,EXP(-C142*E2_tabla_vida!$X$158)*E2_tabla_vida!$P$158,EXP(-C142*E2_tabla_vida!$X$159)*E2_tabla_vida!$P$159,EXP(-C142*E2_tabla_vida!$X$160)*E2_tabla_vida!$P$160,EXP(-C142*E2_tabla_vida!$X$161)*E2_tabla_vida!$P$161,EXP(-C142*E2_tabla_vida!$X$162)*E2_tabla_vida!$P$162,EXP(-C142*E2_tabla_vida!$X$163)*E2_tabla_vida!$P$163,EXP(-C142*E2_tabla_vida!$X$164)*E2_tabla_vida!$P$164,EXP(-C142*E2_tabla_vida!$X$165)*E2_tabla_vida!$P$165,EXP(-C142*E2_tabla_vida!$X$166)*E2_tabla_vida!$P$166,EXP(-C142*E2_tabla_vida!$X$167)*E2_tabla_vida!$P$167,EXP(-C142*E2_tabla_vida!$X$168)*E2_tabla_vida!$P$168,EXP(-C142*E2_tabla_vida!$X$169)*E2_tabla_vida!$P$169)-1</x:f>
        <x:v>16110.914008574564</x:v>
      </x:c>
      <x:c r="H142" s="24" t="n">
        <x:f>SUM(EXP(-D142*E2_tabla_vida!$X$128)*E2_tabla_vida!$P$128,EXP(-D142*E2_tabla_vida!$X$129)*E2_tabla_vida!$P$129,EXP(-D142*E2_tabla_vida!$X$130)*E2_tabla_vida!$P$130,EXP(-D142*E2_tabla_vida!$X$131)*E2_tabla_vida!$P$131,EXP(-D142*E2_tabla_vida!$X$132)*E2_tabla_vida!$P$132,EXP(-D142*E2_tabla_vida!$X$133)*E2_tabla_vida!$P$133,EXP(-D142*E2_tabla_vida!$X$134)*E2_tabla_vida!$P$134,EXP(-D142*E2_tabla_vida!$X$135)*E2_tabla_vida!$P$135,EXP(-D142*E2_tabla_vida!$X$136)*E2_tabla_vida!$P$136,EXP(-D142*E2_tabla_vida!$X$137)*E2_tabla_vida!$P$137,EXP(-D142*E2_tabla_vida!$X$138)*E2_tabla_vida!$P$138,EXP(-D142*E2_tabla_vida!$X$139)*E2_tabla_vida!$P$139,EXP(-D142*E2_tabla_vida!$X$140)*E2_tabla_vida!$P$140,EXP(-D142*E2_tabla_vida!$X$141)*E2_tabla_vida!$P$141,EXP(-D142*E2_tabla_vida!$X$142)*E2_tabla_vida!$P$142,EXP(-D142*E2_tabla_vida!$X$143)*E2_tabla_vida!$P$143,EXP(-D142*E2_tabla_vida!$X$144)*E2_tabla_vida!$P$144,EXP(-D142*E2_tabla_vida!$X$145)*E2_tabla_vida!$P$145,EXP(-D142*E2_tabla_vida!$X$146)*E2_tabla_vida!$P$146,EXP(-D142*E2_tabla_vida!$X$147)*E2_tabla_vida!$P$147,EXP(-D142*E2_tabla_vida!$X$148)*E2_tabla_vida!$P$148,EXP(-D142*E2_tabla_vida!$X$149)*E2_tabla_vida!$P$149,EXP(-D142*E2_tabla_vida!$X$150)*E2_tabla_vida!$P$150,EXP(-D142*E2_tabla_vida!$X$151)*E2_tabla_vida!$P$151,EXP(-D142*E2_tabla_vida!$X$152)*E2_tabla_vida!$P$152,EXP(-D142*E2_tabla_vida!$X$153)*E2_tabla_vida!$P$153,EXP(-D142*E2_tabla_vida!$X$154)*E2_tabla_vida!$P$154,EXP(-D142*E2_tabla_vida!$X$155)*E2_tabla_vida!$P$155,EXP(-D142*E2_tabla_vida!$X$156)*E2_tabla_vida!$P$156,EXP(-D142*E2_tabla_vida!$X$157)*E2_tabla_vida!$P$157,EXP(-D142*E2_tabla_vida!$X$158)*E2_tabla_vida!$P$158,EXP(-D142*E2_tabla_vida!$X$159)*E2_tabla_vida!$P$159,EXP(-D142*E2_tabla_vida!$X$160)*E2_tabla_vida!$P$160,EXP(-D142*E2_tabla_vida!$X$161)*E2_tabla_vida!$P$161,EXP(-D142*E2_tabla_vida!$X$162)*E2_tabla_vida!$P$162,EXP(-D142*E2_tabla_vida!$X$163)*E2_tabla_vida!$P$163,EXP(-D142*E2_tabla_vida!$X$164)*E2_tabla_vida!$P$164,EXP(-D142*E2_tabla_vida!$X$165)*E2_tabla_vida!$P$165,EXP(-D142*E2_tabla_vida!$X$166)*E2_tabla_vida!$P$166,EXP(-D142*E2_tabla_vida!$X$167)*E2_tabla_vida!$P$167,EXP(-D142*E2_tabla_vida!$X$168)*E2_tabla_vida!$P$168,EXP(-D142*E2_tabla_vida!$X$169)*E2_tabla_vida!$P$169)-1</x:f>
        <x:v>-0.9366386905789013</x:v>
      </x:c>
    </x:row>
    <x:row r="143" ht="19" customHeight="1">
      <x:c r="A143" s="2" t="str">
        <x:v>BB_L0</x:v>
      </x:c>
      <x:c r="B143" s="2" t="n">
        <x:v>3</x:v>
      </x:c>
      <x:c r="C143" s="22" t="n">
        <x:f>IF(F142&gt;0,E142,C142)</x:f>
        <x:v>0.125</x:v>
      </x:c>
      <x:c r="D143" s="22" t="n">
        <x:f>IF(F142&gt;0,D142,E142)</x:f>
        <x:v>0.5</x:v>
      </x:c>
      <x:c r="E143" s="22" t="n">
        <x:f>AVERAGE(C143:D143)</x:f>
        <x:v>0.3125</x:v>
      </x:c>
      <x:c r="F143" s="24" t="n">
        <x:f>SUM(EXP(-E143*E2_tabla_vida!$X$128)*E2_tabla_vida!$P$128,EXP(-E143*E2_tabla_vida!$X$129)*E2_tabla_vida!$P$129,EXP(-E143*E2_tabla_vida!$X$130)*E2_tabla_vida!$P$130,EXP(-E143*E2_tabla_vida!$X$131)*E2_tabla_vida!$P$131,EXP(-E143*E2_tabla_vida!$X$132)*E2_tabla_vida!$P$132,EXP(-E143*E2_tabla_vida!$X$133)*E2_tabla_vida!$P$133,EXP(-E143*E2_tabla_vida!$X$134)*E2_tabla_vida!$P$134,EXP(-E143*E2_tabla_vida!$X$135)*E2_tabla_vida!$P$135,EXP(-E143*E2_tabla_vida!$X$136)*E2_tabla_vida!$P$136,EXP(-E143*E2_tabla_vida!$X$137)*E2_tabla_vida!$P$137,EXP(-E143*E2_tabla_vida!$X$138)*E2_tabla_vida!$P$138,EXP(-E143*E2_tabla_vida!$X$139)*E2_tabla_vida!$P$139,EXP(-E143*E2_tabla_vida!$X$140)*E2_tabla_vida!$P$140,EXP(-E143*E2_tabla_vida!$X$141)*E2_tabla_vida!$P$141,EXP(-E143*E2_tabla_vida!$X$142)*E2_tabla_vida!$P$142,EXP(-E143*E2_tabla_vida!$X$143)*E2_tabla_vida!$P$143,EXP(-E143*E2_tabla_vida!$X$144)*E2_tabla_vida!$P$144,EXP(-E143*E2_tabla_vida!$X$145)*E2_tabla_vida!$P$145,EXP(-E143*E2_tabla_vida!$X$146)*E2_tabla_vida!$P$146,EXP(-E143*E2_tabla_vida!$X$147)*E2_tabla_vida!$P$147,EXP(-E143*E2_tabla_vida!$X$148)*E2_tabla_vida!$P$148,EXP(-E143*E2_tabla_vida!$X$149)*E2_tabla_vida!$P$149,EXP(-E143*E2_tabla_vida!$X$150)*E2_tabla_vida!$P$150,EXP(-E143*E2_tabla_vida!$X$151)*E2_tabla_vida!$P$151,EXP(-E143*E2_tabla_vida!$X$152)*E2_tabla_vida!$P$152,EXP(-E143*E2_tabla_vida!$X$153)*E2_tabla_vida!$P$153,EXP(-E143*E2_tabla_vida!$X$154)*E2_tabla_vida!$P$154,EXP(-E143*E2_tabla_vida!$X$155)*E2_tabla_vida!$P$155,EXP(-E143*E2_tabla_vida!$X$156)*E2_tabla_vida!$P$156,EXP(-E143*E2_tabla_vida!$X$157)*E2_tabla_vida!$P$157,EXP(-E143*E2_tabla_vida!$X$158)*E2_tabla_vida!$P$158,EXP(-E143*E2_tabla_vida!$X$159)*E2_tabla_vida!$P$159,EXP(-E143*E2_tabla_vida!$X$160)*E2_tabla_vida!$P$160,EXP(-E143*E2_tabla_vida!$X$161)*E2_tabla_vida!$P$161,EXP(-E143*E2_tabla_vida!$X$162)*E2_tabla_vida!$P$162,EXP(-E143*E2_tabla_vida!$X$163)*E2_tabla_vida!$P$163,EXP(-E143*E2_tabla_vida!$X$164)*E2_tabla_vida!$P$164,EXP(-E143*E2_tabla_vida!$X$165)*E2_tabla_vida!$P$165,EXP(-E143*E2_tabla_vida!$X$166)*E2_tabla_vida!$P$166,EXP(-E143*E2_tabla_vida!$X$167)*E2_tabla_vida!$P$167,EXP(-E143*E2_tabla_vida!$X$168)*E2_tabla_vida!$P$168,EXP(-E143*E2_tabla_vida!$X$169)*E2_tabla_vida!$P$169)-1</x:f>
        <x:v>-0.4639850020175832</x:v>
      </x:c>
      <x:c r="G143" s="24" t="n">
        <x:f>SUM(EXP(-C143*E2_tabla_vida!$X$128)*E2_tabla_vida!$P$128,EXP(-C143*E2_tabla_vida!$X$129)*E2_tabla_vida!$P$129,EXP(-C143*E2_tabla_vida!$X$130)*E2_tabla_vida!$P$130,EXP(-C143*E2_tabla_vida!$X$131)*E2_tabla_vida!$P$131,EXP(-C143*E2_tabla_vida!$X$132)*E2_tabla_vida!$P$132,EXP(-C143*E2_tabla_vida!$X$133)*E2_tabla_vida!$P$133,EXP(-C143*E2_tabla_vida!$X$134)*E2_tabla_vida!$P$134,EXP(-C143*E2_tabla_vida!$X$135)*E2_tabla_vida!$P$135,EXP(-C143*E2_tabla_vida!$X$136)*E2_tabla_vida!$P$136,EXP(-C143*E2_tabla_vida!$X$137)*E2_tabla_vida!$P$137,EXP(-C143*E2_tabla_vida!$X$138)*E2_tabla_vida!$P$138,EXP(-C143*E2_tabla_vida!$X$139)*E2_tabla_vida!$P$139,EXP(-C143*E2_tabla_vida!$X$140)*E2_tabla_vida!$P$140,EXP(-C143*E2_tabla_vida!$X$141)*E2_tabla_vida!$P$141,EXP(-C143*E2_tabla_vida!$X$142)*E2_tabla_vida!$P$142,EXP(-C143*E2_tabla_vida!$X$143)*E2_tabla_vida!$P$143,EXP(-C143*E2_tabla_vida!$X$144)*E2_tabla_vida!$P$144,EXP(-C143*E2_tabla_vida!$X$145)*E2_tabla_vida!$P$145,EXP(-C143*E2_tabla_vida!$X$146)*E2_tabla_vida!$P$146,EXP(-C143*E2_tabla_vida!$X$147)*E2_tabla_vida!$P$147,EXP(-C143*E2_tabla_vida!$X$148)*E2_tabla_vida!$P$148,EXP(-C143*E2_tabla_vida!$X$149)*E2_tabla_vida!$P$149,EXP(-C143*E2_tabla_vida!$X$150)*E2_tabla_vida!$P$150,EXP(-C143*E2_tabla_vida!$X$151)*E2_tabla_vida!$P$151,EXP(-C143*E2_tabla_vida!$X$152)*E2_tabla_vida!$P$152,EXP(-C143*E2_tabla_vida!$X$153)*E2_tabla_vida!$P$153,EXP(-C143*E2_tabla_vida!$X$154)*E2_tabla_vida!$P$154,EXP(-C143*E2_tabla_vida!$X$155)*E2_tabla_vida!$P$155,EXP(-C143*E2_tabla_vida!$X$156)*E2_tabla_vida!$P$156,EXP(-C143*E2_tabla_vida!$X$157)*E2_tabla_vida!$P$157,EXP(-C143*E2_tabla_vida!$X$158)*E2_tabla_vida!$P$158,EXP(-C143*E2_tabla_vida!$X$159)*E2_tabla_vida!$P$159,EXP(-C143*E2_tabla_vida!$X$160)*E2_tabla_vida!$P$160,EXP(-C143*E2_tabla_vida!$X$161)*E2_tabla_vida!$P$161,EXP(-C143*E2_tabla_vida!$X$162)*E2_tabla_vida!$P$162,EXP(-C143*E2_tabla_vida!$X$163)*E2_tabla_vida!$P$163,EXP(-C143*E2_tabla_vida!$X$164)*E2_tabla_vida!$P$164,EXP(-C143*E2_tabla_vida!$X$165)*E2_tabla_vida!$P$165,EXP(-C143*E2_tabla_vida!$X$166)*E2_tabla_vida!$P$166,EXP(-C143*E2_tabla_vida!$X$167)*E2_tabla_vida!$P$167,EXP(-C143*E2_tabla_vida!$X$168)*E2_tabla_vida!$P$168,EXP(-C143*E2_tabla_vida!$X$169)*E2_tabla_vida!$P$169)-1</x:f>
        <x:v>5.513169480935088</x:v>
      </x:c>
      <x:c r="H143" s="24" t="n">
        <x:f>SUM(EXP(-D143*E2_tabla_vida!$X$128)*E2_tabla_vida!$P$128,EXP(-D143*E2_tabla_vida!$X$129)*E2_tabla_vida!$P$129,EXP(-D143*E2_tabla_vida!$X$130)*E2_tabla_vida!$P$130,EXP(-D143*E2_tabla_vida!$X$131)*E2_tabla_vida!$P$131,EXP(-D143*E2_tabla_vida!$X$132)*E2_tabla_vida!$P$132,EXP(-D143*E2_tabla_vida!$X$133)*E2_tabla_vida!$P$133,EXP(-D143*E2_tabla_vida!$X$134)*E2_tabla_vida!$P$134,EXP(-D143*E2_tabla_vida!$X$135)*E2_tabla_vida!$P$135,EXP(-D143*E2_tabla_vida!$X$136)*E2_tabla_vida!$P$136,EXP(-D143*E2_tabla_vida!$X$137)*E2_tabla_vida!$P$137,EXP(-D143*E2_tabla_vida!$X$138)*E2_tabla_vida!$P$138,EXP(-D143*E2_tabla_vida!$X$139)*E2_tabla_vida!$P$139,EXP(-D143*E2_tabla_vida!$X$140)*E2_tabla_vida!$P$140,EXP(-D143*E2_tabla_vida!$X$141)*E2_tabla_vida!$P$141,EXP(-D143*E2_tabla_vida!$X$142)*E2_tabla_vida!$P$142,EXP(-D143*E2_tabla_vida!$X$143)*E2_tabla_vida!$P$143,EXP(-D143*E2_tabla_vida!$X$144)*E2_tabla_vida!$P$144,EXP(-D143*E2_tabla_vida!$X$145)*E2_tabla_vida!$P$145,EXP(-D143*E2_tabla_vida!$X$146)*E2_tabla_vida!$P$146,EXP(-D143*E2_tabla_vida!$X$147)*E2_tabla_vida!$P$147,EXP(-D143*E2_tabla_vida!$X$148)*E2_tabla_vida!$P$148,EXP(-D143*E2_tabla_vida!$X$149)*E2_tabla_vida!$P$149,EXP(-D143*E2_tabla_vida!$X$150)*E2_tabla_vida!$P$150,EXP(-D143*E2_tabla_vida!$X$151)*E2_tabla_vida!$P$151,EXP(-D143*E2_tabla_vida!$X$152)*E2_tabla_vida!$P$152,EXP(-D143*E2_tabla_vida!$X$153)*E2_tabla_vida!$P$153,EXP(-D143*E2_tabla_vida!$X$154)*E2_tabla_vida!$P$154,EXP(-D143*E2_tabla_vida!$X$155)*E2_tabla_vida!$P$155,EXP(-D143*E2_tabla_vida!$X$156)*E2_tabla_vida!$P$156,EXP(-D143*E2_tabla_vida!$X$157)*E2_tabla_vida!$P$157,EXP(-D143*E2_tabla_vida!$X$158)*E2_tabla_vida!$P$158,EXP(-D143*E2_tabla_vida!$X$159)*E2_tabla_vida!$P$159,EXP(-D143*E2_tabla_vida!$X$160)*E2_tabla_vida!$P$160,EXP(-D143*E2_tabla_vida!$X$161)*E2_tabla_vida!$P$161,EXP(-D143*E2_tabla_vida!$X$162)*E2_tabla_vida!$P$162,EXP(-D143*E2_tabla_vida!$X$163)*E2_tabla_vida!$P$163,EXP(-D143*E2_tabla_vida!$X$164)*E2_tabla_vida!$P$164,EXP(-D143*E2_tabla_vida!$X$165)*E2_tabla_vida!$P$165,EXP(-D143*E2_tabla_vida!$X$166)*E2_tabla_vida!$P$166,EXP(-D143*E2_tabla_vida!$X$167)*E2_tabla_vida!$P$167,EXP(-D143*E2_tabla_vida!$X$168)*E2_tabla_vida!$P$168,EXP(-D143*E2_tabla_vida!$X$169)*E2_tabla_vida!$P$169)-1</x:f>
        <x:v>-0.9366386905789013</x:v>
      </x:c>
    </x:row>
    <x:row r="144" ht="19" customHeight="1">
      <x:c r="A144" s="2" t="str">
        <x:v>BB_L0</x:v>
      </x:c>
      <x:c r="B144" s="2" t="n">
        <x:v>4</x:v>
      </x:c>
      <x:c r="C144" s="22" t="n">
        <x:f>IF(F143&gt;0,E143,C143)</x:f>
        <x:v>0.125</x:v>
      </x:c>
      <x:c r="D144" s="22" t="n">
        <x:f>IF(F143&gt;0,D143,E143)</x:f>
        <x:v>0.3125</x:v>
      </x:c>
      <x:c r="E144" s="22" t="n">
        <x:f>AVERAGE(C144:D144)</x:f>
        <x:v>0.21875</x:v>
      </x:c>
      <x:c r="F144" s="24" t="n">
        <x:f>SUM(EXP(-E144*E2_tabla_vida!$X$128)*E2_tabla_vida!$P$128,EXP(-E144*E2_tabla_vida!$X$129)*E2_tabla_vida!$P$129,EXP(-E144*E2_tabla_vida!$X$130)*E2_tabla_vida!$P$130,EXP(-E144*E2_tabla_vida!$X$131)*E2_tabla_vida!$P$131,EXP(-E144*E2_tabla_vida!$X$132)*E2_tabla_vida!$P$132,EXP(-E144*E2_tabla_vida!$X$133)*E2_tabla_vida!$P$133,EXP(-E144*E2_tabla_vida!$X$134)*E2_tabla_vida!$P$134,EXP(-E144*E2_tabla_vida!$X$135)*E2_tabla_vida!$P$135,EXP(-E144*E2_tabla_vida!$X$136)*E2_tabla_vida!$P$136,EXP(-E144*E2_tabla_vida!$X$137)*E2_tabla_vida!$P$137,EXP(-E144*E2_tabla_vida!$X$138)*E2_tabla_vida!$P$138,EXP(-E144*E2_tabla_vida!$X$139)*E2_tabla_vida!$P$139,EXP(-E144*E2_tabla_vida!$X$140)*E2_tabla_vida!$P$140,EXP(-E144*E2_tabla_vida!$X$141)*E2_tabla_vida!$P$141,EXP(-E144*E2_tabla_vida!$X$142)*E2_tabla_vida!$P$142,EXP(-E144*E2_tabla_vida!$X$143)*E2_tabla_vida!$P$143,EXP(-E144*E2_tabla_vida!$X$144)*E2_tabla_vida!$P$144,EXP(-E144*E2_tabla_vida!$X$145)*E2_tabla_vida!$P$145,EXP(-E144*E2_tabla_vida!$X$146)*E2_tabla_vida!$P$146,EXP(-E144*E2_tabla_vida!$X$147)*E2_tabla_vida!$P$147,EXP(-E144*E2_tabla_vida!$X$148)*E2_tabla_vida!$P$148,EXP(-E144*E2_tabla_vida!$X$149)*E2_tabla_vida!$P$149,EXP(-E144*E2_tabla_vida!$X$150)*E2_tabla_vida!$P$150,EXP(-E144*E2_tabla_vida!$X$151)*E2_tabla_vida!$P$151,EXP(-E144*E2_tabla_vida!$X$152)*E2_tabla_vida!$P$152,EXP(-E144*E2_tabla_vida!$X$153)*E2_tabla_vida!$P$153,EXP(-E144*E2_tabla_vida!$X$154)*E2_tabla_vida!$P$154,EXP(-E144*E2_tabla_vida!$X$155)*E2_tabla_vida!$P$155,EXP(-E144*E2_tabla_vida!$X$156)*E2_tabla_vida!$P$156,EXP(-E144*E2_tabla_vida!$X$157)*E2_tabla_vida!$P$157,EXP(-E144*E2_tabla_vida!$X$158)*E2_tabla_vida!$P$158,EXP(-E144*E2_tabla_vida!$X$159)*E2_tabla_vida!$P$159,EXP(-E144*E2_tabla_vida!$X$160)*E2_tabla_vida!$P$160,EXP(-E144*E2_tabla_vida!$X$161)*E2_tabla_vida!$P$161,EXP(-E144*E2_tabla_vida!$X$162)*E2_tabla_vida!$P$162,EXP(-E144*E2_tabla_vida!$X$163)*E2_tabla_vida!$P$163,EXP(-E144*E2_tabla_vida!$X$164)*E2_tabla_vida!$P$164,EXP(-E144*E2_tabla_vida!$X$165)*E2_tabla_vida!$P$165,EXP(-E144*E2_tabla_vida!$X$166)*E2_tabla_vida!$P$166,EXP(-E144*E2_tabla_vida!$X$167)*E2_tabla_vida!$P$167,EXP(-E144*E2_tabla_vida!$X$168)*E2_tabla_vida!$P$168,EXP(-E144*E2_tabla_vida!$X$169)*E2_tabla_vida!$P$169)-1</x:f>
        <x:v>0.7536397650575744</x:v>
      </x:c>
      <x:c r="G144" s="24" t="n">
        <x:f>SUM(EXP(-C144*E2_tabla_vida!$X$128)*E2_tabla_vida!$P$128,EXP(-C144*E2_tabla_vida!$X$129)*E2_tabla_vida!$P$129,EXP(-C144*E2_tabla_vida!$X$130)*E2_tabla_vida!$P$130,EXP(-C144*E2_tabla_vida!$X$131)*E2_tabla_vida!$P$131,EXP(-C144*E2_tabla_vida!$X$132)*E2_tabla_vida!$P$132,EXP(-C144*E2_tabla_vida!$X$133)*E2_tabla_vida!$P$133,EXP(-C144*E2_tabla_vida!$X$134)*E2_tabla_vida!$P$134,EXP(-C144*E2_tabla_vida!$X$135)*E2_tabla_vida!$P$135,EXP(-C144*E2_tabla_vida!$X$136)*E2_tabla_vida!$P$136,EXP(-C144*E2_tabla_vida!$X$137)*E2_tabla_vida!$P$137,EXP(-C144*E2_tabla_vida!$X$138)*E2_tabla_vida!$P$138,EXP(-C144*E2_tabla_vida!$X$139)*E2_tabla_vida!$P$139,EXP(-C144*E2_tabla_vida!$X$140)*E2_tabla_vida!$P$140,EXP(-C144*E2_tabla_vida!$X$141)*E2_tabla_vida!$P$141,EXP(-C144*E2_tabla_vida!$X$142)*E2_tabla_vida!$P$142,EXP(-C144*E2_tabla_vida!$X$143)*E2_tabla_vida!$P$143,EXP(-C144*E2_tabla_vida!$X$144)*E2_tabla_vida!$P$144,EXP(-C144*E2_tabla_vida!$X$145)*E2_tabla_vida!$P$145,EXP(-C144*E2_tabla_vida!$X$146)*E2_tabla_vida!$P$146,EXP(-C144*E2_tabla_vida!$X$147)*E2_tabla_vida!$P$147,EXP(-C144*E2_tabla_vida!$X$148)*E2_tabla_vida!$P$148,EXP(-C144*E2_tabla_vida!$X$149)*E2_tabla_vida!$P$149,EXP(-C144*E2_tabla_vida!$X$150)*E2_tabla_vida!$P$150,EXP(-C144*E2_tabla_vida!$X$151)*E2_tabla_vida!$P$151,EXP(-C144*E2_tabla_vida!$X$152)*E2_tabla_vida!$P$152,EXP(-C144*E2_tabla_vida!$X$153)*E2_tabla_vida!$P$153,EXP(-C144*E2_tabla_vida!$X$154)*E2_tabla_vida!$P$154,EXP(-C144*E2_tabla_vida!$X$155)*E2_tabla_vida!$P$155,EXP(-C144*E2_tabla_vida!$X$156)*E2_tabla_vida!$P$156,EXP(-C144*E2_tabla_vida!$X$157)*E2_tabla_vida!$P$157,EXP(-C144*E2_tabla_vida!$X$158)*E2_tabla_vida!$P$158,EXP(-C144*E2_tabla_vida!$X$159)*E2_tabla_vida!$P$159,EXP(-C144*E2_tabla_vida!$X$160)*E2_tabla_vida!$P$160,EXP(-C144*E2_tabla_vida!$X$161)*E2_tabla_vida!$P$161,EXP(-C144*E2_tabla_vida!$X$162)*E2_tabla_vida!$P$162,EXP(-C144*E2_tabla_vida!$X$163)*E2_tabla_vida!$P$163,EXP(-C144*E2_tabla_vida!$X$164)*E2_tabla_vida!$P$164,EXP(-C144*E2_tabla_vida!$X$165)*E2_tabla_vida!$P$165,EXP(-C144*E2_tabla_vida!$X$166)*E2_tabla_vida!$P$166,EXP(-C144*E2_tabla_vida!$X$167)*E2_tabla_vida!$P$167,EXP(-C144*E2_tabla_vida!$X$168)*E2_tabla_vida!$P$168,EXP(-C144*E2_tabla_vida!$X$169)*E2_tabla_vida!$P$169)-1</x:f>
        <x:v>5.513169480935088</x:v>
      </x:c>
      <x:c r="H144" s="24" t="n">
        <x:f>SUM(EXP(-D144*E2_tabla_vida!$X$128)*E2_tabla_vida!$P$128,EXP(-D144*E2_tabla_vida!$X$129)*E2_tabla_vida!$P$129,EXP(-D144*E2_tabla_vida!$X$130)*E2_tabla_vida!$P$130,EXP(-D144*E2_tabla_vida!$X$131)*E2_tabla_vida!$P$131,EXP(-D144*E2_tabla_vida!$X$132)*E2_tabla_vida!$P$132,EXP(-D144*E2_tabla_vida!$X$133)*E2_tabla_vida!$P$133,EXP(-D144*E2_tabla_vida!$X$134)*E2_tabla_vida!$P$134,EXP(-D144*E2_tabla_vida!$X$135)*E2_tabla_vida!$P$135,EXP(-D144*E2_tabla_vida!$X$136)*E2_tabla_vida!$P$136,EXP(-D144*E2_tabla_vida!$X$137)*E2_tabla_vida!$P$137,EXP(-D144*E2_tabla_vida!$X$138)*E2_tabla_vida!$P$138,EXP(-D144*E2_tabla_vida!$X$139)*E2_tabla_vida!$P$139,EXP(-D144*E2_tabla_vida!$X$140)*E2_tabla_vida!$P$140,EXP(-D144*E2_tabla_vida!$X$141)*E2_tabla_vida!$P$141,EXP(-D144*E2_tabla_vida!$X$142)*E2_tabla_vida!$P$142,EXP(-D144*E2_tabla_vida!$X$143)*E2_tabla_vida!$P$143,EXP(-D144*E2_tabla_vida!$X$144)*E2_tabla_vida!$P$144,EXP(-D144*E2_tabla_vida!$X$145)*E2_tabla_vida!$P$145,EXP(-D144*E2_tabla_vida!$X$146)*E2_tabla_vida!$P$146,EXP(-D144*E2_tabla_vida!$X$147)*E2_tabla_vida!$P$147,EXP(-D144*E2_tabla_vida!$X$148)*E2_tabla_vida!$P$148,EXP(-D144*E2_tabla_vida!$X$149)*E2_tabla_vida!$P$149,EXP(-D144*E2_tabla_vida!$X$150)*E2_tabla_vida!$P$150,EXP(-D144*E2_tabla_vida!$X$151)*E2_tabla_vida!$P$151,EXP(-D144*E2_tabla_vida!$X$152)*E2_tabla_vida!$P$152,EXP(-D144*E2_tabla_vida!$X$153)*E2_tabla_vida!$P$153,EXP(-D144*E2_tabla_vida!$X$154)*E2_tabla_vida!$P$154,EXP(-D144*E2_tabla_vida!$X$155)*E2_tabla_vida!$P$155,EXP(-D144*E2_tabla_vida!$X$156)*E2_tabla_vida!$P$156,EXP(-D144*E2_tabla_vida!$X$157)*E2_tabla_vida!$P$157,EXP(-D144*E2_tabla_vida!$X$158)*E2_tabla_vida!$P$158,EXP(-D144*E2_tabla_vida!$X$159)*E2_tabla_vida!$P$159,EXP(-D144*E2_tabla_vida!$X$160)*E2_tabla_vida!$P$160,EXP(-D144*E2_tabla_vida!$X$161)*E2_tabla_vida!$P$161,EXP(-D144*E2_tabla_vida!$X$162)*E2_tabla_vida!$P$162,EXP(-D144*E2_tabla_vida!$X$163)*E2_tabla_vida!$P$163,EXP(-D144*E2_tabla_vida!$X$164)*E2_tabla_vida!$P$164,EXP(-D144*E2_tabla_vida!$X$165)*E2_tabla_vida!$P$165,EXP(-D144*E2_tabla_vida!$X$166)*E2_tabla_vida!$P$166,EXP(-D144*E2_tabla_vida!$X$167)*E2_tabla_vida!$P$167,EXP(-D144*E2_tabla_vida!$X$168)*E2_tabla_vida!$P$168,EXP(-D144*E2_tabla_vida!$X$169)*E2_tabla_vida!$P$169)-1</x:f>
        <x:v>-0.4639850020175832</x:v>
      </x:c>
    </x:row>
    <x:row r="145" ht="19" customHeight="1">
      <x:c r="A145" s="2" t="str">
        <x:v>BB_L0</x:v>
      </x:c>
      <x:c r="B145" s="2" t="n">
        <x:v>5</x:v>
      </x:c>
      <x:c r="C145" s="22" t="n">
        <x:f>IF(F144&gt;0,E144,C144)</x:f>
        <x:v>0.21875</x:v>
      </x:c>
      <x:c r="D145" s="22" t="n">
        <x:f>IF(F144&gt;0,D144,E144)</x:f>
        <x:v>0.3125</x:v>
      </x:c>
      <x:c r="E145" s="22" t="n">
        <x:f>AVERAGE(C145:D145)</x:f>
        <x:v>0.265625</x:v>
      </x:c>
      <x:c r="F145" s="24" t="n">
        <x:f>SUM(EXP(-E145*E2_tabla_vida!$X$128)*E2_tabla_vida!$P$128,EXP(-E145*E2_tabla_vida!$X$129)*E2_tabla_vida!$P$129,EXP(-E145*E2_tabla_vida!$X$130)*E2_tabla_vida!$P$130,EXP(-E145*E2_tabla_vida!$X$131)*E2_tabla_vida!$P$131,EXP(-E145*E2_tabla_vida!$X$132)*E2_tabla_vida!$P$132,EXP(-E145*E2_tabla_vida!$X$133)*E2_tabla_vida!$P$133,EXP(-E145*E2_tabla_vida!$X$134)*E2_tabla_vida!$P$134,EXP(-E145*E2_tabla_vida!$X$135)*E2_tabla_vida!$P$135,EXP(-E145*E2_tabla_vida!$X$136)*E2_tabla_vida!$P$136,EXP(-E145*E2_tabla_vida!$X$137)*E2_tabla_vida!$P$137,EXP(-E145*E2_tabla_vida!$X$138)*E2_tabla_vida!$P$138,EXP(-E145*E2_tabla_vida!$X$139)*E2_tabla_vida!$P$139,EXP(-E145*E2_tabla_vida!$X$140)*E2_tabla_vida!$P$140,EXP(-E145*E2_tabla_vida!$X$141)*E2_tabla_vida!$P$141,EXP(-E145*E2_tabla_vida!$X$142)*E2_tabla_vida!$P$142,EXP(-E145*E2_tabla_vida!$X$143)*E2_tabla_vida!$P$143,EXP(-E145*E2_tabla_vida!$X$144)*E2_tabla_vida!$P$144,EXP(-E145*E2_tabla_vida!$X$145)*E2_tabla_vida!$P$145,EXP(-E145*E2_tabla_vida!$X$146)*E2_tabla_vida!$P$146,EXP(-E145*E2_tabla_vida!$X$147)*E2_tabla_vida!$P$147,EXP(-E145*E2_tabla_vida!$X$148)*E2_tabla_vida!$P$148,EXP(-E145*E2_tabla_vida!$X$149)*E2_tabla_vida!$P$149,EXP(-E145*E2_tabla_vida!$X$150)*E2_tabla_vida!$P$150,EXP(-E145*E2_tabla_vida!$X$151)*E2_tabla_vida!$P$151,EXP(-E145*E2_tabla_vida!$X$152)*E2_tabla_vida!$P$152,EXP(-E145*E2_tabla_vida!$X$153)*E2_tabla_vida!$P$153,EXP(-E145*E2_tabla_vida!$X$154)*E2_tabla_vida!$P$154,EXP(-E145*E2_tabla_vida!$X$155)*E2_tabla_vida!$P$155,EXP(-E145*E2_tabla_vida!$X$156)*E2_tabla_vida!$P$156,EXP(-E145*E2_tabla_vida!$X$157)*E2_tabla_vida!$P$157,EXP(-E145*E2_tabla_vida!$X$158)*E2_tabla_vida!$P$158,EXP(-E145*E2_tabla_vida!$X$159)*E2_tabla_vida!$P$159,EXP(-E145*E2_tabla_vida!$X$160)*E2_tabla_vida!$P$160,EXP(-E145*E2_tabla_vida!$X$161)*E2_tabla_vida!$P$161,EXP(-E145*E2_tabla_vida!$X$162)*E2_tabla_vida!$P$162,EXP(-E145*E2_tabla_vida!$X$163)*E2_tabla_vida!$P$163,EXP(-E145*E2_tabla_vida!$X$164)*E2_tabla_vida!$P$164,EXP(-E145*E2_tabla_vida!$X$165)*E2_tabla_vida!$P$165,EXP(-E145*E2_tabla_vida!$X$166)*E2_tabla_vida!$P$166,EXP(-E145*E2_tabla_vida!$X$167)*E2_tabla_vida!$P$167,EXP(-E145*E2_tabla_vida!$X$168)*E2_tabla_vida!$P$168,EXP(-E145*E2_tabla_vida!$X$169)*E2_tabla_vida!$P$169)-1</x:f>
        <x:v>-0.04285531930230535</x:v>
      </x:c>
      <x:c r="G145" s="24" t="n">
        <x:f>SUM(EXP(-C145*E2_tabla_vida!$X$128)*E2_tabla_vida!$P$128,EXP(-C145*E2_tabla_vida!$X$129)*E2_tabla_vida!$P$129,EXP(-C145*E2_tabla_vida!$X$130)*E2_tabla_vida!$P$130,EXP(-C145*E2_tabla_vida!$X$131)*E2_tabla_vida!$P$131,EXP(-C145*E2_tabla_vida!$X$132)*E2_tabla_vida!$P$132,EXP(-C145*E2_tabla_vida!$X$133)*E2_tabla_vida!$P$133,EXP(-C145*E2_tabla_vida!$X$134)*E2_tabla_vida!$P$134,EXP(-C145*E2_tabla_vida!$X$135)*E2_tabla_vida!$P$135,EXP(-C145*E2_tabla_vida!$X$136)*E2_tabla_vida!$P$136,EXP(-C145*E2_tabla_vida!$X$137)*E2_tabla_vida!$P$137,EXP(-C145*E2_tabla_vida!$X$138)*E2_tabla_vida!$P$138,EXP(-C145*E2_tabla_vida!$X$139)*E2_tabla_vida!$P$139,EXP(-C145*E2_tabla_vida!$X$140)*E2_tabla_vida!$P$140,EXP(-C145*E2_tabla_vida!$X$141)*E2_tabla_vida!$P$141,EXP(-C145*E2_tabla_vida!$X$142)*E2_tabla_vida!$P$142,EXP(-C145*E2_tabla_vida!$X$143)*E2_tabla_vida!$P$143,EXP(-C145*E2_tabla_vida!$X$144)*E2_tabla_vida!$P$144,EXP(-C145*E2_tabla_vida!$X$145)*E2_tabla_vida!$P$145,EXP(-C145*E2_tabla_vida!$X$146)*E2_tabla_vida!$P$146,EXP(-C145*E2_tabla_vida!$X$147)*E2_tabla_vida!$P$147,EXP(-C145*E2_tabla_vida!$X$148)*E2_tabla_vida!$P$148,EXP(-C145*E2_tabla_vida!$X$149)*E2_tabla_vida!$P$149,EXP(-C145*E2_tabla_vida!$X$150)*E2_tabla_vida!$P$150,EXP(-C145*E2_tabla_vida!$X$151)*E2_tabla_vida!$P$151,EXP(-C145*E2_tabla_vida!$X$152)*E2_tabla_vida!$P$152,EXP(-C145*E2_tabla_vida!$X$153)*E2_tabla_vida!$P$153,EXP(-C145*E2_tabla_vida!$X$154)*E2_tabla_vida!$P$154,EXP(-C145*E2_tabla_vida!$X$155)*E2_tabla_vida!$P$155,EXP(-C145*E2_tabla_vida!$X$156)*E2_tabla_vida!$P$156,EXP(-C145*E2_tabla_vida!$X$157)*E2_tabla_vida!$P$157,EXP(-C145*E2_tabla_vida!$X$158)*E2_tabla_vida!$P$158,EXP(-C145*E2_tabla_vida!$X$159)*E2_tabla_vida!$P$159,EXP(-C145*E2_tabla_vida!$X$160)*E2_tabla_vida!$P$160,EXP(-C145*E2_tabla_vida!$X$161)*E2_tabla_vida!$P$161,EXP(-C145*E2_tabla_vida!$X$162)*E2_tabla_vida!$P$162,EXP(-C145*E2_tabla_vida!$X$163)*E2_tabla_vida!$P$163,EXP(-C145*E2_tabla_vida!$X$164)*E2_tabla_vida!$P$164,EXP(-C145*E2_tabla_vida!$X$165)*E2_tabla_vida!$P$165,EXP(-C145*E2_tabla_vida!$X$166)*E2_tabla_vida!$P$166,EXP(-C145*E2_tabla_vida!$X$167)*E2_tabla_vida!$P$167,EXP(-C145*E2_tabla_vida!$X$168)*E2_tabla_vida!$P$168,EXP(-C145*E2_tabla_vida!$X$169)*E2_tabla_vida!$P$169)-1</x:f>
        <x:v>0.7536397650575744</x:v>
      </x:c>
      <x:c r="H145" s="24" t="n">
        <x:f>SUM(EXP(-D145*E2_tabla_vida!$X$128)*E2_tabla_vida!$P$128,EXP(-D145*E2_tabla_vida!$X$129)*E2_tabla_vida!$P$129,EXP(-D145*E2_tabla_vida!$X$130)*E2_tabla_vida!$P$130,EXP(-D145*E2_tabla_vida!$X$131)*E2_tabla_vida!$P$131,EXP(-D145*E2_tabla_vida!$X$132)*E2_tabla_vida!$P$132,EXP(-D145*E2_tabla_vida!$X$133)*E2_tabla_vida!$P$133,EXP(-D145*E2_tabla_vida!$X$134)*E2_tabla_vida!$P$134,EXP(-D145*E2_tabla_vida!$X$135)*E2_tabla_vida!$P$135,EXP(-D145*E2_tabla_vida!$X$136)*E2_tabla_vida!$P$136,EXP(-D145*E2_tabla_vida!$X$137)*E2_tabla_vida!$P$137,EXP(-D145*E2_tabla_vida!$X$138)*E2_tabla_vida!$P$138,EXP(-D145*E2_tabla_vida!$X$139)*E2_tabla_vida!$P$139,EXP(-D145*E2_tabla_vida!$X$140)*E2_tabla_vida!$P$140,EXP(-D145*E2_tabla_vida!$X$141)*E2_tabla_vida!$P$141,EXP(-D145*E2_tabla_vida!$X$142)*E2_tabla_vida!$P$142,EXP(-D145*E2_tabla_vida!$X$143)*E2_tabla_vida!$P$143,EXP(-D145*E2_tabla_vida!$X$144)*E2_tabla_vida!$P$144,EXP(-D145*E2_tabla_vida!$X$145)*E2_tabla_vida!$P$145,EXP(-D145*E2_tabla_vida!$X$146)*E2_tabla_vida!$P$146,EXP(-D145*E2_tabla_vida!$X$147)*E2_tabla_vida!$P$147,EXP(-D145*E2_tabla_vida!$X$148)*E2_tabla_vida!$P$148,EXP(-D145*E2_tabla_vida!$X$149)*E2_tabla_vida!$P$149,EXP(-D145*E2_tabla_vida!$X$150)*E2_tabla_vida!$P$150,EXP(-D145*E2_tabla_vida!$X$151)*E2_tabla_vida!$P$151,EXP(-D145*E2_tabla_vida!$X$152)*E2_tabla_vida!$P$152,EXP(-D145*E2_tabla_vida!$X$153)*E2_tabla_vida!$P$153,EXP(-D145*E2_tabla_vida!$X$154)*E2_tabla_vida!$P$154,EXP(-D145*E2_tabla_vida!$X$155)*E2_tabla_vida!$P$155,EXP(-D145*E2_tabla_vida!$X$156)*E2_tabla_vida!$P$156,EXP(-D145*E2_tabla_vida!$X$157)*E2_tabla_vida!$P$157,EXP(-D145*E2_tabla_vida!$X$158)*E2_tabla_vida!$P$158,EXP(-D145*E2_tabla_vida!$X$159)*E2_tabla_vida!$P$159,EXP(-D145*E2_tabla_vida!$X$160)*E2_tabla_vida!$P$160,EXP(-D145*E2_tabla_vida!$X$161)*E2_tabla_vida!$P$161,EXP(-D145*E2_tabla_vida!$X$162)*E2_tabla_vida!$P$162,EXP(-D145*E2_tabla_vida!$X$163)*E2_tabla_vida!$P$163,EXP(-D145*E2_tabla_vida!$X$164)*E2_tabla_vida!$P$164,EXP(-D145*E2_tabla_vida!$X$165)*E2_tabla_vida!$P$165,EXP(-D145*E2_tabla_vida!$X$166)*E2_tabla_vida!$P$166,EXP(-D145*E2_tabla_vida!$X$167)*E2_tabla_vida!$P$167,EXP(-D145*E2_tabla_vida!$X$168)*E2_tabla_vida!$P$168,EXP(-D145*E2_tabla_vida!$X$169)*E2_tabla_vida!$P$169)-1</x:f>
        <x:v>-0.4639850020175832</x:v>
      </x:c>
    </x:row>
    <x:row r="146" ht="19" customHeight="1">
      <x:c r="A146" s="2" t="str">
        <x:v>BB_L0</x:v>
      </x:c>
      <x:c r="B146" s="2" t="n">
        <x:v>6</x:v>
      </x:c>
      <x:c r="C146" s="22" t="n">
        <x:f>IF(F145&gt;0,E145,C145)</x:f>
        <x:v>0.21875</x:v>
      </x:c>
      <x:c r="D146" s="22" t="n">
        <x:f>IF(F145&gt;0,D145,E145)</x:f>
        <x:v>0.265625</x:v>
      </x:c>
      <x:c r="E146" s="22" t="n">
        <x:f>AVERAGE(C146:D146)</x:f>
        <x:v>0.2421875</x:v>
      </x:c>
      <x:c r="F146" s="24" t="n">
        <x:f>SUM(EXP(-E146*E2_tabla_vida!$X$128)*E2_tabla_vida!$P$128,EXP(-E146*E2_tabla_vida!$X$129)*E2_tabla_vida!$P$129,EXP(-E146*E2_tabla_vida!$X$130)*E2_tabla_vida!$P$130,EXP(-E146*E2_tabla_vida!$X$131)*E2_tabla_vida!$P$131,EXP(-E146*E2_tabla_vida!$X$132)*E2_tabla_vida!$P$132,EXP(-E146*E2_tabla_vida!$X$133)*E2_tabla_vida!$P$133,EXP(-E146*E2_tabla_vida!$X$134)*E2_tabla_vida!$P$134,EXP(-E146*E2_tabla_vida!$X$135)*E2_tabla_vida!$P$135,EXP(-E146*E2_tabla_vida!$X$136)*E2_tabla_vida!$P$136,EXP(-E146*E2_tabla_vida!$X$137)*E2_tabla_vida!$P$137,EXP(-E146*E2_tabla_vida!$X$138)*E2_tabla_vida!$P$138,EXP(-E146*E2_tabla_vida!$X$139)*E2_tabla_vida!$P$139,EXP(-E146*E2_tabla_vida!$X$140)*E2_tabla_vida!$P$140,EXP(-E146*E2_tabla_vida!$X$141)*E2_tabla_vida!$P$141,EXP(-E146*E2_tabla_vida!$X$142)*E2_tabla_vida!$P$142,EXP(-E146*E2_tabla_vida!$X$143)*E2_tabla_vida!$P$143,EXP(-E146*E2_tabla_vida!$X$144)*E2_tabla_vida!$P$144,EXP(-E146*E2_tabla_vida!$X$145)*E2_tabla_vida!$P$145,EXP(-E146*E2_tabla_vida!$X$146)*E2_tabla_vida!$P$146,EXP(-E146*E2_tabla_vida!$X$147)*E2_tabla_vida!$P$147,EXP(-E146*E2_tabla_vida!$X$148)*E2_tabla_vida!$P$148,EXP(-E146*E2_tabla_vida!$X$149)*E2_tabla_vida!$P$149,EXP(-E146*E2_tabla_vida!$X$150)*E2_tabla_vida!$P$150,EXP(-E146*E2_tabla_vida!$X$151)*E2_tabla_vida!$P$151,EXP(-E146*E2_tabla_vida!$X$152)*E2_tabla_vida!$P$152,EXP(-E146*E2_tabla_vida!$X$153)*E2_tabla_vida!$P$153,EXP(-E146*E2_tabla_vida!$X$154)*E2_tabla_vida!$P$154,EXP(-E146*E2_tabla_vida!$X$155)*E2_tabla_vida!$P$155,EXP(-E146*E2_tabla_vida!$X$156)*E2_tabla_vida!$P$156,EXP(-E146*E2_tabla_vida!$X$157)*E2_tabla_vida!$P$157,EXP(-E146*E2_tabla_vida!$X$158)*E2_tabla_vida!$P$158,EXP(-E146*E2_tabla_vida!$X$159)*E2_tabla_vida!$P$159,EXP(-E146*E2_tabla_vida!$X$160)*E2_tabla_vida!$P$160,EXP(-E146*E2_tabla_vida!$X$161)*E2_tabla_vida!$P$161,EXP(-E146*E2_tabla_vida!$X$162)*E2_tabla_vida!$P$162,EXP(-E146*E2_tabla_vida!$X$163)*E2_tabla_vida!$P$163,EXP(-E146*E2_tabla_vida!$X$164)*E2_tabla_vida!$P$164,EXP(-E146*E2_tabla_vida!$X$165)*E2_tabla_vida!$P$165,EXP(-E146*E2_tabla_vida!$X$166)*E2_tabla_vida!$P$166,EXP(-E146*E2_tabla_vida!$X$167)*E2_tabla_vida!$P$167,EXP(-E146*E2_tabla_vida!$X$168)*E2_tabla_vida!$P$168,EXP(-E146*E2_tabla_vida!$X$169)*E2_tabla_vida!$P$169)-1</x:f>
        <x:v>0.29100000088492783</x:v>
      </x:c>
      <x:c r="G146" s="24" t="n">
        <x:f>SUM(EXP(-C146*E2_tabla_vida!$X$128)*E2_tabla_vida!$P$128,EXP(-C146*E2_tabla_vida!$X$129)*E2_tabla_vida!$P$129,EXP(-C146*E2_tabla_vida!$X$130)*E2_tabla_vida!$P$130,EXP(-C146*E2_tabla_vida!$X$131)*E2_tabla_vida!$P$131,EXP(-C146*E2_tabla_vida!$X$132)*E2_tabla_vida!$P$132,EXP(-C146*E2_tabla_vida!$X$133)*E2_tabla_vida!$P$133,EXP(-C146*E2_tabla_vida!$X$134)*E2_tabla_vida!$P$134,EXP(-C146*E2_tabla_vida!$X$135)*E2_tabla_vida!$P$135,EXP(-C146*E2_tabla_vida!$X$136)*E2_tabla_vida!$P$136,EXP(-C146*E2_tabla_vida!$X$137)*E2_tabla_vida!$P$137,EXP(-C146*E2_tabla_vida!$X$138)*E2_tabla_vida!$P$138,EXP(-C146*E2_tabla_vida!$X$139)*E2_tabla_vida!$P$139,EXP(-C146*E2_tabla_vida!$X$140)*E2_tabla_vida!$P$140,EXP(-C146*E2_tabla_vida!$X$141)*E2_tabla_vida!$P$141,EXP(-C146*E2_tabla_vida!$X$142)*E2_tabla_vida!$P$142,EXP(-C146*E2_tabla_vida!$X$143)*E2_tabla_vida!$P$143,EXP(-C146*E2_tabla_vida!$X$144)*E2_tabla_vida!$P$144,EXP(-C146*E2_tabla_vida!$X$145)*E2_tabla_vida!$P$145,EXP(-C146*E2_tabla_vida!$X$146)*E2_tabla_vida!$P$146,EXP(-C146*E2_tabla_vida!$X$147)*E2_tabla_vida!$P$147,EXP(-C146*E2_tabla_vida!$X$148)*E2_tabla_vida!$P$148,EXP(-C146*E2_tabla_vida!$X$149)*E2_tabla_vida!$P$149,EXP(-C146*E2_tabla_vida!$X$150)*E2_tabla_vida!$P$150,EXP(-C146*E2_tabla_vida!$X$151)*E2_tabla_vida!$P$151,EXP(-C146*E2_tabla_vida!$X$152)*E2_tabla_vida!$P$152,EXP(-C146*E2_tabla_vida!$X$153)*E2_tabla_vida!$P$153,EXP(-C146*E2_tabla_vida!$X$154)*E2_tabla_vida!$P$154,EXP(-C146*E2_tabla_vida!$X$155)*E2_tabla_vida!$P$155,EXP(-C146*E2_tabla_vida!$X$156)*E2_tabla_vida!$P$156,EXP(-C146*E2_tabla_vida!$X$157)*E2_tabla_vida!$P$157,EXP(-C146*E2_tabla_vida!$X$158)*E2_tabla_vida!$P$158,EXP(-C146*E2_tabla_vida!$X$159)*E2_tabla_vida!$P$159,EXP(-C146*E2_tabla_vida!$X$160)*E2_tabla_vida!$P$160,EXP(-C146*E2_tabla_vida!$X$161)*E2_tabla_vida!$P$161,EXP(-C146*E2_tabla_vida!$X$162)*E2_tabla_vida!$P$162,EXP(-C146*E2_tabla_vida!$X$163)*E2_tabla_vida!$P$163,EXP(-C146*E2_tabla_vida!$X$164)*E2_tabla_vida!$P$164,EXP(-C146*E2_tabla_vida!$X$165)*E2_tabla_vida!$P$165,EXP(-C146*E2_tabla_vida!$X$166)*E2_tabla_vida!$P$166,EXP(-C146*E2_tabla_vida!$X$167)*E2_tabla_vida!$P$167,EXP(-C146*E2_tabla_vida!$X$168)*E2_tabla_vida!$P$168,EXP(-C146*E2_tabla_vida!$X$169)*E2_tabla_vida!$P$169)-1</x:f>
        <x:v>0.7536397650575744</x:v>
      </x:c>
      <x:c r="H146" s="24" t="n">
        <x:f>SUM(EXP(-D146*E2_tabla_vida!$X$128)*E2_tabla_vida!$P$128,EXP(-D146*E2_tabla_vida!$X$129)*E2_tabla_vida!$P$129,EXP(-D146*E2_tabla_vida!$X$130)*E2_tabla_vida!$P$130,EXP(-D146*E2_tabla_vida!$X$131)*E2_tabla_vida!$P$131,EXP(-D146*E2_tabla_vida!$X$132)*E2_tabla_vida!$P$132,EXP(-D146*E2_tabla_vida!$X$133)*E2_tabla_vida!$P$133,EXP(-D146*E2_tabla_vida!$X$134)*E2_tabla_vida!$P$134,EXP(-D146*E2_tabla_vida!$X$135)*E2_tabla_vida!$P$135,EXP(-D146*E2_tabla_vida!$X$136)*E2_tabla_vida!$P$136,EXP(-D146*E2_tabla_vida!$X$137)*E2_tabla_vida!$P$137,EXP(-D146*E2_tabla_vida!$X$138)*E2_tabla_vida!$P$138,EXP(-D146*E2_tabla_vida!$X$139)*E2_tabla_vida!$P$139,EXP(-D146*E2_tabla_vida!$X$140)*E2_tabla_vida!$P$140,EXP(-D146*E2_tabla_vida!$X$141)*E2_tabla_vida!$P$141,EXP(-D146*E2_tabla_vida!$X$142)*E2_tabla_vida!$P$142,EXP(-D146*E2_tabla_vida!$X$143)*E2_tabla_vida!$P$143,EXP(-D146*E2_tabla_vida!$X$144)*E2_tabla_vida!$P$144,EXP(-D146*E2_tabla_vida!$X$145)*E2_tabla_vida!$P$145,EXP(-D146*E2_tabla_vida!$X$146)*E2_tabla_vida!$P$146,EXP(-D146*E2_tabla_vida!$X$147)*E2_tabla_vida!$P$147,EXP(-D146*E2_tabla_vida!$X$148)*E2_tabla_vida!$P$148,EXP(-D146*E2_tabla_vida!$X$149)*E2_tabla_vida!$P$149,EXP(-D146*E2_tabla_vida!$X$150)*E2_tabla_vida!$P$150,EXP(-D146*E2_tabla_vida!$X$151)*E2_tabla_vida!$P$151,EXP(-D146*E2_tabla_vida!$X$152)*E2_tabla_vida!$P$152,EXP(-D146*E2_tabla_vida!$X$153)*E2_tabla_vida!$P$153,EXP(-D146*E2_tabla_vida!$X$154)*E2_tabla_vida!$P$154,EXP(-D146*E2_tabla_vida!$X$155)*E2_tabla_vida!$P$155,EXP(-D146*E2_tabla_vida!$X$156)*E2_tabla_vida!$P$156,EXP(-D146*E2_tabla_vida!$X$157)*E2_tabla_vida!$P$157,EXP(-D146*E2_tabla_vida!$X$158)*E2_tabla_vida!$P$158,EXP(-D146*E2_tabla_vida!$X$159)*E2_tabla_vida!$P$159,EXP(-D146*E2_tabla_vida!$X$160)*E2_tabla_vida!$P$160,EXP(-D146*E2_tabla_vida!$X$161)*E2_tabla_vida!$P$161,EXP(-D146*E2_tabla_vida!$X$162)*E2_tabla_vida!$P$162,EXP(-D146*E2_tabla_vida!$X$163)*E2_tabla_vida!$P$163,EXP(-D146*E2_tabla_vida!$X$164)*E2_tabla_vida!$P$164,EXP(-D146*E2_tabla_vida!$X$165)*E2_tabla_vida!$P$165,EXP(-D146*E2_tabla_vida!$X$166)*E2_tabla_vida!$P$166,EXP(-D146*E2_tabla_vida!$X$167)*E2_tabla_vida!$P$167,EXP(-D146*E2_tabla_vida!$X$168)*E2_tabla_vida!$P$168,EXP(-D146*E2_tabla_vida!$X$169)*E2_tabla_vida!$P$169)-1</x:f>
        <x:v>-0.04285531930230535</x:v>
      </x:c>
    </x:row>
    <x:row r="147" ht="19" customHeight="1">
      <x:c r="A147" s="2" t="str">
        <x:v>BB_L0</x:v>
      </x:c>
      <x:c r="B147" s="2" t="n">
        <x:v>7</x:v>
      </x:c>
      <x:c r="C147" s="22" t="n">
        <x:f>IF(F146&gt;0,E146,C146)</x:f>
        <x:v>0.2421875</x:v>
      </x:c>
      <x:c r="D147" s="22" t="n">
        <x:f>IF(F146&gt;0,D146,E146)</x:f>
        <x:v>0.265625</x:v>
      </x:c>
      <x:c r="E147" s="22" t="n">
        <x:f>AVERAGE(C147:D147)</x:f>
        <x:v>0.25390625</x:v>
      </x:c>
      <x:c r="F147" s="24" t="n">
        <x:f>SUM(EXP(-E147*E2_tabla_vida!$X$128)*E2_tabla_vida!$P$128,EXP(-E147*E2_tabla_vida!$X$129)*E2_tabla_vida!$P$129,EXP(-E147*E2_tabla_vida!$X$130)*E2_tabla_vida!$P$130,EXP(-E147*E2_tabla_vida!$X$131)*E2_tabla_vida!$P$131,EXP(-E147*E2_tabla_vida!$X$132)*E2_tabla_vida!$P$132,EXP(-E147*E2_tabla_vida!$X$133)*E2_tabla_vida!$P$133,EXP(-E147*E2_tabla_vida!$X$134)*E2_tabla_vida!$P$134,EXP(-E147*E2_tabla_vida!$X$135)*E2_tabla_vida!$P$135,EXP(-E147*E2_tabla_vida!$X$136)*E2_tabla_vida!$P$136,EXP(-E147*E2_tabla_vida!$X$137)*E2_tabla_vida!$P$137,EXP(-E147*E2_tabla_vida!$X$138)*E2_tabla_vida!$P$138,EXP(-E147*E2_tabla_vida!$X$139)*E2_tabla_vida!$P$139,EXP(-E147*E2_tabla_vida!$X$140)*E2_tabla_vida!$P$140,EXP(-E147*E2_tabla_vida!$X$141)*E2_tabla_vida!$P$141,EXP(-E147*E2_tabla_vida!$X$142)*E2_tabla_vida!$P$142,EXP(-E147*E2_tabla_vida!$X$143)*E2_tabla_vida!$P$143,EXP(-E147*E2_tabla_vida!$X$144)*E2_tabla_vida!$P$144,EXP(-E147*E2_tabla_vida!$X$145)*E2_tabla_vida!$P$145,EXP(-E147*E2_tabla_vida!$X$146)*E2_tabla_vida!$P$146,EXP(-E147*E2_tabla_vida!$X$147)*E2_tabla_vida!$P$147,EXP(-E147*E2_tabla_vida!$X$148)*E2_tabla_vida!$P$148,EXP(-E147*E2_tabla_vida!$X$149)*E2_tabla_vida!$P$149,EXP(-E147*E2_tabla_vida!$X$150)*E2_tabla_vida!$P$150,EXP(-E147*E2_tabla_vida!$X$151)*E2_tabla_vida!$P$151,EXP(-E147*E2_tabla_vida!$X$152)*E2_tabla_vida!$P$152,EXP(-E147*E2_tabla_vida!$X$153)*E2_tabla_vida!$P$153,EXP(-E147*E2_tabla_vida!$X$154)*E2_tabla_vida!$P$154,EXP(-E147*E2_tabla_vida!$X$155)*E2_tabla_vida!$P$155,EXP(-E147*E2_tabla_vida!$X$156)*E2_tabla_vida!$P$156,EXP(-E147*E2_tabla_vida!$X$157)*E2_tabla_vida!$P$157,EXP(-E147*E2_tabla_vida!$X$158)*E2_tabla_vida!$P$158,EXP(-E147*E2_tabla_vida!$X$159)*E2_tabla_vida!$P$159,EXP(-E147*E2_tabla_vida!$X$160)*E2_tabla_vida!$P$160,EXP(-E147*E2_tabla_vida!$X$161)*E2_tabla_vida!$P$161,EXP(-E147*E2_tabla_vida!$X$162)*E2_tabla_vida!$P$162,EXP(-E147*E2_tabla_vida!$X$163)*E2_tabla_vida!$P$163,EXP(-E147*E2_tabla_vida!$X$164)*E2_tabla_vida!$P$164,EXP(-E147*E2_tabla_vida!$X$165)*E2_tabla_vida!$P$165,EXP(-E147*E2_tabla_vida!$X$166)*E2_tabla_vida!$P$166,EXP(-E147*E2_tabla_vida!$X$167)*E2_tabla_vida!$P$167,EXP(-E147*E2_tabla_vida!$X$168)*E2_tabla_vida!$P$168,EXP(-E147*E2_tabla_vida!$X$169)*E2_tabla_vida!$P$169)-1</x:f>
        <x:v>0.1106758588897605</x:v>
      </x:c>
      <x:c r="G147" s="24" t="n">
        <x:f>SUM(EXP(-C147*E2_tabla_vida!$X$128)*E2_tabla_vida!$P$128,EXP(-C147*E2_tabla_vida!$X$129)*E2_tabla_vida!$P$129,EXP(-C147*E2_tabla_vida!$X$130)*E2_tabla_vida!$P$130,EXP(-C147*E2_tabla_vida!$X$131)*E2_tabla_vida!$P$131,EXP(-C147*E2_tabla_vida!$X$132)*E2_tabla_vida!$P$132,EXP(-C147*E2_tabla_vida!$X$133)*E2_tabla_vida!$P$133,EXP(-C147*E2_tabla_vida!$X$134)*E2_tabla_vida!$P$134,EXP(-C147*E2_tabla_vida!$X$135)*E2_tabla_vida!$P$135,EXP(-C147*E2_tabla_vida!$X$136)*E2_tabla_vida!$P$136,EXP(-C147*E2_tabla_vida!$X$137)*E2_tabla_vida!$P$137,EXP(-C147*E2_tabla_vida!$X$138)*E2_tabla_vida!$P$138,EXP(-C147*E2_tabla_vida!$X$139)*E2_tabla_vida!$P$139,EXP(-C147*E2_tabla_vida!$X$140)*E2_tabla_vida!$P$140,EXP(-C147*E2_tabla_vida!$X$141)*E2_tabla_vida!$P$141,EXP(-C147*E2_tabla_vida!$X$142)*E2_tabla_vida!$P$142,EXP(-C147*E2_tabla_vida!$X$143)*E2_tabla_vida!$P$143,EXP(-C147*E2_tabla_vida!$X$144)*E2_tabla_vida!$P$144,EXP(-C147*E2_tabla_vida!$X$145)*E2_tabla_vida!$P$145,EXP(-C147*E2_tabla_vida!$X$146)*E2_tabla_vida!$P$146,EXP(-C147*E2_tabla_vida!$X$147)*E2_tabla_vida!$P$147,EXP(-C147*E2_tabla_vida!$X$148)*E2_tabla_vida!$P$148,EXP(-C147*E2_tabla_vida!$X$149)*E2_tabla_vida!$P$149,EXP(-C147*E2_tabla_vida!$X$150)*E2_tabla_vida!$P$150,EXP(-C147*E2_tabla_vida!$X$151)*E2_tabla_vida!$P$151,EXP(-C147*E2_tabla_vida!$X$152)*E2_tabla_vida!$P$152,EXP(-C147*E2_tabla_vida!$X$153)*E2_tabla_vida!$P$153,EXP(-C147*E2_tabla_vida!$X$154)*E2_tabla_vida!$P$154,EXP(-C147*E2_tabla_vida!$X$155)*E2_tabla_vida!$P$155,EXP(-C147*E2_tabla_vida!$X$156)*E2_tabla_vida!$P$156,EXP(-C147*E2_tabla_vida!$X$157)*E2_tabla_vida!$P$157,EXP(-C147*E2_tabla_vida!$X$158)*E2_tabla_vida!$P$158,EXP(-C147*E2_tabla_vida!$X$159)*E2_tabla_vida!$P$159,EXP(-C147*E2_tabla_vida!$X$160)*E2_tabla_vida!$P$160,EXP(-C147*E2_tabla_vida!$X$161)*E2_tabla_vida!$P$161,EXP(-C147*E2_tabla_vida!$X$162)*E2_tabla_vida!$P$162,EXP(-C147*E2_tabla_vida!$X$163)*E2_tabla_vida!$P$163,EXP(-C147*E2_tabla_vida!$X$164)*E2_tabla_vida!$P$164,EXP(-C147*E2_tabla_vida!$X$165)*E2_tabla_vida!$P$165,EXP(-C147*E2_tabla_vida!$X$166)*E2_tabla_vida!$P$166,EXP(-C147*E2_tabla_vida!$X$167)*E2_tabla_vida!$P$167,EXP(-C147*E2_tabla_vida!$X$168)*E2_tabla_vida!$P$168,EXP(-C147*E2_tabla_vida!$X$169)*E2_tabla_vida!$P$169)-1</x:f>
        <x:v>0.29100000088492783</x:v>
      </x:c>
      <x:c r="H147" s="24" t="n">
        <x:f>SUM(EXP(-D147*E2_tabla_vida!$X$128)*E2_tabla_vida!$P$128,EXP(-D147*E2_tabla_vida!$X$129)*E2_tabla_vida!$P$129,EXP(-D147*E2_tabla_vida!$X$130)*E2_tabla_vida!$P$130,EXP(-D147*E2_tabla_vida!$X$131)*E2_tabla_vida!$P$131,EXP(-D147*E2_tabla_vida!$X$132)*E2_tabla_vida!$P$132,EXP(-D147*E2_tabla_vida!$X$133)*E2_tabla_vida!$P$133,EXP(-D147*E2_tabla_vida!$X$134)*E2_tabla_vida!$P$134,EXP(-D147*E2_tabla_vida!$X$135)*E2_tabla_vida!$P$135,EXP(-D147*E2_tabla_vida!$X$136)*E2_tabla_vida!$P$136,EXP(-D147*E2_tabla_vida!$X$137)*E2_tabla_vida!$P$137,EXP(-D147*E2_tabla_vida!$X$138)*E2_tabla_vida!$P$138,EXP(-D147*E2_tabla_vida!$X$139)*E2_tabla_vida!$P$139,EXP(-D147*E2_tabla_vida!$X$140)*E2_tabla_vida!$P$140,EXP(-D147*E2_tabla_vida!$X$141)*E2_tabla_vida!$P$141,EXP(-D147*E2_tabla_vida!$X$142)*E2_tabla_vida!$P$142,EXP(-D147*E2_tabla_vida!$X$143)*E2_tabla_vida!$P$143,EXP(-D147*E2_tabla_vida!$X$144)*E2_tabla_vida!$P$144,EXP(-D147*E2_tabla_vida!$X$145)*E2_tabla_vida!$P$145,EXP(-D147*E2_tabla_vida!$X$146)*E2_tabla_vida!$P$146,EXP(-D147*E2_tabla_vida!$X$147)*E2_tabla_vida!$P$147,EXP(-D147*E2_tabla_vida!$X$148)*E2_tabla_vida!$P$148,EXP(-D147*E2_tabla_vida!$X$149)*E2_tabla_vida!$P$149,EXP(-D147*E2_tabla_vida!$X$150)*E2_tabla_vida!$P$150,EXP(-D147*E2_tabla_vida!$X$151)*E2_tabla_vida!$P$151,EXP(-D147*E2_tabla_vida!$X$152)*E2_tabla_vida!$P$152,EXP(-D147*E2_tabla_vida!$X$153)*E2_tabla_vida!$P$153,EXP(-D147*E2_tabla_vida!$X$154)*E2_tabla_vida!$P$154,EXP(-D147*E2_tabla_vida!$X$155)*E2_tabla_vida!$P$155,EXP(-D147*E2_tabla_vida!$X$156)*E2_tabla_vida!$P$156,EXP(-D147*E2_tabla_vida!$X$157)*E2_tabla_vida!$P$157,EXP(-D147*E2_tabla_vida!$X$158)*E2_tabla_vida!$P$158,EXP(-D147*E2_tabla_vida!$X$159)*E2_tabla_vida!$P$159,EXP(-D147*E2_tabla_vida!$X$160)*E2_tabla_vida!$P$160,EXP(-D147*E2_tabla_vida!$X$161)*E2_tabla_vida!$P$161,EXP(-D147*E2_tabla_vida!$X$162)*E2_tabla_vida!$P$162,EXP(-D147*E2_tabla_vida!$X$163)*E2_tabla_vida!$P$163,EXP(-D147*E2_tabla_vida!$X$164)*E2_tabla_vida!$P$164,EXP(-D147*E2_tabla_vida!$X$165)*E2_tabla_vida!$P$165,EXP(-D147*E2_tabla_vida!$X$166)*E2_tabla_vida!$P$166,EXP(-D147*E2_tabla_vida!$X$167)*E2_tabla_vida!$P$167,EXP(-D147*E2_tabla_vida!$X$168)*E2_tabla_vida!$P$168,EXP(-D147*E2_tabla_vida!$X$169)*E2_tabla_vida!$P$169)-1</x:f>
        <x:v>-0.04285531930230535</x:v>
      </x:c>
    </x:row>
    <x:row r="148" ht="19" customHeight="1">
      <x:c r="A148" s="2" t="str">
        <x:v>BB_L0</x:v>
      </x:c>
      <x:c r="B148" s="2" t="n">
        <x:v>8</x:v>
      </x:c>
      <x:c r="C148" s="22" t="n">
        <x:f>IF(F147&gt;0,E147,C147)</x:f>
        <x:v>0.25390625</x:v>
      </x:c>
      <x:c r="D148" s="22" t="n">
        <x:f>IF(F147&gt;0,D147,E147)</x:f>
        <x:v>0.265625</x:v>
      </x:c>
      <x:c r="E148" s="22" t="n">
        <x:f>AVERAGE(C148:D148)</x:f>
        <x:v>0.259765625</x:v>
      </x:c>
      <x:c r="F148" s="24" t="n">
        <x:f>SUM(EXP(-E148*E2_tabla_vida!$X$128)*E2_tabla_vida!$P$128,EXP(-E148*E2_tabla_vida!$X$129)*E2_tabla_vida!$P$129,EXP(-E148*E2_tabla_vida!$X$130)*E2_tabla_vida!$P$130,EXP(-E148*E2_tabla_vida!$X$131)*E2_tabla_vida!$P$131,EXP(-E148*E2_tabla_vida!$X$132)*E2_tabla_vida!$P$132,EXP(-E148*E2_tabla_vida!$X$133)*E2_tabla_vida!$P$133,EXP(-E148*E2_tabla_vida!$X$134)*E2_tabla_vida!$P$134,EXP(-E148*E2_tabla_vida!$X$135)*E2_tabla_vida!$P$135,EXP(-E148*E2_tabla_vida!$X$136)*E2_tabla_vida!$P$136,EXP(-E148*E2_tabla_vida!$X$137)*E2_tabla_vida!$P$137,EXP(-E148*E2_tabla_vida!$X$138)*E2_tabla_vida!$P$138,EXP(-E148*E2_tabla_vida!$X$139)*E2_tabla_vida!$P$139,EXP(-E148*E2_tabla_vida!$X$140)*E2_tabla_vida!$P$140,EXP(-E148*E2_tabla_vida!$X$141)*E2_tabla_vida!$P$141,EXP(-E148*E2_tabla_vida!$X$142)*E2_tabla_vida!$P$142,EXP(-E148*E2_tabla_vida!$X$143)*E2_tabla_vida!$P$143,EXP(-E148*E2_tabla_vida!$X$144)*E2_tabla_vida!$P$144,EXP(-E148*E2_tabla_vida!$X$145)*E2_tabla_vida!$P$145,EXP(-E148*E2_tabla_vida!$X$146)*E2_tabla_vida!$P$146,EXP(-E148*E2_tabla_vida!$X$147)*E2_tabla_vida!$P$147,EXP(-E148*E2_tabla_vida!$X$148)*E2_tabla_vida!$P$148,EXP(-E148*E2_tabla_vida!$X$149)*E2_tabla_vida!$P$149,EXP(-E148*E2_tabla_vida!$X$150)*E2_tabla_vida!$P$150,EXP(-E148*E2_tabla_vida!$X$151)*E2_tabla_vida!$P$151,EXP(-E148*E2_tabla_vida!$X$152)*E2_tabla_vida!$P$152,EXP(-E148*E2_tabla_vida!$X$153)*E2_tabla_vida!$P$153,EXP(-E148*E2_tabla_vida!$X$154)*E2_tabla_vida!$P$154,EXP(-E148*E2_tabla_vida!$X$155)*E2_tabla_vida!$P$155,EXP(-E148*E2_tabla_vida!$X$156)*E2_tabla_vida!$P$156,EXP(-E148*E2_tabla_vida!$X$157)*E2_tabla_vida!$P$157,EXP(-E148*E2_tabla_vida!$X$158)*E2_tabla_vida!$P$158,EXP(-E148*E2_tabla_vida!$X$159)*E2_tabla_vida!$P$159,EXP(-E148*E2_tabla_vida!$X$160)*E2_tabla_vida!$P$160,EXP(-E148*E2_tabla_vida!$X$161)*E2_tabla_vida!$P$161,EXP(-E148*E2_tabla_vida!$X$162)*E2_tabla_vida!$P$162,EXP(-E148*E2_tabla_vida!$X$163)*E2_tabla_vida!$P$163,EXP(-E148*E2_tabla_vida!$X$164)*E2_tabla_vida!$P$164,EXP(-E148*E2_tabla_vida!$X$165)*E2_tabla_vida!$P$165,EXP(-E148*E2_tabla_vida!$X$166)*E2_tabla_vida!$P$166,EXP(-E148*E2_tabla_vida!$X$167)*E2_tabla_vida!$P$167,EXP(-E148*E2_tabla_vida!$X$168)*E2_tabla_vida!$P$168,EXP(-E148*E2_tabla_vida!$X$169)*E2_tabla_vida!$P$169)-1</x:f>
        <x:v>0.03084533385712107</x:v>
      </x:c>
      <x:c r="G148" s="24" t="n">
        <x:f>SUM(EXP(-C148*E2_tabla_vida!$X$128)*E2_tabla_vida!$P$128,EXP(-C148*E2_tabla_vida!$X$129)*E2_tabla_vida!$P$129,EXP(-C148*E2_tabla_vida!$X$130)*E2_tabla_vida!$P$130,EXP(-C148*E2_tabla_vida!$X$131)*E2_tabla_vida!$P$131,EXP(-C148*E2_tabla_vida!$X$132)*E2_tabla_vida!$P$132,EXP(-C148*E2_tabla_vida!$X$133)*E2_tabla_vida!$P$133,EXP(-C148*E2_tabla_vida!$X$134)*E2_tabla_vida!$P$134,EXP(-C148*E2_tabla_vida!$X$135)*E2_tabla_vida!$P$135,EXP(-C148*E2_tabla_vida!$X$136)*E2_tabla_vida!$P$136,EXP(-C148*E2_tabla_vida!$X$137)*E2_tabla_vida!$P$137,EXP(-C148*E2_tabla_vida!$X$138)*E2_tabla_vida!$P$138,EXP(-C148*E2_tabla_vida!$X$139)*E2_tabla_vida!$P$139,EXP(-C148*E2_tabla_vida!$X$140)*E2_tabla_vida!$P$140,EXP(-C148*E2_tabla_vida!$X$141)*E2_tabla_vida!$P$141,EXP(-C148*E2_tabla_vida!$X$142)*E2_tabla_vida!$P$142,EXP(-C148*E2_tabla_vida!$X$143)*E2_tabla_vida!$P$143,EXP(-C148*E2_tabla_vida!$X$144)*E2_tabla_vida!$P$144,EXP(-C148*E2_tabla_vida!$X$145)*E2_tabla_vida!$P$145,EXP(-C148*E2_tabla_vida!$X$146)*E2_tabla_vida!$P$146,EXP(-C148*E2_tabla_vida!$X$147)*E2_tabla_vida!$P$147,EXP(-C148*E2_tabla_vida!$X$148)*E2_tabla_vida!$P$148,EXP(-C148*E2_tabla_vida!$X$149)*E2_tabla_vida!$P$149,EXP(-C148*E2_tabla_vida!$X$150)*E2_tabla_vida!$P$150,EXP(-C148*E2_tabla_vida!$X$151)*E2_tabla_vida!$P$151,EXP(-C148*E2_tabla_vida!$X$152)*E2_tabla_vida!$P$152,EXP(-C148*E2_tabla_vida!$X$153)*E2_tabla_vida!$P$153,EXP(-C148*E2_tabla_vida!$X$154)*E2_tabla_vida!$P$154,EXP(-C148*E2_tabla_vida!$X$155)*E2_tabla_vida!$P$155,EXP(-C148*E2_tabla_vida!$X$156)*E2_tabla_vida!$P$156,EXP(-C148*E2_tabla_vida!$X$157)*E2_tabla_vida!$P$157,EXP(-C148*E2_tabla_vida!$X$158)*E2_tabla_vida!$P$158,EXP(-C148*E2_tabla_vida!$X$159)*E2_tabla_vida!$P$159,EXP(-C148*E2_tabla_vida!$X$160)*E2_tabla_vida!$P$160,EXP(-C148*E2_tabla_vida!$X$161)*E2_tabla_vida!$P$161,EXP(-C148*E2_tabla_vida!$X$162)*E2_tabla_vida!$P$162,EXP(-C148*E2_tabla_vida!$X$163)*E2_tabla_vida!$P$163,EXP(-C148*E2_tabla_vida!$X$164)*E2_tabla_vida!$P$164,EXP(-C148*E2_tabla_vida!$X$165)*E2_tabla_vida!$P$165,EXP(-C148*E2_tabla_vida!$X$166)*E2_tabla_vida!$P$166,EXP(-C148*E2_tabla_vida!$X$167)*E2_tabla_vida!$P$167,EXP(-C148*E2_tabla_vida!$X$168)*E2_tabla_vida!$P$168,EXP(-C148*E2_tabla_vida!$X$169)*E2_tabla_vida!$P$169)-1</x:f>
        <x:v>0.1106758588897605</x:v>
      </x:c>
      <x:c r="H148" s="24" t="n">
        <x:f>SUM(EXP(-D148*E2_tabla_vida!$X$128)*E2_tabla_vida!$P$128,EXP(-D148*E2_tabla_vida!$X$129)*E2_tabla_vida!$P$129,EXP(-D148*E2_tabla_vida!$X$130)*E2_tabla_vida!$P$130,EXP(-D148*E2_tabla_vida!$X$131)*E2_tabla_vida!$P$131,EXP(-D148*E2_tabla_vida!$X$132)*E2_tabla_vida!$P$132,EXP(-D148*E2_tabla_vida!$X$133)*E2_tabla_vida!$P$133,EXP(-D148*E2_tabla_vida!$X$134)*E2_tabla_vida!$P$134,EXP(-D148*E2_tabla_vida!$X$135)*E2_tabla_vida!$P$135,EXP(-D148*E2_tabla_vida!$X$136)*E2_tabla_vida!$P$136,EXP(-D148*E2_tabla_vida!$X$137)*E2_tabla_vida!$P$137,EXP(-D148*E2_tabla_vida!$X$138)*E2_tabla_vida!$P$138,EXP(-D148*E2_tabla_vida!$X$139)*E2_tabla_vida!$P$139,EXP(-D148*E2_tabla_vida!$X$140)*E2_tabla_vida!$P$140,EXP(-D148*E2_tabla_vida!$X$141)*E2_tabla_vida!$P$141,EXP(-D148*E2_tabla_vida!$X$142)*E2_tabla_vida!$P$142,EXP(-D148*E2_tabla_vida!$X$143)*E2_tabla_vida!$P$143,EXP(-D148*E2_tabla_vida!$X$144)*E2_tabla_vida!$P$144,EXP(-D148*E2_tabla_vida!$X$145)*E2_tabla_vida!$P$145,EXP(-D148*E2_tabla_vida!$X$146)*E2_tabla_vida!$P$146,EXP(-D148*E2_tabla_vida!$X$147)*E2_tabla_vida!$P$147,EXP(-D148*E2_tabla_vida!$X$148)*E2_tabla_vida!$P$148,EXP(-D148*E2_tabla_vida!$X$149)*E2_tabla_vida!$P$149,EXP(-D148*E2_tabla_vida!$X$150)*E2_tabla_vida!$P$150,EXP(-D148*E2_tabla_vida!$X$151)*E2_tabla_vida!$P$151,EXP(-D148*E2_tabla_vida!$X$152)*E2_tabla_vida!$P$152,EXP(-D148*E2_tabla_vida!$X$153)*E2_tabla_vida!$P$153,EXP(-D148*E2_tabla_vida!$X$154)*E2_tabla_vida!$P$154,EXP(-D148*E2_tabla_vida!$X$155)*E2_tabla_vida!$P$155,EXP(-D148*E2_tabla_vida!$X$156)*E2_tabla_vida!$P$156,EXP(-D148*E2_tabla_vida!$X$157)*E2_tabla_vida!$P$157,EXP(-D148*E2_tabla_vida!$X$158)*E2_tabla_vida!$P$158,EXP(-D148*E2_tabla_vida!$X$159)*E2_tabla_vida!$P$159,EXP(-D148*E2_tabla_vida!$X$160)*E2_tabla_vida!$P$160,EXP(-D148*E2_tabla_vida!$X$161)*E2_tabla_vida!$P$161,EXP(-D148*E2_tabla_vida!$X$162)*E2_tabla_vida!$P$162,EXP(-D148*E2_tabla_vida!$X$163)*E2_tabla_vida!$P$163,EXP(-D148*E2_tabla_vida!$X$164)*E2_tabla_vida!$P$164,EXP(-D148*E2_tabla_vida!$X$165)*E2_tabla_vida!$P$165,EXP(-D148*E2_tabla_vida!$X$166)*E2_tabla_vida!$P$166,EXP(-D148*E2_tabla_vida!$X$167)*E2_tabla_vida!$P$167,EXP(-D148*E2_tabla_vida!$X$168)*E2_tabla_vida!$P$168,EXP(-D148*E2_tabla_vida!$X$169)*E2_tabla_vida!$P$169)-1</x:f>
        <x:v>-0.04285531930230535</x:v>
      </x:c>
    </x:row>
    <x:row r="149" ht="19" customHeight="1">
      <x:c r="A149" s="2" t="str">
        <x:v>BB_L0</x:v>
      </x:c>
      <x:c r="B149" s="2" t="n">
        <x:v>9</x:v>
      </x:c>
      <x:c r="C149" s="22" t="n">
        <x:f>IF(F148&gt;0,E148,C148)</x:f>
        <x:v>0.259765625</x:v>
      </x:c>
      <x:c r="D149" s="22" t="n">
        <x:f>IF(F148&gt;0,D148,E148)</x:f>
        <x:v>0.265625</x:v>
      </x:c>
      <x:c r="E149" s="22" t="n">
        <x:f>AVERAGE(C149:D149)</x:f>
        <x:v>0.2626953125</x:v>
      </x:c>
      <x:c r="F149" s="24" t="n">
        <x:f>SUM(EXP(-E149*E2_tabla_vida!$X$128)*E2_tabla_vida!$P$128,EXP(-E149*E2_tabla_vida!$X$129)*E2_tabla_vida!$P$129,EXP(-E149*E2_tabla_vida!$X$130)*E2_tabla_vida!$P$130,EXP(-E149*E2_tabla_vida!$X$131)*E2_tabla_vida!$P$131,EXP(-E149*E2_tabla_vida!$X$132)*E2_tabla_vida!$P$132,EXP(-E149*E2_tabla_vida!$X$133)*E2_tabla_vida!$P$133,EXP(-E149*E2_tabla_vida!$X$134)*E2_tabla_vida!$P$134,EXP(-E149*E2_tabla_vida!$X$135)*E2_tabla_vida!$P$135,EXP(-E149*E2_tabla_vida!$X$136)*E2_tabla_vida!$P$136,EXP(-E149*E2_tabla_vida!$X$137)*E2_tabla_vida!$P$137,EXP(-E149*E2_tabla_vida!$X$138)*E2_tabla_vida!$P$138,EXP(-E149*E2_tabla_vida!$X$139)*E2_tabla_vida!$P$139,EXP(-E149*E2_tabla_vida!$X$140)*E2_tabla_vida!$P$140,EXP(-E149*E2_tabla_vida!$X$141)*E2_tabla_vida!$P$141,EXP(-E149*E2_tabla_vida!$X$142)*E2_tabla_vida!$P$142,EXP(-E149*E2_tabla_vida!$X$143)*E2_tabla_vida!$P$143,EXP(-E149*E2_tabla_vida!$X$144)*E2_tabla_vida!$P$144,EXP(-E149*E2_tabla_vida!$X$145)*E2_tabla_vida!$P$145,EXP(-E149*E2_tabla_vida!$X$146)*E2_tabla_vida!$P$146,EXP(-E149*E2_tabla_vida!$X$147)*E2_tabla_vida!$P$147,EXP(-E149*E2_tabla_vida!$X$148)*E2_tabla_vida!$P$148,EXP(-E149*E2_tabla_vida!$X$149)*E2_tabla_vida!$P$149,EXP(-E149*E2_tabla_vida!$X$150)*E2_tabla_vida!$P$150,EXP(-E149*E2_tabla_vida!$X$151)*E2_tabla_vida!$P$151,EXP(-E149*E2_tabla_vida!$X$152)*E2_tabla_vida!$P$152,EXP(-E149*E2_tabla_vida!$X$153)*E2_tabla_vida!$P$153,EXP(-E149*E2_tabla_vida!$X$154)*E2_tabla_vida!$P$154,EXP(-E149*E2_tabla_vida!$X$155)*E2_tabla_vida!$P$155,EXP(-E149*E2_tabla_vida!$X$156)*E2_tabla_vida!$P$156,EXP(-E149*E2_tabla_vida!$X$157)*E2_tabla_vida!$P$157,EXP(-E149*E2_tabla_vida!$X$158)*E2_tabla_vida!$P$158,EXP(-E149*E2_tabla_vida!$X$159)*E2_tabla_vida!$P$159,EXP(-E149*E2_tabla_vida!$X$160)*E2_tabla_vida!$P$160,EXP(-E149*E2_tabla_vida!$X$161)*E2_tabla_vida!$P$161,EXP(-E149*E2_tabla_vida!$X$162)*E2_tabla_vida!$P$162,EXP(-E149*E2_tabla_vida!$X$163)*E2_tabla_vida!$P$163,EXP(-E149*E2_tabla_vida!$X$164)*E2_tabla_vida!$P$164,EXP(-E149*E2_tabla_vida!$X$165)*E2_tabla_vida!$P$165,EXP(-E149*E2_tabla_vida!$X$166)*E2_tabla_vida!$P$166,EXP(-E149*E2_tabla_vida!$X$167)*E2_tabla_vida!$P$167,EXP(-E149*E2_tabla_vida!$X$168)*E2_tabla_vida!$P$168,EXP(-E149*E2_tabla_vida!$X$169)*E2_tabla_vida!$P$169)-1</x:f>
        <x:v>-0.006738554347985204</x:v>
      </x:c>
      <x:c r="G149" s="24" t="n">
        <x:f>SUM(EXP(-C149*E2_tabla_vida!$X$128)*E2_tabla_vida!$P$128,EXP(-C149*E2_tabla_vida!$X$129)*E2_tabla_vida!$P$129,EXP(-C149*E2_tabla_vida!$X$130)*E2_tabla_vida!$P$130,EXP(-C149*E2_tabla_vida!$X$131)*E2_tabla_vida!$P$131,EXP(-C149*E2_tabla_vida!$X$132)*E2_tabla_vida!$P$132,EXP(-C149*E2_tabla_vida!$X$133)*E2_tabla_vida!$P$133,EXP(-C149*E2_tabla_vida!$X$134)*E2_tabla_vida!$P$134,EXP(-C149*E2_tabla_vida!$X$135)*E2_tabla_vida!$P$135,EXP(-C149*E2_tabla_vida!$X$136)*E2_tabla_vida!$P$136,EXP(-C149*E2_tabla_vida!$X$137)*E2_tabla_vida!$P$137,EXP(-C149*E2_tabla_vida!$X$138)*E2_tabla_vida!$P$138,EXP(-C149*E2_tabla_vida!$X$139)*E2_tabla_vida!$P$139,EXP(-C149*E2_tabla_vida!$X$140)*E2_tabla_vida!$P$140,EXP(-C149*E2_tabla_vida!$X$141)*E2_tabla_vida!$P$141,EXP(-C149*E2_tabla_vida!$X$142)*E2_tabla_vida!$P$142,EXP(-C149*E2_tabla_vida!$X$143)*E2_tabla_vida!$P$143,EXP(-C149*E2_tabla_vida!$X$144)*E2_tabla_vida!$P$144,EXP(-C149*E2_tabla_vida!$X$145)*E2_tabla_vida!$P$145,EXP(-C149*E2_tabla_vida!$X$146)*E2_tabla_vida!$P$146,EXP(-C149*E2_tabla_vida!$X$147)*E2_tabla_vida!$P$147,EXP(-C149*E2_tabla_vida!$X$148)*E2_tabla_vida!$P$148,EXP(-C149*E2_tabla_vida!$X$149)*E2_tabla_vida!$P$149,EXP(-C149*E2_tabla_vida!$X$150)*E2_tabla_vida!$P$150,EXP(-C149*E2_tabla_vida!$X$151)*E2_tabla_vida!$P$151,EXP(-C149*E2_tabla_vida!$X$152)*E2_tabla_vida!$P$152,EXP(-C149*E2_tabla_vida!$X$153)*E2_tabla_vida!$P$153,EXP(-C149*E2_tabla_vida!$X$154)*E2_tabla_vida!$P$154,EXP(-C149*E2_tabla_vida!$X$155)*E2_tabla_vida!$P$155,EXP(-C149*E2_tabla_vida!$X$156)*E2_tabla_vida!$P$156,EXP(-C149*E2_tabla_vida!$X$157)*E2_tabla_vida!$P$157,EXP(-C149*E2_tabla_vida!$X$158)*E2_tabla_vida!$P$158,EXP(-C149*E2_tabla_vida!$X$159)*E2_tabla_vida!$P$159,EXP(-C149*E2_tabla_vida!$X$160)*E2_tabla_vida!$P$160,EXP(-C149*E2_tabla_vida!$X$161)*E2_tabla_vida!$P$161,EXP(-C149*E2_tabla_vida!$X$162)*E2_tabla_vida!$P$162,EXP(-C149*E2_tabla_vida!$X$163)*E2_tabla_vida!$P$163,EXP(-C149*E2_tabla_vida!$X$164)*E2_tabla_vida!$P$164,EXP(-C149*E2_tabla_vida!$X$165)*E2_tabla_vida!$P$165,EXP(-C149*E2_tabla_vida!$X$166)*E2_tabla_vida!$P$166,EXP(-C149*E2_tabla_vida!$X$167)*E2_tabla_vida!$P$167,EXP(-C149*E2_tabla_vida!$X$168)*E2_tabla_vida!$P$168,EXP(-C149*E2_tabla_vida!$X$169)*E2_tabla_vida!$P$169)-1</x:f>
        <x:v>0.03084533385712107</x:v>
      </x:c>
      <x:c r="H149" s="24" t="n">
        <x:f>SUM(EXP(-D149*E2_tabla_vida!$X$128)*E2_tabla_vida!$P$128,EXP(-D149*E2_tabla_vida!$X$129)*E2_tabla_vida!$P$129,EXP(-D149*E2_tabla_vida!$X$130)*E2_tabla_vida!$P$130,EXP(-D149*E2_tabla_vida!$X$131)*E2_tabla_vida!$P$131,EXP(-D149*E2_tabla_vida!$X$132)*E2_tabla_vida!$P$132,EXP(-D149*E2_tabla_vida!$X$133)*E2_tabla_vida!$P$133,EXP(-D149*E2_tabla_vida!$X$134)*E2_tabla_vida!$P$134,EXP(-D149*E2_tabla_vida!$X$135)*E2_tabla_vida!$P$135,EXP(-D149*E2_tabla_vida!$X$136)*E2_tabla_vida!$P$136,EXP(-D149*E2_tabla_vida!$X$137)*E2_tabla_vida!$P$137,EXP(-D149*E2_tabla_vida!$X$138)*E2_tabla_vida!$P$138,EXP(-D149*E2_tabla_vida!$X$139)*E2_tabla_vida!$P$139,EXP(-D149*E2_tabla_vida!$X$140)*E2_tabla_vida!$P$140,EXP(-D149*E2_tabla_vida!$X$141)*E2_tabla_vida!$P$141,EXP(-D149*E2_tabla_vida!$X$142)*E2_tabla_vida!$P$142,EXP(-D149*E2_tabla_vida!$X$143)*E2_tabla_vida!$P$143,EXP(-D149*E2_tabla_vida!$X$144)*E2_tabla_vida!$P$144,EXP(-D149*E2_tabla_vida!$X$145)*E2_tabla_vida!$P$145,EXP(-D149*E2_tabla_vida!$X$146)*E2_tabla_vida!$P$146,EXP(-D149*E2_tabla_vida!$X$147)*E2_tabla_vida!$P$147,EXP(-D149*E2_tabla_vida!$X$148)*E2_tabla_vida!$P$148,EXP(-D149*E2_tabla_vida!$X$149)*E2_tabla_vida!$P$149,EXP(-D149*E2_tabla_vida!$X$150)*E2_tabla_vida!$P$150,EXP(-D149*E2_tabla_vida!$X$151)*E2_tabla_vida!$P$151,EXP(-D149*E2_tabla_vida!$X$152)*E2_tabla_vida!$P$152,EXP(-D149*E2_tabla_vida!$X$153)*E2_tabla_vida!$P$153,EXP(-D149*E2_tabla_vida!$X$154)*E2_tabla_vida!$P$154,EXP(-D149*E2_tabla_vida!$X$155)*E2_tabla_vida!$P$155,EXP(-D149*E2_tabla_vida!$X$156)*E2_tabla_vida!$P$156,EXP(-D149*E2_tabla_vida!$X$157)*E2_tabla_vida!$P$157,EXP(-D149*E2_tabla_vida!$X$158)*E2_tabla_vida!$P$158,EXP(-D149*E2_tabla_vida!$X$159)*E2_tabla_vida!$P$159,EXP(-D149*E2_tabla_vida!$X$160)*E2_tabla_vida!$P$160,EXP(-D149*E2_tabla_vida!$X$161)*E2_tabla_vida!$P$161,EXP(-D149*E2_tabla_vida!$X$162)*E2_tabla_vida!$P$162,EXP(-D149*E2_tabla_vida!$X$163)*E2_tabla_vida!$P$163,EXP(-D149*E2_tabla_vida!$X$164)*E2_tabla_vida!$P$164,EXP(-D149*E2_tabla_vida!$X$165)*E2_tabla_vida!$P$165,EXP(-D149*E2_tabla_vida!$X$166)*E2_tabla_vida!$P$166,EXP(-D149*E2_tabla_vida!$X$167)*E2_tabla_vida!$P$167,EXP(-D149*E2_tabla_vida!$X$168)*E2_tabla_vida!$P$168,EXP(-D149*E2_tabla_vida!$X$169)*E2_tabla_vida!$P$169)-1</x:f>
        <x:v>-0.04285531930230535</x:v>
      </x:c>
    </x:row>
    <x:row r="150" ht="19" customHeight="1">
      <x:c r="A150" s="2" t="str">
        <x:v>BB_L0</x:v>
      </x:c>
      <x:c r="B150" s="2" t="n">
        <x:v>10</x:v>
      </x:c>
      <x:c r="C150" s="22" t="n">
        <x:f>IF(F149&gt;0,E149,C149)</x:f>
        <x:v>0.259765625</x:v>
      </x:c>
      <x:c r="D150" s="22" t="n">
        <x:f>IF(F149&gt;0,D149,E149)</x:f>
        <x:v>0.2626953125</x:v>
      </x:c>
      <x:c r="E150" s="22" t="n">
        <x:f>AVERAGE(C150:D150)</x:f>
        <x:v>0.26123046875</x:v>
      </x:c>
      <x:c r="F150" s="24" t="n">
        <x:f>SUM(EXP(-E150*E2_tabla_vida!$X$128)*E2_tabla_vida!$P$128,EXP(-E150*E2_tabla_vida!$X$129)*E2_tabla_vida!$P$129,EXP(-E150*E2_tabla_vida!$X$130)*E2_tabla_vida!$P$130,EXP(-E150*E2_tabla_vida!$X$131)*E2_tabla_vida!$P$131,EXP(-E150*E2_tabla_vida!$X$132)*E2_tabla_vida!$P$132,EXP(-E150*E2_tabla_vida!$X$133)*E2_tabla_vida!$P$133,EXP(-E150*E2_tabla_vida!$X$134)*E2_tabla_vida!$P$134,EXP(-E150*E2_tabla_vida!$X$135)*E2_tabla_vida!$P$135,EXP(-E150*E2_tabla_vida!$X$136)*E2_tabla_vida!$P$136,EXP(-E150*E2_tabla_vida!$X$137)*E2_tabla_vida!$P$137,EXP(-E150*E2_tabla_vida!$X$138)*E2_tabla_vida!$P$138,EXP(-E150*E2_tabla_vida!$X$139)*E2_tabla_vida!$P$139,EXP(-E150*E2_tabla_vida!$X$140)*E2_tabla_vida!$P$140,EXP(-E150*E2_tabla_vida!$X$141)*E2_tabla_vida!$P$141,EXP(-E150*E2_tabla_vida!$X$142)*E2_tabla_vida!$P$142,EXP(-E150*E2_tabla_vida!$X$143)*E2_tabla_vida!$P$143,EXP(-E150*E2_tabla_vida!$X$144)*E2_tabla_vida!$P$144,EXP(-E150*E2_tabla_vida!$X$145)*E2_tabla_vida!$P$145,EXP(-E150*E2_tabla_vida!$X$146)*E2_tabla_vida!$P$146,EXP(-E150*E2_tabla_vida!$X$147)*E2_tabla_vida!$P$147,EXP(-E150*E2_tabla_vida!$X$148)*E2_tabla_vida!$P$148,EXP(-E150*E2_tabla_vida!$X$149)*E2_tabla_vida!$P$149,EXP(-E150*E2_tabla_vida!$X$150)*E2_tabla_vida!$P$150,EXP(-E150*E2_tabla_vida!$X$151)*E2_tabla_vida!$P$151,EXP(-E150*E2_tabla_vida!$X$152)*E2_tabla_vida!$P$152,EXP(-E150*E2_tabla_vida!$X$153)*E2_tabla_vida!$P$153,EXP(-E150*E2_tabla_vida!$X$154)*E2_tabla_vida!$P$154,EXP(-E150*E2_tabla_vida!$X$155)*E2_tabla_vida!$P$155,EXP(-E150*E2_tabla_vida!$X$156)*E2_tabla_vida!$P$156,EXP(-E150*E2_tabla_vida!$X$157)*E2_tabla_vida!$P$157,EXP(-E150*E2_tabla_vida!$X$158)*E2_tabla_vida!$P$158,EXP(-E150*E2_tabla_vida!$X$159)*E2_tabla_vida!$P$159,EXP(-E150*E2_tabla_vida!$X$160)*E2_tabla_vida!$P$160,EXP(-E150*E2_tabla_vida!$X$161)*E2_tabla_vida!$P$161,EXP(-E150*E2_tabla_vida!$X$162)*E2_tabla_vida!$P$162,EXP(-E150*E2_tabla_vida!$X$163)*E2_tabla_vida!$P$163,EXP(-E150*E2_tabla_vida!$X$164)*E2_tabla_vida!$P$164,EXP(-E150*E2_tabla_vida!$X$165)*E2_tabla_vida!$P$165,EXP(-E150*E2_tabla_vida!$X$166)*E2_tabla_vida!$P$166,EXP(-E150*E2_tabla_vida!$X$167)*E2_tabla_vida!$P$167,EXP(-E150*E2_tabla_vida!$X$168)*E2_tabla_vida!$P$168,EXP(-E150*E2_tabla_vida!$X$169)*E2_tabla_vida!$P$169)-1</x:f>
        <x:v>0.011866034257381308</x:v>
      </x:c>
      <x:c r="G150" s="24" t="n">
        <x:f>SUM(EXP(-C150*E2_tabla_vida!$X$128)*E2_tabla_vida!$P$128,EXP(-C150*E2_tabla_vida!$X$129)*E2_tabla_vida!$P$129,EXP(-C150*E2_tabla_vida!$X$130)*E2_tabla_vida!$P$130,EXP(-C150*E2_tabla_vida!$X$131)*E2_tabla_vida!$P$131,EXP(-C150*E2_tabla_vida!$X$132)*E2_tabla_vida!$P$132,EXP(-C150*E2_tabla_vida!$X$133)*E2_tabla_vida!$P$133,EXP(-C150*E2_tabla_vida!$X$134)*E2_tabla_vida!$P$134,EXP(-C150*E2_tabla_vida!$X$135)*E2_tabla_vida!$P$135,EXP(-C150*E2_tabla_vida!$X$136)*E2_tabla_vida!$P$136,EXP(-C150*E2_tabla_vida!$X$137)*E2_tabla_vida!$P$137,EXP(-C150*E2_tabla_vida!$X$138)*E2_tabla_vida!$P$138,EXP(-C150*E2_tabla_vida!$X$139)*E2_tabla_vida!$P$139,EXP(-C150*E2_tabla_vida!$X$140)*E2_tabla_vida!$P$140,EXP(-C150*E2_tabla_vida!$X$141)*E2_tabla_vida!$P$141,EXP(-C150*E2_tabla_vida!$X$142)*E2_tabla_vida!$P$142,EXP(-C150*E2_tabla_vida!$X$143)*E2_tabla_vida!$P$143,EXP(-C150*E2_tabla_vida!$X$144)*E2_tabla_vida!$P$144,EXP(-C150*E2_tabla_vida!$X$145)*E2_tabla_vida!$P$145,EXP(-C150*E2_tabla_vida!$X$146)*E2_tabla_vida!$P$146,EXP(-C150*E2_tabla_vida!$X$147)*E2_tabla_vida!$P$147,EXP(-C150*E2_tabla_vida!$X$148)*E2_tabla_vida!$P$148,EXP(-C150*E2_tabla_vida!$X$149)*E2_tabla_vida!$P$149,EXP(-C150*E2_tabla_vida!$X$150)*E2_tabla_vida!$P$150,EXP(-C150*E2_tabla_vida!$X$151)*E2_tabla_vida!$P$151,EXP(-C150*E2_tabla_vida!$X$152)*E2_tabla_vida!$P$152,EXP(-C150*E2_tabla_vida!$X$153)*E2_tabla_vida!$P$153,EXP(-C150*E2_tabla_vida!$X$154)*E2_tabla_vida!$P$154,EXP(-C150*E2_tabla_vida!$X$155)*E2_tabla_vida!$P$155,EXP(-C150*E2_tabla_vida!$X$156)*E2_tabla_vida!$P$156,EXP(-C150*E2_tabla_vida!$X$157)*E2_tabla_vida!$P$157,EXP(-C150*E2_tabla_vida!$X$158)*E2_tabla_vida!$P$158,EXP(-C150*E2_tabla_vida!$X$159)*E2_tabla_vida!$P$159,EXP(-C150*E2_tabla_vida!$X$160)*E2_tabla_vida!$P$160,EXP(-C150*E2_tabla_vida!$X$161)*E2_tabla_vida!$P$161,EXP(-C150*E2_tabla_vida!$X$162)*E2_tabla_vida!$P$162,EXP(-C150*E2_tabla_vida!$X$163)*E2_tabla_vida!$P$163,EXP(-C150*E2_tabla_vida!$X$164)*E2_tabla_vida!$P$164,EXP(-C150*E2_tabla_vida!$X$165)*E2_tabla_vida!$P$165,EXP(-C150*E2_tabla_vida!$X$166)*E2_tabla_vida!$P$166,EXP(-C150*E2_tabla_vida!$X$167)*E2_tabla_vida!$P$167,EXP(-C150*E2_tabla_vida!$X$168)*E2_tabla_vida!$P$168,EXP(-C150*E2_tabla_vida!$X$169)*E2_tabla_vida!$P$169)-1</x:f>
        <x:v>0.03084533385712107</x:v>
      </x:c>
      <x:c r="H150" s="24" t="n">
        <x:f>SUM(EXP(-D150*E2_tabla_vida!$X$128)*E2_tabla_vida!$P$128,EXP(-D150*E2_tabla_vida!$X$129)*E2_tabla_vida!$P$129,EXP(-D150*E2_tabla_vida!$X$130)*E2_tabla_vida!$P$130,EXP(-D150*E2_tabla_vida!$X$131)*E2_tabla_vida!$P$131,EXP(-D150*E2_tabla_vida!$X$132)*E2_tabla_vida!$P$132,EXP(-D150*E2_tabla_vida!$X$133)*E2_tabla_vida!$P$133,EXP(-D150*E2_tabla_vida!$X$134)*E2_tabla_vida!$P$134,EXP(-D150*E2_tabla_vida!$X$135)*E2_tabla_vida!$P$135,EXP(-D150*E2_tabla_vida!$X$136)*E2_tabla_vida!$P$136,EXP(-D150*E2_tabla_vida!$X$137)*E2_tabla_vida!$P$137,EXP(-D150*E2_tabla_vida!$X$138)*E2_tabla_vida!$P$138,EXP(-D150*E2_tabla_vida!$X$139)*E2_tabla_vida!$P$139,EXP(-D150*E2_tabla_vida!$X$140)*E2_tabla_vida!$P$140,EXP(-D150*E2_tabla_vida!$X$141)*E2_tabla_vida!$P$141,EXP(-D150*E2_tabla_vida!$X$142)*E2_tabla_vida!$P$142,EXP(-D150*E2_tabla_vida!$X$143)*E2_tabla_vida!$P$143,EXP(-D150*E2_tabla_vida!$X$144)*E2_tabla_vida!$P$144,EXP(-D150*E2_tabla_vida!$X$145)*E2_tabla_vida!$P$145,EXP(-D150*E2_tabla_vida!$X$146)*E2_tabla_vida!$P$146,EXP(-D150*E2_tabla_vida!$X$147)*E2_tabla_vida!$P$147,EXP(-D150*E2_tabla_vida!$X$148)*E2_tabla_vida!$P$148,EXP(-D150*E2_tabla_vida!$X$149)*E2_tabla_vida!$P$149,EXP(-D150*E2_tabla_vida!$X$150)*E2_tabla_vida!$P$150,EXP(-D150*E2_tabla_vida!$X$151)*E2_tabla_vida!$P$151,EXP(-D150*E2_tabla_vida!$X$152)*E2_tabla_vida!$P$152,EXP(-D150*E2_tabla_vida!$X$153)*E2_tabla_vida!$P$153,EXP(-D150*E2_tabla_vida!$X$154)*E2_tabla_vida!$P$154,EXP(-D150*E2_tabla_vida!$X$155)*E2_tabla_vida!$P$155,EXP(-D150*E2_tabla_vida!$X$156)*E2_tabla_vida!$P$156,EXP(-D150*E2_tabla_vida!$X$157)*E2_tabla_vida!$P$157,EXP(-D150*E2_tabla_vida!$X$158)*E2_tabla_vida!$P$158,EXP(-D150*E2_tabla_vida!$X$159)*E2_tabla_vida!$P$159,EXP(-D150*E2_tabla_vida!$X$160)*E2_tabla_vida!$P$160,EXP(-D150*E2_tabla_vida!$X$161)*E2_tabla_vida!$P$161,EXP(-D150*E2_tabla_vida!$X$162)*E2_tabla_vida!$P$162,EXP(-D150*E2_tabla_vida!$X$163)*E2_tabla_vida!$P$163,EXP(-D150*E2_tabla_vida!$X$164)*E2_tabla_vida!$P$164,EXP(-D150*E2_tabla_vida!$X$165)*E2_tabla_vida!$P$165,EXP(-D150*E2_tabla_vida!$X$166)*E2_tabla_vida!$P$166,EXP(-D150*E2_tabla_vida!$X$167)*E2_tabla_vida!$P$167,EXP(-D150*E2_tabla_vida!$X$168)*E2_tabla_vida!$P$168,EXP(-D150*E2_tabla_vida!$X$169)*E2_tabla_vida!$P$169)-1</x:f>
        <x:v>-0.006738554347985204</x:v>
      </x:c>
    </x:row>
    <x:row r="151" ht="19" customHeight="1">
      <x:c r="A151" s="2" t="str">
        <x:v>BB_L0</x:v>
      </x:c>
      <x:c r="B151" s="2" t="n">
        <x:v>11</x:v>
      </x:c>
      <x:c r="C151" s="22" t="n">
        <x:f>IF(F150&gt;0,E150,C150)</x:f>
        <x:v>0.26123046875</x:v>
      </x:c>
      <x:c r="D151" s="22" t="n">
        <x:f>IF(F150&gt;0,D150,E150)</x:f>
        <x:v>0.2626953125</x:v>
      </x:c>
      <x:c r="E151" s="22" t="n">
        <x:f>AVERAGE(C151:D151)</x:f>
        <x:v>0.261962890625</x:v>
      </x:c>
      <x:c r="F151" s="24" t="n">
        <x:f>SUM(EXP(-E151*E2_tabla_vida!$X$128)*E2_tabla_vida!$P$128,EXP(-E151*E2_tabla_vida!$X$129)*E2_tabla_vida!$P$129,EXP(-E151*E2_tabla_vida!$X$130)*E2_tabla_vida!$P$130,EXP(-E151*E2_tabla_vida!$X$131)*E2_tabla_vida!$P$131,EXP(-E151*E2_tabla_vida!$X$132)*E2_tabla_vida!$P$132,EXP(-E151*E2_tabla_vida!$X$133)*E2_tabla_vida!$P$133,EXP(-E151*E2_tabla_vida!$X$134)*E2_tabla_vida!$P$134,EXP(-E151*E2_tabla_vida!$X$135)*E2_tabla_vida!$P$135,EXP(-E151*E2_tabla_vida!$X$136)*E2_tabla_vida!$P$136,EXP(-E151*E2_tabla_vida!$X$137)*E2_tabla_vida!$P$137,EXP(-E151*E2_tabla_vida!$X$138)*E2_tabla_vida!$P$138,EXP(-E151*E2_tabla_vida!$X$139)*E2_tabla_vida!$P$139,EXP(-E151*E2_tabla_vida!$X$140)*E2_tabla_vida!$P$140,EXP(-E151*E2_tabla_vida!$X$141)*E2_tabla_vida!$P$141,EXP(-E151*E2_tabla_vida!$X$142)*E2_tabla_vida!$P$142,EXP(-E151*E2_tabla_vida!$X$143)*E2_tabla_vida!$P$143,EXP(-E151*E2_tabla_vida!$X$144)*E2_tabla_vida!$P$144,EXP(-E151*E2_tabla_vida!$X$145)*E2_tabla_vida!$P$145,EXP(-E151*E2_tabla_vida!$X$146)*E2_tabla_vida!$P$146,EXP(-E151*E2_tabla_vida!$X$147)*E2_tabla_vida!$P$147,EXP(-E151*E2_tabla_vida!$X$148)*E2_tabla_vida!$P$148,EXP(-E151*E2_tabla_vida!$X$149)*E2_tabla_vida!$P$149,EXP(-E151*E2_tabla_vida!$X$150)*E2_tabla_vida!$P$150,EXP(-E151*E2_tabla_vida!$X$151)*E2_tabla_vida!$P$151,EXP(-E151*E2_tabla_vida!$X$152)*E2_tabla_vida!$P$152,EXP(-E151*E2_tabla_vida!$X$153)*E2_tabla_vida!$P$153,EXP(-E151*E2_tabla_vida!$X$154)*E2_tabla_vida!$P$154,EXP(-E151*E2_tabla_vida!$X$155)*E2_tabla_vida!$P$155,EXP(-E151*E2_tabla_vida!$X$156)*E2_tabla_vida!$P$156,EXP(-E151*E2_tabla_vida!$X$157)*E2_tabla_vida!$P$157,EXP(-E151*E2_tabla_vida!$X$158)*E2_tabla_vida!$P$158,EXP(-E151*E2_tabla_vida!$X$159)*E2_tabla_vida!$P$159,EXP(-E151*E2_tabla_vida!$X$160)*E2_tabla_vida!$P$160,EXP(-E151*E2_tabla_vida!$X$161)*E2_tabla_vida!$P$161,EXP(-E151*E2_tabla_vida!$X$162)*E2_tabla_vida!$P$162,EXP(-E151*E2_tabla_vida!$X$163)*E2_tabla_vida!$P$163,EXP(-E151*E2_tabla_vida!$X$164)*E2_tabla_vida!$P$164,EXP(-E151*E2_tabla_vida!$X$165)*E2_tabla_vida!$P$165,EXP(-E151*E2_tabla_vida!$X$166)*E2_tabla_vida!$P$166,EXP(-E151*E2_tabla_vida!$X$167)*E2_tabla_vida!$P$167,EXP(-E151*E2_tabla_vida!$X$168)*E2_tabla_vida!$P$168,EXP(-E151*E2_tabla_vida!$X$169)*E2_tabla_vida!$P$169)-1</x:f>
        <x:v>0.0025174039450814867</x:v>
      </x:c>
      <x:c r="G151" s="24" t="n">
        <x:f>SUM(EXP(-C151*E2_tabla_vida!$X$128)*E2_tabla_vida!$P$128,EXP(-C151*E2_tabla_vida!$X$129)*E2_tabla_vida!$P$129,EXP(-C151*E2_tabla_vida!$X$130)*E2_tabla_vida!$P$130,EXP(-C151*E2_tabla_vida!$X$131)*E2_tabla_vida!$P$131,EXP(-C151*E2_tabla_vida!$X$132)*E2_tabla_vida!$P$132,EXP(-C151*E2_tabla_vida!$X$133)*E2_tabla_vida!$P$133,EXP(-C151*E2_tabla_vida!$X$134)*E2_tabla_vida!$P$134,EXP(-C151*E2_tabla_vida!$X$135)*E2_tabla_vida!$P$135,EXP(-C151*E2_tabla_vida!$X$136)*E2_tabla_vida!$P$136,EXP(-C151*E2_tabla_vida!$X$137)*E2_tabla_vida!$P$137,EXP(-C151*E2_tabla_vida!$X$138)*E2_tabla_vida!$P$138,EXP(-C151*E2_tabla_vida!$X$139)*E2_tabla_vida!$P$139,EXP(-C151*E2_tabla_vida!$X$140)*E2_tabla_vida!$P$140,EXP(-C151*E2_tabla_vida!$X$141)*E2_tabla_vida!$P$141,EXP(-C151*E2_tabla_vida!$X$142)*E2_tabla_vida!$P$142,EXP(-C151*E2_tabla_vida!$X$143)*E2_tabla_vida!$P$143,EXP(-C151*E2_tabla_vida!$X$144)*E2_tabla_vida!$P$144,EXP(-C151*E2_tabla_vida!$X$145)*E2_tabla_vida!$P$145,EXP(-C151*E2_tabla_vida!$X$146)*E2_tabla_vida!$P$146,EXP(-C151*E2_tabla_vida!$X$147)*E2_tabla_vida!$P$147,EXP(-C151*E2_tabla_vida!$X$148)*E2_tabla_vida!$P$148,EXP(-C151*E2_tabla_vida!$X$149)*E2_tabla_vida!$P$149,EXP(-C151*E2_tabla_vida!$X$150)*E2_tabla_vida!$P$150,EXP(-C151*E2_tabla_vida!$X$151)*E2_tabla_vida!$P$151,EXP(-C151*E2_tabla_vida!$X$152)*E2_tabla_vida!$P$152,EXP(-C151*E2_tabla_vida!$X$153)*E2_tabla_vida!$P$153,EXP(-C151*E2_tabla_vida!$X$154)*E2_tabla_vida!$P$154,EXP(-C151*E2_tabla_vida!$X$155)*E2_tabla_vida!$P$155,EXP(-C151*E2_tabla_vida!$X$156)*E2_tabla_vida!$P$156,EXP(-C151*E2_tabla_vida!$X$157)*E2_tabla_vida!$P$157,EXP(-C151*E2_tabla_vida!$X$158)*E2_tabla_vida!$P$158,EXP(-C151*E2_tabla_vida!$X$159)*E2_tabla_vida!$P$159,EXP(-C151*E2_tabla_vida!$X$160)*E2_tabla_vida!$P$160,EXP(-C151*E2_tabla_vida!$X$161)*E2_tabla_vida!$P$161,EXP(-C151*E2_tabla_vida!$X$162)*E2_tabla_vida!$P$162,EXP(-C151*E2_tabla_vida!$X$163)*E2_tabla_vida!$P$163,EXP(-C151*E2_tabla_vida!$X$164)*E2_tabla_vida!$P$164,EXP(-C151*E2_tabla_vida!$X$165)*E2_tabla_vida!$P$165,EXP(-C151*E2_tabla_vida!$X$166)*E2_tabla_vida!$P$166,EXP(-C151*E2_tabla_vida!$X$167)*E2_tabla_vida!$P$167,EXP(-C151*E2_tabla_vida!$X$168)*E2_tabla_vida!$P$168,EXP(-C151*E2_tabla_vida!$X$169)*E2_tabla_vida!$P$169)-1</x:f>
        <x:v>0.011866034257381308</x:v>
      </x:c>
      <x:c r="H151" s="24" t="n">
        <x:f>SUM(EXP(-D151*E2_tabla_vida!$X$128)*E2_tabla_vida!$P$128,EXP(-D151*E2_tabla_vida!$X$129)*E2_tabla_vida!$P$129,EXP(-D151*E2_tabla_vida!$X$130)*E2_tabla_vida!$P$130,EXP(-D151*E2_tabla_vida!$X$131)*E2_tabla_vida!$P$131,EXP(-D151*E2_tabla_vida!$X$132)*E2_tabla_vida!$P$132,EXP(-D151*E2_tabla_vida!$X$133)*E2_tabla_vida!$P$133,EXP(-D151*E2_tabla_vida!$X$134)*E2_tabla_vida!$P$134,EXP(-D151*E2_tabla_vida!$X$135)*E2_tabla_vida!$P$135,EXP(-D151*E2_tabla_vida!$X$136)*E2_tabla_vida!$P$136,EXP(-D151*E2_tabla_vida!$X$137)*E2_tabla_vida!$P$137,EXP(-D151*E2_tabla_vida!$X$138)*E2_tabla_vida!$P$138,EXP(-D151*E2_tabla_vida!$X$139)*E2_tabla_vida!$P$139,EXP(-D151*E2_tabla_vida!$X$140)*E2_tabla_vida!$P$140,EXP(-D151*E2_tabla_vida!$X$141)*E2_tabla_vida!$P$141,EXP(-D151*E2_tabla_vida!$X$142)*E2_tabla_vida!$P$142,EXP(-D151*E2_tabla_vida!$X$143)*E2_tabla_vida!$P$143,EXP(-D151*E2_tabla_vida!$X$144)*E2_tabla_vida!$P$144,EXP(-D151*E2_tabla_vida!$X$145)*E2_tabla_vida!$P$145,EXP(-D151*E2_tabla_vida!$X$146)*E2_tabla_vida!$P$146,EXP(-D151*E2_tabla_vida!$X$147)*E2_tabla_vida!$P$147,EXP(-D151*E2_tabla_vida!$X$148)*E2_tabla_vida!$P$148,EXP(-D151*E2_tabla_vida!$X$149)*E2_tabla_vida!$P$149,EXP(-D151*E2_tabla_vida!$X$150)*E2_tabla_vida!$P$150,EXP(-D151*E2_tabla_vida!$X$151)*E2_tabla_vida!$P$151,EXP(-D151*E2_tabla_vida!$X$152)*E2_tabla_vida!$P$152,EXP(-D151*E2_tabla_vida!$X$153)*E2_tabla_vida!$P$153,EXP(-D151*E2_tabla_vida!$X$154)*E2_tabla_vida!$P$154,EXP(-D151*E2_tabla_vida!$X$155)*E2_tabla_vida!$P$155,EXP(-D151*E2_tabla_vida!$X$156)*E2_tabla_vida!$P$156,EXP(-D151*E2_tabla_vida!$X$157)*E2_tabla_vida!$P$157,EXP(-D151*E2_tabla_vida!$X$158)*E2_tabla_vida!$P$158,EXP(-D151*E2_tabla_vida!$X$159)*E2_tabla_vida!$P$159,EXP(-D151*E2_tabla_vida!$X$160)*E2_tabla_vida!$P$160,EXP(-D151*E2_tabla_vida!$X$161)*E2_tabla_vida!$P$161,EXP(-D151*E2_tabla_vida!$X$162)*E2_tabla_vida!$P$162,EXP(-D151*E2_tabla_vida!$X$163)*E2_tabla_vida!$P$163,EXP(-D151*E2_tabla_vida!$X$164)*E2_tabla_vida!$P$164,EXP(-D151*E2_tabla_vida!$X$165)*E2_tabla_vida!$P$165,EXP(-D151*E2_tabla_vida!$X$166)*E2_tabla_vida!$P$166,EXP(-D151*E2_tabla_vida!$X$167)*E2_tabla_vida!$P$167,EXP(-D151*E2_tabla_vida!$X$168)*E2_tabla_vida!$P$168,EXP(-D151*E2_tabla_vida!$X$169)*E2_tabla_vida!$P$169)-1</x:f>
        <x:v>-0.006738554347985204</x:v>
      </x:c>
    </x:row>
    <x:row r="152" ht="19" customHeight="1">
      <x:c r="A152" s="2" t="str">
        <x:v>BB_L0</x:v>
      </x:c>
      <x:c r="B152" s="2" t="n">
        <x:v>12</x:v>
      </x:c>
      <x:c r="C152" s="22" t="n">
        <x:f>IF(F151&gt;0,E151,C151)</x:f>
        <x:v>0.261962890625</x:v>
      </x:c>
      <x:c r="D152" s="22" t="n">
        <x:f>IF(F151&gt;0,D151,E151)</x:f>
        <x:v>0.2626953125</x:v>
      </x:c>
      <x:c r="E152" s="22" t="n">
        <x:f>AVERAGE(C152:D152)</x:f>
        <x:v>0.2623291015625</x:v>
      </x:c>
      <x:c r="F152" s="24" t="n">
        <x:f>SUM(EXP(-E152*E2_tabla_vida!$X$128)*E2_tabla_vida!$P$128,EXP(-E152*E2_tabla_vida!$X$129)*E2_tabla_vida!$P$129,EXP(-E152*E2_tabla_vida!$X$130)*E2_tabla_vida!$P$130,EXP(-E152*E2_tabla_vida!$X$131)*E2_tabla_vida!$P$131,EXP(-E152*E2_tabla_vida!$X$132)*E2_tabla_vida!$P$132,EXP(-E152*E2_tabla_vida!$X$133)*E2_tabla_vida!$P$133,EXP(-E152*E2_tabla_vida!$X$134)*E2_tabla_vida!$P$134,EXP(-E152*E2_tabla_vida!$X$135)*E2_tabla_vida!$P$135,EXP(-E152*E2_tabla_vida!$X$136)*E2_tabla_vida!$P$136,EXP(-E152*E2_tabla_vida!$X$137)*E2_tabla_vida!$P$137,EXP(-E152*E2_tabla_vida!$X$138)*E2_tabla_vida!$P$138,EXP(-E152*E2_tabla_vida!$X$139)*E2_tabla_vida!$P$139,EXP(-E152*E2_tabla_vida!$X$140)*E2_tabla_vida!$P$140,EXP(-E152*E2_tabla_vida!$X$141)*E2_tabla_vida!$P$141,EXP(-E152*E2_tabla_vida!$X$142)*E2_tabla_vida!$P$142,EXP(-E152*E2_tabla_vida!$X$143)*E2_tabla_vida!$P$143,EXP(-E152*E2_tabla_vida!$X$144)*E2_tabla_vida!$P$144,EXP(-E152*E2_tabla_vida!$X$145)*E2_tabla_vida!$P$145,EXP(-E152*E2_tabla_vida!$X$146)*E2_tabla_vida!$P$146,EXP(-E152*E2_tabla_vida!$X$147)*E2_tabla_vida!$P$147,EXP(-E152*E2_tabla_vida!$X$148)*E2_tabla_vida!$P$148,EXP(-E152*E2_tabla_vida!$X$149)*E2_tabla_vida!$P$149,EXP(-E152*E2_tabla_vida!$X$150)*E2_tabla_vida!$P$150,EXP(-E152*E2_tabla_vida!$X$151)*E2_tabla_vida!$P$151,EXP(-E152*E2_tabla_vida!$X$152)*E2_tabla_vida!$P$152,EXP(-E152*E2_tabla_vida!$X$153)*E2_tabla_vida!$P$153,EXP(-E152*E2_tabla_vida!$X$154)*E2_tabla_vida!$P$154,EXP(-E152*E2_tabla_vida!$X$155)*E2_tabla_vida!$P$155,EXP(-E152*E2_tabla_vida!$X$156)*E2_tabla_vida!$P$156,EXP(-E152*E2_tabla_vida!$X$157)*E2_tabla_vida!$P$157,EXP(-E152*E2_tabla_vida!$X$158)*E2_tabla_vida!$P$158,EXP(-E152*E2_tabla_vida!$X$159)*E2_tabla_vida!$P$159,EXP(-E152*E2_tabla_vida!$X$160)*E2_tabla_vida!$P$160,EXP(-E152*E2_tabla_vida!$X$161)*E2_tabla_vida!$P$161,EXP(-E152*E2_tabla_vida!$X$162)*E2_tabla_vida!$P$162,EXP(-E152*E2_tabla_vida!$X$163)*E2_tabla_vida!$P$163,EXP(-E152*E2_tabla_vida!$X$164)*E2_tabla_vida!$P$164,EXP(-E152*E2_tabla_vida!$X$165)*E2_tabla_vida!$P$165,EXP(-E152*E2_tabla_vida!$X$166)*E2_tabla_vida!$P$166,EXP(-E152*E2_tabla_vida!$X$167)*E2_tabla_vida!$P$167,EXP(-E152*E2_tabla_vida!$X$168)*E2_tabla_vida!$P$168,EXP(-E152*E2_tabla_vida!$X$169)*E2_tabla_vida!$P$169)-1</x:f>
        <x:v>-0.0021220969854407468</x:v>
      </x:c>
      <x:c r="G152" s="24" t="n">
        <x:f>SUM(EXP(-C152*E2_tabla_vida!$X$128)*E2_tabla_vida!$P$128,EXP(-C152*E2_tabla_vida!$X$129)*E2_tabla_vida!$P$129,EXP(-C152*E2_tabla_vida!$X$130)*E2_tabla_vida!$P$130,EXP(-C152*E2_tabla_vida!$X$131)*E2_tabla_vida!$P$131,EXP(-C152*E2_tabla_vida!$X$132)*E2_tabla_vida!$P$132,EXP(-C152*E2_tabla_vida!$X$133)*E2_tabla_vida!$P$133,EXP(-C152*E2_tabla_vida!$X$134)*E2_tabla_vida!$P$134,EXP(-C152*E2_tabla_vida!$X$135)*E2_tabla_vida!$P$135,EXP(-C152*E2_tabla_vida!$X$136)*E2_tabla_vida!$P$136,EXP(-C152*E2_tabla_vida!$X$137)*E2_tabla_vida!$P$137,EXP(-C152*E2_tabla_vida!$X$138)*E2_tabla_vida!$P$138,EXP(-C152*E2_tabla_vida!$X$139)*E2_tabla_vida!$P$139,EXP(-C152*E2_tabla_vida!$X$140)*E2_tabla_vida!$P$140,EXP(-C152*E2_tabla_vida!$X$141)*E2_tabla_vida!$P$141,EXP(-C152*E2_tabla_vida!$X$142)*E2_tabla_vida!$P$142,EXP(-C152*E2_tabla_vida!$X$143)*E2_tabla_vida!$P$143,EXP(-C152*E2_tabla_vida!$X$144)*E2_tabla_vida!$P$144,EXP(-C152*E2_tabla_vida!$X$145)*E2_tabla_vida!$P$145,EXP(-C152*E2_tabla_vida!$X$146)*E2_tabla_vida!$P$146,EXP(-C152*E2_tabla_vida!$X$147)*E2_tabla_vida!$P$147,EXP(-C152*E2_tabla_vida!$X$148)*E2_tabla_vida!$P$148,EXP(-C152*E2_tabla_vida!$X$149)*E2_tabla_vida!$P$149,EXP(-C152*E2_tabla_vida!$X$150)*E2_tabla_vida!$P$150,EXP(-C152*E2_tabla_vida!$X$151)*E2_tabla_vida!$P$151,EXP(-C152*E2_tabla_vida!$X$152)*E2_tabla_vida!$P$152,EXP(-C152*E2_tabla_vida!$X$153)*E2_tabla_vida!$P$153,EXP(-C152*E2_tabla_vida!$X$154)*E2_tabla_vida!$P$154,EXP(-C152*E2_tabla_vida!$X$155)*E2_tabla_vida!$P$155,EXP(-C152*E2_tabla_vida!$X$156)*E2_tabla_vida!$P$156,EXP(-C152*E2_tabla_vida!$X$157)*E2_tabla_vida!$P$157,EXP(-C152*E2_tabla_vida!$X$158)*E2_tabla_vida!$P$158,EXP(-C152*E2_tabla_vida!$X$159)*E2_tabla_vida!$P$159,EXP(-C152*E2_tabla_vida!$X$160)*E2_tabla_vida!$P$160,EXP(-C152*E2_tabla_vida!$X$161)*E2_tabla_vida!$P$161,EXP(-C152*E2_tabla_vida!$X$162)*E2_tabla_vida!$P$162,EXP(-C152*E2_tabla_vida!$X$163)*E2_tabla_vida!$P$163,EXP(-C152*E2_tabla_vida!$X$164)*E2_tabla_vida!$P$164,EXP(-C152*E2_tabla_vida!$X$165)*E2_tabla_vida!$P$165,EXP(-C152*E2_tabla_vida!$X$166)*E2_tabla_vida!$P$166,EXP(-C152*E2_tabla_vida!$X$167)*E2_tabla_vida!$P$167,EXP(-C152*E2_tabla_vida!$X$168)*E2_tabla_vida!$P$168,EXP(-C152*E2_tabla_vida!$X$169)*E2_tabla_vida!$P$169)-1</x:f>
        <x:v>0.0025174039450814867</x:v>
      </x:c>
      <x:c r="H152" s="24" t="n">
        <x:f>SUM(EXP(-D152*E2_tabla_vida!$X$128)*E2_tabla_vida!$P$128,EXP(-D152*E2_tabla_vida!$X$129)*E2_tabla_vida!$P$129,EXP(-D152*E2_tabla_vida!$X$130)*E2_tabla_vida!$P$130,EXP(-D152*E2_tabla_vida!$X$131)*E2_tabla_vida!$P$131,EXP(-D152*E2_tabla_vida!$X$132)*E2_tabla_vida!$P$132,EXP(-D152*E2_tabla_vida!$X$133)*E2_tabla_vida!$P$133,EXP(-D152*E2_tabla_vida!$X$134)*E2_tabla_vida!$P$134,EXP(-D152*E2_tabla_vida!$X$135)*E2_tabla_vida!$P$135,EXP(-D152*E2_tabla_vida!$X$136)*E2_tabla_vida!$P$136,EXP(-D152*E2_tabla_vida!$X$137)*E2_tabla_vida!$P$137,EXP(-D152*E2_tabla_vida!$X$138)*E2_tabla_vida!$P$138,EXP(-D152*E2_tabla_vida!$X$139)*E2_tabla_vida!$P$139,EXP(-D152*E2_tabla_vida!$X$140)*E2_tabla_vida!$P$140,EXP(-D152*E2_tabla_vida!$X$141)*E2_tabla_vida!$P$141,EXP(-D152*E2_tabla_vida!$X$142)*E2_tabla_vida!$P$142,EXP(-D152*E2_tabla_vida!$X$143)*E2_tabla_vida!$P$143,EXP(-D152*E2_tabla_vida!$X$144)*E2_tabla_vida!$P$144,EXP(-D152*E2_tabla_vida!$X$145)*E2_tabla_vida!$P$145,EXP(-D152*E2_tabla_vida!$X$146)*E2_tabla_vida!$P$146,EXP(-D152*E2_tabla_vida!$X$147)*E2_tabla_vida!$P$147,EXP(-D152*E2_tabla_vida!$X$148)*E2_tabla_vida!$P$148,EXP(-D152*E2_tabla_vida!$X$149)*E2_tabla_vida!$P$149,EXP(-D152*E2_tabla_vida!$X$150)*E2_tabla_vida!$P$150,EXP(-D152*E2_tabla_vida!$X$151)*E2_tabla_vida!$P$151,EXP(-D152*E2_tabla_vida!$X$152)*E2_tabla_vida!$P$152,EXP(-D152*E2_tabla_vida!$X$153)*E2_tabla_vida!$P$153,EXP(-D152*E2_tabla_vida!$X$154)*E2_tabla_vida!$P$154,EXP(-D152*E2_tabla_vida!$X$155)*E2_tabla_vida!$P$155,EXP(-D152*E2_tabla_vida!$X$156)*E2_tabla_vida!$P$156,EXP(-D152*E2_tabla_vida!$X$157)*E2_tabla_vida!$P$157,EXP(-D152*E2_tabla_vida!$X$158)*E2_tabla_vida!$P$158,EXP(-D152*E2_tabla_vida!$X$159)*E2_tabla_vida!$P$159,EXP(-D152*E2_tabla_vida!$X$160)*E2_tabla_vida!$P$160,EXP(-D152*E2_tabla_vida!$X$161)*E2_tabla_vida!$P$161,EXP(-D152*E2_tabla_vida!$X$162)*E2_tabla_vida!$P$162,EXP(-D152*E2_tabla_vida!$X$163)*E2_tabla_vida!$P$163,EXP(-D152*E2_tabla_vida!$X$164)*E2_tabla_vida!$P$164,EXP(-D152*E2_tabla_vida!$X$165)*E2_tabla_vida!$P$165,EXP(-D152*E2_tabla_vida!$X$166)*E2_tabla_vida!$P$166,EXP(-D152*E2_tabla_vida!$X$167)*E2_tabla_vida!$P$167,EXP(-D152*E2_tabla_vida!$X$168)*E2_tabla_vida!$P$168,EXP(-D152*E2_tabla_vida!$X$169)*E2_tabla_vida!$P$169)-1</x:f>
        <x:v>-0.006738554347985204</x:v>
      </x:c>
    </x:row>
    <x:row r="153" ht="19" customHeight="1">
      <x:c r="A153" s="2" t="str">
        <x:v>BB_L0</x:v>
      </x:c>
      <x:c r="B153" s="2" t="n">
        <x:v>13</x:v>
      </x:c>
      <x:c r="C153" s="22" t="n">
        <x:f>IF(F152&gt;0,E152,C152)</x:f>
        <x:v>0.261962890625</x:v>
      </x:c>
      <x:c r="D153" s="22" t="n">
        <x:f>IF(F152&gt;0,D152,E152)</x:f>
        <x:v>0.2623291015625</x:v>
      </x:c>
      <x:c r="E153" s="22" t="n">
        <x:f>AVERAGE(C153:D153)</x:f>
        <x:v>0.26214599609375</x:v>
      </x:c>
      <x:c r="F153" s="24" t="n">
        <x:f>SUM(EXP(-E153*E2_tabla_vida!$X$128)*E2_tabla_vida!$P$128,EXP(-E153*E2_tabla_vida!$X$129)*E2_tabla_vida!$P$129,EXP(-E153*E2_tabla_vida!$X$130)*E2_tabla_vida!$P$130,EXP(-E153*E2_tabla_vida!$X$131)*E2_tabla_vida!$P$131,EXP(-E153*E2_tabla_vida!$X$132)*E2_tabla_vida!$P$132,EXP(-E153*E2_tabla_vida!$X$133)*E2_tabla_vida!$P$133,EXP(-E153*E2_tabla_vida!$X$134)*E2_tabla_vida!$P$134,EXP(-E153*E2_tabla_vida!$X$135)*E2_tabla_vida!$P$135,EXP(-E153*E2_tabla_vida!$X$136)*E2_tabla_vida!$P$136,EXP(-E153*E2_tabla_vida!$X$137)*E2_tabla_vida!$P$137,EXP(-E153*E2_tabla_vida!$X$138)*E2_tabla_vida!$P$138,EXP(-E153*E2_tabla_vida!$X$139)*E2_tabla_vida!$P$139,EXP(-E153*E2_tabla_vida!$X$140)*E2_tabla_vida!$P$140,EXP(-E153*E2_tabla_vida!$X$141)*E2_tabla_vida!$P$141,EXP(-E153*E2_tabla_vida!$X$142)*E2_tabla_vida!$P$142,EXP(-E153*E2_tabla_vida!$X$143)*E2_tabla_vida!$P$143,EXP(-E153*E2_tabla_vida!$X$144)*E2_tabla_vida!$P$144,EXP(-E153*E2_tabla_vida!$X$145)*E2_tabla_vida!$P$145,EXP(-E153*E2_tabla_vida!$X$146)*E2_tabla_vida!$P$146,EXP(-E153*E2_tabla_vida!$X$147)*E2_tabla_vida!$P$147,EXP(-E153*E2_tabla_vida!$X$148)*E2_tabla_vida!$P$148,EXP(-E153*E2_tabla_vida!$X$149)*E2_tabla_vida!$P$149,EXP(-E153*E2_tabla_vida!$X$150)*E2_tabla_vida!$P$150,EXP(-E153*E2_tabla_vida!$X$151)*E2_tabla_vida!$P$151,EXP(-E153*E2_tabla_vida!$X$152)*E2_tabla_vida!$P$152,EXP(-E153*E2_tabla_vida!$X$153)*E2_tabla_vida!$P$153,EXP(-E153*E2_tabla_vida!$X$154)*E2_tabla_vida!$P$154,EXP(-E153*E2_tabla_vida!$X$155)*E2_tabla_vida!$P$155,EXP(-E153*E2_tabla_vida!$X$156)*E2_tabla_vida!$P$156,EXP(-E153*E2_tabla_vida!$X$157)*E2_tabla_vida!$P$157,EXP(-E153*E2_tabla_vida!$X$158)*E2_tabla_vida!$P$158,EXP(-E153*E2_tabla_vida!$X$159)*E2_tabla_vida!$P$159,EXP(-E153*E2_tabla_vida!$X$160)*E2_tabla_vida!$P$160,EXP(-E153*E2_tabla_vida!$X$161)*E2_tabla_vida!$P$161,EXP(-E153*E2_tabla_vida!$X$162)*E2_tabla_vida!$P$162,EXP(-E153*E2_tabla_vida!$X$163)*E2_tabla_vida!$P$163,EXP(-E153*E2_tabla_vida!$X$164)*E2_tabla_vida!$P$164,EXP(-E153*E2_tabla_vida!$X$165)*E2_tabla_vida!$P$165,EXP(-E153*E2_tabla_vida!$X$166)*E2_tabla_vida!$P$166,EXP(-E153*E2_tabla_vida!$X$167)*E2_tabla_vida!$P$167,EXP(-E153*E2_tabla_vida!$X$168)*E2_tabla_vida!$P$168,EXP(-E153*E2_tabla_vida!$X$169)*E2_tabla_vida!$P$169)-1</x:f>
        <x:v>0.00019476528484396738</x:v>
      </x:c>
      <x:c r="G153" s="24" t="n">
        <x:f>SUM(EXP(-C153*E2_tabla_vida!$X$128)*E2_tabla_vida!$P$128,EXP(-C153*E2_tabla_vida!$X$129)*E2_tabla_vida!$P$129,EXP(-C153*E2_tabla_vida!$X$130)*E2_tabla_vida!$P$130,EXP(-C153*E2_tabla_vida!$X$131)*E2_tabla_vida!$P$131,EXP(-C153*E2_tabla_vida!$X$132)*E2_tabla_vida!$P$132,EXP(-C153*E2_tabla_vida!$X$133)*E2_tabla_vida!$P$133,EXP(-C153*E2_tabla_vida!$X$134)*E2_tabla_vida!$P$134,EXP(-C153*E2_tabla_vida!$X$135)*E2_tabla_vida!$P$135,EXP(-C153*E2_tabla_vida!$X$136)*E2_tabla_vida!$P$136,EXP(-C153*E2_tabla_vida!$X$137)*E2_tabla_vida!$P$137,EXP(-C153*E2_tabla_vida!$X$138)*E2_tabla_vida!$P$138,EXP(-C153*E2_tabla_vida!$X$139)*E2_tabla_vida!$P$139,EXP(-C153*E2_tabla_vida!$X$140)*E2_tabla_vida!$P$140,EXP(-C153*E2_tabla_vida!$X$141)*E2_tabla_vida!$P$141,EXP(-C153*E2_tabla_vida!$X$142)*E2_tabla_vida!$P$142,EXP(-C153*E2_tabla_vida!$X$143)*E2_tabla_vida!$P$143,EXP(-C153*E2_tabla_vida!$X$144)*E2_tabla_vida!$P$144,EXP(-C153*E2_tabla_vida!$X$145)*E2_tabla_vida!$P$145,EXP(-C153*E2_tabla_vida!$X$146)*E2_tabla_vida!$P$146,EXP(-C153*E2_tabla_vida!$X$147)*E2_tabla_vida!$P$147,EXP(-C153*E2_tabla_vida!$X$148)*E2_tabla_vida!$P$148,EXP(-C153*E2_tabla_vida!$X$149)*E2_tabla_vida!$P$149,EXP(-C153*E2_tabla_vida!$X$150)*E2_tabla_vida!$P$150,EXP(-C153*E2_tabla_vida!$X$151)*E2_tabla_vida!$P$151,EXP(-C153*E2_tabla_vida!$X$152)*E2_tabla_vida!$P$152,EXP(-C153*E2_tabla_vida!$X$153)*E2_tabla_vida!$P$153,EXP(-C153*E2_tabla_vida!$X$154)*E2_tabla_vida!$P$154,EXP(-C153*E2_tabla_vida!$X$155)*E2_tabla_vida!$P$155,EXP(-C153*E2_tabla_vida!$X$156)*E2_tabla_vida!$P$156,EXP(-C153*E2_tabla_vida!$X$157)*E2_tabla_vida!$P$157,EXP(-C153*E2_tabla_vida!$X$158)*E2_tabla_vida!$P$158,EXP(-C153*E2_tabla_vida!$X$159)*E2_tabla_vida!$P$159,EXP(-C153*E2_tabla_vida!$X$160)*E2_tabla_vida!$P$160,EXP(-C153*E2_tabla_vida!$X$161)*E2_tabla_vida!$P$161,EXP(-C153*E2_tabla_vida!$X$162)*E2_tabla_vida!$P$162,EXP(-C153*E2_tabla_vida!$X$163)*E2_tabla_vida!$P$163,EXP(-C153*E2_tabla_vida!$X$164)*E2_tabla_vida!$P$164,EXP(-C153*E2_tabla_vida!$X$165)*E2_tabla_vida!$P$165,EXP(-C153*E2_tabla_vida!$X$166)*E2_tabla_vida!$P$166,EXP(-C153*E2_tabla_vida!$X$167)*E2_tabla_vida!$P$167,EXP(-C153*E2_tabla_vida!$X$168)*E2_tabla_vida!$P$168,EXP(-C153*E2_tabla_vida!$X$169)*E2_tabla_vida!$P$169)-1</x:f>
        <x:v>0.0025174039450814867</x:v>
      </x:c>
      <x:c r="H153" s="24" t="n">
        <x:f>SUM(EXP(-D153*E2_tabla_vida!$X$128)*E2_tabla_vida!$P$128,EXP(-D153*E2_tabla_vida!$X$129)*E2_tabla_vida!$P$129,EXP(-D153*E2_tabla_vida!$X$130)*E2_tabla_vida!$P$130,EXP(-D153*E2_tabla_vida!$X$131)*E2_tabla_vida!$P$131,EXP(-D153*E2_tabla_vida!$X$132)*E2_tabla_vida!$P$132,EXP(-D153*E2_tabla_vida!$X$133)*E2_tabla_vida!$P$133,EXP(-D153*E2_tabla_vida!$X$134)*E2_tabla_vida!$P$134,EXP(-D153*E2_tabla_vida!$X$135)*E2_tabla_vida!$P$135,EXP(-D153*E2_tabla_vida!$X$136)*E2_tabla_vida!$P$136,EXP(-D153*E2_tabla_vida!$X$137)*E2_tabla_vida!$P$137,EXP(-D153*E2_tabla_vida!$X$138)*E2_tabla_vida!$P$138,EXP(-D153*E2_tabla_vida!$X$139)*E2_tabla_vida!$P$139,EXP(-D153*E2_tabla_vida!$X$140)*E2_tabla_vida!$P$140,EXP(-D153*E2_tabla_vida!$X$141)*E2_tabla_vida!$P$141,EXP(-D153*E2_tabla_vida!$X$142)*E2_tabla_vida!$P$142,EXP(-D153*E2_tabla_vida!$X$143)*E2_tabla_vida!$P$143,EXP(-D153*E2_tabla_vida!$X$144)*E2_tabla_vida!$P$144,EXP(-D153*E2_tabla_vida!$X$145)*E2_tabla_vida!$P$145,EXP(-D153*E2_tabla_vida!$X$146)*E2_tabla_vida!$P$146,EXP(-D153*E2_tabla_vida!$X$147)*E2_tabla_vida!$P$147,EXP(-D153*E2_tabla_vida!$X$148)*E2_tabla_vida!$P$148,EXP(-D153*E2_tabla_vida!$X$149)*E2_tabla_vida!$P$149,EXP(-D153*E2_tabla_vida!$X$150)*E2_tabla_vida!$P$150,EXP(-D153*E2_tabla_vida!$X$151)*E2_tabla_vida!$P$151,EXP(-D153*E2_tabla_vida!$X$152)*E2_tabla_vida!$P$152,EXP(-D153*E2_tabla_vida!$X$153)*E2_tabla_vida!$P$153,EXP(-D153*E2_tabla_vida!$X$154)*E2_tabla_vida!$P$154,EXP(-D153*E2_tabla_vida!$X$155)*E2_tabla_vida!$P$155,EXP(-D153*E2_tabla_vida!$X$156)*E2_tabla_vida!$P$156,EXP(-D153*E2_tabla_vida!$X$157)*E2_tabla_vida!$P$157,EXP(-D153*E2_tabla_vida!$X$158)*E2_tabla_vida!$P$158,EXP(-D153*E2_tabla_vida!$X$159)*E2_tabla_vida!$P$159,EXP(-D153*E2_tabla_vida!$X$160)*E2_tabla_vida!$P$160,EXP(-D153*E2_tabla_vida!$X$161)*E2_tabla_vida!$P$161,EXP(-D153*E2_tabla_vida!$X$162)*E2_tabla_vida!$P$162,EXP(-D153*E2_tabla_vida!$X$163)*E2_tabla_vida!$P$163,EXP(-D153*E2_tabla_vida!$X$164)*E2_tabla_vida!$P$164,EXP(-D153*E2_tabla_vida!$X$165)*E2_tabla_vida!$P$165,EXP(-D153*E2_tabla_vida!$X$166)*E2_tabla_vida!$P$166,EXP(-D153*E2_tabla_vida!$X$167)*E2_tabla_vida!$P$167,EXP(-D153*E2_tabla_vida!$X$168)*E2_tabla_vida!$P$168,EXP(-D153*E2_tabla_vida!$X$169)*E2_tabla_vida!$P$169)-1</x:f>
        <x:v>-0.0021220969854407468</x:v>
      </x:c>
    </x:row>
    <x:row r="154" ht="19" customHeight="1">
      <x:c r="A154" s="2" t="str">
        <x:v>BB_L0</x:v>
      </x:c>
      <x:c r="B154" s="2" t="n">
        <x:v>14</x:v>
      </x:c>
      <x:c r="C154" s="22" t="n">
        <x:f>IF(F153&gt;0,E153,C153)</x:f>
        <x:v>0.26214599609375</x:v>
      </x:c>
      <x:c r="D154" s="22" t="n">
        <x:f>IF(F153&gt;0,D153,E153)</x:f>
        <x:v>0.2623291015625</x:v>
      </x:c>
      <x:c r="E154" s="22" t="n">
        <x:f>AVERAGE(C154:D154)</x:f>
        <x:v>0.262237548828125</x:v>
      </x:c>
      <x:c r="F154" s="24" t="n">
        <x:f>SUM(EXP(-E154*E2_tabla_vida!$X$128)*E2_tabla_vida!$P$128,EXP(-E154*E2_tabla_vida!$X$129)*E2_tabla_vida!$P$129,EXP(-E154*E2_tabla_vida!$X$130)*E2_tabla_vida!$P$130,EXP(-E154*E2_tabla_vida!$X$131)*E2_tabla_vida!$P$131,EXP(-E154*E2_tabla_vida!$X$132)*E2_tabla_vida!$P$132,EXP(-E154*E2_tabla_vida!$X$133)*E2_tabla_vida!$P$133,EXP(-E154*E2_tabla_vida!$X$134)*E2_tabla_vida!$P$134,EXP(-E154*E2_tabla_vida!$X$135)*E2_tabla_vida!$P$135,EXP(-E154*E2_tabla_vida!$X$136)*E2_tabla_vida!$P$136,EXP(-E154*E2_tabla_vida!$X$137)*E2_tabla_vida!$P$137,EXP(-E154*E2_tabla_vida!$X$138)*E2_tabla_vida!$P$138,EXP(-E154*E2_tabla_vida!$X$139)*E2_tabla_vida!$P$139,EXP(-E154*E2_tabla_vida!$X$140)*E2_tabla_vida!$P$140,EXP(-E154*E2_tabla_vida!$X$141)*E2_tabla_vida!$P$141,EXP(-E154*E2_tabla_vida!$X$142)*E2_tabla_vida!$P$142,EXP(-E154*E2_tabla_vida!$X$143)*E2_tabla_vida!$P$143,EXP(-E154*E2_tabla_vida!$X$144)*E2_tabla_vida!$P$144,EXP(-E154*E2_tabla_vida!$X$145)*E2_tabla_vida!$P$145,EXP(-E154*E2_tabla_vida!$X$146)*E2_tabla_vida!$P$146,EXP(-E154*E2_tabla_vida!$X$147)*E2_tabla_vida!$P$147,EXP(-E154*E2_tabla_vida!$X$148)*E2_tabla_vida!$P$148,EXP(-E154*E2_tabla_vida!$X$149)*E2_tabla_vida!$P$149,EXP(-E154*E2_tabla_vida!$X$150)*E2_tabla_vida!$P$150,EXP(-E154*E2_tabla_vida!$X$151)*E2_tabla_vida!$P$151,EXP(-E154*E2_tabla_vida!$X$152)*E2_tabla_vida!$P$152,EXP(-E154*E2_tabla_vida!$X$153)*E2_tabla_vida!$P$153,EXP(-E154*E2_tabla_vida!$X$154)*E2_tabla_vida!$P$154,EXP(-E154*E2_tabla_vida!$X$155)*E2_tabla_vida!$P$155,EXP(-E154*E2_tabla_vida!$X$156)*E2_tabla_vida!$P$156,EXP(-E154*E2_tabla_vida!$X$157)*E2_tabla_vida!$P$157,EXP(-E154*E2_tabla_vida!$X$158)*E2_tabla_vida!$P$158,EXP(-E154*E2_tabla_vida!$X$159)*E2_tabla_vida!$P$159,EXP(-E154*E2_tabla_vida!$X$160)*E2_tabla_vida!$P$160,EXP(-E154*E2_tabla_vida!$X$161)*E2_tabla_vida!$P$161,EXP(-E154*E2_tabla_vida!$X$162)*E2_tabla_vida!$P$162,EXP(-E154*E2_tabla_vida!$X$163)*E2_tabla_vida!$P$163,EXP(-E154*E2_tabla_vida!$X$164)*E2_tabla_vida!$P$164,EXP(-E154*E2_tabla_vida!$X$165)*E2_tabla_vida!$P$165,EXP(-E154*E2_tabla_vida!$X$166)*E2_tabla_vida!$P$166,EXP(-E154*E2_tabla_vida!$X$167)*E2_tabla_vida!$P$167,EXP(-E154*E2_tabla_vida!$X$168)*E2_tabla_vida!$P$168,EXP(-E154*E2_tabla_vida!$X$169)*E2_tabla_vida!$P$169)-1</x:f>
        <x:v>-0.0009643869286564133</x:v>
      </x:c>
      <x:c r="G154" s="24" t="n">
        <x:f>SUM(EXP(-C154*E2_tabla_vida!$X$128)*E2_tabla_vida!$P$128,EXP(-C154*E2_tabla_vida!$X$129)*E2_tabla_vida!$P$129,EXP(-C154*E2_tabla_vida!$X$130)*E2_tabla_vida!$P$130,EXP(-C154*E2_tabla_vida!$X$131)*E2_tabla_vida!$P$131,EXP(-C154*E2_tabla_vida!$X$132)*E2_tabla_vida!$P$132,EXP(-C154*E2_tabla_vida!$X$133)*E2_tabla_vida!$P$133,EXP(-C154*E2_tabla_vida!$X$134)*E2_tabla_vida!$P$134,EXP(-C154*E2_tabla_vida!$X$135)*E2_tabla_vida!$P$135,EXP(-C154*E2_tabla_vida!$X$136)*E2_tabla_vida!$P$136,EXP(-C154*E2_tabla_vida!$X$137)*E2_tabla_vida!$P$137,EXP(-C154*E2_tabla_vida!$X$138)*E2_tabla_vida!$P$138,EXP(-C154*E2_tabla_vida!$X$139)*E2_tabla_vida!$P$139,EXP(-C154*E2_tabla_vida!$X$140)*E2_tabla_vida!$P$140,EXP(-C154*E2_tabla_vida!$X$141)*E2_tabla_vida!$P$141,EXP(-C154*E2_tabla_vida!$X$142)*E2_tabla_vida!$P$142,EXP(-C154*E2_tabla_vida!$X$143)*E2_tabla_vida!$P$143,EXP(-C154*E2_tabla_vida!$X$144)*E2_tabla_vida!$P$144,EXP(-C154*E2_tabla_vida!$X$145)*E2_tabla_vida!$P$145,EXP(-C154*E2_tabla_vida!$X$146)*E2_tabla_vida!$P$146,EXP(-C154*E2_tabla_vida!$X$147)*E2_tabla_vida!$P$147,EXP(-C154*E2_tabla_vida!$X$148)*E2_tabla_vida!$P$148,EXP(-C154*E2_tabla_vida!$X$149)*E2_tabla_vida!$P$149,EXP(-C154*E2_tabla_vida!$X$150)*E2_tabla_vida!$P$150,EXP(-C154*E2_tabla_vida!$X$151)*E2_tabla_vida!$P$151,EXP(-C154*E2_tabla_vida!$X$152)*E2_tabla_vida!$P$152,EXP(-C154*E2_tabla_vida!$X$153)*E2_tabla_vida!$P$153,EXP(-C154*E2_tabla_vida!$X$154)*E2_tabla_vida!$P$154,EXP(-C154*E2_tabla_vida!$X$155)*E2_tabla_vida!$P$155,EXP(-C154*E2_tabla_vida!$X$156)*E2_tabla_vida!$P$156,EXP(-C154*E2_tabla_vida!$X$157)*E2_tabla_vida!$P$157,EXP(-C154*E2_tabla_vida!$X$158)*E2_tabla_vida!$P$158,EXP(-C154*E2_tabla_vida!$X$159)*E2_tabla_vida!$P$159,EXP(-C154*E2_tabla_vida!$X$160)*E2_tabla_vida!$P$160,EXP(-C154*E2_tabla_vida!$X$161)*E2_tabla_vida!$P$161,EXP(-C154*E2_tabla_vida!$X$162)*E2_tabla_vida!$P$162,EXP(-C154*E2_tabla_vida!$X$163)*E2_tabla_vida!$P$163,EXP(-C154*E2_tabla_vida!$X$164)*E2_tabla_vida!$P$164,EXP(-C154*E2_tabla_vida!$X$165)*E2_tabla_vida!$P$165,EXP(-C154*E2_tabla_vida!$X$166)*E2_tabla_vida!$P$166,EXP(-C154*E2_tabla_vida!$X$167)*E2_tabla_vida!$P$167,EXP(-C154*E2_tabla_vida!$X$168)*E2_tabla_vida!$P$168,EXP(-C154*E2_tabla_vida!$X$169)*E2_tabla_vida!$P$169)-1</x:f>
        <x:v>0.00019476528484396738</x:v>
      </x:c>
      <x:c r="H154" s="24" t="n">
        <x:f>SUM(EXP(-D154*E2_tabla_vida!$X$128)*E2_tabla_vida!$P$128,EXP(-D154*E2_tabla_vida!$X$129)*E2_tabla_vida!$P$129,EXP(-D154*E2_tabla_vida!$X$130)*E2_tabla_vida!$P$130,EXP(-D154*E2_tabla_vida!$X$131)*E2_tabla_vida!$P$131,EXP(-D154*E2_tabla_vida!$X$132)*E2_tabla_vida!$P$132,EXP(-D154*E2_tabla_vida!$X$133)*E2_tabla_vida!$P$133,EXP(-D154*E2_tabla_vida!$X$134)*E2_tabla_vida!$P$134,EXP(-D154*E2_tabla_vida!$X$135)*E2_tabla_vida!$P$135,EXP(-D154*E2_tabla_vida!$X$136)*E2_tabla_vida!$P$136,EXP(-D154*E2_tabla_vida!$X$137)*E2_tabla_vida!$P$137,EXP(-D154*E2_tabla_vida!$X$138)*E2_tabla_vida!$P$138,EXP(-D154*E2_tabla_vida!$X$139)*E2_tabla_vida!$P$139,EXP(-D154*E2_tabla_vida!$X$140)*E2_tabla_vida!$P$140,EXP(-D154*E2_tabla_vida!$X$141)*E2_tabla_vida!$P$141,EXP(-D154*E2_tabla_vida!$X$142)*E2_tabla_vida!$P$142,EXP(-D154*E2_tabla_vida!$X$143)*E2_tabla_vida!$P$143,EXP(-D154*E2_tabla_vida!$X$144)*E2_tabla_vida!$P$144,EXP(-D154*E2_tabla_vida!$X$145)*E2_tabla_vida!$P$145,EXP(-D154*E2_tabla_vida!$X$146)*E2_tabla_vida!$P$146,EXP(-D154*E2_tabla_vida!$X$147)*E2_tabla_vida!$P$147,EXP(-D154*E2_tabla_vida!$X$148)*E2_tabla_vida!$P$148,EXP(-D154*E2_tabla_vida!$X$149)*E2_tabla_vida!$P$149,EXP(-D154*E2_tabla_vida!$X$150)*E2_tabla_vida!$P$150,EXP(-D154*E2_tabla_vida!$X$151)*E2_tabla_vida!$P$151,EXP(-D154*E2_tabla_vida!$X$152)*E2_tabla_vida!$P$152,EXP(-D154*E2_tabla_vida!$X$153)*E2_tabla_vida!$P$153,EXP(-D154*E2_tabla_vida!$X$154)*E2_tabla_vida!$P$154,EXP(-D154*E2_tabla_vida!$X$155)*E2_tabla_vida!$P$155,EXP(-D154*E2_tabla_vida!$X$156)*E2_tabla_vida!$P$156,EXP(-D154*E2_tabla_vida!$X$157)*E2_tabla_vida!$P$157,EXP(-D154*E2_tabla_vida!$X$158)*E2_tabla_vida!$P$158,EXP(-D154*E2_tabla_vida!$X$159)*E2_tabla_vida!$P$159,EXP(-D154*E2_tabla_vida!$X$160)*E2_tabla_vida!$P$160,EXP(-D154*E2_tabla_vida!$X$161)*E2_tabla_vida!$P$161,EXP(-D154*E2_tabla_vida!$X$162)*E2_tabla_vida!$P$162,EXP(-D154*E2_tabla_vida!$X$163)*E2_tabla_vida!$P$163,EXP(-D154*E2_tabla_vida!$X$164)*E2_tabla_vida!$P$164,EXP(-D154*E2_tabla_vida!$X$165)*E2_tabla_vida!$P$165,EXP(-D154*E2_tabla_vida!$X$166)*E2_tabla_vida!$P$166,EXP(-D154*E2_tabla_vida!$X$167)*E2_tabla_vida!$P$167,EXP(-D154*E2_tabla_vida!$X$168)*E2_tabla_vida!$P$168,EXP(-D154*E2_tabla_vida!$X$169)*E2_tabla_vida!$P$169)-1</x:f>
        <x:v>-0.0021220969854407468</x:v>
      </x:c>
    </x:row>
    <x:row r="155" ht="19" customHeight="1">
      <x:c r="A155" s="2" t="str">
        <x:v>BB_L0</x:v>
      </x:c>
      <x:c r="B155" s="2" t="n">
        <x:v>15</x:v>
      </x:c>
      <x:c r="C155" s="22" t="n">
        <x:f>IF(F154&gt;0,E154,C154)</x:f>
        <x:v>0.26214599609375</x:v>
      </x:c>
      <x:c r="D155" s="22" t="n">
        <x:f>IF(F154&gt;0,D154,E154)</x:f>
        <x:v>0.262237548828125</x:v>
      </x:c>
      <x:c r="E155" s="22" t="n">
        <x:f>AVERAGE(C155:D155)</x:f>
        <x:v>0.2621917724609375</x:v>
      </x:c>
      <x:c r="F155" s="24" t="n">
        <x:f>SUM(EXP(-E155*E2_tabla_vida!$X$128)*E2_tabla_vida!$P$128,EXP(-E155*E2_tabla_vida!$X$129)*E2_tabla_vida!$P$129,EXP(-E155*E2_tabla_vida!$X$130)*E2_tabla_vida!$P$130,EXP(-E155*E2_tabla_vida!$X$131)*E2_tabla_vida!$P$131,EXP(-E155*E2_tabla_vida!$X$132)*E2_tabla_vida!$P$132,EXP(-E155*E2_tabla_vida!$X$133)*E2_tabla_vida!$P$133,EXP(-E155*E2_tabla_vida!$X$134)*E2_tabla_vida!$P$134,EXP(-E155*E2_tabla_vida!$X$135)*E2_tabla_vida!$P$135,EXP(-E155*E2_tabla_vida!$X$136)*E2_tabla_vida!$P$136,EXP(-E155*E2_tabla_vida!$X$137)*E2_tabla_vida!$P$137,EXP(-E155*E2_tabla_vida!$X$138)*E2_tabla_vida!$P$138,EXP(-E155*E2_tabla_vida!$X$139)*E2_tabla_vida!$P$139,EXP(-E155*E2_tabla_vida!$X$140)*E2_tabla_vida!$P$140,EXP(-E155*E2_tabla_vida!$X$141)*E2_tabla_vida!$P$141,EXP(-E155*E2_tabla_vida!$X$142)*E2_tabla_vida!$P$142,EXP(-E155*E2_tabla_vida!$X$143)*E2_tabla_vida!$P$143,EXP(-E155*E2_tabla_vida!$X$144)*E2_tabla_vida!$P$144,EXP(-E155*E2_tabla_vida!$X$145)*E2_tabla_vida!$P$145,EXP(-E155*E2_tabla_vida!$X$146)*E2_tabla_vida!$P$146,EXP(-E155*E2_tabla_vida!$X$147)*E2_tabla_vida!$P$147,EXP(-E155*E2_tabla_vida!$X$148)*E2_tabla_vida!$P$148,EXP(-E155*E2_tabla_vida!$X$149)*E2_tabla_vida!$P$149,EXP(-E155*E2_tabla_vida!$X$150)*E2_tabla_vida!$P$150,EXP(-E155*E2_tabla_vida!$X$151)*E2_tabla_vida!$P$151,EXP(-E155*E2_tabla_vida!$X$152)*E2_tabla_vida!$P$152,EXP(-E155*E2_tabla_vida!$X$153)*E2_tabla_vida!$P$153,EXP(-E155*E2_tabla_vida!$X$154)*E2_tabla_vida!$P$154,EXP(-E155*E2_tabla_vida!$X$155)*E2_tabla_vida!$P$155,EXP(-E155*E2_tabla_vida!$X$156)*E2_tabla_vida!$P$156,EXP(-E155*E2_tabla_vida!$X$157)*E2_tabla_vida!$P$157,EXP(-E155*E2_tabla_vida!$X$158)*E2_tabla_vida!$P$158,EXP(-E155*E2_tabla_vida!$X$159)*E2_tabla_vida!$P$159,EXP(-E155*E2_tabla_vida!$X$160)*E2_tabla_vida!$P$160,EXP(-E155*E2_tabla_vida!$X$161)*E2_tabla_vida!$P$161,EXP(-E155*E2_tabla_vida!$X$162)*E2_tabla_vida!$P$162,EXP(-E155*E2_tabla_vida!$X$163)*E2_tabla_vida!$P$163,EXP(-E155*E2_tabla_vida!$X$164)*E2_tabla_vida!$P$164,EXP(-E155*E2_tabla_vida!$X$165)*E2_tabla_vida!$P$165,EXP(-E155*E2_tabla_vida!$X$166)*E2_tabla_vida!$P$166,EXP(-E155*E2_tabla_vida!$X$167)*E2_tabla_vida!$P$167,EXP(-E155*E2_tabla_vida!$X$168)*E2_tabla_vida!$P$168,EXP(-E155*E2_tabla_vida!$X$169)*E2_tabla_vida!$P$169)-1</x:f>
        <x:v>-0.00038499121268353864</x:v>
      </x:c>
      <x:c r="G155" s="24" t="n">
        <x:f>SUM(EXP(-C155*E2_tabla_vida!$X$128)*E2_tabla_vida!$P$128,EXP(-C155*E2_tabla_vida!$X$129)*E2_tabla_vida!$P$129,EXP(-C155*E2_tabla_vida!$X$130)*E2_tabla_vida!$P$130,EXP(-C155*E2_tabla_vida!$X$131)*E2_tabla_vida!$P$131,EXP(-C155*E2_tabla_vida!$X$132)*E2_tabla_vida!$P$132,EXP(-C155*E2_tabla_vida!$X$133)*E2_tabla_vida!$P$133,EXP(-C155*E2_tabla_vida!$X$134)*E2_tabla_vida!$P$134,EXP(-C155*E2_tabla_vida!$X$135)*E2_tabla_vida!$P$135,EXP(-C155*E2_tabla_vida!$X$136)*E2_tabla_vida!$P$136,EXP(-C155*E2_tabla_vida!$X$137)*E2_tabla_vida!$P$137,EXP(-C155*E2_tabla_vida!$X$138)*E2_tabla_vida!$P$138,EXP(-C155*E2_tabla_vida!$X$139)*E2_tabla_vida!$P$139,EXP(-C155*E2_tabla_vida!$X$140)*E2_tabla_vida!$P$140,EXP(-C155*E2_tabla_vida!$X$141)*E2_tabla_vida!$P$141,EXP(-C155*E2_tabla_vida!$X$142)*E2_tabla_vida!$P$142,EXP(-C155*E2_tabla_vida!$X$143)*E2_tabla_vida!$P$143,EXP(-C155*E2_tabla_vida!$X$144)*E2_tabla_vida!$P$144,EXP(-C155*E2_tabla_vida!$X$145)*E2_tabla_vida!$P$145,EXP(-C155*E2_tabla_vida!$X$146)*E2_tabla_vida!$P$146,EXP(-C155*E2_tabla_vida!$X$147)*E2_tabla_vida!$P$147,EXP(-C155*E2_tabla_vida!$X$148)*E2_tabla_vida!$P$148,EXP(-C155*E2_tabla_vida!$X$149)*E2_tabla_vida!$P$149,EXP(-C155*E2_tabla_vida!$X$150)*E2_tabla_vida!$P$150,EXP(-C155*E2_tabla_vida!$X$151)*E2_tabla_vida!$P$151,EXP(-C155*E2_tabla_vida!$X$152)*E2_tabla_vida!$P$152,EXP(-C155*E2_tabla_vida!$X$153)*E2_tabla_vida!$P$153,EXP(-C155*E2_tabla_vida!$X$154)*E2_tabla_vida!$P$154,EXP(-C155*E2_tabla_vida!$X$155)*E2_tabla_vida!$P$155,EXP(-C155*E2_tabla_vida!$X$156)*E2_tabla_vida!$P$156,EXP(-C155*E2_tabla_vida!$X$157)*E2_tabla_vida!$P$157,EXP(-C155*E2_tabla_vida!$X$158)*E2_tabla_vida!$P$158,EXP(-C155*E2_tabla_vida!$X$159)*E2_tabla_vida!$P$159,EXP(-C155*E2_tabla_vida!$X$160)*E2_tabla_vida!$P$160,EXP(-C155*E2_tabla_vida!$X$161)*E2_tabla_vida!$P$161,EXP(-C155*E2_tabla_vida!$X$162)*E2_tabla_vida!$P$162,EXP(-C155*E2_tabla_vida!$X$163)*E2_tabla_vida!$P$163,EXP(-C155*E2_tabla_vida!$X$164)*E2_tabla_vida!$P$164,EXP(-C155*E2_tabla_vida!$X$165)*E2_tabla_vida!$P$165,EXP(-C155*E2_tabla_vida!$X$166)*E2_tabla_vida!$P$166,EXP(-C155*E2_tabla_vida!$X$167)*E2_tabla_vida!$P$167,EXP(-C155*E2_tabla_vida!$X$168)*E2_tabla_vida!$P$168,EXP(-C155*E2_tabla_vida!$X$169)*E2_tabla_vida!$P$169)-1</x:f>
        <x:v>0.00019476528484396738</x:v>
      </x:c>
      <x:c r="H155" s="24" t="n">
        <x:f>SUM(EXP(-D155*E2_tabla_vida!$X$128)*E2_tabla_vida!$P$128,EXP(-D155*E2_tabla_vida!$X$129)*E2_tabla_vida!$P$129,EXP(-D155*E2_tabla_vida!$X$130)*E2_tabla_vida!$P$130,EXP(-D155*E2_tabla_vida!$X$131)*E2_tabla_vida!$P$131,EXP(-D155*E2_tabla_vida!$X$132)*E2_tabla_vida!$P$132,EXP(-D155*E2_tabla_vida!$X$133)*E2_tabla_vida!$P$133,EXP(-D155*E2_tabla_vida!$X$134)*E2_tabla_vida!$P$134,EXP(-D155*E2_tabla_vida!$X$135)*E2_tabla_vida!$P$135,EXP(-D155*E2_tabla_vida!$X$136)*E2_tabla_vida!$P$136,EXP(-D155*E2_tabla_vida!$X$137)*E2_tabla_vida!$P$137,EXP(-D155*E2_tabla_vida!$X$138)*E2_tabla_vida!$P$138,EXP(-D155*E2_tabla_vida!$X$139)*E2_tabla_vida!$P$139,EXP(-D155*E2_tabla_vida!$X$140)*E2_tabla_vida!$P$140,EXP(-D155*E2_tabla_vida!$X$141)*E2_tabla_vida!$P$141,EXP(-D155*E2_tabla_vida!$X$142)*E2_tabla_vida!$P$142,EXP(-D155*E2_tabla_vida!$X$143)*E2_tabla_vida!$P$143,EXP(-D155*E2_tabla_vida!$X$144)*E2_tabla_vida!$P$144,EXP(-D155*E2_tabla_vida!$X$145)*E2_tabla_vida!$P$145,EXP(-D155*E2_tabla_vida!$X$146)*E2_tabla_vida!$P$146,EXP(-D155*E2_tabla_vida!$X$147)*E2_tabla_vida!$P$147,EXP(-D155*E2_tabla_vida!$X$148)*E2_tabla_vida!$P$148,EXP(-D155*E2_tabla_vida!$X$149)*E2_tabla_vida!$P$149,EXP(-D155*E2_tabla_vida!$X$150)*E2_tabla_vida!$P$150,EXP(-D155*E2_tabla_vida!$X$151)*E2_tabla_vida!$P$151,EXP(-D155*E2_tabla_vida!$X$152)*E2_tabla_vida!$P$152,EXP(-D155*E2_tabla_vida!$X$153)*E2_tabla_vida!$P$153,EXP(-D155*E2_tabla_vida!$X$154)*E2_tabla_vida!$P$154,EXP(-D155*E2_tabla_vida!$X$155)*E2_tabla_vida!$P$155,EXP(-D155*E2_tabla_vida!$X$156)*E2_tabla_vida!$P$156,EXP(-D155*E2_tabla_vida!$X$157)*E2_tabla_vida!$P$157,EXP(-D155*E2_tabla_vida!$X$158)*E2_tabla_vida!$P$158,EXP(-D155*E2_tabla_vida!$X$159)*E2_tabla_vida!$P$159,EXP(-D155*E2_tabla_vida!$X$160)*E2_tabla_vida!$P$160,EXP(-D155*E2_tabla_vida!$X$161)*E2_tabla_vida!$P$161,EXP(-D155*E2_tabla_vida!$X$162)*E2_tabla_vida!$P$162,EXP(-D155*E2_tabla_vida!$X$163)*E2_tabla_vida!$P$163,EXP(-D155*E2_tabla_vida!$X$164)*E2_tabla_vida!$P$164,EXP(-D155*E2_tabla_vida!$X$165)*E2_tabla_vida!$P$165,EXP(-D155*E2_tabla_vida!$X$166)*E2_tabla_vida!$P$166,EXP(-D155*E2_tabla_vida!$X$167)*E2_tabla_vida!$P$167,EXP(-D155*E2_tabla_vida!$X$168)*E2_tabla_vida!$P$168,EXP(-D155*E2_tabla_vida!$X$169)*E2_tabla_vida!$P$169)-1</x:f>
        <x:v>-0.0009643869286564133</x:v>
      </x:c>
    </x:row>
    <x:row r="156" ht="19" customHeight="1">
      <x:c r="A156" s="2" t="str">
        <x:v>BB_L0</x:v>
      </x:c>
      <x:c r="B156" s="2" t="n">
        <x:v>16</x:v>
      </x:c>
      <x:c r="C156" s="22" t="n">
        <x:f>IF(F155&gt;0,E155,C155)</x:f>
        <x:v>0.26214599609375</x:v>
      </x:c>
      <x:c r="D156" s="22" t="n">
        <x:f>IF(F155&gt;0,D155,E155)</x:f>
        <x:v>0.2621917724609375</x:v>
      </x:c>
      <x:c r="E156" s="22" t="n">
        <x:f>AVERAGE(C156:D156)</x:f>
        <x:v>0.26216888427734375</x:v>
      </x:c>
      <x:c r="F156" s="24" t="n">
        <x:f>SUM(EXP(-E156*E2_tabla_vida!$X$128)*E2_tabla_vida!$P$128,EXP(-E156*E2_tabla_vida!$X$129)*E2_tabla_vida!$P$129,EXP(-E156*E2_tabla_vida!$X$130)*E2_tabla_vida!$P$130,EXP(-E156*E2_tabla_vida!$X$131)*E2_tabla_vida!$P$131,EXP(-E156*E2_tabla_vida!$X$132)*E2_tabla_vida!$P$132,EXP(-E156*E2_tabla_vida!$X$133)*E2_tabla_vida!$P$133,EXP(-E156*E2_tabla_vida!$X$134)*E2_tabla_vida!$P$134,EXP(-E156*E2_tabla_vida!$X$135)*E2_tabla_vida!$P$135,EXP(-E156*E2_tabla_vida!$X$136)*E2_tabla_vida!$P$136,EXP(-E156*E2_tabla_vida!$X$137)*E2_tabla_vida!$P$137,EXP(-E156*E2_tabla_vida!$X$138)*E2_tabla_vida!$P$138,EXP(-E156*E2_tabla_vida!$X$139)*E2_tabla_vida!$P$139,EXP(-E156*E2_tabla_vida!$X$140)*E2_tabla_vida!$P$140,EXP(-E156*E2_tabla_vida!$X$141)*E2_tabla_vida!$P$141,EXP(-E156*E2_tabla_vida!$X$142)*E2_tabla_vida!$P$142,EXP(-E156*E2_tabla_vida!$X$143)*E2_tabla_vida!$P$143,EXP(-E156*E2_tabla_vida!$X$144)*E2_tabla_vida!$P$144,EXP(-E156*E2_tabla_vida!$X$145)*E2_tabla_vida!$P$145,EXP(-E156*E2_tabla_vida!$X$146)*E2_tabla_vida!$P$146,EXP(-E156*E2_tabla_vida!$X$147)*E2_tabla_vida!$P$147,EXP(-E156*E2_tabla_vida!$X$148)*E2_tabla_vida!$P$148,EXP(-E156*E2_tabla_vida!$X$149)*E2_tabla_vida!$P$149,EXP(-E156*E2_tabla_vida!$X$150)*E2_tabla_vida!$P$150,EXP(-E156*E2_tabla_vida!$X$151)*E2_tabla_vida!$P$151,EXP(-E156*E2_tabla_vida!$X$152)*E2_tabla_vida!$P$152,EXP(-E156*E2_tabla_vida!$X$153)*E2_tabla_vida!$P$153,EXP(-E156*E2_tabla_vida!$X$154)*E2_tabla_vida!$P$154,EXP(-E156*E2_tabla_vida!$X$155)*E2_tabla_vida!$P$155,EXP(-E156*E2_tabla_vida!$X$156)*E2_tabla_vida!$P$156,EXP(-E156*E2_tabla_vida!$X$157)*E2_tabla_vida!$P$157,EXP(-E156*E2_tabla_vida!$X$158)*E2_tabla_vida!$P$158,EXP(-E156*E2_tabla_vida!$X$159)*E2_tabla_vida!$P$159,EXP(-E156*E2_tabla_vida!$X$160)*E2_tabla_vida!$P$160,EXP(-E156*E2_tabla_vida!$X$161)*E2_tabla_vida!$P$161,EXP(-E156*E2_tabla_vida!$X$162)*E2_tabla_vida!$P$162,EXP(-E156*E2_tabla_vida!$X$163)*E2_tabla_vida!$P$163,EXP(-E156*E2_tabla_vida!$X$164)*E2_tabla_vida!$P$164,EXP(-E156*E2_tabla_vida!$X$165)*E2_tabla_vida!$P$165,EXP(-E156*E2_tabla_vida!$X$166)*E2_tabla_vida!$P$166,EXP(-E156*E2_tabla_vida!$X$167)*E2_tabla_vida!$P$167,EXP(-E156*E2_tabla_vida!$X$168)*E2_tabla_vida!$P$168,EXP(-E156*E2_tabla_vida!$X$169)*E2_tabla_vida!$P$169)-1</x:f>
        <x:v>-0.00009515807677229482</x:v>
      </x:c>
      <x:c r="G156" s="24" t="n">
        <x:f>SUM(EXP(-C156*E2_tabla_vida!$X$128)*E2_tabla_vida!$P$128,EXP(-C156*E2_tabla_vida!$X$129)*E2_tabla_vida!$P$129,EXP(-C156*E2_tabla_vida!$X$130)*E2_tabla_vida!$P$130,EXP(-C156*E2_tabla_vida!$X$131)*E2_tabla_vida!$P$131,EXP(-C156*E2_tabla_vida!$X$132)*E2_tabla_vida!$P$132,EXP(-C156*E2_tabla_vida!$X$133)*E2_tabla_vida!$P$133,EXP(-C156*E2_tabla_vida!$X$134)*E2_tabla_vida!$P$134,EXP(-C156*E2_tabla_vida!$X$135)*E2_tabla_vida!$P$135,EXP(-C156*E2_tabla_vida!$X$136)*E2_tabla_vida!$P$136,EXP(-C156*E2_tabla_vida!$X$137)*E2_tabla_vida!$P$137,EXP(-C156*E2_tabla_vida!$X$138)*E2_tabla_vida!$P$138,EXP(-C156*E2_tabla_vida!$X$139)*E2_tabla_vida!$P$139,EXP(-C156*E2_tabla_vida!$X$140)*E2_tabla_vida!$P$140,EXP(-C156*E2_tabla_vida!$X$141)*E2_tabla_vida!$P$141,EXP(-C156*E2_tabla_vida!$X$142)*E2_tabla_vida!$P$142,EXP(-C156*E2_tabla_vida!$X$143)*E2_tabla_vida!$P$143,EXP(-C156*E2_tabla_vida!$X$144)*E2_tabla_vida!$P$144,EXP(-C156*E2_tabla_vida!$X$145)*E2_tabla_vida!$P$145,EXP(-C156*E2_tabla_vida!$X$146)*E2_tabla_vida!$P$146,EXP(-C156*E2_tabla_vida!$X$147)*E2_tabla_vida!$P$147,EXP(-C156*E2_tabla_vida!$X$148)*E2_tabla_vida!$P$148,EXP(-C156*E2_tabla_vida!$X$149)*E2_tabla_vida!$P$149,EXP(-C156*E2_tabla_vida!$X$150)*E2_tabla_vida!$P$150,EXP(-C156*E2_tabla_vida!$X$151)*E2_tabla_vida!$P$151,EXP(-C156*E2_tabla_vida!$X$152)*E2_tabla_vida!$P$152,EXP(-C156*E2_tabla_vida!$X$153)*E2_tabla_vida!$P$153,EXP(-C156*E2_tabla_vida!$X$154)*E2_tabla_vida!$P$154,EXP(-C156*E2_tabla_vida!$X$155)*E2_tabla_vida!$P$155,EXP(-C156*E2_tabla_vida!$X$156)*E2_tabla_vida!$P$156,EXP(-C156*E2_tabla_vida!$X$157)*E2_tabla_vida!$P$157,EXP(-C156*E2_tabla_vida!$X$158)*E2_tabla_vida!$P$158,EXP(-C156*E2_tabla_vida!$X$159)*E2_tabla_vida!$P$159,EXP(-C156*E2_tabla_vida!$X$160)*E2_tabla_vida!$P$160,EXP(-C156*E2_tabla_vida!$X$161)*E2_tabla_vida!$P$161,EXP(-C156*E2_tabla_vida!$X$162)*E2_tabla_vida!$P$162,EXP(-C156*E2_tabla_vida!$X$163)*E2_tabla_vida!$P$163,EXP(-C156*E2_tabla_vida!$X$164)*E2_tabla_vida!$P$164,EXP(-C156*E2_tabla_vida!$X$165)*E2_tabla_vida!$P$165,EXP(-C156*E2_tabla_vida!$X$166)*E2_tabla_vida!$P$166,EXP(-C156*E2_tabla_vida!$X$167)*E2_tabla_vida!$P$167,EXP(-C156*E2_tabla_vida!$X$168)*E2_tabla_vida!$P$168,EXP(-C156*E2_tabla_vida!$X$169)*E2_tabla_vida!$P$169)-1</x:f>
        <x:v>0.00019476528484396738</x:v>
      </x:c>
      <x:c r="H156" s="24" t="n">
        <x:f>SUM(EXP(-D156*E2_tabla_vida!$X$128)*E2_tabla_vida!$P$128,EXP(-D156*E2_tabla_vida!$X$129)*E2_tabla_vida!$P$129,EXP(-D156*E2_tabla_vida!$X$130)*E2_tabla_vida!$P$130,EXP(-D156*E2_tabla_vida!$X$131)*E2_tabla_vida!$P$131,EXP(-D156*E2_tabla_vida!$X$132)*E2_tabla_vida!$P$132,EXP(-D156*E2_tabla_vida!$X$133)*E2_tabla_vida!$P$133,EXP(-D156*E2_tabla_vida!$X$134)*E2_tabla_vida!$P$134,EXP(-D156*E2_tabla_vida!$X$135)*E2_tabla_vida!$P$135,EXP(-D156*E2_tabla_vida!$X$136)*E2_tabla_vida!$P$136,EXP(-D156*E2_tabla_vida!$X$137)*E2_tabla_vida!$P$137,EXP(-D156*E2_tabla_vida!$X$138)*E2_tabla_vida!$P$138,EXP(-D156*E2_tabla_vida!$X$139)*E2_tabla_vida!$P$139,EXP(-D156*E2_tabla_vida!$X$140)*E2_tabla_vida!$P$140,EXP(-D156*E2_tabla_vida!$X$141)*E2_tabla_vida!$P$141,EXP(-D156*E2_tabla_vida!$X$142)*E2_tabla_vida!$P$142,EXP(-D156*E2_tabla_vida!$X$143)*E2_tabla_vida!$P$143,EXP(-D156*E2_tabla_vida!$X$144)*E2_tabla_vida!$P$144,EXP(-D156*E2_tabla_vida!$X$145)*E2_tabla_vida!$P$145,EXP(-D156*E2_tabla_vida!$X$146)*E2_tabla_vida!$P$146,EXP(-D156*E2_tabla_vida!$X$147)*E2_tabla_vida!$P$147,EXP(-D156*E2_tabla_vida!$X$148)*E2_tabla_vida!$P$148,EXP(-D156*E2_tabla_vida!$X$149)*E2_tabla_vida!$P$149,EXP(-D156*E2_tabla_vida!$X$150)*E2_tabla_vida!$P$150,EXP(-D156*E2_tabla_vida!$X$151)*E2_tabla_vida!$P$151,EXP(-D156*E2_tabla_vida!$X$152)*E2_tabla_vida!$P$152,EXP(-D156*E2_tabla_vida!$X$153)*E2_tabla_vida!$P$153,EXP(-D156*E2_tabla_vida!$X$154)*E2_tabla_vida!$P$154,EXP(-D156*E2_tabla_vida!$X$155)*E2_tabla_vida!$P$155,EXP(-D156*E2_tabla_vida!$X$156)*E2_tabla_vida!$P$156,EXP(-D156*E2_tabla_vida!$X$157)*E2_tabla_vida!$P$157,EXP(-D156*E2_tabla_vida!$X$158)*E2_tabla_vida!$P$158,EXP(-D156*E2_tabla_vida!$X$159)*E2_tabla_vida!$P$159,EXP(-D156*E2_tabla_vida!$X$160)*E2_tabla_vida!$P$160,EXP(-D156*E2_tabla_vida!$X$161)*E2_tabla_vida!$P$161,EXP(-D156*E2_tabla_vida!$X$162)*E2_tabla_vida!$P$162,EXP(-D156*E2_tabla_vida!$X$163)*E2_tabla_vida!$P$163,EXP(-D156*E2_tabla_vida!$X$164)*E2_tabla_vida!$P$164,EXP(-D156*E2_tabla_vida!$X$165)*E2_tabla_vida!$P$165,EXP(-D156*E2_tabla_vida!$X$166)*E2_tabla_vida!$P$166,EXP(-D156*E2_tabla_vida!$X$167)*E2_tabla_vida!$P$167,EXP(-D156*E2_tabla_vida!$X$168)*E2_tabla_vida!$P$168,EXP(-D156*E2_tabla_vida!$X$169)*E2_tabla_vida!$P$169)-1</x:f>
        <x:v>-0.00038499121268353864</x:v>
      </x:c>
    </x:row>
    <x:row r="157" ht="19" customHeight="1">
      <x:c r="A157" s="2" t="str">
        <x:v>BB_L0</x:v>
      </x:c>
      <x:c r="B157" s="2" t="n">
        <x:v>17</x:v>
      </x:c>
      <x:c r="C157" s="22" t="n">
        <x:f>IF(F156&gt;0,E156,C156)</x:f>
        <x:v>0.26214599609375</x:v>
      </x:c>
      <x:c r="D157" s="22" t="n">
        <x:f>IF(F156&gt;0,D156,E156)</x:f>
        <x:v>0.26216888427734375</x:v>
      </x:c>
      <x:c r="E157" s="22" t="n">
        <x:f>AVERAGE(C157:D157)</x:f>
        <x:v>0.2621574401855469</x:v>
      </x:c>
      <x:c r="F157" s="24" t="n">
        <x:f>SUM(EXP(-E157*E2_tabla_vida!$X$128)*E2_tabla_vida!$P$128,EXP(-E157*E2_tabla_vida!$X$129)*E2_tabla_vida!$P$129,EXP(-E157*E2_tabla_vida!$X$130)*E2_tabla_vida!$P$130,EXP(-E157*E2_tabla_vida!$X$131)*E2_tabla_vida!$P$131,EXP(-E157*E2_tabla_vida!$X$132)*E2_tabla_vida!$P$132,EXP(-E157*E2_tabla_vida!$X$133)*E2_tabla_vida!$P$133,EXP(-E157*E2_tabla_vida!$X$134)*E2_tabla_vida!$P$134,EXP(-E157*E2_tabla_vida!$X$135)*E2_tabla_vida!$P$135,EXP(-E157*E2_tabla_vida!$X$136)*E2_tabla_vida!$P$136,EXP(-E157*E2_tabla_vida!$X$137)*E2_tabla_vida!$P$137,EXP(-E157*E2_tabla_vida!$X$138)*E2_tabla_vida!$P$138,EXP(-E157*E2_tabla_vida!$X$139)*E2_tabla_vida!$P$139,EXP(-E157*E2_tabla_vida!$X$140)*E2_tabla_vida!$P$140,EXP(-E157*E2_tabla_vida!$X$141)*E2_tabla_vida!$P$141,EXP(-E157*E2_tabla_vida!$X$142)*E2_tabla_vida!$P$142,EXP(-E157*E2_tabla_vida!$X$143)*E2_tabla_vida!$P$143,EXP(-E157*E2_tabla_vida!$X$144)*E2_tabla_vida!$P$144,EXP(-E157*E2_tabla_vida!$X$145)*E2_tabla_vida!$P$145,EXP(-E157*E2_tabla_vida!$X$146)*E2_tabla_vida!$P$146,EXP(-E157*E2_tabla_vida!$X$147)*E2_tabla_vida!$P$147,EXP(-E157*E2_tabla_vida!$X$148)*E2_tabla_vida!$P$148,EXP(-E157*E2_tabla_vida!$X$149)*E2_tabla_vida!$P$149,EXP(-E157*E2_tabla_vida!$X$150)*E2_tabla_vida!$P$150,EXP(-E157*E2_tabla_vida!$X$151)*E2_tabla_vida!$P$151,EXP(-E157*E2_tabla_vida!$X$152)*E2_tabla_vida!$P$152,EXP(-E157*E2_tabla_vida!$X$153)*E2_tabla_vida!$P$153,EXP(-E157*E2_tabla_vida!$X$154)*E2_tabla_vida!$P$154,EXP(-E157*E2_tabla_vida!$X$155)*E2_tabla_vida!$P$155,EXP(-E157*E2_tabla_vida!$X$156)*E2_tabla_vida!$P$156,EXP(-E157*E2_tabla_vida!$X$157)*E2_tabla_vida!$P$157,EXP(-E157*E2_tabla_vida!$X$158)*E2_tabla_vida!$P$158,EXP(-E157*E2_tabla_vida!$X$159)*E2_tabla_vida!$P$159,EXP(-E157*E2_tabla_vida!$X$160)*E2_tabla_vida!$P$160,EXP(-E157*E2_tabla_vida!$X$161)*E2_tabla_vida!$P$161,EXP(-E157*E2_tabla_vida!$X$162)*E2_tabla_vida!$P$162,EXP(-E157*E2_tabla_vida!$X$163)*E2_tabla_vida!$P$163,EXP(-E157*E2_tabla_vida!$X$164)*E2_tabla_vida!$P$164,EXP(-E157*E2_tabla_vida!$X$165)*E2_tabla_vida!$P$165,EXP(-E157*E2_tabla_vida!$X$166)*E2_tabla_vida!$P$166,EXP(-E157*E2_tabla_vida!$X$167)*E2_tabla_vida!$P$167,EXP(-E157*E2_tabla_vida!$X$168)*E2_tabla_vida!$P$168,EXP(-E157*E2_tabla_vida!$X$169)*E2_tabla_vida!$P$169)-1</x:f>
        <x:v>0.00004979232392710031</x:v>
      </x:c>
      <x:c r="G157" s="24" t="n">
        <x:f>SUM(EXP(-C157*E2_tabla_vida!$X$128)*E2_tabla_vida!$P$128,EXP(-C157*E2_tabla_vida!$X$129)*E2_tabla_vida!$P$129,EXP(-C157*E2_tabla_vida!$X$130)*E2_tabla_vida!$P$130,EXP(-C157*E2_tabla_vida!$X$131)*E2_tabla_vida!$P$131,EXP(-C157*E2_tabla_vida!$X$132)*E2_tabla_vida!$P$132,EXP(-C157*E2_tabla_vida!$X$133)*E2_tabla_vida!$P$133,EXP(-C157*E2_tabla_vida!$X$134)*E2_tabla_vida!$P$134,EXP(-C157*E2_tabla_vida!$X$135)*E2_tabla_vida!$P$135,EXP(-C157*E2_tabla_vida!$X$136)*E2_tabla_vida!$P$136,EXP(-C157*E2_tabla_vida!$X$137)*E2_tabla_vida!$P$137,EXP(-C157*E2_tabla_vida!$X$138)*E2_tabla_vida!$P$138,EXP(-C157*E2_tabla_vida!$X$139)*E2_tabla_vida!$P$139,EXP(-C157*E2_tabla_vida!$X$140)*E2_tabla_vida!$P$140,EXP(-C157*E2_tabla_vida!$X$141)*E2_tabla_vida!$P$141,EXP(-C157*E2_tabla_vida!$X$142)*E2_tabla_vida!$P$142,EXP(-C157*E2_tabla_vida!$X$143)*E2_tabla_vida!$P$143,EXP(-C157*E2_tabla_vida!$X$144)*E2_tabla_vida!$P$144,EXP(-C157*E2_tabla_vida!$X$145)*E2_tabla_vida!$P$145,EXP(-C157*E2_tabla_vida!$X$146)*E2_tabla_vida!$P$146,EXP(-C157*E2_tabla_vida!$X$147)*E2_tabla_vida!$P$147,EXP(-C157*E2_tabla_vida!$X$148)*E2_tabla_vida!$P$148,EXP(-C157*E2_tabla_vida!$X$149)*E2_tabla_vida!$P$149,EXP(-C157*E2_tabla_vida!$X$150)*E2_tabla_vida!$P$150,EXP(-C157*E2_tabla_vida!$X$151)*E2_tabla_vida!$P$151,EXP(-C157*E2_tabla_vida!$X$152)*E2_tabla_vida!$P$152,EXP(-C157*E2_tabla_vida!$X$153)*E2_tabla_vida!$P$153,EXP(-C157*E2_tabla_vida!$X$154)*E2_tabla_vida!$P$154,EXP(-C157*E2_tabla_vida!$X$155)*E2_tabla_vida!$P$155,EXP(-C157*E2_tabla_vida!$X$156)*E2_tabla_vida!$P$156,EXP(-C157*E2_tabla_vida!$X$157)*E2_tabla_vida!$P$157,EXP(-C157*E2_tabla_vida!$X$158)*E2_tabla_vida!$P$158,EXP(-C157*E2_tabla_vida!$X$159)*E2_tabla_vida!$P$159,EXP(-C157*E2_tabla_vida!$X$160)*E2_tabla_vida!$P$160,EXP(-C157*E2_tabla_vida!$X$161)*E2_tabla_vida!$P$161,EXP(-C157*E2_tabla_vida!$X$162)*E2_tabla_vida!$P$162,EXP(-C157*E2_tabla_vida!$X$163)*E2_tabla_vida!$P$163,EXP(-C157*E2_tabla_vida!$X$164)*E2_tabla_vida!$P$164,EXP(-C157*E2_tabla_vida!$X$165)*E2_tabla_vida!$P$165,EXP(-C157*E2_tabla_vida!$X$166)*E2_tabla_vida!$P$166,EXP(-C157*E2_tabla_vida!$X$167)*E2_tabla_vida!$P$167,EXP(-C157*E2_tabla_vida!$X$168)*E2_tabla_vida!$P$168,EXP(-C157*E2_tabla_vida!$X$169)*E2_tabla_vida!$P$169)-1</x:f>
        <x:v>0.00019476528484396738</x:v>
      </x:c>
      <x:c r="H157" s="24" t="n">
        <x:f>SUM(EXP(-D157*E2_tabla_vida!$X$128)*E2_tabla_vida!$P$128,EXP(-D157*E2_tabla_vida!$X$129)*E2_tabla_vida!$P$129,EXP(-D157*E2_tabla_vida!$X$130)*E2_tabla_vida!$P$130,EXP(-D157*E2_tabla_vida!$X$131)*E2_tabla_vida!$P$131,EXP(-D157*E2_tabla_vida!$X$132)*E2_tabla_vida!$P$132,EXP(-D157*E2_tabla_vida!$X$133)*E2_tabla_vida!$P$133,EXP(-D157*E2_tabla_vida!$X$134)*E2_tabla_vida!$P$134,EXP(-D157*E2_tabla_vida!$X$135)*E2_tabla_vida!$P$135,EXP(-D157*E2_tabla_vida!$X$136)*E2_tabla_vida!$P$136,EXP(-D157*E2_tabla_vida!$X$137)*E2_tabla_vida!$P$137,EXP(-D157*E2_tabla_vida!$X$138)*E2_tabla_vida!$P$138,EXP(-D157*E2_tabla_vida!$X$139)*E2_tabla_vida!$P$139,EXP(-D157*E2_tabla_vida!$X$140)*E2_tabla_vida!$P$140,EXP(-D157*E2_tabla_vida!$X$141)*E2_tabla_vida!$P$141,EXP(-D157*E2_tabla_vida!$X$142)*E2_tabla_vida!$P$142,EXP(-D157*E2_tabla_vida!$X$143)*E2_tabla_vida!$P$143,EXP(-D157*E2_tabla_vida!$X$144)*E2_tabla_vida!$P$144,EXP(-D157*E2_tabla_vida!$X$145)*E2_tabla_vida!$P$145,EXP(-D157*E2_tabla_vida!$X$146)*E2_tabla_vida!$P$146,EXP(-D157*E2_tabla_vida!$X$147)*E2_tabla_vida!$P$147,EXP(-D157*E2_tabla_vida!$X$148)*E2_tabla_vida!$P$148,EXP(-D157*E2_tabla_vida!$X$149)*E2_tabla_vida!$P$149,EXP(-D157*E2_tabla_vida!$X$150)*E2_tabla_vida!$P$150,EXP(-D157*E2_tabla_vida!$X$151)*E2_tabla_vida!$P$151,EXP(-D157*E2_tabla_vida!$X$152)*E2_tabla_vida!$P$152,EXP(-D157*E2_tabla_vida!$X$153)*E2_tabla_vida!$P$153,EXP(-D157*E2_tabla_vida!$X$154)*E2_tabla_vida!$P$154,EXP(-D157*E2_tabla_vida!$X$155)*E2_tabla_vida!$P$155,EXP(-D157*E2_tabla_vida!$X$156)*E2_tabla_vida!$P$156,EXP(-D157*E2_tabla_vida!$X$157)*E2_tabla_vida!$P$157,EXP(-D157*E2_tabla_vida!$X$158)*E2_tabla_vida!$P$158,EXP(-D157*E2_tabla_vida!$X$159)*E2_tabla_vida!$P$159,EXP(-D157*E2_tabla_vida!$X$160)*E2_tabla_vida!$P$160,EXP(-D157*E2_tabla_vida!$X$161)*E2_tabla_vida!$P$161,EXP(-D157*E2_tabla_vida!$X$162)*E2_tabla_vida!$P$162,EXP(-D157*E2_tabla_vida!$X$163)*E2_tabla_vida!$P$163,EXP(-D157*E2_tabla_vida!$X$164)*E2_tabla_vida!$P$164,EXP(-D157*E2_tabla_vida!$X$165)*E2_tabla_vida!$P$165,EXP(-D157*E2_tabla_vida!$X$166)*E2_tabla_vida!$P$166,EXP(-D157*E2_tabla_vida!$X$167)*E2_tabla_vida!$P$167,EXP(-D157*E2_tabla_vida!$X$168)*E2_tabla_vida!$P$168,EXP(-D157*E2_tabla_vida!$X$169)*E2_tabla_vida!$P$169)-1</x:f>
        <x:v>-0.00009515807677229482</x:v>
      </x:c>
    </x:row>
    <x:row r="158" ht="19" customHeight="1">
      <x:c r="A158" s="2" t="str">
        <x:v>BB_L0</x:v>
      </x:c>
      <x:c r="B158" s="2" t="n">
        <x:v>18</x:v>
      </x:c>
      <x:c r="C158" s="22" t="n">
        <x:f>IF(F157&gt;0,E157,C157)</x:f>
        <x:v>0.2621574401855469</x:v>
      </x:c>
      <x:c r="D158" s="22" t="n">
        <x:f>IF(F157&gt;0,D157,E157)</x:f>
        <x:v>0.26216888427734375</x:v>
      </x:c>
      <x:c r="E158" s="22" t="n">
        <x:f>AVERAGE(C158:D158)</x:f>
        <x:v>0.2621631622314453</x:v>
      </x:c>
      <x:c r="F158" s="24" t="n">
        <x:f>SUM(EXP(-E158*E2_tabla_vida!$X$128)*E2_tabla_vida!$P$128,EXP(-E158*E2_tabla_vida!$X$129)*E2_tabla_vida!$P$129,EXP(-E158*E2_tabla_vida!$X$130)*E2_tabla_vida!$P$130,EXP(-E158*E2_tabla_vida!$X$131)*E2_tabla_vida!$P$131,EXP(-E158*E2_tabla_vida!$X$132)*E2_tabla_vida!$P$132,EXP(-E158*E2_tabla_vida!$X$133)*E2_tabla_vida!$P$133,EXP(-E158*E2_tabla_vida!$X$134)*E2_tabla_vida!$P$134,EXP(-E158*E2_tabla_vida!$X$135)*E2_tabla_vida!$P$135,EXP(-E158*E2_tabla_vida!$X$136)*E2_tabla_vida!$P$136,EXP(-E158*E2_tabla_vida!$X$137)*E2_tabla_vida!$P$137,EXP(-E158*E2_tabla_vida!$X$138)*E2_tabla_vida!$P$138,EXP(-E158*E2_tabla_vida!$X$139)*E2_tabla_vida!$P$139,EXP(-E158*E2_tabla_vida!$X$140)*E2_tabla_vida!$P$140,EXP(-E158*E2_tabla_vida!$X$141)*E2_tabla_vida!$P$141,EXP(-E158*E2_tabla_vida!$X$142)*E2_tabla_vida!$P$142,EXP(-E158*E2_tabla_vida!$X$143)*E2_tabla_vida!$P$143,EXP(-E158*E2_tabla_vida!$X$144)*E2_tabla_vida!$P$144,EXP(-E158*E2_tabla_vida!$X$145)*E2_tabla_vida!$P$145,EXP(-E158*E2_tabla_vida!$X$146)*E2_tabla_vida!$P$146,EXP(-E158*E2_tabla_vida!$X$147)*E2_tabla_vida!$P$147,EXP(-E158*E2_tabla_vida!$X$148)*E2_tabla_vida!$P$148,EXP(-E158*E2_tabla_vida!$X$149)*E2_tabla_vida!$P$149,EXP(-E158*E2_tabla_vida!$X$150)*E2_tabla_vida!$P$150,EXP(-E158*E2_tabla_vida!$X$151)*E2_tabla_vida!$P$151,EXP(-E158*E2_tabla_vida!$X$152)*E2_tabla_vida!$P$152,EXP(-E158*E2_tabla_vida!$X$153)*E2_tabla_vida!$P$153,EXP(-E158*E2_tabla_vida!$X$154)*E2_tabla_vida!$P$154,EXP(-E158*E2_tabla_vida!$X$155)*E2_tabla_vida!$P$155,EXP(-E158*E2_tabla_vida!$X$156)*E2_tabla_vida!$P$156,EXP(-E158*E2_tabla_vida!$X$157)*E2_tabla_vida!$P$157,EXP(-E158*E2_tabla_vida!$X$158)*E2_tabla_vida!$P$158,EXP(-E158*E2_tabla_vida!$X$159)*E2_tabla_vida!$P$159,EXP(-E158*E2_tabla_vida!$X$160)*E2_tabla_vida!$P$160,EXP(-E158*E2_tabla_vida!$X$161)*E2_tabla_vida!$P$161,EXP(-E158*E2_tabla_vida!$X$162)*E2_tabla_vida!$P$162,EXP(-E158*E2_tabla_vida!$X$163)*E2_tabla_vida!$P$163,EXP(-E158*E2_tabla_vida!$X$164)*E2_tabla_vida!$P$164,EXP(-E158*E2_tabla_vida!$X$165)*E2_tabla_vida!$P$165,EXP(-E158*E2_tabla_vida!$X$166)*E2_tabla_vida!$P$166,EXP(-E158*E2_tabla_vida!$X$167)*E2_tabla_vida!$P$167,EXP(-E158*E2_tabla_vida!$X$168)*E2_tabla_vida!$P$168,EXP(-E158*E2_tabla_vida!$X$169)*E2_tabla_vida!$P$169)-1</x:f>
        <x:v>-0.00002268569621255434</x:v>
      </x:c>
      <x:c r="G158" s="24" t="n">
        <x:f>SUM(EXP(-C158*E2_tabla_vida!$X$128)*E2_tabla_vida!$P$128,EXP(-C158*E2_tabla_vida!$X$129)*E2_tabla_vida!$P$129,EXP(-C158*E2_tabla_vida!$X$130)*E2_tabla_vida!$P$130,EXP(-C158*E2_tabla_vida!$X$131)*E2_tabla_vida!$P$131,EXP(-C158*E2_tabla_vida!$X$132)*E2_tabla_vida!$P$132,EXP(-C158*E2_tabla_vida!$X$133)*E2_tabla_vida!$P$133,EXP(-C158*E2_tabla_vida!$X$134)*E2_tabla_vida!$P$134,EXP(-C158*E2_tabla_vida!$X$135)*E2_tabla_vida!$P$135,EXP(-C158*E2_tabla_vida!$X$136)*E2_tabla_vida!$P$136,EXP(-C158*E2_tabla_vida!$X$137)*E2_tabla_vida!$P$137,EXP(-C158*E2_tabla_vida!$X$138)*E2_tabla_vida!$P$138,EXP(-C158*E2_tabla_vida!$X$139)*E2_tabla_vida!$P$139,EXP(-C158*E2_tabla_vida!$X$140)*E2_tabla_vida!$P$140,EXP(-C158*E2_tabla_vida!$X$141)*E2_tabla_vida!$P$141,EXP(-C158*E2_tabla_vida!$X$142)*E2_tabla_vida!$P$142,EXP(-C158*E2_tabla_vida!$X$143)*E2_tabla_vida!$P$143,EXP(-C158*E2_tabla_vida!$X$144)*E2_tabla_vida!$P$144,EXP(-C158*E2_tabla_vida!$X$145)*E2_tabla_vida!$P$145,EXP(-C158*E2_tabla_vida!$X$146)*E2_tabla_vida!$P$146,EXP(-C158*E2_tabla_vida!$X$147)*E2_tabla_vida!$P$147,EXP(-C158*E2_tabla_vida!$X$148)*E2_tabla_vida!$P$148,EXP(-C158*E2_tabla_vida!$X$149)*E2_tabla_vida!$P$149,EXP(-C158*E2_tabla_vida!$X$150)*E2_tabla_vida!$P$150,EXP(-C158*E2_tabla_vida!$X$151)*E2_tabla_vida!$P$151,EXP(-C158*E2_tabla_vida!$X$152)*E2_tabla_vida!$P$152,EXP(-C158*E2_tabla_vida!$X$153)*E2_tabla_vida!$P$153,EXP(-C158*E2_tabla_vida!$X$154)*E2_tabla_vida!$P$154,EXP(-C158*E2_tabla_vida!$X$155)*E2_tabla_vida!$P$155,EXP(-C158*E2_tabla_vida!$X$156)*E2_tabla_vida!$P$156,EXP(-C158*E2_tabla_vida!$X$157)*E2_tabla_vida!$P$157,EXP(-C158*E2_tabla_vida!$X$158)*E2_tabla_vida!$P$158,EXP(-C158*E2_tabla_vida!$X$159)*E2_tabla_vida!$P$159,EXP(-C158*E2_tabla_vida!$X$160)*E2_tabla_vida!$P$160,EXP(-C158*E2_tabla_vida!$X$161)*E2_tabla_vida!$P$161,EXP(-C158*E2_tabla_vida!$X$162)*E2_tabla_vida!$P$162,EXP(-C158*E2_tabla_vida!$X$163)*E2_tabla_vida!$P$163,EXP(-C158*E2_tabla_vida!$X$164)*E2_tabla_vida!$P$164,EXP(-C158*E2_tabla_vida!$X$165)*E2_tabla_vida!$P$165,EXP(-C158*E2_tabla_vida!$X$166)*E2_tabla_vida!$P$166,EXP(-C158*E2_tabla_vida!$X$167)*E2_tabla_vida!$P$167,EXP(-C158*E2_tabla_vida!$X$168)*E2_tabla_vida!$P$168,EXP(-C158*E2_tabla_vida!$X$169)*E2_tabla_vida!$P$169)-1</x:f>
        <x:v>0.00004979232392710031</x:v>
      </x:c>
      <x:c r="H158" s="24" t="n">
        <x:f>SUM(EXP(-D158*E2_tabla_vida!$X$128)*E2_tabla_vida!$P$128,EXP(-D158*E2_tabla_vida!$X$129)*E2_tabla_vida!$P$129,EXP(-D158*E2_tabla_vida!$X$130)*E2_tabla_vida!$P$130,EXP(-D158*E2_tabla_vida!$X$131)*E2_tabla_vida!$P$131,EXP(-D158*E2_tabla_vida!$X$132)*E2_tabla_vida!$P$132,EXP(-D158*E2_tabla_vida!$X$133)*E2_tabla_vida!$P$133,EXP(-D158*E2_tabla_vida!$X$134)*E2_tabla_vida!$P$134,EXP(-D158*E2_tabla_vida!$X$135)*E2_tabla_vida!$P$135,EXP(-D158*E2_tabla_vida!$X$136)*E2_tabla_vida!$P$136,EXP(-D158*E2_tabla_vida!$X$137)*E2_tabla_vida!$P$137,EXP(-D158*E2_tabla_vida!$X$138)*E2_tabla_vida!$P$138,EXP(-D158*E2_tabla_vida!$X$139)*E2_tabla_vida!$P$139,EXP(-D158*E2_tabla_vida!$X$140)*E2_tabla_vida!$P$140,EXP(-D158*E2_tabla_vida!$X$141)*E2_tabla_vida!$P$141,EXP(-D158*E2_tabla_vida!$X$142)*E2_tabla_vida!$P$142,EXP(-D158*E2_tabla_vida!$X$143)*E2_tabla_vida!$P$143,EXP(-D158*E2_tabla_vida!$X$144)*E2_tabla_vida!$P$144,EXP(-D158*E2_tabla_vida!$X$145)*E2_tabla_vida!$P$145,EXP(-D158*E2_tabla_vida!$X$146)*E2_tabla_vida!$P$146,EXP(-D158*E2_tabla_vida!$X$147)*E2_tabla_vida!$P$147,EXP(-D158*E2_tabla_vida!$X$148)*E2_tabla_vida!$P$148,EXP(-D158*E2_tabla_vida!$X$149)*E2_tabla_vida!$P$149,EXP(-D158*E2_tabla_vida!$X$150)*E2_tabla_vida!$P$150,EXP(-D158*E2_tabla_vida!$X$151)*E2_tabla_vida!$P$151,EXP(-D158*E2_tabla_vida!$X$152)*E2_tabla_vida!$P$152,EXP(-D158*E2_tabla_vida!$X$153)*E2_tabla_vida!$P$153,EXP(-D158*E2_tabla_vida!$X$154)*E2_tabla_vida!$P$154,EXP(-D158*E2_tabla_vida!$X$155)*E2_tabla_vida!$P$155,EXP(-D158*E2_tabla_vida!$X$156)*E2_tabla_vida!$P$156,EXP(-D158*E2_tabla_vida!$X$157)*E2_tabla_vida!$P$157,EXP(-D158*E2_tabla_vida!$X$158)*E2_tabla_vida!$P$158,EXP(-D158*E2_tabla_vida!$X$159)*E2_tabla_vida!$P$159,EXP(-D158*E2_tabla_vida!$X$160)*E2_tabla_vida!$P$160,EXP(-D158*E2_tabla_vida!$X$161)*E2_tabla_vida!$P$161,EXP(-D158*E2_tabla_vida!$X$162)*E2_tabla_vida!$P$162,EXP(-D158*E2_tabla_vida!$X$163)*E2_tabla_vida!$P$163,EXP(-D158*E2_tabla_vida!$X$164)*E2_tabla_vida!$P$164,EXP(-D158*E2_tabla_vida!$X$165)*E2_tabla_vida!$P$165,EXP(-D158*E2_tabla_vida!$X$166)*E2_tabla_vida!$P$166,EXP(-D158*E2_tabla_vida!$X$167)*E2_tabla_vida!$P$167,EXP(-D158*E2_tabla_vida!$X$168)*E2_tabla_vida!$P$168,EXP(-D158*E2_tabla_vida!$X$169)*E2_tabla_vida!$P$169)-1</x:f>
        <x:v>-0.00009515807677229482</x:v>
      </x:c>
    </x:row>
    <x:row r="159" ht="19" customHeight="1">
      <x:c r="A159" s="2" t="str">
        <x:v>BB_L0</x:v>
      </x:c>
      <x:c r="B159" s="2" t="n">
        <x:v>19</x:v>
      </x:c>
      <x:c r="C159" s="22" t="n">
        <x:f>IF(F158&gt;0,E158,C158)</x:f>
        <x:v>0.2621574401855469</x:v>
      </x:c>
      <x:c r="D159" s="22" t="n">
        <x:f>IF(F158&gt;0,D158,E158)</x:f>
        <x:v>0.2621631622314453</x:v>
      </x:c>
      <x:c r="E159" s="22" t="n">
        <x:f>AVERAGE(C159:D159)</x:f>
        <x:v>0.2621603012084961</x:v>
      </x:c>
      <x:c r="F159" s="24" t="n">
        <x:f>SUM(EXP(-E159*E2_tabla_vida!$X$128)*E2_tabla_vida!$P$128,EXP(-E159*E2_tabla_vida!$X$129)*E2_tabla_vida!$P$129,EXP(-E159*E2_tabla_vida!$X$130)*E2_tabla_vida!$P$130,EXP(-E159*E2_tabla_vida!$X$131)*E2_tabla_vida!$P$131,EXP(-E159*E2_tabla_vida!$X$132)*E2_tabla_vida!$P$132,EXP(-E159*E2_tabla_vida!$X$133)*E2_tabla_vida!$P$133,EXP(-E159*E2_tabla_vida!$X$134)*E2_tabla_vida!$P$134,EXP(-E159*E2_tabla_vida!$X$135)*E2_tabla_vida!$P$135,EXP(-E159*E2_tabla_vida!$X$136)*E2_tabla_vida!$P$136,EXP(-E159*E2_tabla_vida!$X$137)*E2_tabla_vida!$P$137,EXP(-E159*E2_tabla_vida!$X$138)*E2_tabla_vida!$P$138,EXP(-E159*E2_tabla_vida!$X$139)*E2_tabla_vida!$P$139,EXP(-E159*E2_tabla_vida!$X$140)*E2_tabla_vida!$P$140,EXP(-E159*E2_tabla_vida!$X$141)*E2_tabla_vida!$P$141,EXP(-E159*E2_tabla_vida!$X$142)*E2_tabla_vida!$P$142,EXP(-E159*E2_tabla_vida!$X$143)*E2_tabla_vida!$P$143,EXP(-E159*E2_tabla_vida!$X$144)*E2_tabla_vida!$P$144,EXP(-E159*E2_tabla_vida!$X$145)*E2_tabla_vida!$P$145,EXP(-E159*E2_tabla_vida!$X$146)*E2_tabla_vida!$P$146,EXP(-E159*E2_tabla_vida!$X$147)*E2_tabla_vida!$P$147,EXP(-E159*E2_tabla_vida!$X$148)*E2_tabla_vida!$P$148,EXP(-E159*E2_tabla_vida!$X$149)*E2_tabla_vida!$P$149,EXP(-E159*E2_tabla_vida!$X$150)*E2_tabla_vida!$P$150,EXP(-E159*E2_tabla_vida!$X$151)*E2_tabla_vida!$P$151,EXP(-E159*E2_tabla_vida!$X$152)*E2_tabla_vida!$P$152,EXP(-E159*E2_tabla_vida!$X$153)*E2_tabla_vida!$P$153,EXP(-E159*E2_tabla_vida!$X$154)*E2_tabla_vida!$P$154,EXP(-E159*E2_tabla_vida!$X$155)*E2_tabla_vida!$P$155,EXP(-E159*E2_tabla_vida!$X$156)*E2_tabla_vida!$P$156,EXP(-E159*E2_tabla_vida!$X$157)*E2_tabla_vida!$P$157,EXP(-E159*E2_tabla_vida!$X$158)*E2_tabla_vida!$P$158,EXP(-E159*E2_tabla_vida!$X$159)*E2_tabla_vida!$P$159,EXP(-E159*E2_tabla_vida!$X$160)*E2_tabla_vida!$P$160,EXP(-E159*E2_tabla_vida!$X$161)*E2_tabla_vida!$P$161,EXP(-E159*E2_tabla_vida!$X$162)*E2_tabla_vida!$P$162,EXP(-E159*E2_tabla_vida!$X$163)*E2_tabla_vida!$P$163,EXP(-E159*E2_tabla_vida!$X$164)*E2_tabla_vida!$P$164,EXP(-E159*E2_tabla_vida!$X$165)*E2_tabla_vida!$P$165,EXP(-E159*E2_tabla_vida!$X$166)*E2_tabla_vida!$P$166,EXP(-E159*E2_tabla_vida!$X$167)*E2_tabla_vida!$P$167,EXP(-E159*E2_tabla_vida!$X$168)*E2_tabla_vida!$P$168,EXP(-E159*E2_tabla_vida!$X$169)*E2_tabla_vida!$P$169)-1</x:f>
        <x:v>0.000013552608880473827</x:v>
      </x:c>
      <x:c r="G159" s="24" t="n">
        <x:f>SUM(EXP(-C159*E2_tabla_vida!$X$128)*E2_tabla_vida!$P$128,EXP(-C159*E2_tabla_vida!$X$129)*E2_tabla_vida!$P$129,EXP(-C159*E2_tabla_vida!$X$130)*E2_tabla_vida!$P$130,EXP(-C159*E2_tabla_vida!$X$131)*E2_tabla_vida!$P$131,EXP(-C159*E2_tabla_vida!$X$132)*E2_tabla_vida!$P$132,EXP(-C159*E2_tabla_vida!$X$133)*E2_tabla_vida!$P$133,EXP(-C159*E2_tabla_vida!$X$134)*E2_tabla_vida!$P$134,EXP(-C159*E2_tabla_vida!$X$135)*E2_tabla_vida!$P$135,EXP(-C159*E2_tabla_vida!$X$136)*E2_tabla_vida!$P$136,EXP(-C159*E2_tabla_vida!$X$137)*E2_tabla_vida!$P$137,EXP(-C159*E2_tabla_vida!$X$138)*E2_tabla_vida!$P$138,EXP(-C159*E2_tabla_vida!$X$139)*E2_tabla_vida!$P$139,EXP(-C159*E2_tabla_vida!$X$140)*E2_tabla_vida!$P$140,EXP(-C159*E2_tabla_vida!$X$141)*E2_tabla_vida!$P$141,EXP(-C159*E2_tabla_vida!$X$142)*E2_tabla_vida!$P$142,EXP(-C159*E2_tabla_vida!$X$143)*E2_tabla_vida!$P$143,EXP(-C159*E2_tabla_vida!$X$144)*E2_tabla_vida!$P$144,EXP(-C159*E2_tabla_vida!$X$145)*E2_tabla_vida!$P$145,EXP(-C159*E2_tabla_vida!$X$146)*E2_tabla_vida!$P$146,EXP(-C159*E2_tabla_vida!$X$147)*E2_tabla_vida!$P$147,EXP(-C159*E2_tabla_vida!$X$148)*E2_tabla_vida!$P$148,EXP(-C159*E2_tabla_vida!$X$149)*E2_tabla_vida!$P$149,EXP(-C159*E2_tabla_vida!$X$150)*E2_tabla_vida!$P$150,EXP(-C159*E2_tabla_vida!$X$151)*E2_tabla_vida!$P$151,EXP(-C159*E2_tabla_vida!$X$152)*E2_tabla_vida!$P$152,EXP(-C159*E2_tabla_vida!$X$153)*E2_tabla_vida!$P$153,EXP(-C159*E2_tabla_vida!$X$154)*E2_tabla_vida!$P$154,EXP(-C159*E2_tabla_vida!$X$155)*E2_tabla_vida!$P$155,EXP(-C159*E2_tabla_vida!$X$156)*E2_tabla_vida!$P$156,EXP(-C159*E2_tabla_vida!$X$157)*E2_tabla_vida!$P$157,EXP(-C159*E2_tabla_vida!$X$158)*E2_tabla_vida!$P$158,EXP(-C159*E2_tabla_vida!$X$159)*E2_tabla_vida!$P$159,EXP(-C159*E2_tabla_vida!$X$160)*E2_tabla_vida!$P$160,EXP(-C159*E2_tabla_vida!$X$161)*E2_tabla_vida!$P$161,EXP(-C159*E2_tabla_vida!$X$162)*E2_tabla_vida!$P$162,EXP(-C159*E2_tabla_vida!$X$163)*E2_tabla_vida!$P$163,EXP(-C159*E2_tabla_vida!$X$164)*E2_tabla_vida!$P$164,EXP(-C159*E2_tabla_vida!$X$165)*E2_tabla_vida!$P$165,EXP(-C159*E2_tabla_vida!$X$166)*E2_tabla_vida!$P$166,EXP(-C159*E2_tabla_vida!$X$167)*E2_tabla_vida!$P$167,EXP(-C159*E2_tabla_vida!$X$168)*E2_tabla_vida!$P$168,EXP(-C159*E2_tabla_vida!$X$169)*E2_tabla_vida!$P$169)-1</x:f>
        <x:v>0.00004979232392710031</x:v>
      </x:c>
      <x:c r="H159" s="24" t="n">
        <x:f>SUM(EXP(-D159*E2_tabla_vida!$X$128)*E2_tabla_vida!$P$128,EXP(-D159*E2_tabla_vida!$X$129)*E2_tabla_vida!$P$129,EXP(-D159*E2_tabla_vida!$X$130)*E2_tabla_vida!$P$130,EXP(-D159*E2_tabla_vida!$X$131)*E2_tabla_vida!$P$131,EXP(-D159*E2_tabla_vida!$X$132)*E2_tabla_vida!$P$132,EXP(-D159*E2_tabla_vida!$X$133)*E2_tabla_vida!$P$133,EXP(-D159*E2_tabla_vida!$X$134)*E2_tabla_vida!$P$134,EXP(-D159*E2_tabla_vida!$X$135)*E2_tabla_vida!$P$135,EXP(-D159*E2_tabla_vida!$X$136)*E2_tabla_vida!$P$136,EXP(-D159*E2_tabla_vida!$X$137)*E2_tabla_vida!$P$137,EXP(-D159*E2_tabla_vida!$X$138)*E2_tabla_vida!$P$138,EXP(-D159*E2_tabla_vida!$X$139)*E2_tabla_vida!$P$139,EXP(-D159*E2_tabla_vida!$X$140)*E2_tabla_vida!$P$140,EXP(-D159*E2_tabla_vida!$X$141)*E2_tabla_vida!$P$141,EXP(-D159*E2_tabla_vida!$X$142)*E2_tabla_vida!$P$142,EXP(-D159*E2_tabla_vida!$X$143)*E2_tabla_vida!$P$143,EXP(-D159*E2_tabla_vida!$X$144)*E2_tabla_vida!$P$144,EXP(-D159*E2_tabla_vida!$X$145)*E2_tabla_vida!$P$145,EXP(-D159*E2_tabla_vida!$X$146)*E2_tabla_vida!$P$146,EXP(-D159*E2_tabla_vida!$X$147)*E2_tabla_vida!$P$147,EXP(-D159*E2_tabla_vida!$X$148)*E2_tabla_vida!$P$148,EXP(-D159*E2_tabla_vida!$X$149)*E2_tabla_vida!$P$149,EXP(-D159*E2_tabla_vida!$X$150)*E2_tabla_vida!$P$150,EXP(-D159*E2_tabla_vida!$X$151)*E2_tabla_vida!$P$151,EXP(-D159*E2_tabla_vida!$X$152)*E2_tabla_vida!$P$152,EXP(-D159*E2_tabla_vida!$X$153)*E2_tabla_vida!$P$153,EXP(-D159*E2_tabla_vida!$X$154)*E2_tabla_vida!$P$154,EXP(-D159*E2_tabla_vida!$X$155)*E2_tabla_vida!$P$155,EXP(-D159*E2_tabla_vida!$X$156)*E2_tabla_vida!$P$156,EXP(-D159*E2_tabla_vida!$X$157)*E2_tabla_vida!$P$157,EXP(-D159*E2_tabla_vida!$X$158)*E2_tabla_vida!$P$158,EXP(-D159*E2_tabla_vida!$X$159)*E2_tabla_vida!$P$159,EXP(-D159*E2_tabla_vida!$X$160)*E2_tabla_vida!$P$160,EXP(-D159*E2_tabla_vida!$X$161)*E2_tabla_vida!$P$161,EXP(-D159*E2_tabla_vida!$X$162)*E2_tabla_vida!$P$162,EXP(-D159*E2_tabla_vida!$X$163)*E2_tabla_vida!$P$163,EXP(-D159*E2_tabla_vida!$X$164)*E2_tabla_vida!$P$164,EXP(-D159*E2_tabla_vida!$X$165)*E2_tabla_vida!$P$165,EXP(-D159*E2_tabla_vida!$X$166)*E2_tabla_vida!$P$166,EXP(-D159*E2_tabla_vida!$X$167)*E2_tabla_vida!$P$167,EXP(-D159*E2_tabla_vida!$X$168)*E2_tabla_vida!$P$168,EXP(-D159*E2_tabla_vida!$X$169)*E2_tabla_vida!$P$169)-1</x:f>
        <x:v>-0.00002268569621255434</x:v>
      </x:c>
    </x:row>
    <x:row r="160" ht="19" customHeight="1">
      <x:c r="A160" s="2" t="str">
        <x:v>BB_L0</x:v>
      </x:c>
      <x:c r="B160" s="2" t="n">
        <x:v>20</x:v>
      </x:c>
      <x:c r="C160" s="22" t="n">
        <x:f>IF(F159&gt;0,E159,C159)</x:f>
        <x:v>0.2621603012084961</x:v>
      </x:c>
      <x:c r="D160" s="22" t="n">
        <x:f>IF(F159&gt;0,D159,E159)</x:f>
        <x:v>0.2621631622314453</x:v>
      </x:c>
      <x:c r="E160" s="22" t="n">
        <x:f>AVERAGE(C160:D160)</x:f>
        <x:v>0.2621617317199707</x:v>
      </x:c>
      <x:c r="F160" s="24" t="n">
        <x:f>SUM(EXP(-E160*E2_tabla_vida!$X$128)*E2_tabla_vida!$P$128,EXP(-E160*E2_tabla_vida!$X$129)*E2_tabla_vida!$P$129,EXP(-E160*E2_tabla_vida!$X$130)*E2_tabla_vida!$P$130,EXP(-E160*E2_tabla_vida!$X$131)*E2_tabla_vida!$P$131,EXP(-E160*E2_tabla_vida!$X$132)*E2_tabla_vida!$P$132,EXP(-E160*E2_tabla_vida!$X$133)*E2_tabla_vida!$P$133,EXP(-E160*E2_tabla_vida!$X$134)*E2_tabla_vida!$P$134,EXP(-E160*E2_tabla_vida!$X$135)*E2_tabla_vida!$P$135,EXP(-E160*E2_tabla_vida!$X$136)*E2_tabla_vida!$P$136,EXP(-E160*E2_tabla_vida!$X$137)*E2_tabla_vida!$P$137,EXP(-E160*E2_tabla_vida!$X$138)*E2_tabla_vida!$P$138,EXP(-E160*E2_tabla_vida!$X$139)*E2_tabla_vida!$P$139,EXP(-E160*E2_tabla_vida!$X$140)*E2_tabla_vida!$P$140,EXP(-E160*E2_tabla_vida!$X$141)*E2_tabla_vida!$P$141,EXP(-E160*E2_tabla_vida!$X$142)*E2_tabla_vida!$P$142,EXP(-E160*E2_tabla_vida!$X$143)*E2_tabla_vida!$P$143,EXP(-E160*E2_tabla_vida!$X$144)*E2_tabla_vida!$P$144,EXP(-E160*E2_tabla_vida!$X$145)*E2_tabla_vida!$P$145,EXP(-E160*E2_tabla_vida!$X$146)*E2_tabla_vida!$P$146,EXP(-E160*E2_tabla_vida!$X$147)*E2_tabla_vida!$P$147,EXP(-E160*E2_tabla_vida!$X$148)*E2_tabla_vida!$P$148,EXP(-E160*E2_tabla_vida!$X$149)*E2_tabla_vida!$P$149,EXP(-E160*E2_tabla_vida!$X$150)*E2_tabla_vida!$P$150,EXP(-E160*E2_tabla_vida!$X$151)*E2_tabla_vida!$P$151,EXP(-E160*E2_tabla_vida!$X$152)*E2_tabla_vida!$P$152,EXP(-E160*E2_tabla_vida!$X$153)*E2_tabla_vida!$P$153,EXP(-E160*E2_tabla_vida!$X$154)*E2_tabla_vida!$P$154,EXP(-E160*E2_tabla_vida!$X$155)*E2_tabla_vida!$P$155,EXP(-E160*E2_tabla_vida!$X$156)*E2_tabla_vida!$P$156,EXP(-E160*E2_tabla_vida!$X$157)*E2_tabla_vida!$P$157,EXP(-E160*E2_tabla_vida!$X$158)*E2_tabla_vida!$P$158,EXP(-E160*E2_tabla_vida!$X$159)*E2_tabla_vida!$P$159,EXP(-E160*E2_tabla_vida!$X$160)*E2_tabla_vida!$P$160,EXP(-E160*E2_tabla_vida!$X$161)*E2_tabla_vida!$P$161,EXP(-E160*E2_tabla_vida!$X$162)*E2_tabla_vida!$P$162,EXP(-E160*E2_tabla_vida!$X$163)*E2_tabla_vida!$P$163,EXP(-E160*E2_tabla_vida!$X$164)*E2_tabla_vida!$P$164,EXP(-E160*E2_tabla_vida!$X$165)*E2_tabla_vida!$P$165,EXP(-E160*E2_tabla_vida!$X$166)*E2_tabla_vida!$P$166,EXP(-E160*E2_tabla_vida!$X$167)*E2_tabla_vida!$P$167,EXP(-E160*E2_tabla_vida!$X$168)*E2_tabla_vida!$P$168,EXP(-E160*E2_tabla_vida!$X$169)*E2_tabla_vida!$P$169)-1</x:f>
        <x:v>-0.0000045667199068955</x:v>
      </x:c>
      <x:c r="G160" s="24" t="n">
        <x:f>SUM(EXP(-C160*E2_tabla_vida!$X$128)*E2_tabla_vida!$P$128,EXP(-C160*E2_tabla_vida!$X$129)*E2_tabla_vida!$P$129,EXP(-C160*E2_tabla_vida!$X$130)*E2_tabla_vida!$P$130,EXP(-C160*E2_tabla_vida!$X$131)*E2_tabla_vida!$P$131,EXP(-C160*E2_tabla_vida!$X$132)*E2_tabla_vida!$P$132,EXP(-C160*E2_tabla_vida!$X$133)*E2_tabla_vida!$P$133,EXP(-C160*E2_tabla_vida!$X$134)*E2_tabla_vida!$P$134,EXP(-C160*E2_tabla_vida!$X$135)*E2_tabla_vida!$P$135,EXP(-C160*E2_tabla_vida!$X$136)*E2_tabla_vida!$P$136,EXP(-C160*E2_tabla_vida!$X$137)*E2_tabla_vida!$P$137,EXP(-C160*E2_tabla_vida!$X$138)*E2_tabla_vida!$P$138,EXP(-C160*E2_tabla_vida!$X$139)*E2_tabla_vida!$P$139,EXP(-C160*E2_tabla_vida!$X$140)*E2_tabla_vida!$P$140,EXP(-C160*E2_tabla_vida!$X$141)*E2_tabla_vida!$P$141,EXP(-C160*E2_tabla_vida!$X$142)*E2_tabla_vida!$P$142,EXP(-C160*E2_tabla_vida!$X$143)*E2_tabla_vida!$P$143,EXP(-C160*E2_tabla_vida!$X$144)*E2_tabla_vida!$P$144,EXP(-C160*E2_tabla_vida!$X$145)*E2_tabla_vida!$P$145,EXP(-C160*E2_tabla_vida!$X$146)*E2_tabla_vida!$P$146,EXP(-C160*E2_tabla_vida!$X$147)*E2_tabla_vida!$P$147,EXP(-C160*E2_tabla_vida!$X$148)*E2_tabla_vida!$P$148,EXP(-C160*E2_tabla_vida!$X$149)*E2_tabla_vida!$P$149,EXP(-C160*E2_tabla_vida!$X$150)*E2_tabla_vida!$P$150,EXP(-C160*E2_tabla_vida!$X$151)*E2_tabla_vida!$P$151,EXP(-C160*E2_tabla_vida!$X$152)*E2_tabla_vida!$P$152,EXP(-C160*E2_tabla_vida!$X$153)*E2_tabla_vida!$P$153,EXP(-C160*E2_tabla_vida!$X$154)*E2_tabla_vida!$P$154,EXP(-C160*E2_tabla_vida!$X$155)*E2_tabla_vida!$P$155,EXP(-C160*E2_tabla_vida!$X$156)*E2_tabla_vida!$P$156,EXP(-C160*E2_tabla_vida!$X$157)*E2_tabla_vida!$P$157,EXP(-C160*E2_tabla_vida!$X$158)*E2_tabla_vida!$P$158,EXP(-C160*E2_tabla_vida!$X$159)*E2_tabla_vida!$P$159,EXP(-C160*E2_tabla_vida!$X$160)*E2_tabla_vida!$P$160,EXP(-C160*E2_tabla_vida!$X$161)*E2_tabla_vida!$P$161,EXP(-C160*E2_tabla_vida!$X$162)*E2_tabla_vida!$P$162,EXP(-C160*E2_tabla_vida!$X$163)*E2_tabla_vida!$P$163,EXP(-C160*E2_tabla_vida!$X$164)*E2_tabla_vida!$P$164,EXP(-C160*E2_tabla_vida!$X$165)*E2_tabla_vida!$P$165,EXP(-C160*E2_tabla_vida!$X$166)*E2_tabla_vida!$P$166,EXP(-C160*E2_tabla_vida!$X$167)*E2_tabla_vida!$P$167,EXP(-C160*E2_tabla_vida!$X$168)*E2_tabla_vida!$P$168,EXP(-C160*E2_tabla_vida!$X$169)*E2_tabla_vida!$P$169)-1</x:f>
        <x:v>0.000013552608880473827</x:v>
      </x:c>
      <x:c r="H160" s="24" t="n">
        <x:f>SUM(EXP(-D160*E2_tabla_vida!$X$128)*E2_tabla_vida!$P$128,EXP(-D160*E2_tabla_vida!$X$129)*E2_tabla_vida!$P$129,EXP(-D160*E2_tabla_vida!$X$130)*E2_tabla_vida!$P$130,EXP(-D160*E2_tabla_vida!$X$131)*E2_tabla_vida!$P$131,EXP(-D160*E2_tabla_vida!$X$132)*E2_tabla_vida!$P$132,EXP(-D160*E2_tabla_vida!$X$133)*E2_tabla_vida!$P$133,EXP(-D160*E2_tabla_vida!$X$134)*E2_tabla_vida!$P$134,EXP(-D160*E2_tabla_vida!$X$135)*E2_tabla_vida!$P$135,EXP(-D160*E2_tabla_vida!$X$136)*E2_tabla_vida!$P$136,EXP(-D160*E2_tabla_vida!$X$137)*E2_tabla_vida!$P$137,EXP(-D160*E2_tabla_vida!$X$138)*E2_tabla_vida!$P$138,EXP(-D160*E2_tabla_vida!$X$139)*E2_tabla_vida!$P$139,EXP(-D160*E2_tabla_vida!$X$140)*E2_tabla_vida!$P$140,EXP(-D160*E2_tabla_vida!$X$141)*E2_tabla_vida!$P$141,EXP(-D160*E2_tabla_vida!$X$142)*E2_tabla_vida!$P$142,EXP(-D160*E2_tabla_vida!$X$143)*E2_tabla_vida!$P$143,EXP(-D160*E2_tabla_vida!$X$144)*E2_tabla_vida!$P$144,EXP(-D160*E2_tabla_vida!$X$145)*E2_tabla_vida!$P$145,EXP(-D160*E2_tabla_vida!$X$146)*E2_tabla_vida!$P$146,EXP(-D160*E2_tabla_vida!$X$147)*E2_tabla_vida!$P$147,EXP(-D160*E2_tabla_vida!$X$148)*E2_tabla_vida!$P$148,EXP(-D160*E2_tabla_vida!$X$149)*E2_tabla_vida!$P$149,EXP(-D160*E2_tabla_vida!$X$150)*E2_tabla_vida!$P$150,EXP(-D160*E2_tabla_vida!$X$151)*E2_tabla_vida!$P$151,EXP(-D160*E2_tabla_vida!$X$152)*E2_tabla_vida!$P$152,EXP(-D160*E2_tabla_vida!$X$153)*E2_tabla_vida!$P$153,EXP(-D160*E2_tabla_vida!$X$154)*E2_tabla_vida!$P$154,EXP(-D160*E2_tabla_vida!$X$155)*E2_tabla_vida!$P$155,EXP(-D160*E2_tabla_vida!$X$156)*E2_tabla_vida!$P$156,EXP(-D160*E2_tabla_vida!$X$157)*E2_tabla_vida!$P$157,EXP(-D160*E2_tabla_vida!$X$158)*E2_tabla_vida!$P$158,EXP(-D160*E2_tabla_vida!$X$159)*E2_tabla_vida!$P$159,EXP(-D160*E2_tabla_vida!$X$160)*E2_tabla_vida!$P$160,EXP(-D160*E2_tabla_vida!$X$161)*E2_tabla_vida!$P$161,EXP(-D160*E2_tabla_vida!$X$162)*E2_tabla_vida!$P$162,EXP(-D160*E2_tabla_vida!$X$163)*E2_tabla_vida!$P$163,EXP(-D160*E2_tabla_vida!$X$164)*E2_tabla_vida!$P$164,EXP(-D160*E2_tabla_vida!$X$165)*E2_tabla_vida!$P$165,EXP(-D160*E2_tabla_vida!$X$166)*E2_tabla_vida!$P$166,EXP(-D160*E2_tabla_vida!$X$167)*E2_tabla_vida!$P$167,EXP(-D160*E2_tabla_vida!$X$168)*E2_tabla_vida!$P$168,EXP(-D160*E2_tabla_vida!$X$169)*E2_tabla_vida!$P$169)-1</x:f>
        <x:v>-0.00002268569621255434</x:v>
      </x:c>
    </x:row>
    <x:row r="161" ht="19" customHeight="1">
      <x:c r="A161" s="2" t="str">
        <x:v>BB_L0</x:v>
      </x:c>
      <x:c r="B161" s="2" t="n">
        <x:v>21</x:v>
      </x:c>
      <x:c r="C161" s="22" t="n">
        <x:f>IF(F160&gt;0,E160,C160)</x:f>
        <x:v>0.2621603012084961</x:v>
      </x:c>
      <x:c r="D161" s="22" t="n">
        <x:f>IF(F160&gt;0,D160,E160)</x:f>
        <x:v>0.2621617317199707</x:v>
      </x:c>
      <x:c r="E161" s="22" t="n">
        <x:f>AVERAGE(C161:D161)</x:f>
        <x:v>0.2621610164642334</x:v>
      </x:c>
      <x:c r="F161" s="24" t="n">
        <x:f>SUM(EXP(-E161*E2_tabla_vida!$X$128)*E2_tabla_vida!$P$128,EXP(-E161*E2_tabla_vida!$X$129)*E2_tabla_vida!$P$129,EXP(-E161*E2_tabla_vida!$X$130)*E2_tabla_vida!$P$130,EXP(-E161*E2_tabla_vida!$X$131)*E2_tabla_vida!$P$131,EXP(-E161*E2_tabla_vida!$X$132)*E2_tabla_vida!$P$132,EXP(-E161*E2_tabla_vida!$X$133)*E2_tabla_vida!$P$133,EXP(-E161*E2_tabla_vida!$X$134)*E2_tabla_vida!$P$134,EXP(-E161*E2_tabla_vida!$X$135)*E2_tabla_vida!$P$135,EXP(-E161*E2_tabla_vida!$X$136)*E2_tabla_vida!$P$136,EXP(-E161*E2_tabla_vida!$X$137)*E2_tabla_vida!$P$137,EXP(-E161*E2_tabla_vida!$X$138)*E2_tabla_vida!$P$138,EXP(-E161*E2_tabla_vida!$X$139)*E2_tabla_vida!$P$139,EXP(-E161*E2_tabla_vida!$X$140)*E2_tabla_vida!$P$140,EXP(-E161*E2_tabla_vida!$X$141)*E2_tabla_vida!$P$141,EXP(-E161*E2_tabla_vida!$X$142)*E2_tabla_vida!$P$142,EXP(-E161*E2_tabla_vida!$X$143)*E2_tabla_vida!$P$143,EXP(-E161*E2_tabla_vida!$X$144)*E2_tabla_vida!$P$144,EXP(-E161*E2_tabla_vida!$X$145)*E2_tabla_vida!$P$145,EXP(-E161*E2_tabla_vida!$X$146)*E2_tabla_vida!$P$146,EXP(-E161*E2_tabla_vida!$X$147)*E2_tabla_vida!$P$147,EXP(-E161*E2_tabla_vida!$X$148)*E2_tabla_vida!$P$148,EXP(-E161*E2_tabla_vida!$X$149)*E2_tabla_vida!$P$149,EXP(-E161*E2_tabla_vida!$X$150)*E2_tabla_vida!$P$150,EXP(-E161*E2_tabla_vida!$X$151)*E2_tabla_vida!$P$151,EXP(-E161*E2_tabla_vida!$X$152)*E2_tabla_vida!$P$152,EXP(-E161*E2_tabla_vida!$X$153)*E2_tabla_vida!$P$153,EXP(-E161*E2_tabla_vida!$X$154)*E2_tabla_vida!$P$154,EXP(-E161*E2_tabla_vida!$X$155)*E2_tabla_vida!$P$155,EXP(-E161*E2_tabla_vida!$X$156)*E2_tabla_vida!$P$156,EXP(-E161*E2_tabla_vida!$X$157)*E2_tabla_vida!$P$157,EXP(-E161*E2_tabla_vida!$X$158)*E2_tabla_vida!$P$158,EXP(-E161*E2_tabla_vida!$X$159)*E2_tabla_vida!$P$159,EXP(-E161*E2_tabla_vida!$X$160)*E2_tabla_vida!$P$160,EXP(-E161*E2_tabla_vida!$X$161)*E2_tabla_vida!$P$161,EXP(-E161*E2_tabla_vida!$X$162)*E2_tabla_vida!$P$162,EXP(-E161*E2_tabla_vida!$X$163)*E2_tabla_vida!$P$163,EXP(-E161*E2_tabla_vida!$X$164)*E2_tabla_vida!$P$164,EXP(-E161*E2_tabla_vida!$X$165)*E2_tabla_vida!$P$165,EXP(-E161*E2_tabla_vida!$X$166)*E2_tabla_vida!$P$166,EXP(-E161*E2_tabla_vida!$X$167)*E2_tabla_vida!$P$167,EXP(-E161*E2_tabla_vida!$X$168)*E2_tabla_vida!$P$168,EXP(-E161*E2_tabla_vida!$X$169)*E2_tabla_vida!$P$169)-1</x:f>
        <x:v>0.0000044929004259230965</x:v>
      </x:c>
      <x:c r="G161" s="24" t="n">
        <x:f>SUM(EXP(-C161*E2_tabla_vida!$X$128)*E2_tabla_vida!$P$128,EXP(-C161*E2_tabla_vida!$X$129)*E2_tabla_vida!$P$129,EXP(-C161*E2_tabla_vida!$X$130)*E2_tabla_vida!$P$130,EXP(-C161*E2_tabla_vida!$X$131)*E2_tabla_vida!$P$131,EXP(-C161*E2_tabla_vida!$X$132)*E2_tabla_vida!$P$132,EXP(-C161*E2_tabla_vida!$X$133)*E2_tabla_vida!$P$133,EXP(-C161*E2_tabla_vida!$X$134)*E2_tabla_vida!$P$134,EXP(-C161*E2_tabla_vida!$X$135)*E2_tabla_vida!$P$135,EXP(-C161*E2_tabla_vida!$X$136)*E2_tabla_vida!$P$136,EXP(-C161*E2_tabla_vida!$X$137)*E2_tabla_vida!$P$137,EXP(-C161*E2_tabla_vida!$X$138)*E2_tabla_vida!$P$138,EXP(-C161*E2_tabla_vida!$X$139)*E2_tabla_vida!$P$139,EXP(-C161*E2_tabla_vida!$X$140)*E2_tabla_vida!$P$140,EXP(-C161*E2_tabla_vida!$X$141)*E2_tabla_vida!$P$141,EXP(-C161*E2_tabla_vida!$X$142)*E2_tabla_vida!$P$142,EXP(-C161*E2_tabla_vida!$X$143)*E2_tabla_vida!$P$143,EXP(-C161*E2_tabla_vida!$X$144)*E2_tabla_vida!$P$144,EXP(-C161*E2_tabla_vida!$X$145)*E2_tabla_vida!$P$145,EXP(-C161*E2_tabla_vida!$X$146)*E2_tabla_vida!$P$146,EXP(-C161*E2_tabla_vida!$X$147)*E2_tabla_vida!$P$147,EXP(-C161*E2_tabla_vida!$X$148)*E2_tabla_vida!$P$148,EXP(-C161*E2_tabla_vida!$X$149)*E2_tabla_vida!$P$149,EXP(-C161*E2_tabla_vida!$X$150)*E2_tabla_vida!$P$150,EXP(-C161*E2_tabla_vida!$X$151)*E2_tabla_vida!$P$151,EXP(-C161*E2_tabla_vida!$X$152)*E2_tabla_vida!$P$152,EXP(-C161*E2_tabla_vida!$X$153)*E2_tabla_vida!$P$153,EXP(-C161*E2_tabla_vida!$X$154)*E2_tabla_vida!$P$154,EXP(-C161*E2_tabla_vida!$X$155)*E2_tabla_vida!$P$155,EXP(-C161*E2_tabla_vida!$X$156)*E2_tabla_vida!$P$156,EXP(-C161*E2_tabla_vida!$X$157)*E2_tabla_vida!$P$157,EXP(-C161*E2_tabla_vida!$X$158)*E2_tabla_vida!$P$158,EXP(-C161*E2_tabla_vida!$X$159)*E2_tabla_vida!$P$159,EXP(-C161*E2_tabla_vida!$X$160)*E2_tabla_vida!$P$160,EXP(-C161*E2_tabla_vida!$X$161)*E2_tabla_vida!$P$161,EXP(-C161*E2_tabla_vida!$X$162)*E2_tabla_vida!$P$162,EXP(-C161*E2_tabla_vida!$X$163)*E2_tabla_vida!$P$163,EXP(-C161*E2_tabla_vida!$X$164)*E2_tabla_vida!$P$164,EXP(-C161*E2_tabla_vida!$X$165)*E2_tabla_vida!$P$165,EXP(-C161*E2_tabla_vida!$X$166)*E2_tabla_vida!$P$166,EXP(-C161*E2_tabla_vida!$X$167)*E2_tabla_vida!$P$167,EXP(-C161*E2_tabla_vida!$X$168)*E2_tabla_vida!$P$168,EXP(-C161*E2_tabla_vida!$X$169)*E2_tabla_vida!$P$169)-1</x:f>
        <x:v>0.000013552608880473827</x:v>
      </x:c>
      <x:c r="H161" s="24" t="n">
        <x:f>SUM(EXP(-D161*E2_tabla_vida!$X$128)*E2_tabla_vida!$P$128,EXP(-D161*E2_tabla_vida!$X$129)*E2_tabla_vida!$P$129,EXP(-D161*E2_tabla_vida!$X$130)*E2_tabla_vida!$P$130,EXP(-D161*E2_tabla_vida!$X$131)*E2_tabla_vida!$P$131,EXP(-D161*E2_tabla_vida!$X$132)*E2_tabla_vida!$P$132,EXP(-D161*E2_tabla_vida!$X$133)*E2_tabla_vida!$P$133,EXP(-D161*E2_tabla_vida!$X$134)*E2_tabla_vida!$P$134,EXP(-D161*E2_tabla_vida!$X$135)*E2_tabla_vida!$P$135,EXP(-D161*E2_tabla_vida!$X$136)*E2_tabla_vida!$P$136,EXP(-D161*E2_tabla_vida!$X$137)*E2_tabla_vida!$P$137,EXP(-D161*E2_tabla_vida!$X$138)*E2_tabla_vida!$P$138,EXP(-D161*E2_tabla_vida!$X$139)*E2_tabla_vida!$P$139,EXP(-D161*E2_tabla_vida!$X$140)*E2_tabla_vida!$P$140,EXP(-D161*E2_tabla_vida!$X$141)*E2_tabla_vida!$P$141,EXP(-D161*E2_tabla_vida!$X$142)*E2_tabla_vida!$P$142,EXP(-D161*E2_tabla_vida!$X$143)*E2_tabla_vida!$P$143,EXP(-D161*E2_tabla_vida!$X$144)*E2_tabla_vida!$P$144,EXP(-D161*E2_tabla_vida!$X$145)*E2_tabla_vida!$P$145,EXP(-D161*E2_tabla_vida!$X$146)*E2_tabla_vida!$P$146,EXP(-D161*E2_tabla_vida!$X$147)*E2_tabla_vida!$P$147,EXP(-D161*E2_tabla_vida!$X$148)*E2_tabla_vida!$P$148,EXP(-D161*E2_tabla_vida!$X$149)*E2_tabla_vida!$P$149,EXP(-D161*E2_tabla_vida!$X$150)*E2_tabla_vida!$P$150,EXP(-D161*E2_tabla_vida!$X$151)*E2_tabla_vida!$P$151,EXP(-D161*E2_tabla_vida!$X$152)*E2_tabla_vida!$P$152,EXP(-D161*E2_tabla_vida!$X$153)*E2_tabla_vida!$P$153,EXP(-D161*E2_tabla_vida!$X$154)*E2_tabla_vida!$P$154,EXP(-D161*E2_tabla_vida!$X$155)*E2_tabla_vida!$P$155,EXP(-D161*E2_tabla_vida!$X$156)*E2_tabla_vida!$P$156,EXP(-D161*E2_tabla_vida!$X$157)*E2_tabla_vida!$P$157,EXP(-D161*E2_tabla_vida!$X$158)*E2_tabla_vida!$P$158,EXP(-D161*E2_tabla_vida!$X$159)*E2_tabla_vida!$P$159,EXP(-D161*E2_tabla_vida!$X$160)*E2_tabla_vida!$P$160,EXP(-D161*E2_tabla_vida!$X$161)*E2_tabla_vida!$P$161,EXP(-D161*E2_tabla_vida!$X$162)*E2_tabla_vida!$P$162,EXP(-D161*E2_tabla_vida!$X$163)*E2_tabla_vida!$P$163,EXP(-D161*E2_tabla_vida!$X$164)*E2_tabla_vida!$P$164,EXP(-D161*E2_tabla_vida!$X$165)*E2_tabla_vida!$P$165,EXP(-D161*E2_tabla_vida!$X$166)*E2_tabla_vida!$P$166,EXP(-D161*E2_tabla_vida!$X$167)*E2_tabla_vida!$P$167,EXP(-D161*E2_tabla_vida!$X$168)*E2_tabla_vida!$P$168,EXP(-D161*E2_tabla_vida!$X$169)*E2_tabla_vida!$P$169)-1</x:f>
        <x:v>-0.0000045667199068955</x:v>
      </x:c>
    </x:row>
    <x:row r="162" ht="19" customHeight="1">
      <x:c r="A162" s="2" t="str">
        <x:v>BB_L0</x:v>
      </x:c>
      <x:c r="B162" s="2" t="n">
        <x:v>22</x:v>
      </x:c>
      <x:c r="C162" s="22" t="n">
        <x:f>IF(F161&gt;0,E161,C161)</x:f>
        <x:v>0.2621610164642334</x:v>
      </x:c>
      <x:c r="D162" s="22" t="n">
        <x:f>IF(F161&gt;0,D161,E161)</x:f>
        <x:v>0.2621617317199707</x:v>
      </x:c>
      <x:c r="E162" s="22" t="n">
        <x:f>AVERAGE(C162:D162)</x:f>
        <x:v>0.26216137409210205</x:v>
      </x:c>
      <x:c r="F162" s="24" t="n">
        <x:f>SUM(EXP(-E162*E2_tabla_vida!$X$128)*E2_tabla_vida!$P$128,EXP(-E162*E2_tabla_vida!$X$129)*E2_tabla_vida!$P$129,EXP(-E162*E2_tabla_vida!$X$130)*E2_tabla_vida!$P$130,EXP(-E162*E2_tabla_vida!$X$131)*E2_tabla_vida!$P$131,EXP(-E162*E2_tabla_vida!$X$132)*E2_tabla_vida!$P$132,EXP(-E162*E2_tabla_vida!$X$133)*E2_tabla_vida!$P$133,EXP(-E162*E2_tabla_vida!$X$134)*E2_tabla_vida!$P$134,EXP(-E162*E2_tabla_vida!$X$135)*E2_tabla_vida!$P$135,EXP(-E162*E2_tabla_vida!$X$136)*E2_tabla_vida!$P$136,EXP(-E162*E2_tabla_vida!$X$137)*E2_tabla_vida!$P$137,EXP(-E162*E2_tabla_vida!$X$138)*E2_tabla_vida!$P$138,EXP(-E162*E2_tabla_vida!$X$139)*E2_tabla_vida!$P$139,EXP(-E162*E2_tabla_vida!$X$140)*E2_tabla_vida!$P$140,EXP(-E162*E2_tabla_vida!$X$141)*E2_tabla_vida!$P$141,EXP(-E162*E2_tabla_vida!$X$142)*E2_tabla_vida!$P$142,EXP(-E162*E2_tabla_vida!$X$143)*E2_tabla_vida!$P$143,EXP(-E162*E2_tabla_vida!$X$144)*E2_tabla_vida!$P$144,EXP(-E162*E2_tabla_vida!$X$145)*E2_tabla_vida!$P$145,EXP(-E162*E2_tabla_vida!$X$146)*E2_tabla_vida!$P$146,EXP(-E162*E2_tabla_vida!$X$147)*E2_tabla_vida!$P$147,EXP(-E162*E2_tabla_vida!$X$148)*E2_tabla_vida!$P$148,EXP(-E162*E2_tabla_vida!$X$149)*E2_tabla_vida!$P$149,EXP(-E162*E2_tabla_vida!$X$150)*E2_tabla_vida!$P$150,EXP(-E162*E2_tabla_vida!$X$151)*E2_tabla_vida!$P$151,EXP(-E162*E2_tabla_vida!$X$152)*E2_tabla_vida!$P$152,EXP(-E162*E2_tabla_vida!$X$153)*E2_tabla_vida!$P$153,EXP(-E162*E2_tabla_vida!$X$154)*E2_tabla_vida!$P$154,EXP(-E162*E2_tabla_vida!$X$155)*E2_tabla_vida!$P$155,EXP(-E162*E2_tabla_vida!$X$156)*E2_tabla_vida!$P$156,EXP(-E162*E2_tabla_vida!$X$157)*E2_tabla_vida!$P$157,EXP(-E162*E2_tabla_vida!$X$158)*E2_tabla_vida!$P$158,EXP(-E162*E2_tabla_vida!$X$159)*E2_tabla_vida!$P$159,EXP(-E162*E2_tabla_vida!$X$160)*E2_tabla_vida!$P$160,EXP(-E162*E2_tabla_vida!$X$161)*E2_tabla_vida!$P$161,EXP(-E162*E2_tabla_vida!$X$162)*E2_tabla_vida!$P$162,EXP(-E162*E2_tabla_vida!$X$163)*E2_tabla_vida!$P$163,EXP(-E162*E2_tabla_vida!$X$164)*E2_tabla_vida!$P$164,EXP(-E162*E2_tabla_vida!$X$165)*E2_tabla_vida!$P$165,EXP(-E162*E2_tabla_vida!$X$166)*E2_tabla_vida!$P$166,EXP(-E162*E2_tabla_vida!$X$167)*E2_tabla_vida!$P$167,EXP(-E162*E2_tabla_vida!$X$168)*E2_tabla_vida!$P$168,EXP(-E162*E2_tabla_vida!$X$169)*E2_tabla_vida!$P$169)-1</x:f>
        <x:v>-3.692075567496289e-8</x:v>
      </x:c>
      <x:c r="G162" s="24" t="n">
        <x:f>SUM(EXP(-C162*E2_tabla_vida!$X$128)*E2_tabla_vida!$P$128,EXP(-C162*E2_tabla_vida!$X$129)*E2_tabla_vida!$P$129,EXP(-C162*E2_tabla_vida!$X$130)*E2_tabla_vida!$P$130,EXP(-C162*E2_tabla_vida!$X$131)*E2_tabla_vida!$P$131,EXP(-C162*E2_tabla_vida!$X$132)*E2_tabla_vida!$P$132,EXP(-C162*E2_tabla_vida!$X$133)*E2_tabla_vida!$P$133,EXP(-C162*E2_tabla_vida!$X$134)*E2_tabla_vida!$P$134,EXP(-C162*E2_tabla_vida!$X$135)*E2_tabla_vida!$P$135,EXP(-C162*E2_tabla_vida!$X$136)*E2_tabla_vida!$P$136,EXP(-C162*E2_tabla_vida!$X$137)*E2_tabla_vida!$P$137,EXP(-C162*E2_tabla_vida!$X$138)*E2_tabla_vida!$P$138,EXP(-C162*E2_tabla_vida!$X$139)*E2_tabla_vida!$P$139,EXP(-C162*E2_tabla_vida!$X$140)*E2_tabla_vida!$P$140,EXP(-C162*E2_tabla_vida!$X$141)*E2_tabla_vida!$P$141,EXP(-C162*E2_tabla_vida!$X$142)*E2_tabla_vida!$P$142,EXP(-C162*E2_tabla_vida!$X$143)*E2_tabla_vida!$P$143,EXP(-C162*E2_tabla_vida!$X$144)*E2_tabla_vida!$P$144,EXP(-C162*E2_tabla_vida!$X$145)*E2_tabla_vida!$P$145,EXP(-C162*E2_tabla_vida!$X$146)*E2_tabla_vida!$P$146,EXP(-C162*E2_tabla_vida!$X$147)*E2_tabla_vida!$P$147,EXP(-C162*E2_tabla_vida!$X$148)*E2_tabla_vida!$P$148,EXP(-C162*E2_tabla_vida!$X$149)*E2_tabla_vida!$P$149,EXP(-C162*E2_tabla_vida!$X$150)*E2_tabla_vida!$P$150,EXP(-C162*E2_tabla_vida!$X$151)*E2_tabla_vida!$P$151,EXP(-C162*E2_tabla_vida!$X$152)*E2_tabla_vida!$P$152,EXP(-C162*E2_tabla_vida!$X$153)*E2_tabla_vida!$P$153,EXP(-C162*E2_tabla_vida!$X$154)*E2_tabla_vida!$P$154,EXP(-C162*E2_tabla_vida!$X$155)*E2_tabla_vida!$P$155,EXP(-C162*E2_tabla_vida!$X$156)*E2_tabla_vida!$P$156,EXP(-C162*E2_tabla_vida!$X$157)*E2_tabla_vida!$P$157,EXP(-C162*E2_tabla_vida!$X$158)*E2_tabla_vida!$P$158,EXP(-C162*E2_tabla_vida!$X$159)*E2_tabla_vida!$P$159,EXP(-C162*E2_tabla_vida!$X$160)*E2_tabla_vida!$P$160,EXP(-C162*E2_tabla_vida!$X$161)*E2_tabla_vida!$P$161,EXP(-C162*E2_tabla_vida!$X$162)*E2_tabla_vida!$P$162,EXP(-C162*E2_tabla_vida!$X$163)*E2_tabla_vida!$P$163,EXP(-C162*E2_tabla_vida!$X$164)*E2_tabla_vida!$P$164,EXP(-C162*E2_tabla_vida!$X$165)*E2_tabla_vida!$P$165,EXP(-C162*E2_tabla_vida!$X$166)*E2_tabla_vida!$P$166,EXP(-C162*E2_tabla_vida!$X$167)*E2_tabla_vida!$P$167,EXP(-C162*E2_tabla_vida!$X$168)*E2_tabla_vida!$P$168,EXP(-C162*E2_tabla_vida!$X$169)*E2_tabla_vida!$P$169)-1</x:f>
        <x:v>0.0000044929004259230965</x:v>
      </x:c>
      <x:c r="H162" s="24" t="n">
        <x:f>SUM(EXP(-D162*E2_tabla_vida!$X$128)*E2_tabla_vida!$P$128,EXP(-D162*E2_tabla_vida!$X$129)*E2_tabla_vida!$P$129,EXP(-D162*E2_tabla_vida!$X$130)*E2_tabla_vida!$P$130,EXP(-D162*E2_tabla_vida!$X$131)*E2_tabla_vida!$P$131,EXP(-D162*E2_tabla_vida!$X$132)*E2_tabla_vida!$P$132,EXP(-D162*E2_tabla_vida!$X$133)*E2_tabla_vida!$P$133,EXP(-D162*E2_tabla_vida!$X$134)*E2_tabla_vida!$P$134,EXP(-D162*E2_tabla_vida!$X$135)*E2_tabla_vida!$P$135,EXP(-D162*E2_tabla_vida!$X$136)*E2_tabla_vida!$P$136,EXP(-D162*E2_tabla_vida!$X$137)*E2_tabla_vida!$P$137,EXP(-D162*E2_tabla_vida!$X$138)*E2_tabla_vida!$P$138,EXP(-D162*E2_tabla_vida!$X$139)*E2_tabla_vida!$P$139,EXP(-D162*E2_tabla_vida!$X$140)*E2_tabla_vida!$P$140,EXP(-D162*E2_tabla_vida!$X$141)*E2_tabla_vida!$P$141,EXP(-D162*E2_tabla_vida!$X$142)*E2_tabla_vida!$P$142,EXP(-D162*E2_tabla_vida!$X$143)*E2_tabla_vida!$P$143,EXP(-D162*E2_tabla_vida!$X$144)*E2_tabla_vida!$P$144,EXP(-D162*E2_tabla_vida!$X$145)*E2_tabla_vida!$P$145,EXP(-D162*E2_tabla_vida!$X$146)*E2_tabla_vida!$P$146,EXP(-D162*E2_tabla_vida!$X$147)*E2_tabla_vida!$P$147,EXP(-D162*E2_tabla_vida!$X$148)*E2_tabla_vida!$P$148,EXP(-D162*E2_tabla_vida!$X$149)*E2_tabla_vida!$P$149,EXP(-D162*E2_tabla_vida!$X$150)*E2_tabla_vida!$P$150,EXP(-D162*E2_tabla_vida!$X$151)*E2_tabla_vida!$P$151,EXP(-D162*E2_tabla_vida!$X$152)*E2_tabla_vida!$P$152,EXP(-D162*E2_tabla_vida!$X$153)*E2_tabla_vida!$P$153,EXP(-D162*E2_tabla_vida!$X$154)*E2_tabla_vida!$P$154,EXP(-D162*E2_tabla_vida!$X$155)*E2_tabla_vida!$P$155,EXP(-D162*E2_tabla_vida!$X$156)*E2_tabla_vida!$P$156,EXP(-D162*E2_tabla_vida!$X$157)*E2_tabla_vida!$P$157,EXP(-D162*E2_tabla_vida!$X$158)*E2_tabla_vida!$P$158,EXP(-D162*E2_tabla_vida!$X$159)*E2_tabla_vida!$P$159,EXP(-D162*E2_tabla_vida!$X$160)*E2_tabla_vida!$P$160,EXP(-D162*E2_tabla_vida!$X$161)*E2_tabla_vida!$P$161,EXP(-D162*E2_tabla_vida!$X$162)*E2_tabla_vida!$P$162,EXP(-D162*E2_tabla_vida!$X$163)*E2_tabla_vida!$P$163,EXP(-D162*E2_tabla_vida!$X$164)*E2_tabla_vida!$P$164,EXP(-D162*E2_tabla_vida!$X$165)*E2_tabla_vida!$P$165,EXP(-D162*E2_tabla_vida!$X$166)*E2_tabla_vida!$P$166,EXP(-D162*E2_tabla_vida!$X$167)*E2_tabla_vida!$P$167,EXP(-D162*E2_tabla_vida!$X$168)*E2_tabla_vida!$P$168,EXP(-D162*E2_tabla_vida!$X$169)*E2_tabla_vida!$P$169)-1</x:f>
        <x:v>-0.0000045667199068955</x:v>
      </x:c>
    </x:row>
    <x:row r="163" ht="19" customHeight="1">
      <x:c r="A163" s="2" t="str">
        <x:v>BB_L0</x:v>
      </x:c>
      <x:c r="B163" s="2" t="n">
        <x:v>23</x:v>
      </x:c>
      <x:c r="C163" s="22" t="n">
        <x:f>IF(F162&gt;0,E162,C162)</x:f>
        <x:v>0.2621610164642334</x:v>
      </x:c>
      <x:c r="D163" s="22" t="n">
        <x:f>IF(F162&gt;0,D162,E162)</x:f>
        <x:v>0.26216137409210205</x:v>
      </x:c>
      <x:c r="E163" s="22" t="n">
        <x:f>AVERAGE(C163:D163)</x:f>
        <x:v>0.2621611952781677</x:v>
      </x:c>
      <x:c r="F163" s="24" t="n">
        <x:f>SUM(EXP(-E163*E2_tabla_vida!$X$128)*E2_tabla_vida!$P$128,EXP(-E163*E2_tabla_vida!$X$129)*E2_tabla_vida!$P$129,EXP(-E163*E2_tabla_vida!$X$130)*E2_tabla_vida!$P$130,EXP(-E163*E2_tabla_vida!$X$131)*E2_tabla_vida!$P$131,EXP(-E163*E2_tabla_vida!$X$132)*E2_tabla_vida!$P$132,EXP(-E163*E2_tabla_vida!$X$133)*E2_tabla_vida!$P$133,EXP(-E163*E2_tabla_vida!$X$134)*E2_tabla_vida!$P$134,EXP(-E163*E2_tabla_vida!$X$135)*E2_tabla_vida!$P$135,EXP(-E163*E2_tabla_vida!$X$136)*E2_tabla_vida!$P$136,EXP(-E163*E2_tabla_vida!$X$137)*E2_tabla_vida!$P$137,EXP(-E163*E2_tabla_vida!$X$138)*E2_tabla_vida!$P$138,EXP(-E163*E2_tabla_vida!$X$139)*E2_tabla_vida!$P$139,EXP(-E163*E2_tabla_vida!$X$140)*E2_tabla_vida!$P$140,EXP(-E163*E2_tabla_vida!$X$141)*E2_tabla_vida!$P$141,EXP(-E163*E2_tabla_vida!$X$142)*E2_tabla_vida!$P$142,EXP(-E163*E2_tabla_vida!$X$143)*E2_tabla_vida!$P$143,EXP(-E163*E2_tabla_vida!$X$144)*E2_tabla_vida!$P$144,EXP(-E163*E2_tabla_vida!$X$145)*E2_tabla_vida!$P$145,EXP(-E163*E2_tabla_vida!$X$146)*E2_tabla_vida!$P$146,EXP(-E163*E2_tabla_vida!$X$147)*E2_tabla_vida!$P$147,EXP(-E163*E2_tabla_vida!$X$148)*E2_tabla_vida!$P$148,EXP(-E163*E2_tabla_vida!$X$149)*E2_tabla_vida!$P$149,EXP(-E163*E2_tabla_vida!$X$150)*E2_tabla_vida!$P$150,EXP(-E163*E2_tabla_vida!$X$151)*E2_tabla_vida!$P$151,EXP(-E163*E2_tabla_vida!$X$152)*E2_tabla_vida!$P$152,EXP(-E163*E2_tabla_vida!$X$153)*E2_tabla_vida!$P$153,EXP(-E163*E2_tabla_vida!$X$154)*E2_tabla_vida!$P$154,EXP(-E163*E2_tabla_vida!$X$155)*E2_tabla_vida!$P$155,EXP(-E163*E2_tabla_vida!$X$156)*E2_tabla_vida!$P$156,EXP(-E163*E2_tabla_vida!$X$157)*E2_tabla_vida!$P$157,EXP(-E163*E2_tabla_vida!$X$158)*E2_tabla_vida!$P$158,EXP(-E163*E2_tabla_vida!$X$159)*E2_tabla_vida!$P$159,EXP(-E163*E2_tabla_vida!$X$160)*E2_tabla_vida!$P$160,EXP(-E163*E2_tabla_vida!$X$161)*E2_tabla_vida!$P$161,EXP(-E163*E2_tabla_vida!$X$162)*E2_tabla_vida!$P$162,EXP(-E163*E2_tabla_vida!$X$163)*E2_tabla_vida!$P$163,EXP(-E163*E2_tabla_vida!$X$164)*E2_tabla_vida!$P$164,EXP(-E163*E2_tabla_vida!$X$165)*E2_tabla_vida!$P$165,EXP(-E163*E2_tabla_vida!$X$166)*E2_tabla_vida!$P$166,EXP(-E163*E2_tabla_vida!$X$167)*E2_tabla_vida!$P$167,EXP(-E163*E2_tabla_vida!$X$168)*E2_tabla_vida!$P$168,EXP(-E163*E2_tabla_vida!$X$169)*E2_tabla_vida!$P$169)-1</x:f>
        <x:v>0.0000022279870812713654</x:v>
      </x:c>
      <x:c r="G163" s="24" t="n">
        <x:f>SUM(EXP(-C163*E2_tabla_vida!$X$128)*E2_tabla_vida!$P$128,EXP(-C163*E2_tabla_vida!$X$129)*E2_tabla_vida!$P$129,EXP(-C163*E2_tabla_vida!$X$130)*E2_tabla_vida!$P$130,EXP(-C163*E2_tabla_vida!$X$131)*E2_tabla_vida!$P$131,EXP(-C163*E2_tabla_vida!$X$132)*E2_tabla_vida!$P$132,EXP(-C163*E2_tabla_vida!$X$133)*E2_tabla_vida!$P$133,EXP(-C163*E2_tabla_vida!$X$134)*E2_tabla_vida!$P$134,EXP(-C163*E2_tabla_vida!$X$135)*E2_tabla_vida!$P$135,EXP(-C163*E2_tabla_vida!$X$136)*E2_tabla_vida!$P$136,EXP(-C163*E2_tabla_vida!$X$137)*E2_tabla_vida!$P$137,EXP(-C163*E2_tabla_vida!$X$138)*E2_tabla_vida!$P$138,EXP(-C163*E2_tabla_vida!$X$139)*E2_tabla_vida!$P$139,EXP(-C163*E2_tabla_vida!$X$140)*E2_tabla_vida!$P$140,EXP(-C163*E2_tabla_vida!$X$141)*E2_tabla_vida!$P$141,EXP(-C163*E2_tabla_vida!$X$142)*E2_tabla_vida!$P$142,EXP(-C163*E2_tabla_vida!$X$143)*E2_tabla_vida!$P$143,EXP(-C163*E2_tabla_vida!$X$144)*E2_tabla_vida!$P$144,EXP(-C163*E2_tabla_vida!$X$145)*E2_tabla_vida!$P$145,EXP(-C163*E2_tabla_vida!$X$146)*E2_tabla_vida!$P$146,EXP(-C163*E2_tabla_vida!$X$147)*E2_tabla_vida!$P$147,EXP(-C163*E2_tabla_vida!$X$148)*E2_tabla_vida!$P$148,EXP(-C163*E2_tabla_vida!$X$149)*E2_tabla_vida!$P$149,EXP(-C163*E2_tabla_vida!$X$150)*E2_tabla_vida!$P$150,EXP(-C163*E2_tabla_vida!$X$151)*E2_tabla_vida!$P$151,EXP(-C163*E2_tabla_vida!$X$152)*E2_tabla_vida!$P$152,EXP(-C163*E2_tabla_vida!$X$153)*E2_tabla_vida!$P$153,EXP(-C163*E2_tabla_vida!$X$154)*E2_tabla_vida!$P$154,EXP(-C163*E2_tabla_vida!$X$155)*E2_tabla_vida!$P$155,EXP(-C163*E2_tabla_vida!$X$156)*E2_tabla_vida!$P$156,EXP(-C163*E2_tabla_vida!$X$157)*E2_tabla_vida!$P$157,EXP(-C163*E2_tabla_vida!$X$158)*E2_tabla_vida!$P$158,EXP(-C163*E2_tabla_vida!$X$159)*E2_tabla_vida!$P$159,EXP(-C163*E2_tabla_vida!$X$160)*E2_tabla_vida!$P$160,EXP(-C163*E2_tabla_vida!$X$161)*E2_tabla_vida!$P$161,EXP(-C163*E2_tabla_vida!$X$162)*E2_tabla_vida!$P$162,EXP(-C163*E2_tabla_vida!$X$163)*E2_tabla_vida!$P$163,EXP(-C163*E2_tabla_vida!$X$164)*E2_tabla_vida!$P$164,EXP(-C163*E2_tabla_vida!$X$165)*E2_tabla_vida!$P$165,EXP(-C163*E2_tabla_vida!$X$166)*E2_tabla_vida!$P$166,EXP(-C163*E2_tabla_vida!$X$167)*E2_tabla_vida!$P$167,EXP(-C163*E2_tabla_vida!$X$168)*E2_tabla_vida!$P$168,EXP(-C163*E2_tabla_vida!$X$169)*E2_tabla_vida!$P$169)-1</x:f>
        <x:v>0.0000044929004259230965</x:v>
      </x:c>
      <x:c r="H163" s="24" t="n">
        <x:f>SUM(EXP(-D163*E2_tabla_vida!$X$128)*E2_tabla_vida!$P$128,EXP(-D163*E2_tabla_vida!$X$129)*E2_tabla_vida!$P$129,EXP(-D163*E2_tabla_vida!$X$130)*E2_tabla_vida!$P$130,EXP(-D163*E2_tabla_vida!$X$131)*E2_tabla_vida!$P$131,EXP(-D163*E2_tabla_vida!$X$132)*E2_tabla_vida!$P$132,EXP(-D163*E2_tabla_vida!$X$133)*E2_tabla_vida!$P$133,EXP(-D163*E2_tabla_vida!$X$134)*E2_tabla_vida!$P$134,EXP(-D163*E2_tabla_vida!$X$135)*E2_tabla_vida!$P$135,EXP(-D163*E2_tabla_vida!$X$136)*E2_tabla_vida!$P$136,EXP(-D163*E2_tabla_vida!$X$137)*E2_tabla_vida!$P$137,EXP(-D163*E2_tabla_vida!$X$138)*E2_tabla_vida!$P$138,EXP(-D163*E2_tabla_vida!$X$139)*E2_tabla_vida!$P$139,EXP(-D163*E2_tabla_vida!$X$140)*E2_tabla_vida!$P$140,EXP(-D163*E2_tabla_vida!$X$141)*E2_tabla_vida!$P$141,EXP(-D163*E2_tabla_vida!$X$142)*E2_tabla_vida!$P$142,EXP(-D163*E2_tabla_vida!$X$143)*E2_tabla_vida!$P$143,EXP(-D163*E2_tabla_vida!$X$144)*E2_tabla_vida!$P$144,EXP(-D163*E2_tabla_vida!$X$145)*E2_tabla_vida!$P$145,EXP(-D163*E2_tabla_vida!$X$146)*E2_tabla_vida!$P$146,EXP(-D163*E2_tabla_vida!$X$147)*E2_tabla_vida!$P$147,EXP(-D163*E2_tabla_vida!$X$148)*E2_tabla_vida!$P$148,EXP(-D163*E2_tabla_vida!$X$149)*E2_tabla_vida!$P$149,EXP(-D163*E2_tabla_vida!$X$150)*E2_tabla_vida!$P$150,EXP(-D163*E2_tabla_vida!$X$151)*E2_tabla_vida!$P$151,EXP(-D163*E2_tabla_vida!$X$152)*E2_tabla_vida!$P$152,EXP(-D163*E2_tabla_vida!$X$153)*E2_tabla_vida!$P$153,EXP(-D163*E2_tabla_vida!$X$154)*E2_tabla_vida!$P$154,EXP(-D163*E2_tabla_vida!$X$155)*E2_tabla_vida!$P$155,EXP(-D163*E2_tabla_vida!$X$156)*E2_tabla_vida!$P$156,EXP(-D163*E2_tabla_vida!$X$157)*E2_tabla_vida!$P$157,EXP(-D163*E2_tabla_vida!$X$158)*E2_tabla_vida!$P$158,EXP(-D163*E2_tabla_vida!$X$159)*E2_tabla_vida!$P$159,EXP(-D163*E2_tabla_vida!$X$160)*E2_tabla_vida!$P$160,EXP(-D163*E2_tabla_vida!$X$161)*E2_tabla_vida!$P$161,EXP(-D163*E2_tabla_vida!$X$162)*E2_tabla_vida!$P$162,EXP(-D163*E2_tabla_vida!$X$163)*E2_tabla_vida!$P$163,EXP(-D163*E2_tabla_vida!$X$164)*E2_tabla_vida!$P$164,EXP(-D163*E2_tabla_vida!$X$165)*E2_tabla_vida!$P$165,EXP(-D163*E2_tabla_vida!$X$166)*E2_tabla_vida!$P$166,EXP(-D163*E2_tabla_vida!$X$167)*E2_tabla_vida!$P$167,EXP(-D163*E2_tabla_vida!$X$168)*E2_tabla_vida!$P$168,EXP(-D163*E2_tabla_vida!$X$169)*E2_tabla_vida!$P$169)-1</x:f>
        <x:v>-3.692075567496289e-8</x:v>
      </x:c>
    </x:row>
    <x:row r="164" ht="19" customHeight="1">
      <x:c r="A164" s="2" t="str">
        <x:v>BB_L0</x:v>
      </x:c>
      <x:c r="B164" s="2" t="n">
        <x:v>24</x:v>
      </x:c>
      <x:c r="C164" s="22" t="n">
        <x:f>IF(F163&gt;0,E163,C163)</x:f>
        <x:v>0.2621611952781677</x:v>
      </x:c>
      <x:c r="D164" s="22" t="n">
        <x:f>IF(F163&gt;0,D163,E163)</x:f>
        <x:v>0.26216137409210205</x:v>
      </x:c>
      <x:c r="E164" s="22" t="n">
        <x:f>AVERAGE(C164:D164)</x:f>
        <x:v>0.2621612846851349</x:v>
      </x:c>
      <x:c r="F164" s="24" t="n">
        <x:f>SUM(EXP(-E164*E2_tabla_vida!$X$128)*E2_tabla_vida!$P$128,EXP(-E164*E2_tabla_vida!$X$129)*E2_tabla_vida!$P$129,EXP(-E164*E2_tabla_vida!$X$130)*E2_tabla_vida!$P$130,EXP(-E164*E2_tabla_vida!$X$131)*E2_tabla_vida!$P$131,EXP(-E164*E2_tabla_vida!$X$132)*E2_tabla_vida!$P$132,EXP(-E164*E2_tabla_vida!$X$133)*E2_tabla_vida!$P$133,EXP(-E164*E2_tabla_vida!$X$134)*E2_tabla_vida!$P$134,EXP(-E164*E2_tabla_vida!$X$135)*E2_tabla_vida!$P$135,EXP(-E164*E2_tabla_vida!$X$136)*E2_tabla_vida!$P$136,EXP(-E164*E2_tabla_vida!$X$137)*E2_tabla_vida!$P$137,EXP(-E164*E2_tabla_vida!$X$138)*E2_tabla_vida!$P$138,EXP(-E164*E2_tabla_vida!$X$139)*E2_tabla_vida!$P$139,EXP(-E164*E2_tabla_vida!$X$140)*E2_tabla_vida!$P$140,EXP(-E164*E2_tabla_vida!$X$141)*E2_tabla_vida!$P$141,EXP(-E164*E2_tabla_vida!$X$142)*E2_tabla_vida!$P$142,EXP(-E164*E2_tabla_vida!$X$143)*E2_tabla_vida!$P$143,EXP(-E164*E2_tabla_vida!$X$144)*E2_tabla_vida!$P$144,EXP(-E164*E2_tabla_vida!$X$145)*E2_tabla_vida!$P$145,EXP(-E164*E2_tabla_vida!$X$146)*E2_tabla_vida!$P$146,EXP(-E164*E2_tabla_vida!$X$147)*E2_tabla_vida!$P$147,EXP(-E164*E2_tabla_vida!$X$148)*E2_tabla_vida!$P$148,EXP(-E164*E2_tabla_vida!$X$149)*E2_tabla_vida!$P$149,EXP(-E164*E2_tabla_vida!$X$150)*E2_tabla_vida!$P$150,EXP(-E164*E2_tabla_vida!$X$151)*E2_tabla_vida!$P$151,EXP(-E164*E2_tabla_vida!$X$152)*E2_tabla_vida!$P$152,EXP(-E164*E2_tabla_vida!$X$153)*E2_tabla_vida!$P$153,EXP(-E164*E2_tabla_vida!$X$154)*E2_tabla_vida!$P$154,EXP(-E164*E2_tabla_vida!$X$155)*E2_tabla_vida!$P$155,EXP(-E164*E2_tabla_vida!$X$156)*E2_tabla_vida!$P$156,EXP(-E164*E2_tabla_vida!$X$157)*E2_tabla_vida!$P$157,EXP(-E164*E2_tabla_vida!$X$158)*E2_tabla_vida!$P$158,EXP(-E164*E2_tabla_vida!$X$159)*E2_tabla_vida!$P$159,EXP(-E164*E2_tabla_vida!$X$160)*E2_tabla_vida!$P$160,EXP(-E164*E2_tabla_vida!$X$161)*E2_tabla_vida!$P$161,EXP(-E164*E2_tabla_vida!$X$162)*E2_tabla_vida!$P$162,EXP(-E164*E2_tabla_vida!$X$163)*E2_tabla_vida!$P$163,EXP(-E164*E2_tabla_vida!$X$164)*E2_tabla_vida!$P$164,EXP(-E164*E2_tabla_vida!$X$165)*E2_tabla_vida!$P$165,EXP(-E164*E2_tabla_vida!$X$166)*E2_tabla_vida!$P$166,EXP(-E164*E2_tabla_vida!$X$167)*E2_tabla_vida!$P$167,EXP(-E164*E2_tabla_vida!$X$168)*E2_tabla_vida!$P$168,EXP(-E164*E2_tabla_vida!$X$169)*E2_tabla_vida!$P$169)-1</x:f>
        <x:v>0.0000010955324747374817</x:v>
      </x:c>
      <x:c r="G164" s="24" t="n">
        <x:f>SUM(EXP(-C164*E2_tabla_vida!$X$128)*E2_tabla_vida!$P$128,EXP(-C164*E2_tabla_vida!$X$129)*E2_tabla_vida!$P$129,EXP(-C164*E2_tabla_vida!$X$130)*E2_tabla_vida!$P$130,EXP(-C164*E2_tabla_vida!$X$131)*E2_tabla_vida!$P$131,EXP(-C164*E2_tabla_vida!$X$132)*E2_tabla_vida!$P$132,EXP(-C164*E2_tabla_vida!$X$133)*E2_tabla_vida!$P$133,EXP(-C164*E2_tabla_vida!$X$134)*E2_tabla_vida!$P$134,EXP(-C164*E2_tabla_vida!$X$135)*E2_tabla_vida!$P$135,EXP(-C164*E2_tabla_vida!$X$136)*E2_tabla_vida!$P$136,EXP(-C164*E2_tabla_vida!$X$137)*E2_tabla_vida!$P$137,EXP(-C164*E2_tabla_vida!$X$138)*E2_tabla_vida!$P$138,EXP(-C164*E2_tabla_vida!$X$139)*E2_tabla_vida!$P$139,EXP(-C164*E2_tabla_vida!$X$140)*E2_tabla_vida!$P$140,EXP(-C164*E2_tabla_vida!$X$141)*E2_tabla_vida!$P$141,EXP(-C164*E2_tabla_vida!$X$142)*E2_tabla_vida!$P$142,EXP(-C164*E2_tabla_vida!$X$143)*E2_tabla_vida!$P$143,EXP(-C164*E2_tabla_vida!$X$144)*E2_tabla_vida!$P$144,EXP(-C164*E2_tabla_vida!$X$145)*E2_tabla_vida!$P$145,EXP(-C164*E2_tabla_vida!$X$146)*E2_tabla_vida!$P$146,EXP(-C164*E2_tabla_vida!$X$147)*E2_tabla_vida!$P$147,EXP(-C164*E2_tabla_vida!$X$148)*E2_tabla_vida!$P$148,EXP(-C164*E2_tabla_vida!$X$149)*E2_tabla_vida!$P$149,EXP(-C164*E2_tabla_vida!$X$150)*E2_tabla_vida!$P$150,EXP(-C164*E2_tabla_vida!$X$151)*E2_tabla_vida!$P$151,EXP(-C164*E2_tabla_vida!$X$152)*E2_tabla_vida!$P$152,EXP(-C164*E2_tabla_vida!$X$153)*E2_tabla_vida!$P$153,EXP(-C164*E2_tabla_vida!$X$154)*E2_tabla_vida!$P$154,EXP(-C164*E2_tabla_vida!$X$155)*E2_tabla_vida!$P$155,EXP(-C164*E2_tabla_vida!$X$156)*E2_tabla_vida!$P$156,EXP(-C164*E2_tabla_vida!$X$157)*E2_tabla_vida!$P$157,EXP(-C164*E2_tabla_vida!$X$158)*E2_tabla_vida!$P$158,EXP(-C164*E2_tabla_vida!$X$159)*E2_tabla_vida!$P$159,EXP(-C164*E2_tabla_vida!$X$160)*E2_tabla_vida!$P$160,EXP(-C164*E2_tabla_vida!$X$161)*E2_tabla_vida!$P$161,EXP(-C164*E2_tabla_vida!$X$162)*E2_tabla_vida!$P$162,EXP(-C164*E2_tabla_vida!$X$163)*E2_tabla_vida!$P$163,EXP(-C164*E2_tabla_vida!$X$164)*E2_tabla_vida!$P$164,EXP(-C164*E2_tabla_vida!$X$165)*E2_tabla_vida!$P$165,EXP(-C164*E2_tabla_vida!$X$166)*E2_tabla_vida!$P$166,EXP(-C164*E2_tabla_vida!$X$167)*E2_tabla_vida!$P$167,EXP(-C164*E2_tabla_vida!$X$168)*E2_tabla_vida!$P$168,EXP(-C164*E2_tabla_vida!$X$169)*E2_tabla_vida!$P$169)-1</x:f>
        <x:v>0.0000022279870812713654</x:v>
      </x:c>
      <x:c r="H164" s="24" t="n">
        <x:f>SUM(EXP(-D164*E2_tabla_vida!$X$128)*E2_tabla_vida!$P$128,EXP(-D164*E2_tabla_vida!$X$129)*E2_tabla_vida!$P$129,EXP(-D164*E2_tabla_vida!$X$130)*E2_tabla_vida!$P$130,EXP(-D164*E2_tabla_vida!$X$131)*E2_tabla_vida!$P$131,EXP(-D164*E2_tabla_vida!$X$132)*E2_tabla_vida!$P$132,EXP(-D164*E2_tabla_vida!$X$133)*E2_tabla_vida!$P$133,EXP(-D164*E2_tabla_vida!$X$134)*E2_tabla_vida!$P$134,EXP(-D164*E2_tabla_vida!$X$135)*E2_tabla_vida!$P$135,EXP(-D164*E2_tabla_vida!$X$136)*E2_tabla_vida!$P$136,EXP(-D164*E2_tabla_vida!$X$137)*E2_tabla_vida!$P$137,EXP(-D164*E2_tabla_vida!$X$138)*E2_tabla_vida!$P$138,EXP(-D164*E2_tabla_vida!$X$139)*E2_tabla_vida!$P$139,EXP(-D164*E2_tabla_vida!$X$140)*E2_tabla_vida!$P$140,EXP(-D164*E2_tabla_vida!$X$141)*E2_tabla_vida!$P$141,EXP(-D164*E2_tabla_vida!$X$142)*E2_tabla_vida!$P$142,EXP(-D164*E2_tabla_vida!$X$143)*E2_tabla_vida!$P$143,EXP(-D164*E2_tabla_vida!$X$144)*E2_tabla_vida!$P$144,EXP(-D164*E2_tabla_vida!$X$145)*E2_tabla_vida!$P$145,EXP(-D164*E2_tabla_vida!$X$146)*E2_tabla_vida!$P$146,EXP(-D164*E2_tabla_vida!$X$147)*E2_tabla_vida!$P$147,EXP(-D164*E2_tabla_vida!$X$148)*E2_tabla_vida!$P$148,EXP(-D164*E2_tabla_vida!$X$149)*E2_tabla_vida!$P$149,EXP(-D164*E2_tabla_vida!$X$150)*E2_tabla_vida!$P$150,EXP(-D164*E2_tabla_vida!$X$151)*E2_tabla_vida!$P$151,EXP(-D164*E2_tabla_vida!$X$152)*E2_tabla_vida!$P$152,EXP(-D164*E2_tabla_vida!$X$153)*E2_tabla_vida!$P$153,EXP(-D164*E2_tabla_vida!$X$154)*E2_tabla_vida!$P$154,EXP(-D164*E2_tabla_vida!$X$155)*E2_tabla_vida!$P$155,EXP(-D164*E2_tabla_vida!$X$156)*E2_tabla_vida!$P$156,EXP(-D164*E2_tabla_vida!$X$157)*E2_tabla_vida!$P$157,EXP(-D164*E2_tabla_vida!$X$158)*E2_tabla_vida!$P$158,EXP(-D164*E2_tabla_vida!$X$159)*E2_tabla_vida!$P$159,EXP(-D164*E2_tabla_vida!$X$160)*E2_tabla_vida!$P$160,EXP(-D164*E2_tabla_vida!$X$161)*E2_tabla_vida!$P$161,EXP(-D164*E2_tabla_vida!$X$162)*E2_tabla_vida!$P$162,EXP(-D164*E2_tabla_vida!$X$163)*E2_tabla_vida!$P$163,EXP(-D164*E2_tabla_vida!$X$164)*E2_tabla_vida!$P$164,EXP(-D164*E2_tabla_vida!$X$165)*E2_tabla_vida!$P$165,EXP(-D164*E2_tabla_vida!$X$166)*E2_tabla_vida!$P$166,EXP(-D164*E2_tabla_vida!$X$167)*E2_tabla_vida!$P$167,EXP(-D164*E2_tabla_vida!$X$168)*E2_tabla_vida!$P$168,EXP(-D164*E2_tabla_vida!$X$169)*E2_tabla_vida!$P$169)-1</x:f>
        <x:v>-3.692075567496289e-8</x:v>
      </x:c>
    </x:row>
    <x:row r="165" ht="19" customHeight="1">
      <x:c r="A165" s="2" t="str">
        <x:v>BB_L0</x:v>
      </x:c>
      <x:c r="B165" s="2" t="n">
        <x:v>25</x:v>
      </x:c>
      <x:c r="C165" s="22" t="n">
        <x:f>IF(F164&gt;0,E164,C164)</x:f>
        <x:v>0.2621612846851349</x:v>
      </x:c>
      <x:c r="D165" s="22" t="n">
        <x:f>IF(F164&gt;0,D164,E164)</x:f>
        <x:v>0.26216137409210205</x:v>
      </x:c>
      <x:c r="E165" s="22" t="n">
        <x:f>AVERAGE(C165:D165)</x:f>
        <x:v>0.26216132938861847</x:v>
      </x:c>
      <x:c r="F165" s="24" t="n">
        <x:f>SUM(EXP(-E165*E2_tabla_vida!$X$128)*E2_tabla_vida!$P$128,EXP(-E165*E2_tabla_vida!$X$129)*E2_tabla_vida!$P$129,EXP(-E165*E2_tabla_vida!$X$130)*E2_tabla_vida!$P$130,EXP(-E165*E2_tabla_vida!$X$131)*E2_tabla_vida!$P$131,EXP(-E165*E2_tabla_vida!$X$132)*E2_tabla_vida!$P$132,EXP(-E165*E2_tabla_vida!$X$133)*E2_tabla_vida!$P$133,EXP(-E165*E2_tabla_vida!$X$134)*E2_tabla_vida!$P$134,EXP(-E165*E2_tabla_vida!$X$135)*E2_tabla_vida!$P$135,EXP(-E165*E2_tabla_vida!$X$136)*E2_tabla_vida!$P$136,EXP(-E165*E2_tabla_vida!$X$137)*E2_tabla_vida!$P$137,EXP(-E165*E2_tabla_vida!$X$138)*E2_tabla_vida!$P$138,EXP(-E165*E2_tabla_vida!$X$139)*E2_tabla_vida!$P$139,EXP(-E165*E2_tabla_vida!$X$140)*E2_tabla_vida!$P$140,EXP(-E165*E2_tabla_vida!$X$141)*E2_tabla_vida!$P$141,EXP(-E165*E2_tabla_vida!$X$142)*E2_tabla_vida!$P$142,EXP(-E165*E2_tabla_vida!$X$143)*E2_tabla_vida!$P$143,EXP(-E165*E2_tabla_vida!$X$144)*E2_tabla_vida!$P$144,EXP(-E165*E2_tabla_vida!$X$145)*E2_tabla_vida!$P$145,EXP(-E165*E2_tabla_vida!$X$146)*E2_tabla_vida!$P$146,EXP(-E165*E2_tabla_vida!$X$147)*E2_tabla_vida!$P$147,EXP(-E165*E2_tabla_vida!$X$148)*E2_tabla_vida!$P$148,EXP(-E165*E2_tabla_vida!$X$149)*E2_tabla_vida!$P$149,EXP(-E165*E2_tabla_vida!$X$150)*E2_tabla_vida!$P$150,EXP(-E165*E2_tabla_vida!$X$151)*E2_tabla_vida!$P$151,EXP(-E165*E2_tabla_vida!$X$152)*E2_tabla_vida!$P$152,EXP(-E165*E2_tabla_vida!$X$153)*E2_tabla_vida!$P$153,EXP(-E165*E2_tabla_vida!$X$154)*E2_tabla_vida!$P$154,EXP(-E165*E2_tabla_vida!$X$155)*E2_tabla_vida!$P$155,EXP(-E165*E2_tabla_vida!$X$156)*E2_tabla_vida!$P$156,EXP(-E165*E2_tabla_vida!$X$157)*E2_tabla_vida!$P$157,EXP(-E165*E2_tabla_vida!$X$158)*E2_tabla_vida!$P$158,EXP(-E165*E2_tabla_vida!$X$159)*E2_tabla_vida!$P$159,EXP(-E165*E2_tabla_vida!$X$160)*E2_tabla_vida!$P$160,EXP(-E165*E2_tabla_vida!$X$161)*E2_tabla_vida!$P$161,EXP(-E165*E2_tabla_vida!$X$162)*E2_tabla_vida!$P$162,EXP(-E165*E2_tabla_vida!$X$163)*E2_tabla_vida!$P$163,EXP(-E165*E2_tabla_vida!$X$164)*E2_tabla_vida!$P$164,EXP(-E165*E2_tabla_vida!$X$165)*E2_tabla_vida!$P$165,EXP(-E165*E2_tabla_vida!$X$166)*E2_tabla_vida!$P$166,EXP(-E165*E2_tabla_vida!$X$167)*E2_tabla_vida!$P$167,EXP(-E165*E2_tabla_vida!$X$168)*E2_tabla_vida!$P$168,EXP(-E165*E2_tabla_vida!$X$169)*E2_tabla_vida!$P$169)-1</x:f>
        <x:v>5.293056870581125e-7</x:v>
      </x:c>
      <x:c r="G165" s="24" t="n">
        <x:f>SUM(EXP(-C165*E2_tabla_vida!$X$128)*E2_tabla_vida!$P$128,EXP(-C165*E2_tabla_vida!$X$129)*E2_tabla_vida!$P$129,EXP(-C165*E2_tabla_vida!$X$130)*E2_tabla_vida!$P$130,EXP(-C165*E2_tabla_vida!$X$131)*E2_tabla_vida!$P$131,EXP(-C165*E2_tabla_vida!$X$132)*E2_tabla_vida!$P$132,EXP(-C165*E2_tabla_vida!$X$133)*E2_tabla_vida!$P$133,EXP(-C165*E2_tabla_vida!$X$134)*E2_tabla_vida!$P$134,EXP(-C165*E2_tabla_vida!$X$135)*E2_tabla_vida!$P$135,EXP(-C165*E2_tabla_vida!$X$136)*E2_tabla_vida!$P$136,EXP(-C165*E2_tabla_vida!$X$137)*E2_tabla_vida!$P$137,EXP(-C165*E2_tabla_vida!$X$138)*E2_tabla_vida!$P$138,EXP(-C165*E2_tabla_vida!$X$139)*E2_tabla_vida!$P$139,EXP(-C165*E2_tabla_vida!$X$140)*E2_tabla_vida!$P$140,EXP(-C165*E2_tabla_vida!$X$141)*E2_tabla_vida!$P$141,EXP(-C165*E2_tabla_vida!$X$142)*E2_tabla_vida!$P$142,EXP(-C165*E2_tabla_vida!$X$143)*E2_tabla_vida!$P$143,EXP(-C165*E2_tabla_vida!$X$144)*E2_tabla_vida!$P$144,EXP(-C165*E2_tabla_vida!$X$145)*E2_tabla_vida!$P$145,EXP(-C165*E2_tabla_vida!$X$146)*E2_tabla_vida!$P$146,EXP(-C165*E2_tabla_vida!$X$147)*E2_tabla_vida!$P$147,EXP(-C165*E2_tabla_vida!$X$148)*E2_tabla_vida!$P$148,EXP(-C165*E2_tabla_vida!$X$149)*E2_tabla_vida!$P$149,EXP(-C165*E2_tabla_vida!$X$150)*E2_tabla_vida!$P$150,EXP(-C165*E2_tabla_vida!$X$151)*E2_tabla_vida!$P$151,EXP(-C165*E2_tabla_vida!$X$152)*E2_tabla_vida!$P$152,EXP(-C165*E2_tabla_vida!$X$153)*E2_tabla_vida!$P$153,EXP(-C165*E2_tabla_vida!$X$154)*E2_tabla_vida!$P$154,EXP(-C165*E2_tabla_vida!$X$155)*E2_tabla_vida!$P$155,EXP(-C165*E2_tabla_vida!$X$156)*E2_tabla_vida!$P$156,EXP(-C165*E2_tabla_vida!$X$157)*E2_tabla_vida!$P$157,EXP(-C165*E2_tabla_vida!$X$158)*E2_tabla_vida!$P$158,EXP(-C165*E2_tabla_vida!$X$159)*E2_tabla_vida!$P$159,EXP(-C165*E2_tabla_vida!$X$160)*E2_tabla_vida!$P$160,EXP(-C165*E2_tabla_vida!$X$161)*E2_tabla_vida!$P$161,EXP(-C165*E2_tabla_vida!$X$162)*E2_tabla_vida!$P$162,EXP(-C165*E2_tabla_vida!$X$163)*E2_tabla_vida!$P$163,EXP(-C165*E2_tabla_vida!$X$164)*E2_tabla_vida!$P$164,EXP(-C165*E2_tabla_vida!$X$165)*E2_tabla_vida!$P$165,EXP(-C165*E2_tabla_vida!$X$166)*E2_tabla_vida!$P$166,EXP(-C165*E2_tabla_vida!$X$167)*E2_tabla_vida!$P$167,EXP(-C165*E2_tabla_vida!$X$168)*E2_tabla_vida!$P$168,EXP(-C165*E2_tabla_vida!$X$169)*E2_tabla_vida!$P$169)-1</x:f>
        <x:v>0.0000010955324747374817</x:v>
      </x:c>
      <x:c r="H165" s="24" t="n">
        <x:f>SUM(EXP(-D165*E2_tabla_vida!$X$128)*E2_tabla_vida!$P$128,EXP(-D165*E2_tabla_vida!$X$129)*E2_tabla_vida!$P$129,EXP(-D165*E2_tabla_vida!$X$130)*E2_tabla_vida!$P$130,EXP(-D165*E2_tabla_vida!$X$131)*E2_tabla_vida!$P$131,EXP(-D165*E2_tabla_vida!$X$132)*E2_tabla_vida!$P$132,EXP(-D165*E2_tabla_vida!$X$133)*E2_tabla_vida!$P$133,EXP(-D165*E2_tabla_vida!$X$134)*E2_tabla_vida!$P$134,EXP(-D165*E2_tabla_vida!$X$135)*E2_tabla_vida!$P$135,EXP(-D165*E2_tabla_vida!$X$136)*E2_tabla_vida!$P$136,EXP(-D165*E2_tabla_vida!$X$137)*E2_tabla_vida!$P$137,EXP(-D165*E2_tabla_vida!$X$138)*E2_tabla_vida!$P$138,EXP(-D165*E2_tabla_vida!$X$139)*E2_tabla_vida!$P$139,EXP(-D165*E2_tabla_vida!$X$140)*E2_tabla_vida!$P$140,EXP(-D165*E2_tabla_vida!$X$141)*E2_tabla_vida!$P$141,EXP(-D165*E2_tabla_vida!$X$142)*E2_tabla_vida!$P$142,EXP(-D165*E2_tabla_vida!$X$143)*E2_tabla_vida!$P$143,EXP(-D165*E2_tabla_vida!$X$144)*E2_tabla_vida!$P$144,EXP(-D165*E2_tabla_vida!$X$145)*E2_tabla_vida!$P$145,EXP(-D165*E2_tabla_vida!$X$146)*E2_tabla_vida!$P$146,EXP(-D165*E2_tabla_vida!$X$147)*E2_tabla_vida!$P$147,EXP(-D165*E2_tabla_vida!$X$148)*E2_tabla_vida!$P$148,EXP(-D165*E2_tabla_vida!$X$149)*E2_tabla_vida!$P$149,EXP(-D165*E2_tabla_vida!$X$150)*E2_tabla_vida!$P$150,EXP(-D165*E2_tabla_vida!$X$151)*E2_tabla_vida!$P$151,EXP(-D165*E2_tabla_vida!$X$152)*E2_tabla_vida!$P$152,EXP(-D165*E2_tabla_vida!$X$153)*E2_tabla_vida!$P$153,EXP(-D165*E2_tabla_vida!$X$154)*E2_tabla_vida!$P$154,EXP(-D165*E2_tabla_vida!$X$155)*E2_tabla_vida!$P$155,EXP(-D165*E2_tabla_vida!$X$156)*E2_tabla_vida!$P$156,EXP(-D165*E2_tabla_vida!$X$157)*E2_tabla_vida!$P$157,EXP(-D165*E2_tabla_vida!$X$158)*E2_tabla_vida!$P$158,EXP(-D165*E2_tabla_vida!$X$159)*E2_tabla_vida!$P$159,EXP(-D165*E2_tabla_vida!$X$160)*E2_tabla_vida!$P$160,EXP(-D165*E2_tabla_vida!$X$161)*E2_tabla_vida!$P$161,EXP(-D165*E2_tabla_vida!$X$162)*E2_tabla_vida!$P$162,EXP(-D165*E2_tabla_vida!$X$163)*E2_tabla_vida!$P$163,EXP(-D165*E2_tabla_vida!$X$164)*E2_tabla_vida!$P$164,EXP(-D165*E2_tabla_vida!$X$165)*E2_tabla_vida!$P$165,EXP(-D165*E2_tabla_vida!$X$166)*E2_tabla_vida!$P$166,EXP(-D165*E2_tabla_vida!$X$167)*E2_tabla_vida!$P$167,EXP(-D165*E2_tabla_vida!$X$168)*E2_tabla_vida!$P$168,EXP(-D165*E2_tabla_vida!$X$169)*E2_tabla_vida!$P$169)-1</x:f>
        <x:v>-3.692075567496289e-8</x:v>
      </x:c>
    </x:row>
    <x:row r="166" ht="19" customHeight="1">
      <x:c r="A166" s="2" t="str">
        <x:v>BB_L0</x:v>
      </x:c>
      <x:c r="B166" s="2" t="n">
        <x:v>26</x:v>
      </x:c>
      <x:c r="C166" s="22" t="n">
        <x:f>IF(F165&gt;0,E165,C165)</x:f>
        <x:v>0.26216132938861847</x:v>
      </x:c>
      <x:c r="D166" s="22" t="n">
        <x:f>IF(F165&gt;0,D165,E165)</x:f>
        <x:v>0.26216137409210205</x:v>
      </x:c>
      <x:c r="E166" s="22" t="n">
        <x:f>AVERAGE(C166:D166)</x:f>
        <x:v>0.26216135174036026</x:v>
      </x:c>
      <x:c r="F166" s="24" t="n">
        <x:f>SUM(EXP(-E166*E2_tabla_vida!$X$128)*E2_tabla_vida!$P$128,EXP(-E166*E2_tabla_vida!$X$129)*E2_tabla_vida!$P$129,EXP(-E166*E2_tabla_vida!$X$130)*E2_tabla_vida!$P$130,EXP(-E166*E2_tabla_vida!$X$131)*E2_tabla_vida!$P$131,EXP(-E166*E2_tabla_vida!$X$132)*E2_tabla_vida!$P$132,EXP(-E166*E2_tabla_vida!$X$133)*E2_tabla_vida!$P$133,EXP(-E166*E2_tabla_vida!$X$134)*E2_tabla_vida!$P$134,EXP(-E166*E2_tabla_vida!$X$135)*E2_tabla_vida!$P$135,EXP(-E166*E2_tabla_vida!$X$136)*E2_tabla_vida!$P$136,EXP(-E166*E2_tabla_vida!$X$137)*E2_tabla_vida!$P$137,EXP(-E166*E2_tabla_vida!$X$138)*E2_tabla_vida!$P$138,EXP(-E166*E2_tabla_vida!$X$139)*E2_tabla_vida!$P$139,EXP(-E166*E2_tabla_vida!$X$140)*E2_tabla_vida!$P$140,EXP(-E166*E2_tabla_vida!$X$141)*E2_tabla_vida!$P$141,EXP(-E166*E2_tabla_vida!$X$142)*E2_tabla_vida!$P$142,EXP(-E166*E2_tabla_vida!$X$143)*E2_tabla_vida!$P$143,EXP(-E166*E2_tabla_vida!$X$144)*E2_tabla_vida!$P$144,EXP(-E166*E2_tabla_vida!$X$145)*E2_tabla_vida!$P$145,EXP(-E166*E2_tabla_vida!$X$146)*E2_tabla_vida!$P$146,EXP(-E166*E2_tabla_vida!$X$147)*E2_tabla_vida!$P$147,EXP(-E166*E2_tabla_vida!$X$148)*E2_tabla_vida!$P$148,EXP(-E166*E2_tabla_vida!$X$149)*E2_tabla_vida!$P$149,EXP(-E166*E2_tabla_vida!$X$150)*E2_tabla_vida!$P$150,EXP(-E166*E2_tabla_vida!$X$151)*E2_tabla_vida!$P$151,EXP(-E166*E2_tabla_vida!$X$152)*E2_tabla_vida!$P$152,EXP(-E166*E2_tabla_vida!$X$153)*E2_tabla_vida!$P$153,EXP(-E166*E2_tabla_vida!$X$154)*E2_tabla_vida!$P$154,EXP(-E166*E2_tabla_vida!$X$155)*E2_tabla_vida!$P$155,EXP(-E166*E2_tabla_vida!$X$156)*E2_tabla_vida!$P$156,EXP(-E166*E2_tabla_vida!$X$157)*E2_tabla_vida!$P$157,EXP(-E166*E2_tabla_vida!$X$158)*E2_tabla_vida!$P$158,EXP(-E166*E2_tabla_vida!$X$159)*E2_tabla_vida!$P$159,EXP(-E166*E2_tabla_vida!$X$160)*E2_tabla_vida!$P$160,EXP(-E166*E2_tabla_vida!$X$161)*E2_tabla_vida!$P$161,EXP(-E166*E2_tabla_vida!$X$162)*E2_tabla_vida!$P$162,EXP(-E166*E2_tabla_vida!$X$163)*E2_tabla_vida!$P$163,EXP(-E166*E2_tabla_vida!$X$164)*E2_tabla_vida!$P$164,EXP(-E166*E2_tabla_vida!$X$165)*E2_tabla_vida!$P$165,EXP(-E166*E2_tabla_vida!$X$166)*E2_tabla_vida!$P$166,EXP(-E166*E2_tabla_vida!$X$167)*E2_tabla_vida!$P$167,EXP(-E166*E2_tabla_vida!$X$168)*E2_tabla_vida!$P$168,EXP(-E166*E2_tabla_vida!$X$169)*E2_tabla_vida!$P$169)-1</x:f>
        <x:v>2.461924228924772e-7</x:v>
      </x:c>
      <x:c r="G166" s="24" t="n">
        <x:f>SUM(EXP(-C166*E2_tabla_vida!$X$128)*E2_tabla_vida!$P$128,EXP(-C166*E2_tabla_vida!$X$129)*E2_tabla_vida!$P$129,EXP(-C166*E2_tabla_vida!$X$130)*E2_tabla_vida!$P$130,EXP(-C166*E2_tabla_vida!$X$131)*E2_tabla_vida!$P$131,EXP(-C166*E2_tabla_vida!$X$132)*E2_tabla_vida!$P$132,EXP(-C166*E2_tabla_vida!$X$133)*E2_tabla_vida!$P$133,EXP(-C166*E2_tabla_vida!$X$134)*E2_tabla_vida!$P$134,EXP(-C166*E2_tabla_vida!$X$135)*E2_tabla_vida!$P$135,EXP(-C166*E2_tabla_vida!$X$136)*E2_tabla_vida!$P$136,EXP(-C166*E2_tabla_vida!$X$137)*E2_tabla_vida!$P$137,EXP(-C166*E2_tabla_vida!$X$138)*E2_tabla_vida!$P$138,EXP(-C166*E2_tabla_vida!$X$139)*E2_tabla_vida!$P$139,EXP(-C166*E2_tabla_vida!$X$140)*E2_tabla_vida!$P$140,EXP(-C166*E2_tabla_vida!$X$141)*E2_tabla_vida!$P$141,EXP(-C166*E2_tabla_vida!$X$142)*E2_tabla_vida!$P$142,EXP(-C166*E2_tabla_vida!$X$143)*E2_tabla_vida!$P$143,EXP(-C166*E2_tabla_vida!$X$144)*E2_tabla_vida!$P$144,EXP(-C166*E2_tabla_vida!$X$145)*E2_tabla_vida!$P$145,EXP(-C166*E2_tabla_vida!$X$146)*E2_tabla_vida!$P$146,EXP(-C166*E2_tabla_vida!$X$147)*E2_tabla_vida!$P$147,EXP(-C166*E2_tabla_vida!$X$148)*E2_tabla_vida!$P$148,EXP(-C166*E2_tabla_vida!$X$149)*E2_tabla_vida!$P$149,EXP(-C166*E2_tabla_vida!$X$150)*E2_tabla_vida!$P$150,EXP(-C166*E2_tabla_vida!$X$151)*E2_tabla_vida!$P$151,EXP(-C166*E2_tabla_vida!$X$152)*E2_tabla_vida!$P$152,EXP(-C166*E2_tabla_vida!$X$153)*E2_tabla_vida!$P$153,EXP(-C166*E2_tabla_vida!$X$154)*E2_tabla_vida!$P$154,EXP(-C166*E2_tabla_vida!$X$155)*E2_tabla_vida!$P$155,EXP(-C166*E2_tabla_vida!$X$156)*E2_tabla_vida!$P$156,EXP(-C166*E2_tabla_vida!$X$157)*E2_tabla_vida!$P$157,EXP(-C166*E2_tabla_vida!$X$158)*E2_tabla_vida!$P$158,EXP(-C166*E2_tabla_vida!$X$159)*E2_tabla_vida!$P$159,EXP(-C166*E2_tabla_vida!$X$160)*E2_tabla_vida!$P$160,EXP(-C166*E2_tabla_vida!$X$161)*E2_tabla_vida!$P$161,EXP(-C166*E2_tabla_vida!$X$162)*E2_tabla_vida!$P$162,EXP(-C166*E2_tabla_vida!$X$163)*E2_tabla_vida!$P$163,EXP(-C166*E2_tabla_vida!$X$164)*E2_tabla_vida!$P$164,EXP(-C166*E2_tabla_vida!$X$165)*E2_tabla_vida!$P$165,EXP(-C166*E2_tabla_vida!$X$166)*E2_tabla_vida!$P$166,EXP(-C166*E2_tabla_vida!$X$167)*E2_tabla_vida!$P$167,EXP(-C166*E2_tabla_vida!$X$168)*E2_tabla_vida!$P$168,EXP(-C166*E2_tabla_vida!$X$169)*E2_tabla_vida!$P$169)-1</x:f>
        <x:v>5.293056870581125e-7</x:v>
      </x:c>
      <x:c r="H166" s="24" t="n">
        <x:f>SUM(EXP(-D166*E2_tabla_vida!$X$128)*E2_tabla_vida!$P$128,EXP(-D166*E2_tabla_vida!$X$129)*E2_tabla_vida!$P$129,EXP(-D166*E2_tabla_vida!$X$130)*E2_tabla_vida!$P$130,EXP(-D166*E2_tabla_vida!$X$131)*E2_tabla_vida!$P$131,EXP(-D166*E2_tabla_vida!$X$132)*E2_tabla_vida!$P$132,EXP(-D166*E2_tabla_vida!$X$133)*E2_tabla_vida!$P$133,EXP(-D166*E2_tabla_vida!$X$134)*E2_tabla_vida!$P$134,EXP(-D166*E2_tabla_vida!$X$135)*E2_tabla_vida!$P$135,EXP(-D166*E2_tabla_vida!$X$136)*E2_tabla_vida!$P$136,EXP(-D166*E2_tabla_vida!$X$137)*E2_tabla_vida!$P$137,EXP(-D166*E2_tabla_vida!$X$138)*E2_tabla_vida!$P$138,EXP(-D166*E2_tabla_vida!$X$139)*E2_tabla_vida!$P$139,EXP(-D166*E2_tabla_vida!$X$140)*E2_tabla_vida!$P$140,EXP(-D166*E2_tabla_vida!$X$141)*E2_tabla_vida!$P$141,EXP(-D166*E2_tabla_vida!$X$142)*E2_tabla_vida!$P$142,EXP(-D166*E2_tabla_vida!$X$143)*E2_tabla_vida!$P$143,EXP(-D166*E2_tabla_vida!$X$144)*E2_tabla_vida!$P$144,EXP(-D166*E2_tabla_vida!$X$145)*E2_tabla_vida!$P$145,EXP(-D166*E2_tabla_vida!$X$146)*E2_tabla_vida!$P$146,EXP(-D166*E2_tabla_vida!$X$147)*E2_tabla_vida!$P$147,EXP(-D166*E2_tabla_vida!$X$148)*E2_tabla_vida!$P$148,EXP(-D166*E2_tabla_vida!$X$149)*E2_tabla_vida!$P$149,EXP(-D166*E2_tabla_vida!$X$150)*E2_tabla_vida!$P$150,EXP(-D166*E2_tabla_vida!$X$151)*E2_tabla_vida!$P$151,EXP(-D166*E2_tabla_vida!$X$152)*E2_tabla_vida!$P$152,EXP(-D166*E2_tabla_vida!$X$153)*E2_tabla_vida!$P$153,EXP(-D166*E2_tabla_vida!$X$154)*E2_tabla_vida!$P$154,EXP(-D166*E2_tabla_vida!$X$155)*E2_tabla_vida!$P$155,EXP(-D166*E2_tabla_vida!$X$156)*E2_tabla_vida!$P$156,EXP(-D166*E2_tabla_vida!$X$157)*E2_tabla_vida!$P$157,EXP(-D166*E2_tabla_vida!$X$158)*E2_tabla_vida!$P$158,EXP(-D166*E2_tabla_vida!$X$159)*E2_tabla_vida!$P$159,EXP(-D166*E2_tabla_vida!$X$160)*E2_tabla_vida!$P$160,EXP(-D166*E2_tabla_vida!$X$161)*E2_tabla_vida!$P$161,EXP(-D166*E2_tabla_vida!$X$162)*E2_tabla_vida!$P$162,EXP(-D166*E2_tabla_vida!$X$163)*E2_tabla_vida!$P$163,EXP(-D166*E2_tabla_vida!$X$164)*E2_tabla_vida!$P$164,EXP(-D166*E2_tabla_vida!$X$165)*E2_tabla_vida!$P$165,EXP(-D166*E2_tabla_vida!$X$166)*E2_tabla_vida!$P$166,EXP(-D166*E2_tabla_vida!$X$167)*E2_tabla_vida!$P$167,EXP(-D166*E2_tabla_vida!$X$168)*E2_tabla_vida!$P$168,EXP(-D166*E2_tabla_vida!$X$169)*E2_tabla_vida!$P$169)-1</x:f>
        <x:v>-3.692075567496289e-8</x:v>
      </x:c>
    </x:row>
    <x:row r="167" ht="19" customHeight="1">
      <x:c r="A167" s="2" t="str">
        <x:v>BB_L0</x:v>
      </x:c>
      <x:c r="B167" s="2" t="n">
        <x:v>27</x:v>
      </x:c>
      <x:c r="C167" s="22" t="n">
        <x:f>IF(F166&gt;0,E166,C166)</x:f>
        <x:v>0.26216135174036026</x:v>
      </x:c>
      <x:c r="D167" s="22" t="n">
        <x:f>IF(F166&gt;0,D166,E166)</x:f>
        <x:v>0.26216137409210205</x:v>
      </x:c>
      <x:c r="E167" s="22" t="n">
        <x:f>AVERAGE(C167:D167)</x:f>
        <x:v>0.26216136291623116</x:v>
      </x:c>
      <x:c r="F167" s="24" t="n">
        <x:f>SUM(EXP(-E167*E2_tabla_vida!$X$128)*E2_tabla_vida!$P$128,EXP(-E167*E2_tabla_vida!$X$129)*E2_tabla_vida!$P$129,EXP(-E167*E2_tabla_vida!$X$130)*E2_tabla_vida!$P$130,EXP(-E167*E2_tabla_vida!$X$131)*E2_tabla_vida!$P$131,EXP(-E167*E2_tabla_vida!$X$132)*E2_tabla_vida!$P$132,EXP(-E167*E2_tabla_vida!$X$133)*E2_tabla_vida!$P$133,EXP(-E167*E2_tabla_vida!$X$134)*E2_tabla_vida!$P$134,EXP(-E167*E2_tabla_vida!$X$135)*E2_tabla_vida!$P$135,EXP(-E167*E2_tabla_vida!$X$136)*E2_tabla_vida!$P$136,EXP(-E167*E2_tabla_vida!$X$137)*E2_tabla_vida!$P$137,EXP(-E167*E2_tabla_vida!$X$138)*E2_tabla_vida!$P$138,EXP(-E167*E2_tabla_vida!$X$139)*E2_tabla_vida!$P$139,EXP(-E167*E2_tabla_vida!$X$140)*E2_tabla_vida!$P$140,EXP(-E167*E2_tabla_vida!$X$141)*E2_tabla_vida!$P$141,EXP(-E167*E2_tabla_vida!$X$142)*E2_tabla_vida!$P$142,EXP(-E167*E2_tabla_vida!$X$143)*E2_tabla_vida!$P$143,EXP(-E167*E2_tabla_vida!$X$144)*E2_tabla_vida!$P$144,EXP(-E167*E2_tabla_vida!$X$145)*E2_tabla_vida!$P$145,EXP(-E167*E2_tabla_vida!$X$146)*E2_tabla_vida!$P$146,EXP(-E167*E2_tabla_vida!$X$147)*E2_tabla_vida!$P$147,EXP(-E167*E2_tabla_vida!$X$148)*E2_tabla_vida!$P$148,EXP(-E167*E2_tabla_vida!$X$149)*E2_tabla_vida!$P$149,EXP(-E167*E2_tabla_vida!$X$150)*E2_tabla_vida!$P$150,EXP(-E167*E2_tabla_vida!$X$151)*E2_tabla_vida!$P$151,EXP(-E167*E2_tabla_vida!$X$152)*E2_tabla_vida!$P$152,EXP(-E167*E2_tabla_vida!$X$153)*E2_tabla_vida!$P$153,EXP(-E167*E2_tabla_vida!$X$154)*E2_tabla_vida!$P$154,EXP(-E167*E2_tabla_vida!$X$155)*E2_tabla_vida!$P$155,EXP(-E167*E2_tabla_vida!$X$156)*E2_tabla_vida!$P$156,EXP(-E167*E2_tabla_vida!$X$157)*E2_tabla_vida!$P$157,EXP(-E167*E2_tabla_vida!$X$158)*E2_tabla_vida!$P$158,EXP(-E167*E2_tabla_vida!$X$159)*E2_tabla_vida!$P$159,EXP(-E167*E2_tabla_vida!$X$160)*E2_tabla_vida!$P$160,EXP(-E167*E2_tabla_vida!$X$161)*E2_tabla_vida!$P$161,EXP(-E167*E2_tabla_vida!$X$162)*E2_tabla_vida!$P$162,EXP(-E167*E2_tabla_vida!$X$163)*E2_tabla_vida!$P$163,EXP(-E167*E2_tabla_vida!$X$164)*E2_tabla_vida!$P$164,EXP(-E167*E2_tabla_vida!$X$165)*E2_tabla_vida!$P$165,EXP(-E167*E2_tabla_vida!$X$166)*E2_tabla_vida!$P$166,EXP(-E167*E2_tabla_vida!$X$167)*E2_tabla_vida!$P$167,EXP(-E167*E2_tabla_vida!$X$168)*E2_tabla_vida!$P$168,EXP(-E167*E2_tabla_vida!$X$169)*E2_tabla_vida!$P$169)-1</x:f>
        <x:v>1.0463582289510498e-7</x:v>
      </x:c>
      <x:c r="G167" s="24" t="n">
        <x:f>SUM(EXP(-C167*E2_tabla_vida!$X$128)*E2_tabla_vida!$P$128,EXP(-C167*E2_tabla_vida!$X$129)*E2_tabla_vida!$P$129,EXP(-C167*E2_tabla_vida!$X$130)*E2_tabla_vida!$P$130,EXP(-C167*E2_tabla_vida!$X$131)*E2_tabla_vida!$P$131,EXP(-C167*E2_tabla_vida!$X$132)*E2_tabla_vida!$P$132,EXP(-C167*E2_tabla_vida!$X$133)*E2_tabla_vida!$P$133,EXP(-C167*E2_tabla_vida!$X$134)*E2_tabla_vida!$P$134,EXP(-C167*E2_tabla_vida!$X$135)*E2_tabla_vida!$P$135,EXP(-C167*E2_tabla_vida!$X$136)*E2_tabla_vida!$P$136,EXP(-C167*E2_tabla_vida!$X$137)*E2_tabla_vida!$P$137,EXP(-C167*E2_tabla_vida!$X$138)*E2_tabla_vida!$P$138,EXP(-C167*E2_tabla_vida!$X$139)*E2_tabla_vida!$P$139,EXP(-C167*E2_tabla_vida!$X$140)*E2_tabla_vida!$P$140,EXP(-C167*E2_tabla_vida!$X$141)*E2_tabla_vida!$P$141,EXP(-C167*E2_tabla_vida!$X$142)*E2_tabla_vida!$P$142,EXP(-C167*E2_tabla_vida!$X$143)*E2_tabla_vida!$P$143,EXP(-C167*E2_tabla_vida!$X$144)*E2_tabla_vida!$P$144,EXP(-C167*E2_tabla_vida!$X$145)*E2_tabla_vida!$P$145,EXP(-C167*E2_tabla_vida!$X$146)*E2_tabla_vida!$P$146,EXP(-C167*E2_tabla_vida!$X$147)*E2_tabla_vida!$P$147,EXP(-C167*E2_tabla_vida!$X$148)*E2_tabla_vida!$P$148,EXP(-C167*E2_tabla_vida!$X$149)*E2_tabla_vida!$P$149,EXP(-C167*E2_tabla_vida!$X$150)*E2_tabla_vida!$P$150,EXP(-C167*E2_tabla_vida!$X$151)*E2_tabla_vida!$P$151,EXP(-C167*E2_tabla_vida!$X$152)*E2_tabla_vida!$P$152,EXP(-C167*E2_tabla_vida!$X$153)*E2_tabla_vida!$P$153,EXP(-C167*E2_tabla_vida!$X$154)*E2_tabla_vida!$P$154,EXP(-C167*E2_tabla_vida!$X$155)*E2_tabla_vida!$P$155,EXP(-C167*E2_tabla_vida!$X$156)*E2_tabla_vida!$P$156,EXP(-C167*E2_tabla_vida!$X$157)*E2_tabla_vida!$P$157,EXP(-C167*E2_tabla_vida!$X$158)*E2_tabla_vida!$P$158,EXP(-C167*E2_tabla_vida!$X$159)*E2_tabla_vida!$P$159,EXP(-C167*E2_tabla_vida!$X$160)*E2_tabla_vida!$P$160,EXP(-C167*E2_tabla_vida!$X$161)*E2_tabla_vida!$P$161,EXP(-C167*E2_tabla_vida!$X$162)*E2_tabla_vida!$P$162,EXP(-C167*E2_tabla_vida!$X$163)*E2_tabla_vida!$P$163,EXP(-C167*E2_tabla_vida!$X$164)*E2_tabla_vida!$P$164,EXP(-C167*E2_tabla_vida!$X$165)*E2_tabla_vida!$P$165,EXP(-C167*E2_tabla_vida!$X$166)*E2_tabla_vida!$P$166,EXP(-C167*E2_tabla_vida!$X$167)*E2_tabla_vida!$P$167,EXP(-C167*E2_tabla_vida!$X$168)*E2_tabla_vida!$P$168,EXP(-C167*E2_tabla_vida!$X$169)*E2_tabla_vida!$P$169)-1</x:f>
        <x:v>2.461924228924772e-7</x:v>
      </x:c>
      <x:c r="H167" s="24" t="n">
        <x:f>SUM(EXP(-D167*E2_tabla_vida!$X$128)*E2_tabla_vida!$P$128,EXP(-D167*E2_tabla_vida!$X$129)*E2_tabla_vida!$P$129,EXP(-D167*E2_tabla_vida!$X$130)*E2_tabla_vida!$P$130,EXP(-D167*E2_tabla_vida!$X$131)*E2_tabla_vida!$P$131,EXP(-D167*E2_tabla_vida!$X$132)*E2_tabla_vida!$P$132,EXP(-D167*E2_tabla_vida!$X$133)*E2_tabla_vida!$P$133,EXP(-D167*E2_tabla_vida!$X$134)*E2_tabla_vida!$P$134,EXP(-D167*E2_tabla_vida!$X$135)*E2_tabla_vida!$P$135,EXP(-D167*E2_tabla_vida!$X$136)*E2_tabla_vida!$P$136,EXP(-D167*E2_tabla_vida!$X$137)*E2_tabla_vida!$P$137,EXP(-D167*E2_tabla_vida!$X$138)*E2_tabla_vida!$P$138,EXP(-D167*E2_tabla_vida!$X$139)*E2_tabla_vida!$P$139,EXP(-D167*E2_tabla_vida!$X$140)*E2_tabla_vida!$P$140,EXP(-D167*E2_tabla_vida!$X$141)*E2_tabla_vida!$P$141,EXP(-D167*E2_tabla_vida!$X$142)*E2_tabla_vida!$P$142,EXP(-D167*E2_tabla_vida!$X$143)*E2_tabla_vida!$P$143,EXP(-D167*E2_tabla_vida!$X$144)*E2_tabla_vida!$P$144,EXP(-D167*E2_tabla_vida!$X$145)*E2_tabla_vida!$P$145,EXP(-D167*E2_tabla_vida!$X$146)*E2_tabla_vida!$P$146,EXP(-D167*E2_tabla_vida!$X$147)*E2_tabla_vida!$P$147,EXP(-D167*E2_tabla_vida!$X$148)*E2_tabla_vida!$P$148,EXP(-D167*E2_tabla_vida!$X$149)*E2_tabla_vida!$P$149,EXP(-D167*E2_tabla_vida!$X$150)*E2_tabla_vida!$P$150,EXP(-D167*E2_tabla_vida!$X$151)*E2_tabla_vida!$P$151,EXP(-D167*E2_tabla_vida!$X$152)*E2_tabla_vida!$P$152,EXP(-D167*E2_tabla_vida!$X$153)*E2_tabla_vida!$P$153,EXP(-D167*E2_tabla_vida!$X$154)*E2_tabla_vida!$P$154,EXP(-D167*E2_tabla_vida!$X$155)*E2_tabla_vida!$P$155,EXP(-D167*E2_tabla_vida!$X$156)*E2_tabla_vida!$P$156,EXP(-D167*E2_tabla_vida!$X$157)*E2_tabla_vida!$P$157,EXP(-D167*E2_tabla_vida!$X$158)*E2_tabla_vida!$P$158,EXP(-D167*E2_tabla_vida!$X$159)*E2_tabla_vida!$P$159,EXP(-D167*E2_tabla_vida!$X$160)*E2_tabla_vida!$P$160,EXP(-D167*E2_tabla_vida!$X$161)*E2_tabla_vida!$P$161,EXP(-D167*E2_tabla_vida!$X$162)*E2_tabla_vida!$P$162,EXP(-D167*E2_tabla_vida!$X$163)*E2_tabla_vida!$P$163,EXP(-D167*E2_tabla_vida!$X$164)*E2_tabla_vida!$P$164,EXP(-D167*E2_tabla_vida!$X$165)*E2_tabla_vida!$P$165,EXP(-D167*E2_tabla_vida!$X$166)*E2_tabla_vida!$P$166,EXP(-D167*E2_tabla_vida!$X$167)*E2_tabla_vida!$P$167,EXP(-D167*E2_tabla_vida!$X$168)*E2_tabla_vida!$P$168,EXP(-D167*E2_tabla_vida!$X$169)*E2_tabla_vida!$P$169)-1</x:f>
        <x:v>-3.692075567496289e-8</x:v>
      </x:c>
    </x:row>
    <x:row r="168" ht="19" customHeight="1">
      <x:c r="A168" s="2" t="str">
        <x:v>BB_L0</x:v>
      </x:c>
      <x:c r="B168" s="2" t="n">
        <x:v>28</x:v>
      </x:c>
      <x:c r="C168" s="22" t="n">
        <x:f>IF(F167&gt;0,E167,C167)</x:f>
        <x:v>0.26216136291623116</x:v>
      </x:c>
      <x:c r="D168" s="22" t="n">
        <x:f>IF(F167&gt;0,D167,E167)</x:f>
        <x:v>0.26216137409210205</x:v>
      </x:c>
      <x:c r="E168" s="22" t="n">
        <x:f>AVERAGE(C168:D168)</x:f>
        <x:v>0.2621613685041666</x:v>
      </x:c>
      <x:c r="F168" s="24" t="n">
        <x:f>SUM(EXP(-E168*E2_tabla_vida!$X$128)*E2_tabla_vida!$P$128,EXP(-E168*E2_tabla_vida!$X$129)*E2_tabla_vida!$P$129,EXP(-E168*E2_tabla_vida!$X$130)*E2_tabla_vida!$P$130,EXP(-E168*E2_tabla_vida!$X$131)*E2_tabla_vida!$P$131,EXP(-E168*E2_tabla_vida!$X$132)*E2_tabla_vida!$P$132,EXP(-E168*E2_tabla_vida!$X$133)*E2_tabla_vida!$P$133,EXP(-E168*E2_tabla_vida!$X$134)*E2_tabla_vida!$P$134,EXP(-E168*E2_tabla_vida!$X$135)*E2_tabla_vida!$P$135,EXP(-E168*E2_tabla_vida!$X$136)*E2_tabla_vida!$P$136,EXP(-E168*E2_tabla_vida!$X$137)*E2_tabla_vida!$P$137,EXP(-E168*E2_tabla_vida!$X$138)*E2_tabla_vida!$P$138,EXP(-E168*E2_tabla_vida!$X$139)*E2_tabla_vida!$P$139,EXP(-E168*E2_tabla_vida!$X$140)*E2_tabla_vida!$P$140,EXP(-E168*E2_tabla_vida!$X$141)*E2_tabla_vida!$P$141,EXP(-E168*E2_tabla_vida!$X$142)*E2_tabla_vida!$P$142,EXP(-E168*E2_tabla_vida!$X$143)*E2_tabla_vida!$P$143,EXP(-E168*E2_tabla_vida!$X$144)*E2_tabla_vida!$P$144,EXP(-E168*E2_tabla_vida!$X$145)*E2_tabla_vida!$P$145,EXP(-E168*E2_tabla_vida!$X$146)*E2_tabla_vida!$P$146,EXP(-E168*E2_tabla_vida!$X$147)*E2_tabla_vida!$P$147,EXP(-E168*E2_tabla_vida!$X$148)*E2_tabla_vida!$P$148,EXP(-E168*E2_tabla_vida!$X$149)*E2_tabla_vida!$P$149,EXP(-E168*E2_tabla_vida!$X$150)*E2_tabla_vida!$P$150,EXP(-E168*E2_tabla_vida!$X$151)*E2_tabla_vida!$P$151,EXP(-E168*E2_tabla_vida!$X$152)*E2_tabla_vida!$P$152,EXP(-E168*E2_tabla_vida!$X$153)*E2_tabla_vida!$P$153,EXP(-E168*E2_tabla_vida!$X$154)*E2_tabla_vida!$P$154,EXP(-E168*E2_tabla_vida!$X$155)*E2_tabla_vida!$P$155,EXP(-E168*E2_tabla_vida!$X$156)*E2_tabla_vida!$P$156,EXP(-E168*E2_tabla_vida!$X$157)*E2_tabla_vida!$P$157,EXP(-E168*E2_tabla_vida!$X$158)*E2_tabla_vida!$P$158,EXP(-E168*E2_tabla_vida!$X$159)*E2_tabla_vida!$P$159,EXP(-E168*E2_tabla_vida!$X$160)*E2_tabla_vida!$P$160,EXP(-E168*E2_tabla_vida!$X$161)*E2_tabla_vida!$P$161,EXP(-E168*E2_tabla_vida!$X$162)*E2_tabla_vida!$P$162,EXP(-E168*E2_tabla_vida!$X$163)*E2_tabla_vida!$P$163,EXP(-E168*E2_tabla_vida!$X$164)*E2_tabla_vida!$P$164,EXP(-E168*E2_tabla_vida!$X$165)*E2_tabla_vida!$P$165,EXP(-E168*E2_tabla_vida!$X$166)*E2_tabla_vida!$P$166,EXP(-E168*E2_tabla_vida!$X$167)*E2_tabla_vida!$P$167,EXP(-E168*E2_tabla_vida!$X$168)*E2_tabla_vida!$P$168,EXP(-E168*E2_tabla_vida!$X$169)*E2_tabla_vida!$P$169)-1</x:f>
        <x:v>3.3857531001046937e-8</x:v>
      </x:c>
      <x:c r="G168" s="24" t="n">
        <x:f>SUM(EXP(-C168*E2_tabla_vida!$X$128)*E2_tabla_vida!$P$128,EXP(-C168*E2_tabla_vida!$X$129)*E2_tabla_vida!$P$129,EXP(-C168*E2_tabla_vida!$X$130)*E2_tabla_vida!$P$130,EXP(-C168*E2_tabla_vida!$X$131)*E2_tabla_vida!$P$131,EXP(-C168*E2_tabla_vida!$X$132)*E2_tabla_vida!$P$132,EXP(-C168*E2_tabla_vida!$X$133)*E2_tabla_vida!$P$133,EXP(-C168*E2_tabla_vida!$X$134)*E2_tabla_vida!$P$134,EXP(-C168*E2_tabla_vida!$X$135)*E2_tabla_vida!$P$135,EXP(-C168*E2_tabla_vida!$X$136)*E2_tabla_vida!$P$136,EXP(-C168*E2_tabla_vida!$X$137)*E2_tabla_vida!$P$137,EXP(-C168*E2_tabla_vida!$X$138)*E2_tabla_vida!$P$138,EXP(-C168*E2_tabla_vida!$X$139)*E2_tabla_vida!$P$139,EXP(-C168*E2_tabla_vida!$X$140)*E2_tabla_vida!$P$140,EXP(-C168*E2_tabla_vida!$X$141)*E2_tabla_vida!$P$141,EXP(-C168*E2_tabla_vida!$X$142)*E2_tabla_vida!$P$142,EXP(-C168*E2_tabla_vida!$X$143)*E2_tabla_vida!$P$143,EXP(-C168*E2_tabla_vida!$X$144)*E2_tabla_vida!$P$144,EXP(-C168*E2_tabla_vida!$X$145)*E2_tabla_vida!$P$145,EXP(-C168*E2_tabla_vida!$X$146)*E2_tabla_vida!$P$146,EXP(-C168*E2_tabla_vida!$X$147)*E2_tabla_vida!$P$147,EXP(-C168*E2_tabla_vida!$X$148)*E2_tabla_vida!$P$148,EXP(-C168*E2_tabla_vida!$X$149)*E2_tabla_vida!$P$149,EXP(-C168*E2_tabla_vida!$X$150)*E2_tabla_vida!$P$150,EXP(-C168*E2_tabla_vida!$X$151)*E2_tabla_vida!$P$151,EXP(-C168*E2_tabla_vida!$X$152)*E2_tabla_vida!$P$152,EXP(-C168*E2_tabla_vida!$X$153)*E2_tabla_vida!$P$153,EXP(-C168*E2_tabla_vida!$X$154)*E2_tabla_vida!$P$154,EXP(-C168*E2_tabla_vida!$X$155)*E2_tabla_vida!$P$155,EXP(-C168*E2_tabla_vida!$X$156)*E2_tabla_vida!$P$156,EXP(-C168*E2_tabla_vida!$X$157)*E2_tabla_vida!$P$157,EXP(-C168*E2_tabla_vida!$X$158)*E2_tabla_vida!$P$158,EXP(-C168*E2_tabla_vida!$X$159)*E2_tabla_vida!$P$159,EXP(-C168*E2_tabla_vida!$X$160)*E2_tabla_vida!$P$160,EXP(-C168*E2_tabla_vida!$X$161)*E2_tabla_vida!$P$161,EXP(-C168*E2_tabla_vida!$X$162)*E2_tabla_vida!$P$162,EXP(-C168*E2_tabla_vida!$X$163)*E2_tabla_vida!$P$163,EXP(-C168*E2_tabla_vida!$X$164)*E2_tabla_vida!$P$164,EXP(-C168*E2_tabla_vida!$X$165)*E2_tabla_vida!$P$165,EXP(-C168*E2_tabla_vida!$X$166)*E2_tabla_vida!$P$166,EXP(-C168*E2_tabla_vida!$X$167)*E2_tabla_vida!$P$167,EXP(-C168*E2_tabla_vida!$X$168)*E2_tabla_vida!$P$168,EXP(-C168*E2_tabla_vida!$X$169)*E2_tabla_vida!$P$169)-1</x:f>
        <x:v>1.0463582289510498e-7</x:v>
      </x:c>
      <x:c r="H168" s="24" t="n">
        <x:f>SUM(EXP(-D168*E2_tabla_vida!$X$128)*E2_tabla_vida!$P$128,EXP(-D168*E2_tabla_vida!$X$129)*E2_tabla_vida!$P$129,EXP(-D168*E2_tabla_vida!$X$130)*E2_tabla_vida!$P$130,EXP(-D168*E2_tabla_vida!$X$131)*E2_tabla_vida!$P$131,EXP(-D168*E2_tabla_vida!$X$132)*E2_tabla_vida!$P$132,EXP(-D168*E2_tabla_vida!$X$133)*E2_tabla_vida!$P$133,EXP(-D168*E2_tabla_vida!$X$134)*E2_tabla_vida!$P$134,EXP(-D168*E2_tabla_vida!$X$135)*E2_tabla_vida!$P$135,EXP(-D168*E2_tabla_vida!$X$136)*E2_tabla_vida!$P$136,EXP(-D168*E2_tabla_vida!$X$137)*E2_tabla_vida!$P$137,EXP(-D168*E2_tabla_vida!$X$138)*E2_tabla_vida!$P$138,EXP(-D168*E2_tabla_vida!$X$139)*E2_tabla_vida!$P$139,EXP(-D168*E2_tabla_vida!$X$140)*E2_tabla_vida!$P$140,EXP(-D168*E2_tabla_vida!$X$141)*E2_tabla_vida!$P$141,EXP(-D168*E2_tabla_vida!$X$142)*E2_tabla_vida!$P$142,EXP(-D168*E2_tabla_vida!$X$143)*E2_tabla_vida!$P$143,EXP(-D168*E2_tabla_vida!$X$144)*E2_tabla_vida!$P$144,EXP(-D168*E2_tabla_vida!$X$145)*E2_tabla_vida!$P$145,EXP(-D168*E2_tabla_vida!$X$146)*E2_tabla_vida!$P$146,EXP(-D168*E2_tabla_vida!$X$147)*E2_tabla_vida!$P$147,EXP(-D168*E2_tabla_vida!$X$148)*E2_tabla_vida!$P$148,EXP(-D168*E2_tabla_vida!$X$149)*E2_tabla_vida!$P$149,EXP(-D168*E2_tabla_vida!$X$150)*E2_tabla_vida!$P$150,EXP(-D168*E2_tabla_vida!$X$151)*E2_tabla_vida!$P$151,EXP(-D168*E2_tabla_vida!$X$152)*E2_tabla_vida!$P$152,EXP(-D168*E2_tabla_vida!$X$153)*E2_tabla_vida!$P$153,EXP(-D168*E2_tabla_vida!$X$154)*E2_tabla_vida!$P$154,EXP(-D168*E2_tabla_vida!$X$155)*E2_tabla_vida!$P$155,EXP(-D168*E2_tabla_vida!$X$156)*E2_tabla_vida!$P$156,EXP(-D168*E2_tabla_vida!$X$157)*E2_tabla_vida!$P$157,EXP(-D168*E2_tabla_vida!$X$158)*E2_tabla_vida!$P$158,EXP(-D168*E2_tabla_vida!$X$159)*E2_tabla_vida!$P$159,EXP(-D168*E2_tabla_vida!$X$160)*E2_tabla_vida!$P$160,EXP(-D168*E2_tabla_vida!$X$161)*E2_tabla_vida!$P$161,EXP(-D168*E2_tabla_vida!$X$162)*E2_tabla_vida!$P$162,EXP(-D168*E2_tabla_vida!$X$163)*E2_tabla_vida!$P$163,EXP(-D168*E2_tabla_vida!$X$164)*E2_tabla_vida!$P$164,EXP(-D168*E2_tabla_vida!$X$165)*E2_tabla_vida!$P$165,EXP(-D168*E2_tabla_vida!$X$166)*E2_tabla_vida!$P$166,EXP(-D168*E2_tabla_vida!$X$167)*E2_tabla_vida!$P$167,EXP(-D168*E2_tabla_vida!$X$168)*E2_tabla_vida!$P$168,EXP(-D168*E2_tabla_vida!$X$169)*E2_tabla_vida!$P$169)-1</x:f>
        <x:v>-3.692075567496289e-8</x:v>
      </x:c>
    </x:row>
    <x:row r="169" ht="19" customHeight="1">
      <x:c r="A169" s="2" t="str">
        <x:v>BB_L0</x:v>
      </x:c>
      <x:c r="B169" s="2" t="n">
        <x:v>29</x:v>
      </x:c>
      <x:c r="C169" s="22" t="n">
        <x:f>IF(F168&gt;0,E168,C168)</x:f>
        <x:v>0.2621613685041666</x:v>
      </x:c>
      <x:c r="D169" s="22" t="n">
        <x:f>IF(F168&gt;0,D168,E168)</x:f>
        <x:v>0.26216137409210205</x:v>
      </x:c>
      <x:c r="E169" s="22" t="n">
        <x:f>AVERAGE(C169:D169)</x:f>
        <x:v>0.2621613712981343</x:v>
      </x:c>
      <x:c r="F169" s="24" t="n">
        <x:f>SUM(EXP(-E169*E2_tabla_vida!$X$128)*E2_tabla_vida!$P$128,EXP(-E169*E2_tabla_vida!$X$129)*E2_tabla_vida!$P$129,EXP(-E169*E2_tabla_vida!$X$130)*E2_tabla_vida!$P$130,EXP(-E169*E2_tabla_vida!$X$131)*E2_tabla_vida!$P$131,EXP(-E169*E2_tabla_vida!$X$132)*E2_tabla_vida!$P$132,EXP(-E169*E2_tabla_vida!$X$133)*E2_tabla_vida!$P$133,EXP(-E169*E2_tabla_vida!$X$134)*E2_tabla_vida!$P$134,EXP(-E169*E2_tabla_vida!$X$135)*E2_tabla_vida!$P$135,EXP(-E169*E2_tabla_vida!$X$136)*E2_tabla_vida!$P$136,EXP(-E169*E2_tabla_vida!$X$137)*E2_tabla_vida!$P$137,EXP(-E169*E2_tabla_vida!$X$138)*E2_tabla_vida!$P$138,EXP(-E169*E2_tabla_vida!$X$139)*E2_tabla_vida!$P$139,EXP(-E169*E2_tabla_vida!$X$140)*E2_tabla_vida!$P$140,EXP(-E169*E2_tabla_vida!$X$141)*E2_tabla_vida!$P$141,EXP(-E169*E2_tabla_vida!$X$142)*E2_tabla_vida!$P$142,EXP(-E169*E2_tabla_vida!$X$143)*E2_tabla_vida!$P$143,EXP(-E169*E2_tabla_vida!$X$144)*E2_tabla_vida!$P$144,EXP(-E169*E2_tabla_vida!$X$145)*E2_tabla_vida!$P$145,EXP(-E169*E2_tabla_vida!$X$146)*E2_tabla_vida!$P$146,EXP(-E169*E2_tabla_vida!$X$147)*E2_tabla_vida!$P$147,EXP(-E169*E2_tabla_vida!$X$148)*E2_tabla_vida!$P$148,EXP(-E169*E2_tabla_vida!$X$149)*E2_tabla_vida!$P$149,EXP(-E169*E2_tabla_vida!$X$150)*E2_tabla_vida!$P$150,EXP(-E169*E2_tabla_vida!$X$151)*E2_tabla_vida!$P$151,EXP(-E169*E2_tabla_vida!$X$152)*E2_tabla_vida!$P$152,EXP(-E169*E2_tabla_vida!$X$153)*E2_tabla_vida!$P$153,EXP(-E169*E2_tabla_vida!$X$154)*E2_tabla_vida!$P$154,EXP(-E169*E2_tabla_vida!$X$155)*E2_tabla_vida!$P$155,EXP(-E169*E2_tabla_vida!$X$156)*E2_tabla_vida!$P$156,EXP(-E169*E2_tabla_vida!$X$157)*E2_tabla_vida!$P$157,EXP(-E169*E2_tabla_vida!$X$158)*E2_tabla_vida!$P$158,EXP(-E169*E2_tabla_vida!$X$159)*E2_tabla_vida!$P$159,EXP(-E169*E2_tabla_vida!$X$160)*E2_tabla_vida!$P$160,EXP(-E169*E2_tabla_vida!$X$161)*E2_tabla_vida!$P$161,EXP(-E169*E2_tabla_vida!$X$162)*E2_tabla_vida!$P$162,EXP(-E169*E2_tabla_vida!$X$163)*E2_tabla_vida!$P$163,EXP(-E169*E2_tabla_vida!$X$164)*E2_tabla_vida!$P$164,EXP(-E169*E2_tabla_vida!$X$165)*E2_tabla_vida!$P$165,EXP(-E169*E2_tabla_vida!$X$166)*E2_tabla_vida!$P$166,EXP(-E169*E2_tabla_vida!$X$167)*E2_tabla_vida!$P$167,EXP(-E169*E2_tabla_vida!$X$168)*E2_tabla_vida!$P$168,EXP(-E169*E2_tabla_vida!$X$169)*E2_tabla_vida!$P$169)-1</x:f>
        <x:v>-1.531613058602943e-9</x:v>
      </x:c>
      <x:c r="G169" s="24" t="n">
        <x:f>SUM(EXP(-C169*E2_tabla_vida!$X$128)*E2_tabla_vida!$P$128,EXP(-C169*E2_tabla_vida!$X$129)*E2_tabla_vida!$P$129,EXP(-C169*E2_tabla_vida!$X$130)*E2_tabla_vida!$P$130,EXP(-C169*E2_tabla_vida!$X$131)*E2_tabla_vida!$P$131,EXP(-C169*E2_tabla_vida!$X$132)*E2_tabla_vida!$P$132,EXP(-C169*E2_tabla_vida!$X$133)*E2_tabla_vida!$P$133,EXP(-C169*E2_tabla_vida!$X$134)*E2_tabla_vida!$P$134,EXP(-C169*E2_tabla_vida!$X$135)*E2_tabla_vida!$P$135,EXP(-C169*E2_tabla_vida!$X$136)*E2_tabla_vida!$P$136,EXP(-C169*E2_tabla_vida!$X$137)*E2_tabla_vida!$P$137,EXP(-C169*E2_tabla_vida!$X$138)*E2_tabla_vida!$P$138,EXP(-C169*E2_tabla_vida!$X$139)*E2_tabla_vida!$P$139,EXP(-C169*E2_tabla_vida!$X$140)*E2_tabla_vida!$P$140,EXP(-C169*E2_tabla_vida!$X$141)*E2_tabla_vida!$P$141,EXP(-C169*E2_tabla_vida!$X$142)*E2_tabla_vida!$P$142,EXP(-C169*E2_tabla_vida!$X$143)*E2_tabla_vida!$P$143,EXP(-C169*E2_tabla_vida!$X$144)*E2_tabla_vida!$P$144,EXP(-C169*E2_tabla_vida!$X$145)*E2_tabla_vida!$P$145,EXP(-C169*E2_tabla_vida!$X$146)*E2_tabla_vida!$P$146,EXP(-C169*E2_tabla_vida!$X$147)*E2_tabla_vida!$P$147,EXP(-C169*E2_tabla_vida!$X$148)*E2_tabla_vida!$P$148,EXP(-C169*E2_tabla_vida!$X$149)*E2_tabla_vida!$P$149,EXP(-C169*E2_tabla_vida!$X$150)*E2_tabla_vida!$P$150,EXP(-C169*E2_tabla_vida!$X$151)*E2_tabla_vida!$P$151,EXP(-C169*E2_tabla_vida!$X$152)*E2_tabla_vida!$P$152,EXP(-C169*E2_tabla_vida!$X$153)*E2_tabla_vida!$P$153,EXP(-C169*E2_tabla_vida!$X$154)*E2_tabla_vida!$P$154,EXP(-C169*E2_tabla_vida!$X$155)*E2_tabla_vida!$P$155,EXP(-C169*E2_tabla_vida!$X$156)*E2_tabla_vida!$P$156,EXP(-C169*E2_tabla_vida!$X$157)*E2_tabla_vida!$P$157,EXP(-C169*E2_tabla_vida!$X$158)*E2_tabla_vida!$P$158,EXP(-C169*E2_tabla_vida!$X$159)*E2_tabla_vida!$P$159,EXP(-C169*E2_tabla_vida!$X$160)*E2_tabla_vida!$P$160,EXP(-C169*E2_tabla_vida!$X$161)*E2_tabla_vida!$P$161,EXP(-C169*E2_tabla_vida!$X$162)*E2_tabla_vida!$P$162,EXP(-C169*E2_tabla_vida!$X$163)*E2_tabla_vida!$P$163,EXP(-C169*E2_tabla_vida!$X$164)*E2_tabla_vida!$P$164,EXP(-C169*E2_tabla_vida!$X$165)*E2_tabla_vida!$P$165,EXP(-C169*E2_tabla_vida!$X$166)*E2_tabla_vida!$P$166,EXP(-C169*E2_tabla_vida!$X$167)*E2_tabla_vida!$P$167,EXP(-C169*E2_tabla_vida!$X$168)*E2_tabla_vida!$P$168,EXP(-C169*E2_tabla_vida!$X$169)*E2_tabla_vida!$P$169)-1</x:f>
        <x:v>3.3857531001046937e-8</x:v>
      </x:c>
      <x:c r="H169" s="24" t="n">
        <x:f>SUM(EXP(-D169*E2_tabla_vida!$X$128)*E2_tabla_vida!$P$128,EXP(-D169*E2_tabla_vida!$X$129)*E2_tabla_vida!$P$129,EXP(-D169*E2_tabla_vida!$X$130)*E2_tabla_vida!$P$130,EXP(-D169*E2_tabla_vida!$X$131)*E2_tabla_vida!$P$131,EXP(-D169*E2_tabla_vida!$X$132)*E2_tabla_vida!$P$132,EXP(-D169*E2_tabla_vida!$X$133)*E2_tabla_vida!$P$133,EXP(-D169*E2_tabla_vida!$X$134)*E2_tabla_vida!$P$134,EXP(-D169*E2_tabla_vida!$X$135)*E2_tabla_vida!$P$135,EXP(-D169*E2_tabla_vida!$X$136)*E2_tabla_vida!$P$136,EXP(-D169*E2_tabla_vida!$X$137)*E2_tabla_vida!$P$137,EXP(-D169*E2_tabla_vida!$X$138)*E2_tabla_vida!$P$138,EXP(-D169*E2_tabla_vida!$X$139)*E2_tabla_vida!$P$139,EXP(-D169*E2_tabla_vida!$X$140)*E2_tabla_vida!$P$140,EXP(-D169*E2_tabla_vida!$X$141)*E2_tabla_vida!$P$141,EXP(-D169*E2_tabla_vida!$X$142)*E2_tabla_vida!$P$142,EXP(-D169*E2_tabla_vida!$X$143)*E2_tabla_vida!$P$143,EXP(-D169*E2_tabla_vida!$X$144)*E2_tabla_vida!$P$144,EXP(-D169*E2_tabla_vida!$X$145)*E2_tabla_vida!$P$145,EXP(-D169*E2_tabla_vida!$X$146)*E2_tabla_vida!$P$146,EXP(-D169*E2_tabla_vida!$X$147)*E2_tabla_vida!$P$147,EXP(-D169*E2_tabla_vida!$X$148)*E2_tabla_vida!$P$148,EXP(-D169*E2_tabla_vida!$X$149)*E2_tabla_vida!$P$149,EXP(-D169*E2_tabla_vida!$X$150)*E2_tabla_vida!$P$150,EXP(-D169*E2_tabla_vida!$X$151)*E2_tabla_vida!$P$151,EXP(-D169*E2_tabla_vida!$X$152)*E2_tabla_vida!$P$152,EXP(-D169*E2_tabla_vida!$X$153)*E2_tabla_vida!$P$153,EXP(-D169*E2_tabla_vida!$X$154)*E2_tabla_vida!$P$154,EXP(-D169*E2_tabla_vida!$X$155)*E2_tabla_vida!$P$155,EXP(-D169*E2_tabla_vida!$X$156)*E2_tabla_vida!$P$156,EXP(-D169*E2_tabla_vida!$X$157)*E2_tabla_vida!$P$157,EXP(-D169*E2_tabla_vida!$X$158)*E2_tabla_vida!$P$158,EXP(-D169*E2_tabla_vida!$X$159)*E2_tabla_vida!$P$159,EXP(-D169*E2_tabla_vida!$X$160)*E2_tabla_vida!$P$160,EXP(-D169*E2_tabla_vida!$X$161)*E2_tabla_vida!$P$161,EXP(-D169*E2_tabla_vida!$X$162)*E2_tabla_vida!$P$162,EXP(-D169*E2_tabla_vida!$X$163)*E2_tabla_vida!$P$163,EXP(-D169*E2_tabla_vida!$X$164)*E2_tabla_vida!$P$164,EXP(-D169*E2_tabla_vida!$X$165)*E2_tabla_vida!$P$165,EXP(-D169*E2_tabla_vida!$X$166)*E2_tabla_vida!$P$166,EXP(-D169*E2_tabla_vida!$X$167)*E2_tabla_vida!$P$167,EXP(-D169*E2_tabla_vida!$X$168)*E2_tabla_vida!$P$168,EXP(-D169*E2_tabla_vida!$X$169)*E2_tabla_vida!$P$169)-1</x:f>
        <x:v>-3.692075567496289e-8</x:v>
      </x:c>
    </x:row>
    <x:row r="170" ht="19" customHeight="1">
      <x:c r="A170" s="2" t="str">
        <x:v>BB_L0</x:v>
      </x:c>
      <x:c r="B170" s="2" t="n">
        <x:v>30</x:v>
      </x:c>
      <x:c r="C170" s="22" t="n">
        <x:f>IF(F169&gt;0,E169,C169)</x:f>
        <x:v>0.2621613685041666</x:v>
      </x:c>
      <x:c r="D170" s="22" t="n">
        <x:f>IF(F169&gt;0,D169,E169)</x:f>
        <x:v>0.2621613712981343</x:v>
      </x:c>
      <x:c r="E170" s="22" t="n">
        <x:f>AVERAGE(C170:D170)</x:f>
        <x:v>0.26216136990115047</x:v>
      </x:c>
      <x:c r="F170" s="24" t="n">
        <x:f>SUM(EXP(-E170*E2_tabla_vida!$X$128)*E2_tabla_vida!$P$128,EXP(-E170*E2_tabla_vida!$X$129)*E2_tabla_vida!$P$129,EXP(-E170*E2_tabla_vida!$X$130)*E2_tabla_vida!$P$130,EXP(-E170*E2_tabla_vida!$X$131)*E2_tabla_vida!$P$131,EXP(-E170*E2_tabla_vida!$X$132)*E2_tabla_vida!$P$132,EXP(-E170*E2_tabla_vida!$X$133)*E2_tabla_vida!$P$133,EXP(-E170*E2_tabla_vida!$X$134)*E2_tabla_vida!$P$134,EXP(-E170*E2_tabla_vida!$X$135)*E2_tabla_vida!$P$135,EXP(-E170*E2_tabla_vida!$X$136)*E2_tabla_vida!$P$136,EXP(-E170*E2_tabla_vida!$X$137)*E2_tabla_vida!$P$137,EXP(-E170*E2_tabla_vida!$X$138)*E2_tabla_vida!$P$138,EXP(-E170*E2_tabla_vida!$X$139)*E2_tabla_vida!$P$139,EXP(-E170*E2_tabla_vida!$X$140)*E2_tabla_vida!$P$140,EXP(-E170*E2_tabla_vida!$X$141)*E2_tabla_vida!$P$141,EXP(-E170*E2_tabla_vida!$X$142)*E2_tabla_vida!$P$142,EXP(-E170*E2_tabla_vida!$X$143)*E2_tabla_vida!$P$143,EXP(-E170*E2_tabla_vida!$X$144)*E2_tabla_vida!$P$144,EXP(-E170*E2_tabla_vida!$X$145)*E2_tabla_vida!$P$145,EXP(-E170*E2_tabla_vida!$X$146)*E2_tabla_vida!$P$146,EXP(-E170*E2_tabla_vida!$X$147)*E2_tabla_vida!$P$147,EXP(-E170*E2_tabla_vida!$X$148)*E2_tabla_vida!$P$148,EXP(-E170*E2_tabla_vida!$X$149)*E2_tabla_vida!$P$149,EXP(-E170*E2_tabla_vida!$X$150)*E2_tabla_vida!$P$150,EXP(-E170*E2_tabla_vida!$X$151)*E2_tabla_vida!$P$151,EXP(-E170*E2_tabla_vida!$X$152)*E2_tabla_vida!$P$152,EXP(-E170*E2_tabla_vida!$X$153)*E2_tabla_vida!$P$153,EXP(-E170*E2_tabla_vida!$X$154)*E2_tabla_vida!$P$154,EXP(-E170*E2_tabla_vida!$X$155)*E2_tabla_vida!$P$155,EXP(-E170*E2_tabla_vida!$X$156)*E2_tabla_vida!$P$156,EXP(-E170*E2_tabla_vida!$X$157)*E2_tabla_vida!$P$157,EXP(-E170*E2_tabla_vida!$X$158)*E2_tabla_vida!$P$158,EXP(-E170*E2_tabla_vida!$X$159)*E2_tabla_vida!$P$159,EXP(-E170*E2_tabla_vida!$X$160)*E2_tabla_vida!$P$160,EXP(-E170*E2_tabla_vida!$X$161)*E2_tabla_vida!$P$161,EXP(-E170*E2_tabla_vida!$X$162)*E2_tabla_vida!$P$162,EXP(-E170*E2_tabla_vida!$X$163)*E2_tabla_vida!$P$163,EXP(-E170*E2_tabla_vida!$X$164)*E2_tabla_vida!$P$164,EXP(-E170*E2_tabla_vida!$X$165)*E2_tabla_vida!$P$165,EXP(-E170*E2_tabla_vida!$X$166)*E2_tabla_vida!$P$166,EXP(-E170*E2_tabla_vida!$X$167)*E2_tabla_vida!$P$167,EXP(-E170*E2_tabla_vida!$X$168)*E2_tabla_vida!$P$168,EXP(-E170*E2_tabla_vida!$X$169)*E2_tabla_vida!$P$169)-1</x:f>
        <x:v>1.6162958971221997e-8</x:v>
      </x:c>
      <x:c r="G170" s="24" t="n">
        <x:f>SUM(EXP(-C170*E2_tabla_vida!$X$128)*E2_tabla_vida!$P$128,EXP(-C170*E2_tabla_vida!$X$129)*E2_tabla_vida!$P$129,EXP(-C170*E2_tabla_vida!$X$130)*E2_tabla_vida!$P$130,EXP(-C170*E2_tabla_vida!$X$131)*E2_tabla_vida!$P$131,EXP(-C170*E2_tabla_vida!$X$132)*E2_tabla_vida!$P$132,EXP(-C170*E2_tabla_vida!$X$133)*E2_tabla_vida!$P$133,EXP(-C170*E2_tabla_vida!$X$134)*E2_tabla_vida!$P$134,EXP(-C170*E2_tabla_vida!$X$135)*E2_tabla_vida!$P$135,EXP(-C170*E2_tabla_vida!$X$136)*E2_tabla_vida!$P$136,EXP(-C170*E2_tabla_vida!$X$137)*E2_tabla_vida!$P$137,EXP(-C170*E2_tabla_vida!$X$138)*E2_tabla_vida!$P$138,EXP(-C170*E2_tabla_vida!$X$139)*E2_tabla_vida!$P$139,EXP(-C170*E2_tabla_vida!$X$140)*E2_tabla_vida!$P$140,EXP(-C170*E2_tabla_vida!$X$141)*E2_tabla_vida!$P$141,EXP(-C170*E2_tabla_vida!$X$142)*E2_tabla_vida!$P$142,EXP(-C170*E2_tabla_vida!$X$143)*E2_tabla_vida!$P$143,EXP(-C170*E2_tabla_vida!$X$144)*E2_tabla_vida!$P$144,EXP(-C170*E2_tabla_vida!$X$145)*E2_tabla_vida!$P$145,EXP(-C170*E2_tabla_vida!$X$146)*E2_tabla_vida!$P$146,EXP(-C170*E2_tabla_vida!$X$147)*E2_tabla_vida!$P$147,EXP(-C170*E2_tabla_vida!$X$148)*E2_tabla_vida!$P$148,EXP(-C170*E2_tabla_vida!$X$149)*E2_tabla_vida!$P$149,EXP(-C170*E2_tabla_vida!$X$150)*E2_tabla_vida!$P$150,EXP(-C170*E2_tabla_vida!$X$151)*E2_tabla_vida!$P$151,EXP(-C170*E2_tabla_vida!$X$152)*E2_tabla_vida!$P$152,EXP(-C170*E2_tabla_vida!$X$153)*E2_tabla_vida!$P$153,EXP(-C170*E2_tabla_vida!$X$154)*E2_tabla_vida!$P$154,EXP(-C170*E2_tabla_vida!$X$155)*E2_tabla_vida!$P$155,EXP(-C170*E2_tabla_vida!$X$156)*E2_tabla_vida!$P$156,EXP(-C170*E2_tabla_vida!$X$157)*E2_tabla_vida!$P$157,EXP(-C170*E2_tabla_vida!$X$158)*E2_tabla_vida!$P$158,EXP(-C170*E2_tabla_vida!$X$159)*E2_tabla_vida!$P$159,EXP(-C170*E2_tabla_vida!$X$160)*E2_tabla_vida!$P$160,EXP(-C170*E2_tabla_vida!$X$161)*E2_tabla_vida!$P$161,EXP(-C170*E2_tabla_vida!$X$162)*E2_tabla_vida!$P$162,EXP(-C170*E2_tabla_vida!$X$163)*E2_tabla_vida!$P$163,EXP(-C170*E2_tabla_vida!$X$164)*E2_tabla_vida!$P$164,EXP(-C170*E2_tabla_vida!$X$165)*E2_tabla_vida!$P$165,EXP(-C170*E2_tabla_vida!$X$166)*E2_tabla_vida!$P$166,EXP(-C170*E2_tabla_vida!$X$167)*E2_tabla_vida!$P$167,EXP(-C170*E2_tabla_vida!$X$168)*E2_tabla_vida!$P$168,EXP(-C170*E2_tabla_vida!$X$169)*E2_tabla_vida!$P$169)-1</x:f>
        <x:v>3.3857531001046937e-8</x:v>
      </x:c>
      <x:c r="H170" s="24" t="n">
        <x:f>SUM(EXP(-D170*E2_tabla_vida!$X$128)*E2_tabla_vida!$P$128,EXP(-D170*E2_tabla_vida!$X$129)*E2_tabla_vida!$P$129,EXP(-D170*E2_tabla_vida!$X$130)*E2_tabla_vida!$P$130,EXP(-D170*E2_tabla_vida!$X$131)*E2_tabla_vida!$P$131,EXP(-D170*E2_tabla_vida!$X$132)*E2_tabla_vida!$P$132,EXP(-D170*E2_tabla_vida!$X$133)*E2_tabla_vida!$P$133,EXP(-D170*E2_tabla_vida!$X$134)*E2_tabla_vida!$P$134,EXP(-D170*E2_tabla_vida!$X$135)*E2_tabla_vida!$P$135,EXP(-D170*E2_tabla_vida!$X$136)*E2_tabla_vida!$P$136,EXP(-D170*E2_tabla_vida!$X$137)*E2_tabla_vida!$P$137,EXP(-D170*E2_tabla_vida!$X$138)*E2_tabla_vida!$P$138,EXP(-D170*E2_tabla_vida!$X$139)*E2_tabla_vida!$P$139,EXP(-D170*E2_tabla_vida!$X$140)*E2_tabla_vida!$P$140,EXP(-D170*E2_tabla_vida!$X$141)*E2_tabla_vida!$P$141,EXP(-D170*E2_tabla_vida!$X$142)*E2_tabla_vida!$P$142,EXP(-D170*E2_tabla_vida!$X$143)*E2_tabla_vida!$P$143,EXP(-D170*E2_tabla_vida!$X$144)*E2_tabla_vida!$P$144,EXP(-D170*E2_tabla_vida!$X$145)*E2_tabla_vida!$P$145,EXP(-D170*E2_tabla_vida!$X$146)*E2_tabla_vida!$P$146,EXP(-D170*E2_tabla_vida!$X$147)*E2_tabla_vida!$P$147,EXP(-D170*E2_tabla_vida!$X$148)*E2_tabla_vida!$P$148,EXP(-D170*E2_tabla_vida!$X$149)*E2_tabla_vida!$P$149,EXP(-D170*E2_tabla_vida!$X$150)*E2_tabla_vida!$P$150,EXP(-D170*E2_tabla_vida!$X$151)*E2_tabla_vida!$P$151,EXP(-D170*E2_tabla_vida!$X$152)*E2_tabla_vida!$P$152,EXP(-D170*E2_tabla_vida!$X$153)*E2_tabla_vida!$P$153,EXP(-D170*E2_tabla_vida!$X$154)*E2_tabla_vida!$P$154,EXP(-D170*E2_tabla_vida!$X$155)*E2_tabla_vida!$P$155,EXP(-D170*E2_tabla_vida!$X$156)*E2_tabla_vida!$P$156,EXP(-D170*E2_tabla_vida!$X$157)*E2_tabla_vida!$P$157,EXP(-D170*E2_tabla_vida!$X$158)*E2_tabla_vida!$P$158,EXP(-D170*E2_tabla_vida!$X$159)*E2_tabla_vida!$P$159,EXP(-D170*E2_tabla_vida!$X$160)*E2_tabla_vida!$P$160,EXP(-D170*E2_tabla_vida!$X$161)*E2_tabla_vida!$P$161,EXP(-D170*E2_tabla_vida!$X$162)*E2_tabla_vida!$P$162,EXP(-D170*E2_tabla_vida!$X$163)*E2_tabla_vida!$P$163,EXP(-D170*E2_tabla_vida!$X$164)*E2_tabla_vida!$P$164,EXP(-D170*E2_tabla_vida!$X$165)*E2_tabla_vida!$P$165,EXP(-D170*E2_tabla_vida!$X$166)*E2_tabla_vida!$P$166,EXP(-D170*E2_tabla_vida!$X$167)*E2_tabla_vida!$P$167,EXP(-D170*E2_tabla_vida!$X$168)*E2_tabla_vida!$P$168,EXP(-D170*E2_tabla_vida!$X$169)*E2_tabla_vida!$P$169)-1</x:f>
        <x:v>-1.531613058602943e-9</x:v>
      </x:c>
    </x:row>
    <x:row r="171" ht="19" customHeight="1">
      <x:c r="A171" s="2" t="str">
        <x:v>BB_L0</x:v>
      </x:c>
      <x:c r="B171" s="2" t="n">
        <x:v>31</x:v>
      </x:c>
      <x:c r="C171" s="22" t="n">
        <x:f>IF(F170&gt;0,E170,C170)</x:f>
        <x:v>0.26216136990115047</x:v>
      </x:c>
      <x:c r="D171" s="22" t="n">
        <x:f>IF(F170&gt;0,D170,E170)</x:f>
        <x:v>0.2621613712981343</x:v>
      </x:c>
      <x:c r="E171" s="22" t="n">
        <x:f>AVERAGE(C171:D171)</x:f>
        <x:v>0.2621613705996424</x:v>
      </x:c>
      <x:c r="F171" s="24" t="n">
        <x:f>SUM(EXP(-E171*E2_tabla_vida!$X$128)*E2_tabla_vida!$P$128,EXP(-E171*E2_tabla_vida!$X$129)*E2_tabla_vida!$P$129,EXP(-E171*E2_tabla_vida!$X$130)*E2_tabla_vida!$P$130,EXP(-E171*E2_tabla_vida!$X$131)*E2_tabla_vida!$P$131,EXP(-E171*E2_tabla_vida!$X$132)*E2_tabla_vida!$P$132,EXP(-E171*E2_tabla_vida!$X$133)*E2_tabla_vida!$P$133,EXP(-E171*E2_tabla_vida!$X$134)*E2_tabla_vida!$P$134,EXP(-E171*E2_tabla_vida!$X$135)*E2_tabla_vida!$P$135,EXP(-E171*E2_tabla_vida!$X$136)*E2_tabla_vida!$P$136,EXP(-E171*E2_tabla_vida!$X$137)*E2_tabla_vida!$P$137,EXP(-E171*E2_tabla_vida!$X$138)*E2_tabla_vida!$P$138,EXP(-E171*E2_tabla_vida!$X$139)*E2_tabla_vida!$P$139,EXP(-E171*E2_tabla_vida!$X$140)*E2_tabla_vida!$P$140,EXP(-E171*E2_tabla_vida!$X$141)*E2_tabla_vida!$P$141,EXP(-E171*E2_tabla_vida!$X$142)*E2_tabla_vida!$P$142,EXP(-E171*E2_tabla_vida!$X$143)*E2_tabla_vida!$P$143,EXP(-E171*E2_tabla_vida!$X$144)*E2_tabla_vida!$P$144,EXP(-E171*E2_tabla_vida!$X$145)*E2_tabla_vida!$P$145,EXP(-E171*E2_tabla_vida!$X$146)*E2_tabla_vida!$P$146,EXP(-E171*E2_tabla_vida!$X$147)*E2_tabla_vida!$P$147,EXP(-E171*E2_tabla_vida!$X$148)*E2_tabla_vida!$P$148,EXP(-E171*E2_tabla_vida!$X$149)*E2_tabla_vida!$P$149,EXP(-E171*E2_tabla_vida!$X$150)*E2_tabla_vida!$P$150,EXP(-E171*E2_tabla_vida!$X$151)*E2_tabla_vida!$P$151,EXP(-E171*E2_tabla_vida!$X$152)*E2_tabla_vida!$P$152,EXP(-E171*E2_tabla_vida!$X$153)*E2_tabla_vida!$P$153,EXP(-E171*E2_tabla_vida!$X$154)*E2_tabla_vida!$P$154,EXP(-E171*E2_tabla_vida!$X$155)*E2_tabla_vida!$P$155,EXP(-E171*E2_tabla_vida!$X$156)*E2_tabla_vida!$P$156,EXP(-E171*E2_tabla_vida!$X$157)*E2_tabla_vida!$P$157,EXP(-E171*E2_tabla_vida!$X$158)*E2_tabla_vida!$P$158,EXP(-E171*E2_tabla_vida!$X$159)*E2_tabla_vida!$P$159,EXP(-E171*E2_tabla_vida!$X$160)*E2_tabla_vida!$P$160,EXP(-E171*E2_tabla_vida!$X$161)*E2_tabla_vida!$P$161,EXP(-E171*E2_tabla_vida!$X$162)*E2_tabla_vida!$P$162,EXP(-E171*E2_tabla_vida!$X$163)*E2_tabla_vida!$P$163,EXP(-E171*E2_tabla_vida!$X$164)*E2_tabla_vida!$P$164,EXP(-E171*E2_tabla_vida!$X$165)*E2_tabla_vida!$P$165,EXP(-E171*E2_tabla_vida!$X$166)*E2_tabla_vida!$P$166,EXP(-E171*E2_tabla_vida!$X$167)*E2_tabla_vida!$P$167,EXP(-E171*E2_tabla_vida!$X$168)*E2_tabla_vida!$P$168,EXP(-E171*E2_tabla_vida!$X$169)*E2_tabla_vida!$P$169)-1</x:f>
        <x:v>7.315672956309527e-9</x:v>
      </x:c>
      <x:c r="G171" s="24" t="n">
        <x:f>SUM(EXP(-C171*E2_tabla_vida!$X$128)*E2_tabla_vida!$P$128,EXP(-C171*E2_tabla_vida!$X$129)*E2_tabla_vida!$P$129,EXP(-C171*E2_tabla_vida!$X$130)*E2_tabla_vida!$P$130,EXP(-C171*E2_tabla_vida!$X$131)*E2_tabla_vida!$P$131,EXP(-C171*E2_tabla_vida!$X$132)*E2_tabla_vida!$P$132,EXP(-C171*E2_tabla_vida!$X$133)*E2_tabla_vida!$P$133,EXP(-C171*E2_tabla_vida!$X$134)*E2_tabla_vida!$P$134,EXP(-C171*E2_tabla_vida!$X$135)*E2_tabla_vida!$P$135,EXP(-C171*E2_tabla_vida!$X$136)*E2_tabla_vida!$P$136,EXP(-C171*E2_tabla_vida!$X$137)*E2_tabla_vida!$P$137,EXP(-C171*E2_tabla_vida!$X$138)*E2_tabla_vida!$P$138,EXP(-C171*E2_tabla_vida!$X$139)*E2_tabla_vida!$P$139,EXP(-C171*E2_tabla_vida!$X$140)*E2_tabla_vida!$P$140,EXP(-C171*E2_tabla_vida!$X$141)*E2_tabla_vida!$P$141,EXP(-C171*E2_tabla_vida!$X$142)*E2_tabla_vida!$P$142,EXP(-C171*E2_tabla_vida!$X$143)*E2_tabla_vida!$P$143,EXP(-C171*E2_tabla_vida!$X$144)*E2_tabla_vida!$P$144,EXP(-C171*E2_tabla_vida!$X$145)*E2_tabla_vida!$P$145,EXP(-C171*E2_tabla_vida!$X$146)*E2_tabla_vida!$P$146,EXP(-C171*E2_tabla_vida!$X$147)*E2_tabla_vida!$P$147,EXP(-C171*E2_tabla_vida!$X$148)*E2_tabla_vida!$P$148,EXP(-C171*E2_tabla_vida!$X$149)*E2_tabla_vida!$P$149,EXP(-C171*E2_tabla_vida!$X$150)*E2_tabla_vida!$P$150,EXP(-C171*E2_tabla_vida!$X$151)*E2_tabla_vida!$P$151,EXP(-C171*E2_tabla_vida!$X$152)*E2_tabla_vida!$P$152,EXP(-C171*E2_tabla_vida!$X$153)*E2_tabla_vida!$P$153,EXP(-C171*E2_tabla_vida!$X$154)*E2_tabla_vida!$P$154,EXP(-C171*E2_tabla_vida!$X$155)*E2_tabla_vida!$P$155,EXP(-C171*E2_tabla_vida!$X$156)*E2_tabla_vida!$P$156,EXP(-C171*E2_tabla_vida!$X$157)*E2_tabla_vida!$P$157,EXP(-C171*E2_tabla_vida!$X$158)*E2_tabla_vida!$P$158,EXP(-C171*E2_tabla_vida!$X$159)*E2_tabla_vida!$P$159,EXP(-C171*E2_tabla_vida!$X$160)*E2_tabla_vida!$P$160,EXP(-C171*E2_tabla_vida!$X$161)*E2_tabla_vida!$P$161,EXP(-C171*E2_tabla_vida!$X$162)*E2_tabla_vida!$P$162,EXP(-C171*E2_tabla_vida!$X$163)*E2_tabla_vida!$P$163,EXP(-C171*E2_tabla_vida!$X$164)*E2_tabla_vida!$P$164,EXP(-C171*E2_tabla_vida!$X$165)*E2_tabla_vida!$P$165,EXP(-C171*E2_tabla_vida!$X$166)*E2_tabla_vida!$P$166,EXP(-C171*E2_tabla_vida!$X$167)*E2_tabla_vida!$P$167,EXP(-C171*E2_tabla_vida!$X$168)*E2_tabla_vida!$P$168,EXP(-C171*E2_tabla_vida!$X$169)*E2_tabla_vida!$P$169)-1</x:f>
        <x:v>1.6162958971221997e-8</x:v>
      </x:c>
      <x:c r="H171" s="24" t="n">
        <x:f>SUM(EXP(-D171*E2_tabla_vida!$X$128)*E2_tabla_vida!$P$128,EXP(-D171*E2_tabla_vida!$X$129)*E2_tabla_vida!$P$129,EXP(-D171*E2_tabla_vida!$X$130)*E2_tabla_vida!$P$130,EXP(-D171*E2_tabla_vida!$X$131)*E2_tabla_vida!$P$131,EXP(-D171*E2_tabla_vida!$X$132)*E2_tabla_vida!$P$132,EXP(-D171*E2_tabla_vida!$X$133)*E2_tabla_vida!$P$133,EXP(-D171*E2_tabla_vida!$X$134)*E2_tabla_vida!$P$134,EXP(-D171*E2_tabla_vida!$X$135)*E2_tabla_vida!$P$135,EXP(-D171*E2_tabla_vida!$X$136)*E2_tabla_vida!$P$136,EXP(-D171*E2_tabla_vida!$X$137)*E2_tabla_vida!$P$137,EXP(-D171*E2_tabla_vida!$X$138)*E2_tabla_vida!$P$138,EXP(-D171*E2_tabla_vida!$X$139)*E2_tabla_vida!$P$139,EXP(-D171*E2_tabla_vida!$X$140)*E2_tabla_vida!$P$140,EXP(-D171*E2_tabla_vida!$X$141)*E2_tabla_vida!$P$141,EXP(-D171*E2_tabla_vida!$X$142)*E2_tabla_vida!$P$142,EXP(-D171*E2_tabla_vida!$X$143)*E2_tabla_vida!$P$143,EXP(-D171*E2_tabla_vida!$X$144)*E2_tabla_vida!$P$144,EXP(-D171*E2_tabla_vida!$X$145)*E2_tabla_vida!$P$145,EXP(-D171*E2_tabla_vida!$X$146)*E2_tabla_vida!$P$146,EXP(-D171*E2_tabla_vida!$X$147)*E2_tabla_vida!$P$147,EXP(-D171*E2_tabla_vida!$X$148)*E2_tabla_vida!$P$148,EXP(-D171*E2_tabla_vida!$X$149)*E2_tabla_vida!$P$149,EXP(-D171*E2_tabla_vida!$X$150)*E2_tabla_vida!$P$150,EXP(-D171*E2_tabla_vida!$X$151)*E2_tabla_vida!$P$151,EXP(-D171*E2_tabla_vida!$X$152)*E2_tabla_vida!$P$152,EXP(-D171*E2_tabla_vida!$X$153)*E2_tabla_vida!$P$153,EXP(-D171*E2_tabla_vida!$X$154)*E2_tabla_vida!$P$154,EXP(-D171*E2_tabla_vida!$X$155)*E2_tabla_vida!$P$155,EXP(-D171*E2_tabla_vida!$X$156)*E2_tabla_vida!$P$156,EXP(-D171*E2_tabla_vida!$X$157)*E2_tabla_vida!$P$157,EXP(-D171*E2_tabla_vida!$X$158)*E2_tabla_vida!$P$158,EXP(-D171*E2_tabla_vida!$X$159)*E2_tabla_vida!$P$159,EXP(-D171*E2_tabla_vida!$X$160)*E2_tabla_vida!$P$160,EXP(-D171*E2_tabla_vida!$X$161)*E2_tabla_vida!$P$161,EXP(-D171*E2_tabla_vida!$X$162)*E2_tabla_vida!$P$162,EXP(-D171*E2_tabla_vida!$X$163)*E2_tabla_vida!$P$163,EXP(-D171*E2_tabla_vida!$X$164)*E2_tabla_vida!$P$164,EXP(-D171*E2_tabla_vida!$X$165)*E2_tabla_vida!$P$165,EXP(-D171*E2_tabla_vida!$X$166)*E2_tabla_vida!$P$166,EXP(-D171*E2_tabla_vida!$X$167)*E2_tabla_vida!$P$167,EXP(-D171*E2_tabla_vida!$X$168)*E2_tabla_vida!$P$168,EXP(-D171*E2_tabla_vida!$X$169)*E2_tabla_vida!$P$169)-1</x:f>
        <x:v>-1.531613058602943e-9</x:v>
      </x:c>
    </x:row>
    <x:row r="172" ht="19" customHeight="1">
      <x:c r="A172" s="2" t="str">
        <x:v>BB_L0</x:v>
      </x:c>
      <x:c r="B172" s="2" t="n">
        <x:v>32</x:v>
      </x:c>
      <x:c r="C172" s="22" t="n">
        <x:f>IF(F171&gt;0,E171,C171)</x:f>
        <x:v>0.2621613705996424</x:v>
      </x:c>
      <x:c r="D172" s="22" t="n">
        <x:f>IF(F171&gt;0,D171,E171)</x:f>
        <x:v>0.2621613712981343</x:v>
      </x:c>
      <x:c r="E172" s="22" t="n">
        <x:f>AVERAGE(C172:D172)</x:f>
        <x:v>0.26216137094888836</x:v>
      </x:c>
      <x:c r="F172" s="24" t="n">
        <x:f>SUM(EXP(-E172*E2_tabla_vida!$X$128)*E2_tabla_vida!$P$128,EXP(-E172*E2_tabla_vida!$X$129)*E2_tabla_vida!$P$129,EXP(-E172*E2_tabla_vida!$X$130)*E2_tabla_vida!$P$130,EXP(-E172*E2_tabla_vida!$X$131)*E2_tabla_vida!$P$131,EXP(-E172*E2_tabla_vida!$X$132)*E2_tabla_vida!$P$132,EXP(-E172*E2_tabla_vida!$X$133)*E2_tabla_vida!$P$133,EXP(-E172*E2_tabla_vida!$X$134)*E2_tabla_vida!$P$134,EXP(-E172*E2_tabla_vida!$X$135)*E2_tabla_vida!$P$135,EXP(-E172*E2_tabla_vida!$X$136)*E2_tabla_vida!$P$136,EXP(-E172*E2_tabla_vida!$X$137)*E2_tabla_vida!$P$137,EXP(-E172*E2_tabla_vida!$X$138)*E2_tabla_vida!$P$138,EXP(-E172*E2_tabla_vida!$X$139)*E2_tabla_vida!$P$139,EXP(-E172*E2_tabla_vida!$X$140)*E2_tabla_vida!$P$140,EXP(-E172*E2_tabla_vida!$X$141)*E2_tabla_vida!$P$141,EXP(-E172*E2_tabla_vida!$X$142)*E2_tabla_vida!$P$142,EXP(-E172*E2_tabla_vida!$X$143)*E2_tabla_vida!$P$143,EXP(-E172*E2_tabla_vida!$X$144)*E2_tabla_vida!$P$144,EXP(-E172*E2_tabla_vida!$X$145)*E2_tabla_vida!$P$145,EXP(-E172*E2_tabla_vida!$X$146)*E2_tabla_vida!$P$146,EXP(-E172*E2_tabla_vida!$X$147)*E2_tabla_vida!$P$147,EXP(-E172*E2_tabla_vida!$X$148)*E2_tabla_vida!$P$148,EXP(-E172*E2_tabla_vida!$X$149)*E2_tabla_vida!$P$149,EXP(-E172*E2_tabla_vida!$X$150)*E2_tabla_vida!$P$150,EXP(-E172*E2_tabla_vida!$X$151)*E2_tabla_vida!$P$151,EXP(-E172*E2_tabla_vida!$X$152)*E2_tabla_vida!$P$152,EXP(-E172*E2_tabla_vida!$X$153)*E2_tabla_vida!$P$153,EXP(-E172*E2_tabla_vida!$X$154)*E2_tabla_vida!$P$154,EXP(-E172*E2_tabla_vida!$X$155)*E2_tabla_vida!$P$155,EXP(-E172*E2_tabla_vida!$X$156)*E2_tabla_vida!$P$156,EXP(-E172*E2_tabla_vida!$X$157)*E2_tabla_vida!$P$157,EXP(-E172*E2_tabla_vida!$X$158)*E2_tabla_vida!$P$158,EXP(-E172*E2_tabla_vida!$X$159)*E2_tabla_vida!$P$159,EXP(-E172*E2_tabla_vida!$X$160)*E2_tabla_vida!$P$160,EXP(-E172*E2_tabla_vida!$X$161)*E2_tabla_vida!$P$161,EXP(-E172*E2_tabla_vida!$X$162)*E2_tabla_vida!$P$162,EXP(-E172*E2_tabla_vida!$X$163)*E2_tabla_vida!$P$163,EXP(-E172*E2_tabla_vida!$X$164)*E2_tabla_vida!$P$164,EXP(-E172*E2_tabla_vida!$X$165)*E2_tabla_vida!$P$165,EXP(-E172*E2_tabla_vida!$X$166)*E2_tabla_vida!$P$166,EXP(-E172*E2_tabla_vida!$X$167)*E2_tabla_vida!$P$167,EXP(-E172*E2_tabla_vida!$X$168)*E2_tabla_vida!$P$168,EXP(-E172*E2_tabla_vida!$X$169)*E2_tabla_vida!$P$169)-1</x:f>
        <x:v>2.892030170897897e-9</x:v>
      </x:c>
      <x:c r="G172" s="24" t="n">
        <x:f>SUM(EXP(-C172*E2_tabla_vida!$X$128)*E2_tabla_vida!$P$128,EXP(-C172*E2_tabla_vida!$X$129)*E2_tabla_vida!$P$129,EXP(-C172*E2_tabla_vida!$X$130)*E2_tabla_vida!$P$130,EXP(-C172*E2_tabla_vida!$X$131)*E2_tabla_vida!$P$131,EXP(-C172*E2_tabla_vida!$X$132)*E2_tabla_vida!$P$132,EXP(-C172*E2_tabla_vida!$X$133)*E2_tabla_vida!$P$133,EXP(-C172*E2_tabla_vida!$X$134)*E2_tabla_vida!$P$134,EXP(-C172*E2_tabla_vida!$X$135)*E2_tabla_vida!$P$135,EXP(-C172*E2_tabla_vida!$X$136)*E2_tabla_vida!$P$136,EXP(-C172*E2_tabla_vida!$X$137)*E2_tabla_vida!$P$137,EXP(-C172*E2_tabla_vida!$X$138)*E2_tabla_vida!$P$138,EXP(-C172*E2_tabla_vida!$X$139)*E2_tabla_vida!$P$139,EXP(-C172*E2_tabla_vida!$X$140)*E2_tabla_vida!$P$140,EXP(-C172*E2_tabla_vida!$X$141)*E2_tabla_vida!$P$141,EXP(-C172*E2_tabla_vida!$X$142)*E2_tabla_vida!$P$142,EXP(-C172*E2_tabla_vida!$X$143)*E2_tabla_vida!$P$143,EXP(-C172*E2_tabla_vida!$X$144)*E2_tabla_vida!$P$144,EXP(-C172*E2_tabla_vida!$X$145)*E2_tabla_vida!$P$145,EXP(-C172*E2_tabla_vida!$X$146)*E2_tabla_vida!$P$146,EXP(-C172*E2_tabla_vida!$X$147)*E2_tabla_vida!$P$147,EXP(-C172*E2_tabla_vida!$X$148)*E2_tabla_vida!$P$148,EXP(-C172*E2_tabla_vida!$X$149)*E2_tabla_vida!$P$149,EXP(-C172*E2_tabla_vida!$X$150)*E2_tabla_vida!$P$150,EXP(-C172*E2_tabla_vida!$X$151)*E2_tabla_vida!$P$151,EXP(-C172*E2_tabla_vida!$X$152)*E2_tabla_vida!$P$152,EXP(-C172*E2_tabla_vida!$X$153)*E2_tabla_vida!$P$153,EXP(-C172*E2_tabla_vida!$X$154)*E2_tabla_vida!$P$154,EXP(-C172*E2_tabla_vida!$X$155)*E2_tabla_vida!$P$155,EXP(-C172*E2_tabla_vida!$X$156)*E2_tabla_vida!$P$156,EXP(-C172*E2_tabla_vida!$X$157)*E2_tabla_vida!$P$157,EXP(-C172*E2_tabla_vida!$X$158)*E2_tabla_vida!$P$158,EXP(-C172*E2_tabla_vida!$X$159)*E2_tabla_vida!$P$159,EXP(-C172*E2_tabla_vida!$X$160)*E2_tabla_vida!$P$160,EXP(-C172*E2_tabla_vida!$X$161)*E2_tabla_vida!$P$161,EXP(-C172*E2_tabla_vida!$X$162)*E2_tabla_vida!$P$162,EXP(-C172*E2_tabla_vida!$X$163)*E2_tabla_vida!$P$163,EXP(-C172*E2_tabla_vida!$X$164)*E2_tabla_vida!$P$164,EXP(-C172*E2_tabla_vida!$X$165)*E2_tabla_vida!$P$165,EXP(-C172*E2_tabla_vida!$X$166)*E2_tabla_vida!$P$166,EXP(-C172*E2_tabla_vida!$X$167)*E2_tabla_vida!$P$167,EXP(-C172*E2_tabla_vida!$X$168)*E2_tabla_vida!$P$168,EXP(-C172*E2_tabla_vida!$X$169)*E2_tabla_vida!$P$169)-1</x:f>
        <x:v>7.315672956309527e-9</x:v>
      </x:c>
      <x:c r="H172" s="24" t="n">
        <x:f>SUM(EXP(-D172*E2_tabla_vida!$X$128)*E2_tabla_vida!$P$128,EXP(-D172*E2_tabla_vida!$X$129)*E2_tabla_vida!$P$129,EXP(-D172*E2_tabla_vida!$X$130)*E2_tabla_vida!$P$130,EXP(-D172*E2_tabla_vida!$X$131)*E2_tabla_vida!$P$131,EXP(-D172*E2_tabla_vida!$X$132)*E2_tabla_vida!$P$132,EXP(-D172*E2_tabla_vida!$X$133)*E2_tabla_vida!$P$133,EXP(-D172*E2_tabla_vida!$X$134)*E2_tabla_vida!$P$134,EXP(-D172*E2_tabla_vida!$X$135)*E2_tabla_vida!$P$135,EXP(-D172*E2_tabla_vida!$X$136)*E2_tabla_vida!$P$136,EXP(-D172*E2_tabla_vida!$X$137)*E2_tabla_vida!$P$137,EXP(-D172*E2_tabla_vida!$X$138)*E2_tabla_vida!$P$138,EXP(-D172*E2_tabla_vida!$X$139)*E2_tabla_vida!$P$139,EXP(-D172*E2_tabla_vida!$X$140)*E2_tabla_vida!$P$140,EXP(-D172*E2_tabla_vida!$X$141)*E2_tabla_vida!$P$141,EXP(-D172*E2_tabla_vida!$X$142)*E2_tabla_vida!$P$142,EXP(-D172*E2_tabla_vida!$X$143)*E2_tabla_vida!$P$143,EXP(-D172*E2_tabla_vida!$X$144)*E2_tabla_vida!$P$144,EXP(-D172*E2_tabla_vida!$X$145)*E2_tabla_vida!$P$145,EXP(-D172*E2_tabla_vida!$X$146)*E2_tabla_vida!$P$146,EXP(-D172*E2_tabla_vida!$X$147)*E2_tabla_vida!$P$147,EXP(-D172*E2_tabla_vida!$X$148)*E2_tabla_vida!$P$148,EXP(-D172*E2_tabla_vida!$X$149)*E2_tabla_vida!$P$149,EXP(-D172*E2_tabla_vida!$X$150)*E2_tabla_vida!$P$150,EXP(-D172*E2_tabla_vida!$X$151)*E2_tabla_vida!$P$151,EXP(-D172*E2_tabla_vida!$X$152)*E2_tabla_vida!$P$152,EXP(-D172*E2_tabla_vida!$X$153)*E2_tabla_vida!$P$153,EXP(-D172*E2_tabla_vida!$X$154)*E2_tabla_vida!$P$154,EXP(-D172*E2_tabla_vida!$X$155)*E2_tabla_vida!$P$155,EXP(-D172*E2_tabla_vida!$X$156)*E2_tabla_vida!$P$156,EXP(-D172*E2_tabla_vida!$X$157)*E2_tabla_vida!$P$157,EXP(-D172*E2_tabla_vida!$X$158)*E2_tabla_vida!$P$158,EXP(-D172*E2_tabla_vida!$X$159)*E2_tabla_vida!$P$159,EXP(-D172*E2_tabla_vida!$X$160)*E2_tabla_vida!$P$160,EXP(-D172*E2_tabla_vida!$X$161)*E2_tabla_vida!$P$161,EXP(-D172*E2_tabla_vida!$X$162)*E2_tabla_vida!$P$162,EXP(-D172*E2_tabla_vida!$X$163)*E2_tabla_vida!$P$163,EXP(-D172*E2_tabla_vida!$X$164)*E2_tabla_vida!$P$164,EXP(-D172*E2_tabla_vida!$X$165)*E2_tabla_vida!$P$165,EXP(-D172*E2_tabla_vida!$X$166)*E2_tabla_vida!$P$166,EXP(-D172*E2_tabla_vida!$X$167)*E2_tabla_vida!$P$167,EXP(-D172*E2_tabla_vida!$X$168)*E2_tabla_vida!$P$168,EXP(-D172*E2_tabla_vida!$X$169)*E2_tabla_vida!$P$169)-1</x:f>
        <x:v>-1.531613058602943e-9</x:v>
      </x:c>
    </x:row>
    <x:row r="173" ht="19" customHeight="1">
      <x:c r="A173" s="2" t="str">
        <x:v>BB_L0</x:v>
      </x:c>
      <x:c r="B173" s="2" t="n">
        <x:v>33</x:v>
      </x:c>
      <x:c r="C173" s="22" t="n">
        <x:f>IF(F172&gt;0,E172,C172)</x:f>
        <x:v>0.26216137094888836</x:v>
      </x:c>
      <x:c r="D173" s="22" t="n">
        <x:f>IF(F172&gt;0,D172,E172)</x:f>
        <x:v>0.2621613712981343</x:v>
      </x:c>
      <x:c r="E173" s="22" t="n">
        <x:f>AVERAGE(C173:D173)</x:f>
        <x:v>0.26216137112351134</x:v>
      </x:c>
      <x:c r="F173" s="24" t="n">
        <x:f>SUM(EXP(-E173*E2_tabla_vida!$X$128)*E2_tabla_vida!$P$128,EXP(-E173*E2_tabla_vida!$X$129)*E2_tabla_vida!$P$129,EXP(-E173*E2_tabla_vida!$X$130)*E2_tabla_vida!$P$130,EXP(-E173*E2_tabla_vida!$X$131)*E2_tabla_vida!$P$131,EXP(-E173*E2_tabla_vida!$X$132)*E2_tabla_vida!$P$132,EXP(-E173*E2_tabla_vida!$X$133)*E2_tabla_vida!$P$133,EXP(-E173*E2_tabla_vida!$X$134)*E2_tabla_vida!$P$134,EXP(-E173*E2_tabla_vida!$X$135)*E2_tabla_vida!$P$135,EXP(-E173*E2_tabla_vida!$X$136)*E2_tabla_vida!$P$136,EXP(-E173*E2_tabla_vida!$X$137)*E2_tabla_vida!$P$137,EXP(-E173*E2_tabla_vida!$X$138)*E2_tabla_vida!$P$138,EXP(-E173*E2_tabla_vida!$X$139)*E2_tabla_vida!$P$139,EXP(-E173*E2_tabla_vida!$X$140)*E2_tabla_vida!$P$140,EXP(-E173*E2_tabla_vida!$X$141)*E2_tabla_vida!$P$141,EXP(-E173*E2_tabla_vida!$X$142)*E2_tabla_vida!$P$142,EXP(-E173*E2_tabla_vida!$X$143)*E2_tabla_vida!$P$143,EXP(-E173*E2_tabla_vida!$X$144)*E2_tabla_vida!$P$144,EXP(-E173*E2_tabla_vida!$X$145)*E2_tabla_vida!$P$145,EXP(-E173*E2_tabla_vida!$X$146)*E2_tabla_vida!$P$146,EXP(-E173*E2_tabla_vida!$X$147)*E2_tabla_vida!$P$147,EXP(-E173*E2_tabla_vida!$X$148)*E2_tabla_vida!$P$148,EXP(-E173*E2_tabla_vida!$X$149)*E2_tabla_vida!$P$149,EXP(-E173*E2_tabla_vida!$X$150)*E2_tabla_vida!$P$150,EXP(-E173*E2_tabla_vida!$X$151)*E2_tabla_vida!$P$151,EXP(-E173*E2_tabla_vida!$X$152)*E2_tabla_vida!$P$152,EXP(-E173*E2_tabla_vida!$X$153)*E2_tabla_vida!$P$153,EXP(-E173*E2_tabla_vida!$X$154)*E2_tabla_vida!$P$154,EXP(-E173*E2_tabla_vida!$X$155)*E2_tabla_vida!$P$155,EXP(-E173*E2_tabla_vida!$X$156)*E2_tabla_vida!$P$156,EXP(-E173*E2_tabla_vida!$X$157)*E2_tabla_vida!$P$157,EXP(-E173*E2_tabla_vida!$X$158)*E2_tabla_vida!$P$158,EXP(-E173*E2_tabla_vida!$X$159)*E2_tabla_vida!$P$159,EXP(-E173*E2_tabla_vida!$X$160)*E2_tabla_vida!$P$160,EXP(-E173*E2_tabla_vida!$X$161)*E2_tabla_vida!$P$161,EXP(-E173*E2_tabla_vida!$X$162)*E2_tabla_vida!$P$162,EXP(-E173*E2_tabla_vida!$X$163)*E2_tabla_vida!$P$163,EXP(-E173*E2_tabla_vida!$X$164)*E2_tabla_vida!$P$164,EXP(-E173*E2_tabla_vida!$X$165)*E2_tabla_vida!$P$165,EXP(-E173*E2_tabla_vida!$X$166)*E2_tabla_vida!$P$166,EXP(-E173*E2_tabla_vida!$X$167)*E2_tabla_vida!$P$167,EXP(-E173*E2_tabla_vida!$X$168)*E2_tabla_vida!$P$168,EXP(-E173*E2_tabla_vida!$X$169)*E2_tabla_vida!$P$169)-1</x:f>
        <x:v>6.802087781920818e-10</x:v>
      </x:c>
      <x:c r="G173" s="24" t="n">
        <x:f>SUM(EXP(-C173*E2_tabla_vida!$X$128)*E2_tabla_vida!$P$128,EXP(-C173*E2_tabla_vida!$X$129)*E2_tabla_vida!$P$129,EXP(-C173*E2_tabla_vida!$X$130)*E2_tabla_vida!$P$130,EXP(-C173*E2_tabla_vida!$X$131)*E2_tabla_vida!$P$131,EXP(-C173*E2_tabla_vida!$X$132)*E2_tabla_vida!$P$132,EXP(-C173*E2_tabla_vida!$X$133)*E2_tabla_vida!$P$133,EXP(-C173*E2_tabla_vida!$X$134)*E2_tabla_vida!$P$134,EXP(-C173*E2_tabla_vida!$X$135)*E2_tabla_vida!$P$135,EXP(-C173*E2_tabla_vida!$X$136)*E2_tabla_vida!$P$136,EXP(-C173*E2_tabla_vida!$X$137)*E2_tabla_vida!$P$137,EXP(-C173*E2_tabla_vida!$X$138)*E2_tabla_vida!$P$138,EXP(-C173*E2_tabla_vida!$X$139)*E2_tabla_vida!$P$139,EXP(-C173*E2_tabla_vida!$X$140)*E2_tabla_vida!$P$140,EXP(-C173*E2_tabla_vida!$X$141)*E2_tabla_vida!$P$141,EXP(-C173*E2_tabla_vida!$X$142)*E2_tabla_vida!$P$142,EXP(-C173*E2_tabla_vida!$X$143)*E2_tabla_vida!$P$143,EXP(-C173*E2_tabla_vida!$X$144)*E2_tabla_vida!$P$144,EXP(-C173*E2_tabla_vida!$X$145)*E2_tabla_vida!$P$145,EXP(-C173*E2_tabla_vida!$X$146)*E2_tabla_vida!$P$146,EXP(-C173*E2_tabla_vida!$X$147)*E2_tabla_vida!$P$147,EXP(-C173*E2_tabla_vida!$X$148)*E2_tabla_vida!$P$148,EXP(-C173*E2_tabla_vida!$X$149)*E2_tabla_vida!$P$149,EXP(-C173*E2_tabla_vida!$X$150)*E2_tabla_vida!$P$150,EXP(-C173*E2_tabla_vida!$X$151)*E2_tabla_vida!$P$151,EXP(-C173*E2_tabla_vida!$X$152)*E2_tabla_vida!$P$152,EXP(-C173*E2_tabla_vida!$X$153)*E2_tabla_vida!$P$153,EXP(-C173*E2_tabla_vida!$X$154)*E2_tabla_vida!$P$154,EXP(-C173*E2_tabla_vida!$X$155)*E2_tabla_vida!$P$155,EXP(-C173*E2_tabla_vida!$X$156)*E2_tabla_vida!$P$156,EXP(-C173*E2_tabla_vida!$X$157)*E2_tabla_vida!$P$157,EXP(-C173*E2_tabla_vida!$X$158)*E2_tabla_vida!$P$158,EXP(-C173*E2_tabla_vida!$X$159)*E2_tabla_vida!$P$159,EXP(-C173*E2_tabla_vida!$X$160)*E2_tabla_vida!$P$160,EXP(-C173*E2_tabla_vida!$X$161)*E2_tabla_vida!$P$161,EXP(-C173*E2_tabla_vida!$X$162)*E2_tabla_vida!$P$162,EXP(-C173*E2_tabla_vida!$X$163)*E2_tabla_vida!$P$163,EXP(-C173*E2_tabla_vida!$X$164)*E2_tabla_vida!$P$164,EXP(-C173*E2_tabla_vida!$X$165)*E2_tabla_vida!$P$165,EXP(-C173*E2_tabla_vida!$X$166)*E2_tabla_vida!$P$166,EXP(-C173*E2_tabla_vida!$X$167)*E2_tabla_vida!$P$167,EXP(-C173*E2_tabla_vida!$X$168)*E2_tabla_vida!$P$168,EXP(-C173*E2_tabla_vida!$X$169)*E2_tabla_vida!$P$169)-1</x:f>
        <x:v>2.892030170897897e-9</x:v>
      </x:c>
      <x:c r="H173" s="24" t="n">
        <x:f>SUM(EXP(-D173*E2_tabla_vida!$X$128)*E2_tabla_vida!$P$128,EXP(-D173*E2_tabla_vida!$X$129)*E2_tabla_vida!$P$129,EXP(-D173*E2_tabla_vida!$X$130)*E2_tabla_vida!$P$130,EXP(-D173*E2_tabla_vida!$X$131)*E2_tabla_vida!$P$131,EXP(-D173*E2_tabla_vida!$X$132)*E2_tabla_vida!$P$132,EXP(-D173*E2_tabla_vida!$X$133)*E2_tabla_vida!$P$133,EXP(-D173*E2_tabla_vida!$X$134)*E2_tabla_vida!$P$134,EXP(-D173*E2_tabla_vida!$X$135)*E2_tabla_vida!$P$135,EXP(-D173*E2_tabla_vida!$X$136)*E2_tabla_vida!$P$136,EXP(-D173*E2_tabla_vida!$X$137)*E2_tabla_vida!$P$137,EXP(-D173*E2_tabla_vida!$X$138)*E2_tabla_vida!$P$138,EXP(-D173*E2_tabla_vida!$X$139)*E2_tabla_vida!$P$139,EXP(-D173*E2_tabla_vida!$X$140)*E2_tabla_vida!$P$140,EXP(-D173*E2_tabla_vida!$X$141)*E2_tabla_vida!$P$141,EXP(-D173*E2_tabla_vida!$X$142)*E2_tabla_vida!$P$142,EXP(-D173*E2_tabla_vida!$X$143)*E2_tabla_vida!$P$143,EXP(-D173*E2_tabla_vida!$X$144)*E2_tabla_vida!$P$144,EXP(-D173*E2_tabla_vida!$X$145)*E2_tabla_vida!$P$145,EXP(-D173*E2_tabla_vida!$X$146)*E2_tabla_vida!$P$146,EXP(-D173*E2_tabla_vida!$X$147)*E2_tabla_vida!$P$147,EXP(-D173*E2_tabla_vida!$X$148)*E2_tabla_vida!$P$148,EXP(-D173*E2_tabla_vida!$X$149)*E2_tabla_vida!$P$149,EXP(-D173*E2_tabla_vida!$X$150)*E2_tabla_vida!$P$150,EXP(-D173*E2_tabla_vida!$X$151)*E2_tabla_vida!$P$151,EXP(-D173*E2_tabla_vida!$X$152)*E2_tabla_vida!$P$152,EXP(-D173*E2_tabla_vida!$X$153)*E2_tabla_vida!$P$153,EXP(-D173*E2_tabla_vida!$X$154)*E2_tabla_vida!$P$154,EXP(-D173*E2_tabla_vida!$X$155)*E2_tabla_vida!$P$155,EXP(-D173*E2_tabla_vida!$X$156)*E2_tabla_vida!$P$156,EXP(-D173*E2_tabla_vida!$X$157)*E2_tabla_vida!$P$157,EXP(-D173*E2_tabla_vida!$X$158)*E2_tabla_vida!$P$158,EXP(-D173*E2_tabla_vida!$X$159)*E2_tabla_vida!$P$159,EXP(-D173*E2_tabla_vida!$X$160)*E2_tabla_vida!$P$160,EXP(-D173*E2_tabla_vida!$X$161)*E2_tabla_vida!$P$161,EXP(-D173*E2_tabla_vida!$X$162)*E2_tabla_vida!$P$162,EXP(-D173*E2_tabla_vida!$X$163)*E2_tabla_vida!$P$163,EXP(-D173*E2_tabla_vida!$X$164)*E2_tabla_vida!$P$164,EXP(-D173*E2_tabla_vida!$X$165)*E2_tabla_vida!$P$165,EXP(-D173*E2_tabla_vida!$X$166)*E2_tabla_vida!$P$166,EXP(-D173*E2_tabla_vida!$X$167)*E2_tabla_vida!$P$167,EXP(-D173*E2_tabla_vida!$X$168)*E2_tabla_vida!$P$168,EXP(-D173*E2_tabla_vida!$X$169)*E2_tabla_vida!$P$169)-1</x:f>
        <x:v>-1.531613058602943e-9</x:v>
      </x:c>
    </x:row>
    <x:row r="174" ht="19" customHeight="1">
      <x:c r="A174" s="2" t="str">
        <x:v>BB_L0</x:v>
      </x:c>
      <x:c r="B174" s="2" t="n">
        <x:v>34</x:v>
      </x:c>
      <x:c r="C174" s="22" t="n">
        <x:f>IF(F173&gt;0,E173,C173)</x:f>
        <x:v>0.26216137112351134</x:v>
      </x:c>
      <x:c r="D174" s="22" t="n">
        <x:f>IF(F173&gt;0,D173,E173)</x:f>
        <x:v>0.2621613712981343</x:v>
      </x:c>
      <x:c r="E174" s="22" t="n">
        <x:f>AVERAGE(C174:D174)</x:f>
        <x:v>0.26216137121082284</x:v>
      </x:c>
      <x:c r="F174" s="24" t="n">
        <x:f>SUM(EXP(-E174*E2_tabla_vida!$X$128)*E2_tabla_vida!$P$128,EXP(-E174*E2_tabla_vida!$X$129)*E2_tabla_vida!$P$129,EXP(-E174*E2_tabla_vida!$X$130)*E2_tabla_vida!$P$130,EXP(-E174*E2_tabla_vida!$X$131)*E2_tabla_vida!$P$131,EXP(-E174*E2_tabla_vida!$X$132)*E2_tabla_vida!$P$132,EXP(-E174*E2_tabla_vida!$X$133)*E2_tabla_vida!$P$133,EXP(-E174*E2_tabla_vida!$X$134)*E2_tabla_vida!$P$134,EXP(-E174*E2_tabla_vida!$X$135)*E2_tabla_vida!$P$135,EXP(-E174*E2_tabla_vida!$X$136)*E2_tabla_vida!$P$136,EXP(-E174*E2_tabla_vida!$X$137)*E2_tabla_vida!$P$137,EXP(-E174*E2_tabla_vida!$X$138)*E2_tabla_vida!$P$138,EXP(-E174*E2_tabla_vida!$X$139)*E2_tabla_vida!$P$139,EXP(-E174*E2_tabla_vida!$X$140)*E2_tabla_vida!$P$140,EXP(-E174*E2_tabla_vida!$X$141)*E2_tabla_vida!$P$141,EXP(-E174*E2_tabla_vida!$X$142)*E2_tabla_vida!$P$142,EXP(-E174*E2_tabla_vida!$X$143)*E2_tabla_vida!$P$143,EXP(-E174*E2_tabla_vida!$X$144)*E2_tabla_vida!$P$144,EXP(-E174*E2_tabla_vida!$X$145)*E2_tabla_vida!$P$145,EXP(-E174*E2_tabla_vida!$X$146)*E2_tabla_vida!$P$146,EXP(-E174*E2_tabla_vida!$X$147)*E2_tabla_vida!$P$147,EXP(-E174*E2_tabla_vida!$X$148)*E2_tabla_vida!$P$148,EXP(-E174*E2_tabla_vida!$X$149)*E2_tabla_vida!$P$149,EXP(-E174*E2_tabla_vida!$X$150)*E2_tabla_vida!$P$150,EXP(-E174*E2_tabla_vida!$X$151)*E2_tabla_vida!$P$151,EXP(-E174*E2_tabla_vida!$X$152)*E2_tabla_vida!$P$152,EXP(-E174*E2_tabla_vida!$X$153)*E2_tabla_vida!$P$153,EXP(-E174*E2_tabla_vida!$X$154)*E2_tabla_vida!$P$154,EXP(-E174*E2_tabla_vida!$X$155)*E2_tabla_vida!$P$155,EXP(-E174*E2_tabla_vida!$X$156)*E2_tabla_vida!$P$156,EXP(-E174*E2_tabla_vida!$X$157)*E2_tabla_vida!$P$157,EXP(-E174*E2_tabla_vida!$X$158)*E2_tabla_vida!$P$158,EXP(-E174*E2_tabla_vida!$X$159)*E2_tabla_vida!$P$159,EXP(-E174*E2_tabla_vida!$X$160)*E2_tabla_vida!$P$160,EXP(-E174*E2_tabla_vida!$X$161)*E2_tabla_vida!$P$161,EXP(-E174*E2_tabla_vida!$X$162)*E2_tabla_vida!$P$162,EXP(-E174*E2_tabla_vida!$X$163)*E2_tabla_vida!$P$163,EXP(-E174*E2_tabla_vida!$X$164)*E2_tabla_vida!$P$164,EXP(-E174*E2_tabla_vida!$X$165)*E2_tabla_vida!$P$165,EXP(-E174*E2_tabla_vida!$X$166)*E2_tabla_vida!$P$166,EXP(-E174*E2_tabla_vida!$X$167)*E2_tabla_vida!$P$167,EXP(-E174*E2_tabla_vida!$X$168)*E2_tabla_vida!$P$168,EXP(-E174*E2_tabla_vida!$X$169)*E2_tabla_vida!$P$169)-1</x:f>
        <x:v>-4.2570202918312816e-10</x:v>
      </x:c>
      <x:c r="G174" s="24" t="n">
        <x:f>SUM(EXP(-C174*E2_tabla_vida!$X$128)*E2_tabla_vida!$P$128,EXP(-C174*E2_tabla_vida!$X$129)*E2_tabla_vida!$P$129,EXP(-C174*E2_tabla_vida!$X$130)*E2_tabla_vida!$P$130,EXP(-C174*E2_tabla_vida!$X$131)*E2_tabla_vida!$P$131,EXP(-C174*E2_tabla_vida!$X$132)*E2_tabla_vida!$P$132,EXP(-C174*E2_tabla_vida!$X$133)*E2_tabla_vida!$P$133,EXP(-C174*E2_tabla_vida!$X$134)*E2_tabla_vida!$P$134,EXP(-C174*E2_tabla_vida!$X$135)*E2_tabla_vida!$P$135,EXP(-C174*E2_tabla_vida!$X$136)*E2_tabla_vida!$P$136,EXP(-C174*E2_tabla_vida!$X$137)*E2_tabla_vida!$P$137,EXP(-C174*E2_tabla_vida!$X$138)*E2_tabla_vida!$P$138,EXP(-C174*E2_tabla_vida!$X$139)*E2_tabla_vida!$P$139,EXP(-C174*E2_tabla_vida!$X$140)*E2_tabla_vida!$P$140,EXP(-C174*E2_tabla_vida!$X$141)*E2_tabla_vida!$P$141,EXP(-C174*E2_tabla_vida!$X$142)*E2_tabla_vida!$P$142,EXP(-C174*E2_tabla_vida!$X$143)*E2_tabla_vida!$P$143,EXP(-C174*E2_tabla_vida!$X$144)*E2_tabla_vida!$P$144,EXP(-C174*E2_tabla_vida!$X$145)*E2_tabla_vida!$P$145,EXP(-C174*E2_tabla_vida!$X$146)*E2_tabla_vida!$P$146,EXP(-C174*E2_tabla_vida!$X$147)*E2_tabla_vida!$P$147,EXP(-C174*E2_tabla_vida!$X$148)*E2_tabla_vida!$P$148,EXP(-C174*E2_tabla_vida!$X$149)*E2_tabla_vida!$P$149,EXP(-C174*E2_tabla_vida!$X$150)*E2_tabla_vida!$P$150,EXP(-C174*E2_tabla_vida!$X$151)*E2_tabla_vida!$P$151,EXP(-C174*E2_tabla_vida!$X$152)*E2_tabla_vida!$P$152,EXP(-C174*E2_tabla_vida!$X$153)*E2_tabla_vida!$P$153,EXP(-C174*E2_tabla_vida!$X$154)*E2_tabla_vida!$P$154,EXP(-C174*E2_tabla_vida!$X$155)*E2_tabla_vida!$P$155,EXP(-C174*E2_tabla_vida!$X$156)*E2_tabla_vida!$P$156,EXP(-C174*E2_tabla_vida!$X$157)*E2_tabla_vida!$P$157,EXP(-C174*E2_tabla_vida!$X$158)*E2_tabla_vida!$P$158,EXP(-C174*E2_tabla_vida!$X$159)*E2_tabla_vida!$P$159,EXP(-C174*E2_tabla_vida!$X$160)*E2_tabla_vida!$P$160,EXP(-C174*E2_tabla_vida!$X$161)*E2_tabla_vida!$P$161,EXP(-C174*E2_tabla_vida!$X$162)*E2_tabla_vida!$P$162,EXP(-C174*E2_tabla_vida!$X$163)*E2_tabla_vida!$P$163,EXP(-C174*E2_tabla_vida!$X$164)*E2_tabla_vida!$P$164,EXP(-C174*E2_tabla_vida!$X$165)*E2_tabla_vida!$P$165,EXP(-C174*E2_tabla_vida!$X$166)*E2_tabla_vida!$P$166,EXP(-C174*E2_tabla_vida!$X$167)*E2_tabla_vida!$P$167,EXP(-C174*E2_tabla_vida!$X$168)*E2_tabla_vida!$P$168,EXP(-C174*E2_tabla_vida!$X$169)*E2_tabla_vida!$P$169)-1</x:f>
        <x:v>6.802087781920818e-10</x:v>
      </x:c>
      <x:c r="H174" s="24" t="n">
        <x:f>SUM(EXP(-D174*E2_tabla_vida!$X$128)*E2_tabla_vida!$P$128,EXP(-D174*E2_tabla_vida!$X$129)*E2_tabla_vida!$P$129,EXP(-D174*E2_tabla_vida!$X$130)*E2_tabla_vida!$P$130,EXP(-D174*E2_tabla_vida!$X$131)*E2_tabla_vida!$P$131,EXP(-D174*E2_tabla_vida!$X$132)*E2_tabla_vida!$P$132,EXP(-D174*E2_tabla_vida!$X$133)*E2_tabla_vida!$P$133,EXP(-D174*E2_tabla_vida!$X$134)*E2_tabla_vida!$P$134,EXP(-D174*E2_tabla_vida!$X$135)*E2_tabla_vida!$P$135,EXP(-D174*E2_tabla_vida!$X$136)*E2_tabla_vida!$P$136,EXP(-D174*E2_tabla_vida!$X$137)*E2_tabla_vida!$P$137,EXP(-D174*E2_tabla_vida!$X$138)*E2_tabla_vida!$P$138,EXP(-D174*E2_tabla_vida!$X$139)*E2_tabla_vida!$P$139,EXP(-D174*E2_tabla_vida!$X$140)*E2_tabla_vida!$P$140,EXP(-D174*E2_tabla_vida!$X$141)*E2_tabla_vida!$P$141,EXP(-D174*E2_tabla_vida!$X$142)*E2_tabla_vida!$P$142,EXP(-D174*E2_tabla_vida!$X$143)*E2_tabla_vida!$P$143,EXP(-D174*E2_tabla_vida!$X$144)*E2_tabla_vida!$P$144,EXP(-D174*E2_tabla_vida!$X$145)*E2_tabla_vida!$P$145,EXP(-D174*E2_tabla_vida!$X$146)*E2_tabla_vida!$P$146,EXP(-D174*E2_tabla_vida!$X$147)*E2_tabla_vida!$P$147,EXP(-D174*E2_tabla_vida!$X$148)*E2_tabla_vida!$P$148,EXP(-D174*E2_tabla_vida!$X$149)*E2_tabla_vida!$P$149,EXP(-D174*E2_tabla_vida!$X$150)*E2_tabla_vida!$P$150,EXP(-D174*E2_tabla_vida!$X$151)*E2_tabla_vida!$P$151,EXP(-D174*E2_tabla_vida!$X$152)*E2_tabla_vida!$P$152,EXP(-D174*E2_tabla_vida!$X$153)*E2_tabla_vida!$P$153,EXP(-D174*E2_tabla_vida!$X$154)*E2_tabla_vida!$P$154,EXP(-D174*E2_tabla_vida!$X$155)*E2_tabla_vida!$P$155,EXP(-D174*E2_tabla_vida!$X$156)*E2_tabla_vida!$P$156,EXP(-D174*E2_tabla_vida!$X$157)*E2_tabla_vida!$P$157,EXP(-D174*E2_tabla_vida!$X$158)*E2_tabla_vida!$P$158,EXP(-D174*E2_tabla_vida!$X$159)*E2_tabla_vida!$P$159,EXP(-D174*E2_tabla_vida!$X$160)*E2_tabla_vida!$P$160,EXP(-D174*E2_tabla_vida!$X$161)*E2_tabla_vida!$P$161,EXP(-D174*E2_tabla_vida!$X$162)*E2_tabla_vida!$P$162,EXP(-D174*E2_tabla_vida!$X$163)*E2_tabla_vida!$P$163,EXP(-D174*E2_tabla_vida!$X$164)*E2_tabla_vida!$P$164,EXP(-D174*E2_tabla_vida!$X$165)*E2_tabla_vida!$P$165,EXP(-D174*E2_tabla_vida!$X$166)*E2_tabla_vida!$P$166,EXP(-D174*E2_tabla_vida!$X$167)*E2_tabla_vida!$P$167,EXP(-D174*E2_tabla_vida!$X$168)*E2_tabla_vida!$P$168,EXP(-D174*E2_tabla_vida!$X$169)*E2_tabla_vida!$P$169)-1</x:f>
        <x:v>-1.531613058602943e-9</x:v>
      </x:c>
    </x:row>
    <x:row r="175" ht="19" customHeight="1">
      <x:c r="A175" s="2" t="str">
        <x:v>BB_L0</x:v>
      </x:c>
      <x:c r="B175" s="2" t="n">
        <x:v>35</x:v>
      </x:c>
      <x:c r="C175" s="22" t="n">
        <x:f>IF(F174&gt;0,E174,C174)</x:f>
        <x:v>0.26216137112351134</x:v>
      </x:c>
      <x:c r="D175" s="22" t="n">
        <x:f>IF(F174&gt;0,D174,E174)</x:f>
        <x:v>0.26216137121082284</x:v>
      </x:c>
      <x:c r="E175" s="22" t="n">
        <x:f>AVERAGE(C175:D175)</x:f>
        <x:v>0.2621613711671671</x:v>
      </x:c>
      <x:c r="F175" s="24" t="n">
        <x:f>SUM(EXP(-E175*E2_tabla_vida!$X$128)*E2_tabla_vida!$P$128,EXP(-E175*E2_tabla_vida!$X$129)*E2_tabla_vida!$P$129,EXP(-E175*E2_tabla_vida!$X$130)*E2_tabla_vida!$P$130,EXP(-E175*E2_tabla_vida!$X$131)*E2_tabla_vida!$P$131,EXP(-E175*E2_tabla_vida!$X$132)*E2_tabla_vida!$P$132,EXP(-E175*E2_tabla_vida!$X$133)*E2_tabla_vida!$P$133,EXP(-E175*E2_tabla_vida!$X$134)*E2_tabla_vida!$P$134,EXP(-E175*E2_tabla_vida!$X$135)*E2_tabla_vida!$P$135,EXP(-E175*E2_tabla_vida!$X$136)*E2_tabla_vida!$P$136,EXP(-E175*E2_tabla_vida!$X$137)*E2_tabla_vida!$P$137,EXP(-E175*E2_tabla_vida!$X$138)*E2_tabla_vida!$P$138,EXP(-E175*E2_tabla_vida!$X$139)*E2_tabla_vida!$P$139,EXP(-E175*E2_tabla_vida!$X$140)*E2_tabla_vida!$P$140,EXP(-E175*E2_tabla_vida!$X$141)*E2_tabla_vida!$P$141,EXP(-E175*E2_tabla_vida!$X$142)*E2_tabla_vida!$P$142,EXP(-E175*E2_tabla_vida!$X$143)*E2_tabla_vida!$P$143,EXP(-E175*E2_tabla_vida!$X$144)*E2_tabla_vida!$P$144,EXP(-E175*E2_tabla_vida!$X$145)*E2_tabla_vida!$P$145,EXP(-E175*E2_tabla_vida!$X$146)*E2_tabla_vida!$P$146,EXP(-E175*E2_tabla_vida!$X$147)*E2_tabla_vida!$P$147,EXP(-E175*E2_tabla_vida!$X$148)*E2_tabla_vida!$P$148,EXP(-E175*E2_tabla_vida!$X$149)*E2_tabla_vida!$P$149,EXP(-E175*E2_tabla_vida!$X$150)*E2_tabla_vida!$P$150,EXP(-E175*E2_tabla_vida!$X$151)*E2_tabla_vida!$P$151,EXP(-E175*E2_tabla_vida!$X$152)*E2_tabla_vida!$P$152,EXP(-E175*E2_tabla_vida!$X$153)*E2_tabla_vida!$P$153,EXP(-E175*E2_tabla_vida!$X$154)*E2_tabla_vida!$P$154,EXP(-E175*E2_tabla_vida!$X$155)*E2_tabla_vida!$P$155,EXP(-E175*E2_tabla_vida!$X$156)*E2_tabla_vida!$P$156,EXP(-E175*E2_tabla_vida!$X$157)*E2_tabla_vida!$P$157,EXP(-E175*E2_tabla_vida!$X$158)*E2_tabla_vida!$P$158,EXP(-E175*E2_tabla_vida!$X$159)*E2_tabla_vida!$P$159,EXP(-E175*E2_tabla_vida!$X$160)*E2_tabla_vida!$P$160,EXP(-E175*E2_tabla_vida!$X$161)*E2_tabla_vida!$P$161,EXP(-E175*E2_tabla_vida!$X$162)*E2_tabla_vida!$P$162,EXP(-E175*E2_tabla_vida!$X$163)*E2_tabla_vida!$P$163,EXP(-E175*E2_tabla_vida!$X$164)*E2_tabla_vida!$P$164,EXP(-E175*E2_tabla_vida!$X$165)*E2_tabla_vida!$P$165,EXP(-E175*E2_tabla_vida!$X$166)*E2_tabla_vida!$P$166,EXP(-E175*E2_tabla_vida!$X$167)*E2_tabla_vida!$P$167,EXP(-E175*E2_tabla_vida!$X$168)*E2_tabla_vida!$P$168,EXP(-E175*E2_tabla_vida!$X$169)*E2_tabla_vida!$P$169)-1</x:f>
        <x:v>1.2725309694872067e-10</x:v>
      </x:c>
      <x:c r="G175" s="24" t="n">
        <x:f>SUM(EXP(-C175*E2_tabla_vida!$X$128)*E2_tabla_vida!$P$128,EXP(-C175*E2_tabla_vida!$X$129)*E2_tabla_vida!$P$129,EXP(-C175*E2_tabla_vida!$X$130)*E2_tabla_vida!$P$130,EXP(-C175*E2_tabla_vida!$X$131)*E2_tabla_vida!$P$131,EXP(-C175*E2_tabla_vida!$X$132)*E2_tabla_vida!$P$132,EXP(-C175*E2_tabla_vida!$X$133)*E2_tabla_vida!$P$133,EXP(-C175*E2_tabla_vida!$X$134)*E2_tabla_vida!$P$134,EXP(-C175*E2_tabla_vida!$X$135)*E2_tabla_vida!$P$135,EXP(-C175*E2_tabla_vida!$X$136)*E2_tabla_vida!$P$136,EXP(-C175*E2_tabla_vida!$X$137)*E2_tabla_vida!$P$137,EXP(-C175*E2_tabla_vida!$X$138)*E2_tabla_vida!$P$138,EXP(-C175*E2_tabla_vida!$X$139)*E2_tabla_vida!$P$139,EXP(-C175*E2_tabla_vida!$X$140)*E2_tabla_vida!$P$140,EXP(-C175*E2_tabla_vida!$X$141)*E2_tabla_vida!$P$141,EXP(-C175*E2_tabla_vida!$X$142)*E2_tabla_vida!$P$142,EXP(-C175*E2_tabla_vida!$X$143)*E2_tabla_vida!$P$143,EXP(-C175*E2_tabla_vida!$X$144)*E2_tabla_vida!$P$144,EXP(-C175*E2_tabla_vida!$X$145)*E2_tabla_vida!$P$145,EXP(-C175*E2_tabla_vida!$X$146)*E2_tabla_vida!$P$146,EXP(-C175*E2_tabla_vida!$X$147)*E2_tabla_vida!$P$147,EXP(-C175*E2_tabla_vida!$X$148)*E2_tabla_vida!$P$148,EXP(-C175*E2_tabla_vida!$X$149)*E2_tabla_vida!$P$149,EXP(-C175*E2_tabla_vida!$X$150)*E2_tabla_vida!$P$150,EXP(-C175*E2_tabla_vida!$X$151)*E2_tabla_vida!$P$151,EXP(-C175*E2_tabla_vida!$X$152)*E2_tabla_vida!$P$152,EXP(-C175*E2_tabla_vida!$X$153)*E2_tabla_vida!$P$153,EXP(-C175*E2_tabla_vida!$X$154)*E2_tabla_vida!$P$154,EXP(-C175*E2_tabla_vida!$X$155)*E2_tabla_vida!$P$155,EXP(-C175*E2_tabla_vida!$X$156)*E2_tabla_vida!$P$156,EXP(-C175*E2_tabla_vida!$X$157)*E2_tabla_vida!$P$157,EXP(-C175*E2_tabla_vida!$X$158)*E2_tabla_vida!$P$158,EXP(-C175*E2_tabla_vida!$X$159)*E2_tabla_vida!$P$159,EXP(-C175*E2_tabla_vida!$X$160)*E2_tabla_vida!$P$160,EXP(-C175*E2_tabla_vida!$X$161)*E2_tabla_vida!$P$161,EXP(-C175*E2_tabla_vida!$X$162)*E2_tabla_vida!$P$162,EXP(-C175*E2_tabla_vida!$X$163)*E2_tabla_vida!$P$163,EXP(-C175*E2_tabla_vida!$X$164)*E2_tabla_vida!$P$164,EXP(-C175*E2_tabla_vida!$X$165)*E2_tabla_vida!$P$165,EXP(-C175*E2_tabla_vida!$X$166)*E2_tabla_vida!$P$166,EXP(-C175*E2_tabla_vida!$X$167)*E2_tabla_vida!$P$167,EXP(-C175*E2_tabla_vida!$X$168)*E2_tabla_vida!$P$168,EXP(-C175*E2_tabla_vida!$X$169)*E2_tabla_vida!$P$169)-1</x:f>
        <x:v>6.802087781920818e-10</x:v>
      </x:c>
      <x:c r="H175" s="24" t="n">
        <x:f>SUM(EXP(-D175*E2_tabla_vida!$X$128)*E2_tabla_vida!$P$128,EXP(-D175*E2_tabla_vida!$X$129)*E2_tabla_vida!$P$129,EXP(-D175*E2_tabla_vida!$X$130)*E2_tabla_vida!$P$130,EXP(-D175*E2_tabla_vida!$X$131)*E2_tabla_vida!$P$131,EXP(-D175*E2_tabla_vida!$X$132)*E2_tabla_vida!$P$132,EXP(-D175*E2_tabla_vida!$X$133)*E2_tabla_vida!$P$133,EXP(-D175*E2_tabla_vida!$X$134)*E2_tabla_vida!$P$134,EXP(-D175*E2_tabla_vida!$X$135)*E2_tabla_vida!$P$135,EXP(-D175*E2_tabla_vida!$X$136)*E2_tabla_vida!$P$136,EXP(-D175*E2_tabla_vida!$X$137)*E2_tabla_vida!$P$137,EXP(-D175*E2_tabla_vida!$X$138)*E2_tabla_vida!$P$138,EXP(-D175*E2_tabla_vida!$X$139)*E2_tabla_vida!$P$139,EXP(-D175*E2_tabla_vida!$X$140)*E2_tabla_vida!$P$140,EXP(-D175*E2_tabla_vida!$X$141)*E2_tabla_vida!$P$141,EXP(-D175*E2_tabla_vida!$X$142)*E2_tabla_vida!$P$142,EXP(-D175*E2_tabla_vida!$X$143)*E2_tabla_vida!$P$143,EXP(-D175*E2_tabla_vida!$X$144)*E2_tabla_vida!$P$144,EXP(-D175*E2_tabla_vida!$X$145)*E2_tabla_vida!$P$145,EXP(-D175*E2_tabla_vida!$X$146)*E2_tabla_vida!$P$146,EXP(-D175*E2_tabla_vida!$X$147)*E2_tabla_vida!$P$147,EXP(-D175*E2_tabla_vida!$X$148)*E2_tabla_vida!$P$148,EXP(-D175*E2_tabla_vida!$X$149)*E2_tabla_vida!$P$149,EXP(-D175*E2_tabla_vida!$X$150)*E2_tabla_vida!$P$150,EXP(-D175*E2_tabla_vida!$X$151)*E2_tabla_vida!$P$151,EXP(-D175*E2_tabla_vida!$X$152)*E2_tabla_vida!$P$152,EXP(-D175*E2_tabla_vida!$X$153)*E2_tabla_vida!$P$153,EXP(-D175*E2_tabla_vida!$X$154)*E2_tabla_vida!$P$154,EXP(-D175*E2_tabla_vida!$X$155)*E2_tabla_vida!$P$155,EXP(-D175*E2_tabla_vida!$X$156)*E2_tabla_vida!$P$156,EXP(-D175*E2_tabla_vida!$X$157)*E2_tabla_vida!$P$157,EXP(-D175*E2_tabla_vida!$X$158)*E2_tabla_vida!$P$158,EXP(-D175*E2_tabla_vida!$X$159)*E2_tabla_vida!$P$159,EXP(-D175*E2_tabla_vida!$X$160)*E2_tabla_vida!$P$160,EXP(-D175*E2_tabla_vida!$X$161)*E2_tabla_vida!$P$161,EXP(-D175*E2_tabla_vida!$X$162)*E2_tabla_vida!$P$162,EXP(-D175*E2_tabla_vida!$X$163)*E2_tabla_vida!$P$163,EXP(-D175*E2_tabla_vida!$X$164)*E2_tabla_vida!$P$164,EXP(-D175*E2_tabla_vida!$X$165)*E2_tabla_vida!$P$165,EXP(-D175*E2_tabla_vida!$X$166)*E2_tabla_vida!$P$166,EXP(-D175*E2_tabla_vida!$X$167)*E2_tabla_vida!$P$167,EXP(-D175*E2_tabla_vida!$X$168)*E2_tabla_vida!$P$168,EXP(-D175*E2_tabla_vida!$X$169)*E2_tabla_vida!$P$169)-1</x:f>
        <x:v>-4.2570202918312816e-10</x:v>
      </x:c>
    </x:row>
    <x:row r="176" ht="19" customHeight="1">
      <x:c r="A176" s="2" t="str">
        <x:v>BB_L0</x:v>
      </x:c>
      <x:c r="B176" s="2" t="n">
        <x:v>36</x:v>
      </x:c>
      <x:c r="C176" s="22" t="n">
        <x:f>IF(F175&gt;0,E175,C175)</x:f>
        <x:v>0.2621613711671671</x:v>
      </x:c>
      <x:c r="D176" s="22" t="n">
        <x:f>IF(F175&gt;0,D175,E175)</x:f>
        <x:v>0.26216137121082284</x:v>
      </x:c>
      <x:c r="E176" s="22" t="n">
        <x:f>AVERAGE(C176:D176)</x:f>
        <x:v>0.26216137118899496</x:v>
      </x:c>
      <x:c r="F176" s="24" t="n">
        <x:f>SUM(EXP(-E176*E2_tabla_vida!$X$128)*E2_tabla_vida!$P$128,EXP(-E176*E2_tabla_vida!$X$129)*E2_tabla_vida!$P$129,EXP(-E176*E2_tabla_vida!$X$130)*E2_tabla_vida!$P$130,EXP(-E176*E2_tabla_vida!$X$131)*E2_tabla_vida!$P$131,EXP(-E176*E2_tabla_vida!$X$132)*E2_tabla_vida!$P$132,EXP(-E176*E2_tabla_vida!$X$133)*E2_tabla_vida!$P$133,EXP(-E176*E2_tabla_vida!$X$134)*E2_tabla_vida!$P$134,EXP(-E176*E2_tabla_vida!$X$135)*E2_tabla_vida!$P$135,EXP(-E176*E2_tabla_vida!$X$136)*E2_tabla_vida!$P$136,EXP(-E176*E2_tabla_vida!$X$137)*E2_tabla_vida!$P$137,EXP(-E176*E2_tabla_vida!$X$138)*E2_tabla_vida!$P$138,EXP(-E176*E2_tabla_vida!$X$139)*E2_tabla_vida!$P$139,EXP(-E176*E2_tabla_vida!$X$140)*E2_tabla_vida!$P$140,EXP(-E176*E2_tabla_vida!$X$141)*E2_tabla_vida!$P$141,EXP(-E176*E2_tabla_vida!$X$142)*E2_tabla_vida!$P$142,EXP(-E176*E2_tabla_vida!$X$143)*E2_tabla_vida!$P$143,EXP(-E176*E2_tabla_vida!$X$144)*E2_tabla_vida!$P$144,EXP(-E176*E2_tabla_vida!$X$145)*E2_tabla_vida!$P$145,EXP(-E176*E2_tabla_vida!$X$146)*E2_tabla_vida!$P$146,EXP(-E176*E2_tabla_vida!$X$147)*E2_tabla_vida!$P$147,EXP(-E176*E2_tabla_vida!$X$148)*E2_tabla_vida!$P$148,EXP(-E176*E2_tabla_vida!$X$149)*E2_tabla_vida!$P$149,EXP(-E176*E2_tabla_vida!$X$150)*E2_tabla_vida!$P$150,EXP(-E176*E2_tabla_vida!$X$151)*E2_tabla_vida!$P$151,EXP(-E176*E2_tabla_vida!$X$152)*E2_tabla_vida!$P$152,EXP(-E176*E2_tabla_vida!$X$153)*E2_tabla_vida!$P$153,EXP(-E176*E2_tabla_vida!$X$154)*E2_tabla_vida!$P$154,EXP(-E176*E2_tabla_vida!$X$155)*E2_tabla_vida!$P$155,EXP(-E176*E2_tabla_vida!$X$156)*E2_tabla_vida!$P$156,EXP(-E176*E2_tabla_vida!$X$157)*E2_tabla_vida!$P$157,EXP(-E176*E2_tabla_vida!$X$158)*E2_tabla_vida!$P$158,EXP(-E176*E2_tabla_vida!$X$159)*E2_tabla_vida!$P$159,EXP(-E176*E2_tabla_vida!$X$160)*E2_tabla_vida!$P$160,EXP(-E176*E2_tabla_vida!$X$161)*E2_tabla_vida!$P$161,EXP(-E176*E2_tabla_vida!$X$162)*E2_tabla_vida!$P$162,EXP(-E176*E2_tabla_vida!$X$163)*E2_tabla_vida!$P$163,EXP(-E176*E2_tabla_vida!$X$164)*E2_tabla_vida!$P$164,EXP(-E176*E2_tabla_vida!$X$165)*E2_tabla_vida!$P$165,EXP(-E176*E2_tabla_vida!$X$166)*E2_tabla_vida!$P$166,EXP(-E176*E2_tabla_vida!$X$167)*E2_tabla_vida!$P$167,EXP(-E176*E2_tabla_vida!$X$168)*E2_tabla_vida!$P$168,EXP(-E176*E2_tabla_vida!$X$169)*E2_tabla_vida!$P$169)-1</x:f>
        <x:v>-1.4922452162835498e-10</x:v>
      </x:c>
      <x:c r="G176" s="24" t="n">
        <x:f>SUM(EXP(-C176*E2_tabla_vida!$X$128)*E2_tabla_vida!$P$128,EXP(-C176*E2_tabla_vida!$X$129)*E2_tabla_vida!$P$129,EXP(-C176*E2_tabla_vida!$X$130)*E2_tabla_vida!$P$130,EXP(-C176*E2_tabla_vida!$X$131)*E2_tabla_vida!$P$131,EXP(-C176*E2_tabla_vida!$X$132)*E2_tabla_vida!$P$132,EXP(-C176*E2_tabla_vida!$X$133)*E2_tabla_vida!$P$133,EXP(-C176*E2_tabla_vida!$X$134)*E2_tabla_vida!$P$134,EXP(-C176*E2_tabla_vida!$X$135)*E2_tabla_vida!$P$135,EXP(-C176*E2_tabla_vida!$X$136)*E2_tabla_vida!$P$136,EXP(-C176*E2_tabla_vida!$X$137)*E2_tabla_vida!$P$137,EXP(-C176*E2_tabla_vida!$X$138)*E2_tabla_vida!$P$138,EXP(-C176*E2_tabla_vida!$X$139)*E2_tabla_vida!$P$139,EXP(-C176*E2_tabla_vida!$X$140)*E2_tabla_vida!$P$140,EXP(-C176*E2_tabla_vida!$X$141)*E2_tabla_vida!$P$141,EXP(-C176*E2_tabla_vida!$X$142)*E2_tabla_vida!$P$142,EXP(-C176*E2_tabla_vida!$X$143)*E2_tabla_vida!$P$143,EXP(-C176*E2_tabla_vida!$X$144)*E2_tabla_vida!$P$144,EXP(-C176*E2_tabla_vida!$X$145)*E2_tabla_vida!$P$145,EXP(-C176*E2_tabla_vida!$X$146)*E2_tabla_vida!$P$146,EXP(-C176*E2_tabla_vida!$X$147)*E2_tabla_vida!$P$147,EXP(-C176*E2_tabla_vida!$X$148)*E2_tabla_vida!$P$148,EXP(-C176*E2_tabla_vida!$X$149)*E2_tabla_vida!$P$149,EXP(-C176*E2_tabla_vida!$X$150)*E2_tabla_vida!$P$150,EXP(-C176*E2_tabla_vida!$X$151)*E2_tabla_vida!$P$151,EXP(-C176*E2_tabla_vida!$X$152)*E2_tabla_vida!$P$152,EXP(-C176*E2_tabla_vida!$X$153)*E2_tabla_vida!$P$153,EXP(-C176*E2_tabla_vida!$X$154)*E2_tabla_vida!$P$154,EXP(-C176*E2_tabla_vida!$X$155)*E2_tabla_vida!$P$155,EXP(-C176*E2_tabla_vida!$X$156)*E2_tabla_vida!$P$156,EXP(-C176*E2_tabla_vida!$X$157)*E2_tabla_vida!$P$157,EXP(-C176*E2_tabla_vida!$X$158)*E2_tabla_vida!$P$158,EXP(-C176*E2_tabla_vida!$X$159)*E2_tabla_vida!$P$159,EXP(-C176*E2_tabla_vida!$X$160)*E2_tabla_vida!$P$160,EXP(-C176*E2_tabla_vida!$X$161)*E2_tabla_vida!$P$161,EXP(-C176*E2_tabla_vida!$X$162)*E2_tabla_vida!$P$162,EXP(-C176*E2_tabla_vida!$X$163)*E2_tabla_vida!$P$163,EXP(-C176*E2_tabla_vida!$X$164)*E2_tabla_vida!$P$164,EXP(-C176*E2_tabla_vida!$X$165)*E2_tabla_vida!$P$165,EXP(-C176*E2_tabla_vida!$X$166)*E2_tabla_vida!$P$166,EXP(-C176*E2_tabla_vida!$X$167)*E2_tabla_vida!$P$167,EXP(-C176*E2_tabla_vida!$X$168)*E2_tabla_vida!$P$168,EXP(-C176*E2_tabla_vida!$X$169)*E2_tabla_vida!$P$169)-1</x:f>
        <x:v>1.2725309694872067e-10</x:v>
      </x:c>
      <x:c r="H176" s="24" t="n">
        <x:f>SUM(EXP(-D176*E2_tabla_vida!$X$128)*E2_tabla_vida!$P$128,EXP(-D176*E2_tabla_vida!$X$129)*E2_tabla_vida!$P$129,EXP(-D176*E2_tabla_vida!$X$130)*E2_tabla_vida!$P$130,EXP(-D176*E2_tabla_vida!$X$131)*E2_tabla_vida!$P$131,EXP(-D176*E2_tabla_vida!$X$132)*E2_tabla_vida!$P$132,EXP(-D176*E2_tabla_vida!$X$133)*E2_tabla_vida!$P$133,EXP(-D176*E2_tabla_vida!$X$134)*E2_tabla_vida!$P$134,EXP(-D176*E2_tabla_vida!$X$135)*E2_tabla_vida!$P$135,EXP(-D176*E2_tabla_vida!$X$136)*E2_tabla_vida!$P$136,EXP(-D176*E2_tabla_vida!$X$137)*E2_tabla_vida!$P$137,EXP(-D176*E2_tabla_vida!$X$138)*E2_tabla_vida!$P$138,EXP(-D176*E2_tabla_vida!$X$139)*E2_tabla_vida!$P$139,EXP(-D176*E2_tabla_vida!$X$140)*E2_tabla_vida!$P$140,EXP(-D176*E2_tabla_vida!$X$141)*E2_tabla_vida!$P$141,EXP(-D176*E2_tabla_vida!$X$142)*E2_tabla_vida!$P$142,EXP(-D176*E2_tabla_vida!$X$143)*E2_tabla_vida!$P$143,EXP(-D176*E2_tabla_vida!$X$144)*E2_tabla_vida!$P$144,EXP(-D176*E2_tabla_vida!$X$145)*E2_tabla_vida!$P$145,EXP(-D176*E2_tabla_vida!$X$146)*E2_tabla_vida!$P$146,EXP(-D176*E2_tabla_vida!$X$147)*E2_tabla_vida!$P$147,EXP(-D176*E2_tabla_vida!$X$148)*E2_tabla_vida!$P$148,EXP(-D176*E2_tabla_vida!$X$149)*E2_tabla_vida!$P$149,EXP(-D176*E2_tabla_vida!$X$150)*E2_tabla_vida!$P$150,EXP(-D176*E2_tabla_vida!$X$151)*E2_tabla_vida!$P$151,EXP(-D176*E2_tabla_vida!$X$152)*E2_tabla_vida!$P$152,EXP(-D176*E2_tabla_vida!$X$153)*E2_tabla_vida!$P$153,EXP(-D176*E2_tabla_vida!$X$154)*E2_tabla_vida!$P$154,EXP(-D176*E2_tabla_vida!$X$155)*E2_tabla_vida!$P$155,EXP(-D176*E2_tabla_vida!$X$156)*E2_tabla_vida!$P$156,EXP(-D176*E2_tabla_vida!$X$157)*E2_tabla_vida!$P$157,EXP(-D176*E2_tabla_vida!$X$158)*E2_tabla_vida!$P$158,EXP(-D176*E2_tabla_vida!$X$159)*E2_tabla_vida!$P$159,EXP(-D176*E2_tabla_vida!$X$160)*E2_tabla_vida!$P$160,EXP(-D176*E2_tabla_vida!$X$161)*E2_tabla_vida!$P$161,EXP(-D176*E2_tabla_vida!$X$162)*E2_tabla_vida!$P$162,EXP(-D176*E2_tabla_vida!$X$163)*E2_tabla_vida!$P$163,EXP(-D176*E2_tabla_vida!$X$164)*E2_tabla_vida!$P$164,EXP(-D176*E2_tabla_vida!$X$165)*E2_tabla_vida!$P$165,EXP(-D176*E2_tabla_vida!$X$166)*E2_tabla_vida!$P$166,EXP(-D176*E2_tabla_vida!$X$167)*E2_tabla_vida!$P$167,EXP(-D176*E2_tabla_vida!$X$168)*E2_tabla_vida!$P$168,EXP(-D176*E2_tabla_vida!$X$169)*E2_tabla_vida!$P$169)-1</x:f>
        <x:v>-4.2570202918312816e-10</x:v>
      </x:c>
    </x:row>
    <x:row r="177" ht="19" customHeight="1">
      <x:c r="A177" s="2" t="str">
        <x:v>BB_L0</x:v>
      </x:c>
      <x:c r="B177" s="2" t="n">
        <x:v>37</x:v>
      </x:c>
      <x:c r="C177" s="22" t="n">
        <x:f>IF(F176&gt;0,E176,C176)</x:f>
        <x:v>0.2621613711671671</x:v>
      </x:c>
      <x:c r="D177" s="22" t="n">
        <x:f>IF(F176&gt;0,D176,E176)</x:f>
        <x:v>0.26216137118899496</x:v>
      </x:c>
      <x:c r="E177" s="22" t="n">
        <x:f>AVERAGE(C177:D177)</x:f>
        <x:v>0.262161371178081</x:v>
      </x:c>
      <x:c r="F177" s="24" t="n">
        <x:f>SUM(EXP(-E177*E2_tabla_vida!$X$128)*E2_tabla_vida!$P$128,EXP(-E177*E2_tabla_vida!$X$129)*E2_tabla_vida!$P$129,EXP(-E177*E2_tabla_vida!$X$130)*E2_tabla_vida!$P$130,EXP(-E177*E2_tabla_vida!$X$131)*E2_tabla_vida!$P$131,EXP(-E177*E2_tabla_vida!$X$132)*E2_tabla_vida!$P$132,EXP(-E177*E2_tabla_vida!$X$133)*E2_tabla_vida!$P$133,EXP(-E177*E2_tabla_vida!$X$134)*E2_tabla_vida!$P$134,EXP(-E177*E2_tabla_vida!$X$135)*E2_tabla_vida!$P$135,EXP(-E177*E2_tabla_vida!$X$136)*E2_tabla_vida!$P$136,EXP(-E177*E2_tabla_vida!$X$137)*E2_tabla_vida!$P$137,EXP(-E177*E2_tabla_vida!$X$138)*E2_tabla_vida!$P$138,EXP(-E177*E2_tabla_vida!$X$139)*E2_tabla_vida!$P$139,EXP(-E177*E2_tabla_vida!$X$140)*E2_tabla_vida!$P$140,EXP(-E177*E2_tabla_vida!$X$141)*E2_tabla_vida!$P$141,EXP(-E177*E2_tabla_vida!$X$142)*E2_tabla_vida!$P$142,EXP(-E177*E2_tabla_vida!$X$143)*E2_tabla_vida!$P$143,EXP(-E177*E2_tabla_vida!$X$144)*E2_tabla_vida!$P$144,EXP(-E177*E2_tabla_vida!$X$145)*E2_tabla_vida!$P$145,EXP(-E177*E2_tabla_vida!$X$146)*E2_tabla_vida!$P$146,EXP(-E177*E2_tabla_vida!$X$147)*E2_tabla_vida!$P$147,EXP(-E177*E2_tabla_vida!$X$148)*E2_tabla_vida!$P$148,EXP(-E177*E2_tabla_vida!$X$149)*E2_tabla_vida!$P$149,EXP(-E177*E2_tabla_vida!$X$150)*E2_tabla_vida!$P$150,EXP(-E177*E2_tabla_vida!$X$151)*E2_tabla_vida!$P$151,EXP(-E177*E2_tabla_vida!$X$152)*E2_tabla_vida!$P$152,EXP(-E177*E2_tabla_vida!$X$153)*E2_tabla_vida!$P$153,EXP(-E177*E2_tabla_vida!$X$154)*E2_tabla_vida!$P$154,EXP(-E177*E2_tabla_vida!$X$155)*E2_tabla_vida!$P$155,EXP(-E177*E2_tabla_vida!$X$156)*E2_tabla_vida!$P$156,EXP(-E177*E2_tabla_vida!$X$157)*E2_tabla_vida!$P$157,EXP(-E177*E2_tabla_vida!$X$158)*E2_tabla_vida!$P$158,EXP(-E177*E2_tabla_vida!$X$159)*E2_tabla_vida!$P$159,EXP(-E177*E2_tabla_vida!$X$160)*E2_tabla_vida!$P$160,EXP(-E177*E2_tabla_vida!$X$161)*E2_tabla_vida!$P$161,EXP(-E177*E2_tabla_vida!$X$162)*E2_tabla_vida!$P$162,EXP(-E177*E2_tabla_vida!$X$163)*E2_tabla_vida!$P$163,EXP(-E177*E2_tabla_vida!$X$164)*E2_tabla_vida!$P$164,EXP(-E177*E2_tabla_vida!$X$165)*E2_tabla_vida!$P$165,EXP(-E177*E2_tabla_vida!$X$166)*E2_tabla_vida!$P$166,EXP(-E177*E2_tabla_vida!$X$167)*E2_tabla_vida!$P$167,EXP(-E177*E2_tabla_vida!$X$168)*E2_tabla_vida!$P$168,EXP(-E177*E2_tabla_vida!$X$169)*E2_tabla_vida!$P$169)-1</x:f>
        <x:v>-1.0985656828665924e-11</x:v>
      </x:c>
      <x:c r="G177" s="24" t="n">
        <x:f>SUM(EXP(-C177*E2_tabla_vida!$X$128)*E2_tabla_vida!$P$128,EXP(-C177*E2_tabla_vida!$X$129)*E2_tabla_vida!$P$129,EXP(-C177*E2_tabla_vida!$X$130)*E2_tabla_vida!$P$130,EXP(-C177*E2_tabla_vida!$X$131)*E2_tabla_vida!$P$131,EXP(-C177*E2_tabla_vida!$X$132)*E2_tabla_vida!$P$132,EXP(-C177*E2_tabla_vida!$X$133)*E2_tabla_vida!$P$133,EXP(-C177*E2_tabla_vida!$X$134)*E2_tabla_vida!$P$134,EXP(-C177*E2_tabla_vida!$X$135)*E2_tabla_vida!$P$135,EXP(-C177*E2_tabla_vida!$X$136)*E2_tabla_vida!$P$136,EXP(-C177*E2_tabla_vida!$X$137)*E2_tabla_vida!$P$137,EXP(-C177*E2_tabla_vida!$X$138)*E2_tabla_vida!$P$138,EXP(-C177*E2_tabla_vida!$X$139)*E2_tabla_vida!$P$139,EXP(-C177*E2_tabla_vida!$X$140)*E2_tabla_vida!$P$140,EXP(-C177*E2_tabla_vida!$X$141)*E2_tabla_vida!$P$141,EXP(-C177*E2_tabla_vida!$X$142)*E2_tabla_vida!$P$142,EXP(-C177*E2_tabla_vida!$X$143)*E2_tabla_vida!$P$143,EXP(-C177*E2_tabla_vida!$X$144)*E2_tabla_vida!$P$144,EXP(-C177*E2_tabla_vida!$X$145)*E2_tabla_vida!$P$145,EXP(-C177*E2_tabla_vida!$X$146)*E2_tabla_vida!$P$146,EXP(-C177*E2_tabla_vida!$X$147)*E2_tabla_vida!$P$147,EXP(-C177*E2_tabla_vida!$X$148)*E2_tabla_vida!$P$148,EXP(-C177*E2_tabla_vida!$X$149)*E2_tabla_vida!$P$149,EXP(-C177*E2_tabla_vida!$X$150)*E2_tabla_vida!$P$150,EXP(-C177*E2_tabla_vida!$X$151)*E2_tabla_vida!$P$151,EXP(-C177*E2_tabla_vida!$X$152)*E2_tabla_vida!$P$152,EXP(-C177*E2_tabla_vida!$X$153)*E2_tabla_vida!$P$153,EXP(-C177*E2_tabla_vida!$X$154)*E2_tabla_vida!$P$154,EXP(-C177*E2_tabla_vida!$X$155)*E2_tabla_vida!$P$155,EXP(-C177*E2_tabla_vida!$X$156)*E2_tabla_vida!$P$156,EXP(-C177*E2_tabla_vida!$X$157)*E2_tabla_vida!$P$157,EXP(-C177*E2_tabla_vida!$X$158)*E2_tabla_vida!$P$158,EXP(-C177*E2_tabla_vida!$X$159)*E2_tabla_vida!$P$159,EXP(-C177*E2_tabla_vida!$X$160)*E2_tabla_vida!$P$160,EXP(-C177*E2_tabla_vida!$X$161)*E2_tabla_vida!$P$161,EXP(-C177*E2_tabla_vida!$X$162)*E2_tabla_vida!$P$162,EXP(-C177*E2_tabla_vida!$X$163)*E2_tabla_vida!$P$163,EXP(-C177*E2_tabla_vida!$X$164)*E2_tabla_vida!$P$164,EXP(-C177*E2_tabla_vida!$X$165)*E2_tabla_vida!$P$165,EXP(-C177*E2_tabla_vida!$X$166)*E2_tabla_vida!$P$166,EXP(-C177*E2_tabla_vida!$X$167)*E2_tabla_vida!$P$167,EXP(-C177*E2_tabla_vida!$X$168)*E2_tabla_vida!$P$168,EXP(-C177*E2_tabla_vida!$X$169)*E2_tabla_vida!$P$169)-1</x:f>
        <x:v>1.2725309694872067e-10</x:v>
      </x:c>
      <x:c r="H177" s="24" t="n">
        <x:f>SUM(EXP(-D177*E2_tabla_vida!$X$128)*E2_tabla_vida!$P$128,EXP(-D177*E2_tabla_vida!$X$129)*E2_tabla_vida!$P$129,EXP(-D177*E2_tabla_vida!$X$130)*E2_tabla_vida!$P$130,EXP(-D177*E2_tabla_vida!$X$131)*E2_tabla_vida!$P$131,EXP(-D177*E2_tabla_vida!$X$132)*E2_tabla_vida!$P$132,EXP(-D177*E2_tabla_vida!$X$133)*E2_tabla_vida!$P$133,EXP(-D177*E2_tabla_vida!$X$134)*E2_tabla_vida!$P$134,EXP(-D177*E2_tabla_vida!$X$135)*E2_tabla_vida!$P$135,EXP(-D177*E2_tabla_vida!$X$136)*E2_tabla_vida!$P$136,EXP(-D177*E2_tabla_vida!$X$137)*E2_tabla_vida!$P$137,EXP(-D177*E2_tabla_vida!$X$138)*E2_tabla_vida!$P$138,EXP(-D177*E2_tabla_vida!$X$139)*E2_tabla_vida!$P$139,EXP(-D177*E2_tabla_vida!$X$140)*E2_tabla_vida!$P$140,EXP(-D177*E2_tabla_vida!$X$141)*E2_tabla_vida!$P$141,EXP(-D177*E2_tabla_vida!$X$142)*E2_tabla_vida!$P$142,EXP(-D177*E2_tabla_vida!$X$143)*E2_tabla_vida!$P$143,EXP(-D177*E2_tabla_vida!$X$144)*E2_tabla_vida!$P$144,EXP(-D177*E2_tabla_vida!$X$145)*E2_tabla_vida!$P$145,EXP(-D177*E2_tabla_vida!$X$146)*E2_tabla_vida!$P$146,EXP(-D177*E2_tabla_vida!$X$147)*E2_tabla_vida!$P$147,EXP(-D177*E2_tabla_vida!$X$148)*E2_tabla_vida!$P$148,EXP(-D177*E2_tabla_vida!$X$149)*E2_tabla_vida!$P$149,EXP(-D177*E2_tabla_vida!$X$150)*E2_tabla_vida!$P$150,EXP(-D177*E2_tabla_vida!$X$151)*E2_tabla_vida!$P$151,EXP(-D177*E2_tabla_vida!$X$152)*E2_tabla_vida!$P$152,EXP(-D177*E2_tabla_vida!$X$153)*E2_tabla_vida!$P$153,EXP(-D177*E2_tabla_vida!$X$154)*E2_tabla_vida!$P$154,EXP(-D177*E2_tabla_vida!$X$155)*E2_tabla_vida!$P$155,EXP(-D177*E2_tabla_vida!$X$156)*E2_tabla_vida!$P$156,EXP(-D177*E2_tabla_vida!$X$157)*E2_tabla_vida!$P$157,EXP(-D177*E2_tabla_vida!$X$158)*E2_tabla_vida!$P$158,EXP(-D177*E2_tabla_vida!$X$159)*E2_tabla_vida!$P$159,EXP(-D177*E2_tabla_vida!$X$160)*E2_tabla_vida!$P$160,EXP(-D177*E2_tabla_vida!$X$161)*E2_tabla_vida!$P$161,EXP(-D177*E2_tabla_vida!$X$162)*E2_tabla_vida!$P$162,EXP(-D177*E2_tabla_vida!$X$163)*E2_tabla_vida!$P$163,EXP(-D177*E2_tabla_vida!$X$164)*E2_tabla_vida!$P$164,EXP(-D177*E2_tabla_vida!$X$165)*E2_tabla_vida!$P$165,EXP(-D177*E2_tabla_vida!$X$166)*E2_tabla_vida!$P$166,EXP(-D177*E2_tabla_vida!$X$167)*E2_tabla_vida!$P$167,EXP(-D177*E2_tabla_vida!$X$168)*E2_tabla_vida!$P$168,EXP(-D177*E2_tabla_vida!$X$169)*E2_tabla_vida!$P$169)-1</x:f>
        <x:v>-1.4922452162835498e-10</x:v>
      </x:c>
    </x:row>
    <x:row r="178" ht="19" customHeight="1">
      <x:c r="A178" s="2" t="str">
        <x:v>BB_L0</x:v>
      </x:c>
      <x:c r="B178" s="2" t="n">
        <x:v>38</x:v>
      </x:c>
      <x:c r="C178" s="22" t="n">
        <x:f>IF(F177&gt;0,E177,C177)</x:f>
        <x:v>0.2621613711671671</x:v>
      </x:c>
      <x:c r="D178" s="22" t="n">
        <x:f>IF(F177&gt;0,D177,E177)</x:f>
        <x:v>0.262161371178081</x:v>
      </x:c>
      <x:c r="E178" s="22" t="n">
        <x:f>AVERAGE(C178:D178)</x:f>
        <x:v>0.26216137117262406</x:v>
      </x:c>
      <x:c r="F178" s="24" t="n">
        <x:f>SUM(EXP(-E178*E2_tabla_vida!$X$128)*E2_tabla_vida!$P$128,EXP(-E178*E2_tabla_vida!$X$129)*E2_tabla_vida!$P$129,EXP(-E178*E2_tabla_vida!$X$130)*E2_tabla_vida!$P$130,EXP(-E178*E2_tabla_vida!$X$131)*E2_tabla_vida!$P$131,EXP(-E178*E2_tabla_vida!$X$132)*E2_tabla_vida!$P$132,EXP(-E178*E2_tabla_vida!$X$133)*E2_tabla_vida!$P$133,EXP(-E178*E2_tabla_vida!$X$134)*E2_tabla_vida!$P$134,EXP(-E178*E2_tabla_vida!$X$135)*E2_tabla_vida!$P$135,EXP(-E178*E2_tabla_vida!$X$136)*E2_tabla_vida!$P$136,EXP(-E178*E2_tabla_vida!$X$137)*E2_tabla_vida!$P$137,EXP(-E178*E2_tabla_vida!$X$138)*E2_tabla_vida!$P$138,EXP(-E178*E2_tabla_vida!$X$139)*E2_tabla_vida!$P$139,EXP(-E178*E2_tabla_vida!$X$140)*E2_tabla_vida!$P$140,EXP(-E178*E2_tabla_vida!$X$141)*E2_tabla_vida!$P$141,EXP(-E178*E2_tabla_vida!$X$142)*E2_tabla_vida!$P$142,EXP(-E178*E2_tabla_vida!$X$143)*E2_tabla_vida!$P$143,EXP(-E178*E2_tabla_vida!$X$144)*E2_tabla_vida!$P$144,EXP(-E178*E2_tabla_vida!$X$145)*E2_tabla_vida!$P$145,EXP(-E178*E2_tabla_vida!$X$146)*E2_tabla_vida!$P$146,EXP(-E178*E2_tabla_vida!$X$147)*E2_tabla_vida!$P$147,EXP(-E178*E2_tabla_vida!$X$148)*E2_tabla_vida!$P$148,EXP(-E178*E2_tabla_vida!$X$149)*E2_tabla_vida!$P$149,EXP(-E178*E2_tabla_vida!$X$150)*E2_tabla_vida!$P$150,EXP(-E178*E2_tabla_vida!$X$151)*E2_tabla_vida!$P$151,EXP(-E178*E2_tabla_vida!$X$152)*E2_tabla_vida!$P$152,EXP(-E178*E2_tabla_vida!$X$153)*E2_tabla_vida!$P$153,EXP(-E178*E2_tabla_vida!$X$154)*E2_tabla_vida!$P$154,EXP(-E178*E2_tabla_vida!$X$155)*E2_tabla_vida!$P$155,EXP(-E178*E2_tabla_vida!$X$156)*E2_tabla_vida!$P$156,EXP(-E178*E2_tabla_vida!$X$157)*E2_tabla_vida!$P$157,EXP(-E178*E2_tabla_vida!$X$158)*E2_tabla_vida!$P$158,EXP(-E178*E2_tabla_vida!$X$159)*E2_tabla_vida!$P$159,EXP(-E178*E2_tabla_vida!$X$160)*E2_tabla_vida!$P$160,EXP(-E178*E2_tabla_vida!$X$161)*E2_tabla_vida!$P$161,EXP(-E178*E2_tabla_vida!$X$162)*E2_tabla_vida!$P$162,EXP(-E178*E2_tabla_vida!$X$163)*E2_tabla_vida!$P$163,EXP(-E178*E2_tabla_vida!$X$164)*E2_tabla_vida!$P$164,EXP(-E178*E2_tabla_vida!$X$165)*E2_tabla_vida!$P$165,EXP(-E178*E2_tabla_vida!$X$166)*E2_tabla_vida!$P$166,EXP(-E178*E2_tabla_vida!$X$167)*E2_tabla_vida!$P$167,EXP(-E178*E2_tabla_vida!$X$168)*E2_tabla_vida!$P$168,EXP(-E178*E2_tabla_vida!$X$169)*E2_tabla_vida!$P$169)-1</x:f>
        <x:v>5.81339421046323e-11</x:v>
      </x:c>
      <x:c r="G178" s="24" t="n">
        <x:f>SUM(EXP(-C178*E2_tabla_vida!$X$128)*E2_tabla_vida!$P$128,EXP(-C178*E2_tabla_vida!$X$129)*E2_tabla_vida!$P$129,EXP(-C178*E2_tabla_vida!$X$130)*E2_tabla_vida!$P$130,EXP(-C178*E2_tabla_vida!$X$131)*E2_tabla_vida!$P$131,EXP(-C178*E2_tabla_vida!$X$132)*E2_tabla_vida!$P$132,EXP(-C178*E2_tabla_vida!$X$133)*E2_tabla_vida!$P$133,EXP(-C178*E2_tabla_vida!$X$134)*E2_tabla_vida!$P$134,EXP(-C178*E2_tabla_vida!$X$135)*E2_tabla_vida!$P$135,EXP(-C178*E2_tabla_vida!$X$136)*E2_tabla_vida!$P$136,EXP(-C178*E2_tabla_vida!$X$137)*E2_tabla_vida!$P$137,EXP(-C178*E2_tabla_vida!$X$138)*E2_tabla_vida!$P$138,EXP(-C178*E2_tabla_vida!$X$139)*E2_tabla_vida!$P$139,EXP(-C178*E2_tabla_vida!$X$140)*E2_tabla_vida!$P$140,EXP(-C178*E2_tabla_vida!$X$141)*E2_tabla_vida!$P$141,EXP(-C178*E2_tabla_vida!$X$142)*E2_tabla_vida!$P$142,EXP(-C178*E2_tabla_vida!$X$143)*E2_tabla_vida!$P$143,EXP(-C178*E2_tabla_vida!$X$144)*E2_tabla_vida!$P$144,EXP(-C178*E2_tabla_vida!$X$145)*E2_tabla_vida!$P$145,EXP(-C178*E2_tabla_vida!$X$146)*E2_tabla_vida!$P$146,EXP(-C178*E2_tabla_vida!$X$147)*E2_tabla_vida!$P$147,EXP(-C178*E2_tabla_vida!$X$148)*E2_tabla_vida!$P$148,EXP(-C178*E2_tabla_vida!$X$149)*E2_tabla_vida!$P$149,EXP(-C178*E2_tabla_vida!$X$150)*E2_tabla_vida!$P$150,EXP(-C178*E2_tabla_vida!$X$151)*E2_tabla_vida!$P$151,EXP(-C178*E2_tabla_vida!$X$152)*E2_tabla_vida!$P$152,EXP(-C178*E2_tabla_vida!$X$153)*E2_tabla_vida!$P$153,EXP(-C178*E2_tabla_vida!$X$154)*E2_tabla_vida!$P$154,EXP(-C178*E2_tabla_vida!$X$155)*E2_tabla_vida!$P$155,EXP(-C178*E2_tabla_vida!$X$156)*E2_tabla_vida!$P$156,EXP(-C178*E2_tabla_vida!$X$157)*E2_tabla_vida!$P$157,EXP(-C178*E2_tabla_vida!$X$158)*E2_tabla_vida!$P$158,EXP(-C178*E2_tabla_vida!$X$159)*E2_tabla_vida!$P$159,EXP(-C178*E2_tabla_vida!$X$160)*E2_tabla_vida!$P$160,EXP(-C178*E2_tabla_vida!$X$161)*E2_tabla_vida!$P$161,EXP(-C178*E2_tabla_vida!$X$162)*E2_tabla_vida!$P$162,EXP(-C178*E2_tabla_vida!$X$163)*E2_tabla_vida!$P$163,EXP(-C178*E2_tabla_vida!$X$164)*E2_tabla_vida!$P$164,EXP(-C178*E2_tabla_vida!$X$165)*E2_tabla_vida!$P$165,EXP(-C178*E2_tabla_vida!$X$166)*E2_tabla_vida!$P$166,EXP(-C178*E2_tabla_vida!$X$167)*E2_tabla_vida!$P$167,EXP(-C178*E2_tabla_vida!$X$168)*E2_tabla_vida!$P$168,EXP(-C178*E2_tabla_vida!$X$169)*E2_tabla_vida!$P$169)-1</x:f>
        <x:v>1.2725309694872067e-10</x:v>
      </x:c>
      <x:c r="H178" s="24" t="n">
        <x:f>SUM(EXP(-D178*E2_tabla_vida!$X$128)*E2_tabla_vida!$P$128,EXP(-D178*E2_tabla_vida!$X$129)*E2_tabla_vida!$P$129,EXP(-D178*E2_tabla_vida!$X$130)*E2_tabla_vida!$P$130,EXP(-D178*E2_tabla_vida!$X$131)*E2_tabla_vida!$P$131,EXP(-D178*E2_tabla_vida!$X$132)*E2_tabla_vida!$P$132,EXP(-D178*E2_tabla_vida!$X$133)*E2_tabla_vida!$P$133,EXP(-D178*E2_tabla_vida!$X$134)*E2_tabla_vida!$P$134,EXP(-D178*E2_tabla_vida!$X$135)*E2_tabla_vida!$P$135,EXP(-D178*E2_tabla_vida!$X$136)*E2_tabla_vida!$P$136,EXP(-D178*E2_tabla_vida!$X$137)*E2_tabla_vida!$P$137,EXP(-D178*E2_tabla_vida!$X$138)*E2_tabla_vida!$P$138,EXP(-D178*E2_tabla_vida!$X$139)*E2_tabla_vida!$P$139,EXP(-D178*E2_tabla_vida!$X$140)*E2_tabla_vida!$P$140,EXP(-D178*E2_tabla_vida!$X$141)*E2_tabla_vida!$P$141,EXP(-D178*E2_tabla_vida!$X$142)*E2_tabla_vida!$P$142,EXP(-D178*E2_tabla_vida!$X$143)*E2_tabla_vida!$P$143,EXP(-D178*E2_tabla_vida!$X$144)*E2_tabla_vida!$P$144,EXP(-D178*E2_tabla_vida!$X$145)*E2_tabla_vida!$P$145,EXP(-D178*E2_tabla_vida!$X$146)*E2_tabla_vida!$P$146,EXP(-D178*E2_tabla_vida!$X$147)*E2_tabla_vida!$P$147,EXP(-D178*E2_tabla_vida!$X$148)*E2_tabla_vida!$P$148,EXP(-D178*E2_tabla_vida!$X$149)*E2_tabla_vida!$P$149,EXP(-D178*E2_tabla_vida!$X$150)*E2_tabla_vida!$P$150,EXP(-D178*E2_tabla_vida!$X$151)*E2_tabla_vida!$P$151,EXP(-D178*E2_tabla_vida!$X$152)*E2_tabla_vida!$P$152,EXP(-D178*E2_tabla_vida!$X$153)*E2_tabla_vida!$P$153,EXP(-D178*E2_tabla_vida!$X$154)*E2_tabla_vida!$P$154,EXP(-D178*E2_tabla_vida!$X$155)*E2_tabla_vida!$P$155,EXP(-D178*E2_tabla_vida!$X$156)*E2_tabla_vida!$P$156,EXP(-D178*E2_tabla_vida!$X$157)*E2_tabla_vida!$P$157,EXP(-D178*E2_tabla_vida!$X$158)*E2_tabla_vida!$P$158,EXP(-D178*E2_tabla_vida!$X$159)*E2_tabla_vida!$P$159,EXP(-D178*E2_tabla_vida!$X$160)*E2_tabla_vida!$P$160,EXP(-D178*E2_tabla_vida!$X$161)*E2_tabla_vida!$P$161,EXP(-D178*E2_tabla_vida!$X$162)*E2_tabla_vida!$P$162,EXP(-D178*E2_tabla_vida!$X$163)*E2_tabla_vida!$P$163,EXP(-D178*E2_tabla_vida!$X$164)*E2_tabla_vida!$P$164,EXP(-D178*E2_tabla_vida!$X$165)*E2_tabla_vida!$P$165,EXP(-D178*E2_tabla_vida!$X$166)*E2_tabla_vida!$P$166,EXP(-D178*E2_tabla_vida!$X$167)*E2_tabla_vida!$P$167,EXP(-D178*E2_tabla_vida!$X$168)*E2_tabla_vida!$P$168,EXP(-D178*E2_tabla_vida!$X$169)*E2_tabla_vida!$P$169)-1</x:f>
        <x:v>-1.0985656828665924e-11</x:v>
      </x:c>
    </x:row>
    <x:row r="179" ht="19" customHeight="1">
      <x:c r="A179" s="2" t="str">
        <x:v>BB_L0</x:v>
      </x:c>
      <x:c r="B179" s="2" t="n">
        <x:v>39</x:v>
      </x:c>
      <x:c r="C179" s="22" t="n">
        <x:f>IF(F178&gt;0,E178,C178)</x:f>
        <x:v>0.26216137117262406</x:v>
      </x:c>
      <x:c r="D179" s="22" t="n">
        <x:f>IF(F178&gt;0,D178,E178)</x:f>
        <x:v>0.262161371178081</x:v>
      </x:c>
      <x:c r="E179" s="22" t="n">
        <x:f>AVERAGE(C179:D179)</x:f>
        <x:v>0.26216137117535254</x:v>
      </x:c>
      <x:c r="F179" s="24" t="n">
        <x:f>SUM(EXP(-E179*E2_tabla_vida!$X$128)*E2_tabla_vida!$P$128,EXP(-E179*E2_tabla_vida!$X$129)*E2_tabla_vida!$P$129,EXP(-E179*E2_tabla_vida!$X$130)*E2_tabla_vida!$P$130,EXP(-E179*E2_tabla_vida!$X$131)*E2_tabla_vida!$P$131,EXP(-E179*E2_tabla_vida!$X$132)*E2_tabla_vida!$P$132,EXP(-E179*E2_tabla_vida!$X$133)*E2_tabla_vida!$P$133,EXP(-E179*E2_tabla_vida!$X$134)*E2_tabla_vida!$P$134,EXP(-E179*E2_tabla_vida!$X$135)*E2_tabla_vida!$P$135,EXP(-E179*E2_tabla_vida!$X$136)*E2_tabla_vida!$P$136,EXP(-E179*E2_tabla_vida!$X$137)*E2_tabla_vida!$P$137,EXP(-E179*E2_tabla_vida!$X$138)*E2_tabla_vida!$P$138,EXP(-E179*E2_tabla_vida!$X$139)*E2_tabla_vida!$P$139,EXP(-E179*E2_tabla_vida!$X$140)*E2_tabla_vida!$P$140,EXP(-E179*E2_tabla_vida!$X$141)*E2_tabla_vida!$P$141,EXP(-E179*E2_tabla_vida!$X$142)*E2_tabla_vida!$P$142,EXP(-E179*E2_tabla_vida!$X$143)*E2_tabla_vida!$P$143,EXP(-E179*E2_tabla_vida!$X$144)*E2_tabla_vida!$P$144,EXP(-E179*E2_tabla_vida!$X$145)*E2_tabla_vida!$P$145,EXP(-E179*E2_tabla_vida!$X$146)*E2_tabla_vida!$P$146,EXP(-E179*E2_tabla_vida!$X$147)*E2_tabla_vida!$P$147,EXP(-E179*E2_tabla_vida!$X$148)*E2_tabla_vida!$P$148,EXP(-E179*E2_tabla_vida!$X$149)*E2_tabla_vida!$P$149,EXP(-E179*E2_tabla_vida!$X$150)*E2_tabla_vida!$P$150,EXP(-E179*E2_tabla_vida!$X$151)*E2_tabla_vida!$P$151,EXP(-E179*E2_tabla_vida!$X$152)*E2_tabla_vida!$P$152,EXP(-E179*E2_tabla_vida!$X$153)*E2_tabla_vida!$P$153,EXP(-E179*E2_tabla_vida!$X$154)*E2_tabla_vida!$P$154,EXP(-E179*E2_tabla_vida!$X$155)*E2_tabla_vida!$P$155,EXP(-E179*E2_tabla_vida!$X$156)*E2_tabla_vida!$P$156,EXP(-E179*E2_tabla_vida!$X$157)*E2_tabla_vida!$P$157,EXP(-E179*E2_tabla_vida!$X$158)*E2_tabla_vida!$P$158,EXP(-E179*E2_tabla_vida!$X$159)*E2_tabla_vida!$P$159,EXP(-E179*E2_tabla_vida!$X$160)*E2_tabla_vida!$P$160,EXP(-E179*E2_tabla_vida!$X$161)*E2_tabla_vida!$P$161,EXP(-E179*E2_tabla_vida!$X$162)*E2_tabla_vida!$P$162,EXP(-E179*E2_tabla_vida!$X$163)*E2_tabla_vida!$P$163,EXP(-E179*E2_tabla_vida!$X$164)*E2_tabla_vida!$P$164,EXP(-E179*E2_tabla_vida!$X$165)*E2_tabla_vida!$P$165,EXP(-E179*E2_tabla_vida!$X$166)*E2_tabla_vida!$P$166,EXP(-E179*E2_tabla_vida!$X$167)*E2_tabla_vida!$P$167,EXP(-E179*E2_tabla_vida!$X$168)*E2_tabla_vida!$P$168,EXP(-E179*E2_tabla_vida!$X$169)*E2_tabla_vida!$P$169)-1</x:f>
        <x:v>2.3574031615680724e-11</x:v>
      </x:c>
      <x:c r="G179" s="24" t="n">
        <x:f>SUM(EXP(-C179*E2_tabla_vida!$X$128)*E2_tabla_vida!$P$128,EXP(-C179*E2_tabla_vida!$X$129)*E2_tabla_vida!$P$129,EXP(-C179*E2_tabla_vida!$X$130)*E2_tabla_vida!$P$130,EXP(-C179*E2_tabla_vida!$X$131)*E2_tabla_vida!$P$131,EXP(-C179*E2_tabla_vida!$X$132)*E2_tabla_vida!$P$132,EXP(-C179*E2_tabla_vida!$X$133)*E2_tabla_vida!$P$133,EXP(-C179*E2_tabla_vida!$X$134)*E2_tabla_vida!$P$134,EXP(-C179*E2_tabla_vida!$X$135)*E2_tabla_vida!$P$135,EXP(-C179*E2_tabla_vida!$X$136)*E2_tabla_vida!$P$136,EXP(-C179*E2_tabla_vida!$X$137)*E2_tabla_vida!$P$137,EXP(-C179*E2_tabla_vida!$X$138)*E2_tabla_vida!$P$138,EXP(-C179*E2_tabla_vida!$X$139)*E2_tabla_vida!$P$139,EXP(-C179*E2_tabla_vida!$X$140)*E2_tabla_vida!$P$140,EXP(-C179*E2_tabla_vida!$X$141)*E2_tabla_vida!$P$141,EXP(-C179*E2_tabla_vida!$X$142)*E2_tabla_vida!$P$142,EXP(-C179*E2_tabla_vida!$X$143)*E2_tabla_vida!$P$143,EXP(-C179*E2_tabla_vida!$X$144)*E2_tabla_vida!$P$144,EXP(-C179*E2_tabla_vida!$X$145)*E2_tabla_vida!$P$145,EXP(-C179*E2_tabla_vida!$X$146)*E2_tabla_vida!$P$146,EXP(-C179*E2_tabla_vida!$X$147)*E2_tabla_vida!$P$147,EXP(-C179*E2_tabla_vida!$X$148)*E2_tabla_vida!$P$148,EXP(-C179*E2_tabla_vida!$X$149)*E2_tabla_vida!$P$149,EXP(-C179*E2_tabla_vida!$X$150)*E2_tabla_vida!$P$150,EXP(-C179*E2_tabla_vida!$X$151)*E2_tabla_vida!$P$151,EXP(-C179*E2_tabla_vida!$X$152)*E2_tabla_vida!$P$152,EXP(-C179*E2_tabla_vida!$X$153)*E2_tabla_vida!$P$153,EXP(-C179*E2_tabla_vida!$X$154)*E2_tabla_vida!$P$154,EXP(-C179*E2_tabla_vida!$X$155)*E2_tabla_vida!$P$155,EXP(-C179*E2_tabla_vida!$X$156)*E2_tabla_vida!$P$156,EXP(-C179*E2_tabla_vida!$X$157)*E2_tabla_vida!$P$157,EXP(-C179*E2_tabla_vida!$X$158)*E2_tabla_vida!$P$158,EXP(-C179*E2_tabla_vida!$X$159)*E2_tabla_vida!$P$159,EXP(-C179*E2_tabla_vida!$X$160)*E2_tabla_vida!$P$160,EXP(-C179*E2_tabla_vida!$X$161)*E2_tabla_vida!$P$161,EXP(-C179*E2_tabla_vida!$X$162)*E2_tabla_vida!$P$162,EXP(-C179*E2_tabla_vida!$X$163)*E2_tabla_vida!$P$163,EXP(-C179*E2_tabla_vida!$X$164)*E2_tabla_vida!$P$164,EXP(-C179*E2_tabla_vida!$X$165)*E2_tabla_vida!$P$165,EXP(-C179*E2_tabla_vida!$X$166)*E2_tabla_vida!$P$166,EXP(-C179*E2_tabla_vida!$X$167)*E2_tabla_vida!$P$167,EXP(-C179*E2_tabla_vida!$X$168)*E2_tabla_vida!$P$168,EXP(-C179*E2_tabla_vida!$X$169)*E2_tabla_vida!$P$169)-1</x:f>
        <x:v>5.81339421046323e-11</x:v>
      </x:c>
      <x:c r="H179" s="24" t="n">
        <x:f>SUM(EXP(-D179*E2_tabla_vida!$X$128)*E2_tabla_vida!$P$128,EXP(-D179*E2_tabla_vida!$X$129)*E2_tabla_vida!$P$129,EXP(-D179*E2_tabla_vida!$X$130)*E2_tabla_vida!$P$130,EXP(-D179*E2_tabla_vida!$X$131)*E2_tabla_vida!$P$131,EXP(-D179*E2_tabla_vida!$X$132)*E2_tabla_vida!$P$132,EXP(-D179*E2_tabla_vida!$X$133)*E2_tabla_vida!$P$133,EXP(-D179*E2_tabla_vida!$X$134)*E2_tabla_vida!$P$134,EXP(-D179*E2_tabla_vida!$X$135)*E2_tabla_vida!$P$135,EXP(-D179*E2_tabla_vida!$X$136)*E2_tabla_vida!$P$136,EXP(-D179*E2_tabla_vida!$X$137)*E2_tabla_vida!$P$137,EXP(-D179*E2_tabla_vida!$X$138)*E2_tabla_vida!$P$138,EXP(-D179*E2_tabla_vida!$X$139)*E2_tabla_vida!$P$139,EXP(-D179*E2_tabla_vida!$X$140)*E2_tabla_vida!$P$140,EXP(-D179*E2_tabla_vida!$X$141)*E2_tabla_vida!$P$141,EXP(-D179*E2_tabla_vida!$X$142)*E2_tabla_vida!$P$142,EXP(-D179*E2_tabla_vida!$X$143)*E2_tabla_vida!$P$143,EXP(-D179*E2_tabla_vida!$X$144)*E2_tabla_vida!$P$144,EXP(-D179*E2_tabla_vida!$X$145)*E2_tabla_vida!$P$145,EXP(-D179*E2_tabla_vida!$X$146)*E2_tabla_vida!$P$146,EXP(-D179*E2_tabla_vida!$X$147)*E2_tabla_vida!$P$147,EXP(-D179*E2_tabla_vida!$X$148)*E2_tabla_vida!$P$148,EXP(-D179*E2_tabla_vida!$X$149)*E2_tabla_vida!$P$149,EXP(-D179*E2_tabla_vida!$X$150)*E2_tabla_vida!$P$150,EXP(-D179*E2_tabla_vida!$X$151)*E2_tabla_vida!$P$151,EXP(-D179*E2_tabla_vida!$X$152)*E2_tabla_vida!$P$152,EXP(-D179*E2_tabla_vida!$X$153)*E2_tabla_vida!$P$153,EXP(-D179*E2_tabla_vida!$X$154)*E2_tabla_vida!$P$154,EXP(-D179*E2_tabla_vida!$X$155)*E2_tabla_vida!$P$155,EXP(-D179*E2_tabla_vida!$X$156)*E2_tabla_vida!$P$156,EXP(-D179*E2_tabla_vida!$X$157)*E2_tabla_vida!$P$157,EXP(-D179*E2_tabla_vida!$X$158)*E2_tabla_vida!$P$158,EXP(-D179*E2_tabla_vida!$X$159)*E2_tabla_vida!$P$159,EXP(-D179*E2_tabla_vida!$X$160)*E2_tabla_vida!$P$160,EXP(-D179*E2_tabla_vida!$X$161)*E2_tabla_vida!$P$161,EXP(-D179*E2_tabla_vida!$X$162)*E2_tabla_vida!$P$162,EXP(-D179*E2_tabla_vida!$X$163)*E2_tabla_vida!$P$163,EXP(-D179*E2_tabla_vida!$X$164)*E2_tabla_vida!$P$164,EXP(-D179*E2_tabla_vida!$X$165)*E2_tabla_vida!$P$165,EXP(-D179*E2_tabla_vida!$X$166)*E2_tabla_vida!$P$166,EXP(-D179*E2_tabla_vida!$X$167)*E2_tabla_vida!$P$167,EXP(-D179*E2_tabla_vida!$X$168)*E2_tabla_vida!$P$168,EXP(-D179*E2_tabla_vida!$X$169)*E2_tabla_vida!$P$169)-1</x:f>
        <x:v>-1.0985656828665924e-11</x:v>
      </x:c>
    </x:row>
    <x:row r="180" ht="19" customHeight="1">
      <x:c r="A180" s="2" t="str">
        <x:v>BB_L0</x:v>
      </x:c>
      <x:c r="B180" s="2" t="n">
        <x:v>40</x:v>
      </x:c>
      <x:c r="C180" s="22" t="n">
        <x:f>IF(F179&gt;0,E179,C179)</x:f>
        <x:v>0.26216137117535254</x:v>
      </x:c>
      <x:c r="D180" s="22" t="n">
        <x:f>IF(F179&gt;0,D179,E179)</x:f>
        <x:v>0.262161371178081</x:v>
      </x:c>
      <x:c r="E180" s="22" t="n">
        <x:f>AVERAGE(C180:D180)</x:f>
        <x:v>0.2621613711767168</x:v>
      </x:c>
      <x:c r="F180" s="24" t="n">
        <x:f>SUM(EXP(-E180*E2_tabla_vida!$X$128)*E2_tabla_vida!$P$128,EXP(-E180*E2_tabla_vida!$X$129)*E2_tabla_vida!$P$129,EXP(-E180*E2_tabla_vida!$X$130)*E2_tabla_vida!$P$130,EXP(-E180*E2_tabla_vida!$X$131)*E2_tabla_vida!$P$131,EXP(-E180*E2_tabla_vida!$X$132)*E2_tabla_vida!$P$132,EXP(-E180*E2_tabla_vida!$X$133)*E2_tabla_vida!$P$133,EXP(-E180*E2_tabla_vida!$X$134)*E2_tabla_vida!$P$134,EXP(-E180*E2_tabla_vida!$X$135)*E2_tabla_vida!$P$135,EXP(-E180*E2_tabla_vida!$X$136)*E2_tabla_vida!$P$136,EXP(-E180*E2_tabla_vida!$X$137)*E2_tabla_vida!$P$137,EXP(-E180*E2_tabla_vida!$X$138)*E2_tabla_vida!$P$138,EXP(-E180*E2_tabla_vida!$X$139)*E2_tabla_vida!$P$139,EXP(-E180*E2_tabla_vida!$X$140)*E2_tabla_vida!$P$140,EXP(-E180*E2_tabla_vida!$X$141)*E2_tabla_vida!$P$141,EXP(-E180*E2_tabla_vida!$X$142)*E2_tabla_vida!$P$142,EXP(-E180*E2_tabla_vida!$X$143)*E2_tabla_vida!$P$143,EXP(-E180*E2_tabla_vida!$X$144)*E2_tabla_vida!$P$144,EXP(-E180*E2_tabla_vida!$X$145)*E2_tabla_vida!$P$145,EXP(-E180*E2_tabla_vida!$X$146)*E2_tabla_vida!$P$146,EXP(-E180*E2_tabla_vida!$X$147)*E2_tabla_vida!$P$147,EXP(-E180*E2_tabla_vida!$X$148)*E2_tabla_vida!$P$148,EXP(-E180*E2_tabla_vida!$X$149)*E2_tabla_vida!$P$149,EXP(-E180*E2_tabla_vida!$X$150)*E2_tabla_vida!$P$150,EXP(-E180*E2_tabla_vida!$X$151)*E2_tabla_vida!$P$151,EXP(-E180*E2_tabla_vida!$X$152)*E2_tabla_vida!$P$152,EXP(-E180*E2_tabla_vida!$X$153)*E2_tabla_vida!$P$153,EXP(-E180*E2_tabla_vida!$X$154)*E2_tabla_vida!$P$154,EXP(-E180*E2_tabla_vida!$X$155)*E2_tabla_vida!$P$155,EXP(-E180*E2_tabla_vida!$X$156)*E2_tabla_vida!$P$156,EXP(-E180*E2_tabla_vida!$X$157)*E2_tabla_vida!$P$157,EXP(-E180*E2_tabla_vida!$X$158)*E2_tabla_vida!$P$158,EXP(-E180*E2_tabla_vida!$X$159)*E2_tabla_vida!$P$159,EXP(-E180*E2_tabla_vida!$X$160)*E2_tabla_vida!$P$160,EXP(-E180*E2_tabla_vida!$X$161)*E2_tabla_vida!$P$161,EXP(-E180*E2_tabla_vida!$X$162)*E2_tabla_vida!$P$162,EXP(-E180*E2_tabla_vida!$X$163)*E2_tabla_vida!$P$163,EXP(-E180*E2_tabla_vida!$X$164)*E2_tabla_vida!$P$164,EXP(-E180*E2_tabla_vida!$X$165)*E2_tabla_vida!$P$165,EXP(-E180*E2_tabla_vida!$X$166)*E2_tabla_vida!$P$166,EXP(-E180*E2_tabla_vida!$X$167)*E2_tabla_vida!$P$167,EXP(-E180*E2_tabla_vida!$X$168)*E2_tabla_vida!$P$168,EXP(-E180*E2_tabla_vida!$X$169)*E2_tabla_vida!$P$169)-1</x:f>
        <x:v>6.2940763712049375e-12</x:v>
      </x:c>
      <x:c r="G180" s="24" t="n">
        <x:f>SUM(EXP(-C180*E2_tabla_vida!$X$128)*E2_tabla_vida!$P$128,EXP(-C180*E2_tabla_vida!$X$129)*E2_tabla_vida!$P$129,EXP(-C180*E2_tabla_vida!$X$130)*E2_tabla_vida!$P$130,EXP(-C180*E2_tabla_vida!$X$131)*E2_tabla_vida!$P$131,EXP(-C180*E2_tabla_vida!$X$132)*E2_tabla_vida!$P$132,EXP(-C180*E2_tabla_vida!$X$133)*E2_tabla_vida!$P$133,EXP(-C180*E2_tabla_vida!$X$134)*E2_tabla_vida!$P$134,EXP(-C180*E2_tabla_vida!$X$135)*E2_tabla_vida!$P$135,EXP(-C180*E2_tabla_vida!$X$136)*E2_tabla_vida!$P$136,EXP(-C180*E2_tabla_vida!$X$137)*E2_tabla_vida!$P$137,EXP(-C180*E2_tabla_vida!$X$138)*E2_tabla_vida!$P$138,EXP(-C180*E2_tabla_vida!$X$139)*E2_tabla_vida!$P$139,EXP(-C180*E2_tabla_vida!$X$140)*E2_tabla_vida!$P$140,EXP(-C180*E2_tabla_vida!$X$141)*E2_tabla_vida!$P$141,EXP(-C180*E2_tabla_vida!$X$142)*E2_tabla_vida!$P$142,EXP(-C180*E2_tabla_vida!$X$143)*E2_tabla_vida!$P$143,EXP(-C180*E2_tabla_vida!$X$144)*E2_tabla_vida!$P$144,EXP(-C180*E2_tabla_vida!$X$145)*E2_tabla_vida!$P$145,EXP(-C180*E2_tabla_vida!$X$146)*E2_tabla_vida!$P$146,EXP(-C180*E2_tabla_vida!$X$147)*E2_tabla_vida!$P$147,EXP(-C180*E2_tabla_vida!$X$148)*E2_tabla_vida!$P$148,EXP(-C180*E2_tabla_vida!$X$149)*E2_tabla_vida!$P$149,EXP(-C180*E2_tabla_vida!$X$150)*E2_tabla_vida!$P$150,EXP(-C180*E2_tabla_vida!$X$151)*E2_tabla_vida!$P$151,EXP(-C180*E2_tabla_vida!$X$152)*E2_tabla_vida!$P$152,EXP(-C180*E2_tabla_vida!$X$153)*E2_tabla_vida!$P$153,EXP(-C180*E2_tabla_vida!$X$154)*E2_tabla_vida!$P$154,EXP(-C180*E2_tabla_vida!$X$155)*E2_tabla_vida!$P$155,EXP(-C180*E2_tabla_vida!$X$156)*E2_tabla_vida!$P$156,EXP(-C180*E2_tabla_vida!$X$157)*E2_tabla_vida!$P$157,EXP(-C180*E2_tabla_vida!$X$158)*E2_tabla_vida!$P$158,EXP(-C180*E2_tabla_vida!$X$159)*E2_tabla_vida!$P$159,EXP(-C180*E2_tabla_vida!$X$160)*E2_tabla_vida!$P$160,EXP(-C180*E2_tabla_vida!$X$161)*E2_tabla_vida!$P$161,EXP(-C180*E2_tabla_vida!$X$162)*E2_tabla_vida!$P$162,EXP(-C180*E2_tabla_vida!$X$163)*E2_tabla_vida!$P$163,EXP(-C180*E2_tabla_vida!$X$164)*E2_tabla_vida!$P$164,EXP(-C180*E2_tabla_vida!$X$165)*E2_tabla_vida!$P$165,EXP(-C180*E2_tabla_vida!$X$166)*E2_tabla_vida!$P$166,EXP(-C180*E2_tabla_vida!$X$167)*E2_tabla_vida!$P$167,EXP(-C180*E2_tabla_vida!$X$168)*E2_tabla_vida!$P$168,EXP(-C180*E2_tabla_vida!$X$169)*E2_tabla_vida!$P$169)-1</x:f>
        <x:v>2.3574031615680724e-11</x:v>
      </x:c>
      <x:c r="H180" s="24" t="n">
        <x:f>SUM(EXP(-D180*E2_tabla_vida!$X$128)*E2_tabla_vida!$P$128,EXP(-D180*E2_tabla_vida!$X$129)*E2_tabla_vida!$P$129,EXP(-D180*E2_tabla_vida!$X$130)*E2_tabla_vida!$P$130,EXP(-D180*E2_tabla_vida!$X$131)*E2_tabla_vida!$P$131,EXP(-D180*E2_tabla_vida!$X$132)*E2_tabla_vida!$P$132,EXP(-D180*E2_tabla_vida!$X$133)*E2_tabla_vida!$P$133,EXP(-D180*E2_tabla_vida!$X$134)*E2_tabla_vida!$P$134,EXP(-D180*E2_tabla_vida!$X$135)*E2_tabla_vida!$P$135,EXP(-D180*E2_tabla_vida!$X$136)*E2_tabla_vida!$P$136,EXP(-D180*E2_tabla_vida!$X$137)*E2_tabla_vida!$P$137,EXP(-D180*E2_tabla_vida!$X$138)*E2_tabla_vida!$P$138,EXP(-D180*E2_tabla_vida!$X$139)*E2_tabla_vida!$P$139,EXP(-D180*E2_tabla_vida!$X$140)*E2_tabla_vida!$P$140,EXP(-D180*E2_tabla_vida!$X$141)*E2_tabla_vida!$P$141,EXP(-D180*E2_tabla_vida!$X$142)*E2_tabla_vida!$P$142,EXP(-D180*E2_tabla_vida!$X$143)*E2_tabla_vida!$P$143,EXP(-D180*E2_tabla_vida!$X$144)*E2_tabla_vida!$P$144,EXP(-D180*E2_tabla_vida!$X$145)*E2_tabla_vida!$P$145,EXP(-D180*E2_tabla_vida!$X$146)*E2_tabla_vida!$P$146,EXP(-D180*E2_tabla_vida!$X$147)*E2_tabla_vida!$P$147,EXP(-D180*E2_tabla_vida!$X$148)*E2_tabla_vida!$P$148,EXP(-D180*E2_tabla_vida!$X$149)*E2_tabla_vida!$P$149,EXP(-D180*E2_tabla_vida!$X$150)*E2_tabla_vida!$P$150,EXP(-D180*E2_tabla_vida!$X$151)*E2_tabla_vida!$P$151,EXP(-D180*E2_tabla_vida!$X$152)*E2_tabla_vida!$P$152,EXP(-D180*E2_tabla_vida!$X$153)*E2_tabla_vida!$P$153,EXP(-D180*E2_tabla_vida!$X$154)*E2_tabla_vida!$P$154,EXP(-D180*E2_tabla_vida!$X$155)*E2_tabla_vida!$P$155,EXP(-D180*E2_tabla_vida!$X$156)*E2_tabla_vida!$P$156,EXP(-D180*E2_tabla_vida!$X$157)*E2_tabla_vida!$P$157,EXP(-D180*E2_tabla_vida!$X$158)*E2_tabla_vida!$P$158,EXP(-D180*E2_tabla_vida!$X$159)*E2_tabla_vida!$P$159,EXP(-D180*E2_tabla_vida!$X$160)*E2_tabla_vida!$P$160,EXP(-D180*E2_tabla_vida!$X$161)*E2_tabla_vida!$P$161,EXP(-D180*E2_tabla_vida!$X$162)*E2_tabla_vida!$P$162,EXP(-D180*E2_tabla_vida!$X$163)*E2_tabla_vida!$P$163,EXP(-D180*E2_tabla_vida!$X$164)*E2_tabla_vida!$P$164,EXP(-D180*E2_tabla_vida!$X$165)*E2_tabla_vida!$P$165,EXP(-D180*E2_tabla_vida!$X$166)*E2_tabla_vida!$P$166,EXP(-D180*E2_tabla_vida!$X$167)*E2_tabla_vida!$P$167,EXP(-D180*E2_tabla_vida!$X$168)*E2_tabla_vida!$P$168,EXP(-D180*E2_tabla_vida!$X$169)*E2_tabla_vida!$P$169)-1</x:f>
        <x:v>-1.0985656828665924e-11</x:v>
      </x:c>
    </x:row>
    <x:row r="181" ht="19" customHeight="1">
      <x:c r="A181" s="2" t="str">
        <x:v>BB_L0</x:v>
      </x:c>
      <x:c r="B181" s="2" t="n">
        <x:v>41</x:v>
      </x:c>
      <x:c r="C181" s="22" t="n">
        <x:f>IF(F180&gt;0,E180,C180)</x:f>
        <x:v>0.2621613711767168</x:v>
      </x:c>
      <x:c r="D181" s="22" t="n">
        <x:f>IF(F180&gt;0,D180,E180)</x:f>
        <x:v>0.262161371178081</x:v>
      </x:c>
      <x:c r="E181" s="22" t="n">
        <x:f>AVERAGE(C181:D181)</x:f>
        <x:v>0.2621613711773989</x:v>
      </x:c>
      <x:c r="F181" s="24" t="n">
        <x:f>SUM(EXP(-E181*E2_tabla_vida!$X$128)*E2_tabla_vida!$P$128,EXP(-E181*E2_tabla_vida!$X$129)*E2_tabla_vida!$P$129,EXP(-E181*E2_tabla_vida!$X$130)*E2_tabla_vida!$P$130,EXP(-E181*E2_tabla_vida!$X$131)*E2_tabla_vida!$P$131,EXP(-E181*E2_tabla_vida!$X$132)*E2_tabla_vida!$P$132,EXP(-E181*E2_tabla_vida!$X$133)*E2_tabla_vida!$P$133,EXP(-E181*E2_tabla_vida!$X$134)*E2_tabla_vida!$P$134,EXP(-E181*E2_tabla_vida!$X$135)*E2_tabla_vida!$P$135,EXP(-E181*E2_tabla_vida!$X$136)*E2_tabla_vida!$P$136,EXP(-E181*E2_tabla_vida!$X$137)*E2_tabla_vida!$P$137,EXP(-E181*E2_tabla_vida!$X$138)*E2_tabla_vida!$P$138,EXP(-E181*E2_tabla_vida!$X$139)*E2_tabla_vida!$P$139,EXP(-E181*E2_tabla_vida!$X$140)*E2_tabla_vida!$P$140,EXP(-E181*E2_tabla_vida!$X$141)*E2_tabla_vida!$P$141,EXP(-E181*E2_tabla_vida!$X$142)*E2_tabla_vida!$P$142,EXP(-E181*E2_tabla_vida!$X$143)*E2_tabla_vida!$P$143,EXP(-E181*E2_tabla_vida!$X$144)*E2_tabla_vida!$P$144,EXP(-E181*E2_tabla_vida!$X$145)*E2_tabla_vida!$P$145,EXP(-E181*E2_tabla_vida!$X$146)*E2_tabla_vida!$P$146,EXP(-E181*E2_tabla_vida!$X$147)*E2_tabla_vida!$P$147,EXP(-E181*E2_tabla_vida!$X$148)*E2_tabla_vida!$P$148,EXP(-E181*E2_tabla_vida!$X$149)*E2_tabla_vida!$P$149,EXP(-E181*E2_tabla_vida!$X$150)*E2_tabla_vida!$P$150,EXP(-E181*E2_tabla_vida!$X$151)*E2_tabla_vida!$P$151,EXP(-E181*E2_tabla_vida!$X$152)*E2_tabla_vida!$P$152,EXP(-E181*E2_tabla_vida!$X$153)*E2_tabla_vida!$P$153,EXP(-E181*E2_tabla_vida!$X$154)*E2_tabla_vida!$P$154,EXP(-E181*E2_tabla_vida!$X$155)*E2_tabla_vida!$P$155,EXP(-E181*E2_tabla_vida!$X$156)*E2_tabla_vida!$P$156,EXP(-E181*E2_tabla_vida!$X$157)*E2_tabla_vida!$P$157,EXP(-E181*E2_tabla_vida!$X$158)*E2_tabla_vida!$P$158,EXP(-E181*E2_tabla_vida!$X$159)*E2_tabla_vida!$P$159,EXP(-E181*E2_tabla_vida!$X$160)*E2_tabla_vida!$P$160,EXP(-E181*E2_tabla_vida!$X$161)*E2_tabla_vida!$P$161,EXP(-E181*E2_tabla_vida!$X$162)*E2_tabla_vida!$P$162,EXP(-E181*E2_tabla_vida!$X$163)*E2_tabla_vida!$P$163,EXP(-E181*E2_tabla_vida!$X$164)*E2_tabla_vida!$P$164,EXP(-E181*E2_tabla_vida!$X$165)*E2_tabla_vida!$P$165,EXP(-E181*E2_tabla_vida!$X$166)*E2_tabla_vida!$P$166,EXP(-E181*E2_tabla_vida!$X$167)*E2_tabla_vida!$P$167,EXP(-E181*E2_tabla_vida!$X$168)*E2_tabla_vida!$P$168,EXP(-E181*E2_tabla_vida!$X$169)*E2_tabla_vida!$P$169)-1</x:f>
        <x:v>-2.346123295637881e-12</x:v>
      </x:c>
      <x:c r="G181" s="24" t="n">
        <x:f>SUM(EXP(-C181*E2_tabla_vida!$X$128)*E2_tabla_vida!$P$128,EXP(-C181*E2_tabla_vida!$X$129)*E2_tabla_vida!$P$129,EXP(-C181*E2_tabla_vida!$X$130)*E2_tabla_vida!$P$130,EXP(-C181*E2_tabla_vida!$X$131)*E2_tabla_vida!$P$131,EXP(-C181*E2_tabla_vida!$X$132)*E2_tabla_vida!$P$132,EXP(-C181*E2_tabla_vida!$X$133)*E2_tabla_vida!$P$133,EXP(-C181*E2_tabla_vida!$X$134)*E2_tabla_vida!$P$134,EXP(-C181*E2_tabla_vida!$X$135)*E2_tabla_vida!$P$135,EXP(-C181*E2_tabla_vida!$X$136)*E2_tabla_vida!$P$136,EXP(-C181*E2_tabla_vida!$X$137)*E2_tabla_vida!$P$137,EXP(-C181*E2_tabla_vida!$X$138)*E2_tabla_vida!$P$138,EXP(-C181*E2_tabla_vida!$X$139)*E2_tabla_vida!$P$139,EXP(-C181*E2_tabla_vida!$X$140)*E2_tabla_vida!$P$140,EXP(-C181*E2_tabla_vida!$X$141)*E2_tabla_vida!$P$141,EXP(-C181*E2_tabla_vida!$X$142)*E2_tabla_vida!$P$142,EXP(-C181*E2_tabla_vida!$X$143)*E2_tabla_vida!$P$143,EXP(-C181*E2_tabla_vida!$X$144)*E2_tabla_vida!$P$144,EXP(-C181*E2_tabla_vida!$X$145)*E2_tabla_vida!$P$145,EXP(-C181*E2_tabla_vida!$X$146)*E2_tabla_vida!$P$146,EXP(-C181*E2_tabla_vida!$X$147)*E2_tabla_vida!$P$147,EXP(-C181*E2_tabla_vida!$X$148)*E2_tabla_vida!$P$148,EXP(-C181*E2_tabla_vida!$X$149)*E2_tabla_vida!$P$149,EXP(-C181*E2_tabla_vida!$X$150)*E2_tabla_vida!$P$150,EXP(-C181*E2_tabla_vida!$X$151)*E2_tabla_vida!$P$151,EXP(-C181*E2_tabla_vida!$X$152)*E2_tabla_vida!$P$152,EXP(-C181*E2_tabla_vida!$X$153)*E2_tabla_vida!$P$153,EXP(-C181*E2_tabla_vida!$X$154)*E2_tabla_vida!$P$154,EXP(-C181*E2_tabla_vida!$X$155)*E2_tabla_vida!$P$155,EXP(-C181*E2_tabla_vida!$X$156)*E2_tabla_vida!$P$156,EXP(-C181*E2_tabla_vida!$X$157)*E2_tabla_vida!$P$157,EXP(-C181*E2_tabla_vida!$X$158)*E2_tabla_vida!$P$158,EXP(-C181*E2_tabla_vida!$X$159)*E2_tabla_vida!$P$159,EXP(-C181*E2_tabla_vida!$X$160)*E2_tabla_vida!$P$160,EXP(-C181*E2_tabla_vida!$X$161)*E2_tabla_vida!$P$161,EXP(-C181*E2_tabla_vida!$X$162)*E2_tabla_vida!$P$162,EXP(-C181*E2_tabla_vida!$X$163)*E2_tabla_vida!$P$163,EXP(-C181*E2_tabla_vida!$X$164)*E2_tabla_vida!$P$164,EXP(-C181*E2_tabla_vida!$X$165)*E2_tabla_vida!$P$165,EXP(-C181*E2_tabla_vida!$X$166)*E2_tabla_vida!$P$166,EXP(-C181*E2_tabla_vida!$X$167)*E2_tabla_vida!$P$167,EXP(-C181*E2_tabla_vida!$X$168)*E2_tabla_vida!$P$168,EXP(-C181*E2_tabla_vida!$X$169)*E2_tabla_vida!$P$169)-1</x:f>
        <x:v>6.2940763712049375e-12</x:v>
      </x:c>
      <x:c r="H181" s="24" t="n">
        <x:f>SUM(EXP(-D181*E2_tabla_vida!$X$128)*E2_tabla_vida!$P$128,EXP(-D181*E2_tabla_vida!$X$129)*E2_tabla_vida!$P$129,EXP(-D181*E2_tabla_vida!$X$130)*E2_tabla_vida!$P$130,EXP(-D181*E2_tabla_vida!$X$131)*E2_tabla_vida!$P$131,EXP(-D181*E2_tabla_vida!$X$132)*E2_tabla_vida!$P$132,EXP(-D181*E2_tabla_vida!$X$133)*E2_tabla_vida!$P$133,EXP(-D181*E2_tabla_vida!$X$134)*E2_tabla_vida!$P$134,EXP(-D181*E2_tabla_vida!$X$135)*E2_tabla_vida!$P$135,EXP(-D181*E2_tabla_vida!$X$136)*E2_tabla_vida!$P$136,EXP(-D181*E2_tabla_vida!$X$137)*E2_tabla_vida!$P$137,EXP(-D181*E2_tabla_vida!$X$138)*E2_tabla_vida!$P$138,EXP(-D181*E2_tabla_vida!$X$139)*E2_tabla_vida!$P$139,EXP(-D181*E2_tabla_vida!$X$140)*E2_tabla_vida!$P$140,EXP(-D181*E2_tabla_vida!$X$141)*E2_tabla_vida!$P$141,EXP(-D181*E2_tabla_vida!$X$142)*E2_tabla_vida!$P$142,EXP(-D181*E2_tabla_vida!$X$143)*E2_tabla_vida!$P$143,EXP(-D181*E2_tabla_vida!$X$144)*E2_tabla_vida!$P$144,EXP(-D181*E2_tabla_vida!$X$145)*E2_tabla_vida!$P$145,EXP(-D181*E2_tabla_vida!$X$146)*E2_tabla_vida!$P$146,EXP(-D181*E2_tabla_vida!$X$147)*E2_tabla_vida!$P$147,EXP(-D181*E2_tabla_vida!$X$148)*E2_tabla_vida!$P$148,EXP(-D181*E2_tabla_vida!$X$149)*E2_tabla_vida!$P$149,EXP(-D181*E2_tabla_vida!$X$150)*E2_tabla_vida!$P$150,EXP(-D181*E2_tabla_vida!$X$151)*E2_tabla_vida!$P$151,EXP(-D181*E2_tabla_vida!$X$152)*E2_tabla_vida!$P$152,EXP(-D181*E2_tabla_vida!$X$153)*E2_tabla_vida!$P$153,EXP(-D181*E2_tabla_vida!$X$154)*E2_tabla_vida!$P$154,EXP(-D181*E2_tabla_vida!$X$155)*E2_tabla_vida!$P$155,EXP(-D181*E2_tabla_vida!$X$156)*E2_tabla_vida!$P$156,EXP(-D181*E2_tabla_vida!$X$157)*E2_tabla_vida!$P$157,EXP(-D181*E2_tabla_vida!$X$158)*E2_tabla_vida!$P$158,EXP(-D181*E2_tabla_vida!$X$159)*E2_tabla_vida!$P$159,EXP(-D181*E2_tabla_vida!$X$160)*E2_tabla_vida!$P$160,EXP(-D181*E2_tabla_vida!$X$161)*E2_tabla_vida!$P$161,EXP(-D181*E2_tabla_vida!$X$162)*E2_tabla_vida!$P$162,EXP(-D181*E2_tabla_vida!$X$163)*E2_tabla_vida!$P$163,EXP(-D181*E2_tabla_vida!$X$164)*E2_tabla_vida!$P$164,EXP(-D181*E2_tabla_vida!$X$165)*E2_tabla_vida!$P$165,EXP(-D181*E2_tabla_vida!$X$166)*E2_tabla_vida!$P$166,EXP(-D181*E2_tabla_vida!$X$167)*E2_tabla_vida!$P$167,EXP(-D181*E2_tabla_vida!$X$168)*E2_tabla_vida!$P$168,EXP(-D181*E2_tabla_vida!$X$169)*E2_tabla_vida!$P$169)-1</x:f>
        <x:v>-1.0985656828665924e-11</x:v>
      </x:c>
    </x:row>
    <x:row r="182" ht="19" customHeight="1">
      <x:c r="A182" s="2" t="str">
        <x:v>BB_L0</x:v>
      </x:c>
      <x:c r="B182" s="2" t="n">
        <x:v>42</x:v>
      </x:c>
      <x:c r="C182" s="22" t="n">
        <x:f>IF(F181&gt;0,E181,C181)</x:f>
        <x:v>0.2621613711767168</x:v>
      </x:c>
      <x:c r="D182" s="22" t="n">
        <x:f>IF(F181&gt;0,D181,E181)</x:f>
        <x:v>0.2621613711773989</x:v>
      </x:c>
      <x:c r="E182" s="22" t="n">
        <x:f>AVERAGE(C182:D182)</x:f>
        <x:v>0.26216137117705784</x:v>
      </x:c>
      <x:c r="F182" s="24" t="n">
        <x:f>SUM(EXP(-E182*E2_tabla_vida!$X$128)*E2_tabla_vida!$P$128,EXP(-E182*E2_tabla_vida!$X$129)*E2_tabla_vida!$P$129,EXP(-E182*E2_tabla_vida!$X$130)*E2_tabla_vida!$P$130,EXP(-E182*E2_tabla_vida!$X$131)*E2_tabla_vida!$P$131,EXP(-E182*E2_tabla_vida!$X$132)*E2_tabla_vida!$P$132,EXP(-E182*E2_tabla_vida!$X$133)*E2_tabla_vida!$P$133,EXP(-E182*E2_tabla_vida!$X$134)*E2_tabla_vida!$P$134,EXP(-E182*E2_tabla_vida!$X$135)*E2_tabla_vida!$P$135,EXP(-E182*E2_tabla_vida!$X$136)*E2_tabla_vida!$P$136,EXP(-E182*E2_tabla_vida!$X$137)*E2_tabla_vida!$P$137,EXP(-E182*E2_tabla_vida!$X$138)*E2_tabla_vida!$P$138,EXP(-E182*E2_tabla_vida!$X$139)*E2_tabla_vida!$P$139,EXP(-E182*E2_tabla_vida!$X$140)*E2_tabla_vida!$P$140,EXP(-E182*E2_tabla_vida!$X$141)*E2_tabla_vida!$P$141,EXP(-E182*E2_tabla_vida!$X$142)*E2_tabla_vida!$P$142,EXP(-E182*E2_tabla_vida!$X$143)*E2_tabla_vida!$P$143,EXP(-E182*E2_tabla_vida!$X$144)*E2_tabla_vida!$P$144,EXP(-E182*E2_tabla_vida!$X$145)*E2_tabla_vida!$P$145,EXP(-E182*E2_tabla_vida!$X$146)*E2_tabla_vida!$P$146,EXP(-E182*E2_tabla_vida!$X$147)*E2_tabla_vida!$P$147,EXP(-E182*E2_tabla_vida!$X$148)*E2_tabla_vida!$P$148,EXP(-E182*E2_tabla_vida!$X$149)*E2_tabla_vida!$P$149,EXP(-E182*E2_tabla_vida!$X$150)*E2_tabla_vida!$P$150,EXP(-E182*E2_tabla_vida!$X$151)*E2_tabla_vida!$P$151,EXP(-E182*E2_tabla_vida!$X$152)*E2_tabla_vida!$P$152,EXP(-E182*E2_tabla_vida!$X$153)*E2_tabla_vida!$P$153,EXP(-E182*E2_tabla_vida!$X$154)*E2_tabla_vida!$P$154,EXP(-E182*E2_tabla_vida!$X$155)*E2_tabla_vida!$P$155,EXP(-E182*E2_tabla_vida!$X$156)*E2_tabla_vida!$P$156,EXP(-E182*E2_tabla_vida!$X$157)*E2_tabla_vida!$P$157,EXP(-E182*E2_tabla_vida!$X$158)*E2_tabla_vida!$P$158,EXP(-E182*E2_tabla_vida!$X$159)*E2_tabla_vida!$P$159,EXP(-E182*E2_tabla_vida!$X$160)*E2_tabla_vida!$P$160,EXP(-E182*E2_tabla_vida!$X$161)*E2_tabla_vida!$P$161,EXP(-E182*E2_tabla_vida!$X$162)*E2_tabla_vida!$P$162,EXP(-E182*E2_tabla_vida!$X$163)*E2_tabla_vida!$P$163,EXP(-E182*E2_tabla_vida!$X$164)*E2_tabla_vida!$P$164,EXP(-E182*E2_tabla_vida!$X$165)*E2_tabla_vida!$P$165,EXP(-E182*E2_tabla_vida!$X$166)*E2_tabla_vida!$P$166,EXP(-E182*E2_tabla_vida!$X$167)*E2_tabla_vida!$P$167,EXP(-E182*E2_tabla_vida!$X$168)*E2_tabla_vida!$P$168,EXP(-E182*E2_tabla_vida!$X$169)*E2_tabla_vida!$P$169)-1</x:f>
        <x:v>1.9744206269933784e-12</x:v>
      </x:c>
      <x:c r="G182" s="24" t="n">
        <x:f>SUM(EXP(-C182*E2_tabla_vida!$X$128)*E2_tabla_vida!$P$128,EXP(-C182*E2_tabla_vida!$X$129)*E2_tabla_vida!$P$129,EXP(-C182*E2_tabla_vida!$X$130)*E2_tabla_vida!$P$130,EXP(-C182*E2_tabla_vida!$X$131)*E2_tabla_vida!$P$131,EXP(-C182*E2_tabla_vida!$X$132)*E2_tabla_vida!$P$132,EXP(-C182*E2_tabla_vida!$X$133)*E2_tabla_vida!$P$133,EXP(-C182*E2_tabla_vida!$X$134)*E2_tabla_vida!$P$134,EXP(-C182*E2_tabla_vida!$X$135)*E2_tabla_vida!$P$135,EXP(-C182*E2_tabla_vida!$X$136)*E2_tabla_vida!$P$136,EXP(-C182*E2_tabla_vida!$X$137)*E2_tabla_vida!$P$137,EXP(-C182*E2_tabla_vida!$X$138)*E2_tabla_vida!$P$138,EXP(-C182*E2_tabla_vida!$X$139)*E2_tabla_vida!$P$139,EXP(-C182*E2_tabla_vida!$X$140)*E2_tabla_vida!$P$140,EXP(-C182*E2_tabla_vida!$X$141)*E2_tabla_vida!$P$141,EXP(-C182*E2_tabla_vida!$X$142)*E2_tabla_vida!$P$142,EXP(-C182*E2_tabla_vida!$X$143)*E2_tabla_vida!$P$143,EXP(-C182*E2_tabla_vida!$X$144)*E2_tabla_vida!$P$144,EXP(-C182*E2_tabla_vida!$X$145)*E2_tabla_vida!$P$145,EXP(-C182*E2_tabla_vida!$X$146)*E2_tabla_vida!$P$146,EXP(-C182*E2_tabla_vida!$X$147)*E2_tabla_vida!$P$147,EXP(-C182*E2_tabla_vida!$X$148)*E2_tabla_vida!$P$148,EXP(-C182*E2_tabla_vida!$X$149)*E2_tabla_vida!$P$149,EXP(-C182*E2_tabla_vida!$X$150)*E2_tabla_vida!$P$150,EXP(-C182*E2_tabla_vida!$X$151)*E2_tabla_vida!$P$151,EXP(-C182*E2_tabla_vida!$X$152)*E2_tabla_vida!$P$152,EXP(-C182*E2_tabla_vida!$X$153)*E2_tabla_vida!$P$153,EXP(-C182*E2_tabla_vida!$X$154)*E2_tabla_vida!$P$154,EXP(-C182*E2_tabla_vida!$X$155)*E2_tabla_vida!$P$155,EXP(-C182*E2_tabla_vida!$X$156)*E2_tabla_vida!$P$156,EXP(-C182*E2_tabla_vida!$X$157)*E2_tabla_vida!$P$157,EXP(-C182*E2_tabla_vida!$X$158)*E2_tabla_vida!$P$158,EXP(-C182*E2_tabla_vida!$X$159)*E2_tabla_vida!$P$159,EXP(-C182*E2_tabla_vida!$X$160)*E2_tabla_vida!$P$160,EXP(-C182*E2_tabla_vida!$X$161)*E2_tabla_vida!$P$161,EXP(-C182*E2_tabla_vida!$X$162)*E2_tabla_vida!$P$162,EXP(-C182*E2_tabla_vida!$X$163)*E2_tabla_vida!$P$163,EXP(-C182*E2_tabla_vida!$X$164)*E2_tabla_vida!$P$164,EXP(-C182*E2_tabla_vida!$X$165)*E2_tabla_vida!$P$165,EXP(-C182*E2_tabla_vida!$X$166)*E2_tabla_vida!$P$166,EXP(-C182*E2_tabla_vida!$X$167)*E2_tabla_vida!$P$167,EXP(-C182*E2_tabla_vida!$X$168)*E2_tabla_vida!$P$168,EXP(-C182*E2_tabla_vida!$X$169)*E2_tabla_vida!$P$169)-1</x:f>
        <x:v>6.2940763712049375e-12</x:v>
      </x:c>
      <x:c r="H182" s="24" t="n">
        <x:f>SUM(EXP(-D182*E2_tabla_vida!$X$128)*E2_tabla_vida!$P$128,EXP(-D182*E2_tabla_vida!$X$129)*E2_tabla_vida!$P$129,EXP(-D182*E2_tabla_vida!$X$130)*E2_tabla_vida!$P$130,EXP(-D182*E2_tabla_vida!$X$131)*E2_tabla_vida!$P$131,EXP(-D182*E2_tabla_vida!$X$132)*E2_tabla_vida!$P$132,EXP(-D182*E2_tabla_vida!$X$133)*E2_tabla_vida!$P$133,EXP(-D182*E2_tabla_vida!$X$134)*E2_tabla_vida!$P$134,EXP(-D182*E2_tabla_vida!$X$135)*E2_tabla_vida!$P$135,EXP(-D182*E2_tabla_vida!$X$136)*E2_tabla_vida!$P$136,EXP(-D182*E2_tabla_vida!$X$137)*E2_tabla_vida!$P$137,EXP(-D182*E2_tabla_vida!$X$138)*E2_tabla_vida!$P$138,EXP(-D182*E2_tabla_vida!$X$139)*E2_tabla_vida!$P$139,EXP(-D182*E2_tabla_vida!$X$140)*E2_tabla_vida!$P$140,EXP(-D182*E2_tabla_vida!$X$141)*E2_tabla_vida!$P$141,EXP(-D182*E2_tabla_vida!$X$142)*E2_tabla_vida!$P$142,EXP(-D182*E2_tabla_vida!$X$143)*E2_tabla_vida!$P$143,EXP(-D182*E2_tabla_vida!$X$144)*E2_tabla_vida!$P$144,EXP(-D182*E2_tabla_vida!$X$145)*E2_tabla_vida!$P$145,EXP(-D182*E2_tabla_vida!$X$146)*E2_tabla_vida!$P$146,EXP(-D182*E2_tabla_vida!$X$147)*E2_tabla_vida!$P$147,EXP(-D182*E2_tabla_vida!$X$148)*E2_tabla_vida!$P$148,EXP(-D182*E2_tabla_vida!$X$149)*E2_tabla_vida!$P$149,EXP(-D182*E2_tabla_vida!$X$150)*E2_tabla_vida!$P$150,EXP(-D182*E2_tabla_vida!$X$151)*E2_tabla_vida!$P$151,EXP(-D182*E2_tabla_vida!$X$152)*E2_tabla_vida!$P$152,EXP(-D182*E2_tabla_vida!$X$153)*E2_tabla_vida!$P$153,EXP(-D182*E2_tabla_vida!$X$154)*E2_tabla_vida!$P$154,EXP(-D182*E2_tabla_vida!$X$155)*E2_tabla_vida!$P$155,EXP(-D182*E2_tabla_vida!$X$156)*E2_tabla_vida!$P$156,EXP(-D182*E2_tabla_vida!$X$157)*E2_tabla_vida!$P$157,EXP(-D182*E2_tabla_vida!$X$158)*E2_tabla_vida!$P$158,EXP(-D182*E2_tabla_vida!$X$159)*E2_tabla_vida!$P$159,EXP(-D182*E2_tabla_vida!$X$160)*E2_tabla_vida!$P$160,EXP(-D182*E2_tabla_vida!$X$161)*E2_tabla_vida!$P$161,EXP(-D182*E2_tabla_vida!$X$162)*E2_tabla_vida!$P$162,EXP(-D182*E2_tabla_vida!$X$163)*E2_tabla_vida!$P$163,EXP(-D182*E2_tabla_vida!$X$164)*E2_tabla_vida!$P$164,EXP(-D182*E2_tabla_vida!$X$165)*E2_tabla_vida!$P$165,EXP(-D182*E2_tabla_vida!$X$166)*E2_tabla_vida!$P$166,EXP(-D182*E2_tabla_vida!$X$167)*E2_tabla_vida!$P$167,EXP(-D182*E2_tabla_vida!$X$168)*E2_tabla_vida!$P$168,EXP(-D182*E2_tabla_vida!$X$169)*E2_tabla_vida!$P$169)-1</x:f>
        <x:v>-2.346123295637881e-12</x:v>
      </x:c>
    </x:row>
    <x:row r="183" ht="19" customHeight="1">
      <x:c r="A183" s="2" t="str">
        <x:v>BB_L0</x:v>
      </x:c>
      <x:c r="B183" s="2" t="n">
        <x:v>43</x:v>
      </x:c>
      <x:c r="C183" s="22" t="n">
        <x:f>IF(F182&gt;0,E182,C182)</x:f>
        <x:v>0.26216137117705784</x:v>
      </x:c>
      <x:c r="D183" s="22" t="n">
        <x:f>IF(F182&gt;0,D182,E182)</x:f>
        <x:v>0.2621613711773989</x:v>
      </x:c>
      <x:c r="E183" s="22" t="n">
        <x:f>AVERAGE(C183:D183)</x:f>
        <x:v>0.2621613711772284</x:v>
      </x:c>
      <x:c r="F183" s="24" t="n">
        <x:f>SUM(EXP(-E183*E2_tabla_vida!$X$128)*E2_tabla_vida!$P$128,EXP(-E183*E2_tabla_vida!$X$129)*E2_tabla_vida!$P$129,EXP(-E183*E2_tabla_vida!$X$130)*E2_tabla_vida!$P$130,EXP(-E183*E2_tabla_vida!$X$131)*E2_tabla_vida!$P$131,EXP(-E183*E2_tabla_vida!$X$132)*E2_tabla_vida!$P$132,EXP(-E183*E2_tabla_vida!$X$133)*E2_tabla_vida!$P$133,EXP(-E183*E2_tabla_vida!$X$134)*E2_tabla_vida!$P$134,EXP(-E183*E2_tabla_vida!$X$135)*E2_tabla_vida!$P$135,EXP(-E183*E2_tabla_vida!$X$136)*E2_tabla_vida!$P$136,EXP(-E183*E2_tabla_vida!$X$137)*E2_tabla_vida!$P$137,EXP(-E183*E2_tabla_vida!$X$138)*E2_tabla_vida!$P$138,EXP(-E183*E2_tabla_vida!$X$139)*E2_tabla_vida!$P$139,EXP(-E183*E2_tabla_vida!$X$140)*E2_tabla_vida!$P$140,EXP(-E183*E2_tabla_vida!$X$141)*E2_tabla_vida!$P$141,EXP(-E183*E2_tabla_vida!$X$142)*E2_tabla_vida!$P$142,EXP(-E183*E2_tabla_vida!$X$143)*E2_tabla_vida!$P$143,EXP(-E183*E2_tabla_vida!$X$144)*E2_tabla_vida!$P$144,EXP(-E183*E2_tabla_vida!$X$145)*E2_tabla_vida!$P$145,EXP(-E183*E2_tabla_vida!$X$146)*E2_tabla_vida!$P$146,EXP(-E183*E2_tabla_vida!$X$147)*E2_tabla_vida!$P$147,EXP(-E183*E2_tabla_vida!$X$148)*E2_tabla_vida!$P$148,EXP(-E183*E2_tabla_vida!$X$149)*E2_tabla_vida!$P$149,EXP(-E183*E2_tabla_vida!$X$150)*E2_tabla_vida!$P$150,EXP(-E183*E2_tabla_vida!$X$151)*E2_tabla_vida!$P$151,EXP(-E183*E2_tabla_vida!$X$152)*E2_tabla_vida!$P$152,EXP(-E183*E2_tabla_vida!$X$153)*E2_tabla_vida!$P$153,EXP(-E183*E2_tabla_vida!$X$154)*E2_tabla_vida!$P$154,EXP(-E183*E2_tabla_vida!$X$155)*E2_tabla_vida!$P$155,EXP(-E183*E2_tabla_vida!$X$156)*E2_tabla_vida!$P$156,EXP(-E183*E2_tabla_vida!$X$157)*E2_tabla_vida!$P$157,EXP(-E183*E2_tabla_vida!$X$158)*E2_tabla_vida!$P$158,EXP(-E183*E2_tabla_vida!$X$159)*E2_tabla_vida!$P$159,EXP(-E183*E2_tabla_vida!$X$160)*E2_tabla_vida!$P$160,EXP(-E183*E2_tabla_vida!$X$161)*E2_tabla_vida!$P$161,EXP(-E183*E2_tabla_vida!$X$162)*E2_tabla_vida!$P$162,EXP(-E183*E2_tabla_vida!$X$163)*E2_tabla_vida!$P$163,EXP(-E183*E2_tabla_vida!$X$164)*E2_tabla_vida!$P$164,EXP(-E183*E2_tabla_vida!$X$165)*E2_tabla_vida!$P$165,EXP(-E183*E2_tabla_vida!$X$166)*E2_tabla_vida!$P$166,EXP(-E183*E2_tabla_vida!$X$167)*E2_tabla_vida!$P$167,EXP(-E183*E2_tabla_vida!$X$168)*E2_tabla_vida!$P$168,EXP(-E183*E2_tabla_vida!$X$169)*E2_tabla_vida!$P$169)-1</x:f>
        <x:v>-1.857403120197887e-13</x:v>
      </x:c>
      <x:c r="G183" s="24" t="n">
        <x:f>SUM(EXP(-C183*E2_tabla_vida!$X$128)*E2_tabla_vida!$P$128,EXP(-C183*E2_tabla_vida!$X$129)*E2_tabla_vida!$P$129,EXP(-C183*E2_tabla_vida!$X$130)*E2_tabla_vida!$P$130,EXP(-C183*E2_tabla_vida!$X$131)*E2_tabla_vida!$P$131,EXP(-C183*E2_tabla_vida!$X$132)*E2_tabla_vida!$P$132,EXP(-C183*E2_tabla_vida!$X$133)*E2_tabla_vida!$P$133,EXP(-C183*E2_tabla_vida!$X$134)*E2_tabla_vida!$P$134,EXP(-C183*E2_tabla_vida!$X$135)*E2_tabla_vida!$P$135,EXP(-C183*E2_tabla_vida!$X$136)*E2_tabla_vida!$P$136,EXP(-C183*E2_tabla_vida!$X$137)*E2_tabla_vida!$P$137,EXP(-C183*E2_tabla_vida!$X$138)*E2_tabla_vida!$P$138,EXP(-C183*E2_tabla_vida!$X$139)*E2_tabla_vida!$P$139,EXP(-C183*E2_tabla_vida!$X$140)*E2_tabla_vida!$P$140,EXP(-C183*E2_tabla_vida!$X$141)*E2_tabla_vida!$P$141,EXP(-C183*E2_tabla_vida!$X$142)*E2_tabla_vida!$P$142,EXP(-C183*E2_tabla_vida!$X$143)*E2_tabla_vida!$P$143,EXP(-C183*E2_tabla_vida!$X$144)*E2_tabla_vida!$P$144,EXP(-C183*E2_tabla_vida!$X$145)*E2_tabla_vida!$P$145,EXP(-C183*E2_tabla_vida!$X$146)*E2_tabla_vida!$P$146,EXP(-C183*E2_tabla_vida!$X$147)*E2_tabla_vida!$P$147,EXP(-C183*E2_tabla_vida!$X$148)*E2_tabla_vida!$P$148,EXP(-C183*E2_tabla_vida!$X$149)*E2_tabla_vida!$P$149,EXP(-C183*E2_tabla_vida!$X$150)*E2_tabla_vida!$P$150,EXP(-C183*E2_tabla_vida!$X$151)*E2_tabla_vida!$P$151,EXP(-C183*E2_tabla_vida!$X$152)*E2_tabla_vida!$P$152,EXP(-C183*E2_tabla_vida!$X$153)*E2_tabla_vida!$P$153,EXP(-C183*E2_tabla_vida!$X$154)*E2_tabla_vida!$P$154,EXP(-C183*E2_tabla_vida!$X$155)*E2_tabla_vida!$P$155,EXP(-C183*E2_tabla_vida!$X$156)*E2_tabla_vida!$P$156,EXP(-C183*E2_tabla_vida!$X$157)*E2_tabla_vida!$P$157,EXP(-C183*E2_tabla_vida!$X$158)*E2_tabla_vida!$P$158,EXP(-C183*E2_tabla_vida!$X$159)*E2_tabla_vida!$P$159,EXP(-C183*E2_tabla_vida!$X$160)*E2_tabla_vida!$P$160,EXP(-C183*E2_tabla_vida!$X$161)*E2_tabla_vida!$P$161,EXP(-C183*E2_tabla_vida!$X$162)*E2_tabla_vida!$P$162,EXP(-C183*E2_tabla_vida!$X$163)*E2_tabla_vida!$P$163,EXP(-C183*E2_tabla_vida!$X$164)*E2_tabla_vida!$P$164,EXP(-C183*E2_tabla_vida!$X$165)*E2_tabla_vida!$P$165,EXP(-C183*E2_tabla_vida!$X$166)*E2_tabla_vida!$P$166,EXP(-C183*E2_tabla_vida!$X$167)*E2_tabla_vida!$P$167,EXP(-C183*E2_tabla_vida!$X$168)*E2_tabla_vida!$P$168,EXP(-C183*E2_tabla_vida!$X$169)*E2_tabla_vida!$P$169)-1</x:f>
        <x:v>1.9744206269933784e-12</x:v>
      </x:c>
      <x:c r="H183" s="24" t="n">
        <x:f>SUM(EXP(-D183*E2_tabla_vida!$X$128)*E2_tabla_vida!$P$128,EXP(-D183*E2_tabla_vida!$X$129)*E2_tabla_vida!$P$129,EXP(-D183*E2_tabla_vida!$X$130)*E2_tabla_vida!$P$130,EXP(-D183*E2_tabla_vida!$X$131)*E2_tabla_vida!$P$131,EXP(-D183*E2_tabla_vida!$X$132)*E2_tabla_vida!$P$132,EXP(-D183*E2_tabla_vida!$X$133)*E2_tabla_vida!$P$133,EXP(-D183*E2_tabla_vida!$X$134)*E2_tabla_vida!$P$134,EXP(-D183*E2_tabla_vida!$X$135)*E2_tabla_vida!$P$135,EXP(-D183*E2_tabla_vida!$X$136)*E2_tabla_vida!$P$136,EXP(-D183*E2_tabla_vida!$X$137)*E2_tabla_vida!$P$137,EXP(-D183*E2_tabla_vida!$X$138)*E2_tabla_vida!$P$138,EXP(-D183*E2_tabla_vida!$X$139)*E2_tabla_vida!$P$139,EXP(-D183*E2_tabla_vida!$X$140)*E2_tabla_vida!$P$140,EXP(-D183*E2_tabla_vida!$X$141)*E2_tabla_vida!$P$141,EXP(-D183*E2_tabla_vida!$X$142)*E2_tabla_vida!$P$142,EXP(-D183*E2_tabla_vida!$X$143)*E2_tabla_vida!$P$143,EXP(-D183*E2_tabla_vida!$X$144)*E2_tabla_vida!$P$144,EXP(-D183*E2_tabla_vida!$X$145)*E2_tabla_vida!$P$145,EXP(-D183*E2_tabla_vida!$X$146)*E2_tabla_vida!$P$146,EXP(-D183*E2_tabla_vida!$X$147)*E2_tabla_vida!$P$147,EXP(-D183*E2_tabla_vida!$X$148)*E2_tabla_vida!$P$148,EXP(-D183*E2_tabla_vida!$X$149)*E2_tabla_vida!$P$149,EXP(-D183*E2_tabla_vida!$X$150)*E2_tabla_vida!$P$150,EXP(-D183*E2_tabla_vida!$X$151)*E2_tabla_vida!$P$151,EXP(-D183*E2_tabla_vida!$X$152)*E2_tabla_vida!$P$152,EXP(-D183*E2_tabla_vida!$X$153)*E2_tabla_vida!$P$153,EXP(-D183*E2_tabla_vida!$X$154)*E2_tabla_vida!$P$154,EXP(-D183*E2_tabla_vida!$X$155)*E2_tabla_vida!$P$155,EXP(-D183*E2_tabla_vida!$X$156)*E2_tabla_vida!$P$156,EXP(-D183*E2_tabla_vida!$X$157)*E2_tabla_vida!$P$157,EXP(-D183*E2_tabla_vida!$X$158)*E2_tabla_vida!$P$158,EXP(-D183*E2_tabla_vida!$X$159)*E2_tabla_vida!$P$159,EXP(-D183*E2_tabla_vida!$X$160)*E2_tabla_vida!$P$160,EXP(-D183*E2_tabla_vida!$X$161)*E2_tabla_vida!$P$161,EXP(-D183*E2_tabla_vida!$X$162)*E2_tabla_vida!$P$162,EXP(-D183*E2_tabla_vida!$X$163)*E2_tabla_vida!$P$163,EXP(-D183*E2_tabla_vida!$X$164)*E2_tabla_vida!$P$164,EXP(-D183*E2_tabla_vida!$X$165)*E2_tabla_vida!$P$165,EXP(-D183*E2_tabla_vida!$X$166)*E2_tabla_vida!$P$166,EXP(-D183*E2_tabla_vida!$X$167)*E2_tabla_vida!$P$167,EXP(-D183*E2_tabla_vida!$X$168)*E2_tabla_vida!$P$168,EXP(-D183*E2_tabla_vida!$X$169)*E2_tabla_vida!$P$169)-1</x:f>
        <x:v>-2.346123295637881e-12</x:v>
      </x:c>
    </x:row>
    <x:row r="184" ht="19" customHeight="1">
      <x:c r="A184" s="2" t="str">
        <x:v>BB_L0</x:v>
      </x:c>
      <x:c r="B184" s="2" t="n">
        <x:v>44</x:v>
      </x:c>
      <x:c r="C184" s="22" t="n">
        <x:f>IF(F183&gt;0,E183,C183)</x:f>
        <x:v>0.26216137117705784</x:v>
      </x:c>
      <x:c r="D184" s="22" t="n">
        <x:f>IF(F183&gt;0,D183,E183)</x:f>
        <x:v>0.2621613711772284</x:v>
      </x:c>
      <x:c r="E184" s="22" t="n">
        <x:f>AVERAGE(C184:D184)</x:f>
        <x:v>0.2621613711771431</x:v>
      </x:c>
      <x:c r="F184" s="24" t="n">
        <x:f>SUM(EXP(-E184*E2_tabla_vida!$X$128)*E2_tabla_vida!$P$128,EXP(-E184*E2_tabla_vida!$X$129)*E2_tabla_vida!$P$129,EXP(-E184*E2_tabla_vida!$X$130)*E2_tabla_vida!$P$130,EXP(-E184*E2_tabla_vida!$X$131)*E2_tabla_vida!$P$131,EXP(-E184*E2_tabla_vida!$X$132)*E2_tabla_vida!$P$132,EXP(-E184*E2_tabla_vida!$X$133)*E2_tabla_vida!$P$133,EXP(-E184*E2_tabla_vida!$X$134)*E2_tabla_vida!$P$134,EXP(-E184*E2_tabla_vida!$X$135)*E2_tabla_vida!$P$135,EXP(-E184*E2_tabla_vida!$X$136)*E2_tabla_vida!$P$136,EXP(-E184*E2_tabla_vida!$X$137)*E2_tabla_vida!$P$137,EXP(-E184*E2_tabla_vida!$X$138)*E2_tabla_vida!$P$138,EXP(-E184*E2_tabla_vida!$X$139)*E2_tabla_vida!$P$139,EXP(-E184*E2_tabla_vida!$X$140)*E2_tabla_vida!$P$140,EXP(-E184*E2_tabla_vida!$X$141)*E2_tabla_vida!$P$141,EXP(-E184*E2_tabla_vida!$X$142)*E2_tabla_vida!$P$142,EXP(-E184*E2_tabla_vida!$X$143)*E2_tabla_vida!$P$143,EXP(-E184*E2_tabla_vida!$X$144)*E2_tabla_vida!$P$144,EXP(-E184*E2_tabla_vida!$X$145)*E2_tabla_vida!$P$145,EXP(-E184*E2_tabla_vida!$X$146)*E2_tabla_vida!$P$146,EXP(-E184*E2_tabla_vida!$X$147)*E2_tabla_vida!$P$147,EXP(-E184*E2_tabla_vida!$X$148)*E2_tabla_vida!$P$148,EXP(-E184*E2_tabla_vida!$X$149)*E2_tabla_vida!$P$149,EXP(-E184*E2_tabla_vida!$X$150)*E2_tabla_vida!$P$150,EXP(-E184*E2_tabla_vida!$X$151)*E2_tabla_vida!$P$151,EXP(-E184*E2_tabla_vida!$X$152)*E2_tabla_vida!$P$152,EXP(-E184*E2_tabla_vida!$X$153)*E2_tabla_vida!$P$153,EXP(-E184*E2_tabla_vida!$X$154)*E2_tabla_vida!$P$154,EXP(-E184*E2_tabla_vida!$X$155)*E2_tabla_vida!$P$155,EXP(-E184*E2_tabla_vida!$X$156)*E2_tabla_vida!$P$156,EXP(-E184*E2_tabla_vida!$X$157)*E2_tabla_vida!$P$157,EXP(-E184*E2_tabla_vida!$X$158)*E2_tabla_vida!$P$158,EXP(-E184*E2_tabla_vida!$X$159)*E2_tabla_vida!$P$159,EXP(-E184*E2_tabla_vida!$X$160)*E2_tabla_vida!$P$160,EXP(-E184*E2_tabla_vida!$X$161)*E2_tabla_vida!$P$161,EXP(-E184*E2_tabla_vida!$X$162)*E2_tabla_vida!$P$162,EXP(-E184*E2_tabla_vida!$X$163)*E2_tabla_vida!$P$163,EXP(-E184*E2_tabla_vida!$X$164)*E2_tabla_vida!$P$164,EXP(-E184*E2_tabla_vida!$X$165)*E2_tabla_vida!$P$165,EXP(-E184*E2_tabla_vida!$X$166)*E2_tabla_vida!$P$166,EXP(-E184*E2_tabla_vida!$X$167)*E2_tabla_vida!$P$167,EXP(-E184*E2_tabla_vida!$X$168)*E2_tabla_vida!$P$168,EXP(-E184*E2_tabla_vida!$X$169)*E2_tabla_vida!$P$169)-1</x:f>
        <x:v>8.93951579428176e-13</x:v>
      </x:c>
      <x:c r="G184" s="24" t="n">
        <x:f>SUM(EXP(-C184*E2_tabla_vida!$X$128)*E2_tabla_vida!$P$128,EXP(-C184*E2_tabla_vida!$X$129)*E2_tabla_vida!$P$129,EXP(-C184*E2_tabla_vida!$X$130)*E2_tabla_vida!$P$130,EXP(-C184*E2_tabla_vida!$X$131)*E2_tabla_vida!$P$131,EXP(-C184*E2_tabla_vida!$X$132)*E2_tabla_vida!$P$132,EXP(-C184*E2_tabla_vida!$X$133)*E2_tabla_vida!$P$133,EXP(-C184*E2_tabla_vida!$X$134)*E2_tabla_vida!$P$134,EXP(-C184*E2_tabla_vida!$X$135)*E2_tabla_vida!$P$135,EXP(-C184*E2_tabla_vida!$X$136)*E2_tabla_vida!$P$136,EXP(-C184*E2_tabla_vida!$X$137)*E2_tabla_vida!$P$137,EXP(-C184*E2_tabla_vida!$X$138)*E2_tabla_vida!$P$138,EXP(-C184*E2_tabla_vida!$X$139)*E2_tabla_vida!$P$139,EXP(-C184*E2_tabla_vida!$X$140)*E2_tabla_vida!$P$140,EXP(-C184*E2_tabla_vida!$X$141)*E2_tabla_vida!$P$141,EXP(-C184*E2_tabla_vida!$X$142)*E2_tabla_vida!$P$142,EXP(-C184*E2_tabla_vida!$X$143)*E2_tabla_vida!$P$143,EXP(-C184*E2_tabla_vida!$X$144)*E2_tabla_vida!$P$144,EXP(-C184*E2_tabla_vida!$X$145)*E2_tabla_vida!$P$145,EXP(-C184*E2_tabla_vida!$X$146)*E2_tabla_vida!$P$146,EXP(-C184*E2_tabla_vida!$X$147)*E2_tabla_vida!$P$147,EXP(-C184*E2_tabla_vida!$X$148)*E2_tabla_vida!$P$148,EXP(-C184*E2_tabla_vida!$X$149)*E2_tabla_vida!$P$149,EXP(-C184*E2_tabla_vida!$X$150)*E2_tabla_vida!$P$150,EXP(-C184*E2_tabla_vida!$X$151)*E2_tabla_vida!$P$151,EXP(-C184*E2_tabla_vida!$X$152)*E2_tabla_vida!$P$152,EXP(-C184*E2_tabla_vida!$X$153)*E2_tabla_vida!$P$153,EXP(-C184*E2_tabla_vida!$X$154)*E2_tabla_vida!$P$154,EXP(-C184*E2_tabla_vida!$X$155)*E2_tabla_vida!$P$155,EXP(-C184*E2_tabla_vida!$X$156)*E2_tabla_vida!$P$156,EXP(-C184*E2_tabla_vida!$X$157)*E2_tabla_vida!$P$157,EXP(-C184*E2_tabla_vida!$X$158)*E2_tabla_vida!$P$158,EXP(-C184*E2_tabla_vida!$X$159)*E2_tabla_vida!$P$159,EXP(-C184*E2_tabla_vida!$X$160)*E2_tabla_vida!$P$160,EXP(-C184*E2_tabla_vida!$X$161)*E2_tabla_vida!$P$161,EXP(-C184*E2_tabla_vida!$X$162)*E2_tabla_vida!$P$162,EXP(-C184*E2_tabla_vida!$X$163)*E2_tabla_vida!$P$163,EXP(-C184*E2_tabla_vida!$X$164)*E2_tabla_vida!$P$164,EXP(-C184*E2_tabla_vida!$X$165)*E2_tabla_vida!$P$165,EXP(-C184*E2_tabla_vida!$X$166)*E2_tabla_vida!$P$166,EXP(-C184*E2_tabla_vida!$X$167)*E2_tabla_vida!$P$167,EXP(-C184*E2_tabla_vida!$X$168)*E2_tabla_vida!$P$168,EXP(-C184*E2_tabla_vida!$X$169)*E2_tabla_vida!$P$169)-1</x:f>
        <x:v>1.9744206269933784e-12</x:v>
      </x:c>
      <x:c r="H184" s="24" t="n">
        <x:f>SUM(EXP(-D184*E2_tabla_vida!$X$128)*E2_tabla_vida!$P$128,EXP(-D184*E2_tabla_vida!$X$129)*E2_tabla_vida!$P$129,EXP(-D184*E2_tabla_vida!$X$130)*E2_tabla_vida!$P$130,EXP(-D184*E2_tabla_vida!$X$131)*E2_tabla_vida!$P$131,EXP(-D184*E2_tabla_vida!$X$132)*E2_tabla_vida!$P$132,EXP(-D184*E2_tabla_vida!$X$133)*E2_tabla_vida!$P$133,EXP(-D184*E2_tabla_vida!$X$134)*E2_tabla_vida!$P$134,EXP(-D184*E2_tabla_vida!$X$135)*E2_tabla_vida!$P$135,EXP(-D184*E2_tabla_vida!$X$136)*E2_tabla_vida!$P$136,EXP(-D184*E2_tabla_vida!$X$137)*E2_tabla_vida!$P$137,EXP(-D184*E2_tabla_vida!$X$138)*E2_tabla_vida!$P$138,EXP(-D184*E2_tabla_vida!$X$139)*E2_tabla_vida!$P$139,EXP(-D184*E2_tabla_vida!$X$140)*E2_tabla_vida!$P$140,EXP(-D184*E2_tabla_vida!$X$141)*E2_tabla_vida!$P$141,EXP(-D184*E2_tabla_vida!$X$142)*E2_tabla_vida!$P$142,EXP(-D184*E2_tabla_vida!$X$143)*E2_tabla_vida!$P$143,EXP(-D184*E2_tabla_vida!$X$144)*E2_tabla_vida!$P$144,EXP(-D184*E2_tabla_vida!$X$145)*E2_tabla_vida!$P$145,EXP(-D184*E2_tabla_vida!$X$146)*E2_tabla_vida!$P$146,EXP(-D184*E2_tabla_vida!$X$147)*E2_tabla_vida!$P$147,EXP(-D184*E2_tabla_vida!$X$148)*E2_tabla_vida!$P$148,EXP(-D184*E2_tabla_vida!$X$149)*E2_tabla_vida!$P$149,EXP(-D184*E2_tabla_vida!$X$150)*E2_tabla_vida!$P$150,EXP(-D184*E2_tabla_vida!$X$151)*E2_tabla_vida!$P$151,EXP(-D184*E2_tabla_vida!$X$152)*E2_tabla_vida!$P$152,EXP(-D184*E2_tabla_vida!$X$153)*E2_tabla_vida!$P$153,EXP(-D184*E2_tabla_vida!$X$154)*E2_tabla_vida!$P$154,EXP(-D184*E2_tabla_vida!$X$155)*E2_tabla_vida!$P$155,EXP(-D184*E2_tabla_vida!$X$156)*E2_tabla_vida!$P$156,EXP(-D184*E2_tabla_vida!$X$157)*E2_tabla_vida!$P$157,EXP(-D184*E2_tabla_vida!$X$158)*E2_tabla_vida!$P$158,EXP(-D184*E2_tabla_vida!$X$159)*E2_tabla_vida!$P$159,EXP(-D184*E2_tabla_vida!$X$160)*E2_tabla_vida!$P$160,EXP(-D184*E2_tabla_vida!$X$161)*E2_tabla_vida!$P$161,EXP(-D184*E2_tabla_vida!$X$162)*E2_tabla_vida!$P$162,EXP(-D184*E2_tabla_vida!$X$163)*E2_tabla_vida!$P$163,EXP(-D184*E2_tabla_vida!$X$164)*E2_tabla_vida!$P$164,EXP(-D184*E2_tabla_vida!$X$165)*E2_tabla_vida!$P$165,EXP(-D184*E2_tabla_vida!$X$166)*E2_tabla_vida!$P$166,EXP(-D184*E2_tabla_vida!$X$167)*E2_tabla_vida!$P$167,EXP(-D184*E2_tabla_vida!$X$168)*E2_tabla_vida!$P$168,EXP(-D184*E2_tabla_vida!$X$169)*E2_tabla_vida!$P$169)-1</x:f>
        <x:v>-1.857403120197887e-13</x:v>
      </x:c>
    </x:row>
    <x:row r="185" ht="19" customHeight="1">
      <x:c r="A185" s="2" t="str">
        <x:v>BB_L0</x:v>
      </x:c>
      <x:c r="B185" s="2" t="n">
        <x:v>45</x:v>
      </x:c>
      <x:c r="C185" s="22" t="n">
        <x:f>IF(F184&gt;0,E184,C184)</x:f>
        <x:v>0.26216137117705784</x:v>
      </x:c>
      <x:c r="D185" s="22" t="n">
        <x:f>IF(F184&gt;0,D184,E184)</x:f>
        <x:v>0.2621613711771431</x:v>
      </x:c>
      <x:c r="E185" s="22" t="n">
        <x:f>AVERAGE(C185:D185)</x:f>
        <x:v>0.2621613711771005</x:v>
      </x:c>
      <x:c r="F185" s="24" t="n">
        <x:f>SUM(EXP(-E185*E2_tabla_vida!$X$128)*E2_tabla_vida!$P$128,EXP(-E185*E2_tabla_vida!$X$129)*E2_tabla_vida!$P$129,EXP(-E185*E2_tabla_vida!$X$130)*E2_tabla_vida!$P$130,EXP(-E185*E2_tabla_vida!$X$131)*E2_tabla_vida!$P$131,EXP(-E185*E2_tabla_vida!$X$132)*E2_tabla_vida!$P$132,EXP(-E185*E2_tabla_vida!$X$133)*E2_tabla_vida!$P$133,EXP(-E185*E2_tabla_vida!$X$134)*E2_tabla_vida!$P$134,EXP(-E185*E2_tabla_vida!$X$135)*E2_tabla_vida!$P$135,EXP(-E185*E2_tabla_vida!$X$136)*E2_tabla_vida!$P$136,EXP(-E185*E2_tabla_vida!$X$137)*E2_tabla_vida!$P$137,EXP(-E185*E2_tabla_vida!$X$138)*E2_tabla_vida!$P$138,EXP(-E185*E2_tabla_vida!$X$139)*E2_tabla_vida!$P$139,EXP(-E185*E2_tabla_vida!$X$140)*E2_tabla_vida!$P$140,EXP(-E185*E2_tabla_vida!$X$141)*E2_tabla_vida!$P$141,EXP(-E185*E2_tabla_vida!$X$142)*E2_tabla_vida!$P$142,EXP(-E185*E2_tabla_vida!$X$143)*E2_tabla_vida!$P$143,EXP(-E185*E2_tabla_vida!$X$144)*E2_tabla_vida!$P$144,EXP(-E185*E2_tabla_vida!$X$145)*E2_tabla_vida!$P$145,EXP(-E185*E2_tabla_vida!$X$146)*E2_tabla_vida!$P$146,EXP(-E185*E2_tabla_vida!$X$147)*E2_tabla_vida!$P$147,EXP(-E185*E2_tabla_vida!$X$148)*E2_tabla_vida!$P$148,EXP(-E185*E2_tabla_vida!$X$149)*E2_tabla_vida!$P$149,EXP(-E185*E2_tabla_vida!$X$150)*E2_tabla_vida!$P$150,EXP(-E185*E2_tabla_vida!$X$151)*E2_tabla_vida!$P$151,EXP(-E185*E2_tabla_vida!$X$152)*E2_tabla_vida!$P$152,EXP(-E185*E2_tabla_vida!$X$153)*E2_tabla_vida!$P$153,EXP(-E185*E2_tabla_vida!$X$154)*E2_tabla_vida!$P$154,EXP(-E185*E2_tabla_vida!$X$155)*E2_tabla_vida!$P$155,EXP(-E185*E2_tabla_vida!$X$156)*E2_tabla_vida!$P$156,EXP(-E185*E2_tabla_vida!$X$157)*E2_tabla_vida!$P$157,EXP(-E185*E2_tabla_vida!$X$158)*E2_tabla_vida!$P$158,EXP(-E185*E2_tabla_vida!$X$159)*E2_tabla_vida!$P$159,EXP(-E185*E2_tabla_vida!$X$160)*E2_tabla_vida!$P$160,EXP(-E185*E2_tabla_vida!$X$161)*E2_tabla_vida!$P$161,EXP(-E185*E2_tabla_vida!$X$162)*E2_tabla_vida!$P$162,EXP(-E185*E2_tabla_vida!$X$163)*E2_tabla_vida!$P$163,EXP(-E185*E2_tabla_vida!$X$164)*E2_tabla_vida!$P$164,EXP(-E185*E2_tabla_vida!$X$165)*E2_tabla_vida!$P$165,EXP(-E185*E2_tabla_vida!$X$166)*E2_tabla_vida!$P$166,EXP(-E185*E2_tabla_vida!$X$167)*E2_tabla_vida!$P$167,EXP(-E185*E2_tabla_vida!$X$168)*E2_tabla_vida!$P$168,EXP(-E185*E2_tabla_vida!$X$169)*E2_tabla_vida!$P$169)-1</x:f>
        <x:v>1.4344081478157023e-12</x:v>
      </x:c>
      <x:c r="G185" s="24" t="n">
        <x:f>SUM(EXP(-C185*E2_tabla_vida!$X$128)*E2_tabla_vida!$P$128,EXP(-C185*E2_tabla_vida!$X$129)*E2_tabla_vida!$P$129,EXP(-C185*E2_tabla_vida!$X$130)*E2_tabla_vida!$P$130,EXP(-C185*E2_tabla_vida!$X$131)*E2_tabla_vida!$P$131,EXP(-C185*E2_tabla_vida!$X$132)*E2_tabla_vida!$P$132,EXP(-C185*E2_tabla_vida!$X$133)*E2_tabla_vida!$P$133,EXP(-C185*E2_tabla_vida!$X$134)*E2_tabla_vida!$P$134,EXP(-C185*E2_tabla_vida!$X$135)*E2_tabla_vida!$P$135,EXP(-C185*E2_tabla_vida!$X$136)*E2_tabla_vida!$P$136,EXP(-C185*E2_tabla_vida!$X$137)*E2_tabla_vida!$P$137,EXP(-C185*E2_tabla_vida!$X$138)*E2_tabla_vida!$P$138,EXP(-C185*E2_tabla_vida!$X$139)*E2_tabla_vida!$P$139,EXP(-C185*E2_tabla_vida!$X$140)*E2_tabla_vida!$P$140,EXP(-C185*E2_tabla_vida!$X$141)*E2_tabla_vida!$P$141,EXP(-C185*E2_tabla_vida!$X$142)*E2_tabla_vida!$P$142,EXP(-C185*E2_tabla_vida!$X$143)*E2_tabla_vida!$P$143,EXP(-C185*E2_tabla_vida!$X$144)*E2_tabla_vida!$P$144,EXP(-C185*E2_tabla_vida!$X$145)*E2_tabla_vida!$P$145,EXP(-C185*E2_tabla_vida!$X$146)*E2_tabla_vida!$P$146,EXP(-C185*E2_tabla_vida!$X$147)*E2_tabla_vida!$P$147,EXP(-C185*E2_tabla_vida!$X$148)*E2_tabla_vida!$P$148,EXP(-C185*E2_tabla_vida!$X$149)*E2_tabla_vida!$P$149,EXP(-C185*E2_tabla_vida!$X$150)*E2_tabla_vida!$P$150,EXP(-C185*E2_tabla_vida!$X$151)*E2_tabla_vida!$P$151,EXP(-C185*E2_tabla_vida!$X$152)*E2_tabla_vida!$P$152,EXP(-C185*E2_tabla_vida!$X$153)*E2_tabla_vida!$P$153,EXP(-C185*E2_tabla_vida!$X$154)*E2_tabla_vida!$P$154,EXP(-C185*E2_tabla_vida!$X$155)*E2_tabla_vida!$P$155,EXP(-C185*E2_tabla_vida!$X$156)*E2_tabla_vida!$P$156,EXP(-C185*E2_tabla_vida!$X$157)*E2_tabla_vida!$P$157,EXP(-C185*E2_tabla_vida!$X$158)*E2_tabla_vida!$P$158,EXP(-C185*E2_tabla_vida!$X$159)*E2_tabla_vida!$P$159,EXP(-C185*E2_tabla_vida!$X$160)*E2_tabla_vida!$P$160,EXP(-C185*E2_tabla_vida!$X$161)*E2_tabla_vida!$P$161,EXP(-C185*E2_tabla_vida!$X$162)*E2_tabla_vida!$P$162,EXP(-C185*E2_tabla_vida!$X$163)*E2_tabla_vida!$P$163,EXP(-C185*E2_tabla_vida!$X$164)*E2_tabla_vida!$P$164,EXP(-C185*E2_tabla_vida!$X$165)*E2_tabla_vida!$P$165,EXP(-C185*E2_tabla_vida!$X$166)*E2_tabla_vida!$P$166,EXP(-C185*E2_tabla_vida!$X$167)*E2_tabla_vida!$P$167,EXP(-C185*E2_tabla_vida!$X$168)*E2_tabla_vida!$P$168,EXP(-C185*E2_tabla_vida!$X$169)*E2_tabla_vida!$P$169)-1</x:f>
        <x:v>1.9744206269933784e-12</x:v>
      </x:c>
      <x:c r="H185" s="24" t="n">
        <x:f>SUM(EXP(-D185*E2_tabla_vida!$X$128)*E2_tabla_vida!$P$128,EXP(-D185*E2_tabla_vida!$X$129)*E2_tabla_vida!$P$129,EXP(-D185*E2_tabla_vida!$X$130)*E2_tabla_vida!$P$130,EXP(-D185*E2_tabla_vida!$X$131)*E2_tabla_vida!$P$131,EXP(-D185*E2_tabla_vida!$X$132)*E2_tabla_vida!$P$132,EXP(-D185*E2_tabla_vida!$X$133)*E2_tabla_vida!$P$133,EXP(-D185*E2_tabla_vida!$X$134)*E2_tabla_vida!$P$134,EXP(-D185*E2_tabla_vida!$X$135)*E2_tabla_vida!$P$135,EXP(-D185*E2_tabla_vida!$X$136)*E2_tabla_vida!$P$136,EXP(-D185*E2_tabla_vida!$X$137)*E2_tabla_vida!$P$137,EXP(-D185*E2_tabla_vida!$X$138)*E2_tabla_vida!$P$138,EXP(-D185*E2_tabla_vida!$X$139)*E2_tabla_vida!$P$139,EXP(-D185*E2_tabla_vida!$X$140)*E2_tabla_vida!$P$140,EXP(-D185*E2_tabla_vida!$X$141)*E2_tabla_vida!$P$141,EXP(-D185*E2_tabla_vida!$X$142)*E2_tabla_vida!$P$142,EXP(-D185*E2_tabla_vida!$X$143)*E2_tabla_vida!$P$143,EXP(-D185*E2_tabla_vida!$X$144)*E2_tabla_vida!$P$144,EXP(-D185*E2_tabla_vida!$X$145)*E2_tabla_vida!$P$145,EXP(-D185*E2_tabla_vida!$X$146)*E2_tabla_vida!$P$146,EXP(-D185*E2_tabla_vida!$X$147)*E2_tabla_vida!$P$147,EXP(-D185*E2_tabla_vida!$X$148)*E2_tabla_vida!$P$148,EXP(-D185*E2_tabla_vida!$X$149)*E2_tabla_vida!$P$149,EXP(-D185*E2_tabla_vida!$X$150)*E2_tabla_vida!$P$150,EXP(-D185*E2_tabla_vida!$X$151)*E2_tabla_vida!$P$151,EXP(-D185*E2_tabla_vida!$X$152)*E2_tabla_vida!$P$152,EXP(-D185*E2_tabla_vida!$X$153)*E2_tabla_vida!$P$153,EXP(-D185*E2_tabla_vida!$X$154)*E2_tabla_vida!$P$154,EXP(-D185*E2_tabla_vida!$X$155)*E2_tabla_vida!$P$155,EXP(-D185*E2_tabla_vida!$X$156)*E2_tabla_vida!$P$156,EXP(-D185*E2_tabla_vida!$X$157)*E2_tabla_vida!$P$157,EXP(-D185*E2_tabla_vida!$X$158)*E2_tabla_vida!$P$158,EXP(-D185*E2_tabla_vida!$X$159)*E2_tabla_vida!$P$159,EXP(-D185*E2_tabla_vida!$X$160)*E2_tabla_vida!$P$160,EXP(-D185*E2_tabla_vida!$X$161)*E2_tabla_vida!$P$161,EXP(-D185*E2_tabla_vida!$X$162)*E2_tabla_vida!$P$162,EXP(-D185*E2_tabla_vida!$X$163)*E2_tabla_vida!$P$163,EXP(-D185*E2_tabla_vida!$X$164)*E2_tabla_vida!$P$164,EXP(-D185*E2_tabla_vida!$X$165)*E2_tabla_vida!$P$165,EXP(-D185*E2_tabla_vida!$X$166)*E2_tabla_vida!$P$166,EXP(-D185*E2_tabla_vida!$X$167)*E2_tabla_vida!$P$167,EXP(-D185*E2_tabla_vida!$X$168)*E2_tabla_vida!$P$168,EXP(-D185*E2_tabla_vida!$X$169)*E2_tabla_vida!$P$169)-1</x:f>
        <x:v>8.93951579428176e-13</x:v>
      </x:c>
    </x:row>
    <x:row r="186" ht="19" customHeight="1">
      <x:c r="A186" s="2" t="str">
        <x:v>BB_L8</x:v>
      </x:c>
      <x:c r="B186" s="2" t="n">
        <x:v>0</x:v>
      </x:c>
      <x:c r="C186" s="22" t="n">
        <x:f>Supuestos!$C$17</x:f>
        <x:v>-1</x:v>
      </x:c>
      <x:c r="D186" s="22" t="n">
        <x:f>Supuestos!$C$18</x:f>
        <x:v>2</x:v>
      </x:c>
      <x:c r="E186" s="22" t="n">
        <x:f>AVERAGE(C186:D186)</x:f>
        <x:v>0.5</x:v>
      </x:c>
      <x:c r="F186" s="24" t="n">
        <x:f>SUM(EXP(-E186*E2_tabla_vida!$X$170)*E2_tabla_vida!$P$170,EXP(-E186*E2_tabla_vida!$X$171)*E2_tabla_vida!$P$171,EXP(-E186*E2_tabla_vida!$X$172)*E2_tabla_vida!$P$172,EXP(-E186*E2_tabla_vida!$X$173)*E2_tabla_vida!$P$173,EXP(-E186*E2_tabla_vida!$X$174)*E2_tabla_vida!$P$174,EXP(-E186*E2_tabla_vida!$X$175)*E2_tabla_vida!$P$175,EXP(-E186*E2_tabla_vida!$X$176)*E2_tabla_vida!$P$176,EXP(-E186*E2_tabla_vida!$X$177)*E2_tabla_vida!$P$177,EXP(-E186*E2_tabla_vida!$X$178)*E2_tabla_vida!$P$178,EXP(-E186*E2_tabla_vida!$X$179)*E2_tabla_vida!$P$179,EXP(-E186*E2_tabla_vida!$X$180)*E2_tabla_vida!$P$180,EXP(-E186*E2_tabla_vida!$X$181)*E2_tabla_vida!$P$181,EXP(-E186*E2_tabla_vida!$X$182)*E2_tabla_vida!$P$182,EXP(-E186*E2_tabla_vida!$X$183)*E2_tabla_vida!$P$183,EXP(-E186*E2_tabla_vida!$X$184)*E2_tabla_vida!$P$184,EXP(-E186*E2_tabla_vida!$X$185)*E2_tabla_vida!$P$185,EXP(-E186*E2_tabla_vida!$X$186)*E2_tabla_vida!$P$186,EXP(-E186*E2_tabla_vida!$X$187)*E2_tabla_vida!$P$187,EXP(-E186*E2_tabla_vida!$X$188)*E2_tabla_vida!$P$188,EXP(-E186*E2_tabla_vida!$X$189)*E2_tabla_vida!$P$189,EXP(-E186*E2_tabla_vida!$X$190)*E2_tabla_vida!$P$190,EXP(-E186*E2_tabla_vida!$X$191)*E2_tabla_vida!$P$191,EXP(-E186*E2_tabla_vida!$X$192)*E2_tabla_vida!$P$192,EXP(-E186*E2_tabla_vida!$X$193)*E2_tabla_vida!$P$193,EXP(-E186*E2_tabla_vida!$X$194)*E2_tabla_vida!$P$194,EXP(-E186*E2_tabla_vida!$X$195)*E2_tabla_vida!$P$195,EXP(-E186*E2_tabla_vida!$X$196)*E2_tabla_vida!$P$196,EXP(-E186*E2_tabla_vida!$X$197)*E2_tabla_vida!$P$197,EXP(-E186*E2_tabla_vida!$X$198)*E2_tabla_vida!$P$198,EXP(-E186*E2_tabla_vida!$X$199)*E2_tabla_vida!$P$199,EXP(-E186*E2_tabla_vida!$X$200)*E2_tabla_vida!$P$200,EXP(-E186*E2_tabla_vida!$X$201)*E2_tabla_vida!$P$201,EXP(-E186*E2_tabla_vida!$X$202)*E2_tabla_vida!$P$202,EXP(-E186*E2_tabla_vida!$X$203)*E2_tabla_vida!$P$203,EXP(-E186*E2_tabla_vida!$X$204)*E2_tabla_vida!$P$204,EXP(-E186*E2_tabla_vida!$X$205)*E2_tabla_vida!$P$205,EXP(-E186*E2_tabla_vida!$X$206)*E2_tabla_vida!$P$206,EXP(-E186*E2_tabla_vida!$X$207)*E2_tabla_vida!$P$207,EXP(-E186*E2_tabla_vida!$X$208)*E2_tabla_vida!$P$208,EXP(-E186*E2_tabla_vida!$X$209)*E2_tabla_vida!$P$209,EXP(-E186*E2_tabla_vida!$X$210)*E2_tabla_vida!$P$210,EXP(-E186*E2_tabla_vida!$X$211)*E2_tabla_vida!$P$211)-1</x:f>
        <x:v>-0.9834359967520352</x:v>
      </x:c>
      <x:c r="G186" s="24" t="n">
        <x:f>SUM(EXP(-C186*E2_tabla_vida!$X$170)*E2_tabla_vida!$P$170,EXP(-C186*E2_tabla_vida!$X$171)*E2_tabla_vida!$P$171,EXP(-C186*E2_tabla_vida!$X$172)*E2_tabla_vida!$P$172,EXP(-C186*E2_tabla_vida!$X$173)*E2_tabla_vida!$P$173,EXP(-C186*E2_tabla_vida!$X$174)*E2_tabla_vida!$P$174,EXP(-C186*E2_tabla_vida!$X$175)*E2_tabla_vida!$P$175,EXP(-C186*E2_tabla_vida!$X$176)*E2_tabla_vida!$P$176,EXP(-C186*E2_tabla_vida!$X$177)*E2_tabla_vida!$P$177,EXP(-C186*E2_tabla_vida!$X$178)*E2_tabla_vida!$P$178,EXP(-C186*E2_tabla_vida!$X$179)*E2_tabla_vida!$P$179,EXP(-C186*E2_tabla_vida!$X$180)*E2_tabla_vida!$P$180,EXP(-C186*E2_tabla_vida!$X$181)*E2_tabla_vida!$P$181,EXP(-C186*E2_tabla_vida!$X$182)*E2_tabla_vida!$P$182,EXP(-C186*E2_tabla_vida!$X$183)*E2_tabla_vida!$P$183,EXP(-C186*E2_tabla_vida!$X$184)*E2_tabla_vida!$P$184,EXP(-C186*E2_tabla_vida!$X$185)*E2_tabla_vida!$P$185,EXP(-C186*E2_tabla_vida!$X$186)*E2_tabla_vida!$P$186,EXP(-C186*E2_tabla_vida!$X$187)*E2_tabla_vida!$P$187,EXP(-C186*E2_tabla_vida!$X$188)*E2_tabla_vida!$P$188,EXP(-C186*E2_tabla_vida!$X$189)*E2_tabla_vida!$P$189,EXP(-C186*E2_tabla_vida!$X$190)*E2_tabla_vida!$P$190,EXP(-C186*E2_tabla_vida!$X$191)*E2_tabla_vida!$P$191,EXP(-C186*E2_tabla_vida!$X$192)*E2_tabla_vida!$P$192,EXP(-C186*E2_tabla_vida!$X$193)*E2_tabla_vida!$P$193,EXP(-C186*E2_tabla_vida!$X$194)*E2_tabla_vida!$P$194,EXP(-C186*E2_tabla_vida!$X$195)*E2_tabla_vida!$P$195,EXP(-C186*E2_tabla_vida!$X$196)*E2_tabla_vida!$P$196,EXP(-C186*E2_tabla_vida!$X$197)*E2_tabla_vida!$P$197,EXP(-C186*E2_tabla_vida!$X$198)*E2_tabla_vida!$P$198,EXP(-C186*E2_tabla_vida!$X$199)*E2_tabla_vida!$P$199,EXP(-C186*E2_tabla_vida!$X$200)*E2_tabla_vida!$P$200,EXP(-C186*E2_tabla_vida!$X$201)*E2_tabla_vida!$P$201,EXP(-C186*E2_tabla_vida!$X$202)*E2_tabla_vida!$P$202,EXP(-C186*E2_tabla_vida!$X$203)*E2_tabla_vida!$P$203,EXP(-C186*E2_tabla_vida!$X$204)*E2_tabla_vida!$P$204,EXP(-C186*E2_tabla_vida!$X$205)*E2_tabla_vida!$P$205,EXP(-C186*E2_tabla_vida!$X$206)*E2_tabla_vida!$P$206,EXP(-C186*E2_tabla_vida!$X$207)*E2_tabla_vida!$P$207,EXP(-C186*E2_tabla_vida!$X$208)*E2_tabla_vida!$P$208,EXP(-C186*E2_tabla_vida!$X$209)*E2_tabla_vida!$P$209,EXP(-C186*E2_tabla_vida!$X$210)*E2_tabla_vida!$P$210,EXP(-C186*E2_tabla_vida!$X$211)*E2_tabla_vida!$P$211)-1</x:f>
        <x:v>55124467094161.11</x:v>
      </x:c>
      <x:c r="H186" s="24" t="n">
        <x:f>SUM(EXP(-D186*E2_tabla_vida!$X$170)*E2_tabla_vida!$P$170,EXP(-D186*E2_tabla_vida!$X$171)*E2_tabla_vida!$P$171,EXP(-D186*E2_tabla_vida!$X$172)*E2_tabla_vida!$P$172,EXP(-D186*E2_tabla_vida!$X$173)*E2_tabla_vida!$P$173,EXP(-D186*E2_tabla_vida!$X$174)*E2_tabla_vida!$P$174,EXP(-D186*E2_tabla_vida!$X$175)*E2_tabla_vida!$P$175,EXP(-D186*E2_tabla_vida!$X$176)*E2_tabla_vida!$P$176,EXP(-D186*E2_tabla_vida!$X$177)*E2_tabla_vida!$P$177,EXP(-D186*E2_tabla_vida!$X$178)*E2_tabla_vida!$P$178,EXP(-D186*E2_tabla_vida!$X$179)*E2_tabla_vida!$P$179,EXP(-D186*E2_tabla_vida!$X$180)*E2_tabla_vida!$P$180,EXP(-D186*E2_tabla_vida!$X$181)*E2_tabla_vida!$P$181,EXP(-D186*E2_tabla_vida!$X$182)*E2_tabla_vida!$P$182,EXP(-D186*E2_tabla_vida!$X$183)*E2_tabla_vida!$P$183,EXP(-D186*E2_tabla_vida!$X$184)*E2_tabla_vida!$P$184,EXP(-D186*E2_tabla_vida!$X$185)*E2_tabla_vida!$P$185,EXP(-D186*E2_tabla_vida!$X$186)*E2_tabla_vida!$P$186,EXP(-D186*E2_tabla_vida!$X$187)*E2_tabla_vida!$P$187,EXP(-D186*E2_tabla_vida!$X$188)*E2_tabla_vida!$P$188,EXP(-D186*E2_tabla_vida!$X$189)*E2_tabla_vida!$P$189,EXP(-D186*E2_tabla_vida!$X$190)*E2_tabla_vida!$P$190,EXP(-D186*E2_tabla_vida!$X$191)*E2_tabla_vida!$P$191,EXP(-D186*E2_tabla_vida!$X$192)*E2_tabla_vida!$P$192,EXP(-D186*E2_tabla_vida!$X$193)*E2_tabla_vida!$P$193,EXP(-D186*E2_tabla_vida!$X$194)*E2_tabla_vida!$P$194,EXP(-D186*E2_tabla_vida!$X$195)*E2_tabla_vida!$P$195,EXP(-D186*E2_tabla_vida!$X$196)*E2_tabla_vida!$P$196,EXP(-D186*E2_tabla_vida!$X$197)*E2_tabla_vida!$P$197,EXP(-D186*E2_tabla_vida!$X$198)*E2_tabla_vida!$P$198,EXP(-D186*E2_tabla_vida!$X$199)*E2_tabla_vida!$P$199,EXP(-D186*E2_tabla_vida!$X$200)*E2_tabla_vida!$P$200,EXP(-D186*E2_tabla_vida!$X$201)*E2_tabla_vida!$P$201,EXP(-D186*E2_tabla_vida!$X$202)*E2_tabla_vida!$P$202,EXP(-D186*E2_tabla_vida!$X$203)*E2_tabla_vida!$P$203,EXP(-D186*E2_tabla_vida!$X$204)*E2_tabla_vida!$P$204,EXP(-D186*E2_tabla_vida!$X$205)*E2_tabla_vida!$P$205,EXP(-D186*E2_tabla_vida!$X$206)*E2_tabla_vida!$P$206,EXP(-D186*E2_tabla_vida!$X$207)*E2_tabla_vida!$P$207,EXP(-D186*E2_tabla_vida!$X$208)*E2_tabla_vida!$P$208,EXP(-D186*E2_tabla_vida!$X$209)*E2_tabla_vida!$P$209,EXP(-D186*E2_tabla_vida!$X$210)*E2_tabla_vida!$P$210,EXP(-D186*E2_tabla_vida!$X$211)*E2_tabla_vida!$P$211)-1</x:f>
        <x:v>-0.9999999986348289</x:v>
      </x:c>
    </x:row>
    <x:row r="187" ht="19" customHeight="1">
      <x:c r="A187" s="2" t="str">
        <x:v>BB_L8</x:v>
      </x:c>
      <x:c r="B187" s="2" t="n">
        <x:v>1</x:v>
      </x:c>
      <x:c r="C187" s="22" t="n">
        <x:f>IF(F186&gt;0,E186,C186)</x:f>
        <x:v>-1</x:v>
      </x:c>
      <x:c r="D187" s="22" t="n">
        <x:f>IF(F186&gt;0,D186,E186)</x:f>
        <x:v>0.5</x:v>
      </x:c>
      <x:c r="E187" s="22" t="n">
        <x:f>AVERAGE(C187:D187)</x:f>
        <x:v>-0.25</x:v>
      </x:c>
      <x:c r="F187" s="24" t="n">
        <x:f>SUM(EXP(-E187*E2_tabla_vida!$X$170)*E2_tabla_vida!$P$170,EXP(-E187*E2_tabla_vida!$X$171)*E2_tabla_vida!$P$171,EXP(-E187*E2_tabla_vida!$X$172)*E2_tabla_vida!$P$172,EXP(-E187*E2_tabla_vida!$X$173)*E2_tabla_vida!$P$173,EXP(-E187*E2_tabla_vida!$X$174)*E2_tabla_vida!$P$174,EXP(-E187*E2_tabla_vida!$X$175)*E2_tabla_vida!$P$175,EXP(-E187*E2_tabla_vida!$X$176)*E2_tabla_vida!$P$176,EXP(-E187*E2_tabla_vida!$X$177)*E2_tabla_vida!$P$177,EXP(-E187*E2_tabla_vida!$X$178)*E2_tabla_vida!$P$178,EXP(-E187*E2_tabla_vida!$X$179)*E2_tabla_vida!$P$179,EXP(-E187*E2_tabla_vida!$X$180)*E2_tabla_vida!$P$180,EXP(-E187*E2_tabla_vida!$X$181)*E2_tabla_vida!$P$181,EXP(-E187*E2_tabla_vida!$X$182)*E2_tabla_vida!$P$182,EXP(-E187*E2_tabla_vida!$X$183)*E2_tabla_vida!$P$183,EXP(-E187*E2_tabla_vida!$X$184)*E2_tabla_vida!$P$184,EXP(-E187*E2_tabla_vida!$X$185)*E2_tabla_vida!$P$185,EXP(-E187*E2_tabla_vida!$X$186)*E2_tabla_vida!$P$186,EXP(-E187*E2_tabla_vida!$X$187)*E2_tabla_vida!$P$187,EXP(-E187*E2_tabla_vida!$X$188)*E2_tabla_vida!$P$188,EXP(-E187*E2_tabla_vida!$X$189)*E2_tabla_vida!$P$189,EXP(-E187*E2_tabla_vida!$X$190)*E2_tabla_vida!$P$190,EXP(-E187*E2_tabla_vida!$X$191)*E2_tabla_vida!$P$191,EXP(-E187*E2_tabla_vida!$X$192)*E2_tabla_vida!$P$192,EXP(-E187*E2_tabla_vida!$X$193)*E2_tabla_vida!$P$193,EXP(-E187*E2_tabla_vida!$X$194)*E2_tabla_vida!$P$194,EXP(-E187*E2_tabla_vida!$X$195)*E2_tabla_vida!$P$195,EXP(-E187*E2_tabla_vida!$X$196)*E2_tabla_vida!$P$196,EXP(-E187*E2_tabla_vida!$X$197)*E2_tabla_vida!$P$197,EXP(-E187*E2_tabla_vida!$X$198)*E2_tabla_vida!$P$198,EXP(-E187*E2_tabla_vida!$X$199)*E2_tabla_vida!$P$199,EXP(-E187*E2_tabla_vida!$X$200)*E2_tabla_vida!$P$200,EXP(-E187*E2_tabla_vida!$X$201)*E2_tabla_vida!$P$201,EXP(-E187*E2_tabla_vida!$X$202)*E2_tabla_vida!$P$202,EXP(-E187*E2_tabla_vida!$X$203)*E2_tabla_vida!$P$203,EXP(-E187*E2_tabla_vida!$X$204)*E2_tabla_vida!$P$204,EXP(-E187*E2_tabla_vida!$X$205)*E2_tabla_vida!$P$205,EXP(-E187*E2_tabla_vida!$X$206)*E2_tabla_vida!$P$206,EXP(-E187*E2_tabla_vida!$X$207)*E2_tabla_vida!$P$207,EXP(-E187*E2_tabla_vida!$X$208)*E2_tabla_vida!$P$208,EXP(-E187*E2_tabla_vida!$X$209)*E2_tabla_vida!$P$209,EXP(-E187*E2_tabla_vida!$X$210)*E2_tabla_vida!$P$210,EXP(-E187*E2_tabla_vida!$X$211)*E2_tabla_vida!$P$211)-1</x:f>
        <x:v>5621.148092810741</x:v>
      </x:c>
      <x:c r="G187" s="24" t="n">
        <x:f>SUM(EXP(-C187*E2_tabla_vida!$X$170)*E2_tabla_vida!$P$170,EXP(-C187*E2_tabla_vida!$X$171)*E2_tabla_vida!$P$171,EXP(-C187*E2_tabla_vida!$X$172)*E2_tabla_vida!$P$172,EXP(-C187*E2_tabla_vida!$X$173)*E2_tabla_vida!$P$173,EXP(-C187*E2_tabla_vida!$X$174)*E2_tabla_vida!$P$174,EXP(-C187*E2_tabla_vida!$X$175)*E2_tabla_vida!$P$175,EXP(-C187*E2_tabla_vida!$X$176)*E2_tabla_vida!$P$176,EXP(-C187*E2_tabla_vida!$X$177)*E2_tabla_vida!$P$177,EXP(-C187*E2_tabla_vida!$X$178)*E2_tabla_vida!$P$178,EXP(-C187*E2_tabla_vida!$X$179)*E2_tabla_vida!$P$179,EXP(-C187*E2_tabla_vida!$X$180)*E2_tabla_vida!$P$180,EXP(-C187*E2_tabla_vida!$X$181)*E2_tabla_vida!$P$181,EXP(-C187*E2_tabla_vida!$X$182)*E2_tabla_vida!$P$182,EXP(-C187*E2_tabla_vida!$X$183)*E2_tabla_vida!$P$183,EXP(-C187*E2_tabla_vida!$X$184)*E2_tabla_vida!$P$184,EXP(-C187*E2_tabla_vida!$X$185)*E2_tabla_vida!$P$185,EXP(-C187*E2_tabla_vida!$X$186)*E2_tabla_vida!$P$186,EXP(-C187*E2_tabla_vida!$X$187)*E2_tabla_vida!$P$187,EXP(-C187*E2_tabla_vida!$X$188)*E2_tabla_vida!$P$188,EXP(-C187*E2_tabla_vida!$X$189)*E2_tabla_vida!$P$189,EXP(-C187*E2_tabla_vida!$X$190)*E2_tabla_vida!$P$190,EXP(-C187*E2_tabla_vida!$X$191)*E2_tabla_vida!$P$191,EXP(-C187*E2_tabla_vida!$X$192)*E2_tabla_vida!$P$192,EXP(-C187*E2_tabla_vida!$X$193)*E2_tabla_vida!$P$193,EXP(-C187*E2_tabla_vida!$X$194)*E2_tabla_vida!$P$194,EXP(-C187*E2_tabla_vida!$X$195)*E2_tabla_vida!$P$195,EXP(-C187*E2_tabla_vida!$X$196)*E2_tabla_vida!$P$196,EXP(-C187*E2_tabla_vida!$X$197)*E2_tabla_vida!$P$197,EXP(-C187*E2_tabla_vida!$X$198)*E2_tabla_vida!$P$198,EXP(-C187*E2_tabla_vida!$X$199)*E2_tabla_vida!$P$199,EXP(-C187*E2_tabla_vida!$X$200)*E2_tabla_vida!$P$200,EXP(-C187*E2_tabla_vida!$X$201)*E2_tabla_vida!$P$201,EXP(-C187*E2_tabla_vida!$X$202)*E2_tabla_vida!$P$202,EXP(-C187*E2_tabla_vida!$X$203)*E2_tabla_vida!$P$203,EXP(-C187*E2_tabla_vida!$X$204)*E2_tabla_vida!$P$204,EXP(-C187*E2_tabla_vida!$X$205)*E2_tabla_vida!$P$205,EXP(-C187*E2_tabla_vida!$X$206)*E2_tabla_vida!$P$206,EXP(-C187*E2_tabla_vida!$X$207)*E2_tabla_vida!$P$207,EXP(-C187*E2_tabla_vida!$X$208)*E2_tabla_vida!$P$208,EXP(-C187*E2_tabla_vida!$X$209)*E2_tabla_vida!$P$209,EXP(-C187*E2_tabla_vida!$X$210)*E2_tabla_vida!$P$210,EXP(-C187*E2_tabla_vida!$X$211)*E2_tabla_vida!$P$211)-1</x:f>
        <x:v>55124467094161.11</x:v>
      </x:c>
      <x:c r="H187" s="24" t="n">
        <x:f>SUM(EXP(-D187*E2_tabla_vida!$X$170)*E2_tabla_vida!$P$170,EXP(-D187*E2_tabla_vida!$X$171)*E2_tabla_vida!$P$171,EXP(-D187*E2_tabla_vida!$X$172)*E2_tabla_vida!$P$172,EXP(-D187*E2_tabla_vida!$X$173)*E2_tabla_vida!$P$173,EXP(-D187*E2_tabla_vida!$X$174)*E2_tabla_vida!$P$174,EXP(-D187*E2_tabla_vida!$X$175)*E2_tabla_vida!$P$175,EXP(-D187*E2_tabla_vida!$X$176)*E2_tabla_vida!$P$176,EXP(-D187*E2_tabla_vida!$X$177)*E2_tabla_vida!$P$177,EXP(-D187*E2_tabla_vida!$X$178)*E2_tabla_vida!$P$178,EXP(-D187*E2_tabla_vida!$X$179)*E2_tabla_vida!$P$179,EXP(-D187*E2_tabla_vida!$X$180)*E2_tabla_vida!$P$180,EXP(-D187*E2_tabla_vida!$X$181)*E2_tabla_vida!$P$181,EXP(-D187*E2_tabla_vida!$X$182)*E2_tabla_vida!$P$182,EXP(-D187*E2_tabla_vida!$X$183)*E2_tabla_vida!$P$183,EXP(-D187*E2_tabla_vida!$X$184)*E2_tabla_vida!$P$184,EXP(-D187*E2_tabla_vida!$X$185)*E2_tabla_vida!$P$185,EXP(-D187*E2_tabla_vida!$X$186)*E2_tabla_vida!$P$186,EXP(-D187*E2_tabla_vida!$X$187)*E2_tabla_vida!$P$187,EXP(-D187*E2_tabla_vida!$X$188)*E2_tabla_vida!$P$188,EXP(-D187*E2_tabla_vida!$X$189)*E2_tabla_vida!$P$189,EXP(-D187*E2_tabla_vida!$X$190)*E2_tabla_vida!$P$190,EXP(-D187*E2_tabla_vida!$X$191)*E2_tabla_vida!$P$191,EXP(-D187*E2_tabla_vida!$X$192)*E2_tabla_vida!$P$192,EXP(-D187*E2_tabla_vida!$X$193)*E2_tabla_vida!$P$193,EXP(-D187*E2_tabla_vida!$X$194)*E2_tabla_vida!$P$194,EXP(-D187*E2_tabla_vida!$X$195)*E2_tabla_vida!$P$195,EXP(-D187*E2_tabla_vida!$X$196)*E2_tabla_vida!$P$196,EXP(-D187*E2_tabla_vida!$X$197)*E2_tabla_vida!$P$197,EXP(-D187*E2_tabla_vida!$X$198)*E2_tabla_vida!$P$198,EXP(-D187*E2_tabla_vida!$X$199)*E2_tabla_vida!$P$199,EXP(-D187*E2_tabla_vida!$X$200)*E2_tabla_vida!$P$200,EXP(-D187*E2_tabla_vida!$X$201)*E2_tabla_vida!$P$201,EXP(-D187*E2_tabla_vida!$X$202)*E2_tabla_vida!$P$202,EXP(-D187*E2_tabla_vida!$X$203)*E2_tabla_vida!$P$203,EXP(-D187*E2_tabla_vida!$X$204)*E2_tabla_vida!$P$204,EXP(-D187*E2_tabla_vida!$X$205)*E2_tabla_vida!$P$205,EXP(-D187*E2_tabla_vida!$X$206)*E2_tabla_vida!$P$206,EXP(-D187*E2_tabla_vida!$X$207)*E2_tabla_vida!$P$207,EXP(-D187*E2_tabla_vida!$X$208)*E2_tabla_vida!$P$208,EXP(-D187*E2_tabla_vida!$X$209)*E2_tabla_vida!$P$209,EXP(-D187*E2_tabla_vida!$X$210)*E2_tabla_vida!$P$210,EXP(-D187*E2_tabla_vida!$X$211)*E2_tabla_vida!$P$211)-1</x:f>
        <x:v>-0.9834359967520352</x:v>
      </x:c>
    </x:row>
    <x:row r="188" ht="19" customHeight="1">
      <x:c r="A188" s="2" t="str">
        <x:v>BB_L8</x:v>
      </x:c>
      <x:c r="B188" s="2" t="n">
        <x:v>2</x:v>
      </x:c>
      <x:c r="C188" s="22" t="n">
        <x:f>IF(F187&gt;0,E187,C187)</x:f>
        <x:v>-0.25</x:v>
      </x:c>
      <x:c r="D188" s="22" t="n">
        <x:f>IF(F187&gt;0,D187,E187)</x:f>
        <x:v>0.5</x:v>
      </x:c>
      <x:c r="E188" s="22" t="n">
        <x:f>AVERAGE(C188:D188)</x:f>
        <x:v>0.125</x:v>
      </x:c>
      <x:c r="F188" s="24" t="n">
        <x:f>SUM(EXP(-E188*E2_tabla_vida!$X$170)*E2_tabla_vida!$P$170,EXP(-E188*E2_tabla_vida!$X$171)*E2_tabla_vida!$P$171,EXP(-E188*E2_tabla_vida!$X$172)*E2_tabla_vida!$P$172,EXP(-E188*E2_tabla_vida!$X$173)*E2_tabla_vida!$P$173,EXP(-E188*E2_tabla_vida!$X$174)*E2_tabla_vida!$P$174,EXP(-E188*E2_tabla_vida!$X$175)*E2_tabla_vida!$P$175,EXP(-E188*E2_tabla_vida!$X$176)*E2_tabla_vida!$P$176,EXP(-E188*E2_tabla_vida!$X$177)*E2_tabla_vida!$P$177,EXP(-E188*E2_tabla_vida!$X$178)*E2_tabla_vida!$P$178,EXP(-E188*E2_tabla_vida!$X$179)*E2_tabla_vida!$P$179,EXP(-E188*E2_tabla_vida!$X$180)*E2_tabla_vida!$P$180,EXP(-E188*E2_tabla_vida!$X$181)*E2_tabla_vida!$P$181,EXP(-E188*E2_tabla_vida!$X$182)*E2_tabla_vida!$P$182,EXP(-E188*E2_tabla_vida!$X$183)*E2_tabla_vida!$P$183,EXP(-E188*E2_tabla_vida!$X$184)*E2_tabla_vida!$P$184,EXP(-E188*E2_tabla_vida!$X$185)*E2_tabla_vida!$P$185,EXP(-E188*E2_tabla_vida!$X$186)*E2_tabla_vida!$P$186,EXP(-E188*E2_tabla_vida!$X$187)*E2_tabla_vida!$P$187,EXP(-E188*E2_tabla_vida!$X$188)*E2_tabla_vida!$P$188,EXP(-E188*E2_tabla_vida!$X$189)*E2_tabla_vida!$P$189,EXP(-E188*E2_tabla_vida!$X$190)*E2_tabla_vida!$P$190,EXP(-E188*E2_tabla_vida!$X$191)*E2_tabla_vida!$P$191,EXP(-E188*E2_tabla_vida!$X$192)*E2_tabla_vida!$P$192,EXP(-E188*E2_tabla_vida!$X$193)*E2_tabla_vida!$P$193,EXP(-E188*E2_tabla_vida!$X$194)*E2_tabla_vida!$P$194,EXP(-E188*E2_tabla_vida!$X$195)*E2_tabla_vida!$P$195,EXP(-E188*E2_tabla_vida!$X$196)*E2_tabla_vida!$P$196,EXP(-E188*E2_tabla_vida!$X$197)*E2_tabla_vida!$P$197,EXP(-E188*E2_tabla_vida!$X$198)*E2_tabla_vida!$P$198,EXP(-E188*E2_tabla_vida!$X$199)*E2_tabla_vida!$P$199,EXP(-E188*E2_tabla_vida!$X$200)*E2_tabla_vida!$P$200,EXP(-E188*E2_tabla_vida!$X$201)*E2_tabla_vida!$P$201,EXP(-E188*E2_tabla_vida!$X$202)*E2_tabla_vida!$P$202,EXP(-E188*E2_tabla_vida!$X$203)*E2_tabla_vida!$P$203,EXP(-E188*E2_tabla_vida!$X$204)*E2_tabla_vida!$P$204,EXP(-E188*E2_tabla_vida!$X$205)*E2_tabla_vida!$P$205,EXP(-E188*E2_tabla_vida!$X$206)*E2_tabla_vida!$P$206,EXP(-E188*E2_tabla_vida!$X$207)*E2_tabla_vida!$P$207,EXP(-E188*E2_tabla_vida!$X$208)*E2_tabla_vida!$P$208,EXP(-E188*E2_tabla_vida!$X$209)*E2_tabla_vida!$P$209,EXP(-E188*E2_tabla_vida!$X$210)*E2_tabla_vida!$P$210,EXP(-E188*E2_tabla_vida!$X$211)*E2_tabla_vida!$P$211)-1</x:f>
        <x:v>1.963040662583564</x:v>
      </x:c>
      <x:c r="G188" s="24" t="n">
        <x:f>SUM(EXP(-C188*E2_tabla_vida!$X$170)*E2_tabla_vida!$P$170,EXP(-C188*E2_tabla_vida!$X$171)*E2_tabla_vida!$P$171,EXP(-C188*E2_tabla_vida!$X$172)*E2_tabla_vida!$P$172,EXP(-C188*E2_tabla_vida!$X$173)*E2_tabla_vida!$P$173,EXP(-C188*E2_tabla_vida!$X$174)*E2_tabla_vida!$P$174,EXP(-C188*E2_tabla_vida!$X$175)*E2_tabla_vida!$P$175,EXP(-C188*E2_tabla_vida!$X$176)*E2_tabla_vida!$P$176,EXP(-C188*E2_tabla_vida!$X$177)*E2_tabla_vida!$P$177,EXP(-C188*E2_tabla_vida!$X$178)*E2_tabla_vida!$P$178,EXP(-C188*E2_tabla_vida!$X$179)*E2_tabla_vida!$P$179,EXP(-C188*E2_tabla_vida!$X$180)*E2_tabla_vida!$P$180,EXP(-C188*E2_tabla_vida!$X$181)*E2_tabla_vida!$P$181,EXP(-C188*E2_tabla_vida!$X$182)*E2_tabla_vida!$P$182,EXP(-C188*E2_tabla_vida!$X$183)*E2_tabla_vida!$P$183,EXP(-C188*E2_tabla_vida!$X$184)*E2_tabla_vida!$P$184,EXP(-C188*E2_tabla_vida!$X$185)*E2_tabla_vida!$P$185,EXP(-C188*E2_tabla_vida!$X$186)*E2_tabla_vida!$P$186,EXP(-C188*E2_tabla_vida!$X$187)*E2_tabla_vida!$P$187,EXP(-C188*E2_tabla_vida!$X$188)*E2_tabla_vida!$P$188,EXP(-C188*E2_tabla_vida!$X$189)*E2_tabla_vida!$P$189,EXP(-C188*E2_tabla_vida!$X$190)*E2_tabla_vida!$P$190,EXP(-C188*E2_tabla_vida!$X$191)*E2_tabla_vida!$P$191,EXP(-C188*E2_tabla_vida!$X$192)*E2_tabla_vida!$P$192,EXP(-C188*E2_tabla_vida!$X$193)*E2_tabla_vida!$P$193,EXP(-C188*E2_tabla_vida!$X$194)*E2_tabla_vida!$P$194,EXP(-C188*E2_tabla_vida!$X$195)*E2_tabla_vida!$P$195,EXP(-C188*E2_tabla_vida!$X$196)*E2_tabla_vida!$P$196,EXP(-C188*E2_tabla_vida!$X$197)*E2_tabla_vida!$P$197,EXP(-C188*E2_tabla_vida!$X$198)*E2_tabla_vida!$P$198,EXP(-C188*E2_tabla_vida!$X$199)*E2_tabla_vida!$P$199,EXP(-C188*E2_tabla_vida!$X$200)*E2_tabla_vida!$P$200,EXP(-C188*E2_tabla_vida!$X$201)*E2_tabla_vida!$P$201,EXP(-C188*E2_tabla_vida!$X$202)*E2_tabla_vida!$P$202,EXP(-C188*E2_tabla_vida!$X$203)*E2_tabla_vida!$P$203,EXP(-C188*E2_tabla_vida!$X$204)*E2_tabla_vida!$P$204,EXP(-C188*E2_tabla_vida!$X$205)*E2_tabla_vida!$P$205,EXP(-C188*E2_tabla_vida!$X$206)*E2_tabla_vida!$P$206,EXP(-C188*E2_tabla_vida!$X$207)*E2_tabla_vida!$P$207,EXP(-C188*E2_tabla_vida!$X$208)*E2_tabla_vida!$P$208,EXP(-C188*E2_tabla_vida!$X$209)*E2_tabla_vida!$P$209,EXP(-C188*E2_tabla_vida!$X$210)*E2_tabla_vida!$P$210,EXP(-C188*E2_tabla_vida!$X$211)*E2_tabla_vida!$P$211)-1</x:f>
        <x:v>5621.148092810741</x:v>
      </x:c>
      <x:c r="H188" s="24" t="n">
        <x:f>SUM(EXP(-D188*E2_tabla_vida!$X$170)*E2_tabla_vida!$P$170,EXP(-D188*E2_tabla_vida!$X$171)*E2_tabla_vida!$P$171,EXP(-D188*E2_tabla_vida!$X$172)*E2_tabla_vida!$P$172,EXP(-D188*E2_tabla_vida!$X$173)*E2_tabla_vida!$P$173,EXP(-D188*E2_tabla_vida!$X$174)*E2_tabla_vida!$P$174,EXP(-D188*E2_tabla_vida!$X$175)*E2_tabla_vida!$P$175,EXP(-D188*E2_tabla_vida!$X$176)*E2_tabla_vida!$P$176,EXP(-D188*E2_tabla_vida!$X$177)*E2_tabla_vida!$P$177,EXP(-D188*E2_tabla_vida!$X$178)*E2_tabla_vida!$P$178,EXP(-D188*E2_tabla_vida!$X$179)*E2_tabla_vida!$P$179,EXP(-D188*E2_tabla_vida!$X$180)*E2_tabla_vida!$P$180,EXP(-D188*E2_tabla_vida!$X$181)*E2_tabla_vida!$P$181,EXP(-D188*E2_tabla_vida!$X$182)*E2_tabla_vida!$P$182,EXP(-D188*E2_tabla_vida!$X$183)*E2_tabla_vida!$P$183,EXP(-D188*E2_tabla_vida!$X$184)*E2_tabla_vida!$P$184,EXP(-D188*E2_tabla_vida!$X$185)*E2_tabla_vida!$P$185,EXP(-D188*E2_tabla_vida!$X$186)*E2_tabla_vida!$P$186,EXP(-D188*E2_tabla_vida!$X$187)*E2_tabla_vida!$P$187,EXP(-D188*E2_tabla_vida!$X$188)*E2_tabla_vida!$P$188,EXP(-D188*E2_tabla_vida!$X$189)*E2_tabla_vida!$P$189,EXP(-D188*E2_tabla_vida!$X$190)*E2_tabla_vida!$P$190,EXP(-D188*E2_tabla_vida!$X$191)*E2_tabla_vida!$P$191,EXP(-D188*E2_tabla_vida!$X$192)*E2_tabla_vida!$P$192,EXP(-D188*E2_tabla_vida!$X$193)*E2_tabla_vida!$P$193,EXP(-D188*E2_tabla_vida!$X$194)*E2_tabla_vida!$P$194,EXP(-D188*E2_tabla_vida!$X$195)*E2_tabla_vida!$P$195,EXP(-D188*E2_tabla_vida!$X$196)*E2_tabla_vida!$P$196,EXP(-D188*E2_tabla_vida!$X$197)*E2_tabla_vida!$P$197,EXP(-D188*E2_tabla_vida!$X$198)*E2_tabla_vida!$P$198,EXP(-D188*E2_tabla_vida!$X$199)*E2_tabla_vida!$P$199,EXP(-D188*E2_tabla_vida!$X$200)*E2_tabla_vida!$P$200,EXP(-D188*E2_tabla_vida!$X$201)*E2_tabla_vida!$P$201,EXP(-D188*E2_tabla_vida!$X$202)*E2_tabla_vida!$P$202,EXP(-D188*E2_tabla_vida!$X$203)*E2_tabla_vida!$P$203,EXP(-D188*E2_tabla_vida!$X$204)*E2_tabla_vida!$P$204,EXP(-D188*E2_tabla_vida!$X$205)*E2_tabla_vida!$P$205,EXP(-D188*E2_tabla_vida!$X$206)*E2_tabla_vida!$P$206,EXP(-D188*E2_tabla_vida!$X$207)*E2_tabla_vida!$P$207,EXP(-D188*E2_tabla_vida!$X$208)*E2_tabla_vida!$P$208,EXP(-D188*E2_tabla_vida!$X$209)*E2_tabla_vida!$P$209,EXP(-D188*E2_tabla_vida!$X$210)*E2_tabla_vida!$P$210,EXP(-D188*E2_tabla_vida!$X$211)*E2_tabla_vida!$P$211)-1</x:f>
        <x:v>-0.9834359967520352</x:v>
      </x:c>
    </x:row>
    <x:row r="189" ht="19" customHeight="1">
      <x:c r="A189" s="2" t="str">
        <x:v>BB_L8</x:v>
      </x:c>
      <x:c r="B189" s="2" t="n">
        <x:v>3</x:v>
      </x:c>
      <x:c r="C189" s="22" t="n">
        <x:f>IF(F188&gt;0,E188,C188)</x:f>
        <x:v>0.125</x:v>
      </x:c>
      <x:c r="D189" s="22" t="n">
        <x:f>IF(F188&gt;0,D188,E188)</x:f>
        <x:v>0.5</x:v>
      </x:c>
      <x:c r="E189" s="22" t="n">
        <x:f>AVERAGE(C189:D189)</x:f>
        <x:v>0.3125</x:v>
      </x:c>
      <x:c r="F189" s="24" t="n">
        <x:f>SUM(EXP(-E189*E2_tabla_vida!$X$170)*E2_tabla_vida!$P$170,EXP(-E189*E2_tabla_vida!$X$171)*E2_tabla_vida!$P$171,EXP(-E189*E2_tabla_vida!$X$172)*E2_tabla_vida!$P$172,EXP(-E189*E2_tabla_vida!$X$173)*E2_tabla_vida!$P$173,EXP(-E189*E2_tabla_vida!$X$174)*E2_tabla_vida!$P$174,EXP(-E189*E2_tabla_vida!$X$175)*E2_tabla_vida!$P$175,EXP(-E189*E2_tabla_vida!$X$176)*E2_tabla_vida!$P$176,EXP(-E189*E2_tabla_vida!$X$177)*E2_tabla_vida!$P$177,EXP(-E189*E2_tabla_vida!$X$178)*E2_tabla_vida!$P$178,EXP(-E189*E2_tabla_vida!$X$179)*E2_tabla_vida!$P$179,EXP(-E189*E2_tabla_vida!$X$180)*E2_tabla_vida!$P$180,EXP(-E189*E2_tabla_vida!$X$181)*E2_tabla_vida!$P$181,EXP(-E189*E2_tabla_vida!$X$182)*E2_tabla_vida!$P$182,EXP(-E189*E2_tabla_vida!$X$183)*E2_tabla_vida!$P$183,EXP(-E189*E2_tabla_vida!$X$184)*E2_tabla_vida!$P$184,EXP(-E189*E2_tabla_vida!$X$185)*E2_tabla_vida!$P$185,EXP(-E189*E2_tabla_vida!$X$186)*E2_tabla_vida!$P$186,EXP(-E189*E2_tabla_vida!$X$187)*E2_tabla_vida!$P$187,EXP(-E189*E2_tabla_vida!$X$188)*E2_tabla_vida!$P$188,EXP(-E189*E2_tabla_vida!$X$189)*E2_tabla_vida!$P$189,EXP(-E189*E2_tabla_vida!$X$190)*E2_tabla_vida!$P$190,EXP(-E189*E2_tabla_vida!$X$191)*E2_tabla_vida!$P$191,EXP(-E189*E2_tabla_vida!$X$192)*E2_tabla_vida!$P$192,EXP(-E189*E2_tabla_vida!$X$193)*E2_tabla_vida!$P$193,EXP(-E189*E2_tabla_vida!$X$194)*E2_tabla_vida!$P$194,EXP(-E189*E2_tabla_vida!$X$195)*E2_tabla_vida!$P$195,EXP(-E189*E2_tabla_vida!$X$196)*E2_tabla_vida!$P$196,EXP(-E189*E2_tabla_vida!$X$197)*E2_tabla_vida!$P$197,EXP(-E189*E2_tabla_vida!$X$198)*E2_tabla_vida!$P$198,EXP(-E189*E2_tabla_vida!$X$199)*E2_tabla_vida!$P$199,EXP(-E189*E2_tabla_vida!$X$200)*E2_tabla_vida!$P$200,EXP(-E189*E2_tabla_vida!$X$201)*E2_tabla_vida!$P$201,EXP(-E189*E2_tabla_vida!$X$202)*E2_tabla_vida!$P$202,EXP(-E189*E2_tabla_vida!$X$203)*E2_tabla_vida!$P$203,EXP(-E189*E2_tabla_vida!$X$204)*E2_tabla_vida!$P$204,EXP(-E189*E2_tabla_vida!$X$205)*E2_tabla_vida!$P$205,EXP(-E189*E2_tabla_vida!$X$206)*E2_tabla_vida!$P$206,EXP(-E189*E2_tabla_vida!$X$207)*E2_tabla_vida!$P$207,EXP(-E189*E2_tabla_vida!$X$208)*E2_tabla_vida!$P$208,EXP(-E189*E2_tabla_vida!$X$209)*E2_tabla_vida!$P$209,EXP(-E189*E2_tabla_vida!$X$210)*E2_tabla_vida!$P$210,EXP(-E189*E2_tabla_vida!$X$211)*E2_tabla_vida!$P$211)-1</x:f>
        <x:v>-0.8103329497755607</x:v>
      </x:c>
      <x:c r="G189" s="24" t="n">
        <x:f>SUM(EXP(-C189*E2_tabla_vida!$X$170)*E2_tabla_vida!$P$170,EXP(-C189*E2_tabla_vida!$X$171)*E2_tabla_vida!$P$171,EXP(-C189*E2_tabla_vida!$X$172)*E2_tabla_vida!$P$172,EXP(-C189*E2_tabla_vida!$X$173)*E2_tabla_vida!$P$173,EXP(-C189*E2_tabla_vida!$X$174)*E2_tabla_vida!$P$174,EXP(-C189*E2_tabla_vida!$X$175)*E2_tabla_vida!$P$175,EXP(-C189*E2_tabla_vida!$X$176)*E2_tabla_vida!$P$176,EXP(-C189*E2_tabla_vida!$X$177)*E2_tabla_vida!$P$177,EXP(-C189*E2_tabla_vida!$X$178)*E2_tabla_vida!$P$178,EXP(-C189*E2_tabla_vida!$X$179)*E2_tabla_vida!$P$179,EXP(-C189*E2_tabla_vida!$X$180)*E2_tabla_vida!$P$180,EXP(-C189*E2_tabla_vida!$X$181)*E2_tabla_vida!$P$181,EXP(-C189*E2_tabla_vida!$X$182)*E2_tabla_vida!$P$182,EXP(-C189*E2_tabla_vida!$X$183)*E2_tabla_vida!$P$183,EXP(-C189*E2_tabla_vida!$X$184)*E2_tabla_vida!$P$184,EXP(-C189*E2_tabla_vida!$X$185)*E2_tabla_vida!$P$185,EXP(-C189*E2_tabla_vida!$X$186)*E2_tabla_vida!$P$186,EXP(-C189*E2_tabla_vida!$X$187)*E2_tabla_vida!$P$187,EXP(-C189*E2_tabla_vida!$X$188)*E2_tabla_vida!$P$188,EXP(-C189*E2_tabla_vida!$X$189)*E2_tabla_vida!$P$189,EXP(-C189*E2_tabla_vida!$X$190)*E2_tabla_vida!$P$190,EXP(-C189*E2_tabla_vida!$X$191)*E2_tabla_vida!$P$191,EXP(-C189*E2_tabla_vida!$X$192)*E2_tabla_vida!$P$192,EXP(-C189*E2_tabla_vida!$X$193)*E2_tabla_vida!$P$193,EXP(-C189*E2_tabla_vida!$X$194)*E2_tabla_vida!$P$194,EXP(-C189*E2_tabla_vida!$X$195)*E2_tabla_vida!$P$195,EXP(-C189*E2_tabla_vida!$X$196)*E2_tabla_vida!$P$196,EXP(-C189*E2_tabla_vida!$X$197)*E2_tabla_vida!$P$197,EXP(-C189*E2_tabla_vida!$X$198)*E2_tabla_vida!$P$198,EXP(-C189*E2_tabla_vida!$X$199)*E2_tabla_vida!$P$199,EXP(-C189*E2_tabla_vida!$X$200)*E2_tabla_vida!$P$200,EXP(-C189*E2_tabla_vida!$X$201)*E2_tabla_vida!$P$201,EXP(-C189*E2_tabla_vida!$X$202)*E2_tabla_vida!$P$202,EXP(-C189*E2_tabla_vida!$X$203)*E2_tabla_vida!$P$203,EXP(-C189*E2_tabla_vida!$X$204)*E2_tabla_vida!$P$204,EXP(-C189*E2_tabla_vida!$X$205)*E2_tabla_vida!$P$205,EXP(-C189*E2_tabla_vida!$X$206)*E2_tabla_vida!$P$206,EXP(-C189*E2_tabla_vida!$X$207)*E2_tabla_vida!$P$207,EXP(-C189*E2_tabla_vida!$X$208)*E2_tabla_vida!$P$208,EXP(-C189*E2_tabla_vida!$X$209)*E2_tabla_vida!$P$209,EXP(-C189*E2_tabla_vida!$X$210)*E2_tabla_vida!$P$210,EXP(-C189*E2_tabla_vida!$X$211)*E2_tabla_vida!$P$211)-1</x:f>
        <x:v>1.963040662583564</x:v>
      </x:c>
      <x:c r="H189" s="24" t="n">
        <x:f>SUM(EXP(-D189*E2_tabla_vida!$X$170)*E2_tabla_vida!$P$170,EXP(-D189*E2_tabla_vida!$X$171)*E2_tabla_vida!$P$171,EXP(-D189*E2_tabla_vida!$X$172)*E2_tabla_vida!$P$172,EXP(-D189*E2_tabla_vida!$X$173)*E2_tabla_vida!$P$173,EXP(-D189*E2_tabla_vida!$X$174)*E2_tabla_vida!$P$174,EXP(-D189*E2_tabla_vida!$X$175)*E2_tabla_vida!$P$175,EXP(-D189*E2_tabla_vida!$X$176)*E2_tabla_vida!$P$176,EXP(-D189*E2_tabla_vida!$X$177)*E2_tabla_vida!$P$177,EXP(-D189*E2_tabla_vida!$X$178)*E2_tabla_vida!$P$178,EXP(-D189*E2_tabla_vida!$X$179)*E2_tabla_vida!$P$179,EXP(-D189*E2_tabla_vida!$X$180)*E2_tabla_vida!$P$180,EXP(-D189*E2_tabla_vida!$X$181)*E2_tabla_vida!$P$181,EXP(-D189*E2_tabla_vida!$X$182)*E2_tabla_vida!$P$182,EXP(-D189*E2_tabla_vida!$X$183)*E2_tabla_vida!$P$183,EXP(-D189*E2_tabla_vida!$X$184)*E2_tabla_vida!$P$184,EXP(-D189*E2_tabla_vida!$X$185)*E2_tabla_vida!$P$185,EXP(-D189*E2_tabla_vida!$X$186)*E2_tabla_vida!$P$186,EXP(-D189*E2_tabla_vida!$X$187)*E2_tabla_vida!$P$187,EXP(-D189*E2_tabla_vida!$X$188)*E2_tabla_vida!$P$188,EXP(-D189*E2_tabla_vida!$X$189)*E2_tabla_vida!$P$189,EXP(-D189*E2_tabla_vida!$X$190)*E2_tabla_vida!$P$190,EXP(-D189*E2_tabla_vida!$X$191)*E2_tabla_vida!$P$191,EXP(-D189*E2_tabla_vida!$X$192)*E2_tabla_vida!$P$192,EXP(-D189*E2_tabla_vida!$X$193)*E2_tabla_vida!$P$193,EXP(-D189*E2_tabla_vida!$X$194)*E2_tabla_vida!$P$194,EXP(-D189*E2_tabla_vida!$X$195)*E2_tabla_vida!$P$195,EXP(-D189*E2_tabla_vida!$X$196)*E2_tabla_vida!$P$196,EXP(-D189*E2_tabla_vida!$X$197)*E2_tabla_vida!$P$197,EXP(-D189*E2_tabla_vida!$X$198)*E2_tabla_vida!$P$198,EXP(-D189*E2_tabla_vida!$X$199)*E2_tabla_vida!$P$199,EXP(-D189*E2_tabla_vida!$X$200)*E2_tabla_vida!$P$200,EXP(-D189*E2_tabla_vida!$X$201)*E2_tabla_vida!$P$201,EXP(-D189*E2_tabla_vida!$X$202)*E2_tabla_vida!$P$202,EXP(-D189*E2_tabla_vida!$X$203)*E2_tabla_vida!$P$203,EXP(-D189*E2_tabla_vida!$X$204)*E2_tabla_vida!$P$204,EXP(-D189*E2_tabla_vida!$X$205)*E2_tabla_vida!$P$205,EXP(-D189*E2_tabla_vida!$X$206)*E2_tabla_vida!$P$206,EXP(-D189*E2_tabla_vida!$X$207)*E2_tabla_vida!$P$207,EXP(-D189*E2_tabla_vida!$X$208)*E2_tabla_vida!$P$208,EXP(-D189*E2_tabla_vida!$X$209)*E2_tabla_vida!$P$209,EXP(-D189*E2_tabla_vida!$X$210)*E2_tabla_vida!$P$210,EXP(-D189*E2_tabla_vida!$X$211)*E2_tabla_vida!$P$211)-1</x:f>
        <x:v>-0.9834359967520352</x:v>
      </x:c>
    </x:row>
    <x:row r="190" ht="19" customHeight="1">
      <x:c r="A190" s="2" t="str">
        <x:v>BB_L8</x:v>
      </x:c>
      <x:c r="B190" s="2" t="n">
        <x:v>4</x:v>
      </x:c>
      <x:c r="C190" s="22" t="n">
        <x:f>IF(F189&gt;0,E189,C189)</x:f>
        <x:v>0.125</x:v>
      </x:c>
      <x:c r="D190" s="22" t="n">
        <x:f>IF(F189&gt;0,D189,E189)</x:f>
        <x:v>0.3125</x:v>
      </x:c>
      <x:c r="E190" s="22" t="n">
        <x:f>AVERAGE(C190:D190)</x:f>
        <x:v>0.21875</x:v>
      </x:c>
      <x:c r="F190" s="24" t="n">
        <x:f>SUM(EXP(-E190*E2_tabla_vida!$X$170)*E2_tabla_vida!$P$170,EXP(-E190*E2_tabla_vida!$X$171)*E2_tabla_vida!$P$171,EXP(-E190*E2_tabla_vida!$X$172)*E2_tabla_vida!$P$172,EXP(-E190*E2_tabla_vida!$X$173)*E2_tabla_vida!$P$173,EXP(-E190*E2_tabla_vida!$X$174)*E2_tabla_vida!$P$174,EXP(-E190*E2_tabla_vida!$X$175)*E2_tabla_vida!$P$175,EXP(-E190*E2_tabla_vida!$X$176)*E2_tabla_vida!$P$176,EXP(-E190*E2_tabla_vida!$X$177)*E2_tabla_vida!$P$177,EXP(-E190*E2_tabla_vida!$X$178)*E2_tabla_vida!$P$178,EXP(-E190*E2_tabla_vida!$X$179)*E2_tabla_vida!$P$179,EXP(-E190*E2_tabla_vida!$X$180)*E2_tabla_vida!$P$180,EXP(-E190*E2_tabla_vida!$X$181)*E2_tabla_vida!$P$181,EXP(-E190*E2_tabla_vida!$X$182)*E2_tabla_vida!$P$182,EXP(-E190*E2_tabla_vida!$X$183)*E2_tabla_vida!$P$183,EXP(-E190*E2_tabla_vida!$X$184)*E2_tabla_vida!$P$184,EXP(-E190*E2_tabla_vida!$X$185)*E2_tabla_vida!$P$185,EXP(-E190*E2_tabla_vida!$X$186)*E2_tabla_vida!$P$186,EXP(-E190*E2_tabla_vida!$X$187)*E2_tabla_vida!$P$187,EXP(-E190*E2_tabla_vida!$X$188)*E2_tabla_vida!$P$188,EXP(-E190*E2_tabla_vida!$X$189)*E2_tabla_vida!$P$189,EXP(-E190*E2_tabla_vida!$X$190)*E2_tabla_vida!$P$190,EXP(-E190*E2_tabla_vida!$X$191)*E2_tabla_vida!$P$191,EXP(-E190*E2_tabla_vida!$X$192)*E2_tabla_vida!$P$192,EXP(-E190*E2_tabla_vida!$X$193)*E2_tabla_vida!$P$193,EXP(-E190*E2_tabla_vida!$X$194)*E2_tabla_vida!$P$194,EXP(-E190*E2_tabla_vida!$X$195)*E2_tabla_vida!$P$195,EXP(-E190*E2_tabla_vida!$X$196)*E2_tabla_vida!$P$196,EXP(-E190*E2_tabla_vida!$X$197)*E2_tabla_vida!$P$197,EXP(-E190*E2_tabla_vida!$X$198)*E2_tabla_vida!$P$198,EXP(-E190*E2_tabla_vida!$X$199)*E2_tabla_vida!$P$199,EXP(-E190*E2_tabla_vida!$X$200)*E2_tabla_vida!$P$200,EXP(-E190*E2_tabla_vida!$X$201)*E2_tabla_vida!$P$201,EXP(-E190*E2_tabla_vida!$X$202)*E2_tabla_vida!$P$202,EXP(-E190*E2_tabla_vida!$X$203)*E2_tabla_vida!$P$203,EXP(-E190*E2_tabla_vida!$X$204)*E2_tabla_vida!$P$204,EXP(-E190*E2_tabla_vida!$X$205)*E2_tabla_vida!$P$205,EXP(-E190*E2_tabla_vida!$X$206)*E2_tabla_vida!$P$206,EXP(-E190*E2_tabla_vida!$X$207)*E2_tabla_vida!$P$207,EXP(-E190*E2_tabla_vida!$X$208)*E2_tabla_vida!$P$208,EXP(-E190*E2_tabla_vida!$X$209)*E2_tabla_vida!$P$209,EXP(-E190*E2_tabla_vida!$X$210)*E2_tabla_vida!$P$210,EXP(-E190*E2_tabla_vida!$X$211)*E2_tabla_vida!$P$211)-1</x:f>
        <x:v>-0.2878059102008754</x:v>
      </x:c>
      <x:c r="G190" s="24" t="n">
        <x:f>SUM(EXP(-C190*E2_tabla_vida!$X$170)*E2_tabla_vida!$P$170,EXP(-C190*E2_tabla_vida!$X$171)*E2_tabla_vida!$P$171,EXP(-C190*E2_tabla_vida!$X$172)*E2_tabla_vida!$P$172,EXP(-C190*E2_tabla_vida!$X$173)*E2_tabla_vida!$P$173,EXP(-C190*E2_tabla_vida!$X$174)*E2_tabla_vida!$P$174,EXP(-C190*E2_tabla_vida!$X$175)*E2_tabla_vida!$P$175,EXP(-C190*E2_tabla_vida!$X$176)*E2_tabla_vida!$P$176,EXP(-C190*E2_tabla_vida!$X$177)*E2_tabla_vida!$P$177,EXP(-C190*E2_tabla_vida!$X$178)*E2_tabla_vida!$P$178,EXP(-C190*E2_tabla_vida!$X$179)*E2_tabla_vida!$P$179,EXP(-C190*E2_tabla_vida!$X$180)*E2_tabla_vida!$P$180,EXP(-C190*E2_tabla_vida!$X$181)*E2_tabla_vida!$P$181,EXP(-C190*E2_tabla_vida!$X$182)*E2_tabla_vida!$P$182,EXP(-C190*E2_tabla_vida!$X$183)*E2_tabla_vida!$P$183,EXP(-C190*E2_tabla_vida!$X$184)*E2_tabla_vida!$P$184,EXP(-C190*E2_tabla_vida!$X$185)*E2_tabla_vida!$P$185,EXP(-C190*E2_tabla_vida!$X$186)*E2_tabla_vida!$P$186,EXP(-C190*E2_tabla_vida!$X$187)*E2_tabla_vida!$P$187,EXP(-C190*E2_tabla_vida!$X$188)*E2_tabla_vida!$P$188,EXP(-C190*E2_tabla_vida!$X$189)*E2_tabla_vida!$P$189,EXP(-C190*E2_tabla_vida!$X$190)*E2_tabla_vida!$P$190,EXP(-C190*E2_tabla_vida!$X$191)*E2_tabla_vida!$P$191,EXP(-C190*E2_tabla_vida!$X$192)*E2_tabla_vida!$P$192,EXP(-C190*E2_tabla_vida!$X$193)*E2_tabla_vida!$P$193,EXP(-C190*E2_tabla_vida!$X$194)*E2_tabla_vida!$P$194,EXP(-C190*E2_tabla_vida!$X$195)*E2_tabla_vida!$P$195,EXP(-C190*E2_tabla_vida!$X$196)*E2_tabla_vida!$P$196,EXP(-C190*E2_tabla_vida!$X$197)*E2_tabla_vida!$P$197,EXP(-C190*E2_tabla_vida!$X$198)*E2_tabla_vida!$P$198,EXP(-C190*E2_tabla_vida!$X$199)*E2_tabla_vida!$P$199,EXP(-C190*E2_tabla_vida!$X$200)*E2_tabla_vida!$P$200,EXP(-C190*E2_tabla_vida!$X$201)*E2_tabla_vida!$P$201,EXP(-C190*E2_tabla_vida!$X$202)*E2_tabla_vida!$P$202,EXP(-C190*E2_tabla_vida!$X$203)*E2_tabla_vida!$P$203,EXP(-C190*E2_tabla_vida!$X$204)*E2_tabla_vida!$P$204,EXP(-C190*E2_tabla_vida!$X$205)*E2_tabla_vida!$P$205,EXP(-C190*E2_tabla_vida!$X$206)*E2_tabla_vida!$P$206,EXP(-C190*E2_tabla_vida!$X$207)*E2_tabla_vida!$P$207,EXP(-C190*E2_tabla_vida!$X$208)*E2_tabla_vida!$P$208,EXP(-C190*E2_tabla_vida!$X$209)*E2_tabla_vida!$P$209,EXP(-C190*E2_tabla_vida!$X$210)*E2_tabla_vida!$P$210,EXP(-C190*E2_tabla_vida!$X$211)*E2_tabla_vida!$P$211)-1</x:f>
        <x:v>1.963040662583564</x:v>
      </x:c>
      <x:c r="H190" s="24" t="n">
        <x:f>SUM(EXP(-D190*E2_tabla_vida!$X$170)*E2_tabla_vida!$P$170,EXP(-D190*E2_tabla_vida!$X$171)*E2_tabla_vida!$P$171,EXP(-D190*E2_tabla_vida!$X$172)*E2_tabla_vida!$P$172,EXP(-D190*E2_tabla_vida!$X$173)*E2_tabla_vida!$P$173,EXP(-D190*E2_tabla_vida!$X$174)*E2_tabla_vida!$P$174,EXP(-D190*E2_tabla_vida!$X$175)*E2_tabla_vida!$P$175,EXP(-D190*E2_tabla_vida!$X$176)*E2_tabla_vida!$P$176,EXP(-D190*E2_tabla_vida!$X$177)*E2_tabla_vida!$P$177,EXP(-D190*E2_tabla_vida!$X$178)*E2_tabla_vida!$P$178,EXP(-D190*E2_tabla_vida!$X$179)*E2_tabla_vida!$P$179,EXP(-D190*E2_tabla_vida!$X$180)*E2_tabla_vida!$P$180,EXP(-D190*E2_tabla_vida!$X$181)*E2_tabla_vida!$P$181,EXP(-D190*E2_tabla_vida!$X$182)*E2_tabla_vida!$P$182,EXP(-D190*E2_tabla_vida!$X$183)*E2_tabla_vida!$P$183,EXP(-D190*E2_tabla_vida!$X$184)*E2_tabla_vida!$P$184,EXP(-D190*E2_tabla_vida!$X$185)*E2_tabla_vida!$P$185,EXP(-D190*E2_tabla_vida!$X$186)*E2_tabla_vida!$P$186,EXP(-D190*E2_tabla_vida!$X$187)*E2_tabla_vida!$P$187,EXP(-D190*E2_tabla_vida!$X$188)*E2_tabla_vida!$P$188,EXP(-D190*E2_tabla_vida!$X$189)*E2_tabla_vida!$P$189,EXP(-D190*E2_tabla_vida!$X$190)*E2_tabla_vida!$P$190,EXP(-D190*E2_tabla_vida!$X$191)*E2_tabla_vida!$P$191,EXP(-D190*E2_tabla_vida!$X$192)*E2_tabla_vida!$P$192,EXP(-D190*E2_tabla_vida!$X$193)*E2_tabla_vida!$P$193,EXP(-D190*E2_tabla_vida!$X$194)*E2_tabla_vida!$P$194,EXP(-D190*E2_tabla_vida!$X$195)*E2_tabla_vida!$P$195,EXP(-D190*E2_tabla_vida!$X$196)*E2_tabla_vida!$P$196,EXP(-D190*E2_tabla_vida!$X$197)*E2_tabla_vida!$P$197,EXP(-D190*E2_tabla_vida!$X$198)*E2_tabla_vida!$P$198,EXP(-D190*E2_tabla_vida!$X$199)*E2_tabla_vida!$P$199,EXP(-D190*E2_tabla_vida!$X$200)*E2_tabla_vida!$P$200,EXP(-D190*E2_tabla_vida!$X$201)*E2_tabla_vida!$P$201,EXP(-D190*E2_tabla_vida!$X$202)*E2_tabla_vida!$P$202,EXP(-D190*E2_tabla_vida!$X$203)*E2_tabla_vida!$P$203,EXP(-D190*E2_tabla_vida!$X$204)*E2_tabla_vida!$P$204,EXP(-D190*E2_tabla_vida!$X$205)*E2_tabla_vida!$P$205,EXP(-D190*E2_tabla_vida!$X$206)*E2_tabla_vida!$P$206,EXP(-D190*E2_tabla_vida!$X$207)*E2_tabla_vida!$P$207,EXP(-D190*E2_tabla_vida!$X$208)*E2_tabla_vida!$P$208,EXP(-D190*E2_tabla_vida!$X$209)*E2_tabla_vida!$P$209,EXP(-D190*E2_tabla_vida!$X$210)*E2_tabla_vida!$P$210,EXP(-D190*E2_tabla_vida!$X$211)*E2_tabla_vida!$P$211)-1</x:f>
        <x:v>-0.8103329497755607</x:v>
      </x:c>
    </x:row>
    <x:row r="191" ht="19" customHeight="1">
      <x:c r="A191" s="2" t="str">
        <x:v>BB_L8</x:v>
      </x:c>
      <x:c r="B191" s="2" t="n">
        <x:v>5</x:v>
      </x:c>
      <x:c r="C191" s="22" t="n">
        <x:f>IF(F190&gt;0,E190,C190)</x:f>
        <x:v>0.125</x:v>
      </x:c>
      <x:c r="D191" s="22" t="n">
        <x:f>IF(F190&gt;0,D190,E190)</x:f>
        <x:v>0.21875</x:v>
      </x:c>
      <x:c r="E191" s="22" t="n">
        <x:f>AVERAGE(C191:D191)</x:f>
        <x:v>0.171875</x:v>
      </x:c>
      <x:c r="F191" s="24" t="n">
        <x:f>SUM(EXP(-E191*E2_tabla_vida!$X$170)*E2_tabla_vida!$P$170,EXP(-E191*E2_tabla_vida!$X$171)*E2_tabla_vida!$P$171,EXP(-E191*E2_tabla_vida!$X$172)*E2_tabla_vida!$P$172,EXP(-E191*E2_tabla_vida!$X$173)*E2_tabla_vida!$P$173,EXP(-E191*E2_tabla_vida!$X$174)*E2_tabla_vida!$P$174,EXP(-E191*E2_tabla_vida!$X$175)*E2_tabla_vida!$P$175,EXP(-E191*E2_tabla_vida!$X$176)*E2_tabla_vida!$P$176,EXP(-E191*E2_tabla_vida!$X$177)*E2_tabla_vida!$P$177,EXP(-E191*E2_tabla_vida!$X$178)*E2_tabla_vida!$P$178,EXP(-E191*E2_tabla_vida!$X$179)*E2_tabla_vida!$P$179,EXP(-E191*E2_tabla_vida!$X$180)*E2_tabla_vida!$P$180,EXP(-E191*E2_tabla_vida!$X$181)*E2_tabla_vida!$P$181,EXP(-E191*E2_tabla_vida!$X$182)*E2_tabla_vida!$P$182,EXP(-E191*E2_tabla_vida!$X$183)*E2_tabla_vida!$P$183,EXP(-E191*E2_tabla_vida!$X$184)*E2_tabla_vida!$P$184,EXP(-E191*E2_tabla_vida!$X$185)*E2_tabla_vida!$P$185,EXP(-E191*E2_tabla_vida!$X$186)*E2_tabla_vida!$P$186,EXP(-E191*E2_tabla_vida!$X$187)*E2_tabla_vida!$P$187,EXP(-E191*E2_tabla_vida!$X$188)*E2_tabla_vida!$P$188,EXP(-E191*E2_tabla_vida!$X$189)*E2_tabla_vida!$P$189,EXP(-E191*E2_tabla_vida!$X$190)*E2_tabla_vida!$P$190,EXP(-E191*E2_tabla_vida!$X$191)*E2_tabla_vida!$P$191,EXP(-E191*E2_tabla_vida!$X$192)*E2_tabla_vida!$P$192,EXP(-E191*E2_tabla_vida!$X$193)*E2_tabla_vida!$P$193,EXP(-E191*E2_tabla_vida!$X$194)*E2_tabla_vida!$P$194,EXP(-E191*E2_tabla_vida!$X$195)*E2_tabla_vida!$P$195,EXP(-E191*E2_tabla_vida!$X$196)*E2_tabla_vida!$P$196,EXP(-E191*E2_tabla_vida!$X$197)*E2_tabla_vida!$P$197,EXP(-E191*E2_tabla_vida!$X$198)*E2_tabla_vida!$P$198,EXP(-E191*E2_tabla_vida!$X$199)*E2_tabla_vida!$P$199,EXP(-E191*E2_tabla_vida!$X$200)*E2_tabla_vida!$P$200,EXP(-E191*E2_tabla_vida!$X$201)*E2_tabla_vida!$P$201,EXP(-E191*E2_tabla_vida!$X$202)*E2_tabla_vida!$P$202,EXP(-E191*E2_tabla_vida!$X$203)*E2_tabla_vida!$P$203,EXP(-E191*E2_tabla_vida!$X$204)*E2_tabla_vida!$P$204,EXP(-E191*E2_tabla_vida!$X$205)*E2_tabla_vida!$P$205,EXP(-E191*E2_tabla_vida!$X$206)*E2_tabla_vida!$P$206,EXP(-E191*E2_tabla_vida!$X$207)*E2_tabla_vida!$P$207,EXP(-E191*E2_tabla_vida!$X$208)*E2_tabla_vida!$P$208,EXP(-E191*E2_tabla_vida!$X$209)*E2_tabla_vida!$P$209,EXP(-E191*E2_tabla_vida!$X$210)*E2_tabla_vida!$P$210,EXP(-E191*E2_tabla_vida!$X$211)*E2_tabla_vida!$P$211)-1</x:f>
        <x:v>0.4311145921318067</x:v>
      </x:c>
      <x:c r="G191" s="24" t="n">
        <x:f>SUM(EXP(-C191*E2_tabla_vida!$X$170)*E2_tabla_vida!$P$170,EXP(-C191*E2_tabla_vida!$X$171)*E2_tabla_vida!$P$171,EXP(-C191*E2_tabla_vida!$X$172)*E2_tabla_vida!$P$172,EXP(-C191*E2_tabla_vida!$X$173)*E2_tabla_vida!$P$173,EXP(-C191*E2_tabla_vida!$X$174)*E2_tabla_vida!$P$174,EXP(-C191*E2_tabla_vida!$X$175)*E2_tabla_vida!$P$175,EXP(-C191*E2_tabla_vida!$X$176)*E2_tabla_vida!$P$176,EXP(-C191*E2_tabla_vida!$X$177)*E2_tabla_vida!$P$177,EXP(-C191*E2_tabla_vida!$X$178)*E2_tabla_vida!$P$178,EXP(-C191*E2_tabla_vida!$X$179)*E2_tabla_vida!$P$179,EXP(-C191*E2_tabla_vida!$X$180)*E2_tabla_vida!$P$180,EXP(-C191*E2_tabla_vida!$X$181)*E2_tabla_vida!$P$181,EXP(-C191*E2_tabla_vida!$X$182)*E2_tabla_vida!$P$182,EXP(-C191*E2_tabla_vida!$X$183)*E2_tabla_vida!$P$183,EXP(-C191*E2_tabla_vida!$X$184)*E2_tabla_vida!$P$184,EXP(-C191*E2_tabla_vida!$X$185)*E2_tabla_vida!$P$185,EXP(-C191*E2_tabla_vida!$X$186)*E2_tabla_vida!$P$186,EXP(-C191*E2_tabla_vida!$X$187)*E2_tabla_vida!$P$187,EXP(-C191*E2_tabla_vida!$X$188)*E2_tabla_vida!$P$188,EXP(-C191*E2_tabla_vida!$X$189)*E2_tabla_vida!$P$189,EXP(-C191*E2_tabla_vida!$X$190)*E2_tabla_vida!$P$190,EXP(-C191*E2_tabla_vida!$X$191)*E2_tabla_vida!$P$191,EXP(-C191*E2_tabla_vida!$X$192)*E2_tabla_vida!$P$192,EXP(-C191*E2_tabla_vida!$X$193)*E2_tabla_vida!$P$193,EXP(-C191*E2_tabla_vida!$X$194)*E2_tabla_vida!$P$194,EXP(-C191*E2_tabla_vida!$X$195)*E2_tabla_vida!$P$195,EXP(-C191*E2_tabla_vida!$X$196)*E2_tabla_vida!$P$196,EXP(-C191*E2_tabla_vida!$X$197)*E2_tabla_vida!$P$197,EXP(-C191*E2_tabla_vida!$X$198)*E2_tabla_vida!$P$198,EXP(-C191*E2_tabla_vida!$X$199)*E2_tabla_vida!$P$199,EXP(-C191*E2_tabla_vida!$X$200)*E2_tabla_vida!$P$200,EXP(-C191*E2_tabla_vida!$X$201)*E2_tabla_vida!$P$201,EXP(-C191*E2_tabla_vida!$X$202)*E2_tabla_vida!$P$202,EXP(-C191*E2_tabla_vida!$X$203)*E2_tabla_vida!$P$203,EXP(-C191*E2_tabla_vida!$X$204)*E2_tabla_vida!$P$204,EXP(-C191*E2_tabla_vida!$X$205)*E2_tabla_vida!$P$205,EXP(-C191*E2_tabla_vida!$X$206)*E2_tabla_vida!$P$206,EXP(-C191*E2_tabla_vida!$X$207)*E2_tabla_vida!$P$207,EXP(-C191*E2_tabla_vida!$X$208)*E2_tabla_vida!$P$208,EXP(-C191*E2_tabla_vida!$X$209)*E2_tabla_vida!$P$209,EXP(-C191*E2_tabla_vida!$X$210)*E2_tabla_vida!$P$210,EXP(-C191*E2_tabla_vida!$X$211)*E2_tabla_vida!$P$211)-1</x:f>
        <x:v>1.963040662583564</x:v>
      </x:c>
      <x:c r="H191" s="24" t="n">
        <x:f>SUM(EXP(-D191*E2_tabla_vida!$X$170)*E2_tabla_vida!$P$170,EXP(-D191*E2_tabla_vida!$X$171)*E2_tabla_vida!$P$171,EXP(-D191*E2_tabla_vida!$X$172)*E2_tabla_vida!$P$172,EXP(-D191*E2_tabla_vida!$X$173)*E2_tabla_vida!$P$173,EXP(-D191*E2_tabla_vida!$X$174)*E2_tabla_vida!$P$174,EXP(-D191*E2_tabla_vida!$X$175)*E2_tabla_vida!$P$175,EXP(-D191*E2_tabla_vida!$X$176)*E2_tabla_vida!$P$176,EXP(-D191*E2_tabla_vida!$X$177)*E2_tabla_vida!$P$177,EXP(-D191*E2_tabla_vida!$X$178)*E2_tabla_vida!$P$178,EXP(-D191*E2_tabla_vida!$X$179)*E2_tabla_vida!$P$179,EXP(-D191*E2_tabla_vida!$X$180)*E2_tabla_vida!$P$180,EXP(-D191*E2_tabla_vida!$X$181)*E2_tabla_vida!$P$181,EXP(-D191*E2_tabla_vida!$X$182)*E2_tabla_vida!$P$182,EXP(-D191*E2_tabla_vida!$X$183)*E2_tabla_vida!$P$183,EXP(-D191*E2_tabla_vida!$X$184)*E2_tabla_vida!$P$184,EXP(-D191*E2_tabla_vida!$X$185)*E2_tabla_vida!$P$185,EXP(-D191*E2_tabla_vida!$X$186)*E2_tabla_vida!$P$186,EXP(-D191*E2_tabla_vida!$X$187)*E2_tabla_vida!$P$187,EXP(-D191*E2_tabla_vida!$X$188)*E2_tabla_vida!$P$188,EXP(-D191*E2_tabla_vida!$X$189)*E2_tabla_vida!$P$189,EXP(-D191*E2_tabla_vida!$X$190)*E2_tabla_vida!$P$190,EXP(-D191*E2_tabla_vida!$X$191)*E2_tabla_vida!$P$191,EXP(-D191*E2_tabla_vida!$X$192)*E2_tabla_vida!$P$192,EXP(-D191*E2_tabla_vida!$X$193)*E2_tabla_vida!$P$193,EXP(-D191*E2_tabla_vida!$X$194)*E2_tabla_vida!$P$194,EXP(-D191*E2_tabla_vida!$X$195)*E2_tabla_vida!$P$195,EXP(-D191*E2_tabla_vida!$X$196)*E2_tabla_vida!$P$196,EXP(-D191*E2_tabla_vida!$X$197)*E2_tabla_vida!$P$197,EXP(-D191*E2_tabla_vida!$X$198)*E2_tabla_vida!$P$198,EXP(-D191*E2_tabla_vida!$X$199)*E2_tabla_vida!$P$199,EXP(-D191*E2_tabla_vida!$X$200)*E2_tabla_vida!$P$200,EXP(-D191*E2_tabla_vida!$X$201)*E2_tabla_vida!$P$201,EXP(-D191*E2_tabla_vida!$X$202)*E2_tabla_vida!$P$202,EXP(-D191*E2_tabla_vida!$X$203)*E2_tabla_vida!$P$203,EXP(-D191*E2_tabla_vida!$X$204)*E2_tabla_vida!$P$204,EXP(-D191*E2_tabla_vida!$X$205)*E2_tabla_vida!$P$205,EXP(-D191*E2_tabla_vida!$X$206)*E2_tabla_vida!$P$206,EXP(-D191*E2_tabla_vida!$X$207)*E2_tabla_vida!$P$207,EXP(-D191*E2_tabla_vida!$X$208)*E2_tabla_vida!$P$208,EXP(-D191*E2_tabla_vida!$X$209)*E2_tabla_vida!$P$209,EXP(-D191*E2_tabla_vida!$X$210)*E2_tabla_vida!$P$210,EXP(-D191*E2_tabla_vida!$X$211)*E2_tabla_vida!$P$211)-1</x:f>
        <x:v>-0.2878059102008754</x:v>
      </x:c>
    </x:row>
    <x:row r="192" ht="19" customHeight="1">
      <x:c r="A192" s="2" t="str">
        <x:v>BB_L8</x:v>
      </x:c>
      <x:c r="B192" s="2" t="n">
        <x:v>6</x:v>
      </x:c>
      <x:c r="C192" s="22" t="n">
        <x:f>IF(F191&gt;0,E191,C191)</x:f>
        <x:v>0.171875</x:v>
      </x:c>
      <x:c r="D192" s="22" t="n">
        <x:f>IF(F191&gt;0,D191,E191)</x:f>
        <x:v>0.21875</x:v>
      </x:c>
      <x:c r="E192" s="22" t="n">
        <x:f>AVERAGE(C192:D192)</x:f>
        <x:v>0.1953125</x:v>
      </x:c>
      <x:c r="F192" s="24" t="n">
        <x:f>SUM(EXP(-E192*E2_tabla_vida!$X$170)*E2_tabla_vida!$P$170,EXP(-E192*E2_tabla_vida!$X$171)*E2_tabla_vida!$P$171,EXP(-E192*E2_tabla_vida!$X$172)*E2_tabla_vida!$P$172,EXP(-E192*E2_tabla_vida!$X$173)*E2_tabla_vida!$P$173,EXP(-E192*E2_tabla_vida!$X$174)*E2_tabla_vida!$P$174,EXP(-E192*E2_tabla_vida!$X$175)*E2_tabla_vida!$P$175,EXP(-E192*E2_tabla_vida!$X$176)*E2_tabla_vida!$P$176,EXP(-E192*E2_tabla_vida!$X$177)*E2_tabla_vida!$P$177,EXP(-E192*E2_tabla_vida!$X$178)*E2_tabla_vida!$P$178,EXP(-E192*E2_tabla_vida!$X$179)*E2_tabla_vida!$P$179,EXP(-E192*E2_tabla_vida!$X$180)*E2_tabla_vida!$P$180,EXP(-E192*E2_tabla_vida!$X$181)*E2_tabla_vida!$P$181,EXP(-E192*E2_tabla_vida!$X$182)*E2_tabla_vida!$P$182,EXP(-E192*E2_tabla_vida!$X$183)*E2_tabla_vida!$P$183,EXP(-E192*E2_tabla_vida!$X$184)*E2_tabla_vida!$P$184,EXP(-E192*E2_tabla_vida!$X$185)*E2_tabla_vida!$P$185,EXP(-E192*E2_tabla_vida!$X$186)*E2_tabla_vida!$P$186,EXP(-E192*E2_tabla_vida!$X$187)*E2_tabla_vida!$P$187,EXP(-E192*E2_tabla_vida!$X$188)*E2_tabla_vida!$P$188,EXP(-E192*E2_tabla_vida!$X$189)*E2_tabla_vida!$P$189,EXP(-E192*E2_tabla_vida!$X$190)*E2_tabla_vida!$P$190,EXP(-E192*E2_tabla_vida!$X$191)*E2_tabla_vida!$P$191,EXP(-E192*E2_tabla_vida!$X$192)*E2_tabla_vida!$P$192,EXP(-E192*E2_tabla_vida!$X$193)*E2_tabla_vida!$P$193,EXP(-E192*E2_tabla_vida!$X$194)*E2_tabla_vida!$P$194,EXP(-E192*E2_tabla_vida!$X$195)*E2_tabla_vida!$P$195,EXP(-E192*E2_tabla_vida!$X$196)*E2_tabla_vida!$P$196,EXP(-E192*E2_tabla_vida!$X$197)*E2_tabla_vida!$P$197,EXP(-E192*E2_tabla_vida!$X$198)*E2_tabla_vida!$P$198,EXP(-E192*E2_tabla_vida!$X$199)*E2_tabla_vida!$P$199,EXP(-E192*E2_tabla_vida!$X$200)*E2_tabla_vida!$P$200,EXP(-E192*E2_tabla_vida!$X$201)*E2_tabla_vida!$P$201,EXP(-E192*E2_tabla_vida!$X$202)*E2_tabla_vida!$P$202,EXP(-E192*E2_tabla_vida!$X$203)*E2_tabla_vida!$P$203,EXP(-E192*E2_tabla_vida!$X$204)*E2_tabla_vida!$P$204,EXP(-E192*E2_tabla_vida!$X$205)*E2_tabla_vida!$P$205,EXP(-E192*E2_tabla_vida!$X$206)*E2_tabla_vida!$P$206,EXP(-E192*E2_tabla_vida!$X$207)*E2_tabla_vida!$P$207,EXP(-E192*E2_tabla_vida!$X$208)*E2_tabla_vida!$P$208,EXP(-E192*E2_tabla_vida!$X$209)*E2_tabla_vida!$P$209,EXP(-E192*E2_tabla_vida!$X$210)*E2_tabla_vida!$P$210,EXP(-E192*E2_tabla_vida!$X$211)*E2_tabla_vida!$P$211)-1</x:f>
        <x:v>0.006102337976082284</x:v>
      </x:c>
      <x:c r="G192" s="24" t="n">
        <x:f>SUM(EXP(-C192*E2_tabla_vida!$X$170)*E2_tabla_vida!$P$170,EXP(-C192*E2_tabla_vida!$X$171)*E2_tabla_vida!$P$171,EXP(-C192*E2_tabla_vida!$X$172)*E2_tabla_vida!$P$172,EXP(-C192*E2_tabla_vida!$X$173)*E2_tabla_vida!$P$173,EXP(-C192*E2_tabla_vida!$X$174)*E2_tabla_vida!$P$174,EXP(-C192*E2_tabla_vida!$X$175)*E2_tabla_vida!$P$175,EXP(-C192*E2_tabla_vida!$X$176)*E2_tabla_vida!$P$176,EXP(-C192*E2_tabla_vida!$X$177)*E2_tabla_vida!$P$177,EXP(-C192*E2_tabla_vida!$X$178)*E2_tabla_vida!$P$178,EXP(-C192*E2_tabla_vida!$X$179)*E2_tabla_vida!$P$179,EXP(-C192*E2_tabla_vida!$X$180)*E2_tabla_vida!$P$180,EXP(-C192*E2_tabla_vida!$X$181)*E2_tabla_vida!$P$181,EXP(-C192*E2_tabla_vida!$X$182)*E2_tabla_vida!$P$182,EXP(-C192*E2_tabla_vida!$X$183)*E2_tabla_vida!$P$183,EXP(-C192*E2_tabla_vida!$X$184)*E2_tabla_vida!$P$184,EXP(-C192*E2_tabla_vida!$X$185)*E2_tabla_vida!$P$185,EXP(-C192*E2_tabla_vida!$X$186)*E2_tabla_vida!$P$186,EXP(-C192*E2_tabla_vida!$X$187)*E2_tabla_vida!$P$187,EXP(-C192*E2_tabla_vida!$X$188)*E2_tabla_vida!$P$188,EXP(-C192*E2_tabla_vida!$X$189)*E2_tabla_vida!$P$189,EXP(-C192*E2_tabla_vida!$X$190)*E2_tabla_vida!$P$190,EXP(-C192*E2_tabla_vida!$X$191)*E2_tabla_vida!$P$191,EXP(-C192*E2_tabla_vida!$X$192)*E2_tabla_vida!$P$192,EXP(-C192*E2_tabla_vida!$X$193)*E2_tabla_vida!$P$193,EXP(-C192*E2_tabla_vida!$X$194)*E2_tabla_vida!$P$194,EXP(-C192*E2_tabla_vida!$X$195)*E2_tabla_vida!$P$195,EXP(-C192*E2_tabla_vida!$X$196)*E2_tabla_vida!$P$196,EXP(-C192*E2_tabla_vida!$X$197)*E2_tabla_vida!$P$197,EXP(-C192*E2_tabla_vida!$X$198)*E2_tabla_vida!$P$198,EXP(-C192*E2_tabla_vida!$X$199)*E2_tabla_vida!$P$199,EXP(-C192*E2_tabla_vida!$X$200)*E2_tabla_vida!$P$200,EXP(-C192*E2_tabla_vida!$X$201)*E2_tabla_vida!$P$201,EXP(-C192*E2_tabla_vida!$X$202)*E2_tabla_vida!$P$202,EXP(-C192*E2_tabla_vida!$X$203)*E2_tabla_vida!$P$203,EXP(-C192*E2_tabla_vida!$X$204)*E2_tabla_vida!$P$204,EXP(-C192*E2_tabla_vida!$X$205)*E2_tabla_vida!$P$205,EXP(-C192*E2_tabla_vida!$X$206)*E2_tabla_vida!$P$206,EXP(-C192*E2_tabla_vida!$X$207)*E2_tabla_vida!$P$207,EXP(-C192*E2_tabla_vida!$X$208)*E2_tabla_vida!$P$208,EXP(-C192*E2_tabla_vida!$X$209)*E2_tabla_vida!$P$209,EXP(-C192*E2_tabla_vida!$X$210)*E2_tabla_vida!$P$210,EXP(-C192*E2_tabla_vida!$X$211)*E2_tabla_vida!$P$211)-1</x:f>
        <x:v>0.4311145921318067</x:v>
      </x:c>
      <x:c r="H192" s="24" t="n">
        <x:f>SUM(EXP(-D192*E2_tabla_vida!$X$170)*E2_tabla_vida!$P$170,EXP(-D192*E2_tabla_vida!$X$171)*E2_tabla_vida!$P$171,EXP(-D192*E2_tabla_vida!$X$172)*E2_tabla_vida!$P$172,EXP(-D192*E2_tabla_vida!$X$173)*E2_tabla_vida!$P$173,EXP(-D192*E2_tabla_vida!$X$174)*E2_tabla_vida!$P$174,EXP(-D192*E2_tabla_vida!$X$175)*E2_tabla_vida!$P$175,EXP(-D192*E2_tabla_vida!$X$176)*E2_tabla_vida!$P$176,EXP(-D192*E2_tabla_vida!$X$177)*E2_tabla_vida!$P$177,EXP(-D192*E2_tabla_vida!$X$178)*E2_tabla_vida!$P$178,EXP(-D192*E2_tabla_vida!$X$179)*E2_tabla_vida!$P$179,EXP(-D192*E2_tabla_vida!$X$180)*E2_tabla_vida!$P$180,EXP(-D192*E2_tabla_vida!$X$181)*E2_tabla_vida!$P$181,EXP(-D192*E2_tabla_vida!$X$182)*E2_tabla_vida!$P$182,EXP(-D192*E2_tabla_vida!$X$183)*E2_tabla_vida!$P$183,EXP(-D192*E2_tabla_vida!$X$184)*E2_tabla_vida!$P$184,EXP(-D192*E2_tabla_vida!$X$185)*E2_tabla_vida!$P$185,EXP(-D192*E2_tabla_vida!$X$186)*E2_tabla_vida!$P$186,EXP(-D192*E2_tabla_vida!$X$187)*E2_tabla_vida!$P$187,EXP(-D192*E2_tabla_vida!$X$188)*E2_tabla_vida!$P$188,EXP(-D192*E2_tabla_vida!$X$189)*E2_tabla_vida!$P$189,EXP(-D192*E2_tabla_vida!$X$190)*E2_tabla_vida!$P$190,EXP(-D192*E2_tabla_vida!$X$191)*E2_tabla_vida!$P$191,EXP(-D192*E2_tabla_vida!$X$192)*E2_tabla_vida!$P$192,EXP(-D192*E2_tabla_vida!$X$193)*E2_tabla_vida!$P$193,EXP(-D192*E2_tabla_vida!$X$194)*E2_tabla_vida!$P$194,EXP(-D192*E2_tabla_vida!$X$195)*E2_tabla_vida!$P$195,EXP(-D192*E2_tabla_vida!$X$196)*E2_tabla_vida!$P$196,EXP(-D192*E2_tabla_vida!$X$197)*E2_tabla_vida!$P$197,EXP(-D192*E2_tabla_vida!$X$198)*E2_tabla_vida!$P$198,EXP(-D192*E2_tabla_vida!$X$199)*E2_tabla_vida!$P$199,EXP(-D192*E2_tabla_vida!$X$200)*E2_tabla_vida!$P$200,EXP(-D192*E2_tabla_vida!$X$201)*E2_tabla_vida!$P$201,EXP(-D192*E2_tabla_vida!$X$202)*E2_tabla_vida!$P$202,EXP(-D192*E2_tabla_vida!$X$203)*E2_tabla_vida!$P$203,EXP(-D192*E2_tabla_vida!$X$204)*E2_tabla_vida!$P$204,EXP(-D192*E2_tabla_vida!$X$205)*E2_tabla_vida!$P$205,EXP(-D192*E2_tabla_vida!$X$206)*E2_tabla_vida!$P$206,EXP(-D192*E2_tabla_vida!$X$207)*E2_tabla_vida!$P$207,EXP(-D192*E2_tabla_vida!$X$208)*E2_tabla_vida!$P$208,EXP(-D192*E2_tabla_vida!$X$209)*E2_tabla_vida!$P$209,EXP(-D192*E2_tabla_vida!$X$210)*E2_tabla_vida!$P$210,EXP(-D192*E2_tabla_vida!$X$211)*E2_tabla_vida!$P$211)-1</x:f>
        <x:v>-0.2878059102008754</x:v>
      </x:c>
    </x:row>
    <x:row r="193" ht="19" customHeight="1">
      <x:c r="A193" s="2" t="str">
        <x:v>BB_L8</x:v>
      </x:c>
      <x:c r="B193" s="2" t="n">
        <x:v>7</x:v>
      </x:c>
      <x:c r="C193" s="22" t="n">
        <x:f>IF(F192&gt;0,E192,C192)</x:f>
        <x:v>0.1953125</x:v>
      </x:c>
      <x:c r="D193" s="22" t="n">
        <x:f>IF(F192&gt;0,D192,E192)</x:f>
        <x:v>0.21875</x:v>
      </x:c>
      <x:c r="E193" s="22" t="n">
        <x:f>AVERAGE(C193:D193)</x:f>
        <x:v>0.20703125</x:v>
      </x:c>
      <x:c r="F193" s="24" t="n">
        <x:f>SUM(EXP(-E193*E2_tabla_vida!$X$170)*E2_tabla_vida!$P$170,EXP(-E193*E2_tabla_vida!$X$171)*E2_tabla_vida!$P$171,EXP(-E193*E2_tabla_vida!$X$172)*E2_tabla_vida!$P$172,EXP(-E193*E2_tabla_vida!$X$173)*E2_tabla_vida!$P$173,EXP(-E193*E2_tabla_vida!$X$174)*E2_tabla_vida!$P$174,EXP(-E193*E2_tabla_vida!$X$175)*E2_tabla_vida!$P$175,EXP(-E193*E2_tabla_vida!$X$176)*E2_tabla_vida!$P$176,EXP(-E193*E2_tabla_vida!$X$177)*E2_tabla_vida!$P$177,EXP(-E193*E2_tabla_vida!$X$178)*E2_tabla_vida!$P$178,EXP(-E193*E2_tabla_vida!$X$179)*E2_tabla_vida!$P$179,EXP(-E193*E2_tabla_vida!$X$180)*E2_tabla_vida!$P$180,EXP(-E193*E2_tabla_vida!$X$181)*E2_tabla_vida!$P$181,EXP(-E193*E2_tabla_vida!$X$182)*E2_tabla_vida!$P$182,EXP(-E193*E2_tabla_vida!$X$183)*E2_tabla_vida!$P$183,EXP(-E193*E2_tabla_vida!$X$184)*E2_tabla_vida!$P$184,EXP(-E193*E2_tabla_vida!$X$185)*E2_tabla_vida!$P$185,EXP(-E193*E2_tabla_vida!$X$186)*E2_tabla_vida!$P$186,EXP(-E193*E2_tabla_vida!$X$187)*E2_tabla_vida!$P$187,EXP(-E193*E2_tabla_vida!$X$188)*E2_tabla_vida!$P$188,EXP(-E193*E2_tabla_vida!$X$189)*E2_tabla_vida!$P$189,EXP(-E193*E2_tabla_vida!$X$190)*E2_tabla_vida!$P$190,EXP(-E193*E2_tabla_vida!$X$191)*E2_tabla_vida!$P$191,EXP(-E193*E2_tabla_vida!$X$192)*E2_tabla_vida!$P$192,EXP(-E193*E2_tabla_vida!$X$193)*E2_tabla_vida!$P$193,EXP(-E193*E2_tabla_vida!$X$194)*E2_tabla_vida!$P$194,EXP(-E193*E2_tabla_vida!$X$195)*E2_tabla_vida!$P$195,EXP(-E193*E2_tabla_vida!$X$196)*E2_tabla_vida!$P$196,EXP(-E193*E2_tabla_vida!$X$197)*E2_tabla_vida!$P$197,EXP(-E193*E2_tabla_vida!$X$198)*E2_tabla_vida!$P$198,EXP(-E193*E2_tabla_vida!$X$199)*E2_tabla_vida!$P$199,EXP(-E193*E2_tabla_vida!$X$200)*E2_tabla_vida!$P$200,EXP(-E193*E2_tabla_vida!$X$201)*E2_tabla_vida!$P$201,EXP(-E193*E2_tabla_vida!$X$202)*E2_tabla_vida!$P$202,EXP(-E193*E2_tabla_vida!$X$203)*E2_tabla_vida!$P$203,EXP(-E193*E2_tabla_vida!$X$204)*E2_tabla_vida!$P$204,EXP(-E193*E2_tabla_vida!$X$205)*E2_tabla_vida!$P$205,EXP(-E193*E2_tabla_vida!$X$206)*E2_tabla_vida!$P$206,EXP(-E193*E2_tabla_vida!$X$207)*E2_tabla_vida!$P$207,EXP(-E193*E2_tabla_vida!$X$208)*E2_tabla_vida!$P$208,EXP(-E193*E2_tabla_vida!$X$209)*E2_tabla_vida!$P$209,EXP(-E193*E2_tabla_vida!$X$210)*E2_tabla_vida!$P$210,EXP(-E193*E2_tabla_vida!$X$211)*E2_tabla_vida!$P$211)-1</x:f>
        <x:v>-0.15421172904505853</x:v>
      </x:c>
      <x:c r="G193" s="24" t="n">
        <x:f>SUM(EXP(-C193*E2_tabla_vida!$X$170)*E2_tabla_vida!$P$170,EXP(-C193*E2_tabla_vida!$X$171)*E2_tabla_vida!$P$171,EXP(-C193*E2_tabla_vida!$X$172)*E2_tabla_vida!$P$172,EXP(-C193*E2_tabla_vida!$X$173)*E2_tabla_vida!$P$173,EXP(-C193*E2_tabla_vida!$X$174)*E2_tabla_vida!$P$174,EXP(-C193*E2_tabla_vida!$X$175)*E2_tabla_vida!$P$175,EXP(-C193*E2_tabla_vida!$X$176)*E2_tabla_vida!$P$176,EXP(-C193*E2_tabla_vida!$X$177)*E2_tabla_vida!$P$177,EXP(-C193*E2_tabla_vida!$X$178)*E2_tabla_vida!$P$178,EXP(-C193*E2_tabla_vida!$X$179)*E2_tabla_vida!$P$179,EXP(-C193*E2_tabla_vida!$X$180)*E2_tabla_vida!$P$180,EXP(-C193*E2_tabla_vida!$X$181)*E2_tabla_vida!$P$181,EXP(-C193*E2_tabla_vida!$X$182)*E2_tabla_vida!$P$182,EXP(-C193*E2_tabla_vida!$X$183)*E2_tabla_vida!$P$183,EXP(-C193*E2_tabla_vida!$X$184)*E2_tabla_vida!$P$184,EXP(-C193*E2_tabla_vida!$X$185)*E2_tabla_vida!$P$185,EXP(-C193*E2_tabla_vida!$X$186)*E2_tabla_vida!$P$186,EXP(-C193*E2_tabla_vida!$X$187)*E2_tabla_vida!$P$187,EXP(-C193*E2_tabla_vida!$X$188)*E2_tabla_vida!$P$188,EXP(-C193*E2_tabla_vida!$X$189)*E2_tabla_vida!$P$189,EXP(-C193*E2_tabla_vida!$X$190)*E2_tabla_vida!$P$190,EXP(-C193*E2_tabla_vida!$X$191)*E2_tabla_vida!$P$191,EXP(-C193*E2_tabla_vida!$X$192)*E2_tabla_vida!$P$192,EXP(-C193*E2_tabla_vida!$X$193)*E2_tabla_vida!$P$193,EXP(-C193*E2_tabla_vida!$X$194)*E2_tabla_vida!$P$194,EXP(-C193*E2_tabla_vida!$X$195)*E2_tabla_vida!$P$195,EXP(-C193*E2_tabla_vida!$X$196)*E2_tabla_vida!$P$196,EXP(-C193*E2_tabla_vida!$X$197)*E2_tabla_vida!$P$197,EXP(-C193*E2_tabla_vida!$X$198)*E2_tabla_vida!$P$198,EXP(-C193*E2_tabla_vida!$X$199)*E2_tabla_vida!$P$199,EXP(-C193*E2_tabla_vida!$X$200)*E2_tabla_vida!$P$200,EXP(-C193*E2_tabla_vida!$X$201)*E2_tabla_vida!$P$201,EXP(-C193*E2_tabla_vida!$X$202)*E2_tabla_vida!$P$202,EXP(-C193*E2_tabla_vida!$X$203)*E2_tabla_vida!$P$203,EXP(-C193*E2_tabla_vida!$X$204)*E2_tabla_vida!$P$204,EXP(-C193*E2_tabla_vida!$X$205)*E2_tabla_vida!$P$205,EXP(-C193*E2_tabla_vida!$X$206)*E2_tabla_vida!$P$206,EXP(-C193*E2_tabla_vida!$X$207)*E2_tabla_vida!$P$207,EXP(-C193*E2_tabla_vida!$X$208)*E2_tabla_vida!$P$208,EXP(-C193*E2_tabla_vida!$X$209)*E2_tabla_vida!$P$209,EXP(-C193*E2_tabla_vida!$X$210)*E2_tabla_vida!$P$210,EXP(-C193*E2_tabla_vida!$X$211)*E2_tabla_vida!$P$211)-1</x:f>
        <x:v>0.006102337976082284</x:v>
      </x:c>
      <x:c r="H193" s="24" t="n">
        <x:f>SUM(EXP(-D193*E2_tabla_vida!$X$170)*E2_tabla_vida!$P$170,EXP(-D193*E2_tabla_vida!$X$171)*E2_tabla_vida!$P$171,EXP(-D193*E2_tabla_vida!$X$172)*E2_tabla_vida!$P$172,EXP(-D193*E2_tabla_vida!$X$173)*E2_tabla_vida!$P$173,EXP(-D193*E2_tabla_vida!$X$174)*E2_tabla_vida!$P$174,EXP(-D193*E2_tabla_vida!$X$175)*E2_tabla_vida!$P$175,EXP(-D193*E2_tabla_vida!$X$176)*E2_tabla_vida!$P$176,EXP(-D193*E2_tabla_vida!$X$177)*E2_tabla_vida!$P$177,EXP(-D193*E2_tabla_vida!$X$178)*E2_tabla_vida!$P$178,EXP(-D193*E2_tabla_vida!$X$179)*E2_tabla_vida!$P$179,EXP(-D193*E2_tabla_vida!$X$180)*E2_tabla_vida!$P$180,EXP(-D193*E2_tabla_vida!$X$181)*E2_tabla_vida!$P$181,EXP(-D193*E2_tabla_vida!$X$182)*E2_tabla_vida!$P$182,EXP(-D193*E2_tabla_vida!$X$183)*E2_tabla_vida!$P$183,EXP(-D193*E2_tabla_vida!$X$184)*E2_tabla_vida!$P$184,EXP(-D193*E2_tabla_vida!$X$185)*E2_tabla_vida!$P$185,EXP(-D193*E2_tabla_vida!$X$186)*E2_tabla_vida!$P$186,EXP(-D193*E2_tabla_vida!$X$187)*E2_tabla_vida!$P$187,EXP(-D193*E2_tabla_vida!$X$188)*E2_tabla_vida!$P$188,EXP(-D193*E2_tabla_vida!$X$189)*E2_tabla_vida!$P$189,EXP(-D193*E2_tabla_vida!$X$190)*E2_tabla_vida!$P$190,EXP(-D193*E2_tabla_vida!$X$191)*E2_tabla_vida!$P$191,EXP(-D193*E2_tabla_vida!$X$192)*E2_tabla_vida!$P$192,EXP(-D193*E2_tabla_vida!$X$193)*E2_tabla_vida!$P$193,EXP(-D193*E2_tabla_vida!$X$194)*E2_tabla_vida!$P$194,EXP(-D193*E2_tabla_vida!$X$195)*E2_tabla_vida!$P$195,EXP(-D193*E2_tabla_vida!$X$196)*E2_tabla_vida!$P$196,EXP(-D193*E2_tabla_vida!$X$197)*E2_tabla_vida!$P$197,EXP(-D193*E2_tabla_vida!$X$198)*E2_tabla_vida!$P$198,EXP(-D193*E2_tabla_vida!$X$199)*E2_tabla_vida!$P$199,EXP(-D193*E2_tabla_vida!$X$200)*E2_tabla_vida!$P$200,EXP(-D193*E2_tabla_vida!$X$201)*E2_tabla_vida!$P$201,EXP(-D193*E2_tabla_vida!$X$202)*E2_tabla_vida!$P$202,EXP(-D193*E2_tabla_vida!$X$203)*E2_tabla_vida!$P$203,EXP(-D193*E2_tabla_vida!$X$204)*E2_tabla_vida!$P$204,EXP(-D193*E2_tabla_vida!$X$205)*E2_tabla_vida!$P$205,EXP(-D193*E2_tabla_vida!$X$206)*E2_tabla_vida!$P$206,EXP(-D193*E2_tabla_vida!$X$207)*E2_tabla_vida!$P$207,EXP(-D193*E2_tabla_vida!$X$208)*E2_tabla_vida!$P$208,EXP(-D193*E2_tabla_vida!$X$209)*E2_tabla_vida!$P$209,EXP(-D193*E2_tabla_vida!$X$210)*E2_tabla_vida!$P$210,EXP(-D193*E2_tabla_vida!$X$211)*E2_tabla_vida!$P$211)-1</x:f>
        <x:v>-0.2878059102008754</x:v>
      </x:c>
    </x:row>
    <x:row r="194" ht="19" customHeight="1">
      <x:c r="A194" s="2" t="str">
        <x:v>BB_L8</x:v>
      </x:c>
      <x:c r="B194" s="2" t="n">
        <x:v>8</x:v>
      </x:c>
      <x:c r="C194" s="22" t="n">
        <x:f>IF(F193&gt;0,E193,C193)</x:f>
        <x:v>0.1953125</x:v>
      </x:c>
      <x:c r="D194" s="22" t="n">
        <x:f>IF(F193&gt;0,D193,E193)</x:f>
        <x:v>0.20703125</x:v>
      </x:c>
      <x:c r="E194" s="22" t="n">
        <x:f>AVERAGE(C194:D194)</x:f>
        <x:v>0.201171875</x:v>
      </x:c>
      <x:c r="F194" s="24" t="n">
        <x:f>SUM(EXP(-E194*E2_tabla_vida!$X$170)*E2_tabla_vida!$P$170,EXP(-E194*E2_tabla_vida!$X$171)*E2_tabla_vida!$P$171,EXP(-E194*E2_tabla_vida!$X$172)*E2_tabla_vida!$P$172,EXP(-E194*E2_tabla_vida!$X$173)*E2_tabla_vida!$P$173,EXP(-E194*E2_tabla_vida!$X$174)*E2_tabla_vida!$P$174,EXP(-E194*E2_tabla_vida!$X$175)*E2_tabla_vida!$P$175,EXP(-E194*E2_tabla_vida!$X$176)*E2_tabla_vida!$P$176,EXP(-E194*E2_tabla_vida!$X$177)*E2_tabla_vida!$P$177,EXP(-E194*E2_tabla_vida!$X$178)*E2_tabla_vida!$P$178,EXP(-E194*E2_tabla_vida!$X$179)*E2_tabla_vida!$P$179,EXP(-E194*E2_tabla_vida!$X$180)*E2_tabla_vida!$P$180,EXP(-E194*E2_tabla_vida!$X$181)*E2_tabla_vida!$P$181,EXP(-E194*E2_tabla_vida!$X$182)*E2_tabla_vida!$P$182,EXP(-E194*E2_tabla_vida!$X$183)*E2_tabla_vida!$P$183,EXP(-E194*E2_tabla_vida!$X$184)*E2_tabla_vida!$P$184,EXP(-E194*E2_tabla_vida!$X$185)*E2_tabla_vida!$P$185,EXP(-E194*E2_tabla_vida!$X$186)*E2_tabla_vida!$P$186,EXP(-E194*E2_tabla_vida!$X$187)*E2_tabla_vida!$P$187,EXP(-E194*E2_tabla_vida!$X$188)*E2_tabla_vida!$P$188,EXP(-E194*E2_tabla_vida!$X$189)*E2_tabla_vida!$P$189,EXP(-E194*E2_tabla_vida!$X$190)*E2_tabla_vida!$P$190,EXP(-E194*E2_tabla_vida!$X$191)*E2_tabla_vida!$P$191,EXP(-E194*E2_tabla_vida!$X$192)*E2_tabla_vida!$P$192,EXP(-E194*E2_tabla_vida!$X$193)*E2_tabla_vida!$P$193,EXP(-E194*E2_tabla_vida!$X$194)*E2_tabla_vida!$P$194,EXP(-E194*E2_tabla_vida!$X$195)*E2_tabla_vida!$P$195,EXP(-E194*E2_tabla_vida!$X$196)*E2_tabla_vida!$P$196,EXP(-E194*E2_tabla_vida!$X$197)*E2_tabla_vida!$P$197,EXP(-E194*E2_tabla_vida!$X$198)*E2_tabla_vida!$P$198,EXP(-E194*E2_tabla_vida!$X$199)*E2_tabla_vida!$P$199,EXP(-E194*E2_tabla_vida!$X$200)*E2_tabla_vida!$P$200,EXP(-E194*E2_tabla_vida!$X$201)*E2_tabla_vida!$P$201,EXP(-E194*E2_tabla_vida!$X$202)*E2_tabla_vida!$P$202,EXP(-E194*E2_tabla_vida!$X$203)*E2_tabla_vida!$P$203,EXP(-E194*E2_tabla_vida!$X$204)*E2_tabla_vida!$P$204,EXP(-E194*E2_tabla_vida!$X$205)*E2_tabla_vida!$P$205,EXP(-E194*E2_tabla_vida!$X$206)*E2_tabla_vida!$P$206,EXP(-E194*E2_tabla_vida!$X$207)*E2_tabla_vida!$P$207,EXP(-E194*E2_tabla_vida!$X$208)*E2_tabla_vida!$P$208,EXP(-E194*E2_tabla_vida!$X$209)*E2_tabla_vida!$P$209,EXP(-E194*E2_tabla_vida!$X$210)*E2_tabla_vida!$P$210,EXP(-E194*E2_tabla_vida!$X$211)*E2_tabla_vida!$P$211)-1</x:f>
        <x:v>-0.0777249898236696</x:v>
      </x:c>
      <x:c r="G194" s="24" t="n">
        <x:f>SUM(EXP(-C194*E2_tabla_vida!$X$170)*E2_tabla_vida!$P$170,EXP(-C194*E2_tabla_vida!$X$171)*E2_tabla_vida!$P$171,EXP(-C194*E2_tabla_vida!$X$172)*E2_tabla_vida!$P$172,EXP(-C194*E2_tabla_vida!$X$173)*E2_tabla_vida!$P$173,EXP(-C194*E2_tabla_vida!$X$174)*E2_tabla_vida!$P$174,EXP(-C194*E2_tabla_vida!$X$175)*E2_tabla_vida!$P$175,EXP(-C194*E2_tabla_vida!$X$176)*E2_tabla_vida!$P$176,EXP(-C194*E2_tabla_vida!$X$177)*E2_tabla_vida!$P$177,EXP(-C194*E2_tabla_vida!$X$178)*E2_tabla_vida!$P$178,EXP(-C194*E2_tabla_vida!$X$179)*E2_tabla_vida!$P$179,EXP(-C194*E2_tabla_vida!$X$180)*E2_tabla_vida!$P$180,EXP(-C194*E2_tabla_vida!$X$181)*E2_tabla_vida!$P$181,EXP(-C194*E2_tabla_vida!$X$182)*E2_tabla_vida!$P$182,EXP(-C194*E2_tabla_vida!$X$183)*E2_tabla_vida!$P$183,EXP(-C194*E2_tabla_vida!$X$184)*E2_tabla_vida!$P$184,EXP(-C194*E2_tabla_vida!$X$185)*E2_tabla_vida!$P$185,EXP(-C194*E2_tabla_vida!$X$186)*E2_tabla_vida!$P$186,EXP(-C194*E2_tabla_vida!$X$187)*E2_tabla_vida!$P$187,EXP(-C194*E2_tabla_vida!$X$188)*E2_tabla_vida!$P$188,EXP(-C194*E2_tabla_vida!$X$189)*E2_tabla_vida!$P$189,EXP(-C194*E2_tabla_vida!$X$190)*E2_tabla_vida!$P$190,EXP(-C194*E2_tabla_vida!$X$191)*E2_tabla_vida!$P$191,EXP(-C194*E2_tabla_vida!$X$192)*E2_tabla_vida!$P$192,EXP(-C194*E2_tabla_vida!$X$193)*E2_tabla_vida!$P$193,EXP(-C194*E2_tabla_vida!$X$194)*E2_tabla_vida!$P$194,EXP(-C194*E2_tabla_vida!$X$195)*E2_tabla_vida!$P$195,EXP(-C194*E2_tabla_vida!$X$196)*E2_tabla_vida!$P$196,EXP(-C194*E2_tabla_vida!$X$197)*E2_tabla_vida!$P$197,EXP(-C194*E2_tabla_vida!$X$198)*E2_tabla_vida!$P$198,EXP(-C194*E2_tabla_vida!$X$199)*E2_tabla_vida!$P$199,EXP(-C194*E2_tabla_vida!$X$200)*E2_tabla_vida!$P$200,EXP(-C194*E2_tabla_vida!$X$201)*E2_tabla_vida!$P$201,EXP(-C194*E2_tabla_vida!$X$202)*E2_tabla_vida!$P$202,EXP(-C194*E2_tabla_vida!$X$203)*E2_tabla_vida!$P$203,EXP(-C194*E2_tabla_vida!$X$204)*E2_tabla_vida!$P$204,EXP(-C194*E2_tabla_vida!$X$205)*E2_tabla_vida!$P$205,EXP(-C194*E2_tabla_vida!$X$206)*E2_tabla_vida!$P$206,EXP(-C194*E2_tabla_vida!$X$207)*E2_tabla_vida!$P$207,EXP(-C194*E2_tabla_vida!$X$208)*E2_tabla_vida!$P$208,EXP(-C194*E2_tabla_vida!$X$209)*E2_tabla_vida!$P$209,EXP(-C194*E2_tabla_vida!$X$210)*E2_tabla_vida!$P$210,EXP(-C194*E2_tabla_vida!$X$211)*E2_tabla_vida!$P$211)-1</x:f>
        <x:v>0.006102337976082284</x:v>
      </x:c>
      <x:c r="H194" s="24" t="n">
        <x:f>SUM(EXP(-D194*E2_tabla_vida!$X$170)*E2_tabla_vida!$P$170,EXP(-D194*E2_tabla_vida!$X$171)*E2_tabla_vida!$P$171,EXP(-D194*E2_tabla_vida!$X$172)*E2_tabla_vida!$P$172,EXP(-D194*E2_tabla_vida!$X$173)*E2_tabla_vida!$P$173,EXP(-D194*E2_tabla_vida!$X$174)*E2_tabla_vida!$P$174,EXP(-D194*E2_tabla_vida!$X$175)*E2_tabla_vida!$P$175,EXP(-D194*E2_tabla_vida!$X$176)*E2_tabla_vida!$P$176,EXP(-D194*E2_tabla_vida!$X$177)*E2_tabla_vida!$P$177,EXP(-D194*E2_tabla_vida!$X$178)*E2_tabla_vida!$P$178,EXP(-D194*E2_tabla_vida!$X$179)*E2_tabla_vida!$P$179,EXP(-D194*E2_tabla_vida!$X$180)*E2_tabla_vida!$P$180,EXP(-D194*E2_tabla_vida!$X$181)*E2_tabla_vida!$P$181,EXP(-D194*E2_tabla_vida!$X$182)*E2_tabla_vida!$P$182,EXP(-D194*E2_tabla_vida!$X$183)*E2_tabla_vida!$P$183,EXP(-D194*E2_tabla_vida!$X$184)*E2_tabla_vida!$P$184,EXP(-D194*E2_tabla_vida!$X$185)*E2_tabla_vida!$P$185,EXP(-D194*E2_tabla_vida!$X$186)*E2_tabla_vida!$P$186,EXP(-D194*E2_tabla_vida!$X$187)*E2_tabla_vida!$P$187,EXP(-D194*E2_tabla_vida!$X$188)*E2_tabla_vida!$P$188,EXP(-D194*E2_tabla_vida!$X$189)*E2_tabla_vida!$P$189,EXP(-D194*E2_tabla_vida!$X$190)*E2_tabla_vida!$P$190,EXP(-D194*E2_tabla_vida!$X$191)*E2_tabla_vida!$P$191,EXP(-D194*E2_tabla_vida!$X$192)*E2_tabla_vida!$P$192,EXP(-D194*E2_tabla_vida!$X$193)*E2_tabla_vida!$P$193,EXP(-D194*E2_tabla_vida!$X$194)*E2_tabla_vida!$P$194,EXP(-D194*E2_tabla_vida!$X$195)*E2_tabla_vida!$P$195,EXP(-D194*E2_tabla_vida!$X$196)*E2_tabla_vida!$P$196,EXP(-D194*E2_tabla_vida!$X$197)*E2_tabla_vida!$P$197,EXP(-D194*E2_tabla_vida!$X$198)*E2_tabla_vida!$P$198,EXP(-D194*E2_tabla_vida!$X$199)*E2_tabla_vida!$P$199,EXP(-D194*E2_tabla_vida!$X$200)*E2_tabla_vida!$P$200,EXP(-D194*E2_tabla_vida!$X$201)*E2_tabla_vida!$P$201,EXP(-D194*E2_tabla_vida!$X$202)*E2_tabla_vida!$P$202,EXP(-D194*E2_tabla_vida!$X$203)*E2_tabla_vida!$P$203,EXP(-D194*E2_tabla_vida!$X$204)*E2_tabla_vida!$P$204,EXP(-D194*E2_tabla_vida!$X$205)*E2_tabla_vida!$P$205,EXP(-D194*E2_tabla_vida!$X$206)*E2_tabla_vida!$P$206,EXP(-D194*E2_tabla_vida!$X$207)*E2_tabla_vida!$P$207,EXP(-D194*E2_tabla_vida!$X$208)*E2_tabla_vida!$P$208,EXP(-D194*E2_tabla_vida!$X$209)*E2_tabla_vida!$P$209,EXP(-D194*E2_tabla_vida!$X$210)*E2_tabla_vida!$P$210,EXP(-D194*E2_tabla_vida!$X$211)*E2_tabla_vida!$P$211)-1</x:f>
        <x:v>-0.15421172904505853</x:v>
      </x:c>
    </x:row>
    <x:row r="195" ht="19" customHeight="1">
      <x:c r="A195" s="2" t="str">
        <x:v>BB_L8</x:v>
      </x:c>
      <x:c r="B195" s="2" t="n">
        <x:v>9</x:v>
      </x:c>
      <x:c r="C195" s="22" t="n">
        <x:f>IF(F194&gt;0,E194,C194)</x:f>
        <x:v>0.1953125</x:v>
      </x:c>
      <x:c r="D195" s="22" t="n">
        <x:f>IF(F194&gt;0,D194,E194)</x:f>
        <x:v>0.201171875</x:v>
      </x:c>
      <x:c r="E195" s="22" t="n">
        <x:f>AVERAGE(C195:D195)</x:f>
        <x:v>0.1982421875</x:v>
      </x:c>
      <x:c r="F195" s="24" t="n">
        <x:f>SUM(EXP(-E195*E2_tabla_vida!$X$170)*E2_tabla_vida!$P$170,EXP(-E195*E2_tabla_vida!$X$171)*E2_tabla_vida!$P$171,EXP(-E195*E2_tabla_vida!$X$172)*E2_tabla_vida!$P$172,EXP(-E195*E2_tabla_vida!$X$173)*E2_tabla_vida!$P$173,EXP(-E195*E2_tabla_vida!$X$174)*E2_tabla_vida!$P$174,EXP(-E195*E2_tabla_vida!$X$175)*E2_tabla_vida!$P$175,EXP(-E195*E2_tabla_vida!$X$176)*E2_tabla_vida!$P$176,EXP(-E195*E2_tabla_vida!$X$177)*E2_tabla_vida!$P$177,EXP(-E195*E2_tabla_vida!$X$178)*E2_tabla_vida!$P$178,EXP(-E195*E2_tabla_vida!$X$179)*E2_tabla_vida!$P$179,EXP(-E195*E2_tabla_vida!$X$180)*E2_tabla_vida!$P$180,EXP(-E195*E2_tabla_vida!$X$181)*E2_tabla_vida!$P$181,EXP(-E195*E2_tabla_vida!$X$182)*E2_tabla_vida!$P$182,EXP(-E195*E2_tabla_vida!$X$183)*E2_tabla_vida!$P$183,EXP(-E195*E2_tabla_vida!$X$184)*E2_tabla_vida!$P$184,EXP(-E195*E2_tabla_vida!$X$185)*E2_tabla_vida!$P$185,EXP(-E195*E2_tabla_vida!$X$186)*E2_tabla_vida!$P$186,EXP(-E195*E2_tabla_vida!$X$187)*E2_tabla_vida!$P$187,EXP(-E195*E2_tabla_vida!$X$188)*E2_tabla_vida!$P$188,EXP(-E195*E2_tabla_vida!$X$189)*E2_tabla_vida!$P$189,EXP(-E195*E2_tabla_vida!$X$190)*E2_tabla_vida!$P$190,EXP(-E195*E2_tabla_vida!$X$191)*E2_tabla_vida!$P$191,EXP(-E195*E2_tabla_vida!$X$192)*E2_tabla_vida!$P$192,EXP(-E195*E2_tabla_vida!$X$193)*E2_tabla_vida!$P$193,EXP(-E195*E2_tabla_vida!$X$194)*E2_tabla_vida!$P$194,EXP(-E195*E2_tabla_vida!$X$195)*E2_tabla_vida!$P$195,EXP(-E195*E2_tabla_vida!$X$196)*E2_tabla_vida!$P$196,EXP(-E195*E2_tabla_vida!$X$197)*E2_tabla_vida!$P$197,EXP(-E195*E2_tabla_vida!$X$198)*E2_tabla_vida!$P$198,EXP(-E195*E2_tabla_vida!$X$199)*E2_tabla_vida!$P$199,EXP(-E195*E2_tabla_vida!$X$200)*E2_tabla_vida!$P$200,EXP(-E195*E2_tabla_vida!$X$201)*E2_tabla_vida!$P$201,EXP(-E195*E2_tabla_vida!$X$202)*E2_tabla_vida!$P$202,EXP(-E195*E2_tabla_vida!$X$203)*E2_tabla_vida!$P$203,EXP(-E195*E2_tabla_vida!$X$204)*E2_tabla_vida!$P$204,EXP(-E195*E2_tabla_vida!$X$205)*E2_tabla_vida!$P$205,EXP(-E195*E2_tabla_vida!$X$206)*E2_tabla_vida!$P$206,EXP(-E195*E2_tabla_vida!$X$207)*E2_tabla_vida!$P$207,EXP(-E195*E2_tabla_vida!$X$208)*E2_tabla_vida!$P$208,EXP(-E195*E2_tabla_vida!$X$209)*E2_tabla_vida!$P$209,EXP(-E195*E2_tabla_vida!$X$210)*E2_tabla_vida!$P$210,EXP(-E195*E2_tabla_vida!$X$211)*E2_tabla_vida!$P$211)-1</x:f>
        <x:v>-0.036773990005635304</x:v>
      </x:c>
      <x:c r="G195" s="24" t="n">
        <x:f>SUM(EXP(-C195*E2_tabla_vida!$X$170)*E2_tabla_vida!$P$170,EXP(-C195*E2_tabla_vida!$X$171)*E2_tabla_vida!$P$171,EXP(-C195*E2_tabla_vida!$X$172)*E2_tabla_vida!$P$172,EXP(-C195*E2_tabla_vida!$X$173)*E2_tabla_vida!$P$173,EXP(-C195*E2_tabla_vida!$X$174)*E2_tabla_vida!$P$174,EXP(-C195*E2_tabla_vida!$X$175)*E2_tabla_vida!$P$175,EXP(-C195*E2_tabla_vida!$X$176)*E2_tabla_vida!$P$176,EXP(-C195*E2_tabla_vida!$X$177)*E2_tabla_vida!$P$177,EXP(-C195*E2_tabla_vida!$X$178)*E2_tabla_vida!$P$178,EXP(-C195*E2_tabla_vida!$X$179)*E2_tabla_vida!$P$179,EXP(-C195*E2_tabla_vida!$X$180)*E2_tabla_vida!$P$180,EXP(-C195*E2_tabla_vida!$X$181)*E2_tabla_vida!$P$181,EXP(-C195*E2_tabla_vida!$X$182)*E2_tabla_vida!$P$182,EXP(-C195*E2_tabla_vida!$X$183)*E2_tabla_vida!$P$183,EXP(-C195*E2_tabla_vida!$X$184)*E2_tabla_vida!$P$184,EXP(-C195*E2_tabla_vida!$X$185)*E2_tabla_vida!$P$185,EXP(-C195*E2_tabla_vida!$X$186)*E2_tabla_vida!$P$186,EXP(-C195*E2_tabla_vida!$X$187)*E2_tabla_vida!$P$187,EXP(-C195*E2_tabla_vida!$X$188)*E2_tabla_vida!$P$188,EXP(-C195*E2_tabla_vida!$X$189)*E2_tabla_vida!$P$189,EXP(-C195*E2_tabla_vida!$X$190)*E2_tabla_vida!$P$190,EXP(-C195*E2_tabla_vida!$X$191)*E2_tabla_vida!$P$191,EXP(-C195*E2_tabla_vida!$X$192)*E2_tabla_vida!$P$192,EXP(-C195*E2_tabla_vida!$X$193)*E2_tabla_vida!$P$193,EXP(-C195*E2_tabla_vida!$X$194)*E2_tabla_vida!$P$194,EXP(-C195*E2_tabla_vida!$X$195)*E2_tabla_vida!$P$195,EXP(-C195*E2_tabla_vida!$X$196)*E2_tabla_vida!$P$196,EXP(-C195*E2_tabla_vida!$X$197)*E2_tabla_vida!$P$197,EXP(-C195*E2_tabla_vida!$X$198)*E2_tabla_vida!$P$198,EXP(-C195*E2_tabla_vida!$X$199)*E2_tabla_vida!$P$199,EXP(-C195*E2_tabla_vida!$X$200)*E2_tabla_vida!$P$200,EXP(-C195*E2_tabla_vida!$X$201)*E2_tabla_vida!$P$201,EXP(-C195*E2_tabla_vida!$X$202)*E2_tabla_vida!$P$202,EXP(-C195*E2_tabla_vida!$X$203)*E2_tabla_vida!$P$203,EXP(-C195*E2_tabla_vida!$X$204)*E2_tabla_vida!$P$204,EXP(-C195*E2_tabla_vida!$X$205)*E2_tabla_vida!$P$205,EXP(-C195*E2_tabla_vida!$X$206)*E2_tabla_vida!$P$206,EXP(-C195*E2_tabla_vida!$X$207)*E2_tabla_vida!$P$207,EXP(-C195*E2_tabla_vida!$X$208)*E2_tabla_vida!$P$208,EXP(-C195*E2_tabla_vida!$X$209)*E2_tabla_vida!$P$209,EXP(-C195*E2_tabla_vida!$X$210)*E2_tabla_vida!$P$210,EXP(-C195*E2_tabla_vida!$X$211)*E2_tabla_vida!$P$211)-1</x:f>
        <x:v>0.006102337976082284</x:v>
      </x:c>
      <x:c r="H195" s="24" t="n">
        <x:f>SUM(EXP(-D195*E2_tabla_vida!$X$170)*E2_tabla_vida!$P$170,EXP(-D195*E2_tabla_vida!$X$171)*E2_tabla_vida!$P$171,EXP(-D195*E2_tabla_vida!$X$172)*E2_tabla_vida!$P$172,EXP(-D195*E2_tabla_vida!$X$173)*E2_tabla_vida!$P$173,EXP(-D195*E2_tabla_vida!$X$174)*E2_tabla_vida!$P$174,EXP(-D195*E2_tabla_vida!$X$175)*E2_tabla_vida!$P$175,EXP(-D195*E2_tabla_vida!$X$176)*E2_tabla_vida!$P$176,EXP(-D195*E2_tabla_vida!$X$177)*E2_tabla_vida!$P$177,EXP(-D195*E2_tabla_vida!$X$178)*E2_tabla_vida!$P$178,EXP(-D195*E2_tabla_vida!$X$179)*E2_tabla_vida!$P$179,EXP(-D195*E2_tabla_vida!$X$180)*E2_tabla_vida!$P$180,EXP(-D195*E2_tabla_vida!$X$181)*E2_tabla_vida!$P$181,EXP(-D195*E2_tabla_vida!$X$182)*E2_tabla_vida!$P$182,EXP(-D195*E2_tabla_vida!$X$183)*E2_tabla_vida!$P$183,EXP(-D195*E2_tabla_vida!$X$184)*E2_tabla_vida!$P$184,EXP(-D195*E2_tabla_vida!$X$185)*E2_tabla_vida!$P$185,EXP(-D195*E2_tabla_vida!$X$186)*E2_tabla_vida!$P$186,EXP(-D195*E2_tabla_vida!$X$187)*E2_tabla_vida!$P$187,EXP(-D195*E2_tabla_vida!$X$188)*E2_tabla_vida!$P$188,EXP(-D195*E2_tabla_vida!$X$189)*E2_tabla_vida!$P$189,EXP(-D195*E2_tabla_vida!$X$190)*E2_tabla_vida!$P$190,EXP(-D195*E2_tabla_vida!$X$191)*E2_tabla_vida!$P$191,EXP(-D195*E2_tabla_vida!$X$192)*E2_tabla_vida!$P$192,EXP(-D195*E2_tabla_vida!$X$193)*E2_tabla_vida!$P$193,EXP(-D195*E2_tabla_vida!$X$194)*E2_tabla_vida!$P$194,EXP(-D195*E2_tabla_vida!$X$195)*E2_tabla_vida!$P$195,EXP(-D195*E2_tabla_vida!$X$196)*E2_tabla_vida!$P$196,EXP(-D195*E2_tabla_vida!$X$197)*E2_tabla_vida!$P$197,EXP(-D195*E2_tabla_vida!$X$198)*E2_tabla_vida!$P$198,EXP(-D195*E2_tabla_vida!$X$199)*E2_tabla_vida!$P$199,EXP(-D195*E2_tabla_vida!$X$200)*E2_tabla_vida!$P$200,EXP(-D195*E2_tabla_vida!$X$201)*E2_tabla_vida!$P$201,EXP(-D195*E2_tabla_vida!$X$202)*E2_tabla_vida!$P$202,EXP(-D195*E2_tabla_vida!$X$203)*E2_tabla_vida!$P$203,EXP(-D195*E2_tabla_vida!$X$204)*E2_tabla_vida!$P$204,EXP(-D195*E2_tabla_vida!$X$205)*E2_tabla_vida!$P$205,EXP(-D195*E2_tabla_vida!$X$206)*E2_tabla_vida!$P$206,EXP(-D195*E2_tabla_vida!$X$207)*E2_tabla_vida!$P$207,EXP(-D195*E2_tabla_vida!$X$208)*E2_tabla_vida!$P$208,EXP(-D195*E2_tabla_vida!$X$209)*E2_tabla_vida!$P$209,EXP(-D195*E2_tabla_vida!$X$210)*E2_tabla_vida!$P$210,EXP(-D195*E2_tabla_vida!$X$211)*E2_tabla_vida!$P$211)-1</x:f>
        <x:v>-0.0777249898236696</x:v>
      </x:c>
    </x:row>
    <x:row r="196" ht="19" customHeight="1">
      <x:c r="A196" s="2" t="str">
        <x:v>BB_L8</x:v>
      </x:c>
      <x:c r="B196" s="2" t="n">
        <x:v>10</x:v>
      </x:c>
      <x:c r="C196" s="22" t="n">
        <x:f>IF(F195&gt;0,E195,C195)</x:f>
        <x:v>0.1953125</x:v>
      </x:c>
      <x:c r="D196" s="22" t="n">
        <x:f>IF(F195&gt;0,D195,E195)</x:f>
        <x:v>0.1982421875</x:v>
      </x:c>
      <x:c r="E196" s="22" t="n">
        <x:f>AVERAGE(C196:D196)</x:f>
        <x:v>0.19677734375</x:v>
      </x:c>
      <x:c r="F196" s="24" t="n">
        <x:f>SUM(EXP(-E196*E2_tabla_vida!$X$170)*E2_tabla_vida!$P$170,EXP(-E196*E2_tabla_vida!$X$171)*E2_tabla_vida!$P$171,EXP(-E196*E2_tabla_vida!$X$172)*E2_tabla_vida!$P$172,EXP(-E196*E2_tabla_vida!$X$173)*E2_tabla_vida!$P$173,EXP(-E196*E2_tabla_vida!$X$174)*E2_tabla_vida!$P$174,EXP(-E196*E2_tabla_vida!$X$175)*E2_tabla_vida!$P$175,EXP(-E196*E2_tabla_vida!$X$176)*E2_tabla_vida!$P$176,EXP(-E196*E2_tabla_vida!$X$177)*E2_tabla_vida!$P$177,EXP(-E196*E2_tabla_vida!$X$178)*E2_tabla_vida!$P$178,EXP(-E196*E2_tabla_vida!$X$179)*E2_tabla_vida!$P$179,EXP(-E196*E2_tabla_vida!$X$180)*E2_tabla_vida!$P$180,EXP(-E196*E2_tabla_vida!$X$181)*E2_tabla_vida!$P$181,EXP(-E196*E2_tabla_vida!$X$182)*E2_tabla_vida!$P$182,EXP(-E196*E2_tabla_vida!$X$183)*E2_tabla_vida!$P$183,EXP(-E196*E2_tabla_vida!$X$184)*E2_tabla_vida!$P$184,EXP(-E196*E2_tabla_vida!$X$185)*E2_tabla_vida!$P$185,EXP(-E196*E2_tabla_vida!$X$186)*E2_tabla_vida!$P$186,EXP(-E196*E2_tabla_vida!$X$187)*E2_tabla_vida!$P$187,EXP(-E196*E2_tabla_vida!$X$188)*E2_tabla_vida!$P$188,EXP(-E196*E2_tabla_vida!$X$189)*E2_tabla_vida!$P$189,EXP(-E196*E2_tabla_vida!$X$190)*E2_tabla_vida!$P$190,EXP(-E196*E2_tabla_vida!$X$191)*E2_tabla_vida!$P$191,EXP(-E196*E2_tabla_vida!$X$192)*E2_tabla_vida!$P$192,EXP(-E196*E2_tabla_vida!$X$193)*E2_tabla_vida!$P$193,EXP(-E196*E2_tabla_vida!$X$194)*E2_tabla_vida!$P$194,EXP(-E196*E2_tabla_vida!$X$195)*E2_tabla_vida!$P$195,EXP(-E196*E2_tabla_vida!$X$196)*E2_tabla_vida!$P$196,EXP(-E196*E2_tabla_vida!$X$197)*E2_tabla_vida!$P$197,EXP(-E196*E2_tabla_vida!$X$198)*E2_tabla_vida!$P$198,EXP(-E196*E2_tabla_vida!$X$199)*E2_tabla_vida!$P$199,EXP(-E196*E2_tabla_vida!$X$200)*E2_tabla_vida!$P$200,EXP(-E196*E2_tabla_vida!$X$201)*E2_tabla_vida!$P$201,EXP(-E196*E2_tabla_vida!$X$202)*E2_tabla_vida!$P$202,EXP(-E196*E2_tabla_vida!$X$203)*E2_tabla_vida!$P$203,EXP(-E196*E2_tabla_vida!$X$204)*E2_tabla_vida!$P$204,EXP(-E196*E2_tabla_vida!$X$205)*E2_tabla_vida!$P$205,EXP(-E196*E2_tabla_vida!$X$206)*E2_tabla_vida!$P$206,EXP(-E196*E2_tabla_vida!$X$207)*E2_tabla_vida!$P$207,EXP(-E196*E2_tabla_vida!$X$208)*E2_tabla_vida!$P$208,EXP(-E196*E2_tabla_vida!$X$209)*E2_tabla_vida!$P$209,EXP(-E196*E2_tabla_vida!$X$210)*E2_tabla_vida!$P$210,EXP(-E196*E2_tabla_vida!$X$211)*E2_tabla_vida!$P$211)-1</x:f>
        <x:v>-0.01558238582497129</x:v>
      </x:c>
      <x:c r="G196" s="24" t="n">
        <x:f>SUM(EXP(-C196*E2_tabla_vida!$X$170)*E2_tabla_vida!$P$170,EXP(-C196*E2_tabla_vida!$X$171)*E2_tabla_vida!$P$171,EXP(-C196*E2_tabla_vida!$X$172)*E2_tabla_vida!$P$172,EXP(-C196*E2_tabla_vida!$X$173)*E2_tabla_vida!$P$173,EXP(-C196*E2_tabla_vida!$X$174)*E2_tabla_vida!$P$174,EXP(-C196*E2_tabla_vida!$X$175)*E2_tabla_vida!$P$175,EXP(-C196*E2_tabla_vida!$X$176)*E2_tabla_vida!$P$176,EXP(-C196*E2_tabla_vida!$X$177)*E2_tabla_vida!$P$177,EXP(-C196*E2_tabla_vida!$X$178)*E2_tabla_vida!$P$178,EXP(-C196*E2_tabla_vida!$X$179)*E2_tabla_vida!$P$179,EXP(-C196*E2_tabla_vida!$X$180)*E2_tabla_vida!$P$180,EXP(-C196*E2_tabla_vida!$X$181)*E2_tabla_vida!$P$181,EXP(-C196*E2_tabla_vida!$X$182)*E2_tabla_vida!$P$182,EXP(-C196*E2_tabla_vida!$X$183)*E2_tabla_vida!$P$183,EXP(-C196*E2_tabla_vida!$X$184)*E2_tabla_vida!$P$184,EXP(-C196*E2_tabla_vida!$X$185)*E2_tabla_vida!$P$185,EXP(-C196*E2_tabla_vida!$X$186)*E2_tabla_vida!$P$186,EXP(-C196*E2_tabla_vida!$X$187)*E2_tabla_vida!$P$187,EXP(-C196*E2_tabla_vida!$X$188)*E2_tabla_vida!$P$188,EXP(-C196*E2_tabla_vida!$X$189)*E2_tabla_vida!$P$189,EXP(-C196*E2_tabla_vida!$X$190)*E2_tabla_vida!$P$190,EXP(-C196*E2_tabla_vida!$X$191)*E2_tabla_vida!$P$191,EXP(-C196*E2_tabla_vida!$X$192)*E2_tabla_vida!$P$192,EXP(-C196*E2_tabla_vida!$X$193)*E2_tabla_vida!$P$193,EXP(-C196*E2_tabla_vida!$X$194)*E2_tabla_vida!$P$194,EXP(-C196*E2_tabla_vida!$X$195)*E2_tabla_vida!$P$195,EXP(-C196*E2_tabla_vida!$X$196)*E2_tabla_vida!$P$196,EXP(-C196*E2_tabla_vida!$X$197)*E2_tabla_vida!$P$197,EXP(-C196*E2_tabla_vida!$X$198)*E2_tabla_vida!$P$198,EXP(-C196*E2_tabla_vida!$X$199)*E2_tabla_vida!$P$199,EXP(-C196*E2_tabla_vida!$X$200)*E2_tabla_vida!$P$200,EXP(-C196*E2_tabla_vida!$X$201)*E2_tabla_vida!$P$201,EXP(-C196*E2_tabla_vida!$X$202)*E2_tabla_vida!$P$202,EXP(-C196*E2_tabla_vida!$X$203)*E2_tabla_vida!$P$203,EXP(-C196*E2_tabla_vida!$X$204)*E2_tabla_vida!$P$204,EXP(-C196*E2_tabla_vida!$X$205)*E2_tabla_vida!$P$205,EXP(-C196*E2_tabla_vida!$X$206)*E2_tabla_vida!$P$206,EXP(-C196*E2_tabla_vida!$X$207)*E2_tabla_vida!$P$207,EXP(-C196*E2_tabla_vida!$X$208)*E2_tabla_vida!$P$208,EXP(-C196*E2_tabla_vida!$X$209)*E2_tabla_vida!$P$209,EXP(-C196*E2_tabla_vida!$X$210)*E2_tabla_vida!$P$210,EXP(-C196*E2_tabla_vida!$X$211)*E2_tabla_vida!$P$211)-1</x:f>
        <x:v>0.006102337976082284</x:v>
      </x:c>
      <x:c r="H196" s="24" t="n">
        <x:f>SUM(EXP(-D196*E2_tabla_vida!$X$170)*E2_tabla_vida!$P$170,EXP(-D196*E2_tabla_vida!$X$171)*E2_tabla_vida!$P$171,EXP(-D196*E2_tabla_vida!$X$172)*E2_tabla_vida!$P$172,EXP(-D196*E2_tabla_vida!$X$173)*E2_tabla_vida!$P$173,EXP(-D196*E2_tabla_vida!$X$174)*E2_tabla_vida!$P$174,EXP(-D196*E2_tabla_vida!$X$175)*E2_tabla_vida!$P$175,EXP(-D196*E2_tabla_vida!$X$176)*E2_tabla_vida!$P$176,EXP(-D196*E2_tabla_vida!$X$177)*E2_tabla_vida!$P$177,EXP(-D196*E2_tabla_vida!$X$178)*E2_tabla_vida!$P$178,EXP(-D196*E2_tabla_vida!$X$179)*E2_tabla_vida!$P$179,EXP(-D196*E2_tabla_vida!$X$180)*E2_tabla_vida!$P$180,EXP(-D196*E2_tabla_vida!$X$181)*E2_tabla_vida!$P$181,EXP(-D196*E2_tabla_vida!$X$182)*E2_tabla_vida!$P$182,EXP(-D196*E2_tabla_vida!$X$183)*E2_tabla_vida!$P$183,EXP(-D196*E2_tabla_vida!$X$184)*E2_tabla_vida!$P$184,EXP(-D196*E2_tabla_vida!$X$185)*E2_tabla_vida!$P$185,EXP(-D196*E2_tabla_vida!$X$186)*E2_tabla_vida!$P$186,EXP(-D196*E2_tabla_vida!$X$187)*E2_tabla_vida!$P$187,EXP(-D196*E2_tabla_vida!$X$188)*E2_tabla_vida!$P$188,EXP(-D196*E2_tabla_vida!$X$189)*E2_tabla_vida!$P$189,EXP(-D196*E2_tabla_vida!$X$190)*E2_tabla_vida!$P$190,EXP(-D196*E2_tabla_vida!$X$191)*E2_tabla_vida!$P$191,EXP(-D196*E2_tabla_vida!$X$192)*E2_tabla_vida!$P$192,EXP(-D196*E2_tabla_vida!$X$193)*E2_tabla_vida!$P$193,EXP(-D196*E2_tabla_vida!$X$194)*E2_tabla_vida!$P$194,EXP(-D196*E2_tabla_vida!$X$195)*E2_tabla_vida!$P$195,EXP(-D196*E2_tabla_vida!$X$196)*E2_tabla_vida!$P$196,EXP(-D196*E2_tabla_vida!$X$197)*E2_tabla_vida!$P$197,EXP(-D196*E2_tabla_vida!$X$198)*E2_tabla_vida!$P$198,EXP(-D196*E2_tabla_vida!$X$199)*E2_tabla_vida!$P$199,EXP(-D196*E2_tabla_vida!$X$200)*E2_tabla_vida!$P$200,EXP(-D196*E2_tabla_vida!$X$201)*E2_tabla_vida!$P$201,EXP(-D196*E2_tabla_vida!$X$202)*E2_tabla_vida!$P$202,EXP(-D196*E2_tabla_vida!$X$203)*E2_tabla_vida!$P$203,EXP(-D196*E2_tabla_vida!$X$204)*E2_tabla_vida!$P$204,EXP(-D196*E2_tabla_vida!$X$205)*E2_tabla_vida!$P$205,EXP(-D196*E2_tabla_vida!$X$206)*E2_tabla_vida!$P$206,EXP(-D196*E2_tabla_vida!$X$207)*E2_tabla_vida!$P$207,EXP(-D196*E2_tabla_vida!$X$208)*E2_tabla_vida!$P$208,EXP(-D196*E2_tabla_vida!$X$209)*E2_tabla_vida!$P$209,EXP(-D196*E2_tabla_vida!$X$210)*E2_tabla_vida!$P$210,EXP(-D196*E2_tabla_vida!$X$211)*E2_tabla_vida!$P$211)-1</x:f>
        <x:v>-0.036773990005635304</x:v>
      </x:c>
    </x:row>
    <x:row r="197" ht="19" customHeight="1">
      <x:c r="A197" s="2" t="str">
        <x:v>BB_L8</x:v>
      </x:c>
      <x:c r="B197" s="2" t="n">
        <x:v>11</x:v>
      </x:c>
      <x:c r="C197" s="22" t="n">
        <x:f>IF(F196&gt;0,E196,C196)</x:f>
        <x:v>0.1953125</x:v>
      </x:c>
      <x:c r="D197" s="22" t="n">
        <x:f>IF(F196&gt;0,D196,E196)</x:f>
        <x:v>0.19677734375</x:v>
      </x:c>
      <x:c r="E197" s="22" t="n">
        <x:f>AVERAGE(C197:D197)</x:f>
        <x:v>0.196044921875</x:v>
      </x:c>
      <x:c r="F197" s="24" t="n">
        <x:f>SUM(EXP(-E197*E2_tabla_vida!$X$170)*E2_tabla_vida!$P$170,EXP(-E197*E2_tabla_vida!$X$171)*E2_tabla_vida!$P$171,EXP(-E197*E2_tabla_vida!$X$172)*E2_tabla_vida!$P$172,EXP(-E197*E2_tabla_vida!$X$173)*E2_tabla_vida!$P$173,EXP(-E197*E2_tabla_vida!$X$174)*E2_tabla_vida!$P$174,EXP(-E197*E2_tabla_vida!$X$175)*E2_tabla_vida!$P$175,EXP(-E197*E2_tabla_vida!$X$176)*E2_tabla_vida!$P$176,EXP(-E197*E2_tabla_vida!$X$177)*E2_tabla_vida!$P$177,EXP(-E197*E2_tabla_vida!$X$178)*E2_tabla_vida!$P$178,EXP(-E197*E2_tabla_vida!$X$179)*E2_tabla_vida!$P$179,EXP(-E197*E2_tabla_vida!$X$180)*E2_tabla_vida!$P$180,EXP(-E197*E2_tabla_vida!$X$181)*E2_tabla_vida!$P$181,EXP(-E197*E2_tabla_vida!$X$182)*E2_tabla_vida!$P$182,EXP(-E197*E2_tabla_vida!$X$183)*E2_tabla_vida!$P$183,EXP(-E197*E2_tabla_vida!$X$184)*E2_tabla_vida!$P$184,EXP(-E197*E2_tabla_vida!$X$185)*E2_tabla_vida!$P$185,EXP(-E197*E2_tabla_vida!$X$186)*E2_tabla_vida!$P$186,EXP(-E197*E2_tabla_vida!$X$187)*E2_tabla_vida!$P$187,EXP(-E197*E2_tabla_vida!$X$188)*E2_tabla_vida!$P$188,EXP(-E197*E2_tabla_vida!$X$189)*E2_tabla_vida!$P$189,EXP(-E197*E2_tabla_vida!$X$190)*E2_tabla_vida!$P$190,EXP(-E197*E2_tabla_vida!$X$191)*E2_tabla_vida!$P$191,EXP(-E197*E2_tabla_vida!$X$192)*E2_tabla_vida!$P$192,EXP(-E197*E2_tabla_vida!$X$193)*E2_tabla_vida!$P$193,EXP(-E197*E2_tabla_vida!$X$194)*E2_tabla_vida!$P$194,EXP(-E197*E2_tabla_vida!$X$195)*E2_tabla_vida!$P$195,EXP(-E197*E2_tabla_vida!$X$196)*E2_tabla_vida!$P$196,EXP(-E197*E2_tabla_vida!$X$197)*E2_tabla_vida!$P$197,EXP(-E197*E2_tabla_vida!$X$198)*E2_tabla_vida!$P$198,EXP(-E197*E2_tabla_vida!$X$199)*E2_tabla_vida!$P$199,EXP(-E197*E2_tabla_vida!$X$200)*E2_tabla_vida!$P$200,EXP(-E197*E2_tabla_vida!$X$201)*E2_tabla_vida!$P$201,EXP(-E197*E2_tabla_vida!$X$202)*E2_tabla_vida!$P$202,EXP(-E197*E2_tabla_vida!$X$203)*E2_tabla_vida!$P$203,EXP(-E197*E2_tabla_vida!$X$204)*E2_tabla_vida!$P$204,EXP(-E197*E2_tabla_vida!$X$205)*E2_tabla_vida!$P$205,EXP(-E197*E2_tabla_vida!$X$206)*E2_tabla_vida!$P$206,EXP(-E197*E2_tabla_vida!$X$207)*E2_tabla_vida!$P$207,EXP(-E197*E2_tabla_vida!$X$208)*E2_tabla_vida!$P$208,EXP(-E197*E2_tabla_vida!$X$209)*E2_tabla_vida!$P$209,EXP(-E197*E2_tabla_vida!$X$210)*E2_tabla_vida!$P$210,EXP(-E197*E2_tabla_vida!$X$211)*E2_tabla_vida!$P$211)-1</x:f>
        <x:v>-0.004802417360548761</x:v>
      </x:c>
      <x:c r="G197" s="24" t="n">
        <x:f>SUM(EXP(-C197*E2_tabla_vida!$X$170)*E2_tabla_vida!$P$170,EXP(-C197*E2_tabla_vida!$X$171)*E2_tabla_vida!$P$171,EXP(-C197*E2_tabla_vida!$X$172)*E2_tabla_vida!$P$172,EXP(-C197*E2_tabla_vida!$X$173)*E2_tabla_vida!$P$173,EXP(-C197*E2_tabla_vida!$X$174)*E2_tabla_vida!$P$174,EXP(-C197*E2_tabla_vida!$X$175)*E2_tabla_vida!$P$175,EXP(-C197*E2_tabla_vida!$X$176)*E2_tabla_vida!$P$176,EXP(-C197*E2_tabla_vida!$X$177)*E2_tabla_vida!$P$177,EXP(-C197*E2_tabla_vida!$X$178)*E2_tabla_vida!$P$178,EXP(-C197*E2_tabla_vida!$X$179)*E2_tabla_vida!$P$179,EXP(-C197*E2_tabla_vida!$X$180)*E2_tabla_vida!$P$180,EXP(-C197*E2_tabla_vida!$X$181)*E2_tabla_vida!$P$181,EXP(-C197*E2_tabla_vida!$X$182)*E2_tabla_vida!$P$182,EXP(-C197*E2_tabla_vida!$X$183)*E2_tabla_vida!$P$183,EXP(-C197*E2_tabla_vida!$X$184)*E2_tabla_vida!$P$184,EXP(-C197*E2_tabla_vida!$X$185)*E2_tabla_vida!$P$185,EXP(-C197*E2_tabla_vida!$X$186)*E2_tabla_vida!$P$186,EXP(-C197*E2_tabla_vida!$X$187)*E2_tabla_vida!$P$187,EXP(-C197*E2_tabla_vida!$X$188)*E2_tabla_vida!$P$188,EXP(-C197*E2_tabla_vida!$X$189)*E2_tabla_vida!$P$189,EXP(-C197*E2_tabla_vida!$X$190)*E2_tabla_vida!$P$190,EXP(-C197*E2_tabla_vida!$X$191)*E2_tabla_vida!$P$191,EXP(-C197*E2_tabla_vida!$X$192)*E2_tabla_vida!$P$192,EXP(-C197*E2_tabla_vida!$X$193)*E2_tabla_vida!$P$193,EXP(-C197*E2_tabla_vida!$X$194)*E2_tabla_vida!$P$194,EXP(-C197*E2_tabla_vida!$X$195)*E2_tabla_vida!$P$195,EXP(-C197*E2_tabla_vida!$X$196)*E2_tabla_vida!$P$196,EXP(-C197*E2_tabla_vida!$X$197)*E2_tabla_vida!$P$197,EXP(-C197*E2_tabla_vida!$X$198)*E2_tabla_vida!$P$198,EXP(-C197*E2_tabla_vida!$X$199)*E2_tabla_vida!$P$199,EXP(-C197*E2_tabla_vida!$X$200)*E2_tabla_vida!$P$200,EXP(-C197*E2_tabla_vida!$X$201)*E2_tabla_vida!$P$201,EXP(-C197*E2_tabla_vida!$X$202)*E2_tabla_vida!$P$202,EXP(-C197*E2_tabla_vida!$X$203)*E2_tabla_vida!$P$203,EXP(-C197*E2_tabla_vida!$X$204)*E2_tabla_vida!$P$204,EXP(-C197*E2_tabla_vida!$X$205)*E2_tabla_vida!$P$205,EXP(-C197*E2_tabla_vida!$X$206)*E2_tabla_vida!$P$206,EXP(-C197*E2_tabla_vida!$X$207)*E2_tabla_vida!$P$207,EXP(-C197*E2_tabla_vida!$X$208)*E2_tabla_vida!$P$208,EXP(-C197*E2_tabla_vida!$X$209)*E2_tabla_vida!$P$209,EXP(-C197*E2_tabla_vida!$X$210)*E2_tabla_vida!$P$210,EXP(-C197*E2_tabla_vida!$X$211)*E2_tabla_vida!$P$211)-1</x:f>
        <x:v>0.006102337976082284</x:v>
      </x:c>
      <x:c r="H197" s="24" t="n">
        <x:f>SUM(EXP(-D197*E2_tabla_vida!$X$170)*E2_tabla_vida!$P$170,EXP(-D197*E2_tabla_vida!$X$171)*E2_tabla_vida!$P$171,EXP(-D197*E2_tabla_vida!$X$172)*E2_tabla_vida!$P$172,EXP(-D197*E2_tabla_vida!$X$173)*E2_tabla_vida!$P$173,EXP(-D197*E2_tabla_vida!$X$174)*E2_tabla_vida!$P$174,EXP(-D197*E2_tabla_vida!$X$175)*E2_tabla_vida!$P$175,EXP(-D197*E2_tabla_vida!$X$176)*E2_tabla_vida!$P$176,EXP(-D197*E2_tabla_vida!$X$177)*E2_tabla_vida!$P$177,EXP(-D197*E2_tabla_vida!$X$178)*E2_tabla_vida!$P$178,EXP(-D197*E2_tabla_vida!$X$179)*E2_tabla_vida!$P$179,EXP(-D197*E2_tabla_vida!$X$180)*E2_tabla_vida!$P$180,EXP(-D197*E2_tabla_vida!$X$181)*E2_tabla_vida!$P$181,EXP(-D197*E2_tabla_vida!$X$182)*E2_tabla_vida!$P$182,EXP(-D197*E2_tabla_vida!$X$183)*E2_tabla_vida!$P$183,EXP(-D197*E2_tabla_vida!$X$184)*E2_tabla_vida!$P$184,EXP(-D197*E2_tabla_vida!$X$185)*E2_tabla_vida!$P$185,EXP(-D197*E2_tabla_vida!$X$186)*E2_tabla_vida!$P$186,EXP(-D197*E2_tabla_vida!$X$187)*E2_tabla_vida!$P$187,EXP(-D197*E2_tabla_vida!$X$188)*E2_tabla_vida!$P$188,EXP(-D197*E2_tabla_vida!$X$189)*E2_tabla_vida!$P$189,EXP(-D197*E2_tabla_vida!$X$190)*E2_tabla_vida!$P$190,EXP(-D197*E2_tabla_vida!$X$191)*E2_tabla_vida!$P$191,EXP(-D197*E2_tabla_vida!$X$192)*E2_tabla_vida!$P$192,EXP(-D197*E2_tabla_vida!$X$193)*E2_tabla_vida!$P$193,EXP(-D197*E2_tabla_vida!$X$194)*E2_tabla_vida!$P$194,EXP(-D197*E2_tabla_vida!$X$195)*E2_tabla_vida!$P$195,EXP(-D197*E2_tabla_vida!$X$196)*E2_tabla_vida!$P$196,EXP(-D197*E2_tabla_vida!$X$197)*E2_tabla_vida!$P$197,EXP(-D197*E2_tabla_vida!$X$198)*E2_tabla_vida!$P$198,EXP(-D197*E2_tabla_vida!$X$199)*E2_tabla_vida!$P$199,EXP(-D197*E2_tabla_vida!$X$200)*E2_tabla_vida!$P$200,EXP(-D197*E2_tabla_vida!$X$201)*E2_tabla_vida!$P$201,EXP(-D197*E2_tabla_vida!$X$202)*E2_tabla_vida!$P$202,EXP(-D197*E2_tabla_vida!$X$203)*E2_tabla_vida!$P$203,EXP(-D197*E2_tabla_vida!$X$204)*E2_tabla_vida!$P$204,EXP(-D197*E2_tabla_vida!$X$205)*E2_tabla_vida!$P$205,EXP(-D197*E2_tabla_vida!$X$206)*E2_tabla_vida!$P$206,EXP(-D197*E2_tabla_vida!$X$207)*E2_tabla_vida!$P$207,EXP(-D197*E2_tabla_vida!$X$208)*E2_tabla_vida!$P$208,EXP(-D197*E2_tabla_vida!$X$209)*E2_tabla_vida!$P$209,EXP(-D197*E2_tabla_vida!$X$210)*E2_tabla_vida!$P$210,EXP(-D197*E2_tabla_vida!$X$211)*E2_tabla_vida!$P$211)-1</x:f>
        <x:v>-0.01558238582497129</x:v>
      </x:c>
    </x:row>
    <x:row r="198" ht="19" customHeight="1">
      <x:c r="A198" s="2" t="str">
        <x:v>BB_L8</x:v>
      </x:c>
      <x:c r="B198" s="2" t="n">
        <x:v>12</x:v>
      </x:c>
      <x:c r="C198" s="22" t="n">
        <x:f>IF(F197&gt;0,E197,C197)</x:f>
        <x:v>0.1953125</x:v>
      </x:c>
      <x:c r="D198" s="22" t="n">
        <x:f>IF(F197&gt;0,D197,E197)</x:f>
        <x:v>0.196044921875</x:v>
      </x:c>
      <x:c r="E198" s="22" t="n">
        <x:f>AVERAGE(C198:D198)</x:f>
        <x:v>0.1956787109375</x:v>
      </x:c>
      <x:c r="F198" s="24" t="n">
        <x:f>SUM(EXP(-E198*E2_tabla_vida!$X$170)*E2_tabla_vida!$P$170,EXP(-E198*E2_tabla_vida!$X$171)*E2_tabla_vida!$P$171,EXP(-E198*E2_tabla_vida!$X$172)*E2_tabla_vida!$P$172,EXP(-E198*E2_tabla_vida!$X$173)*E2_tabla_vida!$P$173,EXP(-E198*E2_tabla_vida!$X$174)*E2_tabla_vida!$P$174,EXP(-E198*E2_tabla_vida!$X$175)*E2_tabla_vida!$P$175,EXP(-E198*E2_tabla_vida!$X$176)*E2_tabla_vida!$P$176,EXP(-E198*E2_tabla_vida!$X$177)*E2_tabla_vida!$P$177,EXP(-E198*E2_tabla_vida!$X$178)*E2_tabla_vida!$P$178,EXP(-E198*E2_tabla_vida!$X$179)*E2_tabla_vida!$P$179,EXP(-E198*E2_tabla_vida!$X$180)*E2_tabla_vida!$P$180,EXP(-E198*E2_tabla_vida!$X$181)*E2_tabla_vida!$P$181,EXP(-E198*E2_tabla_vida!$X$182)*E2_tabla_vida!$P$182,EXP(-E198*E2_tabla_vida!$X$183)*E2_tabla_vida!$P$183,EXP(-E198*E2_tabla_vida!$X$184)*E2_tabla_vida!$P$184,EXP(-E198*E2_tabla_vida!$X$185)*E2_tabla_vida!$P$185,EXP(-E198*E2_tabla_vida!$X$186)*E2_tabla_vida!$P$186,EXP(-E198*E2_tabla_vida!$X$187)*E2_tabla_vida!$P$187,EXP(-E198*E2_tabla_vida!$X$188)*E2_tabla_vida!$P$188,EXP(-E198*E2_tabla_vida!$X$189)*E2_tabla_vida!$P$189,EXP(-E198*E2_tabla_vida!$X$190)*E2_tabla_vida!$P$190,EXP(-E198*E2_tabla_vida!$X$191)*E2_tabla_vida!$P$191,EXP(-E198*E2_tabla_vida!$X$192)*E2_tabla_vida!$P$192,EXP(-E198*E2_tabla_vida!$X$193)*E2_tabla_vida!$P$193,EXP(-E198*E2_tabla_vida!$X$194)*E2_tabla_vida!$P$194,EXP(-E198*E2_tabla_vida!$X$195)*E2_tabla_vida!$P$195,EXP(-E198*E2_tabla_vida!$X$196)*E2_tabla_vida!$P$196,EXP(-E198*E2_tabla_vida!$X$197)*E2_tabla_vida!$P$197,EXP(-E198*E2_tabla_vida!$X$198)*E2_tabla_vida!$P$198,EXP(-E198*E2_tabla_vida!$X$199)*E2_tabla_vida!$P$199,EXP(-E198*E2_tabla_vida!$X$200)*E2_tabla_vida!$P$200,EXP(-E198*E2_tabla_vida!$X$201)*E2_tabla_vida!$P$201,EXP(-E198*E2_tabla_vida!$X$202)*E2_tabla_vida!$P$202,EXP(-E198*E2_tabla_vida!$X$203)*E2_tabla_vida!$P$203,EXP(-E198*E2_tabla_vida!$X$204)*E2_tabla_vida!$P$204,EXP(-E198*E2_tabla_vida!$X$205)*E2_tabla_vida!$P$205,EXP(-E198*E2_tabla_vida!$X$206)*E2_tabla_vida!$P$206,EXP(-E198*E2_tabla_vida!$X$207)*E2_tabla_vida!$P$207,EXP(-E198*E2_tabla_vida!$X$208)*E2_tabla_vida!$P$208,EXP(-E198*E2_tabla_vida!$X$209)*E2_tabla_vida!$P$209,EXP(-E198*E2_tabla_vida!$X$210)*E2_tabla_vida!$P$210,EXP(-E198*E2_tabla_vida!$X$211)*E2_tabla_vida!$P$211)-1</x:f>
        <x:v>0.000634266694156338</x:v>
      </x:c>
      <x:c r="G198" s="24" t="n">
        <x:f>SUM(EXP(-C198*E2_tabla_vida!$X$170)*E2_tabla_vida!$P$170,EXP(-C198*E2_tabla_vida!$X$171)*E2_tabla_vida!$P$171,EXP(-C198*E2_tabla_vida!$X$172)*E2_tabla_vida!$P$172,EXP(-C198*E2_tabla_vida!$X$173)*E2_tabla_vida!$P$173,EXP(-C198*E2_tabla_vida!$X$174)*E2_tabla_vida!$P$174,EXP(-C198*E2_tabla_vida!$X$175)*E2_tabla_vida!$P$175,EXP(-C198*E2_tabla_vida!$X$176)*E2_tabla_vida!$P$176,EXP(-C198*E2_tabla_vida!$X$177)*E2_tabla_vida!$P$177,EXP(-C198*E2_tabla_vida!$X$178)*E2_tabla_vida!$P$178,EXP(-C198*E2_tabla_vida!$X$179)*E2_tabla_vida!$P$179,EXP(-C198*E2_tabla_vida!$X$180)*E2_tabla_vida!$P$180,EXP(-C198*E2_tabla_vida!$X$181)*E2_tabla_vida!$P$181,EXP(-C198*E2_tabla_vida!$X$182)*E2_tabla_vida!$P$182,EXP(-C198*E2_tabla_vida!$X$183)*E2_tabla_vida!$P$183,EXP(-C198*E2_tabla_vida!$X$184)*E2_tabla_vida!$P$184,EXP(-C198*E2_tabla_vida!$X$185)*E2_tabla_vida!$P$185,EXP(-C198*E2_tabla_vida!$X$186)*E2_tabla_vida!$P$186,EXP(-C198*E2_tabla_vida!$X$187)*E2_tabla_vida!$P$187,EXP(-C198*E2_tabla_vida!$X$188)*E2_tabla_vida!$P$188,EXP(-C198*E2_tabla_vida!$X$189)*E2_tabla_vida!$P$189,EXP(-C198*E2_tabla_vida!$X$190)*E2_tabla_vida!$P$190,EXP(-C198*E2_tabla_vida!$X$191)*E2_tabla_vida!$P$191,EXP(-C198*E2_tabla_vida!$X$192)*E2_tabla_vida!$P$192,EXP(-C198*E2_tabla_vida!$X$193)*E2_tabla_vida!$P$193,EXP(-C198*E2_tabla_vida!$X$194)*E2_tabla_vida!$P$194,EXP(-C198*E2_tabla_vida!$X$195)*E2_tabla_vida!$P$195,EXP(-C198*E2_tabla_vida!$X$196)*E2_tabla_vida!$P$196,EXP(-C198*E2_tabla_vida!$X$197)*E2_tabla_vida!$P$197,EXP(-C198*E2_tabla_vida!$X$198)*E2_tabla_vida!$P$198,EXP(-C198*E2_tabla_vida!$X$199)*E2_tabla_vida!$P$199,EXP(-C198*E2_tabla_vida!$X$200)*E2_tabla_vida!$P$200,EXP(-C198*E2_tabla_vida!$X$201)*E2_tabla_vida!$P$201,EXP(-C198*E2_tabla_vida!$X$202)*E2_tabla_vida!$P$202,EXP(-C198*E2_tabla_vida!$X$203)*E2_tabla_vida!$P$203,EXP(-C198*E2_tabla_vida!$X$204)*E2_tabla_vida!$P$204,EXP(-C198*E2_tabla_vida!$X$205)*E2_tabla_vida!$P$205,EXP(-C198*E2_tabla_vida!$X$206)*E2_tabla_vida!$P$206,EXP(-C198*E2_tabla_vida!$X$207)*E2_tabla_vida!$P$207,EXP(-C198*E2_tabla_vida!$X$208)*E2_tabla_vida!$P$208,EXP(-C198*E2_tabla_vida!$X$209)*E2_tabla_vida!$P$209,EXP(-C198*E2_tabla_vida!$X$210)*E2_tabla_vida!$P$210,EXP(-C198*E2_tabla_vida!$X$211)*E2_tabla_vida!$P$211)-1</x:f>
        <x:v>0.006102337976082284</x:v>
      </x:c>
      <x:c r="H198" s="24" t="n">
        <x:f>SUM(EXP(-D198*E2_tabla_vida!$X$170)*E2_tabla_vida!$P$170,EXP(-D198*E2_tabla_vida!$X$171)*E2_tabla_vida!$P$171,EXP(-D198*E2_tabla_vida!$X$172)*E2_tabla_vida!$P$172,EXP(-D198*E2_tabla_vida!$X$173)*E2_tabla_vida!$P$173,EXP(-D198*E2_tabla_vida!$X$174)*E2_tabla_vida!$P$174,EXP(-D198*E2_tabla_vida!$X$175)*E2_tabla_vida!$P$175,EXP(-D198*E2_tabla_vida!$X$176)*E2_tabla_vida!$P$176,EXP(-D198*E2_tabla_vida!$X$177)*E2_tabla_vida!$P$177,EXP(-D198*E2_tabla_vida!$X$178)*E2_tabla_vida!$P$178,EXP(-D198*E2_tabla_vida!$X$179)*E2_tabla_vida!$P$179,EXP(-D198*E2_tabla_vida!$X$180)*E2_tabla_vida!$P$180,EXP(-D198*E2_tabla_vida!$X$181)*E2_tabla_vida!$P$181,EXP(-D198*E2_tabla_vida!$X$182)*E2_tabla_vida!$P$182,EXP(-D198*E2_tabla_vida!$X$183)*E2_tabla_vida!$P$183,EXP(-D198*E2_tabla_vida!$X$184)*E2_tabla_vida!$P$184,EXP(-D198*E2_tabla_vida!$X$185)*E2_tabla_vida!$P$185,EXP(-D198*E2_tabla_vida!$X$186)*E2_tabla_vida!$P$186,EXP(-D198*E2_tabla_vida!$X$187)*E2_tabla_vida!$P$187,EXP(-D198*E2_tabla_vida!$X$188)*E2_tabla_vida!$P$188,EXP(-D198*E2_tabla_vida!$X$189)*E2_tabla_vida!$P$189,EXP(-D198*E2_tabla_vida!$X$190)*E2_tabla_vida!$P$190,EXP(-D198*E2_tabla_vida!$X$191)*E2_tabla_vida!$P$191,EXP(-D198*E2_tabla_vida!$X$192)*E2_tabla_vida!$P$192,EXP(-D198*E2_tabla_vida!$X$193)*E2_tabla_vida!$P$193,EXP(-D198*E2_tabla_vida!$X$194)*E2_tabla_vida!$P$194,EXP(-D198*E2_tabla_vida!$X$195)*E2_tabla_vida!$P$195,EXP(-D198*E2_tabla_vida!$X$196)*E2_tabla_vida!$P$196,EXP(-D198*E2_tabla_vida!$X$197)*E2_tabla_vida!$P$197,EXP(-D198*E2_tabla_vida!$X$198)*E2_tabla_vida!$P$198,EXP(-D198*E2_tabla_vida!$X$199)*E2_tabla_vida!$P$199,EXP(-D198*E2_tabla_vida!$X$200)*E2_tabla_vida!$P$200,EXP(-D198*E2_tabla_vida!$X$201)*E2_tabla_vida!$P$201,EXP(-D198*E2_tabla_vida!$X$202)*E2_tabla_vida!$P$202,EXP(-D198*E2_tabla_vida!$X$203)*E2_tabla_vida!$P$203,EXP(-D198*E2_tabla_vida!$X$204)*E2_tabla_vida!$P$204,EXP(-D198*E2_tabla_vida!$X$205)*E2_tabla_vida!$P$205,EXP(-D198*E2_tabla_vida!$X$206)*E2_tabla_vida!$P$206,EXP(-D198*E2_tabla_vida!$X$207)*E2_tabla_vida!$P$207,EXP(-D198*E2_tabla_vida!$X$208)*E2_tabla_vida!$P$208,EXP(-D198*E2_tabla_vida!$X$209)*E2_tabla_vida!$P$209,EXP(-D198*E2_tabla_vida!$X$210)*E2_tabla_vida!$P$210,EXP(-D198*E2_tabla_vida!$X$211)*E2_tabla_vida!$P$211)-1</x:f>
        <x:v>-0.004802417360548761</x:v>
      </x:c>
    </x:row>
    <x:row r="199" ht="19" customHeight="1">
      <x:c r="A199" s="2" t="str">
        <x:v>BB_L8</x:v>
      </x:c>
      <x:c r="B199" s="2" t="n">
        <x:v>13</x:v>
      </x:c>
      <x:c r="C199" s="22" t="n">
        <x:f>IF(F198&gt;0,E198,C198)</x:f>
        <x:v>0.1956787109375</x:v>
      </x:c>
      <x:c r="D199" s="22" t="n">
        <x:f>IF(F198&gt;0,D198,E198)</x:f>
        <x:v>0.196044921875</x:v>
      </x:c>
      <x:c r="E199" s="22" t="n">
        <x:f>AVERAGE(C199:D199)</x:f>
        <x:v>0.19586181640625</x:v>
      </x:c>
      <x:c r="F199" s="24" t="n">
        <x:f>SUM(EXP(-E199*E2_tabla_vida!$X$170)*E2_tabla_vida!$P$170,EXP(-E199*E2_tabla_vida!$X$171)*E2_tabla_vida!$P$171,EXP(-E199*E2_tabla_vida!$X$172)*E2_tabla_vida!$P$172,EXP(-E199*E2_tabla_vida!$X$173)*E2_tabla_vida!$P$173,EXP(-E199*E2_tabla_vida!$X$174)*E2_tabla_vida!$P$174,EXP(-E199*E2_tabla_vida!$X$175)*E2_tabla_vida!$P$175,EXP(-E199*E2_tabla_vida!$X$176)*E2_tabla_vida!$P$176,EXP(-E199*E2_tabla_vida!$X$177)*E2_tabla_vida!$P$177,EXP(-E199*E2_tabla_vida!$X$178)*E2_tabla_vida!$P$178,EXP(-E199*E2_tabla_vida!$X$179)*E2_tabla_vida!$P$179,EXP(-E199*E2_tabla_vida!$X$180)*E2_tabla_vida!$P$180,EXP(-E199*E2_tabla_vida!$X$181)*E2_tabla_vida!$P$181,EXP(-E199*E2_tabla_vida!$X$182)*E2_tabla_vida!$P$182,EXP(-E199*E2_tabla_vida!$X$183)*E2_tabla_vida!$P$183,EXP(-E199*E2_tabla_vida!$X$184)*E2_tabla_vida!$P$184,EXP(-E199*E2_tabla_vida!$X$185)*E2_tabla_vida!$P$185,EXP(-E199*E2_tabla_vida!$X$186)*E2_tabla_vida!$P$186,EXP(-E199*E2_tabla_vida!$X$187)*E2_tabla_vida!$P$187,EXP(-E199*E2_tabla_vida!$X$188)*E2_tabla_vida!$P$188,EXP(-E199*E2_tabla_vida!$X$189)*E2_tabla_vida!$P$189,EXP(-E199*E2_tabla_vida!$X$190)*E2_tabla_vida!$P$190,EXP(-E199*E2_tabla_vida!$X$191)*E2_tabla_vida!$P$191,EXP(-E199*E2_tabla_vida!$X$192)*E2_tabla_vida!$P$192,EXP(-E199*E2_tabla_vida!$X$193)*E2_tabla_vida!$P$193,EXP(-E199*E2_tabla_vida!$X$194)*E2_tabla_vida!$P$194,EXP(-E199*E2_tabla_vida!$X$195)*E2_tabla_vida!$P$195,EXP(-E199*E2_tabla_vida!$X$196)*E2_tabla_vida!$P$196,EXP(-E199*E2_tabla_vida!$X$197)*E2_tabla_vida!$P$197,EXP(-E199*E2_tabla_vida!$X$198)*E2_tabla_vida!$P$198,EXP(-E199*E2_tabla_vida!$X$199)*E2_tabla_vida!$P$199,EXP(-E199*E2_tabla_vida!$X$200)*E2_tabla_vida!$P$200,EXP(-E199*E2_tabla_vida!$X$201)*E2_tabla_vida!$P$201,EXP(-E199*E2_tabla_vida!$X$202)*E2_tabla_vida!$P$202,EXP(-E199*E2_tabla_vida!$X$203)*E2_tabla_vida!$P$203,EXP(-E199*E2_tabla_vida!$X$204)*E2_tabla_vida!$P$204,EXP(-E199*E2_tabla_vida!$X$205)*E2_tabla_vida!$P$205,EXP(-E199*E2_tabla_vida!$X$206)*E2_tabla_vida!$P$206,EXP(-E199*E2_tabla_vida!$X$207)*E2_tabla_vida!$P$207,EXP(-E199*E2_tabla_vida!$X$208)*E2_tabla_vida!$P$208,EXP(-E199*E2_tabla_vida!$X$209)*E2_tabla_vida!$P$209,EXP(-E199*E2_tabla_vida!$X$210)*E2_tabla_vida!$P$210,EXP(-E199*E2_tabla_vida!$X$211)*E2_tabla_vida!$P$211)-1</x:f>
        <x:v>-0.0020879867816198106</x:v>
      </x:c>
      <x:c r="G199" s="24" t="n">
        <x:f>SUM(EXP(-C199*E2_tabla_vida!$X$170)*E2_tabla_vida!$P$170,EXP(-C199*E2_tabla_vida!$X$171)*E2_tabla_vida!$P$171,EXP(-C199*E2_tabla_vida!$X$172)*E2_tabla_vida!$P$172,EXP(-C199*E2_tabla_vida!$X$173)*E2_tabla_vida!$P$173,EXP(-C199*E2_tabla_vida!$X$174)*E2_tabla_vida!$P$174,EXP(-C199*E2_tabla_vida!$X$175)*E2_tabla_vida!$P$175,EXP(-C199*E2_tabla_vida!$X$176)*E2_tabla_vida!$P$176,EXP(-C199*E2_tabla_vida!$X$177)*E2_tabla_vida!$P$177,EXP(-C199*E2_tabla_vida!$X$178)*E2_tabla_vida!$P$178,EXP(-C199*E2_tabla_vida!$X$179)*E2_tabla_vida!$P$179,EXP(-C199*E2_tabla_vida!$X$180)*E2_tabla_vida!$P$180,EXP(-C199*E2_tabla_vida!$X$181)*E2_tabla_vida!$P$181,EXP(-C199*E2_tabla_vida!$X$182)*E2_tabla_vida!$P$182,EXP(-C199*E2_tabla_vida!$X$183)*E2_tabla_vida!$P$183,EXP(-C199*E2_tabla_vida!$X$184)*E2_tabla_vida!$P$184,EXP(-C199*E2_tabla_vida!$X$185)*E2_tabla_vida!$P$185,EXP(-C199*E2_tabla_vida!$X$186)*E2_tabla_vida!$P$186,EXP(-C199*E2_tabla_vida!$X$187)*E2_tabla_vida!$P$187,EXP(-C199*E2_tabla_vida!$X$188)*E2_tabla_vida!$P$188,EXP(-C199*E2_tabla_vida!$X$189)*E2_tabla_vida!$P$189,EXP(-C199*E2_tabla_vida!$X$190)*E2_tabla_vida!$P$190,EXP(-C199*E2_tabla_vida!$X$191)*E2_tabla_vida!$P$191,EXP(-C199*E2_tabla_vida!$X$192)*E2_tabla_vida!$P$192,EXP(-C199*E2_tabla_vida!$X$193)*E2_tabla_vida!$P$193,EXP(-C199*E2_tabla_vida!$X$194)*E2_tabla_vida!$P$194,EXP(-C199*E2_tabla_vida!$X$195)*E2_tabla_vida!$P$195,EXP(-C199*E2_tabla_vida!$X$196)*E2_tabla_vida!$P$196,EXP(-C199*E2_tabla_vida!$X$197)*E2_tabla_vida!$P$197,EXP(-C199*E2_tabla_vida!$X$198)*E2_tabla_vida!$P$198,EXP(-C199*E2_tabla_vida!$X$199)*E2_tabla_vida!$P$199,EXP(-C199*E2_tabla_vida!$X$200)*E2_tabla_vida!$P$200,EXP(-C199*E2_tabla_vida!$X$201)*E2_tabla_vida!$P$201,EXP(-C199*E2_tabla_vida!$X$202)*E2_tabla_vida!$P$202,EXP(-C199*E2_tabla_vida!$X$203)*E2_tabla_vida!$P$203,EXP(-C199*E2_tabla_vida!$X$204)*E2_tabla_vida!$P$204,EXP(-C199*E2_tabla_vida!$X$205)*E2_tabla_vida!$P$205,EXP(-C199*E2_tabla_vida!$X$206)*E2_tabla_vida!$P$206,EXP(-C199*E2_tabla_vida!$X$207)*E2_tabla_vida!$P$207,EXP(-C199*E2_tabla_vida!$X$208)*E2_tabla_vida!$P$208,EXP(-C199*E2_tabla_vida!$X$209)*E2_tabla_vida!$P$209,EXP(-C199*E2_tabla_vida!$X$210)*E2_tabla_vida!$P$210,EXP(-C199*E2_tabla_vida!$X$211)*E2_tabla_vida!$P$211)-1</x:f>
        <x:v>0.000634266694156338</x:v>
      </x:c>
      <x:c r="H199" s="24" t="n">
        <x:f>SUM(EXP(-D199*E2_tabla_vida!$X$170)*E2_tabla_vida!$P$170,EXP(-D199*E2_tabla_vida!$X$171)*E2_tabla_vida!$P$171,EXP(-D199*E2_tabla_vida!$X$172)*E2_tabla_vida!$P$172,EXP(-D199*E2_tabla_vida!$X$173)*E2_tabla_vida!$P$173,EXP(-D199*E2_tabla_vida!$X$174)*E2_tabla_vida!$P$174,EXP(-D199*E2_tabla_vida!$X$175)*E2_tabla_vida!$P$175,EXP(-D199*E2_tabla_vida!$X$176)*E2_tabla_vida!$P$176,EXP(-D199*E2_tabla_vida!$X$177)*E2_tabla_vida!$P$177,EXP(-D199*E2_tabla_vida!$X$178)*E2_tabla_vida!$P$178,EXP(-D199*E2_tabla_vida!$X$179)*E2_tabla_vida!$P$179,EXP(-D199*E2_tabla_vida!$X$180)*E2_tabla_vida!$P$180,EXP(-D199*E2_tabla_vida!$X$181)*E2_tabla_vida!$P$181,EXP(-D199*E2_tabla_vida!$X$182)*E2_tabla_vida!$P$182,EXP(-D199*E2_tabla_vida!$X$183)*E2_tabla_vida!$P$183,EXP(-D199*E2_tabla_vida!$X$184)*E2_tabla_vida!$P$184,EXP(-D199*E2_tabla_vida!$X$185)*E2_tabla_vida!$P$185,EXP(-D199*E2_tabla_vida!$X$186)*E2_tabla_vida!$P$186,EXP(-D199*E2_tabla_vida!$X$187)*E2_tabla_vida!$P$187,EXP(-D199*E2_tabla_vida!$X$188)*E2_tabla_vida!$P$188,EXP(-D199*E2_tabla_vida!$X$189)*E2_tabla_vida!$P$189,EXP(-D199*E2_tabla_vida!$X$190)*E2_tabla_vida!$P$190,EXP(-D199*E2_tabla_vida!$X$191)*E2_tabla_vida!$P$191,EXP(-D199*E2_tabla_vida!$X$192)*E2_tabla_vida!$P$192,EXP(-D199*E2_tabla_vida!$X$193)*E2_tabla_vida!$P$193,EXP(-D199*E2_tabla_vida!$X$194)*E2_tabla_vida!$P$194,EXP(-D199*E2_tabla_vida!$X$195)*E2_tabla_vida!$P$195,EXP(-D199*E2_tabla_vida!$X$196)*E2_tabla_vida!$P$196,EXP(-D199*E2_tabla_vida!$X$197)*E2_tabla_vida!$P$197,EXP(-D199*E2_tabla_vida!$X$198)*E2_tabla_vida!$P$198,EXP(-D199*E2_tabla_vida!$X$199)*E2_tabla_vida!$P$199,EXP(-D199*E2_tabla_vida!$X$200)*E2_tabla_vida!$P$200,EXP(-D199*E2_tabla_vida!$X$201)*E2_tabla_vida!$P$201,EXP(-D199*E2_tabla_vida!$X$202)*E2_tabla_vida!$P$202,EXP(-D199*E2_tabla_vida!$X$203)*E2_tabla_vida!$P$203,EXP(-D199*E2_tabla_vida!$X$204)*E2_tabla_vida!$P$204,EXP(-D199*E2_tabla_vida!$X$205)*E2_tabla_vida!$P$205,EXP(-D199*E2_tabla_vida!$X$206)*E2_tabla_vida!$P$206,EXP(-D199*E2_tabla_vida!$X$207)*E2_tabla_vida!$P$207,EXP(-D199*E2_tabla_vida!$X$208)*E2_tabla_vida!$P$208,EXP(-D199*E2_tabla_vida!$X$209)*E2_tabla_vida!$P$209,EXP(-D199*E2_tabla_vida!$X$210)*E2_tabla_vida!$P$210,EXP(-D199*E2_tabla_vida!$X$211)*E2_tabla_vida!$P$211)-1</x:f>
        <x:v>-0.004802417360548761</x:v>
      </x:c>
    </x:row>
    <x:row r="200" ht="19" customHeight="1">
      <x:c r="A200" s="2" t="str">
        <x:v>BB_L8</x:v>
      </x:c>
      <x:c r="B200" s="2" t="n">
        <x:v>14</x:v>
      </x:c>
      <x:c r="C200" s="22" t="n">
        <x:f>IF(F199&gt;0,E199,C199)</x:f>
        <x:v>0.1956787109375</x:v>
      </x:c>
      <x:c r="D200" s="22" t="n">
        <x:f>IF(F199&gt;0,D199,E199)</x:f>
        <x:v>0.19586181640625</x:v>
      </x:c>
      <x:c r="E200" s="22" t="n">
        <x:f>AVERAGE(C200:D200)</x:f>
        <x:v>0.195770263671875</x:v>
      </x:c>
      <x:c r="F200" s="24" t="n">
        <x:f>SUM(EXP(-E200*E2_tabla_vida!$X$170)*E2_tabla_vida!$P$170,EXP(-E200*E2_tabla_vida!$X$171)*E2_tabla_vida!$P$171,EXP(-E200*E2_tabla_vida!$X$172)*E2_tabla_vida!$P$172,EXP(-E200*E2_tabla_vida!$X$173)*E2_tabla_vida!$P$173,EXP(-E200*E2_tabla_vida!$X$174)*E2_tabla_vida!$P$174,EXP(-E200*E2_tabla_vida!$X$175)*E2_tabla_vida!$P$175,EXP(-E200*E2_tabla_vida!$X$176)*E2_tabla_vida!$P$176,EXP(-E200*E2_tabla_vida!$X$177)*E2_tabla_vida!$P$177,EXP(-E200*E2_tabla_vida!$X$178)*E2_tabla_vida!$P$178,EXP(-E200*E2_tabla_vida!$X$179)*E2_tabla_vida!$P$179,EXP(-E200*E2_tabla_vida!$X$180)*E2_tabla_vida!$P$180,EXP(-E200*E2_tabla_vida!$X$181)*E2_tabla_vida!$P$181,EXP(-E200*E2_tabla_vida!$X$182)*E2_tabla_vida!$P$182,EXP(-E200*E2_tabla_vida!$X$183)*E2_tabla_vida!$P$183,EXP(-E200*E2_tabla_vida!$X$184)*E2_tabla_vida!$P$184,EXP(-E200*E2_tabla_vida!$X$185)*E2_tabla_vida!$P$185,EXP(-E200*E2_tabla_vida!$X$186)*E2_tabla_vida!$P$186,EXP(-E200*E2_tabla_vida!$X$187)*E2_tabla_vida!$P$187,EXP(-E200*E2_tabla_vida!$X$188)*E2_tabla_vida!$P$188,EXP(-E200*E2_tabla_vida!$X$189)*E2_tabla_vida!$P$189,EXP(-E200*E2_tabla_vida!$X$190)*E2_tabla_vida!$P$190,EXP(-E200*E2_tabla_vida!$X$191)*E2_tabla_vida!$P$191,EXP(-E200*E2_tabla_vida!$X$192)*E2_tabla_vida!$P$192,EXP(-E200*E2_tabla_vida!$X$193)*E2_tabla_vida!$P$193,EXP(-E200*E2_tabla_vida!$X$194)*E2_tabla_vida!$P$194,EXP(-E200*E2_tabla_vida!$X$195)*E2_tabla_vida!$P$195,EXP(-E200*E2_tabla_vida!$X$196)*E2_tabla_vida!$P$196,EXP(-E200*E2_tabla_vida!$X$197)*E2_tabla_vida!$P$197,EXP(-E200*E2_tabla_vida!$X$198)*E2_tabla_vida!$P$198,EXP(-E200*E2_tabla_vida!$X$199)*E2_tabla_vida!$P$199,EXP(-E200*E2_tabla_vida!$X$200)*E2_tabla_vida!$P$200,EXP(-E200*E2_tabla_vida!$X$201)*E2_tabla_vida!$P$201,EXP(-E200*E2_tabla_vida!$X$202)*E2_tabla_vida!$P$202,EXP(-E200*E2_tabla_vida!$X$203)*E2_tabla_vida!$P$203,EXP(-E200*E2_tabla_vida!$X$204)*E2_tabla_vida!$P$204,EXP(-E200*E2_tabla_vida!$X$205)*E2_tabla_vida!$P$205,EXP(-E200*E2_tabla_vida!$X$206)*E2_tabla_vida!$P$206,EXP(-E200*E2_tabla_vida!$X$207)*E2_tabla_vida!$P$207,EXP(-E200*E2_tabla_vida!$X$208)*E2_tabla_vida!$P$208,EXP(-E200*E2_tabla_vida!$X$209)*E2_tabla_vida!$P$209,EXP(-E200*E2_tabla_vida!$X$210)*E2_tabla_vida!$P$210,EXP(-E200*E2_tabla_vida!$X$211)*E2_tabla_vida!$P$211)-1</x:f>
        <x:v>-0.0007278393971887898</x:v>
      </x:c>
      <x:c r="G200" s="24" t="n">
        <x:f>SUM(EXP(-C200*E2_tabla_vida!$X$170)*E2_tabla_vida!$P$170,EXP(-C200*E2_tabla_vida!$X$171)*E2_tabla_vida!$P$171,EXP(-C200*E2_tabla_vida!$X$172)*E2_tabla_vida!$P$172,EXP(-C200*E2_tabla_vida!$X$173)*E2_tabla_vida!$P$173,EXP(-C200*E2_tabla_vida!$X$174)*E2_tabla_vida!$P$174,EXP(-C200*E2_tabla_vida!$X$175)*E2_tabla_vida!$P$175,EXP(-C200*E2_tabla_vida!$X$176)*E2_tabla_vida!$P$176,EXP(-C200*E2_tabla_vida!$X$177)*E2_tabla_vida!$P$177,EXP(-C200*E2_tabla_vida!$X$178)*E2_tabla_vida!$P$178,EXP(-C200*E2_tabla_vida!$X$179)*E2_tabla_vida!$P$179,EXP(-C200*E2_tabla_vida!$X$180)*E2_tabla_vida!$P$180,EXP(-C200*E2_tabla_vida!$X$181)*E2_tabla_vida!$P$181,EXP(-C200*E2_tabla_vida!$X$182)*E2_tabla_vida!$P$182,EXP(-C200*E2_tabla_vida!$X$183)*E2_tabla_vida!$P$183,EXP(-C200*E2_tabla_vida!$X$184)*E2_tabla_vida!$P$184,EXP(-C200*E2_tabla_vida!$X$185)*E2_tabla_vida!$P$185,EXP(-C200*E2_tabla_vida!$X$186)*E2_tabla_vida!$P$186,EXP(-C200*E2_tabla_vida!$X$187)*E2_tabla_vida!$P$187,EXP(-C200*E2_tabla_vida!$X$188)*E2_tabla_vida!$P$188,EXP(-C200*E2_tabla_vida!$X$189)*E2_tabla_vida!$P$189,EXP(-C200*E2_tabla_vida!$X$190)*E2_tabla_vida!$P$190,EXP(-C200*E2_tabla_vida!$X$191)*E2_tabla_vida!$P$191,EXP(-C200*E2_tabla_vida!$X$192)*E2_tabla_vida!$P$192,EXP(-C200*E2_tabla_vida!$X$193)*E2_tabla_vida!$P$193,EXP(-C200*E2_tabla_vida!$X$194)*E2_tabla_vida!$P$194,EXP(-C200*E2_tabla_vida!$X$195)*E2_tabla_vida!$P$195,EXP(-C200*E2_tabla_vida!$X$196)*E2_tabla_vida!$P$196,EXP(-C200*E2_tabla_vida!$X$197)*E2_tabla_vida!$P$197,EXP(-C200*E2_tabla_vida!$X$198)*E2_tabla_vida!$P$198,EXP(-C200*E2_tabla_vida!$X$199)*E2_tabla_vida!$P$199,EXP(-C200*E2_tabla_vida!$X$200)*E2_tabla_vida!$P$200,EXP(-C200*E2_tabla_vida!$X$201)*E2_tabla_vida!$P$201,EXP(-C200*E2_tabla_vida!$X$202)*E2_tabla_vida!$P$202,EXP(-C200*E2_tabla_vida!$X$203)*E2_tabla_vida!$P$203,EXP(-C200*E2_tabla_vida!$X$204)*E2_tabla_vida!$P$204,EXP(-C200*E2_tabla_vida!$X$205)*E2_tabla_vida!$P$205,EXP(-C200*E2_tabla_vida!$X$206)*E2_tabla_vida!$P$206,EXP(-C200*E2_tabla_vida!$X$207)*E2_tabla_vida!$P$207,EXP(-C200*E2_tabla_vida!$X$208)*E2_tabla_vida!$P$208,EXP(-C200*E2_tabla_vida!$X$209)*E2_tabla_vida!$P$209,EXP(-C200*E2_tabla_vida!$X$210)*E2_tabla_vida!$P$210,EXP(-C200*E2_tabla_vida!$X$211)*E2_tabla_vida!$P$211)-1</x:f>
        <x:v>0.000634266694156338</x:v>
      </x:c>
      <x:c r="H200" s="24" t="n">
        <x:f>SUM(EXP(-D200*E2_tabla_vida!$X$170)*E2_tabla_vida!$P$170,EXP(-D200*E2_tabla_vida!$X$171)*E2_tabla_vida!$P$171,EXP(-D200*E2_tabla_vida!$X$172)*E2_tabla_vida!$P$172,EXP(-D200*E2_tabla_vida!$X$173)*E2_tabla_vida!$P$173,EXP(-D200*E2_tabla_vida!$X$174)*E2_tabla_vida!$P$174,EXP(-D200*E2_tabla_vida!$X$175)*E2_tabla_vida!$P$175,EXP(-D200*E2_tabla_vida!$X$176)*E2_tabla_vida!$P$176,EXP(-D200*E2_tabla_vida!$X$177)*E2_tabla_vida!$P$177,EXP(-D200*E2_tabla_vida!$X$178)*E2_tabla_vida!$P$178,EXP(-D200*E2_tabla_vida!$X$179)*E2_tabla_vida!$P$179,EXP(-D200*E2_tabla_vida!$X$180)*E2_tabla_vida!$P$180,EXP(-D200*E2_tabla_vida!$X$181)*E2_tabla_vida!$P$181,EXP(-D200*E2_tabla_vida!$X$182)*E2_tabla_vida!$P$182,EXP(-D200*E2_tabla_vida!$X$183)*E2_tabla_vida!$P$183,EXP(-D200*E2_tabla_vida!$X$184)*E2_tabla_vida!$P$184,EXP(-D200*E2_tabla_vida!$X$185)*E2_tabla_vida!$P$185,EXP(-D200*E2_tabla_vida!$X$186)*E2_tabla_vida!$P$186,EXP(-D200*E2_tabla_vida!$X$187)*E2_tabla_vida!$P$187,EXP(-D200*E2_tabla_vida!$X$188)*E2_tabla_vida!$P$188,EXP(-D200*E2_tabla_vida!$X$189)*E2_tabla_vida!$P$189,EXP(-D200*E2_tabla_vida!$X$190)*E2_tabla_vida!$P$190,EXP(-D200*E2_tabla_vida!$X$191)*E2_tabla_vida!$P$191,EXP(-D200*E2_tabla_vida!$X$192)*E2_tabla_vida!$P$192,EXP(-D200*E2_tabla_vida!$X$193)*E2_tabla_vida!$P$193,EXP(-D200*E2_tabla_vida!$X$194)*E2_tabla_vida!$P$194,EXP(-D200*E2_tabla_vida!$X$195)*E2_tabla_vida!$P$195,EXP(-D200*E2_tabla_vida!$X$196)*E2_tabla_vida!$P$196,EXP(-D200*E2_tabla_vida!$X$197)*E2_tabla_vida!$P$197,EXP(-D200*E2_tabla_vida!$X$198)*E2_tabla_vida!$P$198,EXP(-D200*E2_tabla_vida!$X$199)*E2_tabla_vida!$P$199,EXP(-D200*E2_tabla_vida!$X$200)*E2_tabla_vida!$P$200,EXP(-D200*E2_tabla_vida!$X$201)*E2_tabla_vida!$P$201,EXP(-D200*E2_tabla_vida!$X$202)*E2_tabla_vida!$P$202,EXP(-D200*E2_tabla_vida!$X$203)*E2_tabla_vida!$P$203,EXP(-D200*E2_tabla_vida!$X$204)*E2_tabla_vida!$P$204,EXP(-D200*E2_tabla_vida!$X$205)*E2_tabla_vida!$P$205,EXP(-D200*E2_tabla_vida!$X$206)*E2_tabla_vida!$P$206,EXP(-D200*E2_tabla_vida!$X$207)*E2_tabla_vida!$P$207,EXP(-D200*E2_tabla_vida!$X$208)*E2_tabla_vida!$P$208,EXP(-D200*E2_tabla_vida!$X$209)*E2_tabla_vida!$P$209,EXP(-D200*E2_tabla_vida!$X$210)*E2_tabla_vida!$P$210,EXP(-D200*E2_tabla_vida!$X$211)*E2_tabla_vida!$P$211)-1</x:f>
        <x:v>-0.0020879867816198106</x:v>
      </x:c>
    </x:row>
    <x:row r="201" ht="19" customHeight="1">
      <x:c r="A201" s="2" t="str">
        <x:v>BB_L8</x:v>
      </x:c>
      <x:c r="B201" s="2" t="n">
        <x:v>15</x:v>
      </x:c>
      <x:c r="C201" s="22" t="n">
        <x:f>IF(F200&gt;0,E200,C200)</x:f>
        <x:v>0.1956787109375</x:v>
      </x:c>
      <x:c r="D201" s="22" t="n">
        <x:f>IF(F200&gt;0,D200,E200)</x:f>
        <x:v>0.195770263671875</x:v>
      </x:c>
      <x:c r="E201" s="22" t="n">
        <x:f>AVERAGE(C201:D201)</x:f>
        <x:v>0.1957244873046875</x:v>
      </x:c>
      <x:c r="F201" s="24" t="n">
        <x:f>SUM(EXP(-E201*E2_tabla_vida!$X$170)*E2_tabla_vida!$P$170,EXP(-E201*E2_tabla_vida!$X$171)*E2_tabla_vida!$P$171,EXP(-E201*E2_tabla_vida!$X$172)*E2_tabla_vida!$P$172,EXP(-E201*E2_tabla_vida!$X$173)*E2_tabla_vida!$P$173,EXP(-E201*E2_tabla_vida!$X$174)*E2_tabla_vida!$P$174,EXP(-E201*E2_tabla_vida!$X$175)*E2_tabla_vida!$P$175,EXP(-E201*E2_tabla_vida!$X$176)*E2_tabla_vida!$P$176,EXP(-E201*E2_tabla_vida!$X$177)*E2_tabla_vida!$P$177,EXP(-E201*E2_tabla_vida!$X$178)*E2_tabla_vida!$P$178,EXP(-E201*E2_tabla_vida!$X$179)*E2_tabla_vida!$P$179,EXP(-E201*E2_tabla_vida!$X$180)*E2_tabla_vida!$P$180,EXP(-E201*E2_tabla_vida!$X$181)*E2_tabla_vida!$P$181,EXP(-E201*E2_tabla_vida!$X$182)*E2_tabla_vida!$P$182,EXP(-E201*E2_tabla_vida!$X$183)*E2_tabla_vida!$P$183,EXP(-E201*E2_tabla_vida!$X$184)*E2_tabla_vida!$P$184,EXP(-E201*E2_tabla_vida!$X$185)*E2_tabla_vida!$P$185,EXP(-E201*E2_tabla_vida!$X$186)*E2_tabla_vida!$P$186,EXP(-E201*E2_tabla_vida!$X$187)*E2_tabla_vida!$P$187,EXP(-E201*E2_tabla_vida!$X$188)*E2_tabla_vida!$P$188,EXP(-E201*E2_tabla_vida!$X$189)*E2_tabla_vida!$P$189,EXP(-E201*E2_tabla_vida!$X$190)*E2_tabla_vida!$P$190,EXP(-E201*E2_tabla_vida!$X$191)*E2_tabla_vida!$P$191,EXP(-E201*E2_tabla_vida!$X$192)*E2_tabla_vida!$P$192,EXP(-E201*E2_tabla_vida!$X$193)*E2_tabla_vida!$P$193,EXP(-E201*E2_tabla_vida!$X$194)*E2_tabla_vida!$P$194,EXP(-E201*E2_tabla_vida!$X$195)*E2_tabla_vida!$P$195,EXP(-E201*E2_tabla_vida!$X$196)*E2_tabla_vida!$P$196,EXP(-E201*E2_tabla_vida!$X$197)*E2_tabla_vida!$P$197,EXP(-E201*E2_tabla_vida!$X$198)*E2_tabla_vida!$P$198,EXP(-E201*E2_tabla_vida!$X$199)*E2_tabla_vida!$P$199,EXP(-E201*E2_tabla_vida!$X$200)*E2_tabla_vida!$P$200,EXP(-E201*E2_tabla_vida!$X$201)*E2_tabla_vida!$P$201,EXP(-E201*E2_tabla_vida!$X$202)*E2_tabla_vida!$P$202,EXP(-E201*E2_tabla_vida!$X$203)*E2_tabla_vida!$P$203,EXP(-E201*E2_tabla_vida!$X$204)*E2_tabla_vida!$P$204,EXP(-E201*E2_tabla_vida!$X$205)*E2_tabla_vida!$P$205,EXP(-E201*E2_tabla_vida!$X$206)*E2_tabla_vida!$P$206,EXP(-E201*E2_tabla_vida!$X$207)*E2_tabla_vida!$P$207,EXP(-E201*E2_tabla_vida!$X$208)*E2_tabla_vida!$P$208,EXP(-E201*E2_tabla_vida!$X$209)*E2_tabla_vida!$P$209,EXP(-E201*E2_tabla_vida!$X$210)*E2_tabla_vida!$P$210,EXP(-E201*E2_tabla_vida!$X$211)*E2_tabla_vida!$P$211)-1</x:f>
        <x:v>-0.000047031376563255733</x:v>
      </x:c>
      <x:c r="G201" s="24" t="n">
        <x:f>SUM(EXP(-C201*E2_tabla_vida!$X$170)*E2_tabla_vida!$P$170,EXP(-C201*E2_tabla_vida!$X$171)*E2_tabla_vida!$P$171,EXP(-C201*E2_tabla_vida!$X$172)*E2_tabla_vida!$P$172,EXP(-C201*E2_tabla_vida!$X$173)*E2_tabla_vida!$P$173,EXP(-C201*E2_tabla_vida!$X$174)*E2_tabla_vida!$P$174,EXP(-C201*E2_tabla_vida!$X$175)*E2_tabla_vida!$P$175,EXP(-C201*E2_tabla_vida!$X$176)*E2_tabla_vida!$P$176,EXP(-C201*E2_tabla_vida!$X$177)*E2_tabla_vida!$P$177,EXP(-C201*E2_tabla_vida!$X$178)*E2_tabla_vida!$P$178,EXP(-C201*E2_tabla_vida!$X$179)*E2_tabla_vida!$P$179,EXP(-C201*E2_tabla_vida!$X$180)*E2_tabla_vida!$P$180,EXP(-C201*E2_tabla_vida!$X$181)*E2_tabla_vida!$P$181,EXP(-C201*E2_tabla_vida!$X$182)*E2_tabla_vida!$P$182,EXP(-C201*E2_tabla_vida!$X$183)*E2_tabla_vida!$P$183,EXP(-C201*E2_tabla_vida!$X$184)*E2_tabla_vida!$P$184,EXP(-C201*E2_tabla_vida!$X$185)*E2_tabla_vida!$P$185,EXP(-C201*E2_tabla_vida!$X$186)*E2_tabla_vida!$P$186,EXP(-C201*E2_tabla_vida!$X$187)*E2_tabla_vida!$P$187,EXP(-C201*E2_tabla_vida!$X$188)*E2_tabla_vida!$P$188,EXP(-C201*E2_tabla_vida!$X$189)*E2_tabla_vida!$P$189,EXP(-C201*E2_tabla_vida!$X$190)*E2_tabla_vida!$P$190,EXP(-C201*E2_tabla_vida!$X$191)*E2_tabla_vida!$P$191,EXP(-C201*E2_tabla_vida!$X$192)*E2_tabla_vida!$P$192,EXP(-C201*E2_tabla_vida!$X$193)*E2_tabla_vida!$P$193,EXP(-C201*E2_tabla_vida!$X$194)*E2_tabla_vida!$P$194,EXP(-C201*E2_tabla_vida!$X$195)*E2_tabla_vida!$P$195,EXP(-C201*E2_tabla_vida!$X$196)*E2_tabla_vida!$P$196,EXP(-C201*E2_tabla_vida!$X$197)*E2_tabla_vida!$P$197,EXP(-C201*E2_tabla_vida!$X$198)*E2_tabla_vida!$P$198,EXP(-C201*E2_tabla_vida!$X$199)*E2_tabla_vida!$P$199,EXP(-C201*E2_tabla_vida!$X$200)*E2_tabla_vida!$P$200,EXP(-C201*E2_tabla_vida!$X$201)*E2_tabla_vida!$P$201,EXP(-C201*E2_tabla_vida!$X$202)*E2_tabla_vida!$P$202,EXP(-C201*E2_tabla_vida!$X$203)*E2_tabla_vida!$P$203,EXP(-C201*E2_tabla_vida!$X$204)*E2_tabla_vida!$P$204,EXP(-C201*E2_tabla_vida!$X$205)*E2_tabla_vida!$P$205,EXP(-C201*E2_tabla_vida!$X$206)*E2_tabla_vida!$P$206,EXP(-C201*E2_tabla_vida!$X$207)*E2_tabla_vida!$P$207,EXP(-C201*E2_tabla_vida!$X$208)*E2_tabla_vida!$P$208,EXP(-C201*E2_tabla_vida!$X$209)*E2_tabla_vida!$P$209,EXP(-C201*E2_tabla_vida!$X$210)*E2_tabla_vida!$P$210,EXP(-C201*E2_tabla_vida!$X$211)*E2_tabla_vida!$P$211)-1</x:f>
        <x:v>0.000634266694156338</x:v>
      </x:c>
      <x:c r="H201" s="24" t="n">
        <x:f>SUM(EXP(-D201*E2_tabla_vida!$X$170)*E2_tabla_vida!$P$170,EXP(-D201*E2_tabla_vida!$X$171)*E2_tabla_vida!$P$171,EXP(-D201*E2_tabla_vida!$X$172)*E2_tabla_vida!$P$172,EXP(-D201*E2_tabla_vida!$X$173)*E2_tabla_vida!$P$173,EXP(-D201*E2_tabla_vida!$X$174)*E2_tabla_vida!$P$174,EXP(-D201*E2_tabla_vida!$X$175)*E2_tabla_vida!$P$175,EXP(-D201*E2_tabla_vida!$X$176)*E2_tabla_vida!$P$176,EXP(-D201*E2_tabla_vida!$X$177)*E2_tabla_vida!$P$177,EXP(-D201*E2_tabla_vida!$X$178)*E2_tabla_vida!$P$178,EXP(-D201*E2_tabla_vida!$X$179)*E2_tabla_vida!$P$179,EXP(-D201*E2_tabla_vida!$X$180)*E2_tabla_vida!$P$180,EXP(-D201*E2_tabla_vida!$X$181)*E2_tabla_vida!$P$181,EXP(-D201*E2_tabla_vida!$X$182)*E2_tabla_vida!$P$182,EXP(-D201*E2_tabla_vida!$X$183)*E2_tabla_vida!$P$183,EXP(-D201*E2_tabla_vida!$X$184)*E2_tabla_vida!$P$184,EXP(-D201*E2_tabla_vida!$X$185)*E2_tabla_vida!$P$185,EXP(-D201*E2_tabla_vida!$X$186)*E2_tabla_vida!$P$186,EXP(-D201*E2_tabla_vida!$X$187)*E2_tabla_vida!$P$187,EXP(-D201*E2_tabla_vida!$X$188)*E2_tabla_vida!$P$188,EXP(-D201*E2_tabla_vida!$X$189)*E2_tabla_vida!$P$189,EXP(-D201*E2_tabla_vida!$X$190)*E2_tabla_vida!$P$190,EXP(-D201*E2_tabla_vida!$X$191)*E2_tabla_vida!$P$191,EXP(-D201*E2_tabla_vida!$X$192)*E2_tabla_vida!$P$192,EXP(-D201*E2_tabla_vida!$X$193)*E2_tabla_vida!$P$193,EXP(-D201*E2_tabla_vida!$X$194)*E2_tabla_vida!$P$194,EXP(-D201*E2_tabla_vida!$X$195)*E2_tabla_vida!$P$195,EXP(-D201*E2_tabla_vida!$X$196)*E2_tabla_vida!$P$196,EXP(-D201*E2_tabla_vida!$X$197)*E2_tabla_vida!$P$197,EXP(-D201*E2_tabla_vida!$X$198)*E2_tabla_vida!$P$198,EXP(-D201*E2_tabla_vida!$X$199)*E2_tabla_vida!$P$199,EXP(-D201*E2_tabla_vida!$X$200)*E2_tabla_vida!$P$200,EXP(-D201*E2_tabla_vida!$X$201)*E2_tabla_vida!$P$201,EXP(-D201*E2_tabla_vida!$X$202)*E2_tabla_vida!$P$202,EXP(-D201*E2_tabla_vida!$X$203)*E2_tabla_vida!$P$203,EXP(-D201*E2_tabla_vida!$X$204)*E2_tabla_vida!$P$204,EXP(-D201*E2_tabla_vida!$X$205)*E2_tabla_vida!$P$205,EXP(-D201*E2_tabla_vida!$X$206)*E2_tabla_vida!$P$206,EXP(-D201*E2_tabla_vida!$X$207)*E2_tabla_vida!$P$207,EXP(-D201*E2_tabla_vida!$X$208)*E2_tabla_vida!$P$208,EXP(-D201*E2_tabla_vida!$X$209)*E2_tabla_vida!$P$209,EXP(-D201*E2_tabla_vida!$X$210)*E2_tabla_vida!$P$210,EXP(-D201*E2_tabla_vida!$X$211)*E2_tabla_vida!$P$211)-1</x:f>
        <x:v>-0.0007278393971887898</x:v>
      </x:c>
    </x:row>
    <x:row r="202" ht="19" customHeight="1">
      <x:c r="A202" s="2" t="str">
        <x:v>BB_L8</x:v>
      </x:c>
      <x:c r="B202" s="2" t="n">
        <x:v>16</x:v>
      </x:c>
      <x:c r="C202" s="22" t="n">
        <x:f>IF(F201&gt;0,E201,C201)</x:f>
        <x:v>0.1956787109375</x:v>
      </x:c>
      <x:c r="D202" s="22" t="n">
        <x:f>IF(F201&gt;0,D201,E201)</x:f>
        <x:v>0.1957244873046875</x:v>
      </x:c>
      <x:c r="E202" s="22" t="n">
        <x:f>AVERAGE(C202:D202)</x:f>
        <x:v>0.19570159912109375</x:v>
      </x:c>
      <x:c r="F202" s="24" t="n">
        <x:f>SUM(EXP(-E202*E2_tabla_vida!$X$170)*E2_tabla_vida!$P$170,EXP(-E202*E2_tabla_vida!$X$171)*E2_tabla_vida!$P$171,EXP(-E202*E2_tabla_vida!$X$172)*E2_tabla_vida!$P$172,EXP(-E202*E2_tabla_vida!$X$173)*E2_tabla_vida!$P$173,EXP(-E202*E2_tabla_vida!$X$174)*E2_tabla_vida!$P$174,EXP(-E202*E2_tabla_vida!$X$175)*E2_tabla_vida!$P$175,EXP(-E202*E2_tabla_vida!$X$176)*E2_tabla_vida!$P$176,EXP(-E202*E2_tabla_vida!$X$177)*E2_tabla_vida!$P$177,EXP(-E202*E2_tabla_vida!$X$178)*E2_tabla_vida!$P$178,EXP(-E202*E2_tabla_vida!$X$179)*E2_tabla_vida!$P$179,EXP(-E202*E2_tabla_vida!$X$180)*E2_tabla_vida!$P$180,EXP(-E202*E2_tabla_vida!$X$181)*E2_tabla_vida!$P$181,EXP(-E202*E2_tabla_vida!$X$182)*E2_tabla_vida!$P$182,EXP(-E202*E2_tabla_vida!$X$183)*E2_tabla_vida!$P$183,EXP(-E202*E2_tabla_vida!$X$184)*E2_tabla_vida!$P$184,EXP(-E202*E2_tabla_vida!$X$185)*E2_tabla_vida!$P$185,EXP(-E202*E2_tabla_vida!$X$186)*E2_tabla_vida!$P$186,EXP(-E202*E2_tabla_vida!$X$187)*E2_tabla_vida!$P$187,EXP(-E202*E2_tabla_vida!$X$188)*E2_tabla_vida!$P$188,EXP(-E202*E2_tabla_vida!$X$189)*E2_tabla_vida!$P$189,EXP(-E202*E2_tabla_vida!$X$190)*E2_tabla_vida!$P$190,EXP(-E202*E2_tabla_vida!$X$191)*E2_tabla_vida!$P$191,EXP(-E202*E2_tabla_vida!$X$192)*E2_tabla_vida!$P$192,EXP(-E202*E2_tabla_vida!$X$193)*E2_tabla_vida!$P$193,EXP(-E202*E2_tabla_vida!$X$194)*E2_tabla_vida!$P$194,EXP(-E202*E2_tabla_vida!$X$195)*E2_tabla_vida!$P$195,EXP(-E202*E2_tabla_vida!$X$196)*E2_tabla_vida!$P$196,EXP(-E202*E2_tabla_vida!$X$197)*E2_tabla_vida!$P$197,EXP(-E202*E2_tabla_vida!$X$198)*E2_tabla_vida!$P$198,EXP(-E202*E2_tabla_vida!$X$199)*E2_tabla_vida!$P$199,EXP(-E202*E2_tabla_vida!$X$200)*E2_tabla_vida!$P$200,EXP(-E202*E2_tabla_vida!$X$201)*E2_tabla_vida!$P$201,EXP(-E202*E2_tabla_vida!$X$202)*E2_tabla_vida!$P$202,EXP(-E202*E2_tabla_vida!$X$203)*E2_tabla_vida!$P$203,EXP(-E202*E2_tabla_vida!$X$204)*E2_tabla_vida!$P$204,EXP(-E202*E2_tabla_vida!$X$205)*E2_tabla_vida!$P$205,EXP(-E202*E2_tabla_vida!$X$206)*E2_tabla_vida!$P$206,EXP(-E202*E2_tabla_vida!$X$207)*E2_tabla_vida!$P$207,EXP(-E202*E2_tabla_vida!$X$208)*E2_tabla_vida!$P$208,EXP(-E202*E2_tabla_vida!$X$209)*E2_tabla_vida!$P$209,EXP(-E202*E2_tabla_vida!$X$210)*E2_tabla_vida!$P$210,EXP(-E202*E2_tabla_vida!$X$211)*E2_tabla_vida!$P$211)-1</x:f>
        <x:v>0.0002935563791828244</x:v>
      </x:c>
      <x:c r="G202" s="24" t="n">
        <x:f>SUM(EXP(-C202*E2_tabla_vida!$X$170)*E2_tabla_vida!$P$170,EXP(-C202*E2_tabla_vida!$X$171)*E2_tabla_vida!$P$171,EXP(-C202*E2_tabla_vida!$X$172)*E2_tabla_vida!$P$172,EXP(-C202*E2_tabla_vida!$X$173)*E2_tabla_vida!$P$173,EXP(-C202*E2_tabla_vida!$X$174)*E2_tabla_vida!$P$174,EXP(-C202*E2_tabla_vida!$X$175)*E2_tabla_vida!$P$175,EXP(-C202*E2_tabla_vida!$X$176)*E2_tabla_vida!$P$176,EXP(-C202*E2_tabla_vida!$X$177)*E2_tabla_vida!$P$177,EXP(-C202*E2_tabla_vida!$X$178)*E2_tabla_vida!$P$178,EXP(-C202*E2_tabla_vida!$X$179)*E2_tabla_vida!$P$179,EXP(-C202*E2_tabla_vida!$X$180)*E2_tabla_vida!$P$180,EXP(-C202*E2_tabla_vida!$X$181)*E2_tabla_vida!$P$181,EXP(-C202*E2_tabla_vida!$X$182)*E2_tabla_vida!$P$182,EXP(-C202*E2_tabla_vida!$X$183)*E2_tabla_vida!$P$183,EXP(-C202*E2_tabla_vida!$X$184)*E2_tabla_vida!$P$184,EXP(-C202*E2_tabla_vida!$X$185)*E2_tabla_vida!$P$185,EXP(-C202*E2_tabla_vida!$X$186)*E2_tabla_vida!$P$186,EXP(-C202*E2_tabla_vida!$X$187)*E2_tabla_vida!$P$187,EXP(-C202*E2_tabla_vida!$X$188)*E2_tabla_vida!$P$188,EXP(-C202*E2_tabla_vida!$X$189)*E2_tabla_vida!$P$189,EXP(-C202*E2_tabla_vida!$X$190)*E2_tabla_vida!$P$190,EXP(-C202*E2_tabla_vida!$X$191)*E2_tabla_vida!$P$191,EXP(-C202*E2_tabla_vida!$X$192)*E2_tabla_vida!$P$192,EXP(-C202*E2_tabla_vida!$X$193)*E2_tabla_vida!$P$193,EXP(-C202*E2_tabla_vida!$X$194)*E2_tabla_vida!$P$194,EXP(-C202*E2_tabla_vida!$X$195)*E2_tabla_vida!$P$195,EXP(-C202*E2_tabla_vida!$X$196)*E2_tabla_vida!$P$196,EXP(-C202*E2_tabla_vida!$X$197)*E2_tabla_vida!$P$197,EXP(-C202*E2_tabla_vida!$X$198)*E2_tabla_vida!$P$198,EXP(-C202*E2_tabla_vida!$X$199)*E2_tabla_vida!$P$199,EXP(-C202*E2_tabla_vida!$X$200)*E2_tabla_vida!$P$200,EXP(-C202*E2_tabla_vida!$X$201)*E2_tabla_vida!$P$201,EXP(-C202*E2_tabla_vida!$X$202)*E2_tabla_vida!$P$202,EXP(-C202*E2_tabla_vida!$X$203)*E2_tabla_vida!$P$203,EXP(-C202*E2_tabla_vida!$X$204)*E2_tabla_vida!$P$204,EXP(-C202*E2_tabla_vida!$X$205)*E2_tabla_vida!$P$205,EXP(-C202*E2_tabla_vida!$X$206)*E2_tabla_vida!$P$206,EXP(-C202*E2_tabla_vida!$X$207)*E2_tabla_vida!$P$207,EXP(-C202*E2_tabla_vida!$X$208)*E2_tabla_vida!$P$208,EXP(-C202*E2_tabla_vida!$X$209)*E2_tabla_vida!$P$209,EXP(-C202*E2_tabla_vida!$X$210)*E2_tabla_vida!$P$210,EXP(-C202*E2_tabla_vida!$X$211)*E2_tabla_vida!$P$211)-1</x:f>
        <x:v>0.000634266694156338</x:v>
      </x:c>
      <x:c r="H202" s="24" t="n">
        <x:f>SUM(EXP(-D202*E2_tabla_vida!$X$170)*E2_tabla_vida!$P$170,EXP(-D202*E2_tabla_vida!$X$171)*E2_tabla_vida!$P$171,EXP(-D202*E2_tabla_vida!$X$172)*E2_tabla_vida!$P$172,EXP(-D202*E2_tabla_vida!$X$173)*E2_tabla_vida!$P$173,EXP(-D202*E2_tabla_vida!$X$174)*E2_tabla_vida!$P$174,EXP(-D202*E2_tabla_vida!$X$175)*E2_tabla_vida!$P$175,EXP(-D202*E2_tabla_vida!$X$176)*E2_tabla_vida!$P$176,EXP(-D202*E2_tabla_vida!$X$177)*E2_tabla_vida!$P$177,EXP(-D202*E2_tabla_vida!$X$178)*E2_tabla_vida!$P$178,EXP(-D202*E2_tabla_vida!$X$179)*E2_tabla_vida!$P$179,EXP(-D202*E2_tabla_vida!$X$180)*E2_tabla_vida!$P$180,EXP(-D202*E2_tabla_vida!$X$181)*E2_tabla_vida!$P$181,EXP(-D202*E2_tabla_vida!$X$182)*E2_tabla_vida!$P$182,EXP(-D202*E2_tabla_vida!$X$183)*E2_tabla_vida!$P$183,EXP(-D202*E2_tabla_vida!$X$184)*E2_tabla_vida!$P$184,EXP(-D202*E2_tabla_vida!$X$185)*E2_tabla_vida!$P$185,EXP(-D202*E2_tabla_vida!$X$186)*E2_tabla_vida!$P$186,EXP(-D202*E2_tabla_vida!$X$187)*E2_tabla_vida!$P$187,EXP(-D202*E2_tabla_vida!$X$188)*E2_tabla_vida!$P$188,EXP(-D202*E2_tabla_vida!$X$189)*E2_tabla_vida!$P$189,EXP(-D202*E2_tabla_vida!$X$190)*E2_tabla_vida!$P$190,EXP(-D202*E2_tabla_vida!$X$191)*E2_tabla_vida!$P$191,EXP(-D202*E2_tabla_vida!$X$192)*E2_tabla_vida!$P$192,EXP(-D202*E2_tabla_vida!$X$193)*E2_tabla_vida!$P$193,EXP(-D202*E2_tabla_vida!$X$194)*E2_tabla_vida!$P$194,EXP(-D202*E2_tabla_vida!$X$195)*E2_tabla_vida!$P$195,EXP(-D202*E2_tabla_vida!$X$196)*E2_tabla_vida!$P$196,EXP(-D202*E2_tabla_vida!$X$197)*E2_tabla_vida!$P$197,EXP(-D202*E2_tabla_vida!$X$198)*E2_tabla_vida!$P$198,EXP(-D202*E2_tabla_vida!$X$199)*E2_tabla_vida!$P$199,EXP(-D202*E2_tabla_vida!$X$200)*E2_tabla_vida!$P$200,EXP(-D202*E2_tabla_vida!$X$201)*E2_tabla_vida!$P$201,EXP(-D202*E2_tabla_vida!$X$202)*E2_tabla_vida!$P$202,EXP(-D202*E2_tabla_vida!$X$203)*E2_tabla_vida!$P$203,EXP(-D202*E2_tabla_vida!$X$204)*E2_tabla_vida!$P$204,EXP(-D202*E2_tabla_vida!$X$205)*E2_tabla_vida!$P$205,EXP(-D202*E2_tabla_vida!$X$206)*E2_tabla_vida!$P$206,EXP(-D202*E2_tabla_vida!$X$207)*E2_tabla_vida!$P$207,EXP(-D202*E2_tabla_vida!$X$208)*E2_tabla_vida!$P$208,EXP(-D202*E2_tabla_vida!$X$209)*E2_tabla_vida!$P$209,EXP(-D202*E2_tabla_vida!$X$210)*E2_tabla_vida!$P$210,EXP(-D202*E2_tabla_vida!$X$211)*E2_tabla_vida!$P$211)-1</x:f>
        <x:v>-0.000047031376563255733</x:v>
      </x:c>
    </x:row>
    <x:row r="203" ht="19" customHeight="1">
      <x:c r="A203" s="2" t="str">
        <x:v>BB_L8</x:v>
      </x:c>
      <x:c r="B203" s="2" t="n">
        <x:v>17</x:v>
      </x:c>
      <x:c r="C203" s="22" t="n">
        <x:f>IF(F202&gt;0,E202,C202)</x:f>
        <x:v>0.19570159912109375</x:v>
      </x:c>
      <x:c r="D203" s="22" t="n">
        <x:f>IF(F202&gt;0,D202,E202)</x:f>
        <x:v>0.1957244873046875</x:v>
      </x:c>
      <x:c r="E203" s="22" t="n">
        <x:f>AVERAGE(C203:D203)</x:f>
        <x:v>0.19571304321289062</x:v>
      </x:c>
      <x:c r="F203" s="24" t="n">
        <x:f>SUM(EXP(-E203*E2_tabla_vida!$X$170)*E2_tabla_vida!$P$170,EXP(-E203*E2_tabla_vida!$X$171)*E2_tabla_vida!$P$171,EXP(-E203*E2_tabla_vida!$X$172)*E2_tabla_vida!$P$172,EXP(-E203*E2_tabla_vida!$X$173)*E2_tabla_vida!$P$173,EXP(-E203*E2_tabla_vida!$X$174)*E2_tabla_vida!$P$174,EXP(-E203*E2_tabla_vida!$X$175)*E2_tabla_vida!$P$175,EXP(-E203*E2_tabla_vida!$X$176)*E2_tabla_vida!$P$176,EXP(-E203*E2_tabla_vida!$X$177)*E2_tabla_vida!$P$177,EXP(-E203*E2_tabla_vida!$X$178)*E2_tabla_vida!$P$178,EXP(-E203*E2_tabla_vida!$X$179)*E2_tabla_vida!$P$179,EXP(-E203*E2_tabla_vida!$X$180)*E2_tabla_vida!$P$180,EXP(-E203*E2_tabla_vida!$X$181)*E2_tabla_vida!$P$181,EXP(-E203*E2_tabla_vida!$X$182)*E2_tabla_vida!$P$182,EXP(-E203*E2_tabla_vida!$X$183)*E2_tabla_vida!$P$183,EXP(-E203*E2_tabla_vida!$X$184)*E2_tabla_vida!$P$184,EXP(-E203*E2_tabla_vida!$X$185)*E2_tabla_vida!$P$185,EXP(-E203*E2_tabla_vida!$X$186)*E2_tabla_vida!$P$186,EXP(-E203*E2_tabla_vida!$X$187)*E2_tabla_vida!$P$187,EXP(-E203*E2_tabla_vida!$X$188)*E2_tabla_vida!$P$188,EXP(-E203*E2_tabla_vida!$X$189)*E2_tabla_vida!$P$189,EXP(-E203*E2_tabla_vida!$X$190)*E2_tabla_vida!$P$190,EXP(-E203*E2_tabla_vida!$X$191)*E2_tabla_vida!$P$191,EXP(-E203*E2_tabla_vida!$X$192)*E2_tabla_vida!$P$192,EXP(-E203*E2_tabla_vida!$X$193)*E2_tabla_vida!$P$193,EXP(-E203*E2_tabla_vida!$X$194)*E2_tabla_vida!$P$194,EXP(-E203*E2_tabla_vida!$X$195)*E2_tabla_vida!$P$195,EXP(-E203*E2_tabla_vida!$X$196)*E2_tabla_vida!$P$196,EXP(-E203*E2_tabla_vida!$X$197)*E2_tabla_vida!$P$197,EXP(-E203*E2_tabla_vida!$X$198)*E2_tabla_vida!$P$198,EXP(-E203*E2_tabla_vida!$X$199)*E2_tabla_vida!$P$199,EXP(-E203*E2_tabla_vida!$X$200)*E2_tabla_vida!$P$200,EXP(-E203*E2_tabla_vida!$X$201)*E2_tabla_vida!$P$201,EXP(-E203*E2_tabla_vida!$X$202)*E2_tabla_vida!$P$202,EXP(-E203*E2_tabla_vida!$X$203)*E2_tabla_vida!$P$203,EXP(-E203*E2_tabla_vida!$X$204)*E2_tabla_vida!$P$204,EXP(-E203*E2_tabla_vida!$X$205)*E2_tabla_vida!$P$205,EXP(-E203*E2_tabla_vida!$X$206)*E2_tabla_vida!$P$206,EXP(-E203*E2_tabla_vida!$X$207)*E2_tabla_vida!$P$207,EXP(-E203*E2_tabla_vida!$X$208)*E2_tabla_vida!$P$208,EXP(-E203*E2_tabla_vida!$X$209)*E2_tabla_vida!$P$209,EXP(-E203*E2_tabla_vida!$X$210)*E2_tabla_vida!$P$210,EXP(-E203*E2_tabla_vida!$X$211)*E2_tabla_vida!$P$211)-1</x:f>
        <x:v>0.00012324718432621395</x:v>
      </x:c>
      <x:c r="G203" s="24" t="n">
        <x:f>SUM(EXP(-C203*E2_tabla_vida!$X$170)*E2_tabla_vida!$P$170,EXP(-C203*E2_tabla_vida!$X$171)*E2_tabla_vida!$P$171,EXP(-C203*E2_tabla_vida!$X$172)*E2_tabla_vida!$P$172,EXP(-C203*E2_tabla_vida!$X$173)*E2_tabla_vida!$P$173,EXP(-C203*E2_tabla_vida!$X$174)*E2_tabla_vida!$P$174,EXP(-C203*E2_tabla_vida!$X$175)*E2_tabla_vida!$P$175,EXP(-C203*E2_tabla_vida!$X$176)*E2_tabla_vida!$P$176,EXP(-C203*E2_tabla_vida!$X$177)*E2_tabla_vida!$P$177,EXP(-C203*E2_tabla_vida!$X$178)*E2_tabla_vida!$P$178,EXP(-C203*E2_tabla_vida!$X$179)*E2_tabla_vida!$P$179,EXP(-C203*E2_tabla_vida!$X$180)*E2_tabla_vida!$P$180,EXP(-C203*E2_tabla_vida!$X$181)*E2_tabla_vida!$P$181,EXP(-C203*E2_tabla_vida!$X$182)*E2_tabla_vida!$P$182,EXP(-C203*E2_tabla_vida!$X$183)*E2_tabla_vida!$P$183,EXP(-C203*E2_tabla_vida!$X$184)*E2_tabla_vida!$P$184,EXP(-C203*E2_tabla_vida!$X$185)*E2_tabla_vida!$P$185,EXP(-C203*E2_tabla_vida!$X$186)*E2_tabla_vida!$P$186,EXP(-C203*E2_tabla_vida!$X$187)*E2_tabla_vida!$P$187,EXP(-C203*E2_tabla_vida!$X$188)*E2_tabla_vida!$P$188,EXP(-C203*E2_tabla_vida!$X$189)*E2_tabla_vida!$P$189,EXP(-C203*E2_tabla_vida!$X$190)*E2_tabla_vida!$P$190,EXP(-C203*E2_tabla_vida!$X$191)*E2_tabla_vida!$P$191,EXP(-C203*E2_tabla_vida!$X$192)*E2_tabla_vida!$P$192,EXP(-C203*E2_tabla_vida!$X$193)*E2_tabla_vida!$P$193,EXP(-C203*E2_tabla_vida!$X$194)*E2_tabla_vida!$P$194,EXP(-C203*E2_tabla_vida!$X$195)*E2_tabla_vida!$P$195,EXP(-C203*E2_tabla_vida!$X$196)*E2_tabla_vida!$P$196,EXP(-C203*E2_tabla_vida!$X$197)*E2_tabla_vida!$P$197,EXP(-C203*E2_tabla_vida!$X$198)*E2_tabla_vida!$P$198,EXP(-C203*E2_tabla_vida!$X$199)*E2_tabla_vida!$P$199,EXP(-C203*E2_tabla_vida!$X$200)*E2_tabla_vida!$P$200,EXP(-C203*E2_tabla_vida!$X$201)*E2_tabla_vida!$P$201,EXP(-C203*E2_tabla_vida!$X$202)*E2_tabla_vida!$P$202,EXP(-C203*E2_tabla_vida!$X$203)*E2_tabla_vida!$P$203,EXP(-C203*E2_tabla_vida!$X$204)*E2_tabla_vida!$P$204,EXP(-C203*E2_tabla_vida!$X$205)*E2_tabla_vida!$P$205,EXP(-C203*E2_tabla_vida!$X$206)*E2_tabla_vida!$P$206,EXP(-C203*E2_tabla_vida!$X$207)*E2_tabla_vida!$P$207,EXP(-C203*E2_tabla_vida!$X$208)*E2_tabla_vida!$P$208,EXP(-C203*E2_tabla_vida!$X$209)*E2_tabla_vida!$P$209,EXP(-C203*E2_tabla_vida!$X$210)*E2_tabla_vida!$P$210,EXP(-C203*E2_tabla_vida!$X$211)*E2_tabla_vida!$P$211)-1</x:f>
        <x:v>0.0002935563791828244</x:v>
      </x:c>
      <x:c r="H203" s="24" t="n">
        <x:f>SUM(EXP(-D203*E2_tabla_vida!$X$170)*E2_tabla_vida!$P$170,EXP(-D203*E2_tabla_vida!$X$171)*E2_tabla_vida!$P$171,EXP(-D203*E2_tabla_vida!$X$172)*E2_tabla_vida!$P$172,EXP(-D203*E2_tabla_vida!$X$173)*E2_tabla_vida!$P$173,EXP(-D203*E2_tabla_vida!$X$174)*E2_tabla_vida!$P$174,EXP(-D203*E2_tabla_vida!$X$175)*E2_tabla_vida!$P$175,EXP(-D203*E2_tabla_vida!$X$176)*E2_tabla_vida!$P$176,EXP(-D203*E2_tabla_vida!$X$177)*E2_tabla_vida!$P$177,EXP(-D203*E2_tabla_vida!$X$178)*E2_tabla_vida!$P$178,EXP(-D203*E2_tabla_vida!$X$179)*E2_tabla_vida!$P$179,EXP(-D203*E2_tabla_vida!$X$180)*E2_tabla_vida!$P$180,EXP(-D203*E2_tabla_vida!$X$181)*E2_tabla_vida!$P$181,EXP(-D203*E2_tabla_vida!$X$182)*E2_tabla_vida!$P$182,EXP(-D203*E2_tabla_vida!$X$183)*E2_tabla_vida!$P$183,EXP(-D203*E2_tabla_vida!$X$184)*E2_tabla_vida!$P$184,EXP(-D203*E2_tabla_vida!$X$185)*E2_tabla_vida!$P$185,EXP(-D203*E2_tabla_vida!$X$186)*E2_tabla_vida!$P$186,EXP(-D203*E2_tabla_vida!$X$187)*E2_tabla_vida!$P$187,EXP(-D203*E2_tabla_vida!$X$188)*E2_tabla_vida!$P$188,EXP(-D203*E2_tabla_vida!$X$189)*E2_tabla_vida!$P$189,EXP(-D203*E2_tabla_vida!$X$190)*E2_tabla_vida!$P$190,EXP(-D203*E2_tabla_vida!$X$191)*E2_tabla_vida!$P$191,EXP(-D203*E2_tabla_vida!$X$192)*E2_tabla_vida!$P$192,EXP(-D203*E2_tabla_vida!$X$193)*E2_tabla_vida!$P$193,EXP(-D203*E2_tabla_vida!$X$194)*E2_tabla_vida!$P$194,EXP(-D203*E2_tabla_vida!$X$195)*E2_tabla_vida!$P$195,EXP(-D203*E2_tabla_vida!$X$196)*E2_tabla_vida!$P$196,EXP(-D203*E2_tabla_vida!$X$197)*E2_tabla_vida!$P$197,EXP(-D203*E2_tabla_vida!$X$198)*E2_tabla_vida!$P$198,EXP(-D203*E2_tabla_vida!$X$199)*E2_tabla_vida!$P$199,EXP(-D203*E2_tabla_vida!$X$200)*E2_tabla_vida!$P$200,EXP(-D203*E2_tabla_vida!$X$201)*E2_tabla_vida!$P$201,EXP(-D203*E2_tabla_vida!$X$202)*E2_tabla_vida!$P$202,EXP(-D203*E2_tabla_vida!$X$203)*E2_tabla_vida!$P$203,EXP(-D203*E2_tabla_vida!$X$204)*E2_tabla_vida!$P$204,EXP(-D203*E2_tabla_vida!$X$205)*E2_tabla_vida!$P$205,EXP(-D203*E2_tabla_vida!$X$206)*E2_tabla_vida!$P$206,EXP(-D203*E2_tabla_vida!$X$207)*E2_tabla_vida!$P$207,EXP(-D203*E2_tabla_vida!$X$208)*E2_tabla_vida!$P$208,EXP(-D203*E2_tabla_vida!$X$209)*E2_tabla_vida!$P$209,EXP(-D203*E2_tabla_vida!$X$210)*E2_tabla_vida!$P$210,EXP(-D203*E2_tabla_vida!$X$211)*E2_tabla_vida!$P$211)-1</x:f>
        <x:v>-0.000047031376563255733</x:v>
      </x:c>
    </x:row>
    <x:row r="204" ht="19" customHeight="1">
      <x:c r="A204" s="2" t="str">
        <x:v>BB_L8</x:v>
      </x:c>
      <x:c r="B204" s="2" t="n">
        <x:v>18</x:v>
      </x:c>
      <x:c r="C204" s="22" t="n">
        <x:f>IF(F203&gt;0,E203,C203)</x:f>
        <x:v>0.19571304321289062</x:v>
      </x:c>
      <x:c r="D204" s="22" t="n">
        <x:f>IF(F203&gt;0,D203,E203)</x:f>
        <x:v>0.1957244873046875</x:v>
      </x:c>
      <x:c r="E204" s="22" t="n">
        <x:f>AVERAGE(C204:D204)</x:f>
        <x:v>0.19571876525878906</x:v>
      </x:c>
      <x:c r="F204" s="24" t="n">
        <x:f>SUM(EXP(-E204*E2_tabla_vida!$X$170)*E2_tabla_vida!$P$170,EXP(-E204*E2_tabla_vida!$X$171)*E2_tabla_vida!$P$171,EXP(-E204*E2_tabla_vida!$X$172)*E2_tabla_vida!$P$172,EXP(-E204*E2_tabla_vida!$X$173)*E2_tabla_vida!$P$173,EXP(-E204*E2_tabla_vida!$X$174)*E2_tabla_vida!$P$174,EXP(-E204*E2_tabla_vida!$X$175)*E2_tabla_vida!$P$175,EXP(-E204*E2_tabla_vida!$X$176)*E2_tabla_vida!$P$176,EXP(-E204*E2_tabla_vida!$X$177)*E2_tabla_vida!$P$177,EXP(-E204*E2_tabla_vida!$X$178)*E2_tabla_vida!$P$178,EXP(-E204*E2_tabla_vida!$X$179)*E2_tabla_vida!$P$179,EXP(-E204*E2_tabla_vida!$X$180)*E2_tabla_vida!$P$180,EXP(-E204*E2_tabla_vida!$X$181)*E2_tabla_vida!$P$181,EXP(-E204*E2_tabla_vida!$X$182)*E2_tabla_vida!$P$182,EXP(-E204*E2_tabla_vida!$X$183)*E2_tabla_vida!$P$183,EXP(-E204*E2_tabla_vida!$X$184)*E2_tabla_vida!$P$184,EXP(-E204*E2_tabla_vida!$X$185)*E2_tabla_vida!$P$185,EXP(-E204*E2_tabla_vida!$X$186)*E2_tabla_vida!$P$186,EXP(-E204*E2_tabla_vida!$X$187)*E2_tabla_vida!$P$187,EXP(-E204*E2_tabla_vida!$X$188)*E2_tabla_vida!$P$188,EXP(-E204*E2_tabla_vida!$X$189)*E2_tabla_vida!$P$189,EXP(-E204*E2_tabla_vida!$X$190)*E2_tabla_vida!$P$190,EXP(-E204*E2_tabla_vida!$X$191)*E2_tabla_vida!$P$191,EXP(-E204*E2_tabla_vida!$X$192)*E2_tabla_vida!$P$192,EXP(-E204*E2_tabla_vida!$X$193)*E2_tabla_vida!$P$193,EXP(-E204*E2_tabla_vida!$X$194)*E2_tabla_vida!$P$194,EXP(-E204*E2_tabla_vida!$X$195)*E2_tabla_vida!$P$195,EXP(-E204*E2_tabla_vida!$X$196)*E2_tabla_vida!$P$196,EXP(-E204*E2_tabla_vida!$X$197)*E2_tabla_vida!$P$197,EXP(-E204*E2_tabla_vida!$X$198)*E2_tabla_vida!$P$198,EXP(-E204*E2_tabla_vida!$X$199)*E2_tabla_vida!$P$199,EXP(-E204*E2_tabla_vida!$X$200)*E2_tabla_vida!$P$200,EXP(-E204*E2_tabla_vida!$X$201)*E2_tabla_vida!$P$201,EXP(-E204*E2_tabla_vida!$X$202)*E2_tabla_vida!$P$202,EXP(-E204*E2_tabla_vida!$X$203)*E2_tabla_vida!$P$203,EXP(-E204*E2_tabla_vida!$X$204)*E2_tabla_vida!$P$204,EXP(-E204*E2_tabla_vida!$X$205)*E2_tabla_vida!$P$205,EXP(-E204*E2_tabla_vida!$X$206)*E2_tabla_vida!$P$206,EXP(-E204*E2_tabla_vida!$X$207)*E2_tabla_vida!$P$207,EXP(-E204*E2_tabla_vida!$X$208)*E2_tabla_vida!$P$208,EXP(-E204*E2_tabla_vida!$X$209)*E2_tabla_vida!$P$209,EXP(-E204*E2_tabla_vida!$X$210)*E2_tabla_vida!$P$210,EXP(-E204*E2_tabla_vida!$X$211)*E2_tabla_vida!$P$211)-1</x:f>
        <x:v>0.000038104075000378046</x:v>
      </x:c>
      <x:c r="G204" s="24" t="n">
        <x:f>SUM(EXP(-C204*E2_tabla_vida!$X$170)*E2_tabla_vida!$P$170,EXP(-C204*E2_tabla_vida!$X$171)*E2_tabla_vida!$P$171,EXP(-C204*E2_tabla_vida!$X$172)*E2_tabla_vida!$P$172,EXP(-C204*E2_tabla_vida!$X$173)*E2_tabla_vida!$P$173,EXP(-C204*E2_tabla_vida!$X$174)*E2_tabla_vida!$P$174,EXP(-C204*E2_tabla_vida!$X$175)*E2_tabla_vida!$P$175,EXP(-C204*E2_tabla_vida!$X$176)*E2_tabla_vida!$P$176,EXP(-C204*E2_tabla_vida!$X$177)*E2_tabla_vida!$P$177,EXP(-C204*E2_tabla_vida!$X$178)*E2_tabla_vida!$P$178,EXP(-C204*E2_tabla_vida!$X$179)*E2_tabla_vida!$P$179,EXP(-C204*E2_tabla_vida!$X$180)*E2_tabla_vida!$P$180,EXP(-C204*E2_tabla_vida!$X$181)*E2_tabla_vida!$P$181,EXP(-C204*E2_tabla_vida!$X$182)*E2_tabla_vida!$P$182,EXP(-C204*E2_tabla_vida!$X$183)*E2_tabla_vida!$P$183,EXP(-C204*E2_tabla_vida!$X$184)*E2_tabla_vida!$P$184,EXP(-C204*E2_tabla_vida!$X$185)*E2_tabla_vida!$P$185,EXP(-C204*E2_tabla_vida!$X$186)*E2_tabla_vida!$P$186,EXP(-C204*E2_tabla_vida!$X$187)*E2_tabla_vida!$P$187,EXP(-C204*E2_tabla_vida!$X$188)*E2_tabla_vida!$P$188,EXP(-C204*E2_tabla_vida!$X$189)*E2_tabla_vida!$P$189,EXP(-C204*E2_tabla_vida!$X$190)*E2_tabla_vida!$P$190,EXP(-C204*E2_tabla_vida!$X$191)*E2_tabla_vida!$P$191,EXP(-C204*E2_tabla_vida!$X$192)*E2_tabla_vida!$P$192,EXP(-C204*E2_tabla_vida!$X$193)*E2_tabla_vida!$P$193,EXP(-C204*E2_tabla_vida!$X$194)*E2_tabla_vida!$P$194,EXP(-C204*E2_tabla_vida!$X$195)*E2_tabla_vida!$P$195,EXP(-C204*E2_tabla_vida!$X$196)*E2_tabla_vida!$P$196,EXP(-C204*E2_tabla_vida!$X$197)*E2_tabla_vida!$P$197,EXP(-C204*E2_tabla_vida!$X$198)*E2_tabla_vida!$P$198,EXP(-C204*E2_tabla_vida!$X$199)*E2_tabla_vida!$P$199,EXP(-C204*E2_tabla_vida!$X$200)*E2_tabla_vida!$P$200,EXP(-C204*E2_tabla_vida!$X$201)*E2_tabla_vida!$P$201,EXP(-C204*E2_tabla_vida!$X$202)*E2_tabla_vida!$P$202,EXP(-C204*E2_tabla_vida!$X$203)*E2_tabla_vida!$P$203,EXP(-C204*E2_tabla_vida!$X$204)*E2_tabla_vida!$P$204,EXP(-C204*E2_tabla_vida!$X$205)*E2_tabla_vida!$P$205,EXP(-C204*E2_tabla_vida!$X$206)*E2_tabla_vida!$P$206,EXP(-C204*E2_tabla_vida!$X$207)*E2_tabla_vida!$P$207,EXP(-C204*E2_tabla_vida!$X$208)*E2_tabla_vida!$P$208,EXP(-C204*E2_tabla_vida!$X$209)*E2_tabla_vida!$P$209,EXP(-C204*E2_tabla_vida!$X$210)*E2_tabla_vida!$P$210,EXP(-C204*E2_tabla_vida!$X$211)*E2_tabla_vida!$P$211)-1</x:f>
        <x:v>0.00012324718432621395</x:v>
      </x:c>
      <x:c r="H204" s="24" t="n">
        <x:f>SUM(EXP(-D204*E2_tabla_vida!$X$170)*E2_tabla_vida!$P$170,EXP(-D204*E2_tabla_vida!$X$171)*E2_tabla_vida!$P$171,EXP(-D204*E2_tabla_vida!$X$172)*E2_tabla_vida!$P$172,EXP(-D204*E2_tabla_vida!$X$173)*E2_tabla_vida!$P$173,EXP(-D204*E2_tabla_vida!$X$174)*E2_tabla_vida!$P$174,EXP(-D204*E2_tabla_vida!$X$175)*E2_tabla_vida!$P$175,EXP(-D204*E2_tabla_vida!$X$176)*E2_tabla_vida!$P$176,EXP(-D204*E2_tabla_vida!$X$177)*E2_tabla_vida!$P$177,EXP(-D204*E2_tabla_vida!$X$178)*E2_tabla_vida!$P$178,EXP(-D204*E2_tabla_vida!$X$179)*E2_tabla_vida!$P$179,EXP(-D204*E2_tabla_vida!$X$180)*E2_tabla_vida!$P$180,EXP(-D204*E2_tabla_vida!$X$181)*E2_tabla_vida!$P$181,EXP(-D204*E2_tabla_vida!$X$182)*E2_tabla_vida!$P$182,EXP(-D204*E2_tabla_vida!$X$183)*E2_tabla_vida!$P$183,EXP(-D204*E2_tabla_vida!$X$184)*E2_tabla_vida!$P$184,EXP(-D204*E2_tabla_vida!$X$185)*E2_tabla_vida!$P$185,EXP(-D204*E2_tabla_vida!$X$186)*E2_tabla_vida!$P$186,EXP(-D204*E2_tabla_vida!$X$187)*E2_tabla_vida!$P$187,EXP(-D204*E2_tabla_vida!$X$188)*E2_tabla_vida!$P$188,EXP(-D204*E2_tabla_vida!$X$189)*E2_tabla_vida!$P$189,EXP(-D204*E2_tabla_vida!$X$190)*E2_tabla_vida!$P$190,EXP(-D204*E2_tabla_vida!$X$191)*E2_tabla_vida!$P$191,EXP(-D204*E2_tabla_vida!$X$192)*E2_tabla_vida!$P$192,EXP(-D204*E2_tabla_vida!$X$193)*E2_tabla_vida!$P$193,EXP(-D204*E2_tabla_vida!$X$194)*E2_tabla_vida!$P$194,EXP(-D204*E2_tabla_vida!$X$195)*E2_tabla_vida!$P$195,EXP(-D204*E2_tabla_vida!$X$196)*E2_tabla_vida!$P$196,EXP(-D204*E2_tabla_vida!$X$197)*E2_tabla_vida!$P$197,EXP(-D204*E2_tabla_vida!$X$198)*E2_tabla_vida!$P$198,EXP(-D204*E2_tabla_vida!$X$199)*E2_tabla_vida!$P$199,EXP(-D204*E2_tabla_vida!$X$200)*E2_tabla_vida!$P$200,EXP(-D204*E2_tabla_vida!$X$201)*E2_tabla_vida!$P$201,EXP(-D204*E2_tabla_vida!$X$202)*E2_tabla_vida!$P$202,EXP(-D204*E2_tabla_vida!$X$203)*E2_tabla_vida!$P$203,EXP(-D204*E2_tabla_vida!$X$204)*E2_tabla_vida!$P$204,EXP(-D204*E2_tabla_vida!$X$205)*E2_tabla_vida!$P$205,EXP(-D204*E2_tabla_vida!$X$206)*E2_tabla_vida!$P$206,EXP(-D204*E2_tabla_vida!$X$207)*E2_tabla_vida!$P$207,EXP(-D204*E2_tabla_vida!$X$208)*E2_tabla_vida!$P$208,EXP(-D204*E2_tabla_vida!$X$209)*E2_tabla_vida!$P$209,EXP(-D204*E2_tabla_vida!$X$210)*E2_tabla_vida!$P$210,EXP(-D204*E2_tabla_vida!$X$211)*E2_tabla_vida!$P$211)-1</x:f>
        <x:v>-0.000047031376563255733</x:v>
      </x:c>
    </x:row>
    <x:row r="205" ht="19" customHeight="1">
      <x:c r="A205" s="2" t="str">
        <x:v>BB_L8</x:v>
      </x:c>
      <x:c r="B205" s="2" t="n">
        <x:v>19</x:v>
      </x:c>
      <x:c r="C205" s="22" t="n">
        <x:f>IF(F204&gt;0,E204,C204)</x:f>
        <x:v>0.19571876525878906</x:v>
      </x:c>
      <x:c r="D205" s="22" t="n">
        <x:f>IF(F204&gt;0,D204,E204)</x:f>
        <x:v>0.1957244873046875</x:v>
      </x:c>
      <x:c r="E205" s="22" t="n">
        <x:f>AVERAGE(C205:D205)</x:f>
        <x:v>0.19572162628173828</x:v>
      </x:c>
      <x:c r="F205" s="24" t="n">
        <x:f>SUM(EXP(-E205*E2_tabla_vida!$X$170)*E2_tabla_vida!$P$170,EXP(-E205*E2_tabla_vida!$X$171)*E2_tabla_vida!$P$171,EXP(-E205*E2_tabla_vida!$X$172)*E2_tabla_vida!$P$172,EXP(-E205*E2_tabla_vida!$X$173)*E2_tabla_vida!$P$173,EXP(-E205*E2_tabla_vida!$X$174)*E2_tabla_vida!$P$174,EXP(-E205*E2_tabla_vida!$X$175)*E2_tabla_vida!$P$175,EXP(-E205*E2_tabla_vida!$X$176)*E2_tabla_vida!$P$176,EXP(-E205*E2_tabla_vida!$X$177)*E2_tabla_vida!$P$177,EXP(-E205*E2_tabla_vida!$X$178)*E2_tabla_vida!$P$178,EXP(-E205*E2_tabla_vida!$X$179)*E2_tabla_vida!$P$179,EXP(-E205*E2_tabla_vida!$X$180)*E2_tabla_vida!$P$180,EXP(-E205*E2_tabla_vida!$X$181)*E2_tabla_vida!$P$181,EXP(-E205*E2_tabla_vida!$X$182)*E2_tabla_vida!$P$182,EXP(-E205*E2_tabla_vida!$X$183)*E2_tabla_vida!$P$183,EXP(-E205*E2_tabla_vida!$X$184)*E2_tabla_vida!$P$184,EXP(-E205*E2_tabla_vida!$X$185)*E2_tabla_vida!$P$185,EXP(-E205*E2_tabla_vida!$X$186)*E2_tabla_vida!$P$186,EXP(-E205*E2_tabla_vida!$X$187)*E2_tabla_vida!$P$187,EXP(-E205*E2_tabla_vida!$X$188)*E2_tabla_vida!$P$188,EXP(-E205*E2_tabla_vida!$X$189)*E2_tabla_vida!$P$189,EXP(-E205*E2_tabla_vida!$X$190)*E2_tabla_vida!$P$190,EXP(-E205*E2_tabla_vida!$X$191)*E2_tabla_vida!$P$191,EXP(-E205*E2_tabla_vida!$X$192)*E2_tabla_vida!$P$192,EXP(-E205*E2_tabla_vida!$X$193)*E2_tabla_vida!$P$193,EXP(-E205*E2_tabla_vida!$X$194)*E2_tabla_vida!$P$194,EXP(-E205*E2_tabla_vida!$X$195)*E2_tabla_vida!$P$195,EXP(-E205*E2_tabla_vida!$X$196)*E2_tabla_vida!$P$196,EXP(-E205*E2_tabla_vida!$X$197)*E2_tabla_vida!$P$197,EXP(-E205*E2_tabla_vida!$X$198)*E2_tabla_vida!$P$198,EXP(-E205*E2_tabla_vida!$X$199)*E2_tabla_vida!$P$199,EXP(-E205*E2_tabla_vida!$X$200)*E2_tabla_vida!$P$200,EXP(-E205*E2_tabla_vida!$X$201)*E2_tabla_vida!$P$201,EXP(-E205*E2_tabla_vida!$X$202)*E2_tabla_vida!$P$202,EXP(-E205*E2_tabla_vida!$X$203)*E2_tabla_vida!$P$203,EXP(-E205*E2_tabla_vida!$X$204)*E2_tabla_vida!$P$204,EXP(-E205*E2_tabla_vida!$X$205)*E2_tabla_vida!$P$205,EXP(-E205*E2_tabla_vida!$X$206)*E2_tabla_vida!$P$206,EXP(-E205*E2_tabla_vida!$X$207)*E2_tabla_vida!$P$207,EXP(-E205*E2_tabla_vida!$X$208)*E2_tabla_vida!$P$208,EXP(-E205*E2_tabla_vida!$X$209)*E2_tabla_vida!$P$209,EXP(-E205*E2_tabla_vida!$X$210)*E2_tabla_vida!$P$210,EXP(-E205*E2_tabla_vida!$X$211)*E2_tabla_vida!$P$211)-1</x:f>
        <x:v>-0.000004464607956000677</x:v>
      </x:c>
      <x:c r="G205" s="24" t="n">
        <x:f>SUM(EXP(-C205*E2_tabla_vida!$X$170)*E2_tabla_vida!$P$170,EXP(-C205*E2_tabla_vida!$X$171)*E2_tabla_vida!$P$171,EXP(-C205*E2_tabla_vida!$X$172)*E2_tabla_vida!$P$172,EXP(-C205*E2_tabla_vida!$X$173)*E2_tabla_vida!$P$173,EXP(-C205*E2_tabla_vida!$X$174)*E2_tabla_vida!$P$174,EXP(-C205*E2_tabla_vida!$X$175)*E2_tabla_vida!$P$175,EXP(-C205*E2_tabla_vida!$X$176)*E2_tabla_vida!$P$176,EXP(-C205*E2_tabla_vida!$X$177)*E2_tabla_vida!$P$177,EXP(-C205*E2_tabla_vida!$X$178)*E2_tabla_vida!$P$178,EXP(-C205*E2_tabla_vida!$X$179)*E2_tabla_vida!$P$179,EXP(-C205*E2_tabla_vida!$X$180)*E2_tabla_vida!$P$180,EXP(-C205*E2_tabla_vida!$X$181)*E2_tabla_vida!$P$181,EXP(-C205*E2_tabla_vida!$X$182)*E2_tabla_vida!$P$182,EXP(-C205*E2_tabla_vida!$X$183)*E2_tabla_vida!$P$183,EXP(-C205*E2_tabla_vida!$X$184)*E2_tabla_vida!$P$184,EXP(-C205*E2_tabla_vida!$X$185)*E2_tabla_vida!$P$185,EXP(-C205*E2_tabla_vida!$X$186)*E2_tabla_vida!$P$186,EXP(-C205*E2_tabla_vida!$X$187)*E2_tabla_vida!$P$187,EXP(-C205*E2_tabla_vida!$X$188)*E2_tabla_vida!$P$188,EXP(-C205*E2_tabla_vida!$X$189)*E2_tabla_vida!$P$189,EXP(-C205*E2_tabla_vida!$X$190)*E2_tabla_vida!$P$190,EXP(-C205*E2_tabla_vida!$X$191)*E2_tabla_vida!$P$191,EXP(-C205*E2_tabla_vida!$X$192)*E2_tabla_vida!$P$192,EXP(-C205*E2_tabla_vida!$X$193)*E2_tabla_vida!$P$193,EXP(-C205*E2_tabla_vida!$X$194)*E2_tabla_vida!$P$194,EXP(-C205*E2_tabla_vida!$X$195)*E2_tabla_vida!$P$195,EXP(-C205*E2_tabla_vida!$X$196)*E2_tabla_vida!$P$196,EXP(-C205*E2_tabla_vida!$X$197)*E2_tabla_vida!$P$197,EXP(-C205*E2_tabla_vida!$X$198)*E2_tabla_vida!$P$198,EXP(-C205*E2_tabla_vida!$X$199)*E2_tabla_vida!$P$199,EXP(-C205*E2_tabla_vida!$X$200)*E2_tabla_vida!$P$200,EXP(-C205*E2_tabla_vida!$X$201)*E2_tabla_vida!$P$201,EXP(-C205*E2_tabla_vida!$X$202)*E2_tabla_vida!$P$202,EXP(-C205*E2_tabla_vida!$X$203)*E2_tabla_vida!$P$203,EXP(-C205*E2_tabla_vida!$X$204)*E2_tabla_vida!$P$204,EXP(-C205*E2_tabla_vida!$X$205)*E2_tabla_vida!$P$205,EXP(-C205*E2_tabla_vida!$X$206)*E2_tabla_vida!$P$206,EXP(-C205*E2_tabla_vida!$X$207)*E2_tabla_vida!$P$207,EXP(-C205*E2_tabla_vida!$X$208)*E2_tabla_vida!$P$208,EXP(-C205*E2_tabla_vida!$X$209)*E2_tabla_vida!$P$209,EXP(-C205*E2_tabla_vida!$X$210)*E2_tabla_vida!$P$210,EXP(-C205*E2_tabla_vida!$X$211)*E2_tabla_vida!$P$211)-1</x:f>
        <x:v>0.000038104075000378046</x:v>
      </x:c>
      <x:c r="H205" s="24" t="n">
        <x:f>SUM(EXP(-D205*E2_tabla_vida!$X$170)*E2_tabla_vida!$P$170,EXP(-D205*E2_tabla_vida!$X$171)*E2_tabla_vida!$P$171,EXP(-D205*E2_tabla_vida!$X$172)*E2_tabla_vida!$P$172,EXP(-D205*E2_tabla_vida!$X$173)*E2_tabla_vida!$P$173,EXP(-D205*E2_tabla_vida!$X$174)*E2_tabla_vida!$P$174,EXP(-D205*E2_tabla_vida!$X$175)*E2_tabla_vida!$P$175,EXP(-D205*E2_tabla_vida!$X$176)*E2_tabla_vida!$P$176,EXP(-D205*E2_tabla_vida!$X$177)*E2_tabla_vida!$P$177,EXP(-D205*E2_tabla_vida!$X$178)*E2_tabla_vida!$P$178,EXP(-D205*E2_tabla_vida!$X$179)*E2_tabla_vida!$P$179,EXP(-D205*E2_tabla_vida!$X$180)*E2_tabla_vida!$P$180,EXP(-D205*E2_tabla_vida!$X$181)*E2_tabla_vida!$P$181,EXP(-D205*E2_tabla_vida!$X$182)*E2_tabla_vida!$P$182,EXP(-D205*E2_tabla_vida!$X$183)*E2_tabla_vida!$P$183,EXP(-D205*E2_tabla_vida!$X$184)*E2_tabla_vida!$P$184,EXP(-D205*E2_tabla_vida!$X$185)*E2_tabla_vida!$P$185,EXP(-D205*E2_tabla_vida!$X$186)*E2_tabla_vida!$P$186,EXP(-D205*E2_tabla_vida!$X$187)*E2_tabla_vida!$P$187,EXP(-D205*E2_tabla_vida!$X$188)*E2_tabla_vida!$P$188,EXP(-D205*E2_tabla_vida!$X$189)*E2_tabla_vida!$P$189,EXP(-D205*E2_tabla_vida!$X$190)*E2_tabla_vida!$P$190,EXP(-D205*E2_tabla_vida!$X$191)*E2_tabla_vida!$P$191,EXP(-D205*E2_tabla_vida!$X$192)*E2_tabla_vida!$P$192,EXP(-D205*E2_tabla_vida!$X$193)*E2_tabla_vida!$P$193,EXP(-D205*E2_tabla_vida!$X$194)*E2_tabla_vida!$P$194,EXP(-D205*E2_tabla_vida!$X$195)*E2_tabla_vida!$P$195,EXP(-D205*E2_tabla_vida!$X$196)*E2_tabla_vida!$P$196,EXP(-D205*E2_tabla_vida!$X$197)*E2_tabla_vida!$P$197,EXP(-D205*E2_tabla_vida!$X$198)*E2_tabla_vida!$P$198,EXP(-D205*E2_tabla_vida!$X$199)*E2_tabla_vida!$P$199,EXP(-D205*E2_tabla_vida!$X$200)*E2_tabla_vida!$P$200,EXP(-D205*E2_tabla_vida!$X$201)*E2_tabla_vida!$P$201,EXP(-D205*E2_tabla_vida!$X$202)*E2_tabla_vida!$P$202,EXP(-D205*E2_tabla_vida!$X$203)*E2_tabla_vida!$P$203,EXP(-D205*E2_tabla_vida!$X$204)*E2_tabla_vida!$P$204,EXP(-D205*E2_tabla_vida!$X$205)*E2_tabla_vida!$P$205,EXP(-D205*E2_tabla_vida!$X$206)*E2_tabla_vida!$P$206,EXP(-D205*E2_tabla_vida!$X$207)*E2_tabla_vida!$P$207,EXP(-D205*E2_tabla_vida!$X$208)*E2_tabla_vida!$P$208,EXP(-D205*E2_tabla_vida!$X$209)*E2_tabla_vida!$P$209,EXP(-D205*E2_tabla_vida!$X$210)*E2_tabla_vida!$P$210,EXP(-D205*E2_tabla_vida!$X$211)*E2_tabla_vida!$P$211)-1</x:f>
        <x:v>-0.000047031376563255733</x:v>
      </x:c>
    </x:row>
    <x:row r="206" ht="19" customHeight="1">
      <x:c r="A206" s="2" t="str">
        <x:v>BB_L8</x:v>
      </x:c>
      <x:c r="B206" s="2" t="n">
        <x:v>20</x:v>
      </x:c>
      <x:c r="C206" s="22" t="n">
        <x:f>IF(F205&gt;0,E205,C205)</x:f>
        <x:v>0.19571876525878906</x:v>
      </x:c>
      <x:c r="D206" s="22" t="n">
        <x:f>IF(F205&gt;0,D205,E205)</x:f>
        <x:v>0.19572162628173828</x:v>
      </x:c>
      <x:c r="E206" s="22" t="n">
        <x:f>AVERAGE(C206:D206)</x:f>
        <x:v>0.19572019577026367</x:v>
      </x:c>
      <x:c r="F206" s="24" t="n">
        <x:f>SUM(EXP(-E206*E2_tabla_vida!$X$170)*E2_tabla_vida!$P$170,EXP(-E206*E2_tabla_vida!$X$171)*E2_tabla_vida!$P$171,EXP(-E206*E2_tabla_vida!$X$172)*E2_tabla_vida!$P$172,EXP(-E206*E2_tabla_vida!$X$173)*E2_tabla_vida!$P$173,EXP(-E206*E2_tabla_vida!$X$174)*E2_tabla_vida!$P$174,EXP(-E206*E2_tabla_vida!$X$175)*E2_tabla_vida!$P$175,EXP(-E206*E2_tabla_vida!$X$176)*E2_tabla_vida!$P$176,EXP(-E206*E2_tabla_vida!$X$177)*E2_tabla_vida!$P$177,EXP(-E206*E2_tabla_vida!$X$178)*E2_tabla_vida!$P$178,EXP(-E206*E2_tabla_vida!$X$179)*E2_tabla_vida!$P$179,EXP(-E206*E2_tabla_vida!$X$180)*E2_tabla_vida!$P$180,EXP(-E206*E2_tabla_vida!$X$181)*E2_tabla_vida!$P$181,EXP(-E206*E2_tabla_vida!$X$182)*E2_tabla_vida!$P$182,EXP(-E206*E2_tabla_vida!$X$183)*E2_tabla_vida!$P$183,EXP(-E206*E2_tabla_vida!$X$184)*E2_tabla_vida!$P$184,EXP(-E206*E2_tabla_vida!$X$185)*E2_tabla_vida!$P$185,EXP(-E206*E2_tabla_vida!$X$186)*E2_tabla_vida!$P$186,EXP(-E206*E2_tabla_vida!$X$187)*E2_tabla_vida!$P$187,EXP(-E206*E2_tabla_vida!$X$188)*E2_tabla_vida!$P$188,EXP(-E206*E2_tabla_vida!$X$189)*E2_tabla_vida!$P$189,EXP(-E206*E2_tabla_vida!$X$190)*E2_tabla_vida!$P$190,EXP(-E206*E2_tabla_vida!$X$191)*E2_tabla_vida!$P$191,EXP(-E206*E2_tabla_vida!$X$192)*E2_tabla_vida!$P$192,EXP(-E206*E2_tabla_vida!$X$193)*E2_tabla_vida!$P$193,EXP(-E206*E2_tabla_vida!$X$194)*E2_tabla_vida!$P$194,EXP(-E206*E2_tabla_vida!$X$195)*E2_tabla_vida!$P$195,EXP(-E206*E2_tabla_vida!$X$196)*E2_tabla_vida!$P$196,EXP(-E206*E2_tabla_vida!$X$197)*E2_tabla_vida!$P$197,EXP(-E206*E2_tabla_vida!$X$198)*E2_tabla_vida!$P$198,EXP(-E206*E2_tabla_vida!$X$199)*E2_tabla_vida!$P$199,EXP(-E206*E2_tabla_vida!$X$200)*E2_tabla_vida!$P$200,EXP(-E206*E2_tabla_vida!$X$201)*E2_tabla_vida!$P$201,EXP(-E206*E2_tabla_vida!$X$202)*E2_tabla_vida!$P$202,EXP(-E206*E2_tabla_vida!$X$203)*E2_tabla_vida!$P$203,EXP(-E206*E2_tabla_vida!$X$204)*E2_tabla_vida!$P$204,EXP(-E206*E2_tabla_vida!$X$205)*E2_tabla_vida!$P$205,EXP(-E206*E2_tabla_vida!$X$206)*E2_tabla_vida!$P$206,EXP(-E206*E2_tabla_vida!$X$207)*E2_tabla_vida!$P$207,EXP(-E206*E2_tabla_vida!$X$208)*E2_tabla_vida!$P$208,EXP(-E206*E2_tabla_vida!$X$209)*E2_tabla_vida!$P$209,EXP(-E206*E2_tabla_vida!$X$210)*E2_tabla_vida!$P$210,EXP(-E206*E2_tabla_vida!$X$211)*E2_tabla_vida!$P$211)-1</x:f>
        <x:v>0.000016819494222719555</x:v>
      </x:c>
      <x:c r="G206" s="24" t="n">
        <x:f>SUM(EXP(-C206*E2_tabla_vida!$X$170)*E2_tabla_vida!$P$170,EXP(-C206*E2_tabla_vida!$X$171)*E2_tabla_vida!$P$171,EXP(-C206*E2_tabla_vida!$X$172)*E2_tabla_vida!$P$172,EXP(-C206*E2_tabla_vida!$X$173)*E2_tabla_vida!$P$173,EXP(-C206*E2_tabla_vida!$X$174)*E2_tabla_vida!$P$174,EXP(-C206*E2_tabla_vida!$X$175)*E2_tabla_vida!$P$175,EXP(-C206*E2_tabla_vida!$X$176)*E2_tabla_vida!$P$176,EXP(-C206*E2_tabla_vida!$X$177)*E2_tabla_vida!$P$177,EXP(-C206*E2_tabla_vida!$X$178)*E2_tabla_vida!$P$178,EXP(-C206*E2_tabla_vida!$X$179)*E2_tabla_vida!$P$179,EXP(-C206*E2_tabla_vida!$X$180)*E2_tabla_vida!$P$180,EXP(-C206*E2_tabla_vida!$X$181)*E2_tabla_vida!$P$181,EXP(-C206*E2_tabla_vida!$X$182)*E2_tabla_vida!$P$182,EXP(-C206*E2_tabla_vida!$X$183)*E2_tabla_vida!$P$183,EXP(-C206*E2_tabla_vida!$X$184)*E2_tabla_vida!$P$184,EXP(-C206*E2_tabla_vida!$X$185)*E2_tabla_vida!$P$185,EXP(-C206*E2_tabla_vida!$X$186)*E2_tabla_vida!$P$186,EXP(-C206*E2_tabla_vida!$X$187)*E2_tabla_vida!$P$187,EXP(-C206*E2_tabla_vida!$X$188)*E2_tabla_vida!$P$188,EXP(-C206*E2_tabla_vida!$X$189)*E2_tabla_vida!$P$189,EXP(-C206*E2_tabla_vida!$X$190)*E2_tabla_vida!$P$190,EXP(-C206*E2_tabla_vida!$X$191)*E2_tabla_vida!$P$191,EXP(-C206*E2_tabla_vida!$X$192)*E2_tabla_vida!$P$192,EXP(-C206*E2_tabla_vida!$X$193)*E2_tabla_vida!$P$193,EXP(-C206*E2_tabla_vida!$X$194)*E2_tabla_vida!$P$194,EXP(-C206*E2_tabla_vida!$X$195)*E2_tabla_vida!$P$195,EXP(-C206*E2_tabla_vida!$X$196)*E2_tabla_vida!$P$196,EXP(-C206*E2_tabla_vida!$X$197)*E2_tabla_vida!$P$197,EXP(-C206*E2_tabla_vida!$X$198)*E2_tabla_vida!$P$198,EXP(-C206*E2_tabla_vida!$X$199)*E2_tabla_vida!$P$199,EXP(-C206*E2_tabla_vida!$X$200)*E2_tabla_vida!$P$200,EXP(-C206*E2_tabla_vida!$X$201)*E2_tabla_vida!$P$201,EXP(-C206*E2_tabla_vida!$X$202)*E2_tabla_vida!$P$202,EXP(-C206*E2_tabla_vida!$X$203)*E2_tabla_vida!$P$203,EXP(-C206*E2_tabla_vida!$X$204)*E2_tabla_vida!$P$204,EXP(-C206*E2_tabla_vida!$X$205)*E2_tabla_vida!$P$205,EXP(-C206*E2_tabla_vida!$X$206)*E2_tabla_vida!$P$206,EXP(-C206*E2_tabla_vida!$X$207)*E2_tabla_vida!$P$207,EXP(-C206*E2_tabla_vida!$X$208)*E2_tabla_vida!$P$208,EXP(-C206*E2_tabla_vida!$X$209)*E2_tabla_vida!$P$209,EXP(-C206*E2_tabla_vida!$X$210)*E2_tabla_vida!$P$210,EXP(-C206*E2_tabla_vida!$X$211)*E2_tabla_vida!$P$211)-1</x:f>
        <x:v>0.000038104075000378046</x:v>
      </x:c>
      <x:c r="H206" s="24" t="n">
        <x:f>SUM(EXP(-D206*E2_tabla_vida!$X$170)*E2_tabla_vida!$P$170,EXP(-D206*E2_tabla_vida!$X$171)*E2_tabla_vida!$P$171,EXP(-D206*E2_tabla_vida!$X$172)*E2_tabla_vida!$P$172,EXP(-D206*E2_tabla_vida!$X$173)*E2_tabla_vida!$P$173,EXP(-D206*E2_tabla_vida!$X$174)*E2_tabla_vida!$P$174,EXP(-D206*E2_tabla_vida!$X$175)*E2_tabla_vida!$P$175,EXP(-D206*E2_tabla_vida!$X$176)*E2_tabla_vida!$P$176,EXP(-D206*E2_tabla_vida!$X$177)*E2_tabla_vida!$P$177,EXP(-D206*E2_tabla_vida!$X$178)*E2_tabla_vida!$P$178,EXP(-D206*E2_tabla_vida!$X$179)*E2_tabla_vida!$P$179,EXP(-D206*E2_tabla_vida!$X$180)*E2_tabla_vida!$P$180,EXP(-D206*E2_tabla_vida!$X$181)*E2_tabla_vida!$P$181,EXP(-D206*E2_tabla_vida!$X$182)*E2_tabla_vida!$P$182,EXP(-D206*E2_tabla_vida!$X$183)*E2_tabla_vida!$P$183,EXP(-D206*E2_tabla_vida!$X$184)*E2_tabla_vida!$P$184,EXP(-D206*E2_tabla_vida!$X$185)*E2_tabla_vida!$P$185,EXP(-D206*E2_tabla_vida!$X$186)*E2_tabla_vida!$P$186,EXP(-D206*E2_tabla_vida!$X$187)*E2_tabla_vida!$P$187,EXP(-D206*E2_tabla_vida!$X$188)*E2_tabla_vida!$P$188,EXP(-D206*E2_tabla_vida!$X$189)*E2_tabla_vida!$P$189,EXP(-D206*E2_tabla_vida!$X$190)*E2_tabla_vida!$P$190,EXP(-D206*E2_tabla_vida!$X$191)*E2_tabla_vida!$P$191,EXP(-D206*E2_tabla_vida!$X$192)*E2_tabla_vida!$P$192,EXP(-D206*E2_tabla_vida!$X$193)*E2_tabla_vida!$P$193,EXP(-D206*E2_tabla_vida!$X$194)*E2_tabla_vida!$P$194,EXP(-D206*E2_tabla_vida!$X$195)*E2_tabla_vida!$P$195,EXP(-D206*E2_tabla_vida!$X$196)*E2_tabla_vida!$P$196,EXP(-D206*E2_tabla_vida!$X$197)*E2_tabla_vida!$P$197,EXP(-D206*E2_tabla_vida!$X$198)*E2_tabla_vida!$P$198,EXP(-D206*E2_tabla_vida!$X$199)*E2_tabla_vida!$P$199,EXP(-D206*E2_tabla_vida!$X$200)*E2_tabla_vida!$P$200,EXP(-D206*E2_tabla_vida!$X$201)*E2_tabla_vida!$P$201,EXP(-D206*E2_tabla_vida!$X$202)*E2_tabla_vida!$P$202,EXP(-D206*E2_tabla_vida!$X$203)*E2_tabla_vida!$P$203,EXP(-D206*E2_tabla_vida!$X$204)*E2_tabla_vida!$P$204,EXP(-D206*E2_tabla_vida!$X$205)*E2_tabla_vida!$P$205,EXP(-D206*E2_tabla_vida!$X$206)*E2_tabla_vida!$P$206,EXP(-D206*E2_tabla_vida!$X$207)*E2_tabla_vida!$P$207,EXP(-D206*E2_tabla_vida!$X$208)*E2_tabla_vida!$P$208,EXP(-D206*E2_tabla_vida!$X$209)*E2_tabla_vida!$P$209,EXP(-D206*E2_tabla_vida!$X$210)*E2_tabla_vida!$P$210,EXP(-D206*E2_tabla_vida!$X$211)*E2_tabla_vida!$P$211)-1</x:f>
        <x:v>-0.000004464607956000677</x:v>
      </x:c>
    </x:row>
    <x:row r="207" ht="19" customHeight="1">
      <x:c r="A207" s="2" t="str">
        <x:v>BB_L8</x:v>
      </x:c>
      <x:c r="B207" s="2" t="n">
        <x:v>21</x:v>
      </x:c>
      <x:c r="C207" s="22" t="n">
        <x:f>IF(F206&gt;0,E206,C206)</x:f>
        <x:v>0.19572019577026367</x:v>
      </x:c>
      <x:c r="D207" s="22" t="n">
        <x:f>IF(F206&gt;0,D206,E206)</x:f>
        <x:v>0.19572162628173828</x:v>
      </x:c>
      <x:c r="E207" s="22" t="n">
        <x:f>AVERAGE(C207:D207)</x:f>
        <x:v>0.19572091102600098</x:v>
      </x:c>
      <x:c r="F207" s="24" t="n">
        <x:f>SUM(EXP(-E207*E2_tabla_vida!$X$170)*E2_tabla_vida!$P$170,EXP(-E207*E2_tabla_vida!$X$171)*E2_tabla_vida!$P$171,EXP(-E207*E2_tabla_vida!$X$172)*E2_tabla_vida!$P$172,EXP(-E207*E2_tabla_vida!$X$173)*E2_tabla_vida!$P$173,EXP(-E207*E2_tabla_vida!$X$174)*E2_tabla_vida!$P$174,EXP(-E207*E2_tabla_vida!$X$175)*E2_tabla_vida!$P$175,EXP(-E207*E2_tabla_vida!$X$176)*E2_tabla_vida!$P$176,EXP(-E207*E2_tabla_vida!$X$177)*E2_tabla_vida!$P$177,EXP(-E207*E2_tabla_vida!$X$178)*E2_tabla_vida!$P$178,EXP(-E207*E2_tabla_vida!$X$179)*E2_tabla_vida!$P$179,EXP(-E207*E2_tabla_vida!$X$180)*E2_tabla_vida!$P$180,EXP(-E207*E2_tabla_vida!$X$181)*E2_tabla_vida!$P$181,EXP(-E207*E2_tabla_vida!$X$182)*E2_tabla_vida!$P$182,EXP(-E207*E2_tabla_vida!$X$183)*E2_tabla_vida!$P$183,EXP(-E207*E2_tabla_vida!$X$184)*E2_tabla_vida!$P$184,EXP(-E207*E2_tabla_vida!$X$185)*E2_tabla_vida!$P$185,EXP(-E207*E2_tabla_vida!$X$186)*E2_tabla_vida!$P$186,EXP(-E207*E2_tabla_vida!$X$187)*E2_tabla_vida!$P$187,EXP(-E207*E2_tabla_vida!$X$188)*E2_tabla_vida!$P$188,EXP(-E207*E2_tabla_vida!$X$189)*E2_tabla_vida!$P$189,EXP(-E207*E2_tabla_vida!$X$190)*E2_tabla_vida!$P$190,EXP(-E207*E2_tabla_vida!$X$191)*E2_tabla_vida!$P$191,EXP(-E207*E2_tabla_vida!$X$192)*E2_tabla_vida!$P$192,EXP(-E207*E2_tabla_vida!$X$193)*E2_tabla_vida!$P$193,EXP(-E207*E2_tabla_vida!$X$194)*E2_tabla_vida!$P$194,EXP(-E207*E2_tabla_vida!$X$195)*E2_tabla_vida!$P$195,EXP(-E207*E2_tabla_vida!$X$196)*E2_tabla_vida!$P$196,EXP(-E207*E2_tabla_vida!$X$197)*E2_tabla_vida!$P$197,EXP(-E207*E2_tabla_vida!$X$198)*E2_tabla_vida!$P$198,EXP(-E207*E2_tabla_vida!$X$199)*E2_tabla_vida!$P$199,EXP(-E207*E2_tabla_vida!$X$200)*E2_tabla_vida!$P$200,EXP(-E207*E2_tabla_vida!$X$201)*E2_tabla_vida!$P$201,EXP(-E207*E2_tabla_vida!$X$202)*E2_tabla_vida!$P$202,EXP(-E207*E2_tabla_vida!$X$203)*E2_tabla_vida!$P$203,EXP(-E207*E2_tabla_vida!$X$204)*E2_tabla_vida!$P$204,EXP(-E207*E2_tabla_vida!$X$205)*E2_tabla_vida!$P$205,EXP(-E207*E2_tabla_vida!$X$206)*E2_tabla_vida!$P$206,EXP(-E207*E2_tabla_vida!$X$207)*E2_tabla_vida!$P$207,EXP(-E207*E2_tabla_vida!$X$208)*E2_tabla_vida!$P$208,EXP(-E207*E2_tabla_vida!$X$209)*E2_tabla_vida!$P$209,EXP(-E207*E2_tabla_vida!$X$210)*E2_tabla_vida!$P$210,EXP(-E207*E2_tabla_vida!$X$211)*E2_tabla_vida!$P$211)-1</x:f>
        <x:v>0.000006177383309324824</x:v>
      </x:c>
      <x:c r="G207" s="24" t="n">
        <x:f>SUM(EXP(-C207*E2_tabla_vida!$X$170)*E2_tabla_vida!$P$170,EXP(-C207*E2_tabla_vida!$X$171)*E2_tabla_vida!$P$171,EXP(-C207*E2_tabla_vida!$X$172)*E2_tabla_vida!$P$172,EXP(-C207*E2_tabla_vida!$X$173)*E2_tabla_vida!$P$173,EXP(-C207*E2_tabla_vida!$X$174)*E2_tabla_vida!$P$174,EXP(-C207*E2_tabla_vida!$X$175)*E2_tabla_vida!$P$175,EXP(-C207*E2_tabla_vida!$X$176)*E2_tabla_vida!$P$176,EXP(-C207*E2_tabla_vida!$X$177)*E2_tabla_vida!$P$177,EXP(-C207*E2_tabla_vida!$X$178)*E2_tabla_vida!$P$178,EXP(-C207*E2_tabla_vida!$X$179)*E2_tabla_vida!$P$179,EXP(-C207*E2_tabla_vida!$X$180)*E2_tabla_vida!$P$180,EXP(-C207*E2_tabla_vida!$X$181)*E2_tabla_vida!$P$181,EXP(-C207*E2_tabla_vida!$X$182)*E2_tabla_vida!$P$182,EXP(-C207*E2_tabla_vida!$X$183)*E2_tabla_vida!$P$183,EXP(-C207*E2_tabla_vida!$X$184)*E2_tabla_vida!$P$184,EXP(-C207*E2_tabla_vida!$X$185)*E2_tabla_vida!$P$185,EXP(-C207*E2_tabla_vida!$X$186)*E2_tabla_vida!$P$186,EXP(-C207*E2_tabla_vida!$X$187)*E2_tabla_vida!$P$187,EXP(-C207*E2_tabla_vida!$X$188)*E2_tabla_vida!$P$188,EXP(-C207*E2_tabla_vida!$X$189)*E2_tabla_vida!$P$189,EXP(-C207*E2_tabla_vida!$X$190)*E2_tabla_vida!$P$190,EXP(-C207*E2_tabla_vida!$X$191)*E2_tabla_vida!$P$191,EXP(-C207*E2_tabla_vida!$X$192)*E2_tabla_vida!$P$192,EXP(-C207*E2_tabla_vida!$X$193)*E2_tabla_vida!$P$193,EXP(-C207*E2_tabla_vida!$X$194)*E2_tabla_vida!$P$194,EXP(-C207*E2_tabla_vida!$X$195)*E2_tabla_vida!$P$195,EXP(-C207*E2_tabla_vida!$X$196)*E2_tabla_vida!$P$196,EXP(-C207*E2_tabla_vida!$X$197)*E2_tabla_vida!$P$197,EXP(-C207*E2_tabla_vida!$X$198)*E2_tabla_vida!$P$198,EXP(-C207*E2_tabla_vida!$X$199)*E2_tabla_vida!$P$199,EXP(-C207*E2_tabla_vida!$X$200)*E2_tabla_vida!$P$200,EXP(-C207*E2_tabla_vida!$X$201)*E2_tabla_vida!$P$201,EXP(-C207*E2_tabla_vida!$X$202)*E2_tabla_vida!$P$202,EXP(-C207*E2_tabla_vida!$X$203)*E2_tabla_vida!$P$203,EXP(-C207*E2_tabla_vida!$X$204)*E2_tabla_vida!$P$204,EXP(-C207*E2_tabla_vida!$X$205)*E2_tabla_vida!$P$205,EXP(-C207*E2_tabla_vida!$X$206)*E2_tabla_vida!$P$206,EXP(-C207*E2_tabla_vida!$X$207)*E2_tabla_vida!$P$207,EXP(-C207*E2_tabla_vida!$X$208)*E2_tabla_vida!$P$208,EXP(-C207*E2_tabla_vida!$X$209)*E2_tabla_vida!$P$209,EXP(-C207*E2_tabla_vida!$X$210)*E2_tabla_vida!$P$210,EXP(-C207*E2_tabla_vida!$X$211)*E2_tabla_vida!$P$211)-1</x:f>
        <x:v>0.000016819494222719555</x:v>
      </x:c>
      <x:c r="H207" s="24" t="n">
        <x:f>SUM(EXP(-D207*E2_tabla_vida!$X$170)*E2_tabla_vida!$P$170,EXP(-D207*E2_tabla_vida!$X$171)*E2_tabla_vida!$P$171,EXP(-D207*E2_tabla_vida!$X$172)*E2_tabla_vida!$P$172,EXP(-D207*E2_tabla_vida!$X$173)*E2_tabla_vida!$P$173,EXP(-D207*E2_tabla_vida!$X$174)*E2_tabla_vida!$P$174,EXP(-D207*E2_tabla_vida!$X$175)*E2_tabla_vida!$P$175,EXP(-D207*E2_tabla_vida!$X$176)*E2_tabla_vida!$P$176,EXP(-D207*E2_tabla_vida!$X$177)*E2_tabla_vida!$P$177,EXP(-D207*E2_tabla_vida!$X$178)*E2_tabla_vida!$P$178,EXP(-D207*E2_tabla_vida!$X$179)*E2_tabla_vida!$P$179,EXP(-D207*E2_tabla_vida!$X$180)*E2_tabla_vida!$P$180,EXP(-D207*E2_tabla_vida!$X$181)*E2_tabla_vida!$P$181,EXP(-D207*E2_tabla_vida!$X$182)*E2_tabla_vida!$P$182,EXP(-D207*E2_tabla_vida!$X$183)*E2_tabla_vida!$P$183,EXP(-D207*E2_tabla_vida!$X$184)*E2_tabla_vida!$P$184,EXP(-D207*E2_tabla_vida!$X$185)*E2_tabla_vida!$P$185,EXP(-D207*E2_tabla_vida!$X$186)*E2_tabla_vida!$P$186,EXP(-D207*E2_tabla_vida!$X$187)*E2_tabla_vida!$P$187,EXP(-D207*E2_tabla_vida!$X$188)*E2_tabla_vida!$P$188,EXP(-D207*E2_tabla_vida!$X$189)*E2_tabla_vida!$P$189,EXP(-D207*E2_tabla_vida!$X$190)*E2_tabla_vida!$P$190,EXP(-D207*E2_tabla_vida!$X$191)*E2_tabla_vida!$P$191,EXP(-D207*E2_tabla_vida!$X$192)*E2_tabla_vida!$P$192,EXP(-D207*E2_tabla_vida!$X$193)*E2_tabla_vida!$P$193,EXP(-D207*E2_tabla_vida!$X$194)*E2_tabla_vida!$P$194,EXP(-D207*E2_tabla_vida!$X$195)*E2_tabla_vida!$P$195,EXP(-D207*E2_tabla_vida!$X$196)*E2_tabla_vida!$P$196,EXP(-D207*E2_tabla_vida!$X$197)*E2_tabla_vida!$P$197,EXP(-D207*E2_tabla_vida!$X$198)*E2_tabla_vida!$P$198,EXP(-D207*E2_tabla_vida!$X$199)*E2_tabla_vida!$P$199,EXP(-D207*E2_tabla_vida!$X$200)*E2_tabla_vida!$P$200,EXP(-D207*E2_tabla_vida!$X$201)*E2_tabla_vida!$P$201,EXP(-D207*E2_tabla_vida!$X$202)*E2_tabla_vida!$P$202,EXP(-D207*E2_tabla_vida!$X$203)*E2_tabla_vida!$P$203,EXP(-D207*E2_tabla_vida!$X$204)*E2_tabla_vida!$P$204,EXP(-D207*E2_tabla_vida!$X$205)*E2_tabla_vida!$P$205,EXP(-D207*E2_tabla_vida!$X$206)*E2_tabla_vida!$P$206,EXP(-D207*E2_tabla_vida!$X$207)*E2_tabla_vida!$P$207,EXP(-D207*E2_tabla_vida!$X$208)*E2_tabla_vida!$P$208,EXP(-D207*E2_tabla_vida!$X$209)*E2_tabla_vida!$P$209,EXP(-D207*E2_tabla_vida!$X$210)*E2_tabla_vida!$P$210,EXP(-D207*E2_tabla_vida!$X$211)*E2_tabla_vida!$P$211)-1</x:f>
        <x:v>-0.000004464607956000677</x:v>
      </x:c>
    </x:row>
    <x:row r="208" ht="19" customHeight="1">
      <x:c r="A208" s="2" t="str">
        <x:v>BB_L8</x:v>
      </x:c>
      <x:c r="B208" s="2" t="n">
        <x:v>22</x:v>
      </x:c>
      <x:c r="C208" s="22" t="n">
        <x:f>IF(F207&gt;0,E207,C207)</x:f>
        <x:v>0.19572091102600098</x:v>
      </x:c>
      <x:c r="D208" s="22" t="n">
        <x:f>IF(F207&gt;0,D207,E207)</x:f>
        <x:v>0.19572162628173828</x:v>
      </x:c>
      <x:c r="E208" s="22" t="n">
        <x:f>AVERAGE(C208:D208)</x:f>
        <x:v>0.19572126865386963</x:v>
      </x:c>
      <x:c r="F208" s="24" t="n">
        <x:f>SUM(EXP(-E208*E2_tabla_vida!$X$170)*E2_tabla_vida!$P$170,EXP(-E208*E2_tabla_vida!$X$171)*E2_tabla_vida!$P$171,EXP(-E208*E2_tabla_vida!$X$172)*E2_tabla_vida!$P$172,EXP(-E208*E2_tabla_vida!$X$173)*E2_tabla_vida!$P$173,EXP(-E208*E2_tabla_vida!$X$174)*E2_tabla_vida!$P$174,EXP(-E208*E2_tabla_vida!$X$175)*E2_tabla_vida!$P$175,EXP(-E208*E2_tabla_vida!$X$176)*E2_tabla_vida!$P$176,EXP(-E208*E2_tabla_vida!$X$177)*E2_tabla_vida!$P$177,EXP(-E208*E2_tabla_vida!$X$178)*E2_tabla_vida!$P$178,EXP(-E208*E2_tabla_vida!$X$179)*E2_tabla_vida!$P$179,EXP(-E208*E2_tabla_vida!$X$180)*E2_tabla_vida!$P$180,EXP(-E208*E2_tabla_vida!$X$181)*E2_tabla_vida!$P$181,EXP(-E208*E2_tabla_vida!$X$182)*E2_tabla_vida!$P$182,EXP(-E208*E2_tabla_vida!$X$183)*E2_tabla_vida!$P$183,EXP(-E208*E2_tabla_vida!$X$184)*E2_tabla_vida!$P$184,EXP(-E208*E2_tabla_vida!$X$185)*E2_tabla_vida!$P$185,EXP(-E208*E2_tabla_vida!$X$186)*E2_tabla_vida!$P$186,EXP(-E208*E2_tabla_vida!$X$187)*E2_tabla_vida!$P$187,EXP(-E208*E2_tabla_vida!$X$188)*E2_tabla_vida!$P$188,EXP(-E208*E2_tabla_vida!$X$189)*E2_tabla_vida!$P$189,EXP(-E208*E2_tabla_vida!$X$190)*E2_tabla_vida!$P$190,EXP(-E208*E2_tabla_vida!$X$191)*E2_tabla_vida!$P$191,EXP(-E208*E2_tabla_vida!$X$192)*E2_tabla_vida!$P$192,EXP(-E208*E2_tabla_vida!$X$193)*E2_tabla_vida!$P$193,EXP(-E208*E2_tabla_vida!$X$194)*E2_tabla_vida!$P$194,EXP(-E208*E2_tabla_vida!$X$195)*E2_tabla_vida!$P$195,EXP(-E208*E2_tabla_vida!$X$196)*E2_tabla_vida!$P$196,EXP(-E208*E2_tabla_vida!$X$197)*E2_tabla_vida!$P$197,EXP(-E208*E2_tabla_vida!$X$198)*E2_tabla_vida!$P$198,EXP(-E208*E2_tabla_vida!$X$199)*E2_tabla_vida!$P$199,EXP(-E208*E2_tabla_vida!$X$200)*E2_tabla_vida!$P$200,EXP(-E208*E2_tabla_vida!$X$201)*E2_tabla_vida!$P$201,EXP(-E208*E2_tabla_vida!$X$202)*E2_tabla_vida!$P$202,EXP(-E208*E2_tabla_vida!$X$203)*E2_tabla_vida!$P$203,EXP(-E208*E2_tabla_vida!$X$204)*E2_tabla_vida!$P$204,EXP(-E208*E2_tabla_vida!$X$205)*E2_tabla_vida!$P$205,EXP(-E208*E2_tabla_vida!$X$206)*E2_tabla_vida!$P$206,EXP(-E208*E2_tabla_vida!$X$207)*E2_tabla_vida!$P$207,EXP(-E208*E2_tabla_vida!$X$208)*E2_tabla_vida!$P$208,EXP(-E208*E2_tabla_vida!$X$209)*E2_tabla_vida!$P$209,EXP(-E208*E2_tabla_vida!$X$210)*E2_tabla_vida!$P$210,EXP(-E208*E2_tabla_vida!$X$211)*E2_tabla_vida!$P$211)-1</x:f>
        <x:v>8.563727205146421e-7</x:v>
      </x:c>
      <x:c r="G208" s="24" t="n">
        <x:f>SUM(EXP(-C208*E2_tabla_vida!$X$170)*E2_tabla_vida!$P$170,EXP(-C208*E2_tabla_vida!$X$171)*E2_tabla_vida!$P$171,EXP(-C208*E2_tabla_vida!$X$172)*E2_tabla_vida!$P$172,EXP(-C208*E2_tabla_vida!$X$173)*E2_tabla_vida!$P$173,EXP(-C208*E2_tabla_vida!$X$174)*E2_tabla_vida!$P$174,EXP(-C208*E2_tabla_vida!$X$175)*E2_tabla_vida!$P$175,EXP(-C208*E2_tabla_vida!$X$176)*E2_tabla_vida!$P$176,EXP(-C208*E2_tabla_vida!$X$177)*E2_tabla_vida!$P$177,EXP(-C208*E2_tabla_vida!$X$178)*E2_tabla_vida!$P$178,EXP(-C208*E2_tabla_vida!$X$179)*E2_tabla_vida!$P$179,EXP(-C208*E2_tabla_vida!$X$180)*E2_tabla_vida!$P$180,EXP(-C208*E2_tabla_vida!$X$181)*E2_tabla_vida!$P$181,EXP(-C208*E2_tabla_vida!$X$182)*E2_tabla_vida!$P$182,EXP(-C208*E2_tabla_vida!$X$183)*E2_tabla_vida!$P$183,EXP(-C208*E2_tabla_vida!$X$184)*E2_tabla_vida!$P$184,EXP(-C208*E2_tabla_vida!$X$185)*E2_tabla_vida!$P$185,EXP(-C208*E2_tabla_vida!$X$186)*E2_tabla_vida!$P$186,EXP(-C208*E2_tabla_vida!$X$187)*E2_tabla_vida!$P$187,EXP(-C208*E2_tabla_vida!$X$188)*E2_tabla_vida!$P$188,EXP(-C208*E2_tabla_vida!$X$189)*E2_tabla_vida!$P$189,EXP(-C208*E2_tabla_vida!$X$190)*E2_tabla_vida!$P$190,EXP(-C208*E2_tabla_vida!$X$191)*E2_tabla_vida!$P$191,EXP(-C208*E2_tabla_vida!$X$192)*E2_tabla_vida!$P$192,EXP(-C208*E2_tabla_vida!$X$193)*E2_tabla_vida!$P$193,EXP(-C208*E2_tabla_vida!$X$194)*E2_tabla_vida!$P$194,EXP(-C208*E2_tabla_vida!$X$195)*E2_tabla_vida!$P$195,EXP(-C208*E2_tabla_vida!$X$196)*E2_tabla_vida!$P$196,EXP(-C208*E2_tabla_vida!$X$197)*E2_tabla_vida!$P$197,EXP(-C208*E2_tabla_vida!$X$198)*E2_tabla_vida!$P$198,EXP(-C208*E2_tabla_vida!$X$199)*E2_tabla_vida!$P$199,EXP(-C208*E2_tabla_vida!$X$200)*E2_tabla_vida!$P$200,EXP(-C208*E2_tabla_vida!$X$201)*E2_tabla_vida!$P$201,EXP(-C208*E2_tabla_vida!$X$202)*E2_tabla_vida!$P$202,EXP(-C208*E2_tabla_vida!$X$203)*E2_tabla_vida!$P$203,EXP(-C208*E2_tabla_vida!$X$204)*E2_tabla_vida!$P$204,EXP(-C208*E2_tabla_vida!$X$205)*E2_tabla_vida!$P$205,EXP(-C208*E2_tabla_vida!$X$206)*E2_tabla_vida!$P$206,EXP(-C208*E2_tabla_vida!$X$207)*E2_tabla_vida!$P$207,EXP(-C208*E2_tabla_vida!$X$208)*E2_tabla_vida!$P$208,EXP(-C208*E2_tabla_vida!$X$209)*E2_tabla_vida!$P$209,EXP(-C208*E2_tabla_vida!$X$210)*E2_tabla_vida!$P$210,EXP(-C208*E2_tabla_vida!$X$211)*E2_tabla_vida!$P$211)-1</x:f>
        <x:v>0.000006177383309324824</x:v>
      </x:c>
      <x:c r="H208" s="24" t="n">
        <x:f>SUM(EXP(-D208*E2_tabla_vida!$X$170)*E2_tabla_vida!$P$170,EXP(-D208*E2_tabla_vida!$X$171)*E2_tabla_vida!$P$171,EXP(-D208*E2_tabla_vida!$X$172)*E2_tabla_vida!$P$172,EXP(-D208*E2_tabla_vida!$X$173)*E2_tabla_vida!$P$173,EXP(-D208*E2_tabla_vida!$X$174)*E2_tabla_vida!$P$174,EXP(-D208*E2_tabla_vida!$X$175)*E2_tabla_vida!$P$175,EXP(-D208*E2_tabla_vida!$X$176)*E2_tabla_vida!$P$176,EXP(-D208*E2_tabla_vida!$X$177)*E2_tabla_vida!$P$177,EXP(-D208*E2_tabla_vida!$X$178)*E2_tabla_vida!$P$178,EXP(-D208*E2_tabla_vida!$X$179)*E2_tabla_vida!$P$179,EXP(-D208*E2_tabla_vida!$X$180)*E2_tabla_vida!$P$180,EXP(-D208*E2_tabla_vida!$X$181)*E2_tabla_vida!$P$181,EXP(-D208*E2_tabla_vida!$X$182)*E2_tabla_vida!$P$182,EXP(-D208*E2_tabla_vida!$X$183)*E2_tabla_vida!$P$183,EXP(-D208*E2_tabla_vida!$X$184)*E2_tabla_vida!$P$184,EXP(-D208*E2_tabla_vida!$X$185)*E2_tabla_vida!$P$185,EXP(-D208*E2_tabla_vida!$X$186)*E2_tabla_vida!$P$186,EXP(-D208*E2_tabla_vida!$X$187)*E2_tabla_vida!$P$187,EXP(-D208*E2_tabla_vida!$X$188)*E2_tabla_vida!$P$188,EXP(-D208*E2_tabla_vida!$X$189)*E2_tabla_vida!$P$189,EXP(-D208*E2_tabla_vida!$X$190)*E2_tabla_vida!$P$190,EXP(-D208*E2_tabla_vida!$X$191)*E2_tabla_vida!$P$191,EXP(-D208*E2_tabla_vida!$X$192)*E2_tabla_vida!$P$192,EXP(-D208*E2_tabla_vida!$X$193)*E2_tabla_vida!$P$193,EXP(-D208*E2_tabla_vida!$X$194)*E2_tabla_vida!$P$194,EXP(-D208*E2_tabla_vida!$X$195)*E2_tabla_vida!$P$195,EXP(-D208*E2_tabla_vida!$X$196)*E2_tabla_vida!$P$196,EXP(-D208*E2_tabla_vida!$X$197)*E2_tabla_vida!$P$197,EXP(-D208*E2_tabla_vida!$X$198)*E2_tabla_vida!$P$198,EXP(-D208*E2_tabla_vida!$X$199)*E2_tabla_vida!$P$199,EXP(-D208*E2_tabla_vida!$X$200)*E2_tabla_vida!$P$200,EXP(-D208*E2_tabla_vida!$X$201)*E2_tabla_vida!$P$201,EXP(-D208*E2_tabla_vida!$X$202)*E2_tabla_vida!$P$202,EXP(-D208*E2_tabla_vida!$X$203)*E2_tabla_vida!$P$203,EXP(-D208*E2_tabla_vida!$X$204)*E2_tabla_vida!$P$204,EXP(-D208*E2_tabla_vida!$X$205)*E2_tabla_vida!$P$205,EXP(-D208*E2_tabla_vida!$X$206)*E2_tabla_vida!$P$206,EXP(-D208*E2_tabla_vida!$X$207)*E2_tabla_vida!$P$207,EXP(-D208*E2_tabla_vida!$X$208)*E2_tabla_vida!$P$208,EXP(-D208*E2_tabla_vida!$X$209)*E2_tabla_vida!$P$209,EXP(-D208*E2_tabla_vida!$X$210)*E2_tabla_vida!$P$210,EXP(-D208*E2_tabla_vida!$X$211)*E2_tabla_vida!$P$211)-1</x:f>
        <x:v>-0.000004464607956000677</x:v>
      </x:c>
    </x:row>
    <x:row r="209" ht="19" customHeight="1">
      <x:c r="A209" s="2" t="str">
        <x:v>BB_L8</x:v>
      </x:c>
      <x:c r="B209" s="2" t="n">
        <x:v>23</x:v>
      </x:c>
      <x:c r="C209" s="22" t="n">
        <x:f>IF(F208&gt;0,E208,C208)</x:f>
        <x:v>0.19572126865386963</x:v>
      </x:c>
      <x:c r="D209" s="22" t="n">
        <x:f>IF(F208&gt;0,D208,E208)</x:f>
        <x:v>0.19572162628173828</x:v>
      </x:c>
      <x:c r="E209" s="22" t="n">
        <x:f>AVERAGE(C209:D209)</x:f>
        <x:v>0.19572144746780396</x:v>
      </x:c>
      <x:c r="F209" s="24" t="n">
        <x:f>SUM(EXP(-E209*E2_tabla_vida!$X$170)*E2_tabla_vida!$P$170,EXP(-E209*E2_tabla_vida!$X$171)*E2_tabla_vida!$P$171,EXP(-E209*E2_tabla_vida!$X$172)*E2_tabla_vida!$P$172,EXP(-E209*E2_tabla_vida!$X$173)*E2_tabla_vida!$P$173,EXP(-E209*E2_tabla_vida!$X$174)*E2_tabla_vida!$P$174,EXP(-E209*E2_tabla_vida!$X$175)*E2_tabla_vida!$P$175,EXP(-E209*E2_tabla_vida!$X$176)*E2_tabla_vida!$P$176,EXP(-E209*E2_tabla_vida!$X$177)*E2_tabla_vida!$P$177,EXP(-E209*E2_tabla_vida!$X$178)*E2_tabla_vida!$P$178,EXP(-E209*E2_tabla_vida!$X$179)*E2_tabla_vida!$P$179,EXP(-E209*E2_tabla_vida!$X$180)*E2_tabla_vida!$P$180,EXP(-E209*E2_tabla_vida!$X$181)*E2_tabla_vida!$P$181,EXP(-E209*E2_tabla_vida!$X$182)*E2_tabla_vida!$P$182,EXP(-E209*E2_tabla_vida!$X$183)*E2_tabla_vida!$P$183,EXP(-E209*E2_tabla_vida!$X$184)*E2_tabla_vida!$P$184,EXP(-E209*E2_tabla_vida!$X$185)*E2_tabla_vida!$P$185,EXP(-E209*E2_tabla_vida!$X$186)*E2_tabla_vida!$P$186,EXP(-E209*E2_tabla_vida!$X$187)*E2_tabla_vida!$P$187,EXP(-E209*E2_tabla_vida!$X$188)*E2_tabla_vida!$P$188,EXP(-E209*E2_tabla_vida!$X$189)*E2_tabla_vida!$P$189,EXP(-E209*E2_tabla_vida!$X$190)*E2_tabla_vida!$P$190,EXP(-E209*E2_tabla_vida!$X$191)*E2_tabla_vida!$P$191,EXP(-E209*E2_tabla_vida!$X$192)*E2_tabla_vida!$P$192,EXP(-E209*E2_tabla_vida!$X$193)*E2_tabla_vida!$P$193,EXP(-E209*E2_tabla_vida!$X$194)*E2_tabla_vida!$P$194,EXP(-E209*E2_tabla_vida!$X$195)*E2_tabla_vida!$P$195,EXP(-E209*E2_tabla_vida!$X$196)*E2_tabla_vida!$P$196,EXP(-E209*E2_tabla_vida!$X$197)*E2_tabla_vida!$P$197,EXP(-E209*E2_tabla_vida!$X$198)*E2_tabla_vida!$P$198,EXP(-E209*E2_tabla_vida!$X$199)*E2_tabla_vida!$P$199,EXP(-E209*E2_tabla_vida!$X$200)*E2_tabla_vida!$P$200,EXP(-E209*E2_tabla_vida!$X$201)*E2_tabla_vida!$P$201,EXP(-E209*E2_tabla_vida!$X$202)*E2_tabla_vida!$P$202,EXP(-E209*E2_tabla_vida!$X$203)*E2_tabla_vida!$P$203,EXP(-E209*E2_tabla_vida!$X$204)*E2_tabla_vida!$P$204,EXP(-E209*E2_tabla_vida!$X$205)*E2_tabla_vida!$P$205,EXP(-E209*E2_tabla_vida!$X$206)*E2_tabla_vida!$P$206,EXP(-E209*E2_tabla_vida!$X$207)*E2_tabla_vida!$P$207,EXP(-E209*E2_tabla_vida!$X$208)*E2_tabla_vida!$P$208,EXP(-E209*E2_tabla_vida!$X$209)*E2_tabla_vida!$P$209,EXP(-E209*E2_tabla_vida!$X$210)*E2_tabla_vida!$P$210,EXP(-E209*E2_tabla_vida!$X$211)*E2_tabla_vida!$P$211)-1</x:f>
        <x:v>-0.0000018041213567521197</x:v>
      </x:c>
      <x:c r="G209" s="24" t="n">
        <x:f>SUM(EXP(-C209*E2_tabla_vida!$X$170)*E2_tabla_vida!$P$170,EXP(-C209*E2_tabla_vida!$X$171)*E2_tabla_vida!$P$171,EXP(-C209*E2_tabla_vida!$X$172)*E2_tabla_vida!$P$172,EXP(-C209*E2_tabla_vida!$X$173)*E2_tabla_vida!$P$173,EXP(-C209*E2_tabla_vida!$X$174)*E2_tabla_vida!$P$174,EXP(-C209*E2_tabla_vida!$X$175)*E2_tabla_vida!$P$175,EXP(-C209*E2_tabla_vida!$X$176)*E2_tabla_vida!$P$176,EXP(-C209*E2_tabla_vida!$X$177)*E2_tabla_vida!$P$177,EXP(-C209*E2_tabla_vida!$X$178)*E2_tabla_vida!$P$178,EXP(-C209*E2_tabla_vida!$X$179)*E2_tabla_vida!$P$179,EXP(-C209*E2_tabla_vida!$X$180)*E2_tabla_vida!$P$180,EXP(-C209*E2_tabla_vida!$X$181)*E2_tabla_vida!$P$181,EXP(-C209*E2_tabla_vida!$X$182)*E2_tabla_vida!$P$182,EXP(-C209*E2_tabla_vida!$X$183)*E2_tabla_vida!$P$183,EXP(-C209*E2_tabla_vida!$X$184)*E2_tabla_vida!$P$184,EXP(-C209*E2_tabla_vida!$X$185)*E2_tabla_vida!$P$185,EXP(-C209*E2_tabla_vida!$X$186)*E2_tabla_vida!$P$186,EXP(-C209*E2_tabla_vida!$X$187)*E2_tabla_vida!$P$187,EXP(-C209*E2_tabla_vida!$X$188)*E2_tabla_vida!$P$188,EXP(-C209*E2_tabla_vida!$X$189)*E2_tabla_vida!$P$189,EXP(-C209*E2_tabla_vida!$X$190)*E2_tabla_vida!$P$190,EXP(-C209*E2_tabla_vida!$X$191)*E2_tabla_vida!$P$191,EXP(-C209*E2_tabla_vida!$X$192)*E2_tabla_vida!$P$192,EXP(-C209*E2_tabla_vida!$X$193)*E2_tabla_vida!$P$193,EXP(-C209*E2_tabla_vida!$X$194)*E2_tabla_vida!$P$194,EXP(-C209*E2_tabla_vida!$X$195)*E2_tabla_vida!$P$195,EXP(-C209*E2_tabla_vida!$X$196)*E2_tabla_vida!$P$196,EXP(-C209*E2_tabla_vida!$X$197)*E2_tabla_vida!$P$197,EXP(-C209*E2_tabla_vida!$X$198)*E2_tabla_vida!$P$198,EXP(-C209*E2_tabla_vida!$X$199)*E2_tabla_vida!$P$199,EXP(-C209*E2_tabla_vida!$X$200)*E2_tabla_vida!$P$200,EXP(-C209*E2_tabla_vida!$X$201)*E2_tabla_vida!$P$201,EXP(-C209*E2_tabla_vida!$X$202)*E2_tabla_vida!$P$202,EXP(-C209*E2_tabla_vida!$X$203)*E2_tabla_vida!$P$203,EXP(-C209*E2_tabla_vida!$X$204)*E2_tabla_vida!$P$204,EXP(-C209*E2_tabla_vida!$X$205)*E2_tabla_vida!$P$205,EXP(-C209*E2_tabla_vida!$X$206)*E2_tabla_vida!$P$206,EXP(-C209*E2_tabla_vida!$X$207)*E2_tabla_vida!$P$207,EXP(-C209*E2_tabla_vida!$X$208)*E2_tabla_vida!$P$208,EXP(-C209*E2_tabla_vida!$X$209)*E2_tabla_vida!$P$209,EXP(-C209*E2_tabla_vida!$X$210)*E2_tabla_vida!$P$210,EXP(-C209*E2_tabla_vida!$X$211)*E2_tabla_vida!$P$211)-1</x:f>
        <x:v>8.563727205146421e-7</x:v>
      </x:c>
      <x:c r="H209" s="24" t="n">
        <x:f>SUM(EXP(-D209*E2_tabla_vida!$X$170)*E2_tabla_vida!$P$170,EXP(-D209*E2_tabla_vida!$X$171)*E2_tabla_vida!$P$171,EXP(-D209*E2_tabla_vida!$X$172)*E2_tabla_vida!$P$172,EXP(-D209*E2_tabla_vida!$X$173)*E2_tabla_vida!$P$173,EXP(-D209*E2_tabla_vida!$X$174)*E2_tabla_vida!$P$174,EXP(-D209*E2_tabla_vida!$X$175)*E2_tabla_vida!$P$175,EXP(-D209*E2_tabla_vida!$X$176)*E2_tabla_vida!$P$176,EXP(-D209*E2_tabla_vida!$X$177)*E2_tabla_vida!$P$177,EXP(-D209*E2_tabla_vida!$X$178)*E2_tabla_vida!$P$178,EXP(-D209*E2_tabla_vida!$X$179)*E2_tabla_vida!$P$179,EXP(-D209*E2_tabla_vida!$X$180)*E2_tabla_vida!$P$180,EXP(-D209*E2_tabla_vida!$X$181)*E2_tabla_vida!$P$181,EXP(-D209*E2_tabla_vida!$X$182)*E2_tabla_vida!$P$182,EXP(-D209*E2_tabla_vida!$X$183)*E2_tabla_vida!$P$183,EXP(-D209*E2_tabla_vida!$X$184)*E2_tabla_vida!$P$184,EXP(-D209*E2_tabla_vida!$X$185)*E2_tabla_vida!$P$185,EXP(-D209*E2_tabla_vida!$X$186)*E2_tabla_vida!$P$186,EXP(-D209*E2_tabla_vida!$X$187)*E2_tabla_vida!$P$187,EXP(-D209*E2_tabla_vida!$X$188)*E2_tabla_vida!$P$188,EXP(-D209*E2_tabla_vida!$X$189)*E2_tabla_vida!$P$189,EXP(-D209*E2_tabla_vida!$X$190)*E2_tabla_vida!$P$190,EXP(-D209*E2_tabla_vida!$X$191)*E2_tabla_vida!$P$191,EXP(-D209*E2_tabla_vida!$X$192)*E2_tabla_vida!$P$192,EXP(-D209*E2_tabla_vida!$X$193)*E2_tabla_vida!$P$193,EXP(-D209*E2_tabla_vida!$X$194)*E2_tabla_vida!$P$194,EXP(-D209*E2_tabla_vida!$X$195)*E2_tabla_vida!$P$195,EXP(-D209*E2_tabla_vida!$X$196)*E2_tabla_vida!$P$196,EXP(-D209*E2_tabla_vida!$X$197)*E2_tabla_vida!$P$197,EXP(-D209*E2_tabla_vida!$X$198)*E2_tabla_vida!$P$198,EXP(-D209*E2_tabla_vida!$X$199)*E2_tabla_vida!$P$199,EXP(-D209*E2_tabla_vida!$X$200)*E2_tabla_vida!$P$200,EXP(-D209*E2_tabla_vida!$X$201)*E2_tabla_vida!$P$201,EXP(-D209*E2_tabla_vida!$X$202)*E2_tabla_vida!$P$202,EXP(-D209*E2_tabla_vida!$X$203)*E2_tabla_vida!$P$203,EXP(-D209*E2_tabla_vida!$X$204)*E2_tabla_vida!$P$204,EXP(-D209*E2_tabla_vida!$X$205)*E2_tabla_vida!$P$205,EXP(-D209*E2_tabla_vida!$X$206)*E2_tabla_vida!$P$206,EXP(-D209*E2_tabla_vida!$X$207)*E2_tabla_vida!$P$207,EXP(-D209*E2_tabla_vida!$X$208)*E2_tabla_vida!$P$208,EXP(-D209*E2_tabla_vida!$X$209)*E2_tabla_vida!$P$209,EXP(-D209*E2_tabla_vida!$X$210)*E2_tabla_vida!$P$210,EXP(-D209*E2_tabla_vida!$X$211)*E2_tabla_vida!$P$211)-1</x:f>
        <x:v>-0.000004464607956000677</x:v>
      </x:c>
    </x:row>
    <x:row r="210" ht="19" customHeight="1">
      <x:c r="A210" s="2" t="str">
        <x:v>BB_L8</x:v>
      </x:c>
      <x:c r="B210" s="2" t="n">
        <x:v>24</x:v>
      </x:c>
      <x:c r="C210" s="22" t="n">
        <x:f>IF(F209&gt;0,E209,C209)</x:f>
        <x:v>0.19572126865386963</x:v>
      </x:c>
      <x:c r="D210" s="22" t="n">
        <x:f>IF(F209&gt;0,D209,E209)</x:f>
        <x:v>0.19572144746780396</x:v>
      </x:c>
      <x:c r="E210" s="22" t="n">
        <x:f>AVERAGE(C210:D210)</x:f>
        <x:v>0.1957213580608368</x:v>
      </x:c>
      <x:c r="F210" s="24" t="n">
        <x:f>SUM(EXP(-E210*E2_tabla_vida!$X$170)*E2_tabla_vida!$P$170,EXP(-E210*E2_tabla_vida!$X$171)*E2_tabla_vida!$P$171,EXP(-E210*E2_tabla_vida!$X$172)*E2_tabla_vida!$P$172,EXP(-E210*E2_tabla_vida!$X$173)*E2_tabla_vida!$P$173,EXP(-E210*E2_tabla_vida!$X$174)*E2_tabla_vida!$P$174,EXP(-E210*E2_tabla_vida!$X$175)*E2_tabla_vida!$P$175,EXP(-E210*E2_tabla_vida!$X$176)*E2_tabla_vida!$P$176,EXP(-E210*E2_tabla_vida!$X$177)*E2_tabla_vida!$P$177,EXP(-E210*E2_tabla_vida!$X$178)*E2_tabla_vida!$P$178,EXP(-E210*E2_tabla_vida!$X$179)*E2_tabla_vida!$P$179,EXP(-E210*E2_tabla_vida!$X$180)*E2_tabla_vida!$P$180,EXP(-E210*E2_tabla_vida!$X$181)*E2_tabla_vida!$P$181,EXP(-E210*E2_tabla_vida!$X$182)*E2_tabla_vida!$P$182,EXP(-E210*E2_tabla_vida!$X$183)*E2_tabla_vida!$P$183,EXP(-E210*E2_tabla_vida!$X$184)*E2_tabla_vida!$P$184,EXP(-E210*E2_tabla_vida!$X$185)*E2_tabla_vida!$P$185,EXP(-E210*E2_tabla_vida!$X$186)*E2_tabla_vida!$P$186,EXP(-E210*E2_tabla_vida!$X$187)*E2_tabla_vida!$P$187,EXP(-E210*E2_tabla_vida!$X$188)*E2_tabla_vida!$P$188,EXP(-E210*E2_tabla_vida!$X$189)*E2_tabla_vida!$P$189,EXP(-E210*E2_tabla_vida!$X$190)*E2_tabla_vida!$P$190,EXP(-E210*E2_tabla_vida!$X$191)*E2_tabla_vida!$P$191,EXP(-E210*E2_tabla_vida!$X$192)*E2_tabla_vida!$P$192,EXP(-E210*E2_tabla_vida!$X$193)*E2_tabla_vida!$P$193,EXP(-E210*E2_tabla_vida!$X$194)*E2_tabla_vida!$P$194,EXP(-E210*E2_tabla_vida!$X$195)*E2_tabla_vida!$P$195,EXP(-E210*E2_tabla_vida!$X$196)*E2_tabla_vida!$P$196,EXP(-E210*E2_tabla_vida!$X$197)*E2_tabla_vida!$P$197,EXP(-E210*E2_tabla_vida!$X$198)*E2_tabla_vida!$P$198,EXP(-E210*E2_tabla_vida!$X$199)*E2_tabla_vida!$P$199,EXP(-E210*E2_tabla_vida!$X$200)*E2_tabla_vida!$P$200,EXP(-E210*E2_tabla_vida!$X$201)*E2_tabla_vida!$P$201,EXP(-E210*E2_tabla_vida!$X$202)*E2_tabla_vida!$P$202,EXP(-E210*E2_tabla_vida!$X$203)*E2_tabla_vida!$P$203,EXP(-E210*E2_tabla_vida!$X$204)*E2_tabla_vida!$P$204,EXP(-E210*E2_tabla_vida!$X$205)*E2_tabla_vida!$P$205,EXP(-E210*E2_tabla_vida!$X$206)*E2_tabla_vida!$P$206,EXP(-E210*E2_tabla_vida!$X$207)*E2_tabla_vida!$P$207,EXP(-E210*E2_tabla_vida!$X$208)*E2_tabla_vida!$P$208,EXP(-E210*E2_tabla_vida!$X$209)*E2_tabla_vida!$P$209,EXP(-E210*E2_tabla_vida!$X$210)*E2_tabla_vida!$P$210,EXP(-E210*E2_tabla_vida!$X$211)*E2_tabla_vida!$P$211)-1</x:f>
        <x:v>-4.7387525281550325e-7</x:v>
      </x:c>
      <x:c r="G210" s="24" t="n">
        <x:f>SUM(EXP(-C210*E2_tabla_vida!$X$170)*E2_tabla_vida!$P$170,EXP(-C210*E2_tabla_vida!$X$171)*E2_tabla_vida!$P$171,EXP(-C210*E2_tabla_vida!$X$172)*E2_tabla_vida!$P$172,EXP(-C210*E2_tabla_vida!$X$173)*E2_tabla_vida!$P$173,EXP(-C210*E2_tabla_vida!$X$174)*E2_tabla_vida!$P$174,EXP(-C210*E2_tabla_vida!$X$175)*E2_tabla_vida!$P$175,EXP(-C210*E2_tabla_vida!$X$176)*E2_tabla_vida!$P$176,EXP(-C210*E2_tabla_vida!$X$177)*E2_tabla_vida!$P$177,EXP(-C210*E2_tabla_vida!$X$178)*E2_tabla_vida!$P$178,EXP(-C210*E2_tabla_vida!$X$179)*E2_tabla_vida!$P$179,EXP(-C210*E2_tabla_vida!$X$180)*E2_tabla_vida!$P$180,EXP(-C210*E2_tabla_vida!$X$181)*E2_tabla_vida!$P$181,EXP(-C210*E2_tabla_vida!$X$182)*E2_tabla_vida!$P$182,EXP(-C210*E2_tabla_vida!$X$183)*E2_tabla_vida!$P$183,EXP(-C210*E2_tabla_vida!$X$184)*E2_tabla_vida!$P$184,EXP(-C210*E2_tabla_vida!$X$185)*E2_tabla_vida!$P$185,EXP(-C210*E2_tabla_vida!$X$186)*E2_tabla_vida!$P$186,EXP(-C210*E2_tabla_vida!$X$187)*E2_tabla_vida!$P$187,EXP(-C210*E2_tabla_vida!$X$188)*E2_tabla_vida!$P$188,EXP(-C210*E2_tabla_vida!$X$189)*E2_tabla_vida!$P$189,EXP(-C210*E2_tabla_vida!$X$190)*E2_tabla_vida!$P$190,EXP(-C210*E2_tabla_vida!$X$191)*E2_tabla_vida!$P$191,EXP(-C210*E2_tabla_vida!$X$192)*E2_tabla_vida!$P$192,EXP(-C210*E2_tabla_vida!$X$193)*E2_tabla_vida!$P$193,EXP(-C210*E2_tabla_vida!$X$194)*E2_tabla_vida!$P$194,EXP(-C210*E2_tabla_vida!$X$195)*E2_tabla_vida!$P$195,EXP(-C210*E2_tabla_vida!$X$196)*E2_tabla_vida!$P$196,EXP(-C210*E2_tabla_vida!$X$197)*E2_tabla_vida!$P$197,EXP(-C210*E2_tabla_vida!$X$198)*E2_tabla_vida!$P$198,EXP(-C210*E2_tabla_vida!$X$199)*E2_tabla_vida!$P$199,EXP(-C210*E2_tabla_vida!$X$200)*E2_tabla_vida!$P$200,EXP(-C210*E2_tabla_vida!$X$201)*E2_tabla_vida!$P$201,EXP(-C210*E2_tabla_vida!$X$202)*E2_tabla_vida!$P$202,EXP(-C210*E2_tabla_vida!$X$203)*E2_tabla_vida!$P$203,EXP(-C210*E2_tabla_vida!$X$204)*E2_tabla_vida!$P$204,EXP(-C210*E2_tabla_vida!$X$205)*E2_tabla_vida!$P$205,EXP(-C210*E2_tabla_vida!$X$206)*E2_tabla_vida!$P$206,EXP(-C210*E2_tabla_vida!$X$207)*E2_tabla_vida!$P$207,EXP(-C210*E2_tabla_vida!$X$208)*E2_tabla_vida!$P$208,EXP(-C210*E2_tabla_vida!$X$209)*E2_tabla_vida!$P$209,EXP(-C210*E2_tabla_vida!$X$210)*E2_tabla_vida!$P$210,EXP(-C210*E2_tabla_vida!$X$211)*E2_tabla_vida!$P$211)-1</x:f>
        <x:v>8.563727205146421e-7</x:v>
      </x:c>
      <x:c r="H210" s="24" t="n">
        <x:f>SUM(EXP(-D210*E2_tabla_vida!$X$170)*E2_tabla_vida!$P$170,EXP(-D210*E2_tabla_vida!$X$171)*E2_tabla_vida!$P$171,EXP(-D210*E2_tabla_vida!$X$172)*E2_tabla_vida!$P$172,EXP(-D210*E2_tabla_vida!$X$173)*E2_tabla_vida!$P$173,EXP(-D210*E2_tabla_vida!$X$174)*E2_tabla_vida!$P$174,EXP(-D210*E2_tabla_vida!$X$175)*E2_tabla_vida!$P$175,EXP(-D210*E2_tabla_vida!$X$176)*E2_tabla_vida!$P$176,EXP(-D210*E2_tabla_vida!$X$177)*E2_tabla_vida!$P$177,EXP(-D210*E2_tabla_vida!$X$178)*E2_tabla_vida!$P$178,EXP(-D210*E2_tabla_vida!$X$179)*E2_tabla_vida!$P$179,EXP(-D210*E2_tabla_vida!$X$180)*E2_tabla_vida!$P$180,EXP(-D210*E2_tabla_vida!$X$181)*E2_tabla_vida!$P$181,EXP(-D210*E2_tabla_vida!$X$182)*E2_tabla_vida!$P$182,EXP(-D210*E2_tabla_vida!$X$183)*E2_tabla_vida!$P$183,EXP(-D210*E2_tabla_vida!$X$184)*E2_tabla_vida!$P$184,EXP(-D210*E2_tabla_vida!$X$185)*E2_tabla_vida!$P$185,EXP(-D210*E2_tabla_vida!$X$186)*E2_tabla_vida!$P$186,EXP(-D210*E2_tabla_vida!$X$187)*E2_tabla_vida!$P$187,EXP(-D210*E2_tabla_vida!$X$188)*E2_tabla_vida!$P$188,EXP(-D210*E2_tabla_vida!$X$189)*E2_tabla_vida!$P$189,EXP(-D210*E2_tabla_vida!$X$190)*E2_tabla_vida!$P$190,EXP(-D210*E2_tabla_vida!$X$191)*E2_tabla_vida!$P$191,EXP(-D210*E2_tabla_vida!$X$192)*E2_tabla_vida!$P$192,EXP(-D210*E2_tabla_vida!$X$193)*E2_tabla_vida!$P$193,EXP(-D210*E2_tabla_vida!$X$194)*E2_tabla_vida!$P$194,EXP(-D210*E2_tabla_vida!$X$195)*E2_tabla_vida!$P$195,EXP(-D210*E2_tabla_vida!$X$196)*E2_tabla_vida!$P$196,EXP(-D210*E2_tabla_vida!$X$197)*E2_tabla_vida!$P$197,EXP(-D210*E2_tabla_vida!$X$198)*E2_tabla_vida!$P$198,EXP(-D210*E2_tabla_vida!$X$199)*E2_tabla_vida!$P$199,EXP(-D210*E2_tabla_vida!$X$200)*E2_tabla_vida!$P$200,EXP(-D210*E2_tabla_vida!$X$201)*E2_tabla_vida!$P$201,EXP(-D210*E2_tabla_vida!$X$202)*E2_tabla_vida!$P$202,EXP(-D210*E2_tabla_vida!$X$203)*E2_tabla_vida!$P$203,EXP(-D210*E2_tabla_vida!$X$204)*E2_tabla_vida!$P$204,EXP(-D210*E2_tabla_vida!$X$205)*E2_tabla_vida!$P$205,EXP(-D210*E2_tabla_vida!$X$206)*E2_tabla_vida!$P$206,EXP(-D210*E2_tabla_vida!$X$207)*E2_tabla_vida!$P$207,EXP(-D210*E2_tabla_vida!$X$208)*E2_tabla_vida!$P$208,EXP(-D210*E2_tabla_vida!$X$209)*E2_tabla_vida!$P$209,EXP(-D210*E2_tabla_vida!$X$210)*E2_tabla_vida!$P$210,EXP(-D210*E2_tabla_vida!$X$211)*E2_tabla_vida!$P$211)-1</x:f>
        <x:v>-0.0000018041213567521197</x:v>
      </x:c>
    </x:row>
    <x:row r="211" ht="19" customHeight="1">
      <x:c r="A211" s="2" t="str">
        <x:v>BB_L8</x:v>
      </x:c>
      <x:c r="B211" s="2" t="n">
        <x:v>25</x:v>
      </x:c>
      <x:c r="C211" s="22" t="n">
        <x:f>IF(F210&gt;0,E210,C210)</x:f>
        <x:v>0.19572126865386963</x:v>
      </x:c>
      <x:c r="D211" s="22" t="n">
        <x:f>IF(F210&gt;0,D210,E210)</x:f>
        <x:v>0.1957213580608368</x:v>
      </x:c>
      <x:c r="E211" s="22" t="n">
        <x:f>AVERAGE(C211:D211)</x:f>
        <x:v>0.1957213133573532</x:v>
      </x:c>
      <x:c r="F211" s="24" t="n">
        <x:f>SUM(EXP(-E211*E2_tabla_vida!$X$170)*E2_tabla_vida!$P$170,EXP(-E211*E2_tabla_vida!$X$171)*E2_tabla_vida!$P$171,EXP(-E211*E2_tabla_vida!$X$172)*E2_tabla_vida!$P$172,EXP(-E211*E2_tabla_vida!$X$173)*E2_tabla_vida!$P$173,EXP(-E211*E2_tabla_vida!$X$174)*E2_tabla_vida!$P$174,EXP(-E211*E2_tabla_vida!$X$175)*E2_tabla_vida!$P$175,EXP(-E211*E2_tabla_vida!$X$176)*E2_tabla_vida!$P$176,EXP(-E211*E2_tabla_vida!$X$177)*E2_tabla_vida!$P$177,EXP(-E211*E2_tabla_vida!$X$178)*E2_tabla_vida!$P$178,EXP(-E211*E2_tabla_vida!$X$179)*E2_tabla_vida!$P$179,EXP(-E211*E2_tabla_vida!$X$180)*E2_tabla_vida!$P$180,EXP(-E211*E2_tabla_vida!$X$181)*E2_tabla_vida!$P$181,EXP(-E211*E2_tabla_vida!$X$182)*E2_tabla_vida!$P$182,EXP(-E211*E2_tabla_vida!$X$183)*E2_tabla_vida!$P$183,EXP(-E211*E2_tabla_vida!$X$184)*E2_tabla_vida!$P$184,EXP(-E211*E2_tabla_vida!$X$185)*E2_tabla_vida!$P$185,EXP(-E211*E2_tabla_vida!$X$186)*E2_tabla_vida!$P$186,EXP(-E211*E2_tabla_vida!$X$187)*E2_tabla_vida!$P$187,EXP(-E211*E2_tabla_vida!$X$188)*E2_tabla_vida!$P$188,EXP(-E211*E2_tabla_vida!$X$189)*E2_tabla_vida!$P$189,EXP(-E211*E2_tabla_vida!$X$190)*E2_tabla_vida!$P$190,EXP(-E211*E2_tabla_vida!$X$191)*E2_tabla_vida!$P$191,EXP(-E211*E2_tabla_vida!$X$192)*E2_tabla_vida!$P$192,EXP(-E211*E2_tabla_vida!$X$193)*E2_tabla_vida!$P$193,EXP(-E211*E2_tabla_vida!$X$194)*E2_tabla_vida!$P$194,EXP(-E211*E2_tabla_vida!$X$195)*E2_tabla_vida!$P$195,EXP(-E211*E2_tabla_vida!$X$196)*E2_tabla_vida!$P$196,EXP(-E211*E2_tabla_vida!$X$197)*E2_tabla_vida!$P$197,EXP(-E211*E2_tabla_vida!$X$198)*E2_tabla_vida!$P$198,EXP(-E211*E2_tabla_vida!$X$199)*E2_tabla_vida!$P$199,EXP(-E211*E2_tabla_vida!$X$200)*E2_tabla_vida!$P$200,EXP(-E211*E2_tabla_vida!$X$201)*E2_tabla_vida!$P$201,EXP(-E211*E2_tabla_vida!$X$202)*E2_tabla_vida!$P$202,EXP(-E211*E2_tabla_vida!$X$203)*E2_tabla_vida!$P$203,EXP(-E211*E2_tabla_vida!$X$204)*E2_tabla_vida!$P$204,EXP(-E211*E2_tabla_vida!$X$205)*E2_tabla_vida!$P$205,EXP(-E211*E2_tabla_vida!$X$206)*E2_tabla_vida!$P$206,EXP(-E211*E2_tabla_vida!$X$207)*E2_tabla_vida!$P$207,EXP(-E211*E2_tabla_vida!$X$208)*E2_tabla_vida!$P$208,EXP(-E211*E2_tabla_vida!$X$209)*E2_tabla_vida!$P$209,EXP(-E211*E2_tabla_vida!$X$210)*E2_tabla_vida!$P$210,EXP(-E211*E2_tabla_vida!$X$211)*E2_tabla_vida!$P$211)-1</x:f>
        <x:v>1.9124850036966734e-7</x:v>
      </x:c>
      <x:c r="G211" s="24" t="n">
        <x:f>SUM(EXP(-C211*E2_tabla_vida!$X$170)*E2_tabla_vida!$P$170,EXP(-C211*E2_tabla_vida!$X$171)*E2_tabla_vida!$P$171,EXP(-C211*E2_tabla_vida!$X$172)*E2_tabla_vida!$P$172,EXP(-C211*E2_tabla_vida!$X$173)*E2_tabla_vida!$P$173,EXP(-C211*E2_tabla_vida!$X$174)*E2_tabla_vida!$P$174,EXP(-C211*E2_tabla_vida!$X$175)*E2_tabla_vida!$P$175,EXP(-C211*E2_tabla_vida!$X$176)*E2_tabla_vida!$P$176,EXP(-C211*E2_tabla_vida!$X$177)*E2_tabla_vida!$P$177,EXP(-C211*E2_tabla_vida!$X$178)*E2_tabla_vida!$P$178,EXP(-C211*E2_tabla_vida!$X$179)*E2_tabla_vida!$P$179,EXP(-C211*E2_tabla_vida!$X$180)*E2_tabla_vida!$P$180,EXP(-C211*E2_tabla_vida!$X$181)*E2_tabla_vida!$P$181,EXP(-C211*E2_tabla_vida!$X$182)*E2_tabla_vida!$P$182,EXP(-C211*E2_tabla_vida!$X$183)*E2_tabla_vida!$P$183,EXP(-C211*E2_tabla_vida!$X$184)*E2_tabla_vida!$P$184,EXP(-C211*E2_tabla_vida!$X$185)*E2_tabla_vida!$P$185,EXP(-C211*E2_tabla_vida!$X$186)*E2_tabla_vida!$P$186,EXP(-C211*E2_tabla_vida!$X$187)*E2_tabla_vida!$P$187,EXP(-C211*E2_tabla_vida!$X$188)*E2_tabla_vida!$P$188,EXP(-C211*E2_tabla_vida!$X$189)*E2_tabla_vida!$P$189,EXP(-C211*E2_tabla_vida!$X$190)*E2_tabla_vida!$P$190,EXP(-C211*E2_tabla_vida!$X$191)*E2_tabla_vida!$P$191,EXP(-C211*E2_tabla_vida!$X$192)*E2_tabla_vida!$P$192,EXP(-C211*E2_tabla_vida!$X$193)*E2_tabla_vida!$P$193,EXP(-C211*E2_tabla_vida!$X$194)*E2_tabla_vida!$P$194,EXP(-C211*E2_tabla_vida!$X$195)*E2_tabla_vida!$P$195,EXP(-C211*E2_tabla_vida!$X$196)*E2_tabla_vida!$P$196,EXP(-C211*E2_tabla_vida!$X$197)*E2_tabla_vida!$P$197,EXP(-C211*E2_tabla_vida!$X$198)*E2_tabla_vida!$P$198,EXP(-C211*E2_tabla_vida!$X$199)*E2_tabla_vida!$P$199,EXP(-C211*E2_tabla_vida!$X$200)*E2_tabla_vida!$P$200,EXP(-C211*E2_tabla_vida!$X$201)*E2_tabla_vida!$P$201,EXP(-C211*E2_tabla_vida!$X$202)*E2_tabla_vida!$P$202,EXP(-C211*E2_tabla_vida!$X$203)*E2_tabla_vida!$P$203,EXP(-C211*E2_tabla_vida!$X$204)*E2_tabla_vida!$P$204,EXP(-C211*E2_tabla_vida!$X$205)*E2_tabla_vida!$P$205,EXP(-C211*E2_tabla_vida!$X$206)*E2_tabla_vida!$P$206,EXP(-C211*E2_tabla_vida!$X$207)*E2_tabla_vida!$P$207,EXP(-C211*E2_tabla_vida!$X$208)*E2_tabla_vida!$P$208,EXP(-C211*E2_tabla_vida!$X$209)*E2_tabla_vida!$P$209,EXP(-C211*E2_tabla_vida!$X$210)*E2_tabla_vida!$P$210,EXP(-C211*E2_tabla_vida!$X$211)*E2_tabla_vida!$P$211)-1</x:f>
        <x:v>8.563727205146421e-7</x:v>
      </x:c>
      <x:c r="H211" s="24" t="n">
        <x:f>SUM(EXP(-D211*E2_tabla_vida!$X$170)*E2_tabla_vida!$P$170,EXP(-D211*E2_tabla_vida!$X$171)*E2_tabla_vida!$P$171,EXP(-D211*E2_tabla_vida!$X$172)*E2_tabla_vida!$P$172,EXP(-D211*E2_tabla_vida!$X$173)*E2_tabla_vida!$P$173,EXP(-D211*E2_tabla_vida!$X$174)*E2_tabla_vida!$P$174,EXP(-D211*E2_tabla_vida!$X$175)*E2_tabla_vida!$P$175,EXP(-D211*E2_tabla_vida!$X$176)*E2_tabla_vida!$P$176,EXP(-D211*E2_tabla_vida!$X$177)*E2_tabla_vida!$P$177,EXP(-D211*E2_tabla_vida!$X$178)*E2_tabla_vida!$P$178,EXP(-D211*E2_tabla_vida!$X$179)*E2_tabla_vida!$P$179,EXP(-D211*E2_tabla_vida!$X$180)*E2_tabla_vida!$P$180,EXP(-D211*E2_tabla_vida!$X$181)*E2_tabla_vida!$P$181,EXP(-D211*E2_tabla_vida!$X$182)*E2_tabla_vida!$P$182,EXP(-D211*E2_tabla_vida!$X$183)*E2_tabla_vida!$P$183,EXP(-D211*E2_tabla_vida!$X$184)*E2_tabla_vida!$P$184,EXP(-D211*E2_tabla_vida!$X$185)*E2_tabla_vida!$P$185,EXP(-D211*E2_tabla_vida!$X$186)*E2_tabla_vida!$P$186,EXP(-D211*E2_tabla_vida!$X$187)*E2_tabla_vida!$P$187,EXP(-D211*E2_tabla_vida!$X$188)*E2_tabla_vida!$P$188,EXP(-D211*E2_tabla_vida!$X$189)*E2_tabla_vida!$P$189,EXP(-D211*E2_tabla_vida!$X$190)*E2_tabla_vida!$P$190,EXP(-D211*E2_tabla_vida!$X$191)*E2_tabla_vida!$P$191,EXP(-D211*E2_tabla_vida!$X$192)*E2_tabla_vida!$P$192,EXP(-D211*E2_tabla_vida!$X$193)*E2_tabla_vida!$P$193,EXP(-D211*E2_tabla_vida!$X$194)*E2_tabla_vida!$P$194,EXP(-D211*E2_tabla_vida!$X$195)*E2_tabla_vida!$P$195,EXP(-D211*E2_tabla_vida!$X$196)*E2_tabla_vida!$P$196,EXP(-D211*E2_tabla_vida!$X$197)*E2_tabla_vida!$P$197,EXP(-D211*E2_tabla_vida!$X$198)*E2_tabla_vida!$P$198,EXP(-D211*E2_tabla_vida!$X$199)*E2_tabla_vida!$P$199,EXP(-D211*E2_tabla_vida!$X$200)*E2_tabla_vida!$P$200,EXP(-D211*E2_tabla_vida!$X$201)*E2_tabla_vida!$P$201,EXP(-D211*E2_tabla_vida!$X$202)*E2_tabla_vida!$P$202,EXP(-D211*E2_tabla_vida!$X$203)*E2_tabla_vida!$P$203,EXP(-D211*E2_tabla_vida!$X$204)*E2_tabla_vida!$P$204,EXP(-D211*E2_tabla_vida!$X$205)*E2_tabla_vida!$P$205,EXP(-D211*E2_tabla_vida!$X$206)*E2_tabla_vida!$P$206,EXP(-D211*E2_tabla_vida!$X$207)*E2_tabla_vida!$P$207,EXP(-D211*E2_tabla_vida!$X$208)*E2_tabla_vida!$P$208,EXP(-D211*E2_tabla_vida!$X$209)*E2_tabla_vida!$P$209,EXP(-D211*E2_tabla_vida!$X$210)*E2_tabla_vida!$P$210,EXP(-D211*E2_tabla_vida!$X$211)*E2_tabla_vida!$P$211)-1</x:f>
        <x:v>-4.7387525281550325e-7</x:v>
      </x:c>
    </x:row>
    <x:row r="212" ht="19" customHeight="1">
      <x:c r="A212" s="2" t="str">
        <x:v>BB_L8</x:v>
      </x:c>
      <x:c r="B212" s="2" t="n">
        <x:v>26</x:v>
      </x:c>
      <x:c r="C212" s="22" t="n">
        <x:f>IF(F211&gt;0,E211,C211)</x:f>
        <x:v>0.1957213133573532</x:v>
      </x:c>
      <x:c r="D212" s="22" t="n">
        <x:f>IF(F211&gt;0,D211,E211)</x:f>
        <x:v>0.1957213580608368</x:v>
      </x:c>
      <x:c r="E212" s="22" t="n">
        <x:f>AVERAGE(C212:D212)</x:f>
        <x:v>0.195721335709095</x:v>
      </x:c>
      <x:c r="F212" s="24" t="n">
        <x:f>SUM(EXP(-E212*E2_tabla_vida!$X$170)*E2_tabla_vida!$P$170,EXP(-E212*E2_tabla_vida!$X$171)*E2_tabla_vida!$P$171,EXP(-E212*E2_tabla_vida!$X$172)*E2_tabla_vida!$P$172,EXP(-E212*E2_tabla_vida!$X$173)*E2_tabla_vida!$P$173,EXP(-E212*E2_tabla_vida!$X$174)*E2_tabla_vida!$P$174,EXP(-E212*E2_tabla_vida!$X$175)*E2_tabla_vida!$P$175,EXP(-E212*E2_tabla_vida!$X$176)*E2_tabla_vida!$P$176,EXP(-E212*E2_tabla_vida!$X$177)*E2_tabla_vida!$P$177,EXP(-E212*E2_tabla_vida!$X$178)*E2_tabla_vida!$P$178,EXP(-E212*E2_tabla_vida!$X$179)*E2_tabla_vida!$P$179,EXP(-E212*E2_tabla_vida!$X$180)*E2_tabla_vida!$P$180,EXP(-E212*E2_tabla_vida!$X$181)*E2_tabla_vida!$P$181,EXP(-E212*E2_tabla_vida!$X$182)*E2_tabla_vida!$P$182,EXP(-E212*E2_tabla_vida!$X$183)*E2_tabla_vida!$P$183,EXP(-E212*E2_tabla_vida!$X$184)*E2_tabla_vida!$P$184,EXP(-E212*E2_tabla_vida!$X$185)*E2_tabla_vida!$P$185,EXP(-E212*E2_tabla_vida!$X$186)*E2_tabla_vida!$P$186,EXP(-E212*E2_tabla_vida!$X$187)*E2_tabla_vida!$P$187,EXP(-E212*E2_tabla_vida!$X$188)*E2_tabla_vida!$P$188,EXP(-E212*E2_tabla_vida!$X$189)*E2_tabla_vida!$P$189,EXP(-E212*E2_tabla_vida!$X$190)*E2_tabla_vida!$P$190,EXP(-E212*E2_tabla_vida!$X$191)*E2_tabla_vida!$P$191,EXP(-E212*E2_tabla_vida!$X$192)*E2_tabla_vida!$P$192,EXP(-E212*E2_tabla_vida!$X$193)*E2_tabla_vida!$P$193,EXP(-E212*E2_tabla_vida!$X$194)*E2_tabla_vida!$P$194,EXP(-E212*E2_tabla_vida!$X$195)*E2_tabla_vida!$P$195,EXP(-E212*E2_tabla_vida!$X$196)*E2_tabla_vida!$P$196,EXP(-E212*E2_tabla_vida!$X$197)*E2_tabla_vida!$P$197,EXP(-E212*E2_tabla_vida!$X$198)*E2_tabla_vida!$P$198,EXP(-E212*E2_tabla_vida!$X$199)*E2_tabla_vida!$P$199,EXP(-E212*E2_tabla_vida!$X$200)*E2_tabla_vida!$P$200,EXP(-E212*E2_tabla_vida!$X$201)*E2_tabla_vida!$P$201,EXP(-E212*E2_tabla_vida!$X$202)*E2_tabla_vida!$P$202,EXP(-E212*E2_tabla_vida!$X$203)*E2_tabla_vida!$P$203,EXP(-E212*E2_tabla_vida!$X$204)*E2_tabla_vida!$P$204,EXP(-E212*E2_tabla_vida!$X$205)*E2_tabla_vida!$P$205,EXP(-E212*E2_tabla_vida!$X$206)*E2_tabla_vida!$P$206,EXP(-E212*E2_tabla_vida!$X$207)*E2_tabla_vida!$P$207,EXP(-E212*E2_tabla_vida!$X$208)*E2_tabla_vida!$P$208,EXP(-E212*E2_tabla_vida!$X$209)*E2_tabla_vida!$P$209,EXP(-E212*E2_tabla_vida!$X$210)*E2_tabla_vida!$P$210,EXP(-E212*E2_tabla_vida!$X$211)*E2_tabla_vida!$P$211)-1</x:f>
        <x:v>-1.4131343462064905e-7</x:v>
      </x:c>
      <x:c r="G212" s="24" t="n">
        <x:f>SUM(EXP(-C212*E2_tabla_vida!$X$170)*E2_tabla_vida!$P$170,EXP(-C212*E2_tabla_vida!$X$171)*E2_tabla_vida!$P$171,EXP(-C212*E2_tabla_vida!$X$172)*E2_tabla_vida!$P$172,EXP(-C212*E2_tabla_vida!$X$173)*E2_tabla_vida!$P$173,EXP(-C212*E2_tabla_vida!$X$174)*E2_tabla_vida!$P$174,EXP(-C212*E2_tabla_vida!$X$175)*E2_tabla_vida!$P$175,EXP(-C212*E2_tabla_vida!$X$176)*E2_tabla_vida!$P$176,EXP(-C212*E2_tabla_vida!$X$177)*E2_tabla_vida!$P$177,EXP(-C212*E2_tabla_vida!$X$178)*E2_tabla_vida!$P$178,EXP(-C212*E2_tabla_vida!$X$179)*E2_tabla_vida!$P$179,EXP(-C212*E2_tabla_vida!$X$180)*E2_tabla_vida!$P$180,EXP(-C212*E2_tabla_vida!$X$181)*E2_tabla_vida!$P$181,EXP(-C212*E2_tabla_vida!$X$182)*E2_tabla_vida!$P$182,EXP(-C212*E2_tabla_vida!$X$183)*E2_tabla_vida!$P$183,EXP(-C212*E2_tabla_vida!$X$184)*E2_tabla_vida!$P$184,EXP(-C212*E2_tabla_vida!$X$185)*E2_tabla_vida!$P$185,EXP(-C212*E2_tabla_vida!$X$186)*E2_tabla_vida!$P$186,EXP(-C212*E2_tabla_vida!$X$187)*E2_tabla_vida!$P$187,EXP(-C212*E2_tabla_vida!$X$188)*E2_tabla_vida!$P$188,EXP(-C212*E2_tabla_vida!$X$189)*E2_tabla_vida!$P$189,EXP(-C212*E2_tabla_vida!$X$190)*E2_tabla_vida!$P$190,EXP(-C212*E2_tabla_vida!$X$191)*E2_tabla_vida!$P$191,EXP(-C212*E2_tabla_vida!$X$192)*E2_tabla_vida!$P$192,EXP(-C212*E2_tabla_vida!$X$193)*E2_tabla_vida!$P$193,EXP(-C212*E2_tabla_vida!$X$194)*E2_tabla_vida!$P$194,EXP(-C212*E2_tabla_vida!$X$195)*E2_tabla_vida!$P$195,EXP(-C212*E2_tabla_vida!$X$196)*E2_tabla_vida!$P$196,EXP(-C212*E2_tabla_vida!$X$197)*E2_tabla_vida!$P$197,EXP(-C212*E2_tabla_vida!$X$198)*E2_tabla_vida!$P$198,EXP(-C212*E2_tabla_vida!$X$199)*E2_tabla_vida!$P$199,EXP(-C212*E2_tabla_vida!$X$200)*E2_tabla_vida!$P$200,EXP(-C212*E2_tabla_vida!$X$201)*E2_tabla_vida!$P$201,EXP(-C212*E2_tabla_vida!$X$202)*E2_tabla_vida!$P$202,EXP(-C212*E2_tabla_vida!$X$203)*E2_tabla_vida!$P$203,EXP(-C212*E2_tabla_vida!$X$204)*E2_tabla_vida!$P$204,EXP(-C212*E2_tabla_vida!$X$205)*E2_tabla_vida!$P$205,EXP(-C212*E2_tabla_vida!$X$206)*E2_tabla_vida!$P$206,EXP(-C212*E2_tabla_vida!$X$207)*E2_tabla_vida!$P$207,EXP(-C212*E2_tabla_vida!$X$208)*E2_tabla_vida!$P$208,EXP(-C212*E2_tabla_vida!$X$209)*E2_tabla_vida!$P$209,EXP(-C212*E2_tabla_vida!$X$210)*E2_tabla_vida!$P$210,EXP(-C212*E2_tabla_vida!$X$211)*E2_tabla_vida!$P$211)-1</x:f>
        <x:v>1.9124850036966734e-7</x:v>
      </x:c>
      <x:c r="H212" s="24" t="n">
        <x:f>SUM(EXP(-D212*E2_tabla_vida!$X$170)*E2_tabla_vida!$P$170,EXP(-D212*E2_tabla_vida!$X$171)*E2_tabla_vida!$P$171,EXP(-D212*E2_tabla_vida!$X$172)*E2_tabla_vida!$P$172,EXP(-D212*E2_tabla_vida!$X$173)*E2_tabla_vida!$P$173,EXP(-D212*E2_tabla_vida!$X$174)*E2_tabla_vida!$P$174,EXP(-D212*E2_tabla_vida!$X$175)*E2_tabla_vida!$P$175,EXP(-D212*E2_tabla_vida!$X$176)*E2_tabla_vida!$P$176,EXP(-D212*E2_tabla_vida!$X$177)*E2_tabla_vida!$P$177,EXP(-D212*E2_tabla_vida!$X$178)*E2_tabla_vida!$P$178,EXP(-D212*E2_tabla_vida!$X$179)*E2_tabla_vida!$P$179,EXP(-D212*E2_tabla_vida!$X$180)*E2_tabla_vida!$P$180,EXP(-D212*E2_tabla_vida!$X$181)*E2_tabla_vida!$P$181,EXP(-D212*E2_tabla_vida!$X$182)*E2_tabla_vida!$P$182,EXP(-D212*E2_tabla_vida!$X$183)*E2_tabla_vida!$P$183,EXP(-D212*E2_tabla_vida!$X$184)*E2_tabla_vida!$P$184,EXP(-D212*E2_tabla_vida!$X$185)*E2_tabla_vida!$P$185,EXP(-D212*E2_tabla_vida!$X$186)*E2_tabla_vida!$P$186,EXP(-D212*E2_tabla_vida!$X$187)*E2_tabla_vida!$P$187,EXP(-D212*E2_tabla_vida!$X$188)*E2_tabla_vida!$P$188,EXP(-D212*E2_tabla_vida!$X$189)*E2_tabla_vida!$P$189,EXP(-D212*E2_tabla_vida!$X$190)*E2_tabla_vida!$P$190,EXP(-D212*E2_tabla_vida!$X$191)*E2_tabla_vida!$P$191,EXP(-D212*E2_tabla_vida!$X$192)*E2_tabla_vida!$P$192,EXP(-D212*E2_tabla_vida!$X$193)*E2_tabla_vida!$P$193,EXP(-D212*E2_tabla_vida!$X$194)*E2_tabla_vida!$P$194,EXP(-D212*E2_tabla_vida!$X$195)*E2_tabla_vida!$P$195,EXP(-D212*E2_tabla_vida!$X$196)*E2_tabla_vida!$P$196,EXP(-D212*E2_tabla_vida!$X$197)*E2_tabla_vida!$P$197,EXP(-D212*E2_tabla_vida!$X$198)*E2_tabla_vida!$P$198,EXP(-D212*E2_tabla_vida!$X$199)*E2_tabla_vida!$P$199,EXP(-D212*E2_tabla_vida!$X$200)*E2_tabla_vida!$P$200,EXP(-D212*E2_tabla_vida!$X$201)*E2_tabla_vida!$P$201,EXP(-D212*E2_tabla_vida!$X$202)*E2_tabla_vida!$P$202,EXP(-D212*E2_tabla_vida!$X$203)*E2_tabla_vida!$P$203,EXP(-D212*E2_tabla_vida!$X$204)*E2_tabla_vida!$P$204,EXP(-D212*E2_tabla_vida!$X$205)*E2_tabla_vida!$P$205,EXP(-D212*E2_tabla_vida!$X$206)*E2_tabla_vida!$P$206,EXP(-D212*E2_tabla_vida!$X$207)*E2_tabla_vida!$P$207,EXP(-D212*E2_tabla_vida!$X$208)*E2_tabla_vida!$P$208,EXP(-D212*E2_tabla_vida!$X$209)*E2_tabla_vida!$P$209,EXP(-D212*E2_tabla_vida!$X$210)*E2_tabla_vida!$P$210,EXP(-D212*E2_tabla_vida!$X$211)*E2_tabla_vida!$P$211)-1</x:f>
        <x:v>-4.7387525281550325e-7</x:v>
      </x:c>
    </x:row>
    <x:row r="213" ht="19" customHeight="1">
      <x:c r="A213" s="2" t="str">
        <x:v>BB_L8</x:v>
      </x:c>
      <x:c r="B213" s="2" t="n">
        <x:v>27</x:v>
      </x:c>
      <x:c r="C213" s="22" t="n">
        <x:f>IF(F212&gt;0,E212,C212)</x:f>
        <x:v>0.1957213133573532</x:v>
      </x:c>
      <x:c r="D213" s="22" t="n">
        <x:f>IF(F212&gt;0,D212,E212)</x:f>
        <x:v>0.195721335709095</x:v>
      </x:c>
      <x:c r="E213" s="22" t="n">
        <x:f>AVERAGE(C213:D213)</x:f>
        <x:v>0.1957213245332241</x:v>
      </x:c>
      <x:c r="F213" s="24" t="n">
        <x:f>SUM(EXP(-E213*E2_tabla_vida!$X$170)*E2_tabla_vida!$P$170,EXP(-E213*E2_tabla_vida!$X$171)*E2_tabla_vida!$P$171,EXP(-E213*E2_tabla_vida!$X$172)*E2_tabla_vida!$P$172,EXP(-E213*E2_tabla_vida!$X$173)*E2_tabla_vida!$P$173,EXP(-E213*E2_tabla_vida!$X$174)*E2_tabla_vida!$P$174,EXP(-E213*E2_tabla_vida!$X$175)*E2_tabla_vida!$P$175,EXP(-E213*E2_tabla_vida!$X$176)*E2_tabla_vida!$P$176,EXP(-E213*E2_tabla_vida!$X$177)*E2_tabla_vida!$P$177,EXP(-E213*E2_tabla_vida!$X$178)*E2_tabla_vida!$P$178,EXP(-E213*E2_tabla_vida!$X$179)*E2_tabla_vida!$P$179,EXP(-E213*E2_tabla_vida!$X$180)*E2_tabla_vida!$P$180,EXP(-E213*E2_tabla_vida!$X$181)*E2_tabla_vida!$P$181,EXP(-E213*E2_tabla_vida!$X$182)*E2_tabla_vida!$P$182,EXP(-E213*E2_tabla_vida!$X$183)*E2_tabla_vida!$P$183,EXP(-E213*E2_tabla_vida!$X$184)*E2_tabla_vida!$P$184,EXP(-E213*E2_tabla_vida!$X$185)*E2_tabla_vida!$P$185,EXP(-E213*E2_tabla_vida!$X$186)*E2_tabla_vida!$P$186,EXP(-E213*E2_tabla_vida!$X$187)*E2_tabla_vida!$P$187,EXP(-E213*E2_tabla_vida!$X$188)*E2_tabla_vida!$P$188,EXP(-E213*E2_tabla_vida!$X$189)*E2_tabla_vida!$P$189,EXP(-E213*E2_tabla_vida!$X$190)*E2_tabla_vida!$P$190,EXP(-E213*E2_tabla_vida!$X$191)*E2_tabla_vida!$P$191,EXP(-E213*E2_tabla_vida!$X$192)*E2_tabla_vida!$P$192,EXP(-E213*E2_tabla_vida!$X$193)*E2_tabla_vida!$P$193,EXP(-E213*E2_tabla_vida!$X$194)*E2_tabla_vida!$P$194,EXP(-E213*E2_tabla_vida!$X$195)*E2_tabla_vida!$P$195,EXP(-E213*E2_tabla_vida!$X$196)*E2_tabla_vida!$P$196,EXP(-E213*E2_tabla_vida!$X$197)*E2_tabla_vida!$P$197,EXP(-E213*E2_tabla_vida!$X$198)*E2_tabla_vida!$P$198,EXP(-E213*E2_tabla_vida!$X$199)*E2_tabla_vida!$P$199,EXP(-E213*E2_tabla_vida!$X$200)*E2_tabla_vida!$P$200,EXP(-E213*E2_tabla_vida!$X$201)*E2_tabla_vida!$P$201,EXP(-E213*E2_tabla_vida!$X$202)*E2_tabla_vida!$P$202,EXP(-E213*E2_tabla_vida!$X$203)*E2_tabla_vida!$P$203,EXP(-E213*E2_tabla_vida!$X$204)*E2_tabla_vida!$P$204,EXP(-E213*E2_tabla_vida!$X$205)*E2_tabla_vida!$P$205,EXP(-E213*E2_tabla_vida!$X$206)*E2_tabla_vida!$P$206,EXP(-E213*E2_tabla_vida!$X$207)*E2_tabla_vida!$P$207,EXP(-E213*E2_tabla_vida!$X$208)*E2_tabla_vida!$P$208,EXP(-E213*E2_tabla_vida!$X$209)*E2_tabla_vida!$P$209,EXP(-E213*E2_tabla_vida!$X$210)*E2_tabla_vida!$P$210,EXP(-E213*E2_tabla_vida!$X$211)*E2_tabla_vida!$P$211)-1</x:f>
        <x:v>2.4967518053031768e-8</x:v>
      </x:c>
      <x:c r="G213" s="24" t="n">
        <x:f>SUM(EXP(-C213*E2_tabla_vida!$X$170)*E2_tabla_vida!$P$170,EXP(-C213*E2_tabla_vida!$X$171)*E2_tabla_vida!$P$171,EXP(-C213*E2_tabla_vida!$X$172)*E2_tabla_vida!$P$172,EXP(-C213*E2_tabla_vida!$X$173)*E2_tabla_vida!$P$173,EXP(-C213*E2_tabla_vida!$X$174)*E2_tabla_vida!$P$174,EXP(-C213*E2_tabla_vida!$X$175)*E2_tabla_vida!$P$175,EXP(-C213*E2_tabla_vida!$X$176)*E2_tabla_vida!$P$176,EXP(-C213*E2_tabla_vida!$X$177)*E2_tabla_vida!$P$177,EXP(-C213*E2_tabla_vida!$X$178)*E2_tabla_vida!$P$178,EXP(-C213*E2_tabla_vida!$X$179)*E2_tabla_vida!$P$179,EXP(-C213*E2_tabla_vida!$X$180)*E2_tabla_vida!$P$180,EXP(-C213*E2_tabla_vida!$X$181)*E2_tabla_vida!$P$181,EXP(-C213*E2_tabla_vida!$X$182)*E2_tabla_vida!$P$182,EXP(-C213*E2_tabla_vida!$X$183)*E2_tabla_vida!$P$183,EXP(-C213*E2_tabla_vida!$X$184)*E2_tabla_vida!$P$184,EXP(-C213*E2_tabla_vida!$X$185)*E2_tabla_vida!$P$185,EXP(-C213*E2_tabla_vida!$X$186)*E2_tabla_vida!$P$186,EXP(-C213*E2_tabla_vida!$X$187)*E2_tabla_vida!$P$187,EXP(-C213*E2_tabla_vida!$X$188)*E2_tabla_vida!$P$188,EXP(-C213*E2_tabla_vida!$X$189)*E2_tabla_vida!$P$189,EXP(-C213*E2_tabla_vida!$X$190)*E2_tabla_vida!$P$190,EXP(-C213*E2_tabla_vida!$X$191)*E2_tabla_vida!$P$191,EXP(-C213*E2_tabla_vida!$X$192)*E2_tabla_vida!$P$192,EXP(-C213*E2_tabla_vida!$X$193)*E2_tabla_vida!$P$193,EXP(-C213*E2_tabla_vida!$X$194)*E2_tabla_vida!$P$194,EXP(-C213*E2_tabla_vida!$X$195)*E2_tabla_vida!$P$195,EXP(-C213*E2_tabla_vida!$X$196)*E2_tabla_vida!$P$196,EXP(-C213*E2_tabla_vida!$X$197)*E2_tabla_vida!$P$197,EXP(-C213*E2_tabla_vida!$X$198)*E2_tabla_vida!$P$198,EXP(-C213*E2_tabla_vida!$X$199)*E2_tabla_vida!$P$199,EXP(-C213*E2_tabla_vida!$X$200)*E2_tabla_vida!$P$200,EXP(-C213*E2_tabla_vida!$X$201)*E2_tabla_vida!$P$201,EXP(-C213*E2_tabla_vida!$X$202)*E2_tabla_vida!$P$202,EXP(-C213*E2_tabla_vida!$X$203)*E2_tabla_vida!$P$203,EXP(-C213*E2_tabla_vida!$X$204)*E2_tabla_vida!$P$204,EXP(-C213*E2_tabla_vida!$X$205)*E2_tabla_vida!$P$205,EXP(-C213*E2_tabla_vida!$X$206)*E2_tabla_vida!$P$206,EXP(-C213*E2_tabla_vida!$X$207)*E2_tabla_vida!$P$207,EXP(-C213*E2_tabla_vida!$X$208)*E2_tabla_vida!$P$208,EXP(-C213*E2_tabla_vida!$X$209)*E2_tabla_vida!$P$209,EXP(-C213*E2_tabla_vida!$X$210)*E2_tabla_vida!$P$210,EXP(-C213*E2_tabla_vida!$X$211)*E2_tabla_vida!$P$211)-1</x:f>
        <x:v>1.9124850036966734e-7</x:v>
      </x:c>
      <x:c r="H213" s="24" t="n">
        <x:f>SUM(EXP(-D213*E2_tabla_vida!$X$170)*E2_tabla_vida!$P$170,EXP(-D213*E2_tabla_vida!$X$171)*E2_tabla_vida!$P$171,EXP(-D213*E2_tabla_vida!$X$172)*E2_tabla_vida!$P$172,EXP(-D213*E2_tabla_vida!$X$173)*E2_tabla_vida!$P$173,EXP(-D213*E2_tabla_vida!$X$174)*E2_tabla_vida!$P$174,EXP(-D213*E2_tabla_vida!$X$175)*E2_tabla_vida!$P$175,EXP(-D213*E2_tabla_vida!$X$176)*E2_tabla_vida!$P$176,EXP(-D213*E2_tabla_vida!$X$177)*E2_tabla_vida!$P$177,EXP(-D213*E2_tabla_vida!$X$178)*E2_tabla_vida!$P$178,EXP(-D213*E2_tabla_vida!$X$179)*E2_tabla_vida!$P$179,EXP(-D213*E2_tabla_vida!$X$180)*E2_tabla_vida!$P$180,EXP(-D213*E2_tabla_vida!$X$181)*E2_tabla_vida!$P$181,EXP(-D213*E2_tabla_vida!$X$182)*E2_tabla_vida!$P$182,EXP(-D213*E2_tabla_vida!$X$183)*E2_tabla_vida!$P$183,EXP(-D213*E2_tabla_vida!$X$184)*E2_tabla_vida!$P$184,EXP(-D213*E2_tabla_vida!$X$185)*E2_tabla_vida!$P$185,EXP(-D213*E2_tabla_vida!$X$186)*E2_tabla_vida!$P$186,EXP(-D213*E2_tabla_vida!$X$187)*E2_tabla_vida!$P$187,EXP(-D213*E2_tabla_vida!$X$188)*E2_tabla_vida!$P$188,EXP(-D213*E2_tabla_vida!$X$189)*E2_tabla_vida!$P$189,EXP(-D213*E2_tabla_vida!$X$190)*E2_tabla_vida!$P$190,EXP(-D213*E2_tabla_vida!$X$191)*E2_tabla_vida!$P$191,EXP(-D213*E2_tabla_vida!$X$192)*E2_tabla_vida!$P$192,EXP(-D213*E2_tabla_vida!$X$193)*E2_tabla_vida!$P$193,EXP(-D213*E2_tabla_vida!$X$194)*E2_tabla_vida!$P$194,EXP(-D213*E2_tabla_vida!$X$195)*E2_tabla_vida!$P$195,EXP(-D213*E2_tabla_vida!$X$196)*E2_tabla_vida!$P$196,EXP(-D213*E2_tabla_vida!$X$197)*E2_tabla_vida!$P$197,EXP(-D213*E2_tabla_vida!$X$198)*E2_tabla_vida!$P$198,EXP(-D213*E2_tabla_vida!$X$199)*E2_tabla_vida!$P$199,EXP(-D213*E2_tabla_vida!$X$200)*E2_tabla_vida!$P$200,EXP(-D213*E2_tabla_vida!$X$201)*E2_tabla_vida!$P$201,EXP(-D213*E2_tabla_vida!$X$202)*E2_tabla_vida!$P$202,EXP(-D213*E2_tabla_vida!$X$203)*E2_tabla_vida!$P$203,EXP(-D213*E2_tabla_vida!$X$204)*E2_tabla_vida!$P$204,EXP(-D213*E2_tabla_vida!$X$205)*E2_tabla_vida!$P$205,EXP(-D213*E2_tabla_vida!$X$206)*E2_tabla_vida!$P$206,EXP(-D213*E2_tabla_vida!$X$207)*E2_tabla_vida!$P$207,EXP(-D213*E2_tabla_vida!$X$208)*E2_tabla_vida!$P$208,EXP(-D213*E2_tabla_vida!$X$209)*E2_tabla_vida!$P$209,EXP(-D213*E2_tabla_vida!$X$210)*E2_tabla_vida!$P$210,EXP(-D213*E2_tabla_vida!$X$211)*E2_tabla_vida!$P$211)-1</x:f>
        <x:v>-1.4131343462064905e-7</x:v>
      </x:c>
    </x:row>
    <x:row r="214" ht="19" customHeight="1">
      <x:c r="A214" s="2" t="str">
        <x:v>BB_L8</x:v>
      </x:c>
      <x:c r="B214" s="2" t="n">
        <x:v>28</x:v>
      </x:c>
      <x:c r="C214" s="22" t="n">
        <x:f>IF(F213&gt;0,E213,C213)</x:f>
        <x:v>0.1957213245332241</x:v>
      </x:c>
      <x:c r="D214" s="22" t="n">
        <x:f>IF(F213&gt;0,D213,E213)</x:f>
        <x:v>0.195721335709095</x:v>
      </x:c>
      <x:c r="E214" s="22" t="n">
        <x:f>AVERAGE(C214:D214)</x:f>
        <x:v>0.19572133012115955</x:v>
      </x:c>
      <x:c r="F214" s="24" t="n">
        <x:f>SUM(EXP(-E214*E2_tabla_vida!$X$170)*E2_tabla_vida!$P$170,EXP(-E214*E2_tabla_vida!$X$171)*E2_tabla_vida!$P$171,EXP(-E214*E2_tabla_vida!$X$172)*E2_tabla_vida!$P$172,EXP(-E214*E2_tabla_vida!$X$173)*E2_tabla_vida!$P$173,EXP(-E214*E2_tabla_vida!$X$174)*E2_tabla_vida!$P$174,EXP(-E214*E2_tabla_vida!$X$175)*E2_tabla_vida!$P$175,EXP(-E214*E2_tabla_vida!$X$176)*E2_tabla_vida!$P$176,EXP(-E214*E2_tabla_vida!$X$177)*E2_tabla_vida!$P$177,EXP(-E214*E2_tabla_vida!$X$178)*E2_tabla_vida!$P$178,EXP(-E214*E2_tabla_vida!$X$179)*E2_tabla_vida!$P$179,EXP(-E214*E2_tabla_vida!$X$180)*E2_tabla_vida!$P$180,EXP(-E214*E2_tabla_vida!$X$181)*E2_tabla_vida!$P$181,EXP(-E214*E2_tabla_vida!$X$182)*E2_tabla_vida!$P$182,EXP(-E214*E2_tabla_vida!$X$183)*E2_tabla_vida!$P$183,EXP(-E214*E2_tabla_vida!$X$184)*E2_tabla_vida!$P$184,EXP(-E214*E2_tabla_vida!$X$185)*E2_tabla_vida!$P$185,EXP(-E214*E2_tabla_vida!$X$186)*E2_tabla_vida!$P$186,EXP(-E214*E2_tabla_vida!$X$187)*E2_tabla_vida!$P$187,EXP(-E214*E2_tabla_vida!$X$188)*E2_tabla_vida!$P$188,EXP(-E214*E2_tabla_vida!$X$189)*E2_tabla_vida!$P$189,EXP(-E214*E2_tabla_vida!$X$190)*E2_tabla_vida!$P$190,EXP(-E214*E2_tabla_vida!$X$191)*E2_tabla_vida!$P$191,EXP(-E214*E2_tabla_vida!$X$192)*E2_tabla_vida!$P$192,EXP(-E214*E2_tabla_vida!$X$193)*E2_tabla_vida!$P$193,EXP(-E214*E2_tabla_vida!$X$194)*E2_tabla_vida!$P$194,EXP(-E214*E2_tabla_vida!$X$195)*E2_tabla_vida!$P$195,EXP(-E214*E2_tabla_vida!$X$196)*E2_tabla_vida!$P$196,EXP(-E214*E2_tabla_vida!$X$197)*E2_tabla_vida!$P$197,EXP(-E214*E2_tabla_vida!$X$198)*E2_tabla_vida!$P$198,EXP(-E214*E2_tabla_vida!$X$199)*E2_tabla_vida!$P$199,EXP(-E214*E2_tabla_vida!$X$200)*E2_tabla_vida!$P$200,EXP(-E214*E2_tabla_vida!$X$201)*E2_tabla_vida!$P$201,EXP(-E214*E2_tabla_vida!$X$202)*E2_tabla_vida!$P$202,EXP(-E214*E2_tabla_vida!$X$203)*E2_tabla_vida!$P$203,EXP(-E214*E2_tabla_vida!$X$204)*E2_tabla_vida!$P$204,EXP(-E214*E2_tabla_vida!$X$205)*E2_tabla_vida!$P$205,EXP(-E214*E2_tabla_vida!$X$206)*E2_tabla_vida!$P$206,EXP(-E214*E2_tabla_vida!$X$207)*E2_tabla_vida!$P$207,EXP(-E214*E2_tabla_vida!$X$208)*E2_tabla_vida!$P$208,EXP(-E214*E2_tabla_vida!$X$209)*E2_tabla_vida!$P$209,EXP(-E214*E2_tabla_vida!$X$210)*E2_tabla_vida!$P$210,EXP(-E214*E2_tabla_vida!$X$211)*E2_tabla_vida!$P$211)-1</x:f>
        <x:v>-5.817296189203347e-8</x:v>
      </x:c>
      <x:c r="G214" s="24" t="n">
        <x:f>SUM(EXP(-C214*E2_tabla_vida!$X$170)*E2_tabla_vida!$P$170,EXP(-C214*E2_tabla_vida!$X$171)*E2_tabla_vida!$P$171,EXP(-C214*E2_tabla_vida!$X$172)*E2_tabla_vida!$P$172,EXP(-C214*E2_tabla_vida!$X$173)*E2_tabla_vida!$P$173,EXP(-C214*E2_tabla_vida!$X$174)*E2_tabla_vida!$P$174,EXP(-C214*E2_tabla_vida!$X$175)*E2_tabla_vida!$P$175,EXP(-C214*E2_tabla_vida!$X$176)*E2_tabla_vida!$P$176,EXP(-C214*E2_tabla_vida!$X$177)*E2_tabla_vida!$P$177,EXP(-C214*E2_tabla_vida!$X$178)*E2_tabla_vida!$P$178,EXP(-C214*E2_tabla_vida!$X$179)*E2_tabla_vida!$P$179,EXP(-C214*E2_tabla_vida!$X$180)*E2_tabla_vida!$P$180,EXP(-C214*E2_tabla_vida!$X$181)*E2_tabla_vida!$P$181,EXP(-C214*E2_tabla_vida!$X$182)*E2_tabla_vida!$P$182,EXP(-C214*E2_tabla_vida!$X$183)*E2_tabla_vida!$P$183,EXP(-C214*E2_tabla_vida!$X$184)*E2_tabla_vida!$P$184,EXP(-C214*E2_tabla_vida!$X$185)*E2_tabla_vida!$P$185,EXP(-C214*E2_tabla_vida!$X$186)*E2_tabla_vida!$P$186,EXP(-C214*E2_tabla_vida!$X$187)*E2_tabla_vida!$P$187,EXP(-C214*E2_tabla_vida!$X$188)*E2_tabla_vida!$P$188,EXP(-C214*E2_tabla_vida!$X$189)*E2_tabla_vida!$P$189,EXP(-C214*E2_tabla_vida!$X$190)*E2_tabla_vida!$P$190,EXP(-C214*E2_tabla_vida!$X$191)*E2_tabla_vida!$P$191,EXP(-C214*E2_tabla_vida!$X$192)*E2_tabla_vida!$P$192,EXP(-C214*E2_tabla_vida!$X$193)*E2_tabla_vida!$P$193,EXP(-C214*E2_tabla_vida!$X$194)*E2_tabla_vida!$P$194,EXP(-C214*E2_tabla_vida!$X$195)*E2_tabla_vida!$P$195,EXP(-C214*E2_tabla_vida!$X$196)*E2_tabla_vida!$P$196,EXP(-C214*E2_tabla_vida!$X$197)*E2_tabla_vida!$P$197,EXP(-C214*E2_tabla_vida!$X$198)*E2_tabla_vida!$P$198,EXP(-C214*E2_tabla_vida!$X$199)*E2_tabla_vida!$P$199,EXP(-C214*E2_tabla_vida!$X$200)*E2_tabla_vida!$P$200,EXP(-C214*E2_tabla_vida!$X$201)*E2_tabla_vida!$P$201,EXP(-C214*E2_tabla_vida!$X$202)*E2_tabla_vida!$P$202,EXP(-C214*E2_tabla_vida!$X$203)*E2_tabla_vida!$P$203,EXP(-C214*E2_tabla_vida!$X$204)*E2_tabla_vida!$P$204,EXP(-C214*E2_tabla_vida!$X$205)*E2_tabla_vida!$P$205,EXP(-C214*E2_tabla_vida!$X$206)*E2_tabla_vida!$P$206,EXP(-C214*E2_tabla_vida!$X$207)*E2_tabla_vida!$P$207,EXP(-C214*E2_tabla_vida!$X$208)*E2_tabla_vida!$P$208,EXP(-C214*E2_tabla_vida!$X$209)*E2_tabla_vida!$P$209,EXP(-C214*E2_tabla_vida!$X$210)*E2_tabla_vida!$P$210,EXP(-C214*E2_tabla_vida!$X$211)*E2_tabla_vida!$P$211)-1</x:f>
        <x:v>2.4967518053031768e-8</x:v>
      </x:c>
      <x:c r="H214" s="24" t="n">
        <x:f>SUM(EXP(-D214*E2_tabla_vida!$X$170)*E2_tabla_vida!$P$170,EXP(-D214*E2_tabla_vida!$X$171)*E2_tabla_vida!$P$171,EXP(-D214*E2_tabla_vida!$X$172)*E2_tabla_vida!$P$172,EXP(-D214*E2_tabla_vida!$X$173)*E2_tabla_vida!$P$173,EXP(-D214*E2_tabla_vida!$X$174)*E2_tabla_vida!$P$174,EXP(-D214*E2_tabla_vida!$X$175)*E2_tabla_vida!$P$175,EXP(-D214*E2_tabla_vida!$X$176)*E2_tabla_vida!$P$176,EXP(-D214*E2_tabla_vida!$X$177)*E2_tabla_vida!$P$177,EXP(-D214*E2_tabla_vida!$X$178)*E2_tabla_vida!$P$178,EXP(-D214*E2_tabla_vida!$X$179)*E2_tabla_vida!$P$179,EXP(-D214*E2_tabla_vida!$X$180)*E2_tabla_vida!$P$180,EXP(-D214*E2_tabla_vida!$X$181)*E2_tabla_vida!$P$181,EXP(-D214*E2_tabla_vida!$X$182)*E2_tabla_vida!$P$182,EXP(-D214*E2_tabla_vida!$X$183)*E2_tabla_vida!$P$183,EXP(-D214*E2_tabla_vida!$X$184)*E2_tabla_vida!$P$184,EXP(-D214*E2_tabla_vida!$X$185)*E2_tabla_vida!$P$185,EXP(-D214*E2_tabla_vida!$X$186)*E2_tabla_vida!$P$186,EXP(-D214*E2_tabla_vida!$X$187)*E2_tabla_vida!$P$187,EXP(-D214*E2_tabla_vida!$X$188)*E2_tabla_vida!$P$188,EXP(-D214*E2_tabla_vida!$X$189)*E2_tabla_vida!$P$189,EXP(-D214*E2_tabla_vida!$X$190)*E2_tabla_vida!$P$190,EXP(-D214*E2_tabla_vida!$X$191)*E2_tabla_vida!$P$191,EXP(-D214*E2_tabla_vida!$X$192)*E2_tabla_vida!$P$192,EXP(-D214*E2_tabla_vida!$X$193)*E2_tabla_vida!$P$193,EXP(-D214*E2_tabla_vida!$X$194)*E2_tabla_vida!$P$194,EXP(-D214*E2_tabla_vida!$X$195)*E2_tabla_vida!$P$195,EXP(-D214*E2_tabla_vida!$X$196)*E2_tabla_vida!$P$196,EXP(-D214*E2_tabla_vida!$X$197)*E2_tabla_vida!$P$197,EXP(-D214*E2_tabla_vida!$X$198)*E2_tabla_vida!$P$198,EXP(-D214*E2_tabla_vida!$X$199)*E2_tabla_vida!$P$199,EXP(-D214*E2_tabla_vida!$X$200)*E2_tabla_vida!$P$200,EXP(-D214*E2_tabla_vida!$X$201)*E2_tabla_vida!$P$201,EXP(-D214*E2_tabla_vida!$X$202)*E2_tabla_vida!$P$202,EXP(-D214*E2_tabla_vida!$X$203)*E2_tabla_vida!$P$203,EXP(-D214*E2_tabla_vida!$X$204)*E2_tabla_vida!$P$204,EXP(-D214*E2_tabla_vida!$X$205)*E2_tabla_vida!$P$205,EXP(-D214*E2_tabla_vida!$X$206)*E2_tabla_vida!$P$206,EXP(-D214*E2_tabla_vida!$X$207)*E2_tabla_vida!$P$207,EXP(-D214*E2_tabla_vida!$X$208)*E2_tabla_vida!$P$208,EXP(-D214*E2_tabla_vida!$X$209)*E2_tabla_vida!$P$209,EXP(-D214*E2_tabla_vida!$X$210)*E2_tabla_vida!$P$210,EXP(-D214*E2_tabla_vida!$X$211)*E2_tabla_vida!$P$211)-1</x:f>
        <x:v>-1.4131343462064905e-7</x:v>
      </x:c>
    </x:row>
    <x:row r="215" ht="19" customHeight="1">
      <x:c r="A215" s="2" t="str">
        <x:v>BB_L8</x:v>
      </x:c>
      <x:c r="B215" s="2" t="n">
        <x:v>29</x:v>
      </x:c>
      <x:c r="C215" s="22" t="n">
        <x:f>IF(F214&gt;0,E214,C214)</x:f>
        <x:v>0.1957213245332241</x:v>
      </x:c>
      <x:c r="D215" s="22" t="n">
        <x:f>IF(F214&gt;0,D214,E214)</x:f>
        <x:v>0.19572133012115955</x:v>
      </x:c>
      <x:c r="E215" s="22" t="n">
        <x:f>AVERAGE(C215:D215)</x:f>
        <x:v>0.19572132732719183</x:v>
      </x:c>
      <x:c r="F215" s="24" t="n">
        <x:f>SUM(EXP(-E215*E2_tabla_vida!$X$170)*E2_tabla_vida!$P$170,EXP(-E215*E2_tabla_vida!$X$171)*E2_tabla_vida!$P$171,EXP(-E215*E2_tabla_vida!$X$172)*E2_tabla_vida!$P$172,EXP(-E215*E2_tabla_vida!$X$173)*E2_tabla_vida!$P$173,EXP(-E215*E2_tabla_vida!$X$174)*E2_tabla_vida!$P$174,EXP(-E215*E2_tabla_vida!$X$175)*E2_tabla_vida!$P$175,EXP(-E215*E2_tabla_vida!$X$176)*E2_tabla_vida!$P$176,EXP(-E215*E2_tabla_vida!$X$177)*E2_tabla_vida!$P$177,EXP(-E215*E2_tabla_vida!$X$178)*E2_tabla_vida!$P$178,EXP(-E215*E2_tabla_vida!$X$179)*E2_tabla_vida!$P$179,EXP(-E215*E2_tabla_vida!$X$180)*E2_tabla_vida!$P$180,EXP(-E215*E2_tabla_vida!$X$181)*E2_tabla_vida!$P$181,EXP(-E215*E2_tabla_vida!$X$182)*E2_tabla_vida!$P$182,EXP(-E215*E2_tabla_vida!$X$183)*E2_tabla_vida!$P$183,EXP(-E215*E2_tabla_vida!$X$184)*E2_tabla_vida!$P$184,EXP(-E215*E2_tabla_vida!$X$185)*E2_tabla_vida!$P$185,EXP(-E215*E2_tabla_vida!$X$186)*E2_tabla_vida!$P$186,EXP(-E215*E2_tabla_vida!$X$187)*E2_tabla_vida!$P$187,EXP(-E215*E2_tabla_vida!$X$188)*E2_tabla_vida!$P$188,EXP(-E215*E2_tabla_vida!$X$189)*E2_tabla_vida!$P$189,EXP(-E215*E2_tabla_vida!$X$190)*E2_tabla_vida!$P$190,EXP(-E215*E2_tabla_vida!$X$191)*E2_tabla_vida!$P$191,EXP(-E215*E2_tabla_vida!$X$192)*E2_tabla_vida!$P$192,EXP(-E215*E2_tabla_vida!$X$193)*E2_tabla_vida!$P$193,EXP(-E215*E2_tabla_vida!$X$194)*E2_tabla_vida!$P$194,EXP(-E215*E2_tabla_vida!$X$195)*E2_tabla_vida!$P$195,EXP(-E215*E2_tabla_vida!$X$196)*E2_tabla_vida!$P$196,EXP(-E215*E2_tabla_vida!$X$197)*E2_tabla_vida!$P$197,EXP(-E215*E2_tabla_vida!$X$198)*E2_tabla_vida!$P$198,EXP(-E215*E2_tabla_vida!$X$199)*E2_tabla_vida!$P$199,EXP(-E215*E2_tabla_vida!$X$200)*E2_tabla_vida!$P$200,EXP(-E215*E2_tabla_vida!$X$201)*E2_tabla_vida!$P$201,EXP(-E215*E2_tabla_vida!$X$202)*E2_tabla_vida!$P$202,EXP(-E215*E2_tabla_vida!$X$203)*E2_tabla_vida!$P$203,EXP(-E215*E2_tabla_vida!$X$204)*E2_tabla_vida!$P$204,EXP(-E215*E2_tabla_vida!$X$205)*E2_tabla_vida!$P$205,EXP(-E215*E2_tabla_vida!$X$206)*E2_tabla_vida!$P$206,EXP(-E215*E2_tabla_vida!$X$207)*E2_tabla_vida!$P$207,EXP(-E215*E2_tabla_vida!$X$208)*E2_tabla_vida!$P$208,EXP(-E215*E2_tabla_vida!$X$209)*E2_tabla_vida!$P$209,EXP(-E215*E2_tabla_vida!$X$210)*E2_tabla_vida!$P$210,EXP(-E215*E2_tabla_vida!$X$211)*E2_tabla_vida!$P$211)-1</x:f>
        <x:v>-1.6602722863190422e-8</x:v>
      </x:c>
      <x:c r="G215" s="24" t="n">
        <x:f>SUM(EXP(-C215*E2_tabla_vida!$X$170)*E2_tabla_vida!$P$170,EXP(-C215*E2_tabla_vida!$X$171)*E2_tabla_vida!$P$171,EXP(-C215*E2_tabla_vida!$X$172)*E2_tabla_vida!$P$172,EXP(-C215*E2_tabla_vida!$X$173)*E2_tabla_vida!$P$173,EXP(-C215*E2_tabla_vida!$X$174)*E2_tabla_vida!$P$174,EXP(-C215*E2_tabla_vida!$X$175)*E2_tabla_vida!$P$175,EXP(-C215*E2_tabla_vida!$X$176)*E2_tabla_vida!$P$176,EXP(-C215*E2_tabla_vida!$X$177)*E2_tabla_vida!$P$177,EXP(-C215*E2_tabla_vida!$X$178)*E2_tabla_vida!$P$178,EXP(-C215*E2_tabla_vida!$X$179)*E2_tabla_vida!$P$179,EXP(-C215*E2_tabla_vida!$X$180)*E2_tabla_vida!$P$180,EXP(-C215*E2_tabla_vida!$X$181)*E2_tabla_vida!$P$181,EXP(-C215*E2_tabla_vida!$X$182)*E2_tabla_vida!$P$182,EXP(-C215*E2_tabla_vida!$X$183)*E2_tabla_vida!$P$183,EXP(-C215*E2_tabla_vida!$X$184)*E2_tabla_vida!$P$184,EXP(-C215*E2_tabla_vida!$X$185)*E2_tabla_vida!$P$185,EXP(-C215*E2_tabla_vida!$X$186)*E2_tabla_vida!$P$186,EXP(-C215*E2_tabla_vida!$X$187)*E2_tabla_vida!$P$187,EXP(-C215*E2_tabla_vida!$X$188)*E2_tabla_vida!$P$188,EXP(-C215*E2_tabla_vida!$X$189)*E2_tabla_vida!$P$189,EXP(-C215*E2_tabla_vida!$X$190)*E2_tabla_vida!$P$190,EXP(-C215*E2_tabla_vida!$X$191)*E2_tabla_vida!$P$191,EXP(-C215*E2_tabla_vida!$X$192)*E2_tabla_vida!$P$192,EXP(-C215*E2_tabla_vida!$X$193)*E2_tabla_vida!$P$193,EXP(-C215*E2_tabla_vida!$X$194)*E2_tabla_vida!$P$194,EXP(-C215*E2_tabla_vida!$X$195)*E2_tabla_vida!$P$195,EXP(-C215*E2_tabla_vida!$X$196)*E2_tabla_vida!$P$196,EXP(-C215*E2_tabla_vida!$X$197)*E2_tabla_vida!$P$197,EXP(-C215*E2_tabla_vida!$X$198)*E2_tabla_vida!$P$198,EXP(-C215*E2_tabla_vida!$X$199)*E2_tabla_vida!$P$199,EXP(-C215*E2_tabla_vida!$X$200)*E2_tabla_vida!$P$200,EXP(-C215*E2_tabla_vida!$X$201)*E2_tabla_vida!$P$201,EXP(-C215*E2_tabla_vida!$X$202)*E2_tabla_vida!$P$202,EXP(-C215*E2_tabla_vida!$X$203)*E2_tabla_vida!$P$203,EXP(-C215*E2_tabla_vida!$X$204)*E2_tabla_vida!$P$204,EXP(-C215*E2_tabla_vida!$X$205)*E2_tabla_vida!$P$205,EXP(-C215*E2_tabla_vida!$X$206)*E2_tabla_vida!$P$206,EXP(-C215*E2_tabla_vida!$X$207)*E2_tabla_vida!$P$207,EXP(-C215*E2_tabla_vida!$X$208)*E2_tabla_vida!$P$208,EXP(-C215*E2_tabla_vida!$X$209)*E2_tabla_vida!$P$209,EXP(-C215*E2_tabla_vida!$X$210)*E2_tabla_vida!$P$210,EXP(-C215*E2_tabla_vida!$X$211)*E2_tabla_vida!$P$211)-1</x:f>
        <x:v>2.4967518053031768e-8</x:v>
      </x:c>
      <x:c r="H215" s="24" t="n">
        <x:f>SUM(EXP(-D215*E2_tabla_vida!$X$170)*E2_tabla_vida!$P$170,EXP(-D215*E2_tabla_vida!$X$171)*E2_tabla_vida!$P$171,EXP(-D215*E2_tabla_vida!$X$172)*E2_tabla_vida!$P$172,EXP(-D215*E2_tabla_vida!$X$173)*E2_tabla_vida!$P$173,EXP(-D215*E2_tabla_vida!$X$174)*E2_tabla_vida!$P$174,EXP(-D215*E2_tabla_vida!$X$175)*E2_tabla_vida!$P$175,EXP(-D215*E2_tabla_vida!$X$176)*E2_tabla_vida!$P$176,EXP(-D215*E2_tabla_vida!$X$177)*E2_tabla_vida!$P$177,EXP(-D215*E2_tabla_vida!$X$178)*E2_tabla_vida!$P$178,EXP(-D215*E2_tabla_vida!$X$179)*E2_tabla_vida!$P$179,EXP(-D215*E2_tabla_vida!$X$180)*E2_tabla_vida!$P$180,EXP(-D215*E2_tabla_vida!$X$181)*E2_tabla_vida!$P$181,EXP(-D215*E2_tabla_vida!$X$182)*E2_tabla_vida!$P$182,EXP(-D215*E2_tabla_vida!$X$183)*E2_tabla_vida!$P$183,EXP(-D215*E2_tabla_vida!$X$184)*E2_tabla_vida!$P$184,EXP(-D215*E2_tabla_vida!$X$185)*E2_tabla_vida!$P$185,EXP(-D215*E2_tabla_vida!$X$186)*E2_tabla_vida!$P$186,EXP(-D215*E2_tabla_vida!$X$187)*E2_tabla_vida!$P$187,EXP(-D215*E2_tabla_vida!$X$188)*E2_tabla_vida!$P$188,EXP(-D215*E2_tabla_vida!$X$189)*E2_tabla_vida!$P$189,EXP(-D215*E2_tabla_vida!$X$190)*E2_tabla_vida!$P$190,EXP(-D215*E2_tabla_vida!$X$191)*E2_tabla_vida!$P$191,EXP(-D215*E2_tabla_vida!$X$192)*E2_tabla_vida!$P$192,EXP(-D215*E2_tabla_vida!$X$193)*E2_tabla_vida!$P$193,EXP(-D215*E2_tabla_vida!$X$194)*E2_tabla_vida!$P$194,EXP(-D215*E2_tabla_vida!$X$195)*E2_tabla_vida!$P$195,EXP(-D215*E2_tabla_vida!$X$196)*E2_tabla_vida!$P$196,EXP(-D215*E2_tabla_vida!$X$197)*E2_tabla_vida!$P$197,EXP(-D215*E2_tabla_vida!$X$198)*E2_tabla_vida!$P$198,EXP(-D215*E2_tabla_vida!$X$199)*E2_tabla_vida!$P$199,EXP(-D215*E2_tabla_vida!$X$200)*E2_tabla_vida!$P$200,EXP(-D215*E2_tabla_vida!$X$201)*E2_tabla_vida!$P$201,EXP(-D215*E2_tabla_vida!$X$202)*E2_tabla_vida!$P$202,EXP(-D215*E2_tabla_vida!$X$203)*E2_tabla_vida!$P$203,EXP(-D215*E2_tabla_vida!$X$204)*E2_tabla_vida!$P$204,EXP(-D215*E2_tabla_vida!$X$205)*E2_tabla_vida!$P$205,EXP(-D215*E2_tabla_vida!$X$206)*E2_tabla_vida!$P$206,EXP(-D215*E2_tabla_vida!$X$207)*E2_tabla_vida!$P$207,EXP(-D215*E2_tabla_vida!$X$208)*E2_tabla_vida!$P$208,EXP(-D215*E2_tabla_vida!$X$209)*E2_tabla_vida!$P$209,EXP(-D215*E2_tabla_vida!$X$210)*E2_tabla_vida!$P$210,EXP(-D215*E2_tabla_vida!$X$211)*E2_tabla_vida!$P$211)-1</x:f>
        <x:v>-5.817296189203347e-8</x:v>
      </x:c>
    </x:row>
    <x:row r="216" ht="19" customHeight="1">
      <x:c r="A216" s="2" t="str">
        <x:v>BB_L8</x:v>
      </x:c>
      <x:c r="B216" s="2" t="n">
        <x:v>30</x:v>
      </x:c>
      <x:c r="C216" s="22" t="n">
        <x:f>IF(F215&gt;0,E215,C215)</x:f>
        <x:v>0.1957213245332241</x:v>
      </x:c>
      <x:c r="D216" s="22" t="n">
        <x:f>IF(F215&gt;0,D215,E215)</x:f>
        <x:v>0.19572132732719183</x:v>
      </x:c>
      <x:c r="E216" s="22" t="n">
        <x:f>AVERAGE(C216:D216)</x:f>
        <x:v>0.19572132593020797</x:v>
      </x:c>
      <x:c r="F216" s="24" t="n">
        <x:f>SUM(EXP(-E216*E2_tabla_vida!$X$170)*E2_tabla_vida!$P$170,EXP(-E216*E2_tabla_vida!$X$171)*E2_tabla_vida!$P$171,EXP(-E216*E2_tabla_vida!$X$172)*E2_tabla_vida!$P$172,EXP(-E216*E2_tabla_vida!$X$173)*E2_tabla_vida!$P$173,EXP(-E216*E2_tabla_vida!$X$174)*E2_tabla_vida!$P$174,EXP(-E216*E2_tabla_vida!$X$175)*E2_tabla_vida!$P$175,EXP(-E216*E2_tabla_vida!$X$176)*E2_tabla_vida!$P$176,EXP(-E216*E2_tabla_vida!$X$177)*E2_tabla_vida!$P$177,EXP(-E216*E2_tabla_vida!$X$178)*E2_tabla_vida!$P$178,EXP(-E216*E2_tabla_vida!$X$179)*E2_tabla_vida!$P$179,EXP(-E216*E2_tabla_vida!$X$180)*E2_tabla_vida!$P$180,EXP(-E216*E2_tabla_vida!$X$181)*E2_tabla_vida!$P$181,EXP(-E216*E2_tabla_vida!$X$182)*E2_tabla_vida!$P$182,EXP(-E216*E2_tabla_vida!$X$183)*E2_tabla_vida!$P$183,EXP(-E216*E2_tabla_vida!$X$184)*E2_tabla_vida!$P$184,EXP(-E216*E2_tabla_vida!$X$185)*E2_tabla_vida!$P$185,EXP(-E216*E2_tabla_vida!$X$186)*E2_tabla_vida!$P$186,EXP(-E216*E2_tabla_vida!$X$187)*E2_tabla_vida!$P$187,EXP(-E216*E2_tabla_vida!$X$188)*E2_tabla_vida!$P$188,EXP(-E216*E2_tabla_vida!$X$189)*E2_tabla_vida!$P$189,EXP(-E216*E2_tabla_vida!$X$190)*E2_tabla_vida!$P$190,EXP(-E216*E2_tabla_vida!$X$191)*E2_tabla_vida!$P$191,EXP(-E216*E2_tabla_vida!$X$192)*E2_tabla_vida!$P$192,EXP(-E216*E2_tabla_vida!$X$193)*E2_tabla_vida!$P$193,EXP(-E216*E2_tabla_vida!$X$194)*E2_tabla_vida!$P$194,EXP(-E216*E2_tabla_vida!$X$195)*E2_tabla_vida!$P$195,EXP(-E216*E2_tabla_vida!$X$196)*E2_tabla_vida!$P$196,EXP(-E216*E2_tabla_vida!$X$197)*E2_tabla_vida!$P$197,EXP(-E216*E2_tabla_vida!$X$198)*E2_tabla_vida!$P$198,EXP(-E216*E2_tabla_vida!$X$199)*E2_tabla_vida!$P$199,EXP(-E216*E2_tabla_vida!$X$200)*E2_tabla_vida!$P$200,EXP(-E216*E2_tabla_vida!$X$201)*E2_tabla_vida!$P$201,EXP(-E216*E2_tabla_vida!$X$202)*E2_tabla_vida!$P$202,EXP(-E216*E2_tabla_vida!$X$203)*E2_tabla_vida!$P$203,EXP(-E216*E2_tabla_vida!$X$204)*E2_tabla_vida!$P$204,EXP(-E216*E2_tabla_vida!$X$205)*E2_tabla_vida!$P$205,EXP(-E216*E2_tabla_vida!$X$206)*E2_tabla_vida!$P$206,EXP(-E216*E2_tabla_vida!$X$207)*E2_tabla_vida!$P$207,EXP(-E216*E2_tabla_vida!$X$208)*E2_tabla_vida!$P$208,EXP(-E216*E2_tabla_vida!$X$209)*E2_tabla_vida!$P$209,EXP(-E216*E2_tabla_vida!$X$210)*E2_tabla_vida!$P$210,EXP(-E216*E2_tabla_vida!$X$211)*E2_tabla_vida!$P$211)-1</x:f>
        <x:v>4.1823973173649165e-9</x:v>
      </x:c>
      <x:c r="G216" s="24" t="n">
        <x:f>SUM(EXP(-C216*E2_tabla_vida!$X$170)*E2_tabla_vida!$P$170,EXP(-C216*E2_tabla_vida!$X$171)*E2_tabla_vida!$P$171,EXP(-C216*E2_tabla_vida!$X$172)*E2_tabla_vida!$P$172,EXP(-C216*E2_tabla_vida!$X$173)*E2_tabla_vida!$P$173,EXP(-C216*E2_tabla_vida!$X$174)*E2_tabla_vida!$P$174,EXP(-C216*E2_tabla_vida!$X$175)*E2_tabla_vida!$P$175,EXP(-C216*E2_tabla_vida!$X$176)*E2_tabla_vida!$P$176,EXP(-C216*E2_tabla_vida!$X$177)*E2_tabla_vida!$P$177,EXP(-C216*E2_tabla_vida!$X$178)*E2_tabla_vida!$P$178,EXP(-C216*E2_tabla_vida!$X$179)*E2_tabla_vida!$P$179,EXP(-C216*E2_tabla_vida!$X$180)*E2_tabla_vida!$P$180,EXP(-C216*E2_tabla_vida!$X$181)*E2_tabla_vida!$P$181,EXP(-C216*E2_tabla_vida!$X$182)*E2_tabla_vida!$P$182,EXP(-C216*E2_tabla_vida!$X$183)*E2_tabla_vida!$P$183,EXP(-C216*E2_tabla_vida!$X$184)*E2_tabla_vida!$P$184,EXP(-C216*E2_tabla_vida!$X$185)*E2_tabla_vida!$P$185,EXP(-C216*E2_tabla_vida!$X$186)*E2_tabla_vida!$P$186,EXP(-C216*E2_tabla_vida!$X$187)*E2_tabla_vida!$P$187,EXP(-C216*E2_tabla_vida!$X$188)*E2_tabla_vida!$P$188,EXP(-C216*E2_tabla_vida!$X$189)*E2_tabla_vida!$P$189,EXP(-C216*E2_tabla_vida!$X$190)*E2_tabla_vida!$P$190,EXP(-C216*E2_tabla_vida!$X$191)*E2_tabla_vida!$P$191,EXP(-C216*E2_tabla_vida!$X$192)*E2_tabla_vida!$P$192,EXP(-C216*E2_tabla_vida!$X$193)*E2_tabla_vida!$P$193,EXP(-C216*E2_tabla_vida!$X$194)*E2_tabla_vida!$P$194,EXP(-C216*E2_tabla_vida!$X$195)*E2_tabla_vida!$P$195,EXP(-C216*E2_tabla_vida!$X$196)*E2_tabla_vida!$P$196,EXP(-C216*E2_tabla_vida!$X$197)*E2_tabla_vida!$P$197,EXP(-C216*E2_tabla_vida!$X$198)*E2_tabla_vida!$P$198,EXP(-C216*E2_tabla_vida!$X$199)*E2_tabla_vida!$P$199,EXP(-C216*E2_tabla_vida!$X$200)*E2_tabla_vida!$P$200,EXP(-C216*E2_tabla_vida!$X$201)*E2_tabla_vida!$P$201,EXP(-C216*E2_tabla_vida!$X$202)*E2_tabla_vida!$P$202,EXP(-C216*E2_tabla_vida!$X$203)*E2_tabla_vida!$P$203,EXP(-C216*E2_tabla_vida!$X$204)*E2_tabla_vida!$P$204,EXP(-C216*E2_tabla_vida!$X$205)*E2_tabla_vida!$P$205,EXP(-C216*E2_tabla_vida!$X$206)*E2_tabla_vida!$P$206,EXP(-C216*E2_tabla_vida!$X$207)*E2_tabla_vida!$P$207,EXP(-C216*E2_tabla_vida!$X$208)*E2_tabla_vida!$P$208,EXP(-C216*E2_tabla_vida!$X$209)*E2_tabla_vida!$P$209,EXP(-C216*E2_tabla_vida!$X$210)*E2_tabla_vida!$P$210,EXP(-C216*E2_tabla_vida!$X$211)*E2_tabla_vida!$P$211)-1</x:f>
        <x:v>2.4967518053031768e-8</x:v>
      </x:c>
      <x:c r="H216" s="24" t="n">
        <x:f>SUM(EXP(-D216*E2_tabla_vida!$X$170)*E2_tabla_vida!$P$170,EXP(-D216*E2_tabla_vida!$X$171)*E2_tabla_vida!$P$171,EXP(-D216*E2_tabla_vida!$X$172)*E2_tabla_vida!$P$172,EXP(-D216*E2_tabla_vida!$X$173)*E2_tabla_vida!$P$173,EXP(-D216*E2_tabla_vida!$X$174)*E2_tabla_vida!$P$174,EXP(-D216*E2_tabla_vida!$X$175)*E2_tabla_vida!$P$175,EXP(-D216*E2_tabla_vida!$X$176)*E2_tabla_vida!$P$176,EXP(-D216*E2_tabla_vida!$X$177)*E2_tabla_vida!$P$177,EXP(-D216*E2_tabla_vida!$X$178)*E2_tabla_vida!$P$178,EXP(-D216*E2_tabla_vida!$X$179)*E2_tabla_vida!$P$179,EXP(-D216*E2_tabla_vida!$X$180)*E2_tabla_vida!$P$180,EXP(-D216*E2_tabla_vida!$X$181)*E2_tabla_vida!$P$181,EXP(-D216*E2_tabla_vida!$X$182)*E2_tabla_vida!$P$182,EXP(-D216*E2_tabla_vida!$X$183)*E2_tabla_vida!$P$183,EXP(-D216*E2_tabla_vida!$X$184)*E2_tabla_vida!$P$184,EXP(-D216*E2_tabla_vida!$X$185)*E2_tabla_vida!$P$185,EXP(-D216*E2_tabla_vida!$X$186)*E2_tabla_vida!$P$186,EXP(-D216*E2_tabla_vida!$X$187)*E2_tabla_vida!$P$187,EXP(-D216*E2_tabla_vida!$X$188)*E2_tabla_vida!$P$188,EXP(-D216*E2_tabla_vida!$X$189)*E2_tabla_vida!$P$189,EXP(-D216*E2_tabla_vida!$X$190)*E2_tabla_vida!$P$190,EXP(-D216*E2_tabla_vida!$X$191)*E2_tabla_vida!$P$191,EXP(-D216*E2_tabla_vida!$X$192)*E2_tabla_vida!$P$192,EXP(-D216*E2_tabla_vida!$X$193)*E2_tabla_vida!$P$193,EXP(-D216*E2_tabla_vida!$X$194)*E2_tabla_vida!$P$194,EXP(-D216*E2_tabla_vida!$X$195)*E2_tabla_vida!$P$195,EXP(-D216*E2_tabla_vida!$X$196)*E2_tabla_vida!$P$196,EXP(-D216*E2_tabla_vida!$X$197)*E2_tabla_vida!$P$197,EXP(-D216*E2_tabla_vida!$X$198)*E2_tabla_vida!$P$198,EXP(-D216*E2_tabla_vida!$X$199)*E2_tabla_vida!$P$199,EXP(-D216*E2_tabla_vida!$X$200)*E2_tabla_vida!$P$200,EXP(-D216*E2_tabla_vida!$X$201)*E2_tabla_vida!$P$201,EXP(-D216*E2_tabla_vida!$X$202)*E2_tabla_vida!$P$202,EXP(-D216*E2_tabla_vida!$X$203)*E2_tabla_vida!$P$203,EXP(-D216*E2_tabla_vida!$X$204)*E2_tabla_vida!$P$204,EXP(-D216*E2_tabla_vida!$X$205)*E2_tabla_vida!$P$205,EXP(-D216*E2_tabla_vida!$X$206)*E2_tabla_vida!$P$206,EXP(-D216*E2_tabla_vida!$X$207)*E2_tabla_vida!$P$207,EXP(-D216*E2_tabla_vida!$X$208)*E2_tabla_vida!$P$208,EXP(-D216*E2_tabla_vida!$X$209)*E2_tabla_vida!$P$209,EXP(-D216*E2_tabla_vida!$X$210)*E2_tabla_vida!$P$210,EXP(-D216*E2_tabla_vida!$X$211)*E2_tabla_vida!$P$211)-1</x:f>
        <x:v>-1.6602722863190422e-8</x:v>
      </x:c>
    </x:row>
    <x:row r="217" ht="19" customHeight="1">
      <x:c r="A217" s="2" t="str">
        <x:v>BB_L8</x:v>
      </x:c>
      <x:c r="B217" s="2" t="n">
        <x:v>31</x:v>
      </x:c>
      <x:c r="C217" s="22" t="n">
        <x:f>IF(F216&gt;0,E216,C216)</x:f>
        <x:v>0.19572132593020797</x:v>
      </x:c>
      <x:c r="D217" s="22" t="n">
        <x:f>IF(F216&gt;0,D216,E216)</x:f>
        <x:v>0.19572132732719183</x:v>
      </x:c>
      <x:c r="E217" s="22" t="n">
        <x:f>AVERAGE(C217:D217)</x:f>
        <x:v>0.1957213266286999</x:v>
      </x:c>
      <x:c r="F217" s="24" t="n">
        <x:f>SUM(EXP(-E217*E2_tabla_vida!$X$170)*E2_tabla_vida!$P$170,EXP(-E217*E2_tabla_vida!$X$171)*E2_tabla_vida!$P$171,EXP(-E217*E2_tabla_vida!$X$172)*E2_tabla_vida!$P$172,EXP(-E217*E2_tabla_vida!$X$173)*E2_tabla_vida!$P$173,EXP(-E217*E2_tabla_vida!$X$174)*E2_tabla_vida!$P$174,EXP(-E217*E2_tabla_vida!$X$175)*E2_tabla_vida!$P$175,EXP(-E217*E2_tabla_vida!$X$176)*E2_tabla_vida!$P$176,EXP(-E217*E2_tabla_vida!$X$177)*E2_tabla_vida!$P$177,EXP(-E217*E2_tabla_vida!$X$178)*E2_tabla_vida!$P$178,EXP(-E217*E2_tabla_vida!$X$179)*E2_tabla_vida!$P$179,EXP(-E217*E2_tabla_vida!$X$180)*E2_tabla_vida!$P$180,EXP(-E217*E2_tabla_vida!$X$181)*E2_tabla_vida!$P$181,EXP(-E217*E2_tabla_vida!$X$182)*E2_tabla_vida!$P$182,EXP(-E217*E2_tabla_vida!$X$183)*E2_tabla_vida!$P$183,EXP(-E217*E2_tabla_vida!$X$184)*E2_tabla_vida!$P$184,EXP(-E217*E2_tabla_vida!$X$185)*E2_tabla_vida!$P$185,EXP(-E217*E2_tabla_vida!$X$186)*E2_tabla_vida!$P$186,EXP(-E217*E2_tabla_vida!$X$187)*E2_tabla_vida!$P$187,EXP(-E217*E2_tabla_vida!$X$188)*E2_tabla_vida!$P$188,EXP(-E217*E2_tabla_vida!$X$189)*E2_tabla_vida!$P$189,EXP(-E217*E2_tabla_vida!$X$190)*E2_tabla_vida!$P$190,EXP(-E217*E2_tabla_vida!$X$191)*E2_tabla_vida!$P$191,EXP(-E217*E2_tabla_vida!$X$192)*E2_tabla_vida!$P$192,EXP(-E217*E2_tabla_vida!$X$193)*E2_tabla_vida!$P$193,EXP(-E217*E2_tabla_vida!$X$194)*E2_tabla_vida!$P$194,EXP(-E217*E2_tabla_vida!$X$195)*E2_tabla_vida!$P$195,EXP(-E217*E2_tabla_vida!$X$196)*E2_tabla_vida!$P$196,EXP(-E217*E2_tabla_vida!$X$197)*E2_tabla_vida!$P$197,EXP(-E217*E2_tabla_vida!$X$198)*E2_tabla_vida!$P$198,EXP(-E217*E2_tabla_vida!$X$199)*E2_tabla_vida!$P$199,EXP(-E217*E2_tabla_vida!$X$200)*E2_tabla_vida!$P$200,EXP(-E217*E2_tabla_vida!$X$201)*E2_tabla_vida!$P$201,EXP(-E217*E2_tabla_vida!$X$202)*E2_tabla_vida!$P$202,EXP(-E217*E2_tabla_vida!$X$203)*E2_tabla_vida!$P$203,EXP(-E217*E2_tabla_vida!$X$204)*E2_tabla_vida!$P$204,EXP(-E217*E2_tabla_vida!$X$205)*E2_tabla_vida!$P$205,EXP(-E217*E2_tabla_vida!$X$206)*E2_tabla_vida!$P$206,EXP(-E217*E2_tabla_vida!$X$207)*E2_tabla_vida!$P$207,EXP(-E217*E2_tabla_vida!$X$208)*E2_tabla_vida!$P$208,EXP(-E217*E2_tabla_vida!$X$209)*E2_tabla_vida!$P$209,EXP(-E217*E2_tabla_vida!$X$210)*E2_tabla_vida!$P$210,EXP(-E217*E2_tabla_vida!$X$211)*E2_tabla_vida!$P$211)-1</x:f>
        <x:v>-6.210163050468509e-9</x:v>
      </x:c>
      <x:c r="G217" s="24" t="n">
        <x:f>SUM(EXP(-C217*E2_tabla_vida!$X$170)*E2_tabla_vida!$P$170,EXP(-C217*E2_tabla_vida!$X$171)*E2_tabla_vida!$P$171,EXP(-C217*E2_tabla_vida!$X$172)*E2_tabla_vida!$P$172,EXP(-C217*E2_tabla_vida!$X$173)*E2_tabla_vida!$P$173,EXP(-C217*E2_tabla_vida!$X$174)*E2_tabla_vida!$P$174,EXP(-C217*E2_tabla_vida!$X$175)*E2_tabla_vida!$P$175,EXP(-C217*E2_tabla_vida!$X$176)*E2_tabla_vida!$P$176,EXP(-C217*E2_tabla_vida!$X$177)*E2_tabla_vida!$P$177,EXP(-C217*E2_tabla_vida!$X$178)*E2_tabla_vida!$P$178,EXP(-C217*E2_tabla_vida!$X$179)*E2_tabla_vida!$P$179,EXP(-C217*E2_tabla_vida!$X$180)*E2_tabla_vida!$P$180,EXP(-C217*E2_tabla_vida!$X$181)*E2_tabla_vida!$P$181,EXP(-C217*E2_tabla_vida!$X$182)*E2_tabla_vida!$P$182,EXP(-C217*E2_tabla_vida!$X$183)*E2_tabla_vida!$P$183,EXP(-C217*E2_tabla_vida!$X$184)*E2_tabla_vida!$P$184,EXP(-C217*E2_tabla_vida!$X$185)*E2_tabla_vida!$P$185,EXP(-C217*E2_tabla_vida!$X$186)*E2_tabla_vida!$P$186,EXP(-C217*E2_tabla_vida!$X$187)*E2_tabla_vida!$P$187,EXP(-C217*E2_tabla_vida!$X$188)*E2_tabla_vida!$P$188,EXP(-C217*E2_tabla_vida!$X$189)*E2_tabla_vida!$P$189,EXP(-C217*E2_tabla_vida!$X$190)*E2_tabla_vida!$P$190,EXP(-C217*E2_tabla_vida!$X$191)*E2_tabla_vida!$P$191,EXP(-C217*E2_tabla_vida!$X$192)*E2_tabla_vida!$P$192,EXP(-C217*E2_tabla_vida!$X$193)*E2_tabla_vida!$P$193,EXP(-C217*E2_tabla_vida!$X$194)*E2_tabla_vida!$P$194,EXP(-C217*E2_tabla_vida!$X$195)*E2_tabla_vida!$P$195,EXP(-C217*E2_tabla_vida!$X$196)*E2_tabla_vida!$P$196,EXP(-C217*E2_tabla_vida!$X$197)*E2_tabla_vida!$P$197,EXP(-C217*E2_tabla_vida!$X$198)*E2_tabla_vida!$P$198,EXP(-C217*E2_tabla_vida!$X$199)*E2_tabla_vida!$P$199,EXP(-C217*E2_tabla_vida!$X$200)*E2_tabla_vida!$P$200,EXP(-C217*E2_tabla_vida!$X$201)*E2_tabla_vida!$P$201,EXP(-C217*E2_tabla_vida!$X$202)*E2_tabla_vida!$P$202,EXP(-C217*E2_tabla_vida!$X$203)*E2_tabla_vida!$P$203,EXP(-C217*E2_tabla_vida!$X$204)*E2_tabla_vida!$P$204,EXP(-C217*E2_tabla_vida!$X$205)*E2_tabla_vida!$P$205,EXP(-C217*E2_tabla_vida!$X$206)*E2_tabla_vida!$P$206,EXP(-C217*E2_tabla_vida!$X$207)*E2_tabla_vida!$P$207,EXP(-C217*E2_tabla_vida!$X$208)*E2_tabla_vida!$P$208,EXP(-C217*E2_tabla_vida!$X$209)*E2_tabla_vida!$P$209,EXP(-C217*E2_tabla_vida!$X$210)*E2_tabla_vida!$P$210,EXP(-C217*E2_tabla_vida!$X$211)*E2_tabla_vida!$P$211)-1</x:f>
        <x:v>4.1823973173649165e-9</x:v>
      </x:c>
      <x:c r="H217" s="24" t="n">
        <x:f>SUM(EXP(-D217*E2_tabla_vida!$X$170)*E2_tabla_vida!$P$170,EXP(-D217*E2_tabla_vida!$X$171)*E2_tabla_vida!$P$171,EXP(-D217*E2_tabla_vida!$X$172)*E2_tabla_vida!$P$172,EXP(-D217*E2_tabla_vida!$X$173)*E2_tabla_vida!$P$173,EXP(-D217*E2_tabla_vida!$X$174)*E2_tabla_vida!$P$174,EXP(-D217*E2_tabla_vida!$X$175)*E2_tabla_vida!$P$175,EXP(-D217*E2_tabla_vida!$X$176)*E2_tabla_vida!$P$176,EXP(-D217*E2_tabla_vida!$X$177)*E2_tabla_vida!$P$177,EXP(-D217*E2_tabla_vida!$X$178)*E2_tabla_vida!$P$178,EXP(-D217*E2_tabla_vida!$X$179)*E2_tabla_vida!$P$179,EXP(-D217*E2_tabla_vida!$X$180)*E2_tabla_vida!$P$180,EXP(-D217*E2_tabla_vida!$X$181)*E2_tabla_vida!$P$181,EXP(-D217*E2_tabla_vida!$X$182)*E2_tabla_vida!$P$182,EXP(-D217*E2_tabla_vida!$X$183)*E2_tabla_vida!$P$183,EXP(-D217*E2_tabla_vida!$X$184)*E2_tabla_vida!$P$184,EXP(-D217*E2_tabla_vida!$X$185)*E2_tabla_vida!$P$185,EXP(-D217*E2_tabla_vida!$X$186)*E2_tabla_vida!$P$186,EXP(-D217*E2_tabla_vida!$X$187)*E2_tabla_vida!$P$187,EXP(-D217*E2_tabla_vida!$X$188)*E2_tabla_vida!$P$188,EXP(-D217*E2_tabla_vida!$X$189)*E2_tabla_vida!$P$189,EXP(-D217*E2_tabla_vida!$X$190)*E2_tabla_vida!$P$190,EXP(-D217*E2_tabla_vida!$X$191)*E2_tabla_vida!$P$191,EXP(-D217*E2_tabla_vida!$X$192)*E2_tabla_vida!$P$192,EXP(-D217*E2_tabla_vida!$X$193)*E2_tabla_vida!$P$193,EXP(-D217*E2_tabla_vida!$X$194)*E2_tabla_vida!$P$194,EXP(-D217*E2_tabla_vida!$X$195)*E2_tabla_vida!$P$195,EXP(-D217*E2_tabla_vida!$X$196)*E2_tabla_vida!$P$196,EXP(-D217*E2_tabla_vida!$X$197)*E2_tabla_vida!$P$197,EXP(-D217*E2_tabla_vida!$X$198)*E2_tabla_vida!$P$198,EXP(-D217*E2_tabla_vida!$X$199)*E2_tabla_vida!$P$199,EXP(-D217*E2_tabla_vida!$X$200)*E2_tabla_vida!$P$200,EXP(-D217*E2_tabla_vida!$X$201)*E2_tabla_vida!$P$201,EXP(-D217*E2_tabla_vida!$X$202)*E2_tabla_vida!$P$202,EXP(-D217*E2_tabla_vida!$X$203)*E2_tabla_vida!$P$203,EXP(-D217*E2_tabla_vida!$X$204)*E2_tabla_vida!$P$204,EXP(-D217*E2_tabla_vida!$X$205)*E2_tabla_vida!$P$205,EXP(-D217*E2_tabla_vida!$X$206)*E2_tabla_vida!$P$206,EXP(-D217*E2_tabla_vida!$X$207)*E2_tabla_vida!$P$207,EXP(-D217*E2_tabla_vida!$X$208)*E2_tabla_vida!$P$208,EXP(-D217*E2_tabla_vida!$X$209)*E2_tabla_vida!$P$209,EXP(-D217*E2_tabla_vida!$X$210)*E2_tabla_vida!$P$210,EXP(-D217*E2_tabla_vida!$X$211)*E2_tabla_vida!$P$211)-1</x:f>
        <x:v>-1.6602722863190422e-8</x:v>
      </x:c>
    </x:row>
    <x:row r="218" ht="19" customHeight="1">
      <x:c r="A218" s="2" t="str">
        <x:v>BB_L8</x:v>
      </x:c>
      <x:c r="B218" s="2" t="n">
        <x:v>32</x:v>
      </x:c>
      <x:c r="C218" s="22" t="n">
        <x:f>IF(F217&gt;0,E217,C217)</x:f>
        <x:v>0.19572132593020797</x:v>
      </x:c>
      <x:c r="D218" s="22" t="n">
        <x:f>IF(F217&gt;0,D217,E217)</x:f>
        <x:v>0.1957213266286999</x:v>
      </x:c>
      <x:c r="E218" s="22" t="n">
        <x:f>AVERAGE(C218:D218)</x:f>
        <x:v>0.19572132627945393</x:v>
      </x:c>
      <x:c r="F218" s="24" t="n">
        <x:f>SUM(EXP(-E218*E2_tabla_vida!$X$170)*E2_tabla_vida!$P$170,EXP(-E218*E2_tabla_vida!$X$171)*E2_tabla_vida!$P$171,EXP(-E218*E2_tabla_vida!$X$172)*E2_tabla_vida!$P$172,EXP(-E218*E2_tabla_vida!$X$173)*E2_tabla_vida!$P$173,EXP(-E218*E2_tabla_vida!$X$174)*E2_tabla_vida!$P$174,EXP(-E218*E2_tabla_vida!$X$175)*E2_tabla_vida!$P$175,EXP(-E218*E2_tabla_vida!$X$176)*E2_tabla_vida!$P$176,EXP(-E218*E2_tabla_vida!$X$177)*E2_tabla_vida!$P$177,EXP(-E218*E2_tabla_vida!$X$178)*E2_tabla_vida!$P$178,EXP(-E218*E2_tabla_vida!$X$179)*E2_tabla_vida!$P$179,EXP(-E218*E2_tabla_vida!$X$180)*E2_tabla_vida!$P$180,EXP(-E218*E2_tabla_vida!$X$181)*E2_tabla_vida!$P$181,EXP(-E218*E2_tabla_vida!$X$182)*E2_tabla_vida!$P$182,EXP(-E218*E2_tabla_vida!$X$183)*E2_tabla_vida!$P$183,EXP(-E218*E2_tabla_vida!$X$184)*E2_tabla_vida!$P$184,EXP(-E218*E2_tabla_vida!$X$185)*E2_tabla_vida!$P$185,EXP(-E218*E2_tabla_vida!$X$186)*E2_tabla_vida!$P$186,EXP(-E218*E2_tabla_vida!$X$187)*E2_tabla_vida!$P$187,EXP(-E218*E2_tabla_vida!$X$188)*E2_tabla_vida!$P$188,EXP(-E218*E2_tabla_vida!$X$189)*E2_tabla_vida!$P$189,EXP(-E218*E2_tabla_vida!$X$190)*E2_tabla_vida!$P$190,EXP(-E218*E2_tabla_vida!$X$191)*E2_tabla_vida!$P$191,EXP(-E218*E2_tabla_vida!$X$192)*E2_tabla_vida!$P$192,EXP(-E218*E2_tabla_vida!$X$193)*E2_tabla_vida!$P$193,EXP(-E218*E2_tabla_vida!$X$194)*E2_tabla_vida!$P$194,EXP(-E218*E2_tabla_vida!$X$195)*E2_tabla_vida!$P$195,EXP(-E218*E2_tabla_vida!$X$196)*E2_tabla_vida!$P$196,EXP(-E218*E2_tabla_vida!$X$197)*E2_tabla_vida!$P$197,EXP(-E218*E2_tabla_vida!$X$198)*E2_tabla_vida!$P$198,EXP(-E218*E2_tabla_vida!$X$199)*E2_tabla_vida!$P$199,EXP(-E218*E2_tabla_vida!$X$200)*E2_tabla_vida!$P$200,EXP(-E218*E2_tabla_vida!$X$201)*E2_tabla_vida!$P$201,EXP(-E218*E2_tabla_vida!$X$202)*E2_tabla_vida!$P$202,EXP(-E218*E2_tabla_vida!$X$203)*E2_tabla_vida!$P$203,EXP(-E218*E2_tabla_vida!$X$204)*E2_tabla_vida!$P$204,EXP(-E218*E2_tabla_vida!$X$205)*E2_tabla_vida!$P$205,EXP(-E218*E2_tabla_vida!$X$206)*E2_tabla_vida!$P$206,EXP(-E218*E2_tabla_vida!$X$207)*E2_tabla_vida!$P$207,EXP(-E218*E2_tabla_vida!$X$208)*E2_tabla_vida!$P$208,EXP(-E218*E2_tabla_vida!$X$209)*E2_tabla_vida!$P$209,EXP(-E218*E2_tabla_vida!$X$210)*E2_tabla_vida!$P$210,EXP(-E218*E2_tabla_vida!$X$211)*E2_tabla_vida!$P$211)-1</x:f>
        <x:v>-1.0138827555294938e-9</x:v>
      </x:c>
      <x:c r="G218" s="24" t="n">
        <x:f>SUM(EXP(-C218*E2_tabla_vida!$X$170)*E2_tabla_vida!$P$170,EXP(-C218*E2_tabla_vida!$X$171)*E2_tabla_vida!$P$171,EXP(-C218*E2_tabla_vida!$X$172)*E2_tabla_vida!$P$172,EXP(-C218*E2_tabla_vida!$X$173)*E2_tabla_vida!$P$173,EXP(-C218*E2_tabla_vida!$X$174)*E2_tabla_vida!$P$174,EXP(-C218*E2_tabla_vida!$X$175)*E2_tabla_vida!$P$175,EXP(-C218*E2_tabla_vida!$X$176)*E2_tabla_vida!$P$176,EXP(-C218*E2_tabla_vida!$X$177)*E2_tabla_vida!$P$177,EXP(-C218*E2_tabla_vida!$X$178)*E2_tabla_vida!$P$178,EXP(-C218*E2_tabla_vida!$X$179)*E2_tabla_vida!$P$179,EXP(-C218*E2_tabla_vida!$X$180)*E2_tabla_vida!$P$180,EXP(-C218*E2_tabla_vida!$X$181)*E2_tabla_vida!$P$181,EXP(-C218*E2_tabla_vida!$X$182)*E2_tabla_vida!$P$182,EXP(-C218*E2_tabla_vida!$X$183)*E2_tabla_vida!$P$183,EXP(-C218*E2_tabla_vida!$X$184)*E2_tabla_vida!$P$184,EXP(-C218*E2_tabla_vida!$X$185)*E2_tabla_vida!$P$185,EXP(-C218*E2_tabla_vida!$X$186)*E2_tabla_vida!$P$186,EXP(-C218*E2_tabla_vida!$X$187)*E2_tabla_vida!$P$187,EXP(-C218*E2_tabla_vida!$X$188)*E2_tabla_vida!$P$188,EXP(-C218*E2_tabla_vida!$X$189)*E2_tabla_vida!$P$189,EXP(-C218*E2_tabla_vida!$X$190)*E2_tabla_vida!$P$190,EXP(-C218*E2_tabla_vida!$X$191)*E2_tabla_vida!$P$191,EXP(-C218*E2_tabla_vida!$X$192)*E2_tabla_vida!$P$192,EXP(-C218*E2_tabla_vida!$X$193)*E2_tabla_vida!$P$193,EXP(-C218*E2_tabla_vida!$X$194)*E2_tabla_vida!$P$194,EXP(-C218*E2_tabla_vida!$X$195)*E2_tabla_vida!$P$195,EXP(-C218*E2_tabla_vida!$X$196)*E2_tabla_vida!$P$196,EXP(-C218*E2_tabla_vida!$X$197)*E2_tabla_vida!$P$197,EXP(-C218*E2_tabla_vida!$X$198)*E2_tabla_vida!$P$198,EXP(-C218*E2_tabla_vida!$X$199)*E2_tabla_vida!$P$199,EXP(-C218*E2_tabla_vida!$X$200)*E2_tabla_vida!$P$200,EXP(-C218*E2_tabla_vida!$X$201)*E2_tabla_vida!$P$201,EXP(-C218*E2_tabla_vida!$X$202)*E2_tabla_vida!$P$202,EXP(-C218*E2_tabla_vida!$X$203)*E2_tabla_vida!$P$203,EXP(-C218*E2_tabla_vida!$X$204)*E2_tabla_vida!$P$204,EXP(-C218*E2_tabla_vida!$X$205)*E2_tabla_vida!$P$205,EXP(-C218*E2_tabla_vida!$X$206)*E2_tabla_vida!$P$206,EXP(-C218*E2_tabla_vida!$X$207)*E2_tabla_vida!$P$207,EXP(-C218*E2_tabla_vida!$X$208)*E2_tabla_vida!$P$208,EXP(-C218*E2_tabla_vida!$X$209)*E2_tabla_vida!$P$209,EXP(-C218*E2_tabla_vida!$X$210)*E2_tabla_vida!$P$210,EXP(-C218*E2_tabla_vida!$X$211)*E2_tabla_vida!$P$211)-1</x:f>
        <x:v>4.1823973173649165e-9</x:v>
      </x:c>
      <x:c r="H218" s="24" t="n">
        <x:f>SUM(EXP(-D218*E2_tabla_vida!$X$170)*E2_tabla_vida!$P$170,EXP(-D218*E2_tabla_vida!$X$171)*E2_tabla_vida!$P$171,EXP(-D218*E2_tabla_vida!$X$172)*E2_tabla_vida!$P$172,EXP(-D218*E2_tabla_vida!$X$173)*E2_tabla_vida!$P$173,EXP(-D218*E2_tabla_vida!$X$174)*E2_tabla_vida!$P$174,EXP(-D218*E2_tabla_vida!$X$175)*E2_tabla_vida!$P$175,EXP(-D218*E2_tabla_vida!$X$176)*E2_tabla_vida!$P$176,EXP(-D218*E2_tabla_vida!$X$177)*E2_tabla_vida!$P$177,EXP(-D218*E2_tabla_vida!$X$178)*E2_tabla_vida!$P$178,EXP(-D218*E2_tabla_vida!$X$179)*E2_tabla_vida!$P$179,EXP(-D218*E2_tabla_vida!$X$180)*E2_tabla_vida!$P$180,EXP(-D218*E2_tabla_vida!$X$181)*E2_tabla_vida!$P$181,EXP(-D218*E2_tabla_vida!$X$182)*E2_tabla_vida!$P$182,EXP(-D218*E2_tabla_vida!$X$183)*E2_tabla_vida!$P$183,EXP(-D218*E2_tabla_vida!$X$184)*E2_tabla_vida!$P$184,EXP(-D218*E2_tabla_vida!$X$185)*E2_tabla_vida!$P$185,EXP(-D218*E2_tabla_vida!$X$186)*E2_tabla_vida!$P$186,EXP(-D218*E2_tabla_vida!$X$187)*E2_tabla_vida!$P$187,EXP(-D218*E2_tabla_vida!$X$188)*E2_tabla_vida!$P$188,EXP(-D218*E2_tabla_vida!$X$189)*E2_tabla_vida!$P$189,EXP(-D218*E2_tabla_vida!$X$190)*E2_tabla_vida!$P$190,EXP(-D218*E2_tabla_vida!$X$191)*E2_tabla_vida!$P$191,EXP(-D218*E2_tabla_vida!$X$192)*E2_tabla_vida!$P$192,EXP(-D218*E2_tabla_vida!$X$193)*E2_tabla_vida!$P$193,EXP(-D218*E2_tabla_vida!$X$194)*E2_tabla_vida!$P$194,EXP(-D218*E2_tabla_vida!$X$195)*E2_tabla_vida!$P$195,EXP(-D218*E2_tabla_vida!$X$196)*E2_tabla_vida!$P$196,EXP(-D218*E2_tabla_vida!$X$197)*E2_tabla_vida!$P$197,EXP(-D218*E2_tabla_vida!$X$198)*E2_tabla_vida!$P$198,EXP(-D218*E2_tabla_vida!$X$199)*E2_tabla_vida!$P$199,EXP(-D218*E2_tabla_vida!$X$200)*E2_tabla_vida!$P$200,EXP(-D218*E2_tabla_vida!$X$201)*E2_tabla_vida!$P$201,EXP(-D218*E2_tabla_vida!$X$202)*E2_tabla_vida!$P$202,EXP(-D218*E2_tabla_vida!$X$203)*E2_tabla_vida!$P$203,EXP(-D218*E2_tabla_vida!$X$204)*E2_tabla_vida!$P$204,EXP(-D218*E2_tabla_vida!$X$205)*E2_tabla_vida!$P$205,EXP(-D218*E2_tabla_vida!$X$206)*E2_tabla_vida!$P$206,EXP(-D218*E2_tabla_vida!$X$207)*E2_tabla_vida!$P$207,EXP(-D218*E2_tabla_vida!$X$208)*E2_tabla_vida!$P$208,EXP(-D218*E2_tabla_vida!$X$209)*E2_tabla_vida!$P$209,EXP(-D218*E2_tabla_vida!$X$210)*E2_tabla_vida!$P$210,EXP(-D218*E2_tabla_vida!$X$211)*E2_tabla_vida!$P$211)-1</x:f>
        <x:v>-6.210163050468509e-9</x:v>
      </x:c>
    </x:row>
    <x:row r="219" ht="19" customHeight="1">
      <x:c r="A219" s="2" t="str">
        <x:v>BB_L8</x:v>
      </x:c>
      <x:c r="B219" s="2" t="n">
        <x:v>33</x:v>
      </x:c>
      <x:c r="C219" s="22" t="n">
        <x:f>IF(F218&gt;0,E218,C218)</x:f>
        <x:v>0.19572132593020797</x:v>
      </x:c>
      <x:c r="D219" s="22" t="n">
        <x:f>IF(F218&gt;0,D218,E218)</x:f>
        <x:v>0.19572132627945393</x:v>
      </x:c>
      <x:c r="E219" s="22" t="n">
        <x:f>AVERAGE(C219:D219)</x:f>
        <x:v>0.19572132610483095</x:v>
      </x:c>
      <x:c r="F219" s="24" t="n">
        <x:f>SUM(EXP(-E219*E2_tabla_vida!$X$170)*E2_tabla_vida!$P$170,EXP(-E219*E2_tabla_vida!$X$171)*E2_tabla_vida!$P$171,EXP(-E219*E2_tabla_vida!$X$172)*E2_tabla_vida!$P$172,EXP(-E219*E2_tabla_vida!$X$173)*E2_tabla_vida!$P$173,EXP(-E219*E2_tabla_vida!$X$174)*E2_tabla_vida!$P$174,EXP(-E219*E2_tabla_vida!$X$175)*E2_tabla_vida!$P$175,EXP(-E219*E2_tabla_vida!$X$176)*E2_tabla_vida!$P$176,EXP(-E219*E2_tabla_vida!$X$177)*E2_tabla_vida!$P$177,EXP(-E219*E2_tabla_vida!$X$178)*E2_tabla_vida!$P$178,EXP(-E219*E2_tabla_vida!$X$179)*E2_tabla_vida!$P$179,EXP(-E219*E2_tabla_vida!$X$180)*E2_tabla_vida!$P$180,EXP(-E219*E2_tabla_vida!$X$181)*E2_tabla_vida!$P$181,EXP(-E219*E2_tabla_vida!$X$182)*E2_tabla_vida!$P$182,EXP(-E219*E2_tabla_vida!$X$183)*E2_tabla_vida!$P$183,EXP(-E219*E2_tabla_vida!$X$184)*E2_tabla_vida!$P$184,EXP(-E219*E2_tabla_vida!$X$185)*E2_tabla_vida!$P$185,EXP(-E219*E2_tabla_vida!$X$186)*E2_tabla_vida!$P$186,EXP(-E219*E2_tabla_vida!$X$187)*E2_tabla_vida!$P$187,EXP(-E219*E2_tabla_vida!$X$188)*E2_tabla_vida!$P$188,EXP(-E219*E2_tabla_vida!$X$189)*E2_tabla_vida!$P$189,EXP(-E219*E2_tabla_vida!$X$190)*E2_tabla_vida!$P$190,EXP(-E219*E2_tabla_vida!$X$191)*E2_tabla_vida!$P$191,EXP(-E219*E2_tabla_vida!$X$192)*E2_tabla_vida!$P$192,EXP(-E219*E2_tabla_vida!$X$193)*E2_tabla_vida!$P$193,EXP(-E219*E2_tabla_vida!$X$194)*E2_tabla_vida!$P$194,EXP(-E219*E2_tabla_vida!$X$195)*E2_tabla_vida!$P$195,EXP(-E219*E2_tabla_vida!$X$196)*E2_tabla_vida!$P$196,EXP(-E219*E2_tabla_vida!$X$197)*E2_tabla_vida!$P$197,EXP(-E219*E2_tabla_vida!$X$198)*E2_tabla_vida!$P$198,EXP(-E219*E2_tabla_vida!$X$199)*E2_tabla_vida!$P$199,EXP(-E219*E2_tabla_vida!$X$200)*E2_tabla_vida!$P$200,EXP(-E219*E2_tabla_vida!$X$201)*E2_tabla_vida!$P$201,EXP(-E219*E2_tabla_vida!$X$202)*E2_tabla_vida!$P$202,EXP(-E219*E2_tabla_vida!$X$203)*E2_tabla_vida!$P$203,EXP(-E219*E2_tabla_vida!$X$204)*E2_tabla_vida!$P$204,EXP(-E219*E2_tabla_vida!$X$205)*E2_tabla_vida!$P$205,EXP(-E219*E2_tabla_vida!$X$206)*E2_tabla_vida!$P$206,EXP(-E219*E2_tabla_vida!$X$207)*E2_tabla_vida!$P$207,EXP(-E219*E2_tabla_vida!$X$208)*E2_tabla_vida!$P$208,EXP(-E219*E2_tabla_vida!$X$209)*E2_tabla_vida!$P$209,EXP(-E219*E2_tabla_vida!$X$210)*E2_tabla_vida!$P$210,EXP(-E219*E2_tabla_vida!$X$211)*E2_tabla_vida!$P$211)-1</x:f>
        <x:v>1.5842571698954089e-9</x:v>
      </x:c>
      <x:c r="G219" s="24" t="n">
        <x:f>SUM(EXP(-C219*E2_tabla_vida!$X$170)*E2_tabla_vida!$P$170,EXP(-C219*E2_tabla_vida!$X$171)*E2_tabla_vida!$P$171,EXP(-C219*E2_tabla_vida!$X$172)*E2_tabla_vida!$P$172,EXP(-C219*E2_tabla_vida!$X$173)*E2_tabla_vida!$P$173,EXP(-C219*E2_tabla_vida!$X$174)*E2_tabla_vida!$P$174,EXP(-C219*E2_tabla_vida!$X$175)*E2_tabla_vida!$P$175,EXP(-C219*E2_tabla_vida!$X$176)*E2_tabla_vida!$P$176,EXP(-C219*E2_tabla_vida!$X$177)*E2_tabla_vida!$P$177,EXP(-C219*E2_tabla_vida!$X$178)*E2_tabla_vida!$P$178,EXP(-C219*E2_tabla_vida!$X$179)*E2_tabla_vida!$P$179,EXP(-C219*E2_tabla_vida!$X$180)*E2_tabla_vida!$P$180,EXP(-C219*E2_tabla_vida!$X$181)*E2_tabla_vida!$P$181,EXP(-C219*E2_tabla_vida!$X$182)*E2_tabla_vida!$P$182,EXP(-C219*E2_tabla_vida!$X$183)*E2_tabla_vida!$P$183,EXP(-C219*E2_tabla_vida!$X$184)*E2_tabla_vida!$P$184,EXP(-C219*E2_tabla_vida!$X$185)*E2_tabla_vida!$P$185,EXP(-C219*E2_tabla_vida!$X$186)*E2_tabla_vida!$P$186,EXP(-C219*E2_tabla_vida!$X$187)*E2_tabla_vida!$P$187,EXP(-C219*E2_tabla_vida!$X$188)*E2_tabla_vida!$P$188,EXP(-C219*E2_tabla_vida!$X$189)*E2_tabla_vida!$P$189,EXP(-C219*E2_tabla_vida!$X$190)*E2_tabla_vida!$P$190,EXP(-C219*E2_tabla_vida!$X$191)*E2_tabla_vida!$P$191,EXP(-C219*E2_tabla_vida!$X$192)*E2_tabla_vida!$P$192,EXP(-C219*E2_tabla_vida!$X$193)*E2_tabla_vida!$P$193,EXP(-C219*E2_tabla_vida!$X$194)*E2_tabla_vida!$P$194,EXP(-C219*E2_tabla_vida!$X$195)*E2_tabla_vida!$P$195,EXP(-C219*E2_tabla_vida!$X$196)*E2_tabla_vida!$P$196,EXP(-C219*E2_tabla_vida!$X$197)*E2_tabla_vida!$P$197,EXP(-C219*E2_tabla_vida!$X$198)*E2_tabla_vida!$P$198,EXP(-C219*E2_tabla_vida!$X$199)*E2_tabla_vida!$P$199,EXP(-C219*E2_tabla_vida!$X$200)*E2_tabla_vida!$P$200,EXP(-C219*E2_tabla_vida!$X$201)*E2_tabla_vida!$P$201,EXP(-C219*E2_tabla_vida!$X$202)*E2_tabla_vida!$P$202,EXP(-C219*E2_tabla_vida!$X$203)*E2_tabla_vida!$P$203,EXP(-C219*E2_tabla_vida!$X$204)*E2_tabla_vida!$P$204,EXP(-C219*E2_tabla_vida!$X$205)*E2_tabla_vida!$P$205,EXP(-C219*E2_tabla_vida!$X$206)*E2_tabla_vida!$P$206,EXP(-C219*E2_tabla_vida!$X$207)*E2_tabla_vida!$P$207,EXP(-C219*E2_tabla_vida!$X$208)*E2_tabla_vida!$P$208,EXP(-C219*E2_tabla_vida!$X$209)*E2_tabla_vida!$P$209,EXP(-C219*E2_tabla_vida!$X$210)*E2_tabla_vida!$P$210,EXP(-C219*E2_tabla_vida!$X$211)*E2_tabla_vida!$P$211)-1</x:f>
        <x:v>4.1823973173649165e-9</x:v>
      </x:c>
      <x:c r="H219" s="24" t="n">
        <x:f>SUM(EXP(-D219*E2_tabla_vida!$X$170)*E2_tabla_vida!$P$170,EXP(-D219*E2_tabla_vida!$X$171)*E2_tabla_vida!$P$171,EXP(-D219*E2_tabla_vida!$X$172)*E2_tabla_vida!$P$172,EXP(-D219*E2_tabla_vida!$X$173)*E2_tabla_vida!$P$173,EXP(-D219*E2_tabla_vida!$X$174)*E2_tabla_vida!$P$174,EXP(-D219*E2_tabla_vida!$X$175)*E2_tabla_vida!$P$175,EXP(-D219*E2_tabla_vida!$X$176)*E2_tabla_vida!$P$176,EXP(-D219*E2_tabla_vida!$X$177)*E2_tabla_vida!$P$177,EXP(-D219*E2_tabla_vida!$X$178)*E2_tabla_vida!$P$178,EXP(-D219*E2_tabla_vida!$X$179)*E2_tabla_vida!$P$179,EXP(-D219*E2_tabla_vida!$X$180)*E2_tabla_vida!$P$180,EXP(-D219*E2_tabla_vida!$X$181)*E2_tabla_vida!$P$181,EXP(-D219*E2_tabla_vida!$X$182)*E2_tabla_vida!$P$182,EXP(-D219*E2_tabla_vida!$X$183)*E2_tabla_vida!$P$183,EXP(-D219*E2_tabla_vida!$X$184)*E2_tabla_vida!$P$184,EXP(-D219*E2_tabla_vida!$X$185)*E2_tabla_vida!$P$185,EXP(-D219*E2_tabla_vida!$X$186)*E2_tabla_vida!$P$186,EXP(-D219*E2_tabla_vida!$X$187)*E2_tabla_vida!$P$187,EXP(-D219*E2_tabla_vida!$X$188)*E2_tabla_vida!$P$188,EXP(-D219*E2_tabla_vida!$X$189)*E2_tabla_vida!$P$189,EXP(-D219*E2_tabla_vida!$X$190)*E2_tabla_vida!$P$190,EXP(-D219*E2_tabla_vida!$X$191)*E2_tabla_vida!$P$191,EXP(-D219*E2_tabla_vida!$X$192)*E2_tabla_vida!$P$192,EXP(-D219*E2_tabla_vida!$X$193)*E2_tabla_vida!$P$193,EXP(-D219*E2_tabla_vida!$X$194)*E2_tabla_vida!$P$194,EXP(-D219*E2_tabla_vida!$X$195)*E2_tabla_vida!$P$195,EXP(-D219*E2_tabla_vida!$X$196)*E2_tabla_vida!$P$196,EXP(-D219*E2_tabla_vida!$X$197)*E2_tabla_vida!$P$197,EXP(-D219*E2_tabla_vida!$X$198)*E2_tabla_vida!$P$198,EXP(-D219*E2_tabla_vida!$X$199)*E2_tabla_vida!$P$199,EXP(-D219*E2_tabla_vida!$X$200)*E2_tabla_vida!$P$200,EXP(-D219*E2_tabla_vida!$X$201)*E2_tabla_vida!$P$201,EXP(-D219*E2_tabla_vida!$X$202)*E2_tabla_vida!$P$202,EXP(-D219*E2_tabla_vida!$X$203)*E2_tabla_vida!$P$203,EXP(-D219*E2_tabla_vida!$X$204)*E2_tabla_vida!$P$204,EXP(-D219*E2_tabla_vida!$X$205)*E2_tabla_vida!$P$205,EXP(-D219*E2_tabla_vida!$X$206)*E2_tabla_vida!$P$206,EXP(-D219*E2_tabla_vida!$X$207)*E2_tabla_vida!$P$207,EXP(-D219*E2_tabla_vida!$X$208)*E2_tabla_vida!$P$208,EXP(-D219*E2_tabla_vida!$X$209)*E2_tabla_vida!$P$209,EXP(-D219*E2_tabla_vida!$X$210)*E2_tabla_vida!$P$210,EXP(-D219*E2_tabla_vida!$X$211)*E2_tabla_vida!$P$211)-1</x:f>
        <x:v>-1.0138827555294938e-9</x:v>
      </x:c>
    </x:row>
    <x:row r="220" ht="19" customHeight="1">
      <x:c r="A220" s="2" t="str">
        <x:v>BB_L8</x:v>
      </x:c>
      <x:c r="B220" s="2" t="n">
        <x:v>34</x:v>
      </x:c>
      <x:c r="C220" s="22" t="n">
        <x:f>IF(F219&gt;0,E219,C219)</x:f>
        <x:v>0.19572132610483095</x:v>
      </x:c>
      <x:c r="D220" s="22" t="n">
        <x:f>IF(F219&gt;0,D219,E219)</x:f>
        <x:v>0.19572132627945393</x:v>
      </x:c>
      <x:c r="E220" s="22" t="n">
        <x:f>AVERAGE(C220:D220)</x:f>
        <x:v>0.19572132619214244</x:v>
      </x:c>
      <x:c r="F220" s="24" t="n">
        <x:f>SUM(EXP(-E220*E2_tabla_vida!$X$170)*E2_tabla_vida!$P$170,EXP(-E220*E2_tabla_vida!$X$171)*E2_tabla_vida!$P$171,EXP(-E220*E2_tabla_vida!$X$172)*E2_tabla_vida!$P$172,EXP(-E220*E2_tabla_vida!$X$173)*E2_tabla_vida!$P$173,EXP(-E220*E2_tabla_vida!$X$174)*E2_tabla_vida!$P$174,EXP(-E220*E2_tabla_vida!$X$175)*E2_tabla_vida!$P$175,EXP(-E220*E2_tabla_vida!$X$176)*E2_tabla_vida!$P$176,EXP(-E220*E2_tabla_vida!$X$177)*E2_tabla_vida!$P$177,EXP(-E220*E2_tabla_vida!$X$178)*E2_tabla_vida!$P$178,EXP(-E220*E2_tabla_vida!$X$179)*E2_tabla_vida!$P$179,EXP(-E220*E2_tabla_vida!$X$180)*E2_tabla_vida!$P$180,EXP(-E220*E2_tabla_vida!$X$181)*E2_tabla_vida!$P$181,EXP(-E220*E2_tabla_vida!$X$182)*E2_tabla_vida!$P$182,EXP(-E220*E2_tabla_vida!$X$183)*E2_tabla_vida!$P$183,EXP(-E220*E2_tabla_vida!$X$184)*E2_tabla_vida!$P$184,EXP(-E220*E2_tabla_vida!$X$185)*E2_tabla_vida!$P$185,EXP(-E220*E2_tabla_vida!$X$186)*E2_tabla_vida!$P$186,EXP(-E220*E2_tabla_vida!$X$187)*E2_tabla_vida!$P$187,EXP(-E220*E2_tabla_vida!$X$188)*E2_tabla_vida!$P$188,EXP(-E220*E2_tabla_vida!$X$189)*E2_tabla_vida!$P$189,EXP(-E220*E2_tabla_vida!$X$190)*E2_tabla_vida!$P$190,EXP(-E220*E2_tabla_vida!$X$191)*E2_tabla_vida!$P$191,EXP(-E220*E2_tabla_vida!$X$192)*E2_tabla_vida!$P$192,EXP(-E220*E2_tabla_vida!$X$193)*E2_tabla_vida!$P$193,EXP(-E220*E2_tabla_vida!$X$194)*E2_tabla_vida!$P$194,EXP(-E220*E2_tabla_vida!$X$195)*E2_tabla_vida!$P$195,EXP(-E220*E2_tabla_vida!$X$196)*E2_tabla_vida!$P$196,EXP(-E220*E2_tabla_vida!$X$197)*E2_tabla_vida!$P$197,EXP(-E220*E2_tabla_vida!$X$198)*E2_tabla_vida!$P$198,EXP(-E220*E2_tabla_vida!$X$199)*E2_tabla_vida!$P$199,EXP(-E220*E2_tabla_vida!$X$200)*E2_tabla_vida!$P$200,EXP(-E220*E2_tabla_vida!$X$201)*E2_tabla_vida!$P$201,EXP(-E220*E2_tabla_vida!$X$202)*E2_tabla_vida!$P$202,EXP(-E220*E2_tabla_vida!$X$203)*E2_tabla_vida!$P$203,EXP(-E220*E2_tabla_vida!$X$204)*E2_tabla_vida!$P$204,EXP(-E220*E2_tabla_vida!$X$205)*E2_tabla_vida!$P$205,EXP(-E220*E2_tabla_vida!$X$206)*E2_tabla_vida!$P$206,EXP(-E220*E2_tabla_vida!$X$207)*E2_tabla_vida!$P$207,EXP(-E220*E2_tabla_vida!$X$208)*E2_tabla_vida!$P$208,EXP(-E220*E2_tabla_vida!$X$209)*E2_tabla_vida!$P$209,EXP(-E220*E2_tabla_vida!$X$210)*E2_tabla_vida!$P$210,EXP(-E220*E2_tabla_vida!$X$211)*E2_tabla_vida!$P$211)-1</x:f>
        <x:v>2.851869851383526e-10</x:v>
      </x:c>
      <x:c r="G220" s="24" t="n">
        <x:f>SUM(EXP(-C220*E2_tabla_vida!$X$170)*E2_tabla_vida!$P$170,EXP(-C220*E2_tabla_vida!$X$171)*E2_tabla_vida!$P$171,EXP(-C220*E2_tabla_vida!$X$172)*E2_tabla_vida!$P$172,EXP(-C220*E2_tabla_vida!$X$173)*E2_tabla_vida!$P$173,EXP(-C220*E2_tabla_vida!$X$174)*E2_tabla_vida!$P$174,EXP(-C220*E2_tabla_vida!$X$175)*E2_tabla_vida!$P$175,EXP(-C220*E2_tabla_vida!$X$176)*E2_tabla_vida!$P$176,EXP(-C220*E2_tabla_vida!$X$177)*E2_tabla_vida!$P$177,EXP(-C220*E2_tabla_vida!$X$178)*E2_tabla_vida!$P$178,EXP(-C220*E2_tabla_vida!$X$179)*E2_tabla_vida!$P$179,EXP(-C220*E2_tabla_vida!$X$180)*E2_tabla_vida!$P$180,EXP(-C220*E2_tabla_vida!$X$181)*E2_tabla_vida!$P$181,EXP(-C220*E2_tabla_vida!$X$182)*E2_tabla_vida!$P$182,EXP(-C220*E2_tabla_vida!$X$183)*E2_tabla_vida!$P$183,EXP(-C220*E2_tabla_vida!$X$184)*E2_tabla_vida!$P$184,EXP(-C220*E2_tabla_vida!$X$185)*E2_tabla_vida!$P$185,EXP(-C220*E2_tabla_vida!$X$186)*E2_tabla_vida!$P$186,EXP(-C220*E2_tabla_vida!$X$187)*E2_tabla_vida!$P$187,EXP(-C220*E2_tabla_vida!$X$188)*E2_tabla_vida!$P$188,EXP(-C220*E2_tabla_vida!$X$189)*E2_tabla_vida!$P$189,EXP(-C220*E2_tabla_vida!$X$190)*E2_tabla_vida!$P$190,EXP(-C220*E2_tabla_vida!$X$191)*E2_tabla_vida!$P$191,EXP(-C220*E2_tabla_vida!$X$192)*E2_tabla_vida!$P$192,EXP(-C220*E2_tabla_vida!$X$193)*E2_tabla_vida!$P$193,EXP(-C220*E2_tabla_vida!$X$194)*E2_tabla_vida!$P$194,EXP(-C220*E2_tabla_vida!$X$195)*E2_tabla_vida!$P$195,EXP(-C220*E2_tabla_vida!$X$196)*E2_tabla_vida!$P$196,EXP(-C220*E2_tabla_vida!$X$197)*E2_tabla_vida!$P$197,EXP(-C220*E2_tabla_vida!$X$198)*E2_tabla_vida!$P$198,EXP(-C220*E2_tabla_vida!$X$199)*E2_tabla_vida!$P$199,EXP(-C220*E2_tabla_vida!$X$200)*E2_tabla_vida!$P$200,EXP(-C220*E2_tabla_vida!$X$201)*E2_tabla_vida!$P$201,EXP(-C220*E2_tabla_vida!$X$202)*E2_tabla_vida!$P$202,EXP(-C220*E2_tabla_vida!$X$203)*E2_tabla_vida!$P$203,EXP(-C220*E2_tabla_vida!$X$204)*E2_tabla_vida!$P$204,EXP(-C220*E2_tabla_vida!$X$205)*E2_tabla_vida!$P$205,EXP(-C220*E2_tabla_vida!$X$206)*E2_tabla_vida!$P$206,EXP(-C220*E2_tabla_vida!$X$207)*E2_tabla_vida!$P$207,EXP(-C220*E2_tabla_vida!$X$208)*E2_tabla_vida!$P$208,EXP(-C220*E2_tabla_vida!$X$209)*E2_tabla_vida!$P$209,EXP(-C220*E2_tabla_vida!$X$210)*E2_tabla_vida!$P$210,EXP(-C220*E2_tabla_vida!$X$211)*E2_tabla_vida!$P$211)-1</x:f>
        <x:v>1.5842571698954089e-9</x:v>
      </x:c>
      <x:c r="H220" s="24" t="n">
        <x:f>SUM(EXP(-D220*E2_tabla_vida!$X$170)*E2_tabla_vida!$P$170,EXP(-D220*E2_tabla_vida!$X$171)*E2_tabla_vida!$P$171,EXP(-D220*E2_tabla_vida!$X$172)*E2_tabla_vida!$P$172,EXP(-D220*E2_tabla_vida!$X$173)*E2_tabla_vida!$P$173,EXP(-D220*E2_tabla_vida!$X$174)*E2_tabla_vida!$P$174,EXP(-D220*E2_tabla_vida!$X$175)*E2_tabla_vida!$P$175,EXP(-D220*E2_tabla_vida!$X$176)*E2_tabla_vida!$P$176,EXP(-D220*E2_tabla_vida!$X$177)*E2_tabla_vida!$P$177,EXP(-D220*E2_tabla_vida!$X$178)*E2_tabla_vida!$P$178,EXP(-D220*E2_tabla_vida!$X$179)*E2_tabla_vida!$P$179,EXP(-D220*E2_tabla_vida!$X$180)*E2_tabla_vida!$P$180,EXP(-D220*E2_tabla_vida!$X$181)*E2_tabla_vida!$P$181,EXP(-D220*E2_tabla_vida!$X$182)*E2_tabla_vida!$P$182,EXP(-D220*E2_tabla_vida!$X$183)*E2_tabla_vida!$P$183,EXP(-D220*E2_tabla_vida!$X$184)*E2_tabla_vida!$P$184,EXP(-D220*E2_tabla_vida!$X$185)*E2_tabla_vida!$P$185,EXP(-D220*E2_tabla_vida!$X$186)*E2_tabla_vida!$P$186,EXP(-D220*E2_tabla_vida!$X$187)*E2_tabla_vida!$P$187,EXP(-D220*E2_tabla_vida!$X$188)*E2_tabla_vida!$P$188,EXP(-D220*E2_tabla_vida!$X$189)*E2_tabla_vida!$P$189,EXP(-D220*E2_tabla_vida!$X$190)*E2_tabla_vida!$P$190,EXP(-D220*E2_tabla_vida!$X$191)*E2_tabla_vida!$P$191,EXP(-D220*E2_tabla_vida!$X$192)*E2_tabla_vida!$P$192,EXP(-D220*E2_tabla_vida!$X$193)*E2_tabla_vida!$P$193,EXP(-D220*E2_tabla_vida!$X$194)*E2_tabla_vida!$P$194,EXP(-D220*E2_tabla_vida!$X$195)*E2_tabla_vida!$P$195,EXP(-D220*E2_tabla_vida!$X$196)*E2_tabla_vida!$P$196,EXP(-D220*E2_tabla_vida!$X$197)*E2_tabla_vida!$P$197,EXP(-D220*E2_tabla_vida!$X$198)*E2_tabla_vida!$P$198,EXP(-D220*E2_tabla_vida!$X$199)*E2_tabla_vida!$P$199,EXP(-D220*E2_tabla_vida!$X$200)*E2_tabla_vida!$P$200,EXP(-D220*E2_tabla_vida!$X$201)*E2_tabla_vida!$P$201,EXP(-D220*E2_tabla_vida!$X$202)*E2_tabla_vida!$P$202,EXP(-D220*E2_tabla_vida!$X$203)*E2_tabla_vida!$P$203,EXP(-D220*E2_tabla_vida!$X$204)*E2_tabla_vida!$P$204,EXP(-D220*E2_tabla_vida!$X$205)*E2_tabla_vida!$P$205,EXP(-D220*E2_tabla_vida!$X$206)*E2_tabla_vida!$P$206,EXP(-D220*E2_tabla_vida!$X$207)*E2_tabla_vida!$P$207,EXP(-D220*E2_tabla_vida!$X$208)*E2_tabla_vida!$P$208,EXP(-D220*E2_tabla_vida!$X$209)*E2_tabla_vida!$P$209,EXP(-D220*E2_tabla_vida!$X$210)*E2_tabla_vida!$P$210,EXP(-D220*E2_tabla_vida!$X$211)*E2_tabla_vida!$P$211)-1</x:f>
        <x:v>-1.0138827555294938e-9</x:v>
      </x:c>
    </x:row>
    <x:row r="221" ht="19" customHeight="1">
      <x:c r="A221" s="2" t="str">
        <x:v>BB_L8</x:v>
      </x:c>
      <x:c r="B221" s="2" t="n">
        <x:v>35</x:v>
      </x:c>
      <x:c r="C221" s="22" t="n">
        <x:f>IF(F220&gt;0,E220,C220)</x:f>
        <x:v>0.19572132619214244</x:v>
      </x:c>
      <x:c r="D221" s="22" t="n">
        <x:f>IF(F220&gt;0,D220,E220)</x:f>
        <x:v>0.19572132627945393</x:v>
      </x:c>
      <x:c r="E221" s="22" t="n">
        <x:f>AVERAGE(C221:D221)</x:f>
        <x:v>0.1957213262357982</x:v>
      </x:c>
      <x:c r="F221" s="24" t="n">
        <x:f>SUM(EXP(-E221*E2_tabla_vida!$X$170)*E2_tabla_vida!$P$170,EXP(-E221*E2_tabla_vida!$X$171)*E2_tabla_vida!$P$171,EXP(-E221*E2_tabla_vida!$X$172)*E2_tabla_vida!$P$172,EXP(-E221*E2_tabla_vida!$X$173)*E2_tabla_vida!$P$173,EXP(-E221*E2_tabla_vida!$X$174)*E2_tabla_vida!$P$174,EXP(-E221*E2_tabla_vida!$X$175)*E2_tabla_vida!$P$175,EXP(-E221*E2_tabla_vida!$X$176)*E2_tabla_vida!$P$176,EXP(-E221*E2_tabla_vida!$X$177)*E2_tabla_vida!$P$177,EXP(-E221*E2_tabla_vida!$X$178)*E2_tabla_vida!$P$178,EXP(-E221*E2_tabla_vida!$X$179)*E2_tabla_vida!$P$179,EXP(-E221*E2_tabla_vida!$X$180)*E2_tabla_vida!$P$180,EXP(-E221*E2_tabla_vida!$X$181)*E2_tabla_vida!$P$181,EXP(-E221*E2_tabla_vida!$X$182)*E2_tabla_vida!$P$182,EXP(-E221*E2_tabla_vida!$X$183)*E2_tabla_vida!$P$183,EXP(-E221*E2_tabla_vida!$X$184)*E2_tabla_vida!$P$184,EXP(-E221*E2_tabla_vida!$X$185)*E2_tabla_vida!$P$185,EXP(-E221*E2_tabla_vida!$X$186)*E2_tabla_vida!$P$186,EXP(-E221*E2_tabla_vida!$X$187)*E2_tabla_vida!$P$187,EXP(-E221*E2_tabla_vida!$X$188)*E2_tabla_vida!$P$188,EXP(-E221*E2_tabla_vida!$X$189)*E2_tabla_vida!$P$189,EXP(-E221*E2_tabla_vida!$X$190)*E2_tabla_vida!$P$190,EXP(-E221*E2_tabla_vida!$X$191)*E2_tabla_vida!$P$191,EXP(-E221*E2_tabla_vida!$X$192)*E2_tabla_vida!$P$192,EXP(-E221*E2_tabla_vida!$X$193)*E2_tabla_vida!$P$193,EXP(-E221*E2_tabla_vida!$X$194)*E2_tabla_vida!$P$194,EXP(-E221*E2_tabla_vida!$X$195)*E2_tabla_vida!$P$195,EXP(-E221*E2_tabla_vida!$X$196)*E2_tabla_vida!$P$196,EXP(-E221*E2_tabla_vida!$X$197)*E2_tabla_vida!$P$197,EXP(-E221*E2_tabla_vida!$X$198)*E2_tabla_vida!$P$198,EXP(-E221*E2_tabla_vida!$X$199)*E2_tabla_vida!$P$199,EXP(-E221*E2_tabla_vida!$X$200)*E2_tabla_vida!$P$200,EXP(-E221*E2_tabla_vida!$X$201)*E2_tabla_vida!$P$201,EXP(-E221*E2_tabla_vida!$X$202)*E2_tabla_vida!$P$202,EXP(-E221*E2_tabla_vida!$X$203)*E2_tabla_vida!$P$203,EXP(-E221*E2_tabla_vida!$X$204)*E2_tabla_vida!$P$204,EXP(-E221*E2_tabla_vida!$X$205)*E2_tabla_vida!$P$205,EXP(-E221*E2_tabla_vida!$X$206)*E2_tabla_vida!$P$206,EXP(-E221*E2_tabla_vida!$X$207)*E2_tabla_vida!$P$207,EXP(-E221*E2_tabla_vida!$X$208)*E2_tabla_vida!$P$208,EXP(-E221*E2_tabla_vida!$X$209)*E2_tabla_vida!$P$209,EXP(-E221*E2_tabla_vida!$X$210)*E2_tabla_vida!$P$210,EXP(-E221*E2_tabla_vida!$X$211)*E2_tabla_vida!$P$211)-1</x:f>
        <x:v>-3.6434766315096567e-10</x:v>
      </x:c>
      <x:c r="G221" s="24" t="n">
        <x:f>SUM(EXP(-C221*E2_tabla_vida!$X$170)*E2_tabla_vida!$P$170,EXP(-C221*E2_tabla_vida!$X$171)*E2_tabla_vida!$P$171,EXP(-C221*E2_tabla_vida!$X$172)*E2_tabla_vida!$P$172,EXP(-C221*E2_tabla_vida!$X$173)*E2_tabla_vida!$P$173,EXP(-C221*E2_tabla_vida!$X$174)*E2_tabla_vida!$P$174,EXP(-C221*E2_tabla_vida!$X$175)*E2_tabla_vida!$P$175,EXP(-C221*E2_tabla_vida!$X$176)*E2_tabla_vida!$P$176,EXP(-C221*E2_tabla_vida!$X$177)*E2_tabla_vida!$P$177,EXP(-C221*E2_tabla_vida!$X$178)*E2_tabla_vida!$P$178,EXP(-C221*E2_tabla_vida!$X$179)*E2_tabla_vida!$P$179,EXP(-C221*E2_tabla_vida!$X$180)*E2_tabla_vida!$P$180,EXP(-C221*E2_tabla_vida!$X$181)*E2_tabla_vida!$P$181,EXP(-C221*E2_tabla_vida!$X$182)*E2_tabla_vida!$P$182,EXP(-C221*E2_tabla_vida!$X$183)*E2_tabla_vida!$P$183,EXP(-C221*E2_tabla_vida!$X$184)*E2_tabla_vida!$P$184,EXP(-C221*E2_tabla_vida!$X$185)*E2_tabla_vida!$P$185,EXP(-C221*E2_tabla_vida!$X$186)*E2_tabla_vida!$P$186,EXP(-C221*E2_tabla_vida!$X$187)*E2_tabla_vida!$P$187,EXP(-C221*E2_tabla_vida!$X$188)*E2_tabla_vida!$P$188,EXP(-C221*E2_tabla_vida!$X$189)*E2_tabla_vida!$P$189,EXP(-C221*E2_tabla_vida!$X$190)*E2_tabla_vida!$P$190,EXP(-C221*E2_tabla_vida!$X$191)*E2_tabla_vida!$P$191,EXP(-C221*E2_tabla_vida!$X$192)*E2_tabla_vida!$P$192,EXP(-C221*E2_tabla_vida!$X$193)*E2_tabla_vida!$P$193,EXP(-C221*E2_tabla_vida!$X$194)*E2_tabla_vida!$P$194,EXP(-C221*E2_tabla_vida!$X$195)*E2_tabla_vida!$P$195,EXP(-C221*E2_tabla_vida!$X$196)*E2_tabla_vida!$P$196,EXP(-C221*E2_tabla_vida!$X$197)*E2_tabla_vida!$P$197,EXP(-C221*E2_tabla_vida!$X$198)*E2_tabla_vida!$P$198,EXP(-C221*E2_tabla_vida!$X$199)*E2_tabla_vida!$P$199,EXP(-C221*E2_tabla_vida!$X$200)*E2_tabla_vida!$P$200,EXP(-C221*E2_tabla_vida!$X$201)*E2_tabla_vida!$P$201,EXP(-C221*E2_tabla_vida!$X$202)*E2_tabla_vida!$P$202,EXP(-C221*E2_tabla_vida!$X$203)*E2_tabla_vida!$P$203,EXP(-C221*E2_tabla_vida!$X$204)*E2_tabla_vida!$P$204,EXP(-C221*E2_tabla_vida!$X$205)*E2_tabla_vida!$P$205,EXP(-C221*E2_tabla_vida!$X$206)*E2_tabla_vida!$P$206,EXP(-C221*E2_tabla_vida!$X$207)*E2_tabla_vida!$P$207,EXP(-C221*E2_tabla_vida!$X$208)*E2_tabla_vida!$P$208,EXP(-C221*E2_tabla_vida!$X$209)*E2_tabla_vida!$P$209,EXP(-C221*E2_tabla_vida!$X$210)*E2_tabla_vida!$P$210,EXP(-C221*E2_tabla_vida!$X$211)*E2_tabla_vida!$P$211)-1</x:f>
        <x:v>2.851869851383526e-10</x:v>
      </x:c>
      <x:c r="H221" s="24" t="n">
        <x:f>SUM(EXP(-D221*E2_tabla_vida!$X$170)*E2_tabla_vida!$P$170,EXP(-D221*E2_tabla_vida!$X$171)*E2_tabla_vida!$P$171,EXP(-D221*E2_tabla_vida!$X$172)*E2_tabla_vida!$P$172,EXP(-D221*E2_tabla_vida!$X$173)*E2_tabla_vida!$P$173,EXP(-D221*E2_tabla_vida!$X$174)*E2_tabla_vida!$P$174,EXP(-D221*E2_tabla_vida!$X$175)*E2_tabla_vida!$P$175,EXP(-D221*E2_tabla_vida!$X$176)*E2_tabla_vida!$P$176,EXP(-D221*E2_tabla_vida!$X$177)*E2_tabla_vida!$P$177,EXP(-D221*E2_tabla_vida!$X$178)*E2_tabla_vida!$P$178,EXP(-D221*E2_tabla_vida!$X$179)*E2_tabla_vida!$P$179,EXP(-D221*E2_tabla_vida!$X$180)*E2_tabla_vida!$P$180,EXP(-D221*E2_tabla_vida!$X$181)*E2_tabla_vida!$P$181,EXP(-D221*E2_tabla_vida!$X$182)*E2_tabla_vida!$P$182,EXP(-D221*E2_tabla_vida!$X$183)*E2_tabla_vida!$P$183,EXP(-D221*E2_tabla_vida!$X$184)*E2_tabla_vida!$P$184,EXP(-D221*E2_tabla_vida!$X$185)*E2_tabla_vida!$P$185,EXP(-D221*E2_tabla_vida!$X$186)*E2_tabla_vida!$P$186,EXP(-D221*E2_tabla_vida!$X$187)*E2_tabla_vida!$P$187,EXP(-D221*E2_tabla_vida!$X$188)*E2_tabla_vida!$P$188,EXP(-D221*E2_tabla_vida!$X$189)*E2_tabla_vida!$P$189,EXP(-D221*E2_tabla_vida!$X$190)*E2_tabla_vida!$P$190,EXP(-D221*E2_tabla_vida!$X$191)*E2_tabla_vida!$P$191,EXP(-D221*E2_tabla_vida!$X$192)*E2_tabla_vida!$P$192,EXP(-D221*E2_tabla_vida!$X$193)*E2_tabla_vida!$P$193,EXP(-D221*E2_tabla_vida!$X$194)*E2_tabla_vida!$P$194,EXP(-D221*E2_tabla_vida!$X$195)*E2_tabla_vida!$P$195,EXP(-D221*E2_tabla_vida!$X$196)*E2_tabla_vida!$P$196,EXP(-D221*E2_tabla_vida!$X$197)*E2_tabla_vida!$P$197,EXP(-D221*E2_tabla_vida!$X$198)*E2_tabla_vida!$P$198,EXP(-D221*E2_tabla_vida!$X$199)*E2_tabla_vida!$P$199,EXP(-D221*E2_tabla_vida!$X$200)*E2_tabla_vida!$P$200,EXP(-D221*E2_tabla_vida!$X$201)*E2_tabla_vida!$P$201,EXP(-D221*E2_tabla_vida!$X$202)*E2_tabla_vida!$P$202,EXP(-D221*E2_tabla_vida!$X$203)*E2_tabla_vida!$P$203,EXP(-D221*E2_tabla_vida!$X$204)*E2_tabla_vida!$P$204,EXP(-D221*E2_tabla_vida!$X$205)*E2_tabla_vida!$P$205,EXP(-D221*E2_tabla_vida!$X$206)*E2_tabla_vida!$P$206,EXP(-D221*E2_tabla_vida!$X$207)*E2_tabla_vida!$P$207,EXP(-D221*E2_tabla_vida!$X$208)*E2_tabla_vida!$P$208,EXP(-D221*E2_tabla_vida!$X$209)*E2_tabla_vida!$P$209,EXP(-D221*E2_tabla_vida!$X$210)*E2_tabla_vida!$P$210,EXP(-D221*E2_tabla_vida!$X$211)*E2_tabla_vida!$P$211)-1</x:f>
        <x:v>-1.0138827555294938e-9</x:v>
      </x:c>
    </x:row>
    <x:row r="222" ht="19" customHeight="1">
      <x:c r="A222" s="2" t="str">
        <x:v>BB_L8</x:v>
      </x:c>
      <x:c r="B222" s="2" t="n">
        <x:v>36</x:v>
      </x:c>
      <x:c r="C222" s="22" t="n">
        <x:f>IF(F221&gt;0,E221,C221)</x:f>
        <x:v>0.19572132619214244</x:v>
      </x:c>
      <x:c r="D222" s="22" t="n">
        <x:f>IF(F221&gt;0,D221,E221)</x:f>
        <x:v>0.1957213262357982</x:v>
      </x:c>
      <x:c r="E222" s="22" t="n">
        <x:f>AVERAGE(C222:D222)</x:f>
        <x:v>0.19572132621397031</x:v>
      </x:c>
      <x:c r="F222" s="24" t="n">
        <x:f>SUM(EXP(-E222*E2_tabla_vida!$X$170)*E2_tabla_vida!$P$170,EXP(-E222*E2_tabla_vida!$X$171)*E2_tabla_vida!$P$171,EXP(-E222*E2_tabla_vida!$X$172)*E2_tabla_vida!$P$172,EXP(-E222*E2_tabla_vida!$X$173)*E2_tabla_vida!$P$173,EXP(-E222*E2_tabla_vida!$X$174)*E2_tabla_vida!$P$174,EXP(-E222*E2_tabla_vida!$X$175)*E2_tabla_vida!$P$175,EXP(-E222*E2_tabla_vida!$X$176)*E2_tabla_vida!$P$176,EXP(-E222*E2_tabla_vida!$X$177)*E2_tabla_vida!$P$177,EXP(-E222*E2_tabla_vida!$X$178)*E2_tabla_vida!$P$178,EXP(-E222*E2_tabla_vida!$X$179)*E2_tabla_vida!$P$179,EXP(-E222*E2_tabla_vida!$X$180)*E2_tabla_vida!$P$180,EXP(-E222*E2_tabla_vida!$X$181)*E2_tabla_vida!$P$181,EXP(-E222*E2_tabla_vida!$X$182)*E2_tabla_vida!$P$182,EXP(-E222*E2_tabla_vida!$X$183)*E2_tabla_vida!$P$183,EXP(-E222*E2_tabla_vida!$X$184)*E2_tabla_vida!$P$184,EXP(-E222*E2_tabla_vida!$X$185)*E2_tabla_vida!$P$185,EXP(-E222*E2_tabla_vida!$X$186)*E2_tabla_vida!$P$186,EXP(-E222*E2_tabla_vida!$X$187)*E2_tabla_vida!$P$187,EXP(-E222*E2_tabla_vida!$X$188)*E2_tabla_vida!$P$188,EXP(-E222*E2_tabla_vida!$X$189)*E2_tabla_vida!$P$189,EXP(-E222*E2_tabla_vida!$X$190)*E2_tabla_vida!$P$190,EXP(-E222*E2_tabla_vida!$X$191)*E2_tabla_vida!$P$191,EXP(-E222*E2_tabla_vida!$X$192)*E2_tabla_vida!$P$192,EXP(-E222*E2_tabla_vida!$X$193)*E2_tabla_vida!$P$193,EXP(-E222*E2_tabla_vida!$X$194)*E2_tabla_vida!$P$194,EXP(-E222*E2_tabla_vida!$X$195)*E2_tabla_vida!$P$195,EXP(-E222*E2_tabla_vida!$X$196)*E2_tabla_vida!$P$196,EXP(-E222*E2_tabla_vida!$X$197)*E2_tabla_vida!$P$197,EXP(-E222*E2_tabla_vida!$X$198)*E2_tabla_vida!$P$198,EXP(-E222*E2_tabla_vida!$X$199)*E2_tabla_vida!$P$199,EXP(-E222*E2_tabla_vida!$X$200)*E2_tabla_vida!$P$200,EXP(-E222*E2_tabla_vida!$X$201)*E2_tabla_vida!$P$201,EXP(-E222*E2_tabla_vida!$X$202)*E2_tabla_vida!$P$202,EXP(-E222*E2_tabla_vida!$X$203)*E2_tabla_vida!$P$203,EXP(-E222*E2_tabla_vida!$X$204)*E2_tabla_vida!$P$204,EXP(-E222*E2_tabla_vida!$X$205)*E2_tabla_vida!$P$205,EXP(-E222*E2_tabla_vida!$X$206)*E2_tabla_vida!$P$206,EXP(-E222*E2_tabla_vida!$X$207)*E2_tabla_vida!$P$207,EXP(-E222*E2_tabla_vida!$X$208)*E2_tabla_vida!$P$208,EXP(-E222*E2_tabla_vida!$X$209)*E2_tabla_vida!$P$209,EXP(-E222*E2_tabla_vida!$X$210)*E2_tabla_vida!$P$210,EXP(-E222*E2_tabla_vida!$X$211)*E2_tabla_vida!$P$211)-1</x:f>
        <x:v>-3.958033900630653e-11</x:v>
      </x:c>
      <x:c r="G222" s="24" t="n">
        <x:f>SUM(EXP(-C222*E2_tabla_vida!$X$170)*E2_tabla_vida!$P$170,EXP(-C222*E2_tabla_vida!$X$171)*E2_tabla_vida!$P$171,EXP(-C222*E2_tabla_vida!$X$172)*E2_tabla_vida!$P$172,EXP(-C222*E2_tabla_vida!$X$173)*E2_tabla_vida!$P$173,EXP(-C222*E2_tabla_vida!$X$174)*E2_tabla_vida!$P$174,EXP(-C222*E2_tabla_vida!$X$175)*E2_tabla_vida!$P$175,EXP(-C222*E2_tabla_vida!$X$176)*E2_tabla_vida!$P$176,EXP(-C222*E2_tabla_vida!$X$177)*E2_tabla_vida!$P$177,EXP(-C222*E2_tabla_vida!$X$178)*E2_tabla_vida!$P$178,EXP(-C222*E2_tabla_vida!$X$179)*E2_tabla_vida!$P$179,EXP(-C222*E2_tabla_vida!$X$180)*E2_tabla_vida!$P$180,EXP(-C222*E2_tabla_vida!$X$181)*E2_tabla_vida!$P$181,EXP(-C222*E2_tabla_vida!$X$182)*E2_tabla_vida!$P$182,EXP(-C222*E2_tabla_vida!$X$183)*E2_tabla_vida!$P$183,EXP(-C222*E2_tabla_vida!$X$184)*E2_tabla_vida!$P$184,EXP(-C222*E2_tabla_vida!$X$185)*E2_tabla_vida!$P$185,EXP(-C222*E2_tabla_vida!$X$186)*E2_tabla_vida!$P$186,EXP(-C222*E2_tabla_vida!$X$187)*E2_tabla_vida!$P$187,EXP(-C222*E2_tabla_vida!$X$188)*E2_tabla_vida!$P$188,EXP(-C222*E2_tabla_vida!$X$189)*E2_tabla_vida!$P$189,EXP(-C222*E2_tabla_vida!$X$190)*E2_tabla_vida!$P$190,EXP(-C222*E2_tabla_vida!$X$191)*E2_tabla_vida!$P$191,EXP(-C222*E2_tabla_vida!$X$192)*E2_tabla_vida!$P$192,EXP(-C222*E2_tabla_vida!$X$193)*E2_tabla_vida!$P$193,EXP(-C222*E2_tabla_vida!$X$194)*E2_tabla_vida!$P$194,EXP(-C222*E2_tabla_vida!$X$195)*E2_tabla_vida!$P$195,EXP(-C222*E2_tabla_vida!$X$196)*E2_tabla_vida!$P$196,EXP(-C222*E2_tabla_vida!$X$197)*E2_tabla_vida!$P$197,EXP(-C222*E2_tabla_vida!$X$198)*E2_tabla_vida!$P$198,EXP(-C222*E2_tabla_vida!$X$199)*E2_tabla_vida!$P$199,EXP(-C222*E2_tabla_vida!$X$200)*E2_tabla_vida!$P$200,EXP(-C222*E2_tabla_vida!$X$201)*E2_tabla_vida!$P$201,EXP(-C222*E2_tabla_vida!$X$202)*E2_tabla_vida!$P$202,EXP(-C222*E2_tabla_vida!$X$203)*E2_tabla_vida!$P$203,EXP(-C222*E2_tabla_vida!$X$204)*E2_tabla_vida!$P$204,EXP(-C222*E2_tabla_vida!$X$205)*E2_tabla_vida!$P$205,EXP(-C222*E2_tabla_vida!$X$206)*E2_tabla_vida!$P$206,EXP(-C222*E2_tabla_vida!$X$207)*E2_tabla_vida!$P$207,EXP(-C222*E2_tabla_vida!$X$208)*E2_tabla_vida!$P$208,EXP(-C222*E2_tabla_vida!$X$209)*E2_tabla_vida!$P$209,EXP(-C222*E2_tabla_vida!$X$210)*E2_tabla_vida!$P$210,EXP(-C222*E2_tabla_vida!$X$211)*E2_tabla_vida!$P$211)-1</x:f>
        <x:v>2.851869851383526e-10</x:v>
      </x:c>
      <x:c r="H222" s="24" t="n">
        <x:f>SUM(EXP(-D222*E2_tabla_vida!$X$170)*E2_tabla_vida!$P$170,EXP(-D222*E2_tabla_vida!$X$171)*E2_tabla_vida!$P$171,EXP(-D222*E2_tabla_vida!$X$172)*E2_tabla_vida!$P$172,EXP(-D222*E2_tabla_vida!$X$173)*E2_tabla_vida!$P$173,EXP(-D222*E2_tabla_vida!$X$174)*E2_tabla_vida!$P$174,EXP(-D222*E2_tabla_vida!$X$175)*E2_tabla_vida!$P$175,EXP(-D222*E2_tabla_vida!$X$176)*E2_tabla_vida!$P$176,EXP(-D222*E2_tabla_vida!$X$177)*E2_tabla_vida!$P$177,EXP(-D222*E2_tabla_vida!$X$178)*E2_tabla_vida!$P$178,EXP(-D222*E2_tabla_vida!$X$179)*E2_tabla_vida!$P$179,EXP(-D222*E2_tabla_vida!$X$180)*E2_tabla_vida!$P$180,EXP(-D222*E2_tabla_vida!$X$181)*E2_tabla_vida!$P$181,EXP(-D222*E2_tabla_vida!$X$182)*E2_tabla_vida!$P$182,EXP(-D222*E2_tabla_vida!$X$183)*E2_tabla_vida!$P$183,EXP(-D222*E2_tabla_vida!$X$184)*E2_tabla_vida!$P$184,EXP(-D222*E2_tabla_vida!$X$185)*E2_tabla_vida!$P$185,EXP(-D222*E2_tabla_vida!$X$186)*E2_tabla_vida!$P$186,EXP(-D222*E2_tabla_vida!$X$187)*E2_tabla_vida!$P$187,EXP(-D222*E2_tabla_vida!$X$188)*E2_tabla_vida!$P$188,EXP(-D222*E2_tabla_vida!$X$189)*E2_tabla_vida!$P$189,EXP(-D222*E2_tabla_vida!$X$190)*E2_tabla_vida!$P$190,EXP(-D222*E2_tabla_vida!$X$191)*E2_tabla_vida!$P$191,EXP(-D222*E2_tabla_vida!$X$192)*E2_tabla_vida!$P$192,EXP(-D222*E2_tabla_vida!$X$193)*E2_tabla_vida!$P$193,EXP(-D222*E2_tabla_vida!$X$194)*E2_tabla_vida!$P$194,EXP(-D222*E2_tabla_vida!$X$195)*E2_tabla_vida!$P$195,EXP(-D222*E2_tabla_vida!$X$196)*E2_tabla_vida!$P$196,EXP(-D222*E2_tabla_vida!$X$197)*E2_tabla_vida!$P$197,EXP(-D222*E2_tabla_vida!$X$198)*E2_tabla_vida!$P$198,EXP(-D222*E2_tabla_vida!$X$199)*E2_tabla_vida!$P$199,EXP(-D222*E2_tabla_vida!$X$200)*E2_tabla_vida!$P$200,EXP(-D222*E2_tabla_vida!$X$201)*E2_tabla_vida!$P$201,EXP(-D222*E2_tabla_vida!$X$202)*E2_tabla_vida!$P$202,EXP(-D222*E2_tabla_vida!$X$203)*E2_tabla_vida!$P$203,EXP(-D222*E2_tabla_vida!$X$204)*E2_tabla_vida!$P$204,EXP(-D222*E2_tabla_vida!$X$205)*E2_tabla_vida!$P$205,EXP(-D222*E2_tabla_vida!$X$206)*E2_tabla_vida!$P$206,EXP(-D222*E2_tabla_vida!$X$207)*E2_tabla_vida!$P$207,EXP(-D222*E2_tabla_vida!$X$208)*E2_tabla_vida!$P$208,EXP(-D222*E2_tabla_vida!$X$209)*E2_tabla_vida!$P$209,EXP(-D222*E2_tabla_vida!$X$210)*E2_tabla_vida!$P$210,EXP(-D222*E2_tabla_vida!$X$211)*E2_tabla_vida!$P$211)-1</x:f>
        <x:v>-3.6434766315096567e-10</x:v>
      </x:c>
    </x:row>
    <x:row r="223" ht="19" customHeight="1">
      <x:c r="A223" s="2" t="str">
        <x:v>BB_L8</x:v>
      </x:c>
      <x:c r="B223" s="2" t="n">
        <x:v>37</x:v>
      </x:c>
      <x:c r="C223" s="22" t="n">
        <x:f>IF(F222&gt;0,E222,C222)</x:f>
        <x:v>0.19572132619214244</x:v>
      </x:c>
      <x:c r="D223" s="22" t="n">
        <x:f>IF(F222&gt;0,D222,E222)</x:f>
        <x:v>0.19572132621397031</x:v>
      </x:c>
      <x:c r="E223" s="22" t="n">
        <x:f>AVERAGE(C223:D223)</x:f>
        <x:v>0.19572132620305638</x:v>
      </x:c>
      <x:c r="F223" s="24" t="n">
        <x:f>SUM(EXP(-E223*E2_tabla_vida!$X$170)*E2_tabla_vida!$P$170,EXP(-E223*E2_tabla_vida!$X$171)*E2_tabla_vida!$P$171,EXP(-E223*E2_tabla_vida!$X$172)*E2_tabla_vida!$P$172,EXP(-E223*E2_tabla_vida!$X$173)*E2_tabla_vida!$P$173,EXP(-E223*E2_tabla_vida!$X$174)*E2_tabla_vida!$P$174,EXP(-E223*E2_tabla_vida!$X$175)*E2_tabla_vida!$P$175,EXP(-E223*E2_tabla_vida!$X$176)*E2_tabla_vida!$P$176,EXP(-E223*E2_tabla_vida!$X$177)*E2_tabla_vida!$P$177,EXP(-E223*E2_tabla_vida!$X$178)*E2_tabla_vida!$P$178,EXP(-E223*E2_tabla_vida!$X$179)*E2_tabla_vida!$P$179,EXP(-E223*E2_tabla_vida!$X$180)*E2_tabla_vida!$P$180,EXP(-E223*E2_tabla_vida!$X$181)*E2_tabla_vida!$P$181,EXP(-E223*E2_tabla_vida!$X$182)*E2_tabla_vida!$P$182,EXP(-E223*E2_tabla_vida!$X$183)*E2_tabla_vida!$P$183,EXP(-E223*E2_tabla_vida!$X$184)*E2_tabla_vida!$P$184,EXP(-E223*E2_tabla_vida!$X$185)*E2_tabla_vida!$P$185,EXP(-E223*E2_tabla_vida!$X$186)*E2_tabla_vida!$P$186,EXP(-E223*E2_tabla_vida!$X$187)*E2_tabla_vida!$P$187,EXP(-E223*E2_tabla_vida!$X$188)*E2_tabla_vida!$P$188,EXP(-E223*E2_tabla_vida!$X$189)*E2_tabla_vida!$P$189,EXP(-E223*E2_tabla_vida!$X$190)*E2_tabla_vida!$P$190,EXP(-E223*E2_tabla_vida!$X$191)*E2_tabla_vida!$P$191,EXP(-E223*E2_tabla_vida!$X$192)*E2_tabla_vida!$P$192,EXP(-E223*E2_tabla_vida!$X$193)*E2_tabla_vida!$P$193,EXP(-E223*E2_tabla_vida!$X$194)*E2_tabla_vida!$P$194,EXP(-E223*E2_tabla_vida!$X$195)*E2_tabla_vida!$P$195,EXP(-E223*E2_tabla_vida!$X$196)*E2_tabla_vida!$P$196,EXP(-E223*E2_tabla_vida!$X$197)*E2_tabla_vida!$P$197,EXP(-E223*E2_tabla_vida!$X$198)*E2_tabla_vida!$P$198,EXP(-E223*E2_tabla_vida!$X$199)*E2_tabla_vida!$P$199,EXP(-E223*E2_tabla_vida!$X$200)*E2_tabla_vida!$P$200,EXP(-E223*E2_tabla_vida!$X$201)*E2_tabla_vida!$P$201,EXP(-E223*E2_tabla_vida!$X$202)*E2_tabla_vida!$P$202,EXP(-E223*E2_tabla_vida!$X$203)*E2_tabla_vida!$P$203,EXP(-E223*E2_tabla_vida!$X$204)*E2_tabla_vida!$P$204,EXP(-E223*E2_tabla_vida!$X$205)*E2_tabla_vida!$P$205,EXP(-E223*E2_tabla_vida!$X$206)*E2_tabla_vida!$P$206,EXP(-E223*E2_tabla_vida!$X$207)*E2_tabla_vida!$P$207,EXP(-E223*E2_tabla_vida!$X$208)*E2_tabla_vida!$P$208,EXP(-E223*E2_tabla_vida!$X$209)*E2_tabla_vida!$P$209,EXP(-E223*E2_tabla_vida!$X$210)*E2_tabla_vida!$P$210,EXP(-E223*E2_tabla_vida!$X$211)*E2_tabla_vida!$P$211)-1</x:f>
        <x:v>1.228037671552329e-10</x:v>
      </x:c>
      <x:c r="G223" s="24" t="n">
        <x:f>SUM(EXP(-C223*E2_tabla_vida!$X$170)*E2_tabla_vida!$P$170,EXP(-C223*E2_tabla_vida!$X$171)*E2_tabla_vida!$P$171,EXP(-C223*E2_tabla_vida!$X$172)*E2_tabla_vida!$P$172,EXP(-C223*E2_tabla_vida!$X$173)*E2_tabla_vida!$P$173,EXP(-C223*E2_tabla_vida!$X$174)*E2_tabla_vida!$P$174,EXP(-C223*E2_tabla_vida!$X$175)*E2_tabla_vida!$P$175,EXP(-C223*E2_tabla_vida!$X$176)*E2_tabla_vida!$P$176,EXP(-C223*E2_tabla_vida!$X$177)*E2_tabla_vida!$P$177,EXP(-C223*E2_tabla_vida!$X$178)*E2_tabla_vida!$P$178,EXP(-C223*E2_tabla_vida!$X$179)*E2_tabla_vida!$P$179,EXP(-C223*E2_tabla_vida!$X$180)*E2_tabla_vida!$P$180,EXP(-C223*E2_tabla_vida!$X$181)*E2_tabla_vida!$P$181,EXP(-C223*E2_tabla_vida!$X$182)*E2_tabla_vida!$P$182,EXP(-C223*E2_tabla_vida!$X$183)*E2_tabla_vida!$P$183,EXP(-C223*E2_tabla_vida!$X$184)*E2_tabla_vida!$P$184,EXP(-C223*E2_tabla_vida!$X$185)*E2_tabla_vida!$P$185,EXP(-C223*E2_tabla_vida!$X$186)*E2_tabla_vida!$P$186,EXP(-C223*E2_tabla_vida!$X$187)*E2_tabla_vida!$P$187,EXP(-C223*E2_tabla_vida!$X$188)*E2_tabla_vida!$P$188,EXP(-C223*E2_tabla_vida!$X$189)*E2_tabla_vida!$P$189,EXP(-C223*E2_tabla_vida!$X$190)*E2_tabla_vida!$P$190,EXP(-C223*E2_tabla_vida!$X$191)*E2_tabla_vida!$P$191,EXP(-C223*E2_tabla_vida!$X$192)*E2_tabla_vida!$P$192,EXP(-C223*E2_tabla_vida!$X$193)*E2_tabla_vida!$P$193,EXP(-C223*E2_tabla_vida!$X$194)*E2_tabla_vida!$P$194,EXP(-C223*E2_tabla_vida!$X$195)*E2_tabla_vida!$P$195,EXP(-C223*E2_tabla_vida!$X$196)*E2_tabla_vida!$P$196,EXP(-C223*E2_tabla_vida!$X$197)*E2_tabla_vida!$P$197,EXP(-C223*E2_tabla_vida!$X$198)*E2_tabla_vida!$P$198,EXP(-C223*E2_tabla_vida!$X$199)*E2_tabla_vida!$P$199,EXP(-C223*E2_tabla_vida!$X$200)*E2_tabla_vida!$P$200,EXP(-C223*E2_tabla_vida!$X$201)*E2_tabla_vida!$P$201,EXP(-C223*E2_tabla_vida!$X$202)*E2_tabla_vida!$P$202,EXP(-C223*E2_tabla_vida!$X$203)*E2_tabla_vida!$P$203,EXP(-C223*E2_tabla_vida!$X$204)*E2_tabla_vida!$P$204,EXP(-C223*E2_tabla_vida!$X$205)*E2_tabla_vida!$P$205,EXP(-C223*E2_tabla_vida!$X$206)*E2_tabla_vida!$P$206,EXP(-C223*E2_tabla_vida!$X$207)*E2_tabla_vida!$P$207,EXP(-C223*E2_tabla_vida!$X$208)*E2_tabla_vida!$P$208,EXP(-C223*E2_tabla_vida!$X$209)*E2_tabla_vida!$P$209,EXP(-C223*E2_tabla_vida!$X$210)*E2_tabla_vida!$P$210,EXP(-C223*E2_tabla_vida!$X$211)*E2_tabla_vida!$P$211)-1</x:f>
        <x:v>2.851869851383526e-10</x:v>
      </x:c>
      <x:c r="H223" s="24" t="n">
        <x:f>SUM(EXP(-D223*E2_tabla_vida!$X$170)*E2_tabla_vida!$P$170,EXP(-D223*E2_tabla_vida!$X$171)*E2_tabla_vida!$P$171,EXP(-D223*E2_tabla_vida!$X$172)*E2_tabla_vida!$P$172,EXP(-D223*E2_tabla_vida!$X$173)*E2_tabla_vida!$P$173,EXP(-D223*E2_tabla_vida!$X$174)*E2_tabla_vida!$P$174,EXP(-D223*E2_tabla_vida!$X$175)*E2_tabla_vida!$P$175,EXP(-D223*E2_tabla_vida!$X$176)*E2_tabla_vida!$P$176,EXP(-D223*E2_tabla_vida!$X$177)*E2_tabla_vida!$P$177,EXP(-D223*E2_tabla_vida!$X$178)*E2_tabla_vida!$P$178,EXP(-D223*E2_tabla_vida!$X$179)*E2_tabla_vida!$P$179,EXP(-D223*E2_tabla_vida!$X$180)*E2_tabla_vida!$P$180,EXP(-D223*E2_tabla_vida!$X$181)*E2_tabla_vida!$P$181,EXP(-D223*E2_tabla_vida!$X$182)*E2_tabla_vida!$P$182,EXP(-D223*E2_tabla_vida!$X$183)*E2_tabla_vida!$P$183,EXP(-D223*E2_tabla_vida!$X$184)*E2_tabla_vida!$P$184,EXP(-D223*E2_tabla_vida!$X$185)*E2_tabla_vida!$P$185,EXP(-D223*E2_tabla_vida!$X$186)*E2_tabla_vida!$P$186,EXP(-D223*E2_tabla_vida!$X$187)*E2_tabla_vida!$P$187,EXP(-D223*E2_tabla_vida!$X$188)*E2_tabla_vida!$P$188,EXP(-D223*E2_tabla_vida!$X$189)*E2_tabla_vida!$P$189,EXP(-D223*E2_tabla_vida!$X$190)*E2_tabla_vida!$P$190,EXP(-D223*E2_tabla_vida!$X$191)*E2_tabla_vida!$P$191,EXP(-D223*E2_tabla_vida!$X$192)*E2_tabla_vida!$P$192,EXP(-D223*E2_tabla_vida!$X$193)*E2_tabla_vida!$P$193,EXP(-D223*E2_tabla_vida!$X$194)*E2_tabla_vida!$P$194,EXP(-D223*E2_tabla_vida!$X$195)*E2_tabla_vida!$P$195,EXP(-D223*E2_tabla_vida!$X$196)*E2_tabla_vida!$P$196,EXP(-D223*E2_tabla_vida!$X$197)*E2_tabla_vida!$P$197,EXP(-D223*E2_tabla_vida!$X$198)*E2_tabla_vida!$P$198,EXP(-D223*E2_tabla_vida!$X$199)*E2_tabla_vida!$P$199,EXP(-D223*E2_tabla_vida!$X$200)*E2_tabla_vida!$P$200,EXP(-D223*E2_tabla_vida!$X$201)*E2_tabla_vida!$P$201,EXP(-D223*E2_tabla_vida!$X$202)*E2_tabla_vida!$P$202,EXP(-D223*E2_tabla_vida!$X$203)*E2_tabla_vida!$P$203,EXP(-D223*E2_tabla_vida!$X$204)*E2_tabla_vida!$P$204,EXP(-D223*E2_tabla_vida!$X$205)*E2_tabla_vida!$P$205,EXP(-D223*E2_tabla_vida!$X$206)*E2_tabla_vida!$P$206,EXP(-D223*E2_tabla_vida!$X$207)*E2_tabla_vida!$P$207,EXP(-D223*E2_tabla_vida!$X$208)*E2_tabla_vida!$P$208,EXP(-D223*E2_tabla_vida!$X$209)*E2_tabla_vida!$P$209,EXP(-D223*E2_tabla_vida!$X$210)*E2_tabla_vida!$P$210,EXP(-D223*E2_tabla_vida!$X$211)*E2_tabla_vida!$P$211)-1</x:f>
        <x:v>-3.958033900630653e-11</x:v>
      </x:c>
    </x:row>
    <x:row r="224" ht="19" customHeight="1">
      <x:c r="A224" s="2" t="str">
        <x:v>BB_L8</x:v>
      </x:c>
      <x:c r="B224" s="2" t="n">
        <x:v>38</x:v>
      </x:c>
      <x:c r="C224" s="22" t="n">
        <x:f>IF(F223&gt;0,E223,C223)</x:f>
        <x:v>0.19572132620305638</x:v>
      </x:c>
      <x:c r="D224" s="22" t="n">
        <x:f>IF(F223&gt;0,D223,E223)</x:f>
        <x:v>0.19572132621397031</x:v>
      </x:c>
      <x:c r="E224" s="22" t="n">
        <x:f>AVERAGE(C224:D224)</x:f>
        <x:v>0.19572132620851335</x:v>
      </x:c>
      <x:c r="F224" s="24" t="n">
        <x:f>SUM(EXP(-E224*E2_tabla_vida!$X$170)*E2_tabla_vida!$P$170,EXP(-E224*E2_tabla_vida!$X$171)*E2_tabla_vida!$P$171,EXP(-E224*E2_tabla_vida!$X$172)*E2_tabla_vida!$P$172,EXP(-E224*E2_tabla_vida!$X$173)*E2_tabla_vida!$P$173,EXP(-E224*E2_tabla_vida!$X$174)*E2_tabla_vida!$P$174,EXP(-E224*E2_tabla_vida!$X$175)*E2_tabla_vida!$P$175,EXP(-E224*E2_tabla_vida!$X$176)*E2_tabla_vida!$P$176,EXP(-E224*E2_tabla_vida!$X$177)*E2_tabla_vida!$P$177,EXP(-E224*E2_tabla_vida!$X$178)*E2_tabla_vida!$P$178,EXP(-E224*E2_tabla_vida!$X$179)*E2_tabla_vida!$P$179,EXP(-E224*E2_tabla_vida!$X$180)*E2_tabla_vida!$P$180,EXP(-E224*E2_tabla_vida!$X$181)*E2_tabla_vida!$P$181,EXP(-E224*E2_tabla_vida!$X$182)*E2_tabla_vida!$P$182,EXP(-E224*E2_tabla_vida!$X$183)*E2_tabla_vida!$P$183,EXP(-E224*E2_tabla_vida!$X$184)*E2_tabla_vida!$P$184,EXP(-E224*E2_tabla_vida!$X$185)*E2_tabla_vida!$P$185,EXP(-E224*E2_tabla_vida!$X$186)*E2_tabla_vida!$P$186,EXP(-E224*E2_tabla_vida!$X$187)*E2_tabla_vida!$P$187,EXP(-E224*E2_tabla_vida!$X$188)*E2_tabla_vida!$P$188,EXP(-E224*E2_tabla_vida!$X$189)*E2_tabla_vida!$P$189,EXP(-E224*E2_tabla_vida!$X$190)*E2_tabla_vida!$P$190,EXP(-E224*E2_tabla_vida!$X$191)*E2_tabla_vida!$P$191,EXP(-E224*E2_tabla_vida!$X$192)*E2_tabla_vida!$P$192,EXP(-E224*E2_tabla_vida!$X$193)*E2_tabla_vida!$P$193,EXP(-E224*E2_tabla_vida!$X$194)*E2_tabla_vida!$P$194,EXP(-E224*E2_tabla_vida!$X$195)*E2_tabla_vida!$P$195,EXP(-E224*E2_tabla_vida!$X$196)*E2_tabla_vida!$P$196,EXP(-E224*E2_tabla_vida!$X$197)*E2_tabla_vida!$P$197,EXP(-E224*E2_tabla_vida!$X$198)*E2_tabla_vida!$P$198,EXP(-E224*E2_tabla_vida!$X$199)*E2_tabla_vida!$P$199,EXP(-E224*E2_tabla_vida!$X$200)*E2_tabla_vida!$P$200,EXP(-E224*E2_tabla_vida!$X$201)*E2_tabla_vida!$P$201,EXP(-E224*E2_tabla_vida!$X$202)*E2_tabla_vida!$P$202,EXP(-E224*E2_tabla_vida!$X$203)*E2_tabla_vida!$P$203,EXP(-E224*E2_tabla_vida!$X$204)*E2_tabla_vida!$P$204,EXP(-E224*E2_tabla_vida!$X$205)*E2_tabla_vida!$P$205,EXP(-E224*E2_tabla_vida!$X$206)*E2_tabla_vida!$P$206,EXP(-E224*E2_tabla_vida!$X$207)*E2_tabla_vida!$P$207,EXP(-E224*E2_tabla_vida!$X$208)*E2_tabla_vida!$P$208,EXP(-E224*E2_tabla_vida!$X$209)*E2_tabla_vida!$P$209,EXP(-E224*E2_tabla_vida!$X$210)*E2_tabla_vida!$P$210,EXP(-E224*E2_tabla_vida!$X$211)*E2_tabla_vida!$P$211)-1</x:f>
        <x:v>4.161182509676564e-11</x:v>
      </x:c>
      <x:c r="G224" s="24" t="n">
        <x:f>SUM(EXP(-C224*E2_tabla_vida!$X$170)*E2_tabla_vida!$P$170,EXP(-C224*E2_tabla_vida!$X$171)*E2_tabla_vida!$P$171,EXP(-C224*E2_tabla_vida!$X$172)*E2_tabla_vida!$P$172,EXP(-C224*E2_tabla_vida!$X$173)*E2_tabla_vida!$P$173,EXP(-C224*E2_tabla_vida!$X$174)*E2_tabla_vida!$P$174,EXP(-C224*E2_tabla_vida!$X$175)*E2_tabla_vida!$P$175,EXP(-C224*E2_tabla_vida!$X$176)*E2_tabla_vida!$P$176,EXP(-C224*E2_tabla_vida!$X$177)*E2_tabla_vida!$P$177,EXP(-C224*E2_tabla_vida!$X$178)*E2_tabla_vida!$P$178,EXP(-C224*E2_tabla_vida!$X$179)*E2_tabla_vida!$P$179,EXP(-C224*E2_tabla_vida!$X$180)*E2_tabla_vida!$P$180,EXP(-C224*E2_tabla_vida!$X$181)*E2_tabla_vida!$P$181,EXP(-C224*E2_tabla_vida!$X$182)*E2_tabla_vida!$P$182,EXP(-C224*E2_tabla_vida!$X$183)*E2_tabla_vida!$P$183,EXP(-C224*E2_tabla_vida!$X$184)*E2_tabla_vida!$P$184,EXP(-C224*E2_tabla_vida!$X$185)*E2_tabla_vida!$P$185,EXP(-C224*E2_tabla_vida!$X$186)*E2_tabla_vida!$P$186,EXP(-C224*E2_tabla_vida!$X$187)*E2_tabla_vida!$P$187,EXP(-C224*E2_tabla_vida!$X$188)*E2_tabla_vida!$P$188,EXP(-C224*E2_tabla_vida!$X$189)*E2_tabla_vida!$P$189,EXP(-C224*E2_tabla_vida!$X$190)*E2_tabla_vida!$P$190,EXP(-C224*E2_tabla_vida!$X$191)*E2_tabla_vida!$P$191,EXP(-C224*E2_tabla_vida!$X$192)*E2_tabla_vida!$P$192,EXP(-C224*E2_tabla_vida!$X$193)*E2_tabla_vida!$P$193,EXP(-C224*E2_tabla_vida!$X$194)*E2_tabla_vida!$P$194,EXP(-C224*E2_tabla_vida!$X$195)*E2_tabla_vida!$P$195,EXP(-C224*E2_tabla_vida!$X$196)*E2_tabla_vida!$P$196,EXP(-C224*E2_tabla_vida!$X$197)*E2_tabla_vida!$P$197,EXP(-C224*E2_tabla_vida!$X$198)*E2_tabla_vida!$P$198,EXP(-C224*E2_tabla_vida!$X$199)*E2_tabla_vida!$P$199,EXP(-C224*E2_tabla_vida!$X$200)*E2_tabla_vida!$P$200,EXP(-C224*E2_tabla_vida!$X$201)*E2_tabla_vida!$P$201,EXP(-C224*E2_tabla_vida!$X$202)*E2_tabla_vida!$P$202,EXP(-C224*E2_tabla_vida!$X$203)*E2_tabla_vida!$P$203,EXP(-C224*E2_tabla_vida!$X$204)*E2_tabla_vida!$P$204,EXP(-C224*E2_tabla_vida!$X$205)*E2_tabla_vida!$P$205,EXP(-C224*E2_tabla_vida!$X$206)*E2_tabla_vida!$P$206,EXP(-C224*E2_tabla_vida!$X$207)*E2_tabla_vida!$P$207,EXP(-C224*E2_tabla_vida!$X$208)*E2_tabla_vida!$P$208,EXP(-C224*E2_tabla_vida!$X$209)*E2_tabla_vida!$P$209,EXP(-C224*E2_tabla_vida!$X$210)*E2_tabla_vida!$P$210,EXP(-C224*E2_tabla_vida!$X$211)*E2_tabla_vida!$P$211)-1</x:f>
        <x:v>1.228037671552329e-10</x:v>
      </x:c>
      <x:c r="H224" s="24" t="n">
        <x:f>SUM(EXP(-D224*E2_tabla_vida!$X$170)*E2_tabla_vida!$P$170,EXP(-D224*E2_tabla_vida!$X$171)*E2_tabla_vida!$P$171,EXP(-D224*E2_tabla_vida!$X$172)*E2_tabla_vida!$P$172,EXP(-D224*E2_tabla_vida!$X$173)*E2_tabla_vida!$P$173,EXP(-D224*E2_tabla_vida!$X$174)*E2_tabla_vida!$P$174,EXP(-D224*E2_tabla_vida!$X$175)*E2_tabla_vida!$P$175,EXP(-D224*E2_tabla_vida!$X$176)*E2_tabla_vida!$P$176,EXP(-D224*E2_tabla_vida!$X$177)*E2_tabla_vida!$P$177,EXP(-D224*E2_tabla_vida!$X$178)*E2_tabla_vida!$P$178,EXP(-D224*E2_tabla_vida!$X$179)*E2_tabla_vida!$P$179,EXP(-D224*E2_tabla_vida!$X$180)*E2_tabla_vida!$P$180,EXP(-D224*E2_tabla_vida!$X$181)*E2_tabla_vida!$P$181,EXP(-D224*E2_tabla_vida!$X$182)*E2_tabla_vida!$P$182,EXP(-D224*E2_tabla_vida!$X$183)*E2_tabla_vida!$P$183,EXP(-D224*E2_tabla_vida!$X$184)*E2_tabla_vida!$P$184,EXP(-D224*E2_tabla_vida!$X$185)*E2_tabla_vida!$P$185,EXP(-D224*E2_tabla_vida!$X$186)*E2_tabla_vida!$P$186,EXP(-D224*E2_tabla_vida!$X$187)*E2_tabla_vida!$P$187,EXP(-D224*E2_tabla_vida!$X$188)*E2_tabla_vida!$P$188,EXP(-D224*E2_tabla_vida!$X$189)*E2_tabla_vida!$P$189,EXP(-D224*E2_tabla_vida!$X$190)*E2_tabla_vida!$P$190,EXP(-D224*E2_tabla_vida!$X$191)*E2_tabla_vida!$P$191,EXP(-D224*E2_tabla_vida!$X$192)*E2_tabla_vida!$P$192,EXP(-D224*E2_tabla_vida!$X$193)*E2_tabla_vida!$P$193,EXP(-D224*E2_tabla_vida!$X$194)*E2_tabla_vida!$P$194,EXP(-D224*E2_tabla_vida!$X$195)*E2_tabla_vida!$P$195,EXP(-D224*E2_tabla_vida!$X$196)*E2_tabla_vida!$P$196,EXP(-D224*E2_tabla_vida!$X$197)*E2_tabla_vida!$P$197,EXP(-D224*E2_tabla_vida!$X$198)*E2_tabla_vida!$P$198,EXP(-D224*E2_tabla_vida!$X$199)*E2_tabla_vida!$P$199,EXP(-D224*E2_tabla_vida!$X$200)*E2_tabla_vida!$P$200,EXP(-D224*E2_tabla_vida!$X$201)*E2_tabla_vida!$P$201,EXP(-D224*E2_tabla_vida!$X$202)*E2_tabla_vida!$P$202,EXP(-D224*E2_tabla_vida!$X$203)*E2_tabla_vida!$P$203,EXP(-D224*E2_tabla_vida!$X$204)*E2_tabla_vida!$P$204,EXP(-D224*E2_tabla_vida!$X$205)*E2_tabla_vida!$P$205,EXP(-D224*E2_tabla_vida!$X$206)*E2_tabla_vida!$P$206,EXP(-D224*E2_tabla_vida!$X$207)*E2_tabla_vida!$P$207,EXP(-D224*E2_tabla_vida!$X$208)*E2_tabla_vida!$P$208,EXP(-D224*E2_tabla_vida!$X$209)*E2_tabla_vida!$P$209,EXP(-D224*E2_tabla_vida!$X$210)*E2_tabla_vida!$P$210,EXP(-D224*E2_tabla_vida!$X$211)*E2_tabla_vida!$P$211)-1</x:f>
        <x:v>-3.958033900630653e-11</x:v>
      </x:c>
    </x:row>
    <x:row r="225" ht="19" customHeight="1">
      <x:c r="A225" s="2" t="str">
        <x:v>BB_L8</x:v>
      </x:c>
      <x:c r="B225" s="2" t="n">
        <x:v>39</x:v>
      </x:c>
      <x:c r="C225" s="22" t="n">
        <x:f>IF(F224&gt;0,E224,C224)</x:f>
        <x:v>0.19572132620851335</x:v>
      </x:c>
      <x:c r="D225" s="22" t="n">
        <x:f>IF(F224&gt;0,D224,E224)</x:f>
        <x:v>0.19572132621397031</x:v>
      </x:c>
      <x:c r="E225" s="22" t="n">
        <x:f>AVERAGE(C225:D225)</x:f>
        <x:v>0.19572132621124183</x:v>
      </x:c>
      <x:c r="F225" s="24" t="n">
        <x:f>SUM(EXP(-E225*E2_tabla_vida!$X$170)*E2_tabla_vida!$P$170,EXP(-E225*E2_tabla_vida!$X$171)*E2_tabla_vida!$P$171,EXP(-E225*E2_tabla_vida!$X$172)*E2_tabla_vida!$P$172,EXP(-E225*E2_tabla_vida!$X$173)*E2_tabla_vida!$P$173,EXP(-E225*E2_tabla_vida!$X$174)*E2_tabla_vida!$P$174,EXP(-E225*E2_tabla_vida!$X$175)*E2_tabla_vida!$P$175,EXP(-E225*E2_tabla_vida!$X$176)*E2_tabla_vida!$P$176,EXP(-E225*E2_tabla_vida!$X$177)*E2_tabla_vida!$P$177,EXP(-E225*E2_tabla_vida!$X$178)*E2_tabla_vida!$P$178,EXP(-E225*E2_tabla_vida!$X$179)*E2_tabla_vida!$P$179,EXP(-E225*E2_tabla_vida!$X$180)*E2_tabla_vida!$P$180,EXP(-E225*E2_tabla_vida!$X$181)*E2_tabla_vida!$P$181,EXP(-E225*E2_tabla_vida!$X$182)*E2_tabla_vida!$P$182,EXP(-E225*E2_tabla_vida!$X$183)*E2_tabla_vida!$P$183,EXP(-E225*E2_tabla_vida!$X$184)*E2_tabla_vida!$P$184,EXP(-E225*E2_tabla_vida!$X$185)*E2_tabla_vida!$P$185,EXP(-E225*E2_tabla_vida!$X$186)*E2_tabla_vida!$P$186,EXP(-E225*E2_tabla_vida!$X$187)*E2_tabla_vida!$P$187,EXP(-E225*E2_tabla_vida!$X$188)*E2_tabla_vida!$P$188,EXP(-E225*E2_tabla_vida!$X$189)*E2_tabla_vida!$P$189,EXP(-E225*E2_tabla_vida!$X$190)*E2_tabla_vida!$P$190,EXP(-E225*E2_tabla_vida!$X$191)*E2_tabla_vida!$P$191,EXP(-E225*E2_tabla_vida!$X$192)*E2_tabla_vida!$P$192,EXP(-E225*E2_tabla_vida!$X$193)*E2_tabla_vida!$P$193,EXP(-E225*E2_tabla_vida!$X$194)*E2_tabla_vida!$P$194,EXP(-E225*E2_tabla_vida!$X$195)*E2_tabla_vida!$P$195,EXP(-E225*E2_tabla_vida!$X$196)*E2_tabla_vida!$P$196,EXP(-E225*E2_tabla_vida!$X$197)*E2_tabla_vida!$P$197,EXP(-E225*E2_tabla_vida!$X$198)*E2_tabla_vida!$P$198,EXP(-E225*E2_tabla_vida!$X$199)*E2_tabla_vida!$P$199,EXP(-E225*E2_tabla_vida!$X$200)*E2_tabla_vida!$P$200,EXP(-E225*E2_tabla_vida!$X$201)*E2_tabla_vida!$P$201,EXP(-E225*E2_tabla_vida!$X$202)*E2_tabla_vida!$P$202,EXP(-E225*E2_tabla_vida!$X$203)*E2_tabla_vida!$P$203,EXP(-E225*E2_tabla_vida!$X$204)*E2_tabla_vida!$P$204,EXP(-E225*E2_tabla_vida!$X$205)*E2_tabla_vida!$P$205,EXP(-E225*E2_tabla_vida!$X$206)*E2_tabla_vida!$P$206,EXP(-E225*E2_tabla_vida!$X$207)*E2_tabla_vida!$P$207,EXP(-E225*E2_tabla_vida!$X$208)*E2_tabla_vida!$P$208,EXP(-E225*E2_tabla_vida!$X$209)*E2_tabla_vida!$P$209,EXP(-E225*E2_tabla_vida!$X$210)*E2_tabla_vida!$P$210,EXP(-E225*E2_tabla_vida!$X$211)*E2_tabla_vida!$P$211)-1</x:f>
        <x:v>1.0158540675320182e-12</x:v>
      </x:c>
      <x:c r="G225" s="24" t="n">
        <x:f>SUM(EXP(-C225*E2_tabla_vida!$X$170)*E2_tabla_vida!$P$170,EXP(-C225*E2_tabla_vida!$X$171)*E2_tabla_vida!$P$171,EXP(-C225*E2_tabla_vida!$X$172)*E2_tabla_vida!$P$172,EXP(-C225*E2_tabla_vida!$X$173)*E2_tabla_vida!$P$173,EXP(-C225*E2_tabla_vida!$X$174)*E2_tabla_vida!$P$174,EXP(-C225*E2_tabla_vida!$X$175)*E2_tabla_vida!$P$175,EXP(-C225*E2_tabla_vida!$X$176)*E2_tabla_vida!$P$176,EXP(-C225*E2_tabla_vida!$X$177)*E2_tabla_vida!$P$177,EXP(-C225*E2_tabla_vida!$X$178)*E2_tabla_vida!$P$178,EXP(-C225*E2_tabla_vida!$X$179)*E2_tabla_vida!$P$179,EXP(-C225*E2_tabla_vida!$X$180)*E2_tabla_vida!$P$180,EXP(-C225*E2_tabla_vida!$X$181)*E2_tabla_vida!$P$181,EXP(-C225*E2_tabla_vida!$X$182)*E2_tabla_vida!$P$182,EXP(-C225*E2_tabla_vida!$X$183)*E2_tabla_vida!$P$183,EXP(-C225*E2_tabla_vida!$X$184)*E2_tabla_vida!$P$184,EXP(-C225*E2_tabla_vida!$X$185)*E2_tabla_vida!$P$185,EXP(-C225*E2_tabla_vida!$X$186)*E2_tabla_vida!$P$186,EXP(-C225*E2_tabla_vida!$X$187)*E2_tabla_vida!$P$187,EXP(-C225*E2_tabla_vida!$X$188)*E2_tabla_vida!$P$188,EXP(-C225*E2_tabla_vida!$X$189)*E2_tabla_vida!$P$189,EXP(-C225*E2_tabla_vida!$X$190)*E2_tabla_vida!$P$190,EXP(-C225*E2_tabla_vida!$X$191)*E2_tabla_vida!$P$191,EXP(-C225*E2_tabla_vida!$X$192)*E2_tabla_vida!$P$192,EXP(-C225*E2_tabla_vida!$X$193)*E2_tabla_vida!$P$193,EXP(-C225*E2_tabla_vida!$X$194)*E2_tabla_vida!$P$194,EXP(-C225*E2_tabla_vida!$X$195)*E2_tabla_vida!$P$195,EXP(-C225*E2_tabla_vida!$X$196)*E2_tabla_vida!$P$196,EXP(-C225*E2_tabla_vida!$X$197)*E2_tabla_vida!$P$197,EXP(-C225*E2_tabla_vida!$X$198)*E2_tabla_vida!$P$198,EXP(-C225*E2_tabla_vida!$X$199)*E2_tabla_vida!$P$199,EXP(-C225*E2_tabla_vida!$X$200)*E2_tabla_vida!$P$200,EXP(-C225*E2_tabla_vida!$X$201)*E2_tabla_vida!$P$201,EXP(-C225*E2_tabla_vida!$X$202)*E2_tabla_vida!$P$202,EXP(-C225*E2_tabla_vida!$X$203)*E2_tabla_vida!$P$203,EXP(-C225*E2_tabla_vida!$X$204)*E2_tabla_vida!$P$204,EXP(-C225*E2_tabla_vida!$X$205)*E2_tabla_vida!$P$205,EXP(-C225*E2_tabla_vida!$X$206)*E2_tabla_vida!$P$206,EXP(-C225*E2_tabla_vida!$X$207)*E2_tabla_vida!$P$207,EXP(-C225*E2_tabla_vida!$X$208)*E2_tabla_vida!$P$208,EXP(-C225*E2_tabla_vida!$X$209)*E2_tabla_vida!$P$209,EXP(-C225*E2_tabla_vida!$X$210)*E2_tabla_vida!$P$210,EXP(-C225*E2_tabla_vida!$X$211)*E2_tabla_vida!$P$211)-1</x:f>
        <x:v>4.161182509676564e-11</x:v>
      </x:c>
      <x:c r="H225" s="24" t="n">
        <x:f>SUM(EXP(-D225*E2_tabla_vida!$X$170)*E2_tabla_vida!$P$170,EXP(-D225*E2_tabla_vida!$X$171)*E2_tabla_vida!$P$171,EXP(-D225*E2_tabla_vida!$X$172)*E2_tabla_vida!$P$172,EXP(-D225*E2_tabla_vida!$X$173)*E2_tabla_vida!$P$173,EXP(-D225*E2_tabla_vida!$X$174)*E2_tabla_vida!$P$174,EXP(-D225*E2_tabla_vida!$X$175)*E2_tabla_vida!$P$175,EXP(-D225*E2_tabla_vida!$X$176)*E2_tabla_vida!$P$176,EXP(-D225*E2_tabla_vida!$X$177)*E2_tabla_vida!$P$177,EXP(-D225*E2_tabla_vida!$X$178)*E2_tabla_vida!$P$178,EXP(-D225*E2_tabla_vida!$X$179)*E2_tabla_vida!$P$179,EXP(-D225*E2_tabla_vida!$X$180)*E2_tabla_vida!$P$180,EXP(-D225*E2_tabla_vida!$X$181)*E2_tabla_vida!$P$181,EXP(-D225*E2_tabla_vida!$X$182)*E2_tabla_vida!$P$182,EXP(-D225*E2_tabla_vida!$X$183)*E2_tabla_vida!$P$183,EXP(-D225*E2_tabla_vida!$X$184)*E2_tabla_vida!$P$184,EXP(-D225*E2_tabla_vida!$X$185)*E2_tabla_vida!$P$185,EXP(-D225*E2_tabla_vida!$X$186)*E2_tabla_vida!$P$186,EXP(-D225*E2_tabla_vida!$X$187)*E2_tabla_vida!$P$187,EXP(-D225*E2_tabla_vida!$X$188)*E2_tabla_vida!$P$188,EXP(-D225*E2_tabla_vida!$X$189)*E2_tabla_vida!$P$189,EXP(-D225*E2_tabla_vida!$X$190)*E2_tabla_vida!$P$190,EXP(-D225*E2_tabla_vida!$X$191)*E2_tabla_vida!$P$191,EXP(-D225*E2_tabla_vida!$X$192)*E2_tabla_vida!$P$192,EXP(-D225*E2_tabla_vida!$X$193)*E2_tabla_vida!$P$193,EXP(-D225*E2_tabla_vida!$X$194)*E2_tabla_vida!$P$194,EXP(-D225*E2_tabla_vida!$X$195)*E2_tabla_vida!$P$195,EXP(-D225*E2_tabla_vida!$X$196)*E2_tabla_vida!$P$196,EXP(-D225*E2_tabla_vida!$X$197)*E2_tabla_vida!$P$197,EXP(-D225*E2_tabla_vida!$X$198)*E2_tabla_vida!$P$198,EXP(-D225*E2_tabla_vida!$X$199)*E2_tabla_vida!$P$199,EXP(-D225*E2_tabla_vida!$X$200)*E2_tabla_vida!$P$200,EXP(-D225*E2_tabla_vida!$X$201)*E2_tabla_vida!$P$201,EXP(-D225*E2_tabla_vida!$X$202)*E2_tabla_vida!$P$202,EXP(-D225*E2_tabla_vida!$X$203)*E2_tabla_vida!$P$203,EXP(-D225*E2_tabla_vida!$X$204)*E2_tabla_vida!$P$204,EXP(-D225*E2_tabla_vida!$X$205)*E2_tabla_vida!$P$205,EXP(-D225*E2_tabla_vida!$X$206)*E2_tabla_vida!$P$206,EXP(-D225*E2_tabla_vida!$X$207)*E2_tabla_vida!$P$207,EXP(-D225*E2_tabla_vida!$X$208)*E2_tabla_vida!$P$208,EXP(-D225*E2_tabla_vida!$X$209)*E2_tabla_vida!$P$209,EXP(-D225*E2_tabla_vida!$X$210)*E2_tabla_vida!$P$210,EXP(-D225*E2_tabla_vida!$X$211)*E2_tabla_vida!$P$211)-1</x:f>
        <x:v>-3.958033900630653e-11</x:v>
      </x:c>
    </x:row>
    <x:row r="226" ht="19" customHeight="1">
      <x:c r="A226" s="2" t="str">
        <x:v>BB_L8</x:v>
      </x:c>
      <x:c r="B226" s="2" t="n">
        <x:v>40</x:v>
      </x:c>
      <x:c r="C226" s="22" t="n">
        <x:f>IF(F225&gt;0,E225,C225)</x:f>
        <x:v>0.19572132621124183</x:v>
      </x:c>
      <x:c r="D226" s="22" t="n">
        <x:f>IF(F225&gt;0,D225,E225)</x:f>
        <x:v>0.19572132621397031</x:v>
      </x:c>
      <x:c r="E226" s="22" t="n">
        <x:f>AVERAGE(C226:D226)</x:f>
        <x:v>0.19572132621260607</x:v>
      </x:c>
      <x:c r="F226" s="24" t="n">
        <x:f>SUM(EXP(-E226*E2_tabla_vida!$X$170)*E2_tabla_vida!$P$170,EXP(-E226*E2_tabla_vida!$X$171)*E2_tabla_vida!$P$171,EXP(-E226*E2_tabla_vida!$X$172)*E2_tabla_vida!$P$172,EXP(-E226*E2_tabla_vida!$X$173)*E2_tabla_vida!$P$173,EXP(-E226*E2_tabla_vida!$X$174)*E2_tabla_vida!$P$174,EXP(-E226*E2_tabla_vida!$X$175)*E2_tabla_vida!$P$175,EXP(-E226*E2_tabla_vida!$X$176)*E2_tabla_vida!$P$176,EXP(-E226*E2_tabla_vida!$X$177)*E2_tabla_vida!$P$177,EXP(-E226*E2_tabla_vida!$X$178)*E2_tabla_vida!$P$178,EXP(-E226*E2_tabla_vida!$X$179)*E2_tabla_vida!$P$179,EXP(-E226*E2_tabla_vida!$X$180)*E2_tabla_vida!$P$180,EXP(-E226*E2_tabla_vida!$X$181)*E2_tabla_vida!$P$181,EXP(-E226*E2_tabla_vida!$X$182)*E2_tabla_vida!$P$182,EXP(-E226*E2_tabla_vida!$X$183)*E2_tabla_vida!$P$183,EXP(-E226*E2_tabla_vida!$X$184)*E2_tabla_vida!$P$184,EXP(-E226*E2_tabla_vida!$X$185)*E2_tabla_vida!$P$185,EXP(-E226*E2_tabla_vida!$X$186)*E2_tabla_vida!$P$186,EXP(-E226*E2_tabla_vida!$X$187)*E2_tabla_vida!$P$187,EXP(-E226*E2_tabla_vida!$X$188)*E2_tabla_vida!$P$188,EXP(-E226*E2_tabla_vida!$X$189)*E2_tabla_vida!$P$189,EXP(-E226*E2_tabla_vida!$X$190)*E2_tabla_vida!$P$190,EXP(-E226*E2_tabla_vida!$X$191)*E2_tabla_vida!$P$191,EXP(-E226*E2_tabla_vida!$X$192)*E2_tabla_vida!$P$192,EXP(-E226*E2_tabla_vida!$X$193)*E2_tabla_vida!$P$193,EXP(-E226*E2_tabla_vida!$X$194)*E2_tabla_vida!$P$194,EXP(-E226*E2_tabla_vida!$X$195)*E2_tabla_vida!$P$195,EXP(-E226*E2_tabla_vida!$X$196)*E2_tabla_vida!$P$196,EXP(-E226*E2_tabla_vida!$X$197)*E2_tabla_vida!$P$197,EXP(-E226*E2_tabla_vida!$X$198)*E2_tabla_vida!$P$198,EXP(-E226*E2_tabla_vida!$X$199)*E2_tabla_vida!$P$199,EXP(-E226*E2_tabla_vida!$X$200)*E2_tabla_vida!$P$200,EXP(-E226*E2_tabla_vida!$X$201)*E2_tabla_vida!$P$201,EXP(-E226*E2_tabla_vida!$X$202)*E2_tabla_vida!$P$202,EXP(-E226*E2_tabla_vida!$X$203)*E2_tabla_vida!$P$203,EXP(-E226*E2_tabla_vida!$X$204)*E2_tabla_vida!$P$204,EXP(-E226*E2_tabla_vida!$X$205)*E2_tabla_vida!$P$205,EXP(-E226*E2_tabla_vida!$X$206)*E2_tabla_vida!$P$206,EXP(-E226*E2_tabla_vida!$X$207)*E2_tabla_vida!$P$207,EXP(-E226*E2_tabla_vida!$X$208)*E2_tabla_vida!$P$208,EXP(-E226*E2_tabla_vida!$X$209)*E2_tabla_vida!$P$209,EXP(-E226*E2_tabla_vida!$X$210)*E2_tabla_vida!$P$210,EXP(-E226*E2_tabla_vida!$X$211)*E2_tabla_vida!$P$211)-1</x:f>
        <x:v>-1.9282131447084794e-11</x:v>
      </x:c>
      <x:c r="G226" s="24" t="n">
        <x:f>SUM(EXP(-C226*E2_tabla_vida!$X$170)*E2_tabla_vida!$P$170,EXP(-C226*E2_tabla_vida!$X$171)*E2_tabla_vida!$P$171,EXP(-C226*E2_tabla_vida!$X$172)*E2_tabla_vida!$P$172,EXP(-C226*E2_tabla_vida!$X$173)*E2_tabla_vida!$P$173,EXP(-C226*E2_tabla_vida!$X$174)*E2_tabla_vida!$P$174,EXP(-C226*E2_tabla_vida!$X$175)*E2_tabla_vida!$P$175,EXP(-C226*E2_tabla_vida!$X$176)*E2_tabla_vida!$P$176,EXP(-C226*E2_tabla_vida!$X$177)*E2_tabla_vida!$P$177,EXP(-C226*E2_tabla_vida!$X$178)*E2_tabla_vida!$P$178,EXP(-C226*E2_tabla_vida!$X$179)*E2_tabla_vida!$P$179,EXP(-C226*E2_tabla_vida!$X$180)*E2_tabla_vida!$P$180,EXP(-C226*E2_tabla_vida!$X$181)*E2_tabla_vida!$P$181,EXP(-C226*E2_tabla_vida!$X$182)*E2_tabla_vida!$P$182,EXP(-C226*E2_tabla_vida!$X$183)*E2_tabla_vida!$P$183,EXP(-C226*E2_tabla_vida!$X$184)*E2_tabla_vida!$P$184,EXP(-C226*E2_tabla_vida!$X$185)*E2_tabla_vida!$P$185,EXP(-C226*E2_tabla_vida!$X$186)*E2_tabla_vida!$P$186,EXP(-C226*E2_tabla_vida!$X$187)*E2_tabla_vida!$P$187,EXP(-C226*E2_tabla_vida!$X$188)*E2_tabla_vida!$P$188,EXP(-C226*E2_tabla_vida!$X$189)*E2_tabla_vida!$P$189,EXP(-C226*E2_tabla_vida!$X$190)*E2_tabla_vida!$P$190,EXP(-C226*E2_tabla_vida!$X$191)*E2_tabla_vida!$P$191,EXP(-C226*E2_tabla_vida!$X$192)*E2_tabla_vida!$P$192,EXP(-C226*E2_tabla_vida!$X$193)*E2_tabla_vida!$P$193,EXP(-C226*E2_tabla_vida!$X$194)*E2_tabla_vida!$P$194,EXP(-C226*E2_tabla_vida!$X$195)*E2_tabla_vida!$P$195,EXP(-C226*E2_tabla_vida!$X$196)*E2_tabla_vida!$P$196,EXP(-C226*E2_tabla_vida!$X$197)*E2_tabla_vida!$P$197,EXP(-C226*E2_tabla_vida!$X$198)*E2_tabla_vida!$P$198,EXP(-C226*E2_tabla_vida!$X$199)*E2_tabla_vida!$P$199,EXP(-C226*E2_tabla_vida!$X$200)*E2_tabla_vida!$P$200,EXP(-C226*E2_tabla_vida!$X$201)*E2_tabla_vida!$P$201,EXP(-C226*E2_tabla_vida!$X$202)*E2_tabla_vida!$P$202,EXP(-C226*E2_tabla_vida!$X$203)*E2_tabla_vida!$P$203,EXP(-C226*E2_tabla_vida!$X$204)*E2_tabla_vida!$P$204,EXP(-C226*E2_tabla_vida!$X$205)*E2_tabla_vida!$P$205,EXP(-C226*E2_tabla_vida!$X$206)*E2_tabla_vida!$P$206,EXP(-C226*E2_tabla_vida!$X$207)*E2_tabla_vida!$P$207,EXP(-C226*E2_tabla_vida!$X$208)*E2_tabla_vida!$P$208,EXP(-C226*E2_tabla_vida!$X$209)*E2_tabla_vida!$P$209,EXP(-C226*E2_tabla_vida!$X$210)*E2_tabla_vida!$P$210,EXP(-C226*E2_tabla_vida!$X$211)*E2_tabla_vida!$P$211)-1</x:f>
        <x:v>1.0158540675320182e-12</x:v>
      </x:c>
      <x:c r="H226" s="24" t="n">
        <x:f>SUM(EXP(-D226*E2_tabla_vida!$X$170)*E2_tabla_vida!$P$170,EXP(-D226*E2_tabla_vida!$X$171)*E2_tabla_vida!$P$171,EXP(-D226*E2_tabla_vida!$X$172)*E2_tabla_vida!$P$172,EXP(-D226*E2_tabla_vida!$X$173)*E2_tabla_vida!$P$173,EXP(-D226*E2_tabla_vida!$X$174)*E2_tabla_vida!$P$174,EXP(-D226*E2_tabla_vida!$X$175)*E2_tabla_vida!$P$175,EXP(-D226*E2_tabla_vida!$X$176)*E2_tabla_vida!$P$176,EXP(-D226*E2_tabla_vida!$X$177)*E2_tabla_vida!$P$177,EXP(-D226*E2_tabla_vida!$X$178)*E2_tabla_vida!$P$178,EXP(-D226*E2_tabla_vida!$X$179)*E2_tabla_vida!$P$179,EXP(-D226*E2_tabla_vida!$X$180)*E2_tabla_vida!$P$180,EXP(-D226*E2_tabla_vida!$X$181)*E2_tabla_vida!$P$181,EXP(-D226*E2_tabla_vida!$X$182)*E2_tabla_vida!$P$182,EXP(-D226*E2_tabla_vida!$X$183)*E2_tabla_vida!$P$183,EXP(-D226*E2_tabla_vida!$X$184)*E2_tabla_vida!$P$184,EXP(-D226*E2_tabla_vida!$X$185)*E2_tabla_vida!$P$185,EXP(-D226*E2_tabla_vida!$X$186)*E2_tabla_vida!$P$186,EXP(-D226*E2_tabla_vida!$X$187)*E2_tabla_vida!$P$187,EXP(-D226*E2_tabla_vida!$X$188)*E2_tabla_vida!$P$188,EXP(-D226*E2_tabla_vida!$X$189)*E2_tabla_vida!$P$189,EXP(-D226*E2_tabla_vida!$X$190)*E2_tabla_vida!$P$190,EXP(-D226*E2_tabla_vida!$X$191)*E2_tabla_vida!$P$191,EXP(-D226*E2_tabla_vida!$X$192)*E2_tabla_vida!$P$192,EXP(-D226*E2_tabla_vida!$X$193)*E2_tabla_vida!$P$193,EXP(-D226*E2_tabla_vida!$X$194)*E2_tabla_vida!$P$194,EXP(-D226*E2_tabla_vida!$X$195)*E2_tabla_vida!$P$195,EXP(-D226*E2_tabla_vida!$X$196)*E2_tabla_vida!$P$196,EXP(-D226*E2_tabla_vida!$X$197)*E2_tabla_vida!$P$197,EXP(-D226*E2_tabla_vida!$X$198)*E2_tabla_vida!$P$198,EXP(-D226*E2_tabla_vida!$X$199)*E2_tabla_vida!$P$199,EXP(-D226*E2_tabla_vida!$X$200)*E2_tabla_vida!$P$200,EXP(-D226*E2_tabla_vida!$X$201)*E2_tabla_vida!$P$201,EXP(-D226*E2_tabla_vida!$X$202)*E2_tabla_vida!$P$202,EXP(-D226*E2_tabla_vida!$X$203)*E2_tabla_vida!$P$203,EXP(-D226*E2_tabla_vida!$X$204)*E2_tabla_vida!$P$204,EXP(-D226*E2_tabla_vida!$X$205)*E2_tabla_vida!$P$205,EXP(-D226*E2_tabla_vida!$X$206)*E2_tabla_vida!$P$206,EXP(-D226*E2_tabla_vida!$X$207)*E2_tabla_vida!$P$207,EXP(-D226*E2_tabla_vida!$X$208)*E2_tabla_vida!$P$208,EXP(-D226*E2_tabla_vida!$X$209)*E2_tabla_vida!$P$209,EXP(-D226*E2_tabla_vida!$X$210)*E2_tabla_vida!$P$210,EXP(-D226*E2_tabla_vida!$X$211)*E2_tabla_vida!$P$211)-1</x:f>
        <x:v>-3.958033900630653e-11</x:v>
      </x:c>
    </x:row>
    <x:row r="227" ht="19" customHeight="1">
      <x:c r="A227" s="2" t="str">
        <x:v>BB_L8</x:v>
      </x:c>
      <x:c r="B227" s="2" t="n">
        <x:v>41</x:v>
      </x:c>
      <x:c r="C227" s="22" t="n">
        <x:f>IF(F226&gt;0,E226,C226)</x:f>
        <x:v>0.19572132621124183</x:v>
      </x:c>
      <x:c r="D227" s="22" t="n">
        <x:f>IF(F226&gt;0,D226,E226)</x:f>
        <x:v>0.19572132621260607</x:v>
      </x:c>
      <x:c r="E227" s="22" t="n">
        <x:f>AVERAGE(C227:D227)</x:f>
        <x:v>0.19572132621192395</x:v>
      </x:c>
      <x:c r="F227" s="24" t="n">
        <x:f>SUM(EXP(-E227*E2_tabla_vida!$X$170)*E2_tabla_vida!$P$170,EXP(-E227*E2_tabla_vida!$X$171)*E2_tabla_vida!$P$171,EXP(-E227*E2_tabla_vida!$X$172)*E2_tabla_vida!$P$172,EXP(-E227*E2_tabla_vida!$X$173)*E2_tabla_vida!$P$173,EXP(-E227*E2_tabla_vida!$X$174)*E2_tabla_vida!$P$174,EXP(-E227*E2_tabla_vida!$X$175)*E2_tabla_vida!$P$175,EXP(-E227*E2_tabla_vida!$X$176)*E2_tabla_vida!$P$176,EXP(-E227*E2_tabla_vida!$X$177)*E2_tabla_vida!$P$177,EXP(-E227*E2_tabla_vida!$X$178)*E2_tabla_vida!$P$178,EXP(-E227*E2_tabla_vida!$X$179)*E2_tabla_vida!$P$179,EXP(-E227*E2_tabla_vida!$X$180)*E2_tabla_vida!$P$180,EXP(-E227*E2_tabla_vida!$X$181)*E2_tabla_vida!$P$181,EXP(-E227*E2_tabla_vida!$X$182)*E2_tabla_vida!$P$182,EXP(-E227*E2_tabla_vida!$X$183)*E2_tabla_vida!$P$183,EXP(-E227*E2_tabla_vida!$X$184)*E2_tabla_vida!$P$184,EXP(-E227*E2_tabla_vida!$X$185)*E2_tabla_vida!$P$185,EXP(-E227*E2_tabla_vida!$X$186)*E2_tabla_vida!$P$186,EXP(-E227*E2_tabla_vida!$X$187)*E2_tabla_vida!$P$187,EXP(-E227*E2_tabla_vida!$X$188)*E2_tabla_vida!$P$188,EXP(-E227*E2_tabla_vida!$X$189)*E2_tabla_vida!$P$189,EXP(-E227*E2_tabla_vida!$X$190)*E2_tabla_vida!$P$190,EXP(-E227*E2_tabla_vida!$X$191)*E2_tabla_vida!$P$191,EXP(-E227*E2_tabla_vida!$X$192)*E2_tabla_vida!$P$192,EXP(-E227*E2_tabla_vida!$X$193)*E2_tabla_vida!$P$193,EXP(-E227*E2_tabla_vida!$X$194)*E2_tabla_vida!$P$194,EXP(-E227*E2_tabla_vida!$X$195)*E2_tabla_vida!$P$195,EXP(-E227*E2_tabla_vida!$X$196)*E2_tabla_vida!$P$196,EXP(-E227*E2_tabla_vida!$X$197)*E2_tabla_vida!$P$197,EXP(-E227*E2_tabla_vida!$X$198)*E2_tabla_vida!$P$198,EXP(-E227*E2_tabla_vida!$X$199)*E2_tabla_vida!$P$199,EXP(-E227*E2_tabla_vida!$X$200)*E2_tabla_vida!$P$200,EXP(-E227*E2_tabla_vida!$X$201)*E2_tabla_vida!$P$201,EXP(-E227*E2_tabla_vida!$X$202)*E2_tabla_vida!$P$202,EXP(-E227*E2_tabla_vida!$X$203)*E2_tabla_vida!$P$203,EXP(-E227*E2_tabla_vida!$X$204)*E2_tabla_vida!$P$204,EXP(-E227*E2_tabla_vida!$X$205)*E2_tabla_vida!$P$205,EXP(-E227*E2_tabla_vida!$X$206)*E2_tabla_vida!$P$206,EXP(-E227*E2_tabla_vida!$X$207)*E2_tabla_vida!$P$207,EXP(-E227*E2_tabla_vida!$X$208)*E2_tabla_vida!$P$208,EXP(-E227*E2_tabla_vida!$X$209)*E2_tabla_vida!$P$209,EXP(-E227*E2_tabla_vida!$X$210)*E2_tabla_vida!$P$210,EXP(-E227*E2_tabla_vida!$X$211)*E2_tabla_vida!$P$211)-1</x:f>
        <x:v>-9.133027667473925e-12</x:v>
      </x:c>
      <x:c r="G227" s="24" t="n">
        <x:f>SUM(EXP(-C227*E2_tabla_vida!$X$170)*E2_tabla_vida!$P$170,EXP(-C227*E2_tabla_vida!$X$171)*E2_tabla_vida!$P$171,EXP(-C227*E2_tabla_vida!$X$172)*E2_tabla_vida!$P$172,EXP(-C227*E2_tabla_vida!$X$173)*E2_tabla_vida!$P$173,EXP(-C227*E2_tabla_vida!$X$174)*E2_tabla_vida!$P$174,EXP(-C227*E2_tabla_vida!$X$175)*E2_tabla_vida!$P$175,EXP(-C227*E2_tabla_vida!$X$176)*E2_tabla_vida!$P$176,EXP(-C227*E2_tabla_vida!$X$177)*E2_tabla_vida!$P$177,EXP(-C227*E2_tabla_vida!$X$178)*E2_tabla_vida!$P$178,EXP(-C227*E2_tabla_vida!$X$179)*E2_tabla_vida!$P$179,EXP(-C227*E2_tabla_vida!$X$180)*E2_tabla_vida!$P$180,EXP(-C227*E2_tabla_vida!$X$181)*E2_tabla_vida!$P$181,EXP(-C227*E2_tabla_vida!$X$182)*E2_tabla_vida!$P$182,EXP(-C227*E2_tabla_vida!$X$183)*E2_tabla_vida!$P$183,EXP(-C227*E2_tabla_vida!$X$184)*E2_tabla_vida!$P$184,EXP(-C227*E2_tabla_vida!$X$185)*E2_tabla_vida!$P$185,EXP(-C227*E2_tabla_vida!$X$186)*E2_tabla_vida!$P$186,EXP(-C227*E2_tabla_vida!$X$187)*E2_tabla_vida!$P$187,EXP(-C227*E2_tabla_vida!$X$188)*E2_tabla_vida!$P$188,EXP(-C227*E2_tabla_vida!$X$189)*E2_tabla_vida!$P$189,EXP(-C227*E2_tabla_vida!$X$190)*E2_tabla_vida!$P$190,EXP(-C227*E2_tabla_vida!$X$191)*E2_tabla_vida!$P$191,EXP(-C227*E2_tabla_vida!$X$192)*E2_tabla_vida!$P$192,EXP(-C227*E2_tabla_vida!$X$193)*E2_tabla_vida!$P$193,EXP(-C227*E2_tabla_vida!$X$194)*E2_tabla_vida!$P$194,EXP(-C227*E2_tabla_vida!$X$195)*E2_tabla_vida!$P$195,EXP(-C227*E2_tabla_vida!$X$196)*E2_tabla_vida!$P$196,EXP(-C227*E2_tabla_vida!$X$197)*E2_tabla_vida!$P$197,EXP(-C227*E2_tabla_vida!$X$198)*E2_tabla_vida!$P$198,EXP(-C227*E2_tabla_vida!$X$199)*E2_tabla_vida!$P$199,EXP(-C227*E2_tabla_vida!$X$200)*E2_tabla_vida!$P$200,EXP(-C227*E2_tabla_vida!$X$201)*E2_tabla_vida!$P$201,EXP(-C227*E2_tabla_vida!$X$202)*E2_tabla_vida!$P$202,EXP(-C227*E2_tabla_vida!$X$203)*E2_tabla_vida!$P$203,EXP(-C227*E2_tabla_vida!$X$204)*E2_tabla_vida!$P$204,EXP(-C227*E2_tabla_vida!$X$205)*E2_tabla_vida!$P$205,EXP(-C227*E2_tabla_vida!$X$206)*E2_tabla_vida!$P$206,EXP(-C227*E2_tabla_vida!$X$207)*E2_tabla_vida!$P$207,EXP(-C227*E2_tabla_vida!$X$208)*E2_tabla_vida!$P$208,EXP(-C227*E2_tabla_vida!$X$209)*E2_tabla_vida!$P$209,EXP(-C227*E2_tabla_vida!$X$210)*E2_tabla_vida!$P$210,EXP(-C227*E2_tabla_vida!$X$211)*E2_tabla_vida!$P$211)-1</x:f>
        <x:v>1.0158540675320182e-12</x:v>
      </x:c>
      <x:c r="H227" s="24" t="n">
        <x:f>SUM(EXP(-D227*E2_tabla_vida!$X$170)*E2_tabla_vida!$P$170,EXP(-D227*E2_tabla_vida!$X$171)*E2_tabla_vida!$P$171,EXP(-D227*E2_tabla_vida!$X$172)*E2_tabla_vida!$P$172,EXP(-D227*E2_tabla_vida!$X$173)*E2_tabla_vida!$P$173,EXP(-D227*E2_tabla_vida!$X$174)*E2_tabla_vida!$P$174,EXP(-D227*E2_tabla_vida!$X$175)*E2_tabla_vida!$P$175,EXP(-D227*E2_tabla_vida!$X$176)*E2_tabla_vida!$P$176,EXP(-D227*E2_tabla_vida!$X$177)*E2_tabla_vida!$P$177,EXP(-D227*E2_tabla_vida!$X$178)*E2_tabla_vida!$P$178,EXP(-D227*E2_tabla_vida!$X$179)*E2_tabla_vida!$P$179,EXP(-D227*E2_tabla_vida!$X$180)*E2_tabla_vida!$P$180,EXP(-D227*E2_tabla_vida!$X$181)*E2_tabla_vida!$P$181,EXP(-D227*E2_tabla_vida!$X$182)*E2_tabla_vida!$P$182,EXP(-D227*E2_tabla_vida!$X$183)*E2_tabla_vida!$P$183,EXP(-D227*E2_tabla_vida!$X$184)*E2_tabla_vida!$P$184,EXP(-D227*E2_tabla_vida!$X$185)*E2_tabla_vida!$P$185,EXP(-D227*E2_tabla_vida!$X$186)*E2_tabla_vida!$P$186,EXP(-D227*E2_tabla_vida!$X$187)*E2_tabla_vida!$P$187,EXP(-D227*E2_tabla_vida!$X$188)*E2_tabla_vida!$P$188,EXP(-D227*E2_tabla_vida!$X$189)*E2_tabla_vida!$P$189,EXP(-D227*E2_tabla_vida!$X$190)*E2_tabla_vida!$P$190,EXP(-D227*E2_tabla_vida!$X$191)*E2_tabla_vida!$P$191,EXP(-D227*E2_tabla_vida!$X$192)*E2_tabla_vida!$P$192,EXP(-D227*E2_tabla_vida!$X$193)*E2_tabla_vida!$P$193,EXP(-D227*E2_tabla_vida!$X$194)*E2_tabla_vida!$P$194,EXP(-D227*E2_tabla_vida!$X$195)*E2_tabla_vida!$P$195,EXP(-D227*E2_tabla_vida!$X$196)*E2_tabla_vida!$P$196,EXP(-D227*E2_tabla_vida!$X$197)*E2_tabla_vida!$P$197,EXP(-D227*E2_tabla_vida!$X$198)*E2_tabla_vida!$P$198,EXP(-D227*E2_tabla_vida!$X$199)*E2_tabla_vida!$P$199,EXP(-D227*E2_tabla_vida!$X$200)*E2_tabla_vida!$P$200,EXP(-D227*E2_tabla_vida!$X$201)*E2_tabla_vida!$P$201,EXP(-D227*E2_tabla_vida!$X$202)*E2_tabla_vida!$P$202,EXP(-D227*E2_tabla_vida!$X$203)*E2_tabla_vida!$P$203,EXP(-D227*E2_tabla_vida!$X$204)*E2_tabla_vida!$P$204,EXP(-D227*E2_tabla_vida!$X$205)*E2_tabla_vida!$P$205,EXP(-D227*E2_tabla_vida!$X$206)*E2_tabla_vida!$P$206,EXP(-D227*E2_tabla_vida!$X$207)*E2_tabla_vida!$P$207,EXP(-D227*E2_tabla_vida!$X$208)*E2_tabla_vida!$P$208,EXP(-D227*E2_tabla_vida!$X$209)*E2_tabla_vida!$P$209,EXP(-D227*E2_tabla_vida!$X$210)*E2_tabla_vida!$P$210,EXP(-D227*E2_tabla_vida!$X$211)*E2_tabla_vida!$P$211)-1</x:f>
        <x:v>-1.9282131447084794e-11</x:v>
      </x:c>
    </x:row>
    <x:row r="228" ht="19" customHeight="1">
      <x:c r="A228" s="2" t="str">
        <x:v>BB_L8</x:v>
      </x:c>
      <x:c r="B228" s="2" t="n">
        <x:v>42</x:v>
      </x:c>
      <x:c r="C228" s="22" t="n">
        <x:f>IF(F227&gt;0,E227,C227)</x:f>
        <x:v>0.19572132621124183</x:v>
      </x:c>
      <x:c r="D228" s="22" t="n">
        <x:f>IF(F227&gt;0,D227,E227)</x:f>
        <x:v>0.19572132621192395</x:v>
      </x:c>
      <x:c r="E228" s="22" t="n">
        <x:f>AVERAGE(C228:D228)</x:f>
        <x:v>0.1957213262115829</x:v>
      </x:c>
      <x:c r="F228" s="24" t="n">
        <x:f>SUM(EXP(-E228*E2_tabla_vida!$X$170)*E2_tabla_vida!$P$170,EXP(-E228*E2_tabla_vida!$X$171)*E2_tabla_vida!$P$171,EXP(-E228*E2_tabla_vida!$X$172)*E2_tabla_vida!$P$172,EXP(-E228*E2_tabla_vida!$X$173)*E2_tabla_vida!$P$173,EXP(-E228*E2_tabla_vida!$X$174)*E2_tabla_vida!$P$174,EXP(-E228*E2_tabla_vida!$X$175)*E2_tabla_vida!$P$175,EXP(-E228*E2_tabla_vida!$X$176)*E2_tabla_vida!$P$176,EXP(-E228*E2_tabla_vida!$X$177)*E2_tabla_vida!$P$177,EXP(-E228*E2_tabla_vida!$X$178)*E2_tabla_vida!$P$178,EXP(-E228*E2_tabla_vida!$X$179)*E2_tabla_vida!$P$179,EXP(-E228*E2_tabla_vida!$X$180)*E2_tabla_vida!$P$180,EXP(-E228*E2_tabla_vida!$X$181)*E2_tabla_vida!$P$181,EXP(-E228*E2_tabla_vida!$X$182)*E2_tabla_vida!$P$182,EXP(-E228*E2_tabla_vida!$X$183)*E2_tabla_vida!$P$183,EXP(-E228*E2_tabla_vida!$X$184)*E2_tabla_vida!$P$184,EXP(-E228*E2_tabla_vida!$X$185)*E2_tabla_vida!$P$185,EXP(-E228*E2_tabla_vida!$X$186)*E2_tabla_vida!$P$186,EXP(-E228*E2_tabla_vida!$X$187)*E2_tabla_vida!$P$187,EXP(-E228*E2_tabla_vida!$X$188)*E2_tabla_vida!$P$188,EXP(-E228*E2_tabla_vida!$X$189)*E2_tabla_vida!$P$189,EXP(-E228*E2_tabla_vida!$X$190)*E2_tabla_vida!$P$190,EXP(-E228*E2_tabla_vida!$X$191)*E2_tabla_vida!$P$191,EXP(-E228*E2_tabla_vida!$X$192)*E2_tabla_vida!$P$192,EXP(-E228*E2_tabla_vida!$X$193)*E2_tabla_vida!$P$193,EXP(-E228*E2_tabla_vida!$X$194)*E2_tabla_vida!$P$194,EXP(-E228*E2_tabla_vida!$X$195)*E2_tabla_vida!$P$195,EXP(-E228*E2_tabla_vida!$X$196)*E2_tabla_vida!$P$196,EXP(-E228*E2_tabla_vida!$X$197)*E2_tabla_vida!$P$197,EXP(-E228*E2_tabla_vida!$X$198)*E2_tabla_vida!$P$198,EXP(-E228*E2_tabla_vida!$X$199)*E2_tabla_vida!$P$199,EXP(-E228*E2_tabla_vida!$X$200)*E2_tabla_vida!$P$200,EXP(-E228*E2_tabla_vida!$X$201)*E2_tabla_vida!$P$201,EXP(-E228*E2_tabla_vida!$X$202)*E2_tabla_vida!$P$202,EXP(-E228*E2_tabla_vida!$X$203)*E2_tabla_vida!$P$203,EXP(-E228*E2_tabla_vida!$X$204)*E2_tabla_vida!$P$204,EXP(-E228*E2_tabla_vida!$X$205)*E2_tabla_vida!$P$205,EXP(-E228*E2_tabla_vida!$X$206)*E2_tabla_vida!$P$206,EXP(-E228*E2_tabla_vida!$X$207)*E2_tabla_vida!$P$207,EXP(-E228*E2_tabla_vida!$X$208)*E2_tabla_vida!$P$208,EXP(-E228*E2_tabla_vida!$X$209)*E2_tabla_vida!$P$209,EXP(-E228*E2_tabla_vida!$X$210)*E2_tabla_vida!$P$210,EXP(-E228*E2_tabla_vida!$X$211)*E2_tabla_vida!$P$211)-1</x:f>
        <x:v>-4.059086400332035e-12</x:v>
      </x:c>
      <x:c r="G228" s="24" t="n">
        <x:f>SUM(EXP(-C228*E2_tabla_vida!$X$170)*E2_tabla_vida!$P$170,EXP(-C228*E2_tabla_vida!$X$171)*E2_tabla_vida!$P$171,EXP(-C228*E2_tabla_vida!$X$172)*E2_tabla_vida!$P$172,EXP(-C228*E2_tabla_vida!$X$173)*E2_tabla_vida!$P$173,EXP(-C228*E2_tabla_vida!$X$174)*E2_tabla_vida!$P$174,EXP(-C228*E2_tabla_vida!$X$175)*E2_tabla_vida!$P$175,EXP(-C228*E2_tabla_vida!$X$176)*E2_tabla_vida!$P$176,EXP(-C228*E2_tabla_vida!$X$177)*E2_tabla_vida!$P$177,EXP(-C228*E2_tabla_vida!$X$178)*E2_tabla_vida!$P$178,EXP(-C228*E2_tabla_vida!$X$179)*E2_tabla_vida!$P$179,EXP(-C228*E2_tabla_vida!$X$180)*E2_tabla_vida!$P$180,EXP(-C228*E2_tabla_vida!$X$181)*E2_tabla_vida!$P$181,EXP(-C228*E2_tabla_vida!$X$182)*E2_tabla_vida!$P$182,EXP(-C228*E2_tabla_vida!$X$183)*E2_tabla_vida!$P$183,EXP(-C228*E2_tabla_vida!$X$184)*E2_tabla_vida!$P$184,EXP(-C228*E2_tabla_vida!$X$185)*E2_tabla_vida!$P$185,EXP(-C228*E2_tabla_vida!$X$186)*E2_tabla_vida!$P$186,EXP(-C228*E2_tabla_vida!$X$187)*E2_tabla_vida!$P$187,EXP(-C228*E2_tabla_vida!$X$188)*E2_tabla_vida!$P$188,EXP(-C228*E2_tabla_vida!$X$189)*E2_tabla_vida!$P$189,EXP(-C228*E2_tabla_vida!$X$190)*E2_tabla_vida!$P$190,EXP(-C228*E2_tabla_vida!$X$191)*E2_tabla_vida!$P$191,EXP(-C228*E2_tabla_vida!$X$192)*E2_tabla_vida!$P$192,EXP(-C228*E2_tabla_vida!$X$193)*E2_tabla_vida!$P$193,EXP(-C228*E2_tabla_vida!$X$194)*E2_tabla_vida!$P$194,EXP(-C228*E2_tabla_vida!$X$195)*E2_tabla_vida!$P$195,EXP(-C228*E2_tabla_vida!$X$196)*E2_tabla_vida!$P$196,EXP(-C228*E2_tabla_vida!$X$197)*E2_tabla_vida!$P$197,EXP(-C228*E2_tabla_vida!$X$198)*E2_tabla_vida!$P$198,EXP(-C228*E2_tabla_vida!$X$199)*E2_tabla_vida!$P$199,EXP(-C228*E2_tabla_vida!$X$200)*E2_tabla_vida!$P$200,EXP(-C228*E2_tabla_vida!$X$201)*E2_tabla_vida!$P$201,EXP(-C228*E2_tabla_vida!$X$202)*E2_tabla_vida!$P$202,EXP(-C228*E2_tabla_vida!$X$203)*E2_tabla_vida!$P$203,EXP(-C228*E2_tabla_vida!$X$204)*E2_tabla_vida!$P$204,EXP(-C228*E2_tabla_vida!$X$205)*E2_tabla_vida!$P$205,EXP(-C228*E2_tabla_vida!$X$206)*E2_tabla_vida!$P$206,EXP(-C228*E2_tabla_vida!$X$207)*E2_tabla_vida!$P$207,EXP(-C228*E2_tabla_vida!$X$208)*E2_tabla_vida!$P$208,EXP(-C228*E2_tabla_vida!$X$209)*E2_tabla_vida!$P$209,EXP(-C228*E2_tabla_vida!$X$210)*E2_tabla_vida!$P$210,EXP(-C228*E2_tabla_vida!$X$211)*E2_tabla_vida!$P$211)-1</x:f>
        <x:v>1.0158540675320182e-12</x:v>
      </x:c>
      <x:c r="H228" s="24" t="n">
        <x:f>SUM(EXP(-D228*E2_tabla_vida!$X$170)*E2_tabla_vida!$P$170,EXP(-D228*E2_tabla_vida!$X$171)*E2_tabla_vida!$P$171,EXP(-D228*E2_tabla_vida!$X$172)*E2_tabla_vida!$P$172,EXP(-D228*E2_tabla_vida!$X$173)*E2_tabla_vida!$P$173,EXP(-D228*E2_tabla_vida!$X$174)*E2_tabla_vida!$P$174,EXP(-D228*E2_tabla_vida!$X$175)*E2_tabla_vida!$P$175,EXP(-D228*E2_tabla_vida!$X$176)*E2_tabla_vida!$P$176,EXP(-D228*E2_tabla_vida!$X$177)*E2_tabla_vida!$P$177,EXP(-D228*E2_tabla_vida!$X$178)*E2_tabla_vida!$P$178,EXP(-D228*E2_tabla_vida!$X$179)*E2_tabla_vida!$P$179,EXP(-D228*E2_tabla_vida!$X$180)*E2_tabla_vida!$P$180,EXP(-D228*E2_tabla_vida!$X$181)*E2_tabla_vida!$P$181,EXP(-D228*E2_tabla_vida!$X$182)*E2_tabla_vida!$P$182,EXP(-D228*E2_tabla_vida!$X$183)*E2_tabla_vida!$P$183,EXP(-D228*E2_tabla_vida!$X$184)*E2_tabla_vida!$P$184,EXP(-D228*E2_tabla_vida!$X$185)*E2_tabla_vida!$P$185,EXP(-D228*E2_tabla_vida!$X$186)*E2_tabla_vida!$P$186,EXP(-D228*E2_tabla_vida!$X$187)*E2_tabla_vida!$P$187,EXP(-D228*E2_tabla_vida!$X$188)*E2_tabla_vida!$P$188,EXP(-D228*E2_tabla_vida!$X$189)*E2_tabla_vida!$P$189,EXP(-D228*E2_tabla_vida!$X$190)*E2_tabla_vida!$P$190,EXP(-D228*E2_tabla_vida!$X$191)*E2_tabla_vida!$P$191,EXP(-D228*E2_tabla_vida!$X$192)*E2_tabla_vida!$P$192,EXP(-D228*E2_tabla_vida!$X$193)*E2_tabla_vida!$P$193,EXP(-D228*E2_tabla_vida!$X$194)*E2_tabla_vida!$P$194,EXP(-D228*E2_tabla_vida!$X$195)*E2_tabla_vida!$P$195,EXP(-D228*E2_tabla_vida!$X$196)*E2_tabla_vida!$P$196,EXP(-D228*E2_tabla_vida!$X$197)*E2_tabla_vida!$P$197,EXP(-D228*E2_tabla_vida!$X$198)*E2_tabla_vida!$P$198,EXP(-D228*E2_tabla_vida!$X$199)*E2_tabla_vida!$P$199,EXP(-D228*E2_tabla_vida!$X$200)*E2_tabla_vida!$P$200,EXP(-D228*E2_tabla_vida!$X$201)*E2_tabla_vida!$P$201,EXP(-D228*E2_tabla_vida!$X$202)*E2_tabla_vida!$P$202,EXP(-D228*E2_tabla_vida!$X$203)*E2_tabla_vida!$P$203,EXP(-D228*E2_tabla_vida!$X$204)*E2_tabla_vida!$P$204,EXP(-D228*E2_tabla_vida!$X$205)*E2_tabla_vida!$P$205,EXP(-D228*E2_tabla_vida!$X$206)*E2_tabla_vida!$P$206,EXP(-D228*E2_tabla_vida!$X$207)*E2_tabla_vida!$P$207,EXP(-D228*E2_tabla_vida!$X$208)*E2_tabla_vida!$P$208,EXP(-D228*E2_tabla_vida!$X$209)*E2_tabla_vida!$P$209,EXP(-D228*E2_tabla_vida!$X$210)*E2_tabla_vida!$P$210,EXP(-D228*E2_tabla_vida!$X$211)*E2_tabla_vida!$P$211)-1</x:f>
        <x:v>-9.133027667473925e-12</x:v>
      </x:c>
    </x:row>
    <x:row r="229" ht="19" customHeight="1">
      <x:c r="A229" s="2" t="str">
        <x:v>BB_L8</x:v>
      </x:c>
      <x:c r="B229" s="2" t="n">
        <x:v>43</x:v>
      </x:c>
      <x:c r="C229" s="22" t="n">
        <x:f>IF(F228&gt;0,E228,C228)</x:f>
        <x:v>0.19572132621124183</x:v>
      </x:c>
      <x:c r="D229" s="22" t="n">
        <x:f>IF(F228&gt;0,D228,E228)</x:f>
        <x:v>0.1957213262115829</x:v>
      </x:c>
      <x:c r="E229" s="22" t="n">
        <x:f>AVERAGE(C229:D229)</x:f>
        <x:v>0.19572132621141236</x:v>
      </x:c>
      <x:c r="F229" s="24" t="n">
        <x:f>SUM(EXP(-E229*E2_tabla_vida!$X$170)*E2_tabla_vida!$P$170,EXP(-E229*E2_tabla_vida!$X$171)*E2_tabla_vida!$P$171,EXP(-E229*E2_tabla_vida!$X$172)*E2_tabla_vida!$P$172,EXP(-E229*E2_tabla_vida!$X$173)*E2_tabla_vida!$P$173,EXP(-E229*E2_tabla_vida!$X$174)*E2_tabla_vida!$P$174,EXP(-E229*E2_tabla_vida!$X$175)*E2_tabla_vida!$P$175,EXP(-E229*E2_tabla_vida!$X$176)*E2_tabla_vida!$P$176,EXP(-E229*E2_tabla_vida!$X$177)*E2_tabla_vida!$P$177,EXP(-E229*E2_tabla_vida!$X$178)*E2_tabla_vida!$P$178,EXP(-E229*E2_tabla_vida!$X$179)*E2_tabla_vida!$P$179,EXP(-E229*E2_tabla_vida!$X$180)*E2_tabla_vida!$P$180,EXP(-E229*E2_tabla_vida!$X$181)*E2_tabla_vida!$P$181,EXP(-E229*E2_tabla_vida!$X$182)*E2_tabla_vida!$P$182,EXP(-E229*E2_tabla_vida!$X$183)*E2_tabla_vida!$P$183,EXP(-E229*E2_tabla_vida!$X$184)*E2_tabla_vida!$P$184,EXP(-E229*E2_tabla_vida!$X$185)*E2_tabla_vida!$P$185,EXP(-E229*E2_tabla_vida!$X$186)*E2_tabla_vida!$P$186,EXP(-E229*E2_tabla_vida!$X$187)*E2_tabla_vida!$P$187,EXP(-E229*E2_tabla_vida!$X$188)*E2_tabla_vida!$P$188,EXP(-E229*E2_tabla_vida!$X$189)*E2_tabla_vida!$P$189,EXP(-E229*E2_tabla_vida!$X$190)*E2_tabla_vida!$P$190,EXP(-E229*E2_tabla_vida!$X$191)*E2_tabla_vida!$P$191,EXP(-E229*E2_tabla_vida!$X$192)*E2_tabla_vida!$P$192,EXP(-E229*E2_tabla_vida!$X$193)*E2_tabla_vida!$P$193,EXP(-E229*E2_tabla_vida!$X$194)*E2_tabla_vida!$P$194,EXP(-E229*E2_tabla_vida!$X$195)*E2_tabla_vida!$P$195,EXP(-E229*E2_tabla_vida!$X$196)*E2_tabla_vida!$P$196,EXP(-E229*E2_tabla_vida!$X$197)*E2_tabla_vida!$P$197,EXP(-E229*E2_tabla_vida!$X$198)*E2_tabla_vida!$P$198,EXP(-E229*E2_tabla_vida!$X$199)*E2_tabla_vida!$P$199,EXP(-E229*E2_tabla_vida!$X$200)*E2_tabla_vida!$P$200,EXP(-E229*E2_tabla_vida!$X$201)*E2_tabla_vida!$P$201,EXP(-E229*E2_tabla_vida!$X$202)*E2_tabla_vida!$P$202,EXP(-E229*E2_tabla_vida!$X$203)*E2_tabla_vida!$P$203,EXP(-E229*E2_tabla_vida!$X$204)*E2_tabla_vida!$P$204,EXP(-E229*E2_tabla_vida!$X$205)*E2_tabla_vida!$P$205,EXP(-E229*E2_tabla_vida!$X$206)*E2_tabla_vida!$P$206,EXP(-E229*E2_tabla_vida!$X$207)*E2_tabla_vida!$P$207,EXP(-E229*E2_tabla_vida!$X$208)*E2_tabla_vida!$P$208,EXP(-E229*E2_tabla_vida!$X$209)*E2_tabla_vida!$P$209,EXP(-E229*E2_tabla_vida!$X$210)*E2_tabla_vida!$P$210,EXP(-E229*E2_tabla_vida!$X$211)*E2_tabla_vida!$P$211)-1</x:f>
        <x:v>-1.521338610643852e-12</x:v>
      </x:c>
      <x:c r="G229" s="24" t="n">
        <x:f>SUM(EXP(-C229*E2_tabla_vida!$X$170)*E2_tabla_vida!$P$170,EXP(-C229*E2_tabla_vida!$X$171)*E2_tabla_vida!$P$171,EXP(-C229*E2_tabla_vida!$X$172)*E2_tabla_vida!$P$172,EXP(-C229*E2_tabla_vida!$X$173)*E2_tabla_vida!$P$173,EXP(-C229*E2_tabla_vida!$X$174)*E2_tabla_vida!$P$174,EXP(-C229*E2_tabla_vida!$X$175)*E2_tabla_vida!$P$175,EXP(-C229*E2_tabla_vida!$X$176)*E2_tabla_vida!$P$176,EXP(-C229*E2_tabla_vida!$X$177)*E2_tabla_vida!$P$177,EXP(-C229*E2_tabla_vida!$X$178)*E2_tabla_vida!$P$178,EXP(-C229*E2_tabla_vida!$X$179)*E2_tabla_vida!$P$179,EXP(-C229*E2_tabla_vida!$X$180)*E2_tabla_vida!$P$180,EXP(-C229*E2_tabla_vida!$X$181)*E2_tabla_vida!$P$181,EXP(-C229*E2_tabla_vida!$X$182)*E2_tabla_vida!$P$182,EXP(-C229*E2_tabla_vida!$X$183)*E2_tabla_vida!$P$183,EXP(-C229*E2_tabla_vida!$X$184)*E2_tabla_vida!$P$184,EXP(-C229*E2_tabla_vida!$X$185)*E2_tabla_vida!$P$185,EXP(-C229*E2_tabla_vida!$X$186)*E2_tabla_vida!$P$186,EXP(-C229*E2_tabla_vida!$X$187)*E2_tabla_vida!$P$187,EXP(-C229*E2_tabla_vida!$X$188)*E2_tabla_vida!$P$188,EXP(-C229*E2_tabla_vida!$X$189)*E2_tabla_vida!$P$189,EXP(-C229*E2_tabla_vida!$X$190)*E2_tabla_vida!$P$190,EXP(-C229*E2_tabla_vida!$X$191)*E2_tabla_vida!$P$191,EXP(-C229*E2_tabla_vida!$X$192)*E2_tabla_vida!$P$192,EXP(-C229*E2_tabla_vida!$X$193)*E2_tabla_vida!$P$193,EXP(-C229*E2_tabla_vida!$X$194)*E2_tabla_vida!$P$194,EXP(-C229*E2_tabla_vida!$X$195)*E2_tabla_vida!$P$195,EXP(-C229*E2_tabla_vida!$X$196)*E2_tabla_vida!$P$196,EXP(-C229*E2_tabla_vida!$X$197)*E2_tabla_vida!$P$197,EXP(-C229*E2_tabla_vida!$X$198)*E2_tabla_vida!$P$198,EXP(-C229*E2_tabla_vida!$X$199)*E2_tabla_vida!$P$199,EXP(-C229*E2_tabla_vida!$X$200)*E2_tabla_vida!$P$200,EXP(-C229*E2_tabla_vida!$X$201)*E2_tabla_vida!$P$201,EXP(-C229*E2_tabla_vida!$X$202)*E2_tabla_vida!$P$202,EXP(-C229*E2_tabla_vida!$X$203)*E2_tabla_vida!$P$203,EXP(-C229*E2_tabla_vida!$X$204)*E2_tabla_vida!$P$204,EXP(-C229*E2_tabla_vida!$X$205)*E2_tabla_vida!$P$205,EXP(-C229*E2_tabla_vida!$X$206)*E2_tabla_vida!$P$206,EXP(-C229*E2_tabla_vida!$X$207)*E2_tabla_vida!$P$207,EXP(-C229*E2_tabla_vida!$X$208)*E2_tabla_vida!$P$208,EXP(-C229*E2_tabla_vida!$X$209)*E2_tabla_vida!$P$209,EXP(-C229*E2_tabla_vida!$X$210)*E2_tabla_vida!$P$210,EXP(-C229*E2_tabla_vida!$X$211)*E2_tabla_vida!$P$211)-1</x:f>
        <x:v>1.0158540675320182e-12</x:v>
      </x:c>
      <x:c r="H229" s="24" t="n">
        <x:f>SUM(EXP(-D229*E2_tabla_vida!$X$170)*E2_tabla_vida!$P$170,EXP(-D229*E2_tabla_vida!$X$171)*E2_tabla_vida!$P$171,EXP(-D229*E2_tabla_vida!$X$172)*E2_tabla_vida!$P$172,EXP(-D229*E2_tabla_vida!$X$173)*E2_tabla_vida!$P$173,EXP(-D229*E2_tabla_vida!$X$174)*E2_tabla_vida!$P$174,EXP(-D229*E2_tabla_vida!$X$175)*E2_tabla_vida!$P$175,EXP(-D229*E2_tabla_vida!$X$176)*E2_tabla_vida!$P$176,EXP(-D229*E2_tabla_vida!$X$177)*E2_tabla_vida!$P$177,EXP(-D229*E2_tabla_vida!$X$178)*E2_tabla_vida!$P$178,EXP(-D229*E2_tabla_vida!$X$179)*E2_tabla_vida!$P$179,EXP(-D229*E2_tabla_vida!$X$180)*E2_tabla_vida!$P$180,EXP(-D229*E2_tabla_vida!$X$181)*E2_tabla_vida!$P$181,EXP(-D229*E2_tabla_vida!$X$182)*E2_tabla_vida!$P$182,EXP(-D229*E2_tabla_vida!$X$183)*E2_tabla_vida!$P$183,EXP(-D229*E2_tabla_vida!$X$184)*E2_tabla_vida!$P$184,EXP(-D229*E2_tabla_vida!$X$185)*E2_tabla_vida!$P$185,EXP(-D229*E2_tabla_vida!$X$186)*E2_tabla_vida!$P$186,EXP(-D229*E2_tabla_vida!$X$187)*E2_tabla_vida!$P$187,EXP(-D229*E2_tabla_vida!$X$188)*E2_tabla_vida!$P$188,EXP(-D229*E2_tabla_vida!$X$189)*E2_tabla_vida!$P$189,EXP(-D229*E2_tabla_vida!$X$190)*E2_tabla_vida!$P$190,EXP(-D229*E2_tabla_vida!$X$191)*E2_tabla_vida!$P$191,EXP(-D229*E2_tabla_vida!$X$192)*E2_tabla_vida!$P$192,EXP(-D229*E2_tabla_vida!$X$193)*E2_tabla_vida!$P$193,EXP(-D229*E2_tabla_vida!$X$194)*E2_tabla_vida!$P$194,EXP(-D229*E2_tabla_vida!$X$195)*E2_tabla_vida!$P$195,EXP(-D229*E2_tabla_vida!$X$196)*E2_tabla_vida!$P$196,EXP(-D229*E2_tabla_vida!$X$197)*E2_tabla_vida!$P$197,EXP(-D229*E2_tabla_vida!$X$198)*E2_tabla_vida!$P$198,EXP(-D229*E2_tabla_vida!$X$199)*E2_tabla_vida!$P$199,EXP(-D229*E2_tabla_vida!$X$200)*E2_tabla_vida!$P$200,EXP(-D229*E2_tabla_vida!$X$201)*E2_tabla_vida!$P$201,EXP(-D229*E2_tabla_vida!$X$202)*E2_tabla_vida!$P$202,EXP(-D229*E2_tabla_vida!$X$203)*E2_tabla_vida!$P$203,EXP(-D229*E2_tabla_vida!$X$204)*E2_tabla_vida!$P$204,EXP(-D229*E2_tabla_vida!$X$205)*E2_tabla_vida!$P$205,EXP(-D229*E2_tabla_vida!$X$206)*E2_tabla_vida!$P$206,EXP(-D229*E2_tabla_vida!$X$207)*E2_tabla_vida!$P$207,EXP(-D229*E2_tabla_vida!$X$208)*E2_tabla_vida!$P$208,EXP(-D229*E2_tabla_vida!$X$209)*E2_tabla_vida!$P$209,EXP(-D229*E2_tabla_vida!$X$210)*E2_tabla_vida!$P$210,EXP(-D229*E2_tabla_vida!$X$211)*E2_tabla_vida!$P$211)-1</x:f>
        <x:v>-4.059086400332035e-12</x:v>
      </x:c>
    </x:row>
    <x:row r="230" ht="19" customHeight="1">
      <x:c r="A230" s="2" t="str">
        <x:v>BB_L8</x:v>
      </x:c>
      <x:c r="B230" s="2" t="n">
        <x:v>44</x:v>
      </x:c>
      <x:c r="C230" s="22" t="n">
        <x:f>IF(F229&gt;0,E229,C229)</x:f>
        <x:v>0.19572132621124183</x:v>
      </x:c>
      <x:c r="D230" s="22" t="n">
        <x:f>IF(F229&gt;0,D229,E229)</x:f>
        <x:v>0.19572132621141236</x:v>
      </x:c>
      <x:c r="E230" s="22" t="n">
        <x:f>AVERAGE(C230:D230)</x:f>
        <x:v>0.1957213262113271</x:v>
      </x:c>
      <x:c r="F230" s="24" t="n">
        <x:f>SUM(EXP(-E230*E2_tabla_vida!$X$170)*E2_tabla_vida!$P$170,EXP(-E230*E2_tabla_vida!$X$171)*E2_tabla_vida!$P$171,EXP(-E230*E2_tabla_vida!$X$172)*E2_tabla_vida!$P$172,EXP(-E230*E2_tabla_vida!$X$173)*E2_tabla_vida!$P$173,EXP(-E230*E2_tabla_vida!$X$174)*E2_tabla_vida!$P$174,EXP(-E230*E2_tabla_vida!$X$175)*E2_tabla_vida!$P$175,EXP(-E230*E2_tabla_vida!$X$176)*E2_tabla_vida!$P$176,EXP(-E230*E2_tabla_vida!$X$177)*E2_tabla_vida!$P$177,EXP(-E230*E2_tabla_vida!$X$178)*E2_tabla_vida!$P$178,EXP(-E230*E2_tabla_vida!$X$179)*E2_tabla_vida!$P$179,EXP(-E230*E2_tabla_vida!$X$180)*E2_tabla_vida!$P$180,EXP(-E230*E2_tabla_vida!$X$181)*E2_tabla_vida!$P$181,EXP(-E230*E2_tabla_vida!$X$182)*E2_tabla_vida!$P$182,EXP(-E230*E2_tabla_vida!$X$183)*E2_tabla_vida!$P$183,EXP(-E230*E2_tabla_vida!$X$184)*E2_tabla_vida!$P$184,EXP(-E230*E2_tabla_vida!$X$185)*E2_tabla_vida!$P$185,EXP(-E230*E2_tabla_vida!$X$186)*E2_tabla_vida!$P$186,EXP(-E230*E2_tabla_vida!$X$187)*E2_tabla_vida!$P$187,EXP(-E230*E2_tabla_vida!$X$188)*E2_tabla_vida!$P$188,EXP(-E230*E2_tabla_vida!$X$189)*E2_tabla_vida!$P$189,EXP(-E230*E2_tabla_vida!$X$190)*E2_tabla_vida!$P$190,EXP(-E230*E2_tabla_vida!$X$191)*E2_tabla_vida!$P$191,EXP(-E230*E2_tabla_vida!$X$192)*E2_tabla_vida!$P$192,EXP(-E230*E2_tabla_vida!$X$193)*E2_tabla_vida!$P$193,EXP(-E230*E2_tabla_vida!$X$194)*E2_tabla_vida!$P$194,EXP(-E230*E2_tabla_vida!$X$195)*E2_tabla_vida!$P$195,EXP(-E230*E2_tabla_vida!$X$196)*E2_tabla_vida!$P$196,EXP(-E230*E2_tabla_vida!$X$197)*E2_tabla_vida!$P$197,EXP(-E230*E2_tabla_vida!$X$198)*E2_tabla_vida!$P$198,EXP(-E230*E2_tabla_vida!$X$199)*E2_tabla_vida!$P$199,EXP(-E230*E2_tabla_vida!$X$200)*E2_tabla_vida!$P$200,EXP(-E230*E2_tabla_vida!$X$201)*E2_tabla_vida!$P$201,EXP(-E230*E2_tabla_vida!$X$202)*E2_tabla_vida!$P$202,EXP(-E230*E2_tabla_vida!$X$203)*E2_tabla_vida!$P$203,EXP(-E230*E2_tabla_vida!$X$204)*E2_tabla_vida!$P$204,EXP(-E230*E2_tabla_vida!$X$205)*E2_tabla_vida!$P$205,EXP(-E230*E2_tabla_vida!$X$206)*E2_tabla_vida!$P$206,EXP(-E230*E2_tabla_vida!$X$207)*E2_tabla_vida!$P$207,EXP(-E230*E2_tabla_vida!$X$208)*E2_tabla_vida!$P$208,EXP(-E230*E2_tabla_vida!$X$209)*E2_tabla_vida!$P$209,EXP(-E230*E2_tabla_vida!$X$210)*E2_tabla_vida!$P$210,EXP(-E230*E2_tabla_vida!$X$211)*E2_tabla_vida!$P$211)-1</x:f>
        <x:v>-2.5290880500961066e-13</x:v>
      </x:c>
      <x:c r="G230" s="24" t="n">
        <x:f>SUM(EXP(-C230*E2_tabla_vida!$X$170)*E2_tabla_vida!$P$170,EXP(-C230*E2_tabla_vida!$X$171)*E2_tabla_vida!$P$171,EXP(-C230*E2_tabla_vida!$X$172)*E2_tabla_vida!$P$172,EXP(-C230*E2_tabla_vida!$X$173)*E2_tabla_vida!$P$173,EXP(-C230*E2_tabla_vida!$X$174)*E2_tabla_vida!$P$174,EXP(-C230*E2_tabla_vida!$X$175)*E2_tabla_vida!$P$175,EXP(-C230*E2_tabla_vida!$X$176)*E2_tabla_vida!$P$176,EXP(-C230*E2_tabla_vida!$X$177)*E2_tabla_vida!$P$177,EXP(-C230*E2_tabla_vida!$X$178)*E2_tabla_vida!$P$178,EXP(-C230*E2_tabla_vida!$X$179)*E2_tabla_vida!$P$179,EXP(-C230*E2_tabla_vida!$X$180)*E2_tabla_vida!$P$180,EXP(-C230*E2_tabla_vida!$X$181)*E2_tabla_vida!$P$181,EXP(-C230*E2_tabla_vida!$X$182)*E2_tabla_vida!$P$182,EXP(-C230*E2_tabla_vida!$X$183)*E2_tabla_vida!$P$183,EXP(-C230*E2_tabla_vida!$X$184)*E2_tabla_vida!$P$184,EXP(-C230*E2_tabla_vida!$X$185)*E2_tabla_vida!$P$185,EXP(-C230*E2_tabla_vida!$X$186)*E2_tabla_vida!$P$186,EXP(-C230*E2_tabla_vida!$X$187)*E2_tabla_vida!$P$187,EXP(-C230*E2_tabla_vida!$X$188)*E2_tabla_vida!$P$188,EXP(-C230*E2_tabla_vida!$X$189)*E2_tabla_vida!$P$189,EXP(-C230*E2_tabla_vida!$X$190)*E2_tabla_vida!$P$190,EXP(-C230*E2_tabla_vida!$X$191)*E2_tabla_vida!$P$191,EXP(-C230*E2_tabla_vida!$X$192)*E2_tabla_vida!$P$192,EXP(-C230*E2_tabla_vida!$X$193)*E2_tabla_vida!$P$193,EXP(-C230*E2_tabla_vida!$X$194)*E2_tabla_vida!$P$194,EXP(-C230*E2_tabla_vida!$X$195)*E2_tabla_vida!$P$195,EXP(-C230*E2_tabla_vida!$X$196)*E2_tabla_vida!$P$196,EXP(-C230*E2_tabla_vida!$X$197)*E2_tabla_vida!$P$197,EXP(-C230*E2_tabla_vida!$X$198)*E2_tabla_vida!$P$198,EXP(-C230*E2_tabla_vida!$X$199)*E2_tabla_vida!$P$199,EXP(-C230*E2_tabla_vida!$X$200)*E2_tabla_vida!$P$200,EXP(-C230*E2_tabla_vida!$X$201)*E2_tabla_vida!$P$201,EXP(-C230*E2_tabla_vida!$X$202)*E2_tabla_vida!$P$202,EXP(-C230*E2_tabla_vida!$X$203)*E2_tabla_vida!$P$203,EXP(-C230*E2_tabla_vida!$X$204)*E2_tabla_vida!$P$204,EXP(-C230*E2_tabla_vida!$X$205)*E2_tabla_vida!$P$205,EXP(-C230*E2_tabla_vida!$X$206)*E2_tabla_vida!$P$206,EXP(-C230*E2_tabla_vida!$X$207)*E2_tabla_vida!$P$207,EXP(-C230*E2_tabla_vida!$X$208)*E2_tabla_vida!$P$208,EXP(-C230*E2_tabla_vida!$X$209)*E2_tabla_vida!$P$209,EXP(-C230*E2_tabla_vida!$X$210)*E2_tabla_vida!$P$210,EXP(-C230*E2_tabla_vida!$X$211)*E2_tabla_vida!$P$211)-1</x:f>
        <x:v>1.0158540675320182e-12</x:v>
      </x:c>
      <x:c r="H230" s="24" t="n">
        <x:f>SUM(EXP(-D230*E2_tabla_vida!$X$170)*E2_tabla_vida!$P$170,EXP(-D230*E2_tabla_vida!$X$171)*E2_tabla_vida!$P$171,EXP(-D230*E2_tabla_vida!$X$172)*E2_tabla_vida!$P$172,EXP(-D230*E2_tabla_vida!$X$173)*E2_tabla_vida!$P$173,EXP(-D230*E2_tabla_vida!$X$174)*E2_tabla_vida!$P$174,EXP(-D230*E2_tabla_vida!$X$175)*E2_tabla_vida!$P$175,EXP(-D230*E2_tabla_vida!$X$176)*E2_tabla_vida!$P$176,EXP(-D230*E2_tabla_vida!$X$177)*E2_tabla_vida!$P$177,EXP(-D230*E2_tabla_vida!$X$178)*E2_tabla_vida!$P$178,EXP(-D230*E2_tabla_vida!$X$179)*E2_tabla_vida!$P$179,EXP(-D230*E2_tabla_vida!$X$180)*E2_tabla_vida!$P$180,EXP(-D230*E2_tabla_vida!$X$181)*E2_tabla_vida!$P$181,EXP(-D230*E2_tabla_vida!$X$182)*E2_tabla_vida!$P$182,EXP(-D230*E2_tabla_vida!$X$183)*E2_tabla_vida!$P$183,EXP(-D230*E2_tabla_vida!$X$184)*E2_tabla_vida!$P$184,EXP(-D230*E2_tabla_vida!$X$185)*E2_tabla_vida!$P$185,EXP(-D230*E2_tabla_vida!$X$186)*E2_tabla_vida!$P$186,EXP(-D230*E2_tabla_vida!$X$187)*E2_tabla_vida!$P$187,EXP(-D230*E2_tabla_vida!$X$188)*E2_tabla_vida!$P$188,EXP(-D230*E2_tabla_vida!$X$189)*E2_tabla_vida!$P$189,EXP(-D230*E2_tabla_vida!$X$190)*E2_tabla_vida!$P$190,EXP(-D230*E2_tabla_vida!$X$191)*E2_tabla_vida!$P$191,EXP(-D230*E2_tabla_vida!$X$192)*E2_tabla_vida!$P$192,EXP(-D230*E2_tabla_vida!$X$193)*E2_tabla_vida!$P$193,EXP(-D230*E2_tabla_vida!$X$194)*E2_tabla_vida!$P$194,EXP(-D230*E2_tabla_vida!$X$195)*E2_tabla_vida!$P$195,EXP(-D230*E2_tabla_vida!$X$196)*E2_tabla_vida!$P$196,EXP(-D230*E2_tabla_vida!$X$197)*E2_tabla_vida!$P$197,EXP(-D230*E2_tabla_vida!$X$198)*E2_tabla_vida!$P$198,EXP(-D230*E2_tabla_vida!$X$199)*E2_tabla_vida!$P$199,EXP(-D230*E2_tabla_vida!$X$200)*E2_tabla_vida!$P$200,EXP(-D230*E2_tabla_vida!$X$201)*E2_tabla_vida!$P$201,EXP(-D230*E2_tabla_vida!$X$202)*E2_tabla_vida!$P$202,EXP(-D230*E2_tabla_vida!$X$203)*E2_tabla_vida!$P$203,EXP(-D230*E2_tabla_vida!$X$204)*E2_tabla_vida!$P$204,EXP(-D230*E2_tabla_vida!$X$205)*E2_tabla_vida!$P$205,EXP(-D230*E2_tabla_vida!$X$206)*E2_tabla_vida!$P$206,EXP(-D230*E2_tabla_vida!$X$207)*E2_tabla_vida!$P$207,EXP(-D230*E2_tabla_vida!$X$208)*E2_tabla_vida!$P$208,EXP(-D230*E2_tabla_vida!$X$209)*E2_tabla_vida!$P$209,EXP(-D230*E2_tabla_vida!$X$210)*E2_tabla_vida!$P$210,EXP(-D230*E2_tabla_vida!$X$211)*E2_tabla_vida!$P$211)-1</x:f>
        <x:v>-1.521338610643852e-12</x:v>
      </x:c>
    </x:row>
    <x:row r="231" ht="19" customHeight="1">
      <x:c r="A231" s="2" t="str">
        <x:v>BB_L8</x:v>
      </x:c>
      <x:c r="B231" s="2" t="n">
        <x:v>45</x:v>
      </x:c>
      <x:c r="C231" s="22" t="n">
        <x:f>IF(F230&gt;0,E230,C230)</x:f>
        <x:v>0.19572132621124183</x:v>
      </x:c>
      <x:c r="D231" s="22" t="n">
        <x:f>IF(F230&gt;0,D230,E230)</x:f>
        <x:v>0.1957213262113271</x:v>
      </x:c>
      <x:c r="E231" s="22" t="n">
        <x:f>AVERAGE(C231:D231)</x:f>
        <x:v>0.19572132621128446</x:v>
      </x:c>
      <x:c r="F231" s="24" t="n">
        <x:f>SUM(EXP(-E231*E2_tabla_vida!$X$170)*E2_tabla_vida!$P$170,EXP(-E231*E2_tabla_vida!$X$171)*E2_tabla_vida!$P$171,EXP(-E231*E2_tabla_vida!$X$172)*E2_tabla_vida!$P$172,EXP(-E231*E2_tabla_vida!$X$173)*E2_tabla_vida!$P$173,EXP(-E231*E2_tabla_vida!$X$174)*E2_tabla_vida!$P$174,EXP(-E231*E2_tabla_vida!$X$175)*E2_tabla_vida!$P$175,EXP(-E231*E2_tabla_vida!$X$176)*E2_tabla_vida!$P$176,EXP(-E231*E2_tabla_vida!$X$177)*E2_tabla_vida!$P$177,EXP(-E231*E2_tabla_vida!$X$178)*E2_tabla_vida!$P$178,EXP(-E231*E2_tabla_vida!$X$179)*E2_tabla_vida!$P$179,EXP(-E231*E2_tabla_vida!$X$180)*E2_tabla_vida!$P$180,EXP(-E231*E2_tabla_vida!$X$181)*E2_tabla_vida!$P$181,EXP(-E231*E2_tabla_vida!$X$182)*E2_tabla_vida!$P$182,EXP(-E231*E2_tabla_vida!$X$183)*E2_tabla_vida!$P$183,EXP(-E231*E2_tabla_vida!$X$184)*E2_tabla_vida!$P$184,EXP(-E231*E2_tabla_vida!$X$185)*E2_tabla_vida!$P$185,EXP(-E231*E2_tabla_vida!$X$186)*E2_tabla_vida!$P$186,EXP(-E231*E2_tabla_vida!$X$187)*E2_tabla_vida!$P$187,EXP(-E231*E2_tabla_vida!$X$188)*E2_tabla_vida!$P$188,EXP(-E231*E2_tabla_vida!$X$189)*E2_tabla_vida!$P$189,EXP(-E231*E2_tabla_vida!$X$190)*E2_tabla_vida!$P$190,EXP(-E231*E2_tabla_vida!$X$191)*E2_tabla_vida!$P$191,EXP(-E231*E2_tabla_vida!$X$192)*E2_tabla_vida!$P$192,EXP(-E231*E2_tabla_vida!$X$193)*E2_tabla_vida!$P$193,EXP(-E231*E2_tabla_vida!$X$194)*E2_tabla_vida!$P$194,EXP(-E231*E2_tabla_vida!$X$195)*E2_tabla_vida!$P$195,EXP(-E231*E2_tabla_vida!$X$196)*E2_tabla_vida!$P$196,EXP(-E231*E2_tabla_vida!$X$197)*E2_tabla_vida!$P$197,EXP(-E231*E2_tabla_vida!$X$198)*E2_tabla_vida!$P$198,EXP(-E231*E2_tabla_vida!$X$199)*E2_tabla_vida!$P$199,EXP(-E231*E2_tabla_vida!$X$200)*E2_tabla_vida!$P$200,EXP(-E231*E2_tabla_vida!$X$201)*E2_tabla_vida!$P$201,EXP(-E231*E2_tabla_vida!$X$202)*E2_tabla_vida!$P$202,EXP(-E231*E2_tabla_vida!$X$203)*E2_tabla_vida!$P$203,EXP(-E231*E2_tabla_vida!$X$204)*E2_tabla_vida!$P$204,EXP(-E231*E2_tabla_vida!$X$205)*E2_tabla_vida!$P$205,EXP(-E231*E2_tabla_vida!$X$206)*E2_tabla_vida!$P$206,EXP(-E231*E2_tabla_vida!$X$207)*E2_tabla_vida!$P$207,EXP(-E231*E2_tabla_vida!$X$208)*E2_tabla_vida!$P$208,EXP(-E231*E2_tabla_vida!$X$209)*E2_tabla_vida!$P$209,EXP(-E231*E2_tabla_vida!$X$210)*E2_tabla_vida!$P$210,EXP(-E231*E2_tabla_vida!$X$211)*E2_tabla_vida!$P$211)-1</x:f>
        <x:v>3.816946758661288e-13</x:v>
      </x:c>
      <x:c r="G231" s="24" t="n">
        <x:f>SUM(EXP(-C231*E2_tabla_vida!$X$170)*E2_tabla_vida!$P$170,EXP(-C231*E2_tabla_vida!$X$171)*E2_tabla_vida!$P$171,EXP(-C231*E2_tabla_vida!$X$172)*E2_tabla_vida!$P$172,EXP(-C231*E2_tabla_vida!$X$173)*E2_tabla_vida!$P$173,EXP(-C231*E2_tabla_vida!$X$174)*E2_tabla_vida!$P$174,EXP(-C231*E2_tabla_vida!$X$175)*E2_tabla_vida!$P$175,EXP(-C231*E2_tabla_vida!$X$176)*E2_tabla_vida!$P$176,EXP(-C231*E2_tabla_vida!$X$177)*E2_tabla_vida!$P$177,EXP(-C231*E2_tabla_vida!$X$178)*E2_tabla_vida!$P$178,EXP(-C231*E2_tabla_vida!$X$179)*E2_tabla_vida!$P$179,EXP(-C231*E2_tabla_vida!$X$180)*E2_tabla_vida!$P$180,EXP(-C231*E2_tabla_vida!$X$181)*E2_tabla_vida!$P$181,EXP(-C231*E2_tabla_vida!$X$182)*E2_tabla_vida!$P$182,EXP(-C231*E2_tabla_vida!$X$183)*E2_tabla_vida!$P$183,EXP(-C231*E2_tabla_vida!$X$184)*E2_tabla_vida!$P$184,EXP(-C231*E2_tabla_vida!$X$185)*E2_tabla_vida!$P$185,EXP(-C231*E2_tabla_vida!$X$186)*E2_tabla_vida!$P$186,EXP(-C231*E2_tabla_vida!$X$187)*E2_tabla_vida!$P$187,EXP(-C231*E2_tabla_vida!$X$188)*E2_tabla_vida!$P$188,EXP(-C231*E2_tabla_vida!$X$189)*E2_tabla_vida!$P$189,EXP(-C231*E2_tabla_vida!$X$190)*E2_tabla_vida!$P$190,EXP(-C231*E2_tabla_vida!$X$191)*E2_tabla_vida!$P$191,EXP(-C231*E2_tabla_vida!$X$192)*E2_tabla_vida!$P$192,EXP(-C231*E2_tabla_vida!$X$193)*E2_tabla_vida!$P$193,EXP(-C231*E2_tabla_vida!$X$194)*E2_tabla_vida!$P$194,EXP(-C231*E2_tabla_vida!$X$195)*E2_tabla_vida!$P$195,EXP(-C231*E2_tabla_vida!$X$196)*E2_tabla_vida!$P$196,EXP(-C231*E2_tabla_vida!$X$197)*E2_tabla_vida!$P$197,EXP(-C231*E2_tabla_vida!$X$198)*E2_tabla_vida!$P$198,EXP(-C231*E2_tabla_vida!$X$199)*E2_tabla_vida!$P$199,EXP(-C231*E2_tabla_vida!$X$200)*E2_tabla_vida!$P$200,EXP(-C231*E2_tabla_vida!$X$201)*E2_tabla_vida!$P$201,EXP(-C231*E2_tabla_vida!$X$202)*E2_tabla_vida!$P$202,EXP(-C231*E2_tabla_vida!$X$203)*E2_tabla_vida!$P$203,EXP(-C231*E2_tabla_vida!$X$204)*E2_tabla_vida!$P$204,EXP(-C231*E2_tabla_vida!$X$205)*E2_tabla_vida!$P$205,EXP(-C231*E2_tabla_vida!$X$206)*E2_tabla_vida!$P$206,EXP(-C231*E2_tabla_vida!$X$207)*E2_tabla_vida!$P$207,EXP(-C231*E2_tabla_vida!$X$208)*E2_tabla_vida!$P$208,EXP(-C231*E2_tabla_vida!$X$209)*E2_tabla_vida!$P$209,EXP(-C231*E2_tabla_vida!$X$210)*E2_tabla_vida!$P$210,EXP(-C231*E2_tabla_vida!$X$211)*E2_tabla_vida!$P$211)-1</x:f>
        <x:v>1.0158540675320182e-12</x:v>
      </x:c>
      <x:c r="H231" s="24" t="n">
        <x:f>SUM(EXP(-D231*E2_tabla_vida!$X$170)*E2_tabla_vida!$P$170,EXP(-D231*E2_tabla_vida!$X$171)*E2_tabla_vida!$P$171,EXP(-D231*E2_tabla_vida!$X$172)*E2_tabla_vida!$P$172,EXP(-D231*E2_tabla_vida!$X$173)*E2_tabla_vida!$P$173,EXP(-D231*E2_tabla_vida!$X$174)*E2_tabla_vida!$P$174,EXP(-D231*E2_tabla_vida!$X$175)*E2_tabla_vida!$P$175,EXP(-D231*E2_tabla_vida!$X$176)*E2_tabla_vida!$P$176,EXP(-D231*E2_tabla_vida!$X$177)*E2_tabla_vida!$P$177,EXP(-D231*E2_tabla_vida!$X$178)*E2_tabla_vida!$P$178,EXP(-D231*E2_tabla_vida!$X$179)*E2_tabla_vida!$P$179,EXP(-D231*E2_tabla_vida!$X$180)*E2_tabla_vida!$P$180,EXP(-D231*E2_tabla_vida!$X$181)*E2_tabla_vida!$P$181,EXP(-D231*E2_tabla_vida!$X$182)*E2_tabla_vida!$P$182,EXP(-D231*E2_tabla_vida!$X$183)*E2_tabla_vida!$P$183,EXP(-D231*E2_tabla_vida!$X$184)*E2_tabla_vida!$P$184,EXP(-D231*E2_tabla_vida!$X$185)*E2_tabla_vida!$P$185,EXP(-D231*E2_tabla_vida!$X$186)*E2_tabla_vida!$P$186,EXP(-D231*E2_tabla_vida!$X$187)*E2_tabla_vida!$P$187,EXP(-D231*E2_tabla_vida!$X$188)*E2_tabla_vida!$P$188,EXP(-D231*E2_tabla_vida!$X$189)*E2_tabla_vida!$P$189,EXP(-D231*E2_tabla_vida!$X$190)*E2_tabla_vida!$P$190,EXP(-D231*E2_tabla_vida!$X$191)*E2_tabla_vida!$P$191,EXP(-D231*E2_tabla_vida!$X$192)*E2_tabla_vida!$P$192,EXP(-D231*E2_tabla_vida!$X$193)*E2_tabla_vida!$P$193,EXP(-D231*E2_tabla_vida!$X$194)*E2_tabla_vida!$P$194,EXP(-D231*E2_tabla_vida!$X$195)*E2_tabla_vida!$P$195,EXP(-D231*E2_tabla_vida!$X$196)*E2_tabla_vida!$P$196,EXP(-D231*E2_tabla_vida!$X$197)*E2_tabla_vida!$P$197,EXP(-D231*E2_tabla_vida!$X$198)*E2_tabla_vida!$P$198,EXP(-D231*E2_tabla_vida!$X$199)*E2_tabla_vida!$P$199,EXP(-D231*E2_tabla_vida!$X$200)*E2_tabla_vida!$P$200,EXP(-D231*E2_tabla_vida!$X$201)*E2_tabla_vida!$P$201,EXP(-D231*E2_tabla_vida!$X$202)*E2_tabla_vida!$P$202,EXP(-D231*E2_tabla_vida!$X$203)*E2_tabla_vida!$P$203,EXP(-D231*E2_tabla_vida!$X$204)*E2_tabla_vida!$P$204,EXP(-D231*E2_tabla_vida!$X$205)*E2_tabla_vida!$P$205,EXP(-D231*E2_tabla_vida!$X$206)*E2_tabla_vida!$P$206,EXP(-D231*E2_tabla_vida!$X$207)*E2_tabla_vida!$P$207,EXP(-D231*E2_tabla_vida!$X$208)*E2_tabla_vida!$P$208,EXP(-D231*E2_tabla_vida!$X$209)*E2_tabla_vida!$P$209,EXP(-D231*E2_tabla_vida!$X$210)*E2_tabla_vida!$P$210,EXP(-D231*E2_tabla_vida!$X$211)*E2_tabla_vida!$P$211)-1</x:f>
        <x:v>-2.5290880500961066e-13</x:v>
      </x:c>
    </x:row>
    <x:row r="232" ht="19" customHeight="1">
      <x:c r="A232" s="2" t="str">
        <x:v>BB_L7</x:v>
      </x:c>
      <x:c r="B232" s="2" t="n">
        <x:v>0</x:v>
      </x:c>
      <x:c r="C232" s="22" t="n">
        <x:f>Supuestos!$C$17</x:f>
        <x:v>-1</x:v>
      </x:c>
      <x:c r="D232" s="22" t="n">
        <x:f>Supuestos!$C$18</x:f>
        <x:v>2</x:v>
      </x:c>
      <x:c r="E232" s="22" t="n">
        <x:f>AVERAGE(C232:D232)</x:f>
        <x:v>0.5</x:v>
      </x:c>
      <x:c r="F232" s="24" t="n">
        <x:f>SUM(EXP(-E232*E2_tabla_vida!$X$212)*E2_tabla_vida!$P$212,EXP(-E232*E2_tabla_vida!$X$213)*E2_tabla_vida!$P$213,EXP(-E232*E2_tabla_vida!$X$214)*E2_tabla_vida!$P$214,EXP(-E232*E2_tabla_vida!$X$215)*E2_tabla_vida!$P$215,EXP(-E232*E2_tabla_vida!$X$216)*E2_tabla_vida!$P$216,EXP(-E232*E2_tabla_vida!$X$217)*E2_tabla_vida!$P$217,EXP(-E232*E2_tabla_vida!$X$218)*E2_tabla_vida!$P$218,EXP(-E232*E2_tabla_vida!$X$219)*E2_tabla_vida!$P$219,EXP(-E232*E2_tabla_vida!$X$220)*E2_tabla_vida!$P$220,EXP(-E232*E2_tabla_vida!$X$221)*E2_tabla_vida!$P$221,EXP(-E232*E2_tabla_vida!$X$222)*E2_tabla_vida!$P$222,EXP(-E232*E2_tabla_vida!$X$223)*E2_tabla_vida!$P$223,EXP(-E232*E2_tabla_vida!$X$224)*E2_tabla_vida!$P$224,EXP(-E232*E2_tabla_vida!$X$225)*E2_tabla_vida!$P$225,EXP(-E232*E2_tabla_vida!$X$226)*E2_tabla_vida!$P$226,EXP(-E232*E2_tabla_vida!$X$227)*E2_tabla_vida!$P$227,EXP(-E232*E2_tabla_vida!$X$228)*E2_tabla_vida!$P$228,EXP(-E232*E2_tabla_vida!$X$229)*E2_tabla_vida!$P$229,EXP(-E232*E2_tabla_vida!$X$230)*E2_tabla_vida!$P$230,EXP(-E232*E2_tabla_vida!$X$231)*E2_tabla_vida!$P$231,EXP(-E232*E2_tabla_vida!$X$232)*E2_tabla_vida!$P$232,EXP(-E232*E2_tabla_vida!$X$233)*E2_tabla_vida!$P$233,EXP(-E232*E2_tabla_vida!$X$234)*E2_tabla_vida!$P$234,EXP(-E232*E2_tabla_vida!$X$235)*E2_tabla_vida!$P$235,EXP(-E232*E2_tabla_vida!$X$236)*E2_tabla_vida!$P$236,EXP(-E232*E2_tabla_vida!$X$237)*E2_tabla_vida!$P$237,EXP(-E232*E2_tabla_vida!$X$238)*E2_tabla_vida!$P$238,EXP(-E232*E2_tabla_vida!$X$239)*E2_tabla_vida!$P$239,EXP(-E232*E2_tabla_vida!$X$240)*E2_tabla_vida!$P$240,EXP(-E232*E2_tabla_vida!$X$241)*E2_tabla_vida!$P$241,EXP(-E232*E2_tabla_vida!$X$242)*E2_tabla_vida!$P$242,EXP(-E232*E2_tabla_vida!$X$243)*E2_tabla_vida!$P$243,EXP(-E232*E2_tabla_vida!$X$244)*E2_tabla_vida!$P$244,EXP(-E232*E2_tabla_vida!$X$245)*E2_tabla_vida!$P$245,EXP(-E232*E2_tabla_vida!$X$246)*E2_tabla_vida!$P$246,EXP(-E232*E2_tabla_vida!$X$247)*E2_tabla_vida!$P$247,EXP(-E232*E2_tabla_vida!$X$248)*E2_tabla_vida!$P$248,EXP(-E232*E2_tabla_vida!$X$249)*E2_tabla_vida!$P$249,EXP(-E232*E2_tabla_vida!$X$250)*E2_tabla_vida!$P$250,EXP(-E232*E2_tabla_vida!$X$251)*E2_tabla_vida!$P$251,EXP(-E232*E2_tabla_vida!$X$252)*E2_tabla_vida!$P$252,EXP(-E232*E2_tabla_vida!$X$253)*E2_tabla_vida!$P$253)-1</x:f>
        <x:v>-0.983042949123139</x:v>
      </x:c>
      <x:c r="G232" s="24" t="n">
        <x:f>SUM(EXP(-C232*E2_tabla_vida!$X$212)*E2_tabla_vida!$P$212,EXP(-C232*E2_tabla_vida!$X$213)*E2_tabla_vida!$P$213,EXP(-C232*E2_tabla_vida!$X$214)*E2_tabla_vida!$P$214,EXP(-C232*E2_tabla_vida!$X$215)*E2_tabla_vida!$P$215,EXP(-C232*E2_tabla_vida!$X$216)*E2_tabla_vida!$P$216,EXP(-C232*E2_tabla_vida!$X$217)*E2_tabla_vida!$P$217,EXP(-C232*E2_tabla_vida!$X$218)*E2_tabla_vida!$P$218,EXP(-C232*E2_tabla_vida!$X$219)*E2_tabla_vida!$P$219,EXP(-C232*E2_tabla_vida!$X$220)*E2_tabla_vida!$P$220,EXP(-C232*E2_tabla_vida!$X$221)*E2_tabla_vida!$P$221,EXP(-C232*E2_tabla_vida!$X$222)*E2_tabla_vida!$P$222,EXP(-C232*E2_tabla_vida!$X$223)*E2_tabla_vida!$P$223,EXP(-C232*E2_tabla_vida!$X$224)*E2_tabla_vida!$P$224,EXP(-C232*E2_tabla_vida!$X$225)*E2_tabla_vida!$P$225,EXP(-C232*E2_tabla_vida!$X$226)*E2_tabla_vida!$P$226,EXP(-C232*E2_tabla_vida!$X$227)*E2_tabla_vida!$P$227,EXP(-C232*E2_tabla_vida!$X$228)*E2_tabla_vida!$P$228,EXP(-C232*E2_tabla_vida!$X$229)*E2_tabla_vida!$P$229,EXP(-C232*E2_tabla_vida!$X$230)*E2_tabla_vida!$P$230,EXP(-C232*E2_tabla_vida!$X$231)*E2_tabla_vida!$P$231,EXP(-C232*E2_tabla_vida!$X$232)*E2_tabla_vida!$P$232,EXP(-C232*E2_tabla_vida!$X$233)*E2_tabla_vida!$P$233,EXP(-C232*E2_tabla_vida!$X$234)*E2_tabla_vida!$P$234,EXP(-C232*E2_tabla_vida!$X$235)*E2_tabla_vida!$P$235,EXP(-C232*E2_tabla_vida!$X$236)*E2_tabla_vida!$P$236,EXP(-C232*E2_tabla_vida!$X$237)*E2_tabla_vida!$P$237,EXP(-C232*E2_tabla_vida!$X$238)*E2_tabla_vida!$P$238,EXP(-C232*E2_tabla_vida!$X$239)*E2_tabla_vida!$P$239,EXP(-C232*E2_tabla_vida!$X$240)*E2_tabla_vida!$P$240,EXP(-C232*E2_tabla_vida!$X$241)*E2_tabla_vida!$P$241,EXP(-C232*E2_tabla_vida!$X$242)*E2_tabla_vida!$P$242,EXP(-C232*E2_tabla_vida!$X$243)*E2_tabla_vida!$P$243,EXP(-C232*E2_tabla_vida!$X$244)*E2_tabla_vida!$P$244,EXP(-C232*E2_tabla_vida!$X$245)*E2_tabla_vida!$P$245,EXP(-C232*E2_tabla_vida!$X$246)*E2_tabla_vida!$P$246,EXP(-C232*E2_tabla_vida!$X$247)*E2_tabla_vida!$P$247,EXP(-C232*E2_tabla_vida!$X$248)*E2_tabla_vida!$P$248,EXP(-C232*E2_tabla_vida!$X$249)*E2_tabla_vida!$P$249,EXP(-C232*E2_tabla_vida!$X$250)*E2_tabla_vida!$P$250,EXP(-C232*E2_tabla_vida!$X$251)*E2_tabla_vida!$P$251,EXP(-C232*E2_tabla_vida!$X$252)*E2_tabla_vida!$P$252,EXP(-C232*E2_tabla_vida!$X$253)*E2_tabla_vida!$P$253)-1</x:f>
        <x:v>60949451570588.125</x:v>
      </x:c>
      <x:c r="H232" s="24" t="n">
        <x:f>SUM(EXP(-D232*E2_tabla_vida!$X$212)*E2_tabla_vida!$P$212,EXP(-D232*E2_tabla_vida!$X$213)*E2_tabla_vida!$P$213,EXP(-D232*E2_tabla_vida!$X$214)*E2_tabla_vida!$P$214,EXP(-D232*E2_tabla_vida!$X$215)*E2_tabla_vida!$P$215,EXP(-D232*E2_tabla_vida!$X$216)*E2_tabla_vida!$P$216,EXP(-D232*E2_tabla_vida!$X$217)*E2_tabla_vida!$P$217,EXP(-D232*E2_tabla_vida!$X$218)*E2_tabla_vida!$P$218,EXP(-D232*E2_tabla_vida!$X$219)*E2_tabla_vida!$P$219,EXP(-D232*E2_tabla_vida!$X$220)*E2_tabla_vida!$P$220,EXP(-D232*E2_tabla_vida!$X$221)*E2_tabla_vida!$P$221,EXP(-D232*E2_tabla_vida!$X$222)*E2_tabla_vida!$P$222,EXP(-D232*E2_tabla_vida!$X$223)*E2_tabla_vida!$P$223,EXP(-D232*E2_tabla_vida!$X$224)*E2_tabla_vida!$P$224,EXP(-D232*E2_tabla_vida!$X$225)*E2_tabla_vida!$P$225,EXP(-D232*E2_tabla_vida!$X$226)*E2_tabla_vida!$P$226,EXP(-D232*E2_tabla_vida!$X$227)*E2_tabla_vida!$P$227,EXP(-D232*E2_tabla_vida!$X$228)*E2_tabla_vida!$P$228,EXP(-D232*E2_tabla_vida!$X$229)*E2_tabla_vida!$P$229,EXP(-D232*E2_tabla_vida!$X$230)*E2_tabla_vida!$P$230,EXP(-D232*E2_tabla_vida!$X$231)*E2_tabla_vida!$P$231,EXP(-D232*E2_tabla_vida!$X$232)*E2_tabla_vida!$P$232,EXP(-D232*E2_tabla_vida!$X$233)*E2_tabla_vida!$P$233,EXP(-D232*E2_tabla_vida!$X$234)*E2_tabla_vida!$P$234,EXP(-D232*E2_tabla_vida!$X$235)*E2_tabla_vida!$P$235,EXP(-D232*E2_tabla_vida!$X$236)*E2_tabla_vida!$P$236,EXP(-D232*E2_tabla_vida!$X$237)*E2_tabla_vida!$P$237,EXP(-D232*E2_tabla_vida!$X$238)*E2_tabla_vida!$P$238,EXP(-D232*E2_tabla_vida!$X$239)*E2_tabla_vida!$P$239,EXP(-D232*E2_tabla_vida!$X$240)*E2_tabla_vida!$P$240,EXP(-D232*E2_tabla_vida!$X$241)*E2_tabla_vida!$P$241,EXP(-D232*E2_tabla_vida!$X$242)*E2_tabla_vida!$P$242,EXP(-D232*E2_tabla_vida!$X$243)*E2_tabla_vida!$P$243,EXP(-D232*E2_tabla_vida!$X$244)*E2_tabla_vida!$P$244,EXP(-D232*E2_tabla_vida!$X$245)*E2_tabla_vida!$P$245,EXP(-D232*E2_tabla_vida!$X$246)*E2_tabla_vida!$P$246,EXP(-D232*E2_tabla_vida!$X$247)*E2_tabla_vida!$P$247,EXP(-D232*E2_tabla_vida!$X$248)*E2_tabla_vida!$P$248,EXP(-D232*E2_tabla_vida!$X$249)*E2_tabla_vida!$P$249,EXP(-D232*E2_tabla_vida!$X$250)*E2_tabla_vida!$P$250,EXP(-D232*E2_tabla_vida!$X$251)*E2_tabla_vida!$P$251,EXP(-D232*E2_tabla_vida!$X$252)*E2_tabla_vida!$P$252,EXP(-D232*E2_tabla_vida!$X$253)*E2_tabla_vida!$P$253)-1</x:f>
        <x:v>-0.9999999997197101</x:v>
      </x:c>
    </x:row>
    <x:row r="233" ht="19" customHeight="1">
      <x:c r="A233" s="2" t="str">
        <x:v>BB_L7</x:v>
      </x:c>
      <x:c r="B233" s="2" t="n">
        <x:v>1</x:v>
      </x:c>
      <x:c r="C233" s="22" t="n">
        <x:f>IF(F232&gt;0,E232,C232)</x:f>
        <x:v>-1</x:v>
      </x:c>
      <x:c r="D233" s="22" t="n">
        <x:f>IF(F232&gt;0,D232,E232)</x:f>
        <x:v>0.5</x:v>
      </x:c>
      <x:c r="E233" s="22" t="n">
        <x:f>AVERAGE(C233:D233)</x:f>
        <x:v>-0.25</x:v>
      </x:c>
      <x:c r="F233" s="24" t="n">
        <x:f>SUM(EXP(-E233*E2_tabla_vida!$X$212)*E2_tabla_vida!$P$212,EXP(-E233*E2_tabla_vida!$X$213)*E2_tabla_vida!$P$213,EXP(-E233*E2_tabla_vida!$X$214)*E2_tabla_vida!$P$214,EXP(-E233*E2_tabla_vida!$X$215)*E2_tabla_vida!$P$215,EXP(-E233*E2_tabla_vida!$X$216)*E2_tabla_vida!$P$216,EXP(-E233*E2_tabla_vida!$X$217)*E2_tabla_vida!$P$217,EXP(-E233*E2_tabla_vida!$X$218)*E2_tabla_vida!$P$218,EXP(-E233*E2_tabla_vida!$X$219)*E2_tabla_vida!$P$219,EXP(-E233*E2_tabla_vida!$X$220)*E2_tabla_vida!$P$220,EXP(-E233*E2_tabla_vida!$X$221)*E2_tabla_vida!$P$221,EXP(-E233*E2_tabla_vida!$X$222)*E2_tabla_vida!$P$222,EXP(-E233*E2_tabla_vida!$X$223)*E2_tabla_vida!$P$223,EXP(-E233*E2_tabla_vida!$X$224)*E2_tabla_vida!$P$224,EXP(-E233*E2_tabla_vida!$X$225)*E2_tabla_vida!$P$225,EXP(-E233*E2_tabla_vida!$X$226)*E2_tabla_vida!$P$226,EXP(-E233*E2_tabla_vida!$X$227)*E2_tabla_vida!$P$227,EXP(-E233*E2_tabla_vida!$X$228)*E2_tabla_vida!$P$228,EXP(-E233*E2_tabla_vida!$X$229)*E2_tabla_vida!$P$229,EXP(-E233*E2_tabla_vida!$X$230)*E2_tabla_vida!$P$230,EXP(-E233*E2_tabla_vida!$X$231)*E2_tabla_vida!$P$231,EXP(-E233*E2_tabla_vida!$X$232)*E2_tabla_vida!$P$232,EXP(-E233*E2_tabla_vida!$X$233)*E2_tabla_vida!$P$233,EXP(-E233*E2_tabla_vida!$X$234)*E2_tabla_vida!$P$234,EXP(-E233*E2_tabla_vida!$X$235)*E2_tabla_vida!$P$235,EXP(-E233*E2_tabla_vida!$X$236)*E2_tabla_vida!$P$236,EXP(-E233*E2_tabla_vida!$X$237)*E2_tabla_vida!$P$237,EXP(-E233*E2_tabla_vida!$X$238)*E2_tabla_vida!$P$238,EXP(-E233*E2_tabla_vida!$X$239)*E2_tabla_vida!$P$239,EXP(-E233*E2_tabla_vida!$X$240)*E2_tabla_vida!$P$240,EXP(-E233*E2_tabla_vida!$X$241)*E2_tabla_vida!$P$241,EXP(-E233*E2_tabla_vida!$X$242)*E2_tabla_vida!$P$242,EXP(-E233*E2_tabla_vida!$X$243)*E2_tabla_vida!$P$243,EXP(-E233*E2_tabla_vida!$X$244)*E2_tabla_vida!$P$244,EXP(-E233*E2_tabla_vida!$X$245)*E2_tabla_vida!$P$245,EXP(-E233*E2_tabla_vida!$X$246)*E2_tabla_vida!$P$246,EXP(-E233*E2_tabla_vida!$X$247)*E2_tabla_vida!$P$247,EXP(-E233*E2_tabla_vida!$X$248)*E2_tabla_vida!$P$248,EXP(-E233*E2_tabla_vida!$X$249)*E2_tabla_vida!$P$249,EXP(-E233*E2_tabla_vida!$X$250)*E2_tabla_vida!$P$250,EXP(-E233*E2_tabla_vida!$X$251)*E2_tabla_vida!$P$251,EXP(-E233*E2_tabla_vida!$X$252)*E2_tabla_vida!$P$252,EXP(-E233*E2_tabla_vida!$X$253)*E2_tabla_vida!$P$253)-1</x:f>
        <x:v>9912.480362822562</x:v>
      </x:c>
      <x:c r="G233" s="24" t="n">
        <x:f>SUM(EXP(-C233*E2_tabla_vida!$X$212)*E2_tabla_vida!$P$212,EXP(-C233*E2_tabla_vida!$X$213)*E2_tabla_vida!$P$213,EXP(-C233*E2_tabla_vida!$X$214)*E2_tabla_vida!$P$214,EXP(-C233*E2_tabla_vida!$X$215)*E2_tabla_vida!$P$215,EXP(-C233*E2_tabla_vida!$X$216)*E2_tabla_vida!$P$216,EXP(-C233*E2_tabla_vida!$X$217)*E2_tabla_vida!$P$217,EXP(-C233*E2_tabla_vida!$X$218)*E2_tabla_vida!$P$218,EXP(-C233*E2_tabla_vida!$X$219)*E2_tabla_vida!$P$219,EXP(-C233*E2_tabla_vida!$X$220)*E2_tabla_vida!$P$220,EXP(-C233*E2_tabla_vida!$X$221)*E2_tabla_vida!$P$221,EXP(-C233*E2_tabla_vida!$X$222)*E2_tabla_vida!$P$222,EXP(-C233*E2_tabla_vida!$X$223)*E2_tabla_vida!$P$223,EXP(-C233*E2_tabla_vida!$X$224)*E2_tabla_vida!$P$224,EXP(-C233*E2_tabla_vida!$X$225)*E2_tabla_vida!$P$225,EXP(-C233*E2_tabla_vida!$X$226)*E2_tabla_vida!$P$226,EXP(-C233*E2_tabla_vida!$X$227)*E2_tabla_vida!$P$227,EXP(-C233*E2_tabla_vida!$X$228)*E2_tabla_vida!$P$228,EXP(-C233*E2_tabla_vida!$X$229)*E2_tabla_vida!$P$229,EXP(-C233*E2_tabla_vida!$X$230)*E2_tabla_vida!$P$230,EXP(-C233*E2_tabla_vida!$X$231)*E2_tabla_vida!$P$231,EXP(-C233*E2_tabla_vida!$X$232)*E2_tabla_vida!$P$232,EXP(-C233*E2_tabla_vida!$X$233)*E2_tabla_vida!$P$233,EXP(-C233*E2_tabla_vida!$X$234)*E2_tabla_vida!$P$234,EXP(-C233*E2_tabla_vida!$X$235)*E2_tabla_vida!$P$235,EXP(-C233*E2_tabla_vida!$X$236)*E2_tabla_vida!$P$236,EXP(-C233*E2_tabla_vida!$X$237)*E2_tabla_vida!$P$237,EXP(-C233*E2_tabla_vida!$X$238)*E2_tabla_vida!$P$238,EXP(-C233*E2_tabla_vida!$X$239)*E2_tabla_vida!$P$239,EXP(-C233*E2_tabla_vida!$X$240)*E2_tabla_vida!$P$240,EXP(-C233*E2_tabla_vida!$X$241)*E2_tabla_vida!$P$241,EXP(-C233*E2_tabla_vida!$X$242)*E2_tabla_vida!$P$242,EXP(-C233*E2_tabla_vida!$X$243)*E2_tabla_vida!$P$243,EXP(-C233*E2_tabla_vida!$X$244)*E2_tabla_vida!$P$244,EXP(-C233*E2_tabla_vida!$X$245)*E2_tabla_vida!$P$245,EXP(-C233*E2_tabla_vida!$X$246)*E2_tabla_vida!$P$246,EXP(-C233*E2_tabla_vida!$X$247)*E2_tabla_vida!$P$247,EXP(-C233*E2_tabla_vida!$X$248)*E2_tabla_vida!$P$248,EXP(-C233*E2_tabla_vida!$X$249)*E2_tabla_vida!$P$249,EXP(-C233*E2_tabla_vida!$X$250)*E2_tabla_vida!$P$250,EXP(-C233*E2_tabla_vida!$X$251)*E2_tabla_vida!$P$251,EXP(-C233*E2_tabla_vida!$X$252)*E2_tabla_vida!$P$252,EXP(-C233*E2_tabla_vida!$X$253)*E2_tabla_vida!$P$253)-1</x:f>
        <x:v>60949451570588.125</x:v>
      </x:c>
      <x:c r="H233" s="24" t="n">
        <x:f>SUM(EXP(-D233*E2_tabla_vida!$X$212)*E2_tabla_vida!$P$212,EXP(-D233*E2_tabla_vida!$X$213)*E2_tabla_vida!$P$213,EXP(-D233*E2_tabla_vida!$X$214)*E2_tabla_vida!$P$214,EXP(-D233*E2_tabla_vida!$X$215)*E2_tabla_vida!$P$215,EXP(-D233*E2_tabla_vida!$X$216)*E2_tabla_vida!$P$216,EXP(-D233*E2_tabla_vida!$X$217)*E2_tabla_vida!$P$217,EXP(-D233*E2_tabla_vida!$X$218)*E2_tabla_vida!$P$218,EXP(-D233*E2_tabla_vida!$X$219)*E2_tabla_vida!$P$219,EXP(-D233*E2_tabla_vida!$X$220)*E2_tabla_vida!$P$220,EXP(-D233*E2_tabla_vida!$X$221)*E2_tabla_vida!$P$221,EXP(-D233*E2_tabla_vida!$X$222)*E2_tabla_vida!$P$222,EXP(-D233*E2_tabla_vida!$X$223)*E2_tabla_vida!$P$223,EXP(-D233*E2_tabla_vida!$X$224)*E2_tabla_vida!$P$224,EXP(-D233*E2_tabla_vida!$X$225)*E2_tabla_vida!$P$225,EXP(-D233*E2_tabla_vida!$X$226)*E2_tabla_vida!$P$226,EXP(-D233*E2_tabla_vida!$X$227)*E2_tabla_vida!$P$227,EXP(-D233*E2_tabla_vida!$X$228)*E2_tabla_vida!$P$228,EXP(-D233*E2_tabla_vida!$X$229)*E2_tabla_vida!$P$229,EXP(-D233*E2_tabla_vida!$X$230)*E2_tabla_vida!$P$230,EXP(-D233*E2_tabla_vida!$X$231)*E2_tabla_vida!$P$231,EXP(-D233*E2_tabla_vida!$X$232)*E2_tabla_vida!$P$232,EXP(-D233*E2_tabla_vida!$X$233)*E2_tabla_vida!$P$233,EXP(-D233*E2_tabla_vida!$X$234)*E2_tabla_vida!$P$234,EXP(-D233*E2_tabla_vida!$X$235)*E2_tabla_vida!$P$235,EXP(-D233*E2_tabla_vida!$X$236)*E2_tabla_vida!$P$236,EXP(-D233*E2_tabla_vida!$X$237)*E2_tabla_vida!$P$237,EXP(-D233*E2_tabla_vida!$X$238)*E2_tabla_vida!$P$238,EXP(-D233*E2_tabla_vida!$X$239)*E2_tabla_vida!$P$239,EXP(-D233*E2_tabla_vida!$X$240)*E2_tabla_vida!$P$240,EXP(-D233*E2_tabla_vida!$X$241)*E2_tabla_vida!$P$241,EXP(-D233*E2_tabla_vida!$X$242)*E2_tabla_vida!$P$242,EXP(-D233*E2_tabla_vida!$X$243)*E2_tabla_vida!$P$243,EXP(-D233*E2_tabla_vida!$X$244)*E2_tabla_vida!$P$244,EXP(-D233*E2_tabla_vida!$X$245)*E2_tabla_vida!$P$245,EXP(-D233*E2_tabla_vida!$X$246)*E2_tabla_vida!$P$246,EXP(-D233*E2_tabla_vida!$X$247)*E2_tabla_vida!$P$247,EXP(-D233*E2_tabla_vida!$X$248)*E2_tabla_vida!$P$248,EXP(-D233*E2_tabla_vida!$X$249)*E2_tabla_vida!$P$249,EXP(-D233*E2_tabla_vida!$X$250)*E2_tabla_vida!$P$250,EXP(-D233*E2_tabla_vida!$X$251)*E2_tabla_vida!$P$251,EXP(-D233*E2_tabla_vida!$X$252)*E2_tabla_vida!$P$252,EXP(-D233*E2_tabla_vida!$X$253)*E2_tabla_vida!$P$253)-1</x:f>
        <x:v>-0.983042949123139</x:v>
      </x:c>
    </x:row>
    <x:row r="234" ht="19" customHeight="1">
      <x:c r="A234" s="2" t="str">
        <x:v>BB_L7</x:v>
      </x:c>
      <x:c r="B234" s="2" t="n">
        <x:v>2</x:v>
      </x:c>
      <x:c r="C234" s="22" t="n">
        <x:f>IF(F233&gt;0,E233,C233)</x:f>
        <x:v>-0.25</x:v>
      </x:c>
      <x:c r="D234" s="22" t="n">
        <x:f>IF(F233&gt;0,D233,E233)</x:f>
        <x:v>0.5</x:v>
      </x:c>
      <x:c r="E234" s="22" t="n">
        <x:f>AVERAGE(C234:D234)</x:f>
        <x:v>0.125</x:v>
      </x:c>
      <x:c r="F234" s="24" t="n">
        <x:f>SUM(EXP(-E234*E2_tabla_vida!$X$212)*E2_tabla_vida!$P$212,EXP(-E234*E2_tabla_vida!$X$213)*E2_tabla_vida!$P$213,EXP(-E234*E2_tabla_vida!$X$214)*E2_tabla_vida!$P$214,EXP(-E234*E2_tabla_vida!$X$215)*E2_tabla_vida!$P$215,EXP(-E234*E2_tabla_vida!$X$216)*E2_tabla_vida!$P$216,EXP(-E234*E2_tabla_vida!$X$217)*E2_tabla_vida!$P$217,EXP(-E234*E2_tabla_vida!$X$218)*E2_tabla_vida!$P$218,EXP(-E234*E2_tabla_vida!$X$219)*E2_tabla_vida!$P$219,EXP(-E234*E2_tabla_vida!$X$220)*E2_tabla_vida!$P$220,EXP(-E234*E2_tabla_vida!$X$221)*E2_tabla_vida!$P$221,EXP(-E234*E2_tabla_vida!$X$222)*E2_tabla_vida!$P$222,EXP(-E234*E2_tabla_vida!$X$223)*E2_tabla_vida!$P$223,EXP(-E234*E2_tabla_vida!$X$224)*E2_tabla_vida!$P$224,EXP(-E234*E2_tabla_vida!$X$225)*E2_tabla_vida!$P$225,EXP(-E234*E2_tabla_vida!$X$226)*E2_tabla_vida!$P$226,EXP(-E234*E2_tabla_vida!$X$227)*E2_tabla_vida!$P$227,EXP(-E234*E2_tabla_vida!$X$228)*E2_tabla_vida!$P$228,EXP(-E234*E2_tabla_vida!$X$229)*E2_tabla_vida!$P$229,EXP(-E234*E2_tabla_vida!$X$230)*E2_tabla_vida!$P$230,EXP(-E234*E2_tabla_vida!$X$231)*E2_tabla_vida!$P$231,EXP(-E234*E2_tabla_vida!$X$232)*E2_tabla_vida!$P$232,EXP(-E234*E2_tabla_vida!$X$233)*E2_tabla_vida!$P$233,EXP(-E234*E2_tabla_vida!$X$234)*E2_tabla_vida!$P$234,EXP(-E234*E2_tabla_vida!$X$235)*E2_tabla_vida!$P$235,EXP(-E234*E2_tabla_vida!$X$236)*E2_tabla_vida!$P$236,EXP(-E234*E2_tabla_vida!$X$237)*E2_tabla_vida!$P$237,EXP(-E234*E2_tabla_vida!$X$238)*E2_tabla_vida!$P$238,EXP(-E234*E2_tabla_vida!$X$239)*E2_tabla_vida!$P$239,EXP(-E234*E2_tabla_vida!$X$240)*E2_tabla_vida!$P$240,EXP(-E234*E2_tabla_vida!$X$241)*E2_tabla_vida!$P$241,EXP(-E234*E2_tabla_vida!$X$242)*E2_tabla_vida!$P$242,EXP(-E234*E2_tabla_vida!$X$243)*E2_tabla_vida!$P$243,EXP(-E234*E2_tabla_vida!$X$244)*E2_tabla_vida!$P$244,EXP(-E234*E2_tabla_vida!$X$245)*E2_tabla_vida!$P$245,EXP(-E234*E2_tabla_vida!$X$246)*E2_tabla_vida!$P$246,EXP(-E234*E2_tabla_vida!$X$247)*E2_tabla_vida!$P$247,EXP(-E234*E2_tabla_vida!$X$248)*E2_tabla_vida!$P$248,EXP(-E234*E2_tabla_vida!$X$249)*E2_tabla_vida!$P$249,EXP(-E234*E2_tabla_vida!$X$250)*E2_tabla_vida!$P$250,EXP(-E234*E2_tabla_vida!$X$251)*E2_tabla_vida!$P$251,EXP(-E234*E2_tabla_vida!$X$252)*E2_tabla_vida!$P$252,EXP(-E234*E2_tabla_vida!$X$253)*E2_tabla_vida!$P$253)-1</x:f>
        <x:v>2.906673457275284</x:v>
      </x:c>
      <x:c r="G234" s="24" t="n">
        <x:f>SUM(EXP(-C234*E2_tabla_vida!$X$212)*E2_tabla_vida!$P$212,EXP(-C234*E2_tabla_vida!$X$213)*E2_tabla_vida!$P$213,EXP(-C234*E2_tabla_vida!$X$214)*E2_tabla_vida!$P$214,EXP(-C234*E2_tabla_vida!$X$215)*E2_tabla_vida!$P$215,EXP(-C234*E2_tabla_vida!$X$216)*E2_tabla_vida!$P$216,EXP(-C234*E2_tabla_vida!$X$217)*E2_tabla_vida!$P$217,EXP(-C234*E2_tabla_vida!$X$218)*E2_tabla_vida!$P$218,EXP(-C234*E2_tabla_vida!$X$219)*E2_tabla_vida!$P$219,EXP(-C234*E2_tabla_vida!$X$220)*E2_tabla_vida!$P$220,EXP(-C234*E2_tabla_vida!$X$221)*E2_tabla_vida!$P$221,EXP(-C234*E2_tabla_vida!$X$222)*E2_tabla_vida!$P$222,EXP(-C234*E2_tabla_vida!$X$223)*E2_tabla_vida!$P$223,EXP(-C234*E2_tabla_vida!$X$224)*E2_tabla_vida!$P$224,EXP(-C234*E2_tabla_vida!$X$225)*E2_tabla_vida!$P$225,EXP(-C234*E2_tabla_vida!$X$226)*E2_tabla_vida!$P$226,EXP(-C234*E2_tabla_vida!$X$227)*E2_tabla_vida!$P$227,EXP(-C234*E2_tabla_vida!$X$228)*E2_tabla_vida!$P$228,EXP(-C234*E2_tabla_vida!$X$229)*E2_tabla_vida!$P$229,EXP(-C234*E2_tabla_vida!$X$230)*E2_tabla_vida!$P$230,EXP(-C234*E2_tabla_vida!$X$231)*E2_tabla_vida!$P$231,EXP(-C234*E2_tabla_vida!$X$232)*E2_tabla_vida!$P$232,EXP(-C234*E2_tabla_vida!$X$233)*E2_tabla_vida!$P$233,EXP(-C234*E2_tabla_vida!$X$234)*E2_tabla_vida!$P$234,EXP(-C234*E2_tabla_vida!$X$235)*E2_tabla_vida!$P$235,EXP(-C234*E2_tabla_vida!$X$236)*E2_tabla_vida!$P$236,EXP(-C234*E2_tabla_vida!$X$237)*E2_tabla_vida!$P$237,EXP(-C234*E2_tabla_vida!$X$238)*E2_tabla_vida!$P$238,EXP(-C234*E2_tabla_vida!$X$239)*E2_tabla_vida!$P$239,EXP(-C234*E2_tabla_vida!$X$240)*E2_tabla_vida!$P$240,EXP(-C234*E2_tabla_vida!$X$241)*E2_tabla_vida!$P$241,EXP(-C234*E2_tabla_vida!$X$242)*E2_tabla_vida!$P$242,EXP(-C234*E2_tabla_vida!$X$243)*E2_tabla_vida!$P$243,EXP(-C234*E2_tabla_vida!$X$244)*E2_tabla_vida!$P$244,EXP(-C234*E2_tabla_vida!$X$245)*E2_tabla_vida!$P$245,EXP(-C234*E2_tabla_vida!$X$246)*E2_tabla_vida!$P$246,EXP(-C234*E2_tabla_vida!$X$247)*E2_tabla_vida!$P$247,EXP(-C234*E2_tabla_vida!$X$248)*E2_tabla_vida!$P$248,EXP(-C234*E2_tabla_vida!$X$249)*E2_tabla_vida!$P$249,EXP(-C234*E2_tabla_vida!$X$250)*E2_tabla_vida!$P$250,EXP(-C234*E2_tabla_vida!$X$251)*E2_tabla_vida!$P$251,EXP(-C234*E2_tabla_vida!$X$252)*E2_tabla_vida!$P$252,EXP(-C234*E2_tabla_vida!$X$253)*E2_tabla_vida!$P$253)-1</x:f>
        <x:v>9912.480362822562</x:v>
      </x:c>
      <x:c r="H234" s="24" t="n">
        <x:f>SUM(EXP(-D234*E2_tabla_vida!$X$212)*E2_tabla_vida!$P$212,EXP(-D234*E2_tabla_vida!$X$213)*E2_tabla_vida!$P$213,EXP(-D234*E2_tabla_vida!$X$214)*E2_tabla_vida!$P$214,EXP(-D234*E2_tabla_vida!$X$215)*E2_tabla_vida!$P$215,EXP(-D234*E2_tabla_vida!$X$216)*E2_tabla_vida!$P$216,EXP(-D234*E2_tabla_vida!$X$217)*E2_tabla_vida!$P$217,EXP(-D234*E2_tabla_vida!$X$218)*E2_tabla_vida!$P$218,EXP(-D234*E2_tabla_vida!$X$219)*E2_tabla_vida!$P$219,EXP(-D234*E2_tabla_vida!$X$220)*E2_tabla_vida!$P$220,EXP(-D234*E2_tabla_vida!$X$221)*E2_tabla_vida!$P$221,EXP(-D234*E2_tabla_vida!$X$222)*E2_tabla_vida!$P$222,EXP(-D234*E2_tabla_vida!$X$223)*E2_tabla_vida!$P$223,EXP(-D234*E2_tabla_vida!$X$224)*E2_tabla_vida!$P$224,EXP(-D234*E2_tabla_vida!$X$225)*E2_tabla_vida!$P$225,EXP(-D234*E2_tabla_vida!$X$226)*E2_tabla_vida!$P$226,EXP(-D234*E2_tabla_vida!$X$227)*E2_tabla_vida!$P$227,EXP(-D234*E2_tabla_vida!$X$228)*E2_tabla_vida!$P$228,EXP(-D234*E2_tabla_vida!$X$229)*E2_tabla_vida!$P$229,EXP(-D234*E2_tabla_vida!$X$230)*E2_tabla_vida!$P$230,EXP(-D234*E2_tabla_vida!$X$231)*E2_tabla_vida!$P$231,EXP(-D234*E2_tabla_vida!$X$232)*E2_tabla_vida!$P$232,EXP(-D234*E2_tabla_vida!$X$233)*E2_tabla_vida!$P$233,EXP(-D234*E2_tabla_vida!$X$234)*E2_tabla_vida!$P$234,EXP(-D234*E2_tabla_vida!$X$235)*E2_tabla_vida!$P$235,EXP(-D234*E2_tabla_vida!$X$236)*E2_tabla_vida!$P$236,EXP(-D234*E2_tabla_vida!$X$237)*E2_tabla_vida!$P$237,EXP(-D234*E2_tabla_vida!$X$238)*E2_tabla_vida!$P$238,EXP(-D234*E2_tabla_vida!$X$239)*E2_tabla_vida!$P$239,EXP(-D234*E2_tabla_vida!$X$240)*E2_tabla_vida!$P$240,EXP(-D234*E2_tabla_vida!$X$241)*E2_tabla_vida!$P$241,EXP(-D234*E2_tabla_vida!$X$242)*E2_tabla_vida!$P$242,EXP(-D234*E2_tabla_vida!$X$243)*E2_tabla_vida!$P$243,EXP(-D234*E2_tabla_vida!$X$244)*E2_tabla_vida!$P$244,EXP(-D234*E2_tabla_vida!$X$245)*E2_tabla_vida!$P$245,EXP(-D234*E2_tabla_vida!$X$246)*E2_tabla_vida!$P$246,EXP(-D234*E2_tabla_vida!$X$247)*E2_tabla_vida!$P$247,EXP(-D234*E2_tabla_vida!$X$248)*E2_tabla_vida!$P$248,EXP(-D234*E2_tabla_vida!$X$249)*E2_tabla_vida!$P$249,EXP(-D234*E2_tabla_vida!$X$250)*E2_tabla_vida!$P$250,EXP(-D234*E2_tabla_vida!$X$251)*E2_tabla_vida!$P$251,EXP(-D234*E2_tabla_vida!$X$252)*E2_tabla_vida!$P$252,EXP(-D234*E2_tabla_vida!$X$253)*E2_tabla_vida!$P$253)-1</x:f>
        <x:v>-0.983042949123139</x:v>
      </x:c>
    </x:row>
    <x:row r="235" ht="19" customHeight="1">
      <x:c r="A235" s="2" t="str">
        <x:v>BB_L7</x:v>
      </x:c>
      <x:c r="B235" s="2" t="n">
        <x:v>3</x:v>
      </x:c>
      <x:c r="C235" s="22" t="n">
        <x:f>IF(F234&gt;0,E234,C234)</x:f>
        <x:v>0.125</x:v>
      </x:c>
      <x:c r="D235" s="22" t="n">
        <x:f>IF(F234&gt;0,D234,E234)</x:f>
        <x:v>0.5</x:v>
      </x:c>
      <x:c r="E235" s="22" t="n">
        <x:f>AVERAGE(C235:D235)</x:f>
        <x:v>0.3125</x:v>
      </x:c>
      <x:c r="F235" s="24" t="n">
        <x:f>SUM(EXP(-E235*E2_tabla_vida!$X$212)*E2_tabla_vida!$P$212,EXP(-E235*E2_tabla_vida!$X$213)*E2_tabla_vida!$P$213,EXP(-E235*E2_tabla_vida!$X$214)*E2_tabla_vida!$P$214,EXP(-E235*E2_tabla_vida!$X$215)*E2_tabla_vida!$P$215,EXP(-E235*E2_tabla_vida!$X$216)*E2_tabla_vida!$P$216,EXP(-E235*E2_tabla_vida!$X$217)*E2_tabla_vida!$P$217,EXP(-E235*E2_tabla_vida!$X$218)*E2_tabla_vida!$P$218,EXP(-E235*E2_tabla_vida!$X$219)*E2_tabla_vida!$P$219,EXP(-E235*E2_tabla_vida!$X$220)*E2_tabla_vida!$P$220,EXP(-E235*E2_tabla_vida!$X$221)*E2_tabla_vida!$P$221,EXP(-E235*E2_tabla_vida!$X$222)*E2_tabla_vida!$P$222,EXP(-E235*E2_tabla_vida!$X$223)*E2_tabla_vida!$P$223,EXP(-E235*E2_tabla_vida!$X$224)*E2_tabla_vida!$P$224,EXP(-E235*E2_tabla_vida!$X$225)*E2_tabla_vida!$P$225,EXP(-E235*E2_tabla_vida!$X$226)*E2_tabla_vida!$P$226,EXP(-E235*E2_tabla_vida!$X$227)*E2_tabla_vida!$P$227,EXP(-E235*E2_tabla_vida!$X$228)*E2_tabla_vida!$P$228,EXP(-E235*E2_tabla_vida!$X$229)*E2_tabla_vida!$P$229,EXP(-E235*E2_tabla_vida!$X$230)*E2_tabla_vida!$P$230,EXP(-E235*E2_tabla_vida!$X$231)*E2_tabla_vida!$P$231,EXP(-E235*E2_tabla_vida!$X$232)*E2_tabla_vida!$P$232,EXP(-E235*E2_tabla_vida!$X$233)*E2_tabla_vida!$P$233,EXP(-E235*E2_tabla_vida!$X$234)*E2_tabla_vida!$P$234,EXP(-E235*E2_tabla_vida!$X$235)*E2_tabla_vida!$P$235,EXP(-E235*E2_tabla_vida!$X$236)*E2_tabla_vida!$P$236,EXP(-E235*E2_tabla_vida!$X$237)*E2_tabla_vida!$P$237,EXP(-E235*E2_tabla_vida!$X$238)*E2_tabla_vida!$P$238,EXP(-E235*E2_tabla_vida!$X$239)*E2_tabla_vida!$P$239,EXP(-E235*E2_tabla_vida!$X$240)*E2_tabla_vida!$P$240,EXP(-E235*E2_tabla_vida!$X$241)*E2_tabla_vida!$P$241,EXP(-E235*E2_tabla_vida!$X$242)*E2_tabla_vida!$P$242,EXP(-E235*E2_tabla_vida!$X$243)*E2_tabla_vida!$P$243,EXP(-E235*E2_tabla_vida!$X$244)*E2_tabla_vida!$P$244,EXP(-E235*E2_tabla_vida!$X$245)*E2_tabla_vida!$P$245,EXP(-E235*E2_tabla_vida!$X$246)*E2_tabla_vida!$P$246,EXP(-E235*E2_tabla_vida!$X$247)*E2_tabla_vida!$P$247,EXP(-E235*E2_tabla_vida!$X$248)*E2_tabla_vida!$P$248,EXP(-E235*E2_tabla_vida!$X$249)*E2_tabla_vida!$P$249,EXP(-E235*E2_tabla_vida!$X$250)*E2_tabla_vida!$P$250,EXP(-E235*E2_tabla_vida!$X$251)*E2_tabla_vida!$P$251,EXP(-E235*E2_tabla_vida!$X$252)*E2_tabla_vida!$P$252,EXP(-E235*E2_tabla_vida!$X$253)*E2_tabla_vida!$P$253)-1</x:f>
        <x:v>-0.7774321790119307</x:v>
      </x:c>
      <x:c r="G235" s="24" t="n">
        <x:f>SUM(EXP(-C235*E2_tabla_vida!$X$212)*E2_tabla_vida!$P$212,EXP(-C235*E2_tabla_vida!$X$213)*E2_tabla_vida!$P$213,EXP(-C235*E2_tabla_vida!$X$214)*E2_tabla_vida!$P$214,EXP(-C235*E2_tabla_vida!$X$215)*E2_tabla_vida!$P$215,EXP(-C235*E2_tabla_vida!$X$216)*E2_tabla_vida!$P$216,EXP(-C235*E2_tabla_vida!$X$217)*E2_tabla_vida!$P$217,EXP(-C235*E2_tabla_vida!$X$218)*E2_tabla_vida!$P$218,EXP(-C235*E2_tabla_vida!$X$219)*E2_tabla_vida!$P$219,EXP(-C235*E2_tabla_vida!$X$220)*E2_tabla_vida!$P$220,EXP(-C235*E2_tabla_vida!$X$221)*E2_tabla_vida!$P$221,EXP(-C235*E2_tabla_vida!$X$222)*E2_tabla_vida!$P$222,EXP(-C235*E2_tabla_vida!$X$223)*E2_tabla_vida!$P$223,EXP(-C235*E2_tabla_vida!$X$224)*E2_tabla_vida!$P$224,EXP(-C235*E2_tabla_vida!$X$225)*E2_tabla_vida!$P$225,EXP(-C235*E2_tabla_vida!$X$226)*E2_tabla_vida!$P$226,EXP(-C235*E2_tabla_vida!$X$227)*E2_tabla_vida!$P$227,EXP(-C235*E2_tabla_vida!$X$228)*E2_tabla_vida!$P$228,EXP(-C235*E2_tabla_vida!$X$229)*E2_tabla_vida!$P$229,EXP(-C235*E2_tabla_vida!$X$230)*E2_tabla_vida!$P$230,EXP(-C235*E2_tabla_vida!$X$231)*E2_tabla_vida!$P$231,EXP(-C235*E2_tabla_vida!$X$232)*E2_tabla_vida!$P$232,EXP(-C235*E2_tabla_vida!$X$233)*E2_tabla_vida!$P$233,EXP(-C235*E2_tabla_vida!$X$234)*E2_tabla_vida!$P$234,EXP(-C235*E2_tabla_vida!$X$235)*E2_tabla_vida!$P$235,EXP(-C235*E2_tabla_vida!$X$236)*E2_tabla_vida!$P$236,EXP(-C235*E2_tabla_vida!$X$237)*E2_tabla_vida!$P$237,EXP(-C235*E2_tabla_vida!$X$238)*E2_tabla_vida!$P$238,EXP(-C235*E2_tabla_vida!$X$239)*E2_tabla_vida!$P$239,EXP(-C235*E2_tabla_vida!$X$240)*E2_tabla_vida!$P$240,EXP(-C235*E2_tabla_vida!$X$241)*E2_tabla_vida!$P$241,EXP(-C235*E2_tabla_vida!$X$242)*E2_tabla_vida!$P$242,EXP(-C235*E2_tabla_vida!$X$243)*E2_tabla_vida!$P$243,EXP(-C235*E2_tabla_vida!$X$244)*E2_tabla_vida!$P$244,EXP(-C235*E2_tabla_vida!$X$245)*E2_tabla_vida!$P$245,EXP(-C235*E2_tabla_vida!$X$246)*E2_tabla_vida!$P$246,EXP(-C235*E2_tabla_vida!$X$247)*E2_tabla_vida!$P$247,EXP(-C235*E2_tabla_vida!$X$248)*E2_tabla_vida!$P$248,EXP(-C235*E2_tabla_vida!$X$249)*E2_tabla_vida!$P$249,EXP(-C235*E2_tabla_vida!$X$250)*E2_tabla_vida!$P$250,EXP(-C235*E2_tabla_vida!$X$251)*E2_tabla_vida!$P$251,EXP(-C235*E2_tabla_vida!$X$252)*E2_tabla_vida!$P$252,EXP(-C235*E2_tabla_vida!$X$253)*E2_tabla_vida!$P$253)-1</x:f>
        <x:v>2.906673457275284</x:v>
      </x:c>
      <x:c r="H235" s="24" t="n">
        <x:f>SUM(EXP(-D235*E2_tabla_vida!$X$212)*E2_tabla_vida!$P$212,EXP(-D235*E2_tabla_vida!$X$213)*E2_tabla_vida!$P$213,EXP(-D235*E2_tabla_vida!$X$214)*E2_tabla_vida!$P$214,EXP(-D235*E2_tabla_vida!$X$215)*E2_tabla_vida!$P$215,EXP(-D235*E2_tabla_vida!$X$216)*E2_tabla_vida!$P$216,EXP(-D235*E2_tabla_vida!$X$217)*E2_tabla_vida!$P$217,EXP(-D235*E2_tabla_vida!$X$218)*E2_tabla_vida!$P$218,EXP(-D235*E2_tabla_vida!$X$219)*E2_tabla_vida!$P$219,EXP(-D235*E2_tabla_vida!$X$220)*E2_tabla_vida!$P$220,EXP(-D235*E2_tabla_vida!$X$221)*E2_tabla_vida!$P$221,EXP(-D235*E2_tabla_vida!$X$222)*E2_tabla_vida!$P$222,EXP(-D235*E2_tabla_vida!$X$223)*E2_tabla_vida!$P$223,EXP(-D235*E2_tabla_vida!$X$224)*E2_tabla_vida!$P$224,EXP(-D235*E2_tabla_vida!$X$225)*E2_tabla_vida!$P$225,EXP(-D235*E2_tabla_vida!$X$226)*E2_tabla_vida!$P$226,EXP(-D235*E2_tabla_vida!$X$227)*E2_tabla_vida!$P$227,EXP(-D235*E2_tabla_vida!$X$228)*E2_tabla_vida!$P$228,EXP(-D235*E2_tabla_vida!$X$229)*E2_tabla_vida!$P$229,EXP(-D235*E2_tabla_vida!$X$230)*E2_tabla_vida!$P$230,EXP(-D235*E2_tabla_vida!$X$231)*E2_tabla_vida!$P$231,EXP(-D235*E2_tabla_vida!$X$232)*E2_tabla_vida!$P$232,EXP(-D235*E2_tabla_vida!$X$233)*E2_tabla_vida!$P$233,EXP(-D235*E2_tabla_vida!$X$234)*E2_tabla_vida!$P$234,EXP(-D235*E2_tabla_vida!$X$235)*E2_tabla_vida!$P$235,EXP(-D235*E2_tabla_vida!$X$236)*E2_tabla_vida!$P$236,EXP(-D235*E2_tabla_vida!$X$237)*E2_tabla_vida!$P$237,EXP(-D235*E2_tabla_vida!$X$238)*E2_tabla_vida!$P$238,EXP(-D235*E2_tabla_vida!$X$239)*E2_tabla_vida!$P$239,EXP(-D235*E2_tabla_vida!$X$240)*E2_tabla_vida!$P$240,EXP(-D235*E2_tabla_vida!$X$241)*E2_tabla_vida!$P$241,EXP(-D235*E2_tabla_vida!$X$242)*E2_tabla_vida!$P$242,EXP(-D235*E2_tabla_vida!$X$243)*E2_tabla_vida!$P$243,EXP(-D235*E2_tabla_vida!$X$244)*E2_tabla_vida!$P$244,EXP(-D235*E2_tabla_vida!$X$245)*E2_tabla_vida!$P$245,EXP(-D235*E2_tabla_vida!$X$246)*E2_tabla_vida!$P$246,EXP(-D235*E2_tabla_vida!$X$247)*E2_tabla_vida!$P$247,EXP(-D235*E2_tabla_vida!$X$248)*E2_tabla_vida!$P$248,EXP(-D235*E2_tabla_vida!$X$249)*E2_tabla_vida!$P$249,EXP(-D235*E2_tabla_vida!$X$250)*E2_tabla_vida!$P$250,EXP(-D235*E2_tabla_vida!$X$251)*E2_tabla_vida!$P$251,EXP(-D235*E2_tabla_vida!$X$252)*E2_tabla_vida!$P$252,EXP(-D235*E2_tabla_vida!$X$253)*E2_tabla_vida!$P$253)-1</x:f>
        <x:v>-0.983042949123139</x:v>
      </x:c>
    </x:row>
    <x:row r="236" ht="19" customHeight="1">
      <x:c r="A236" s="2" t="str">
        <x:v>BB_L7</x:v>
      </x:c>
      <x:c r="B236" s="2" t="n">
        <x:v>4</x:v>
      </x:c>
      <x:c r="C236" s="22" t="n">
        <x:f>IF(F235&gt;0,E235,C235)</x:f>
        <x:v>0.125</x:v>
      </x:c>
      <x:c r="D236" s="22" t="n">
        <x:f>IF(F235&gt;0,D235,E235)</x:f>
        <x:v>0.3125</x:v>
      </x:c>
      <x:c r="E236" s="22" t="n">
        <x:f>AVERAGE(C236:D236)</x:f>
        <x:v>0.21875</x:v>
      </x:c>
      <x:c r="F236" s="24" t="n">
        <x:f>SUM(EXP(-E236*E2_tabla_vida!$X$212)*E2_tabla_vida!$P$212,EXP(-E236*E2_tabla_vida!$X$213)*E2_tabla_vida!$P$213,EXP(-E236*E2_tabla_vida!$X$214)*E2_tabla_vida!$P$214,EXP(-E236*E2_tabla_vida!$X$215)*E2_tabla_vida!$P$215,EXP(-E236*E2_tabla_vida!$X$216)*E2_tabla_vida!$P$216,EXP(-E236*E2_tabla_vida!$X$217)*E2_tabla_vida!$P$217,EXP(-E236*E2_tabla_vida!$X$218)*E2_tabla_vida!$P$218,EXP(-E236*E2_tabla_vida!$X$219)*E2_tabla_vida!$P$219,EXP(-E236*E2_tabla_vida!$X$220)*E2_tabla_vida!$P$220,EXP(-E236*E2_tabla_vida!$X$221)*E2_tabla_vida!$P$221,EXP(-E236*E2_tabla_vida!$X$222)*E2_tabla_vida!$P$222,EXP(-E236*E2_tabla_vida!$X$223)*E2_tabla_vida!$P$223,EXP(-E236*E2_tabla_vida!$X$224)*E2_tabla_vida!$P$224,EXP(-E236*E2_tabla_vida!$X$225)*E2_tabla_vida!$P$225,EXP(-E236*E2_tabla_vida!$X$226)*E2_tabla_vida!$P$226,EXP(-E236*E2_tabla_vida!$X$227)*E2_tabla_vida!$P$227,EXP(-E236*E2_tabla_vida!$X$228)*E2_tabla_vida!$P$228,EXP(-E236*E2_tabla_vida!$X$229)*E2_tabla_vida!$P$229,EXP(-E236*E2_tabla_vida!$X$230)*E2_tabla_vida!$P$230,EXP(-E236*E2_tabla_vida!$X$231)*E2_tabla_vida!$P$231,EXP(-E236*E2_tabla_vida!$X$232)*E2_tabla_vida!$P$232,EXP(-E236*E2_tabla_vida!$X$233)*E2_tabla_vida!$P$233,EXP(-E236*E2_tabla_vida!$X$234)*E2_tabla_vida!$P$234,EXP(-E236*E2_tabla_vida!$X$235)*E2_tabla_vida!$P$235,EXP(-E236*E2_tabla_vida!$X$236)*E2_tabla_vida!$P$236,EXP(-E236*E2_tabla_vida!$X$237)*E2_tabla_vida!$P$237,EXP(-E236*E2_tabla_vida!$X$238)*E2_tabla_vida!$P$238,EXP(-E236*E2_tabla_vida!$X$239)*E2_tabla_vida!$P$239,EXP(-E236*E2_tabla_vida!$X$240)*E2_tabla_vida!$P$240,EXP(-E236*E2_tabla_vida!$X$241)*E2_tabla_vida!$P$241,EXP(-E236*E2_tabla_vida!$X$242)*E2_tabla_vida!$P$242,EXP(-E236*E2_tabla_vida!$X$243)*E2_tabla_vida!$P$243,EXP(-E236*E2_tabla_vida!$X$244)*E2_tabla_vida!$P$244,EXP(-E236*E2_tabla_vida!$X$245)*E2_tabla_vida!$P$245,EXP(-E236*E2_tabla_vida!$X$246)*E2_tabla_vida!$P$246,EXP(-E236*E2_tabla_vida!$X$247)*E2_tabla_vida!$P$247,EXP(-E236*E2_tabla_vida!$X$248)*E2_tabla_vida!$P$248,EXP(-E236*E2_tabla_vida!$X$249)*E2_tabla_vida!$P$249,EXP(-E236*E2_tabla_vida!$X$250)*E2_tabla_vida!$P$250,EXP(-E236*E2_tabla_vida!$X$251)*E2_tabla_vida!$P$251,EXP(-E236*E2_tabla_vida!$X$252)*E2_tabla_vida!$P$252,EXP(-E236*E2_tabla_vida!$X$253)*E2_tabla_vida!$P$253)-1</x:f>
        <x:v>-0.11362356530096507</x:v>
      </x:c>
      <x:c r="G236" s="24" t="n">
        <x:f>SUM(EXP(-C236*E2_tabla_vida!$X$212)*E2_tabla_vida!$P$212,EXP(-C236*E2_tabla_vida!$X$213)*E2_tabla_vida!$P$213,EXP(-C236*E2_tabla_vida!$X$214)*E2_tabla_vida!$P$214,EXP(-C236*E2_tabla_vida!$X$215)*E2_tabla_vida!$P$215,EXP(-C236*E2_tabla_vida!$X$216)*E2_tabla_vida!$P$216,EXP(-C236*E2_tabla_vida!$X$217)*E2_tabla_vida!$P$217,EXP(-C236*E2_tabla_vida!$X$218)*E2_tabla_vida!$P$218,EXP(-C236*E2_tabla_vida!$X$219)*E2_tabla_vida!$P$219,EXP(-C236*E2_tabla_vida!$X$220)*E2_tabla_vida!$P$220,EXP(-C236*E2_tabla_vida!$X$221)*E2_tabla_vida!$P$221,EXP(-C236*E2_tabla_vida!$X$222)*E2_tabla_vida!$P$222,EXP(-C236*E2_tabla_vida!$X$223)*E2_tabla_vida!$P$223,EXP(-C236*E2_tabla_vida!$X$224)*E2_tabla_vida!$P$224,EXP(-C236*E2_tabla_vida!$X$225)*E2_tabla_vida!$P$225,EXP(-C236*E2_tabla_vida!$X$226)*E2_tabla_vida!$P$226,EXP(-C236*E2_tabla_vida!$X$227)*E2_tabla_vida!$P$227,EXP(-C236*E2_tabla_vida!$X$228)*E2_tabla_vida!$P$228,EXP(-C236*E2_tabla_vida!$X$229)*E2_tabla_vida!$P$229,EXP(-C236*E2_tabla_vida!$X$230)*E2_tabla_vida!$P$230,EXP(-C236*E2_tabla_vida!$X$231)*E2_tabla_vida!$P$231,EXP(-C236*E2_tabla_vida!$X$232)*E2_tabla_vida!$P$232,EXP(-C236*E2_tabla_vida!$X$233)*E2_tabla_vida!$P$233,EXP(-C236*E2_tabla_vida!$X$234)*E2_tabla_vida!$P$234,EXP(-C236*E2_tabla_vida!$X$235)*E2_tabla_vida!$P$235,EXP(-C236*E2_tabla_vida!$X$236)*E2_tabla_vida!$P$236,EXP(-C236*E2_tabla_vida!$X$237)*E2_tabla_vida!$P$237,EXP(-C236*E2_tabla_vida!$X$238)*E2_tabla_vida!$P$238,EXP(-C236*E2_tabla_vida!$X$239)*E2_tabla_vida!$P$239,EXP(-C236*E2_tabla_vida!$X$240)*E2_tabla_vida!$P$240,EXP(-C236*E2_tabla_vida!$X$241)*E2_tabla_vida!$P$241,EXP(-C236*E2_tabla_vida!$X$242)*E2_tabla_vida!$P$242,EXP(-C236*E2_tabla_vida!$X$243)*E2_tabla_vida!$P$243,EXP(-C236*E2_tabla_vida!$X$244)*E2_tabla_vida!$P$244,EXP(-C236*E2_tabla_vida!$X$245)*E2_tabla_vida!$P$245,EXP(-C236*E2_tabla_vida!$X$246)*E2_tabla_vida!$P$246,EXP(-C236*E2_tabla_vida!$X$247)*E2_tabla_vida!$P$247,EXP(-C236*E2_tabla_vida!$X$248)*E2_tabla_vida!$P$248,EXP(-C236*E2_tabla_vida!$X$249)*E2_tabla_vida!$P$249,EXP(-C236*E2_tabla_vida!$X$250)*E2_tabla_vida!$P$250,EXP(-C236*E2_tabla_vida!$X$251)*E2_tabla_vida!$P$251,EXP(-C236*E2_tabla_vida!$X$252)*E2_tabla_vida!$P$252,EXP(-C236*E2_tabla_vida!$X$253)*E2_tabla_vida!$P$253)-1</x:f>
        <x:v>2.906673457275284</x:v>
      </x:c>
      <x:c r="H236" s="24" t="n">
        <x:f>SUM(EXP(-D236*E2_tabla_vida!$X$212)*E2_tabla_vida!$P$212,EXP(-D236*E2_tabla_vida!$X$213)*E2_tabla_vida!$P$213,EXP(-D236*E2_tabla_vida!$X$214)*E2_tabla_vida!$P$214,EXP(-D236*E2_tabla_vida!$X$215)*E2_tabla_vida!$P$215,EXP(-D236*E2_tabla_vida!$X$216)*E2_tabla_vida!$P$216,EXP(-D236*E2_tabla_vida!$X$217)*E2_tabla_vida!$P$217,EXP(-D236*E2_tabla_vida!$X$218)*E2_tabla_vida!$P$218,EXP(-D236*E2_tabla_vida!$X$219)*E2_tabla_vida!$P$219,EXP(-D236*E2_tabla_vida!$X$220)*E2_tabla_vida!$P$220,EXP(-D236*E2_tabla_vida!$X$221)*E2_tabla_vida!$P$221,EXP(-D236*E2_tabla_vida!$X$222)*E2_tabla_vida!$P$222,EXP(-D236*E2_tabla_vida!$X$223)*E2_tabla_vida!$P$223,EXP(-D236*E2_tabla_vida!$X$224)*E2_tabla_vida!$P$224,EXP(-D236*E2_tabla_vida!$X$225)*E2_tabla_vida!$P$225,EXP(-D236*E2_tabla_vida!$X$226)*E2_tabla_vida!$P$226,EXP(-D236*E2_tabla_vida!$X$227)*E2_tabla_vida!$P$227,EXP(-D236*E2_tabla_vida!$X$228)*E2_tabla_vida!$P$228,EXP(-D236*E2_tabla_vida!$X$229)*E2_tabla_vida!$P$229,EXP(-D236*E2_tabla_vida!$X$230)*E2_tabla_vida!$P$230,EXP(-D236*E2_tabla_vida!$X$231)*E2_tabla_vida!$P$231,EXP(-D236*E2_tabla_vida!$X$232)*E2_tabla_vida!$P$232,EXP(-D236*E2_tabla_vida!$X$233)*E2_tabla_vida!$P$233,EXP(-D236*E2_tabla_vida!$X$234)*E2_tabla_vida!$P$234,EXP(-D236*E2_tabla_vida!$X$235)*E2_tabla_vida!$P$235,EXP(-D236*E2_tabla_vida!$X$236)*E2_tabla_vida!$P$236,EXP(-D236*E2_tabla_vida!$X$237)*E2_tabla_vida!$P$237,EXP(-D236*E2_tabla_vida!$X$238)*E2_tabla_vida!$P$238,EXP(-D236*E2_tabla_vida!$X$239)*E2_tabla_vida!$P$239,EXP(-D236*E2_tabla_vida!$X$240)*E2_tabla_vida!$P$240,EXP(-D236*E2_tabla_vida!$X$241)*E2_tabla_vida!$P$241,EXP(-D236*E2_tabla_vida!$X$242)*E2_tabla_vida!$P$242,EXP(-D236*E2_tabla_vida!$X$243)*E2_tabla_vida!$P$243,EXP(-D236*E2_tabla_vida!$X$244)*E2_tabla_vida!$P$244,EXP(-D236*E2_tabla_vida!$X$245)*E2_tabla_vida!$P$245,EXP(-D236*E2_tabla_vida!$X$246)*E2_tabla_vida!$P$246,EXP(-D236*E2_tabla_vida!$X$247)*E2_tabla_vida!$P$247,EXP(-D236*E2_tabla_vida!$X$248)*E2_tabla_vida!$P$248,EXP(-D236*E2_tabla_vida!$X$249)*E2_tabla_vida!$P$249,EXP(-D236*E2_tabla_vida!$X$250)*E2_tabla_vida!$P$250,EXP(-D236*E2_tabla_vida!$X$251)*E2_tabla_vida!$P$251,EXP(-D236*E2_tabla_vida!$X$252)*E2_tabla_vida!$P$252,EXP(-D236*E2_tabla_vida!$X$253)*E2_tabla_vida!$P$253)-1</x:f>
        <x:v>-0.7774321790119307</x:v>
      </x:c>
    </x:row>
    <x:row r="237" ht="19" customHeight="1">
      <x:c r="A237" s="2" t="str">
        <x:v>BB_L7</x:v>
      </x:c>
      <x:c r="B237" s="2" t="n">
        <x:v>5</x:v>
      </x:c>
      <x:c r="C237" s="22" t="n">
        <x:f>IF(F236&gt;0,E236,C236)</x:f>
        <x:v>0.125</x:v>
      </x:c>
      <x:c r="D237" s="22" t="n">
        <x:f>IF(F236&gt;0,D236,E236)</x:f>
        <x:v>0.21875</x:v>
      </x:c>
      <x:c r="E237" s="22" t="n">
        <x:f>AVERAGE(C237:D237)</x:f>
        <x:v>0.171875</x:v>
      </x:c>
      <x:c r="F237" s="24" t="n">
        <x:f>SUM(EXP(-E237*E2_tabla_vida!$X$212)*E2_tabla_vida!$P$212,EXP(-E237*E2_tabla_vida!$X$213)*E2_tabla_vida!$P$213,EXP(-E237*E2_tabla_vida!$X$214)*E2_tabla_vida!$P$214,EXP(-E237*E2_tabla_vida!$X$215)*E2_tabla_vida!$P$215,EXP(-E237*E2_tabla_vida!$X$216)*E2_tabla_vida!$P$216,EXP(-E237*E2_tabla_vida!$X$217)*E2_tabla_vida!$P$217,EXP(-E237*E2_tabla_vida!$X$218)*E2_tabla_vida!$P$218,EXP(-E237*E2_tabla_vida!$X$219)*E2_tabla_vida!$P$219,EXP(-E237*E2_tabla_vida!$X$220)*E2_tabla_vida!$P$220,EXP(-E237*E2_tabla_vida!$X$221)*E2_tabla_vida!$P$221,EXP(-E237*E2_tabla_vida!$X$222)*E2_tabla_vida!$P$222,EXP(-E237*E2_tabla_vida!$X$223)*E2_tabla_vida!$P$223,EXP(-E237*E2_tabla_vida!$X$224)*E2_tabla_vida!$P$224,EXP(-E237*E2_tabla_vida!$X$225)*E2_tabla_vida!$P$225,EXP(-E237*E2_tabla_vida!$X$226)*E2_tabla_vida!$P$226,EXP(-E237*E2_tabla_vida!$X$227)*E2_tabla_vida!$P$227,EXP(-E237*E2_tabla_vida!$X$228)*E2_tabla_vida!$P$228,EXP(-E237*E2_tabla_vida!$X$229)*E2_tabla_vida!$P$229,EXP(-E237*E2_tabla_vida!$X$230)*E2_tabla_vida!$P$230,EXP(-E237*E2_tabla_vida!$X$231)*E2_tabla_vida!$P$231,EXP(-E237*E2_tabla_vida!$X$232)*E2_tabla_vida!$P$232,EXP(-E237*E2_tabla_vida!$X$233)*E2_tabla_vida!$P$233,EXP(-E237*E2_tabla_vida!$X$234)*E2_tabla_vida!$P$234,EXP(-E237*E2_tabla_vida!$X$235)*E2_tabla_vida!$P$235,EXP(-E237*E2_tabla_vida!$X$236)*E2_tabla_vida!$P$236,EXP(-E237*E2_tabla_vida!$X$237)*E2_tabla_vida!$P$237,EXP(-E237*E2_tabla_vida!$X$238)*E2_tabla_vida!$P$238,EXP(-E237*E2_tabla_vida!$X$239)*E2_tabla_vida!$P$239,EXP(-E237*E2_tabla_vida!$X$240)*E2_tabla_vida!$P$240,EXP(-E237*E2_tabla_vida!$X$241)*E2_tabla_vida!$P$241,EXP(-E237*E2_tabla_vida!$X$242)*E2_tabla_vida!$P$242,EXP(-E237*E2_tabla_vida!$X$243)*E2_tabla_vida!$P$243,EXP(-E237*E2_tabla_vida!$X$244)*E2_tabla_vida!$P$244,EXP(-E237*E2_tabla_vida!$X$245)*E2_tabla_vida!$P$245,EXP(-E237*E2_tabla_vida!$X$246)*E2_tabla_vida!$P$246,EXP(-E237*E2_tabla_vida!$X$247)*E2_tabla_vida!$P$247,EXP(-E237*E2_tabla_vida!$X$248)*E2_tabla_vida!$P$248,EXP(-E237*E2_tabla_vida!$X$249)*E2_tabla_vida!$P$249,EXP(-E237*E2_tabla_vida!$X$250)*E2_tabla_vida!$P$250,EXP(-E237*E2_tabla_vida!$X$251)*E2_tabla_vida!$P$251,EXP(-E237*E2_tabla_vida!$X$252)*E2_tabla_vida!$P$252,EXP(-E237*E2_tabla_vida!$X$253)*E2_tabla_vida!$P$253)-1</x:f>
        <x:v>0.832812700191818</x:v>
      </x:c>
      <x:c r="G237" s="24" t="n">
        <x:f>SUM(EXP(-C237*E2_tabla_vida!$X$212)*E2_tabla_vida!$P$212,EXP(-C237*E2_tabla_vida!$X$213)*E2_tabla_vida!$P$213,EXP(-C237*E2_tabla_vida!$X$214)*E2_tabla_vida!$P$214,EXP(-C237*E2_tabla_vida!$X$215)*E2_tabla_vida!$P$215,EXP(-C237*E2_tabla_vida!$X$216)*E2_tabla_vida!$P$216,EXP(-C237*E2_tabla_vida!$X$217)*E2_tabla_vida!$P$217,EXP(-C237*E2_tabla_vida!$X$218)*E2_tabla_vida!$P$218,EXP(-C237*E2_tabla_vida!$X$219)*E2_tabla_vida!$P$219,EXP(-C237*E2_tabla_vida!$X$220)*E2_tabla_vida!$P$220,EXP(-C237*E2_tabla_vida!$X$221)*E2_tabla_vida!$P$221,EXP(-C237*E2_tabla_vida!$X$222)*E2_tabla_vida!$P$222,EXP(-C237*E2_tabla_vida!$X$223)*E2_tabla_vida!$P$223,EXP(-C237*E2_tabla_vida!$X$224)*E2_tabla_vida!$P$224,EXP(-C237*E2_tabla_vida!$X$225)*E2_tabla_vida!$P$225,EXP(-C237*E2_tabla_vida!$X$226)*E2_tabla_vida!$P$226,EXP(-C237*E2_tabla_vida!$X$227)*E2_tabla_vida!$P$227,EXP(-C237*E2_tabla_vida!$X$228)*E2_tabla_vida!$P$228,EXP(-C237*E2_tabla_vida!$X$229)*E2_tabla_vida!$P$229,EXP(-C237*E2_tabla_vida!$X$230)*E2_tabla_vida!$P$230,EXP(-C237*E2_tabla_vida!$X$231)*E2_tabla_vida!$P$231,EXP(-C237*E2_tabla_vida!$X$232)*E2_tabla_vida!$P$232,EXP(-C237*E2_tabla_vida!$X$233)*E2_tabla_vida!$P$233,EXP(-C237*E2_tabla_vida!$X$234)*E2_tabla_vida!$P$234,EXP(-C237*E2_tabla_vida!$X$235)*E2_tabla_vida!$P$235,EXP(-C237*E2_tabla_vida!$X$236)*E2_tabla_vida!$P$236,EXP(-C237*E2_tabla_vida!$X$237)*E2_tabla_vida!$P$237,EXP(-C237*E2_tabla_vida!$X$238)*E2_tabla_vida!$P$238,EXP(-C237*E2_tabla_vida!$X$239)*E2_tabla_vida!$P$239,EXP(-C237*E2_tabla_vida!$X$240)*E2_tabla_vida!$P$240,EXP(-C237*E2_tabla_vida!$X$241)*E2_tabla_vida!$P$241,EXP(-C237*E2_tabla_vida!$X$242)*E2_tabla_vida!$P$242,EXP(-C237*E2_tabla_vida!$X$243)*E2_tabla_vida!$P$243,EXP(-C237*E2_tabla_vida!$X$244)*E2_tabla_vida!$P$244,EXP(-C237*E2_tabla_vida!$X$245)*E2_tabla_vida!$P$245,EXP(-C237*E2_tabla_vida!$X$246)*E2_tabla_vida!$P$246,EXP(-C237*E2_tabla_vida!$X$247)*E2_tabla_vida!$P$247,EXP(-C237*E2_tabla_vida!$X$248)*E2_tabla_vida!$P$248,EXP(-C237*E2_tabla_vida!$X$249)*E2_tabla_vida!$P$249,EXP(-C237*E2_tabla_vida!$X$250)*E2_tabla_vida!$P$250,EXP(-C237*E2_tabla_vida!$X$251)*E2_tabla_vida!$P$251,EXP(-C237*E2_tabla_vida!$X$252)*E2_tabla_vida!$P$252,EXP(-C237*E2_tabla_vida!$X$253)*E2_tabla_vida!$P$253)-1</x:f>
        <x:v>2.906673457275284</x:v>
      </x:c>
      <x:c r="H237" s="24" t="n">
        <x:f>SUM(EXP(-D237*E2_tabla_vida!$X$212)*E2_tabla_vida!$P$212,EXP(-D237*E2_tabla_vida!$X$213)*E2_tabla_vida!$P$213,EXP(-D237*E2_tabla_vida!$X$214)*E2_tabla_vida!$P$214,EXP(-D237*E2_tabla_vida!$X$215)*E2_tabla_vida!$P$215,EXP(-D237*E2_tabla_vida!$X$216)*E2_tabla_vida!$P$216,EXP(-D237*E2_tabla_vida!$X$217)*E2_tabla_vida!$P$217,EXP(-D237*E2_tabla_vida!$X$218)*E2_tabla_vida!$P$218,EXP(-D237*E2_tabla_vida!$X$219)*E2_tabla_vida!$P$219,EXP(-D237*E2_tabla_vida!$X$220)*E2_tabla_vida!$P$220,EXP(-D237*E2_tabla_vida!$X$221)*E2_tabla_vida!$P$221,EXP(-D237*E2_tabla_vida!$X$222)*E2_tabla_vida!$P$222,EXP(-D237*E2_tabla_vida!$X$223)*E2_tabla_vida!$P$223,EXP(-D237*E2_tabla_vida!$X$224)*E2_tabla_vida!$P$224,EXP(-D237*E2_tabla_vida!$X$225)*E2_tabla_vida!$P$225,EXP(-D237*E2_tabla_vida!$X$226)*E2_tabla_vida!$P$226,EXP(-D237*E2_tabla_vida!$X$227)*E2_tabla_vida!$P$227,EXP(-D237*E2_tabla_vida!$X$228)*E2_tabla_vida!$P$228,EXP(-D237*E2_tabla_vida!$X$229)*E2_tabla_vida!$P$229,EXP(-D237*E2_tabla_vida!$X$230)*E2_tabla_vida!$P$230,EXP(-D237*E2_tabla_vida!$X$231)*E2_tabla_vida!$P$231,EXP(-D237*E2_tabla_vida!$X$232)*E2_tabla_vida!$P$232,EXP(-D237*E2_tabla_vida!$X$233)*E2_tabla_vida!$P$233,EXP(-D237*E2_tabla_vida!$X$234)*E2_tabla_vida!$P$234,EXP(-D237*E2_tabla_vida!$X$235)*E2_tabla_vida!$P$235,EXP(-D237*E2_tabla_vida!$X$236)*E2_tabla_vida!$P$236,EXP(-D237*E2_tabla_vida!$X$237)*E2_tabla_vida!$P$237,EXP(-D237*E2_tabla_vida!$X$238)*E2_tabla_vida!$P$238,EXP(-D237*E2_tabla_vida!$X$239)*E2_tabla_vida!$P$239,EXP(-D237*E2_tabla_vida!$X$240)*E2_tabla_vida!$P$240,EXP(-D237*E2_tabla_vida!$X$241)*E2_tabla_vida!$P$241,EXP(-D237*E2_tabla_vida!$X$242)*E2_tabla_vida!$P$242,EXP(-D237*E2_tabla_vida!$X$243)*E2_tabla_vida!$P$243,EXP(-D237*E2_tabla_vida!$X$244)*E2_tabla_vida!$P$244,EXP(-D237*E2_tabla_vida!$X$245)*E2_tabla_vida!$P$245,EXP(-D237*E2_tabla_vida!$X$246)*E2_tabla_vida!$P$246,EXP(-D237*E2_tabla_vida!$X$247)*E2_tabla_vida!$P$247,EXP(-D237*E2_tabla_vida!$X$248)*E2_tabla_vida!$P$248,EXP(-D237*E2_tabla_vida!$X$249)*E2_tabla_vida!$P$249,EXP(-D237*E2_tabla_vida!$X$250)*E2_tabla_vida!$P$250,EXP(-D237*E2_tabla_vida!$X$251)*E2_tabla_vida!$P$251,EXP(-D237*E2_tabla_vida!$X$252)*E2_tabla_vida!$P$252,EXP(-D237*E2_tabla_vida!$X$253)*E2_tabla_vida!$P$253)-1</x:f>
        <x:v>-0.11362356530096507</x:v>
      </x:c>
    </x:row>
    <x:row r="238" ht="19" customHeight="1">
      <x:c r="A238" s="2" t="str">
        <x:v>BB_L7</x:v>
      </x:c>
      <x:c r="B238" s="2" t="n">
        <x:v>6</x:v>
      </x:c>
      <x:c r="C238" s="22" t="n">
        <x:f>IF(F237&gt;0,E237,C237)</x:f>
        <x:v>0.171875</x:v>
      </x:c>
      <x:c r="D238" s="22" t="n">
        <x:f>IF(F237&gt;0,D237,E237)</x:f>
        <x:v>0.21875</x:v>
      </x:c>
      <x:c r="E238" s="22" t="n">
        <x:f>AVERAGE(C238:D238)</x:f>
        <x:v>0.1953125</x:v>
      </x:c>
      <x:c r="F238" s="24" t="n">
        <x:f>SUM(EXP(-E238*E2_tabla_vida!$X$212)*E2_tabla_vida!$P$212,EXP(-E238*E2_tabla_vida!$X$213)*E2_tabla_vida!$P$213,EXP(-E238*E2_tabla_vida!$X$214)*E2_tabla_vida!$P$214,EXP(-E238*E2_tabla_vida!$X$215)*E2_tabla_vida!$P$215,EXP(-E238*E2_tabla_vida!$X$216)*E2_tabla_vida!$P$216,EXP(-E238*E2_tabla_vida!$X$217)*E2_tabla_vida!$P$217,EXP(-E238*E2_tabla_vida!$X$218)*E2_tabla_vida!$P$218,EXP(-E238*E2_tabla_vida!$X$219)*E2_tabla_vida!$P$219,EXP(-E238*E2_tabla_vida!$X$220)*E2_tabla_vida!$P$220,EXP(-E238*E2_tabla_vida!$X$221)*E2_tabla_vida!$P$221,EXP(-E238*E2_tabla_vida!$X$222)*E2_tabla_vida!$P$222,EXP(-E238*E2_tabla_vida!$X$223)*E2_tabla_vida!$P$223,EXP(-E238*E2_tabla_vida!$X$224)*E2_tabla_vida!$P$224,EXP(-E238*E2_tabla_vida!$X$225)*E2_tabla_vida!$P$225,EXP(-E238*E2_tabla_vida!$X$226)*E2_tabla_vida!$P$226,EXP(-E238*E2_tabla_vida!$X$227)*E2_tabla_vida!$P$227,EXP(-E238*E2_tabla_vida!$X$228)*E2_tabla_vida!$P$228,EXP(-E238*E2_tabla_vida!$X$229)*E2_tabla_vida!$P$229,EXP(-E238*E2_tabla_vida!$X$230)*E2_tabla_vida!$P$230,EXP(-E238*E2_tabla_vida!$X$231)*E2_tabla_vida!$P$231,EXP(-E238*E2_tabla_vida!$X$232)*E2_tabla_vida!$P$232,EXP(-E238*E2_tabla_vida!$X$233)*E2_tabla_vida!$P$233,EXP(-E238*E2_tabla_vida!$X$234)*E2_tabla_vida!$P$234,EXP(-E238*E2_tabla_vida!$X$235)*E2_tabla_vida!$P$235,EXP(-E238*E2_tabla_vida!$X$236)*E2_tabla_vida!$P$236,EXP(-E238*E2_tabla_vida!$X$237)*E2_tabla_vida!$P$237,EXP(-E238*E2_tabla_vida!$X$238)*E2_tabla_vida!$P$238,EXP(-E238*E2_tabla_vida!$X$239)*E2_tabla_vida!$P$239,EXP(-E238*E2_tabla_vida!$X$240)*E2_tabla_vida!$P$240,EXP(-E238*E2_tabla_vida!$X$241)*E2_tabla_vida!$P$241,EXP(-E238*E2_tabla_vida!$X$242)*E2_tabla_vida!$P$242,EXP(-E238*E2_tabla_vida!$X$243)*E2_tabla_vida!$P$243,EXP(-E238*E2_tabla_vida!$X$244)*E2_tabla_vida!$P$244,EXP(-E238*E2_tabla_vida!$X$245)*E2_tabla_vida!$P$245,EXP(-E238*E2_tabla_vida!$X$246)*E2_tabla_vida!$P$246,EXP(-E238*E2_tabla_vida!$X$247)*E2_tabla_vida!$P$247,EXP(-E238*E2_tabla_vida!$X$248)*E2_tabla_vida!$P$248,EXP(-E238*E2_tabla_vida!$X$249)*E2_tabla_vida!$P$249,EXP(-E238*E2_tabla_vida!$X$250)*E2_tabla_vida!$P$250,EXP(-E238*E2_tabla_vida!$X$251)*E2_tabla_vida!$P$251,EXP(-E238*E2_tabla_vida!$X$252)*E2_tabla_vida!$P$252,EXP(-E238*E2_tabla_vida!$X$253)*E2_tabla_vida!$P$253)-1</x:f>
        <x:v>0.2701986208052465</x:v>
      </x:c>
      <x:c r="G238" s="24" t="n">
        <x:f>SUM(EXP(-C238*E2_tabla_vida!$X$212)*E2_tabla_vida!$P$212,EXP(-C238*E2_tabla_vida!$X$213)*E2_tabla_vida!$P$213,EXP(-C238*E2_tabla_vida!$X$214)*E2_tabla_vida!$P$214,EXP(-C238*E2_tabla_vida!$X$215)*E2_tabla_vida!$P$215,EXP(-C238*E2_tabla_vida!$X$216)*E2_tabla_vida!$P$216,EXP(-C238*E2_tabla_vida!$X$217)*E2_tabla_vida!$P$217,EXP(-C238*E2_tabla_vida!$X$218)*E2_tabla_vida!$P$218,EXP(-C238*E2_tabla_vida!$X$219)*E2_tabla_vida!$P$219,EXP(-C238*E2_tabla_vida!$X$220)*E2_tabla_vida!$P$220,EXP(-C238*E2_tabla_vida!$X$221)*E2_tabla_vida!$P$221,EXP(-C238*E2_tabla_vida!$X$222)*E2_tabla_vida!$P$222,EXP(-C238*E2_tabla_vida!$X$223)*E2_tabla_vida!$P$223,EXP(-C238*E2_tabla_vida!$X$224)*E2_tabla_vida!$P$224,EXP(-C238*E2_tabla_vida!$X$225)*E2_tabla_vida!$P$225,EXP(-C238*E2_tabla_vida!$X$226)*E2_tabla_vida!$P$226,EXP(-C238*E2_tabla_vida!$X$227)*E2_tabla_vida!$P$227,EXP(-C238*E2_tabla_vida!$X$228)*E2_tabla_vida!$P$228,EXP(-C238*E2_tabla_vida!$X$229)*E2_tabla_vida!$P$229,EXP(-C238*E2_tabla_vida!$X$230)*E2_tabla_vida!$P$230,EXP(-C238*E2_tabla_vida!$X$231)*E2_tabla_vida!$P$231,EXP(-C238*E2_tabla_vida!$X$232)*E2_tabla_vida!$P$232,EXP(-C238*E2_tabla_vida!$X$233)*E2_tabla_vida!$P$233,EXP(-C238*E2_tabla_vida!$X$234)*E2_tabla_vida!$P$234,EXP(-C238*E2_tabla_vida!$X$235)*E2_tabla_vida!$P$235,EXP(-C238*E2_tabla_vida!$X$236)*E2_tabla_vida!$P$236,EXP(-C238*E2_tabla_vida!$X$237)*E2_tabla_vida!$P$237,EXP(-C238*E2_tabla_vida!$X$238)*E2_tabla_vida!$P$238,EXP(-C238*E2_tabla_vida!$X$239)*E2_tabla_vida!$P$239,EXP(-C238*E2_tabla_vida!$X$240)*E2_tabla_vida!$P$240,EXP(-C238*E2_tabla_vida!$X$241)*E2_tabla_vida!$P$241,EXP(-C238*E2_tabla_vida!$X$242)*E2_tabla_vida!$P$242,EXP(-C238*E2_tabla_vida!$X$243)*E2_tabla_vida!$P$243,EXP(-C238*E2_tabla_vida!$X$244)*E2_tabla_vida!$P$244,EXP(-C238*E2_tabla_vida!$X$245)*E2_tabla_vida!$P$245,EXP(-C238*E2_tabla_vida!$X$246)*E2_tabla_vida!$P$246,EXP(-C238*E2_tabla_vida!$X$247)*E2_tabla_vida!$P$247,EXP(-C238*E2_tabla_vida!$X$248)*E2_tabla_vida!$P$248,EXP(-C238*E2_tabla_vida!$X$249)*E2_tabla_vida!$P$249,EXP(-C238*E2_tabla_vida!$X$250)*E2_tabla_vida!$P$250,EXP(-C238*E2_tabla_vida!$X$251)*E2_tabla_vida!$P$251,EXP(-C238*E2_tabla_vida!$X$252)*E2_tabla_vida!$P$252,EXP(-C238*E2_tabla_vida!$X$253)*E2_tabla_vida!$P$253)-1</x:f>
        <x:v>0.832812700191818</x:v>
      </x:c>
      <x:c r="H238" s="24" t="n">
        <x:f>SUM(EXP(-D238*E2_tabla_vida!$X$212)*E2_tabla_vida!$P$212,EXP(-D238*E2_tabla_vida!$X$213)*E2_tabla_vida!$P$213,EXP(-D238*E2_tabla_vida!$X$214)*E2_tabla_vida!$P$214,EXP(-D238*E2_tabla_vida!$X$215)*E2_tabla_vida!$P$215,EXP(-D238*E2_tabla_vida!$X$216)*E2_tabla_vida!$P$216,EXP(-D238*E2_tabla_vida!$X$217)*E2_tabla_vida!$P$217,EXP(-D238*E2_tabla_vida!$X$218)*E2_tabla_vida!$P$218,EXP(-D238*E2_tabla_vida!$X$219)*E2_tabla_vida!$P$219,EXP(-D238*E2_tabla_vida!$X$220)*E2_tabla_vida!$P$220,EXP(-D238*E2_tabla_vida!$X$221)*E2_tabla_vida!$P$221,EXP(-D238*E2_tabla_vida!$X$222)*E2_tabla_vida!$P$222,EXP(-D238*E2_tabla_vida!$X$223)*E2_tabla_vida!$P$223,EXP(-D238*E2_tabla_vida!$X$224)*E2_tabla_vida!$P$224,EXP(-D238*E2_tabla_vida!$X$225)*E2_tabla_vida!$P$225,EXP(-D238*E2_tabla_vida!$X$226)*E2_tabla_vida!$P$226,EXP(-D238*E2_tabla_vida!$X$227)*E2_tabla_vida!$P$227,EXP(-D238*E2_tabla_vida!$X$228)*E2_tabla_vida!$P$228,EXP(-D238*E2_tabla_vida!$X$229)*E2_tabla_vida!$P$229,EXP(-D238*E2_tabla_vida!$X$230)*E2_tabla_vida!$P$230,EXP(-D238*E2_tabla_vida!$X$231)*E2_tabla_vida!$P$231,EXP(-D238*E2_tabla_vida!$X$232)*E2_tabla_vida!$P$232,EXP(-D238*E2_tabla_vida!$X$233)*E2_tabla_vida!$P$233,EXP(-D238*E2_tabla_vida!$X$234)*E2_tabla_vida!$P$234,EXP(-D238*E2_tabla_vida!$X$235)*E2_tabla_vida!$P$235,EXP(-D238*E2_tabla_vida!$X$236)*E2_tabla_vida!$P$236,EXP(-D238*E2_tabla_vida!$X$237)*E2_tabla_vida!$P$237,EXP(-D238*E2_tabla_vida!$X$238)*E2_tabla_vida!$P$238,EXP(-D238*E2_tabla_vida!$X$239)*E2_tabla_vida!$P$239,EXP(-D238*E2_tabla_vida!$X$240)*E2_tabla_vida!$P$240,EXP(-D238*E2_tabla_vida!$X$241)*E2_tabla_vida!$P$241,EXP(-D238*E2_tabla_vida!$X$242)*E2_tabla_vida!$P$242,EXP(-D238*E2_tabla_vida!$X$243)*E2_tabla_vida!$P$243,EXP(-D238*E2_tabla_vida!$X$244)*E2_tabla_vida!$P$244,EXP(-D238*E2_tabla_vida!$X$245)*E2_tabla_vida!$P$245,EXP(-D238*E2_tabla_vida!$X$246)*E2_tabla_vida!$P$246,EXP(-D238*E2_tabla_vida!$X$247)*E2_tabla_vida!$P$247,EXP(-D238*E2_tabla_vida!$X$248)*E2_tabla_vida!$P$248,EXP(-D238*E2_tabla_vida!$X$249)*E2_tabla_vida!$P$249,EXP(-D238*E2_tabla_vida!$X$250)*E2_tabla_vida!$P$250,EXP(-D238*E2_tabla_vida!$X$251)*E2_tabla_vida!$P$251,EXP(-D238*E2_tabla_vida!$X$252)*E2_tabla_vida!$P$252,EXP(-D238*E2_tabla_vida!$X$253)*E2_tabla_vida!$P$253)-1</x:f>
        <x:v>-0.11362356530096507</x:v>
      </x:c>
    </x:row>
    <x:row r="239" ht="19" customHeight="1">
      <x:c r="A239" s="2" t="str">
        <x:v>BB_L7</x:v>
      </x:c>
      <x:c r="B239" s="2" t="n">
        <x:v>7</x:v>
      </x:c>
      <x:c r="C239" s="22" t="n">
        <x:f>IF(F238&gt;0,E238,C238)</x:f>
        <x:v>0.1953125</x:v>
      </x:c>
      <x:c r="D239" s="22" t="n">
        <x:f>IF(F238&gt;0,D238,E238)</x:f>
        <x:v>0.21875</x:v>
      </x:c>
      <x:c r="E239" s="22" t="n">
        <x:f>AVERAGE(C239:D239)</x:f>
        <x:v>0.20703125</x:v>
      </x:c>
      <x:c r="F239" s="24" t="n">
        <x:f>SUM(EXP(-E239*E2_tabla_vida!$X$212)*E2_tabla_vida!$P$212,EXP(-E239*E2_tabla_vida!$X$213)*E2_tabla_vida!$P$213,EXP(-E239*E2_tabla_vida!$X$214)*E2_tabla_vida!$P$214,EXP(-E239*E2_tabla_vida!$X$215)*E2_tabla_vida!$P$215,EXP(-E239*E2_tabla_vida!$X$216)*E2_tabla_vida!$P$216,EXP(-E239*E2_tabla_vida!$X$217)*E2_tabla_vida!$P$217,EXP(-E239*E2_tabla_vida!$X$218)*E2_tabla_vida!$P$218,EXP(-E239*E2_tabla_vida!$X$219)*E2_tabla_vida!$P$219,EXP(-E239*E2_tabla_vida!$X$220)*E2_tabla_vida!$P$220,EXP(-E239*E2_tabla_vida!$X$221)*E2_tabla_vida!$P$221,EXP(-E239*E2_tabla_vida!$X$222)*E2_tabla_vida!$P$222,EXP(-E239*E2_tabla_vida!$X$223)*E2_tabla_vida!$P$223,EXP(-E239*E2_tabla_vida!$X$224)*E2_tabla_vida!$P$224,EXP(-E239*E2_tabla_vida!$X$225)*E2_tabla_vida!$P$225,EXP(-E239*E2_tabla_vida!$X$226)*E2_tabla_vida!$P$226,EXP(-E239*E2_tabla_vida!$X$227)*E2_tabla_vida!$P$227,EXP(-E239*E2_tabla_vida!$X$228)*E2_tabla_vida!$P$228,EXP(-E239*E2_tabla_vida!$X$229)*E2_tabla_vida!$P$229,EXP(-E239*E2_tabla_vida!$X$230)*E2_tabla_vida!$P$230,EXP(-E239*E2_tabla_vida!$X$231)*E2_tabla_vida!$P$231,EXP(-E239*E2_tabla_vida!$X$232)*E2_tabla_vida!$P$232,EXP(-E239*E2_tabla_vida!$X$233)*E2_tabla_vida!$P$233,EXP(-E239*E2_tabla_vida!$X$234)*E2_tabla_vida!$P$234,EXP(-E239*E2_tabla_vida!$X$235)*E2_tabla_vida!$P$235,EXP(-E239*E2_tabla_vida!$X$236)*E2_tabla_vida!$P$236,EXP(-E239*E2_tabla_vida!$X$237)*E2_tabla_vida!$P$237,EXP(-E239*E2_tabla_vida!$X$238)*E2_tabla_vida!$P$238,EXP(-E239*E2_tabla_vida!$X$239)*E2_tabla_vida!$P$239,EXP(-E239*E2_tabla_vida!$X$240)*E2_tabla_vida!$P$240,EXP(-E239*E2_tabla_vida!$X$241)*E2_tabla_vida!$P$241,EXP(-E239*E2_tabla_vida!$X$242)*E2_tabla_vida!$P$242,EXP(-E239*E2_tabla_vida!$X$243)*E2_tabla_vida!$P$243,EXP(-E239*E2_tabla_vida!$X$244)*E2_tabla_vida!$P$244,EXP(-E239*E2_tabla_vida!$X$245)*E2_tabla_vida!$P$245,EXP(-E239*E2_tabla_vida!$X$246)*E2_tabla_vida!$P$246,EXP(-E239*E2_tabla_vida!$X$247)*E2_tabla_vida!$P$247,EXP(-E239*E2_tabla_vida!$X$248)*E2_tabla_vida!$P$248,EXP(-E239*E2_tabla_vida!$X$249)*E2_tabla_vida!$P$249,EXP(-E239*E2_tabla_vida!$X$250)*E2_tabla_vida!$P$250,EXP(-E239*E2_tabla_vida!$X$251)*E2_tabla_vida!$P$251,EXP(-E239*E2_tabla_vida!$X$252)*E2_tabla_vida!$P$252,EXP(-E239*E2_tabla_vida!$X$253)*E2_tabla_vida!$P$253)-1</x:f>
        <x:v>0.0602015016521269</x:v>
      </x:c>
      <x:c r="G239" s="24" t="n">
        <x:f>SUM(EXP(-C239*E2_tabla_vida!$X$212)*E2_tabla_vida!$P$212,EXP(-C239*E2_tabla_vida!$X$213)*E2_tabla_vida!$P$213,EXP(-C239*E2_tabla_vida!$X$214)*E2_tabla_vida!$P$214,EXP(-C239*E2_tabla_vida!$X$215)*E2_tabla_vida!$P$215,EXP(-C239*E2_tabla_vida!$X$216)*E2_tabla_vida!$P$216,EXP(-C239*E2_tabla_vida!$X$217)*E2_tabla_vida!$P$217,EXP(-C239*E2_tabla_vida!$X$218)*E2_tabla_vida!$P$218,EXP(-C239*E2_tabla_vida!$X$219)*E2_tabla_vida!$P$219,EXP(-C239*E2_tabla_vida!$X$220)*E2_tabla_vida!$P$220,EXP(-C239*E2_tabla_vida!$X$221)*E2_tabla_vida!$P$221,EXP(-C239*E2_tabla_vida!$X$222)*E2_tabla_vida!$P$222,EXP(-C239*E2_tabla_vida!$X$223)*E2_tabla_vida!$P$223,EXP(-C239*E2_tabla_vida!$X$224)*E2_tabla_vida!$P$224,EXP(-C239*E2_tabla_vida!$X$225)*E2_tabla_vida!$P$225,EXP(-C239*E2_tabla_vida!$X$226)*E2_tabla_vida!$P$226,EXP(-C239*E2_tabla_vida!$X$227)*E2_tabla_vida!$P$227,EXP(-C239*E2_tabla_vida!$X$228)*E2_tabla_vida!$P$228,EXP(-C239*E2_tabla_vida!$X$229)*E2_tabla_vida!$P$229,EXP(-C239*E2_tabla_vida!$X$230)*E2_tabla_vida!$P$230,EXP(-C239*E2_tabla_vida!$X$231)*E2_tabla_vida!$P$231,EXP(-C239*E2_tabla_vida!$X$232)*E2_tabla_vida!$P$232,EXP(-C239*E2_tabla_vida!$X$233)*E2_tabla_vida!$P$233,EXP(-C239*E2_tabla_vida!$X$234)*E2_tabla_vida!$P$234,EXP(-C239*E2_tabla_vida!$X$235)*E2_tabla_vida!$P$235,EXP(-C239*E2_tabla_vida!$X$236)*E2_tabla_vida!$P$236,EXP(-C239*E2_tabla_vida!$X$237)*E2_tabla_vida!$P$237,EXP(-C239*E2_tabla_vida!$X$238)*E2_tabla_vida!$P$238,EXP(-C239*E2_tabla_vida!$X$239)*E2_tabla_vida!$P$239,EXP(-C239*E2_tabla_vida!$X$240)*E2_tabla_vida!$P$240,EXP(-C239*E2_tabla_vida!$X$241)*E2_tabla_vida!$P$241,EXP(-C239*E2_tabla_vida!$X$242)*E2_tabla_vida!$P$242,EXP(-C239*E2_tabla_vida!$X$243)*E2_tabla_vida!$P$243,EXP(-C239*E2_tabla_vida!$X$244)*E2_tabla_vida!$P$244,EXP(-C239*E2_tabla_vida!$X$245)*E2_tabla_vida!$P$245,EXP(-C239*E2_tabla_vida!$X$246)*E2_tabla_vida!$P$246,EXP(-C239*E2_tabla_vida!$X$247)*E2_tabla_vida!$P$247,EXP(-C239*E2_tabla_vida!$X$248)*E2_tabla_vida!$P$248,EXP(-C239*E2_tabla_vida!$X$249)*E2_tabla_vida!$P$249,EXP(-C239*E2_tabla_vida!$X$250)*E2_tabla_vida!$P$250,EXP(-C239*E2_tabla_vida!$X$251)*E2_tabla_vida!$P$251,EXP(-C239*E2_tabla_vida!$X$252)*E2_tabla_vida!$P$252,EXP(-C239*E2_tabla_vida!$X$253)*E2_tabla_vida!$P$253)-1</x:f>
        <x:v>0.2701986208052465</x:v>
      </x:c>
      <x:c r="H239" s="24" t="n">
        <x:f>SUM(EXP(-D239*E2_tabla_vida!$X$212)*E2_tabla_vida!$P$212,EXP(-D239*E2_tabla_vida!$X$213)*E2_tabla_vida!$P$213,EXP(-D239*E2_tabla_vida!$X$214)*E2_tabla_vida!$P$214,EXP(-D239*E2_tabla_vida!$X$215)*E2_tabla_vida!$P$215,EXP(-D239*E2_tabla_vida!$X$216)*E2_tabla_vida!$P$216,EXP(-D239*E2_tabla_vida!$X$217)*E2_tabla_vida!$P$217,EXP(-D239*E2_tabla_vida!$X$218)*E2_tabla_vida!$P$218,EXP(-D239*E2_tabla_vida!$X$219)*E2_tabla_vida!$P$219,EXP(-D239*E2_tabla_vida!$X$220)*E2_tabla_vida!$P$220,EXP(-D239*E2_tabla_vida!$X$221)*E2_tabla_vida!$P$221,EXP(-D239*E2_tabla_vida!$X$222)*E2_tabla_vida!$P$222,EXP(-D239*E2_tabla_vida!$X$223)*E2_tabla_vida!$P$223,EXP(-D239*E2_tabla_vida!$X$224)*E2_tabla_vida!$P$224,EXP(-D239*E2_tabla_vida!$X$225)*E2_tabla_vida!$P$225,EXP(-D239*E2_tabla_vida!$X$226)*E2_tabla_vida!$P$226,EXP(-D239*E2_tabla_vida!$X$227)*E2_tabla_vida!$P$227,EXP(-D239*E2_tabla_vida!$X$228)*E2_tabla_vida!$P$228,EXP(-D239*E2_tabla_vida!$X$229)*E2_tabla_vida!$P$229,EXP(-D239*E2_tabla_vida!$X$230)*E2_tabla_vida!$P$230,EXP(-D239*E2_tabla_vida!$X$231)*E2_tabla_vida!$P$231,EXP(-D239*E2_tabla_vida!$X$232)*E2_tabla_vida!$P$232,EXP(-D239*E2_tabla_vida!$X$233)*E2_tabla_vida!$P$233,EXP(-D239*E2_tabla_vida!$X$234)*E2_tabla_vida!$P$234,EXP(-D239*E2_tabla_vida!$X$235)*E2_tabla_vida!$P$235,EXP(-D239*E2_tabla_vida!$X$236)*E2_tabla_vida!$P$236,EXP(-D239*E2_tabla_vida!$X$237)*E2_tabla_vida!$P$237,EXP(-D239*E2_tabla_vida!$X$238)*E2_tabla_vida!$P$238,EXP(-D239*E2_tabla_vida!$X$239)*E2_tabla_vida!$P$239,EXP(-D239*E2_tabla_vida!$X$240)*E2_tabla_vida!$P$240,EXP(-D239*E2_tabla_vida!$X$241)*E2_tabla_vida!$P$241,EXP(-D239*E2_tabla_vida!$X$242)*E2_tabla_vida!$P$242,EXP(-D239*E2_tabla_vida!$X$243)*E2_tabla_vida!$P$243,EXP(-D239*E2_tabla_vida!$X$244)*E2_tabla_vida!$P$244,EXP(-D239*E2_tabla_vida!$X$245)*E2_tabla_vida!$P$245,EXP(-D239*E2_tabla_vida!$X$246)*E2_tabla_vida!$P$246,EXP(-D239*E2_tabla_vida!$X$247)*E2_tabla_vida!$P$247,EXP(-D239*E2_tabla_vida!$X$248)*E2_tabla_vida!$P$248,EXP(-D239*E2_tabla_vida!$X$249)*E2_tabla_vida!$P$249,EXP(-D239*E2_tabla_vida!$X$250)*E2_tabla_vida!$P$250,EXP(-D239*E2_tabla_vida!$X$251)*E2_tabla_vida!$P$251,EXP(-D239*E2_tabla_vida!$X$252)*E2_tabla_vida!$P$252,EXP(-D239*E2_tabla_vida!$X$253)*E2_tabla_vida!$P$253)-1</x:f>
        <x:v>-0.11362356530096507</x:v>
      </x:c>
    </x:row>
    <x:row r="240" ht="19" customHeight="1">
      <x:c r="A240" s="2" t="str">
        <x:v>BB_L7</x:v>
      </x:c>
      <x:c r="B240" s="2" t="n">
        <x:v>8</x:v>
      </x:c>
      <x:c r="C240" s="22" t="n">
        <x:f>IF(F239&gt;0,E239,C239)</x:f>
        <x:v>0.20703125</x:v>
      </x:c>
      <x:c r="D240" s="22" t="n">
        <x:f>IF(F239&gt;0,D239,E239)</x:f>
        <x:v>0.21875</x:v>
      </x:c>
      <x:c r="E240" s="22" t="n">
        <x:f>AVERAGE(C240:D240)</x:f>
        <x:v>0.212890625</x:v>
      </x:c>
      <x:c r="F240" s="24" t="n">
        <x:f>SUM(EXP(-E240*E2_tabla_vida!$X$212)*E2_tabla_vida!$P$212,EXP(-E240*E2_tabla_vida!$X$213)*E2_tabla_vida!$P$213,EXP(-E240*E2_tabla_vida!$X$214)*E2_tabla_vida!$P$214,EXP(-E240*E2_tabla_vida!$X$215)*E2_tabla_vida!$P$215,EXP(-E240*E2_tabla_vida!$X$216)*E2_tabla_vida!$P$216,EXP(-E240*E2_tabla_vida!$X$217)*E2_tabla_vida!$P$217,EXP(-E240*E2_tabla_vida!$X$218)*E2_tabla_vida!$P$218,EXP(-E240*E2_tabla_vida!$X$219)*E2_tabla_vida!$P$219,EXP(-E240*E2_tabla_vida!$X$220)*E2_tabla_vida!$P$220,EXP(-E240*E2_tabla_vida!$X$221)*E2_tabla_vida!$P$221,EXP(-E240*E2_tabla_vida!$X$222)*E2_tabla_vida!$P$222,EXP(-E240*E2_tabla_vida!$X$223)*E2_tabla_vida!$P$223,EXP(-E240*E2_tabla_vida!$X$224)*E2_tabla_vida!$P$224,EXP(-E240*E2_tabla_vida!$X$225)*E2_tabla_vida!$P$225,EXP(-E240*E2_tabla_vida!$X$226)*E2_tabla_vida!$P$226,EXP(-E240*E2_tabla_vida!$X$227)*E2_tabla_vida!$P$227,EXP(-E240*E2_tabla_vida!$X$228)*E2_tabla_vida!$P$228,EXP(-E240*E2_tabla_vida!$X$229)*E2_tabla_vida!$P$229,EXP(-E240*E2_tabla_vida!$X$230)*E2_tabla_vida!$P$230,EXP(-E240*E2_tabla_vida!$X$231)*E2_tabla_vida!$P$231,EXP(-E240*E2_tabla_vida!$X$232)*E2_tabla_vida!$P$232,EXP(-E240*E2_tabla_vida!$X$233)*E2_tabla_vida!$P$233,EXP(-E240*E2_tabla_vida!$X$234)*E2_tabla_vida!$P$234,EXP(-E240*E2_tabla_vida!$X$235)*E2_tabla_vida!$P$235,EXP(-E240*E2_tabla_vida!$X$236)*E2_tabla_vida!$P$236,EXP(-E240*E2_tabla_vida!$X$237)*E2_tabla_vida!$P$237,EXP(-E240*E2_tabla_vida!$X$238)*E2_tabla_vida!$P$238,EXP(-E240*E2_tabla_vida!$X$239)*E2_tabla_vida!$P$239,EXP(-E240*E2_tabla_vida!$X$240)*E2_tabla_vida!$P$240,EXP(-E240*E2_tabla_vida!$X$241)*E2_tabla_vida!$P$241,EXP(-E240*E2_tabla_vida!$X$242)*E2_tabla_vida!$P$242,EXP(-E240*E2_tabla_vida!$X$243)*E2_tabla_vida!$P$243,EXP(-E240*E2_tabla_vida!$X$244)*E2_tabla_vida!$P$244,EXP(-E240*E2_tabla_vida!$X$245)*E2_tabla_vida!$P$245,EXP(-E240*E2_tabla_vida!$X$246)*E2_tabla_vida!$P$246,EXP(-E240*E2_tabla_vida!$X$247)*E2_tabla_vida!$P$247,EXP(-E240*E2_tabla_vida!$X$248)*E2_tabla_vida!$P$248,EXP(-E240*E2_tabla_vida!$X$249)*E2_tabla_vida!$P$249,EXP(-E240*E2_tabla_vida!$X$250)*E2_tabla_vida!$P$250,EXP(-E240*E2_tabla_vida!$X$251)*E2_tabla_vida!$P$251,EXP(-E240*E2_tabla_vida!$X$252)*E2_tabla_vida!$P$252,EXP(-E240*E2_tabla_vida!$X$253)*E2_tabla_vida!$P$253)-1</x:f>
        <x:v>-0.03079354783318955</x:v>
      </x:c>
      <x:c r="G240" s="24" t="n">
        <x:f>SUM(EXP(-C240*E2_tabla_vida!$X$212)*E2_tabla_vida!$P$212,EXP(-C240*E2_tabla_vida!$X$213)*E2_tabla_vida!$P$213,EXP(-C240*E2_tabla_vida!$X$214)*E2_tabla_vida!$P$214,EXP(-C240*E2_tabla_vida!$X$215)*E2_tabla_vida!$P$215,EXP(-C240*E2_tabla_vida!$X$216)*E2_tabla_vida!$P$216,EXP(-C240*E2_tabla_vida!$X$217)*E2_tabla_vida!$P$217,EXP(-C240*E2_tabla_vida!$X$218)*E2_tabla_vida!$P$218,EXP(-C240*E2_tabla_vida!$X$219)*E2_tabla_vida!$P$219,EXP(-C240*E2_tabla_vida!$X$220)*E2_tabla_vida!$P$220,EXP(-C240*E2_tabla_vida!$X$221)*E2_tabla_vida!$P$221,EXP(-C240*E2_tabla_vida!$X$222)*E2_tabla_vida!$P$222,EXP(-C240*E2_tabla_vida!$X$223)*E2_tabla_vida!$P$223,EXP(-C240*E2_tabla_vida!$X$224)*E2_tabla_vida!$P$224,EXP(-C240*E2_tabla_vida!$X$225)*E2_tabla_vida!$P$225,EXP(-C240*E2_tabla_vida!$X$226)*E2_tabla_vida!$P$226,EXP(-C240*E2_tabla_vida!$X$227)*E2_tabla_vida!$P$227,EXP(-C240*E2_tabla_vida!$X$228)*E2_tabla_vida!$P$228,EXP(-C240*E2_tabla_vida!$X$229)*E2_tabla_vida!$P$229,EXP(-C240*E2_tabla_vida!$X$230)*E2_tabla_vida!$P$230,EXP(-C240*E2_tabla_vida!$X$231)*E2_tabla_vida!$P$231,EXP(-C240*E2_tabla_vida!$X$232)*E2_tabla_vida!$P$232,EXP(-C240*E2_tabla_vida!$X$233)*E2_tabla_vida!$P$233,EXP(-C240*E2_tabla_vida!$X$234)*E2_tabla_vida!$P$234,EXP(-C240*E2_tabla_vida!$X$235)*E2_tabla_vida!$P$235,EXP(-C240*E2_tabla_vida!$X$236)*E2_tabla_vida!$P$236,EXP(-C240*E2_tabla_vida!$X$237)*E2_tabla_vida!$P$237,EXP(-C240*E2_tabla_vida!$X$238)*E2_tabla_vida!$P$238,EXP(-C240*E2_tabla_vida!$X$239)*E2_tabla_vida!$P$239,EXP(-C240*E2_tabla_vida!$X$240)*E2_tabla_vida!$P$240,EXP(-C240*E2_tabla_vida!$X$241)*E2_tabla_vida!$P$241,EXP(-C240*E2_tabla_vida!$X$242)*E2_tabla_vida!$P$242,EXP(-C240*E2_tabla_vida!$X$243)*E2_tabla_vida!$P$243,EXP(-C240*E2_tabla_vida!$X$244)*E2_tabla_vida!$P$244,EXP(-C240*E2_tabla_vida!$X$245)*E2_tabla_vida!$P$245,EXP(-C240*E2_tabla_vida!$X$246)*E2_tabla_vida!$P$246,EXP(-C240*E2_tabla_vida!$X$247)*E2_tabla_vida!$P$247,EXP(-C240*E2_tabla_vida!$X$248)*E2_tabla_vida!$P$248,EXP(-C240*E2_tabla_vida!$X$249)*E2_tabla_vida!$P$249,EXP(-C240*E2_tabla_vida!$X$250)*E2_tabla_vida!$P$250,EXP(-C240*E2_tabla_vida!$X$251)*E2_tabla_vida!$P$251,EXP(-C240*E2_tabla_vida!$X$252)*E2_tabla_vida!$P$252,EXP(-C240*E2_tabla_vida!$X$253)*E2_tabla_vida!$P$253)-1</x:f>
        <x:v>0.0602015016521269</x:v>
      </x:c>
      <x:c r="H240" s="24" t="n">
        <x:f>SUM(EXP(-D240*E2_tabla_vida!$X$212)*E2_tabla_vida!$P$212,EXP(-D240*E2_tabla_vida!$X$213)*E2_tabla_vida!$P$213,EXP(-D240*E2_tabla_vida!$X$214)*E2_tabla_vida!$P$214,EXP(-D240*E2_tabla_vida!$X$215)*E2_tabla_vida!$P$215,EXP(-D240*E2_tabla_vida!$X$216)*E2_tabla_vida!$P$216,EXP(-D240*E2_tabla_vida!$X$217)*E2_tabla_vida!$P$217,EXP(-D240*E2_tabla_vida!$X$218)*E2_tabla_vida!$P$218,EXP(-D240*E2_tabla_vida!$X$219)*E2_tabla_vida!$P$219,EXP(-D240*E2_tabla_vida!$X$220)*E2_tabla_vida!$P$220,EXP(-D240*E2_tabla_vida!$X$221)*E2_tabla_vida!$P$221,EXP(-D240*E2_tabla_vida!$X$222)*E2_tabla_vida!$P$222,EXP(-D240*E2_tabla_vida!$X$223)*E2_tabla_vida!$P$223,EXP(-D240*E2_tabla_vida!$X$224)*E2_tabla_vida!$P$224,EXP(-D240*E2_tabla_vida!$X$225)*E2_tabla_vida!$P$225,EXP(-D240*E2_tabla_vida!$X$226)*E2_tabla_vida!$P$226,EXP(-D240*E2_tabla_vida!$X$227)*E2_tabla_vida!$P$227,EXP(-D240*E2_tabla_vida!$X$228)*E2_tabla_vida!$P$228,EXP(-D240*E2_tabla_vida!$X$229)*E2_tabla_vida!$P$229,EXP(-D240*E2_tabla_vida!$X$230)*E2_tabla_vida!$P$230,EXP(-D240*E2_tabla_vida!$X$231)*E2_tabla_vida!$P$231,EXP(-D240*E2_tabla_vida!$X$232)*E2_tabla_vida!$P$232,EXP(-D240*E2_tabla_vida!$X$233)*E2_tabla_vida!$P$233,EXP(-D240*E2_tabla_vida!$X$234)*E2_tabla_vida!$P$234,EXP(-D240*E2_tabla_vida!$X$235)*E2_tabla_vida!$P$235,EXP(-D240*E2_tabla_vida!$X$236)*E2_tabla_vida!$P$236,EXP(-D240*E2_tabla_vida!$X$237)*E2_tabla_vida!$P$237,EXP(-D240*E2_tabla_vida!$X$238)*E2_tabla_vida!$P$238,EXP(-D240*E2_tabla_vida!$X$239)*E2_tabla_vida!$P$239,EXP(-D240*E2_tabla_vida!$X$240)*E2_tabla_vida!$P$240,EXP(-D240*E2_tabla_vida!$X$241)*E2_tabla_vida!$P$241,EXP(-D240*E2_tabla_vida!$X$242)*E2_tabla_vida!$P$242,EXP(-D240*E2_tabla_vida!$X$243)*E2_tabla_vida!$P$243,EXP(-D240*E2_tabla_vida!$X$244)*E2_tabla_vida!$P$244,EXP(-D240*E2_tabla_vida!$X$245)*E2_tabla_vida!$P$245,EXP(-D240*E2_tabla_vida!$X$246)*E2_tabla_vida!$P$246,EXP(-D240*E2_tabla_vida!$X$247)*E2_tabla_vida!$P$247,EXP(-D240*E2_tabla_vida!$X$248)*E2_tabla_vida!$P$248,EXP(-D240*E2_tabla_vida!$X$249)*E2_tabla_vida!$P$249,EXP(-D240*E2_tabla_vida!$X$250)*E2_tabla_vida!$P$250,EXP(-D240*E2_tabla_vida!$X$251)*E2_tabla_vida!$P$251,EXP(-D240*E2_tabla_vida!$X$252)*E2_tabla_vida!$P$252,EXP(-D240*E2_tabla_vida!$X$253)*E2_tabla_vida!$P$253)-1</x:f>
        <x:v>-0.11362356530096507</x:v>
      </x:c>
    </x:row>
    <x:row r="241" ht="19" customHeight="1">
      <x:c r="A241" s="2" t="str">
        <x:v>BB_L7</x:v>
      </x:c>
      <x:c r="B241" s="2" t="n">
        <x:v>9</x:v>
      </x:c>
      <x:c r="C241" s="22" t="n">
        <x:f>IF(F240&gt;0,E240,C240)</x:f>
        <x:v>0.20703125</x:v>
      </x:c>
      <x:c r="D241" s="22" t="n">
        <x:f>IF(F240&gt;0,D240,E240)</x:f>
        <x:v>0.212890625</x:v>
      </x:c>
      <x:c r="E241" s="22" t="n">
        <x:f>AVERAGE(C241:D241)</x:f>
        <x:v>0.2099609375</x:v>
      </x:c>
      <x:c r="F241" s="24" t="n">
        <x:f>SUM(EXP(-E241*E2_tabla_vida!$X$212)*E2_tabla_vida!$P$212,EXP(-E241*E2_tabla_vida!$X$213)*E2_tabla_vida!$P$213,EXP(-E241*E2_tabla_vida!$X$214)*E2_tabla_vida!$P$214,EXP(-E241*E2_tabla_vida!$X$215)*E2_tabla_vida!$P$215,EXP(-E241*E2_tabla_vida!$X$216)*E2_tabla_vida!$P$216,EXP(-E241*E2_tabla_vida!$X$217)*E2_tabla_vida!$P$217,EXP(-E241*E2_tabla_vida!$X$218)*E2_tabla_vida!$P$218,EXP(-E241*E2_tabla_vida!$X$219)*E2_tabla_vida!$P$219,EXP(-E241*E2_tabla_vida!$X$220)*E2_tabla_vida!$P$220,EXP(-E241*E2_tabla_vida!$X$221)*E2_tabla_vida!$P$221,EXP(-E241*E2_tabla_vida!$X$222)*E2_tabla_vida!$P$222,EXP(-E241*E2_tabla_vida!$X$223)*E2_tabla_vida!$P$223,EXP(-E241*E2_tabla_vida!$X$224)*E2_tabla_vida!$P$224,EXP(-E241*E2_tabla_vida!$X$225)*E2_tabla_vida!$P$225,EXP(-E241*E2_tabla_vida!$X$226)*E2_tabla_vida!$P$226,EXP(-E241*E2_tabla_vida!$X$227)*E2_tabla_vida!$P$227,EXP(-E241*E2_tabla_vida!$X$228)*E2_tabla_vida!$P$228,EXP(-E241*E2_tabla_vida!$X$229)*E2_tabla_vida!$P$229,EXP(-E241*E2_tabla_vida!$X$230)*E2_tabla_vida!$P$230,EXP(-E241*E2_tabla_vida!$X$231)*E2_tabla_vida!$P$231,EXP(-E241*E2_tabla_vida!$X$232)*E2_tabla_vida!$P$232,EXP(-E241*E2_tabla_vida!$X$233)*E2_tabla_vida!$P$233,EXP(-E241*E2_tabla_vida!$X$234)*E2_tabla_vida!$P$234,EXP(-E241*E2_tabla_vida!$X$235)*E2_tabla_vida!$P$235,EXP(-E241*E2_tabla_vida!$X$236)*E2_tabla_vida!$P$236,EXP(-E241*E2_tabla_vida!$X$237)*E2_tabla_vida!$P$237,EXP(-E241*E2_tabla_vida!$X$238)*E2_tabla_vida!$P$238,EXP(-E241*E2_tabla_vida!$X$239)*E2_tabla_vida!$P$239,EXP(-E241*E2_tabla_vida!$X$240)*E2_tabla_vida!$P$240,EXP(-E241*E2_tabla_vida!$X$241)*E2_tabla_vida!$P$241,EXP(-E241*E2_tabla_vida!$X$242)*E2_tabla_vida!$P$242,EXP(-E241*E2_tabla_vida!$X$243)*E2_tabla_vida!$P$243,EXP(-E241*E2_tabla_vida!$X$244)*E2_tabla_vida!$P$244,EXP(-E241*E2_tabla_vida!$X$245)*E2_tabla_vida!$P$245,EXP(-E241*E2_tabla_vida!$X$246)*E2_tabla_vida!$P$246,EXP(-E241*E2_tabla_vida!$X$247)*E2_tabla_vida!$P$247,EXP(-E241*E2_tabla_vida!$X$248)*E2_tabla_vida!$P$248,EXP(-E241*E2_tabla_vida!$X$249)*E2_tabla_vida!$P$249,EXP(-E241*E2_tabla_vida!$X$250)*E2_tabla_vida!$P$250,EXP(-E241*E2_tabla_vida!$X$251)*E2_tabla_vida!$P$251,EXP(-E241*E2_tabla_vida!$X$252)*E2_tabla_vida!$P$252,EXP(-E241*E2_tabla_vida!$X$253)*E2_tabla_vida!$P$253)-1</x:f>
        <x:v>0.01363206991960797</x:v>
      </x:c>
      <x:c r="G241" s="24" t="n">
        <x:f>SUM(EXP(-C241*E2_tabla_vida!$X$212)*E2_tabla_vida!$P$212,EXP(-C241*E2_tabla_vida!$X$213)*E2_tabla_vida!$P$213,EXP(-C241*E2_tabla_vida!$X$214)*E2_tabla_vida!$P$214,EXP(-C241*E2_tabla_vida!$X$215)*E2_tabla_vida!$P$215,EXP(-C241*E2_tabla_vida!$X$216)*E2_tabla_vida!$P$216,EXP(-C241*E2_tabla_vida!$X$217)*E2_tabla_vida!$P$217,EXP(-C241*E2_tabla_vida!$X$218)*E2_tabla_vida!$P$218,EXP(-C241*E2_tabla_vida!$X$219)*E2_tabla_vida!$P$219,EXP(-C241*E2_tabla_vida!$X$220)*E2_tabla_vida!$P$220,EXP(-C241*E2_tabla_vida!$X$221)*E2_tabla_vida!$P$221,EXP(-C241*E2_tabla_vida!$X$222)*E2_tabla_vida!$P$222,EXP(-C241*E2_tabla_vida!$X$223)*E2_tabla_vida!$P$223,EXP(-C241*E2_tabla_vida!$X$224)*E2_tabla_vida!$P$224,EXP(-C241*E2_tabla_vida!$X$225)*E2_tabla_vida!$P$225,EXP(-C241*E2_tabla_vida!$X$226)*E2_tabla_vida!$P$226,EXP(-C241*E2_tabla_vida!$X$227)*E2_tabla_vida!$P$227,EXP(-C241*E2_tabla_vida!$X$228)*E2_tabla_vida!$P$228,EXP(-C241*E2_tabla_vida!$X$229)*E2_tabla_vida!$P$229,EXP(-C241*E2_tabla_vida!$X$230)*E2_tabla_vida!$P$230,EXP(-C241*E2_tabla_vida!$X$231)*E2_tabla_vida!$P$231,EXP(-C241*E2_tabla_vida!$X$232)*E2_tabla_vida!$P$232,EXP(-C241*E2_tabla_vida!$X$233)*E2_tabla_vida!$P$233,EXP(-C241*E2_tabla_vida!$X$234)*E2_tabla_vida!$P$234,EXP(-C241*E2_tabla_vida!$X$235)*E2_tabla_vida!$P$235,EXP(-C241*E2_tabla_vida!$X$236)*E2_tabla_vida!$P$236,EXP(-C241*E2_tabla_vida!$X$237)*E2_tabla_vida!$P$237,EXP(-C241*E2_tabla_vida!$X$238)*E2_tabla_vida!$P$238,EXP(-C241*E2_tabla_vida!$X$239)*E2_tabla_vida!$P$239,EXP(-C241*E2_tabla_vida!$X$240)*E2_tabla_vida!$P$240,EXP(-C241*E2_tabla_vida!$X$241)*E2_tabla_vida!$P$241,EXP(-C241*E2_tabla_vida!$X$242)*E2_tabla_vida!$P$242,EXP(-C241*E2_tabla_vida!$X$243)*E2_tabla_vida!$P$243,EXP(-C241*E2_tabla_vida!$X$244)*E2_tabla_vida!$P$244,EXP(-C241*E2_tabla_vida!$X$245)*E2_tabla_vida!$P$245,EXP(-C241*E2_tabla_vida!$X$246)*E2_tabla_vida!$P$246,EXP(-C241*E2_tabla_vida!$X$247)*E2_tabla_vida!$P$247,EXP(-C241*E2_tabla_vida!$X$248)*E2_tabla_vida!$P$248,EXP(-C241*E2_tabla_vida!$X$249)*E2_tabla_vida!$P$249,EXP(-C241*E2_tabla_vida!$X$250)*E2_tabla_vida!$P$250,EXP(-C241*E2_tabla_vida!$X$251)*E2_tabla_vida!$P$251,EXP(-C241*E2_tabla_vida!$X$252)*E2_tabla_vida!$P$252,EXP(-C241*E2_tabla_vida!$X$253)*E2_tabla_vida!$P$253)-1</x:f>
        <x:v>0.0602015016521269</x:v>
      </x:c>
      <x:c r="H241" s="24" t="n">
        <x:f>SUM(EXP(-D241*E2_tabla_vida!$X$212)*E2_tabla_vida!$P$212,EXP(-D241*E2_tabla_vida!$X$213)*E2_tabla_vida!$P$213,EXP(-D241*E2_tabla_vida!$X$214)*E2_tabla_vida!$P$214,EXP(-D241*E2_tabla_vida!$X$215)*E2_tabla_vida!$P$215,EXP(-D241*E2_tabla_vida!$X$216)*E2_tabla_vida!$P$216,EXP(-D241*E2_tabla_vida!$X$217)*E2_tabla_vida!$P$217,EXP(-D241*E2_tabla_vida!$X$218)*E2_tabla_vida!$P$218,EXP(-D241*E2_tabla_vida!$X$219)*E2_tabla_vida!$P$219,EXP(-D241*E2_tabla_vida!$X$220)*E2_tabla_vida!$P$220,EXP(-D241*E2_tabla_vida!$X$221)*E2_tabla_vida!$P$221,EXP(-D241*E2_tabla_vida!$X$222)*E2_tabla_vida!$P$222,EXP(-D241*E2_tabla_vida!$X$223)*E2_tabla_vida!$P$223,EXP(-D241*E2_tabla_vida!$X$224)*E2_tabla_vida!$P$224,EXP(-D241*E2_tabla_vida!$X$225)*E2_tabla_vida!$P$225,EXP(-D241*E2_tabla_vida!$X$226)*E2_tabla_vida!$P$226,EXP(-D241*E2_tabla_vida!$X$227)*E2_tabla_vida!$P$227,EXP(-D241*E2_tabla_vida!$X$228)*E2_tabla_vida!$P$228,EXP(-D241*E2_tabla_vida!$X$229)*E2_tabla_vida!$P$229,EXP(-D241*E2_tabla_vida!$X$230)*E2_tabla_vida!$P$230,EXP(-D241*E2_tabla_vida!$X$231)*E2_tabla_vida!$P$231,EXP(-D241*E2_tabla_vida!$X$232)*E2_tabla_vida!$P$232,EXP(-D241*E2_tabla_vida!$X$233)*E2_tabla_vida!$P$233,EXP(-D241*E2_tabla_vida!$X$234)*E2_tabla_vida!$P$234,EXP(-D241*E2_tabla_vida!$X$235)*E2_tabla_vida!$P$235,EXP(-D241*E2_tabla_vida!$X$236)*E2_tabla_vida!$P$236,EXP(-D241*E2_tabla_vida!$X$237)*E2_tabla_vida!$P$237,EXP(-D241*E2_tabla_vida!$X$238)*E2_tabla_vida!$P$238,EXP(-D241*E2_tabla_vida!$X$239)*E2_tabla_vida!$P$239,EXP(-D241*E2_tabla_vida!$X$240)*E2_tabla_vida!$P$240,EXP(-D241*E2_tabla_vida!$X$241)*E2_tabla_vida!$P$241,EXP(-D241*E2_tabla_vida!$X$242)*E2_tabla_vida!$P$242,EXP(-D241*E2_tabla_vida!$X$243)*E2_tabla_vida!$P$243,EXP(-D241*E2_tabla_vida!$X$244)*E2_tabla_vida!$P$244,EXP(-D241*E2_tabla_vida!$X$245)*E2_tabla_vida!$P$245,EXP(-D241*E2_tabla_vida!$X$246)*E2_tabla_vida!$P$246,EXP(-D241*E2_tabla_vida!$X$247)*E2_tabla_vida!$P$247,EXP(-D241*E2_tabla_vida!$X$248)*E2_tabla_vida!$P$248,EXP(-D241*E2_tabla_vida!$X$249)*E2_tabla_vida!$P$249,EXP(-D241*E2_tabla_vida!$X$250)*E2_tabla_vida!$P$250,EXP(-D241*E2_tabla_vida!$X$251)*E2_tabla_vida!$P$251,EXP(-D241*E2_tabla_vida!$X$252)*E2_tabla_vida!$P$252,EXP(-D241*E2_tabla_vida!$X$253)*E2_tabla_vida!$P$253)-1</x:f>
        <x:v>-0.03079354783318955</x:v>
      </x:c>
    </x:row>
    <x:row r="242" ht="19" customHeight="1">
      <x:c r="A242" s="2" t="str">
        <x:v>BB_L7</x:v>
      </x:c>
      <x:c r="B242" s="2" t="n">
        <x:v>10</x:v>
      </x:c>
      <x:c r="C242" s="22" t="n">
        <x:f>IF(F241&gt;0,E241,C241)</x:f>
        <x:v>0.2099609375</x:v>
      </x:c>
      <x:c r="D242" s="22" t="n">
        <x:f>IF(F241&gt;0,D241,E241)</x:f>
        <x:v>0.212890625</x:v>
      </x:c>
      <x:c r="E242" s="22" t="n">
        <x:f>AVERAGE(C242:D242)</x:f>
        <x:v>0.21142578125</x:v>
      </x:c>
      <x:c r="F242" s="24" t="n">
        <x:f>SUM(EXP(-E242*E2_tabla_vida!$X$212)*E2_tabla_vida!$P$212,EXP(-E242*E2_tabla_vida!$X$213)*E2_tabla_vida!$P$213,EXP(-E242*E2_tabla_vida!$X$214)*E2_tabla_vida!$P$214,EXP(-E242*E2_tabla_vida!$X$215)*E2_tabla_vida!$P$215,EXP(-E242*E2_tabla_vida!$X$216)*E2_tabla_vida!$P$216,EXP(-E242*E2_tabla_vida!$X$217)*E2_tabla_vida!$P$217,EXP(-E242*E2_tabla_vida!$X$218)*E2_tabla_vida!$P$218,EXP(-E242*E2_tabla_vida!$X$219)*E2_tabla_vida!$P$219,EXP(-E242*E2_tabla_vida!$X$220)*E2_tabla_vida!$P$220,EXP(-E242*E2_tabla_vida!$X$221)*E2_tabla_vida!$P$221,EXP(-E242*E2_tabla_vida!$X$222)*E2_tabla_vida!$P$222,EXP(-E242*E2_tabla_vida!$X$223)*E2_tabla_vida!$P$223,EXP(-E242*E2_tabla_vida!$X$224)*E2_tabla_vida!$P$224,EXP(-E242*E2_tabla_vida!$X$225)*E2_tabla_vida!$P$225,EXP(-E242*E2_tabla_vida!$X$226)*E2_tabla_vida!$P$226,EXP(-E242*E2_tabla_vida!$X$227)*E2_tabla_vida!$P$227,EXP(-E242*E2_tabla_vida!$X$228)*E2_tabla_vida!$P$228,EXP(-E242*E2_tabla_vida!$X$229)*E2_tabla_vida!$P$229,EXP(-E242*E2_tabla_vida!$X$230)*E2_tabla_vida!$P$230,EXP(-E242*E2_tabla_vida!$X$231)*E2_tabla_vida!$P$231,EXP(-E242*E2_tabla_vida!$X$232)*E2_tabla_vida!$P$232,EXP(-E242*E2_tabla_vida!$X$233)*E2_tabla_vida!$P$233,EXP(-E242*E2_tabla_vida!$X$234)*E2_tabla_vida!$P$234,EXP(-E242*E2_tabla_vida!$X$235)*E2_tabla_vida!$P$235,EXP(-E242*E2_tabla_vida!$X$236)*E2_tabla_vida!$P$236,EXP(-E242*E2_tabla_vida!$X$237)*E2_tabla_vida!$P$237,EXP(-E242*E2_tabla_vida!$X$238)*E2_tabla_vida!$P$238,EXP(-E242*E2_tabla_vida!$X$239)*E2_tabla_vida!$P$239,EXP(-E242*E2_tabla_vida!$X$240)*E2_tabla_vida!$P$240,EXP(-E242*E2_tabla_vida!$X$241)*E2_tabla_vida!$P$241,EXP(-E242*E2_tabla_vida!$X$242)*E2_tabla_vida!$P$242,EXP(-E242*E2_tabla_vida!$X$243)*E2_tabla_vida!$P$243,EXP(-E242*E2_tabla_vida!$X$244)*E2_tabla_vida!$P$244,EXP(-E242*E2_tabla_vida!$X$245)*E2_tabla_vida!$P$245,EXP(-E242*E2_tabla_vida!$X$246)*E2_tabla_vida!$P$246,EXP(-E242*E2_tabla_vida!$X$247)*E2_tabla_vida!$P$247,EXP(-E242*E2_tabla_vida!$X$248)*E2_tabla_vida!$P$248,EXP(-E242*E2_tabla_vida!$X$249)*E2_tabla_vida!$P$249,EXP(-E242*E2_tabla_vida!$X$250)*E2_tabla_vida!$P$250,EXP(-E242*E2_tabla_vida!$X$251)*E2_tabla_vida!$P$251,EXP(-E242*E2_tabla_vida!$X$252)*E2_tabla_vida!$P$252,EXP(-E242*E2_tabla_vida!$X$253)*E2_tabla_vida!$P$253)-1</x:f>
        <x:v>-0.008842094905428088</x:v>
      </x:c>
      <x:c r="G242" s="24" t="n">
        <x:f>SUM(EXP(-C242*E2_tabla_vida!$X$212)*E2_tabla_vida!$P$212,EXP(-C242*E2_tabla_vida!$X$213)*E2_tabla_vida!$P$213,EXP(-C242*E2_tabla_vida!$X$214)*E2_tabla_vida!$P$214,EXP(-C242*E2_tabla_vida!$X$215)*E2_tabla_vida!$P$215,EXP(-C242*E2_tabla_vida!$X$216)*E2_tabla_vida!$P$216,EXP(-C242*E2_tabla_vida!$X$217)*E2_tabla_vida!$P$217,EXP(-C242*E2_tabla_vida!$X$218)*E2_tabla_vida!$P$218,EXP(-C242*E2_tabla_vida!$X$219)*E2_tabla_vida!$P$219,EXP(-C242*E2_tabla_vida!$X$220)*E2_tabla_vida!$P$220,EXP(-C242*E2_tabla_vida!$X$221)*E2_tabla_vida!$P$221,EXP(-C242*E2_tabla_vida!$X$222)*E2_tabla_vida!$P$222,EXP(-C242*E2_tabla_vida!$X$223)*E2_tabla_vida!$P$223,EXP(-C242*E2_tabla_vida!$X$224)*E2_tabla_vida!$P$224,EXP(-C242*E2_tabla_vida!$X$225)*E2_tabla_vida!$P$225,EXP(-C242*E2_tabla_vida!$X$226)*E2_tabla_vida!$P$226,EXP(-C242*E2_tabla_vida!$X$227)*E2_tabla_vida!$P$227,EXP(-C242*E2_tabla_vida!$X$228)*E2_tabla_vida!$P$228,EXP(-C242*E2_tabla_vida!$X$229)*E2_tabla_vida!$P$229,EXP(-C242*E2_tabla_vida!$X$230)*E2_tabla_vida!$P$230,EXP(-C242*E2_tabla_vida!$X$231)*E2_tabla_vida!$P$231,EXP(-C242*E2_tabla_vida!$X$232)*E2_tabla_vida!$P$232,EXP(-C242*E2_tabla_vida!$X$233)*E2_tabla_vida!$P$233,EXP(-C242*E2_tabla_vida!$X$234)*E2_tabla_vida!$P$234,EXP(-C242*E2_tabla_vida!$X$235)*E2_tabla_vida!$P$235,EXP(-C242*E2_tabla_vida!$X$236)*E2_tabla_vida!$P$236,EXP(-C242*E2_tabla_vida!$X$237)*E2_tabla_vida!$P$237,EXP(-C242*E2_tabla_vida!$X$238)*E2_tabla_vida!$P$238,EXP(-C242*E2_tabla_vida!$X$239)*E2_tabla_vida!$P$239,EXP(-C242*E2_tabla_vida!$X$240)*E2_tabla_vida!$P$240,EXP(-C242*E2_tabla_vida!$X$241)*E2_tabla_vida!$P$241,EXP(-C242*E2_tabla_vida!$X$242)*E2_tabla_vida!$P$242,EXP(-C242*E2_tabla_vida!$X$243)*E2_tabla_vida!$P$243,EXP(-C242*E2_tabla_vida!$X$244)*E2_tabla_vida!$P$244,EXP(-C242*E2_tabla_vida!$X$245)*E2_tabla_vida!$P$245,EXP(-C242*E2_tabla_vida!$X$246)*E2_tabla_vida!$P$246,EXP(-C242*E2_tabla_vida!$X$247)*E2_tabla_vida!$P$247,EXP(-C242*E2_tabla_vida!$X$248)*E2_tabla_vida!$P$248,EXP(-C242*E2_tabla_vida!$X$249)*E2_tabla_vida!$P$249,EXP(-C242*E2_tabla_vida!$X$250)*E2_tabla_vida!$P$250,EXP(-C242*E2_tabla_vida!$X$251)*E2_tabla_vida!$P$251,EXP(-C242*E2_tabla_vida!$X$252)*E2_tabla_vida!$P$252,EXP(-C242*E2_tabla_vida!$X$253)*E2_tabla_vida!$P$253)-1</x:f>
        <x:v>0.01363206991960797</x:v>
      </x:c>
      <x:c r="H242" s="24" t="n">
        <x:f>SUM(EXP(-D242*E2_tabla_vida!$X$212)*E2_tabla_vida!$P$212,EXP(-D242*E2_tabla_vida!$X$213)*E2_tabla_vida!$P$213,EXP(-D242*E2_tabla_vida!$X$214)*E2_tabla_vida!$P$214,EXP(-D242*E2_tabla_vida!$X$215)*E2_tabla_vida!$P$215,EXP(-D242*E2_tabla_vida!$X$216)*E2_tabla_vida!$P$216,EXP(-D242*E2_tabla_vida!$X$217)*E2_tabla_vida!$P$217,EXP(-D242*E2_tabla_vida!$X$218)*E2_tabla_vida!$P$218,EXP(-D242*E2_tabla_vida!$X$219)*E2_tabla_vida!$P$219,EXP(-D242*E2_tabla_vida!$X$220)*E2_tabla_vida!$P$220,EXP(-D242*E2_tabla_vida!$X$221)*E2_tabla_vida!$P$221,EXP(-D242*E2_tabla_vida!$X$222)*E2_tabla_vida!$P$222,EXP(-D242*E2_tabla_vida!$X$223)*E2_tabla_vida!$P$223,EXP(-D242*E2_tabla_vida!$X$224)*E2_tabla_vida!$P$224,EXP(-D242*E2_tabla_vida!$X$225)*E2_tabla_vida!$P$225,EXP(-D242*E2_tabla_vida!$X$226)*E2_tabla_vida!$P$226,EXP(-D242*E2_tabla_vida!$X$227)*E2_tabla_vida!$P$227,EXP(-D242*E2_tabla_vida!$X$228)*E2_tabla_vida!$P$228,EXP(-D242*E2_tabla_vida!$X$229)*E2_tabla_vida!$P$229,EXP(-D242*E2_tabla_vida!$X$230)*E2_tabla_vida!$P$230,EXP(-D242*E2_tabla_vida!$X$231)*E2_tabla_vida!$P$231,EXP(-D242*E2_tabla_vida!$X$232)*E2_tabla_vida!$P$232,EXP(-D242*E2_tabla_vida!$X$233)*E2_tabla_vida!$P$233,EXP(-D242*E2_tabla_vida!$X$234)*E2_tabla_vida!$P$234,EXP(-D242*E2_tabla_vida!$X$235)*E2_tabla_vida!$P$235,EXP(-D242*E2_tabla_vida!$X$236)*E2_tabla_vida!$P$236,EXP(-D242*E2_tabla_vida!$X$237)*E2_tabla_vida!$P$237,EXP(-D242*E2_tabla_vida!$X$238)*E2_tabla_vida!$P$238,EXP(-D242*E2_tabla_vida!$X$239)*E2_tabla_vida!$P$239,EXP(-D242*E2_tabla_vida!$X$240)*E2_tabla_vida!$P$240,EXP(-D242*E2_tabla_vida!$X$241)*E2_tabla_vida!$P$241,EXP(-D242*E2_tabla_vida!$X$242)*E2_tabla_vida!$P$242,EXP(-D242*E2_tabla_vida!$X$243)*E2_tabla_vida!$P$243,EXP(-D242*E2_tabla_vida!$X$244)*E2_tabla_vida!$P$244,EXP(-D242*E2_tabla_vida!$X$245)*E2_tabla_vida!$P$245,EXP(-D242*E2_tabla_vida!$X$246)*E2_tabla_vida!$P$246,EXP(-D242*E2_tabla_vida!$X$247)*E2_tabla_vida!$P$247,EXP(-D242*E2_tabla_vida!$X$248)*E2_tabla_vida!$P$248,EXP(-D242*E2_tabla_vida!$X$249)*E2_tabla_vida!$P$249,EXP(-D242*E2_tabla_vida!$X$250)*E2_tabla_vida!$P$250,EXP(-D242*E2_tabla_vida!$X$251)*E2_tabla_vida!$P$251,EXP(-D242*E2_tabla_vida!$X$252)*E2_tabla_vida!$P$252,EXP(-D242*E2_tabla_vida!$X$253)*E2_tabla_vida!$P$253)-1</x:f>
        <x:v>-0.03079354783318955</x:v>
      </x:c>
    </x:row>
    <x:row r="243" ht="19" customHeight="1">
      <x:c r="A243" s="2" t="str">
        <x:v>BB_L7</x:v>
      </x:c>
      <x:c r="B243" s="2" t="n">
        <x:v>11</x:v>
      </x:c>
      <x:c r="C243" s="22" t="n">
        <x:f>IF(F242&gt;0,E242,C242)</x:f>
        <x:v>0.2099609375</x:v>
      </x:c>
      <x:c r="D243" s="22" t="n">
        <x:f>IF(F242&gt;0,D242,E242)</x:f>
        <x:v>0.21142578125</x:v>
      </x:c>
      <x:c r="E243" s="22" t="n">
        <x:f>AVERAGE(C243:D243)</x:f>
        <x:v>0.210693359375</x:v>
      </x:c>
      <x:c r="F243" s="24" t="n">
        <x:f>SUM(EXP(-E243*E2_tabla_vida!$X$212)*E2_tabla_vida!$P$212,EXP(-E243*E2_tabla_vida!$X$213)*E2_tabla_vida!$P$213,EXP(-E243*E2_tabla_vida!$X$214)*E2_tabla_vida!$P$214,EXP(-E243*E2_tabla_vida!$X$215)*E2_tabla_vida!$P$215,EXP(-E243*E2_tabla_vida!$X$216)*E2_tabla_vida!$P$216,EXP(-E243*E2_tabla_vida!$X$217)*E2_tabla_vida!$P$217,EXP(-E243*E2_tabla_vida!$X$218)*E2_tabla_vida!$P$218,EXP(-E243*E2_tabla_vida!$X$219)*E2_tabla_vida!$P$219,EXP(-E243*E2_tabla_vida!$X$220)*E2_tabla_vida!$P$220,EXP(-E243*E2_tabla_vida!$X$221)*E2_tabla_vida!$P$221,EXP(-E243*E2_tabla_vida!$X$222)*E2_tabla_vida!$P$222,EXP(-E243*E2_tabla_vida!$X$223)*E2_tabla_vida!$P$223,EXP(-E243*E2_tabla_vida!$X$224)*E2_tabla_vida!$P$224,EXP(-E243*E2_tabla_vida!$X$225)*E2_tabla_vida!$P$225,EXP(-E243*E2_tabla_vida!$X$226)*E2_tabla_vida!$P$226,EXP(-E243*E2_tabla_vida!$X$227)*E2_tabla_vida!$P$227,EXP(-E243*E2_tabla_vida!$X$228)*E2_tabla_vida!$P$228,EXP(-E243*E2_tabla_vida!$X$229)*E2_tabla_vida!$P$229,EXP(-E243*E2_tabla_vida!$X$230)*E2_tabla_vida!$P$230,EXP(-E243*E2_tabla_vida!$X$231)*E2_tabla_vida!$P$231,EXP(-E243*E2_tabla_vida!$X$232)*E2_tabla_vida!$P$232,EXP(-E243*E2_tabla_vida!$X$233)*E2_tabla_vida!$P$233,EXP(-E243*E2_tabla_vida!$X$234)*E2_tabla_vida!$P$234,EXP(-E243*E2_tabla_vida!$X$235)*E2_tabla_vida!$P$235,EXP(-E243*E2_tabla_vida!$X$236)*E2_tabla_vida!$P$236,EXP(-E243*E2_tabla_vida!$X$237)*E2_tabla_vida!$P$237,EXP(-E243*E2_tabla_vida!$X$238)*E2_tabla_vida!$P$238,EXP(-E243*E2_tabla_vida!$X$239)*E2_tabla_vida!$P$239,EXP(-E243*E2_tabla_vida!$X$240)*E2_tabla_vida!$P$240,EXP(-E243*E2_tabla_vida!$X$241)*E2_tabla_vida!$P$241,EXP(-E243*E2_tabla_vida!$X$242)*E2_tabla_vida!$P$242,EXP(-E243*E2_tabla_vida!$X$243)*E2_tabla_vida!$P$243,EXP(-E243*E2_tabla_vida!$X$244)*E2_tabla_vida!$P$244,EXP(-E243*E2_tabla_vida!$X$245)*E2_tabla_vida!$P$245,EXP(-E243*E2_tabla_vida!$X$246)*E2_tabla_vida!$P$246,EXP(-E243*E2_tabla_vida!$X$247)*E2_tabla_vida!$P$247,EXP(-E243*E2_tabla_vida!$X$248)*E2_tabla_vida!$P$248,EXP(-E243*E2_tabla_vida!$X$249)*E2_tabla_vida!$P$249,EXP(-E243*E2_tabla_vida!$X$250)*E2_tabla_vida!$P$250,EXP(-E243*E2_tabla_vida!$X$251)*E2_tabla_vida!$P$251,EXP(-E243*E2_tabla_vida!$X$252)*E2_tabla_vida!$P$252,EXP(-E243*E2_tabla_vida!$X$253)*E2_tabla_vida!$P$253)-1</x:f>
        <x:v>0.0023288345164811375</x:v>
      </x:c>
      <x:c r="G243" s="24" t="n">
        <x:f>SUM(EXP(-C243*E2_tabla_vida!$X$212)*E2_tabla_vida!$P$212,EXP(-C243*E2_tabla_vida!$X$213)*E2_tabla_vida!$P$213,EXP(-C243*E2_tabla_vida!$X$214)*E2_tabla_vida!$P$214,EXP(-C243*E2_tabla_vida!$X$215)*E2_tabla_vida!$P$215,EXP(-C243*E2_tabla_vida!$X$216)*E2_tabla_vida!$P$216,EXP(-C243*E2_tabla_vida!$X$217)*E2_tabla_vida!$P$217,EXP(-C243*E2_tabla_vida!$X$218)*E2_tabla_vida!$P$218,EXP(-C243*E2_tabla_vida!$X$219)*E2_tabla_vida!$P$219,EXP(-C243*E2_tabla_vida!$X$220)*E2_tabla_vida!$P$220,EXP(-C243*E2_tabla_vida!$X$221)*E2_tabla_vida!$P$221,EXP(-C243*E2_tabla_vida!$X$222)*E2_tabla_vida!$P$222,EXP(-C243*E2_tabla_vida!$X$223)*E2_tabla_vida!$P$223,EXP(-C243*E2_tabla_vida!$X$224)*E2_tabla_vida!$P$224,EXP(-C243*E2_tabla_vida!$X$225)*E2_tabla_vida!$P$225,EXP(-C243*E2_tabla_vida!$X$226)*E2_tabla_vida!$P$226,EXP(-C243*E2_tabla_vida!$X$227)*E2_tabla_vida!$P$227,EXP(-C243*E2_tabla_vida!$X$228)*E2_tabla_vida!$P$228,EXP(-C243*E2_tabla_vida!$X$229)*E2_tabla_vida!$P$229,EXP(-C243*E2_tabla_vida!$X$230)*E2_tabla_vida!$P$230,EXP(-C243*E2_tabla_vida!$X$231)*E2_tabla_vida!$P$231,EXP(-C243*E2_tabla_vida!$X$232)*E2_tabla_vida!$P$232,EXP(-C243*E2_tabla_vida!$X$233)*E2_tabla_vida!$P$233,EXP(-C243*E2_tabla_vida!$X$234)*E2_tabla_vida!$P$234,EXP(-C243*E2_tabla_vida!$X$235)*E2_tabla_vida!$P$235,EXP(-C243*E2_tabla_vida!$X$236)*E2_tabla_vida!$P$236,EXP(-C243*E2_tabla_vida!$X$237)*E2_tabla_vida!$P$237,EXP(-C243*E2_tabla_vida!$X$238)*E2_tabla_vida!$P$238,EXP(-C243*E2_tabla_vida!$X$239)*E2_tabla_vida!$P$239,EXP(-C243*E2_tabla_vida!$X$240)*E2_tabla_vida!$P$240,EXP(-C243*E2_tabla_vida!$X$241)*E2_tabla_vida!$P$241,EXP(-C243*E2_tabla_vida!$X$242)*E2_tabla_vida!$P$242,EXP(-C243*E2_tabla_vida!$X$243)*E2_tabla_vida!$P$243,EXP(-C243*E2_tabla_vida!$X$244)*E2_tabla_vida!$P$244,EXP(-C243*E2_tabla_vida!$X$245)*E2_tabla_vida!$P$245,EXP(-C243*E2_tabla_vida!$X$246)*E2_tabla_vida!$P$246,EXP(-C243*E2_tabla_vida!$X$247)*E2_tabla_vida!$P$247,EXP(-C243*E2_tabla_vida!$X$248)*E2_tabla_vida!$P$248,EXP(-C243*E2_tabla_vida!$X$249)*E2_tabla_vida!$P$249,EXP(-C243*E2_tabla_vida!$X$250)*E2_tabla_vida!$P$250,EXP(-C243*E2_tabla_vida!$X$251)*E2_tabla_vida!$P$251,EXP(-C243*E2_tabla_vida!$X$252)*E2_tabla_vida!$P$252,EXP(-C243*E2_tabla_vida!$X$253)*E2_tabla_vida!$P$253)-1</x:f>
        <x:v>0.01363206991960797</x:v>
      </x:c>
      <x:c r="H243" s="24" t="n">
        <x:f>SUM(EXP(-D243*E2_tabla_vida!$X$212)*E2_tabla_vida!$P$212,EXP(-D243*E2_tabla_vida!$X$213)*E2_tabla_vida!$P$213,EXP(-D243*E2_tabla_vida!$X$214)*E2_tabla_vida!$P$214,EXP(-D243*E2_tabla_vida!$X$215)*E2_tabla_vida!$P$215,EXP(-D243*E2_tabla_vida!$X$216)*E2_tabla_vida!$P$216,EXP(-D243*E2_tabla_vida!$X$217)*E2_tabla_vida!$P$217,EXP(-D243*E2_tabla_vida!$X$218)*E2_tabla_vida!$P$218,EXP(-D243*E2_tabla_vida!$X$219)*E2_tabla_vida!$P$219,EXP(-D243*E2_tabla_vida!$X$220)*E2_tabla_vida!$P$220,EXP(-D243*E2_tabla_vida!$X$221)*E2_tabla_vida!$P$221,EXP(-D243*E2_tabla_vida!$X$222)*E2_tabla_vida!$P$222,EXP(-D243*E2_tabla_vida!$X$223)*E2_tabla_vida!$P$223,EXP(-D243*E2_tabla_vida!$X$224)*E2_tabla_vida!$P$224,EXP(-D243*E2_tabla_vida!$X$225)*E2_tabla_vida!$P$225,EXP(-D243*E2_tabla_vida!$X$226)*E2_tabla_vida!$P$226,EXP(-D243*E2_tabla_vida!$X$227)*E2_tabla_vida!$P$227,EXP(-D243*E2_tabla_vida!$X$228)*E2_tabla_vida!$P$228,EXP(-D243*E2_tabla_vida!$X$229)*E2_tabla_vida!$P$229,EXP(-D243*E2_tabla_vida!$X$230)*E2_tabla_vida!$P$230,EXP(-D243*E2_tabla_vida!$X$231)*E2_tabla_vida!$P$231,EXP(-D243*E2_tabla_vida!$X$232)*E2_tabla_vida!$P$232,EXP(-D243*E2_tabla_vida!$X$233)*E2_tabla_vida!$P$233,EXP(-D243*E2_tabla_vida!$X$234)*E2_tabla_vida!$P$234,EXP(-D243*E2_tabla_vida!$X$235)*E2_tabla_vida!$P$235,EXP(-D243*E2_tabla_vida!$X$236)*E2_tabla_vida!$P$236,EXP(-D243*E2_tabla_vida!$X$237)*E2_tabla_vida!$P$237,EXP(-D243*E2_tabla_vida!$X$238)*E2_tabla_vida!$P$238,EXP(-D243*E2_tabla_vida!$X$239)*E2_tabla_vida!$P$239,EXP(-D243*E2_tabla_vida!$X$240)*E2_tabla_vida!$P$240,EXP(-D243*E2_tabla_vida!$X$241)*E2_tabla_vida!$P$241,EXP(-D243*E2_tabla_vida!$X$242)*E2_tabla_vida!$P$242,EXP(-D243*E2_tabla_vida!$X$243)*E2_tabla_vida!$P$243,EXP(-D243*E2_tabla_vida!$X$244)*E2_tabla_vida!$P$244,EXP(-D243*E2_tabla_vida!$X$245)*E2_tabla_vida!$P$245,EXP(-D243*E2_tabla_vida!$X$246)*E2_tabla_vida!$P$246,EXP(-D243*E2_tabla_vida!$X$247)*E2_tabla_vida!$P$247,EXP(-D243*E2_tabla_vida!$X$248)*E2_tabla_vida!$P$248,EXP(-D243*E2_tabla_vida!$X$249)*E2_tabla_vida!$P$249,EXP(-D243*E2_tabla_vida!$X$250)*E2_tabla_vida!$P$250,EXP(-D243*E2_tabla_vida!$X$251)*E2_tabla_vida!$P$251,EXP(-D243*E2_tabla_vida!$X$252)*E2_tabla_vida!$P$252,EXP(-D243*E2_tabla_vida!$X$253)*E2_tabla_vida!$P$253)-1</x:f>
        <x:v>-0.008842094905428088</x:v>
      </x:c>
    </x:row>
    <x:row r="244" ht="19" customHeight="1">
      <x:c r="A244" s="2" t="str">
        <x:v>BB_L7</x:v>
      </x:c>
      <x:c r="B244" s="2" t="n">
        <x:v>12</x:v>
      </x:c>
      <x:c r="C244" s="22" t="n">
        <x:f>IF(F243&gt;0,E243,C243)</x:f>
        <x:v>0.210693359375</x:v>
      </x:c>
      <x:c r="D244" s="22" t="n">
        <x:f>IF(F243&gt;0,D243,E243)</x:f>
        <x:v>0.21142578125</x:v>
      </x:c>
      <x:c r="E244" s="22" t="n">
        <x:f>AVERAGE(C244:D244)</x:f>
        <x:v>0.2110595703125</x:v>
      </x:c>
      <x:c r="F244" s="24" t="n">
        <x:f>SUM(EXP(-E244*E2_tabla_vida!$X$212)*E2_tabla_vida!$P$212,EXP(-E244*E2_tabla_vida!$X$213)*E2_tabla_vida!$P$213,EXP(-E244*E2_tabla_vida!$X$214)*E2_tabla_vida!$P$214,EXP(-E244*E2_tabla_vida!$X$215)*E2_tabla_vida!$P$215,EXP(-E244*E2_tabla_vida!$X$216)*E2_tabla_vida!$P$216,EXP(-E244*E2_tabla_vida!$X$217)*E2_tabla_vida!$P$217,EXP(-E244*E2_tabla_vida!$X$218)*E2_tabla_vida!$P$218,EXP(-E244*E2_tabla_vida!$X$219)*E2_tabla_vida!$P$219,EXP(-E244*E2_tabla_vida!$X$220)*E2_tabla_vida!$P$220,EXP(-E244*E2_tabla_vida!$X$221)*E2_tabla_vida!$P$221,EXP(-E244*E2_tabla_vida!$X$222)*E2_tabla_vida!$P$222,EXP(-E244*E2_tabla_vida!$X$223)*E2_tabla_vida!$P$223,EXP(-E244*E2_tabla_vida!$X$224)*E2_tabla_vida!$P$224,EXP(-E244*E2_tabla_vida!$X$225)*E2_tabla_vida!$P$225,EXP(-E244*E2_tabla_vida!$X$226)*E2_tabla_vida!$P$226,EXP(-E244*E2_tabla_vida!$X$227)*E2_tabla_vida!$P$227,EXP(-E244*E2_tabla_vida!$X$228)*E2_tabla_vida!$P$228,EXP(-E244*E2_tabla_vida!$X$229)*E2_tabla_vida!$P$229,EXP(-E244*E2_tabla_vida!$X$230)*E2_tabla_vida!$P$230,EXP(-E244*E2_tabla_vida!$X$231)*E2_tabla_vida!$P$231,EXP(-E244*E2_tabla_vida!$X$232)*E2_tabla_vida!$P$232,EXP(-E244*E2_tabla_vida!$X$233)*E2_tabla_vida!$P$233,EXP(-E244*E2_tabla_vida!$X$234)*E2_tabla_vida!$P$234,EXP(-E244*E2_tabla_vida!$X$235)*E2_tabla_vida!$P$235,EXP(-E244*E2_tabla_vida!$X$236)*E2_tabla_vida!$P$236,EXP(-E244*E2_tabla_vida!$X$237)*E2_tabla_vida!$P$237,EXP(-E244*E2_tabla_vida!$X$238)*E2_tabla_vida!$P$238,EXP(-E244*E2_tabla_vida!$X$239)*E2_tabla_vida!$P$239,EXP(-E244*E2_tabla_vida!$X$240)*E2_tabla_vida!$P$240,EXP(-E244*E2_tabla_vida!$X$241)*E2_tabla_vida!$P$241,EXP(-E244*E2_tabla_vida!$X$242)*E2_tabla_vida!$P$242,EXP(-E244*E2_tabla_vida!$X$243)*E2_tabla_vida!$P$243,EXP(-E244*E2_tabla_vida!$X$244)*E2_tabla_vida!$P$244,EXP(-E244*E2_tabla_vida!$X$245)*E2_tabla_vida!$P$245,EXP(-E244*E2_tabla_vida!$X$246)*E2_tabla_vida!$P$246,EXP(-E244*E2_tabla_vida!$X$247)*E2_tabla_vida!$P$247,EXP(-E244*E2_tabla_vida!$X$248)*E2_tabla_vida!$P$248,EXP(-E244*E2_tabla_vida!$X$249)*E2_tabla_vida!$P$249,EXP(-E244*E2_tabla_vida!$X$250)*E2_tabla_vida!$P$250,EXP(-E244*E2_tabla_vida!$X$251)*E2_tabla_vida!$P$251,EXP(-E244*E2_tabla_vida!$X$252)*E2_tabla_vida!$P$252,EXP(-E244*E2_tabla_vida!$X$253)*E2_tabla_vida!$P$253)-1</x:f>
        <x:v>-0.0032730658549268155</x:v>
      </x:c>
      <x:c r="G244" s="24" t="n">
        <x:f>SUM(EXP(-C244*E2_tabla_vida!$X$212)*E2_tabla_vida!$P$212,EXP(-C244*E2_tabla_vida!$X$213)*E2_tabla_vida!$P$213,EXP(-C244*E2_tabla_vida!$X$214)*E2_tabla_vida!$P$214,EXP(-C244*E2_tabla_vida!$X$215)*E2_tabla_vida!$P$215,EXP(-C244*E2_tabla_vida!$X$216)*E2_tabla_vida!$P$216,EXP(-C244*E2_tabla_vida!$X$217)*E2_tabla_vida!$P$217,EXP(-C244*E2_tabla_vida!$X$218)*E2_tabla_vida!$P$218,EXP(-C244*E2_tabla_vida!$X$219)*E2_tabla_vida!$P$219,EXP(-C244*E2_tabla_vida!$X$220)*E2_tabla_vida!$P$220,EXP(-C244*E2_tabla_vida!$X$221)*E2_tabla_vida!$P$221,EXP(-C244*E2_tabla_vida!$X$222)*E2_tabla_vida!$P$222,EXP(-C244*E2_tabla_vida!$X$223)*E2_tabla_vida!$P$223,EXP(-C244*E2_tabla_vida!$X$224)*E2_tabla_vida!$P$224,EXP(-C244*E2_tabla_vida!$X$225)*E2_tabla_vida!$P$225,EXP(-C244*E2_tabla_vida!$X$226)*E2_tabla_vida!$P$226,EXP(-C244*E2_tabla_vida!$X$227)*E2_tabla_vida!$P$227,EXP(-C244*E2_tabla_vida!$X$228)*E2_tabla_vida!$P$228,EXP(-C244*E2_tabla_vida!$X$229)*E2_tabla_vida!$P$229,EXP(-C244*E2_tabla_vida!$X$230)*E2_tabla_vida!$P$230,EXP(-C244*E2_tabla_vida!$X$231)*E2_tabla_vida!$P$231,EXP(-C244*E2_tabla_vida!$X$232)*E2_tabla_vida!$P$232,EXP(-C244*E2_tabla_vida!$X$233)*E2_tabla_vida!$P$233,EXP(-C244*E2_tabla_vida!$X$234)*E2_tabla_vida!$P$234,EXP(-C244*E2_tabla_vida!$X$235)*E2_tabla_vida!$P$235,EXP(-C244*E2_tabla_vida!$X$236)*E2_tabla_vida!$P$236,EXP(-C244*E2_tabla_vida!$X$237)*E2_tabla_vida!$P$237,EXP(-C244*E2_tabla_vida!$X$238)*E2_tabla_vida!$P$238,EXP(-C244*E2_tabla_vida!$X$239)*E2_tabla_vida!$P$239,EXP(-C244*E2_tabla_vida!$X$240)*E2_tabla_vida!$P$240,EXP(-C244*E2_tabla_vida!$X$241)*E2_tabla_vida!$P$241,EXP(-C244*E2_tabla_vida!$X$242)*E2_tabla_vida!$P$242,EXP(-C244*E2_tabla_vida!$X$243)*E2_tabla_vida!$P$243,EXP(-C244*E2_tabla_vida!$X$244)*E2_tabla_vida!$P$244,EXP(-C244*E2_tabla_vida!$X$245)*E2_tabla_vida!$P$245,EXP(-C244*E2_tabla_vida!$X$246)*E2_tabla_vida!$P$246,EXP(-C244*E2_tabla_vida!$X$247)*E2_tabla_vida!$P$247,EXP(-C244*E2_tabla_vida!$X$248)*E2_tabla_vida!$P$248,EXP(-C244*E2_tabla_vida!$X$249)*E2_tabla_vida!$P$249,EXP(-C244*E2_tabla_vida!$X$250)*E2_tabla_vida!$P$250,EXP(-C244*E2_tabla_vida!$X$251)*E2_tabla_vida!$P$251,EXP(-C244*E2_tabla_vida!$X$252)*E2_tabla_vida!$P$252,EXP(-C244*E2_tabla_vida!$X$253)*E2_tabla_vida!$P$253)-1</x:f>
        <x:v>0.0023288345164811375</x:v>
      </x:c>
      <x:c r="H244" s="24" t="n">
        <x:f>SUM(EXP(-D244*E2_tabla_vida!$X$212)*E2_tabla_vida!$P$212,EXP(-D244*E2_tabla_vida!$X$213)*E2_tabla_vida!$P$213,EXP(-D244*E2_tabla_vida!$X$214)*E2_tabla_vida!$P$214,EXP(-D244*E2_tabla_vida!$X$215)*E2_tabla_vida!$P$215,EXP(-D244*E2_tabla_vida!$X$216)*E2_tabla_vida!$P$216,EXP(-D244*E2_tabla_vida!$X$217)*E2_tabla_vida!$P$217,EXP(-D244*E2_tabla_vida!$X$218)*E2_tabla_vida!$P$218,EXP(-D244*E2_tabla_vida!$X$219)*E2_tabla_vida!$P$219,EXP(-D244*E2_tabla_vida!$X$220)*E2_tabla_vida!$P$220,EXP(-D244*E2_tabla_vida!$X$221)*E2_tabla_vida!$P$221,EXP(-D244*E2_tabla_vida!$X$222)*E2_tabla_vida!$P$222,EXP(-D244*E2_tabla_vida!$X$223)*E2_tabla_vida!$P$223,EXP(-D244*E2_tabla_vida!$X$224)*E2_tabla_vida!$P$224,EXP(-D244*E2_tabla_vida!$X$225)*E2_tabla_vida!$P$225,EXP(-D244*E2_tabla_vida!$X$226)*E2_tabla_vida!$P$226,EXP(-D244*E2_tabla_vida!$X$227)*E2_tabla_vida!$P$227,EXP(-D244*E2_tabla_vida!$X$228)*E2_tabla_vida!$P$228,EXP(-D244*E2_tabla_vida!$X$229)*E2_tabla_vida!$P$229,EXP(-D244*E2_tabla_vida!$X$230)*E2_tabla_vida!$P$230,EXP(-D244*E2_tabla_vida!$X$231)*E2_tabla_vida!$P$231,EXP(-D244*E2_tabla_vida!$X$232)*E2_tabla_vida!$P$232,EXP(-D244*E2_tabla_vida!$X$233)*E2_tabla_vida!$P$233,EXP(-D244*E2_tabla_vida!$X$234)*E2_tabla_vida!$P$234,EXP(-D244*E2_tabla_vida!$X$235)*E2_tabla_vida!$P$235,EXP(-D244*E2_tabla_vida!$X$236)*E2_tabla_vida!$P$236,EXP(-D244*E2_tabla_vida!$X$237)*E2_tabla_vida!$P$237,EXP(-D244*E2_tabla_vida!$X$238)*E2_tabla_vida!$P$238,EXP(-D244*E2_tabla_vida!$X$239)*E2_tabla_vida!$P$239,EXP(-D244*E2_tabla_vida!$X$240)*E2_tabla_vida!$P$240,EXP(-D244*E2_tabla_vida!$X$241)*E2_tabla_vida!$P$241,EXP(-D244*E2_tabla_vida!$X$242)*E2_tabla_vida!$P$242,EXP(-D244*E2_tabla_vida!$X$243)*E2_tabla_vida!$P$243,EXP(-D244*E2_tabla_vida!$X$244)*E2_tabla_vida!$P$244,EXP(-D244*E2_tabla_vida!$X$245)*E2_tabla_vida!$P$245,EXP(-D244*E2_tabla_vida!$X$246)*E2_tabla_vida!$P$246,EXP(-D244*E2_tabla_vida!$X$247)*E2_tabla_vida!$P$247,EXP(-D244*E2_tabla_vida!$X$248)*E2_tabla_vida!$P$248,EXP(-D244*E2_tabla_vida!$X$249)*E2_tabla_vida!$P$249,EXP(-D244*E2_tabla_vida!$X$250)*E2_tabla_vida!$P$250,EXP(-D244*E2_tabla_vida!$X$251)*E2_tabla_vida!$P$251,EXP(-D244*E2_tabla_vida!$X$252)*E2_tabla_vida!$P$252,EXP(-D244*E2_tabla_vida!$X$253)*E2_tabla_vida!$P$253)-1</x:f>
        <x:v>-0.008842094905428088</x:v>
      </x:c>
    </x:row>
    <x:row r="245" ht="19" customHeight="1">
      <x:c r="A245" s="2" t="str">
        <x:v>BB_L7</x:v>
      </x:c>
      <x:c r="B245" s="2" t="n">
        <x:v>13</x:v>
      </x:c>
      <x:c r="C245" s="22" t="n">
        <x:f>IF(F244&gt;0,E244,C244)</x:f>
        <x:v>0.210693359375</x:v>
      </x:c>
      <x:c r="D245" s="22" t="n">
        <x:f>IF(F244&gt;0,D244,E244)</x:f>
        <x:v>0.2110595703125</x:v>
      </x:c>
      <x:c r="E245" s="22" t="n">
        <x:f>AVERAGE(C245:D245)</x:f>
        <x:v>0.21087646484375</x:v>
      </x:c>
      <x:c r="F245" s="24" t="n">
        <x:f>SUM(EXP(-E245*E2_tabla_vida!$X$212)*E2_tabla_vida!$P$212,EXP(-E245*E2_tabla_vida!$X$213)*E2_tabla_vida!$P$213,EXP(-E245*E2_tabla_vida!$X$214)*E2_tabla_vida!$P$214,EXP(-E245*E2_tabla_vida!$X$215)*E2_tabla_vida!$P$215,EXP(-E245*E2_tabla_vida!$X$216)*E2_tabla_vida!$P$216,EXP(-E245*E2_tabla_vida!$X$217)*E2_tabla_vida!$P$217,EXP(-E245*E2_tabla_vida!$X$218)*E2_tabla_vida!$P$218,EXP(-E245*E2_tabla_vida!$X$219)*E2_tabla_vida!$P$219,EXP(-E245*E2_tabla_vida!$X$220)*E2_tabla_vida!$P$220,EXP(-E245*E2_tabla_vida!$X$221)*E2_tabla_vida!$P$221,EXP(-E245*E2_tabla_vida!$X$222)*E2_tabla_vida!$P$222,EXP(-E245*E2_tabla_vida!$X$223)*E2_tabla_vida!$P$223,EXP(-E245*E2_tabla_vida!$X$224)*E2_tabla_vida!$P$224,EXP(-E245*E2_tabla_vida!$X$225)*E2_tabla_vida!$P$225,EXP(-E245*E2_tabla_vida!$X$226)*E2_tabla_vida!$P$226,EXP(-E245*E2_tabla_vida!$X$227)*E2_tabla_vida!$P$227,EXP(-E245*E2_tabla_vida!$X$228)*E2_tabla_vida!$P$228,EXP(-E245*E2_tabla_vida!$X$229)*E2_tabla_vida!$P$229,EXP(-E245*E2_tabla_vida!$X$230)*E2_tabla_vida!$P$230,EXP(-E245*E2_tabla_vida!$X$231)*E2_tabla_vida!$P$231,EXP(-E245*E2_tabla_vida!$X$232)*E2_tabla_vida!$P$232,EXP(-E245*E2_tabla_vida!$X$233)*E2_tabla_vida!$P$233,EXP(-E245*E2_tabla_vida!$X$234)*E2_tabla_vida!$P$234,EXP(-E245*E2_tabla_vida!$X$235)*E2_tabla_vida!$P$235,EXP(-E245*E2_tabla_vida!$X$236)*E2_tabla_vida!$P$236,EXP(-E245*E2_tabla_vida!$X$237)*E2_tabla_vida!$P$237,EXP(-E245*E2_tabla_vida!$X$238)*E2_tabla_vida!$P$238,EXP(-E245*E2_tabla_vida!$X$239)*E2_tabla_vida!$P$239,EXP(-E245*E2_tabla_vida!$X$240)*E2_tabla_vida!$P$240,EXP(-E245*E2_tabla_vida!$X$241)*E2_tabla_vida!$P$241,EXP(-E245*E2_tabla_vida!$X$242)*E2_tabla_vida!$P$242,EXP(-E245*E2_tabla_vida!$X$243)*E2_tabla_vida!$P$243,EXP(-E245*E2_tabla_vida!$X$244)*E2_tabla_vida!$P$244,EXP(-E245*E2_tabla_vida!$X$245)*E2_tabla_vida!$P$245,EXP(-E245*E2_tabla_vida!$X$246)*E2_tabla_vida!$P$246,EXP(-E245*E2_tabla_vida!$X$247)*E2_tabla_vida!$P$247,EXP(-E245*E2_tabla_vida!$X$248)*E2_tabla_vida!$P$248,EXP(-E245*E2_tabla_vida!$X$249)*E2_tabla_vida!$P$249,EXP(-E245*E2_tabla_vida!$X$250)*E2_tabla_vida!$P$250,EXP(-E245*E2_tabla_vida!$X$251)*E2_tabla_vida!$P$251,EXP(-E245*E2_tabla_vida!$X$252)*E2_tabla_vida!$P$252,EXP(-E245*E2_tabla_vida!$X$253)*E2_tabla_vida!$P$253)-1</x:f>
        <x:v>-0.0004762373550366572</x:v>
      </x:c>
      <x:c r="G245" s="24" t="n">
        <x:f>SUM(EXP(-C245*E2_tabla_vida!$X$212)*E2_tabla_vida!$P$212,EXP(-C245*E2_tabla_vida!$X$213)*E2_tabla_vida!$P$213,EXP(-C245*E2_tabla_vida!$X$214)*E2_tabla_vida!$P$214,EXP(-C245*E2_tabla_vida!$X$215)*E2_tabla_vida!$P$215,EXP(-C245*E2_tabla_vida!$X$216)*E2_tabla_vida!$P$216,EXP(-C245*E2_tabla_vida!$X$217)*E2_tabla_vida!$P$217,EXP(-C245*E2_tabla_vida!$X$218)*E2_tabla_vida!$P$218,EXP(-C245*E2_tabla_vida!$X$219)*E2_tabla_vida!$P$219,EXP(-C245*E2_tabla_vida!$X$220)*E2_tabla_vida!$P$220,EXP(-C245*E2_tabla_vida!$X$221)*E2_tabla_vida!$P$221,EXP(-C245*E2_tabla_vida!$X$222)*E2_tabla_vida!$P$222,EXP(-C245*E2_tabla_vida!$X$223)*E2_tabla_vida!$P$223,EXP(-C245*E2_tabla_vida!$X$224)*E2_tabla_vida!$P$224,EXP(-C245*E2_tabla_vida!$X$225)*E2_tabla_vida!$P$225,EXP(-C245*E2_tabla_vida!$X$226)*E2_tabla_vida!$P$226,EXP(-C245*E2_tabla_vida!$X$227)*E2_tabla_vida!$P$227,EXP(-C245*E2_tabla_vida!$X$228)*E2_tabla_vida!$P$228,EXP(-C245*E2_tabla_vida!$X$229)*E2_tabla_vida!$P$229,EXP(-C245*E2_tabla_vida!$X$230)*E2_tabla_vida!$P$230,EXP(-C245*E2_tabla_vida!$X$231)*E2_tabla_vida!$P$231,EXP(-C245*E2_tabla_vida!$X$232)*E2_tabla_vida!$P$232,EXP(-C245*E2_tabla_vida!$X$233)*E2_tabla_vida!$P$233,EXP(-C245*E2_tabla_vida!$X$234)*E2_tabla_vida!$P$234,EXP(-C245*E2_tabla_vida!$X$235)*E2_tabla_vida!$P$235,EXP(-C245*E2_tabla_vida!$X$236)*E2_tabla_vida!$P$236,EXP(-C245*E2_tabla_vida!$X$237)*E2_tabla_vida!$P$237,EXP(-C245*E2_tabla_vida!$X$238)*E2_tabla_vida!$P$238,EXP(-C245*E2_tabla_vida!$X$239)*E2_tabla_vida!$P$239,EXP(-C245*E2_tabla_vida!$X$240)*E2_tabla_vida!$P$240,EXP(-C245*E2_tabla_vida!$X$241)*E2_tabla_vida!$P$241,EXP(-C245*E2_tabla_vida!$X$242)*E2_tabla_vida!$P$242,EXP(-C245*E2_tabla_vida!$X$243)*E2_tabla_vida!$P$243,EXP(-C245*E2_tabla_vida!$X$244)*E2_tabla_vida!$P$244,EXP(-C245*E2_tabla_vida!$X$245)*E2_tabla_vida!$P$245,EXP(-C245*E2_tabla_vida!$X$246)*E2_tabla_vida!$P$246,EXP(-C245*E2_tabla_vida!$X$247)*E2_tabla_vida!$P$247,EXP(-C245*E2_tabla_vida!$X$248)*E2_tabla_vida!$P$248,EXP(-C245*E2_tabla_vida!$X$249)*E2_tabla_vida!$P$249,EXP(-C245*E2_tabla_vida!$X$250)*E2_tabla_vida!$P$250,EXP(-C245*E2_tabla_vida!$X$251)*E2_tabla_vida!$P$251,EXP(-C245*E2_tabla_vida!$X$252)*E2_tabla_vida!$P$252,EXP(-C245*E2_tabla_vida!$X$253)*E2_tabla_vida!$P$253)-1</x:f>
        <x:v>0.0023288345164811375</x:v>
      </x:c>
      <x:c r="H245" s="24" t="n">
        <x:f>SUM(EXP(-D245*E2_tabla_vida!$X$212)*E2_tabla_vida!$P$212,EXP(-D245*E2_tabla_vida!$X$213)*E2_tabla_vida!$P$213,EXP(-D245*E2_tabla_vida!$X$214)*E2_tabla_vida!$P$214,EXP(-D245*E2_tabla_vida!$X$215)*E2_tabla_vida!$P$215,EXP(-D245*E2_tabla_vida!$X$216)*E2_tabla_vida!$P$216,EXP(-D245*E2_tabla_vida!$X$217)*E2_tabla_vida!$P$217,EXP(-D245*E2_tabla_vida!$X$218)*E2_tabla_vida!$P$218,EXP(-D245*E2_tabla_vida!$X$219)*E2_tabla_vida!$P$219,EXP(-D245*E2_tabla_vida!$X$220)*E2_tabla_vida!$P$220,EXP(-D245*E2_tabla_vida!$X$221)*E2_tabla_vida!$P$221,EXP(-D245*E2_tabla_vida!$X$222)*E2_tabla_vida!$P$222,EXP(-D245*E2_tabla_vida!$X$223)*E2_tabla_vida!$P$223,EXP(-D245*E2_tabla_vida!$X$224)*E2_tabla_vida!$P$224,EXP(-D245*E2_tabla_vida!$X$225)*E2_tabla_vida!$P$225,EXP(-D245*E2_tabla_vida!$X$226)*E2_tabla_vida!$P$226,EXP(-D245*E2_tabla_vida!$X$227)*E2_tabla_vida!$P$227,EXP(-D245*E2_tabla_vida!$X$228)*E2_tabla_vida!$P$228,EXP(-D245*E2_tabla_vida!$X$229)*E2_tabla_vida!$P$229,EXP(-D245*E2_tabla_vida!$X$230)*E2_tabla_vida!$P$230,EXP(-D245*E2_tabla_vida!$X$231)*E2_tabla_vida!$P$231,EXP(-D245*E2_tabla_vida!$X$232)*E2_tabla_vida!$P$232,EXP(-D245*E2_tabla_vida!$X$233)*E2_tabla_vida!$P$233,EXP(-D245*E2_tabla_vida!$X$234)*E2_tabla_vida!$P$234,EXP(-D245*E2_tabla_vida!$X$235)*E2_tabla_vida!$P$235,EXP(-D245*E2_tabla_vida!$X$236)*E2_tabla_vida!$P$236,EXP(-D245*E2_tabla_vida!$X$237)*E2_tabla_vida!$P$237,EXP(-D245*E2_tabla_vida!$X$238)*E2_tabla_vida!$P$238,EXP(-D245*E2_tabla_vida!$X$239)*E2_tabla_vida!$P$239,EXP(-D245*E2_tabla_vida!$X$240)*E2_tabla_vida!$P$240,EXP(-D245*E2_tabla_vida!$X$241)*E2_tabla_vida!$P$241,EXP(-D245*E2_tabla_vida!$X$242)*E2_tabla_vida!$P$242,EXP(-D245*E2_tabla_vida!$X$243)*E2_tabla_vida!$P$243,EXP(-D245*E2_tabla_vida!$X$244)*E2_tabla_vida!$P$244,EXP(-D245*E2_tabla_vida!$X$245)*E2_tabla_vida!$P$245,EXP(-D245*E2_tabla_vida!$X$246)*E2_tabla_vida!$P$246,EXP(-D245*E2_tabla_vida!$X$247)*E2_tabla_vida!$P$247,EXP(-D245*E2_tabla_vida!$X$248)*E2_tabla_vida!$P$248,EXP(-D245*E2_tabla_vida!$X$249)*E2_tabla_vida!$P$249,EXP(-D245*E2_tabla_vida!$X$250)*E2_tabla_vida!$P$250,EXP(-D245*E2_tabla_vida!$X$251)*E2_tabla_vida!$P$251,EXP(-D245*E2_tabla_vida!$X$252)*E2_tabla_vida!$P$252,EXP(-D245*E2_tabla_vida!$X$253)*E2_tabla_vida!$P$253)-1</x:f>
        <x:v>-0.0032730658549268155</x:v>
      </x:c>
    </x:row>
    <x:row r="246" ht="19" customHeight="1">
      <x:c r="A246" s="2" t="str">
        <x:v>BB_L7</x:v>
      </x:c>
      <x:c r="B246" s="2" t="n">
        <x:v>14</x:v>
      </x:c>
      <x:c r="C246" s="22" t="n">
        <x:f>IF(F245&gt;0,E245,C245)</x:f>
        <x:v>0.210693359375</x:v>
      </x:c>
      <x:c r="D246" s="22" t="n">
        <x:f>IF(F245&gt;0,D245,E245)</x:f>
        <x:v>0.21087646484375</x:v>
      </x:c>
      <x:c r="E246" s="22" t="n">
        <x:f>AVERAGE(C246:D246)</x:f>
        <x:v>0.210784912109375</x:v>
      </x:c>
      <x:c r="F246" s="24" t="n">
        <x:f>SUM(EXP(-E246*E2_tabla_vida!$X$212)*E2_tabla_vida!$P$212,EXP(-E246*E2_tabla_vida!$X$213)*E2_tabla_vida!$P$213,EXP(-E246*E2_tabla_vida!$X$214)*E2_tabla_vida!$P$214,EXP(-E246*E2_tabla_vida!$X$215)*E2_tabla_vida!$P$215,EXP(-E246*E2_tabla_vida!$X$216)*E2_tabla_vida!$P$216,EXP(-E246*E2_tabla_vida!$X$217)*E2_tabla_vida!$P$217,EXP(-E246*E2_tabla_vida!$X$218)*E2_tabla_vida!$P$218,EXP(-E246*E2_tabla_vida!$X$219)*E2_tabla_vida!$P$219,EXP(-E246*E2_tabla_vida!$X$220)*E2_tabla_vida!$P$220,EXP(-E246*E2_tabla_vida!$X$221)*E2_tabla_vida!$P$221,EXP(-E246*E2_tabla_vida!$X$222)*E2_tabla_vida!$P$222,EXP(-E246*E2_tabla_vida!$X$223)*E2_tabla_vida!$P$223,EXP(-E246*E2_tabla_vida!$X$224)*E2_tabla_vida!$P$224,EXP(-E246*E2_tabla_vida!$X$225)*E2_tabla_vida!$P$225,EXP(-E246*E2_tabla_vida!$X$226)*E2_tabla_vida!$P$226,EXP(-E246*E2_tabla_vida!$X$227)*E2_tabla_vida!$P$227,EXP(-E246*E2_tabla_vida!$X$228)*E2_tabla_vida!$P$228,EXP(-E246*E2_tabla_vida!$X$229)*E2_tabla_vida!$P$229,EXP(-E246*E2_tabla_vida!$X$230)*E2_tabla_vida!$P$230,EXP(-E246*E2_tabla_vida!$X$231)*E2_tabla_vida!$P$231,EXP(-E246*E2_tabla_vida!$X$232)*E2_tabla_vida!$P$232,EXP(-E246*E2_tabla_vida!$X$233)*E2_tabla_vida!$P$233,EXP(-E246*E2_tabla_vida!$X$234)*E2_tabla_vida!$P$234,EXP(-E246*E2_tabla_vida!$X$235)*E2_tabla_vida!$P$235,EXP(-E246*E2_tabla_vida!$X$236)*E2_tabla_vida!$P$236,EXP(-E246*E2_tabla_vida!$X$237)*E2_tabla_vida!$P$237,EXP(-E246*E2_tabla_vida!$X$238)*E2_tabla_vida!$P$238,EXP(-E246*E2_tabla_vida!$X$239)*E2_tabla_vida!$P$239,EXP(-E246*E2_tabla_vida!$X$240)*E2_tabla_vida!$P$240,EXP(-E246*E2_tabla_vida!$X$241)*E2_tabla_vida!$P$241,EXP(-E246*E2_tabla_vida!$X$242)*E2_tabla_vida!$P$242,EXP(-E246*E2_tabla_vida!$X$243)*E2_tabla_vida!$P$243,EXP(-E246*E2_tabla_vida!$X$244)*E2_tabla_vida!$P$244,EXP(-E246*E2_tabla_vida!$X$245)*E2_tabla_vida!$P$245,EXP(-E246*E2_tabla_vida!$X$246)*E2_tabla_vida!$P$246,EXP(-E246*E2_tabla_vida!$X$247)*E2_tabla_vida!$P$247,EXP(-E246*E2_tabla_vida!$X$248)*E2_tabla_vida!$P$248,EXP(-E246*E2_tabla_vida!$X$249)*E2_tabla_vida!$P$249,EXP(-E246*E2_tabla_vida!$X$250)*E2_tabla_vida!$P$250,EXP(-E246*E2_tabla_vida!$X$251)*E2_tabla_vida!$P$251,EXP(-E246*E2_tabla_vida!$X$252)*E2_tabla_vida!$P$252,EXP(-E246*E2_tabla_vida!$X$253)*E2_tabla_vida!$P$253)-1</x:f>
        <x:v>0.0009252665583345809</x:v>
      </x:c>
      <x:c r="G246" s="24" t="n">
        <x:f>SUM(EXP(-C246*E2_tabla_vida!$X$212)*E2_tabla_vida!$P$212,EXP(-C246*E2_tabla_vida!$X$213)*E2_tabla_vida!$P$213,EXP(-C246*E2_tabla_vida!$X$214)*E2_tabla_vida!$P$214,EXP(-C246*E2_tabla_vida!$X$215)*E2_tabla_vida!$P$215,EXP(-C246*E2_tabla_vida!$X$216)*E2_tabla_vida!$P$216,EXP(-C246*E2_tabla_vida!$X$217)*E2_tabla_vida!$P$217,EXP(-C246*E2_tabla_vida!$X$218)*E2_tabla_vida!$P$218,EXP(-C246*E2_tabla_vida!$X$219)*E2_tabla_vida!$P$219,EXP(-C246*E2_tabla_vida!$X$220)*E2_tabla_vida!$P$220,EXP(-C246*E2_tabla_vida!$X$221)*E2_tabla_vida!$P$221,EXP(-C246*E2_tabla_vida!$X$222)*E2_tabla_vida!$P$222,EXP(-C246*E2_tabla_vida!$X$223)*E2_tabla_vida!$P$223,EXP(-C246*E2_tabla_vida!$X$224)*E2_tabla_vida!$P$224,EXP(-C246*E2_tabla_vida!$X$225)*E2_tabla_vida!$P$225,EXP(-C246*E2_tabla_vida!$X$226)*E2_tabla_vida!$P$226,EXP(-C246*E2_tabla_vida!$X$227)*E2_tabla_vida!$P$227,EXP(-C246*E2_tabla_vida!$X$228)*E2_tabla_vida!$P$228,EXP(-C246*E2_tabla_vida!$X$229)*E2_tabla_vida!$P$229,EXP(-C246*E2_tabla_vida!$X$230)*E2_tabla_vida!$P$230,EXP(-C246*E2_tabla_vida!$X$231)*E2_tabla_vida!$P$231,EXP(-C246*E2_tabla_vida!$X$232)*E2_tabla_vida!$P$232,EXP(-C246*E2_tabla_vida!$X$233)*E2_tabla_vida!$P$233,EXP(-C246*E2_tabla_vida!$X$234)*E2_tabla_vida!$P$234,EXP(-C246*E2_tabla_vida!$X$235)*E2_tabla_vida!$P$235,EXP(-C246*E2_tabla_vida!$X$236)*E2_tabla_vida!$P$236,EXP(-C246*E2_tabla_vida!$X$237)*E2_tabla_vida!$P$237,EXP(-C246*E2_tabla_vida!$X$238)*E2_tabla_vida!$P$238,EXP(-C246*E2_tabla_vida!$X$239)*E2_tabla_vida!$P$239,EXP(-C246*E2_tabla_vida!$X$240)*E2_tabla_vida!$P$240,EXP(-C246*E2_tabla_vida!$X$241)*E2_tabla_vida!$P$241,EXP(-C246*E2_tabla_vida!$X$242)*E2_tabla_vida!$P$242,EXP(-C246*E2_tabla_vida!$X$243)*E2_tabla_vida!$P$243,EXP(-C246*E2_tabla_vida!$X$244)*E2_tabla_vida!$P$244,EXP(-C246*E2_tabla_vida!$X$245)*E2_tabla_vida!$P$245,EXP(-C246*E2_tabla_vida!$X$246)*E2_tabla_vida!$P$246,EXP(-C246*E2_tabla_vida!$X$247)*E2_tabla_vida!$P$247,EXP(-C246*E2_tabla_vida!$X$248)*E2_tabla_vida!$P$248,EXP(-C246*E2_tabla_vida!$X$249)*E2_tabla_vida!$P$249,EXP(-C246*E2_tabla_vida!$X$250)*E2_tabla_vida!$P$250,EXP(-C246*E2_tabla_vida!$X$251)*E2_tabla_vida!$P$251,EXP(-C246*E2_tabla_vida!$X$252)*E2_tabla_vida!$P$252,EXP(-C246*E2_tabla_vida!$X$253)*E2_tabla_vida!$P$253)-1</x:f>
        <x:v>0.0023288345164811375</x:v>
      </x:c>
      <x:c r="H246" s="24" t="n">
        <x:f>SUM(EXP(-D246*E2_tabla_vida!$X$212)*E2_tabla_vida!$P$212,EXP(-D246*E2_tabla_vida!$X$213)*E2_tabla_vida!$P$213,EXP(-D246*E2_tabla_vida!$X$214)*E2_tabla_vida!$P$214,EXP(-D246*E2_tabla_vida!$X$215)*E2_tabla_vida!$P$215,EXP(-D246*E2_tabla_vida!$X$216)*E2_tabla_vida!$P$216,EXP(-D246*E2_tabla_vida!$X$217)*E2_tabla_vida!$P$217,EXP(-D246*E2_tabla_vida!$X$218)*E2_tabla_vida!$P$218,EXP(-D246*E2_tabla_vida!$X$219)*E2_tabla_vida!$P$219,EXP(-D246*E2_tabla_vida!$X$220)*E2_tabla_vida!$P$220,EXP(-D246*E2_tabla_vida!$X$221)*E2_tabla_vida!$P$221,EXP(-D246*E2_tabla_vida!$X$222)*E2_tabla_vida!$P$222,EXP(-D246*E2_tabla_vida!$X$223)*E2_tabla_vida!$P$223,EXP(-D246*E2_tabla_vida!$X$224)*E2_tabla_vida!$P$224,EXP(-D246*E2_tabla_vida!$X$225)*E2_tabla_vida!$P$225,EXP(-D246*E2_tabla_vida!$X$226)*E2_tabla_vida!$P$226,EXP(-D246*E2_tabla_vida!$X$227)*E2_tabla_vida!$P$227,EXP(-D246*E2_tabla_vida!$X$228)*E2_tabla_vida!$P$228,EXP(-D246*E2_tabla_vida!$X$229)*E2_tabla_vida!$P$229,EXP(-D246*E2_tabla_vida!$X$230)*E2_tabla_vida!$P$230,EXP(-D246*E2_tabla_vida!$X$231)*E2_tabla_vida!$P$231,EXP(-D246*E2_tabla_vida!$X$232)*E2_tabla_vida!$P$232,EXP(-D246*E2_tabla_vida!$X$233)*E2_tabla_vida!$P$233,EXP(-D246*E2_tabla_vida!$X$234)*E2_tabla_vida!$P$234,EXP(-D246*E2_tabla_vida!$X$235)*E2_tabla_vida!$P$235,EXP(-D246*E2_tabla_vida!$X$236)*E2_tabla_vida!$P$236,EXP(-D246*E2_tabla_vida!$X$237)*E2_tabla_vida!$P$237,EXP(-D246*E2_tabla_vida!$X$238)*E2_tabla_vida!$P$238,EXP(-D246*E2_tabla_vida!$X$239)*E2_tabla_vida!$P$239,EXP(-D246*E2_tabla_vida!$X$240)*E2_tabla_vida!$P$240,EXP(-D246*E2_tabla_vida!$X$241)*E2_tabla_vida!$P$241,EXP(-D246*E2_tabla_vida!$X$242)*E2_tabla_vida!$P$242,EXP(-D246*E2_tabla_vida!$X$243)*E2_tabla_vida!$P$243,EXP(-D246*E2_tabla_vida!$X$244)*E2_tabla_vida!$P$244,EXP(-D246*E2_tabla_vida!$X$245)*E2_tabla_vida!$P$245,EXP(-D246*E2_tabla_vida!$X$246)*E2_tabla_vida!$P$246,EXP(-D246*E2_tabla_vida!$X$247)*E2_tabla_vida!$P$247,EXP(-D246*E2_tabla_vida!$X$248)*E2_tabla_vida!$P$248,EXP(-D246*E2_tabla_vida!$X$249)*E2_tabla_vida!$P$249,EXP(-D246*E2_tabla_vida!$X$250)*E2_tabla_vida!$P$250,EXP(-D246*E2_tabla_vida!$X$251)*E2_tabla_vida!$P$251,EXP(-D246*E2_tabla_vida!$X$252)*E2_tabla_vida!$P$252,EXP(-D246*E2_tabla_vida!$X$253)*E2_tabla_vida!$P$253)-1</x:f>
        <x:v>-0.0004762373550366572</x:v>
      </x:c>
    </x:row>
    <x:row r="247" ht="19" customHeight="1">
      <x:c r="A247" s="2" t="str">
        <x:v>BB_L7</x:v>
      </x:c>
      <x:c r="B247" s="2" t="n">
        <x:v>15</x:v>
      </x:c>
      <x:c r="C247" s="22" t="n">
        <x:f>IF(F246&gt;0,E246,C246)</x:f>
        <x:v>0.210784912109375</x:v>
      </x:c>
      <x:c r="D247" s="22" t="n">
        <x:f>IF(F246&gt;0,D246,E246)</x:f>
        <x:v>0.21087646484375</x:v>
      </x:c>
      <x:c r="E247" s="22" t="n">
        <x:f>AVERAGE(C247:D247)</x:f>
        <x:v>0.2108306884765625</x:v>
      </x:c>
      <x:c r="F247" s="24" t="n">
        <x:f>SUM(EXP(-E247*E2_tabla_vida!$X$212)*E2_tabla_vida!$P$212,EXP(-E247*E2_tabla_vida!$X$213)*E2_tabla_vida!$P$213,EXP(-E247*E2_tabla_vida!$X$214)*E2_tabla_vida!$P$214,EXP(-E247*E2_tabla_vida!$X$215)*E2_tabla_vida!$P$215,EXP(-E247*E2_tabla_vida!$X$216)*E2_tabla_vida!$P$216,EXP(-E247*E2_tabla_vida!$X$217)*E2_tabla_vida!$P$217,EXP(-E247*E2_tabla_vida!$X$218)*E2_tabla_vida!$P$218,EXP(-E247*E2_tabla_vida!$X$219)*E2_tabla_vida!$P$219,EXP(-E247*E2_tabla_vida!$X$220)*E2_tabla_vida!$P$220,EXP(-E247*E2_tabla_vida!$X$221)*E2_tabla_vida!$P$221,EXP(-E247*E2_tabla_vida!$X$222)*E2_tabla_vida!$P$222,EXP(-E247*E2_tabla_vida!$X$223)*E2_tabla_vida!$P$223,EXP(-E247*E2_tabla_vida!$X$224)*E2_tabla_vida!$P$224,EXP(-E247*E2_tabla_vida!$X$225)*E2_tabla_vida!$P$225,EXP(-E247*E2_tabla_vida!$X$226)*E2_tabla_vida!$P$226,EXP(-E247*E2_tabla_vida!$X$227)*E2_tabla_vida!$P$227,EXP(-E247*E2_tabla_vida!$X$228)*E2_tabla_vida!$P$228,EXP(-E247*E2_tabla_vida!$X$229)*E2_tabla_vida!$P$229,EXP(-E247*E2_tabla_vida!$X$230)*E2_tabla_vida!$P$230,EXP(-E247*E2_tabla_vida!$X$231)*E2_tabla_vida!$P$231,EXP(-E247*E2_tabla_vida!$X$232)*E2_tabla_vida!$P$232,EXP(-E247*E2_tabla_vida!$X$233)*E2_tabla_vida!$P$233,EXP(-E247*E2_tabla_vida!$X$234)*E2_tabla_vida!$P$234,EXP(-E247*E2_tabla_vida!$X$235)*E2_tabla_vida!$P$235,EXP(-E247*E2_tabla_vida!$X$236)*E2_tabla_vida!$P$236,EXP(-E247*E2_tabla_vida!$X$237)*E2_tabla_vida!$P$237,EXP(-E247*E2_tabla_vida!$X$238)*E2_tabla_vida!$P$238,EXP(-E247*E2_tabla_vida!$X$239)*E2_tabla_vida!$P$239,EXP(-E247*E2_tabla_vida!$X$240)*E2_tabla_vida!$P$240,EXP(-E247*E2_tabla_vida!$X$241)*E2_tabla_vida!$P$241,EXP(-E247*E2_tabla_vida!$X$242)*E2_tabla_vida!$P$242,EXP(-E247*E2_tabla_vida!$X$243)*E2_tabla_vida!$P$243,EXP(-E247*E2_tabla_vida!$X$244)*E2_tabla_vida!$P$244,EXP(-E247*E2_tabla_vida!$X$245)*E2_tabla_vida!$P$245,EXP(-E247*E2_tabla_vida!$X$246)*E2_tabla_vida!$P$246,EXP(-E247*E2_tabla_vida!$X$247)*E2_tabla_vida!$P$247,EXP(-E247*E2_tabla_vida!$X$248)*E2_tabla_vida!$P$248,EXP(-E247*E2_tabla_vida!$X$249)*E2_tabla_vida!$P$249,EXP(-E247*E2_tabla_vida!$X$250)*E2_tabla_vida!$P$250,EXP(-E247*E2_tabla_vida!$X$251)*E2_tabla_vida!$P$251,EXP(-E247*E2_tabla_vida!$X$252)*E2_tabla_vida!$P$252,EXP(-E247*E2_tabla_vida!$X$253)*E2_tabla_vida!$P$253)-1</x:f>
        <x:v>0.00022425679637416707</x:v>
      </x:c>
      <x:c r="G247" s="24" t="n">
        <x:f>SUM(EXP(-C247*E2_tabla_vida!$X$212)*E2_tabla_vida!$P$212,EXP(-C247*E2_tabla_vida!$X$213)*E2_tabla_vida!$P$213,EXP(-C247*E2_tabla_vida!$X$214)*E2_tabla_vida!$P$214,EXP(-C247*E2_tabla_vida!$X$215)*E2_tabla_vida!$P$215,EXP(-C247*E2_tabla_vida!$X$216)*E2_tabla_vida!$P$216,EXP(-C247*E2_tabla_vida!$X$217)*E2_tabla_vida!$P$217,EXP(-C247*E2_tabla_vida!$X$218)*E2_tabla_vida!$P$218,EXP(-C247*E2_tabla_vida!$X$219)*E2_tabla_vida!$P$219,EXP(-C247*E2_tabla_vida!$X$220)*E2_tabla_vida!$P$220,EXP(-C247*E2_tabla_vida!$X$221)*E2_tabla_vida!$P$221,EXP(-C247*E2_tabla_vida!$X$222)*E2_tabla_vida!$P$222,EXP(-C247*E2_tabla_vida!$X$223)*E2_tabla_vida!$P$223,EXP(-C247*E2_tabla_vida!$X$224)*E2_tabla_vida!$P$224,EXP(-C247*E2_tabla_vida!$X$225)*E2_tabla_vida!$P$225,EXP(-C247*E2_tabla_vida!$X$226)*E2_tabla_vida!$P$226,EXP(-C247*E2_tabla_vida!$X$227)*E2_tabla_vida!$P$227,EXP(-C247*E2_tabla_vida!$X$228)*E2_tabla_vida!$P$228,EXP(-C247*E2_tabla_vida!$X$229)*E2_tabla_vida!$P$229,EXP(-C247*E2_tabla_vida!$X$230)*E2_tabla_vida!$P$230,EXP(-C247*E2_tabla_vida!$X$231)*E2_tabla_vida!$P$231,EXP(-C247*E2_tabla_vida!$X$232)*E2_tabla_vida!$P$232,EXP(-C247*E2_tabla_vida!$X$233)*E2_tabla_vida!$P$233,EXP(-C247*E2_tabla_vida!$X$234)*E2_tabla_vida!$P$234,EXP(-C247*E2_tabla_vida!$X$235)*E2_tabla_vida!$P$235,EXP(-C247*E2_tabla_vida!$X$236)*E2_tabla_vida!$P$236,EXP(-C247*E2_tabla_vida!$X$237)*E2_tabla_vida!$P$237,EXP(-C247*E2_tabla_vida!$X$238)*E2_tabla_vida!$P$238,EXP(-C247*E2_tabla_vida!$X$239)*E2_tabla_vida!$P$239,EXP(-C247*E2_tabla_vida!$X$240)*E2_tabla_vida!$P$240,EXP(-C247*E2_tabla_vida!$X$241)*E2_tabla_vida!$P$241,EXP(-C247*E2_tabla_vida!$X$242)*E2_tabla_vida!$P$242,EXP(-C247*E2_tabla_vida!$X$243)*E2_tabla_vida!$P$243,EXP(-C247*E2_tabla_vida!$X$244)*E2_tabla_vida!$P$244,EXP(-C247*E2_tabla_vida!$X$245)*E2_tabla_vida!$P$245,EXP(-C247*E2_tabla_vida!$X$246)*E2_tabla_vida!$P$246,EXP(-C247*E2_tabla_vida!$X$247)*E2_tabla_vida!$P$247,EXP(-C247*E2_tabla_vida!$X$248)*E2_tabla_vida!$P$248,EXP(-C247*E2_tabla_vida!$X$249)*E2_tabla_vida!$P$249,EXP(-C247*E2_tabla_vida!$X$250)*E2_tabla_vida!$P$250,EXP(-C247*E2_tabla_vida!$X$251)*E2_tabla_vida!$P$251,EXP(-C247*E2_tabla_vida!$X$252)*E2_tabla_vida!$P$252,EXP(-C247*E2_tabla_vida!$X$253)*E2_tabla_vida!$P$253)-1</x:f>
        <x:v>0.0009252665583345809</x:v>
      </x:c>
      <x:c r="H247" s="24" t="n">
        <x:f>SUM(EXP(-D247*E2_tabla_vida!$X$212)*E2_tabla_vida!$P$212,EXP(-D247*E2_tabla_vida!$X$213)*E2_tabla_vida!$P$213,EXP(-D247*E2_tabla_vida!$X$214)*E2_tabla_vida!$P$214,EXP(-D247*E2_tabla_vida!$X$215)*E2_tabla_vida!$P$215,EXP(-D247*E2_tabla_vida!$X$216)*E2_tabla_vida!$P$216,EXP(-D247*E2_tabla_vida!$X$217)*E2_tabla_vida!$P$217,EXP(-D247*E2_tabla_vida!$X$218)*E2_tabla_vida!$P$218,EXP(-D247*E2_tabla_vida!$X$219)*E2_tabla_vida!$P$219,EXP(-D247*E2_tabla_vida!$X$220)*E2_tabla_vida!$P$220,EXP(-D247*E2_tabla_vida!$X$221)*E2_tabla_vida!$P$221,EXP(-D247*E2_tabla_vida!$X$222)*E2_tabla_vida!$P$222,EXP(-D247*E2_tabla_vida!$X$223)*E2_tabla_vida!$P$223,EXP(-D247*E2_tabla_vida!$X$224)*E2_tabla_vida!$P$224,EXP(-D247*E2_tabla_vida!$X$225)*E2_tabla_vida!$P$225,EXP(-D247*E2_tabla_vida!$X$226)*E2_tabla_vida!$P$226,EXP(-D247*E2_tabla_vida!$X$227)*E2_tabla_vida!$P$227,EXP(-D247*E2_tabla_vida!$X$228)*E2_tabla_vida!$P$228,EXP(-D247*E2_tabla_vida!$X$229)*E2_tabla_vida!$P$229,EXP(-D247*E2_tabla_vida!$X$230)*E2_tabla_vida!$P$230,EXP(-D247*E2_tabla_vida!$X$231)*E2_tabla_vida!$P$231,EXP(-D247*E2_tabla_vida!$X$232)*E2_tabla_vida!$P$232,EXP(-D247*E2_tabla_vida!$X$233)*E2_tabla_vida!$P$233,EXP(-D247*E2_tabla_vida!$X$234)*E2_tabla_vida!$P$234,EXP(-D247*E2_tabla_vida!$X$235)*E2_tabla_vida!$P$235,EXP(-D247*E2_tabla_vida!$X$236)*E2_tabla_vida!$P$236,EXP(-D247*E2_tabla_vida!$X$237)*E2_tabla_vida!$P$237,EXP(-D247*E2_tabla_vida!$X$238)*E2_tabla_vida!$P$238,EXP(-D247*E2_tabla_vida!$X$239)*E2_tabla_vida!$P$239,EXP(-D247*E2_tabla_vida!$X$240)*E2_tabla_vida!$P$240,EXP(-D247*E2_tabla_vida!$X$241)*E2_tabla_vida!$P$241,EXP(-D247*E2_tabla_vida!$X$242)*E2_tabla_vida!$P$242,EXP(-D247*E2_tabla_vida!$X$243)*E2_tabla_vida!$P$243,EXP(-D247*E2_tabla_vida!$X$244)*E2_tabla_vida!$P$244,EXP(-D247*E2_tabla_vida!$X$245)*E2_tabla_vida!$P$245,EXP(-D247*E2_tabla_vida!$X$246)*E2_tabla_vida!$P$246,EXP(-D247*E2_tabla_vida!$X$247)*E2_tabla_vida!$P$247,EXP(-D247*E2_tabla_vida!$X$248)*E2_tabla_vida!$P$248,EXP(-D247*E2_tabla_vida!$X$249)*E2_tabla_vida!$P$249,EXP(-D247*E2_tabla_vida!$X$250)*E2_tabla_vida!$P$250,EXP(-D247*E2_tabla_vida!$X$251)*E2_tabla_vida!$P$251,EXP(-D247*E2_tabla_vida!$X$252)*E2_tabla_vida!$P$252,EXP(-D247*E2_tabla_vida!$X$253)*E2_tabla_vida!$P$253)-1</x:f>
        <x:v>-0.0004762373550366572</x:v>
      </x:c>
    </x:row>
    <x:row r="248" ht="19" customHeight="1">
      <x:c r="A248" s="2" t="str">
        <x:v>BB_L7</x:v>
      </x:c>
      <x:c r="B248" s="2" t="n">
        <x:v>16</x:v>
      </x:c>
      <x:c r="C248" s="22" t="n">
        <x:f>IF(F247&gt;0,E247,C247)</x:f>
        <x:v>0.2108306884765625</x:v>
      </x:c>
      <x:c r="D248" s="22" t="n">
        <x:f>IF(F247&gt;0,D247,E247)</x:f>
        <x:v>0.21087646484375</x:v>
      </x:c>
      <x:c r="E248" s="22" t="n">
        <x:f>AVERAGE(C248:D248)</x:f>
        <x:v>0.21085357666015625</x:v>
      </x:c>
      <x:c r="F248" s="24" t="n">
        <x:f>SUM(EXP(-E248*E2_tabla_vida!$X$212)*E2_tabla_vida!$P$212,EXP(-E248*E2_tabla_vida!$X$213)*E2_tabla_vida!$P$213,EXP(-E248*E2_tabla_vida!$X$214)*E2_tabla_vida!$P$214,EXP(-E248*E2_tabla_vida!$X$215)*E2_tabla_vida!$P$215,EXP(-E248*E2_tabla_vida!$X$216)*E2_tabla_vida!$P$216,EXP(-E248*E2_tabla_vida!$X$217)*E2_tabla_vida!$P$217,EXP(-E248*E2_tabla_vida!$X$218)*E2_tabla_vida!$P$218,EXP(-E248*E2_tabla_vida!$X$219)*E2_tabla_vida!$P$219,EXP(-E248*E2_tabla_vida!$X$220)*E2_tabla_vida!$P$220,EXP(-E248*E2_tabla_vida!$X$221)*E2_tabla_vida!$P$221,EXP(-E248*E2_tabla_vida!$X$222)*E2_tabla_vida!$P$222,EXP(-E248*E2_tabla_vida!$X$223)*E2_tabla_vida!$P$223,EXP(-E248*E2_tabla_vida!$X$224)*E2_tabla_vida!$P$224,EXP(-E248*E2_tabla_vida!$X$225)*E2_tabla_vida!$P$225,EXP(-E248*E2_tabla_vida!$X$226)*E2_tabla_vida!$P$226,EXP(-E248*E2_tabla_vida!$X$227)*E2_tabla_vida!$P$227,EXP(-E248*E2_tabla_vida!$X$228)*E2_tabla_vida!$P$228,EXP(-E248*E2_tabla_vida!$X$229)*E2_tabla_vida!$P$229,EXP(-E248*E2_tabla_vida!$X$230)*E2_tabla_vida!$P$230,EXP(-E248*E2_tabla_vida!$X$231)*E2_tabla_vida!$P$231,EXP(-E248*E2_tabla_vida!$X$232)*E2_tabla_vida!$P$232,EXP(-E248*E2_tabla_vida!$X$233)*E2_tabla_vida!$P$233,EXP(-E248*E2_tabla_vida!$X$234)*E2_tabla_vida!$P$234,EXP(-E248*E2_tabla_vida!$X$235)*E2_tabla_vida!$P$235,EXP(-E248*E2_tabla_vida!$X$236)*E2_tabla_vida!$P$236,EXP(-E248*E2_tabla_vida!$X$237)*E2_tabla_vida!$P$237,EXP(-E248*E2_tabla_vida!$X$238)*E2_tabla_vida!$P$238,EXP(-E248*E2_tabla_vida!$X$239)*E2_tabla_vida!$P$239,EXP(-E248*E2_tabla_vida!$X$240)*E2_tabla_vida!$P$240,EXP(-E248*E2_tabla_vida!$X$241)*E2_tabla_vida!$P$241,EXP(-E248*E2_tabla_vida!$X$242)*E2_tabla_vida!$P$242,EXP(-E248*E2_tabla_vida!$X$243)*E2_tabla_vida!$P$243,EXP(-E248*E2_tabla_vida!$X$244)*E2_tabla_vida!$P$244,EXP(-E248*E2_tabla_vida!$X$245)*E2_tabla_vida!$P$245,EXP(-E248*E2_tabla_vida!$X$246)*E2_tabla_vida!$P$246,EXP(-E248*E2_tabla_vida!$X$247)*E2_tabla_vida!$P$247,EXP(-E248*E2_tabla_vida!$X$248)*E2_tabla_vida!$P$248,EXP(-E248*E2_tabla_vida!$X$249)*E2_tabla_vida!$P$249,EXP(-E248*E2_tabla_vida!$X$250)*E2_tabla_vida!$P$250,EXP(-E248*E2_tabla_vida!$X$251)*E2_tabla_vida!$P$251,EXP(-E248*E2_tabla_vida!$X$252)*E2_tabla_vida!$P$252,EXP(-E248*E2_tabla_vida!$X$253)*E2_tabla_vida!$P$253)-1</x:f>
        <x:v>-0.000126054705627765</x:v>
      </x:c>
      <x:c r="G248" s="24" t="n">
        <x:f>SUM(EXP(-C248*E2_tabla_vida!$X$212)*E2_tabla_vida!$P$212,EXP(-C248*E2_tabla_vida!$X$213)*E2_tabla_vida!$P$213,EXP(-C248*E2_tabla_vida!$X$214)*E2_tabla_vida!$P$214,EXP(-C248*E2_tabla_vida!$X$215)*E2_tabla_vida!$P$215,EXP(-C248*E2_tabla_vida!$X$216)*E2_tabla_vida!$P$216,EXP(-C248*E2_tabla_vida!$X$217)*E2_tabla_vida!$P$217,EXP(-C248*E2_tabla_vida!$X$218)*E2_tabla_vida!$P$218,EXP(-C248*E2_tabla_vida!$X$219)*E2_tabla_vida!$P$219,EXP(-C248*E2_tabla_vida!$X$220)*E2_tabla_vida!$P$220,EXP(-C248*E2_tabla_vida!$X$221)*E2_tabla_vida!$P$221,EXP(-C248*E2_tabla_vida!$X$222)*E2_tabla_vida!$P$222,EXP(-C248*E2_tabla_vida!$X$223)*E2_tabla_vida!$P$223,EXP(-C248*E2_tabla_vida!$X$224)*E2_tabla_vida!$P$224,EXP(-C248*E2_tabla_vida!$X$225)*E2_tabla_vida!$P$225,EXP(-C248*E2_tabla_vida!$X$226)*E2_tabla_vida!$P$226,EXP(-C248*E2_tabla_vida!$X$227)*E2_tabla_vida!$P$227,EXP(-C248*E2_tabla_vida!$X$228)*E2_tabla_vida!$P$228,EXP(-C248*E2_tabla_vida!$X$229)*E2_tabla_vida!$P$229,EXP(-C248*E2_tabla_vida!$X$230)*E2_tabla_vida!$P$230,EXP(-C248*E2_tabla_vida!$X$231)*E2_tabla_vida!$P$231,EXP(-C248*E2_tabla_vida!$X$232)*E2_tabla_vida!$P$232,EXP(-C248*E2_tabla_vida!$X$233)*E2_tabla_vida!$P$233,EXP(-C248*E2_tabla_vida!$X$234)*E2_tabla_vida!$P$234,EXP(-C248*E2_tabla_vida!$X$235)*E2_tabla_vida!$P$235,EXP(-C248*E2_tabla_vida!$X$236)*E2_tabla_vida!$P$236,EXP(-C248*E2_tabla_vida!$X$237)*E2_tabla_vida!$P$237,EXP(-C248*E2_tabla_vida!$X$238)*E2_tabla_vida!$P$238,EXP(-C248*E2_tabla_vida!$X$239)*E2_tabla_vida!$P$239,EXP(-C248*E2_tabla_vida!$X$240)*E2_tabla_vida!$P$240,EXP(-C248*E2_tabla_vida!$X$241)*E2_tabla_vida!$P$241,EXP(-C248*E2_tabla_vida!$X$242)*E2_tabla_vida!$P$242,EXP(-C248*E2_tabla_vida!$X$243)*E2_tabla_vida!$P$243,EXP(-C248*E2_tabla_vida!$X$244)*E2_tabla_vida!$P$244,EXP(-C248*E2_tabla_vida!$X$245)*E2_tabla_vida!$P$245,EXP(-C248*E2_tabla_vida!$X$246)*E2_tabla_vida!$P$246,EXP(-C248*E2_tabla_vida!$X$247)*E2_tabla_vida!$P$247,EXP(-C248*E2_tabla_vida!$X$248)*E2_tabla_vida!$P$248,EXP(-C248*E2_tabla_vida!$X$249)*E2_tabla_vida!$P$249,EXP(-C248*E2_tabla_vida!$X$250)*E2_tabla_vida!$P$250,EXP(-C248*E2_tabla_vida!$X$251)*E2_tabla_vida!$P$251,EXP(-C248*E2_tabla_vida!$X$252)*E2_tabla_vida!$P$252,EXP(-C248*E2_tabla_vida!$X$253)*E2_tabla_vida!$P$253)-1</x:f>
        <x:v>0.00022425679637416707</x:v>
      </x:c>
      <x:c r="H248" s="24" t="n">
        <x:f>SUM(EXP(-D248*E2_tabla_vida!$X$212)*E2_tabla_vida!$P$212,EXP(-D248*E2_tabla_vida!$X$213)*E2_tabla_vida!$P$213,EXP(-D248*E2_tabla_vida!$X$214)*E2_tabla_vida!$P$214,EXP(-D248*E2_tabla_vida!$X$215)*E2_tabla_vida!$P$215,EXP(-D248*E2_tabla_vida!$X$216)*E2_tabla_vida!$P$216,EXP(-D248*E2_tabla_vida!$X$217)*E2_tabla_vida!$P$217,EXP(-D248*E2_tabla_vida!$X$218)*E2_tabla_vida!$P$218,EXP(-D248*E2_tabla_vida!$X$219)*E2_tabla_vida!$P$219,EXP(-D248*E2_tabla_vida!$X$220)*E2_tabla_vida!$P$220,EXP(-D248*E2_tabla_vida!$X$221)*E2_tabla_vida!$P$221,EXP(-D248*E2_tabla_vida!$X$222)*E2_tabla_vida!$P$222,EXP(-D248*E2_tabla_vida!$X$223)*E2_tabla_vida!$P$223,EXP(-D248*E2_tabla_vida!$X$224)*E2_tabla_vida!$P$224,EXP(-D248*E2_tabla_vida!$X$225)*E2_tabla_vida!$P$225,EXP(-D248*E2_tabla_vida!$X$226)*E2_tabla_vida!$P$226,EXP(-D248*E2_tabla_vida!$X$227)*E2_tabla_vida!$P$227,EXP(-D248*E2_tabla_vida!$X$228)*E2_tabla_vida!$P$228,EXP(-D248*E2_tabla_vida!$X$229)*E2_tabla_vida!$P$229,EXP(-D248*E2_tabla_vida!$X$230)*E2_tabla_vida!$P$230,EXP(-D248*E2_tabla_vida!$X$231)*E2_tabla_vida!$P$231,EXP(-D248*E2_tabla_vida!$X$232)*E2_tabla_vida!$P$232,EXP(-D248*E2_tabla_vida!$X$233)*E2_tabla_vida!$P$233,EXP(-D248*E2_tabla_vida!$X$234)*E2_tabla_vida!$P$234,EXP(-D248*E2_tabla_vida!$X$235)*E2_tabla_vida!$P$235,EXP(-D248*E2_tabla_vida!$X$236)*E2_tabla_vida!$P$236,EXP(-D248*E2_tabla_vida!$X$237)*E2_tabla_vida!$P$237,EXP(-D248*E2_tabla_vida!$X$238)*E2_tabla_vida!$P$238,EXP(-D248*E2_tabla_vida!$X$239)*E2_tabla_vida!$P$239,EXP(-D248*E2_tabla_vida!$X$240)*E2_tabla_vida!$P$240,EXP(-D248*E2_tabla_vida!$X$241)*E2_tabla_vida!$P$241,EXP(-D248*E2_tabla_vida!$X$242)*E2_tabla_vida!$P$242,EXP(-D248*E2_tabla_vida!$X$243)*E2_tabla_vida!$P$243,EXP(-D248*E2_tabla_vida!$X$244)*E2_tabla_vida!$P$244,EXP(-D248*E2_tabla_vida!$X$245)*E2_tabla_vida!$P$245,EXP(-D248*E2_tabla_vida!$X$246)*E2_tabla_vida!$P$246,EXP(-D248*E2_tabla_vida!$X$247)*E2_tabla_vida!$P$247,EXP(-D248*E2_tabla_vida!$X$248)*E2_tabla_vida!$P$248,EXP(-D248*E2_tabla_vida!$X$249)*E2_tabla_vida!$P$249,EXP(-D248*E2_tabla_vida!$X$250)*E2_tabla_vida!$P$250,EXP(-D248*E2_tabla_vida!$X$251)*E2_tabla_vida!$P$251,EXP(-D248*E2_tabla_vida!$X$252)*E2_tabla_vida!$P$252,EXP(-D248*E2_tabla_vida!$X$253)*E2_tabla_vida!$P$253)-1</x:f>
        <x:v>-0.0004762373550366572</x:v>
      </x:c>
    </x:row>
    <x:row r="249" ht="19" customHeight="1">
      <x:c r="A249" s="2" t="str">
        <x:v>BB_L7</x:v>
      </x:c>
      <x:c r="B249" s="2" t="n">
        <x:v>17</x:v>
      </x:c>
      <x:c r="C249" s="22" t="n">
        <x:f>IF(F248&gt;0,E248,C248)</x:f>
        <x:v>0.2108306884765625</x:v>
      </x:c>
      <x:c r="D249" s="22" t="n">
        <x:f>IF(F248&gt;0,D248,E248)</x:f>
        <x:v>0.21085357666015625</x:v>
      </x:c>
      <x:c r="E249" s="22" t="n">
        <x:f>AVERAGE(C249:D249)</x:f>
        <x:v>0.21084213256835938</x:v>
      </x:c>
      <x:c r="F249" s="24" t="n">
        <x:f>SUM(EXP(-E249*E2_tabla_vida!$X$212)*E2_tabla_vida!$P$212,EXP(-E249*E2_tabla_vida!$X$213)*E2_tabla_vida!$P$213,EXP(-E249*E2_tabla_vida!$X$214)*E2_tabla_vida!$P$214,EXP(-E249*E2_tabla_vida!$X$215)*E2_tabla_vida!$P$215,EXP(-E249*E2_tabla_vida!$X$216)*E2_tabla_vida!$P$216,EXP(-E249*E2_tabla_vida!$X$217)*E2_tabla_vida!$P$217,EXP(-E249*E2_tabla_vida!$X$218)*E2_tabla_vida!$P$218,EXP(-E249*E2_tabla_vida!$X$219)*E2_tabla_vida!$P$219,EXP(-E249*E2_tabla_vida!$X$220)*E2_tabla_vida!$P$220,EXP(-E249*E2_tabla_vida!$X$221)*E2_tabla_vida!$P$221,EXP(-E249*E2_tabla_vida!$X$222)*E2_tabla_vida!$P$222,EXP(-E249*E2_tabla_vida!$X$223)*E2_tabla_vida!$P$223,EXP(-E249*E2_tabla_vida!$X$224)*E2_tabla_vida!$P$224,EXP(-E249*E2_tabla_vida!$X$225)*E2_tabla_vida!$P$225,EXP(-E249*E2_tabla_vida!$X$226)*E2_tabla_vida!$P$226,EXP(-E249*E2_tabla_vida!$X$227)*E2_tabla_vida!$P$227,EXP(-E249*E2_tabla_vida!$X$228)*E2_tabla_vida!$P$228,EXP(-E249*E2_tabla_vida!$X$229)*E2_tabla_vida!$P$229,EXP(-E249*E2_tabla_vida!$X$230)*E2_tabla_vida!$P$230,EXP(-E249*E2_tabla_vida!$X$231)*E2_tabla_vida!$P$231,EXP(-E249*E2_tabla_vida!$X$232)*E2_tabla_vida!$P$232,EXP(-E249*E2_tabla_vida!$X$233)*E2_tabla_vida!$P$233,EXP(-E249*E2_tabla_vida!$X$234)*E2_tabla_vida!$P$234,EXP(-E249*E2_tabla_vida!$X$235)*E2_tabla_vida!$P$235,EXP(-E249*E2_tabla_vida!$X$236)*E2_tabla_vida!$P$236,EXP(-E249*E2_tabla_vida!$X$237)*E2_tabla_vida!$P$237,EXP(-E249*E2_tabla_vida!$X$238)*E2_tabla_vida!$P$238,EXP(-E249*E2_tabla_vida!$X$239)*E2_tabla_vida!$P$239,EXP(-E249*E2_tabla_vida!$X$240)*E2_tabla_vida!$P$240,EXP(-E249*E2_tabla_vida!$X$241)*E2_tabla_vida!$P$241,EXP(-E249*E2_tabla_vida!$X$242)*E2_tabla_vida!$P$242,EXP(-E249*E2_tabla_vida!$X$243)*E2_tabla_vida!$P$243,EXP(-E249*E2_tabla_vida!$X$244)*E2_tabla_vida!$P$244,EXP(-E249*E2_tabla_vida!$X$245)*E2_tabla_vida!$P$245,EXP(-E249*E2_tabla_vida!$X$246)*E2_tabla_vida!$P$246,EXP(-E249*E2_tabla_vida!$X$247)*E2_tabla_vida!$P$247,EXP(-E249*E2_tabla_vida!$X$248)*E2_tabla_vida!$P$248,EXP(-E249*E2_tabla_vida!$X$249)*E2_tabla_vida!$P$249,EXP(-E249*E2_tabla_vida!$X$250)*E2_tabla_vida!$P$250,EXP(-E249*E2_tabla_vida!$X$251)*E2_tabla_vida!$P$251,EXP(-E249*E2_tabla_vida!$X$252)*E2_tabla_vida!$P$252,EXP(-E249*E2_tabla_vida!$X$253)*E2_tabla_vida!$P$253)-1</x:f>
        <x:v>0.00004908493567246097</x:v>
      </x:c>
      <x:c r="G249" s="24" t="n">
        <x:f>SUM(EXP(-C249*E2_tabla_vida!$X$212)*E2_tabla_vida!$P$212,EXP(-C249*E2_tabla_vida!$X$213)*E2_tabla_vida!$P$213,EXP(-C249*E2_tabla_vida!$X$214)*E2_tabla_vida!$P$214,EXP(-C249*E2_tabla_vida!$X$215)*E2_tabla_vida!$P$215,EXP(-C249*E2_tabla_vida!$X$216)*E2_tabla_vida!$P$216,EXP(-C249*E2_tabla_vida!$X$217)*E2_tabla_vida!$P$217,EXP(-C249*E2_tabla_vida!$X$218)*E2_tabla_vida!$P$218,EXP(-C249*E2_tabla_vida!$X$219)*E2_tabla_vida!$P$219,EXP(-C249*E2_tabla_vida!$X$220)*E2_tabla_vida!$P$220,EXP(-C249*E2_tabla_vida!$X$221)*E2_tabla_vida!$P$221,EXP(-C249*E2_tabla_vida!$X$222)*E2_tabla_vida!$P$222,EXP(-C249*E2_tabla_vida!$X$223)*E2_tabla_vida!$P$223,EXP(-C249*E2_tabla_vida!$X$224)*E2_tabla_vida!$P$224,EXP(-C249*E2_tabla_vida!$X$225)*E2_tabla_vida!$P$225,EXP(-C249*E2_tabla_vida!$X$226)*E2_tabla_vida!$P$226,EXP(-C249*E2_tabla_vida!$X$227)*E2_tabla_vida!$P$227,EXP(-C249*E2_tabla_vida!$X$228)*E2_tabla_vida!$P$228,EXP(-C249*E2_tabla_vida!$X$229)*E2_tabla_vida!$P$229,EXP(-C249*E2_tabla_vida!$X$230)*E2_tabla_vida!$P$230,EXP(-C249*E2_tabla_vida!$X$231)*E2_tabla_vida!$P$231,EXP(-C249*E2_tabla_vida!$X$232)*E2_tabla_vida!$P$232,EXP(-C249*E2_tabla_vida!$X$233)*E2_tabla_vida!$P$233,EXP(-C249*E2_tabla_vida!$X$234)*E2_tabla_vida!$P$234,EXP(-C249*E2_tabla_vida!$X$235)*E2_tabla_vida!$P$235,EXP(-C249*E2_tabla_vida!$X$236)*E2_tabla_vida!$P$236,EXP(-C249*E2_tabla_vida!$X$237)*E2_tabla_vida!$P$237,EXP(-C249*E2_tabla_vida!$X$238)*E2_tabla_vida!$P$238,EXP(-C249*E2_tabla_vida!$X$239)*E2_tabla_vida!$P$239,EXP(-C249*E2_tabla_vida!$X$240)*E2_tabla_vida!$P$240,EXP(-C249*E2_tabla_vida!$X$241)*E2_tabla_vida!$P$241,EXP(-C249*E2_tabla_vida!$X$242)*E2_tabla_vida!$P$242,EXP(-C249*E2_tabla_vida!$X$243)*E2_tabla_vida!$P$243,EXP(-C249*E2_tabla_vida!$X$244)*E2_tabla_vida!$P$244,EXP(-C249*E2_tabla_vida!$X$245)*E2_tabla_vida!$P$245,EXP(-C249*E2_tabla_vida!$X$246)*E2_tabla_vida!$P$246,EXP(-C249*E2_tabla_vida!$X$247)*E2_tabla_vida!$P$247,EXP(-C249*E2_tabla_vida!$X$248)*E2_tabla_vida!$P$248,EXP(-C249*E2_tabla_vida!$X$249)*E2_tabla_vida!$P$249,EXP(-C249*E2_tabla_vida!$X$250)*E2_tabla_vida!$P$250,EXP(-C249*E2_tabla_vida!$X$251)*E2_tabla_vida!$P$251,EXP(-C249*E2_tabla_vida!$X$252)*E2_tabla_vida!$P$252,EXP(-C249*E2_tabla_vida!$X$253)*E2_tabla_vida!$P$253)-1</x:f>
        <x:v>0.00022425679637416707</x:v>
      </x:c>
      <x:c r="H249" s="24" t="n">
        <x:f>SUM(EXP(-D249*E2_tabla_vida!$X$212)*E2_tabla_vida!$P$212,EXP(-D249*E2_tabla_vida!$X$213)*E2_tabla_vida!$P$213,EXP(-D249*E2_tabla_vida!$X$214)*E2_tabla_vida!$P$214,EXP(-D249*E2_tabla_vida!$X$215)*E2_tabla_vida!$P$215,EXP(-D249*E2_tabla_vida!$X$216)*E2_tabla_vida!$P$216,EXP(-D249*E2_tabla_vida!$X$217)*E2_tabla_vida!$P$217,EXP(-D249*E2_tabla_vida!$X$218)*E2_tabla_vida!$P$218,EXP(-D249*E2_tabla_vida!$X$219)*E2_tabla_vida!$P$219,EXP(-D249*E2_tabla_vida!$X$220)*E2_tabla_vida!$P$220,EXP(-D249*E2_tabla_vida!$X$221)*E2_tabla_vida!$P$221,EXP(-D249*E2_tabla_vida!$X$222)*E2_tabla_vida!$P$222,EXP(-D249*E2_tabla_vida!$X$223)*E2_tabla_vida!$P$223,EXP(-D249*E2_tabla_vida!$X$224)*E2_tabla_vida!$P$224,EXP(-D249*E2_tabla_vida!$X$225)*E2_tabla_vida!$P$225,EXP(-D249*E2_tabla_vida!$X$226)*E2_tabla_vida!$P$226,EXP(-D249*E2_tabla_vida!$X$227)*E2_tabla_vida!$P$227,EXP(-D249*E2_tabla_vida!$X$228)*E2_tabla_vida!$P$228,EXP(-D249*E2_tabla_vida!$X$229)*E2_tabla_vida!$P$229,EXP(-D249*E2_tabla_vida!$X$230)*E2_tabla_vida!$P$230,EXP(-D249*E2_tabla_vida!$X$231)*E2_tabla_vida!$P$231,EXP(-D249*E2_tabla_vida!$X$232)*E2_tabla_vida!$P$232,EXP(-D249*E2_tabla_vida!$X$233)*E2_tabla_vida!$P$233,EXP(-D249*E2_tabla_vida!$X$234)*E2_tabla_vida!$P$234,EXP(-D249*E2_tabla_vida!$X$235)*E2_tabla_vida!$P$235,EXP(-D249*E2_tabla_vida!$X$236)*E2_tabla_vida!$P$236,EXP(-D249*E2_tabla_vida!$X$237)*E2_tabla_vida!$P$237,EXP(-D249*E2_tabla_vida!$X$238)*E2_tabla_vida!$P$238,EXP(-D249*E2_tabla_vida!$X$239)*E2_tabla_vida!$P$239,EXP(-D249*E2_tabla_vida!$X$240)*E2_tabla_vida!$P$240,EXP(-D249*E2_tabla_vida!$X$241)*E2_tabla_vida!$P$241,EXP(-D249*E2_tabla_vida!$X$242)*E2_tabla_vida!$P$242,EXP(-D249*E2_tabla_vida!$X$243)*E2_tabla_vida!$P$243,EXP(-D249*E2_tabla_vida!$X$244)*E2_tabla_vida!$P$244,EXP(-D249*E2_tabla_vida!$X$245)*E2_tabla_vida!$P$245,EXP(-D249*E2_tabla_vida!$X$246)*E2_tabla_vida!$P$246,EXP(-D249*E2_tabla_vida!$X$247)*E2_tabla_vida!$P$247,EXP(-D249*E2_tabla_vida!$X$248)*E2_tabla_vida!$P$248,EXP(-D249*E2_tabla_vida!$X$249)*E2_tabla_vida!$P$249,EXP(-D249*E2_tabla_vida!$X$250)*E2_tabla_vida!$P$250,EXP(-D249*E2_tabla_vida!$X$251)*E2_tabla_vida!$P$251,EXP(-D249*E2_tabla_vida!$X$252)*E2_tabla_vida!$P$252,EXP(-D249*E2_tabla_vida!$X$253)*E2_tabla_vida!$P$253)-1</x:f>
        <x:v>-0.000126054705627765</x:v>
      </x:c>
    </x:row>
    <x:row r="250" ht="19" customHeight="1">
      <x:c r="A250" s="2" t="str">
        <x:v>BB_L7</x:v>
      </x:c>
      <x:c r="B250" s="2" t="n">
        <x:v>18</x:v>
      </x:c>
      <x:c r="C250" s="22" t="n">
        <x:f>IF(F249&gt;0,E249,C249)</x:f>
        <x:v>0.21084213256835938</x:v>
      </x:c>
      <x:c r="D250" s="22" t="n">
        <x:f>IF(F249&gt;0,D249,E249)</x:f>
        <x:v>0.21085357666015625</x:v>
      </x:c>
      <x:c r="E250" s="22" t="n">
        <x:f>AVERAGE(C250:D250)</x:f>
        <x:v>0.2108478546142578</x:v>
      </x:c>
      <x:c r="F250" s="24" t="n">
        <x:f>SUM(EXP(-E250*E2_tabla_vida!$X$212)*E2_tabla_vida!$P$212,EXP(-E250*E2_tabla_vida!$X$213)*E2_tabla_vida!$P$213,EXP(-E250*E2_tabla_vida!$X$214)*E2_tabla_vida!$P$214,EXP(-E250*E2_tabla_vida!$X$215)*E2_tabla_vida!$P$215,EXP(-E250*E2_tabla_vida!$X$216)*E2_tabla_vida!$P$216,EXP(-E250*E2_tabla_vida!$X$217)*E2_tabla_vida!$P$217,EXP(-E250*E2_tabla_vida!$X$218)*E2_tabla_vida!$P$218,EXP(-E250*E2_tabla_vida!$X$219)*E2_tabla_vida!$P$219,EXP(-E250*E2_tabla_vida!$X$220)*E2_tabla_vida!$P$220,EXP(-E250*E2_tabla_vida!$X$221)*E2_tabla_vida!$P$221,EXP(-E250*E2_tabla_vida!$X$222)*E2_tabla_vida!$P$222,EXP(-E250*E2_tabla_vida!$X$223)*E2_tabla_vida!$P$223,EXP(-E250*E2_tabla_vida!$X$224)*E2_tabla_vida!$P$224,EXP(-E250*E2_tabla_vida!$X$225)*E2_tabla_vida!$P$225,EXP(-E250*E2_tabla_vida!$X$226)*E2_tabla_vida!$P$226,EXP(-E250*E2_tabla_vida!$X$227)*E2_tabla_vida!$P$227,EXP(-E250*E2_tabla_vida!$X$228)*E2_tabla_vida!$P$228,EXP(-E250*E2_tabla_vida!$X$229)*E2_tabla_vida!$P$229,EXP(-E250*E2_tabla_vida!$X$230)*E2_tabla_vida!$P$230,EXP(-E250*E2_tabla_vida!$X$231)*E2_tabla_vida!$P$231,EXP(-E250*E2_tabla_vida!$X$232)*E2_tabla_vida!$P$232,EXP(-E250*E2_tabla_vida!$X$233)*E2_tabla_vida!$P$233,EXP(-E250*E2_tabla_vida!$X$234)*E2_tabla_vida!$P$234,EXP(-E250*E2_tabla_vida!$X$235)*E2_tabla_vida!$P$235,EXP(-E250*E2_tabla_vida!$X$236)*E2_tabla_vida!$P$236,EXP(-E250*E2_tabla_vida!$X$237)*E2_tabla_vida!$P$237,EXP(-E250*E2_tabla_vida!$X$238)*E2_tabla_vida!$P$238,EXP(-E250*E2_tabla_vida!$X$239)*E2_tabla_vida!$P$239,EXP(-E250*E2_tabla_vida!$X$240)*E2_tabla_vida!$P$240,EXP(-E250*E2_tabla_vida!$X$241)*E2_tabla_vida!$P$241,EXP(-E250*E2_tabla_vida!$X$242)*E2_tabla_vida!$P$242,EXP(-E250*E2_tabla_vida!$X$243)*E2_tabla_vida!$P$243,EXP(-E250*E2_tabla_vida!$X$244)*E2_tabla_vida!$P$244,EXP(-E250*E2_tabla_vida!$X$245)*E2_tabla_vida!$P$245,EXP(-E250*E2_tabla_vida!$X$246)*E2_tabla_vida!$P$246,EXP(-E250*E2_tabla_vida!$X$247)*E2_tabla_vida!$P$247,EXP(-E250*E2_tabla_vida!$X$248)*E2_tabla_vida!$P$248,EXP(-E250*E2_tabla_vida!$X$249)*E2_tabla_vida!$P$249,EXP(-E250*E2_tabla_vida!$X$250)*E2_tabla_vida!$P$250,EXP(-E250*E2_tabla_vida!$X$251)*E2_tabla_vida!$P$251,EXP(-E250*E2_tabla_vida!$X$252)*E2_tabla_vida!$P$252,EXP(-E250*E2_tabla_vida!$X$253)*E2_tabla_vida!$P$253)-1</x:f>
        <x:v>-0.000038488912012080156</x:v>
      </x:c>
      <x:c r="G250" s="24" t="n">
        <x:f>SUM(EXP(-C250*E2_tabla_vida!$X$212)*E2_tabla_vida!$P$212,EXP(-C250*E2_tabla_vida!$X$213)*E2_tabla_vida!$P$213,EXP(-C250*E2_tabla_vida!$X$214)*E2_tabla_vida!$P$214,EXP(-C250*E2_tabla_vida!$X$215)*E2_tabla_vida!$P$215,EXP(-C250*E2_tabla_vida!$X$216)*E2_tabla_vida!$P$216,EXP(-C250*E2_tabla_vida!$X$217)*E2_tabla_vida!$P$217,EXP(-C250*E2_tabla_vida!$X$218)*E2_tabla_vida!$P$218,EXP(-C250*E2_tabla_vida!$X$219)*E2_tabla_vida!$P$219,EXP(-C250*E2_tabla_vida!$X$220)*E2_tabla_vida!$P$220,EXP(-C250*E2_tabla_vida!$X$221)*E2_tabla_vida!$P$221,EXP(-C250*E2_tabla_vida!$X$222)*E2_tabla_vida!$P$222,EXP(-C250*E2_tabla_vida!$X$223)*E2_tabla_vida!$P$223,EXP(-C250*E2_tabla_vida!$X$224)*E2_tabla_vida!$P$224,EXP(-C250*E2_tabla_vida!$X$225)*E2_tabla_vida!$P$225,EXP(-C250*E2_tabla_vida!$X$226)*E2_tabla_vida!$P$226,EXP(-C250*E2_tabla_vida!$X$227)*E2_tabla_vida!$P$227,EXP(-C250*E2_tabla_vida!$X$228)*E2_tabla_vida!$P$228,EXP(-C250*E2_tabla_vida!$X$229)*E2_tabla_vida!$P$229,EXP(-C250*E2_tabla_vida!$X$230)*E2_tabla_vida!$P$230,EXP(-C250*E2_tabla_vida!$X$231)*E2_tabla_vida!$P$231,EXP(-C250*E2_tabla_vida!$X$232)*E2_tabla_vida!$P$232,EXP(-C250*E2_tabla_vida!$X$233)*E2_tabla_vida!$P$233,EXP(-C250*E2_tabla_vida!$X$234)*E2_tabla_vida!$P$234,EXP(-C250*E2_tabla_vida!$X$235)*E2_tabla_vida!$P$235,EXP(-C250*E2_tabla_vida!$X$236)*E2_tabla_vida!$P$236,EXP(-C250*E2_tabla_vida!$X$237)*E2_tabla_vida!$P$237,EXP(-C250*E2_tabla_vida!$X$238)*E2_tabla_vida!$P$238,EXP(-C250*E2_tabla_vida!$X$239)*E2_tabla_vida!$P$239,EXP(-C250*E2_tabla_vida!$X$240)*E2_tabla_vida!$P$240,EXP(-C250*E2_tabla_vida!$X$241)*E2_tabla_vida!$P$241,EXP(-C250*E2_tabla_vida!$X$242)*E2_tabla_vida!$P$242,EXP(-C250*E2_tabla_vida!$X$243)*E2_tabla_vida!$P$243,EXP(-C250*E2_tabla_vida!$X$244)*E2_tabla_vida!$P$244,EXP(-C250*E2_tabla_vida!$X$245)*E2_tabla_vida!$P$245,EXP(-C250*E2_tabla_vida!$X$246)*E2_tabla_vida!$P$246,EXP(-C250*E2_tabla_vida!$X$247)*E2_tabla_vida!$P$247,EXP(-C250*E2_tabla_vida!$X$248)*E2_tabla_vida!$P$248,EXP(-C250*E2_tabla_vida!$X$249)*E2_tabla_vida!$P$249,EXP(-C250*E2_tabla_vida!$X$250)*E2_tabla_vida!$P$250,EXP(-C250*E2_tabla_vida!$X$251)*E2_tabla_vida!$P$251,EXP(-C250*E2_tabla_vida!$X$252)*E2_tabla_vida!$P$252,EXP(-C250*E2_tabla_vida!$X$253)*E2_tabla_vida!$P$253)-1</x:f>
        <x:v>0.00004908493567246097</x:v>
      </x:c>
      <x:c r="H250" s="24" t="n">
        <x:f>SUM(EXP(-D250*E2_tabla_vida!$X$212)*E2_tabla_vida!$P$212,EXP(-D250*E2_tabla_vida!$X$213)*E2_tabla_vida!$P$213,EXP(-D250*E2_tabla_vida!$X$214)*E2_tabla_vida!$P$214,EXP(-D250*E2_tabla_vida!$X$215)*E2_tabla_vida!$P$215,EXP(-D250*E2_tabla_vida!$X$216)*E2_tabla_vida!$P$216,EXP(-D250*E2_tabla_vida!$X$217)*E2_tabla_vida!$P$217,EXP(-D250*E2_tabla_vida!$X$218)*E2_tabla_vida!$P$218,EXP(-D250*E2_tabla_vida!$X$219)*E2_tabla_vida!$P$219,EXP(-D250*E2_tabla_vida!$X$220)*E2_tabla_vida!$P$220,EXP(-D250*E2_tabla_vida!$X$221)*E2_tabla_vida!$P$221,EXP(-D250*E2_tabla_vida!$X$222)*E2_tabla_vida!$P$222,EXP(-D250*E2_tabla_vida!$X$223)*E2_tabla_vida!$P$223,EXP(-D250*E2_tabla_vida!$X$224)*E2_tabla_vida!$P$224,EXP(-D250*E2_tabla_vida!$X$225)*E2_tabla_vida!$P$225,EXP(-D250*E2_tabla_vida!$X$226)*E2_tabla_vida!$P$226,EXP(-D250*E2_tabla_vida!$X$227)*E2_tabla_vida!$P$227,EXP(-D250*E2_tabla_vida!$X$228)*E2_tabla_vida!$P$228,EXP(-D250*E2_tabla_vida!$X$229)*E2_tabla_vida!$P$229,EXP(-D250*E2_tabla_vida!$X$230)*E2_tabla_vida!$P$230,EXP(-D250*E2_tabla_vida!$X$231)*E2_tabla_vida!$P$231,EXP(-D250*E2_tabla_vida!$X$232)*E2_tabla_vida!$P$232,EXP(-D250*E2_tabla_vida!$X$233)*E2_tabla_vida!$P$233,EXP(-D250*E2_tabla_vida!$X$234)*E2_tabla_vida!$P$234,EXP(-D250*E2_tabla_vida!$X$235)*E2_tabla_vida!$P$235,EXP(-D250*E2_tabla_vida!$X$236)*E2_tabla_vida!$P$236,EXP(-D250*E2_tabla_vida!$X$237)*E2_tabla_vida!$P$237,EXP(-D250*E2_tabla_vida!$X$238)*E2_tabla_vida!$P$238,EXP(-D250*E2_tabla_vida!$X$239)*E2_tabla_vida!$P$239,EXP(-D250*E2_tabla_vida!$X$240)*E2_tabla_vida!$P$240,EXP(-D250*E2_tabla_vida!$X$241)*E2_tabla_vida!$P$241,EXP(-D250*E2_tabla_vida!$X$242)*E2_tabla_vida!$P$242,EXP(-D250*E2_tabla_vida!$X$243)*E2_tabla_vida!$P$243,EXP(-D250*E2_tabla_vida!$X$244)*E2_tabla_vida!$P$244,EXP(-D250*E2_tabla_vida!$X$245)*E2_tabla_vida!$P$245,EXP(-D250*E2_tabla_vida!$X$246)*E2_tabla_vida!$P$246,EXP(-D250*E2_tabla_vida!$X$247)*E2_tabla_vida!$P$247,EXP(-D250*E2_tabla_vida!$X$248)*E2_tabla_vida!$P$248,EXP(-D250*E2_tabla_vida!$X$249)*E2_tabla_vida!$P$249,EXP(-D250*E2_tabla_vida!$X$250)*E2_tabla_vida!$P$250,EXP(-D250*E2_tabla_vida!$X$251)*E2_tabla_vida!$P$251,EXP(-D250*E2_tabla_vida!$X$252)*E2_tabla_vida!$P$252,EXP(-D250*E2_tabla_vida!$X$253)*E2_tabla_vida!$P$253)-1</x:f>
        <x:v>-0.000126054705627765</x:v>
      </x:c>
    </x:row>
    <x:row r="251" ht="19" customHeight="1">
      <x:c r="A251" s="2" t="str">
        <x:v>BB_L7</x:v>
      </x:c>
      <x:c r="B251" s="2" t="n">
        <x:v>19</x:v>
      </x:c>
      <x:c r="C251" s="22" t="n">
        <x:f>IF(F250&gt;0,E250,C250)</x:f>
        <x:v>0.21084213256835938</x:v>
      </x:c>
      <x:c r="D251" s="22" t="n">
        <x:f>IF(F250&gt;0,D250,E250)</x:f>
        <x:v>0.2108478546142578</x:v>
      </x:c>
      <x:c r="E251" s="22" t="n">
        <x:f>AVERAGE(C251:D251)</x:f>
        <x:v>0.2108449935913086</x:v>
      </x:c>
      <x:c r="F251" s="24" t="n">
        <x:f>SUM(EXP(-E251*E2_tabla_vida!$X$212)*E2_tabla_vida!$P$212,EXP(-E251*E2_tabla_vida!$X$213)*E2_tabla_vida!$P$213,EXP(-E251*E2_tabla_vida!$X$214)*E2_tabla_vida!$P$214,EXP(-E251*E2_tabla_vida!$X$215)*E2_tabla_vida!$P$215,EXP(-E251*E2_tabla_vida!$X$216)*E2_tabla_vida!$P$216,EXP(-E251*E2_tabla_vida!$X$217)*E2_tabla_vida!$P$217,EXP(-E251*E2_tabla_vida!$X$218)*E2_tabla_vida!$P$218,EXP(-E251*E2_tabla_vida!$X$219)*E2_tabla_vida!$P$219,EXP(-E251*E2_tabla_vida!$X$220)*E2_tabla_vida!$P$220,EXP(-E251*E2_tabla_vida!$X$221)*E2_tabla_vida!$P$221,EXP(-E251*E2_tabla_vida!$X$222)*E2_tabla_vida!$P$222,EXP(-E251*E2_tabla_vida!$X$223)*E2_tabla_vida!$P$223,EXP(-E251*E2_tabla_vida!$X$224)*E2_tabla_vida!$P$224,EXP(-E251*E2_tabla_vida!$X$225)*E2_tabla_vida!$P$225,EXP(-E251*E2_tabla_vida!$X$226)*E2_tabla_vida!$P$226,EXP(-E251*E2_tabla_vida!$X$227)*E2_tabla_vida!$P$227,EXP(-E251*E2_tabla_vida!$X$228)*E2_tabla_vida!$P$228,EXP(-E251*E2_tabla_vida!$X$229)*E2_tabla_vida!$P$229,EXP(-E251*E2_tabla_vida!$X$230)*E2_tabla_vida!$P$230,EXP(-E251*E2_tabla_vida!$X$231)*E2_tabla_vida!$P$231,EXP(-E251*E2_tabla_vida!$X$232)*E2_tabla_vida!$P$232,EXP(-E251*E2_tabla_vida!$X$233)*E2_tabla_vida!$P$233,EXP(-E251*E2_tabla_vida!$X$234)*E2_tabla_vida!$P$234,EXP(-E251*E2_tabla_vida!$X$235)*E2_tabla_vida!$P$235,EXP(-E251*E2_tabla_vida!$X$236)*E2_tabla_vida!$P$236,EXP(-E251*E2_tabla_vida!$X$237)*E2_tabla_vida!$P$237,EXP(-E251*E2_tabla_vida!$X$238)*E2_tabla_vida!$P$238,EXP(-E251*E2_tabla_vida!$X$239)*E2_tabla_vida!$P$239,EXP(-E251*E2_tabla_vida!$X$240)*E2_tabla_vida!$P$240,EXP(-E251*E2_tabla_vida!$X$241)*E2_tabla_vida!$P$241,EXP(-E251*E2_tabla_vida!$X$242)*E2_tabla_vida!$P$242,EXP(-E251*E2_tabla_vida!$X$243)*E2_tabla_vida!$P$243,EXP(-E251*E2_tabla_vida!$X$244)*E2_tabla_vida!$P$244,EXP(-E251*E2_tabla_vida!$X$245)*E2_tabla_vida!$P$245,EXP(-E251*E2_tabla_vida!$X$246)*E2_tabla_vida!$P$246,EXP(-E251*E2_tabla_vida!$X$247)*E2_tabla_vida!$P$247,EXP(-E251*E2_tabla_vida!$X$248)*E2_tabla_vida!$P$248,EXP(-E251*E2_tabla_vida!$X$249)*E2_tabla_vida!$P$249,EXP(-E251*E2_tabla_vida!$X$250)*E2_tabla_vida!$P$250,EXP(-E251*E2_tabla_vida!$X$251)*E2_tabla_vida!$P$251,EXP(-E251*E2_tabla_vida!$X$252)*E2_tabla_vida!$P$252,EXP(-E251*E2_tabla_vida!$X$253)*E2_tabla_vida!$P$253)-1</x:f>
        <x:v>0.000005297005023052748</x:v>
      </x:c>
      <x:c r="G251" s="24" t="n">
        <x:f>SUM(EXP(-C251*E2_tabla_vida!$X$212)*E2_tabla_vida!$P$212,EXP(-C251*E2_tabla_vida!$X$213)*E2_tabla_vida!$P$213,EXP(-C251*E2_tabla_vida!$X$214)*E2_tabla_vida!$P$214,EXP(-C251*E2_tabla_vida!$X$215)*E2_tabla_vida!$P$215,EXP(-C251*E2_tabla_vida!$X$216)*E2_tabla_vida!$P$216,EXP(-C251*E2_tabla_vida!$X$217)*E2_tabla_vida!$P$217,EXP(-C251*E2_tabla_vida!$X$218)*E2_tabla_vida!$P$218,EXP(-C251*E2_tabla_vida!$X$219)*E2_tabla_vida!$P$219,EXP(-C251*E2_tabla_vida!$X$220)*E2_tabla_vida!$P$220,EXP(-C251*E2_tabla_vida!$X$221)*E2_tabla_vida!$P$221,EXP(-C251*E2_tabla_vida!$X$222)*E2_tabla_vida!$P$222,EXP(-C251*E2_tabla_vida!$X$223)*E2_tabla_vida!$P$223,EXP(-C251*E2_tabla_vida!$X$224)*E2_tabla_vida!$P$224,EXP(-C251*E2_tabla_vida!$X$225)*E2_tabla_vida!$P$225,EXP(-C251*E2_tabla_vida!$X$226)*E2_tabla_vida!$P$226,EXP(-C251*E2_tabla_vida!$X$227)*E2_tabla_vida!$P$227,EXP(-C251*E2_tabla_vida!$X$228)*E2_tabla_vida!$P$228,EXP(-C251*E2_tabla_vida!$X$229)*E2_tabla_vida!$P$229,EXP(-C251*E2_tabla_vida!$X$230)*E2_tabla_vida!$P$230,EXP(-C251*E2_tabla_vida!$X$231)*E2_tabla_vida!$P$231,EXP(-C251*E2_tabla_vida!$X$232)*E2_tabla_vida!$P$232,EXP(-C251*E2_tabla_vida!$X$233)*E2_tabla_vida!$P$233,EXP(-C251*E2_tabla_vida!$X$234)*E2_tabla_vida!$P$234,EXP(-C251*E2_tabla_vida!$X$235)*E2_tabla_vida!$P$235,EXP(-C251*E2_tabla_vida!$X$236)*E2_tabla_vida!$P$236,EXP(-C251*E2_tabla_vida!$X$237)*E2_tabla_vida!$P$237,EXP(-C251*E2_tabla_vida!$X$238)*E2_tabla_vida!$P$238,EXP(-C251*E2_tabla_vida!$X$239)*E2_tabla_vida!$P$239,EXP(-C251*E2_tabla_vida!$X$240)*E2_tabla_vida!$P$240,EXP(-C251*E2_tabla_vida!$X$241)*E2_tabla_vida!$P$241,EXP(-C251*E2_tabla_vida!$X$242)*E2_tabla_vida!$P$242,EXP(-C251*E2_tabla_vida!$X$243)*E2_tabla_vida!$P$243,EXP(-C251*E2_tabla_vida!$X$244)*E2_tabla_vida!$P$244,EXP(-C251*E2_tabla_vida!$X$245)*E2_tabla_vida!$P$245,EXP(-C251*E2_tabla_vida!$X$246)*E2_tabla_vida!$P$246,EXP(-C251*E2_tabla_vida!$X$247)*E2_tabla_vida!$P$247,EXP(-C251*E2_tabla_vida!$X$248)*E2_tabla_vida!$P$248,EXP(-C251*E2_tabla_vida!$X$249)*E2_tabla_vida!$P$249,EXP(-C251*E2_tabla_vida!$X$250)*E2_tabla_vida!$P$250,EXP(-C251*E2_tabla_vida!$X$251)*E2_tabla_vida!$P$251,EXP(-C251*E2_tabla_vida!$X$252)*E2_tabla_vida!$P$252,EXP(-C251*E2_tabla_vida!$X$253)*E2_tabla_vida!$P$253)-1</x:f>
        <x:v>0.00004908493567246097</x:v>
      </x:c>
      <x:c r="H251" s="24" t="n">
        <x:f>SUM(EXP(-D251*E2_tabla_vida!$X$212)*E2_tabla_vida!$P$212,EXP(-D251*E2_tabla_vida!$X$213)*E2_tabla_vida!$P$213,EXP(-D251*E2_tabla_vida!$X$214)*E2_tabla_vida!$P$214,EXP(-D251*E2_tabla_vida!$X$215)*E2_tabla_vida!$P$215,EXP(-D251*E2_tabla_vida!$X$216)*E2_tabla_vida!$P$216,EXP(-D251*E2_tabla_vida!$X$217)*E2_tabla_vida!$P$217,EXP(-D251*E2_tabla_vida!$X$218)*E2_tabla_vida!$P$218,EXP(-D251*E2_tabla_vida!$X$219)*E2_tabla_vida!$P$219,EXP(-D251*E2_tabla_vida!$X$220)*E2_tabla_vida!$P$220,EXP(-D251*E2_tabla_vida!$X$221)*E2_tabla_vida!$P$221,EXP(-D251*E2_tabla_vida!$X$222)*E2_tabla_vida!$P$222,EXP(-D251*E2_tabla_vida!$X$223)*E2_tabla_vida!$P$223,EXP(-D251*E2_tabla_vida!$X$224)*E2_tabla_vida!$P$224,EXP(-D251*E2_tabla_vida!$X$225)*E2_tabla_vida!$P$225,EXP(-D251*E2_tabla_vida!$X$226)*E2_tabla_vida!$P$226,EXP(-D251*E2_tabla_vida!$X$227)*E2_tabla_vida!$P$227,EXP(-D251*E2_tabla_vida!$X$228)*E2_tabla_vida!$P$228,EXP(-D251*E2_tabla_vida!$X$229)*E2_tabla_vida!$P$229,EXP(-D251*E2_tabla_vida!$X$230)*E2_tabla_vida!$P$230,EXP(-D251*E2_tabla_vida!$X$231)*E2_tabla_vida!$P$231,EXP(-D251*E2_tabla_vida!$X$232)*E2_tabla_vida!$P$232,EXP(-D251*E2_tabla_vida!$X$233)*E2_tabla_vida!$P$233,EXP(-D251*E2_tabla_vida!$X$234)*E2_tabla_vida!$P$234,EXP(-D251*E2_tabla_vida!$X$235)*E2_tabla_vida!$P$235,EXP(-D251*E2_tabla_vida!$X$236)*E2_tabla_vida!$P$236,EXP(-D251*E2_tabla_vida!$X$237)*E2_tabla_vida!$P$237,EXP(-D251*E2_tabla_vida!$X$238)*E2_tabla_vida!$P$238,EXP(-D251*E2_tabla_vida!$X$239)*E2_tabla_vida!$P$239,EXP(-D251*E2_tabla_vida!$X$240)*E2_tabla_vida!$P$240,EXP(-D251*E2_tabla_vida!$X$241)*E2_tabla_vida!$P$241,EXP(-D251*E2_tabla_vida!$X$242)*E2_tabla_vida!$P$242,EXP(-D251*E2_tabla_vida!$X$243)*E2_tabla_vida!$P$243,EXP(-D251*E2_tabla_vida!$X$244)*E2_tabla_vida!$P$244,EXP(-D251*E2_tabla_vida!$X$245)*E2_tabla_vida!$P$245,EXP(-D251*E2_tabla_vida!$X$246)*E2_tabla_vida!$P$246,EXP(-D251*E2_tabla_vida!$X$247)*E2_tabla_vida!$P$247,EXP(-D251*E2_tabla_vida!$X$248)*E2_tabla_vida!$P$248,EXP(-D251*E2_tabla_vida!$X$249)*E2_tabla_vida!$P$249,EXP(-D251*E2_tabla_vida!$X$250)*E2_tabla_vida!$P$250,EXP(-D251*E2_tabla_vida!$X$251)*E2_tabla_vida!$P$251,EXP(-D251*E2_tabla_vida!$X$252)*E2_tabla_vida!$P$252,EXP(-D251*E2_tabla_vida!$X$253)*E2_tabla_vida!$P$253)-1</x:f>
        <x:v>-0.000038488912012080156</x:v>
      </x:c>
    </x:row>
    <x:row r="252" ht="19" customHeight="1">
      <x:c r="A252" s="2" t="str">
        <x:v>BB_L7</x:v>
      </x:c>
      <x:c r="B252" s="2" t="n">
        <x:v>20</x:v>
      </x:c>
      <x:c r="C252" s="22" t="n">
        <x:f>IF(F251&gt;0,E251,C251)</x:f>
        <x:v>0.2108449935913086</x:v>
      </x:c>
      <x:c r="D252" s="22" t="n">
        <x:f>IF(F251&gt;0,D251,E251)</x:f>
        <x:v>0.2108478546142578</x:v>
      </x:c>
      <x:c r="E252" s="22" t="n">
        <x:f>AVERAGE(C252:D252)</x:f>
        <x:v>0.2108464241027832</x:v>
      </x:c>
      <x:c r="F252" s="24" t="n">
        <x:f>SUM(EXP(-E252*E2_tabla_vida!$X$212)*E2_tabla_vida!$P$212,EXP(-E252*E2_tabla_vida!$X$213)*E2_tabla_vida!$P$213,EXP(-E252*E2_tabla_vida!$X$214)*E2_tabla_vida!$P$214,EXP(-E252*E2_tabla_vida!$X$215)*E2_tabla_vida!$P$215,EXP(-E252*E2_tabla_vida!$X$216)*E2_tabla_vida!$P$216,EXP(-E252*E2_tabla_vida!$X$217)*E2_tabla_vida!$P$217,EXP(-E252*E2_tabla_vida!$X$218)*E2_tabla_vida!$P$218,EXP(-E252*E2_tabla_vida!$X$219)*E2_tabla_vida!$P$219,EXP(-E252*E2_tabla_vida!$X$220)*E2_tabla_vida!$P$220,EXP(-E252*E2_tabla_vida!$X$221)*E2_tabla_vida!$P$221,EXP(-E252*E2_tabla_vida!$X$222)*E2_tabla_vida!$P$222,EXP(-E252*E2_tabla_vida!$X$223)*E2_tabla_vida!$P$223,EXP(-E252*E2_tabla_vida!$X$224)*E2_tabla_vida!$P$224,EXP(-E252*E2_tabla_vida!$X$225)*E2_tabla_vida!$P$225,EXP(-E252*E2_tabla_vida!$X$226)*E2_tabla_vida!$P$226,EXP(-E252*E2_tabla_vida!$X$227)*E2_tabla_vida!$P$227,EXP(-E252*E2_tabla_vida!$X$228)*E2_tabla_vida!$P$228,EXP(-E252*E2_tabla_vida!$X$229)*E2_tabla_vida!$P$229,EXP(-E252*E2_tabla_vida!$X$230)*E2_tabla_vida!$P$230,EXP(-E252*E2_tabla_vida!$X$231)*E2_tabla_vida!$P$231,EXP(-E252*E2_tabla_vida!$X$232)*E2_tabla_vida!$P$232,EXP(-E252*E2_tabla_vida!$X$233)*E2_tabla_vida!$P$233,EXP(-E252*E2_tabla_vida!$X$234)*E2_tabla_vida!$P$234,EXP(-E252*E2_tabla_vida!$X$235)*E2_tabla_vida!$P$235,EXP(-E252*E2_tabla_vida!$X$236)*E2_tabla_vida!$P$236,EXP(-E252*E2_tabla_vida!$X$237)*E2_tabla_vida!$P$237,EXP(-E252*E2_tabla_vida!$X$238)*E2_tabla_vida!$P$238,EXP(-E252*E2_tabla_vida!$X$239)*E2_tabla_vida!$P$239,EXP(-E252*E2_tabla_vida!$X$240)*E2_tabla_vida!$P$240,EXP(-E252*E2_tabla_vida!$X$241)*E2_tabla_vida!$P$241,EXP(-E252*E2_tabla_vida!$X$242)*E2_tabla_vida!$P$242,EXP(-E252*E2_tabla_vida!$X$243)*E2_tabla_vida!$P$243,EXP(-E252*E2_tabla_vida!$X$244)*E2_tabla_vida!$P$244,EXP(-E252*E2_tabla_vida!$X$245)*E2_tabla_vida!$P$245,EXP(-E252*E2_tabla_vida!$X$246)*E2_tabla_vida!$P$246,EXP(-E252*E2_tabla_vida!$X$247)*E2_tabla_vida!$P$247,EXP(-E252*E2_tabla_vida!$X$248)*E2_tabla_vida!$P$248,EXP(-E252*E2_tabla_vida!$X$249)*E2_tabla_vida!$P$249,EXP(-E252*E2_tabla_vida!$X$250)*E2_tabla_vida!$P$250,EXP(-E252*E2_tabla_vida!$X$251)*E2_tabla_vida!$P$251,EXP(-E252*E2_tabla_vida!$X$252)*E2_tabla_vida!$P$252,EXP(-E252*E2_tabla_vida!$X$253)*E2_tabla_vida!$P$253)-1</x:f>
        <x:v>-0.00001659620519034455</x:v>
      </x:c>
      <x:c r="G252" s="24" t="n">
        <x:f>SUM(EXP(-C252*E2_tabla_vida!$X$212)*E2_tabla_vida!$P$212,EXP(-C252*E2_tabla_vida!$X$213)*E2_tabla_vida!$P$213,EXP(-C252*E2_tabla_vida!$X$214)*E2_tabla_vida!$P$214,EXP(-C252*E2_tabla_vida!$X$215)*E2_tabla_vida!$P$215,EXP(-C252*E2_tabla_vida!$X$216)*E2_tabla_vida!$P$216,EXP(-C252*E2_tabla_vida!$X$217)*E2_tabla_vida!$P$217,EXP(-C252*E2_tabla_vida!$X$218)*E2_tabla_vida!$P$218,EXP(-C252*E2_tabla_vida!$X$219)*E2_tabla_vida!$P$219,EXP(-C252*E2_tabla_vida!$X$220)*E2_tabla_vida!$P$220,EXP(-C252*E2_tabla_vida!$X$221)*E2_tabla_vida!$P$221,EXP(-C252*E2_tabla_vida!$X$222)*E2_tabla_vida!$P$222,EXP(-C252*E2_tabla_vida!$X$223)*E2_tabla_vida!$P$223,EXP(-C252*E2_tabla_vida!$X$224)*E2_tabla_vida!$P$224,EXP(-C252*E2_tabla_vida!$X$225)*E2_tabla_vida!$P$225,EXP(-C252*E2_tabla_vida!$X$226)*E2_tabla_vida!$P$226,EXP(-C252*E2_tabla_vida!$X$227)*E2_tabla_vida!$P$227,EXP(-C252*E2_tabla_vida!$X$228)*E2_tabla_vida!$P$228,EXP(-C252*E2_tabla_vida!$X$229)*E2_tabla_vida!$P$229,EXP(-C252*E2_tabla_vida!$X$230)*E2_tabla_vida!$P$230,EXP(-C252*E2_tabla_vida!$X$231)*E2_tabla_vida!$P$231,EXP(-C252*E2_tabla_vida!$X$232)*E2_tabla_vida!$P$232,EXP(-C252*E2_tabla_vida!$X$233)*E2_tabla_vida!$P$233,EXP(-C252*E2_tabla_vida!$X$234)*E2_tabla_vida!$P$234,EXP(-C252*E2_tabla_vida!$X$235)*E2_tabla_vida!$P$235,EXP(-C252*E2_tabla_vida!$X$236)*E2_tabla_vida!$P$236,EXP(-C252*E2_tabla_vida!$X$237)*E2_tabla_vida!$P$237,EXP(-C252*E2_tabla_vida!$X$238)*E2_tabla_vida!$P$238,EXP(-C252*E2_tabla_vida!$X$239)*E2_tabla_vida!$P$239,EXP(-C252*E2_tabla_vida!$X$240)*E2_tabla_vida!$P$240,EXP(-C252*E2_tabla_vida!$X$241)*E2_tabla_vida!$P$241,EXP(-C252*E2_tabla_vida!$X$242)*E2_tabla_vida!$P$242,EXP(-C252*E2_tabla_vida!$X$243)*E2_tabla_vida!$P$243,EXP(-C252*E2_tabla_vida!$X$244)*E2_tabla_vida!$P$244,EXP(-C252*E2_tabla_vida!$X$245)*E2_tabla_vida!$P$245,EXP(-C252*E2_tabla_vida!$X$246)*E2_tabla_vida!$P$246,EXP(-C252*E2_tabla_vida!$X$247)*E2_tabla_vida!$P$247,EXP(-C252*E2_tabla_vida!$X$248)*E2_tabla_vida!$P$248,EXP(-C252*E2_tabla_vida!$X$249)*E2_tabla_vida!$P$249,EXP(-C252*E2_tabla_vida!$X$250)*E2_tabla_vida!$P$250,EXP(-C252*E2_tabla_vida!$X$251)*E2_tabla_vida!$P$251,EXP(-C252*E2_tabla_vida!$X$252)*E2_tabla_vida!$P$252,EXP(-C252*E2_tabla_vida!$X$253)*E2_tabla_vida!$P$253)-1</x:f>
        <x:v>0.000005297005023052748</x:v>
      </x:c>
      <x:c r="H252" s="24" t="n">
        <x:f>SUM(EXP(-D252*E2_tabla_vida!$X$212)*E2_tabla_vida!$P$212,EXP(-D252*E2_tabla_vida!$X$213)*E2_tabla_vida!$P$213,EXP(-D252*E2_tabla_vida!$X$214)*E2_tabla_vida!$P$214,EXP(-D252*E2_tabla_vida!$X$215)*E2_tabla_vida!$P$215,EXP(-D252*E2_tabla_vida!$X$216)*E2_tabla_vida!$P$216,EXP(-D252*E2_tabla_vida!$X$217)*E2_tabla_vida!$P$217,EXP(-D252*E2_tabla_vida!$X$218)*E2_tabla_vida!$P$218,EXP(-D252*E2_tabla_vida!$X$219)*E2_tabla_vida!$P$219,EXP(-D252*E2_tabla_vida!$X$220)*E2_tabla_vida!$P$220,EXP(-D252*E2_tabla_vida!$X$221)*E2_tabla_vida!$P$221,EXP(-D252*E2_tabla_vida!$X$222)*E2_tabla_vida!$P$222,EXP(-D252*E2_tabla_vida!$X$223)*E2_tabla_vida!$P$223,EXP(-D252*E2_tabla_vida!$X$224)*E2_tabla_vida!$P$224,EXP(-D252*E2_tabla_vida!$X$225)*E2_tabla_vida!$P$225,EXP(-D252*E2_tabla_vida!$X$226)*E2_tabla_vida!$P$226,EXP(-D252*E2_tabla_vida!$X$227)*E2_tabla_vida!$P$227,EXP(-D252*E2_tabla_vida!$X$228)*E2_tabla_vida!$P$228,EXP(-D252*E2_tabla_vida!$X$229)*E2_tabla_vida!$P$229,EXP(-D252*E2_tabla_vida!$X$230)*E2_tabla_vida!$P$230,EXP(-D252*E2_tabla_vida!$X$231)*E2_tabla_vida!$P$231,EXP(-D252*E2_tabla_vida!$X$232)*E2_tabla_vida!$P$232,EXP(-D252*E2_tabla_vida!$X$233)*E2_tabla_vida!$P$233,EXP(-D252*E2_tabla_vida!$X$234)*E2_tabla_vida!$P$234,EXP(-D252*E2_tabla_vida!$X$235)*E2_tabla_vida!$P$235,EXP(-D252*E2_tabla_vida!$X$236)*E2_tabla_vida!$P$236,EXP(-D252*E2_tabla_vida!$X$237)*E2_tabla_vida!$P$237,EXP(-D252*E2_tabla_vida!$X$238)*E2_tabla_vida!$P$238,EXP(-D252*E2_tabla_vida!$X$239)*E2_tabla_vida!$P$239,EXP(-D252*E2_tabla_vida!$X$240)*E2_tabla_vida!$P$240,EXP(-D252*E2_tabla_vida!$X$241)*E2_tabla_vida!$P$241,EXP(-D252*E2_tabla_vida!$X$242)*E2_tabla_vida!$P$242,EXP(-D252*E2_tabla_vida!$X$243)*E2_tabla_vida!$P$243,EXP(-D252*E2_tabla_vida!$X$244)*E2_tabla_vida!$P$244,EXP(-D252*E2_tabla_vida!$X$245)*E2_tabla_vida!$P$245,EXP(-D252*E2_tabla_vida!$X$246)*E2_tabla_vida!$P$246,EXP(-D252*E2_tabla_vida!$X$247)*E2_tabla_vida!$P$247,EXP(-D252*E2_tabla_vida!$X$248)*E2_tabla_vida!$P$248,EXP(-D252*E2_tabla_vida!$X$249)*E2_tabla_vida!$P$249,EXP(-D252*E2_tabla_vida!$X$250)*E2_tabla_vida!$P$250,EXP(-D252*E2_tabla_vida!$X$251)*E2_tabla_vida!$P$251,EXP(-D252*E2_tabla_vida!$X$252)*E2_tabla_vida!$P$252,EXP(-D252*E2_tabla_vida!$X$253)*E2_tabla_vida!$P$253)-1</x:f>
        <x:v>-0.000038488912012080156</x:v>
      </x:c>
    </x:row>
    <x:row r="253" ht="19" customHeight="1">
      <x:c r="A253" s="2" t="str">
        <x:v>BB_L7</x:v>
      </x:c>
      <x:c r="B253" s="2" t="n">
        <x:v>21</x:v>
      </x:c>
      <x:c r="C253" s="22" t="n">
        <x:f>IF(F252&gt;0,E252,C252)</x:f>
        <x:v>0.2108449935913086</x:v>
      </x:c>
      <x:c r="D253" s="22" t="n">
        <x:f>IF(F252&gt;0,D252,E252)</x:f>
        <x:v>0.2108464241027832</x:v>
      </x:c>
      <x:c r="E253" s="22" t="n">
        <x:f>AVERAGE(C253:D253)</x:f>
        <x:v>0.2108457088470459</x:v>
      </x:c>
      <x:c r="F253" s="24" t="n">
        <x:f>SUM(EXP(-E253*E2_tabla_vida!$X$212)*E2_tabla_vida!$P$212,EXP(-E253*E2_tabla_vida!$X$213)*E2_tabla_vida!$P$213,EXP(-E253*E2_tabla_vida!$X$214)*E2_tabla_vida!$P$214,EXP(-E253*E2_tabla_vida!$X$215)*E2_tabla_vida!$P$215,EXP(-E253*E2_tabla_vida!$X$216)*E2_tabla_vida!$P$216,EXP(-E253*E2_tabla_vida!$X$217)*E2_tabla_vida!$P$217,EXP(-E253*E2_tabla_vida!$X$218)*E2_tabla_vida!$P$218,EXP(-E253*E2_tabla_vida!$X$219)*E2_tabla_vida!$P$219,EXP(-E253*E2_tabla_vida!$X$220)*E2_tabla_vida!$P$220,EXP(-E253*E2_tabla_vida!$X$221)*E2_tabla_vida!$P$221,EXP(-E253*E2_tabla_vida!$X$222)*E2_tabla_vida!$P$222,EXP(-E253*E2_tabla_vida!$X$223)*E2_tabla_vida!$P$223,EXP(-E253*E2_tabla_vida!$X$224)*E2_tabla_vida!$P$224,EXP(-E253*E2_tabla_vida!$X$225)*E2_tabla_vida!$P$225,EXP(-E253*E2_tabla_vida!$X$226)*E2_tabla_vida!$P$226,EXP(-E253*E2_tabla_vida!$X$227)*E2_tabla_vida!$P$227,EXP(-E253*E2_tabla_vida!$X$228)*E2_tabla_vida!$P$228,EXP(-E253*E2_tabla_vida!$X$229)*E2_tabla_vida!$P$229,EXP(-E253*E2_tabla_vida!$X$230)*E2_tabla_vida!$P$230,EXP(-E253*E2_tabla_vida!$X$231)*E2_tabla_vida!$P$231,EXP(-E253*E2_tabla_vida!$X$232)*E2_tabla_vida!$P$232,EXP(-E253*E2_tabla_vida!$X$233)*E2_tabla_vida!$P$233,EXP(-E253*E2_tabla_vida!$X$234)*E2_tabla_vida!$P$234,EXP(-E253*E2_tabla_vida!$X$235)*E2_tabla_vida!$P$235,EXP(-E253*E2_tabla_vida!$X$236)*E2_tabla_vida!$P$236,EXP(-E253*E2_tabla_vida!$X$237)*E2_tabla_vida!$P$237,EXP(-E253*E2_tabla_vida!$X$238)*E2_tabla_vida!$P$238,EXP(-E253*E2_tabla_vida!$X$239)*E2_tabla_vida!$P$239,EXP(-E253*E2_tabla_vida!$X$240)*E2_tabla_vida!$P$240,EXP(-E253*E2_tabla_vida!$X$241)*E2_tabla_vida!$P$241,EXP(-E253*E2_tabla_vida!$X$242)*E2_tabla_vida!$P$242,EXP(-E253*E2_tabla_vida!$X$243)*E2_tabla_vida!$P$243,EXP(-E253*E2_tabla_vida!$X$244)*E2_tabla_vida!$P$244,EXP(-E253*E2_tabla_vida!$X$245)*E2_tabla_vida!$P$245,EXP(-E253*E2_tabla_vida!$X$246)*E2_tabla_vida!$P$246,EXP(-E253*E2_tabla_vida!$X$247)*E2_tabla_vida!$P$247,EXP(-E253*E2_tabla_vida!$X$248)*E2_tabla_vida!$P$248,EXP(-E253*E2_tabla_vida!$X$249)*E2_tabla_vida!$P$249,EXP(-E253*E2_tabla_vida!$X$250)*E2_tabla_vida!$P$250,EXP(-E253*E2_tabla_vida!$X$251)*E2_tabla_vida!$P$251,EXP(-E253*E2_tabla_vida!$X$252)*E2_tabla_vida!$P$252,EXP(-E253*E2_tabla_vida!$X$253)*E2_tabla_vida!$P$253)-1</x:f>
        <x:v>-0.000005649663008533423</x:v>
      </x:c>
      <x:c r="G253" s="24" t="n">
        <x:f>SUM(EXP(-C253*E2_tabla_vida!$X$212)*E2_tabla_vida!$P$212,EXP(-C253*E2_tabla_vida!$X$213)*E2_tabla_vida!$P$213,EXP(-C253*E2_tabla_vida!$X$214)*E2_tabla_vida!$P$214,EXP(-C253*E2_tabla_vida!$X$215)*E2_tabla_vida!$P$215,EXP(-C253*E2_tabla_vida!$X$216)*E2_tabla_vida!$P$216,EXP(-C253*E2_tabla_vida!$X$217)*E2_tabla_vida!$P$217,EXP(-C253*E2_tabla_vida!$X$218)*E2_tabla_vida!$P$218,EXP(-C253*E2_tabla_vida!$X$219)*E2_tabla_vida!$P$219,EXP(-C253*E2_tabla_vida!$X$220)*E2_tabla_vida!$P$220,EXP(-C253*E2_tabla_vida!$X$221)*E2_tabla_vida!$P$221,EXP(-C253*E2_tabla_vida!$X$222)*E2_tabla_vida!$P$222,EXP(-C253*E2_tabla_vida!$X$223)*E2_tabla_vida!$P$223,EXP(-C253*E2_tabla_vida!$X$224)*E2_tabla_vida!$P$224,EXP(-C253*E2_tabla_vida!$X$225)*E2_tabla_vida!$P$225,EXP(-C253*E2_tabla_vida!$X$226)*E2_tabla_vida!$P$226,EXP(-C253*E2_tabla_vida!$X$227)*E2_tabla_vida!$P$227,EXP(-C253*E2_tabla_vida!$X$228)*E2_tabla_vida!$P$228,EXP(-C253*E2_tabla_vida!$X$229)*E2_tabla_vida!$P$229,EXP(-C253*E2_tabla_vida!$X$230)*E2_tabla_vida!$P$230,EXP(-C253*E2_tabla_vida!$X$231)*E2_tabla_vida!$P$231,EXP(-C253*E2_tabla_vida!$X$232)*E2_tabla_vida!$P$232,EXP(-C253*E2_tabla_vida!$X$233)*E2_tabla_vida!$P$233,EXP(-C253*E2_tabla_vida!$X$234)*E2_tabla_vida!$P$234,EXP(-C253*E2_tabla_vida!$X$235)*E2_tabla_vida!$P$235,EXP(-C253*E2_tabla_vida!$X$236)*E2_tabla_vida!$P$236,EXP(-C253*E2_tabla_vida!$X$237)*E2_tabla_vida!$P$237,EXP(-C253*E2_tabla_vida!$X$238)*E2_tabla_vida!$P$238,EXP(-C253*E2_tabla_vida!$X$239)*E2_tabla_vida!$P$239,EXP(-C253*E2_tabla_vida!$X$240)*E2_tabla_vida!$P$240,EXP(-C253*E2_tabla_vida!$X$241)*E2_tabla_vida!$P$241,EXP(-C253*E2_tabla_vida!$X$242)*E2_tabla_vida!$P$242,EXP(-C253*E2_tabla_vida!$X$243)*E2_tabla_vida!$P$243,EXP(-C253*E2_tabla_vida!$X$244)*E2_tabla_vida!$P$244,EXP(-C253*E2_tabla_vida!$X$245)*E2_tabla_vida!$P$245,EXP(-C253*E2_tabla_vida!$X$246)*E2_tabla_vida!$P$246,EXP(-C253*E2_tabla_vida!$X$247)*E2_tabla_vida!$P$247,EXP(-C253*E2_tabla_vida!$X$248)*E2_tabla_vida!$P$248,EXP(-C253*E2_tabla_vida!$X$249)*E2_tabla_vida!$P$249,EXP(-C253*E2_tabla_vida!$X$250)*E2_tabla_vida!$P$250,EXP(-C253*E2_tabla_vida!$X$251)*E2_tabla_vida!$P$251,EXP(-C253*E2_tabla_vida!$X$252)*E2_tabla_vida!$P$252,EXP(-C253*E2_tabla_vida!$X$253)*E2_tabla_vida!$P$253)-1</x:f>
        <x:v>0.000005297005023052748</x:v>
      </x:c>
      <x:c r="H253" s="24" t="n">
        <x:f>SUM(EXP(-D253*E2_tabla_vida!$X$212)*E2_tabla_vida!$P$212,EXP(-D253*E2_tabla_vida!$X$213)*E2_tabla_vida!$P$213,EXP(-D253*E2_tabla_vida!$X$214)*E2_tabla_vida!$P$214,EXP(-D253*E2_tabla_vida!$X$215)*E2_tabla_vida!$P$215,EXP(-D253*E2_tabla_vida!$X$216)*E2_tabla_vida!$P$216,EXP(-D253*E2_tabla_vida!$X$217)*E2_tabla_vida!$P$217,EXP(-D253*E2_tabla_vida!$X$218)*E2_tabla_vida!$P$218,EXP(-D253*E2_tabla_vida!$X$219)*E2_tabla_vida!$P$219,EXP(-D253*E2_tabla_vida!$X$220)*E2_tabla_vida!$P$220,EXP(-D253*E2_tabla_vida!$X$221)*E2_tabla_vida!$P$221,EXP(-D253*E2_tabla_vida!$X$222)*E2_tabla_vida!$P$222,EXP(-D253*E2_tabla_vida!$X$223)*E2_tabla_vida!$P$223,EXP(-D253*E2_tabla_vida!$X$224)*E2_tabla_vida!$P$224,EXP(-D253*E2_tabla_vida!$X$225)*E2_tabla_vida!$P$225,EXP(-D253*E2_tabla_vida!$X$226)*E2_tabla_vida!$P$226,EXP(-D253*E2_tabla_vida!$X$227)*E2_tabla_vida!$P$227,EXP(-D253*E2_tabla_vida!$X$228)*E2_tabla_vida!$P$228,EXP(-D253*E2_tabla_vida!$X$229)*E2_tabla_vida!$P$229,EXP(-D253*E2_tabla_vida!$X$230)*E2_tabla_vida!$P$230,EXP(-D253*E2_tabla_vida!$X$231)*E2_tabla_vida!$P$231,EXP(-D253*E2_tabla_vida!$X$232)*E2_tabla_vida!$P$232,EXP(-D253*E2_tabla_vida!$X$233)*E2_tabla_vida!$P$233,EXP(-D253*E2_tabla_vida!$X$234)*E2_tabla_vida!$P$234,EXP(-D253*E2_tabla_vida!$X$235)*E2_tabla_vida!$P$235,EXP(-D253*E2_tabla_vida!$X$236)*E2_tabla_vida!$P$236,EXP(-D253*E2_tabla_vida!$X$237)*E2_tabla_vida!$P$237,EXP(-D253*E2_tabla_vida!$X$238)*E2_tabla_vida!$P$238,EXP(-D253*E2_tabla_vida!$X$239)*E2_tabla_vida!$P$239,EXP(-D253*E2_tabla_vida!$X$240)*E2_tabla_vida!$P$240,EXP(-D253*E2_tabla_vida!$X$241)*E2_tabla_vida!$P$241,EXP(-D253*E2_tabla_vida!$X$242)*E2_tabla_vida!$P$242,EXP(-D253*E2_tabla_vida!$X$243)*E2_tabla_vida!$P$243,EXP(-D253*E2_tabla_vida!$X$244)*E2_tabla_vida!$P$244,EXP(-D253*E2_tabla_vida!$X$245)*E2_tabla_vida!$P$245,EXP(-D253*E2_tabla_vida!$X$246)*E2_tabla_vida!$P$246,EXP(-D253*E2_tabla_vida!$X$247)*E2_tabla_vida!$P$247,EXP(-D253*E2_tabla_vida!$X$248)*E2_tabla_vida!$P$248,EXP(-D253*E2_tabla_vida!$X$249)*E2_tabla_vida!$P$249,EXP(-D253*E2_tabla_vida!$X$250)*E2_tabla_vida!$P$250,EXP(-D253*E2_tabla_vida!$X$251)*E2_tabla_vida!$P$251,EXP(-D253*E2_tabla_vida!$X$252)*E2_tabla_vida!$P$252,EXP(-D253*E2_tabla_vida!$X$253)*E2_tabla_vida!$P$253)-1</x:f>
        <x:v>-0.00001659620519034455</x:v>
      </x:c>
    </x:row>
    <x:row r="254" ht="19" customHeight="1">
      <x:c r="A254" s="2" t="str">
        <x:v>BB_L7</x:v>
      </x:c>
      <x:c r="B254" s="2" t="n">
        <x:v>22</x:v>
      </x:c>
      <x:c r="C254" s="22" t="n">
        <x:f>IF(F253&gt;0,E253,C253)</x:f>
        <x:v>0.2108449935913086</x:v>
      </x:c>
      <x:c r="D254" s="22" t="n">
        <x:f>IF(F253&gt;0,D253,E253)</x:f>
        <x:v>0.2108457088470459</x:v>
      </x:c>
      <x:c r="E254" s="22" t="n">
        <x:f>AVERAGE(C254:D254)</x:f>
        <x:v>0.21084535121917725</x:v>
      </x:c>
      <x:c r="F254" s="24" t="n">
        <x:f>SUM(EXP(-E254*E2_tabla_vida!$X$212)*E2_tabla_vida!$P$212,EXP(-E254*E2_tabla_vida!$X$213)*E2_tabla_vida!$P$213,EXP(-E254*E2_tabla_vida!$X$214)*E2_tabla_vida!$P$214,EXP(-E254*E2_tabla_vida!$X$215)*E2_tabla_vida!$P$215,EXP(-E254*E2_tabla_vida!$X$216)*E2_tabla_vida!$P$216,EXP(-E254*E2_tabla_vida!$X$217)*E2_tabla_vida!$P$217,EXP(-E254*E2_tabla_vida!$X$218)*E2_tabla_vida!$P$218,EXP(-E254*E2_tabla_vida!$X$219)*E2_tabla_vida!$P$219,EXP(-E254*E2_tabla_vida!$X$220)*E2_tabla_vida!$P$220,EXP(-E254*E2_tabla_vida!$X$221)*E2_tabla_vida!$P$221,EXP(-E254*E2_tabla_vida!$X$222)*E2_tabla_vida!$P$222,EXP(-E254*E2_tabla_vida!$X$223)*E2_tabla_vida!$P$223,EXP(-E254*E2_tabla_vida!$X$224)*E2_tabla_vida!$P$224,EXP(-E254*E2_tabla_vida!$X$225)*E2_tabla_vida!$P$225,EXP(-E254*E2_tabla_vida!$X$226)*E2_tabla_vida!$P$226,EXP(-E254*E2_tabla_vida!$X$227)*E2_tabla_vida!$P$227,EXP(-E254*E2_tabla_vida!$X$228)*E2_tabla_vida!$P$228,EXP(-E254*E2_tabla_vida!$X$229)*E2_tabla_vida!$P$229,EXP(-E254*E2_tabla_vida!$X$230)*E2_tabla_vida!$P$230,EXP(-E254*E2_tabla_vida!$X$231)*E2_tabla_vida!$P$231,EXP(-E254*E2_tabla_vida!$X$232)*E2_tabla_vida!$P$232,EXP(-E254*E2_tabla_vida!$X$233)*E2_tabla_vida!$P$233,EXP(-E254*E2_tabla_vida!$X$234)*E2_tabla_vida!$P$234,EXP(-E254*E2_tabla_vida!$X$235)*E2_tabla_vida!$P$235,EXP(-E254*E2_tabla_vida!$X$236)*E2_tabla_vida!$P$236,EXP(-E254*E2_tabla_vida!$X$237)*E2_tabla_vida!$P$237,EXP(-E254*E2_tabla_vida!$X$238)*E2_tabla_vida!$P$238,EXP(-E254*E2_tabla_vida!$X$239)*E2_tabla_vida!$P$239,EXP(-E254*E2_tabla_vida!$X$240)*E2_tabla_vida!$P$240,EXP(-E254*E2_tabla_vida!$X$241)*E2_tabla_vida!$P$241,EXP(-E254*E2_tabla_vida!$X$242)*E2_tabla_vida!$P$242,EXP(-E254*E2_tabla_vida!$X$243)*E2_tabla_vida!$P$243,EXP(-E254*E2_tabla_vida!$X$244)*E2_tabla_vida!$P$244,EXP(-E254*E2_tabla_vida!$X$245)*E2_tabla_vida!$P$245,EXP(-E254*E2_tabla_vida!$X$246)*E2_tabla_vida!$P$246,EXP(-E254*E2_tabla_vida!$X$247)*E2_tabla_vida!$P$247,EXP(-E254*E2_tabla_vida!$X$248)*E2_tabla_vida!$P$248,EXP(-E254*E2_tabla_vida!$X$249)*E2_tabla_vida!$P$249,EXP(-E254*E2_tabla_vida!$X$250)*E2_tabla_vida!$P$250,EXP(-E254*E2_tabla_vida!$X$251)*E2_tabla_vida!$P$251,EXP(-E254*E2_tabla_vida!$X$252)*E2_tabla_vida!$P$252,EXP(-E254*E2_tabla_vida!$X$253)*E2_tabla_vida!$P$253)-1</x:f>
        <x:v>-1.7634472393446288e-7</x:v>
      </x:c>
      <x:c r="G254" s="24" t="n">
        <x:f>SUM(EXP(-C254*E2_tabla_vida!$X$212)*E2_tabla_vida!$P$212,EXP(-C254*E2_tabla_vida!$X$213)*E2_tabla_vida!$P$213,EXP(-C254*E2_tabla_vida!$X$214)*E2_tabla_vida!$P$214,EXP(-C254*E2_tabla_vida!$X$215)*E2_tabla_vida!$P$215,EXP(-C254*E2_tabla_vida!$X$216)*E2_tabla_vida!$P$216,EXP(-C254*E2_tabla_vida!$X$217)*E2_tabla_vida!$P$217,EXP(-C254*E2_tabla_vida!$X$218)*E2_tabla_vida!$P$218,EXP(-C254*E2_tabla_vida!$X$219)*E2_tabla_vida!$P$219,EXP(-C254*E2_tabla_vida!$X$220)*E2_tabla_vida!$P$220,EXP(-C254*E2_tabla_vida!$X$221)*E2_tabla_vida!$P$221,EXP(-C254*E2_tabla_vida!$X$222)*E2_tabla_vida!$P$222,EXP(-C254*E2_tabla_vida!$X$223)*E2_tabla_vida!$P$223,EXP(-C254*E2_tabla_vida!$X$224)*E2_tabla_vida!$P$224,EXP(-C254*E2_tabla_vida!$X$225)*E2_tabla_vida!$P$225,EXP(-C254*E2_tabla_vida!$X$226)*E2_tabla_vida!$P$226,EXP(-C254*E2_tabla_vida!$X$227)*E2_tabla_vida!$P$227,EXP(-C254*E2_tabla_vida!$X$228)*E2_tabla_vida!$P$228,EXP(-C254*E2_tabla_vida!$X$229)*E2_tabla_vida!$P$229,EXP(-C254*E2_tabla_vida!$X$230)*E2_tabla_vida!$P$230,EXP(-C254*E2_tabla_vida!$X$231)*E2_tabla_vida!$P$231,EXP(-C254*E2_tabla_vida!$X$232)*E2_tabla_vida!$P$232,EXP(-C254*E2_tabla_vida!$X$233)*E2_tabla_vida!$P$233,EXP(-C254*E2_tabla_vida!$X$234)*E2_tabla_vida!$P$234,EXP(-C254*E2_tabla_vida!$X$235)*E2_tabla_vida!$P$235,EXP(-C254*E2_tabla_vida!$X$236)*E2_tabla_vida!$P$236,EXP(-C254*E2_tabla_vida!$X$237)*E2_tabla_vida!$P$237,EXP(-C254*E2_tabla_vida!$X$238)*E2_tabla_vida!$P$238,EXP(-C254*E2_tabla_vida!$X$239)*E2_tabla_vida!$P$239,EXP(-C254*E2_tabla_vida!$X$240)*E2_tabla_vida!$P$240,EXP(-C254*E2_tabla_vida!$X$241)*E2_tabla_vida!$P$241,EXP(-C254*E2_tabla_vida!$X$242)*E2_tabla_vida!$P$242,EXP(-C254*E2_tabla_vida!$X$243)*E2_tabla_vida!$P$243,EXP(-C254*E2_tabla_vida!$X$244)*E2_tabla_vida!$P$244,EXP(-C254*E2_tabla_vida!$X$245)*E2_tabla_vida!$P$245,EXP(-C254*E2_tabla_vida!$X$246)*E2_tabla_vida!$P$246,EXP(-C254*E2_tabla_vida!$X$247)*E2_tabla_vida!$P$247,EXP(-C254*E2_tabla_vida!$X$248)*E2_tabla_vida!$P$248,EXP(-C254*E2_tabla_vida!$X$249)*E2_tabla_vida!$P$249,EXP(-C254*E2_tabla_vida!$X$250)*E2_tabla_vida!$P$250,EXP(-C254*E2_tabla_vida!$X$251)*E2_tabla_vida!$P$251,EXP(-C254*E2_tabla_vida!$X$252)*E2_tabla_vida!$P$252,EXP(-C254*E2_tabla_vida!$X$253)*E2_tabla_vida!$P$253)-1</x:f>
        <x:v>0.000005297005023052748</x:v>
      </x:c>
      <x:c r="H254" s="24" t="n">
        <x:f>SUM(EXP(-D254*E2_tabla_vida!$X$212)*E2_tabla_vida!$P$212,EXP(-D254*E2_tabla_vida!$X$213)*E2_tabla_vida!$P$213,EXP(-D254*E2_tabla_vida!$X$214)*E2_tabla_vida!$P$214,EXP(-D254*E2_tabla_vida!$X$215)*E2_tabla_vida!$P$215,EXP(-D254*E2_tabla_vida!$X$216)*E2_tabla_vida!$P$216,EXP(-D254*E2_tabla_vida!$X$217)*E2_tabla_vida!$P$217,EXP(-D254*E2_tabla_vida!$X$218)*E2_tabla_vida!$P$218,EXP(-D254*E2_tabla_vida!$X$219)*E2_tabla_vida!$P$219,EXP(-D254*E2_tabla_vida!$X$220)*E2_tabla_vida!$P$220,EXP(-D254*E2_tabla_vida!$X$221)*E2_tabla_vida!$P$221,EXP(-D254*E2_tabla_vida!$X$222)*E2_tabla_vida!$P$222,EXP(-D254*E2_tabla_vida!$X$223)*E2_tabla_vida!$P$223,EXP(-D254*E2_tabla_vida!$X$224)*E2_tabla_vida!$P$224,EXP(-D254*E2_tabla_vida!$X$225)*E2_tabla_vida!$P$225,EXP(-D254*E2_tabla_vida!$X$226)*E2_tabla_vida!$P$226,EXP(-D254*E2_tabla_vida!$X$227)*E2_tabla_vida!$P$227,EXP(-D254*E2_tabla_vida!$X$228)*E2_tabla_vida!$P$228,EXP(-D254*E2_tabla_vida!$X$229)*E2_tabla_vida!$P$229,EXP(-D254*E2_tabla_vida!$X$230)*E2_tabla_vida!$P$230,EXP(-D254*E2_tabla_vida!$X$231)*E2_tabla_vida!$P$231,EXP(-D254*E2_tabla_vida!$X$232)*E2_tabla_vida!$P$232,EXP(-D254*E2_tabla_vida!$X$233)*E2_tabla_vida!$P$233,EXP(-D254*E2_tabla_vida!$X$234)*E2_tabla_vida!$P$234,EXP(-D254*E2_tabla_vida!$X$235)*E2_tabla_vida!$P$235,EXP(-D254*E2_tabla_vida!$X$236)*E2_tabla_vida!$P$236,EXP(-D254*E2_tabla_vida!$X$237)*E2_tabla_vida!$P$237,EXP(-D254*E2_tabla_vida!$X$238)*E2_tabla_vida!$P$238,EXP(-D254*E2_tabla_vida!$X$239)*E2_tabla_vida!$P$239,EXP(-D254*E2_tabla_vida!$X$240)*E2_tabla_vida!$P$240,EXP(-D254*E2_tabla_vida!$X$241)*E2_tabla_vida!$P$241,EXP(-D254*E2_tabla_vida!$X$242)*E2_tabla_vida!$P$242,EXP(-D254*E2_tabla_vida!$X$243)*E2_tabla_vida!$P$243,EXP(-D254*E2_tabla_vida!$X$244)*E2_tabla_vida!$P$244,EXP(-D254*E2_tabla_vida!$X$245)*E2_tabla_vida!$P$245,EXP(-D254*E2_tabla_vida!$X$246)*E2_tabla_vida!$P$246,EXP(-D254*E2_tabla_vida!$X$247)*E2_tabla_vida!$P$247,EXP(-D254*E2_tabla_vida!$X$248)*E2_tabla_vida!$P$248,EXP(-D254*E2_tabla_vida!$X$249)*E2_tabla_vida!$P$249,EXP(-D254*E2_tabla_vida!$X$250)*E2_tabla_vida!$P$250,EXP(-D254*E2_tabla_vida!$X$251)*E2_tabla_vida!$P$251,EXP(-D254*E2_tabla_vida!$X$252)*E2_tabla_vida!$P$252,EXP(-D254*E2_tabla_vida!$X$253)*E2_tabla_vida!$P$253)-1</x:f>
        <x:v>-0.000005649663008533423</x:v>
      </x:c>
    </x:row>
    <x:row r="255" ht="19" customHeight="1">
      <x:c r="A255" s="2" t="str">
        <x:v>BB_L7</x:v>
      </x:c>
      <x:c r="B255" s="2" t="n">
        <x:v>23</x:v>
      </x:c>
      <x:c r="C255" s="22" t="n">
        <x:f>IF(F254&gt;0,E254,C254)</x:f>
        <x:v>0.2108449935913086</x:v>
      </x:c>
      <x:c r="D255" s="22" t="n">
        <x:f>IF(F254&gt;0,D254,E254)</x:f>
        <x:v>0.21084535121917725</x:v>
      </x:c>
      <x:c r="E255" s="22" t="n">
        <x:f>AVERAGE(C255:D255)</x:f>
        <x:v>0.21084517240524292</x:v>
      </x:c>
      <x:c r="F255" s="24" t="n">
        <x:f>SUM(EXP(-E255*E2_tabla_vida!$X$212)*E2_tabla_vida!$P$212,EXP(-E255*E2_tabla_vida!$X$213)*E2_tabla_vida!$P$213,EXP(-E255*E2_tabla_vida!$X$214)*E2_tabla_vida!$P$214,EXP(-E255*E2_tabla_vida!$X$215)*E2_tabla_vida!$P$215,EXP(-E255*E2_tabla_vida!$X$216)*E2_tabla_vida!$P$216,EXP(-E255*E2_tabla_vida!$X$217)*E2_tabla_vida!$P$217,EXP(-E255*E2_tabla_vida!$X$218)*E2_tabla_vida!$P$218,EXP(-E255*E2_tabla_vida!$X$219)*E2_tabla_vida!$P$219,EXP(-E255*E2_tabla_vida!$X$220)*E2_tabla_vida!$P$220,EXP(-E255*E2_tabla_vida!$X$221)*E2_tabla_vida!$P$221,EXP(-E255*E2_tabla_vida!$X$222)*E2_tabla_vida!$P$222,EXP(-E255*E2_tabla_vida!$X$223)*E2_tabla_vida!$P$223,EXP(-E255*E2_tabla_vida!$X$224)*E2_tabla_vida!$P$224,EXP(-E255*E2_tabla_vida!$X$225)*E2_tabla_vida!$P$225,EXP(-E255*E2_tabla_vida!$X$226)*E2_tabla_vida!$P$226,EXP(-E255*E2_tabla_vida!$X$227)*E2_tabla_vida!$P$227,EXP(-E255*E2_tabla_vida!$X$228)*E2_tabla_vida!$P$228,EXP(-E255*E2_tabla_vida!$X$229)*E2_tabla_vida!$P$229,EXP(-E255*E2_tabla_vida!$X$230)*E2_tabla_vida!$P$230,EXP(-E255*E2_tabla_vida!$X$231)*E2_tabla_vida!$P$231,EXP(-E255*E2_tabla_vida!$X$232)*E2_tabla_vida!$P$232,EXP(-E255*E2_tabla_vida!$X$233)*E2_tabla_vida!$P$233,EXP(-E255*E2_tabla_vida!$X$234)*E2_tabla_vida!$P$234,EXP(-E255*E2_tabla_vida!$X$235)*E2_tabla_vida!$P$235,EXP(-E255*E2_tabla_vida!$X$236)*E2_tabla_vida!$P$236,EXP(-E255*E2_tabla_vida!$X$237)*E2_tabla_vida!$P$237,EXP(-E255*E2_tabla_vida!$X$238)*E2_tabla_vida!$P$238,EXP(-E255*E2_tabla_vida!$X$239)*E2_tabla_vida!$P$239,EXP(-E255*E2_tabla_vida!$X$240)*E2_tabla_vida!$P$240,EXP(-E255*E2_tabla_vida!$X$241)*E2_tabla_vida!$P$241,EXP(-E255*E2_tabla_vida!$X$242)*E2_tabla_vida!$P$242,EXP(-E255*E2_tabla_vida!$X$243)*E2_tabla_vida!$P$243,EXP(-E255*E2_tabla_vida!$X$244)*E2_tabla_vida!$P$244,EXP(-E255*E2_tabla_vida!$X$245)*E2_tabla_vida!$P$245,EXP(-E255*E2_tabla_vida!$X$246)*E2_tabla_vida!$P$246,EXP(-E255*E2_tabla_vida!$X$247)*E2_tabla_vida!$P$247,EXP(-E255*E2_tabla_vida!$X$248)*E2_tabla_vida!$P$248,EXP(-E255*E2_tabla_vida!$X$249)*E2_tabla_vida!$P$249,EXP(-E255*E2_tabla_vida!$X$250)*E2_tabla_vida!$P$250,EXP(-E255*E2_tabla_vida!$X$251)*E2_tabla_vida!$P$251,EXP(-E255*E2_tabla_vida!$X$252)*E2_tabla_vida!$P$252,EXP(-E255*E2_tabla_vida!$X$253)*E2_tabla_vida!$P$253)-1</x:f>
        <x:v>0.0000025603262168161223</x:v>
      </x:c>
      <x:c r="G255" s="24" t="n">
        <x:f>SUM(EXP(-C255*E2_tabla_vida!$X$212)*E2_tabla_vida!$P$212,EXP(-C255*E2_tabla_vida!$X$213)*E2_tabla_vida!$P$213,EXP(-C255*E2_tabla_vida!$X$214)*E2_tabla_vida!$P$214,EXP(-C255*E2_tabla_vida!$X$215)*E2_tabla_vida!$P$215,EXP(-C255*E2_tabla_vida!$X$216)*E2_tabla_vida!$P$216,EXP(-C255*E2_tabla_vida!$X$217)*E2_tabla_vida!$P$217,EXP(-C255*E2_tabla_vida!$X$218)*E2_tabla_vida!$P$218,EXP(-C255*E2_tabla_vida!$X$219)*E2_tabla_vida!$P$219,EXP(-C255*E2_tabla_vida!$X$220)*E2_tabla_vida!$P$220,EXP(-C255*E2_tabla_vida!$X$221)*E2_tabla_vida!$P$221,EXP(-C255*E2_tabla_vida!$X$222)*E2_tabla_vida!$P$222,EXP(-C255*E2_tabla_vida!$X$223)*E2_tabla_vida!$P$223,EXP(-C255*E2_tabla_vida!$X$224)*E2_tabla_vida!$P$224,EXP(-C255*E2_tabla_vida!$X$225)*E2_tabla_vida!$P$225,EXP(-C255*E2_tabla_vida!$X$226)*E2_tabla_vida!$P$226,EXP(-C255*E2_tabla_vida!$X$227)*E2_tabla_vida!$P$227,EXP(-C255*E2_tabla_vida!$X$228)*E2_tabla_vida!$P$228,EXP(-C255*E2_tabla_vida!$X$229)*E2_tabla_vida!$P$229,EXP(-C255*E2_tabla_vida!$X$230)*E2_tabla_vida!$P$230,EXP(-C255*E2_tabla_vida!$X$231)*E2_tabla_vida!$P$231,EXP(-C255*E2_tabla_vida!$X$232)*E2_tabla_vida!$P$232,EXP(-C255*E2_tabla_vida!$X$233)*E2_tabla_vida!$P$233,EXP(-C255*E2_tabla_vida!$X$234)*E2_tabla_vida!$P$234,EXP(-C255*E2_tabla_vida!$X$235)*E2_tabla_vida!$P$235,EXP(-C255*E2_tabla_vida!$X$236)*E2_tabla_vida!$P$236,EXP(-C255*E2_tabla_vida!$X$237)*E2_tabla_vida!$P$237,EXP(-C255*E2_tabla_vida!$X$238)*E2_tabla_vida!$P$238,EXP(-C255*E2_tabla_vida!$X$239)*E2_tabla_vida!$P$239,EXP(-C255*E2_tabla_vida!$X$240)*E2_tabla_vida!$P$240,EXP(-C255*E2_tabla_vida!$X$241)*E2_tabla_vida!$P$241,EXP(-C255*E2_tabla_vida!$X$242)*E2_tabla_vida!$P$242,EXP(-C255*E2_tabla_vida!$X$243)*E2_tabla_vida!$P$243,EXP(-C255*E2_tabla_vida!$X$244)*E2_tabla_vida!$P$244,EXP(-C255*E2_tabla_vida!$X$245)*E2_tabla_vida!$P$245,EXP(-C255*E2_tabla_vida!$X$246)*E2_tabla_vida!$P$246,EXP(-C255*E2_tabla_vida!$X$247)*E2_tabla_vida!$P$247,EXP(-C255*E2_tabla_vida!$X$248)*E2_tabla_vida!$P$248,EXP(-C255*E2_tabla_vida!$X$249)*E2_tabla_vida!$P$249,EXP(-C255*E2_tabla_vida!$X$250)*E2_tabla_vida!$P$250,EXP(-C255*E2_tabla_vida!$X$251)*E2_tabla_vida!$P$251,EXP(-C255*E2_tabla_vida!$X$252)*E2_tabla_vida!$P$252,EXP(-C255*E2_tabla_vida!$X$253)*E2_tabla_vida!$P$253)-1</x:f>
        <x:v>0.000005297005023052748</x:v>
      </x:c>
      <x:c r="H255" s="24" t="n">
        <x:f>SUM(EXP(-D255*E2_tabla_vida!$X$212)*E2_tabla_vida!$P$212,EXP(-D255*E2_tabla_vida!$X$213)*E2_tabla_vida!$P$213,EXP(-D255*E2_tabla_vida!$X$214)*E2_tabla_vida!$P$214,EXP(-D255*E2_tabla_vida!$X$215)*E2_tabla_vida!$P$215,EXP(-D255*E2_tabla_vida!$X$216)*E2_tabla_vida!$P$216,EXP(-D255*E2_tabla_vida!$X$217)*E2_tabla_vida!$P$217,EXP(-D255*E2_tabla_vida!$X$218)*E2_tabla_vida!$P$218,EXP(-D255*E2_tabla_vida!$X$219)*E2_tabla_vida!$P$219,EXP(-D255*E2_tabla_vida!$X$220)*E2_tabla_vida!$P$220,EXP(-D255*E2_tabla_vida!$X$221)*E2_tabla_vida!$P$221,EXP(-D255*E2_tabla_vida!$X$222)*E2_tabla_vida!$P$222,EXP(-D255*E2_tabla_vida!$X$223)*E2_tabla_vida!$P$223,EXP(-D255*E2_tabla_vida!$X$224)*E2_tabla_vida!$P$224,EXP(-D255*E2_tabla_vida!$X$225)*E2_tabla_vida!$P$225,EXP(-D255*E2_tabla_vida!$X$226)*E2_tabla_vida!$P$226,EXP(-D255*E2_tabla_vida!$X$227)*E2_tabla_vida!$P$227,EXP(-D255*E2_tabla_vida!$X$228)*E2_tabla_vida!$P$228,EXP(-D255*E2_tabla_vida!$X$229)*E2_tabla_vida!$P$229,EXP(-D255*E2_tabla_vida!$X$230)*E2_tabla_vida!$P$230,EXP(-D255*E2_tabla_vida!$X$231)*E2_tabla_vida!$P$231,EXP(-D255*E2_tabla_vida!$X$232)*E2_tabla_vida!$P$232,EXP(-D255*E2_tabla_vida!$X$233)*E2_tabla_vida!$P$233,EXP(-D255*E2_tabla_vida!$X$234)*E2_tabla_vida!$P$234,EXP(-D255*E2_tabla_vida!$X$235)*E2_tabla_vida!$P$235,EXP(-D255*E2_tabla_vida!$X$236)*E2_tabla_vida!$P$236,EXP(-D255*E2_tabla_vida!$X$237)*E2_tabla_vida!$P$237,EXP(-D255*E2_tabla_vida!$X$238)*E2_tabla_vida!$P$238,EXP(-D255*E2_tabla_vida!$X$239)*E2_tabla_vida!$P$239,EXP(-D255*E2_tabla_vida!$X$240)*E2_tabla_vida!$P$240,EXP(-D255*E2_tabla_vida!$X$241)*E2_tabla_vida!$P$241,EXP(-D255*E2_tabla_vida!$X$242)*E2_tabla_vida!$P$242,EXP(-D255*E2_tabla_vida!$X$243)*E2_tabla_vida!$P$243,EXP(-D255*E2_tabla_vida!$X$244)*E2_tabla_vida!$P$244,EXP(-D255*E2_tabla_vida!$X$245)*E2_tabla_vida!$P$245,EXP(-D255*E2_tabla_vida!$X$246)*E2_tabla_vida!$P$246,EXP(-D255*E2_tabla_vida!$X$247)*E2_tabla_vida!$P$247,EXP(-D255*E2_tabla_vida!$X$248)*E2_tabla_vida!$P$248,EXP(-D255*E2_tabla_vida!$X$249)*E2_tabla_vida!$P$249,EXP(-D255*E2_tabla_vida!$X$250)*E2_tabla_vida!$P$250,EXP(-D255*E2_tabla_vida!$X$251)*E2_tabla_vida!$P$251,EXP(-D255*E2_tabla_vida!$X$252)*E2_tabla_vida!$P$252,EXP(-D255*E2_tabla_vida!$X$253)*E2_tabla_vida!$P$253)-1</x:f>
        <x:v>-1.7634472393446288e-7</x:v>
      </x:c>
    </x:row>
    <x:row r="256" ht="19" customHeight="1">
      <x:c r="A256" s="2" t="str">
        <x:v>BB_L7</x:v>
      </x:c>
      <x:c r="B256" s="2" t="n">
        <x:v>24</x:v>
      </x:c>
      <x:c r="C256" s="22" t="n">
        <x:f>IF(F255&gt;0,E255,C255)</x:f>
        <x:v>0.21084517240524292</x:v>
      </x:c>
      <x:c r="D256" s="22" t="n">
        <x:f>IF(F255&gt;0,D255,E255)</x:f>
        <x:v>0.21084535121917725</x:v>
      </x:c>
      <x:c r="E256" s="22" t="n">
        <x:f>AVERAGE(C256:D256)</x:f>
        <x:v>0.21084526181221008</x:v>
      </x:c>
      <x:c r="F256" s="24" t="n">
        <x:f>SUM(EXP(-E256*E2_tabla_vida!$X$212)*E2_tabla_vida!$P$212,EXP(-E256*E2_tabla_vida!$X$213)*E2_tabla_vida!$P$213,EXP(-E256*E2_tabla_vida!$X$214)*E2_tabla_vida!$P$214,EXP(-E256*E2_tabla_vida!$X$215)*E2_tabla_vida!$P$215,EXP(-E256*E2_tabla_vida!$X$216)*E2_tabla_vida!$P$216,EXP(-E256*E2_tabla_vida!$X$217)*E2_tabla_vida!$P$217,EXP(-E256*E2_tabla_vida!$X$218)*E2_tabla_vida!$P$218,EXP(-E256*E2_tabla_vida!$X$219)*E2_tabla_vida!$P$219,EXP(-E256*E2_tabla_vida!$X$220)*E2_tabla_vida!$P$220,EXP(-E256*E2_tabla_vida!$X$221)*E2_tabla_vida!$P$221,EXP(-E256*E2_tabla_vida!$X$222)*E2_tabla_vida!$P$222,EXP(-E256*E2_tabla_vida!$X$223)*E2_tabla_vida!$P$223,EXP(-E256*E2_tabla_vida!$X$224)*E2_tabla_vida!$P$224,EXP(-E256*E2_tabla_vida!$X$225)*E2_tabla_vida!$P$225,EXP(-E256*E2_tabla_vida!$X$226)*E2_tabla_vida!$P$226,EXP(-E256*E2_tabla_vida!$X$227)*E2_tabla_vida!$P$227,EXP(-E256*E2_tabla_vida!$X$228)*E2_tabla_vida!$P$228,EXP(-E256*E2_tabla_vida!$X$229)*E2_tabla_vida!$P$229,EXP(-E256*E2_tabla_vida!$X$230)*E2_tabla_vida!$P$230,EXP(-E256*E2_tabla_vida!$X$231)*E2_tabla_vida!$P$231,EXP(-E256*E2_tabla_vida!$X$232)*E2_tabla_vida!$P$232,EXP(-E256*E2_tabla_vida!$X$233)*E2_tabla_vida!$P$233,EXP(-E256*E2_tabla_vida!$X$234)*E2_tabla_vida!$P$234,EXP(-E256*E2_tabla_vida!$X$235)*E2_tabla_vida!$P$235,EXP(-E256*E2_tabla_vida!$X$236)*E2_tabla_vida!$P$236,EXP(-E256*E2_tabla_vida!$X$237)*E2_tabla_vida!$P$237,EXP(-E256*E2_tabla_vida!$X$238)*E2_tabla_vida!$P$238,EXP(-E256*E2_tabla_vida!$X$239)*E2_tabla_vida!$P$239,EXP(-E256*E2_tabla_vida!$X$240)*E2_tabla_vida!$P$240,EXP(-E256*E2_tabla_vida!$X$241)*E2_tabla_vida!$P$241,EXP(-E256*E2_tabla_vida!$X$242)*E2_tabla_vida!$P$242,EXP(-E256*E2_tabla_vida!$X$243)*E2_tabla_vida!$P$243,EXP(-E256*E2_tabla_vida!$X$244)*E2_tabla_vida!$P$244,EXP(-E256*E2_tabla_vida!$X$245)*E2_tabla_vida!$P$245,EXP(-E256*E2_tabla_vida!$X$246)*E2_tabla_vida!$P$246,EXP(-E256*E2_tabla_vida!$X$247)*E2_tabla_vida!$P$247,EXP(-E256*E2_tabla_vida!$X$248)*E2_tabla_vida!$P$248,EXP(-E256*E2_tabla_vida!$X$249)*E2_tabla_vida!$P$249,EXP(-E256*E2_tabla_vida!$X$250)*E2_tabla_vida!$P$250,EXP(-E256*E2_tabla_vida!$X$251)*E2_tabla_vida!$P$251,EXP(-E256*E2_tabla_vida!$X$252)*E2_tabla_vida!$P$252,EXP(-E256*E2_tabla_vida!$X$253)*E2_tabla_vida!$P$253)-1</x:f>
        <x:v>0.0000011919897631162968</x:v>
      </x:c>
      <x:c r="G256" s="24" t="n">
        <x:f>SUM(EXP(-C256*E2_tabla_vida!$X$212)*E2_tabla_vida!$P$212,EXP(-C256*E2_tabla_vida!$X$213)*E2_tabla_vida!$P$213,EXP(-C256*E2_tabla_vida!$X$214)*E2_tabla_vida!$P$214,EXP(-C256*E2_tabla_vida!$X$215)*E2_tabla_vida!$P$215,EXP(-C256*E2_tabla_vida!$X$216)*E2_tabla_vida!$P$216,EXP(-C256*E2_tabla_vida!$X$217)*E2_tabla_vida!$P$217,EXP(-C256*E2_tabla_vida!$X$218)*E2_tabla_vida!$P$218,EXP(-C256*E2_tabla_vida!$X$219)*E2_tabla_vida!$P$219,EXP(-C256*E2_tabla_vida!$X$220)*E2_tabla_vida!$P$220,EXP(-C256*E2_tabla_vida!$X$221)*E2_tabla_vida!$P$221,EXP(-C256*E2_tabla_vida!$X$222)*E2_tabla_vida!$P$222,EXP(-C256*E2_tabla_vida!$X$223)*E2_tabla_vida!$P$223,EXP(-C256*E2_tabla_vida!$X$224)*E2_tabla_vida!$P$224,EXP(-C256*E2_tabla_vida!$X$225)*E2_tabla_vida!$P$225,EXP(-C256*E2_tabla_vida!$X$226)*E2_tabla_vida!$P$226,EXP(-C256*E2_tabla_vida!$X$227)*E2_tabla_vida!$P$227,EXP(-C256*E2_tabla_vida!$X$228)*E2_tabla_vida!$P$228,EXP(-C256*E2_tabla_vida!$X$229)*E2_tabla_vida!$P$229,EXP(-C256*E2_tabla_vida!$X$230)*E2_tabla_vida!$P$230,EXP(-C256*E2_tabla_vida!$X$231)*E2_tabla_vida!$P$231,EXP(-C256*E2_tabla_vida!$X$232)*E2_tabla_vida!$P$232,EXP(-C256*E2_tabla_vida!$X$233)*E2_tabla_vida!$P$233,EXP(-C256*E2_tabla_vida!$X$234)*E2_tabla_vida!$P$234,EXP(-C256*E2_tabla_vida!$X$235)*E2_tabla_vida!$P$235,EXP(-C256*E2_tabla_vida!$X$236)*E2_tabla_vida!$P$236,EXP(-C256*E2_tabla_vida!$X$237)*E2_tabla_vida!$P$237,EXP(-C256*E2_tabla_vida!$X$238)*E2_tabla_vida!$P$238,EXP(-C256*E2_tabla_vida!$X$239)*E2_tabla_vida!$P$239,EXP(-C256*E2_tabla_vida!$X$240)*E2_tabla_vida!$P$240,EXP(-C256*E2_tabla_vida!$X$241)*E2_tabla_vida!$P$241,EXP(-C256*E2_tabla_vida!$X$242)*E2_tabla_vida!$P$242,EXP(-C256*E2_tabla_vida!$X$243)*E2_tabla_vida!$P$243,EXP(-C256*E2_tabla_vida!$X$244)*E2_tabla_vida!$P$244,EXP(-C256*E2_tabla_vida!$X$245)*E2_tabla_vida!$P$245,EXP(-C256*E2_tabla_vida!$X$246)*E2_tabla_vida!$P$246,EXP(-C256*E2_tabla_vida!$X$247)*E2_tabla_vida!$P$247,EXP(-C256*E2_tabla_vida!$X$248)*E2_tabla_vida!$P$248,EXP(-C256*E2_tabla_vida!$X$249)*E2_tabla_vida!$P$249,EXP(-C256*E2_tabla_vida!$X$250)*E2_tabla_vida!$P$250,EXP(-C256*E2_tabla_vida!$X$251)*E2_tabla_vida!$P$251,EXP(-C256*E2_tabla_vida!$X$252)*E2_tabla_vida!$P$252,EXP(-C256*E2_tabla_vida!$X$253)*E2_tabla_vida!$P$253)-1</x:f>
        <x:v>0.0000025603262168161223</x:v>
      </x:c>
      <x:c r="H256" s="24" t="n">
        <x:f>SUM(EXP(-D256*E2_tabla_vida!$X$212)*E2_tabla_vida!$P$212,EXP(-D256*E2_tabla_vida!$X$213)*E2_tabla_vida!$P$213,EXP(-D256*E2_tabla_vida!$X$214)*E2_tabla_vida!$P$214,EXP(-D256*E2_tabla_vida!$X$215)*E2_tabla_vida!$P$215,EXP(-D256*E2_tabla_vida!$X$216)*E2_tabla_vida!$P$216,EXP(-D256*E2_tabla_vida!$X$217)*E2_tabla_vida!$P$217,EXP(-D256*E2_tabla_vida!$X$218)*E2_tabla_vida!$P$218,EXP(-D256*E2_tabla_vida!$X$219)*E2_tabla_vida!$P$219,EXP(-D256*E2_tabla_vida!$X$220)*E2_tabla_vida!$P$220,EXP(-D256*E2_tabla_vida!$X$221)*E2_tabla_vida!$P$221,EXP(-D256*E2_tabla_vida!$X$222)*E2_tabla_vida!$P$222,EXP(-D256*E2_tabla_vida!$X$223)*E2_tabla_vida!$P$223,EXP(-D256*E2_tabla_vida!$X$224)*E2_tabla_vida!$P$224,EXP(-D256*E2_tabla_vida!$X$225)*E2_tabla_vida!$P$225,EXP(-D256*E2_tabla_vida!$X$226)*E2_tabla_vida!$P$226,EXP(-D256*E2_tabla_vida!$X$227)*E2_tabla_vida!$P$227,EXP(-D256*E2_tabla_vida!$X$228)*E2_tabla_vida!$P$228,EXP(-D256*E2_tabla_vida!$X$229)*E2_tabla_vida!$P$229,EXP(-D256*E2_tabla_vida!$X$230)*E2_tabla_vida!$P$230,EXP(-D256*E2_tabla_vida!$X$231)*E2_tabla_vida!$P$231,EXP(-D256*E2_tabla_vida!$X$232)*E2_tabla_vida!$P$232,EXP(-D256*E2_tabla_vida!$X$233)*E2_tabla_vida!$P$233,EXP(-D256*E2_tabla_vida!$X$234)*E2_tabla_vida!$P$234,EXP(-D256*E2_tabla_vida!$X$235)*E2_tabla_vida!$P$235,EXP(-D256*E2_tabla_vida!$X$236)*E2_tabla_vida!$P$236,EXP(-D256*E2_tabla_vida!$X$237)*E2_tabla_vida!$P$237,EXP(-D256*E2_tabla_vida!$X$238)*E2_tabla_vida!$P$238,EXP(-D256*E2_tabla_vida!$X$239)*E2_tabla_vida!$P$239,EXP(-D256*E2_tabla_vida!$X$240)*E2_tabla_vida!$P$240,EXP(-D256*E2_tabla_vida!$X$241)*E2_tabla_vida!$P$241,EXP(-D256*E2_tabla_vida!$X$242)*E2_tabla_vida!$P$242,EXP(-D256*E2_tabla_vida!$X$243)*E2_tabla_vida!$P$243,EXP(-D256*E2_tabla_vida!$X$244)*E2_tabla_vida!$P$244,EXP(-D256*E2_tabla_vida!$X$245)*E2_tabla_vida!$P$245,EXP(-D256*E2_tabla_vida!$X$246)*E2_tabla_vida!$P$246,EXP(-D256*E2_tabla_vida!$X$247)*E2_tabla_vida!$P$247,EXP(-D256*E2_tabla_vida!$X$248)*E2_tabla_vida!$P$248,EXP(-D256*E2_tabla_vida!$X$249)*E2_tabla_vida!$P$249,EXP(-D256*E2_tabla_vida!$X$250)*E2_tabla_vida!$P$250,EXP(-D256*E2_tabla_vida!$X$251)*E2_tabla_vida!$P$251,EXP(-D256*E2_tabla_vida!$X$252)*E2_tabla_vida!$P$252,EXP(-D256*E2_tabla_vida!$X$253)*E2_tabla_vida!$P$253)-1</x:f>
        <x:v>-1.7634472393446288e-7</x:v>
      </x:c>
    </x:row>
    <x:row r="257" ht="19" customHeight="1">
      <x:c r="A257" s="2" t="str">
        <x:v>BB_L7</x:v>
      </x:c>
      <x:c r="B257" s="2" t="n">
        <x:v>25</x:v>
      </x:c>
      <x:c r="C257" s="22" t="n">
        <x:f>IF(F256&gt;0,E256,C256)</x:f>
        <x:v>0.21084526181221008</x:v>
      </x:c>
      <x:c r="D257" s="22" t="n">
        <x:f>IF(F256&gt;0,D256,E256)</x:f>
        <x:v>0.21084535121917725</x:v>
      </x:c>
      <x:c r="E257" s="22" t="n">
        <x:f>AVERAGE(C257:D257)</x:f>
        <x:v>0.21084530651569366</x:v>
      </x:c>
      <x:c r="F257" s="24" t="n">
        <x:f>SUM(EXP(-E257*E2_tabla_vida!$X$212)*E2_tabla_vida!$P$212,EXP(-E257*E2_tabla_vida!$X$213)*E2_tabla_vida!$P$213,EXP(-E257*E2_tabla_vida!$X$214)*E2_tabla_vida!$P$214,EXP(-E257*E2_tabla_vida!$X$215)*E2_tabla_vida!$P$215,EXP(-E257*E2_tabla_vida!$X$216)*E2_tabla_vida!$P$216,EXP(-E257*E2_tabla_vida!$X$217)*E2_tabla_vida!$P$217,EXP(-E257*E2_tabla_vida!$X$218)*E2_tabla_vida!$P$218,EXP(-E257*E2_tabla_vida!$X$219)*E2_tabla_vida!$P$219,EXP(-E257*E2_tabla_vida!$X$220)*E2_tabla_vida!$P$220,EXP(-E257*E2_tabla_vida!$X$221)*E2_tabla_vida!$P$221,EXP(-E257*E2_tabla_vida!$X$222)*E2_tabla_vida!$P$222,EXP(-E257*E2_tabla_vida!$X$223)*E2_tabla_vida!$P$223,EXP(-E257*E2_tabla_vida!$X$224)*E2_tabla_vida!$P$224,EXP(-E257*E2_tabla_vida!$X$225)*E2_tabla_vida!$P$225,EXP(-E257*E2_tabla_vida!$X$226)*E2_tabla_vida!$P$226,EXP(-E257*E2_tabla_vida!$X$227)*E2_tabla_vida!$P$227,EXP(-E257*E2_tabla_vida!$X$228)*E2_tabla_vida!$P$228,EXP(-E257*E2_tabla_vida!$X$229)*E2_tabla_vida!$P$229,EXP(-E257*E2_tabla_vida!$X$230)*E2_tabla_vida!$P$230,EXP(-E257*E2_tabla_vida!$X$231)*E2_tabla_vida!$P$231,EXP(-E257*E2_tabla_vida!$X$232)*E2_tabla_vida!$P$232,EXP(-E257*E2_tabla_vida!$X$233)*E2_tabla_vida!$P$233,EXP(-E257*E2_tabla_vida!$X$234)*E2_tabla_vida!$P$234,EXP(-E257*E2_tabla_vida!$X$235)*E2_tabla_vida!$P$235,EXP(-E257*E2_tabla_vida!$X$236)*E2_tabla_vida!$P$236,EXP(-E257*E2_tabla_vida!$X$237)*E2_tabla_vida!$P$237,EXP(-E257*E2_tabla_vida!$X$238)*E2_tabla_vida!$P$238,EXP(-E257*E2_tabla_vida!$X$239)*E2_tabla_vida!$P$239,EXP(-E257*E2_tabla_vida!$X$240)*E2_tabla_vida!$P$240,EXP(-E257*E2_tabla_vida!$X$241)*E2_tabla_vida!$P$241,EXP(-E257*E2_tabla_vida!$X$242)*E2_tabla_vida!$P$242,EXP(-E257*E2_tabla_vida!$X$243)*E2_tabla_vida!$P$243,EXP(-E257*E2_tabla_vida!$X$244)*E2_tabla_vida!$P$244,EXP(-E257*E2_tabla_vida!$X$245)*E2_tabla_vida!$P$245,EXP(-E257*E2_tabla_vida!$X$246)*E2_tabla_vida!$P$246,EXP(-E257*E2_tabla_vida!$X$247)*E2_tabla_vida!$P$247,EXP(-E257*E2_tabla_vida!$X$248)*E2_tabla_vida!$P$248,EXP(-E257*E2_tabla_vida!$X$249)*E2_tabla_vida!$P$249,EXP(-E257*E2_tabla_vida!$X$250)*E2_tabla_vida!$P$250,EXP(-E257*E2_tabla_vida!$X$251)*E2_tabla_vida!$P$251,EXP(-E257*E2_tabla_vida!$X$252)*E2_tabla_vida!$P$252,EXP(-E257*E2_tabla_vida!$X$253)*E2_tabla_vida!$P$253)-1</x:f>
        <x:v>5.078222737875393e-7</x:v>
      </x:c>
      <x:c r="G257" s="24" t="n">
        <x:f>SUM(EXP(-C257*E2_tabla_vida!$X$212)*E2_tabla_vida!$P$212,EXP(-C257*E2_tabla_vida!$X$213)*E2_tabla_vida!$P$213,EXP(-C257*E2_tabla_vida!$X$214)*E2_tabla_vida!$P$214,EXP(-C257*E2_tabla_vida!$X$215)*E2_tabla_vida!$P$215,EXP(-C257*E2_tabla_vida!$X$216)*E2_tabla_vida!$P$216,EXP(-C257*E2_tabla_vida!$X$217)*E2_tabla_vida!$P$217,EXP(-C257*E2_tabla_vida!$X$218)*E2_tabla_vida!$P$218,EXP(-C257*E2_tabla_vida!$X$219)*E2_tabla_vida!$P$219,EXP(-C257*E2_tabla_vida!$X$220)*E2_tabla_vida!$P$220,EXP(-C257*E2_tabla_vida!$X$221)*E2_tabla_vida!$P$221,EXP(-C257*E2_tabla_vida!$X$222)*E2_tabla_vida!$P$222,EXP(-C257*E2_tabla_vida!$X$223)*E2_tabla_vida!$P$223,EXP(-C257*E2_tabla_vida!$X$224)*E2_tabla_vida!$P$224,EXP(-C257*E2_tabla_vida!$X$225)*E2_tabla_vida!$P$225,EXP(-C257*E2_tabla_vida!$X$226)*E2_tabla_vida!$P$226,EXP(-C257*E2_tabla_vida!$X$227)*E2_tabla_vida!$P$227,EXP(-C257*E2_tabla_vida!$X$228)*E2_tabla_vida!$P$228,EXP(-C257*E2_tabla_vida!$X$229)*E2_tabla_vida!$P$229,EXP(-C257*E2_tabla_vida!$X$230)*E2_tabla_vida!$P$230,EXP(-C257*E2_tabla_vida!$X$231)*E2_tabla_vida!$P$231,EXP(-C257*E2_tabla_vida!$X$232)*E2_tabla_vida!$P$232,EXP(-C257*E2_tabla_vida!$X$233)*E2_tabla_vida!$P$233,EXP(-C257*E2_tabla_vida!$X$234)*E2_tabla_vida!$P$234,EXP(-C257*E2_tabla_vida!$X$235)*E2_tabla_vida!$P$235,EXP(-C257*E2_tabla_vida!$X$236)*E2_tabla_vida!$P$236,EXP(-C257*E2_tabla_vida!$X$237)*E2_tabla_vida!$P$237,EXP(-C257*E2_tabla_vida!$X$238)*E2_tabla_vida!$P$238,EXP(-C257*E2_tabla_vida!$X$239)*E2_tabla_vida!$P$239,EXP(-C257*E2_tabla_vida!$X$240)*E2_tabla_vida!$P$240,EXP(-C257*E2_tabla_vida!$X$241)*E2_tabla_vida!$P$241,EXP(-C257*E2_tabla_vida!$X$242)*E2_tabla_vida!$P$242,EXP(-C257*E2_tabla_vida!$X$243)*E2_tabla_vida!$P$243,EXP(-C257*E2_tabla_vida!$X$244)*E2_tabla_vida!$P$244,EXP(-C257*E2_tabla_vida!$X$245)*E2_tabla_vida!$P$245,EXP(-C257*E2_tabla_vida!$X$246)*E2_tabla_vida!$P$246,EXP(-C257*E2_tabla_vida!$X$247)*E2_tabla_vida!$P$247,EXP(-C257*E2_tabla_vida!$X$248)*E2_tabla_vida!$P$248,EXP(-C257*E2_tabla_vida!$X$249)*E2_tabla_vida!$P$249,EXP(-C257*E2_tabla_vida!$X$250)*E2_tabla_vida!$P$250,EXP(-C257*E2_tabla_vida!$X$251)*E2_tabla_vida!$P$251,EXP(-C257*E2_tabla_vida!$X$252)*E2_tabla_vida!$P$252,EXP(-C257*E2_tabla_vida!$X$253)*E2_tabla_vida!$P$253)-1</x:f>
        <x:v>0.0000011919897631162968</x:v>
      </x:c>
      <x:c r="H257" s="24" t="n">
        <x:f>SUM(EXP(-D257*E2_tabla_vida!$X$212)*E2_tabla_vida!$P$212,EXP(-D257*E2_tabla_vida!$X$213)*E2_tabla_vida!$P$213,EXP(-D257*E2_tabla_vida!$X$214)*E2_tabla_vida!$P$214,EXP(-D257*E2_tabla_vida!$X$215)*E2_tabla_vida!$P$215,EXP(-D257*E2_tabla_vida!$X$216)*E2_tabla_vida!$P$216,EXP(-D257*E2_tabla_vida!$X$217)*E2_tabla_vida!$P$217,EXP(-D257*E2_tabla_vida!$X$218)*E2_tabla_vida!$P$218,EXP(-D257*E2_tabla_vida!$X$219)*E2_tabla_vida!$P$219,EXP(-D257*E2_tabla_vida!$X$220)*E2_tabla_vida!$P$220,EXP(-D257*E2_tabla_vida!$X$221)*E2_tabla_vida!$P$221,EXP(-D257*E2_tabla_vida!$X$222)*E2_tabla_vida!$P$222,EXP(-D257*E2_tabla_vida!$X$223)*E2_tabla_vida!$P$223,EXP(-D257*E2_tabla_vida!$X$224)*E2_tabla_vida!$P$224,EXP(-D257*E2_tabla_vida!$X$225)*E2_tabla_vida!$P$225,EXP(-D257*E2_tabla_vida!$X$226)*E2_tabla_vida!$P$226,EXP(-D257*E2_tabla_vida!$X$227)*E2_tabla_vida!$P$227,EXP(-D257*E2_tabla_vida!$X$228)*E2_tabla_vida!$P$228,EXP(-D257*E2_tabla_vida!$X$229)*E2_tabla_vida!$P$229,EXP(-D257*E2_tabla_vida!$X$230)*E2_tabla_vida!$P$230,EXP(-D257*E2_tabla_vida!$X$231)*E2_tabla_vida!$P$231,EXP(-D257*E2_tabla_vida!$X$232)*E2_tabla_vida!$P$232,EXP(-D257*E2_tabla_vida!$X$233)*E2_tabla_vida!$P$233,EXP(-D257*E2_tabla_vida!$X$234)*E2_tabla_vida!$P$234,EXP(-D257*E2_tabla_vida!$X$235)*E2_tabla_vida!$P$235,EXP(-D257*E2_tabla_vida!$X$236)*E2_tabla_vida!$P$236,EXP(-D257*E2_tabla_vida!$X$237)*E2_tabla_vida!$P$237,EXP(-D257*E2_tabla_vida!$X$238)*E2_tabla_vida!$P$238,EXP(-D257*E2_tabla_vida!$X$239)*E2_tabla_vida!$P$239,EXP(-D257*E2_tabla_vida!$X$240)*E2_tabla_vida!$P$240,EXP(-D257*E2_tabla_vida!$X$241)*E2_tabla_vida!$P$241,EXP(-D257*E2_tabla_vida!$X$242)*E2_tabla_vida!$P$242,EXP(-D257*E2_tabla_vida!$X$243)*E2_tabla_vida!$P$243,EXP(-D257*E2_tabla_vida!$X$244)*E2_tabla_vida!$P$244,EXP(-D257*E2_tabla_vida!$X$245)*E2_tabla_vida!$P$245,EXP(-D257*E2_tabla_vida!$X$246)*E2_tabla_vida!$P$246,EXP(-D257*E2_tabla_vida!$X$247)*E2_tabla_vida!$P$247,EXP(-D257*E2_tabla_vida!$X$248)*E2_tabla_vida!$P$248,EXP(-D257*E2_tabla_vida!$X$249)*E2_tabla_vida!$P$249,EXP(-D257*E2_tabla_vida!$X$250)*E2_tabla_vida!$P$250,EXP(-D257*E2_tabla_vida!$X$251)*E2_tabla_vida!$P$251,EXP(-D257*E2_tabla_vida!$X$252)*E2_tabla_vida!$P$252,EXP(-D257*E2_tabla_vida!$X$253)*E2_tabla_vida!$P$253)-1</x:f>
        <x:v>-1.7634472393446288e-7</x:v>
      </x:c>
    </x:row>
    <x:row r="258" ht="19" customHeight="1">
      <x:c r="A258" s="2" t="str">
        <x:v>BB_L7</x:v>
      </x:c>
      <x:c r="B258" s="2" t="n">
        <x:v>26</x:v>
      </x:c>
      <x:c r="C258" s="22" t="n">
        <x:f>IF(F257&gt;0,E257,C257)</x:f>
        <x:v>0.21084530651569366</x:v>
      </x:c>
      <x:c r="D258" s="22" t="n">
        <x:f>IF(F257&gt;0,D257,E257)</x:f>
        <x:v>0.21084535121917725</x:v>
      </x:c>
      <x:c r="E258" s="22" t="n">
        <x:f>AVERAGE(C258:D258)</x:f>
        <x:v>0.21084532886743546</x:v>
      </x:c>
      <x:c r="F258" s="24" t="n">
        <x:f>SUM(EXP(-E258*E2_tabla_vida!$X$212)*E2_tabla_vida!$P$212,EXP(-E258*E2_tabla_vida!$X$213)*E2_tabla_vida!$P$213,EXP(-E258*E2_tabla_vida!$X$214)*E2_tabla_vida!$P$214,EXP(-E258*E2_tabla_vida!$X$215)*E2_tabla_vida!$P$215,EXP(-E258*E2_tabla_vida!$X$216)*E2_tabla_vida!$P$216,EXP(-E258*E2_tabla_vida!$X$217)*E2_tabla_vida!$P$217,EXP(-E258*E2_tabla_vida!$X$218)*E2_tabla_vida!$P$218,EXP(-E258*E2_tabla_vida!$X$219)*E2_tabla_vida!$P$219,EXP(-E258*E2_tabla_vida!$X$220)*E2_tabla_vida!$P$220,EXP(-E258*E2_tabla_vida!$X$221)*E2_tabla_vida!$P$221,EXP(-E258*E2_tabla_vida!$X$222)*E2_tabla_vida!$P$222,EXP(-E258*E2_tabla_vida!$X$223)*E2_tabla_vida!$P$223,EXP(-E258*E2_tabla_vida!$X$224)*E2_tabla_vida!$P$224,EXP(-E258*E2_tabla_vida!$X$225)*E2_tabla_vida!$P$225,EXP(-E258*E2_tabla_vida!$X$226)*E2_tabla_vida!$P$226,EXP(-E258*E2_tabla_vida!$X$227)*E2_tabla_vida!$P$227,EXP(-E258*E2_tabla_vida!$X$228)*E2_tabla_vida!$P$228,EXP(-E258*E2_tabla_vida!$X$229)*E2_tabla_vida!$P$229,EXP(-E258*E2_tabla_vida!$X$230)*E2_tabla_vida!$P$230,EXP(-E258*E2_tabla_vida!$X$231)*E2_tabla_vida!$P$231,EXP(-E258*E2_tabla_vida!$X$232)*E2_tabla_vida!$P$232,EXP(-E258*E2_tabla_vida!$X$233)*E2_tabla_vida!$P$233,EXP(-E258*E2_tabla_vida!$X$234)*E2_tabla_vida!$P$234,EXP(-E258*E2_tabla_vida!$X$235)*E2_tabla_vida!$P$235,EXP(-E258*E2_tabla_vida!$X$236)*E2_tabla_vida!$P$236,EXP(-E258*E2_tabla_vida!$X$237)*E2_tabla_vida!$P$237,EXP(-E258*E2_tabla_vida!$X$238)*E2_tabla_vida!$P$238,EXP(-E258*E2_tabla_vida!$X$239)*E2_tabla_vida!$P$239,EXP(-E258*E2_tabla_vida!$X$240)*E2_tabla_vida!$P$240,EXP(-E258*E2_tabla_vida!$X$241)*E2_tabla_vida!$P$241,EXP(-E258*E2_tabla_vida!$X$242)*E2_tabla_vida!$P$242,EXP(-E258*E2_tabla_vida!$X$243)*E2_tabla_vida!$P$243,EXP(-E258*E2_tabla_vida!$X$244)*E2_tabla_vida!$P$244,EXP(-E258*E2_tabla_vida!$X$245)*E2_tabla_vida!$P$245,EXP(-E258*E2_tabla_vida!$X$246)*E2_tabla_vida!$P$246,EXP(-E258*E2_tabla_vida!$X$247)*E2_tabla_vida!$P$247,EXP(-E258*E2_tabla_vida!$X$248)*E2_tabla_vida!$P$248,EXP(-E258*E2_tabla_vida!$X$249)*E2_tabla_vida!$P$249,EXP(-E258*E2_tabla_vida!$X$250)*E2_tabla_vida!$P$250,EXP(-E258*E2_tabla_vida!$X$251)*E2_tabla_vida!$P$251,EXP(-E258*E2_tabla_vida!$X$252)*E2_tabla_vida!$P$252,EXP(-E258*E2_tabla_vida!$X$253)*E2_tabla_vida!$P$253)-1</x:f>
        <x:v>1.6573871342018265e-7</x:v>
      </x:c>
      <x:c r="G258" s="24" t="n">
        <x:f>SUM(EXP(-C258*E2_tabla_vida!$X$212)*E2_tabla_vida!$P$212,EXP(-C258*E2_tabla_vida!$X$213)*E2_tabla_vida!$P$213,EXP(-C258*E2_tabla_vida!$X$214)*E2_tabla_vida!$P$214,EXP(-C258*E2_tabla_vida!$X$215)*E2_tabla_vida!$P$215,EXP(-C258*E2_tabla_vida!$X$216)*E2_tabla_vida!$P$216,EXP(-C258*E2_tabla_vida!$X$217)*E2_tabla_vida!$P$217,EXP(-C258*E2_tabla_vida!$X$218)*E2_tabla_vida!$P$218,EXP(-C258*E2_tabla_vida!$X$219)*E2_tabla_vida!$P$219,EXP(-C258*E2_tabla_vida!$X$220)*E2_tabla_vida!$P$220,EXP(-C258*E2_tabla_vida!$X$221)*E2_tabla_vida!$P$221,EXP(-C258*E2_tabla_vida!$X$222)*E2_tabla_vida!$P$222,EXP(-C258*E2_tabla_vida!$X$223)*E2_tabla_vida!$P$223,EXP(-C258*E2_tabla_vida!$X$224)*E2_tabla_vida!$P$224,EXP(-C258*E2_tabla_vida!$X$225)*E2_tabla_vida!$P$225,EXP(-C258*E2_tabla_vida!$X$226)*E2_tabla_vida!$P$226,EXP(-C258*E2_tabla_vida!$X$227)*E2_tabla_vida!$P$227,EXP(-C258*E2_tabla_vida!$X$228)*E2_tabla_vida!$P$228,EXP(-C258*E2_tabla_vida!$X$229)*E2_tabla_vida!$P$229,EXP(-C258*E2_tabla_vida!$X$230)*E2_tabla_vida!$P$230,EXP(-C258*E2_tabla_vida!$X$231)*E2_tabla_vida!$P$231,EXP(-C258*E2_tabla_vida!$X$232)*E2_tabla_vida!$P$232,EXP(-C258*E2_tabla_vida!$X$233)*E2_tabla_vida!$P$233,EXP(-C258*E2_tabla_vida!$X$234)*E2_tabla_vida!$P$234,EXP(-C258*E2_tabla_vida!$X$235)*E2_tabla_vida!$P$235,EXP(-C258*E2_tabla_vida!$X$236)*E2_tabla_vida!$P$236,EXP(-C258*E2_tabla_vida!$X$237)*E2_tabla_vida!$P$237,EXP(-C258*E2_tabla_vida!$X$238)*E2_tabla_vida!$P$238,EXP(-C258*E2_tabla_vida!$X$239)*E2_tabla_vida!$P$239,EXP(-C258*E2_tabla_vida!$X$240)*E2_tabla_vida!$P$240,EXP(-C258*E2_tabla_vida!$X$241)*E2_tabla_vida!$P$241,EXP(-C258*E2_tabla_vida!$X$242)*E2_tabla_vida!$P$242,EXP(-C258*E2_tabla_vida!$X$243)*E2_tabla_vida!$P$243,EXP(-C258*E2_tabla_vida!$X$244)*E2_tabla_vida!$P$244,EXP(-C258*E2_tabla_vida!$X$245)*E2_tabla_vida!$P$245,EXP(-C258*E2_tabla_vida!$X$246)*E2_tabla_vida!$P$246,EXP(-C258*E2_tabla_vida!$X$247)*E2_tabla_vida!$P$247,EXP(-C258*E2_tabla_vida!$X$248)*E2_tabla_vida!$P$248,EXP(-C258*E2_tabla_vida!$X$249)*E2_tabla_vida!$P$249,EXP(-C258*E2_tabla_vida!$X$250)*E2_tabla_vida!$P$250,EXP(-C258*E2_tabla_vida!$X$251)*E2_tabla_vida!$P$251,EXP(-C258*E2_tabla_vida!$X$252)*E2_tabla_vida!$P$252,EXP(-C258*E2_tabla_vida!$X$253)*E2_tabla_vida!$P$253)-1</x:f>
        <x:v>5.078222737875393e-7</x:v>
      </x:c>
      <x:c r="H258" s="24" t="n">
        <x:f>SUM(EXP(-D258*E2_tabla_vida!$X$212)*E2_tabla_vida!$P$212,EXP(-D258*E2_tabla_vida!$X$213)*E2_tabla_vida!$P$213,EXP(-D258*E2_tabla_vida!$X$214)*E2_tabla_vida!$P$214,EXP(-D258*E2_tabla_vida!$X$215)*E2_tabla_vida!$P$215,EXP(-D258*E2_tabla_vida!$X$216)*E2_tabla_vida!$P$216,EXP(-D258*E2_tabla_vida!$X$217)*E2_tabla_vida!$P$217,EXP(-D258*E2_tabla_vida!$X$218)*E2_tabla_vida!$P$218,EXP(-D258*E2_tabla_vida!$X$219)*E2_tabla_vida!$P$219,EXP(-D258*E2_tabla_vida!$X$220)*E2_tabla_vida!$P$220,EXP(-D258*E2_tabla_vida!$X$221)*E2_tabla_vida!$P$221,EXP(-D258*E2_tabla_vida!$X$222)*E2_tabla_vida!$P$222,EXP(-D258*E2_tabla_vida!$X$223)*E2_tabla_vida!$P$223,EXP(-D258*E2_tabla_vida!$X$224)*E2_tabla_vida!$P$224,EXP(-D258*E2_tabla_vida!$X$225)*E2_tabla_vida!$P$225,EXP(-D258*E2_tabla_vida!$X$226)*E2_tabla_vida!$P$226,EXP(-D258*E2_tabla_vida!$X$227)*E2_tabla_vida!$P$227,EXP(-D258*E2_tabla_vida!$X$228)*E2_tabla_vida!$P$228,EXP(-D258*E2_tabla_vida!$X$229)*E2_tabla_vida!$P$229,EXP(-D258*E2_tabla_vida!$X$230)*E2_tabla_vida!$P$230,EXP(-D258*E2_tabla_vida!$X$231)*E2_tabla_vida!$P$231,EXP(-D258*E2_tabla_vida!$X$232)*E2_tabla_vida!$P$232,EXP(-D258*E2_tabla_vida!$X$233)*E2_tabla_vida!$P$233,EXP(-D258*E2_tabla_vida!$X$234)*E2_tabla_vida!$P$234,EXP(-D258*E2_tabla_vida!$X$235)*E2_tabla_vida!$P$235,EXP(-D258*E2_tabla_vida!$X$236)*E2_tabla_vida!$P$236,EXP(-D258*E2_tabla_vida!$X$237)*E2_tabla_vida!$P$237,EXP(-D258*E2_tabla_vida!$X$238)*E2_tabla_vida!$P$238,EXP(-D258*E2_tabla_vida!$X$239)*E2_tabla_vida!$P$239,EXP(-D258*E2_tabla_vida!$X$240)*E2_tabla_vida!$P$240,EXP(-D258*E2_tabla_vida!$X$241)*E2_tabla_vida!$P$241,EXP(-D258*E2_tabla_vida!$X$242)*E2_tabla_vida!$P$242,EXP(-D258*E2_tabla_vida!$X$243)*E2_tabla_vida!$P$243,EXP(-D258*E2_tabla_vida!$X$244)*E2_tabla_vida!$P$244,EXP(-D258*E2_tabla_vida!$X$245)*E2_tabla_vida!$P$245,EXP(-D258*E2_tabla_vida!$X$246)*E2_tabla_vida!$P$246,EXP(-D258*E2_tabla_vida!$X$247)*E2_tabla_vida!$P$247,EXP(-D258*E2_tabla_vida!$X$248)*E2_tabla_vida!$P$248,EXP(-D258*E2_tabla_vida!$X$249)*E2_tabla_vida!$P$249,EXP(-D258*E2_tabla_vida!$X$250)*E2_tabla_vida!$P$250,EXP(-D258*E2_tabla_vida!$X$251)*E2_tabla_vida!$P$251,EXP(-D258*E2_tabla_vida!$X$252)*E2_tabla_vida!$P$252,EXP(-D258*E2_tabla_vida!$X$253)*E2_tabla_vida!$P$253)-1</x:f>
        <x:v>-1.7634472393446288e-7</x:v>
      </x:c>
    </x:row>
    <x:row r="259" ht="19" customHeight="1">
      <x:c r="A259" s="2" t="str">
        <x:v>BB_L7</x:v>
      </x:c>
      <x:c r="B259" s="2" t="n">
        <x:v>27</x:v>
      </x:c>
      <x:c r="C259" s="22" t="n">
        <x:f>IF(F258&gt;0,E258,C258)</x:f>
        <x:v>0.21084532886743546</x:v>
      </x:c>
      <x:c r="D259" s="22" t="n">
        <x:f>IF(F258&gt;0,D258,E258)</x:f>
        <x:v>0.21084535121917725</x:v>
      </x:c>
      <x:c r="E259" s="22" t="n">
        <x:f>AVERAGE(C259:D259)</x:f>
        <x:v>0.21084534004330635</x:v>
      </x:c>
      <x:c r="F259" s="24" t="n">
        <x:f>SUM(EXP(-E259*E2_tabla_vida!$X$212)*E2_tabla_vida!$P$212,EXP(-E259*E2_tabla_vida!$X$213)*E2_tabla_vida!$P$213,EXP(-E259*E2_tabla_vida!$X$214)*E2_tabla_vida!$P$214,EXP(-E259*E2_tabla_vida!$X$215)*E2_tabla_vida!$P$215,EXP(-E259*E2_tabla_vida!$X$216)*E2_tabla_vida!$P$216,EXP(-E259*E2_tabla_vida!$X$217)*E2_tabla_vida!$P$217,EXP(-E259*E2_tabla_vida!$X$218)*E2_tabla_vida!$P$218,EXP(-E259*E2_tabla_vida!$X$219)*E2_tabla_vida!$P$219,EXP(-E259*E2_tabla_vida!$X$220)*E2_tabla_vida!$P$220,EXP(-E259*E2_tabla_vida!$X$221)*E2_tabla_vida!$P$221,EXP(-E259*E2_tabla_vida!$X$222)*E2_tabla_vida!$P$222,EXP(-E259*E2_tabla_vida!$X$223)*E2_tabla_vida!$P$223,EXP(-E259*E2_tabla_vida!$X$224)*E2_tabla_vida!$P$224,EXP(-E259*E2_tabla_vida!$X$225)*E2_tabla_vida!$P$225,EXP(-E259*E2_tabla_vida!$X$226)*E2_tabla_vida!$P$226,EXP(-E259*E2_tabla_vida!$X$227)*E2_tabla_vida!$P$227,EXP(-E259*E2_tabla_vida!$X$228)*E2_tabla_vida!$P$228,EXP(-E259*E2_tabla_vida!$X$229)*E2_tabla_vida!$P$229,EXP(-E259*E2_tabla_vida!$X$230)*E2_tabla_vida!$P$230,EXP(-E259*E2_tabla_vida!$X$231)*E2_tabla_vida!$P$231,EXP(-E259*E2_tabla_vida!$X$232)*E2_tabla_vida!$P$232,EXP(-E259*E2_tabla_vida!$X$233)*E2_tabla_vida!$P$233,EXP(-E259*E2_tabla_vida!$X$234)*E2_tabla_vida!$P$234,EXP(-E259*E2_tabla_vida!$X$235)*E2_tabla_vida!$P$235,EXP(-E259*E2_tabla_vida!$X$236)*E2_tabla_vida!$P$236,EXP(-E259*E2_tabla_vida!$X$237)*E2_tabla_vida!$P$237,EXP(-E259*E2_tabla_vida!$X$238)*E2_tabla_vida!$P$238,EXP(-E259*E2_tabla_vida!$X$239)*E2_tabla_vida!$P$239,EXP(-E259*E2_tabla_vida!$X$240)*E2_tabla_vida!$P$240,EXP(-E259*E2_tabla_vida!$X$241)*E2_tabla_vida!$P$241,EXP(-E259*E2_tabla_vida!$X$242)*E2_tabla_vida!$P$242,EXP(-E259*E2_tabla_vida!$X$243)*E2_tabla_vida!$P$243,EXP(-E259*E2_tabla_vida!$X$244)*E2_tabla_vida!$P$244,EXP(-E259*E2_tabla_vida!$X$245)*E2_tabla_vida!$P$245,EXP(-E259*E2_tabla_vida!$X$246)*E2_tabla_vida!$P$246,EXP(-E259*E2_tabla_vida!$X$247)*E2_tabla_vida!$P$247,EXP(-E259*E2_tabla_vida!$X$248)*E2_tabla_vida!$P$248,EXP(-E259*E2_tabla_vida!$X$249)*E2_tabla_vida!$P$249,EXP(-E259*E2_tabla_vida!$X$250)*E2_tabla_vida!$P$250,EXP(-E259*E2_tabla_vida!$X$251)*E2_tabla_vida!$P$251,EXP(-E259*E2_tabla_vida!$X$252)*E2_tabla_vida!$P$252,EXP(-E259*E2_tabla_vida!$X$253)*E2_tabla_vida!$P$253)-1</x:f>
        <x:v>-5.303020800262459e-9</x:v>
      </x:c>
      <x:c r="G259" s="24" t="n">
        <x:f>SUM(EXP(-C259*E2_tabla_vida!$X$212)*E2_tabla_vida!$P$212,EXP(-C259*E2_tabla_vida!$X$213)*E2_tabla_vida!$P$213,EXP(-C259*E2_tabla_vida!$X$214)*E2_tabla_vida!$P$214,EXP(-C259*E2_tabla_vida!$X$215)*E2_tabla_vida!$P$215,EXP(-C259*E2_tabla_vida!$X$216)*E2_tabla_vida!$P$216,EXP(-C259*E2_tabla_vida!$X$217)*E2_tabla_vida!$P$217,EXP(-C259*E2_tabla_vida!$X$218)*E2_tabla_vida!$P$218,EXP(-C259*E2_tabla_vida!$X$219)*E2_tabla_vida!$P$219,EXP(-C259*E2_tabla_vida!$X$220)*E2_tabla_vida!$P$220,EXP(-C259*E2_tabla_vida!$X$221)*E2_tabla_vida!$P$221,EXP(-C259*E2_tabla_vida!$X$222)*E2_tabla_vida!$P$222,EXP(-C259*E2_tabla_vida!$X$223)*E2_tabla_vida!$P$223,EXP(-C259*E2_tabla_vida!$X$224)*E2_tabla_vida!$P$224,EXP(-C259*E2_tabla_vida!$X$225)*E2_tabla_vida!$P$225,EXP(-C259*E2_tabla_vida!$X$226)*E2_tabla_vida!$P$226,EXP(-C259*E2_tabla_vida!$X$227)*E2_tabla_vida!$P$227,EXP(-C259*E2_tabla_vida!$X$228)*E2_tabla_vida!$P$228,EXP(-C259*E2_tabla_vida!$X$229)*E2_tabla_vida!$P$229,EXP(-C259*E2_tabla_vida!$X$230)*E2_tabla_vida!$P$230,EXP(-C259*E2_tabla_vida!$X$231)*E2_tabla_vida!$P$231,EXP(-C259*E2_tabla_vida!$X$232)*E2_tabla_vida!$P$232,EXP(-C259*E2_tabla_vida!$X$233)*E2_tabla_vida!$P$233,EXP(-C259*E2_tabla_vida!$X$234)*E2_tabla_vida!$P$234,EXP(-C259*E2_tabla_vida!$X$235)*E2_tabla_vida!$P$235,EXP(-C259*E2_tabla_vida!$X$236)*E2_tabla_vida!$P$236,EXP(-C259*E2_tabla_vida!$X$237)*E2_tabla_vida!$P$237,EXP(-C259*E2_tabla_vida!$X$238)*E2_tabla_vida!$P$238,EXP(-C259*E2_tabla_vida!$X$239)*E2_tabla_vida!$P$239,EXP(-C259*E2_tabla_vida!$X$240)*E2_tabla_vida!$P$240,EXP(-C259*E2_tabla_vida!$X$241)*E2_tabla_vida!$P$241,EXP(-C259*E2_tabla_vida!$X$242)*E2_tabla_vida!$P$242,EXP(-C259*E2_tabla_vida!$X$243)*E2_tabla_vida!$P$243,EXP(-C259*E2_tabla_vida!$X$244)*E2_tabla_vida!$P$244,EXP(-C259*E2_tabla_vida!$X$245)*E2_tabla_vida!$P$245,EXP(-C259*E2_tabla_vida!$X$246)*E2_tabla_vida!$P$246,EXP(-C259*E2_tabla_vida!$X$247)*E2_tabla_vida!$P$247,EXP(-C259*E2_tabla_vida!$X$248)*E2_tabla_vida!$P$248,EXP(-C259*E2_tabla_vida!$X$249)*E2_tabla_vida!$P$249,EXP(-C259*E2_tabla_vida!$X$250)*E2_tabla_vida!$P$250,EXP(-C259*E2_tabla_vida!$X$251)*E2_tabla_vida!$P$251,EXP(-C259*E2_tabla_vida!$X$252)*E2_tabla_vida!$P$252,EXP(-C259*E2_tabla_vida!$X$253)*E2_tabla_vida!$P$253)-1</x:f>
        <x:v>1.6573871342018265e-7</x:v>
      </x:c>
      <x:c r="H259" s="24" t="n">
        <x:f>SUM(EXP(-D259*E2_tabla_vida!$X$212)*E2_tabla_vida!$P$212,EXP(-D259*E2_tabla_vida!$X$213)*E2_tabla_vida!$P$213,EXP(-D259*E2_tabla_vida!$X$214)*E2_tabla_vida!$P$214,EXP(-D259*E2_tabla_vida!$X$215)*E2_tabla_vida!$P$215,EXP(-D259*E2_tabla_vida!$X$216)*E2_tabla_vida!$P$216,EXP(-D259*E2_tabla_vida!$X$217)*E2_tabla_vida!$P$217,EXP(-D259*E2_tabla_vida!$X$218)*E2_tabla_vida!$P$218,EXP(-D259*E2_tabla_vida!$X$219)*E2_tabla_vida!$P$219,EXP(-D259*E2_tabla_vida!$X$220)*E2_tabla_vida!$P$220,EXP(-D259*E2_tabla_vida!$X$221)*E2_tabla_vida!$P$221,EXP(-D259*E2_tabla_vida!$X$222)*E2_tabla_vida!$P$222,EXP(-D259*E2_tabla_vida!$X$223)*E2_tabla_vida!$P$223,EXP(-D259*E2_tabla_vida!$X$224)*E2_tabla_vida!$P$224,EXP(-D259*E2_tabla_vida!$X$225)*E2_tabla_vida!$P$225,EXP(-D259*E2_tabla_vida!$X$226)*E2_tabla_vida!$P$226,EXP(-D259*E2_tabla_vida!$X$227)*E2_tabla_vida!$P$227,EXP(-D259*E2_tabla_vida!$X$228)*E2_tabla_vida!$P$228,EXP(-D259*E2_tabla_vida!$X$229)*E2_tabla_vida!$P$229,EXP(-D259*E2_tabla_vida!$X$230)*E2_tabla_vida!$P$230,EXP(-D259*E2_tabla_vida!$X$231)*E2_tabla_vida!$P$231,EXP(-D259*E2_tabla_vida!$X$232)*E2_tabla_vida!$P$232,EXP(-D259*E2_tabla_vida!$X$233)*E2_tabla_vida!$P$233,EXP(-D259*E2_tabla_vida!$X$234)*E2_tabla_vida!$P$234,EXP(-D259*E2_tabla_vida!$X$235)*E2_tabla_vida!$P$235,EXP(-D259*E2_tabla_vida!$X$236)*E2_tabla_vida!$P$236,EXP(-D259*E2_tabla_vida!$X$237)*E2_tabla_vida!$P$237,EXP(-D259*E2_tabla_vida!$X$238)*E2_tabla_vida!$P$238,EXP(-D259*E2_tabla_vida!$X$239)*E2_tabla_vida!$P$239,EXP(-D259*E2_tabla_vida!$X$240)*E2_tabla_vida!$P$240,EXP(-D259*E2_tabla_vida!$X$241)*E2_tabla_vida!$P$241,EXP(-D259*E2_tabla_vida!$X$242)*E2_tabla_vida!$P$242,EXP(-D259*E2_tabla_vida!$X$243)*E2_tabla_vida!$P$243,EXP(-D259*E2_tabla_vida!$X$244)*E2_tabla_vida!$P$244,EXP(-D259*E2_tabla_vida!$X$245)*E2_tabla_vida!$P$245,EXP(-D259*E2_tabla_vida!$X$246)*E2_tabla_vida!$P$246,EXP(-D259*E2_tabla_vida!$X$247)*E2_tabla_vida!$P$247,EXP(-D259*E2_tabla_vida!$X$248)*E2_tabla_vida!$P$248,EXP(-D259*E2_tabla_vida!$X$249)*E2_tabla_vida!$P$249,EXP(-D259*E2_tabla_vida!$X$250)*E2_tabla_vida!$P$250,EXP(-D259*E2_tabla_vida!$X$251)*E2_tabla_vida!$P$251,EXP(-D259*E2_tabla_vida!$X$252)*E2_tabla_vida!$P$252,EXP(-D259*E2_tabla_vida!$X$253)*E2_tabla_vida!$P$253)-1</x:f>
        <x:v>-1.7634472393446288e-7</x:v>
      </x:c>
    </x:row>
    <x:row r="260" ht="19" customHeight="1">
      <x:c r="A260" s="2" t="str">
        <x:v>BB_L7</x:v>
      </x:c>
      <x:c r="B260" s="2" t="n">
        <x:v>28</x:v>
      </x:c>
      <x:c r="C260" s="22" t="n">
        <x:f>IF(F259&gt;0,E259,C259)</x:f>
        <x:v>0.21084532886743546</x:v>
      </x:c>
      <x:c r="D260" s="22" t="n">
        <x:f>IF(F259&gt;0,D259,E259)</x:f>
        <x:v>0.21084534004330635</x:v>
      </x:c>
      <x:c r="E260" s="22" t="n">
        <x:f>AVERAGE(C260:D260)</x:f>
        <x:v>0.2108453344553709</x:v>
      </x:c>
      <x:c r="F260" s="24" t="n">
        <x:f>SUM(EXP(-E260*E2_tabla_vida!$X$212)*E2_tabla_vida!$P$212,EXP(-E260*E2_tabla_vida!$X$213)*E2_tabla_vida!$P$213,EXP(-E260*E2_tabla_vida!$X$214)*E2_tabla_vida!$P$214,EXP(-E260*E2_tabla_vida!$X$215)*E2_tabla_vida!$P$215,EXP(-E260*E2_tabla_vida!$X$216)*E2_tabla_vida!$P$216,EXP(-E260*E2_tabla_vida!$X$217)*E2_tabla_vida!$P$217,EXP(-E260*E2_tabla_vida!$X$218)*E2_tabla_vida!$P$218,EXP(-E260*E2_tabla_vida!$X$219)*E2_tabla_vida!$P$219,EXP(-E260*E2_tabla_vida!$X$220)*E2_tabla_vida!$P$220,EXP(-E260*E2_tabla_vida!$X$221)*E2_tabla_vida!$P$221,EXP(-E260*E2_tabla_vida!$X$222)*E2_tabla_vida!$P$222,EXP(-E260*E2_tabla_vida!$X$223)*E2_tabla_vida!$P$223,EXP(-E260*E2_tabla_vida!$X$224)*E2_tabla_vida!$P$224,EXP(-E260*E2_tabla_vida!$X$225)*E2_tabla_vida!$P$225,EXP(-E260*E2_tabla_vida!$X$226)*E2_tabla_vida!$P$226,EXP(-E260*E2_tabla_vida!$X$227)*E2_tabla_vida!$P$227,EXP(-E260*E2_tabla_vida!$X$228)*E2_tabla_vida!$P$228,EXP(-E260*E2_tabla_vida!$X$229)*E2_tabla_vida!$P$229,EXP(-E260*E2_tabla_vida!$X$230)*E2_tabla_vida!$P$230,EXP(-E260*E2_tabla_vida!$X$231)*E2_tabla_vida!$P$231,EXP(-E260*E2_tabla_vida!$X$232)*E2_tabla_vida!$P$232,EXP(-E260*E2_tabla_vida!$X$233)*E2_tabla_vida!$P$233,EXP(-E260*E2_tabla_vida!$X$234)*E2_tabla_vida!$P$234,EXP(-E260*E2_tabla_vida!$X$235)*E2_tabla_vida!$P$235,EXP(-E260*E2_tabla_vida!$X$236)*E2_tabla_vida!$P$236,EXP(-E260*E2_tabla_vida!$X$237)*E2_tabla_vida!$P$237,EXP(-E260*E2_tabla_vida!$X$238)*E2_tabla_vida!$P$238,EXP(-E260*E2_tabla_vida!$X$239)*E2_tabla_vida!$P$239,EXP(-E260*E2_tabla_vida!$X$240)*E2_tabla_vida!$P$240,EXP(-E260*E2_tabla_vida!$X$241)*E2_tabla_vida!$P$241,EXP(-E260*E2_tabla_vida!$X$242)*E2_tabla_vida!$P$242,EXP(-E260*E2_tabla_vida!$X$243)*E2_tabla_vida!$P$243,EXP(-E260*E2_tabla_vida!$X$244)*E2_tabla_vida!$P$244,EXP(-E260*E2_tabla_vida!$X$245)*E2_tabla_vida!$P$245,EXP(-E260*E2_tabla_vida!$X$246)*E2_tabla_vida!$P$246,EXP(-E260*E2_tabla_vida!$X$247)*E2_tabla_vida!$P$247,EXP(-E260*E2_tabla_vida!$X$248)*E2_tabla_vida!$P$248,EXP(-E260*E2_tabla_vida!$X$249)*E2_tabla_vida!$P$249,EXP(-E260*E2_tabla_vida!$X$250)*E2_tabla_vida!$P$250,EXP(-E260*E2_tabla_vida!$X$251)*E2_tabla_vida!$P$251,EXP(-E260*E2_tabla_vida!$X$252)*E2_tabla_vida!$P$252,EXP(-E260*E2_tabla_vida!$X$253)*E2_tabla_vida!$P$253)-1</x:f>
        <x:v>8.021784259071296e-8</x:v>
      </x:c>
      <x:c r="G260" s="24" t="n">
        <x:f>SUM(EXP(-C260*E2_tabla_vida!$X$212)*E2_tabla_vida!$P$212,EXP(-C260*E2_tabla_vida!$X$213)*E2_tabla_vida!$P$213,EXP(-C260*E2_tabla_vida!$X$214)*E2_tabla_vida!$P$214,EXP(-C260*E2_tabla_vida!$X$215)*E2_tabla_vida!$P$215,EXP(-C260*E2_tabla_vida!$X$216)*E2_tabla_vida!$P$216,EXP(-C260*E2_tabla_vida!$X$217)*E2_tabla_vida!$P$217,EXP(-C260*E2_tabla_vida!$X$218)*E2_tabla_vida!$P$218,EXP(-C260*E2_tabla_vida!$X$219)*E2_tabla_vida!$P$219,EXP(-C260*E2_tabla_vida!$X$220)*E2_tabla_vida!$P$220,EXP(-C260*E2_tabla_vida!$X$221)*E2_tabla_vida!$P$221,EXP(-C260*E2_tabla_vida!$X$222)*E2_tabla_vida!$P$222,EXP(-C260*E2_tabla_vida!$X$223)*E2_tabla_vida!$P$223,EXP(-C260*E2_tabla_vida!$X$224)*E2_tabla_vida!$P$224,EXP(-C260*E2_tabla_vida!$X$225)*E2_tabla_vida!$P$225,EXP(-C260*E2_tabla_vida!$X$226)*E2_tabla_vida!$P$226,EXP(-C260*E2_tabla_vida!$X$227)*E2_tabla_vida!$P$227,EXP(-C260*E2_tabla_vida!$X$228)*E2_tabla_vida!$P$228,EXP(-C260*E2_tabla_vida!$X$229)*E2_tabla_vida!$P$229,EXP(-C260*E2_tabla_vida!$X$230)*E2_tabla_vida!$P$230,EXP(-C260*E2_tabla_vida!$X$231)*E2_tabla_vida!$P$231,EXP(-C260*E2_tabla_vida!$X$232)*E2_tabla_vida!$P$232,EXP(-C260*E2_tabla_vida!$X$233)*E2_tabla_vida!$P$233,EXP(-C260*E2_tabla_vida!$X$234)*E2_tabla_vida!$P$234,EXP(-C260*E2_tabla_vida!$X$235)*E2_tabla_vida!$P$235,EXP(-C260*E2_tabla_vida!$X$236)*E2_tabla_vida!$P$236,EXP(-C260*E2_tabla_vida!$X$237)*E2_tabla_vida!$P$237,EXP(-C260*E2_tabla_vida!$X$238)*E2_tabla_vida!$P$238,EXP(-C260*E2_tabla_vida!$X$239)*E2_tabla_vida!$P$239,EXP(-C260*E2_tabla_vida!$X$240)*E2_tabla_vida!$P$240,EXP(-C260*E2_tabla_vida!$X$241)*E2_tabla_vida!$P$241,EXP(-C260*E2_tabla_vida!$X$242)*E2_tabla_vida!$P$242,EXP(-C260*E2_tabla_vida!$X$243)*E2_tabla_vida!$P$243,EXP(-C260*E2_tabla_vida!$X$244)*E2_tabla_vida!$P$244,EXP(-C260*E2_tabla_vida!$X$245)*E2_tabla_vida!$P$245,EXP(-C260*E2_tabla_vida!$X$246)*E2_tabla_vida!$P$246,EXP(-C260*E2_tabla_vida!$X$247)*E2_tabla_vida!$P$247,EXP(-C260*E2_tabla_vida!$X$248)*E2_tabla_vida!$P$248,EXP(-C260*E2_tabla_vida!$X$249)*E2_tabla_vida!$P$249,EXP(-C260*E2_tabla_vida!$X$250)*E2_tabla_vida!$P$250,EXP(-C260*E2_tabla_vida!$X$251)*E2_tabla_vida!$P$251,EXP(-C260*E2_tabla_vida!$X$252)*E2_tabla_vida!$P$252,EXP(-C260*E2_tabla_vida!$X$253)*E2_tabla_vida!$P$253)-1</x:f>
        <x:v>1.6573871342018265e-7</x:v>
      </x:c>
      <x:c r="H260" s="24" t="n">
        <x:f>SUM(EXP(-D260*E2_tabla_vida!$X$212)*E2_tabla_vida!$P$212,EXP(-D260*E2_tabla_vida!$X$213)*E2_tabla_vida!$P$213,EXP(-D260*E2_tabla_vida!$X$214)*E2_tabla_vida!$P$214,EXP(-D260*E2_tabla_vida!$X$215)*E2_tabla_vida!$P$215,EXP(-D260*E2_tabla_vida!$X$216)*E2_tabla_vida!$P$216,EXP(-D260*E2_tabla_vida!$X$217)*E2_tabla_vida!$P$217,EXP(-D260*E2_tabla_vida!$X$218)*E2_tabla_vida!$P$218,EXP(-D260*E2_tabla_vida!$X$219)*E2_tabla_vida!$P$219,EXP(-D260*E2_tabla_vida!$X$220)*E2_tabla_vida!$P$220,EXP(-D260*E2_tabla_vida!$X$221)*E2_tabla_vida!$P$221,EXP(-D260*E2_tabla_vida!$X$222)*E2_tabla_vida!$P$222,EXP(-D260*E2_tabla_vida!$X$223)*E2_tabla_vida!$P$223,EXP(-D260*E2_tabla_vida!$X$224)*E2_tabla_vida!$P$224,EXP(-D260*E2_tabla_vida!$X$225)*E2_tabla_vida!$P$225,EXP(-D260*E2_tabla_vida!$X$226)*E2_tabla_vida!$P$226,EXP(-D260*E2_tabla_vida!$X$227)*E2_tabla_vida!$P$227,EXP(-D260*E2_tabla_vida!$X$228)*E2_tabla_vida!$P$228,EXP(-D260*E2_tabla_vida!$X$229)*E2_tabla_vida!$P$229,EXP(-D260*E2_tabla_vida!$X$230)*E2_tabla_vida!$P$230,EXP(-D260*E2_tabla_vida!$X$231)*E2_tabla_vida!$P$231,EXP(-D260*E2_tabla_vida!$X$232)*E2_tabla_vida!$P$232,EXP(-D260*E2_tabla_vida!$X$233)*E2_tabla_vida!$P$233,EXP(-D260*E2_tabla_vida!$X$234)*E2_tabla_vida!$P$234,EXP(-D260*E2_tabla_vida!$X$235)*E2_tabla_vida!$P$235,EXP(-D260*E2_tabla_vida!$X$236)*E2_tabla_vida!$P$236,EXP(-D260*E2_tabla_vida!$X$237)*E2_tabla_vida!$P$237,EXP(-D260*E2_tabla_vida!$X$238)*E2_tabla_vida!$P$238,EXP(-D260*E2_tabla_vida!$X$239)*E2_tabla_vida!$P$239,EXP(-D260*E2_tabla_vida!$X$240)*E2_tabla_vida!$P$240,EXP(-D260*E2_tabla_vida!$X$241)*E2_tabla_vida!$P$241,EXP(-D260*E2_tabla_vida!$X$242)*E2_tabla_vida!$P$242,EXP(-D260*E2_tabla_vida!$X$243)*E2_tabla_vida!$P$243,EXP(-D260*E2_tabla_vida!$X$244)*E2_tabla_vida!$P$244,EXP(-D260*E2_tabla_vida!$X$245)*E2_tabla_vida!$P$245,EXP(-D260*E2_tabla_vida!$X$246)*E2_tabla_vida!$P$246,EXP(-D260*E2_tabla_vida!$X$247)*E2_tabla_vida!$P$247,EXP(-D260*E2_tabla_vida!$X$248)*E2_tabla_vida!$P$248,EXP(-D260*E2_tabla_vida!$X$249)*E2_tabla_vida!$P$249,EXP(-D260*E2_tabla_vida!$X$250)*E2_tabla_vida!$P$250,EXP(-D260*E2_tabla_vida!$X$251)*E2_tabla_vida!$P$251,EXP(-D260*E2_tabla_vida!$X$252)*E2_tabla_vida!$P$252,EXP(-D260*E2_tabla_vida!$X$253)*E2_tabla_vida!$P$253)-1</x:f>
        <x:v>-5.303020800262459e-9</x:v>
      </x:c>
    </x:row>
    <x:row r="261" ht="19" customHeight="1">
      <x:c r="A261" s="2" t="str">
        <x:v>BB_L7</x:v>
      </x:c>
      <x:c r="B261" s="2" t="n">
        <x:v>29</x:v>
      </x:c>
      <x:c r="C261" s="22" t="n">
        <x:f>IF(F260&gt;0,E260,C260)</x:f>
        <x:v>0.2108453344553709</x:v>
      </x:c>
      <x:c r="D261" s="22" t="n">
        <x:f>IF(F260&gt;0,D260,E260)</x:f>
        <x:v>0.21084534004330635</x:v>
      </x:c>
      <x:c r="E261" s="22" t="n">
        <x:f>AVERAGE(C261:D261)</x:f>
        <x:v>0.21084533724933863</x:v>
      </x:c>
      <x:c r="F261" s="24" t="n">
        <x:f>SUM(EXP(-E261*E2_tabla_vida!$X$212)*E2_tabla_vida!$P$212,EXP(-E261*E2_tabla_vida!$X$213)*E2_tabla_vida!$P$213,EXP(-E261*E2_tabla_vida!$X$214)*E2_tabla_vida!$P$214,EXP(-E261*E2_tabla_vida!$X$215)*E2_tabla_vida!$P$215,EXP(-E261*E2_tabla_vida!$X$216)*E2_tabla_vida!$P$216,EXP(-E261*E2_tabla_vida!$X$217)*E2_tabla_vida!$P$217,EXP(-E261*E2_tabla_vida!$X$218)*E2_tabla_vida!$P$218,EXP(-E261*E2_tabla_vida!$X$219)*E2_tabla_vida!$P$219,EXP(-E261*E2_tabla_vida!$X$220)*E2_tabla_vida!$P$220,EXP(-E261*E2_tabla_vida!$X$221)*E2_tabla_vida!$P$221,EXP(-E261*E2_tabla_vida!$X$222)*E2_tabla_vida!$P$222,EXP(-E261*E2_tabla_vida!$X$223)*E2_tabla_vida!$P$223,EXP(-E261*E2_tabla_vida!$X$224)*E2_tabla_vida!$P$224,EXP(-E261*E2_tabla_vida!$X$225)*E2_tabla_vida!$P$225,EXP(-E261*E2_tabla_vida!$X$226)*E2_tabla_vida!$P$226,EXP(-E261*E2_tabla_vida!$X$227)*E2_tabla_vida!$P$227,EXP(-E261*E2_tabla_vida!$X$228)*E2_tabla_vida!$P$228,EXP(-E261*E2_tabla_vida!$X$229)*E2_tabla_vida!$P$229,EXP(-E261*E2_tabla_vida!$X$230)*E2_tabla_vida!$P$230,EXP(-E261*E2_tabla_vida!$X$231)*E2_tabla_vida!$P$231,EXP(-E261*E2_tabla_vida!$X$232)*E2_tabla_vida!$P$232,EXP(-E261*E2_tabla_vida!$X$233)*E2_tabla_vida!$P$233,EXP(-E261*E2_tabla_vida!$X$234)*E2_tabla_vida!$P$234,EXP(-E261*E2_tabla_vida!$X$235)*E2_tabla_vida!$P$235,EXP(-E261*E2_tabla_vida!$X$236)*E2_tabla_vida!$P$236,EXP(-E261*E2_tabla_vida!$X$237)*E2_tabla_vida!$P$237,EXP(-E261*E2_tabla_vida!$X$238)*E2_tabla_vida!$P$238,EXP(-E261*E2_tabla_vida!$X$239)*E2_tabla_vida!$P$239,EXP(-E261*E2_tabla_vida!$X$240)*E2_tabla_vida!$P$240,EXP(-E261*E2_tabla_vida!$X$241)*E2_tabla_vida!$P$241,EXP(-E261*E2_tabla_vida!$X$242)*E2_tabla_vida!$P$242,EXP(-E261*E2_tabla_vida!$X$243)*E2_tabla_vida!$P$243,EXP(-E261*E2_tabla_vida!$X$244)*E2_tabla_vida!$P$244,EXP(-E261*E2_tabla_vida!$X$245)*E2_tabla_vida!$P$245,EXP(-E261*E2_tabla_vida!$X$246)*E2_tabla_vida!$P$246,EXP(-E261*E2_tabla_vida!$X$247)*E2_tabla_vida!$P$247,EXP(-E261*E2_tabla_vida!$X$248)*E2_tabla_vida!$P$248,EXP(-E261*E2_tabla_vida!$X$249)*E2_tabla_vida!$P$249,EXP(-E261*E2_tabla_vida!$X$250)*E2_tabla_vida!$P$250,EXP(-E261*E2_tabla_vida!$X$251)*E2_tabla_vida!$P$251,EXP(-E261*E2_tabla_vida!$X$252)*E2_tabla_vida!$P$252,EXP(-E261*E2_tabla_vida!$X$253)*E2_tabla_vida!$P$253)-1</x:f>
        <x:v>3.745740984051338e-8</x:v>
      </x:c>
      <x:c r="G261" s="24" t="n">
        <x:f>SUM(EXP(-C261*E2_tabla_vida!$X$212)*E2_tabla_vida!$P$212,EXP(-C261*E2_tabla_vida!$X$213)*E2_tabla_vida!$P$213,EXP(-C261*E2_tabla_vida!$X$214)*E2_tabla_vida!$P$214,EXP(-C261*E2_tabla_vida!$X$215)*E2_tabla_vida!$P$215,EXP(-C261*E2_tabla_vida!$X$216)*E2_tabla_vida!$P$216,EXP(-C261*E2_tabla_vida!$X$217)*E2_tabla_vida!$P$217,EXP(-C261*E2_tabla_vida!$X$218)*E2_tabla_vida!$P$218,EXP(-C261*E2_tabla_vida!$X$219)*E2_tabla_vida!$P$219,EXP(-C261*E2_tabla_vida!$X$220)*E2_tabla_vida!$P$220,EXP(-C261*E2_tabla_vida!$X$221)*E2_tabla_vida!$P$221,EXP(-C261*E2_tabla_vida!$X$222)*E2_tabla_vida!$P$222,EXP(-C261*E2_tabla_vida!$X$223)*E2_tabla_vida!$P$223,EXP(-C261*E2_tabla_vida!$X$224)*E2_tabla_vida!$P$224,EXP(-C261*E2_tabla_vida!$X$225)*E2_tabla_vida!$P$225,EXP(-C261*E2_tabla_vida!$X$226)*E2_tabla_vida!$P$226,EXP(-C261*E2_tabla_vida!$X$227)*E2_tabla_vida!$P$227,EXP(-C261*E2_tabla_vida!$X$228)*E2_tabla_vida!$P$228,EXP(-C261*E2_tabla_vida!$X$229)*E2_tabla_vida!$P$229,EXP(-C261*E2_tabla_vida!$X$230)*E2_tabla_vida!$P$230,EXP(-C261*E2_tabla_vida!$X$231)*E2_tabla_vida!$P$231,EXP(-C261*E2_tabla_vida!$X$232)*E2_tabla_vida!$P$232,EXP(-C261*E2_tabla_vida!$X$233)*E2_tabla_vida!$P$233,EXP(-C261*E2_tabla_vida!$X$234)*E2_tabla_vida!$P$234,EXP(-C261*E2_tabla_vida!$X$235)*E2_tabla_vida!$P$235,EXP(-C261*E2_tabla_vida!$X$236)*E2_tabla_vida!$P$236,EXP(-C261*E2_tabla_vida!$X$237)*E2_tabla_vida!$P$237,EXP(-C261*E2_tabla_vida!$X$238)*E2_tabla_vida!$P$238,EXP(-C261*E2_tabla_vida!$X$239)*E2_tabla_vida!$P$239,EXP(-C261*E2_tabla_vida!$X$240)*E2_tabla_vida!$P$240,EXP(-C261*E2_tabla_vida!$X$241)*E2_tabla_vida!$P$241,EXP(-C261*E2_tabla_vida!$X$242)*E2_tabla_vida!$P$242,EXP(-C261*E2_tabla_vida!$X$243)*E2_tabla_vida!$P$243,EXP(-C261*E2_tabla_vida!$X$244)*E2_tabla_vida!$P$244,EXP(-C261*E2_tabla_vida!$X$245)*E2_tabla_vida!$P$245,EXP(-C261*E2_tabla_vida!$X$246)*E2_tabla_vida!$P$246,EXP(-C261*E2_tabla_vida!$X$247)*E2_tabla_vida!$P$247,EXP(-C261*E2_tabla_vida!$X$248)*E2_tabla_vida!$P$248,EXP(-C261*E2_tabla_vida!$X$249)*E2_tabla_vida!$P$249,EXP(-C261*E2_tabla_vida!$X$250)*E2_tabla_vida!$P$250,EXP(-C261*E2_tabla_vida!$X$251)*E2_tabla_vida!$P$251,EXP(-C261*E2_tabla_vida!$X$252)*E2_tabla_vida!$P$252,EXP(-C261*E2_tabla_vida!$X$253)*E2_tabla_vida!$P$253)-1</x:f>
        <x:v>8.021784259071296e-8</x:v>
      </x:c>
      <x:c r="H261" s="24" t="n">
        <x:f>SUM(EXP(-D261*E2_tabla_vida!$X$212)*E2_tabla_vida!$P$212,EXP(-D261*E2_tabla_vida!$X$213)*E2_tabla_vida!$P$213,EXP(-D261*E2_tabla_vida!$X$214)*E2_tabla_vida!$P$214,EXP(-D261*E2_tabla_vida!$X$215)*E2_tabla_vida!$P$215,EXP(-D261*E2_tabla_vida!$X$216)*E2_tabla_vida!$P$216,EXP(-D261*E2_tabla_vida!$X$217)*E2_tabla_vida!$P$217,EXP(-D261*E2_tabla_vida!$X$218)*E2_tabla_vida!$P$218,EXP(-D261*E2_tabla_vida!$X$219)*E2_tabla_vida!$P$219,EXP(-D261*E2_tabla_vida!$X$220)*E2_tabla_vida!$P$220,EXP(-D261*E2_tabla_vida!$X$221)*E2_tabla_vida!$P$221,EXP(-D261*E2_tabla_vida!$X$222)*E2_tabla_vida!$P$222,EXP(-D261*E2_tabla_vida!$X$223)*E2_tabla_vida!$P$223,EXP(-D261*E2_tabla_vida!$X$224)*E2_tabla_vida!$P$224,EXP(-D261*E2_tabla_vida!$X$225)*E2_tabla_vida!$P$225,EXP(-D261*E2_tabla_vida!$X$226)*E2_tabla_vida!$P$226,EXP(-D261*E2_tabla_vida!$X$227)*E2_tabla_vida!$P$227,EXP(-D261*E2_tabla_vida!$X$228)*E2_tabla_vida!$P$228,EXP(-D261*E2_tabla_vida!$X$229)*E2_tabla_vida!$P$229,EXP(-D261*E2_tabla_vida!$X$230)*E2_tabla_vida!$P$230,EXP(-D261*E2_tabla_vida!$X$231)*E2_tabla_vida!$P$231,EXP(-D261*E2_tabla_vida!$X$232)*E2_tabla_vida!$P$232,EXP(-D261*E2_tabla_vida!$X$233)*E2_tabla_vida!$P$233,EXP(-D261*E2_tabla_vida!$X$234)*E2_tabla_vida!$P$234,EXP(-D261*E2_tabla_vida!$X$235)*E2_tabla_vida!$P$235,EXP(-D261*E2_tabla_vida!$X$236)*E2_tabla_vida!$P$236,EXP(-D261*E2_tabla_vida!$X$237)*E2_tabla_vida!$P$237,EXP(-D261*E2_tabla_vida!$X$238)*E2_tabla_vida!$P$238,EXP(-D261*E2_tabla_vida!$X$239)*E2_tabla_vida!$P$239,EXP(-D261*E2_tabla_vida!$X$240)*E2_tabla_vida!$P$240,EXP(-D261*E2_tabla_vida!$X$241)*E2_tabla_vida!$P$241,EXP(-D261*E2_tabla_vida!$X$242)*E2_tabla_vida!$P$242,EXP(-D261*E2_tabla_vida!$X$243)*E2_tabla_vida!$P$243,EXP(-D261*E2_tabla_vida!$X$244)*E2_tabla_vida!$P$244,EXP(-D261*E2_tabla_vida!$X$245)*E2_tabla_vida!$P$245,EXP(-D261*E2_tabla_vida!$X$246)*E2_tabla_vida!$P$246,EXP(-D261*E2_tabla_vida!$X$247)*E2_tabla_vida!$P$247,EXP(-D261*E2_tabla_vida!$X$248)*E2_tabla_vida!$P$248,EXP(-D261*E2_tabla_vida!$X$249)*E2_tabla_vida!$P$249,EXP(-D261*E2_tabla_vida!$X$250)*E2_tabla_vida!$P$250,EXP(-D261*E2_tabla_vida!$X$251)*E2_tabla_vida!$P$251,EXP(-D261*E2_tabla_vida!$X$252)*E2_tabla_vida!$P$252,EXP(-D261*E2_tabla_vida!$X$253)*E2_tabla_vida!$P$253)-1</x:f>
        <x:v>-5.303020800262459e-9</x:v>
      </x:c>
    </x:row>
    <x:row r="262" ht="19" customHeight="1">
      <x:c r="A262" s="2" t="str">
        <x:v>BB_L7</x:v>
      </x:c>
      <x:c r="B262" s="2" t="n">
        <x:v>30</x:v>
      </x:c>
      <x:c r="C262" s="22" t="n">
        <x:f>IF(F261&gt;0,E261,C261)</x:f>
        <x:v>0.21084533724933863</x:v>
      </x:c>
      <x:c r="D262" s="22" t="n">
        <x:f>IF(F261&gt;0,D261,E261)</x:f>
        <x:v>0.21084534004330635</x:v>
      </x:c>
      <x:c r="E262" s="22" t="n">
        <x:f>AVERAGE(C262:D262)</x:f>
        <x:v>0.2108453386463225</x:v>
      </x:c>
      <x:c r="F262" s="24" t="n">
        <x:f>SUM(EXP(-E262*E2_tabla_vida!$X$212)*E2_tabla_vida!$P$212,EXP(-E262*E2_tabla_vida!$X$213)*E2_tabla_vida!$P$213,EXP(-E262*E2_tabla_vida!$X$214)*E2_tabla_vida!$P$214,EXP(-E262*E2_tabla_vida!$X$215)*E2_tabla_vida!$P$215,EXP(-E262*E2_tabla_vida!$X$216)*E2_tabla_vida!$P$216,EXP(-E262*E2_tabla_vida!$X$217)*E2_tabla_vida!$P$217,EXP(-E262*E2_tabla_vida!$X$218)*E2_tabla_vida!$P$218,EXP(-E262*E2_tabla_vida!$X$219)*E2_tabla_vida!$P$219,EXP(-E262*E2_tabla_vida!$X$220)*E2_tabla_vida!$P$220,EXP(-E262*E2_tabla_vida!$X$221)*E2_tabla_vida!$P$221,EXP(-E262*E2_tabla_vida!$X$222)*E2_tabla_vida!$P$222,EXP(-E262*E2_tabla_vida!$X$223)*E2_tabla_vida!$P$223,EXP(-E262*E2_tabla_vida!$X$224)*E2_tabla_vida!$P$224,EXP(-E262*E2_tabla_vida!$X$225)*E2_tabla_vida!$P$225,EXP(-E262*E2_tabla_vida!$X$226)*E2_tabla_vida!$P$226,EXP(-E262*E2_tabla_vida!$X$227)*E2_tabla_vida!$P$227,EXP(-E262*E2_tabla_vida!$X$228)*E2_tabla_vida!$P$228,EXP(-E262*E2_tabla_vida!$X$229)*E2_tabla_vida!$P$229,EXP(-E262*E2_tabla_vida!$X$230)*E2_tabla_vida!$P$230,EXP(-E262*E2_tabla_vida!$X$231)*E2_tabla_vida!$P$231,EXP(-E262*E2_tabla_vida!$X$232)*E2_tabla_vida!$P$232,EXP(-E262*E2_tabla_vida!$X$233)*E2_tabla_vida!$P$233,EXP(-E262*E2_tabla_vida!$X$234)*E2_tabla_vida!$P$234,EXP(-E262*E2_tabla_vida!$X$235)*E2_tabla_vida!$P$235,EXP(-E262*E2_tabla_vida!$X$236)*E2_tabla_vida!$P$236,EXP(-E262*E2_tabla_vida!$X$237)*E2_tabla_vida!$P$237,EXP(-E262*E2_tabla_vida!$X$238)*E2_tabla_vida!$P$238,EXP(-E262*E2_tabla_vida!$X$239)*E2_tabla_vida!$P$239,EXP(-E262*E2_tabla_vida!$X$240)*E2_tabla_vida!$P$240,EXP(-E262*E2_tabla_vida!$X$241)*E2_tabla_vida!$P$241,EXP(-E262*E2_tabla_vida!$X$242)*E2_tabla_vida!$P$242,EXP(-E262*E2_tabla_vida!$X$243)*E2_tabla_vida!$P$243,EXP(-E262*E2_tabla_vida!$X$244)*E2_tabla_vida!$P$244,EXP(-E262*E2_tabla_vida!$X$245)*E2_tabla_vida!$P$245,EXP(-E262*E2_tabla_vida!$X$246)*E2_tabla_vida!$P$246,EXP(-E262*E2_tabla_vida!$X$247)*E2_tabla_vida!$P$247,EXP(-E262*E2_tabla_vida!$X$248)*E2_tabla_vida!$P$248,EXP(-E262*E2_tabla_vida!$X$249)*E2_tabla_vida!$P$249,EXP(-E262*E2_tabla_vida!$X$250)*E2_tabla_vida!$P$250,EXP(-E262*E2_tabla_vida!$X$251)*E2_tabla_vida!$P$251,EXP(-E262*E2_tabla_vida!$X$252)*E2_tabla_vida!$P$252,EXP(-E262*E2_tabla_vida!$X$253)*E2_tabla_vida!$P$253)-1</x:f>
        <x:v>1.6077194242569703e-8</x:v>
      </x:c>
      <x:c r="G262" s="24" t="n">
        <x:f>SUM(EXP(-C262*E2_tabla_vida!$X$212)*E2_tabla_vida!$P$212,EXP(-C262*E2_tabla_vida!$X$213)*E2_tabla_vida!$P$213,EXP(-C262*E2_tabla_vida!$X$214)*E2_tabla_vida!$P$214,EXP(-C262*E2_tabla_vida!$X$215)*E2_tabla_vida!$P$215,EXP(-C262*E2_tabla_vida!$X$216)*E2_tabla_vida!$P$216,EXP(-C262*E2_tabla_vida!$X$217)*E2_tabla_vida!$P$217,EXP(-C262*E2_tabla_vida!$X$218)*E2_tabla_vida!$P$218,EXP(-C262*E2_tabla_vida!$X$219)*E2_tabla_vida!$P$219,EXP(-C262*E2_tabla_vida!$X$220)*E2_tabla_vida!$P$220,EXP(-C262*E2_tabla_vida!$X$221)*E2_tabla_vida!$P$221,EXP(-C262*E2_tabla_vida!$X$222)*E2_tabla_vida!$P$222,EXP(-C262*E2_tabla_vida!$X$223)*E2_tabla_vida!$P$223,EXP(-C262*E2_tabla_vida!$X$224)*E2_tabla_vida!$P$224,EXP(-C262*E2_tabla_vida!$X$225)*E2_tabla_vida!$P$225,EXP(-C262*E2_tabla_vida!$X$226)*E2_tabla_vida!$P$226,EXP(-C262*E2_tabla_vida!$X$227)*E2_tabla_vida!$P$227,EXP(-C262*E2_tabla_vida!$X$228)*E2_tabla_vida!$P$228,EXP(-C262*E2_tabla_vida!$X$229)*E2_tabla_vida!$P$229,EXP(-C262*E2_tabla_vida!$X$230)*E2_tabla_vida!$P$230,EXP(-C262*E2_tabla_vida!$X$231)*E2_tabla_vida!$P$231,EXP(-C262*E2_tabla_vida!$X$232)*E2_tabla_vida!$P$232,EXP(-C262*E2_tabla_vida!$X$233)*E2_tabla_vida!$P$233,EXP(-C262*E2_tabla_vida!$X$234)*E2_tabla_vida!$P$234,EXP(-C262*E2_tabla_vida!$X$235)*E2_tabla_vida!$P$235,EXP(-C262*E2_tabla_vida!$X$236)*E2_tabla_vida!$P$236,EXP(-C262*E2_tabla_vida!$X$237)*E2_tabla_vida!$P$237,EXP(-C262*E2_tabla_vida!$X$238)*E2_tabla_vida!$P$238,EXP(-C262*E2_tabla_vida!$X$239)*E2_tabla_vida!$P$239,EXP(-C262*E2_tabla_vida!$X$240)*E2_tabla_vida!$P$240,EXP(-C262*E2_tabla_vida!$X$241)*E2_tabla_vida!$P$241,EXP(-C262*E2_tabla_vida!$X$242)*E2_tabla_vida!$P$242,EXP(-C262*E2_tabla_vida!$X$243)*E2_tabla_vida!$P$243,EXP(-C262*E2_tabla_vida!$X$244)*E2_tabla_vida!$P$244,EXP(-C262*E2_tabla_vida!$X$245)*E2_tabla_vida!$P$245,EXP(-C262*E2_tabla_vida!$X$246)*E2_tabla_vida!$P$246,EXP(-C262*E2_tabla_vida!$X$247)*E2_tabla_vida!$P$247,EXP(-C262*E2_tabla_vida!$X$248)*E2_tabla_vida!$P$248,EXP(-C262*E2_tabla_vida!$X$249)*E2_tabla_vida!$P$249,EXP(-C262*E2_tabla_vida!$X$250)*E2_tabla_vida!$P$250,EXP(-C262*E2_tabla_vida!$X$251)*E2_tabla_vida!$P$251,EXP(-C262*E2_tabla_vida!$X$252)*E2_tabla_vida!$P$252,EXP(-C262*E2_tabla_vida!$X$253)*E2_tabla_vida!$P$253)-1</x:f>
        <x:v>3.745740984051338e-8</x:v>
      </x:c>
      <x:c r="H262" s="24" t="n">
        <x:f>SUM(EXP(-D262*E2_tabla_vida!$X$212)*E2_tabla_vida!$P$212,EXP(-D262*E2_tabla_vida!$X$213)*E2_tabla_vida!$P$213,EXP(-D262*E2_tabla_vida!$X$214)*E2_tabla_vida!$P$214,EXP(-D262*E2_tabla_vida!$X$215)*E2_tabla_vida!$P$215,EXP(-D262*E2_tabla_vida!$X$216)*E2_tabla_vida!$P$216,EXP(-D262*E2_tabla_vida!$X$217)*E2_tabla_vida!$P$217,EXP(-D262*E2_tabla_vida!$X$218)*E2_tabla_vida!$P$218,EXP(-D262*E2_tabla_vida!$X$219)*E2_tabla_vida!$P$219,EXP(-D262*E2_tabla_vida!$X$220)*E2_tabla_vida!$P$220,EXP(-D262*E2_tabla_vida!$X$221)*E2_tabla_vida!$P$221,EXP(-D262*E2_tabla_vida!$X$222)*E2_tabla_vida!$P$222,EXP(-D262*E2_tabla_vida!$X$223)*E2_tabla_vida!$P$223,EXP(-D262*E2_tabla_vida!$X$224)*E2_tabla_vida!$P$224,EXP(-D262*E2_tabla_vida!$X$225)*E2_tabla_vida!$P$225,EXP(-D262*E2_tabla_vida!$X$226)*E2_tabla_vida!$P$226,EXP(-D262*E2_tabla_vida!$X$227)*E2_tabla_vida!$P$227,EXP(-D262*E2_tabla_vida!$X$228)*E2_tabla_vida!$P$228,EXP(-D262*E2_tabla_vida!$X$229)*E2_tabla_vida!$P$229,EXP(-D262*E2_tabla_vida!$X$230)*E2_tabla_vida!$P$230,EXP(-D262*E2_tabla_vida!$X$231)*E2_tabla_vida!$P$231,EXP(-D262*E2_tabla_vida!$X$232)*E2_tabla_vida!$P$232,EXP(-D262*E2_tabla_vida!$X$233)*E2_tabla_vida!$P$233,EXP(-D262*E2_tabla_vida!$X$234)*E2_tabla_vida!$P$234,EXP(-D262*E2_tabla_vida!$X$235)*E2_tabla_vida!$P$235,EXP(-D262*E2_tabla_vida!$X$236)*E2_tabla_vida!$P$236,EXP(-D262*E2_tabla_vida!$X$237)*E2_tabla_vida!$P$237,EXP(-D262*E2_tabla_vida!$X$238)*E2_tabla_vida!$P$238,EXP(-D262*E2_tabla_vida!$X$239)*E2_tabla_vida!$P$239,EXP(-D262*E2_tabla_vida!$X$240)*E2_tabla_vida!$P$240,EXP(-D262*E2_tabla_vida!$X$241)*E2_tabla_vida!$P$241,EXP(-D262*E2_tabla_vida!$X$242)*E2_tabla_vida!$P$242,EXP(-D262*E2_tabla_vida!$X$243)*E2_tabla_vida!$P$243,EXP(-D262*E2_tabla_vida!$X$244)*E2_tabla_vida!$P$244,EXP(-D262*E2_tabla_vida!$X$245)*E2_tabla_vida!$P$245,EXP(-D262*E2_tabla_vida!$X$246)*E2_tabla_vida!$P$246,EXP(-D262*E2_tabla_vida!$X$247)*E2_tabla_vida!$P$247,EXP(-D262*E2_tabla_vida!$X$248)*E2_tabla_vida!$P$248,EXP(-D262*E2_tabla_vida!$X$249)*E2_tabla_vida!$P$249,EXP(-D262*E2_tabla_vida!$X$250)*E2_tabla_vida!$P$250,EXP(-D262*E2_tabla_vida!$X$251)*E2_tabla_vida!$P$251,EXP(-D262*E2_tabla_vida!$X$252)*E2_tabla_vida!$P$252,EXP(-D262*E2_tabla_vida!$X$253)*E2_tabla_vida!$P$253)-1</x:f>
        <x:v>-5.303020800262459e-9</x:v>
      </x:c>
    </x:row>
    <x:row r="263" ht="19" customHeight="1">
      <x:c r="A263" s="2" t="str">
        <x:v>BB_L7</x:v>
      </x:c>
      <x:c r="B263" s="2" t="n">
        <x:v>31</x:v>
      </x:c>
      <x:c r="C263" s="22" t="n">
        <x:f>IF(F262&gt;0,E262,C262)</x:f>
        <x:v>0.2108453386463225</x:v>
      </x:c>
      <x:c r="D263" s="22" t="n">
        <x:f>IF(F262&gt;0,D262,E262)</x:f>
        <x:v>0.21084534004330635</x:v>
      </x:c>
      <x:c r="E263" s="22" t="n">
        <x:f>AVERAGE(C263:D263)</x:f>
        <x:v>0.21084533934481442</x:v>
      </x:c>
      <x:c r="F263" s="24" t="n">
        <x:f>SUM(EXP(-E263*E2_tabla_vida!$X$212)*E2_tabla_vida!$P$212,EXP(-E263*E2_tabla_vida!$X$213)*E2_tabla_vida!$P$213,EXP(-E263*E2_tabla_vida!$X$214)*E2_tabla_vida!$P$214,EXP(-E263*E2_tabla_vida!$X$215)*E2_tabla_vida!$P$215,EXP(-E263*E2_tabla_vida!$X$216)*E2_tabla_vida!$P$216,EXP(-E263*E2_tabla_vida!$X$217)*E2_tabla_vida!$P$217,EXP(-E263*E2_tabla_vida!$X$218)*E2_tabla_vida!$P$218,EXP(-E263*E2_tabla_vida!$X$219)*E2_tabla_vida!$P$219,EXP(-E263*E2_tabla_vida!$X$220)*E2_tabla_vida!$P$220,EXP(-E263*E2_tabla_vida!$X$221)*E2_tabla_vida!$P$221,EXP(-E263*E2_tabla_vida!$X$222)*E2_tabla_vida!$P$222,EXP(-E263*E2_tabla_vida!$X$223)*E2_tabla_vida!$P$223,EXP(-E263*E2_tabla_vida!$X$224)*E2_tabla_vida!$P$224,EXP(-E263*E2_tabla_vida!$X$225)*E2_tabla_vida!$P$225,EXP(-E263*E2_tabla_vida!$X$226)*E2_tabla_vida!$P$226,EXP(-E263*E2_tabla_vida!$X$227)*E2_tabla_vida!$P$227,EXP(-E263*E2_tabla_vida!$X$228)*E2_tabla_vida!$P$228,EXP(-E263*E2_tabla_vida!$X$229)*E2_tabla_vida!$P$229,EXP(-E263*E2_tabla_vida!$X$230)*E2_tabla_vida!$P$230,EXP(-E263*E2_tabla_vida!$X$231)*E2_tabla_vida!$P$231,EXP(-E263*E2_tabla_vida!$X$232)*E2_tabla_vida!$P$232,EXP(-E263*E2_tabla_vida!$X$233)*E2_tabla_vida!$P$233,EXP(-E263*E2_tabla_vida!$X$234)*E2_tabla_vida!$P$234,EXP(-E263*E2_tabla_vida!$X$235)*E2_tabla_vida!$P$235,EXP(-E263*E2_tabla_vida!$X$236)*E2_tabla_vida!$P$236,EXP(-E263*E2_tabla_vida!$X$237)*E2_tabla_vida!$P$237,EXP(-E263*E2_tabla_vida!$X$238)*E2_tabla_vida!$P$238,EXP(-E263*E2_tabla_vida!$X$239)*E2_tabla_vida!$P$239,EXP(-E263*E2_tabla_vida!$X$240)*E2_tabla_vida!$P$240,EXP(-E263*E2_tabla_vida!$X$241)*E2_tabla_vida!$P$241,EXP(-E263*E2_tabla_vida!$X$242)*E2_tabla_vida!$P$242,EXP(-E263*E2_tabla_vida!$X$243)*E2_tabla_vida!$P$243,EXP(-E263*E2_tabla_vida!$X$244)*E2_tabla_vida!$P$244,EXP(-E263*E2_tabla_vida!$X$245)*E2_tabla_vida!$P$245,EXP(-E263*E2_tabla_vida!$X$246)*E2_tabla_vida!$P$246,EXP(-E263*E2_tabla_vida!$X$247)*E2_tabla_vida!$P$247,EXP(-E263*E2_tabla_vida!$X$248)*E2_tabla_vida!$P$248,EXP(-E263*E2_tabla_vida!$X$249)*E2_tabla_vida!$P$249,EXP(-E263*E2_tabla_vida!$X$250)*E2_tabla_vida!$P$250,EXP(-E263*E2_tabla_vida!$X$251)*E2_tabla_vida!$P$251,EXP(-E263*E2_tabla_vida!$X$252)*E2_tabla_vida!$P$252,EXP(-E263*E2_tabla_vida!$X$253)*E2_tabla_vida!$P$253)-1</x:f>
        <x:v>5.3870867766647734e-9</x:v>
      </x:c>
      <x:c r="G263" s="24" t="n">
        <x:f>SUM(EXP(-C263*E2_tabla_vida!$X$212)*E2_tabla_vida!$P$212,EXP(-C263*E2_tabla_vida!$X$213)*E2_tabla_vida!$P$213,EXP(-C263*E2_tabla_vida!$X$214)*E2_tabla_vida!$P$214,EXP(-C263*E2_tabla_vida!$X$215)*E2_tabla_vida!$P$215,EXP(-C263*E2_tabla_vida!$X$216)*E2_tabla_vida!$P$216,EXP(-C263*E2_tabla_vida!$X$217)*E2_tabla_vida!$P$217,EXP(-C263*E2_tabla_vida!$X$218)*E2_tabla_vida!$P$218,EXP(-C263*E2_tabla_vida!$X$219)*E2_tabla_vida!$P$219,EXP(-C263*E2_tabla_vida!$X$220)*E2_tabla_vida!$P$220,EXP(-C263*E2_tabla_vida!$X$221)*E2_tabla_vida!$P$221,EXP(-C263*E2_tabla_vida!$X$222)*E2_tabla_vida!$P$222,EXP(-C263*E2_tabla_vida!$X$223)*E2_tabla_vida!$P$223,EXP(-C263*E2_tabla_vida!$X$224)*E2_tabla_vida!$P$224,EXP(-C263*E2_tabla_vida!$X$225)*E2_tabla_vida!$P$225,EXP(-C263*E2_tabla_vida!$X$226)*E2_tabla_vida!$P$226,EXP(-C263*E2_tabla_vida!$X$227)*E2_tabla_vida!$P$227,EXP(-C263*E2_tabla_vida!$X$228)*E2_tabla_vida!$P$228,EXP(-C263*E2_tabla_vida!$X$229)*E2_tabla_vida!$P$229,EXP(-C263*E2_tabla_vida!$X$230)*E2_tabla_vida!$P$230,EXP(-C263*E2_tabla_vida!$X$231)*E2_tabla_vida!$P$231,EXP(-C263*E2_tabla_vida!$X$232)*E2_tabla_vida!$P$232,EXP(-C263*E2_tabla_vida!$X$233)*E2_tabla_vida!$P$233,EXP(-C263*E2_tabla_vida!$X$234)*E2_tabla_vida!$P$234,EXP(-C263*E2_tabla_vida!$X$235)*E2_tabla_vida!$P$235,EXP(-C263*E2_tabla_vida!$X$236)*E2_tabla_vida!$P$236,EXP(-C263*E2_tabla_vida!$X$237)*E2_tabla_vida!$P$237,EXP(-C263*E2_tabla_vida!$X$238)*E2_tabla_vida!$P$238,EXP(-C263*E2_tabla_vida!$X$239)*E2_tabla_vida!$P$239,EXP(-C263*E2_tabla_vida!$X$240)*E2_tabla_vida!$P$240,EXP(-C263*E2_tabla_vida!$X$241)*E2_tabla_vida!$P$241,EXP(-C263*E2_tabla_vida!$X$242)*E2_tabla_vida!$P$242,EXP(-C263*E2_tabla_vida!$X$243)*E2_tabla_vida!$P$243,EXP(-C263*E2_tabla_vida!$X$244)*E2_tabla_vida!$P$244,EXP(-C263*E2_tabla_vida!$X$245)*E2_tabla_vida!$P$245,EXP(-C263*E2_tabla_vida!$X$246)*E2_tabla_vida!$P$246,EXP(-C263*E2_tabla_vida!$X$247)*E2_tabla_vida!$P$247,EXP(-C263*E2_tabla_vida!$X$248)*E2_tabla_vida!$P$248,EXP(-C263*E2_tabla_vida!$X$249)*E2_tabla_vida!$P$249,EXP(-C263*E2_tabla_vida!$X$250)*E2_tabla_vida!$P$250,EXP(-C263*E2_tabla_vida!$X$251)*E2_tabla_vida!$P$251,EXP(-C263*E2_tabla_vida!$X$252)*E2_tabla_vida!$P$252,EXP(-C263*E2_tabla_vida!$X$253)*E2_tabla_vida!$P$253)-1</x:f>
        <x:v>1.6077194242569703e-8</x:v>
      </x:c>
      <x:c r="H263" s="24" t="n">
        <x:f>SUM(EXP(-D263*E2_tabla_vida!$X$212)*E2_tabla_vida!$P$212,EXP(-D263*E2_tabla_vida!$X$213)*E2_tabla_vida!$P$213,EXP(-D263*E2_tabla_vida!$X$214)*E2_tabla_vida!$P$214,EXP(-D263*E2_tabla_vida!$X$215)*E2_tabla_vida!$P$215,EXP(-D263*E2_tabla_vida!$X$216)*E2_tabla_vida!$P$216,EXP(-D263*E2_tabla_vida!$X$217)*E2_tabla_vida!$P$217,EXP(-D263*E2_tabla_vida!$X$218)*E2_tabla_vida!$P$218,EXP(-D263*E2_tabla_vida!$X$219)*E2_tabla_vida!$P$219,EXP(-D263*E2_tabla_vida!$X$220)*E2_tabla_vida!$P$220,EXP(-D263*E2_tabla_vida!$X$221)*E2_tabla_vida!$P$221,EXP(-D263*E2_tabla_vida!$X$222)*E2_tabla_vida!$P$222,EXP(-D263*E2_tabla_vida!$X$223)*E2_tabla_vida!$P$223,EXP(-D263*E2_tabla_vida!$X$224)*E2_tabla_vida!$P$224,EXP(-D263*E2_tabla_vida!$X$225)*E2_tabla_vida!$P$225,EXP(-D263*E2_tabla_vida!$X$226)*E2_tabla_vida!$P$226,EXP(-D263*E2_tabla_vida!$X$227)*E2_tabla_vida!$P$227,EXP(-D263*E2_tabla_vida!$X$228)*E2_tabla_vida!$P$228,EXP(-D263*E2_tabla_vida!$X$229)*E2_tabla_vida!$P$229,EXP(-D263*E2_tabla_vida!$X$230)*E2_tabla_vida!$P$230,EXP(-D263*E2_tabla_vida!$X$231)*E2_tabla_vida!$P$231,EXP(-D263*E2_tabla_vida!$X$232)*E2_tabla_vida!$P$232,EXP(-D263*E2_tabla_vida!$X$233)*E2_tabla_vida!$P$233,EXP(-D263*E2_tabla_vida!$X$234)*E2_tabla_vida!$P$234,EXP(-D263*E2_tabla_vida!$X$235)*E2_tabla_vida!$P$235,EXP(-D263*E2_tabla_vida!$X$236)*E2_tabla_vida!$P$236,EXP(-D263*E2_tabla_vida!$X$237)*E2_tabla_vida!$P$237,EXP(-D263*E2_tabla_vida!$X$238)*E2_tabla_vida!$P$238,EXP(-D263*E2_tabla_vida!$X$239)*E2_tabla_vida!$P$239,EXP(-D263*E2_tabla_vida!$X$240)*E2_tabla_vida!$P$240,EXP(-D263*E2_tabla_vida!$X$241)*E2_tabla_vida!$P$241,EXP(-D263*E2_tabla_vida!$X$242)*E2_tabla_vida!$P$242,EXP(-D263*E2_tabla_vida!$X$243)*E2_tabla_vida!$P$243,EXP(-D263*E2_tabla_vida!$X$244)*E2_tabla_vida!$P$244,EXP(-D263*E2_tabla_vida!$X$245)*E2_tabla_vida!$P$245,EXP(-D263*E2_tabla_vida!$X$246)*E2_tabla_vida!$P$246,EXP(-D263*E2_tabla_vida!$X$247)*E2_tabla_vida!$P$247,EXP(-D263*E2_tabla_vida!$X$248)*E2_tabla_vida!$P$248,EXP(-D263*E2_tabla_vida!$X$249)*E2_tabla_vida!$P$249,EXP(-D263*E2_tabla_vida!$X$250)*E2_tabla_vida!$P$250,EXP(-D263*E2_tabla_vida!$X$251)*E2_tabla_vida!$P$251,EXP(-D263*E2_tabla_vida!$X$252)*E2_tabla_vida!$P$252,EXP(-D263*E2_tabla_vida!$X$253)*E2_tabla_vida!$P$253)-1</x:f>
        <x:v>-5.303020800262459e-9</x:v>
      </x:c>
    </x:row>
    <x:row r="264" ht="19" customHeight="1">
      <x:c r="A264" s="2" t="str">
        <x:v>BB_L7</x:v>
      </x:c>
      <x:c r="B264" s="2" t="n">
        <x:v>32</x:v>
      </x:c>
      <x:c r="C264" s="22" t="n">
        <x:f>IF(F263&gt;0,E263,C263)</x:f>
        <x:v>0.21084533934481442</x:v>
      </x:c>
      <x:c r="D264" s="22" t="n">
        <x:f>IF(F263&gt;0,D263,E263)</x:f>
        <x:v>0.21084534004330635</x:v>
      </x:c>
      <x:c r="E264" s="22" t="n">
        <x:f>AVERAGE(C264:D264)</x:f>
        <x:v>0.21084533969406039</x:v>
      </x:c>
      <x:c r="F264" s="24" t="n">
        <x:f>SUM(EXP(-E264*E2_tabla_vida!$X$212)*E2_tabla_vida!$P$212,EXP(-E264*E2_tabla_vida!$X$213)*E2_tabla_vida!$P$213,EXP(-E264*E2_tabla_vida!$X$214)*E2_tabla_vida!$P$214,EXP(-E264*E2_tabla_vida!$X$215)*E2_tabla_vida!$P$215,EXP(-E264*E2_tabla_vida!$X$216)*E2_tabla_vida!$P$216,EXP(-E264*E2_tabla_vida!$X$217)*E2_tabla_vida!$P$217,EXP(-E264*E2_tabla_vida!$X$218)*E2_tabla_vida!$P$218,EXP(-E264*E2_tabla_vida!$X$219)*E2_tabla_vida!$P$219,EXP(-E264*E2_tabla_vida!$X$220)*E2_tabla_vida!$P$220,EXP(-E264*E2_tabla_vida!$X$221)*E2_tabla_vida!$P$221,EXP(-E264*E2_tabla_vida!$X$222)*E2_tabla_vida!$P$222,EXP(-E264*E2_tabla_vida!$X$223)*E2_tabla_vida!$P$223,EXP(-E264*E2_tabla_vida!$X$224)*E2_tabla_vida!$P$224,EXP(-E264*E2_tabla_vida!$X$225)*E2_tabla_vida!$P$225,EXP(-E264*E2_tabla_vida!$X$226)*E2_tabla_vida!$P$226,EXP(-E264*E2_tabla_vida!$X$227)*E2_tabla_vida!$P$227,EXP(-E264*E2_tabla_vida!$X$228)*E2_tabla_vida!$P$228,EXP(-E264*E2_tabla_vida!$X$229)*E2_tabla_vida!$P$229,EXP(-E264*E2_tabla_vida!$X$230)*E2_tabla_vida!$P$230,EXP(-E264*E2_tabla_vida!$X$231)*E2_tabla_vida!$P$231,EXP(-E264*E2_tabla_vida!$X$232)*E2_tabla_vida!$P$232,EXP(-E264*E2_tabla_vida!$X$233)*E2_tabla_vida!$P$233,EXP(-E264*E2_tabla_vida!$X$234)*E2_tabla_vida!$P$234,EXP(-E264*E2_tabla_vida!$X$235)*E2_tabla_vida!$P$235,EXP(-E264*E2_tabla_vida!$X$236)*E2_tabla_vida!$P$236,EXP(-E264*E2_tabla_vida!$X$237)*E2_tabla_vida!$P$237,EXP(-E264*E2_tabla_vida!$X$238)*E2_tabla_vida!$P$238,EXP(-E264*E2_tabla_vida!$X$239)*E2_tabla_vida!$P$239,EXP(-E264*E2_tabla_vida!$X$240)*E2_tabla_vida!$P$240,EXP(-E264*E2_tabla_vida!$X$241)*E2_tabla_vida!$P$241,EXP(-E264*E2_tabla_vida!$X$242)*E2_tabla_vida!$P$242,EXP(-E264*E2_tabla_vida!$X$243)*E2_tabla_vida!$P$243,EXP(-E264*E2_tabla_vida!$X$244)*E2_tabla_vida!$P$244,EXP(-E264*E2_tabla_vida!$X$245)*E2_tabla_vida!$P$245,EXP(-E264*E2_tabla_vida!$X$246)*E2_tabla_vida!$P$246,EXP(-E264*E2_tabla_vida!$X$247)*E2_tabla_vida!$P$247,EXP(-E264*E2_tabla_vida!$X$248)*E2_tabla_vida!$P$248,EXP(-E264*E2_tabla_vida!$X$249)*E2_tabla_vida!$P$249,EXP(-E264*E2_tabla_vida!$X$250)*E2_tabla_vida!$P$250,EXP(-E264*E2_tabla_vida!$X$251)*E2_tabla_vida!$P$251,EXP(-E264*E2_tabla_vida!$X$252)*E2_tabla_vida!$P$252,EXP(-E264*E2_tabla_vida!$X$253)*E2_tabla_vida!$P$253)-1</x:f>
        <x:v>4.20328216677035e-11</x:v>
      </x:c>
      <x:c r="G264" s="24" t="n">
        <x:f>SUM(EXP(-C264*E2_tabla_vida!$X$212)*E2_tabla_vida!$P$212,EXP(-C264*E2_tabla_vida!$X$213)*E2_tabla_vida!$P$213,EXP(-C264*E2_tabla_vida!$X$214)*E2_tabla_vida!$P$214,EXP(-C264*E2_tabla_vida!$X$215)*E2_tabla_vida!$P$215,EXP(-C264*E2_tabla_vida!$X$216)*E2_tabla_vida!$P$216,EXP(-C264*E2_tabla_vida!$X$217)*E2_tabla_vida!$P$217,EXP(-C264*E2_tabla_vida!$X$218)*E2_tabla_vida!$P$218,EXP(-C264*E2_tabla_vida!$X$219)*E2_tabla_vida!$P$219,EXP(-C264*E2_tabla_vida!$X$220)*E2_tabla_vida!$P$220,EXP(-C264*E2_tabla_vida!$X$221)*E2_tabla_vida!$P$221,EXP(-C264*E2_tabla_vida!$X$222)*E2_tabla_vida!$P$222,EXP(-C264*E2_tabla_vida!$X$223)*E2_tabla_vida!$P$223,EXP(-C264*E2_tabla_vida!$X$224)*E2_tabla_vida!$P$224,EXP(-C264*E2_tabla_vida!$X$225)*E2_tabla_vida!$P$225,EXP(-C264*E2_tabla_vida!$X$226)*E2_tabla_vida!$P$226,EXP(-C264*E2_tabla_vida!$X$227)*E2_tabla_vida!$P$227,EXP(-C264*E2_tabla_vida!$X$228)*E2_tabla_vida!$P$228,EXP(-C264*E2_tabla_vida!$X$229)*E2_tabla_vida!$P$229,EXP(-C264*E2_tabla_vida!$X$230)*E2_tabla_vida!$P$230,EXP(-C264*E2_tabla_vida!$X$231)*E2_tabla_vida!$P$231,EXP(-C264*E2_tabla_vida!$X$232)*E2_tabla_vida!$P$232,EXP(-C264*E2_tabla_vida!$X$233)*E2_tabla_vida!$P$233,EXP(-C264*E2_tabla_vida!$X$234)*E2_tabla_vida!$P$234,EXP(-C264*E2_tabla_vida!$X$235)*E2_tabla_vida!$P$235,EXP(-C264*E2_tabla_vida!$X$236)*E2_tabla_vida!$P$236,EXP(-C264*E2_tabla_vida!$X$237)*E2_tabla_vida!$P$237,EXP(-C264*E2_tabla_vida!$X$238)*E2_tabla_vida!$P$238,EXP(-C264*E2_tabla_vida!$X$239)*E2_tabla_vida!$P$239,EXP(-C264*E2_tabla_vida!$X$240)*E2_tabla_vida!$P$240,EXP(-C264*E2_tabla_vida!$X$241)*E2_tabla_vida!$P$241,EXP(-C264*E2_tabla_vida!$X$242)*E2_tabla_vida!$P$242,EXP(-C264*E2_tabla_vida!$X$243)*E2_tabla_vida!$P$243,EXP(-C264*E2_tabla_vida!$X$244)*E2_tabla_vida!$P$244,EXP(-C264*E2_tabla_vida!$X$245)*E2_tabla_vida!$P$245,EXP(-C264*E2_tabla_vida!$X$246)*E2_tabla_vida!$P$246,EXP(-C264*E2_tabla_vida!$X$247)*E2_tabla_vida!$P$247,EXP(-C264*E2_tabla_vida!$X$248)*E2_tabla_vida!$P$248,EXP(-C264*E2_tabla_vida!$X$249)*E2_tabla_vida!$P$249,EXP(-C264*E2_tabla_vida!$X$250)*E2_tabla_vida!$P$250,EXP(-C264*E2_tabla_vida!$X$251)*E2_tabla_vida!$P$251,EXP(-C264*E2_tabla_vida!$X$252)*E2_tabla_vida!$P$252,EXP(-C264*E2_tabla_vida!$X$253)*E2_tabla_vida!$P$253)-1</x:f>
        <x:v>5.3870867766647734e-9</x:v>
      </x:c>
      <x:c r="H264" s="24" t="n">
        <x:f>SUM(EXP(-D264*E2_tabla_vida!$X$212)*E2_tabla_vida!$P$212,EXP(-D264*E2_tabla_vida!$X$213)*E2_tabla_vida!$P$213,EXP(-D264*E2_tabla_vida!$X$214)*E2_tabla_vida!$P$214,EXP(-D264*E2_tabla_vida!$X$215)*E2_tabla_vida!$P$215,EXP(-D264*E2_tabla_vida!$X$216)*E2_tabla_vida!$P$216,EXP(-D264*E2_tabla_vida!$X$217)*E2_tabla_vida!$P$217,EXP(-D264*E2_tabla_vida!$X$218)*E2_tabla_vida!$P$218,EXP(-D264*E2_tabla_vida!$X$219)*E2_tabla_vida!$P$219,EXP(-D264*E2_tabla_vida!$X$220)*E2_tabla_vida!$P$220,EXP(-D264*E2_tabla_vida!$X$221)*E2_tabla_vida!$P$221,EXP(-D264*E2_tabla_vida!$X$222)*E2_tabla_vida!$P$222,EXP(-D264*E2_tabla_vida!$X$223)*E2_tabla_vida!$P$223,EXP(-D264*E2_tabla_vida!$X$224)*E2_tabla_vida!$P$224,EXP(-D264*E2_tabla_vida!$X$225)*E2_tabla_vida!$P$225,EXP(-D264*E2_tabla_vida!$X$226)*E2_tabla_vida!$P$226,EXP(-D264*E2_tabla_vida!$X$227)*E2_tabla_vida!$P$227,EXP(-D264*E2_tabla_vida!$X$228)*E2_tabla_vida!$P$228,EXP(-D264*E2_tabla_vida!$X$229)*E2_tabla_vida!$P$229,EXP(-D264*E2_tabla_vida!$X$230)*E2_tabla_vida!$P$230,EXP(-D264*E2_tabla_vida!$X$231)*E2_tabla_vida!$P$231,EXP(-D264*E2_tabla_vida!$X$232)*E2_tabla_vida!$P$232,EXP(-D264*E2_tabla_vida!$X$233)*E2_tabla_vida!$P$233,EXP(-D264*E2_tabla_vida!$X$234)*E2_tabla_vida!$P$234,EXP(-D264*E2_tabla_vida!$X$235)*E2_tabla_vida!$P$235,EXP(-D264*E2_tabla_vida!$X$236)*E2_tabla_vida!$P$236,EXP(-D264*E2_tabla_vida!$X$237)*E2_tabla_vida!$P$237,EXP(-D264*E2_tabla_vida!$X$238)*E2_tabla_vida!$P$238,EXP(-D264*E2_tabla_vida!$X$239)*E2_tabla_vida!$P$239,EXP(-D264*E2_tabla_vida!$X$240)*E2_tabla_vida!$P$240,EXP(-D264*E2_tabla_vida!$X$241)*E2_tabla_vida!$P$241,EXP(-D264*E2_tabla_vida!$X$242)*E2_tabla_vida!$P$242,EXP(-D264*E2_tabla_vida!$X$243)*E2_tabla_vida!$P$243,EXP(-D264*E2_tabla_vida!$X$244)*E2_tabla_vida!$P$244,EXP(-D264*E2_tabla_vida!$X$245)*E2_tabla_vida!$P$245,EXP(-D264*E2_tabla_vida!$X$246)*E2_tabla_vida!$P$246,EXP(-D264*E2_tabla_vida!$X$247)*E2_tabla_vida!$P$247,EXP(-D264*E2_tabla_vida!$X$248)*E2_tabla_vida!$P$248,EXP(-D264*E2_tabla_vida!$X$249)*E2_tabla_vida!$P$249,EXP(-D264*E2_tabla_vida!$X$250)*E2_tabla_vida!$P$250,EXP(-D264*E2_tabla_vida!$X$251)*E2_tabla_vida!$P$251,EXP(-D264*E2_tabla_vida!$X$252)*E2_tabla_vida!$P$252,EXP(-D264*E2_tabla_vida!$X$253)*E2_tabla_vida!$P$253)-1</x:f>
        <x:v>-5.303020800262459e-9</x:v>
      </x:c>
    </x:row>
    <x:row r="265" ht="19" customHeight="1">
      <x:c r="A265" s="2" t="str">
        <x:v>BB_L7</x:v>
      </x:c>
      <x:c r="B265" s="2" t="n">
        <x:v>33</x:v>
      </x:c>
      <x:c r="C265" s="22" t="n">
        <x:f>IF(F264&gt;0,E264,C264)</x:f>
        <x:v>0.21084533969406039</x:v>
      </x:c>
      <x:c r="D265" s="22" t="n">
        <x:f>IF(F264&gt;0,D264,E264)</x:f>
        <x:v>0.21084534004330635</x:v>
      </x:c>
      <x:c r="E265" s="22" t="n">
        <x:f>AVERAGE(C265:D265)</x:f>
        <x:v>0.21084533986868337</x:v>
      </x:c>
      <x:c r="F265" s="24" t="n">
        <x:f>SUM(EXP(-E265*E2_tabla_vida!$X$212)*E2_tabla_vida!$P$212,EXP(-E265*E2_tabla_vida!$X$213)*E2_tabla_vida!$P$213,EXP(-E265*E2_tabla_vida!$X$214)*E2_tabla_vida!$P$214,EXP(-E265*E2_tabla_vida!$X$215)*E2_tabla_vida!$P$215,EXP(-E265*E2_tabla_vida!$X$216)*E2_tabla_vida!$P$216,EXP(-E265*E2_tabla_vida!$X$217)*E2_tabla_vida!$P$217,EXP(-E265*E2_tabla_vida!$X$218)*E2_tabla_vida!$P$218,EXP(-E265*E2_tabla_vida!$X$219)*E2_tabla_vida!$P$219,EXP(-E265*E2_tabla_vida!$X$220)*E2_tabla_vida!$P$220,EXP(-E265*E2_tabla_vida!$X$221)*E2_tabla_vida!$P$221,EXP(-E265*E2_tabla_vida!$X$222)*E2_tabla_vida!$P$222,EXP(-E265*E2_tabla_vida!$X$223)*E2_tabla_vida!$P$223,EXP(-E265*E2_tabla_vida!$X$224)*E2_tabla_vida!$P$224,EXP(-E265*E2_tabla_vida!$X$225)*E2_tabla_vida!$P$225,EXP(-E265*E2_tabla_vida!$X$226)*E2_tabla_vida!$P$226,EXP(-E265*E2_tabla_vida!$X$227)*E2_tabla_vida!$P$227,EXP(-E265*E2_tabla_vida!$X$228)*E2_tabla_vida!$P$228,EXP(-E265*E2_tabla_vida!$X$229)*E2_tabla_vida!$P$229,EXP(-E265*E2_tabla_vida!$X$230)*E2_tabla_vida!$P$230,EXP(-E265*E2_tabla_vida!$X$231)*E2_tabla_vida!$P$231,EXP(-E265*E2_tabla_vida!$X$232)*E2_tabla_vida!$P$232,EXP(-E265*E2_tabla_vida!$X$233)*E2_tabla_vida!$P$233,EXP(-E265*E2_tabla_vida!$X$234)*E2_tabla_vida!$P$234,EXP(-E265*E2_tabla_vida!$X$235)*E2_tabla_vida!$P$235,EXP(-E265*E2_tabla_vida!$X$236)*E2_tabla_vida!$P$236,EXP(-E265*E2_tabla_vida!$X$237)*E2_tabla_vida!$P$237,EXP(-E265*E2_tabla_vida!$X$238)*E2_tabla_vida!$P$238,EXP(-E265*E2_tabla_vida!$X$239)*E2_tabla_vida!$P$239,EXP(-E265*E2_tabla_vida!$X$240)*E2_tabla_vida!$P$240,EXP(-E265*E2_tabla_vida!$X$241)*E2_tabla_vida!$P$241,EXP(-E265*E2_tabla_vida!$X$242)*E2_tabla_vida!$P$242,EXP(-E265*E2_tabla_vida!$X$243)*E2_tabla_vida!$P$243,EXP(-E265*E2_tabla_vida!$X$244)*E2_tabla_vida!$P$244,EXP(-E265*E2_tabla_vida!$X$245)*E2_tabla_vida!$P$245,EXP(-E265*E2_tabla_vida!$X$246)*E2_tabla_vida!$P$246,EXP(-E265*E2_tabla_vida!$X$247)*E2_tabla_vida!$P$247,EXP(-E265*E2_tabla_vida!$X$248)*E2_tabla_vida!$P$248,EXP(-E265*E2_tabla_vida!$X$249)*E2_tabla_vida!$P$249,EXP(-E265*E2_tabla_vida!$X$250)*E2_tabla_vida!$P$250,EXP(-E265*E2_tabla_vida!$X$251)*E2_tabla_vida!$P$251,EXP(-E265*E2_tabla_vida!$X$252)*E2_tabla_vida!$P$252,EXP(-E265*E2_tabla_vida!$X$253)*E2_tabla_vida!$P$253)-1</x:f>
        <x:v>-2.630494044808529e-9</x:v>
      </x:c>
      <x:c r="G265" s="24" t="n">
        <x:f>SUM(EXP(-C265*E2_tabla_vida!$X$212)*E2_tabla_vida!$P$212,EXP(-C265*E2_tabla_vida!$X$213)*E2_tabla_vida!$P$213,EXP(-C265*E2_tabla_vida!$X$214)*E2_tabla_vida!$P$214,EXP(-C265*E2_tabla_vida!$X$215)*E2_tabla_vida!$P$215,EXP(-C265*E2_tabla_vida!$X$216)*E2_tabla_vida!$P$216,EXP(-C265*E2_tabla_vida!$X$217)*E2_tabla_vida!$P$217,EXP(-C265*E2_tabla_vida!$X$218)*E2_tabla_vida!$P$218,EXP(-C265*E2_tabla_vida!$X$219)*E2_tabla_vida!$P$219,EXP(-C265*E2_tabla_vida!$X$220)*E2_tabla_vida!$P$220,EXP(-C265*E2_tabla_vida!$X$221)*E2_tabla_vida!$P$221,EXP(-C265*E2_tabla_vida!$X$222)*E2_tabla_vida!$P$222,EXP(-C265*E2_tabla_vida!$X$223)*E2_tabla_vida!$P$223,EXP(-C265*E2_tabla_vida!$X$224)*E2_tabla_vida!$P$224,EXP(-C265*E2_tabla_vida!$X$225)*E2_tabla_vida!$P$225,EXP(-C265*E2_tabla_vida!$X$226)*E2_tabla_vida!$P$226,EXP(-C265*E2_tabla_vida!$X$227)*E2_tabla_vida!$P$227,EXP(-C265*E2_tabla_vida!$X$228)*E2_tabla_vida!$P$228,EXP(-C265*E2_tabla_vida!$X$229)*E2_tabla_vida!$P$229,EXP(-C265*E2_tabla_vida!$X$230)*E2_tabla_vida!$P$230,EXP(-C265*E2_tabla_vida!$X$231)*E2_tabla_vida!$P$231,EXP(-C265*E2_tabla_vida!$X$232)*E2_tabla_vida!$P$232,EXP(-C265*E2_tabla_vida!$X$233)*E2_tabla_vida!$P$233,EXP(-C265*E2_tabla_vida!$X$234)*E2_tabla_vida!$P$234,EXP(-C265*E2_tabla_vida!$X$235)*E2_tabla_vida!$P$235,EXP(-C265*E2_tabla_vida!$X$236)*E2_tabla_vida!$P$236,EXP(-C265*E2_tabla_vida!$X$237)*E2_tabla_vida!$P$237,EXP(-C265*E2_tabla_vida!$X$238)*E2_tabla_vida!$P$238,EXP(-C265*E2_tabla_vida!$X$239)*E2_tabla_vida!$P$239,EXP(-C265*E2_tabla_vida!$X$240)*E2_tabla_vida!$P$240,EXP(-C265*E2_tabla_vida!$X$241)*E2_tabla_vida!$P$241,EXP(-C265*E2_tabla_vida!$X$242)*E2_tabla_vida!$P$242,EXP(-C265*E2_tabla_vida!$X$243)*E2_tabla_vida!$P$243,EXP(-C265*E2_tabla_vida!$X$244)*E2_tabla_vida!$P$244,EXP(-C265*E2_tabla_vida!$X$245)*E2_tabla_vida!$P$245,EXP(-C265*E2_tabla_vida!$X$246)*E2_tabla_vida!$P$246,EXP(-C265*E2_tabla_vida!$X$247)*E2_tabla_vida!$P$247,EXP(-C265*E2_tabla_vida!$X$248)*E2_tabla_vida!$P$248,EXP(-C265*E2_tabla_vida!$X$249)*E2_tabla_vida!$P$249,EXP(-C265*E2_tabla_vida!$X$250)*E2_tabla_vida!$P$250,EXP(-C265*E2_tabla_vida!$X$251)*E2_tabla_vida!$P$251,EXP(-C265*E2_tabla_vida!$X$252)*E2_tabla_vida!$P$252,EXP(-C265*E2_tabla_vida!$X$253)*E2_tabla_vida!$P$253)-1</x:f>
        <x:v>4.20328216677035e-11</x:v>
      </x:c>
      <x:c r="H265" s="24" t="n">
        <x:f>SUM(EXP(-D265*E2_tabla_vida!$X$212)*E2_tabla_vida!$P$212,EXP(-D265*E2_tabla_vida!$X$213)*E2_tabla_vida!$P$213,EXP(-D265*E2_tabla_vida!$X$214)*E2_tabla_vida!$P$214,EXP(-D265*E2_tabla_vida!$X$215)*E2_tabla_vida!$P$215,EXP(-D265*E2_tabla_vida!$X$216)*E2_tabla_vida!$P$216,EXP(-D265*E2_tabla_vida!$X$217)*E2_tabla_vida!$P$217,EXP(-D265*E2_tabla_vida!$X$218)*E2_tabla_vida!$P$218,EXP(-D265*E2_tabla_vida!$X$219)*E2_tabla_vida!$P$219,EXP(-D265*E2_tabla_vida!$X$220)*E2_tabla_vida!$P$220,EXP(-D265*E2_tabla_vida!$X$221)*E2_tabla_vida!$P$221,EXP(-D265*E2_tabla_vida!$X$222)*E2_tabla_vida!$P$222,EXP(-D265*E2_tabla_vida!$X$223)*E2_tabla_vida!$P$223,EXP(-D265*E2_tabla_vida!$X$224)*E2_tabla_vida!$P$224,EXP(-D265*E2_tabla_vida!$X$225)*E2_tabla_vida!$P$225,EXP(-D265*E2_tabla_vida!$X$226)*E2_tabla_vida!$P$226,EXP(-D265*E2_tabla_vida!$X$227)*E2_tabla_vida!$P$227,EXP(-D265*E2_tabla_vida!$X$228)*E2_tabla_vida!$P$228,EXP(-D265*E2_tabla_vida!$X$229)*E2_tabla_vida!$P$229,EXP(-D265*E2_tabla_vida!$X$230)*E2_tabla_vida!$P$230,EXP(-D265*E2_tabla_vida!$X$231)*E2_tabla_vida!$P$231,EXP(-D265*E2_tabla_vida!$X$232)*E2_tabla_vida!$P$232,EXP(-D265*E2_tabla_vida!$X$233)*E2_tabla_vida!$P$233,EXP(-D265*E2_tabla_vida!$X$234)*E2_tabla_vida!$P$234,EXP(-D265*E2_tabla_vida!$X$235)*E2_tabla_vida!$P$235,EXP(-D265*E2_tabla_vida!$X$236)*E2_tabla_vida!$P$236,EXP(-D265*E2_tabla_vida!$X$237)*E2_tabla_vida!$P$237,EXP(-D265*E2_tabla_vida!$X$238)*E2_tabla_vida!$P$238,EXP(-D265*E2_tabla_vida!$X$239)*E2_tabla_vida!$P$239,EXP(-D265*E2_tabla_vida!$X$240)*E2_tabla_vida!$P$240,EXP(-D265*E2_tabla_vida!$X$241)*E2_tabla_vida!$P$241,EXP(-D265*E2_tabla_vida!$X$242)*E2_tabla_vida!$P$242,EXP(-D265*E2_tabla_vida!$X$243)*E2_tabla_vida!$P$243,EXP(-D265*E2_tabla_vida!$X$244)*E2_tabla_vida!$P$244,EXP(-D265*E2_tabla_vida!$X$245)*E2_tabla_vida!$P$245,EXP(-D265*E2_tabla_vida!$X$246)*E2_tabla_vida!$P$246,EXP(-D265*E2_tabla_vida!$X$247)*E2_tabla_vida!$P$247,EXP(-D265*E2_tabla_vida!$X$248)*E2_tabla_vida!$P$248,EXP(-D265*E2_tabla_vida!$X$249)*E2_tabla_vida!$P$249,EXP(-D265*E2_tabla_vida!$X$250)*E2_tabla_vida!$P$250,EXP(-D265*E2_tabla_vida!$X$251)*E2_tabla_vida!$P$251,EXP(-D265*E2_tabla_vida!$X$252)*E2_tabla_vida!$P$252,EXP(-D265*E2_tabla_vida!$X$253)*E2_tabla_vida!$P$253)-1</x:f>
        <x:v>-5.303020800262459e-9</x:v>
      </x:c>
    </x:row>
    <x:row r="266" ht="19" customHeight="1">
      <x:c r="A266" s="2" t="str">
        <x:v>BB_L7</x:v>
      </x:c>
      <x:c r="B266" s="2" t="n">
        <x:v>34</x:v>
      </x:c>
      <x:c r="C266" s="22" t="n">
        <x:f>IF(F265&gt;0,E265,C265)</x:f>
        <x:v>0.21084533969406039</x:v>
      </x:c>
      <x:c r="D266" s="22" t="n">
        <x:f>IF(F265&gt;0,D265,E265)</x:f>
        <x:v>0.21084533986868337</x:v>
      </x:c>
      <x:c r="E266" s="22" t="n">
        <x:f>AVERAGE(C266:D266)</x:f>
        <x:v>0.21084533978137188</x:v>
      </x:c>
      <x:c r="F266" s="24" t="n">
        <x:f>SUM(EXP(-E266*E2_tabla_vida!$X$212)*E2_tabla_vida!$P$212,EXP(-E266*E2_tabla_vida!$X$213)*E2_tabla_vida!$P$213,EXP(-E266*E2_tabla_vida!$X$214)*E2_tabla_vida!$P$214,EXP(-E266*E2_tabla_vida!$X$215)*E2_tabla_vida!$P$215,EXP(-E266*E2_tabla_vida!$X$216)*E2_tabla_vida!$P$216,EXP(-E266*E2_tabla_vida!$X$217)*E2_tabla_vida!$P$217,EXP(-E266*E2_tabla_vida!$X$218)*E2_tabla_vida!$P$218,EXP(-E266*E2_tabla_vida!$X$219)*E2_tabla_vida!$P$219,EXP(-E266*E2_tabla_vida!$X$220)*E2_tabla_vida!$P$220,EXP(-E266*E2_tabla_vida!$X$221)*E2_tabla_vida!$P$221,EXP(-E266*E2_tabla_vida!$X$222)*E2_tabla_vida!$P$222,EXP(-E266*E2_tabla_vida!$X$223)*E2_tabla_vida!$P$223,EXP(-E266*E2_tabla_vida!$X$224)*E2_tabla_vida!$P$224,EXP(-E266*E2_tabla_vida!$X$225)*E2_tabla_vida!$P$225,EXP(-E266*E2_tabla_vida!$X$226)*E2_tabla_vida!$P$226,EXP(-E266*E2_tabla_vida!$X$227)*E2_tabla_vida!$P$227,EXP(-E266*E2_tabla_vida!$X$228)*E2_tabla_vida!$P$228,EXP(-E266*E2_tabla_vida!$X$229)*E2_tabla_vida!$P$229,EXP(-E266*E2_tabla_vida!$X$230)*E2_tabla_vida!$P$230,EXP(-E266*E2_tabla_vida!$X$231)*E2_tabla_vida!$P$231,EXP(-E266*E2_tabla_vida!$X$232)*E2_tabla_vida!$P$232,EXP(-E266*E2_tabla_vida!$X$233)*E2_tabla_vida!$P$233,EXP(-E266*E2_tabla_vida!$X$234)*E2_tabla_vida!$P$234,EXP(-E266*E2_tabla_vida!$X$235)*E2_tabla_vida!$P$235,EXP(-E266*E2_tabla_vida!$X$236)*E2_tabla_vida!$P$236,EXP(-E266*E2_tabla_vida!$X$237)*E2_tabla_vida!$P$237,EXP(-E266*E2_tabla_vida!$X$238)*E2_tabla_vida!$P$238,EXP(-E266*E2_tabla_vida!$X$239)*E2_tabla_vida!$P$239,EXP(-E266*E2_tabla_vida!$X$240)*E2_tabla_vida!$P$240,EXP(-E266*E2_tabla_vida!$X$241)*E2_tabla_vida!$P$241,EXP(-E266*E2_tabla_vida!$X$242)*E2_tabla_vida!$P$242,EXP(-E266*E2_tabla_vida!$X$243)*E2_tabla_vida!$P$243,EXP(-E266*E2_tabla_vida!$X$244)*E2_tabla_vida!$P$244,EXP(-E266*E2_tabla_vida!$X$245)*E2_tabla_vida!$P$245,EXP(-E266*E2_tabla_vida!$X$246)*E2_tabla_vida!$P$246,EXP(-E266*E2_tabla_vida!$X$247)*E2_tabla_vida!$P$247,EXP(-E266*E2_tabla_vida!$X$248)*E2_tabla_vida!$P$248,EXP(-E266*E2_tabla_vida!$X$249)*E2_tabla_vida!$P$249,EXP(-E266*E2_tabla_vida!$X$250)*E2_tabla_vida!$P$250,EXP(-E266*E2_tabla_vida!$X$251)*E2_tabla_vida!$P$251,EXP(-E266*E2_tabla_vida!$X$252)*E2_tabla_vida!$P$252,EXP(-E266*E2_tabla_vida!$X$253)*E2_tabla_vida!$P$253)-1</x:f>
        <x:v>-1.2942306115704127e-9</x:v>
      </x:c>
      <x:c r="G266" s="24" t="n">
        <x:f>SUM(EXP(-C266*E2_tabla_vida!$X$212)*E2_tabla_vida!$P$212,EXP(-C266*E2_tabla_vida!$X$213)*E2_tabla_vida!$P$213,EXP(-C266*E2_tabla_vida!$X$214)*E2_tabla_vida!$P$214,EXP(-C266*E2_tabla_vida!$X$215)*E2_tabla_vida!$P$215,EXP(-C266*E2_tabla_vida!$X$216)*E2_tabla_vida!$P$216,EXP(-C266*E2_tabla_vida!$X$217)*E2_tabla_vida!$P$217,EXP(-C266*E2_tabla_vida!$X$218)*E2_tabla_vida!$P$218,EXP(-C266*E2_tabla_vida!$X$219)*E2_tabla_vida!$P$219,EXP(-C266*E2_tabla_vida!$X$220)*E2_tabla_vida!$P$220,EXP(-C266*E2_tabla_vida!$X$221)*E2_tabla_vida!$P$221,EXP(-C266*E2_tabla_vida!$X$222)*E2_tabla_vida!$P$222,EXP(-C266*E2_tabla_vida!$X$223)*E2_tabla_vida!$P$223,EXP(-C266*E2_tabla_vida!$X$224)*E2_tabla_vida!$P$224,EXP(-C266*E2_tabla_vida!$X$225)*E2_tabla_vida!$P$225,EXP(-C266*E2_tabla_vida!$X$226)*E2_tabla_vida!$P$226,EXP(-C266*E2_tabla_vida!$X$227)*E2_tabla_vida!$P$227,EXP(-C266*E2_tabla_vida!$X$228)*E2_tabla_vida!$P$228,EXP(-C266*E2_tabla_vida!$X$229)*E2_tabla_vida!$P$229,EXP(-C266*E2_tabla_vida!$X$230)*E2_tabla_vida!$P$230,EXP(-C266*E2_tabla_vida!$X$231)*E2_tabla_vida!$P$231,EXP(-C266*E2_tabla_vida!$X$232)*E2_tabla_vida!$P$232,EXP(-C266*E2_tabla_vida!$X$233)*E2_tabla_vida!$P$233,EXP(-C266*E2_tabla_vida!$X$234)*E2_tabla_vida!$P$234,EXP(-C266*E2_tabla_vida!$X$235)*E2_tabla_vida!$P$235,EXP(-C266*E2_tabla_vida!$X$236)*E2_tabla_vida!$P$236,EXP(-C266*E2_tabla_vida!$X$237)*E2_tabla_vida!$P$237,EXP(-C266*E2_tabla_vida!$X$238)*E2_tabla_vida!$P$238,EXP(-C266*E2_tabla_vida!$X$239)*E2_tabla_vida!$P$239,EXP(-C266*E2_tabla_vida!$X$240)*E2_tabla_vida!$P$240,EXP(-C266*E2_tabla_vida!$X$241)*E2_tabla_vida!$P$241,EXP(-C266*E2_tabla_vida!$X$242)*E2_tabla_vida!$P$242,EXP(-C266*E2_tabla_vida!$X$243)*E2_tabla_vida!$P$243,EXP(-C266*E2_tabla_vida!$X$244)*E2_tabla_vida!$P$244,EXP(-C266*E2_tabla_vida!$X$245)*E2_tabla_vida!$P$245,EXP(-C266*E2_tabla_vida!$X$246)*E2_tabla_vida!$P$246,EXP(-C266*E2_tabla_vida!$X$247)*E2_tabla_vida!$P$247,EXP(-C266*E2_tabla_vida!$X$248)*E2_tabla_vida!$P$248,EXP(-C266*E2_tabla_vida!$X$249)*E2_tabla_vida!$P$249,EXP(-C266*E2_tabla_vida!$X$250)*E2_tabla_vida!$P$250,EXP(-C266*E2_tabla_vida!$X$251)*E2_tabla_vida!$P$251,EXP(-C266*E2_tabla_vida!$X$252)*E2_tabla_vida!$P$252,EXP(-C266*E2_tabla_vida!$X$253)*E2_tabla_vida!$P$253)-1</x:f>
        <x:v>4.20328216677035e-11</x:v>
      </x:c>
      <x:c r="H266" s="24" t="n">
        <x:f>SUM(EXP(-D266*E2_tabla_vida!$X$212)*E2_tabla_vida!$P$212,EXP(-D266*E2_tabla_vida!$X$213)*E2_tabla_vida!$P$213,EXP(-D266*E2_tabla_vida!$X$214)*E2_tabla_vida!$P$214,EXP(-D266*E2_tabla_vida!$X$215)*E2_tabla_vida!$P$215,EXP(-D266*E2_tabla_vida!$X$216)*E2_tabla_vida!$P$216,EXP(-D266*E2_tabla_vida!$X$217)*E2_tabla_vida!$P$217,EXP(-D266*E2_tabla_vida!$X$218)*E2_tabla_vida!$P$218,EXP(-D266*E2_tabla_vida!$X$219)*E2_tabla_vida!$P$219,EXP(-D266*E2_tabla_vida!$X$220)*E2_tabla_vida!$P$220,EXP(-D266*E2_tabla_vida!$X$221)*E2_tabla_vida!$P$221,EXP(-D266*E2_tabla_vida!$X$222)*E2_tabla_vida!$P$222,EXP(-D266*E2_tabla_vida!$X$223)*E2_tabla_vida!$P$223,EXP(-D266*E2_tabla_vida!$X$224)*E2_tabla_vida!$P$224,EXP(-D266*E2_tabla_vida!$X$225)*E2_tabla_vida!$P$225,EXP(-D266*E2_tabla_vida!$X$226)*E2_tabla_vida!$P$226,EXP(-D266*E2_tabla_vida!$X$227)*E2_tabla_vida!$P$227,EXP(-D266*E2_tabla_vida!$X$228)*E2_tabla_vida!$P$228,EXP(-D266*E2_tabla_vida!$X$229)*E2_tabla_vida!$P$229,EXP(-D266*E2_tabla_vida!$X$230)*E2_tabla_vida!$P$230,EXP(-D266*E2_tabla_vida!$X$231)*E2_tabla_vida!$P$231,EXP(-D266*E2_tabla_vida!$X$232)*E2_tabla_vida!$P$232,EXP(-D266*E2_tabla_vida!$X$233)*E2_tabla_vida!$P$233,EXP(-D266*E2_tabla_vida!$X$234)*E2_tabla_vida!$P$234,EXP(-D266*E2_tabla_vida!$X$235)*E2_tabla_vida!$P$235,EXP(-D266*E2_tabla_vida!$X$236)*E2_tabla_vida!$P$236,EXP(-D266*E2_tabla_vida!$X$237)*E2_tabla_vida!$P$237,EXP(-D266*E2_tabla_vida!$X$238)*E2_tabla_vida!$P$238,EXP(-D266*E2_tabla_vida!$X$239)*E2_tabla_vida!$P$239,EXP(-D266*E2_tabla_vida!$X$240)*E2_tabla_vida!$P$240,EXP(-D266*E2_tabla_vida!$X$241)*E2_tabla_vida!$P$241,EXP(-D266*E2_tabla_vida!$X$242)*E2_tabla_vida!$P$242,EXP(-D266*E2_tabla_vida!$X$243)*E2_tabla_vida!$P$243,EXP(-D266*E2_tabla_vida!$X$244)*E2_tabla_vida!$P$244,EXP(-D266*E2_tabla_vida!$X$245)*E2_tabla_vida!$P$245,EXP(-D266*E2_tabla_vida!$X$246)*E2_tabla_vida!$P$246,EXP(-D266*E2_tabla_vida!$X$247)*E2_tabla_vida!$P$247,EXP(-D266*E2_tabla_vida!$X$248)*E2_tabla_vida!$P$248,EXP(-D266*E2_tabla_vida!$X$249)*E2_tabla_vida!$P$249,EXP(-D266*E2_tabla_vida!$X$250)*E2_tabla_vida!$P$250,EXP(-D266*E2_tabla_vida!$X$251)*E2_tabla_vida!$P$251,EXP(-D266*E2_tabla_vida!$X$252)*E2_tabla_vida!$P$252,EXP(-D266*E2_tabla_vida!$X$253)*E2_tabla_vida!$P$253)-1</x:f>
        <x:v>-2.630494044808529e-9</x:v>
      </x:c>
    </x:row>
    <x:row r="267" ht="19" customHeight="1">
      <x:c r="A267" s="2" t="str">
        <x:v>BB_L7</x:v>
      </x:c>
      <x:c r="B267" s="2" t="n">
        <x:v>35</x:v>
      </x:c>
      <x:c r="C267" s="22" t="n">
        <x:f>IF(F266&gt;0,E266,C266)</x:f>
        <x:v>0.21084533969406039</x:v>
      </x:c>
      <x:c r="D267" s="22" t="n">
        <x:f>IF(F266&gt;0,D266,E266)</x:f>
        <x:v>0.21084533978137188</x:v>
      </x:c>
      <x:c r="E267" s="22" t="n">
        <x:f>AVERAGE(C267:D267)</x:f>
        <x:v>0.21084533973771613</x:v>
      </x:c>
      <x:c r="F267" s="24" t="n">
        <x:f>SUM(EXP(-E267*E2_tabla_vida!$X$212)*E2_tabla_vida!$P$212,EXP(-E267*E2_tabla_vida!$X$213)*E2_tabla_vida!$P$213,EXP(-E267*E2_tabla_vida!$X$214)*E2_tabla_vida!$P$214,EXP(-E267*E2_tabla_vida!$X$215)*E2_tabla_vida!$P$215,EXP(-E267*E2_tabla_vida!$X$216)*E2_tabla_vida!$P$216,EXP(-E267*E2_tabla_vida!$X$217)*E2_tabla_vida!$P$217,EXP(-E267*E2_tabla_vida!$X$218)*E2_tabla_vida!$P$218,EXP(-E267*E2_tabla_vida!$X$219)*E2_tabla_vida!$P$219,EXP(-E267*E2_tabla_vida!$X$220)*E2_tabla_vida!$P$220,EXP(-E267*E2_tabla_vida!$X$221)*E2_tabla_vida!$P$221,EXP(-E267*E2_tabla_vida!$X$222)*E2_tabla_vida!$P$222,EXP(-E267*E2_tabla_vida!$X$223)*E2_tabla_vida!$P$223,EXP(-E267*E2_tabla_vida!$X$224)*E2_tabla_vida!$P$224,EXP(-E267*E2_tabla_vida!$X$225)*E2_tabla_vida!$P$225,EXP(-E267*E2_tabla_vida!$X$226)*E2_tabla_vida!$P$226,EXP(-E267*E2_tabla_vida!$X$227)*E2_tabla_vida!$P$227,EXP(-E267*E2_tabla_vida!$X$228)*E2_tabla_vida!$P$228,EXP(-E267*E2_tabla_vida!$X$229)*E2_tabla_vida!$P$229,EXP(-E267*E2_tabla_vida!$X$230)*E2_tabla_vida!$P$230,EXP(-E267*E2_tabla_vida!$X$231)*E2_tabla_vida!$P$231,EXP(-E267*E2_tabla_vida!$X$232)*E2_tabla_vida!$P$232,EXP(-E267*E2_tabla_vida!$X$233)*E2_tabla_vida!$P$233,EXP(-E267*E2_tabla_vida!$X$234)*E2_tabla_vida!$P$234,EXP(-E267*E2_tabla_vida!$X$235)*E2_tabla_vida!$P$235,EXP(-E267*E2_tabla_vida!$X$236)*E2_tabla_vida!$P$236,EXP(-E267*E2_tabla_vida!$X$237)*E2_tabla_vida!$P$237,EXP(-E267*E2_tabla_vida!$X$238)*E2_tabla_vida!$P$238,EXP(-E267*E2_tabla_vida!$X$239)*E2_tabla_vida!$P$239,EXP(-E267*E2_tabla_vida!$X$240)*E2_tabla_vida!$P$240,EXP(-E267*E2_tabla_vida!$X$241)*E2_tabla_vida!$P$241,EXP(-E267*E2_tabla_vida!$X$242)*E2_tabla_vida!$P$242,EXP(-E267*E2_tabla_vida!$X$243)*E2_tabla_vida!$P$243,EXP(-E267*E2_tabla_vida!$X$244)*E2_tabla_vida!$P$244,EXP(-E267*E2_tabla_vida!$X$245)*E2_tabla_vida!$P$245,EXP(-E267*E2_tabla_vida!$X$246)*E2_tabla_vida!$P$246,EXP(-E267*E2_tabla_vida!$X$247)*E2_tabla_vida!$P$247,EXP(-E267*E2_tabla_vida!$X$248)*E2_tabla_vida!$P$248,EXP(-E267*E2_tabla_vida!$X$249)*E2_tabla_vida!$P$249,EXP(-E267*E2_tabla_vida!$X$250)*E2_tabla_vida!$P$250,EXP(-E267*E2_tabla_vida!$X$251)*E2_tabla_vida!$P$251,EXP(-E267*E2_tabla_vida!$X$252)*E2_tabla_vida!$P$252,EXP(-E267*E2_tabla_vida!$X$253)*E2_tabla_vida!$P$253)-1</x:f>
        <x:v>-6.260988394402034e-10</x:v>
      </x:c>
      <x:c r="G267" s="24" t="n">
        <x:f>SUM(EXP(-C267*E2_tabla_vida!$X$212)*E2_tabla_vida!$P$212,EXP(-C267*E2_tabla_vida!$X$213)*E2_tabla_vida!$P$213,EXP(-C267*E2_tabla_vida!$X$214)*E2_tabla_vida!$P$214,EXP(-C267*E2_tabla_vida!$X$215)*E2_tabla_vida!$P$215,EXP(-C267*E2_tabla_vida!$X$216)*E2_tabla_vida!$P$216,EXP(-C267*E2_tabla_vida!$X$217)*E2_tabla_vida!$P$217,EXP(-C267*E2_tabla_vida!$X$218)*E2_tabla_vida!$P$218,EXP(-C267*E2_tabla_vida!$X$219)*E2_tabla_vida!$P$219,EXP(-C267*E2_tabla_vida!$X$220)*E2_tabla_vida!$P$220,EXP(-C267*E2_tabla_vida!$X$221)*E2_tabla_vida!$P$221,EXP(-C267*E2_tabla_vida!$X$222)*E2_tabla_vida!$P$222,EXP(-C267*E2_tabla_vida!$X$223)*E2_tabla_vida!$P$223,EXP(-C267*E2_tabla_vida!$X$224)*E2_tabla_vida!$P$224,EXP(-C267*E2_tabla_vida!$X$225)*E2_tabla_vida!$P$225,EXP(-C267*E2_tabla_vida!$X$226)*E2_tabla_vida!$P$226,EXP(-C267*E2_tabla_vida!$X$227)*E2_tabla_vida!$P$227,EXP(-C267*E2_tabla_vida!$X$228)*E2_tabla_vida!$P$228,EXP(-C267*E2_tabla_vida!$X$229)*E2_tabla_vida!$P$229,EXP(-C267*E2_tabla_vida!$X$230)*E2_tabla_vida!$P$230,EXP(-C267*E2_tabla_vida!$X$231)*E2_tabla_vida!$P$231,EXP(-C267*E2_tabla_vida!$X$232)*E2_tabla_vida!$P$232,EXP(-C267*E2_tabla_vida!$X$233)*E2_tabla_vida!$P$233,EXP(-C267*E2_tabla_vida!$X$234)*E2_tabla_vida!$P$234,EXP(-C267*E2_tabla_vida!$X$235)*E2_tabla_vida!$P$235,EXP(-C267*E2_tabla_vida!$X$236)*E2_tabla_vida!$P$236,EXP(-C267*E2_tabla_vida!$X$237)*E2_tabla_vida!$P$237,EXP(-C267*E2_tabla_vida!$X$238)*E2_tabla_vida!$P$238,EXP(-C267*E2_tabla_vida!$X$239)*E2_tabla_vida!$P$239,EXP(-C267*E2_tabla_vida!$X$240)*E2_tabla_vida!$P$240,EXP(-C267*E2_tabla_vida!$X$241)*E2_tabla_vida!$P$241,EXP(-C267*E2_tabla_vida!$X$242)*E2_tabla_vida!$P$242,EXP(-C267*E2_tabla_vida!$X$243)*E2_tabla_vida!$P$243,EXP(-C267*E2_tabla_vida!$X$244)*E2_tabla_vida!$P$244,EXP(-C267*E2_tabla_vida!$X$245)*E2_tabla_vida!$P$245,EXP(-C267*E2_tabla_vida!$X$246)*E2_tabla_vida!$P$246,EXP(-C267*E2_tabla_vida!$X$247)*E2_tabla_vida!$P$247,EXP(-C267*E2_tabla_vida!$X$248)*E2_tabla_vida!$P$248,EXP(-C267*E2_tabla_vida!$X$249)*E2_tabla_vida!$P$249,EXP(-C267*E2_tabla_vida!$X$250)*E2_tabla_vida!$P$250,EXP(-C267*E2_tabla_vida!$X$251)*E2_tabla_vida!$P$251,EXP(-C267*E2_tabla_vida!$X$252)*E2_tabla_vida!$P$252,EXP(-C267*E2_tabla_vida!$X$253)*E2_tabla_vida!$P$253)-1</x:f>
        <x:v>4.20328216677035e-11</x:v>
      </x:c>
      <x:c r="H267" s="24" t="n">
        <x:f>SUM(EXP(-D267*E2_tabla_vida!$X$212)*E2_tabla_vida!$P$212,EXP(-D267*E2_tabla_vida!$X$213)*E2_tabla_vida!$P$213,EXP(-D267*E2_tabla_vida!$X$214)*E2_tabla_vida!$P$214,EXP(-D267*E2_tabla_vida!$X$215)*E2_tabla_vida!$P$215,EXP(-D267*E2_tabla_vida!$X$216)*E2_tabla_vida!$P$216,EXP(-D267*E2_tabla_vida!$X$217)*E2_tabla_vida!$P$217,EXP(-D267*E2_tabla_vida!$X$218)*E2_tabla_vida!$P$218,EXP(-D267*E2_tabla_vida!$X$219)*E2_tabla_vida!$P$219,EXP(-D267*E2_tabla_vida!$X$220)*E2_tabla_vida!$P$220,EXP(-D267*E2_tabla_vida!$X$221)*E2_tabla_vida!$P$221,EXP(-D267*E2_tabla_vida!$X$222)*E2_tabla_vida!$P$222,EXP(-D267*E2_tabla_vida!$X$223)*E2_tabla_vida!$P$223,EXP(-D267*E2_tabla_vida!$X$224)*E2_tabla_vida!$P$224,EXP(-D267*E2_tabla_vida!$X$225)*E2_tabla_vida!$P$225,EXP(-D267*E2_tabla_vida!$X$226)*E2_tabla_vida!$P$226,EXP(-D267*E2_tabla_vida!$X$227)*E2_tabla_vida!$P$227,EXP(-D267*E2_tabla_vida!$X$228)*E2_tabla_vida!$P$228,EXP(-D267*E2_tabla_vida!$X$229)*E2_tabla_vida!$P$229,EXP(-D267*E2_tabla_vida!$X$230)*E2_tabla_vida!$P$230,EXP(-D267*E2_tabla_vida!$X$231)*E2_tabla_vida!$P$231,EXP(-D267*E2_tabla_vida!$X$232)*E2_tabla_vida!$P$232,EXP(-D267*E2_tabla_vida!$X$233)*E2_tabla_vida!$P$233,EXP(-D267*E2_tabla_vida!$X$234)*E2_tabla_vida!$P$234,EXP(-D267*E2_tabla_vida!$X$235)*E2_tabla_vida!$P$235,EXP(-D267*E2_tabla_vida!$X$236)*E2_tabla_vida!$P$236,EXP(-D267*E2_tabla_vida!$X$237)*E2_tabla_vida!$P$237,EXP(-D267*E2_tabla_vida!$X$238)*E2_tabla_vida!$P$238,EXP(-D267*E2_tabla_vida!$X$239)*E2_tabla_vida!$P$239,EXP(-D267*E2_tabla_vida!$X$240)*E2_tabla_vida!$P$240,EXP(-D267*E2_tabla_vida!$X$241)*E2_tabla_vida!$P$241,EXP(-D267*E2_tabla_vida!$X$242)*E2_tabla_vida!$P$242,EXP(-D267*E2_tabla_vida!$X$243)*E2_tabla_vida!$P$243,EXP(-D267*E2_tabla_vida!$X$244)*E2_tabla_vida!$P$244,EXP(-D267*E2_tabla_vida!$X$245)*E2_tabla_vida!$P$245,EXP(-D267*E2_tabla_vida!$X$246)*E2_tabla_vida!$P$246,EXP(-D267*E2_tabla_vida!$X$247)*E2_tabla_vida!$P$247,EXP(-D267*E2_tabla_vida!$X$248)*E2_tabla_vida!$P$248,EXP(-D267*E2_tabla_vida!$X$249)*E2_tabla_vida!$P$249,EXP(-D267*E2_tabla_vida!$X$250)*E2_tabla_vida!$P$250,EXP(-D267*E2_tabla_vida!$X$251)*E2_tabla_vida!$P$251,EXP(-D267*E2_tabla_vida!$X$252)*E2_tabla_vida!$P$252,EXP(-D267*E2_tabla_vida!$X$253)*E2_tabla_vida!$P$253)-1</x:f>
        <x:v>-1.2942306115704127e-9</x:v>
      </x:c>
    </x:row>
    <x:row r="268" ht="19" customHeight="1">
      <x:c r="A268" s="2" t="str">
        <x:v>BB_L7</x:v>
      </x:c>
      <x:c r="B268" s="2" t="n">
        <x:v>36</x:v>
      </x:c>
      <x:c r="C268" s="22" t="n">
        <x:f>IF(F267&gt;0,E267,C267)</x:f>
        <x:v>0.21084533969406039</x:v>
      </x:c>
      <x:c r="D268" s="22" t="n">
        <x:f>IF(F267&gt;0,D267,E267)</x:f>
        <x:v>0.21084533973771613</x:v>
      </x:c>
      <x:c r="E268" s="22" t="n">
        <x:f>AVERAGE(C268:D268)</x:f>
        <x:v>0.21084533971588826</x:v>
      </x:c>
      <x:c r="F268" s="24" t="n">
        <x:f>SUM(EXP(-E268*E2_tabla_vida!$X$212)*E2_tabla_vida!$P$212,EXP(-E268*E2_tabla_vida!$X$213)*E2_tabla_vida!$P$213,EXP(-E268*E2_tabla_vida!$X$214)*E2_tabla_vida!$P$214,EXP(-E268*E2_tabla_vida!$X$215)*E2_tabla_vida!$P$215,EXP(-E268*E2_tabla_vida!$X$216)*E2_tabla_vida!$P$216,EXP(-E268*E2_tabla_vida!$X$217)*E2_tabla_vida!$P$217,EXP(-E268*E2_tabla_vida!$X$218)*E2_tabla_vida!$P$218,EXP(-E268*E2_tabla_vida!$X$219)*E2_tabla_vida!$P$219,EXP(-E268*E2_tabla_vida!$X$220)*E2_tabla_vida!$P$220,EXP(-E268*E2_tabla_vida!$X$221)*E2_tabla_vida!$P$221,EXP(-E268*E2_tabla_vida!$X$222)*E2_tabla_vida!$P$222,EXP(-E268*E2_tabla_vida!$X$223)*E2_tabla_vida!$P$223,EXP(-E268*E2_tabla_vida!$X$224)*E2_tabla_vida!$P$224,EXP(-E268*E2_tabla_vida!$X$225)*E2_tabla_vida!$P$225,EXP(-E268*E2_tabla_vida!$X$226)*E2_tabla_vida!$P$226,EXP(-E268*E2_tabla_vida!$X$227)*E2_tabla_vida!$P$227,EXP(-E268*E2_tabla_vida!$X$228)*E2_tabla_vida!$P$228,EXP(-E268*E2_tabla_vida!$X$229)*E2_tabla_vida!$P$229,EXP(-E268*E2_tabla_vida!$X$230)*E2_tabla_vida!$P$230,EXP(-E268*E2_tabla_vida!$X$231)*E2_tabla_vida!$P$231,EXP(-E268*E2_tabla_vida!$X$232)*E2_tabla_vida!$P$232,EXP(-E268*E2_tabla_vida!$X$233)*E2_tabla_vida!$P$233,EXP(-E268*E2_tabla_vida!$X$234)*E2_tabla_vida!$P$234,EXP(-E268*E2_tabla_vida!$X$235)*E2_tabla_vida!$P$235,EXP(-E268*E2_tabla_vida!$X$236)*E2_tabla_vida!$P$236,EXP(-E268*E2_tabla_vida!$X$237)*E2_tabla_vida!$P$237,EXP(-E268*E2_tabla_vida!$X$238)*E2_tabla_vida!$P$238,EXP(-E268*E2_tabla_vida!$X$239)*E2_tabla_vida!$P$239,EXP(-E268*E2_tabla_vida!$X$240)*E2_tabla_vida!$P$240,EXP(-E268*E2_tabla_vida!$X$241)*E2_tabla_vida!$P$241,EXP(-E268*E2_tabla_vida!$X$242)*E2_tabla_vida!$P$242,EXP(-E268*E2_tabla_vida!$X$243)*E2_tabla_vida!$P$243,EXP(-E268*E2_tabla_vida!$X$244)*E2_tabla_vida!$P$244,EXP(-E268*E2_tabla_vida!$X$245)*E2_tabla_vida!$P$245,EXP(-E268*E2_tabla_vida!$X$246)*E2_tabla_vida!$P$246,EXP(-E268*E2_tabla_vida!$X$247)*E2_tabla_vida!$P$247,EXP(-E268*E2_tabla_vida!$X$248)*E2_tabla_vida!$P$248,EXP(-E268*E2_tabla_vida!$X$249)*E2_tabla_vida!$P$249,EXP(-E268*E2_tabla_vida!$X$250)*E2_tabla_vida!$P$250,EXP(-E268*E2_tabla_vida!$X$251)*E2_tabla_vida!$P$251,EXP(-E268*E2_tabla_vida!$X$252)*E2_tabla_vida!$P$252,EXP(-E268*E2_tabla_vida!$X$253)*E2_tabla_vida!$P$253)-1</x:f>
        <x:v>-2.9203284235279625e-10</x:v>
      </x:c>
      <x:c r="G268" s="24" t="n">
        <x:f>SUM(EXP(-C268*E2_tabla_vida!$X$212)*E2_tabla_vida!$P$212,EXP(-C268*E2_tabla_vida!$X$213)*E2_tabla_vida!$P$213,EXP(-C268*E2_tabla_vida!$X$214)*E2_tabla_vida!$P$214,EXP(-C268*E2_tabla_vida!$X$215)*E2_tabla_vida!$P$215,EXP(-C268*E2_tabla_vida!$X$216)*E2_tabla_vida!$P$216,EXP(-C268*E2_tabla_vida!$X$217)*E2_tabla_vida!$P$217,EXP(-C268*E2_tabla_vida!$X$218)*E2_tabla_vida!$P$218,EXP(-C268*E2_tabla_vida!$X$219)*E2_tabla_vida!$P$219,EXP(-C268*E2_tabla_vida!$X$220)*E2_tabla_vida!$P$220,EXP(-C268*E2_tabla_vida!$X$221)*E2_tabla_vida!$P$221,EXP(-C268*E2_tabla_vida!$X$222)*E2_tabla_vida!$P$222,EXP(-C268*E2_tabla_vida!$X$223)*E2_tabla_vida!$P$223,EXP(-C268*E2_tabla_vida!$X$224)*E2_tabla_vida!$P$224,EXP(-C268*E2_tabla_vida!$X$225)*E2_tabla_vida!$P$225,EXP(-C268*E2_tabla_vida!$X$226)*E2_tabla_vida!$P$226,EXP(-C268*E2_tabla_vida!$X$227)*E2_tabla_vida!$P$227,EXP(-C268*E2_tabla_vida!$X$228)*E2_tabla_vida!$P$228,EXP(-C268*E2_tabla_vida!$X$229)*E2_tabla_vida!$P$229,EXP(-C268*E2_tabla_vida!$X$230)*E2_tabla_vida!$P$230,EXP(-C268*E2_tabla_vida!$X$231)*E2_tabla_vida!$P$231,EXP(-C268*E2_tabla_vida!$X$232)*E2_tabla_vida!$P$232,EXP(-C268*E2_tabla_vida!$X$233)*E2_tabla_vida!$P$233,EXP(-C268*E2_tabla_vida!$X$234)*E2_tabla_vida!$P$234,EXP(-C268*E2_tabla_vida!$X$235)*E2_tabla_vida!$P$235,EXP(-C268*E2_tabla_vida!$X$236)*E2_tabla_vida!$P$236,EXP(-C268*E2_tabla_vida!$X$237)*E2_tabla_vida!$P$237,EXP(-C268*E2_tabla_vida!$X$238)*E2_tabla_vida!$P$238,EXP(-C268*E2_tabla_vida!$X$239)*E2_tabla_vida!$P$239,EXP(-C268*E2_tabla_vida!$X$240)*E2_tabla_vida!$P$240,EXP(-C268*E2_tabla_vida!$X$241)*E2_tabla_vida!$P$241,EXP(-C268*E2_tabla_vida!$X$242)*E2_tabla_vida!$P$242,EXP(-C268*E2_tabla_vida!$X$243)*E2_tabla_vida!$P$243,EXP(-C268*E2_tabla_vida!$X$244)*E2_tabla_vida!$P$244,EXP(-C268*E2_tabla_vida!$X$245)*E2_tabla_vida!$P$245,EXP(-C268*E2_tabla_vida!$X$246)*E2_tabla_vida!$P$246,EXP(-C268*E2_tabla_vida!$X$247)*E2_tabla_vida!$P$247,EXP(-C268*E2_tabla_vida!$X$248)*E2_tabla_vida!$P$248,EXP(-C268*E2_tabla_vida!$X$249)*E2_tabla_vida!$P$249,EXP(-C268*E2_tabla_vida!$X$250)*E2_tabla_vida!$P$250,EXP(-C268*E2_tabla_vida!$X$251)*E2_tabla_vida!$P$251,EXP(-C268*E2_tabla_vida!$X$252)*E2_tabla_vida!$P$252,EXP(-C268*E2_tabla_vida!$X$253)*E2_tabla_vida!$P$253)-1</x:f>
        <x:v>4.20328216677035e-11</x:v>
      </x:c>
      <x:c r="H268" s="24" t="n">
        <x:f>SUM(EXP(-D268*E2_tabla_vida!$X$212)*E2_tabla_vida!$P$212,EXP(-D268*E2_tabla_vida!$X$213)*E2_tabla_vida!$P$213,EXP(-D268*E2_tabla_vida!$X$214)*E2_tabla_vida!$P$214,EXP(-D268*E2_tabla_vida!$X$215)*E2_tabla_vida!$P$215,EXP(-D268*E2_tabla_vida!$X$216)*E2_tabla_vida!$P$216,EXP(-D268*E2_tabla_vida!$X$217)*E2_tabla_vida!$P$217,EXP(-D268*E2_tabla_vida!$X$218)*E2_tabla_vida!$P$218,EXP(-D268*E2_tabla_vida!$X$219)*E2_tabla_vida!$P$219,EXP(-D268*E2_tabla_vida!$X$220)*E2_tabla_vida!$P$220,EXP(-D268*E2_tabla_vida!$X$221)*E2_tabla_vida!$P$221,EXP(-D268*E2_tabla_vida!$X$222)*E2_tabla_vida!$P$222,EXP(-D268*E2_tabla_vida!$X$223)*E2_tabla_vida!$P$223,EXP(-D268*E2_tabla_vida!$X$224)*E2_tabla_vida!$P$224,EXP(-D268*E2_tabla_vida!$X$225)*E2_tabla_vida!$P$225,EXP(-D268*E2_tabla_vida!$X$226)*E2_tabla_vida!$P$226,EXP(-D268*E2_tabla_vida!$X$227)*E2_tabla_vida!$P$227,EXP(-D268*E2_tabla_vida!$X$228)*E2_tabla_vida!$P$228,EXP(-D268*E2_tabla_vida!$X$229)*E2_tabla_vida!$P$229,EXP(-D268*E2_tabla_vida!$X$230)*E2_tabla_vida!$P$230,EXP(-D268*E2_tabla_vida!$X$231)*E2_tabla_vida!$P$231,EXP(-D268*E2_tabla_vida!$X$232)*E2_tabla_vida!$P$232,EXP(-D268*E2_tabla_vida!$X$233)*E2_tabla_vida!$P$233,EXP(-D268*E2_tabla_vida!$X$234)*E2_tabla_vida!$P$234,EXP(-D268*E2_tabla_vida!$X$235)*E2_tabla_vida!$P$235,EXP(-D268*E2_tabla_vida!$X$236)*E2_tabla_vida!$P$236,EXP(-D268*E2_tabla_vida!$X$237)*E2_tabla_vida!$P$237,EXP(-D268*E2_tabla_vida!$X$238)*E2_tabla_vida!$P$238,EXP(-D268*E2_tabla_vida!$X$239)*E2_tabla_vida!$P$239,EXP(-D268*E2_tabla_vida!$X$240)*E2_tabla_vida!$P$240,EXP(-D268*E2_tabla_vida!$X$241)*E2_tabla_vida!$P$241,EXP(-D268*E2_tabla_vida!$X$242)*E2_tabla_vida!$P$242,EXP(-D268*E2_tabla_vida!$X$243)*E2_tabla_vida!$P$243,EXP(-D268*E2_tabla_vida!$X$244)*E2_tabla_vida!$P$244,EXP(-D268*E2_tabla_vida!$X$245)*E2_tabla_vida!$P$245,EXP(-D268*E2_tabla_vida!$X$246)*E2_tabla_vida!$P$246,EXP(-D268*E2_tabla_vida!$X$247)*E2_tabla_vida!$P$247,EXP(-D268*E2_tabla_vida!$X$248)*E2_tabla_vida!$P$248,EXP(-D268*E2_tabla_vida!$X$249)*E2_tabla_vida!$P$249,EXP(-D268*E2_tabla_vida!$X$250)*E2_tabla_vida!$P$250,EXP(-D268*E2_tabla_vida!$X$251)*E2_tabla_vida!$P$251,EXP(-D268*E2_tabla_vida!$X$252)*E2_tabla_vida!$P$252,EXP(-D268*E2_tabla_vida!$X$253)*E2_tabla_vida!$P$253)-1</x:f>
        <x:v>-6.260988394402034e-10</x:v>
      </x:c>
    </x:row>
    <x:row r="269" ht="19" customHeight="1">
      <x:c r="A269" s="2" t="str">
        <x:v>BB_L7</x:v>
      </x:c>
      <x:c r="B269" s="2" t="n">
        <x:v>37</x:v>
      </x:c>
      <x:c r="C269" s="22" t="n">
        <x:f>IF(F268&gt;0,E268,C268)</x:f>
        <x:v>0.21084533969406039</x:v>
      </x:c>
      <x:c r="D269" s="22" t="n">
        <x:f>IF(F268&gt;0,D268,E268)</x:f>
        <x:v>0.21084533971588826</x:v>
      </x:c>
      <x:c r="E269" s="22" t="n">
        <x:f>AVERAGE(C269:D269)</x:f>
        <x:v>0.21084533970497432</x:v>
      </x:c>
      <x:c r="F269" s="24" t="n">
        <x:f>SUM(EXP(-E269*E2_tabla_vida!$X$212)*E2_tabla_vida!$P$212,EXP(-E269*E2_tabla_vida!$X$213)*E2_tabla_vida!$P$213,EXP(-E269*E2_tabla_vida!$X$214)*E2_tabla_vida!$P$214,EXP(-E269*E2_tabla_vida!$X$215)*E2_tabla_vida!$P$215,EXP(-E269*E2_tabla_vida!$X$216)*E2_tabla_vida!$P$216,EXP(-E269*E2_tabla_vida!$X$217)*E2_tabla_vida!$P$217,EXP(-E269*E2_tabla_vida!$X$218)*E2_tabla_vida!$P$218,EXP(-E269*E2_tabla_vida!$X$219)*E2_tabla_vida!$P$219,EXP(-E269*E2_tabla_vida!$X$220)*E2_tabla_vida!$P$220,EXP(-E269*E2_tabla_vida!$X$221)*E2_tabla_vida!$P$221,EXP(-E269*E2_tabla_vida!$X$222)*E2_tabla_vida!$P$222,EXP(-E269*E2_tabla_vida!$X$223)*E2_tabla_vida!$P$223,EXP(-E269*E2_tabla_vida!$X$224)*E2_tabla_vida!$P$224,EXP(-E269*E2_tabla_vida!$X$225)*E2_tabla_vida!$P$225,EXP(-E269*E2_tabla_vida!$X$226)*E2_tabla_vida!$P$226,EXP(-E269*E2_tabla_vida!$X$227)*E2_tabla_vida!$P$227,EXP(-E269*E2_tabla_vida!$X$228)*E2_tabla_vida!$P$228,EXP(-E269*E2_tabla_vida!$X$229)*E2_tabla_vida!$P$229,EXP(-E269*E2_tabla_vida!$X$230)*E2_tabla_vida!$P$230,EXP(-E269*E2_tabla_vida!$X$231)*E2_tabla_vida!$P$231,EXP(-E269*E2_tabla_vida!$X$232)*E2_tabla_vida!$P$232,EXP(-E269*E2_tabla_vida!$X$233)*E2_tabla_vida!$P$233,EXP(-E269*E2_tabla_vida!$X$234)*E2_tabla_vida!$P$234,EXP(-E269*E2_tabla_vida!$X$235)*E2_tabla_vida!$P$235,EXP(-E269*E2_tabla_vida!$X$236)*E2_tabla_vida!$P$236,EXP(-E269*E2_tabla_vida!$X$237)*E2_tabla_vida!$P$237,EXP(-E269*E2_tabla_vida!$X$238)*E2_tabla_vida!$P$238,EXP(-E269*E2_tabla_vida!$X$239)*E2_tabla_vida!$P$239,EXP(-E269*E2_tabla_vida!$X$240)*E2_tabla_vida!$P$240,EXP(-E269*E2_tabla_vida!$X$241)*E2_tabla_vida!$P$241,EXP(-E269*E2_tabla_vida!$X$242)*E2_tabla_vida!$P$242,EXP(-E269*E2_tabla_vida!$X$243)*E2_tabla_vida!$P$243,EXP(-E269*E2_tabla_vida!$X$244)*E2_tabla_vida!$P$244,EXP(-E269*E2_tabla_vida!$X$245)*E2_tabla_vida!$P$245,EXP(-E269*E2_tabla_vida!$X$246)*E2_tabla_vida!$P$246,EXP(-E269*E2_tabla_vida!$X$247)*E2_tabla_vida!$P$247,EXP(-E269*E2_tabla_vida!$X$248)*E2_tabla_vida!$P$248,EXP(-E269*E2_tabla_vida!$X$249)*E2_tabla_vida!$P$249,EXP(-E269*E2_tabla_vida!$X$250)*E2_tabla_vida!$P$250,EXP(-E269*E2_tabla_vida!$X$251)*E2_tabla_vida!$P$251,EXP(-E269*E2_tabla_vida!$X$252)*E2_tabla_vida!$P$252,EXP(-E269*E2_tabla_vida!$X$253)*E2_tabla_vida!$P$253)-1</x:f>
        <x:v>-1.2500012136484884e-10</x:v>
      </x:c>
      <x:c r="G269" s="24" t="n">
        <x:f>SUM(EXP(-C269*E2_tabla_vida!$X$212)*E2_tabla_vida!$P$212,EXP(-C269*E2_tabla_vida!$X$213)*E2_tabla_vida!$P$213,EXP(-C269*E2_tabla_vida!$X$214)*E2_tabla_vida!$P$214,EXP(-C269*E2_tabla_vida!$X$215)*E2_tabla_vida!$P$215,EXP(-C269*E2_tabla_vida!$X$216)*E2_tabla_vida!$P$216,EXP(-C269*E2_tabla_vida!$X$217)*E2_tabla_vida!$P$217,EXP(-C269*E2_tabla_vida!$X$218)*E2_tabla_vida!$P$218,EXP(-C269*E2_tabla_vida!$X$219)*E2_tabla_vida!$P$219,EXP(-C269*E2_tabla_vida!$X$220)*E2_tabla_vida!$P$220,EXP(-C269*E2_tabla_vida!$X$221)*E2_tabla_vida!$P$221,EXP(-C269*E2_tabla_vida!$X$222)*E2_tabla_vida!$P$222,EXP(-C269*E2_tabla_vida!$X$223)*E2_tabla_vida!$P$223,EXP(-C269*E2_tabla_vida!$X$224)*E2_tabla_vida!$P$224,EXP(-C269*E2_tabla_vida!$X$225)*E2_tabla_vida!$P$225,EXP(-C269*E2_tabla_vida!$X$226)*E2_tabla_vida!$P$226,EXP(-C269*E2_tabla_vida!$X$227)*E2_tabla_vida!$P$227,EXP(-C269*E2_tabla_vida!$X$228)*E2_tabla_vida!$P$228,EXP(-C269*E2_tabla_vida!$X$229)*E2_tabla_vida!$P$229,EXP(-C269*E2_tabla_vida!$X$230)*E2_tabla_vida!$P$230,EXP(-C269*E2_tabla_vida!$X$231)*E2_tabla_vida!$P$231,EXP(-C269*E2_tabla_vida!$X$232)*E2_tabla_vida!$P$232,EXP(-C269*E2_tabla_vida!$X$233)*E2_tabla_vida!$P$233,EXP(-C269*E2_tabla_vida!$X$234)*E2_tabla_vida!$P$234,EXP(-C269*E2_tabla_vida!$X$235)*E2_tabla_vida!$P$235,EXP(-C269*E2_tabla_vida!$X$236)*E2_tabla_vida!$P$236,EXP(-C269*E2_tabla_vida!$X$237)*E2_tabla_vida!$P$237,EXP(-C269*E2_tabla_vida!$X$238)*E2_tabla_vida!$P$238,EXP(-C269*E2_tabla_vida!$X$239)*E2_tabla_vida!$P$239,EXP(-C269*E2_tabla_vida!$X$240)*E2_tabla_vida!$P$240,EXP(-C269*E2_tabla_vida!$X$241)*E2_tabla_vida!$P$241,EXP(-C269*E2_tabla_vida!$X$242)*E2_tabla_vida!$P$242,EXP(-C269*E2_tabla_vida!$X$243)*E2_tabla_vida!$P$243,EXP(-C269*E2_tabla_vida!$X$244)*E2_tabla_vida!$P$244,EXP(-C269*E2_tabla_vida!$X$245)*E2_tabla_vida!$P$245,EXP(-C269*E2_tabla_vida!$X$246)*E2_tabla_vida!$P$246,EXP(-C269*E2_tabla_vida!$X$247)*E2_tabla_vida!$P$247,EXP(-C269*E2_tabla_vida!$X$248)*E2_tabla_vida!$P$248,EXP(-C269*E2_tabla_vida!$X$249)*E2_tabla_vida!$P$249,EXP(-C269*E2_tabla_vida!$X$250)*E2_tabla_vida!$P$250,EXP(-C269*E2_tabla_vida!$X$251)*E2_tabla_vida!$P$251,EXP(-C269*E2_tabla_vida!$X$252)*E2_tabla_vida!$P$252,EXP(-C269*E2_tabla_vida!$X$253)*E2_tabla_vida!$P$253)-1</x:f>
        <x:v>4.20328216677035e-11</x:v>
      </x:c>
      <x:c r="H269" s="24" t="n">
        <x:f>SUM(EXP(-D269*E2_tabla_vida!$X$212)*E2_tabla_vida!$P$212,EXP(-D269*E2_tabla_vida!$X$213)*E2_tabla_vida!$P$213,EXP(-D269*E2_tabla_vida!$X$214)*E2_tabla_vida!$P$214,EXP(-D269*E2_tabla_vida!$X$215)*E2_tabla_vida!$P$215,EXP(-D269*E2_tabla_vida!$X$216)*E2_tabla_vida!$P$216,EXP(-D269*E2_tabla_vida!$X$217)*E2_tabla_vida!$P$217,EXP(-D269*E2_tabla_vida!$X$218)*E2_tabla_vida!$P$218,EXP(-D269*E2_tabla_vida!$X$219)*E2_tabla_vida!$P$219,EXP(-D269*E2_tabla_vida!$X$220)*E2_tabla_vida!$P$220,EXP(-D269*E2_tabla_vida!$X$221)*E2_tabla_vida!$P$221,EXP(-D269*E2_tabla_vida!$X$222)*E2_tabla_vida!$P$222,EXP(-D269*E2_tabla_vida!$X$223)*E2_tabla_vida!$P$223,EXP(-D269*E2_tabla_vida!$X$224)*E2_tabla_vida!$P$224,EXP(-D269*E2_tabla_vida!$X$225)*E2_tabla_vida!$P$225,EXP(-D269*E2_tabla_vida!$X$226)*E2_tabla_vida!$P$226,EXP(-D269*E2_tabla_vida!$X$227)*E2_tabla_vida!$P$227,EXP(-D269*E2_tabla_vida!$X$228)*E2_tabla_vida!$P$228,EXP(-D269*E2_tabla_vida!$X$229)*E2_tabla_vida!$P$229,EXP(-D269*E2_tabla_vida!$X$230)*E2_tabla_vida!$P$230,EXP(-D269*E2_tabla_vida!$X$231)*E2_tabla_vida!$P$231,EXP(-D269*E2_tabla_vida!$X$232)*E2_tabla_vida!$P$232,EXP(-D269*E2_tabla_vida!$X$233)*E2_tabla_vida!$P$233,EXP(-D269*E2_tabla_vida!$X$234)*E2_tabla_vida!$P$234,EXP(-D269*E2_tabla_vida!$X$235)*E2_tabla_vida!$P$235,EXP(-D269*E2_tabla_vida!$X$236)*E2_tabla_vida!$P$236,EXP(-D269*E2_tabla_vida!$X$237)*E2_tabla_vida!$P$237,EXP(-D269*E2_tabla_vida!$X$238)*E2_tabla_vida!$P$238,EXP(-D269*E2_tabla_vida!$X$239)*E2_tabla_vida!$P$239,EXP(-D269*E2_tabla_vida!$X$240)*E2_tabla_vida!$P$240,EXP(-D269*E2_tabla_vida!$X$241)*E2_tabla_vida!$P$241,EXP(-D269*E2_tabla_vida!$X$242)*E2_tabla_vida!$P$242,EXP(-D269*E2_tabla_vida!$X$243)*E2_tabla_vida!$P$243,EXP(-D269*E2_tabla_vida!$X$244)*E2_tabla_vida!$P$244,EXP(-D269*E2_tabla_vida!$X$245)*E2_tabla_vida!$P$245,EXP(-D269*E2_tabla_vida!$X$246)*E2_tabla_vida!$P$246,EXP(-D269*E2_tabla_vida!$X$247)*E2_tabla_vida!$P$247,EXP(-D269*E2_tabla_vida!$X$248)*E2_tabla_vida!$P$248,EXP(-D269*E2_tabla_vida!$X$249)*E2_tabla_vida!$P$249,EXP(-D269*E2_tabla_vida!$X$250)*E2_tabla_vida!$P$250,EXP(-D269*E2_tabla_vida!$X$251)*E2_tabla_vida!$P$251,EXP(-D269*E2_tabla_vida!$X$252)*E2_tabla_vida!$P$252,EXP(-D269*E2_tabla_vida!$X$253)*E2_tabla_vida!$P$253)-1</x:f>
        <x:v>-2.9203284235279625e-10</x:v>
      </x:c>
    </x:row>
    <x:row r="270" ht="19" customHeight="1">
      <x:c r="A270" s="2" t="str">
        <x:v>BB_L7</x:v>
      </x:c>
      <x:c r="B270" s="2" t="n">
        <x:v>38</x:v>
      </x:c>
      <x:c r="C270" s="22" t="n">
        <x:f>IF(F269&gt;0,E269,C269)</x:f>
        <x:v>0.21084533969406039</x:v>
      </x:c>
      <x:c r="D270" s="22" t="n">
        <x:f>IF(F269&gt;0,D269,E269)</x:f>
        <x:v>0.21084533970497432</x:v>
      </x:c>
      <x:c r="E270" s="22" t="n">
        <x:f>AVERAGE(C270:D270)</x:f>
        <x:v>0.21084533969951735</x:v>
      </x:c>
      <x:c r="F270" s="24" t="n">
        <x:f>SUM(EXP(-E270*E2_tabla_vida!$X$212)*E2_tabla_vida!$P$212,EXP(-E270*E2_tabla_vida!$X$213)*E2_tabla_vida!$P$213,EXP(-E270*E2_tabla_vida!$X$214)*E2_tabla_vida!$P$214,EXP(-E270*E2_tabla_vida!$X$215)*E2_tabla_vida!$P$215,EXP(-E270*E2_tabla_vida!$X$216)*E2_tabla_vida!$P$216,EXP(-E270*E2_tabla_vida!$X$217)*E2_tabla_vida!$P$217,EXP(-E270*E2_tabla_vida!$X$218)*E2_tabla_vida!$P$218,EXP(-E270*E2_tabla_vida!$X$219)*E2_tabla_vida!$P$219,EXP(-E270*E2_tabla_vida!$X$220)*E2_tabla_vida!$P$220,EXP(-E270*E2_tabla_vida!$X$221)*E2_tabla_vida!$P$221,EXP(-E270*E2_tabla_vida!$X$222)*E2_tabla_vida!$P$222,EXP(-E270*E2_tabla_vida!$X$223)*E2_tabla_vida!$P$223,EXP(-E270*E2_tabla_vida!$X$224)*E2_tabla_vida!$P$224,EXP(-E270*E2_tabla_vida!$X$225)*E2_tabla_vida!$P$225,EXP(-E270*E2_tabla_vida!$X$226)*E2_tabla_vida!$P$226,EXP(-E270*E2_tabla_vida!$X$227)*E2_tabla_vida!$P$227,EXP(-E270*E2_tabla_vida!$X$228)*E2_tabla_vida!$P$228,EXP(-E270*E2_tabla_vida!$X$229)*E2_tabla_vida!$P$229,EXP(-E270*E2_tabla_vida!$X$230)*E2_tabla_vida!$P$230,EXP(-E270*E2_tabla_vida!$X$231)*E2_tabla_vida!$P$231,EXP(-E270*E2_tabla_vida!$X$232)*E2_tabla_vida!$P$232,EXP(-E270*E2_tabla_vida!$X$233)*E2_tabla_vida!$P$233,EXP(-E270*E2_tabla_vida!$X$234)*E2_tabla_vida!$P$234,EXP(-E270*E2_tabla_vida!$X$235)*E2_tabla_vida!$P$235,EXP(-E270*E2_tabla_vida!$X$236)*E2_tabla_vida!$P$236,EXP(-E270*E2_tabla_vida!$X$237)*E2_tabla_vida!$P$237,EXP(-E270*E2_tabla_vida!$X$238)*E2_tabla_vida!$P$238,EXP(-E270*E2_tabla_vida!$X$239)*E2_tabla_vida!$P$239,EXP(-E270*E2_tabla_vida!$X$240)*E2_tabla_vida!$P$240,EXP(-E270*E2_tabla_vida!$X$241)*E2_tabla_vida!$P$241,EXP(-E270*E2_tabla_vida!$X$242)*E2_tabla_vida!$P$242,EXP(-E270*E2_tabla_vida!$X$243)*E2_tabla_vida!$P$243,EXP(-E270*E2_tabla_vida!$X$244)*E2_tabla_vida!$P$244,EXP(-E270*E2_tabla_vida!$X$245)*E2_tabla_vida!$P$245,EXP(-E270*E2_tabla_vida!$X$246)*E2_tabla_vida!$P$246,EXP(-E270*E2_tabla_vida!$X$247)*E2_tabla_vida!$P$247,EXP(-E270*E2_tabla_vida!$X$248)*E2_tabla_vida!$P$248,EXP(-E270*E2_tabla_vida!$X$249)*E2_tabla_vida!$P$249,EXP(-E270*E2_tabla_vida!$X$250)*E2_tabla_vida!$P$250,EXP(-E270*E2_tabla_vida!$X$251)*E2_tabla_vida!$P$251,EXP(-E270*E2_tabla_vida!$X$252)*E2_tabla_vida!$P$252,EXP(-E270*E2_tabla_vida!$X$253)*E2_tabla_vida!$P$253)-1</x:f>
        <x:v>-4.1483483315118974e-11</x:v>
      </x:c>
      <x:c r="G270" s="24" t="n">
        <x:f>SUM(EXP(-C270*E2_tabla_vida!$X$212)*E2_tabla_vida!$P$212,EXP(-C270*E2_tabla_vida!$X$213)*E2_tabla_vida!$P$213,EXP(-C270*E2_tabla_vida!$X$214)*E2_tabla_vida!$P$214,EXP(-C270*E2_tabla_vida!$X$215)*E2_tabla_vida!$P$215,EXP(-C270*E2_tabla_vida!$X$216)*E2_tabla_vida!$P$216,EXP(-C270*E2_tabla_vida!$X$217)*E2_tabla_vida!$P$217,EXP(-C270*E2_tabla_vida!$X$218)*E2_tabla_vida!$P$218,EXP(-C270*E2_tabla_vida!$X$219)*E2_tabla_vida!$P$219,EXP(-C270*E2_tabla_vida!$X$220)*E2_tabla_vida!$P$220,EXP(-C270*E2_tabla_vida!$X$221)*E2_tabla_vida!$P$221,EXP(-C270*E2_tabla_vida!$X$222)*E2_tabla_vida!$P$222,EXP(-C270*E2_tabla_vida!$X$223)*E2_tabla_vida!$P$223,EXP(-C270*E2_tabla_vida!$X$224)*E2_tabla_vida!$P$224,EXP(-C270*E2_tabla_vida!$X$225)*E2_tabla_vida!$P$225,EXP(-C270*E2_tabla_vida!$X$226)*E2_tabla_vida!$P$226,EXP(-C270*E2_tabla_vida!$X$227)*E2_tabla_vida!$P$227,EXP(-C270*E2_tabla_vida!$X$228)*E2_tabla_vida!$P$228,EXP(-C270*E2_tabla_vida!$X$229)*E2_tabla_vida!$P$229,EXP(-C270*E2_tabla_vida!$X$230)*E2_tabla_vida!$P$230,EXP(-C270*E2_tabla_vida!$X$231)*E2_tabla_vida!$P$231,EXP(-C270*E2_tabla_vida!$X$232)*E2_tabla_vida!$P$232,EXP(-C270*E2_tabla_vida!$X$233)*E2_tabla_vida!$P$233,EXP(-C270*E2_tabla_vida!$X$234)*E2_tabla_vida!$P$234,EXP(-C270*E2_tabla_vida!$X$235)*E2_tabla_vida!$P$235,EXP(-C270*E2_tabla_vida!$X$236)*E2_tabla_vida!$P$236,EXP(-C270*E2_tabla_vida!$X$237)*E2_tabla_vida!$P$237,EXP(-C270*E2_tabla_vida!$X$238)*E2_tabla_vida!$P$238,EXP(-C270*E2_tabla_vida!$X$239)*E2_tabla_vida!$P$239,EXP(-C270*E2_tabla_vida!$X$240)*E2_tabla_vida!$P$240,EXP(-C270*E2_tabla_vida!$X$241)*E2_tabla_vida!$P$241,EXP(-C270*E2_tabla_vida!$X$242)*E2_tabla_vida!$P$242,EXP(-C270*E2_tabla_vida!$X$243)*E2_tabla_vida!$P$243,EXP(-C270*E2_tabla_vida!$X$244)*E2_tabla_vida!$P$244,EXP(-C270*E2_tabla_vida!$X$245)*E2_tabla_vida!$P$245,EXP(-C270*E2_tabla_vida!$X$246)*E2_tabla_vida!$P$246,EXP(-C270*E2_tabla_vida!$X$247)*E2_tabla_vida!$P$247,EXP(-C270*E2_tabla_vida!$X$248)*E2_tabla_vida!$P$248,EXP(-C270*E2_tabla_vida!$X$249)*E2_tabla_vida!$P$249,EXP(-C270*E2_tabla_vida!$X$250)*E2_tabla_vida!$P$250,EXP(-C270*E2_tabla_vida!$X$251)*E2_tabla_vida!$P$251,EXP(-C270*E2_tabla_vida!$X$252)*E2_tabla_vida!$P$252,EXP(-C270*E2_tabla_vida!$X$253)*E2_tabla_vida!$P$253)-1</x:f>
        <x:v>4.20328216677035e-11</x:v>
      </x:c>
      <x:c r="H270" s="24" t="n">
        <x:f>SUM(EXP(-D270*E2_tabla_vida!$X$212)*E2_tabla_vida!$P$212,EXP(-D270*E2_tabla_vida!$X$213)*E2_tabla_vida!$P$213,EXP(-D270*E2_tabla_vida!$X$214)*E2_tabla_vida!$P$214,EXP(-D270*E2_tabla_vida!$X$215)*E2_tabla_vida!$P$215,EXP(-D270*E2_tabla_vida!$X$216)*E2_tabla_vida!$P$216,EXP(-D270*E2_tabla_vida!$X$217)*E2_tabla_vida!$P$217,EXP(-D270*E2_tabla_vida!$X$218)*E2_tabla_vida!$P$218,EXP(-D270*E2_tabla_vida!$X$219)*E2_tabla_vida!$P$219,EXP(-D270*E2_tabla_vida!$X$220)*E2_tabla_vida!$P$220,EXP(-D270*E2_tabla_vida!$X$221)*E2_tabla_vida!$P$221,EXP(-D270*E2_tabla_vida!$X$222)*E2_tabla_vida!$P$222,EXP(-D270*E2_tabla_vida!$X$223)*E2_tabla_vida!$P$223,EXP(-D270*E2_tabla_vida!$X$224)*E2_tabla_vida!$P$224,EXP(-D270*E2_tabla_vida!$X$225)*E2_tabla_vida!$P$225,EXP(-D270*E2_tabla_vida!$X$226)*E2_tabla_vida!$P$226,EXP(-D270*E2_tabla_vida!$X$227)*E2_tabla_vida!$P$227,EXP(-D270*E2_tabla_vida!$X$228)*E2_tabla_vida!$P$228,EXP(-D270*E2_tabla_vida!$X$229)*E2_tabla_vida!$P$229,EXP(-D270*E2_tabla_vida!$X$230)*E2_tabla_vida!$P$230,EXP(-D270*E2_tabla_vida!$X$231)*E2_tabla_vida!$P$231,EXP(-D270*E2_tabla_vida!$X$232)*E2_tabla_vida!$P$232,EXP(-D270*E2_tabla_vida!$X$233)*E2_tabla_vida!$P$233,EXP(-D270*E2_tabla_vida!$X$234)*E2_tabla_vida!$P$234,EXP(-D270*E2_tabla_vida!$X$235)*E2_tabla_vida!$P$235,EXP(-D270*E2_tabla_vida!$X$236)*E2_tabla_vida!$P$236,EXP(-D270*E2_tabla_vida!$X$237)*E2_tabla_vida!$P$237,EXP(-D270*E2_tabla_vida!$X$238)*E2_tabla_vida!$P$238,EXP(-D270*E2_tabla_vida!$X$239)*E2_tabla_vida!$P$239,EXP(-D270*E2_tabla_vida!$X$240)*E2_tabla_vida!$P$240,EXP(-D270*E2_tabla_vida!$X$241)*E2_tabla_vida!$P$241,EXP(-D270*E2_tabla_vida!$X$242)*E2_tabla_vida!$P$242,EXP(-D270*E2_tabla_vida!$X$243)*E2_tabla_vida!$P$243,EXP(-D270*E2_tabla_vida!$X$244)*E2_tabla_vida!$P$244,EXP(-D270*E2_tabla_vida!$X$245)*E2_tabla_vida!$P$245,EXP(-D270*E2_tabla_vida!$X$246)*E2_tabla_vida!$P$246,EXP(-D270*E2_tabla_vida!$X$247)*E2_tabla_vida!$P$247,EXP(-D270*E2_tabla_vida!$X$248)*E2_tabla_vida!$P$248,EXP(-D270*E2_tabla_vida!$X$249)*E2_tabla_vida!$P$249,EXP(-D270*E2_tabla_vida!$X$250)*E2_tabla_vida!$P$250,EXP(-D270*E2_tabla_vida!$X$251)*E2_tabla_vida!$P$251,EXP(-D270*E2_tabla_vida!$X$252)*E2_tabla_vida!$P$252,EXP(-D270*E2_tabla_vida!$X$253)*E2_tabla_vida!$P$253)-1</x:f>
        <x:v>-1.2500012136484884e-10</x:v>
      </x:c>
    </x:row>
    <x:row r="271" ht="19" customHeight="1">
      <x:c r="A271" s="2" t="str">
        <x:v>BB_L7</x:v>
      </x:c>
      <x:c r="B271" s="2" t="n">
        <x:v>39</x:v>
      </x:c>
      <x:c r="C271" s="22" t="n">
        <x:f>IF(F270&gt;0,E270,C270)</x:f>
        <x:v>0.21084533969406039</x:v>
      </x:c>
      <x:c r="D271" s="22" t="n">
        <x:f>IF(F270&gt;0,D270,E270)</x:f>
        <x:v>0.21084533969951735</x:v>
      </x:c>
      <x:c r="E271" s="22" t="n">
        <x:f>AVERAGE(C271:D271)</x:f>
        <x:v>0.21084533969678887</x:v>
      </x:c>
      <x:c r="F271" s="24" t="n">
        <x:f>SUM(EXP(-E271*E2_tabla_vida!$X$212)*E2_tabla_vida!$P$212,EXP(-E271*E2_tabla_vida!$X$213)*E2_tabla_vida!$P$213,EXP(-E271*E2_tabla_vida!$X$214)*E2_tabla_vida!$P$214,EXP(-E271*E2_tabla_vida!$X$215)*E2_tabla_vida!$P$215,EXP(-E271*E2_tabla_vida!$X$216)*E2_tabla_vida!$P$216,EXP(-E271*E2_tabla_vida!$X$217)*E2_tabla_vida!$P$217,EXP(-E271*E2_tabla_vida!$X$218)*E2_tabla_vida!$P$218,EXP(-E271*E2_tabla_vida!$X$219)*E2_tabla_vida!$P$219,EXP(-E271*E2_tabla_vida!$X$220)*E2_tabla_vida!$P$220,EXP(-E271*E2_tabla_vida!$X$221)*E2_tabla_vida!$P$221,EXP(-E271*E2_tabla_vida!$X$222)*E2_tabla_vida!$P$222,EXP(-E271*E2_tabla_vida!$X$223)*E2_tabla_vida!$P$223,EXP(-E271*E2_tabla_vida!$X$224)*E2_tabla_vida!$P$224,EXP(-E271*E2_tabla_vida!$X$225)*E2_tabla_vida!$P$225,EXP(-E271*E2_tabla_vida!$X$226)*E2_tabla_vida!$P$226,EXP(-E271*E2_tabla_vida!$X$227)*E2_tabla_vida!$P$227,EXP(-E271*E2_tabla_vida!$X$228)*E2_tabla_vida!$P$228,EXP(-E271*E2_tabla_vida!$X$229)*E2_tabla_vida!$P$229,EXP(-E271*E2_tabla_vida!$X$230)*E2_tabla_vida!$P$230,EXP(-E271*E2_tabla_vida!$X$231)*E2_tabla_vida!$P$231,EXP(-E271*E2_tabla_vida!$X$232)*E2_tabla_vida!$P$232,EXP(-E271*E2_tabla_vida!$X$233)*E2_tabla_vida!$P$233,EXP(-E271*E2_tabla_vida!$X$234)*E2_tabla_vida!$P$234,EXP(-E271*E2_tabla_vida!$X$235)*E2_tabla_vida!$P$235,EXP(-E271*E2_tabla_vida!$X$236)*E2_tabla_vida!$P$236,EXP(-E271*E2_tabla_vida!$X$237)*E2_tabla_vida!$P$237,EXP(-E271*E2_tabla_vida!$X$238)*E2_tabla_vida!$P$238,EXP(-E271*E2_tabla_vida!$X$239)*E2_tabla_vida!$P$239,EXP(-E271*E2_tabla_vida!$X$240)*E2_tabla_vida!$P$240,EXP(-E271*E2_tabla_vida!$X$241)*E2_tabla_vida!$P$241,EXP(-E271*E2_tabla_vida!$X$242)*E2_tabla_vida!$P$242,EXP(-E271*E2_tabla_vida!$X$243)*E2_tabla_vida!$P$243,EXP(-E271*E2_tabla_vida!$X$244)*E2_tabla_vida!$P$244,EXP(-E271*E2_tabla_vida!$X$245)*E2_tabla_vida!$P$245,EXP(-E271*E2_tabla_vida!$X$246)*E2_tabla_vida!$P$246,EXP(-E271*E2_tabla_vida!$X$247)*E2_tabla_vida!$P$247,EXP(-E271*E2_tabla_vida!$X$248)*E2_tabla_vida!$P$248,EXP(-E271*E2_tabla_vida!$X$249)*E2_tabla_vida!$P$249,EXP(-E271*E2_tabla_vida!$X$250)*E2_tabla_vida!$P$250,EXP(-E271*E2_tabla_vida!$X$251)*E2_tabla_vida!$P$251,EXP(-E271*E2_tabla_vida!$X$252)*E2_tabla_vida!$P$252,EXP(-E271*E2_tabla_vida!$X$253)*E2_tabla_vida!$P$253)-1</x:f>
        <x:v>2.7466917629226373e-13</x:v>
      </x:c>
      <x:c r="G271" s="24" t="n">
        <x:f>SUM(EXP(-C271*E2_tabla_vida!$X$212)*E2_tabla_vida!$P$212,EXP(-C271*E2_tabla_vida!$X$213)*E2_tabla_vida!$P$213,EXP(-C271*E2_tabla_vida!$X$214)*E2_tabla_vida!$P$214,EXP(-C271*E2_tabla_vida!$X$215)*E2_tabla_vida!$P$215,EXP(-C271*E2_tabla_vida!$X$216)*E2_tabla_vida!$P$216,EXP(-C271*E2_tabla_vida!$X$217)*E2_tabla_vida!$P$217,EXP(-C271*E2_tabla_vida!$X$218)*E2_tabla_vida!$P$218,EXP(-C271*E2_tabla_vida!$X$219)*E2_tabla_vida!$P$219,EXP(-C271*E2_tabla_vida!$X$220)*E2_tabla_vida!$P$220,EXP(-C271*E2_tabla_vida!$X$221)*E2_tabla_vida!$P$221,EXP(-C271*E2_tabla_vida!$X$222)*E2_tabla_vida!$P$222,EXP(-C271*E2_tabla_vida!$X$223)*E2_tabla_vida!$P$223,EXP(-C271*E2_tabla_vida!$X$224)*E2_tabla_vida!$P$224,EXP(-C271*E2_tabla_vida!$X$225)*E2_tabla_vida!$P$225,EXP(-C271*E2_tabla_vida!$X$226)*E2_tabla_vida!$P$226,EXP(-C271*E2_tabla_vida!$X$227)*E2_tabla_vida!$P$227,EXP(-C271*E2_tabla_vida!$X$228)*E2_tabla_vida!$P$228,EXP(-C271*E2_tabla_vida!$X$229)*E2_tabla_vida!$P$229,EXP(-C271*E2_tabla_vida!$X$230)*E2_tabla_vida!$P$230,EXP(-C271*E2_tabla_vida!$X$231)*E2_tabla_vida!$P$231,EXP(-C271*E2_tabla_vida!$X$232)*E2_tabla_vida!$P$232,EXP(-C271*E2_tabla_vida!$X$233)*E2_tabla_vida!$P$233,EXP(-C271*E2_tabla_vida!$X$234)*E2_tabla_vida!$P$234,EXP(-C271*E2_tabla_vida!$X$235)*E2_tabla_vida!$P$235,EXP(-C271*E2_tabla_vida!$X$236)*E2_tabla_vida!$P$236,EXP(-C271*E2_tabla_vida!$X$237)*E2_tabla_vida!$P$237,EXP(-C271*E2_tabla_vida!$X$238)*E2_tabla_vida!$P$238,EXP(-C271*E2_tabla_vida!$X$239)*E2_tabla_vida!$P$239,EXP(-C271*E2_tabla_vida!$X$240)*E2_tabla_vida!$P$240,EXP(-C271*E2_tabla_vida!$X$241)*E2_tabla_vida!$P$241,EXP(-C271*E2_tabla_vida!$X$242)*E2_tabla_vida!$P$242,EXP(-C271*E2_tabla_vida!$X$243)*E2_tabla_vida!$P$243,EXP(-C271*E2_tabla_vida!$X$244)*E2_tabla_vida!$P$244,EXP(-C271*E2_tabla_vida!$X$245)*E2_tabla_vida!$P$245,EXP(-C271*E2_tabla_vida!$X$246)*E2_tabla_vida!$P$246,EXP(-C271*E2_tabla_vida!$X$247)*E2_tabla_vida!$P$247,EXP(-C271*E2_tabla_vida!$X$248)*E2_tabla_vida!$P$248,EXP(-C271*E2_tabla_vida!$X$249)*E2_tabla_vida!$P$249,EXP(-C271*E2_tabla_vida!$X$250)*E2_tabla_vida!$P$250,EXP(-C271*E2_tabla_vida!$X$251)*E2_tabla_vida!$P$251,EXP(-C271*E2_tabla_vida!$X$252)*E2_tabla_vida!$P$252,EXP(-C271*E2_tabla_vida!$X$253)*E2_tabla_vida!$P$253)-1</x:f>
        <x:v>4.20328216677035e-11</x:v>
      </x:c>
      <x:c r="H271" s="24" t="n">
        <x:f>SUM(EXP(-D271*E2_tabla_vida!$X$212)*E2_tabla_vida!$P$212,EXP(-D271*E2_tabla_vida!$X$213)*E2_tabla_vida!$P$213,EXP(-D271*E2_tabla_vida!$X$214)*E2_tabla_vida!$P$214,EXP(-D271*E2_tabla_vida!$X$215)*E2_tabla_vida!$P$215,EXP(-D271*E2_tabla_vida!$X$216)*E2_tabla_vida!$P$216,EXP(-D271*E2_tabla_vida!$X$217)*E2_tabla_vida!$P$217,EXP(-D271*E2_tabla_vida!$X$218)*E2_tabla_vida!$P$218,EXP(-D271*E2_tabla_vida!$X$219)*E2_tabla_vida!$P$219,EXP(-D271*E2_tabla_vida!$X$220)*E2_tabla_vida!$P$220,EXP(-D271*E2_tabla_vida!$X$221)*E2_tabla_vida!$P$221,EXP(-D271*E2_tabla_vida!$X$222)*E2_tabla_vida!$P$222,EXP(-D271*E2_tabla_vida!$X$223)*E2_tabla_vida!$P$223,EXP(-D271*E2_tabla_vida!$X$224)*E2_tabla_vida!$P$224,EXP(-D271*E2_tabla_vida!$X$225)*E2_tabla_vida!$P$225,EXP(-D271*E2_tabla_vida!$X$226)*E2_tabla_vida!$P$226,EXP(-D271*E2_tabla_vida!$X$227)*E2_tabla_vida!$P$227,EXP(-D271*E2_tabla_vida!$X$228)*E2_tabla_vida!$P$228,EXP(-D271*E2_tabla_vida!$X$229)*E2_tabla_vida!$P$229,EXP(-D271*E2_tabla_vida!$X$230)*E2_tabla_vida!$P$230,EXP(-D271*E2_tabla_vida!$X$231)*E2_tabla_vida!$P$231,EXP(-D271*E2_tabla_vida!$X$232)*E2_tabla_vida!$P$232,EXP(-D271*E2_tabla_vida!$X$233)*E2_tabla_vida!$P$233,EXP(-D271*E2_tabla_vida!$X$234)*E2_tabla_vida!$P$234,EXP(-D271*E2_tabla_vida!$X$235)*E2_tabla_vida!$P$235,EXP(-D271*E2_tabla_vida!$X$236)*E2_tabla_vida!$P$236,EXP(-D271*E2_tabla_vida!$X$237)*E2_tabla_vida!$P$237,EXP(-D271*E2_tabla_vida!$X$238)*E2_tabla_vida!$P$238,EXP(-D271*E2_tabla_vida!$X$239)*E2_tabla_vida!$P$239,EXP(-D271*E2_tabla_vida!$X$240)*E2_tabla_vida!$P$240,EXP(-D271*E2_tabla_vida!$X$241)*E2_tabla_vida!$P$241,EXP(-D271*E2_tabla_vida!$X$242)*E2_tabla_vida!$P$242,EXP(-D271*E2_tabla_vida!$X$243)*E2_tabla_vida!$P$243,EXP(-D271*E2_tabla_vida!$X$244)*E2_tabla_vida!$P$244,EXP(-D271*E2_tabla_vida!$X$245)*E2_tabla_vida!$P$245,EXP(-D271*E2_tabla_vida!$X$246)*E2_tabla_vida!$P$246,EXP(-D271*E2_tabla_vida!$X$247)*E2_tabla_vida!$P$247,EXP(-D271*E2_tabla_vida!$X$248)*E2_tabla_vida!$P$248,EXP(-D271*E2_tabla_vida!$X$249)*E2_tabla_vida!$P$249,EXP(-D271*E2_tabla_vida!$X$250)*E2_tabla_vida!$P$250,EXP(-D271*E2_tabla_vida!$X$251)*E2_tabla_vida!$P$251,EXP(-D271*E2_tabla_vida!$X$252)*E2_tabla_vida!$P$252,EXP(-D271*E2_tabla_vida!$X$253)*E2_tabla_vida!$P$253)-1</x:f>
        <x:v>-4.1483483315118974e-11</x:v>
      </x:c>
    </x:row>
    <x:row r="272" ht="19" customHeight="1">
      <x:c r="A272" s="2" t="str">
        <x:v>BB_L7</x:v>
      </x:c>
      <x:c r="B272" s="2" t="n">
        <x:v>40</x:v>
      </x:c>
      <x:c r="C272" s="22" t="n">
        <x:f>IF(F271&gt;0,E271,C271)</x:f>
        <x:v>0.21084533969406039</x:v>
      </x:c>
      <x:c r="D272" s="22" t="n">
        <x:f>IF(F271&gt;0,D271,E271)</x:f>
        <x:v>0.21084533969678887</x:v>
      </x:c>
      <x:c r="E272" s="22" t="n">
        <x:f>AVERAGE(C272:D272)</x:f>
        <x:v>0.21084533969542463</x:v>
      </x:c>
      <x:c r="F272" s="24" t="n">
        <x:f>SUM(EXP(-E272*E2_tabla_vida!$X$212)*E2_tabla_vida!$P$212,EXP(-E272*E2_tabla_vida!$X$213)*E2_tabla_vida!$P$213,EXP(-E272*E2_tabla_vida!$X$214)*E2_tabla_vida!$P$214,EXP(-E272*E2_tabla_vida!$X$215)*E2_tabla_vida!$P$215,EXP(-E272*E2_tabla_vida!$X$216)*E2_tabla_vida!$P$216,EXP(-E272*E2_tabla_vida!$X$217)*E2_tabla_vida!$P$217,EXP(-E272*E2_tabla_vida!$X$218)*E2_tabla_vida!$P$218,EXP(-E272*E2_tabla_vida!$X$219)*E2_tabla_vida!$P$219,EXP(-E272*E2_tabla_vida!$X$220)*E2_tabla_vida!$P$220,EXP(-E272*E2_tabla_vida!$X$221)*E2_tabla_vida!$P$221,EXP(-E272*E2_tabla_vida!$X$222)*E2_tabla_vida!$P$222,EXP(-E272*E2_tabla_vida!$X$223)*E2_tabla_vida!$P$223,EXP(-E272*E2_tabla_vida!$X$224)*E2_tabla_vida!$P$224,EXP(-E272*E2_tabla_vida!$X$225)*E2_tabla_vida!$P$225,EXP(-E272*E2_tabla_vida!$X$226)*E2_tabla_vida!$P$226,EXP(-E272*E2_tabla_vida!$X$227)*E2_tabla_vida!$P$227,EXP(-E272*E2_tabla_vida!$X$228)*E2_tabla_vida!$P$228,EXP(-E272*E2_tabla_vida!$X$229)*E2_tabla_vida!$P$229,EXP(-E272*E2_tabla_vida!$X$230)*E2_tabla_vida!$P$230,EXP(-E272*E2_tabla_vida!$X$231)*E2_tabla_vida!$P$231,EXP(-E272*E2_tabla_vida!$X$232)*E2_tabla_vida!$P$232,EXP(-E272*E2_tabla_vida!$X$233)*E2_tabla_vida!$P$233,EXP(-E272*E2_tabla_vida!$X$234)*E2_tabla_vida!$P$234,EXP(-E272*E2_tabla_vida!$X$235)*E2_tabla_vida!$P$235,EXP(-E272*E2_tabla_vida!$X$236)*E2_tabla_vida!$P$236,EXP(-E272*E2_tabla_vida!$X$237)*E2_tabla_vida!$P$237,EXP(-E272*E2_tabla_vida!$X$238)*E2_tabla_vida!$P$238,EXP(-E272*E2_tabla_vida!$X$239)*E2_tabla_vida!$P$239,EXP(-E272*E2_tabla_vida!$X$240)*E2_tabla_vida!$P$240,EXP(-E272*E2_tabla_vida!$X$241)*E2_tabla_vida!$P$241,EXP(-E272*E2_tabla_vida!$X$242)*E2_tabla_vida!$P$242,EXP(-E272*E2_tabla_vida!$X$243)*E2_tabla_vida!$P$243,EXP(-E272*E2_tabla_vida!$X$244)*E2_tabla_vida!$P$244,EXP(-E272*E2_tabla_vida!$X$245)*E2_tabla_vida!$P$245,EXP(-E272*E2_tabla_vida!$X$246)*E2_tabla_vida!$P$246,EXP(-E272*E2_tabla_vida!$X$247)*E2_tabla_vida!$P$247,EXP(-E272*E2_tabla_vida!$X$248)*E2_tabla_vida!$P$248,EXP(-E272*E2_tabla_vida!$X$249)*E2_tabla_vida!$P$249,EXP(-E272*E2_tabla_vida!$X$250)*E2_tabla_vida!$P$250,EXP(-E272*E2_tabla_vida!$X$251)*E2_tabla_vida!$P$251,EXP(-E272*E2_tabla_vida!$X$252)*E2_tabla_vida!$P$252,EXP(-E272*E2_tabla_vida!$X$253)*E2_tabla_vida!$P$253)-1</x:f>
        <x:v>2.1153745421997883e-11</x:v>
      </x:c>
      <x:c r="G272" s="24" t="n">
        <x:f>SUM(EXP(-C272*E2_tabla_vida!$X$212)*E2_tabla_vida!$P$212,EXP(-C272*E2_tabla_vida!$X$213)*E2_tabla_vida!$P$213,EXP(-C272*E2_tabla_vida!$X$214)*E2_tabla_vida!$P$214,EXP(-C272*E2_tabla_vida!$X$215)*E2_tabla_vida!$P$215,EXP(-C272*E2_tabla_vida!$X$216)*E2_tabla_vida!$P$216,EXP(-C272*E2_tabla_vida!$X$217)*E2_tabla_vida!$P$217,EXP(-C272*E2_tabla_vida!$X$218)*E2_tabla_vida!$P$218,EXP(-C272*E2_tabla_vida!$X$219)*E2_tabla_vida!$P$219,EXP(-C272*E2_tabla_vida!$X$220)*E2_tabla_vida!$P$220,EXP(-C272*E2_tabla_vida!$X$221)*E2_tabla_vida!$P$221,EXP(-C272*E2_tabla_vida!$X$222)*E2_tabla_vida!$P$222,EXP(-C272*E2_tabla_vida!$X$223)*E2_tabla_vida!$P$223,EXP(-C272*E2_tabla_vida!$X$224)*E2_tabla_vida!$P$224,EXP(-C272*E2_tabla_vida!$X$225)*E2_tabla_vida!$P$225,EXP(-C272*E2_tabla_vida!$X$226)*E2_tabla_vida!$P$226,EXP(-C272*E2_tabla_vida!$X$227)*E2_tabla_vida!$P$227,EXP(-C272*E2_tabla_vida!$X$228)*E2_tabla_vida!$P$228,EXP(-C272*E2_tabla_vida!$X$229)*E2_tabla_vida!$P$229,EXP(-C272*E2_tabla_vida!$X$230)*E2_tabla_vida!$P$230,EXP(-C272*E2_tabla_vida!$X$231)*E2_tabla_vida!$P$231,EXP(-C272*E2_tabla_vida!$X$232)*E2_tabla_vida!$P$232,EXP(-C272*E2_tabla_vida!$X$233)*E2_tabla_vida!$P$233,EXP(-C272*E2_tabla_vida!$X$234)*E2_tabla_vida!$P$234,EXP(-C272*E2_tabla_vida!$X$235)*E2_tabla_vida!$P$235,EXP(-C272*E2_tabla_vida!$X$236)*E2_tabla_vida!$P$236,EXP(-C272*E2_tabla_vida!$X$237)*E2_tabla_vida!$P$237,EXP(-C272*E2_tabla_vida!$X$238)*E2_tabla_vida!$P$238,EXP(-C272*E2_tabla_vida!$X$239)*E2_tabla_vida!$P$239,EXP(-C272*E2_tabla_vida!$X$240)*E2_tabla_vida!$P$240,EXP(-C272*E2_tabla_vida!$X$241)*E2_tabla_vida!$P$241,EXP(-C272*E2_tabla_vida!$X$242)*E2_tabla_vida!$P$242,EXP(-C272*E2_tabla_vida!$X$243)*E2_tabla_vida!$P$243,EXP(-C272*E2_tabla_vida!$X$244)*E2_tabla_vida!$P$244,EXP(-C272*E2_tabla_vida!$X$245)*E2_tabla_vida!$P$245,EXP(-C272*E2_tabla_vida!$X$246)*E2_tabla_vida!$P$246,EXP(-C272*E2_tabla_vida!$X$247)*E2_tabla_vida!$P$247,EXP(-C272*E2_tabla_vida!$X$248)*E2_tabla_vida!$P$248,EXP(-C272*E2_tabla_vida!$X$249)*E2_tabla_vida!$P$249,EXP(-C272*E2_tabla_vida!$X$250)*E2_tabla_vida!$P$250,EXP(-C272*E2_tabla_vida!$X$251)*E2_tabla_vida!$P$251,EXP(-C272*E2_tabla_vida!$X$252)*E2_tabla_vida!$P$252,EXP(-C272*E2_tabla_vida!$X$253)*E2_tabla_vida!$P$253)-1</x:f>
        <x:v>4.20328216677035e-11</x:v>
      </x:c>
      <x:c r="H272" s="24" t="n">
        <x:f>SUM(EXP(-D272*E2_tabla_vida!$X$212)*E2_tabla_vida!$P$212,EXP(-D272*E2_tabla_vida!$X$213)*E2_tabla_vida!$P$213,EXP(-D272*E2_tabla_vida!$X$214)*E2_tabla_vida!$P$214,EXP(-D272*E2_tabla_vida!$X$215)*E2_tabla_vida!$P$215,EXP(-D272*E2_tabla_vida!$X$216)*E2_tabla_vida!$P$216,EXP(-D272*E2_tabla_vida!$X$217)*E2_tabla_vida!$P$217,EXP(-D272*E2_tabla_vida!$X$218)*E2_tabla_vida!$P$218,EXP(-D272*E2_tabla_vida!$X$219)*E2_tabla_vida!$P$219,EXP(-D272*E2_tabla_vida!$X$220)*E2_tabla_vida!$P$220,EXP(-D272*E2_tabla_vida!$X$221)*E2_tabla_vida!$P$221,EXP(-D272*E2_tabla_vida!$X$222)*E2_tabla_vida!$P$222,EXP(-D272*E2_tabla_vida!$X$223)*E2_tabla_vida!$P$223,EXP(-D272*E2_tabla_vida!$X$224)*E2_tabla_vida!$P$224,EXP(-D272*E2_tabla_vida!$X$225)*E2_tabla_vida!$P$225,EXP(-D272*E2_tabla_vida!$X$226)*E2_tabla_vida!$P$226,EXP(-D272*E2_tabla_vida!$X$227)*E2_tabla_vida!$P$227,EXP(-D272*E2_tabla_vida!$X$228)*E2_tabla_vida!$P$228,EXP(-D272*E2_tabla_vida!$X$229)*E2_tabla_vida!$P$229,EXP(-D272*E2_tabla_vida!$X$230)*E2_tabla_vida!$P$230,EXP(-D272*E2_tabla_vida!$X$231)*E2_tabla_vida!$P$231,EXP(-D272*E2_tabla_vida!$X$232)*E2_tabla_vida!$P$232,EXP(-D272*E2_tabla_vida!$X$233)*E2_tabla_vida!$P$233,EXP(-D272*E2_tabla_vida!$X$234)*E2_tabla_vida!$P$234,EXP(-D272*E2_tabla_vida!$X$235)*E2_tabla_vida!$P$235,EXP(-D272*E2_tabla_vida!$X$236)*E2_tabla_vida!$P$236,EXP(-D272*E2_tabla_vida!$X$237)*E2_tabla_vida!$P$237,EXP(-D272*E2_tabla_vida!$X$238)*E2_tabla_vida!$P$238,EXP(-D272*E2_tabla_vida!$X$239)*E2_tabla_vida!$P$239,EXP(-D272*E2_tabla_vida!$X$240)*E2_tabla_vida!$P$240,EXP(-D272*E2_tabla_vida!$X$241)*E2_tabla_vida!$P$241,EXP(-D272*E2_tabla_vida!$X$242)*E2_tabla_vida!$P$242,EXP(-D272*E2_tabla_vida!$X$243)*E2_tabla_vida!$P$243,EXP(-D272*E2_tabla_vida!$X$244)*E2_tabla_vida!$P$244,EXP(-D272*E2_tabla_vida!$X$245)*E2_tabla_vida!$P$245,EXP(-D272*E2_tabla_vida!$X$246)*E2_tabla_vida!$P$246,EXP(-D272*E2_tabla_vida!$X$247)*E2_tabla_vida!$P$247,EXP(-D272*E2_tabla_vida!$X$248)*E2_tabla_vida!$P$248,EXP(-D272*E2_tabla_vida!$X$249)*E2_tabla_vida!$P$249,EXP(-D272*E2_tabla_vida!$X$250)*E2_tabla_vida!$P$250,EXP(-D272*E2_tabla_vida!$X$251)*E2_tabla_vida!$P$251,EXP(-D272*E2_tabla_vida!$X$252)*E2_tabla_vida!$P$252,EXP(-D272*E2_tabla_vida!$X$253)*E2_tabla_vida!$P$253)-1</x:f>
        <x:v>2.7466917629226373e-13</x:v>
      </x:c>
    </x:row>
    <x:row r="273" ht="19" customHeight="1">
      <x:c r="A273" s="2" t="str">
        <x:v>BB_L7</x:v>
      </x:c>
      <x:c r="B273" s="2" t="n">
        <x:v>41</x:v>
      </x:c>
      <x:c r="C273" s="22" t="n">
        <x:f>IF(F272&gt;0,E272,C272)</x:f>
        <x:v>0.21084533969542463</x:v>
      </x:c>
      <x:c r="D273" s="22" t="n">
        <x:f>IF(F272&gt;0,D272,E272)</x:f>
        <x:v>0.21084533969678887</x:v>
      </x:c>
      <x:c r="E273" s="22" t="n">
        <x:f>AVERAGE(C273:D273)</x:f>
        <x:v>0.21084533969610675</x:v>
      </x:c>
      <x:c r="F273" s="24" t="n">
        <x:f>SUM(EXP(-E273*E2_tabla_vida!$X$212)*E2_tabla_vida!$P$212,EXP(-E273*E2_tabla_vida!$X$213)*E2_tabla_vida!$P$213,EXP(-E273*E2_tabla_vida!$X$214)*E2_tabla_vida!$P$214,EXP(-E273*E2_tabla_vida!$X$215)*E2_tabla_vida!$P$215,EXP(-E273*E2_tabla_vida!$X$216)*E2_tabla_vida!$P$216,EXP(-E273*E2_tabla_vida!$X$217)*E2_tabla_vida!$P$217,EXP(-E273*E2_tabla_vida!$X$218)*E2_tabla_vida!$P$218,EXP(-E273*E2_tabla_vida!$X$219)*E2_tabla_vida!$P$219,EXP(-E273*E2_tabla_vida!$X$220)*E2_tabla_vida!$P$220,EXP(-E273*E2_tabla_vida!$X$221)*E2_tabla_vida!$P$221,EXP(-E273*E2_tabla_vida!$X$222)*E2_tabla_vida!$P$222,EXP(-E273*E2_tabla_vida!$X$223)*E2_tabla_vida!$P$223,EXP(-E273*E2_tabla_vida!$X$224)*E2_tabla_vida!$P$224,EXP(-E273*E2_tabla_vida!$X$225)*E2_tabla_vida!$P$225,EXP(-E273*E2_tabla_vida!$X$226)*E2_tabla_vida!$P$226,EXP(-E273*E2_tabla_vida!$X$227)*E2_tabla_vida!$P$227,EXP(-E273*E2_tabla_vida!$X$228)*E2_tabla_vida!$P$228,EXP(-E273*E2_tabla_vida!$X$229)*E2_tabla_vida!$P$229,EXP(-E273*E2_tabla_vida!$X$230)*E2_tabla_vida!$P$230,EXP(-E273*E2_tabla_vida!$X$231)*E2_tabla_vida!$P$231,EXP(-E273*E2_tabla_vida!$X$232)*E2_tabla_vida!$P$232,EXP(-E273*E2_tabla_vida!$X$233)*E2_tabla_vida!$P$233,EXP(-E273*E2_tabla_vida!$X$234)*E2_tabla_vida!$P$234,EXP(-E273*E2_tabla_vida!$X$235)*E2_tabla_vida!$P$235,EXP(-E273*E2_tabla_vida!$X$236)*E2_tabla_vida!$P$236,EXP(-E273*E2_tabla_vida!$X$237)*E2_tabla_vida!$P$237,EXP(-E273*E2_tabla_vida!$X$238)*E2_tabla_vida!$P$238,EXP(-E273*E2_tabla_vida!$X$239)*E2_tabla_vida!$P$239,EXP(-E273*E2_tabla_vida!$X$240)*E2_tabla_vida!$P$240,EXP(-E273*E2_tabla_vida!$X$241)*E2_tabla_vida!$P$241,EXP(-E273*E2_tabla_vida!$X$242)*E2_tabla_vida!$P$242,EXP(-E273*E2_tabla_vida!$X$243)*E2_tabla_vida!$P$243,EXP(-E273*E2_tabla_vida!$X$244)*E2_tabla_vida!$P$244,EXP(-E273*E2_tabla_vida!$X$245)*E2_tabla_vida!$P$245,EXP(-E273*E2_tabla_vida!$X$246)*E2_tabla_vida!$P$246,EXP(-E273*E2_tabla_vida!$X$247)*E2_tabla_vida!$P$247,EXP(-E273*E2_tabla_vida!$X$248)*E2_tabla_vida!$P$248,EXP(-E273*E2_tabla_vida!$X$249)*E2_tabla_vida!$P$249,EXP(-E273*E2_tabla_vida!$X$250)*E2_tabla_vida!$P$250,EXP(-E273*E2_tabla_vida!$X$251)*E2_tabla_vida!$P$251,EXP(-E273*E2_tabla_vida!$X$252)*E2_tabla_vida!$P$252,EXP(-E273*E2_tabla_vida!$X$253)*E2_tabla_vida!$P$253)-1</x:f>
        <x:v>1.071454036605246e-11</x:v>
      </x:c>
      <x:c r="G273" s="24" t="n">
        <x:f>SUM(EXP(-C273*E2_tabla_vida!$X$212)*E2_tabla_vida!$P$212,EXP(-C273*E2_tabla_vida!$X$213)*E2_tabla_vida!$P$213,EXP(-C273*E2_tabla_vida!$X$214)*E2_tabla_vida!$P$214,EXP(-C273*E2_tabla_vida!$X$215)*E2_tabla_vida!$P$215,EXP(-C273*E2_tabla_vida!$X$216)*E2_tabla_vida!$P$216,EXP(-C273*E2_tabla_vida!$X$217)*E2_tabla_vida!$P$217,EXP(-C273*E2_tabla_vida!$X$218)*E2_tabla_vida!$P$218,EXP(-C273*E2_tabla_vida!$X$219)*E2_tabla_vida!$P$219,EXP(-C273*E2_tabla_vida!$X$220)*E2_tabla_vida!$P$220,EXP(-C273*E2_tabla_vida!$X$221)*E2_tabla_vida!$P$221,EXP(-C273*E2_tabla_vida!$X$222)*E2_tabla_vida!$P$222,EXP(-C273*E2_tabla_vida!$X$223)*E2_tabla_vida!$P$223,EXP(-C273*E2_tabla_vida!$X$224)*E2_tabla_vida!$P$224,EXP(-C273*E2_tabla_vida!$X$225)*E2_tabla_vida!$P$225,EXP(-C273*E2_tabla_vida!$X$226)*E2_tabla_vida!$P$226,EXP(-C273*E2_tabla_vida!$X$227)*E2_tabla_vida!$P$227,EXP(-C273*E2_tabla_vida!$X$228)*E2_tabla_vida!$P$228,EXP(-C273*E2_tabla_vida!$X$229)*E2_tabla_vida!$P$229,EXP(-C273*E2_tabla_vida!$X$230)*E2_tabla_vida!$P$230,EXP(-C273*E2_tabla_vida!$X$231)*E2_tabla_vida!$P$231,EXP(-C273*E2_tabla_vida!$X$232)*E2_tabla_vida!$P$232,EXP(-C273*E2_tabla_vida!$X$233)*E2_tabla_vida!$P$233,EXP(-C273*E2_tabla_vida!$X$234)*E2_tabla_vida!$P$234,EXP(-C273*E2_tabla_vida!$X$235)*E2_tabla_vida!$P$235,EXP(-C273*E2_tabla_vida!$X$236)*E2_tabla_vida!$P$236,EXP(-C273*E2_tabla_vida!$X$237)*E2_tabla_vida!$P$237,EXP(-C273*E2_tabla_vida!$X$238)*E2_tabla_vida!$P$238,EXP(-C273*E2_tabla_vida!$X$239)*E2_tabla_vida!$P$239,EXP(-C273*E2_tabla_vida!$X$240)*E2_tabla_vida!$P$240,EXP(-C273*E2_tabla_vida!$X$241)*E2_tabla_vida!$P$241,EXP(-C273*E2_tabla_vida!$X$242)*E2_tabla_vida!$P$242,EXP(-C273*E2_tabla_vida!$X$243)*E2_tabla_vida!$P$243,EXP(-C273*E2_tabla_vida!$X$244)*E2_tabla_vida!$P$244,EXP(-C273*E2_tabla_vida!$X$245)*E2_tabla_vida!$P$245,EXP(-C273*E2_tabla_vida!$X$246)*E2_tabla_vida!$P$246,EXP(-C273*E2_tabla_vida!$X$247)*E2_tabla_vida!$P$247,EXP(-C273*E2_tabla_vida!$X$248)*E2_tabla_vida!$P$248,EXP(-C273*E2_tabla_vida!$X$249)*E2_tabla_vida!$P$249,EXP(-C273*E2_tabla_vida!$X$250)*E2_tabla_vida!$P$250,EXP(-C273*E2_tabla_vida!$X$251)*E2_tabla_vida!$P$251,EXP(-C273*E2_tabla_vida!$X$252)*E2_tabla_vida!$P$252,EXP(-C273*E2_tabla_vida!$X$253)*E2_tabla_vida!$P$253)-1</x:f>
        <x:v>2.1153745421997883e-11</x:v>
      </x:c>
      <x:c r="H273" s="24" t="n">
        <x:f>SUM(EXP(-D273*E2_tabla_vida!$X$212)*E2_tabla_vida!$P$212,EXP(-D273*E2_tabla_vida!$X$213)*E2_tabla_vida!$P$213,EXP(-D273*E2_tabla_vida!$X$214)*E2_tabla_vida!$P$214,EXP(-D273*E2_tabla_vida!$X$215)*E2_tabla_vida!$P$215,EXP(-D273*E2_tabla_vida!$X$216)*E2_tabla_vida!$P$216,EXP(-D273*E2_tabla_vida!$X$217)*E2_tabla_vida!$P$217,EXP(-D273*E2_tabla_vida!$X$218)*E2_tabla_vida!$P$218,EXP(-D273*E2_tabla_vida!$X$219)*E2_tabla_vida!$P$219,EXP(-D273*E2_tabla_vida!$X$220)*E2_tabla_vida!$P$220,EXP(-D273*E2_tabla_vida!$X$221)*E2_tabla_vida!$P$221,EXP(-D273*E2_tabla_vida!$X$222)*E2_tabla_vida!$P$222,EXP(-D273*E2_tabla_vida!$X$223)*E2_tabla_vida!$P$223,EXP(-D273*E2_tabla_vida!$X$224)*E2_tabla_vida!$P$224,EXP(-D273*E2_tabla_vida!$X$225)*E2_tabla_vida!$P$225,EXP(-D273*E2_tabla_vida!$X$226)*E2_tabla_vida!$P$226,EXP(-D273*E2_tabla_vida!$X$227)*E2_tabla_vida!$P$227,EXP(-D273*E2_tabla_vida!$X$228)*E2_tabla_vida!$P$228,EXP(-D273*E2_tabla_vida!$X$229)*E2_tabla_vida!$P$229,EXP(-D273*E2_tabla_vida!$X$230)*E2_tabla_vida!$P$230,EXP(-D273*E2_tabla_vida!$X$231)*E2_tabla_vida!$P$231,EXP(-D273*E2_tabla_vida!$X$232)*E2_tabla_vida!$P$232,EXP(-D273*E2_tabla_vida!$X$233)*E2_tabla_vida!$P$233,EXP(-D273*E2_tabla_vida!$X$234)*E2_tabla_vida!$P$234,EXP(-D273*E2_tabla_vida!$X$235)*E2_tabla_vida!$P$235,EXP(-D273*E2_tabla_vida!$X$236)*E2_tabla_vida!$P$236,EXP(-D273*E2_tabla_vida!$X$237)*E2_tabla_vida!$P$237,EXP(-D273*E2_tabla_vida!$X$238)*E2_tabla_vida!$P$238,EXP(-D273*E2_tabla_vida!$X$239)*E2_tabla_vida!$P$239,EXP(-D273*E2_tabla_vida!$X$240)*E2_tabla_vida!$P$240,EXP(-D273*E2_tabla_vida!$X$241)*E2_tabla_vida!$P$241,EXP(-D273*E2_tabla_vida!$X$242)*E2_tabla_vida!$P$242,EXP(-D273*E2_tabla_vida!$X$243)*E2_tabla_vida!$P$243,EXP(-D273*E2_tabla_vida!$X$244)*E2_tabla_vida!$P$244,EXP(-D273*E2_tabla_vida!$X$245)*E2_tabla_vida!$P$245,EXP(-D273*E2_tabla_vida!$X$246)*E2_tabla_vida!$P$246,EXP(-D273*E2_tabla_vida!$X$247)*E2_tabla_vida!$P$247,EXP(-D273*E2_tabla_vida!$X$248)*E2_tabla_vida!$P$248,EXP(-D273*E2_tabla_vida!$X$249)*E2_tabla_vida!$P$249,EXP(-D273*E2_tabla_vida!$X$250)*E2_tabla_vida!$P$250,EXP(-D273*E2_tabla_vida!$X$251)*E2_tabla_vida!$P$251,EXP(-D273*E2_tabla_vida!$X$252)*E2_tabla_vida!$P$252,EXP(-D273*E2_tabla_vida!$X$253)*E2_tabla_vida!$P$253)-1</x:f>
        <x:v>2.7466917629226373e-13</x:v>
      </x:c>
    </x:row>
    <x:row r="274" ht="19" customHeight="1">
      <x:c r="A274" s="2" t="str">
        <x:v>BB_L7</x:v>
      </x:c>
      <x:c r="B274" s="2" t="n">
        <x:v>42</x:v>
      </x:c>
      <x:c r="C274" s="22" t="n">
        <x:f>IF(F273&gt;0,E273,C273)</x:f>
        <x:v>0.21084533969610675</x:v>
      </x:c>
      <x:c r="D274" s="22" t="n">
        <x:f>IF(F273&gt;0,D273,E273)</x:f>
        <x:v>0.21084533969678887</x:v>
      </x:c>
      <x:c r="E274" s="22" t="n">
        <x:f>AVERAGE(C274:D274)</x:f>
        <x:v>0.2108453396964478</x:v>
      </x:c>
      <x:c r="F274" s="24" t="n">
        <x:f>SUM(EXP(-E274*E2_tabla_vida!$X$212)*E2_tabla_vida!$P$212,EXP(-E274*E2_tabla_vida!$X$213)*E2_tabla_vida!$P$213,EXP(-E274*E2_tabla_vida!$X$214)*E2_tabla_vida!$P$214,EXP(-E274*E2_tabla_vida!$X$215)*E2_tabla_vida!$P$215,EXP(-E274*E2_tabla_vida!$X$216)*E2_tabla_vida!$P$216,EXP(-E274*E2_tabla_vida!$X$217)*E2_tabla_vida!$P$217,EXP(-E274*E2_tabla_vida!$X$218)*E2_tabla_vida!$P$218,EXP(-E274*E2_tabla_vida!$X$219)*E2_tabla_vida!$P$219,EXP(-E274*E2_tabla_vida!$X$220)*E2_tabla_vida!$P$220,EXP(-E274*E2_tabla_vida!$X$221)*E2_tabla_vida!$P$221,EXP(-E274*E2_tabla_vida!$X$222)*E2_tabla_vida!$P$222,EXP(-E274*E2_tabla_vida!$X$223)*E2_tabla_vida!$P$223,EXP(-E274*E2_tabla_vida!$X$224)*E2_tabla_vida!$P$224,EXP(-E274*E2_tabla_vida!$X$225)*E2_tabla_vida!$P$225,EXP(-E274*E2_tabla_vida!$X$226)*E2_tabla_vida!$P$226,EXP(-E274*E2_tabla_vida!$X$227)*E2_tabla_vida!$P$227,EXP(-E274*E2_tabla_vida!$X$228)*E2_tabla_vida!$P$228,EXP(-E274*E2_tabla_vida!$X$229)*E2_tabla_vida!$P$229,EXP(-E274*E2_tabla_vida!$X$230)*E2_tabla_vida!$P$230,EXP(-E274*E2_tabla_vida!$X$231)*E2_tabla_vida!$P$231,EXP(-E274*E2_tabla_vida!$X$232)*E2_tabla_vida!$P$232,EXP(-E274*E2_tabla_vida!$X$233)*E2_tabla_vida!$P$233,EXP(-E274*E2_tabla_vida!$X$234)*E2_tabla_vida!$P$234,EXP(-E274*E2_tabla_vida!$X$235)*E2_tabla_vida!$P$235,EXP(-E274*E2_tabla_vida!$X$236)*E2_tabla_vida!$P$236,EXP(-E274*E2_tabla_vida!$X$237)*E2_tabla_vida!$P$237,EXP(-E274*E2_tabla_vida!$X$238)*E2_tabla_vida!$P$238,EXP(-E274*E2_tabla_vida!$X$239)*E2_tabla_vida!$P$239,EXP(-E274*E2_tabla_vida!$X$240)*E2_tabla_vida!$P$240,EXP(-E274*E2_tabla_vida!$X$241)*E2_tabla_vida!$P$241,EXP(-E274*E2_tabla_vida!$X$242)*E2_tabla_vida!$P$242,EXP(-E274*E2_tabla_vida!$X$243)*E2_tabla_vida!$P$243,EXP(-E274*E2_tabla_vida!$X$244)*E2_tabla_vida!$P$244,EXP(-E274*E2_tabla_vida!$X$245)*E2_tabla_vida!$P$245,EXP(-E274*E2_tabla_vida!$X$246)*E2_tabla_vida!$P$246,EXP(-E274*E2_tabla_vida!$X$247)*E2_tabla_vida!$P$247,EXP(-E274*E2_tabla_vida!$X$248)*E2_tabla_vida!$P$248,EXP(-E274*E2_tabla_vida!$X$249)*E2_tabla_vida!$P$249,EXP(-E274*E2_tabla_vida!$X$250)*E2_tabla_vida!$P$250,EXP(-E274*E2_tabla_vida!$X$251)*E2_tabla_vida!$P$251,EXP(-E274*E2_tabla_vida!$X$252)*E2_tabla_vida!$P$252,EXP(-E274*E2_tabla_vida!$X$253)*E2_tabla_vida!$P$253)-1</x:f>
        <x:v>5.4944937488699e-12</x:v>
      </x:c>
      <x:c r="G274" s="24" t="n">
        <x:f>SUM(EXP(-C274*E2_tabla_vida!$X$212)*E2_tabla_vida!$P$212,EXP(-C274*E2_tabla_vida!$X$213)*E2_tabla_vida!$P$213,EXP(-C274*E2_tabla_vida!$X$214)*E2_tabla_vida!$P$214,EXP(-C274*E2_tabla_vida!$X$215)*E2_tabla_vida!$P$215,EXP(-C274*E2_tabla_vida!$X$216)*E2_tabla_vida!$P$216,EXP(-C274*E2_tabla_vida!$X$217)*E2_tabla_vida!$P$217,EXP(-C274*E2_tabla_vida!$X$218)*E2_tabla_vida!$P$218,EXP(-C274*E2_tabla_vida!$X$219)*E2_tabla_vida!$P$219,EXP(-C274*E2_tabla_vida!$X$220)*E2_tabla_vida!$P$220,EXP(-C274*E2_tabla_vida!$X$221)*E2_tabla_vida!$P$221,EXP(-C274*E2_tabla_vida!$X$222)*E2_tabla_vida!$P$222,EXP(-C274*E2_tabla_vida!$X$223)*E2_tabla_vida!$P$223,EXP(-C274*E2_tabla_vida!$X$224)*E2_tabla_vida!$P$224,EXP(-C274*E2_tabla_vida!$X$225)*E2_tabla_vida!$P$225,EXP(-C274*E2_tabla_vida!$X$226)*E2_tabla_vida!$P$226,EXP(-C274*E2_tabla_vida!$X$227)*E2_tabla_vida!$P$227,EXP(-C274*E2_tabla_vida!$X$228)*E2_tabla_vida!$P$228,EXP(-C274*E2_tabla_vida!$X$229)*E2_tabla_vida!$P$229,EXP(-C274*E2_tabla_vida!$X$230)*E2_tabla_vida!$P$230,EXP(-C274*E2_tabla_vida!$X$231)*E2_tabla_vida!$P$231,EXP(-C274*E2_tabla_vida!$X$232)*E2_tabla_vida!$P$232,EXP(-C274*E2_tabla_vida!$X$233)*E2_tabla_vida!$P$233,EXP(-C274*E2_tabla_vida!$X$234)*E2_tabla_vida!$P$234,EXP(-C274*E2_tabla_vida!$X$235)*E2_tabla_vida!$P$235,EXP(-C274*E2_tabla_vida!$X$236)*E2_tabla_vida!$P$236,EXP(-C274*E2_tabla_vida!$X$237)*E2_tabla_vida!$P$237,EXP(-C274*E2_tabla_vida!$X$238)*E2_tabla_vida!$P$238,EXP(-C274*E2_tabla_vida!$X$239)*E2_tabla_vida!$P$239,EXP(-C274*E2_tabla_vida!$X$240)*E2_tabla_vida!$P$240,EXP(-C274*E2_tabla_vida!$X$241)*E2_tabla_vida!$P$241,EXP(-C274*E2_tabla_vida!$X$242)*E2_tabla_vida!$P$242,EXP(-C274*E2_tabla_vida!$X$243)*E2_tabla_vida!$P$243,EXP(-C274*E2_tabla_vida!$X$244)*E2_tabla_vida!$P$244,EXP(-C274*E2_tabla_vida!$X$245)*E2_tabla_vida!$P$245,EXP(-C274*E2_tabla_vida!$X$246)*E2_tabla_vida!$P$246,EXP(-C274*E2_tabla_vida!$X$247)*E2_tabla_vida!$P$247,EXP(-C274*E2_tabla_vida!$X$248)*E2_tabla_vida!$P$248,EXP(-C274*E2_tabla_vida!$X$249)*E2_tabla_vida!$P$249,EXP(-C274*E2_tabla_vida!$X$250)*E2_tabla_vida!$P$250,EXP(-C274*E2_tabla_vida!$X$251)*E2_tabla_vida!$P$251,EXP(-C274*E2_tabla_vida!$X$252)*E2_tabla_vida!$P$252,EXP(-C274*E2_tabla_vida!$X$253)*E2_tabla_vida!$P$253)-1</x:f>
        <x:v>1.071454036605246e-11</x:v>
      </x:c>
      <x:c r="H274" s="24" t="n">
        <x:f>SUM(EXP(-D274*E2_tabla_vida!$X$212)*E2_tabla_vida!$P$212,EXP(-D274*E2_tabla_vida!$X$213)*E2_tabla_vida!$P$213,EXP(-D274*E2_tabla_vida!$X$214)*E2_tabla_vida!$P$214,EXP(-D274*E2_tabla_vida!$X$215)*E2_tabla_vida!$P$215,EXP(-D274*E2_tabla_vida!$X$216)*E2_tabla_vida!$P$216,EXP(-D274*E2_tabla_vida!$X$217)*E2_tabla_vida!$P$217,EXP(-D274*E2_tabla_vida!$X$218)*E2_tabla_vida!$P$218,EXP(-D274*E2_tabla_vida!$X$219)*E2_tabla_vida!$P$219,EXP(-D274*E2_tabla_vida!$X$220)*E2_tabla_vida!$P$220,EXP(-D274*E2_tabla_vida!$X$221)*E2_tabla_vida!$P$221,EXP(-D274*E2_tabla_vida!$X$222)*E2_tabla_vida!$P$222,EXP(-D274*E2_tabla_vida!$X$223)*E2_tabla_vida!$P$223,EXP(-D274*E2_tabla_vida!$X$224)*E2_tabla_vida!$P$224,EXP(-D274*E2_tabla_vida!$X$225)*E2_tabla_vida!$P$225,EXP(-D274*E2_tabla_vida!$X$226)*E2_tabla_vida!$P$226,EXP(-D274*E2_tabla_vida!$X$227)*E2_tabla_vida!$P$227,EXP(-D274*E2_tabla_vida!$X$228)*E2_tabla_vida!$P$228,EXP(-D274*E2_tabla_vida!$X$229)*E2_tabla_vida!$P$229,EXP(-D274*E2_tabla_vida!$X$230)*E2_tabla_vida!$P$230,EXP(-D274*E2_tabla_vida!$X$231)*E2_tabla_vida!$P$231,EXP(-D274*E2_tabla_vida!$X$232)*E2_tabla_vida!$P$232,EXP(-D274*E2_tabla_vida!$X$233)*E2_tabla_vida!$P$233,EXP(-D274*E2_tabla_vida!$X$234)*E2_tabla_vida!$P$234,EXP(-D274*E2_tabla_vida!$X$235)*E2_tabla_vida!$P$235,EXP(-D274*E2_tabla_vida!$X$236)*E2_tabla_vida!$P$236,EXP(-D274*E2_tabla_vida!$X$237)*E2_tabla_vida!$P$237,EXP(-D274*E2_tabla_vida!$X$238)*E2_tabla_vida!$P$238,EXP(-D274*E2_tabla_vida!$X$239)*E2_tabla_vida!$P$239,EXP(-D274*E2_tabla_vida!$X$240)*E2_tabla_vida!$P$240,EXP(-D274*E2_tabla_vida!$X$241)*E2_tabla_vida!$P$241,EXP(-D274*E2_tabla_vida!$X$242)*E2_tabla_vida!$P$242,EXP(-D274*E2_tabla_vida!$X$243)*E2_tabla_vida!$P$243,EXP(-D274*E2_tabla_vida!$X$244)*E2_tabla_vida!$P$244,EXP(-D274*E2_tabla_vida!$X$245)*E2_tabla_vida!$P$245,EXP(-D274*E2_tabla_vida!$X$246)*E2_tabla_vida!$P$246,EXP(-D274*E2_tabla_vida!$X$247)*E2_tabla_vida!$P$247,EXP(-D274*E2_tabla_vida!$X$248)*E2_tabla_vida!$P$248,EXP(-D274*E2_tabla_vida!$X$249)*E2_tabla_vida!$P$249,EXP(-D274*E2_tabla_vida!$X$250)*E2_tabla_vida!$P$250,EXP(-D274*E2_tabla_vida!$X$251)*E2_tabla_vida!$P$251,EXP(-D274*E2_tabla_vida!$X$252)*E2_tabla_vida!$P$252,EXP(-D274*E2_tabla_vida!$X$253)*E2_tabla_vida!$P$253)-1</x:f>
        <x:v>2.7466917629226373e-13</x:v>
      </x:c>
    </x:row>
    <x:row r="275" ht="19" customHeight="1">
      <x:c r="A275" s="2" t="str">
        <x:v>BB_L7</x:v>
      </x:c>
      <x:c r="B275" s="2" t="n">
        <x:v>43</x:v>
      </x:c>
      <x:c r="C275" s="22" t="n">
        <x:f>IF(F274&gt;0,E274,C274)</x:f>
        <x:v>0.2108453396964478</x:v>
      </x:c>
      <x:c r="D275" s="22" t="n">
        <x:f>IF(F274&gt;0,D274,E274)</x:f>
        <x:v>0.21084533969678887</x:v>
      </x:c>
      <x:c r="E275" s="22" t="n">
        <x:f>AVERAGE(C275:D275)</x:f>
        <x:v>0.21084533969661834</x:v>
      </x:c>
      <x:c r="F275" s="24" t="n">
        <x:f>SUM(EXP(-E275*E2_tabla_vida!$X$212)*E2_tabla_vida!$P$212,EXP(-E275*E2_tabla_vida!$X$213)*E2_tabla_vida!$P$213,EXP(-E275*E2_tabla_vida!$X$214)*E2_tabla_vida!$P$214,EXP(-E275*E2_tabla_vida!$X$215)*E2_tabla_vida!$P$215,EXP(-E275*E2_tabla_vida!$X$216)*E2_tabla_vida!$P$216,EXP(-E275*E2_tabla_vida!$X$217)*E2_tabla_vida!$P$217,EXP(-E275*E2_tabla_vida!$X$218)*E2_tabla_vida!$P$218,EXP(-E275*E2_tabla_vida!$X$219)*E2_tabla_vida!$P$219,EXP(-E275*E2_tabla_vida!$X$220)*E2_tabla_vida!$P$220,EXP(-E275*E2_tabla_vida!$X$221)*E2_tabla_vida!$P$221,EXP(-E275*E2_tabla_vida!$X$222)*E2_tabla_vida!$P$222,EXP(-E275*E2_tabla_vida!$X$223)*E2_tabla_vida!$P$223,EXP(-E275*E2_tabla_vida!$X$224)*E2_tabla_vida!$P$224,EXP(-E275*E2_tabla_vida!$X$225)*E2_tabla_vida!$P$225,EXP(-E275*E2_tabla_vida!$X$226)*E2_tabla_vida!$P$226,EXP(-E275*E2_tabla_vida!$X$227)*E2_tabla_vida!$P$227,EXP(-E275*E2_tabla_vida!$X$228)*E2_tabla_vida!$P$228,EXP(-E275*E2_tabla_vida!$X$229)*E2_tabla_vida!$P$229,EXP(-E275*E2_tabla_vida!$X$230)*E2_tabla_vida!$P$230,EXP(-E275*E2_tabla_vida!$X$231)*E2_tabla_vida!$P$231,EXP(-E275*E2_tabla_vida!$X$232)*E2_tabla_vida!$P$232,EXP(-E275*E2_tabla_vida!$X$233)*E2_tabla_vida!$P$233,EXP(-E275*E2_tabla_vida!$X$234)*E2_tabla_vida!$P$234,EXP(-E275*E2_tabla_vida!$X$235)*E2_tabla_vida!$P$235,EXP(-E275*E2_tabla_vida!$X$236)*E2_tabla_vida!$P$236,EXP(-E275*E2_tabla_vida!$X$237)*E2_tabla_vida!$P$237,EXP(-E275*E2_tabla_vida!$X$238)*E2_tabla_vida!$P$238,EXP(-E275*E2_tabla_vida!$X$239)*E2_tabla_vida!$P$239,EXP(-E275*E2_tabla_vida!$X$240)*E2_tabla_vida!$P$240,EXP(-E275*E2_tabla_vida!$X$241)*E2_tabla_vida!$P$241,EXP(-E275*E2_tabla_vida!$X$242)*E2_tabla_vida!$P$242,EXP(-E275*E2_tabla_vida!$X$243)*E2_tabla_vida!$P$243,EXP(-E275*E2_tabla_vida!$X$244)*E2_tabla_vida!$P$244,EXP(-E275*E2_tabla_vida!$X$245)*E2_tabla_vida!$P$245,EXP(-E275*E2_tabla_vida!$X$246)*E2_tabla_vida!$P$246,EXP(-E275*E2_tabla_vida!$X$247)*E2_tabla_vida!$P$247,EXP(-E275*E2_tabla_vida!$X$248)*E2_tabla_vida!$P$248,EXP(-E275*E2_tabla_vida!$X$249)*E2_tabla_vida!$P$249,EXP(-E275*E2_tabla_vida!$X$250)*E2_tabla_vida!$P$250,EXP(-E275*E2_tabla_vida!$X$251)*E2_tabla_vida!$P$251,EXP(-E275*E2_tabla_vida!$X$252)*E2_tabla_vida!$P$252,EXP(-E275*E2_tabla_vida!$X$253)*E2_tabla_vida!$P$253)-1</x:f>
        <x:v>2.8843594179761567e-12</x:v>
      </x:c>
      <x:c r="G275" s="24" t="n">
        <x:f>SUM(EXP(-C275*E2_tabla_vida!$X$212)*E2_tabla_vida!$P$212,EXP(-C275*E2_tabla_vida!$X$213)*E2_tabla_vida!$P$213,EXP(-C275*E2_tabla_vida!$X$214)*E2_tabla_vida!$P$214,EXP(-C275*E2_tabla_vida!$X$215)*E2_tabla_vida!$P$215,EXP(-C275*E2_tabla_vida!$X$216)*E2_tabla_vida!$P$216,EXP(-C275*E2_tabla_vida!$X$217)*E2_tabla_vida!$P$217,EXP(-C275*E2_tabla_vida!$X$218)*E2_tabla_vida!$P$218,EXP(-C275*E2_tabla_vida!$X$219)*E2_tabla_vida!$P$219,EXP(-C275*E2_tabla_vida!$X$220)*E2_tabla_vida!$P$220,EXP(-C275*E2_tabla_vida!$X$221)*E2_tabla_vida!$P$221,EXP(-C275*E2_tabla_vida!$X$222)*E2_tabla_vida!$P$222,EXP(-C275*E2_tabla_vida!$X$223)*E2_tabla_vida!$P$223,EXP(-C275*E2_tabla_vida!$X$224)*E2_tabla_vida!$P$224,EXP(-C275*E2_tabla_vida!$X$225)*E2_tabla_vida!$P$225,EXP(-C275*E2_tabla_vida!$X$226)*E2_tabla_vida!$P$226,EXP(-C275*E2_tabla_vida!$X$227)*E2_tabla_vida!$P$227,EXP(-C275*E2_tabla_vida!$X$228)*E2_tabla_vida!$P$228,EXP(-C275*E2_tabla_vida!$X$229)*E2_tabla_vida!$P$229,EXP(-C275*E2_tabla_vida!$X$230)*E2_tabla_vida!$P$230,EXP(-C275*E2_tabla_vida!$X$231)*E2_tabla_vida!$P$231,EXP(-C275*E2_tabla_vida!$X$232)*E2_tabla_vida!$P$232,EXP(-C275*E2_tabla_vida!$X$233)*E2_tabla_vida!$P$233,EXP(-C275*E2_tabla_vida!$X$234)*E2_tabla_vida!$P$234,EXP(-C275*E2_tabla_vida!$X$235)*E2_tabla_vida!$P$235,EXP(-C275*E2_tabla_vida!$X$236)*E2_tabla_vida!$P$236,EXP(-C275*E2_tabla_vida!$X$237)*E2_tabla_vida!$P$237,EXP(-C275*E2_tabla_vida!$X$238)*E2_tabla_vida!$P$238,EXP(-C275*E2_tabla_vida!$X$239)*E2_tabla_vida!$P$239,EXP(-C275*E2_tabla_vida!$X$240)*E2_tabla_vida!$P$240,EXP(-C275*E2_tabla_vida!$X$241)*E2_tabla_vida!$P$241,EXP(-C275*E2_tabla_vida!$X$242)*E2_tabla_vida!$P$242,EXP(-C275*E2_tabla_vida!$X$243)*E2_tabla_vida!$P$243,EXP(-C275*E2_tabla_vida!$X$244)*E2_tabla_vida!$P$244,EXP(-C275*E2_tabla_vida!$X$245)*E2_tabla_vida!$P$245,EXP(-C275*E2_tabla_vida!$X$246)*E2_tabla_vida!$P$246,EXP(-C275*E2_tabla_vida!$X$247)*E2_tabla_vida!$P$247,EXP(-C275*E2_tabla_vida!$X$248)*E2_tabla_vida!$P$248,EXP(-C275*E2_tabla_vida!$X$249)*E2_tabla_vida!$P$249,EXP(-C275*E2_tabla_vida!$X$250)*E2_tabla_vida!$P$250,EXP(-C275*E2_tabla_vida!$X$251)*E2_tabla_vida!$P$251,EXP(-C275*E2_tabla_vida!$X$252)*E2_tabla_vida!$P$252,EXP(-C275*E2_tabla_vida!$X$253)*E2_tabla_vida!$P$253)-1</x:f>
        <x:v>5.4944937488699e-12</x:v>
      </x:c>
      <x:c r="H275" s="24" t="n">
        <x:f>SUM(EXP(-D275*E2_tabla_vida!$X$212)*E2_tabla_vida!$P$212,EXP(-D275*E2_tabla_vida!$X$213)*E2_tabla_vida!$P$213,EXP(-D275*E2_tabla_vida!$X$214)*E2_tabla_vida!$P$214,EXP(-D275*E2_tabla_vida!$X$215)*E2_tabla_vida!$P$215,EXP(-D275*E2_tabla_vida!$X$216)*E2_tabla_vida!$P$216,EXP(-D275*E2_tabla_vida!$X$217)*E2_tabla_vida!$P$217,EXP(-D275*E2_tabla_vida!$X$218)*E2_tabla_vida!$P$218,EXP(-D275*E2_tabla_vida!$X$219)*E2_tabla_vida!$P$219,EXP(-D275*E2_tabla_vida!$X$220)*E2_tabla_vida!$P$220,EXP(-D275*E2_tabla_vida!$X$221)*E2_tabla_vida!$P$221,EXP(-D275*E2_tabla_vida!$X$222)*E2_tabla_vida!$P$222,EXP(-D275*E2_tabla_vida!$X$223)*E2_tabla_vida!$P$223,EXP(-D275*E2_tabla_vida!$X$224)*E2_tabla_vida!$P$224,EXP(-D275*E2_tabla_vida!$X$225)*E2_tabla_vida!$P$225,EXP(-D275*E2_tabla_vida!$X$226)*E2_tabla_vida!$P$226,EXP(-D275*E2_tabla_vida!$X$227)*E2_tabla_vida!$P$227,EXP(-D275*E2_tabla_vida!$X$228)*E2_tabla_vida!$P$228,EXP(-D275*E2_tabla_vida!$X$229)*E2_tabla_vida!$P$229,EXP(-D275*E2_tabla_vida!$X$230)*E2_tabla_vida!$P$230,EXP(-D275*E2_tabla_vida!$X$231)*E2_tabla_vida!$P$231,EXP(-D275*E2_tabla_vida!$X$232)*E2_tabla_vida!$P$232,EXP(-D275*E2_tabla_vida!$X$233)*E2_tabla_vida!$P$233,EXP(-D275*E2_tabla_vida!$X$234)*E2_tabla_vida!$P$234,EXP(-D275*E2_tabla_vida!$X$235)*E2_tabla_vida!$P$235,EXP(-D275*E2_tabla_vida!$X$236)*E2_tabla_vida!$P$236,EXP(-D275*E2_tabla_vida!$X$237)*E2_tabla_vida!$P$237,EXP(-D275*E2_tabla_vida!$X$238)*E2_tabla_vida!$P$238,EXP(-D275*E2_tabla_vida!$X$239)*E2_tabla_vida!$P$239,EXP(-D275*E2_tabla_vida!$X$240)*E2_tabla_vida!$P$240,EXP(-D275*E2_tabla_vida!$X$241)*E2_tabla_vida!$P$241,EXP(-D275*E2_tabla_vida!$X$242)*E2_tabla_vida!$P$242,EXP(-D275*E2_tabla_vida!$X$243)*E2_tabla_vida!$P$243,EXP(-D275*E2_tabla_vida!$X$244)*E2_tabla_vida!$P$244,EXP(-D275*E2_tabla_vida!$X$245)*E2_tabla_vida!$P$245,EXP(-D275*E2_tabla_vida!$X$246)*E2_tabla_vida!$P$246,EXP(-D275*E2_tabla_vida!$X$247)*E2_tabla_vida!$P$247,EXP(-D275*E2_tabla_vida!$X$248)*E2_tabla_vida!$P$248,EXP(-D275*E2_tabla_vida!$X$249)*E2_tabla_vida!$P$249,EXP(-D275*E2_tabla_vida!$X$250)*E2_tabla_vida!$P$250,EXP(-D275*E2_tabla_vida!$X$251)*E2_tabla_vida!$P$251,EXP(-D275*E2_tabla_vida!$X$252)*E2_tabla_vida!$P$252,EXP(-D275*E2_tabla_vida!$X$253)*E2_tabla_vida!$P$253)-1</x:f>
        <x:v>2.7466917629226373e-13</x:v>
      </x:c>
    </x:row>
    <x:row r="276" ht="19" customHeight="1">
      <x:c r="A276" s="2" t="str">
        <x:v>BB_L7</x:v>
      </x:c>
      <x:c r="B276" s="2" t="n">
        <x:v>44</x:v>
      </x:c>
      <x:c r="C276" s="22" t="n">
        <x:f>IF(F275&gt;0,E275,C275)</x:f>
        <x:v>0.21084533969661834</x:v>
      </x:c>
      <x:c r="D276" s="22" t="n">
        <x:f>IF(F275&gt;0,D275,E275)</x:f>
        <x:v>0.21084533969678887</x:v>
      </x:c>
      <x:c r="E276" s="22" t="n">
        <x:f>AVERAGE(C276:D276)</x:f>
        <x:v>0.2108453396967036</x:v>
      </x:c>
      <x:c r="F276" s="24" t="n">
        <x:f>SUM(EXP(-E276*E2_tabla_vida!$X$212)*E2_tabla_vida!$P$212,EXP(-E276*E2_tabla_vida!$X$213)*E2_tabla_vida!$P$213,EXP(-E276*E2_tabla_vida!$X$214)*E2_tabla_vida!$P$214,EXP(-E276*E2_tabla_vida!$X$215)*E2_tabla_vida!$P$215,EXP(-E276*E2_tabla_vida!$X$216)*E2_tabla_vida!$P$216,EXP(-E276*E2_tabla_vida!$X$217)*E2_tabla_vida!$P$217,EXP(-E276*E2_tabla_vida!$X$218)*E2_tabla_vida!$P$218,EXP(-E276*E2_tabla_vida!$X$219)*E2_tabla_vida!$P$219,EXP(-E276*E2_tabla_vida!$X$220)*E2_tabla_vida!$P$220,EXP(-E276*E2_tabla_vida!$X$221)*E2_tabla_vida!$P$221,EXP(-E276*E2_tabla_vida!$X$222)*E2_tabla_vida!$P$222,EXP(-E276*E2_tabla_vida!$X$223)*E2_tabla_vida!$P$223,EXP(-E276*E2_tabla_vida!$X$224)*E2_tabla_vida!$P$224,EXP(-E276*E2_tabla_vida!$X$225)*E2_tabla_vida!$P$225,EXP(-E276*E2_tabla_vida!$X$226)*E2_tabla_vida!$P$226,EXP(-E276*E2_tabla_vida!$X$227)*E2_tabla_vida!$P$227,EXP(-E276*E2_tabla_vida!$X$228)*E2_tabla_vida!$P$228,EXP(-E276*E2_tabla_vida!$X$229)*E2_tabla_vida!$P$229,EXP(-E276*E2_tabla_vida!$X$230)*E2_tabla_vida!$P$230,EXP(-E276*E2_tabla_vida!$X$231)*E2_tabla_vida!$P$231,EXP(-E276*E2_tabla_vida!$X$232)*E2_tabla_vida!$P$232,EXP(-E276*E2_tabla_vida!$X$233)*E2_tabla_vida!$P$233,EXP(-E276*E2_tabla_vida!$X$234)*E2_tabla_vida!$P$234,EXP(-E276*E2_tabla_vida!$X$235)*E2_tabla_vida!$P$235,EXP(-E276*E2_tabla_vida!$X$236)*E2_tabla_vida!$P$236,EXP(-E276*E2_tabla_vida!$X$237)*E2_tabla_vida!$P$237,EXP(-E276*E2_tabla_vida!$X$238)*E2_tabla_vida!$P$238,EXP(-E276*E2_tabla_vida!$X$239)*E2_tabla_vida!$P$239,EXP(-E276*E2_tabla_vida!$X$240)*E2_tabla_vida!$P$240,EXP(-E276*E2_tabla_vida!$X$241)*E2_tabla_vida!$P$241,EXP(-E276*E2_tabla_vida!$X$242)*E2_tabla_vida!$P$242,EXP(-E276*E2_tabla_vida!$X$243)*E2_tabla_vida!$P$243,EXP(-E276*E2_tabla_vida!$X$244)*E2_tabla_vida!$P$244,EXP(-E276*E2_tabla_vida!$X$245)*E2_tabla_vida!$P$245,EXP(-E276*E2_tabla_vida!$X$246)*E2_tabla_vida!$P$246,EXP(-E276*E2_tabla_vida!$X$247)*E2_tabla_vida!$P$247,EXP(-E276*E2_tabla_vida!$X$248)*E2_tabla_vida!$P$248,EXP(-E276*E2_tabla_vida!$X$249)*E2_tabla_vida!$P$249,EXP(-E276*E2_tabla_vida!$X$250)*E2_tabla_vida!$P$250,EXP(-E276*E2_tabla_vida!$X$251)*E2_tabla_vida!$P$251,EXP(-E276*E2_tabla_vida!$X$252)*E2_tabla_vida!$P$252,EXP(-E276*E2_tabla_vida!$X$253)*E2_tabla_vida!$P$253)-1</x:f>
        <x:v>1.5798473640415978e-12</x:v>
      </x:c>
      <x:c r="G276" s="24" t="n">
        <x:f>SUM(EXP(-C276*E2_tabla_vida!$X$212)*E2_tabla_vida!$P$212,EXP(-C276*E2_tabla_vida!$X$213)*E2_tabla_vida!$P$213,EXP(-C276*E2_tabla_vida!$X$214)*E2_tabla_vida!$P$214,EXP(-C276*E2_tabla_vida!$X$215)*E2_tabla_vida!$P$215,EXP(-C276*E2_tabla_vida!$X$216)*E2_tabla_vida!$P$216,EXP(-C276*E2_tabla_vida!$X$217)*E2_tabla_vida!$P$217,EXP(-C276*E2_tabla_vida!$X$218)*E2_tabla_vida!$P$218,EXP(-C276*E2_tabla_vida!$X$219)*E2_tabla_vida!$P$219,EXP(-C276*E2_tabla_vida!$X$220)*E2_tabla_vida!$P$220,EXP(-C276*E2_tabla_vida!$X$221)*E2_tabla_vida!$P$221,EXP(-C276*E2_tabla_vida!$X$222)*E2_tabla_vida!$P$222,EXP(-C276*E2_tabla_vida!$X$223)*E2_tabla_vida!$P$223,EXP(-C276*E2_tabla_vida!$X$224)*E2_tabla_vida!$P$224,EXP(-C276*E2_tabla_vida!$X$225)*E2_tabla_vida!$P$225,EXP(-C276*E2_tabla_vida!$X$226)*E2_tabla_vida!$P$226,EXP(-C276*E2_tabla_vida!$X$227)*E2_tabla_vida!$P$227,EXP(-C276*E2_tabla_vida!$X$228)*E2_tabla_vida!$P$228,EXP(-C276*E2_tabla_vida!$X$229)*E2_tabla_vida!$P$229,EXP(-C276*E2_tabla_vida!$X$230)*E2_tabla_vida!$P$230,EXP(-C276*E2_tabla_vida!$X$231)*E2_tabla_vida!$P$231,EXP(-C276*E2_tabla_vida!$X$232)*E2_tabla_vida!$P$232,EXP(-C276*E2_tabla_vida!$X$233)*E2_tabla_vida!$P$233,EXP(-C276*E2_tabla_vida!$X$234)*E2_tabla_vida!$P$234,EXP(-C276*E2_tabla_vida!$X$235)*E2_tabla_vida!$P$235,EXP(-C276*E2_tabla_vida!$X$236)*E2_tabla_vida!$P$236,EXP(-C276*E2_tabla_vida!$X$237)*E2_tabla_vida!$P$237,EXP(-C276*E2_tabla_vida!$X$238)*E2_tabla_vida!$P$238,EXP(-C276*E2_tabla_vida!$X$239)*E2_tabla_vida!$P$239,EXP(-C276*E2_tabla_vida!$X$240)*E2_tabla_vida!$P$240,EXP(-C276*E2_tabla_vida!$X$241)*E2_tabla_vida!$P$241,EXP(-C276*E2_tabla_vida!$X$242)*E2_tabla_vida!$P$242,EXP(-C276*E2_tabla_vida!$X$243)*E2_tabla_vida!$P$243,EXP(-C276*E2_tabla_vida!$X$244)*E2_tabla_vida!$P$244,EXP(-C276*E2_tabla_vida!$X$245)*E2_tabla_vida!$P$245,EXP(-C276*E2_tabla_vida!$X$246)*E2_tabla_vida!$P$246,EXP(-C276*E2_tabla_vida!$X$247)*E2_tabla_vida!$P$247,EXP(-C276*E2_tabla_vida!$X$248)*E2_tabla_vida!$P$248,EXP(-C276*E2_tabla_vida!$X$249)*E2_tabla_vida!$P$249,EXP(-C276*E2_tabla_vida!$X$250)*E2_tabla_vida!$P$250,EXP(-C276*E2_tabla_vida!$X$251)*E2_tabla_vida!$P$251,EXP(-C276*E2_tabla_vida!$X$252)*E2_tabla_vida!$P$252,EXP(-C276*E2_tabla_vida!$X$253)*E2_tabla_vida!$P$253)-1</x:f>
        <x:v>2.8843594179761567e-12</x:v>
      </x:c>
      <x:c r="H276" s="24" t="n">
        <x:f>SUM(EXP(-D276*E2_tabla_vida!$X$212)*E2_tabla_vida!$P$212,EXP(-D276*E2_tabla_vida!$X$213)*E2_tabla_vida!$P$213,EXP(-D276*E2_tabla_vida!$X$214)*E2_tabla_vida!$P$214,EXP(-D276*E2_tabla_vida!$X$215)*E2_tabla_vida!$P$215,EXP(-D276*E2_tabla_vida!$X$216)*E2_tabla_vida!$P$216,EXP(-D276*E2_tabla_vida!$X$217)*E2_tabla_vida!$P$217,EXP(-D276*E2_tabla_vida!$X$218)*E2_tabla_vida!$P$218,EXP(-D276*E2_tabla_vida!$X$219)*E2_tabla_vida!$P$219,EXP(-D276*E2_tabla_vida!$X$220)*E2_tabla_vida!$P$220,EXP(-D276*E2_tabla_vida!$X$221)*E2_tabla_vida!$P$221,EXP(-D276*E2_tabla_vida!$X$222)*E2_tabla_vida!$P$222,EXP(-D276*E2_tabla_vida!$X$223)*E2_tabla_vida!$P$223,EXP(-D276*E2_tabla_vida!$X$224)*E2_tabla_vida!$P$224,EXP(-D276*E2_tabla_vida!$X$225)*E2_tabla_vida!$P$225,EXP(-D276*E2_tabla_vida!$X$226)*E2_tabla_vida!$P$226,EXP(-D276*E2_tabla_vida!$X$227)*E2_tabla_vida!$P$227,EXP(-D276*E2_tabla_vida!$X$228)*E2_tabla_vida!$P$228,EXP(-D276*E2_tabla_vida!$X$229)*E2_tabla_vida!$P$229,EXP(-D276*E2_tabla_vida!$X$230)*E2_tabla_vida!$P$230,EXP(-D276*E2_tabla_vida!$X$231)*E2_tabla_vida!$P$231,EXP(-D276*E2_tabla_vida!$X$232)*E2_tabla_vida!$P$232,EXP(-D276*E2_tabla_vida!$X$233)*E2_tabla_vida!$P$233,EXP(-D276*E2_tabla_vida!$X$234)*E2_tabla_vida!$P$234,EXP(-D276*E2_tabla_vida!$X$235)*E2_tabla_vida!$P$235,EXP(-D276*E2_tabla_vida!$X$236)*E2_tabla_vida!$P$236,EXP(-D276*E2_tabla_vida!$X$237)*E2_tabla_vida!$P$237,EXP(-D276*E2_tabla_vida!$X$238)*E2_tabla_vida!$P$238,EXP(-D276*E2_tabla_vida!$X$239)*E2_tabla_vida!$P$239,EXP(-D276*E2_tabla_vida!$X$240)*E2_tabla_vida!$P$240,EXP(-D276*E2_tabla_vida!$X$241)*E2_tabla_vida!$P$241,EXP(-D276*E2_tabla_vida!$X$242)*E2_tabla_vida!$P$242,EXP(-D276*E2_tabla_vida!$X$243)*E2_tabla_vida!$P$243,EXP(-D276*E2_tabla_vida!$X$244)*E2_tabla_vida!$P$244,EXP(-D276*E2_tabla_vida!$X$245)*E2_tabla_vida!$P$245,EXP(-D276*E2_tabla_vida!$X$246)*E2_tabla_vida!$P$246,EXP(-D276*E2_tabla_vida!$X$247)*E2_tabla_vida!$P$247,EXP(-D276*E2_tabla_vida!$X$248)*E2_tabla_vida!$P$248,EXP(-D276*E2_tabla_vida!$X$249)*E2_tabla_vida!$P$249,EXP(-D276*E2_tabla_vida!$X$250)*E2_tabla_vida!$P$250,EXP(-D276*E2_tabla_vida!$X$251)*E2_tabla_vida!$P$251,EXP(-D276*E2_tabla_vida!$X$252)*E2_tabla_vida!$P$252,EXP(-D276*E2_tabla_vida!$X$253)*E2_tabla_vida!$P$253)-1</x:f>
        <x:v>2.7466917629226373e-13</x:v>
      </x:c>
    </x:row>
    <x:row r="277" ht="19" customHeight="1">
      <x:c r="A277" s="2" t="str">
        <x:v>BB_L7</x:v>
      </x:c>
      <x:c r="B277" s="2" t="n">
        <x:v>45</x:v>
      </x:c>
      <x:c r="C277" s="22" t="n">
        <x:f>IF(F276&gt;0,E276,C276)</x:f>
        <x:v>0.2108453396967036</x:v>
      </x:c>
      <x:c r="D277" s="22" t="n">
        <x:f>IF(F276&gt;0,D276,E276)</x:f>
        <x:v>0.21084533969678887</x:v>
      </x:c>
      <x:c r="E277" s="22" t="n">
        <x:f>AVERAGE(C277:D277)</x:f>
        <x:v>0.21084533969674624</x:v>
      </x:c>
      <x:c r="F277" s="24" t="n">
        <x:f>SUM(EXP(-E277*E2_tabla_vida!$X$212)*E2_tabla_vida!$P$212,EXP(-E277*E2_tabla_vida!$X$213)*E2_tabla_vida!$P$213,EXP(-E277*E2_tabla_vida!$X$214)*E2_tabla_vida!$P$214,EXP(-E277*E2_tabla_vida!$X$215)*E2_tabla_vida!$P$215,EXP(-E277*E2_tabla_vida!$X$216)*E2_tabla_vida!$P$216,EXP(-E277*E2_tabla_vida!$X$217)*E2_tabla_vida!$P$217,EXP(-E277*E2_tabla_vida!$X$218)*E2_tabla_vida!$P$218,EXP(-E277*E2_tabla_vida!$X$219)*E2_tabla_vida!$P$219,EXP(-E277*E2_tabla_vida!$X$220)*E2_tabla_vida!$P$220,EXP(-E277*E2_tabla_vida!$X$221)*E2_tabla_vida!$P$221,EXP(-E277*E2_tabla_vida!$X$222)*E2_tabla_vida!$P$222,EXP(-E277*E2_tabla_vida!$X$223)*E2_tabla_vida!$P$223,EXP(-E277*E2_tabla_vida!$X$224)*E2_tabla_vida!$P$224,EXP(-E277*E2_tabla_vida!$X$225)*E2_tabla_vida!$P$225,EXP(-E277*E2_tabla_vida!$X$226)*E2_tabla_vida!$P$226,EXP(-E277*E2_tabla_vida!$X$227)*E2_tabla_vida!$P$227,EXP(-E277*E2_tabla_vida!$X$228)*E2_tabla_vida!$P$228,EXP(-E277*E2_tabla_vida!$X$229)*E2_tabla_vida!$P$229,EXP(-E277*E2_tabla_vida!$X$230)*E2_tabla_vida!$P$230,EXP(-E277*E2_tabla_vida!$X$231)*E2_tabla_vida!$P$231,EXP(-E277*E2_tabla_vida!$X$232)*E2_tabla_vida!$P$232,EXP(-E277*E2_tabla_vida!$X$233)*E2_tabla_vida!$P$233,EXP(-E277*E2_tabla_vida!$X$234)*E2_tabla_vida!$P$234,EXP(-E277*E2_tabla_vida!$X$235)*E2_tabla_vida!$P$235,EXP(-E277*E2_tabla_vida!$X$236)*E2_tabla_vida!$P$236,EXP(-E277*E2_tabla_vida!$X$237)*E2_tabla_vida!$P$237,EXP(-E277*E2_tabla_vida!$X$238)*E2_tabla_vida!$P$238,EXP(-E277*E2_tabla_vida!$X$239)*E2_tabla_vida!$P$239,EXP(-E277*E2_tabla_vida!$X$240)*E2_tabla_vida!$P$240,EXP(-E277*E2_tabla_vida!$X$241)*E2_tabla_vida!$P$241,EXP(-E277*E2_tabla_vida!$X$242)*E2_tabla_vida!$P$242,EXP(-E277*E2_tabla_vida!$X$243)*E2_tabla_vida!$P$243,EXP(-E277*E2_tabla_vida!$X$244)*E2_tabla_vida!$P$244,EXP(-E277*E2_tabla_vida!$X$245)*E2_tabla_vida!$P$245,EXP(-E277*E2_tabla_vida!$X$246)*E2_tabla_vida!$P$246,EXP(-E277*E2_tabla_vida!$X$247)*E2_tabla_vida!$P$247,EXP(-E277*E2_tabla_vida!$X$248)*E2_tabla_vida!$P$248,EXP(-E277*E2_tabla_vida!$X$249)*E2_tabla_vida!$P$249,EXP(-E277*E2_tabla_vida!$X$250)*E2_tabla_vida!$P$250,EXP(-E277*E2_tabla_vida!$X$251)*E2_tabla_vida!$P$251,EXP(-E277*E2_tabla_vida!$X$252)*E2_tabla_vida!$P$252,EXP(-E277*E2_tabla_vida!$X$253)*E2_tabla_vida!$P$253)-1</x:f>
        <x:v>9.272582701669307e-13</x:v>
      </x:c>
      <x:c r="G277" s="24" t="n">
        <x:f>SUM(EXP(-C277*E2_tabla_vida!$X$212)*E2_tabla_vida!$P$212,EXP(-C277*E2_tabla_vida!$X$213)*E2_tabla_vida!$P$213,EXP(-C277*E2_tabla_vida!$X$214)*E2_tabla_vida!$P$214,EXP(-C277*E2_tabla_vida!$X$215)*E2_tabla_vida!$P$215,EXP(-C277*E2_tabla_vida!$X$216)*E2_tabla_vida!$P$216,EXP(-C277*E2_tabla_vida!$X$217)*E2_tabla_vida!$P$217,EXP(-C277*E2_tabla_vida!$X$218)*E2_tabla_vida!$P$218,EXP(-C277*E2_tabla_vida!$X$219)*E2_tabla_vida!$P$219,EXP(-C277*E2_tabla_vida!$X$220)*E2_tabla_vida!$P$220,EXP(-C277*E2_tabla_vida!$X$221)*E2_tabla_vida!$P$221,EXP(-C277*E2_tabla_vida!$X$222)*E2_tabla_vida!$P$222,EXP(-C277*E2_tabla_vida!$X$223)*E2_tabla_vida!$P$223,EXP(-C277*E2_tabla_vida!$X$224)*E2_tabla_vida!$P$224,EXP(-C277*E2_tabla_vida!$X$225)*E2_tabla_vida!$P$225,EXP(-C277*E2_tabla_vida!$X$226)*E2_tabla_vida!$P$226,EXP(-C277*E2_tabla_vida!$X$227)*E2_tabla_vida!$P$227,EXP(-C277*E2_tabla_vida!$X$228)*E2_tabla_vida!$P$228,EXP(-C277*E2_tabla_vida!$X$229)*E2_tabla_vida!$P$229,EXP(-C277*E2_tabla_vida!$X$230)*E2_tabla_vida!$P$230,EXP(-C277*E2_tabla_vida!$X$231)*E2_tabla_vida!$P$231,EXP(-C277*E2_tabla_vida!$X$232)*E2_tabla_vida!$P$232,EXP(-C277*E2_tabla_vida!$X$233)*E2_tabla_vida!$P$233,EXP(-C277*E2_tabla_vida!$X$234)*E2_tabla_vida!$P$234,EXP(-C277*E2_tabla_vida!$X$235)*E2_tabla_vida!$P$235,EXP(-C277*E2_tabla_vida!$X$236)*E2_tabla_vida!$P$236,EXP(-C277*E2_tabla_vida!$X$237)*E2_tabla_vida!$P$237,EXP(-C277*E2_tabla_vida!$X$238)*E2_tabla_vida!$P$238,EXP(-C277*E2_tabla_vida!$X$239)*E2_tabla_vida!$P$239,EXP(-C277*E2_tabla_vida!$X$240)*E2_tabla_vida!$P$240,EXP(-C277*E2_tabla_vida!$X$241)*E2_tabla_vida!$P$241,EXP(-C277*E2_tabla_vida!$X$242)*E2_tabla_vida!$P$242,EXP(-C277*E2_tabla_vida!$X$243)*E2_tabla_vida!$P$243,EXP(-C277*E2_tabla_vida!$X$244)*E2_tabla_vida!$P$244,EXP(-C277*E2_tabla_vida!$X$245)*E2_tabla_vida!$P$245,EXP(-C277*E2_tabla_vida!$X$246)*E2_tabla_vida!$P$246,EXP(-C277*E2_tabla_vida!$X$247)*E2_tabla_vida!$P$247,EXP(-C277*E2_tabla_vida!$X$248)*E2_tabla_vida!$P$248,EXP(-C277*E2_tabla_vida!$X$249)*E2_tabla_vida!$P$249,EXP(-C277*E2_tabla_vida!$X$250)*E2_tabla_vida!$P$250,EXP(-C277*E2_tabla_vida!$X$251)*E2_tabla_vida!$P$251,EXP(-C277*E2_tabla_vida!$X$252)*E2_tabla_vida!$P$252,EXP(-C277*E2_tabla_vida!$X$253)*E2_tabla_vida!$P$253)-1</x:f>
        <x:v>1.5798473640415978e-12</x:v>
      </x:c>
      <x:c r="H277" s="24" t="n">
        <x:f>SUM(EXP(-D277*E2_tabla_vida!$X$212)*E2_tabla_vida!$P$212,EXP(-D277*E2_tabla_vida!$X$213)*E2_tabla_vida!$P$213,EXP(-D277*E2_tabla_vida!$X$214)*E2_tabla_vida!$P$214,EXP(-D277*E2_tabla_vida!$X$215)*E2_tabla_vida!$P$215,EXP(-D277*E2_tabla_vida!$X$216)*E2_tabla_vida!$P$216,EXP(-D277*E2_tabla_vida!$X$217)*E2_tabla_vida!$P$217,EXP(-D277*E2_tabla_vida!$X$218)*E2_tabla_vida!$P$218,EXP(-D277*E2_tabla_vida!$X$219)*E2_tabla_vida!$P$219,EXP(-D277*E2_tabla_vida!$X$220)*E2_tabla_vida!$P$220,EXP(-D277*E2_tabla_vida!$X$221)*E2_tabla_vida!$P$221,EXP(-D277*E2_tabla_vida!$X$222)*E2_tabla_vida!$P$222,EXP(-D277*E2_tabla_vida!$X$223)*E2_tabla_vida!$P$223,EXP(-D277*E2_tabla_vida!$X$224)*E2_tabla_vida!$P$224,EXP(-D277*E2_tabla_vida!$X$225)*E2_tabla_vida!$P$225,EXP(-D277*E2_tabla_vida!$X$226)*E2_tabla_vida!$P$226,EXP(-D277*E2_tabla_vida!$X$227)*E2_tabla_vida!$P$227,EXP(-D277*E2_tabla_vida!$X$228)*E2_tabla_vida!$P$228,EXP(-D277*E2_tabla_vida!$X$229)*E2_tabla_vida!$P$229,EXP(-D277*E2_tabla_vida!$X$230)*E2_tabla_vida!$P$230,EXP(-D277*E2_tabla_vida!$X$231)*E2_tabla_vida!$P$231,EXP(-D277*E2_tabla_vida!$X$232)*E2_tabla_vida!$P$232,EXP(-D277*E2_tabla_vida!$X$233)*E2_tabla_vida!$P$233,EXP(-D277*E2_tabla_vida!$X$234)*E2_tabla_vida!$P$234,EXP(-D277*E2_tabla_vida!$X$235)*E2_tabla_vida!$P$235,EXP(-D277*E2_tabla_vida!$X$236)*E2_tabla_vida!$P$236,EXP(-D277*E2_tabla_vida!$X$237)*E2_tabla_vida!$P$237,EXP(-D277*E2_tabla_vida!$X$238)*E2_tabla_vida!$P$238,EXP(-D277*E2_tabla_vida!$X$239)*E2_tabla_vida!$P$239,EXP(-D277*E2_tabla_vida!$X$240)*E2_tabla_vida!$P$240,EXP(-D277*E2_tabla_vida!$X$241)*E2_tabla_vida!$P$241,EXP(-D277*E2_tabla_vida!$X$242)*E2_tabla_vida!$P$242,EXP(-D277*E2_tabla_vida!$X$243)*E2_tabla_vida!$P$243,EXP(-D277*E2_tabla_vida!$X$244)*E2_tabla_vida!$P$244,EXP(-D277*E2_tabla_vida!$X$245)*E2_tabla_vida!$P$245,EXP(-D277*E2_tabla_vida!$X$246)*E2_tabla_vida!$P$246,EXP(-D277*E2_tabla_vida!$X$247)*E2_tabla_vida!$P$247,EXP(-D277*E2_tabla_vida!$X$248)*E2_tabla_vida!$P$248,EXP(-D277*E2_tabla_vida!$X$249)*E2_tabla_vida!$P$249,EXP(-D277*E2_tabla_vida!$X$250)*E2_tabla_vida!$P$250,EXP(-D277*E2_tabla_vida!$X$251)*E2_tabla_vida!$P$251,EXP(-D277*E2_tabla_vida!$X$252)*E2_tabla_vida!$P$252,EXP(-D277*E2_tabla_vida!$X$253)*E2_tabla_vida!$P$253)-1</x:f>
        <x:v>2.7466917629226373e-13</x:v>
      </x:c>
    </x:row>
  </x:sheetData>
  <x:pageMargins left="0.7" right="0.7" top="0.75" bottom="0.75" header="0.3" footer="0.3"/>
  <x:tableParts count="1">
    <x:tablePart xmlns:r="http://schemas.openxmlformats.org/officeDocument/2006/relationships" r:id="R0b033a9b06824ae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6" hidden="0" customWidth="1"/>
    <x:col min="3" max="3" width="21" hidden="0" customWidth="1"/>
    <x:col min="4" max="4" width="28" hidden="0" customWidth="1"/>
    <x:col min="5" max="5" width="86" hidden="0" customWidth="1"/>
    <x:col min="6" max="6" width="35" hidden="0" customWidth="1"/>
  </x:cols>
  <x:sheetData>
    <x:row r="1" ht="43" customHeight="1">
      <x:c r="A1" s="7" t="str">
        <x:v>hoja</x:v>
      </x:c>
      <x:c r="B1" s="7" t="str">
        <x:v>variable</x:v>
      </x:c>
      <x:c r="C1" s="7" t="str">
        <x:v>tipo_R_sugerido</x:v>
      </x:c>
      <x:c r="D1" s="7" t="str">
        <x:v>unidad</x:v>
      </x:c>
      <x:c r="E1" s="7" t="str">
        <x:v>definicion</x:v>
      </x:c>
      <x:c r="F1" s="7" t="str">
        <x:v>significado_vacio</x:v>
      </x:c>
    </x:row>
    <x:row r="2" ht="36" customHeight="1">
      <x:c r="A2" s="12" t="str">
        <x:v>E1_plantas</x:v>
      </x:c>
      <x:c r="B2" s="12" t="str">
        <x:v>id_planta</x:v>
      </x:c>
      <x:c r="C2" s="12" t="str">
        <x:v>texto</x:v>
      </x:c>
      <x:c r="D2" s="12" t="str">
        <x:v>ID</x:v>
      </x:c>
      <x:c r="E2" s="12" t="str">
        <x:v>Identificador único de planta E1. Se repite en sus tres recuentos.</x:v>
      </x:c>
      <x:c r="F2" s="12" t="str">
        <x:v>No hay faltantes</x:v>
      </x:c>
    </x:row>
    <x:row r="3" ht="36" customHeight="1">
      <x:c r="A3" s="12" t="str">
        <x:v>E1_plantas</x:v>
      </x:c>
      <x:c r="B3" s="12" t="str">
        <x:v>bloque_temporal</x:v>
      </x:c>
      <x:c r="C3" s="12" t="str">
        <x:v>entero/categoría</x:v>
      </x:c>
      <x:c r="D3" s="12" t="str">
        <x:v>bloque</x:v>
      </x:c>
      <x:c r="E3" s="12" t="str">
        <x:v>Bloque temporal 1–5. En R tratar como factor.</x:v>
      </x:c>
      <x:c r="F3" s="12" t="str">
        <x:v>No hay faltantes</x:v>
      </x:c>
    </x:row>
    <x:row r="4" ht="36" customHeight="1">
      <x:c r="A4" s="12" t="str">
        <x:v>E1_plantas</x:v>
      </x:c>
      <x:c r="B4" s="12" t="str">
        <x:v>codigo_especie</x:v>
      </x:c>
      <x:c r="C4" s="12" t="str">
        <x:v>categoría</x:v>
      </x:c>
      <x:c r="D4" s="12" t="str">
        <x:v>código</x:v>
      </x:c>
      <x:c r="E4" s="12" t="str">
        <x:v>MP=Myzus persicae; BB=Brevicoryne brassicae.</x:v>
      </x:c>
      <x:c r="F4" s="12" t="str">
        <x:v>No hay faltantes</x:v>
      </x:c>
    </x:row>
    <x:row r="5" ht="36" customHeight="1">
      <x:c r="A5" s="12" t="str">
        <x:v>E1_plantas</x:v>
      </x:c>
      <x:c r="B5" s="12" t="str">
        <x:v>especie</x:v>
      </x:c>
      <x:c r="C5" s="12" t="str">
        <x:v>categoría</x:v>
      </x:c>
      <x:c r="D5" s="12" t="str">
        <x:v>texto</x:v>
      </x:c>
      <x:c r="E5" s="12" t="str">
        <x:v>Nombre científico de la especie.</x:v>
      </x:c>
      <x:c r="F5" s="12" t="str">
        <x:v>No hay faltantes</x:v>
      </x:c>
    </x:row>
    <x:row r="6" ht="36" customHeight="1">
      <x:c r="A6" s="12" t="str">
        <x:v>E1_plantas</x:v>
      </x:c>
      <x:c r="B6" s="12" t="str">
        <x:v>tratamiento</x:v>
      </x:c>
      <x:c r="C6" s="12" t="str">
        <x:v>categoría</x:v>
      </x:c>
      <x:c r="D6" s="12" t="str">
        <x:v>código</x:v>
      </x:c>
      <x:c r="E6" s="12" t="str">
        <x:v>L0=control; L1,L2,L3,L5,L6,L7,L8,L9=cepas codificadas.</x:v>
      </x:c>
      <x:c r="F6" s="12" t="str">
        <x:v>No hay faltantes</x:v>
      </x:c>
    </x:row>
    <x:row r="7" ht="36" customHeight="1">
      <x:c r="A7" s="12" t="str">
        <x:v>E1_plantas</x:v>
      </x:c>
      <x:c r="B7" s="12" t="str">
        <x:v>es_control</x:v>
      </x:c>
      <x:c r="C7" s="12" t="str">
        <x:v>binario</x:v>
      </x:c>
      <x:c r="D7" s="12" t="str">
        <x:v>0/1</x:v>
      </x:c>
      <x:c r="E7" s="12" t="str">
        <x:v>1 para L0; 0 para cepas.</x:v>
      </x:c>
      <x:c r="F7" s="12" t="str">
        <x:v>No hay faltantes</x:v>
      </x:c>
    </x:row>
    <x:row r="8" ht="36" customHeight="1">
      <x:c r="A8" s="12" t="str">
        <x:v>E1_plantas</x:v>
      </x:c>
      <x:c r="B8" s="12" t="str">
        <x:v>repeticion</x:v>
      </x:c>
      <x:c r="C8" s="12" t="str">
        <x:v>entero</x:v>
      </x:c>
      <x:c r="D8" s="12" t="str">
        <x:v>repetición</x:v>
      </x:c>
      <x:c r="E8" s="12" t="str">
        <x:v>Número 1–10 dentro de cada especie y tratamiento; no es un bloque.</x:v>
      </x:c>
      <x:c r="F8" s="12" t="str">
        <x:v>No hay faltantes</x:v>
      </x:c>
    </x:row>
    <x:row r="9" ht="36" customHeight="1">
      <x:c r="A9" s="12" t="str">
        <x:v>E1_plantas</x:v>
      </x:c>
      <x:c r="B9" s="12" t="str">
        <x:v>rep_en_bloque</x:v>
      </x:c>
      <x:c r="C9" s="12" t="str">
        <x:v>entero</x:v>
      </x:c>
      <x:c r="D9" s="12" t="str">
        <x:v>repetición</x:v>
      </x:c>
      <x:c r="E9" s="12" t="str">
        <x:v>1 o 2 dentro del bloque, especie y tratamiento.</x:v>
      </x:c>
      <x:c r="F9" s="12" t="str">
        <x:v>No hay faltantes</x:v>
      </x:c>
    </x:row>
    <x:row r="10" ht="36" customHeight="1">
      <x:c r="A10" s="12" t="str">
        <x:v>E1_plantas</x:v>
      </x:c>
      <x:c r="B10" s="12" t="str">
        <x:v>posicion_en_bloque</x:v>
      </x:c>
      <x:c r="C10" s="12" t="str">
        <x:v>entero</x:v>
      </x:c>
      <x:c r="D10" s="12" t="str">
        <x:v>posición</x:v>
      </x:c>
      <x:c r="E10" s="12" t="str">
        <x:v>Ubicación aleatorizada, 1–36 en E1 y 1–12 en E2.</x:v>
      </x:c>
      <x:c r="F10" s="12" t="str">
        <x:v>No hay faltantes</x:v>
      </x:c>
    </x:row>
    <x:row r="11" ht="36" customHeight="1">
      <x:c r="A11" s="12" t="str">
        <x:v>E1_plantas</x:v>
      </x:c>
      <x:c r="B11" s="12" t="str">
        <x:v>fecha_inoculacion</x:v>
      </x:c>
      <x:c r="C11" s="12" t="str">
        <x:v>fecha</x:v>
      </x:c>
      <x:c r="D11" s="12" t="str">
        <x:v>yyyy-mm-dd</x:v>
      </x:c>
      <x:c r="E11" s="12" t="str">
        <x:v>Fecha ficticia de primera inoculación y colocación de hembras E1.</x:v>
      </x:c>
      <x:c r="F11" s="12" t="str">
        <x:v>No hay faltantes</x:v>
      </x:c>
    </x:row>
    <x:row r="12" ht="36" customHeight="1">
      <x:c r="A12" s="12" t="str">
        <x:v>E1_plantas</x:v>
      </x:c>
      <x:c r="B12" s="12" t="str">
        <x:v>fecha_establece_N1</x:v>
      </x:c>
      <x:c r="C12" s="12" t="str">
        <x:v>fecha</x:v>
      </x:c>
      <x:c r="D12" s="12" t="str">
        <x:v>yyyy-mm-dd</x:v>
      </x:c>
      <x:c r="E12" s="12" t="str">
        <x:v>Día siguiente a inoculación; retiro de madres y una ninfa.</x:v>
      </x:c>
      <x:c r="F12" s="12" t="str">
        <x:v>No hay faltantes</x:v>
      </x:c>
    </x:row>
    <x:row r="13" ht="36" customHeight="1">
      <x:c r="A13" s="12" t="str">
        <x:v>E1_plantas</x:v>
      </x:c>
      <x:c r="B13" s="12" t="str">
        <x:v>fecha_aplicacion_d14</x:v>
      </x:c>
      <x:c r="C13" s="12" t="str">
        <x:v>fecha</x:v>
      </x:c>
      <x:c r="D13" s="12" t="str">
        <x:v>yyyy-mm-dd</x:v>
      </x:c>
      <x:c r="E13" s="12" t="str">
        <x:v>Reinoculación después del recuento; vehículo sin levadura en L0.</x:v>
      </x:c>
      <x:c r="F13" s="12" t="str">
        <x:v>No hay faltantes</x:v>
      </x:c>
    </x:row>
    <x:row r="14" ht="36" customHeight="1">
      <x:c r="A14" s="12" t="str">
        <x:v>E1_plantas</x:v>
      </x:c>
      <x:c r="B14" s="12" t="str">
        <x:v>hembras_iniciales</x:v>
      </x:c>
      <x:c r="C14" s="12" t="str">
        <x:v>entero</x:v>
      </x:c>
      <x:c r="D14" s="12" t="str">
        <x:v>hembras</x:v>
      </x:c>
      <x:c r="E14" s="12" t="str">
        <x:v>Dos madres temporales en E1; retiradas a las 24 horas.</x:v>
      </x:c>
      <x:c r="F14" s="12" t="str">
        <x:v>No hay faltantes</x:v>
      </x:c>
    </x:row>
    <x:row r="15" ht="36" customHeight="1">
      <x:c r="A15" s="12" t="str">
        <x:v>E1_plantas</x:v>
      </x:c>
      <x:c r="B15" s="12" t="str">
        <x:v>ninfas_iniciales</x:v>
      </x:c>
      <x:c r="C15" s="12" t="str">
        <x:v>entero</x:v>
      </x:c>
      <x:c r="D15" s="12" t="str">
        <x:v>ninfas</x:v>
      </x:c>
      <x:c r="E15" s="12" t="str">
        <x:v>Una N1 por planta tras retirar las madres.</x:v>
      </x:c>
      <x:c r="F15" s="12" t="str">
        <x:v>No hay faltantes</x:v>
      </x:c>
    </x:row>
    <x:row r="16" ht="36" customHeight="1">
      <x:c r="A16" s="12" t="str">
        <x:v>E1_plantas</x:v>
      </x:c>
      <x:c r="B16" s="12" t="str">
        <x:v>desfase_N1_dias</x:v>
      </x:c>
      <x:c r="C16" s="12" t="str">
        <x:v>entero</x:v>
      </x:c>
      <x:c r="D16" s="12" t="str">
        <x:v>días</x:v>
      </x:c>
      <x:c r="E16" s="12" t="str">
        <x:v>Diferencia entre inoculación y establecimiento de N1: 1 día.</x:v>
      </x:c>
      <x:c r="F16" s="12" t="str">
        <x:v>No hay faltantes</x:v>
      </x:c>
    </x:row>
    <x:row r="17" ht="36" customHeight="1">
      <x:c r="A17" s="12" t="str">
        <x:v>E1_plantas</x:v>
      </x:c>
      <x:c r="B17" s="12" t="str">
        <x:v>origen_dato</x:v>
      </x:c>
      <x:c r="C17" s="12" t="str">
        <x:v>categoría</x:v>
      </x:c>
      <x:c r="D17" s="12" t="str">
        <x:v>procedencia</x:v>
      </x:c>
      <x:c r="E17" s="12" t="str">
        <x:v>Siempre simulado_didactico; también en resultados derivados.</x:v>
      </x:c>
      <x:c r="F17" s="12" t="str">
        <x:v>No hay faltantes</x:v>
      </x:c>
    </x:row>
    <x:row r="18" ht="36" customHeight="1">
      <x:c r="A18" s="12" t="str">
        <x:v>E1_recuentos</x:v>
      </x:c>
      <x:c r="B18" s="12" t="str">
        <x:v>id_planta</x:v>
      </x:c>
      <x:c r="C18" s="12" t="str">
        <x:v>texto</x:v>
      </x:c>
      <x:c r="D18" s="12" t="str">
        <x:v>ID</x:v>
      </x:c>
      <x:c r="E18" s="12" t="str">
        <x:v>Identificador único de planta E1. Se repite en sus tres recuentos.</x:v>
      </x:c>
      <x:c r="F18" s="12" t="str">
        <x:v>No hay faltantes</x:v>
      </x:c>
    </x:row>
    <x:row r="19" ht="36" customHeight="1">
      <x:c r="A19" s="12" t="str">
        <x:v>E1_recuentos</x:v>
      </x:c>
      <x:c r="B19" s="12" t="str">
        <x:v>bloque_temporal</x:v>
      </x:c>
      <x:c r="C19" s="12" t="str">
        <x:v>entero/categoría</x:v>
      </x:c>
      <x:c r="D19" s="12" t="str">
        <x:v>bloque</x:v>
      </x:c>
      <x:c r="E19" s="12" t="str">
        <x:v>Bloque temporal 1–5. En R tratar como factor.</x:v>
      </x:c>
      <x:c r="F19" s="12" t="str">
        <x:v>No hay faltantes</x:v>
      </x:c>
    </x:row>
    <x:row r="20" ht="36" customHeight="1">
      <x:c r="A20" s="12" t="str">
        <x:v>E1_recuentos</x:v>
      </x:c>
      <x:c r="B20" s="12" t="str">
        <x:v>codigo_especie</x:v>
      </x:c>
      <x:c r="C20" s="12" t="str">
        <x:v>categoría</x:v>
      </x:c>
      <x:c r="D20" s="12" t="str">
        <x:v>código</x:v>
      </x:c>
      <x:c r="E20" s="12" t="str">
        <x:v>MP=Myzus persicae; BB=Brevicoryne brassicae.</x:v>
      </x:c>
      <x:c r="F20" s="12" t="str">
        <x:v>No hay faltantes</x:v>
      </x:c>
    </x:row>
    <x:row r="21" ht="36" customHeight="1">
      <x:c r="A21" s="12" t="str">
        <x:v>E1_recuentos</x:v>
      </x:c>
      <x:c r="B21" s="12" t="str">
        <x:v>especie</x:v>
      </x:c>
      <x:c r="C21" s="12" t="str">
        <x:v>categoría</x:v>
      </x:c>
      <x:c r="D21" s="12" t="str">
        <x:v>texto</x:v>
      </x:c>
      <x:c r="E21" s="12" t="str">
        <x:v>Nombre científico de la especie.</x:v>
      </x:c>
      <x:c r="F21" s="12" t="str">
        <x:v>No hay faltantes</x:v>
      </x:c>
    </x:row>
    <x:row r="22" ht="36" customHeight="1">
      <x:c r="A22" s="12" t="str">
        <x:v>E1_recuentos</x:v>
      </x:c>
      <x:c r="B22" s="12" t="str">
        <x:v>tratamiento</x:v>
      </x:c>
      <x:c r="C22" s="12" t="str">
        <x:v>categoría</x:v>
      </x:c>
      <x:c r="D22" s="12" t="str">
        <x:v>código</x:v>
      </x:c>
      <x:c r="E22" s="12" t="str">
        <x:v>L0=control; L1,L2,L3,L5,L6,L7,L8,L9=cepas codificadas.</x:v>
      </x:c>
      <x:c r="F22" s="12" t="str">
        <x:v>No hay faltantes</x:v>
      </x:c>
    </x:row>
    <x:row r="23" ht="36" customHeight="1">
      <x:c r="A23" s="12" t="str">
        <x:v>E1_recuentos</x:v>
      </x:c>
      <x:c r="B23" s="12" t="str">
        <x:v>repeticion</x:v>
      </x:c>
      <x:c r="C23" s="12" t="str">
        <x:v>entero</x:v>
      </x:c>
      <x:c r="D23" s="12" t="str">
        <x:v>repetición</x:v>
      </x:c>
      <x:c r="E23" s="12" t="str">
        <x:v>Número 1–10 dentro de cada especie y tratamiento; no es un bloque.</x:v>
      </x:c>
      <x:c r="F23" s="12" t="str">
        <x:v>No hay faltantes</x:v>
      </x:c>
    </x:row>
    <x:row r="24" ht="36" customHeight="1">
      <x:c r="A24" s="12" t="str">
        <x:v>E1_recuentos</x:v>
      </x:c>
      <x:c r="B24" s="12" t="str">
        <x:v>dias_post_inoculacion</x:v>
      </x:c>
      <x:c r="C24" s="12" t="str">
        <x:v>entero</x:v>
      </x:c>
      <x:c r="D24" s="12" t="str">
        <x:v>días</x:v>
      </x:c>
      <x:c r="E24" s="12" t="str">
        <x:v>14, 21 o 28; eje temporal principal E1.</x:v>
      </x:c>
      <x:c r="F24" s="12" t="str">
        <x:v>No hay faltantes</x:v>
      </x:c>
    </x:row>
    <x:row r="25" ht="36" customHeight="1">
      <x:c r="A25" s="12" t="str">
        <x:v>E1_recuentos</x:v>
      </x:c>
      <x:c r="B25" s="12" t="str">
        <x:v>edad_desde_N1_dias</x:v>
      </x:c>
      <x:c r="C25" s="12" t="str">
        <x:v>entero</x:v>
      </x:c>
      <x:c r="D25" s="12" t="str">
        <x:v>días</x:v>
      </x:c>
      <x:c r="E25" s="12" t="str">
        <x:v>Días postinoculación menos el desfase de 1 día.</x:v>
      </x:c>
      <x:c r="F25" s="12" t="str">
        <x:v>No hay faltantes</x:v>
      </x:c>
    </x:row>
    <x:row r="26" ht="36" customHeight="1">
      <x:c r="A26" s="12" t="str">
        <x:v>E1_recuentos</x:v>
      </x:c>
      <x:c r="B26" s="12" t="str">
        <x:v>fecha_recuento</x:v>
      </x:c>
      <x:c r="C26" s="12" t="str">
        <x:v>fecha</x:v>
      </x:c>
      <x:c r="D26" s="12" t="str">
        <x:v>yyyy-mm-dd</x:v>
      </x:c>
      <x:c r="E26" s="12" t="str">
        <x:v>Fecha ficticia de evaluación.</x:v>
      </x:c>
      <x:c r="F26" s="12" t="str">
        <x:v>No hay faltantes</x:v>
      </x:c>
    </x:row>
    <x:row r="27" ht="36" customHeight="1">
      <x:c r="A27" s="12" t="str">
        <x:v>E1_recuentos</x:v>
      </x:c>
      <x:c r="B27" s="12" t="str">
        <x:v>total_afidos</x:v>
      </x:c>
      <x:c r="C27" s="12" t="str">
        <x:v>entero</x:v>
      </x:c>
      <x:c r="D27" s="12" t="str">
        <x:v>áfidos/planta</x:v>
      </x:c>
      <x:c r="E27" s="12" t="str">
        <x:v>Total de áfidos en la planta, todas las edades; cero no es dato faltante.</x:v>
      </x:c>
      <x:c r="F27" s="12" t="str">
        <x:v>No hay faltantes</x:v>
      </x:c>
    </x:row>
    <x:row r="28" ht="36" customHeight="1">
      <x:c r="A28" s="12" t="str">
        <x:v>E1_recuentos</x:v>
      </x:c>
      <x:c r="B28" s="12" t="str">
        <x:v>reinoculada_al_recuento</x:v>
      </x:c>
      <x:c r="C28" s="12" t="str">
        <x:v>binario</x:v>
      </x:c>
      <x:c r="D28" s="12" t="str">
        <x:v>0/1</x:v>
      </x:c>
      <x:c r="E28" s="12" t="str">
        <x:v>1 solo en levaduras a 21/28 dpi; recuento 14 precede reinoculación.</x:v>
      </x:c>
      <x:c r="F28" s="12" t="str">
        <x:v>No hay faltantes</x:v>
      </x:c>
    </x:row>
    <x:row r="29" ht="36" customHeight="1">
      <x:c r="A29" s="12" t="str">
        <x:v>E1_recuentos</x:v>
      </x:c>
      <x:c r="B29" s="12" t="str">
        <x:v>momento_recuento</x:v>
      </x:c>
      <x:c r="C29" s="12" t="str">
        <x:v>categoría</x:v>
      </x:c>
      <x:c r="D29" s="12" t="str">
        <x:v>categoría</x:v>
      </x:c>
      <x:c r="E29" s="12" t="str">
        <x:v>Relación temporal con la reinoculación del día 14.</x:v>
      </x:c>
      <x:c r="F29" s="12" t="str">
        <x:v>No hay faltantes</x:v>
      </x:c>
    </x:row>
    <x:row r="30" ht="36" customHeight="1">
      <x:c r="A30" s="12" t="str">
        <x:v>E1_recuentos</x:v>
      </x:c>
      <x:c r="B30" s="12" t="str">
        <x:v>origen_dato</x:v>
      </x:c>
      <x:c r="C30" s="12" t="str">
        <x:v>categoría</x:v>
      </x:c>
      <x:c r="D30" s="12" t="str">
        <x:v>procedencia</x:v>
      </x:c>
      <x:c r="E30" s="12" t="str">
        <x:v>Siempre simulado_didactico; también en resultados derivados.</x:v>
      </x:c>
      <x:c r="F30" s="12" t="str">
        <x:v>No hay faltantes</x:v>
      </x:c>
    </x:row>
    <x:row r="31" ht="36" customHeight="1">
      <x:c r="A31" s="12" t="str">
        <x:v>E1_ancho</x:v>
      </x:c>
      <x:c r="B31" s="12" t="str">
        <x:v>id_planta</x:v>
      </x:c>
      <x:c r="C31" s="12" t="str">
        <x:v>texto</x:v>
      </x:c>
      <x:c r="D31" s="12" t="str">
        <x:v>ID</x:v>
      </x:c>
      <x:c r="E31" s="12" t="str">
        <x:v>Identificador único de planta E1. Se repite en sus tres recuentos.</x:v>
      </x:c>
      <x:c r="F31" s="12" t="str">
        <x:v>No hay faltantes</x:v>
      </x:c>
    </x:row>
    <x:row r="32" ht="36" customHeight="1">
      <x:c r="A32" s="12" t="str">
        <x:v>E1_ancho</x:v>
      </x:c>
      <x:c r="B32" s="12" t="str">
        <x:v>bloque_temporal</x:v>
      </x:c>
      <x:c r="C32" s="12" t="str">
        <x:v>entero/categoría</x:v>
      </x:c>
      <x:c r="D32" s="12" t="str">
        <x:v>bloque</x:v>
      </x:c>
      <x:c r="E32" s="12" t="str">
        <x:v>Bloque temporal 1–5. En R tratar como factor.</x:v>
      </x:c>
      <x:c r="F32" s="12" t="str">
        <x:v>No hay faltantes</x:v>
      </x:c>
    </x:row>
    <x:row r="33" ht="36" customHeight="1">
      <x:c r="A33" s="12" t="str">
        <x:v>E1_ancho</x:v>
      </x:c>
      <x:c r="B33" s="12" t="str">
        <x:v>codigo_especie</x:v>
      </x:c>
      <x:c r="C33" s="12" t="str">
        <x:v>categoría</x:v>
      </x:c>
      <x:c r="D33" s="12" t="str">
        <x:v>código</x:v>
      </x:c>
      <x:c r="E33" s="12" t="str">
        <x:v>MP=Myzus persicae; BB=Brevicoryne brassicae.</x:v>
      </x:c>
      <x:c r="F33" s="12" t="str">
        <x:v>No hay faltantes</x:v>
      </x:c>
    </x:row>
    <x:row r="34" ht="36" customHeight="1">
      <x:c r="A34" s="12" t="str">
        <x:v>E1_ancho</x:v>
      </x:c>
      <x:c r="B34" s="12" t="str">
        <x:v>especie</x:v>
      </x:c>
      <x:c r="C34" s="12" t="str">
        <x:v>categoría</x:v>
      </x:c>
      <x:c r="D34" s="12" t="str">
        <x:v>texto</x:v>
      </x:c>
      <x:c r="E34" s="12" t="str">
        <x:v>Nombre científico de la especie.</x:v>
      </x:c>
      <x:c r="F34" s="12" t="str">
        <x:v>No hay faltantes</x:v>
      </x:c>
    </x:row>
    <x:row r="35" ht="36" customHeight="1">
      <x:c r="A35" s="12" t="str">
        <x:v>E1_ancho</x:v>
      </x:c>
      <x:c r="B35" s="12" t="str">
        <x:v>tratamiento</x:v>
      </x:c>
      <x:c r="C35" s="12" t="str">
        <x:v>categoría</x:v>
      </x:c>
      <x:c r="D35" s="12" t="str">
        <x:v>código</x:v>
      </x:c>
      <x:c r="E35" s="12" t="str">
        <x:v>L0=control; L1,L2,L3,L5,L6,L7,L8,L9=cepas codificadas.</x:v>
      </x:c>
      <x:c r="F35" s="12" t="str">
        <x:v>No hay faltantes</x:v>
      </x:c>
    </x:row>
    <x:row r="36" ht="36" customHeight="1">
      <x:c r="A36" s="12" t="str">
        <x:v>E1_ancho</x:v>
      </x:c>
      <x:c r="B36" s="12" t="str">
        <x:v>repeticion</x:v>
      </x:c>
      <x:c r="C36" s="12" t="str">
        <x:v>entero</x:v>
      </x:c>
      <x:c r="D36" s="12" t="str">
        <x:v>repetición</x:v>
      </x:c>
      <x:c r="E36" s="12" t="str">
        <x:v>Número 1–10 dentro de cada especie y tratamiento; no es un bloque.</x:v>
      </x:c>
      <x:c r="F36" s="12" t="str">
        <x:v>No hay faltantes</x:v>
      </x:c>
    </x:row>
    <x:row r="37" ht="36" customHeight="1">
      <x:c r="A37" s="12" t="str">
        <x:v>E1_ancho</x:v>
      </x:c>
      <x:c r="B37" s="12" t="str">
        <x:v>total_d14</x:v>
      </x:c>
      <x:c r="C37" s="12" t="str">
        <x:v>entero</x:v>
      </x:c>
      <x:c r="D37" s="12" t="str">
        <x:v>áfidos/planta</x:v>
      </x:c>
      <x:c r="E37" s="12" t="str">
        <x:v>Mismo total del día 14 de E1_recuentos, en formato ancho.</x:v>
      </x:c>
      <x:c r="F37" s="12" t="str">
        <x:v>No hay faltantes</x:v>
      </x:c>
    </x:row>
    <x:row r="38" ht="36" customHeight="1">
      <x:c r="A38" s="12" t="str">
        <x:v>E1_ancho</x:v>
      </x:c>
      <x:c r="B38" s="12" t="str">
        <x:v>total_d21</x:v>
      </x:c>
      <x:c r="C38" s="12" t="str">
        <x:v>entero</x:v>
      </x:c>
      <x:c r="D38" s="12" t="str">
        <x:v>áfidos/planta</x:v>
      </x:c>
      <x:c r="E38" s="12" t="str">
        <x:v>Mismo total del día 21 de E1_recuentos, en formato ancho.</x:v>
      </x:c>
      <x:c r="F38" s="12" t="str">
        <x:v>No hay faltantes</x:v>
      </x:c>
    </x:row>
    <x:row r="39" ht="36" customHeight="1">
      <x:c r="A39" s="12" t="str">
        <x:v>E1_ancho</x:v>
      </x:c>
      <x:c r="B39" s="12" t="str">
        <x:v>total_d28</x:v>
      </x:c>
      <x:c r="C39" s="12" t="str">
        <x:v>entero</x:v>
      </x:c>
      <x:c r="D39" s="12" t="str">
        <x:v>áfidos/planta</x:v>
      </x:c>
      <x:c r="E39" s="12" t="str">
        <x:v>Mismo total del día 28 de E1_recuentos, en formato ancho.</x:v>
      </x:c>
      <x:c r="F39" s="12" t="str">
        <x:v>No hay faltantes</x:v>
      </x:c>
    </x:row>
    <x:row r="40" ht="36" customHeight="1">
      <x:c r="A40" s="12" t="str">
        <x:v>E1_ancho</x:v>
      </x:c>
      <x:c r="B40" s="12" t="str">
        <x:v>origen_dato</x:v>
      </x:c>
      <x:c r="C40" s="12" t="str">
        <x:v>categoría</x:v>
      </x:c>
      <x:c r="D40" s="12" t="str">
        <x:v>procedencia</x:v>
      </x:c>
      <x:c r="E40" s="12" t="str">
        <x:v>Siempre simulado_didactico; también en resultados derivados.</x:v>
      </x:c>
      <x:c r="F40" s="12" t="str">
        <x:v>No hay faltantes</x:v>
      </x:c>
    </x:row>
    <x:row r="41" ht="36" customHeight="1">
      <x:c r="A41" s="12" t="str">
        <x:v>E1_resumen</x:v>
      </x:c>
      <x:c r="B41" s="12" t="str">
        <x:v>codigo_especie</x:v>
      </x:c>
      <x:c r="C41" s="12" t="str">
        <x:v>categoría</x:v>
      </x:c>
      <x:c r="D41" s="12" t="str">
        <x:v>código</x:v>
      </x:c>
      <x:c r="E41" s="12" t="str">
        <x:v>MP=Myzus persicae; BB=Brevicoryne brassicae.</x:v>
      </x:c>
      <x:c r="F41" s="12" t="str">
        <x:v>No hay faltantes</x:v>
      </x:c>
    </x:row>
    <x:row r="42" ht="36" customHeight="1">
      <x:c r="A42" s="12" t="str">
        <x:v>E1_resumen</x:v>
      </x:c>
      <x:c r="B42" s="12" t="str">
        <x:v>especie</x:v>
      </x:c>
      <x:c r="C42" s="12" t="str">
        <x:v>categoría</x:v>
      </x:c>
      <x:c r="D42" s="12" t="str">
        <x:v>texto</x:v>
      </x:c>
      <x:c r="E42" s="12" t="str">
        <x:v>Nombre científico de la especie.</x:v>
      </x:c>
      <x:c r="F42" s="12" t="str">
        <x:v>No hay faltantes</x:v>
      </x:c>
    </x:row>
    <x:row r="43" ht="36" customHeight="1">
      <x:c r="A43" s="12" t="str">
        <x:v>E1_resumen</x:v>
      </x:c>
      <x:c r="B43" s="12" t="str">
        <x:v>tratamiento</x:v>
      </x:c>
      <x:c r="C43" s="12" t="str">
        <x:v>categoría</x:v>
      </x:c>
      <x:c r="D43" s="12" t="str">
        <x:v>código</x:v>
      </x:c>
      <x:c r="E43" s="12" t="str">
        <x:v>L0=control; L1,L2,L3,L5,L6,L7,L8,L9=cepas codificadas.</x:v>
      </x:c>
      <x:c r="F43" s="12" t="str">
        <x:v>No hay faltantes</x:v>
      </x:c>
    </x:row>
    <x:row r="44" ht="36" customHeight="1">
      <x:c r="A44" s="12" t="str">
        <x:v>E1_resumen</x:v>
      </x:c>
      <x:c r="B44" s="12" t="str">
        <x:v>dias_post_inoculacion</x:v>
      </x:c>
      <x:c r="C44" s="12" t="str">
        <x:v>entero</x:v>
      </x:c>
      <x:c r="D44" s="12" t="str">
        <x:v>días</x:v>
      </x:c>
      <x:c r="E44" s="12" t="str">
        <x:v>14, 21 o 28; eje temporal principal E1.</x:v>
      </x:c>
      <x:c r="F44" s="12" t="str">
        <x:v>No hay faltantes</x:v>
      </x:c>
    </x:row>
    <x:row r="45" ht="36" customHeight="1">
      <x:c r="A45" s="12" t="str">
        <x:v>E1_resumen</x:v>
      </x:c>
      <x:c r="B45" s="12" t="str">
        <x:v>n_plantas</x:v>
      </x:c>
      <x:c r="C45" s="12" t="str">
        <x:v>entero</x:v>
      </x:c>
      <x:c r="D45" s="12" t="str">
        <x:v>plantas</x:v>
      </x:c>
      <x:c r="E45" s="12" t="str">
        <x:v>Número de plantas independientes del grupo.</x:v>
      </x:c>
      <x:c r="F45" s="12" t="str">
        <x:v>No hay faltantes</x:v>
      </x:c>
    </x:row>
    <x:row r="46" ht="36" customHeight="1">
      <x:c r="A46" s="12" t="str">
        <x:v>E1_resumen</x:v>
      </x:c>
      <x:c r="B46" s="12" t="str">
        <x:v>media_total</x:v>
      </x:c>
      <x:c r="C46" s="12" t="str">
        <x:v>número</x:v>
      </x:c>
      <x:c r="D46" s="12" t="str">
        <x:v>áfidos/planta</x:v>
      </x:c>
      <x:c r="E46" s="12" t="str">
        <x:v>Media aritmética del recuento total del grupo.</x:v>
      </x:c>
      <x:c r="F46" s="12" t="str">
        <x:v>No hay faltantes</x:v>
      </x:c>
    </x:row>
    <x:row r="47" ht="36" customHeight="1">
      <x:c r="A47" s="12" t="str">
        <x:v>E1_resumen</x:v>
      </x:c>
      <x:c r="B47" s="12" t="str">
        <x:v>desviacion_estandar</x:v>
      </x:c>
      <x:c r="C47" s="12" t="str">
        <x:v>número</x:v>
      </x:c>
      <x:c r="D47" s="12" t="str">
        <x:v>áfidos/planta</x:v>
      </x:c>
      <x:c r="E47" s="12" t="str">
        <x:v>Desviación estándar muestral, denominador n-1.</x:v>
      </x:c>
      <x:c r="F47" s="12" t="str">
        <x:v>No hay faltantes</x:v>
      </x:c>
    </x:row>
    <x:row r="48" ht="36" customHeight="1">
      <x:c r="A48" s="12" t="str">
        <x:v>E1_resumen</x:v>
      </x:c>
      <x:c r="B48" s="12" t="str">
        <x:v>error_estandar</x:v>
      </x:c>
      <x:c r="C48" s="12" t="str">
        <x:v>número</x:v>
      </x:c>
      <x:c r="D48" s="12" t="str">
        <x:v>áfidos/planta</x:v>
      </x:c>
      <x:c r="E48" s="12" t="str">
        <x:v>Desviación estándar / raíz(n); descriptivo, no intervalo de confianza.</x:v>
      </x:c>
      <x:c r="F48" s="12" t="str">
        <x:v>No hay faltantes</x:v>
      </x:c>
    </x:row>
    <x:row r="49" ht="36" customHeight="1">
      <x:c r="A49" s="12" t="str">
        <x:v>E1_resumen</x:v>
      </x:c>
      <x:c r="B49" s="12" t="str">
        <x:v>mediana</x:v>
      </x:c>
      <x:c r="C49" s="12" t="str">
        <x:v>número</x:v>
      </x:c>
      <x:c r="D49" s="12" t="str">
        <x:v>áfidos/planta</x:v>
      </x:c>
      <x:c r="E49" s="12" t="str">
        <x:v>Mediana del grupo.</x:v>
      </x:c>
      <x:c r="F49" s="12" t="str">
        <x:v>No hay faltantes</x:v>
      </x:c>
    </x:row>
    <x:row r="50" ht="36" customHeight="1">
      <x:c r="A50" s="12" t="str">
        <x:v>E1_resumen</x:v>
      </x:c>
      <x:c r="B50" s="12" t="str">
        <x:v>minimo</x:v>
      </x:c>
      <x:c r="C50" s="12" t="str">
        <x:v>número</x:v>
      </x:c>
      <x:c r="D50" s="12" t="str">
        <x:v>áfidos/planta</x:v>
      </x:c>
      <x:c r="E50" s="12" t="str">
        <x:v>Menor recuento del grupo.</x:v>
      </x:c>
      <x:c r="F50" s="12" t="str">
        <x:v>No hay faltantes</x:v>
      </x:c>
    </x:row>
    <x:row r="51" ht="36" customHeight="1">
      <x:c r="A51" s="12" t="str">
        <x:v>E1_resumen</x:v>
      </x:c>
      <x:c r="B51" s="12" t="str">
        <x:v>maximo</x:v>
      </x:c>
      <x:c r="C51" s="12" t="str">
        <x:v>número</x:v>
      </x:c>
      <x:c r="D51" s="12" t="str">
        <x:v>áfidos/planta</x:v>
      </x:c>
      <x:c r="E51" s="12" t="str">
        <x:v>Mayor recuento del grupo.</x:v>
      </x:c>
      <x:c r="F51" s="12" t="str">
        <x:v>No hay faltantes</x:v>
      </x:c>
    </x:row>
    <x:row r="52" ht="36" customHeight="1">
      <x:c r="A52" s="12" t="str">
        <x:v>E1_resumen</x:v>
      </x:c>
      <x:c r="B52" s="12" t="str">
        <x:v>media_control</x:v>
      </x:c>
      <x:c r="C52" s="12" t="str">
        <x:v>número</x:v>
      </x:c>
      <x:c r="D52" s="12" t="str">
        <x:v>áfidos/planta</x:v>
      </x:c>
      <x:c r="E52" s="12" t="str">
        <x:v>Media L0 de la misma especie y fecha.</x:v>
      </x:c>
      <x:c r="F52" s="12" t="str">
        <x:v>No hay faltantes</x:v>
      </x:c>
    </x:row>
    <x:row r="53" ht="36" customHeight="1">
      <x:c r="A53" s="12" t="str">
        <x:v>E1_resumen</x:v>
      </x:c>
      <x:c r="B53" s="12" t="str">
        <x:v>reduccion_relativa</x:v>
      </x:c>
      <x:c r="C53" s="12" t="str">
        <x:v>proporción</x:v>
      </x:c>
      <x:c r="D53" s="12" t="str">
        <x:v>fracción</x:v>
      </x:c>
      <x:c r="E53" s="12" t="str">
        <x:v>1 - media_tratamiento/media_control. Negativo = más áfidos que L0.</x:v>
      </x:c>
      <x:c r="F53" s="12" t="str">
        <x:v>No hay faltantes</x:v>
      </x:c>
    </x:row>
    <x:row r="54" ht="36" customHeight="1">
      <x:c r="A54" s="12" t="str">
        <x:v>E1_resumen</x:v>
      </x:c>
      <x:c r="B54" s="12" t="str">
        <x:v>origen_dato</x:v>
      </x:c>
      <x:c r="C54" s="12" t="str">
        <x:v>categoría</x:v>
      </x:c>
      <x:c r="D54" s="12" t="str">
        <x:v>procedencia</x:v>
      </x:c>
      <x:c r="E54" s="12" t="str">
        <x:v>Siempre simulado_didactico; también en resultados derivados.</x:v>
      </x:c>
      <x:c r="F54" s="12" t="str">
        <x:v>No hay faltantes</x:v>
      </x:c>
    </x:row>
    <x:row r="55" ht="36" customHeight="1">
      <x:c r="A55" s="12" t="str">
        <x:v>E1_seleccion</x:v>
      </x:c>
      <x:c r="B55" s="12" t="str">
        <x:v>tratamiento</x:v>
      </x:c>
      <x:c r="C55" s="12" t="str">
        <x:v>categoría</x:v>
      </x:c>
      <x:c r="D55" s="12" t="str">
        <x:v>código</x:v>
      </x:c>
      <x:c r="E55" s="12" t="str">
        <x:v>L0=control; L1,L2,L3,L5,L6,L7,L8,L9=cepas codificadas.</x:v>
      </x:c>
      <x:c r="F55" s="12" t="str">
        <x:v>No hay faltantes</x:v>
      </x:c>
    </x:row>
    <x:row r="56" ht="36" customHeight="1">
      <x:c r="A56" s="12" t="str">
        <x:v>E1_seleccion</x:v>
      </x:c>
      <x:c r="B56" s="12" t="str">
        <x:v>tipo</x:v>
      </x:c>
      <x:c r="C56" s="12" t="str">
        <x:v>categoría</x:v>
      </x:c>
      <x:c r="D56" s="12" t="str">
        <x:v>categoría</x:v>
      </x:c>
      <x:c r="E56" s="12" t="str">
        <x:v>control o levadura.</x:v>
      </x:c>
      <x:c r="F56" s="12" t="str">
        <x:v>No hay faltantes</x:v>
      </x:c>
    </x:row>
    <x:row r="57" ht="36" customHeight="1">
      <x:c r="A57" s="12" t="str">
        <x:v>E1_seleccion</x:v>
      </x:c>
      <x:c r="B57" s="12" t="str">
        <x:v>reduccion_media_MP</x:v>
      </x:c>
      <x:c r="C57" s="12" t="str">
        <x:v>proporción</x:v>
      </x:c>
      <x:c r="D57" s="12" t="str">
        <x:v>fracción</x:v>
      </x:c>
      <x:c r="E57" s="12" t="str">
        <x:v>Promedio de reducciones relativas de MP a 14,21,28 dpi.</x:v>
      </x:c>
      <x:c r="F57" s="12" t="str">
        <x:v>No hay faltantes</x:v>
      </x:c>
    </x:row>
    <x:row r="58" ht="36" customHeight="1">
      <x:c r="A58" s="12" t="str">
        <x:v>E1_seleccion</x:v>
      </x:c>
      <x:c r="B58" s="12" t="str">
        <x:v>reduccion_media_BB</x:v>
      </x:c>
      <x:c r="C58" s="12" t="str">
        <x:v>proporción</x:v>
      </x:c>
      <x:c r="D58" s="12" t="str">
        <x:v>fracción</x:v>
      </x:c>
      <x:c r="E58" s="12" t="str">
        <x:v>Promedio de reducciones relativas de BB a 14,21,28 dpi.</x:v>
      </x:c>
      <x:c r="F58" s="12" t="str">
        <x:v>No hay faltantes</x:v>
      </x:c>
    </x:row>
    <x:row r="59" ht="36" customHeight="1">
      <x:c r="A59" s="12" t="str">
        <x:v>E1_seleccion</x:v>
      </x:c>
      <x:c r="B59" s="12" t="str">
        <x:v>reduccion_conjunta</x:v>
      </x:c>
      <x:c r="C59" s="12" t="str">
        <x:v>proporción</x:v>
      </x:c>
      <x:c r="D59" s="12" t="str">
        <x:v>fracción</x:v>
      </x:c>
      <x:c r="E59" s="12" t="str">
        <x:v>Media de seis reducciones; igual peso a cada especie y fecha.</x:v>
      </x:c>
      <x:c r="F59" s="12" t="str">
        <x:v>No hay faltantes</x:v>
      </x:c>
    </x:row>
    <x:row r="60" ht="36" customHeight="1">
      <x:c r="A60" s="12" t="str">
        <x:v>E1_seleccion</x:v>
      </x:c>
      <x:c r="B60" s="12" t="str">
        <x:v>puesto_entre_cepas</x:v>
      </x:c>
      <x:c r="C60" s="12" t="str">
        <x:v>entero</x:v>
      </x:c>
      <x:c r="D60" s="12" t="str">
        <x:v>puesto</x:v>
      </x:c>
      <x:c r="E60" s="12" t="str">
        <x:v>Ranking descendente entre las ocho cepas; L0 excluido.</x:v>
      </x:c>
      <x:c r="F60" s="12" t="str">
        <x:v>No aplica / no alcanzó el evento</x:v>
      </x:c>
    </x:row>
    <x:row r="61" ht="36" customHeight="1">
      <x:c r="A61" s="12" t="str">
        <x:v>E1_seleccion</x:v>
      </x:c>
      <x:c r="B61" s="12" t="str">
        <x:v>seleccionada_E2</x:v>
      </x:c>
      <x:c r="C61" s="12" t="str">
        <x:v>categoría</x:v>
      </x:c>
      <x:c r="D61" s="12" t="str">
        <x:v>si/no</x:v>
      </x:c>
      <x:c r="E61" s="12" t="str">
        <x:v>si para los dos primeros puestos; no en otro caso.</x:v>
      </x:c>
      <x:c r="F61" s="12" t="str">
        <x:v>No hay faltantes</x:v>
      </x:c>
    </x:row>
    <x:row r="62" ht="36" customHeight="1">
      <x:c r="A62" s="12" t="str">
        <x:v>E1_seleccion</x:v>
      </x:c>
      <x:c r="B62" s="12" t="str">
        <x:v>origen_dato</x:v>
      </x:c>
      <x:c r="C62" s="12" t="str">
        <x:v>categoría</x:v>
      </x:c>
      <x:c r="D62" s="12" t="str">
        <x:v>procedencia</x:v>
      </x:c>
      <x:c r="E62" s="12" t="str">
        <x:v>Siempre simulado_didactico; también en resultados derivados.</x:v>
      </x:c>
      <x:c r="F62" s="12" t="str">
        <x:v>No hay faltantes</x:v>
      </x:c>
    </x:row>
    <x:row r="63" ht="36" customHeight="1">
      <x:c r="A63" s="12" t="str">
        <x:v>E2_plantas</x:v>
      </x:c>
      <x:c r="B63" s="12" t="str">
        <x:v>id_individuo</x:v>
      </x:c>
      <x:c r="C63" s="12" t="str">
        <x:v>texto</x:v>
      </x:c>
      <x:c r="D63" s="12" t="str">
        <x:v>ID</x:v>
      </x:c>
      <x:c r="E63" s="12" t="str">
        <x:v>Identificador de una hembra focal y su planta E2.</x:v>
      </x:c>
      <x:c r="F63" s="12" t="str">
        <x:v>No hay faltantes</x:v>
      </x:c>
    </x:row>
    <x:row r="64" ht="36" customHeight="1">
      <x:c r="A64" s="12" t="str">
        <x:v>E2_plantas</x:v>
      </x:c>
      <x:c r="B64" s="12" t="str">
        <x:v>bloque_temporal</x:v>
      </x:c>
      <x:c r="C64" s="12" t="str">
        <x:v>entero/categoría</x:v>
      </x:c>
      <x:c r="D64" s="12" t="str">
        <x:v>bloque</x:v>
      </x:c>
      <x:c r="E64" s="12" t="str">
        <x:v>Bloque temporal 1–5. En R tratar como factor.</x:v>
      </x:c>
      <x:c r="F64" s="12" t="str">
        <x:v>No hay faltantes</x:v>
      </x:c>
    </x:row>
    <x:row r="65" ht="36" customHeight="1">
      <x:c r="A65" s="12" t="str">
        <x:v>E2_plantas</x:v>
      </x:c>
      <x:c r="B65" s="12" t="str">
        <x:v>codigo_especie</x:v>
      </x:c>
      <x:c r="C65" s="12" t="str">
        <x:v>categoría</x:v>
      </x:c>
      <x:c r="D65" s="12" t="str">
        <x:v>código</x:v>
      </x:c>
      <x:c r="E65" s="12" t="str">
        <x:v>MP=Myzus persicae; BB=Brevicoryne brassicae.</x:v>
      </x:c>
      <x:c r="F65" s="12" t="str">
        <x:v>No hay faltantes</x:v>
      </x:c>
    </x:row>
    <x:row r="66" ht="36" customHeight="1">
      <x:c r="A66" s="12" t="str">
        <x:v>E2_plantas</x:v>
      </x:c>
      <x:c r="B66" s="12" t="str">
        <x:v>especie</x:v>
      </x:c>
      <x:c r="C66" s="12" t="str">
        <x:v>categoría</x:v>
      </x:c>
      <x:c r="D66" s="12" t="str">
        <x:v>texto</x:v>
      </x:c>
      <x:c r="E66" s="12" t="str">
        <x:v>Nombre científico de la especie.</x:v>
      </x:c>
      <x:c r="F66" s="12" t="str">
        <x:v>No hay faltantes</x:v>
      </x:c>
    </x:row>
    <x:row r="67" ht="36" customHeight="1">
      <x:c r="A67" s="12" t="str">
        <x:v>E2_plantas</x:v>
      </x:c>
      <x:c r="B67" s="12" t="str">
        <x:v>tratamiento</x:v>
      </x:c>
      <x:c r="C67" s="12" t="str">
        <x:v>categoría</x:v>
      </x:c>
      <x:c r="D67" s="12" t="str">
        <x:v>código</x:v>
      </x:c>
      <x:c r="E67" s="12" t="str">
        <x:v>L0=control; L1,L2,L3,L5,L6,L7,L8,L9=cepas codificadas.</x:v>
      </x:c>
      <x:c r="F67" s="12" t="str">
        <x:v>No hay faltantes</x:v>
      </x:c>
    </x:row>
    <x:row r="68" ht="36" customHeight="1">
      <x:c r="A68" s="12" t="str">
        <x:v>E2_plantas</x:v>
      </x:c>
      <x:c r="B68" s="12" t="str">
        <x:v>es_control</x:v>
      </x:c>
      <x:c r="C68" s="12" t="str">
        <x:v>binario</x:v>
      </x:c>
      <x:c r="D68" s="12" t="str">
        <x:v>0/1</x:v>
      </x:c>
      <x:c r="E68" s="12" t="str">
        <x:v>1 para L0; 0 para cepas.</x:v>
      </x:c>
      <x:c r="F68" s="12" t="str">
        <x:v>No hay faltantes</x:v>
      </x:c>
    </x:row>
    <x:row r="69" ht="36" customHeight="1">
      <x:c r="A69" s="12" t="str">
        <x:v>E2_plantas</x:v>
      </x:c>
      <x:c r="B69" s="12" t="str">
        <x:v>repeticion</x:v>
      </x:c>
      <x:c r="C69" s="12" t="str">
        <x:v>entero</x:v>
      </x:c>
      <x:c r="D69" s="12" t="str">
        <x:v>repetición</x:v>
      </x:c>
      <x:c r="E69" s="12" t="str">
        <x:v>Número 1–10 dentro de cada especie y tratamiento; no es un bloque.</x:v>
      </x:c>
      <x:c r="F69" s="12" t="str">
        <x:v>No hay faltantes</x:v>
      </x:c>
    </x:row>
    <x:row r="70" ht="36" customHeight="1">
      <x:c r="A70" s="12" t="str">
        <x:v>E2_plantas</x:v>
      </x:c>
      <x:c r="B70" s="12" t="str">
        <x:v>rep_en_bloque</x:v>
      </x:c>
      <x:c r="C70" s="12" t="str">
        <x:v>entero</x:v>
      </x:c>
      <x:c r="D70" s="12" t="str">
        <x:v>repetición</x:v>
      </x:c>
      <x:c r="E70" s="12" t="str">
        <x:v>1 o 2 dentro del bloque, especie y tratamiento.</x:v>
      </x:c>
      <x:c r="F70" s="12" t="str">
        <x:v>No hay faltantes</x:v>
      </x:c>
    </x:row>
    <x:row r="71" ht="36" customHeight="1">
      <x:c r="A71" s="12" t="str">
        <x:v>E2_plantas</x:v>
      </x:c>
      <x:c r="B71" s="12" t="str">
        <x:v>posicion_en_bloque</x:v>
      </x:c>
      <x:c r="C71" s="12" t="str">
        <x:v>entero</x:v>
      </x:c>
      <x:c r="D71" s="12" t="str">
        <x:v>posición</x:v>
      </x:c>
      <x:c r="E71" s="12" t="str">
        <x:v>Ubicación aleatorizada, 1–36 en E1 y 1–12 en E2.</x:v>
      </x:c>
      <x:c r="F71" s="12" t="str">
        <x:v>No hay faltantes</x:v>
      </x:c>
    </x:row>
    <x:row r="72" ht="36" customHeight="1">
      <x:c r="A72" s="12" t="str">
        <x:v>E2_plantas</x:v>
      </x:c>
      <x:c r="B72" s="12" t="str">
        <x:v>fecha_inicio_N1</x:v>
      </x:c>
      <x:c r="C72" s="12" t="str">
        <x:v>fecha</x:v>
      </x:c>
      <x:c r="D72" s="12" t="str">
        <x:v>yyyy-mm-dd</x:v>
      </x:c>
      <x:c r="E72" s="12" t="str">
        <x:v>Fecha ficticia de inicio individual E2; edad x=0.</x:v>
      </x:c>
      <x:c r="F72" s="12" t="str">
        <x:v>No hay faltantes</x:v>
      </x:c>
    </x:row>
    <x:row r="73" ht="36" customHeight="1">
      <x:c r="A73" s="12" t="str">
        <x:v>E2_plantas</x:v>
      </x:c>
      <x:c r="B73" s="12" t="str">
        <x:v>ninfas_iniciales</x:v>
      </x:c>
      <x:c r="C73" s="12" t="str">
        <x:v>entero</x:v>
      </x:c>
      <x:c r="D73" s="12" t="str">
        <x:v>ninfas</x:v>
      </x:c>
      <x:c r="E73" s="12" t="str">
        <x:v>Una N1 por planta tras retirar las madres.</x:v>
      </x:c>
      <x:c r="F73" s="12" t="str">
        <x:v>No hay faltantes</x:v>
      </x:c>
    </x:row>
    <x:row r="74" ht="36" customHeight="1">
      <x:c r="A74" s="12" t="str">
        <x:v>E2_plantas</x:v>
      </x:c>
      <x:c r="B74" s="12" t="str">
        <x:v>sexo</x:v>
      </x:c>
      <x:c r="C74" s="12" t="str">
        <x:v>categoría</x:v>
      </x:c>
      <x:c r="D74" s="12" t="str">
        <x:v>categoría</x:v>
      </x:c>
      <x:c r="E74" s="12" t="str">
        <x:v>Hembra; cohorte partenogenética simulada.</x:v>
      </x:c>
      <x:c r="F74" s="12" t="str">
        <x:v>No hay faltantes</x:v>
      </x:c>
    </x:row>
    <x:row r="75" ht="36" customHeight="1">
      <x:c r="A75" s="12" t="str">
        <x:v>E2_plantas</x:v>
      </x:c>
      <x:c r="B75" s="12" t="str">
        <x:v>origen_dato</x:v>
      </x:c>
      <x:c r="C75" s="12" t="str">
        <x:v>categoría</x:v>
      </x:c>
      <x:c r="D75" s="12" t="str">
        <x:v>procedencia</x:v>
      </x:c>
      <x:c r="E75" s="12" t="str">
        <x:v>Siempre simulado_didactico; también en resultados derivados.</x:v>
      </x:c>
      <x:c r="F75" s="12" t="str">
        <x:v>No hay faltantes</x:v>
      </x:c>
    </x:row>
    <x:row r="76" ht="36" customHeight="1">
      <x:c r="A76" s="12" t="str">
        <x:v>E2_diario</x:v>
      </x:c>
      <x:c r="B76" s="12" t="str">
        <x:v>id_individuo</x:v>
      </x:c>
      <x:c r="C76" s="12" t="str">
        <x:v>texto</x:v>
      </x:c>
      <x:c r="D76" s="12" t="str">
        <x:v>ID</x:v>
      </x:c>
      <x:c r="E76" s="12" t="str">
        <x:v>Identificador de una hembra focal y su planta E2.</x:v>
      </x:c>
      <x:c r="F76" s="12" t="str">
        <x:v>No hay faltantes</x:v>
      </x:c>
    </x:row>
    <x:row r="77" ht="36" customHeight="1">
      <x:c r="A77" s="12" t="str">
        <x:v>E2_diario</x:v>
      </x:c>
      <x:c r="B77" s="12" t="str">
        <x:v>bloque_temporal</x:v>
      </x:c>
      <x:c r="C77" s="12" t="str">
        <x:v>entero/categoría</x:v>
      </x:c>
      <x:c r="D77" s="12" t="str">
        <x:v>bloque</x:v>
      </x:c>
      <x:c r="E77" s="12" t="str">
        <x:v>Bloque temporal 1–5. En R tratar como factor.</x:v>
      </x:c>
      <x:c r="F77" s="12" t="str">
        <x:v>No hay faltantes</x:v>
      </x:c>
    </x:row>
    <x:row r="78" ht="36" customHeight="1">
      <x:c r="A78" s="12" t="str">
        <x:v>E2_diario</x:v>
      </x:c>
      <x:c r="B78" s="12" t="str">
        <x:v>codigo_especie</x:v>
      </x:c>
      <x:c r="C78" s="12" t="str">
        <x:v>categoría</x:v>
      </x:c>
      <x:c r="D78" s="12" t="str">
        <x:v>código</x:v>
      </x:c>
      <x:c r="E78" s="12" t="str">
        <x:v>MP=Myzus persicae; BB=Brevicoryne brassicae.</x:v>
      </x:c>
      <x:c r="F78" s="12" t="str">
        <x:v>No hay faltantes</x:v>
      </x:c>
    </x:row>
    <x:row r="79" ht="36" customHeight="1">
      <x:c r="A79" s="12" t="str">
        <x:v>E2_diario</x:v>
      </x:c>
      <x:c r="B79" s="12" t="str">
        <x:v>especie</x:v>
      </x:c>
      <x:c r="C79" s="12" t="str">
        <x:v>categoría</x:v>
      </x:c>
      <x:c r="D79" s="12" t="str">
        <x:v>texto</x:v>
      </x:c>
      <x:c r="E79" s="12" t="str">
        <x:v>Nombre científico de la especie.</x:v>
      </x:c>
      <x:c r="F79" s="12" t="str">
        <x:v>No hay faltantes</x:v>
      </x:c>
    </x:row>
    <x:row r="80" ht="36" customHeight="1">
      <x:c r="A80" s="12" t="str">
        <x:v>E2_diario</x:v>
      </x:c>
      <x:c r="B80" s="12" t="str">
        <x:v>tratamiento</x:v>
      </x:c>
      <x:c r="C80" s="12" t="str">
        <x:v>categoría</x:v>
      </x:c>
      <x:c r="D80" s="12" t="str">
        <x:v>código</x:v>
      </x:c>
      <x:c r="E80" s="12" t="str">
        <x:v>L0=control; L1,L2,L3,L5,L6,L7,L8,L9=cepas codificadas.</x:v>
      </x:c>
      <x:c r="F80" s="12" t="str">
        <x:v>No hay faltantes</x:v>
      </x:c>
    </x:row>
    <x:row r="81" ht="36" customHeight="1">
      <x:c r="A81" s="12" t="str">
        <x:v>E2_diario</x:v>
      </x:c>
      <x:c r="B81" s="12" t="str">
        <x:v>repeticion</x:v>
      </x:c>
      <x:c r="C81" s="12" t="str">
        <x:v>entero</x:v>
      </x:c>
      <x:c r="D81" s="12" t="str">
        <x:v>repetición</x:v>
      </x:c>
      <x:c r="E81" s="12" t="str">
        <x:v>Número 1–10 dentro de cada especie y tratamiento; no es un bloque.</x:v>
      </x:c>
      <x:c r="F81" s="12" t="str">
        <x:v>No hay faltantes</x:v>
      </x:c>
    </x:row>
    <x:row r="82" ht="36" customHeight="1">
      <x:c r="A82" s="12" t="str">
        <x:v>E2_diario</x:v>
      </x:c>
      <x:c r="B82" s="12" t="str">
        <x:v>edad_dias</x:v>
      </x:c>
      <x:c r="C82" s="12" t="str">
        <x:v>entero</x:v>
      </x:c>
      <x:c r="D82" s="12" t="str">
        <x:v>días</x:v>
      </x:c>
      <x:c r="E82" s="12" t="str">
        <x:v>x=0,1,...; edad al INICIO de cada intervalo diario.</x:v>
      </x:c>
      <x:c r="F82" s="12" t="str">
        <x:v>No hay faltantes</x:v>
      </x:c>
    </x:row>
    <x:row r="83" ht="36" customHeight="1">
      <x:c r="A83" s="12" t="str">
        <x:v>E2_diario</x:v>
      </x:c>
      <x:c r="B83" s="12" t="str">
        <x:v>fin_intervalo_dias</x:v>
      </x:c>
      <x:c r="C83" s="12" t="str">
        <x:v>entero</x:v>
      </x:c>
      <x:c r="D83" s="12" t="str">
        <x:v>días</x:v>
      </x:c>
      <x:c r="E83" s="12" t="str">
        <x:v>x+1; edad usada para contabilizar reproducción en Euler-Lotka.</x:v>
      </x:c>
      <x:c r="F83" s="12" t="str">
        <x:v>No hay faltantes</x:v>
      </x:c>
    </x:row>
    <x:row r="84" ht="36" customHeight="1">
      <x:c r="A84" s="12" t="str">
        <x:v>E2_diario</x:v>
      </x:c>
      <x:c r="B84" s="12" t="str">
        <x:v>fecha_inicio_intervalo</x:v>
      </x:c>
      <x:c r="C84" s="12" t="str">
        <x:v>fecha</x:v>
      </x:c>
      <x:c r="D84" s="12" t="str">
        <x:v>yyyy-mm-dd</x:v>
      </x:c>
      <x:c r="E84" s="12" t="str">
        <x:v>Fecha ficticia al inicio del intervalo x.</x:v>
      </x:c>
      <x:c r="F84" s="12" t="str">
        <x:v>No hay faltantes</x:v>
      </x:c>
    </x:row>
    <x:row r="85" ht="36" customHeight="1">
      <x:c r="A85" s="12" t="str">
        <x:v>E2_diario</x:v>
      </x:c>
      <x:c r="B85" s="12" t="str">
        <x:v>estadio</x:v>
      </x:c>
      <x:c r="C85" s="12" t="str">
        <x:v>categoría</x:v>
      </x:c>
      <x:c r="D85" s="12" t="str">
        <x:v>estadio</x:v>
      </x:c>
      <x:c r="E85" s="12" t="str">
        <x:v>N1,N2,N3,N4,adulta o muerta; permite superposición de estadios entre individuos.</x:v>
      </x:c>
      <x:c r="F85" s="12" t="str">
        <x:v>No hay faltantes</x:v>
      </x:c>
    </x:row>
    <x:row r="86" ht="36" customHeight="1">
      <x:c r="A86" s="12" t="str">
        <x:v>E2_diario</x:v>
      </x:c>
      <x:c r="B86" s="12" t="str">
        <x:v>vivo_inicio</x:v>
      </x:c>
      <x:c r="C86" s="12" t="str">
        <x:v>binario</x:v>
      </x:c>
      <x:c r="D86" s="12" t="str">
        <x:v>0/1</x:v>
      </x:c>
      <x:c r="E86" s="12" t="str">
        <x:v>Viva al inicio del intervalo: 1; muerta: 0.</x:v>
      </x:c>
      <x:c r="F86" s="12" t="str">
        <x:v>No hay faltantes</x:v>
      </x:c>
    </x:row>
    <x:row r="87" ht="36" customHeight="1">
      <x:c r="A87" s="12" t="str">
        <x:v>E2_diario</x:v>
      </x:c>
      <x:c r="B87" s="12" t="str">
        <x:v>ninfas_producidas</x:v>
      </x:c>
      <x:c r="C87" s="12" t="str">
        <x:v>entero</x:v>
      </x:c>
      <x:c r="D87" s="12" t="str">
        <x:v>crías/hembra/día</x:v>
      </x:c>
      <x:c r="E87" s="12" t="str">
        <x:v>Crías de la hembra focal durante [x,x+1); se retiran diariamente.</x:v>
      </x:c>
      <x:c r="F87" s="12" t="str">
        <x:v>No hay faltantes</x:v>
      </x:c>
    </x:row>
    <x:row r="88" ht="36" customHeight="1">
      <x:c r="A88" s="12" t="str">
        <x:v>E2_diario</x:v>
      </x:c>
      <x:c r="B88" s="12" t="str">
        <x:v>fecundidad_acumulada</x:v>
      </x:c>
      <x:c r="C88" s="12" t="str">
        <x:v>entero</x:v>
      </x:c>
      <x:c r="D88" s="12" t="str">
        <x:v>crías/hembra</x:v>
      </x:c>
      <x:c r="E88" s="12" t="str">
        <x:v>Suma de crías hasta el intervalo actual inclusive.</x:v>
      </x:c>
      <x:c r="F88" s="12" t="str">
        <x:v>No hay faltantes</x:v>
      </x:c>
    </x:row>
    <x:row r="89" ht="36" customHeight="1">
      <x:c r="A89" s="12" t="str">
        <x:v>E2_diario</x:v>
      </x:c>
      <x:c r="B89" s="12" t="str">
        <x:v>evento_muerte</x:v>
      </x:c>
      <x:c r="C89" s="12" t="str">
        <x:v>binario</x:v>
      </x:c>
      <x:c r="D89" s="12" t="str">
        <x:v>0/1</x:v>
      </x:c>
      <x:c r="E89" s="12" t="str">
        <x:v>1 solo en la primera fila muerta, 0 en las demás.</x:v>
      </x:c>
      <x:c r="F89" s="12" t="str">
        <x:v>No hay faltantes</x:v>
      </x:c>
    </x:row>
    <x:row r="90" ht="36" customHeight="1">
      <x:c r="A90" s="12" t="str">
        <x:v>E2_diario</x:v>
      </x:c>
      <x:c r="B90" s="12" t="str">
        <x:v>tipo_fila</x:v>
      </x:c>
      <x:c r="C90" s="12" t="str">
        <x:v>categoría</x:v>
      </x:c>
      <x:c r="D90" s="12" t="str">
        <x:v>categoría</x:v>
      </x:c>
      <x:c r="E90" s="12" t="str">
        <x:v>seguimiento; muerte; relleno_postmuerte. El relleno no es nueva observación.</x:v>
      </x:c>
      <x:c r="F90" s="12" t="str">
        <x:v>No hay faltantes</x:v>
      </x:c>
    </x:row>
    <x:row r="91" ht="36" customHeight="1">
      <x:c r="A91" s="12" t="str">
        <x:v>E2_diario</x:v>
      </x:c>
      <x:c r="B91" s="12" t="str">
        <x:v>censurado</x:v>
      </x:c>
      <x:c r="C91" s="12" t="str">
        <x:v>binario</x:v>
      </x:c>
      <x:c r="D91" s="12" t="str">
        <x:v>0/1</x:v>
      </x:c>
      <x:c r="E91" s="12" t="str">
        <x:v>0 en todos los registros; no hay pérdida de seguimiento.</x:v>
      </x:c>
      <x:c r="F91" s="12" t="str">
        <x:v>No hay faltantes</x:v>
      </x:c>
    </x:row>
    <x:row r="92" ht="36" customHeight="1">
      <x:c r="A92" s="12" t="str">
        <x:v>E2_diario</x:v>
      </x:c>
      <x:c r="B92" s="12" t="str">
        <x:v>origen_dato</x:v>
      </x:c>
      <x:c r="C92" s="12" t="str">
        <x:v>categoría</x:v>
      </x:c>
      <x:c r="D92" s="12" t="str">
        <x:v>procedencia</x:v>
      </x:c>
      <x:c r="E92" s="12" t="str">
        <x:v>Siempre simulado_didactico; también en resultados derivados.</x:v>
      </x:c>
      <x:c r="F92" s="12" t="str">
        <x:v>No hay faltantes</x:v>
      </x:c>
    </x:row>
    <x:row r="93" ht="36" customHeight="1">
      <x:c r="A93" s="12" t="str">
        <x:v>E2_individuos</x:v>
      </x:c>
      <x:c r="B93" s="12" t="str">
        <x:v>id_individuo</x:v>
      </x:c>
      <x:c r="C93" s="12" t="str">
        <x:v>texto</x:v>
      </x:c>
      <x:c r="D93" s="12" t="str">
        <x:v>ID</x:v>
      </x:c>
      <x:c r="E93" s="12" t="str">
        <x:v>Identificador de una hembra focal y su planta E2.</x:v>
      </x:c>
      <x:c r="F93" s="12" t="str">
        <x:v>No hay faltantes</x:v>
      </x:c>
    </x:row>
    <x:row r="94" ht="36" customHeight="1">
      <x:c r="A94" s="12" t="str">
        <x:v>E2_individuos</x:v>
      </x:c>
      <x:c r="B94" s="12" t="str">
        <x:v>bloque_temporal</x:v>
      </x:c>
      <x:c r="C94" s="12" t="str">
        <x:v>entero/categoría</x:v>
      </x:c>
      <x:c r="D94" s="12" t="str">
        <x:v>bloque</x:v>
      </x:c>
      <x:c r="E94" s="12" t="str">
        <x:v>Bloque temporal 1–5. En R tratar como factor.</x:v>
      </x:c>
      <x:c r="F94" s="12" t="str">
        <x:v>No hay faltantes</x:v>
      </x:c>
    </x:row>
    <x:row r="95" ht="36" customHeight="1">
      <x:c r="A95" s="12" t="str">
        <x:v>E2_individuos</x:v>
      </x:c>
      <x:c r="B95" s="12" t="str">
        <x:v>codigo_especie</x:v>
      </x:c>
      <x:c r="C95" s="12" t="str">
        <x:v>categoría</x:v>
      </x:c>
      <x:c r="D95" s="12" t="str">
        <x:v>código</x:v>
      </x:c>
      <x:c r="E95" s="12" t="str">
        <x:v>MP=Myzus persicae; BB=Brevicoryne brassicae.</x:v>
      </x:c>
      <x:c r="F95" s="12" t="str">
        <x:v>No hay faltantes</x:v>
      </x:c>
    </x:row>
    <x:row r="96" ht="36" customHeight="1">
      <x:c r="A96" s="12" t="str">
        <x:v>E2_individuos</x:v>
      </x:c>
      <x:c r="B96" s="12" t="str">
        <x:v>especie</x:v>
      </x:c>
      <x:c r="C96" s="12" t="str">
        <x:v>categoría</x:v>
      </x:c>
      <x:c r="D96" s="12" t="str">
        <x:v>texto</x:v>
      </x:c>
      <x:c r="E96" s="12" t="str">
        <x:v>Nombre científico de la especie.</x:v>
      </x:c>
      <x:c r="F96" s="12" t="str">
        <x:v>No hay faltantes</x:v>
      </x:c>
    </x:row>
    <x:row r="97" ht="36" customHeight="1">
      <x:c r="A97" s="12" t="str">
        <x:v>E2_individuos</x:v>
      </x:c>
      <x:c r="B97" s="12" t="str">
        <x:v>tratamiento</x:v>
      </x:c>
      <x:c r="C97" s="12" t="str">
        <x:v>categoría</x:v>
      </x:c>
      <x:c r="D97" s="12" t="str">
        <x:v>código</x:v>
      </x:c>
      <x:c r="E97" s="12" t="str">
        <x:v>L0=control; L1,L2,L3,L5,L6,L7,L8,L9=cepas codificadas.</x:v>
      </x:c>
      <x:c r="F97" s="12" t="str">
        <x:v>No hay faltantes</x:v>
      </x:c>
    </x:row>
    <x:row r="98" ht="36" customHeight="1">
      <x:c r="A98" s="12" t="str">
        <x:v>E2_individuos</x:v>
      </x:c>
      <x:c r="B98" s="12" t="str">
        <x:v>repeticion</x:v>
      </x:c>
      <x:c r="C98" s="12" t="str">
        <x:v>entero</x:v>
      </x:c>
      <x:c r="D98" s="12" t="str">
        <x:v>repetición</x:v>
      </x:c>
      <x:c r="E98" s="12" t="str">
        <x:v>Número 1–10 dentro de cada especie y tratamiento; no es un bloque.</x:v>
      </x:c>
      <x:c r="F98" s="12" t="str">
        <x:v>No hay faltantes</x:v>
      </x:c>
    </x:row>
    <x:row r="99" ht="36" customHeight="1">
      <x:c r="A99" s="12" t="str">
        <x:v>E2_individuos</x:v>
      </x:c>
      <x:c r="B99" s="12" t="str">
        <x:v>sobrevivio_a_adulta</x:v>
      </x:c>
      <x:c r="C99" s="12" t="str">
        <x:v>binario</x:v>
      </x:c>
      <x:c r="D99" s="12" t="str">
        <x:v>0/1</x:v>
      </x:c>
      <x:c r="E99" s="12" t="str">
        <x:v>1 si alcanzó adulta; 0 si murió como ninfa.</x:v>
      </x:c>
      <x:c r="F99" s="12" t="str">
        <x:v>No hay faltantes</x:v>
      </x:c>
    </x:row>
    <x:row r="100" ht="36" customHeight="1">
      <x:c r="A100" s="12" t="str">
        <x:v>E2_individuos</x:v>
      </x:c>
      <x:c r="B100" s="12" t="str">
        <x:v>dias_N1_observados</x:v>
      </x:c>
      <x:c r="C100" s="12" t="str">
        <x:v>entero</x:v>
      </x:c>
      <x:c r="D100" s="12" t="str">
        <x:v>días</x:v>
      </x:c>
      <x:c r="E100" s="12" t="str">
        <x:v>Días ocupados en N1; puede ser duración parcial si murió en ese estadio.</x:v>
      </x:c>
      <x:c r="F100" s="12" t="str">
        <x:v>No hay faltantes</x:v>
      </x:c>
    </x:row>
    <x:row r="101" ht="36" customHeight="1">
      <x:c r="A101" s="12" t="str">
        <x:v>E2_individuos</x:v>
      </x:c>
      <x:c r="B101" s="12" t="str">
        <x:v>dias_N2_observados</x:v>
      </x:c>
      <x:c r="C101" s="12" t="str">
        <x:v>entero</x:v>
      </x:c>
      <x:c r="D101" s="12" t="str">
        <x:v>días</x:v>
      </x:c>
      <x:c r="E101" s="12" t="str">
        <x:v>Días ocupados en N2; puede ser duración parcial si murió en ese estadio.</x:v>
      </x:c>
      <x:c r="F101" s="12" t="str">
        <x:v>No hay faltantes</x:v>
      </x:c>
    </x:row>
    <x:row r="102" ht="36" customHeight="1">
      <x:c r="A102" s="12" t="str">
        <x:v>E2_individuos</x:v>
      </x:c>
      <x:c r="B102" s="12" t="str">
        <x:v>dias_N3_observados</x:v>
      </x:c>
      <x:c r="C102" s="12" t="str">
        <x:v>entero</x:v>
      </x:c>
      <x:c r="D102" s="12" t="str">
        <x:v>días</x:v>
      </x:c>
      <x:c r="E102" s="12" t="str">
        <x:v>Días ocupados en N3; puede ser duración parcial si murió en ese estadio.</x:v>
      </x:c>
      <x:c r="F102" s="12" t="str">
        <x:v>No hay faltantes</x:v>
      </x:c>
    </x:row>
    <x:row r="103" ht="36" customHeight="1">
      <x:c r="A103" s="12" t="str">
        <x:v>E2_individuos</x:v>
      </x:c>
      <x:c r="B103" s="12" t="str">
        <x:v>dias_N4_observados</x:v>
      </x:c>
      <x:c r="C103" s="12" t="str">
        <x:v>entero</x:v>
      </x:c>
      <x:c r="D103" s="12" t="str">
        <x:v>días</x:v>
      </x:c>
      <x:c r="E103" s="12" t="str">
        <x:v>Días ocupados en N4; puede ser duración parcial si murió en ese estadio.</x:v>
      </x:c>
      <x:c r="F103" s="12" t="str">
        <x:v>No hay faltantes</x:v>
      </x:c>
    </x:row>
    <x:row r="104" ht="36" customHeight="1">
      <x:c r="A104" s="12" t="str">
        <x:v>E2_individuos</x:v>
      </x:c>
      <x:c r="B104" s="12" t="str">
        <x:v>desarrollo_ninfal_dias</x:v>
      </x:c>
      <x:c r="C104" s="12" t="str">
        <x:v>número</x:v>
      </x:c>
      <x:c r="D104" s="12" t="str">
        <x:v>días</x:v>
      </x:c>
      <x:c r="E104" s="12" t="str">
        <x:v>Duración hasta adulta. Vacío si murió antes, no debe sustituirse por 0.</x:v>
      </x:c>
      <x:c r="F104" s="12" t="str">
        <x:v>No aplica / no alcanzó el evento</x:v>
      </x:c>
    </x:row>
    <x:row r="105" ht="36" customHeight="1">
      <x:c r="A105" s="12" t="str">
        <x:v>E2_individuos</x:v>
      </x:c>
      <x:c r="B105" s="12" t="str">
        <x:v>longevidad_adulta_dias</x:v>
      </x:c>
      <x:c r="C105" s="12" t="str">
        <x:v>número</x:v>
      </x:c>
      <x:c r="D105" s="12" t="str">
        <x:v>días</x:v>
      </x:c>
      <x:c r="E105" s="12" t="str">
        <x:v>Días vivos en estadio adulto. Vacío si nunca llegó a adulta.</x:v>
      </x:c>
      <x:c r="F105" s="12" t="str">
        <x:v>No aplica / no alcanzó el evento</x:v>
      </x:c>
    </x:row>
    <x:row r="106" ht="36" customHeight="1">
      <x:c r="A106" s="12" t="str">
        <x:v>E2_individuos</x:v>
      </x:c>
      <x:c r="B106" s="12" t="str">
        <x:v>longevidad_total_dias</x:v>
      </x:c>
      <x:c r="C106" s="12" t="str">
        <x:v>entero</x:v>
      </x:c>
      <x:c r="D106" s="12" t="str">
        <x:v>días</x:v>
      </x:c>
      <x:c r="E106" s="12" t="str">
        <x:v>Edad de primera fila muerta; suma de vivo_inicio.</x:v>
      </x:c>
      <x:c r="F106" s="12" t="str">
        <x:v>No hay faltantes</x:v>
      </x:c>
    </x:row>
    <x:row r="107" ht="36" customHeight="1">
      <x:c r="A107" s="12" t="str">
        <x:v>E2_individuos</x:v>
      </x:c>
      <x:c r="B107" s="12" t="str">
        <x:v>primera_reproduccion_x</x:v>
      </x:c>
      <x:c r="C107" s="12" t="str">
        <x:v>número</x:v>
      </x:c>
      <x:c r="D107" s="12" t="str">
        <x:v>días</x:v>
      </x:c>
      <x:c r="E107" s="12" t="str">
        <x:v>Inicio x del primer intervalo con crías; vacío si nunca reprodujo.</x:v>
      </x:c>
      <x:c r="F107" s="12" t="str">
        <x:v>No aplica / no alcanzó el evento</x:v>
      </x:c>
    </x:row>
    <x:row r="108" ht="36" customHeight="1">
      <x:c r="A108" s="12" t="str">
        <x:v>E2_individuos</x:v>
      </x:c>
      <x:c r="B108" s="12" t="str">
        <x:v>ultima_reproduccion_x</x:v>
      </x:c>
      <x:c r="C108" s="12" t="str">
        <x:v>número</x:v>
      </x:c>
      <x:c r="D108" s="12" t="str">
        <x:v>días</x:v>
      </x:c>
      <x:c r="E108" s="12" t="str">
        <x:v>Inicio x del último intervalo con crías; vacío si nunca reprodujo.</x:v>
      </x:c>
      <x:c r="F108" s="12" t="str">
        <x:v>No aplica / no alcanzó el evento</x:v>
      </x:c>
    </x:row>
    <x:row r="109" ht="36" customHeight="1">
      <x:c r="A109" s="12" t="str">
        <x:v>E2_individuos</x:v>
      </x:c>
      <x:c r="B109" s="12" t="str">
        <x:v>prerreproductivo_total_dias</x:v>
      </x:c>
      <x:c r="C109" s="12" t="str">
        <x:v>número</x:v>
      </x:c>
      <x:c r="D109" s="12" t="str">
        <x:v>días</x:v>
      </x:c>
      <x:c r="E109" s="12" t="str">
        <x:v>Desde x=0 al inicio del primer intervalo reproductivo; convención discretizada.</x:v>
      </x:c>
      <x:c r="F109" s="12" t="str">
        <x:v>No aplica / no alcanzó el evento</x:v>
      </x:c>
    </x:row>
    <x:row r="110" ht="36" customHeight="1">
      <x:c r="A110" s="12" t="str">
        <x:v>E2_individuos</x:v>
      </x:c>
      <x:c r="B110" s="12" t="str">
        <x:v>prerreproductivo_adulto_dias</x:v>
      </x:c>
      <x:c r="C110" s="12" t="str">
        <x:v>número</x:v>
      </x:c>
      <x:c r="D110" s="12" t="str">
        <x:v>días</x:v>
      </x:c>
      <x:c r="E110" s="12" t="str">
        <x:v>Desde entrada a adulta al inicio del primer intervalo reproductivo.</x:v>
      </x:c>
      <x:c r="F110" s="12" t="str">
        <x:v>No aplica / no alcanzó el evento</x:v>
      </x:c>
    </x:row>
    <x:row r="111" ht="36" customHeight="1">
      <x:c r="A111" s="12" t="str">
        <x:v>E2_individuos</x:v>
      </x:c>
      <x:c r="B111" s="12" t="str">
        <x:v>periodo_reproductivo_dias</x:v>
      </x:c>
      <x:c r="C111" s="12" t="str">
        <x:v>número</x:v>
      </x:c>
      <x:c r="D111" s="12" t="str">
        <x:v>días</x:v>
      </x:c>
      <x:c r="E111" s="12" t="str">
        <x:v>Última x - primera x + 1; incluye intervalos sin crías intermedios.</x:v>
      </x:c>
      <x:c r="F111" s="12" t="str">
        <x:v>No aplica / no alcanzó el evento</x:v>
      </x:c>
    </x:row>
    <x:row r="112" ht="36" customHeight="1">
      <x:c r="A112" s="12" t="str">
        <x:v>E2_individuos</x:v>
      </x:c>
      <x:c r="B112" s="12" t="str">
        <x:v>dias_con_reproduccion</x:v>
      </x:c>
      <x:c r="C112" s="12" t="str">
        <x:v>entero</x:v>
      </x:c>
      <x:c r="D112" s="12" t="str">
        <x:v>días</x:v>
      </x:c>
      <x:c r="E112" s="12" t="str">
        <x:v>Número de intervalos con al menos una cría.</x:v>
      </x:c>
      <x:c r="F112" s="12" t="str">
        <x:v>No hay faltantes</x:v>
      </x:c>
    </x:row>
    <x:row r="113" ht="36" customHeight="1">
      <x:c r="A113" s="12" t="str">
        <x:v>E2_individuos</x:v>
      </x:c>
      <x:c r="B113" s="12" t="str">
        <x:v>posreproductivo_dias</x:v>
      </x:c>
      <x:c r="C113" s="12" t="str">
        <x:v>número</x:v>
      </x:c>
      <x:c r="D113" s="12" t="str">
        <x:v>días</x:v>
      </x:c>
      <x:c r="E113" s="12" t="str">
        <x:v>Muerte menos fin del último intervalo reproductivo; vacío si nunca reprodujo.</x:v>
      </x:c>
      <x:c r="F113" s="12" t="str">
        <x:v>No aplica / no alcanzó el evento</x:v>
      </x:c>
    </x:row>
    <x:row r="114" ht="36" customHeight="1">
      <x:c r="A114" s="12" t="str">
        <x:v>E2_individuos</x:v>
      </x:c>
      <x:c r="B114" s="12" t="str">
        <x:v>fecundidad_total</x:v>
      </x:c>
      <x:c r="C114" s="12" t="str">
        <x:v>entero</x:v>
      </x:c>
      <x:c r="D114" s="12" t="str">
        <x:v>crías/hembra inicial</x:v>
      </x:c>
      <x:c r="E114" s="12" t="str">
        <x:v>Suma de ninfas_producidas durante toda la vida; 0 es ausencia de crías.</x:v>
      </x:c>
      <x:c r="F114" s="12" t="str">
        <x:v>No hay faltantes</x:v>
      </x:c>
    </x:row>
    <x:row r="115" ht="36" customHeight="1">
      <x:c r="A115" s="12" t="str">
        <x:v>E2_individuos</x:v>
      </x:c>
      <x:c r="B115" s="12" t="str">
        <x:v>censurado</x:v>
      </x:c>
      <x:c r="C115" s="12" t="str">
        <x:v>binario</x:v>
      </x:c>
      <x:c r="D115" s="12" t="str">
        <x:v>0/1</x:v>
      </x:c>
      <x:c r="E115" s="12" t="str">
        <x:v>0 en todos los registros; no hay pérdida de seguimiento.</x:v>
      </x:c>
      <x:c r="F115" s="12" t="str">
        <x:v>No hay faltantes</x:v>
      </x:c>
    </x:row>
    <x:row r="116" ht="36" customHeight="1">
      <x:c r="A116" s="12" t="str">
        <x:v>E2_individuos</x:v>
      </x:c>
      <x:c r="B116" s="12" t="str">
        <x:v>origen_dato</x:v>
      </x:c>
      <x:c r="C116" s="12" t="str">
        <x:v>categoría</x:v>
      </x:c>
      <x:c r="D116" s="12" t="str">
        <x:v>procedencia</x:v>
      </x:c>
      <x:c r="E116" s="12" t="str">
        <x:v>Siempre simulado_didactico; también en resultados derivados.</x:v>
      </x:c>
      <x:c r="F116" s="12" t="str">
        <x:v>No hay faltantes</x:v>
      </x:c>
    </x:row>
    <x:row r="117" ht="36" customHeight="1">
      <x:c r="A117" s="12" t="str">
        <x:v>E2_tabla_vida</x:v>
      </x:c>
      <x:c r="B117" s="12" t="str">
        <x:v>cohorte</x:v>
      </x:c>
      <x:c r="C117" s="12" t="str">
        <x:v>categoría</x:v>
      </x:c>
      <x:c r="D117" s="12" t="str">
        <x:v>ID de cohorte</x:v>
      </x:c>
      <x:c r="E117" s="12" t="str">
        <x:v>Especie × tratamiento; 10 individuos independientes.</x:v>
      </x:c>
      <x:c r="F117" s="12" t="str">
        <x:v>No hay faltantes</x:v>
      </x:c>
    </x:row>
    <x:row r="118" ht="36" customHeight="1">
      <x:c r="A118" s="12" t="str">
        <x:v>E2_tabla_vida</x:v>
      </x:c>
      <x:c r="B118" s="12" t="str">
        <x:v>codigo_especie</x:v>
      </x:c>
      <x:c r="C118" s="12" t="str">
        <x:v>categoría</x:v>
      </x:c>
      <x:c r="D118" s="12" t="str">
        <x:v>código</x:v>
      </x:c>
      <x:c r="E118" s="12" t="str">
        <x:v>MP=Myzus persicae; BB=Brevicoryne brassicae.</x:v>
      </x:c>
      <x:c r="F118" s="12" t="str">
        <x:v>No hay faltantes</x:v>
      </x:c>
    </x:row>
    <x:row r="119" ht="36" customHeight="1">
      <x:c r="A119" s="12" t="str">
        <x:v>E2_tabla_vida</x:v>
      </x:c>
      <x:c r="B119" s="12" t="str">
        <x:v>especie</x:v>
      </x:c>
      <x:c r="C119" s="12" t="str">
        <x:v>categoría</x:v>
      </x:c>
      <x:c r="D119" s="12" t="str">
        <x:v>texto</x:v>
      </x:c>
      <x:c r="E119" s="12" t="str">
        <x:v>Nombre científico de la especie.</x:v>
      </x:c>
      <x:c r="F119" s="12" t="str">
        <x:v>No hay faltantes</x:v>
      </x:c>
    </x:row>
    <x:row r="120" ht="36" customHeight="1">
      <x:c r="A120" s="12" t="str">
        <x:v>E2_tabla_vida</x:v>
      </x:c>
      <x:c r="B120" s="12" t="str">
        <x:v>tratamiento</x:v>
      </x:c>
      <x:c r="C120" s="12" t="str">
        <x:v>categoría</x:v>
      </x:c>
      <x:c r="D120" s="12" t="str">
        <x:v>código</x:v>
      </x:c>
      <x:c r="E120" s="12" t="str">
        <x:v>L0=control; L1,L2,L3,L5,L6,L7,L8,L9=cepas codificadas.</x:v>
      </x:c>
      <x:c r="F120" s="12" t="str">
        <x:v>No hay faltantes</x:v>
      </x:c>
    </x:row>
    <x:row r="121" ht="36" customHeight="1">
      <x:c r="A121" s="12" t="str">
        <x:v>E2_tabla_vida</x:v>
      </x:c>
      <x:c r="B121" s="12" t="str">
        <x:v>edad_dias</x:v>
      </x:c>
      <x:c r="C121" s="12" t="str">
        <x:v>entero</x:v>
      </x:c>
      <x:c r="D121" s="12" t="str">
        <x:v>días</x:v>
      </x:c>
      <x:c r="E121" s="12" t="str">
        <x:v>x=0,1,...; edad al INICIO de cada intervalo diario.</x:v>
      </x:c>
      <x:c r="F121" s="12" t="str">
        <x:v>No hay faltantes</x:v>
      </x:c>
    </x:row>
    <x:row r="122" ht="36" customHeight="1">
      <x:c r="A122" s="12" t="str">
        <x:v>E2_tabla_vida</x:v>
      </x:c>
      <x:c r="B122" s="12" t="str">
        <x:v>n_inicial</x:v>
      </x:c>
      <x:c r="C122" s="12" t="str">
        <x:v>entero</x:v>
      </x:c>
      <x:c r="D122" s="12" t="str">
        <x:v>individuos</x:v>
      </x:c>
      <x:c r="E122" s="12" t="str">
        <x:v>Tamaño inicial real de cada cohorte: 10.</x:v>
      </x:c>
      <x:c r="F122" s="12" t="str">
        <x:v>No hay faltantes</x:v>
      </x:c>
    </x:row>
    <x:row r="123" ht="36" customHeight="1">
      <x:c r="A123" s="12" t="str">
        <x:v>E2_tabla_vida</x:v>
      </x:c>
      <x:c r="B123" s="12" t="str">
        <x:v>n_vivos</x:v>
      </x:c>
      <x:c r="C123" s="12" t="str">
        <x:v>entero</x:v>
      </x:c>
      <x:c r="D123" s="12" t="str">
        <x:v>individuos</x:v>
      </x:c>
      <x:c r="E123" s="12" t="str">
        <x:v>Número de hembras focales vivas al inicio de edad x.</x:v>
      </x:c>
      <x:c r="F123" s="12" t="str">
        <x:v>No hay faltantes</x:v>
      </x:c>
    </x:row>
    <x:row r="124" ht="36" customHeight="1">
      <x:c r="A124" s="12" t="str">
        <x:v>E2_tabla_vida</x:v>
      </x:c>
      <x:c r="B124" s="12" t="str">
        <x:v>n_N1</x:v>
      </x:c>
      <x:c r="C124" s="12" t="str">
        <x:v>entero</x:v>
      </x:c>
      <x:c r="D124" s="12" t="str">
        <x:v>individuos</x:v>
      </x:c>
      <x:c r="E124" s="12" t="str">
        <x:v>Número de individuos vivos en N1 a edad x.</x:v>
      </x:c>
      <x:c r="F124" s="12" t="str">
        <x:v>No hay faltantes</x:v>
      </x:c>
    </x:row>
    <x:row r="125" ht="36" customHeight="1">
      <x:c r="A125" s="12" t="str">
        <x:v>E2_tabla_vida</x:v>
      </x:c>
      <x:c r="B125" s="12" t="str">
        <x:v>n_N2</x:v>
      </x:c>
      <x:c r="C125" s="12" t="str">
        <x:v>entero</x:v>
      </x:c>
      <x:c r="D125" s="12" t="str">
        <x:v>individuos</x:v>
      </x:c>
      <x:c r="E125" s="12" t="str">
        <x:v>Número de individuos vivos en N2 a edad x.</x:v>
      </x:c>
      <x:c r="F125" s="12" t="str">
        <x:v>No hay faltantes</x:v>
      </x:c>
    </x:row>
    <x:row r="126" ht="36" customHeight="1">
      <x:c r="A126" s="12" t="str">
        <x:v>E2_tabla_vida</x:v>
      </x:c>
      <x:c r="B126" s="12" t="str">
        <x:v>n_N3</x:v>
      </x:c>
      <x:c r="C126" s="12" t="str">
        <x:v>entero</x:v>
      </x:c>
      <x:c r="D126" s="12" t="str">
        <x:v>individuos</x:v>
      </x:c>
      <x:c r="E126" s="12" t="str">
        <x:v>Número de individuos vivos en N3 a edad x.</x:v>
      </x:c>
      <x:c r="F126" s="12" t="str">
        <x:v>No hay faltantes</x:v>
      </x:c>
    </x:row>
    <x:row r="127" ht="36" customHeight="1">
      <x:c r="A127" s="12" t="str">
        <x:v>E2_tabla_vida</x:v>
      </x:c>
      <x:c r="B127" s="12" t="str">
        <x:v>n_N4</x:v>
      </x:c>
      <x:c r="C127" s="12" t="str">
        <x:v>entero</x:v>
      </x:c>
      <x:c r="D127" s="12" t="str">
        <x:v>individuos</x:v>
      </x:c>
      <x:c r="E127" s="12" t="str">
        <x:v>Número de individuos vivos en N4 a edad x.</x:v>
      </x:c>
      <x:c r="F127" s="12" t="str">
        <x:v>No hay faltantes</x:v>
      </x:c>
    </x:row>
    <x:row r="128" ht="36" customHeight="1">
      <x:c r="A128" s="12" t="str">
        <x:v>E2_tabla_vida</x:v>
      </x:c>
      <x:c r="B128" s="12" t="str">
        <x:v>n_adultas</x:v>
      </x:c>
      <x:c r="C128" s="12" t="str">
        <x:v>entero</x:v>
      </x:c>
      <x:c r="D128" s="12" t="str">
        <x:v>adultas</x:v>
      </x:c>
      <x:c r="E128" s="12" t="str">
        <x:v>Número de adultas vivas a edad x.</x:v>
      </x:c>
      <x:c r="F128" s="12" t="str">
        <x:v>No hay faltantes</x:v>
      </x:c>
    </x:row>
    <x:row r="129" ht="36" customHeight="1">
      <x:c r="A129" s="12" t="str">
        <x:v>E2_tabla_vida</x:v>
      </x:c>
      <x:c r="B129" s="12" t="str">
        <x:v>crias_totales</x:v>
      </x:c>
      <x:c r="C129" s="12" t="str">
        <x:v>entero</x:v>
      </x:c>
      <x:c r="D129" s="12" t="str">
        <x:v>crías</x:v>
      </x:c>
      <x:c r="E129" s="12" t="str">
        <x:v>Total de crías producidas por la cohorte en ese intervalo.</x:v>
      </x:c>
      <x:c r="F129" s="12" t="str">
        <x:v>No hay faltantes</x:v>
      </x:c>
    </x:row>
    <x:row r="130" ht="36" customHeight="1">
      <x:c r="A130" s="12" t="str">
        <x:v>E2_tabla_vida</x:v>
      </x:c>
      <x:c r="B130" s="12" t="str">
        <x:v>lx</x:v>
      </x:c>
      <x:c r="C130" s="12" t="str">
        <x:v>proporción</x:v>
      </x:c>
      <x:c r="D130" s="12" t="str">
        <x:v>0–1</x:v>
      </x:c>
      <x:c r="E130" s="12" t="str">
        <x:v>Supervivencia a edad x = n_vivos / n_inicial.</x:v>
      </x:c>
      <x:c r="F130" s="12" t="str">
        <x:v>No hay faltantes</x:v>
      </x:c>
    </x:row>
    <x:row r="131" ht="36" customHeight="1">
      <x:c r="A131" s="12" t="str">
        <x:v>E2_tabla_vida</x:v>
      </x:c>
      <x:c r="B131" s="12" t="str">
        <x:v>mx</x:v>
      </x:c>
      <x:c r="C131" s="12" t="str">
        <x:v>número</x:v>
      </x:c>
      <x:c r="D131" s="12" t="str">
        <x:v>crías/individuo vivo/día</x:v>
      </x:c>
      <x:c r="E131" s="12" t="str">
        <x:v>Crías por individuo vivo a edad x: crias_totales/n_vivos; se fija 0 si no hay vivos.</x:v>
      </x:c>
      <x:c r="F131" s="12" t="str">
        <x:v>No hay faltantes</x:v>
      </x:c>
    </x:row>
    <x:row r="132" ht="36" customHeight="1">
      <x:c r="A132" s="12" t="str">
        <x:v>E2_tabla_vida</x:v>
      </x:c>
      <x:c r="B132" s="12" t="str">
        <x:v>lxmx</x:v>
      </x:c>
      <x:c r="C132" s="12" t="str">
        <x:v>número</x:v>
      </x:c>
      <x:c r="D132" s="12" t="str">
        <x:v>crías/individuo inicial/día</x:v>
      </x:c>
      <x:c r="E132" s="12" t="str">
        <x:v>Maternidad neta: lx*mx = crias_totales/n_inicial.</x:v>
      </x:c>
      <x:c r="F132" s="12" t="str">
        <x:v>No hay faltantes</x:v>
      </x:c>
    </x:row>
    <x:row r="133" ht="36" customHeight="1">
      <x:c r="A133" s="12" t="str">
        <x:v>E2_tabla_vida</x:v>
      </x:c>
      <x:c r="B133" s="12" t="str">
        <x:v>sx_N1</x:v>
      </x:c>
      <x:c r="C133" s="12" t="str">
        <x:v>proporción</x:v>
      </x:c>
      <x:c r="D133" s="12" t="str">
        <x:v>0–1</x:v>
      </x:c>
      <x:c r="E133" s="12" t="str">
        <x:v>Supervivencia edad–estado: n_N1/n_inicial.</x:v>
      </x:c>
      <x:c r="F133" s="12" t="str">
        <x:v>No hay faltantes</x:v>
      </x:c>
    </x:row>
    <x:row r="134" ht="36" customHeight="1">
      <x:c r="A134" s="12" t="str">
        <x:v>E2_tabla_vida</x:v>
      </x:c>
      <x:c r="B134" s="12" t="str">
        <x:v>sx_N2</x:v>
      </x:c>
      <x:c r="C134" s="12" t="str">
        <x:v>proporción</x:v>
      </x:c>
      <x:c r="D134" s="12" t="str">
        <x:v>0–1</x:v>
      </x:c>
      <x:c r="E134" s="12" t="str">
        <x:v>Supervivencia edad–estado: n_N2/n_inicial.</x:v>
      </x:c>
      <x:c r="F134" s="12" t="str">
        <x:v>No hay faltantes</x:v>
      </x:c>
    </x:row>
    <x:row r="135" ht="36" customHeight="1">
      <x:c r="A135" s="12" t="str">
        <x:v>E2_tabla_vida</x:v>
      </x:c>
      <x:c r="B135" s="12" t="str">
        <x:v>sx_N3</x:v>
      </x:c>
      <x:c r="C135" s="12" t="str">
        <x:v>proporción</x:v>
      </x:c>
      <x:c r="D135" s="12" t="str">
        <x:v>0–1</x:v>
      </x:c>
      <x:c r="E135" s="12" t="str">
        <x:v>Supervivencia edad–estado: n_N3/n_inicial.</x:v>
      </x:c>
      <x:c r="F135" s="12" t="str">
        <x:v>No hay faltantes</x:v>
      </x:c>
    </x:row>
    <x:row r="136" ht="36" customHeight="1">
      <x:c r="A136" s="12" t="str">
        <x:v>E2_tabla_vida</x:v>
      </x:c>
      <x:c r="B136" s="12" t="str">
        <x:v>sx_N4</x:v>
      </x:c>
      <x:c r="C136" s="12" t="str">
        <x:v>proporción</x:v>
      </x:c>
      <x:c r="D136" s="12" t="str">
        <x:v>0–1</x:v>
      </x:c>
      <x:c r="E136" s="12" t="str">
        <x:v>Supervivencia edad–estado: n_N4/n_inicial.</x:v>
      </x:c>
      <x:c r="F136" s="12" t="str">
        <x:v>No hay faltantes</x:v>
      </x:c>
    </x:row>
    <x:row r="137" ht="36" customHeight="1">
      <x:c r="A137" s="12" t="str">
        <x:v>E2_tabla_vida</x:v>
      </x:c>
      <x:c r="B137" s="12" t="str">
        <x:v>sx_adulta</x:v>
      </x:c>
      <x:c r="C137" s="12" t="str">
        <x:v>proporción</x:v>
      </x:c>
      <x:c r="D137" s="12" t="str">
        <x:v>0–1</x:v>
      </x:c>
      <x:c r="E137" s="12" t="str">
        <x:v>n_adultas/n_inicial; junto a los cuatro sx_Nj suma lx.</x:v>
      </x:c>
      <x:c r="F137" s="12" t="str">
        <x:v>No hay faltantes</x:v>
      </x:c>
    </x:row>
    <x:row r="138" ht="36" customHeight="1">
      <x:c r="A138" s="12" t="str">
        <x:v>E2_tabla_vida</x:v>
      </x:c>
      <x:c r="B138" s="12" t="str">
        <x:v>fx_adulta</x:v>
      </x:c>
      <x:c r="C138" s="12" t="str">
        <x:v>número</x:v>
      </x:c>
      <x:c r="D138" s="12" t="str">
        <x:v>crías/adulta/día</x:v>
      </x:c>
      <x:c r="E138" s="12" t="str">
        <x:v>Crías totales / n_adultas; 0 cuando no hay adultas.</x:v>
      </x:c>
      <x:c r="F138" s="12" t="str">
        <x:v>No hay faltantes</x:v>
      </x:c>
    </x:row>
    <x:row r="139" ht="36" customHeight="1">
      <x:c r="A139" s="12" t="str">
        <x:v>E2_tabla_vida</x:v>
      </x:c>
      <x:c r="B139" s="12" t="str">
        <x:v>Rx_acumulado</x:v>
      </x:c>
      <x:c r="C139" s="12" t="str">
        <x:v>número</x:v>
      </x:c>
      <x:c r="D139" s="12" t="str">
        <x:v>crías/individuo inicial</x:v>
      </x:c>
      <x:c r="E139" s="12" t="str">
        <x:v>Suma acumulada de lxmx; valor final = R0.</x:v>
      </x:c>
      <x:c r="F139" s="12" t="str">
        <x:v>No hay faltantes</x:v>
      </x:c>
    </x:row>
    <x:row r="140" ht="36" customHeight="1">
      <x:c r="A140" s="12" t="str">
        <x:v>E2_tabla_vida</x:v>
      </x:c>
      <x:c r="B140" s="12" t="str">
        <x:v>tiempo_euler_dias</x:v>
      </x:c>
      <x:c r="C140" s="12" t="str">
        <x:v>número</x:v>
      </x:c>
      <x:c r="D140" s="12" t="str">
        <x:v>días</x:v>
      </x:c>
      <x:c r="E140" s="12" t="str">
        <x:v>Edad x+1 usada en la ecuación Euler-Lotka.</x:v>
      </x:c>
      <x:c r="F140" s="12" t="str">
        <x:v>No hay faltantes</x:v>
      </x:c>
    </x:row>
    <x:row r="141" ht="36" customHeight="1">
      <x:c r="A141" s="12" t="str">
        <x:v>E2_tabla_vida</x:v>
      </x:c>
      <x:c r="B141" s="12" t="str">
        <x:v>n_muertos_acumulados</x:v>
      </x:c>
      <x:c r="C141" s="12" t="str">
        <x:v>entero</x:v>
      </x:c>
      <x:c r="D141" s="12" t="str">
        <x:v>individuos</x:v>
      </x:c>
      <x:c r="E141" s="12" t="str">
        <x:v>n_inicial - n_vivos; no equivale a evento_muerte del día.</x:v>
      </x:c>
      <x:c r="F141" s="12" t="str">
        <x:v>No hay faltantes</x:v>
      </x:c>
    </x:row>
    <x:row r="142" ht="36" customHeight="1">
      <x:c r="A142" s="12" t="str">
        <x:v>E2_tabla_vida</x:v>
      </x:c>
      <x:c r="B142" s="12" t="str">
        <x:v>origen_dato</x:v>
      </x:c>
      <x:c r="C142" s="12" t="str">
        <x:v>categoría</x:v>
      </x:c>
      <x:c r="D142" s="12" t="str">
        <x:v>procedencia</x:v>
      </x:c>
      <x:c r="E142" s="12" t="str">
        <x:v>Siempre simulado_didactico; también en resultados derivados.</x:v>
      </x:c>
      <x:c r="F142" s="12" t="str">
        <x:v>No hay faltantes</x:v>
      </x:c>
    </x:row>
    <x:row r="143" ht="36" customHeight="1">
      <x:c r="A143" s="12" t="str">
        <x:v>E2_parametros</x:v>
      </x:c>
      <x:c r="B143" s="12" t="str">
        <x:v>cohorte</x:v>
      </x:c>
      <x:c r="C143" s="12" t="str">
        <x:v>categoría</x:v>
      </x:c>
      <x:c r="D143" s="12" t="str">
        <x:v>ID de cohorte</x:v>
      </x:c>
      <x:c r="E143" s="12" t="str">
        <x:v>Especie × tratamiento; 10 individuos independientes.</x:v>
      </x:c>
      <x:c r="F143" s="12" t="str">
        <x:v>No hay faltantes</x:v>
      </x:c>
    </x:row>
    <x:row r="144" ht="36" customHeight="1">
      <x:c r="A144" s="12" t="str">
        <x:v>E2_parametros</x:v>
      </x:c>
      <x:c r="B144" s="12" t="str">
        <x:v>codigo_especie</x:v>
      </x:c>
      <x:c r="C144" s="12" t="str">
        <x:v>categoría</x:v>
      </x:c>
      <x:c r="D144" s="12" t="str">
        <x:v>código</x:v>
      </x:c>
      <x:c r="E144" s="12" t="str">
        <x:v>MP=Myzus persicae; BB=Brevicoryne brassicae.</x:v>
      </x:c>
      <x:c r="F144" s="12" t="str">
        <x:v>No hay faltantes</x:v>
      </x:c>
    </x:row>
    <x:row r="145" ht="36" customHeight="1">
      <x:c r="A145" s="12" t="str">
        <x:v>E2_parametros</x:v>
      </x:c>
      <x:c r="B145" s="12" t="str">
        <x:v>especie</x:v>
      </x:c>
      <x:c r="C145" s="12" t="str">
        <x:v>categoría</x:v>
      </x:c>
      <x:c r="D145" s="12" t="str">
        <x:v>texto</x:v>
      </x:c>
      <x:c r="E145" s="12" t="str">
        <x:v>Nombre científico de la especie.</x:v>
      </x:c>
      <x:c r="F145" s="12" t="str">
        <x:v>No hay faltantes</x:v>
      </x:c>
    </x:row>
    <x:row r="146" ht="36" customHeight="1">
      <x:c r="A146" s="12" t="str">
        <x:v>E2_parametros</x:v>
      </x:c>
      <x:c r="B146" s="12" t="str">
        <x:v>tratamiento</x:v>
      </x:c>
      <x:c r="C146" s="12" t="str">
        <x:v>categoría</x:v>
      </x:c>
      <x:c r="D146" s="12" t="str">
        <x:v>código</x:v>
      </x:c>
      <x:c r="E146" s="12" t="str">
        <x:v>L0=control; L1,L2,L3,L5,L6,L7,L8,L9=cepas codificadas.</x:v>
      </x:c>
      <x:c r="F146" s="12" t="str">
        <x:v>No hay faltantes</x:v>
      </x:c>
    </x:row>
    <x:row r="147" ht="36" customHeight="1">
      <x:c r="A147" s="12" t="str">
        <x:v>E2_parametros</x:v>
      </x:c>
      <x:c r="B147" s="12" t="str">
        <x:v>n_inicial</x:v>
      </x:c>
      <x:c r="C147" s="12" t="str">
        <x:v>entero</x:v>
      </x:c>
      <x:c r="D147" s="12" t="str">
        <x:v>individuos</x:v>
      </x:c>
      <x:c r="E147" s="12" t="str">
        <x:v>Tamaño inicial real de cada cohorte: 10.</x:v>
      </x:c>
      <x:c r="F147" s="12" t="str">
        <x:v>No hay faltantes</x:v>
      </x:c>
    </x:row>
    <x:row r="148" ht="36" customHeight="1">
      <x:c r="A148" s="12" t="str">
        <x:v>E2_parametros</x:v>
      </x:c>
      <x:c r="B148" s="12" t="str">
        <x:v>R0</x:v>
      </x:c>
      <x:c r="C148" s="12" t="str">
        <x:v>número</x:v>
      </x:c>
      <x:c r="D148" s="12" t="str">
        <x:v>crías/individuo inicial</x:v>
      </x:c>
      <x:c r="E148" s="12" t="str">
        <x:v>SUM(lxmx); incluye individuos que murieron antes de reproducirse.</x:v>
      </x:c>
      <x:c r="F148" s="12" t="str">
        <x:v>No hay faltantes</x:v>
      </x:c>
    </x:row>
    <x:row r="149" ht="36" customHeight="1">
      <x:c r="A149" s="12" t="str">
        <x:v>E2_parametros</x:v>
      </x:c>
      <x:c r="B149" s="12" t="str">
        <x:v>rm_dia</x:v>
      </x:c>
      <x:c r="C149" s="12" t="str">
        <x:v>número</x:v>
      </x:c>
      <x:c r="D149" s="12" t="str">
        <x:v>día^-1</x:v>
      </x:c>
      <x:c r="E149" s="12" t="str">
        <x:v>Raíz de sum(exp(-rm*(x+1))*lxmx)=1. Una estimación por cohorte.</x:v>
      </x:c>
      <x:c r="F149" s="12" t="str">
        <x:v>No hay faltantes</x:v>
      </x:c>
    </x:row>
    <x:row r="150" ht="36" customHeight="1">
      <x:c r="A150" s="12" t="str">
        <x:v>E2_parametros</x:v>
      </x:c>
      <x:c r="B150" s="12" t="str">
        <x:v>lambda_diaria</x:v>
      </x:c>
      <x:c r="C150" s="12" t="str">
        <x:v>número</x:v>
      </x:c>
      <x:c r="D150" s="12" t="str">
        <x:v>factor por día</x:v>
      </x:c>
      <x:c r="E150" s="12" t="str">
        <x:v>exp(rm × 1 día), multiplicador diario; no es un porcentaje.</x:v>
      </x:c>
      <x:c r="F150" s="12" t="str">
        <x:v>No hay faltantes</x:v>
      </x:c>
    </x:row>
    <x:row r="151" ht="36" customHeight="1">
      <x:c r="A151" s="12" t="str">
        <x:v>E2_parametros</x:v>
      </x:c>
      <x:c r="B151" s="12" t="str">
        <x:v>T_dias</x:v>
      </x:c>
      <x:c r="C151" s="12" t="str">
        <x:v>número</x:v>
      </x:c>
      <x:c r="D151" s="12" t="str">
        <x:v>días</x:v>
      </x:c>
      <x:c r="E151" s="12" t="str">
        <x:v>Tiempo generacional = ln(R0)/rm; distinto de longevidad.</x:v>
      </x:c>
      <x:c r="F151" s="12" t="str">
        <x:v>No hay faltantes</x:v>
      </x:c>
    </x:row>
    <x:row r="152" ht="36" customHeight="1">
      <x:c r="A152" s="12" t="str">
        <x:v>E2_parametros</x:v>
      </x:c>
      <x:c r="B152" s="12" t="str">
        <x:v>supervivencia_adulta</x:v>
      </x:c>
      <x:c r="C152" s="12" t="str">
        <x:v>proporción</x:v>
      </x:c>
      <x:c r="D152" s="12" t="str">
        <x:v>0–1</x:v>
      </x:c>
      <x:c r="E152" s="12" t="str">
        <x:v>Promedio de sobrevivio_a_adulta sobre los 10 individuos iniciales.</x:v>
      </x:c>
      <x:c r="F152" s="12" t="str">
        <x:v>No hay faltantes</x:v>
      </x:c>
    </x:row>
    <x:row r="153" ht="36" customHeight="1">
      <x:c r="A153" s="12" t="str">
        <x:v>E2_parametros</x:v>
      </x:c>
      <x:c r="B153" s="12" t="str">
        <x:v>fecundidad_media_inicial</x:v>
      </x:c>
      <x:c r="C153" s="12" t="str">
        <x:v>número</x:v>
      </x:c>
      <x:c r="D153" s="12" t="str">
        <x:v>crías/individuo inicial</x:v>
      </x:c>
      <x:c r="E153" s="12" t="str">
        <x:v>Promedio de fecundidad_total sobre los 10; debe coincidir con R0.</x:v>
      </x:c>
      <x:c r="F153" s="12" t="str">
        <x:v>No hay faltantes</x:v>
      </x:c>
    </x:row>
    <x:row r="154" ht="36" customHeight="1">
      <x:c r="A154" s="12" t="str">
        <x:v>E2_parametros</x:v>
      </x:c>
      <x:c r="B154" s="12" t="str">
        <x:v>residuo_euler</x:v>
      </x:c>
      <x:c r="C154" s="12" t="str">
        <x:v>número</x:v>
      </x:c>
      <x:c r="D154" s="12" t="str">
        <x:v>adimensional</x:v>
      </x:c>
      <x:c r="E154" s="12" t="str">
        <x:v>Suma Euler-Lotka menos 1; cercano a cero indica convergencia.</x:v>
      </x:c>
      <x:c r="F154" s="12" t="str">
        <x:v>No hay faltantes</x:v>
      </x:c>
    </x:row>
    <x:row r="155" ht="36" customHeight="1">
      <x:c r="A155" s="12" t="str">
        <x:v>E2_parametros</x:v>
      </x:c>
      <x:c r="B155" s="12" t="str">
        <x:v>control_euler</x:v>
      </x:c>
      <x:c r="C155" s="12" t="str">
        <x:v>categoría</x:v>
      </x:c>
      <x:c r="D155" s="12" t="str">
        <x:v>OK/REVISAR</x:v>
      </x:c>
      <x:c r="E155" s="12" t="str">
        <x:v>OK si abs(residuo)&lt;1e-8.</x:v>
      </x:c>
      <x:c r="F155" s="12" t="str">
        <x:v>No hay faltantes</x:v>
      </x:c>
    </x:row>
    <x:row r="156" ht="36" customHeight="1">
      <x:c r="A156" s="12" t="str">
        <x:v>E2_parametros</x:v>
      </x:c>
      <x:c r="B156" s="12" t="str">
        <x:v>origen_dato</x:v>
      </x:c>
      <x:c r="C156" s="12" t="str">
        <x:v>categoría</x:v>
      </x:c>
      <x:c r="D156" s="12" t="str">
        <x:v>procedencia</x:v>
      </x:c>
      <x:c r="E156" s="12" t="str">
        <x:v>Siempre simulado_didactico; también en resultados derivados.</x:v>
      </x:c>
      <x:c r="F156" s="12" t="str">
        <x:v>No hay faltantes</x:v>
      </x:c>
    </x:row>
  </x:sheetData>
  <x:pageMargins left="0.7" right="0.7" top="0.75" bottom="0.75" header="0.3" footer="0.3"/>
  <x:tableParts count="1">
    <x:tablePart xmlns:r="http://schemas.openxmlformats.org/officeDocument/2006/relationships" r:id="R3e881d1664e041c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0" hidden="0" customWidth="1"/>
    <x:col min="4" max="4" width="24" hidden="0" customWidth="1"/>
    <x:col min="5" max="5" width="90" hidden="0" customWidth="1"/>
  </x:cols>
  <x:sheetData>
    <x:row r="1" ht="43" customHeight="1">
      <x:c r="A1" s="7" t="str">
        <x:v>id</x:v>
      </x:c>
      <x:c r="B1" s="7" t="str">
        <x:v>parametro</x:v>
      </x:c>
      <x:c r="C1" s="7" t="str">
        <x:v>valor</x:v>
      </x:c>
      <x:c r="D1" s="7" t="str">
        <x:v>origen</x:v>
      </x:c>
      <x:c r="E1" s="7" t="str">
        <x:v>detalle</x:v>
      </x:c>
    </x:row>
    <x:row r="2" ht="43" customHeight="1">
      <x:c r="A2" s="12" t="str">
        <x:v>S01</x:v>
      </x:c>
      <x:c r="B2" s="12" t="str">
        <x:v>semilla</x:v>
      </x:c>
      <x:c r="C2" s="12" t="n">
        <x:v>20260926</x:v>
      </x:c>
      <x:c r="D2" s="12" t="str">
        <x:v>Simulación</x:v>
      </x:c>
      <x:c r="E2" s="12" t="str">
        <x:v>Semilla usada con numpy.random.default_rng; no proviene de observaciones.</x:v>
      </x:c>
    </x:row>
    <x:row r="3" ht="43" customHeight="1">
      <x:c r="A3" s="12" t="str">
        <x:v>S02</x:v>
      </x:c>
      <x:c r="B3" s="12" t="str">
        <x:v>tratamientos_E1</x:v>
      </x:c>
      <x:c r="C3" s="12" t="n">
        <x:v>9</x:v>
      </x:c>
      <x:c r="D3" s="12" t="str">
        <x:v>Corrección aritmética</x:v>
      </x:c>
      <x:c r="E3" s="12" t="str">
        <x:v>8 cepas + control = 9; la mención de 11 no coincide con 180 plantas.</x:v>
      </x:c>
    </x:row>
    <x:row r="4" ht="43" customHeight="1">
      <x:c r="A4" s="12" t="str">
        <x:v>S03</x:v>
      </x:c>
      <x:c r="B4" s="12" t="str">
        <x:v>bloques_E1</x:v>
      </x:c>
      <x:c r="C4" s="12" t="n">
        <x:v>5</x:v>
      </x:c>
      <x:c r="D4" s="12" t="str">
        <x:v>Metodología</x:v>
      </x:c>
      <x:c r="E4" s="12" t="str">
        <x:v>Bloques temporales completos; aleatorización dentro de cada bloque.</x:v>
      </x:c>
    </x:row>
    <x:row r="5" ht="43" customHeight="1">
      <x:c r="A5" s="12" t="str">
        <x:v>S04</x:v>
      </x:c>
      <x:c r="B5" s="12" t="str">
        <x:v>repeticiones_total</x:v>
      </x:c>
      <x:c r="C5" s="12" t="n">
        <x:v>10</x:v>
      </x:c>
      <x:c r="D5" s="12" t="str">
        <x:v>Metodología</x:v>
      </x:c>
      <x:c r="E5" s="12" t="str">
        <x:v>10 por tratamiento y especie EN TOTAL; 2 por bloque.</x:v>
      </x:c>
    </x:row>
    <x:row r="6" ht="43" customHeight="1">
      <x:c r="A6" s="12" t="str">
        <x:v>S05</x:v>
      </x:c>
      <x:c r="B6" s="12" t="str">
        <x:v>plantas_por_bloque_combinacion</x:v>
      </x:c>
      <x:c r="C6" s="12" t="n">
        <x:v>2</x:v>
      </x:c>
      <x:c r="D6" s="12" t="str">
        <x:v>Asignación</x:v>
      </x:c>
      <x:c r="E6" s="12" t="str">
        <x:v>Dos plantas de cada tratamiento y especie por bloque.</x:v>
      </x:c>
    </x:row>
    <x:row r="7" ht="43" customHeight="1">
      <x:c r="A7" s="12" t="str">
        <x:v>S06</x:v>
      </x:c>
      <x:c r="B7" s="12" t="str">
        <x:v>desfase_N1_dias</x:v>
      </x:c>
      <x:c r="C7" s="12" t="n">
        <x:v>1</x:v>
      </x:c>
      <x:c r="D7" s="12" t="str">
        <x:v>Supuesto temporal</x:v>
      </x:c>
      <x:c r="E7" s="12" t="str">
        <x:v>Día 0: inoculación inicial y dos hembras; día 1: retiro de hembras y una N1.</x:v>
      </x:c>
    </x:row>
    <x:row r="8" ht="43" customHeight="1">
      <x:c r="A8" s="12" t="str">
        <x:v>S07</x:v>
      </x:c>
      <x:c r="B8" s="12" t="str">
        <x:v>dia_reinoculacion</x:v>
      </x:c>
      <x:c r="C8" s="12" t="n">
        <x:v>14</x:v>
      </x:c>
      <x:c r="D8" s="12" t="str">
        <x:v>Metodología</x:v>
      </x:c>
      <x:c r="E8" s="12" t="str">
        <x:v>Reinoculación después del recuento del día 14; control recibe vehículo sin levadura.</x:v>
      </x:c>
    </x:row>
    <x:row r="9" ht="43" customHeight="1">
      <x:c r="A9" s="12" t="str">
        <x:v>S08</x:v>
      </x:c>
      <x:c r="B9" s="12" t="str">
        <x:v>intervalo_bloques_dias</x:v>
      </x:c>
      <x:c r="C9" s="12" t="n">
        <x:v>7</x:v>
      </x:c>
      <x:c r="D9" s="12" t="str">
        <x:v>Supuesto temporal</x:v>
      </x:c>
      <x:c r="E9" s="12" t="str">
        <x:v>Fechas ficticias con separación semanal, no fechas del experimento real.</x:v>
      </x:c>
    </x:row>
    <x:row r="10" ht="43" customHeight="1">
      <x:c r="A10" s="12" t="str">
        <x:v>S09</x:v>
      </x:c>
      <x:c r="B10" s="12" t="str">
        <x:v>primer_recuento_dpi</x:v>
      </x:c>
      <x:c r="C10" s="12" t="n">
        <x:v>14</x:v>
      </x:c>
      <x:c r="D10" s="12" t="str">
        <x:v>Metodología</x:v>
      </x:c>
      <x:c r="E10" s="12" t="str">
        <x:v>Evaluaciones a 14, 21 y 28 días postinoculación.</x:v>
      </x:c>
    </x:row>
    <x:row r="11" ht="43" customHeight="1">
      <x:c r="A11" s="12" t="str">
        <x:v>S10</x:v>
      </x:c>
      <x:c r="B11" s="12" t="str">
        <x:v>segundo_recuento_dpi</x:v>
      </x:c>
      <x:c r="C11" s="12" t="n">
        <x:v>21</x:v>
      </x:c>
      <x:c r="D11" s="12" t="str">
        <x:v>Metodología</x:v>
      </x:c>
      <x:c r="E11" s="12" t="str">
        <x:v>Son medidas repetidas de las mismas 180 plantas.</x:v>
      </x:c>
    </x:row>
    <x:row r="12" ht="43" customHeight="1">
      <x:c r="A12" s="12" t="str">
        <x:v>S11</x:v>
      </x:c>
      <x:c r="B12" s="12" t="str">
        <x:v>tercer_recuento_dpi</x:v>
      </x:c>
      <x:c r="C12" s="12" t="n">
        <x:v>28</x:v>
      </x:c>
      <x:c r="D12" s="12" t="str">
        <x:v>Metodología</x:v>
      </x:c>
      <x:c r="E12" s="12" t="str">
        <x:v>No se inventó un recuento al día 30: no está previsto entre las mediciones.</x:v>
      </x:c>
    </x:row>
    <x:row r="13" ht="43" customHeight="1">
      <x:c r="A13" s="12" t="str">
        <x:v>S12</x:v>
      </x:c>
      <x:c r="B13" s="12" t="str">
        <x:v>bloques_E2</x:v>
      </x:c>
      <x:c r="C13" s="12" t="n">
        <x:v>5</x:v>
      </x:c>
      <x:c r="D13" s="12" t="str">
        <x:v>Supuesto adicional</x:v>
      </x:c>
      <x:c r="E13" s="12" t="str">
        <x:v>El texto no especifica bloques en E2. Se suponen 5, con 2 plantas por combinación.</x:v>
      </x:c>
    </x:row>
    <x:row r="14" ht="43" customHeight="1">
      <x:c r="A14" s="12" t="str">
        <x:v>S13</x:v>
      </x:c>
      <x:c r="B14" s="12" t="str">
        <x:v>ninfas_por_planta_E2</x:v>
      </x:c>
      <x:c r="C14" s="12" t="n">
        <x:v>1</x:v>
      </x:c>
      <x:c r="D14" s="12" t="str">
        <x:v>Supuesto adicional</x:v>
      </x:c>
      <x:c r="E14" s="12" t="str">
        <x:v>Una hembra partenogenética focal por planta; crías retiradas diariamente.</x:v>
      </x:c>
    </x:row>
    <x:row r="15" ht="43" customHeight="1">
      <x:c r="A15" s="12" t="str">
        <x:v>S14</x:v>
      </x:c>
      <x:c r="B15" s="12" t="str">
        <x:v>intervalo_diario_dias</x:v>
      </x:c>
      <x:c r="C15" s="12" t="n">
        <x:v>1</x:v>
      </x:c>
      <x:c r="D15" s="12" t="str">
        <x:v>Convención de cálculo</x:v>
      </x:c>
      <x:c r="E15" s="12" t="str">
        <x:v>x es la edad al inicio del intervalo; crías del intervalo [x,x+1), atribuidas a x+1 en Euler-Lotka.</x:v>
      </x:c>
    </x:row>
    <x:row r="16" ht="43" customHeight="1">
      <x:c r="A16" s="12" t="str">
        <x:v>S15</x:v>
      </x:c>
      <x:c r="B16" s="12" t="str">
        <x:v>edad_maxima_E2</x:v>
      </x:c>
      <x:c r="C16" s="12" t="n">
        <x:v>41</x:v>
      </x:c>
      <x:c r="D16" s="12" t="str">
        <x:v>Resultado de simulación</x:v>
      </x:c>
      <x:c r="E16" s="12" t="str">
        <x:v>Seguimiento hasta muerte; se completan ceros estructurales tras la muerte para cada individuo.</x:v>
      </x:c>
    </x:row>
    <x:row r="17" ht="43" customHeight="1">
      <x:c r="A17" s="12" t="str">
        <x:v>S16</x:v>
      </x:c>
      <x:c r="B17" s="12" t="str">
        <x:v>limite_inferior_rm</x:v>
      </x:c>
      <x:c r="C17" s="12" t="n">
        <x:v>-1</x:v>
      </x:c>
      <x:c r="D17" s="12" t="str">
        <x:v>Bisección</x:v>
      </x:c>
      <x:c r="E17" s="12" t="str">
        <x:v>Límite inicial del solucionador Euler-Lotka; verificar signos en Calculo_rm.</x:v>
      </x:c>
    </x:row>
    <x:row r="18" ht="43" customHeight="1">
      <x:c r="A18" s="12" t="str">
        <x:v>S17</x:v>
      </x:c>
      <x:c r="B18" s="12" t="str">
        <x:v>limite_superior_rm</x:v>
      </x:c>
      <x:c r="C18" s="12" t="n">
        <x:v>2</x:v>
      </x:c>
      <x:c r="D18" s="12" t="str">
        <x:v>Bisección</x:v>
      </x:c>
      <x:c r="E18" s="12" t="str">
        <x:v>Límite inicial superior; unidades día^-1.</x:v>
      </x:c>
    </x:row>
    <x:row r="19" ht="43" customHeight="1">
      <x:c r="A19" s="12" t="str">
        <x:v>S18</x:v>
      </x:c>
      <x:c r="B19" s="12" t="str">
        <x:v>iteraciones_biseccion</x:v>
      </x:c>
      <x:c r="C19" s="12" t="n">
        <x:v>45</x:v>
      </x:c>
      <x:c r="D19" s="12" t="str">
        <x:v>Bisección</x:v>
      </x:c>
      <x:c r="E19" s="12" t="str">
        <x:v>Estimaciones derivadas de E2_diario; no son tasas asignadas a cada planta.</x:v>
      </x:c>
    </x:row>
    <x:row r="20" ht="43" customHeight="1">
      <x:c r="A20" s="12" t="str">
        <x:v>S19</x:v>
      </x:c>
      <x:c r="B20" s="12" t="str">
        <x:v>tolerancia_euler</x:v>
      </x:c>
      <x:c r="C20" s="12" t="n">
        <x:v>1e-8</x:v>
      </x:c>
      <x:c r="D20" s="12" t="str">
        <x:v>Control de calidad</x:v>
      </x:c>
      <x:c r="E20" s="12" t="str">
        <x:v>Valor absoluto del residuo Euler-Lotka debe ser menor que esta tolerancia.</x:v>
      </x:c>
    </x:row>
    <x:row r="21" ht="43" customHeight="1">
      <x:c r="A21" s="12" t="str">
        <x:v>S20</x:v>
      </x:c>
      <x:c r="B21" s="12" t="str">
        <x:v>origen_datos</x:v>
      </x:c>
      <x:c r="C21" s="12" t="str">
        <x:v>simulado_didactico</x:v>
      </x:c>
      <x:c r="D21" s="12" t="str">
        <x:v>Uso</x:v>
      </x:c>
      <x:c r="E21" s="12" t="str">
        <x:v>Solo aprendizaje de RStudio / Visualización de datos; no usar como resultados experimentales.</x:v>
      </x:c>
    </x:row>
    <x:row r="22" ht="43" customHeight="1">
      <x:c r="A22" s="12" t="str">
        <x:v>S21</x:v>
      </x:c>
      <x:c r="B22" s="12" t="str">
        <x:v>control</x:v>
      </x:c>
      <x:c r="C22" s="12" t="str">
        <x:v>L0</x:v>
      </x:c>
      <x:c r="D22" s="12" t="str">
        <x:v>Codificación</x:v>
      </x:c>
      <x:c r="E22" s="12" t="str">
        <x:v>L0 sin levaduras; L1, L2, L3, L5, L6, L7, L8 y L9 son códigos, no especies identificadas.</x:v>
      </x:c>
    </x:row>
    <x:row r="23" ht="43" customHeight="1">
      <x:c r="A23" s="12" t="str">
        <x:v>S22</x:v>
      </x:c>
      <x:c r="B23" s="12" t="str">
        <x:v>criterio_seleccion</x:v>
      </x:c>
      <x:c r="C23" s="12" t="str">
        <x:v>promedio_6_reducciones</x:v>
      </x:c>
      <x:c r="D23" s="12" t="str">
        <x:v>Supuesto adicional</x:v>
      </x:c>
      <x:c r="E23" s="12" t="str">
        <x:v>Media aritmética de las reducciones relativas de 2 especies × 3 días; ponderaciones iguales.</x:v>
      </x:c>
    </x:row>
    <x:row r="24" ht="43" customHeight="1">
      <x:c r="A24" s="12" t="str">
        <x:v>S23</x:v>
      </x:c>
      <x:c r="B24" s="12" t="str">
        <x:v>escalas_simulacion</x:v>
      </x:c>
      <x:c r="C24" s="12" t="str">
        <x:v>arbitrarias_didacticas</x:v>
      </x:c>
      <x:c r="D24" s="12" t="str">
        <x:v>Límite</x:v>
      </x:c>
      <x:c r="E24" s="12" t="str">
        <x:v>Tamaños, efectos y probabilidades son elecciones ilustrativas, no calibradas con datos reales.</x:v>
      </x:c>
    </x:row>
    <x:row r="25" ht="43" customHeight="1">
      <x:c r="A25" s="12" t="str">
        <x:v>S24</x:v>
      </x:c>
      <x:c r="B25" s="12" t="str">
        <x:v>modelo_E1</x:v>
      </x:c>
      <x:c r="C25" s="12" t="str">
        <x:v>binomial_negativa</x:v>
      </x:c>
      <x:c r="D25" s="12" t="str">
        <x:v>Generador</x:v>
      </x:c>
      <x:c r="E25" s="12" t="str">
        <x:v>Media = control × (1-efecto) × factor_bloque × factor_planta; dispersión 28.</x:v>
      </x:c>
    </x:row>
    <x:row r="26" ht="43" customHeight="1">
      <x:c r="A26" s="12" t="str">
        <x:v>S25</x:v>
      </x:c>
      <x:c r="B26" s="12" t="str">
        <x:v>factor_planta_E1</x:v>
      </x:c>
      <x:c r="C26" s="12" t="str">
        <x:v>lognormal</x:v>
      </x:c>
      <x:c r="D26" s="12" t="str">
        <x:v>Generador</x:v>
      </x:c>
      <x:c r="E26" s="12" t="str">
        <x:v>Log-media = -0.5×0.30^2; log-DE = 0.30. Compartido entre los 3 recuentos.</x:v>
      </x:c>
    </x:row>
    <x:row r="27" ht="43" customHeight="1">
      <x:c r="A27" s="12" t="str">
        <x:v>S26</x:v>
      </x:c>
      <x:c r="B27" s="12" t="str">
        <x:v>extincion_E1</x:v>
      </x:c>
      <x:c r="C27" s="12" t="str">
        <x:v>ceros_persistentes</x:v>
      </x:c>
      <x:c r="D27" s="12" t="str">
        <x:v>Generador</x:v>
      </x:c>
      <x:c r="E27" s="12" t="str">
        <x:v>Probabilidad = 0.015 + 0.07×max(efecto,0). Si se extingue: cero en los 3 recuentos.</x:v>
      </x:c>
    </x:row>
    <x:row r="28" ht="43" customHeight="1">
      <x:c r="A28" s="12" t="str">
        <x:v>S27</x:v>
      </x:c>
      <x:c r="B28" s="12" t="str">
        <x:v>modelo_E2</x:v>
      </x:c>
      <x:c r="C28" s="12" t="str">
        <x:v>historia_individual</x:v>
      </x:c>
      <x:c r="D28" s="12" t="str">
        <x:v>Generador</x:v>
      </x:c>
      <x:c r="E28" s="12" t="str">
        <x:v>Desarrollo variable, mortalidad ninfal Bernoulli, vida adulta variable, crías Poisson por día.</x:v>
      </x:c>
    </x:row>
    <x:row r="29" ht="43" customHeight="1">
      <x:c r="A29" s="12" t="str">
        <x:v>S28</x:v>
      </x:c>
      <x:c r="B29" s="12" t="str">
        <x:v>censura_E2</x:v>
      </x:c>
      <x:c r="C29" s="12" t="n">
        <x:v>0</x:v>
      </x:c>
      <x:c r="D29" s="12" t="str">
        <x:v>Seguimiento</x:v>
      </x:c>
      <x:c r="E29" s="12" t="str">
        <x:v>No hay pérdidas ni censura. Los ceros posteriores a muerte NO son observaciones nuevas.</x:v>
      </x:c>
    </x:row>
    <x:row r="30" ht="43" customHeight="1">
      <x:c r="A30" s="12" t="str">
        <x:v>S29</x:v>
      </x:c>
      <x:c r="B30" s="12" t="str">
        <x:v>parametros_demograficos</x:v>
      </x:c>
      <x:c r="C30" s="12" t="str">
        <x:v>6_cohortes</x:v>
      </x:c>
      <x:c r="D30" s="12" t="str">
        <x:v>Interpretación</x:v>
      </x:c>
      <x:c r="E30" s="12" t="str">
        <x:v>Una estimación por especie y tratamiento; no 10 réplicas independientes de rm por grupo.</x:v>
      </x:c>
    </x:row>
    <x:row r="31" ht="43" customHeight="1">
      <x:c r="A31" s="12" t="str">
        <x:v>S30</x:v>
      </x:c>
      <x:c r="B31" s="12" t="str">
        <x:v>inferencia</x:v>
      </x:c>
      <x:c r="C31" s="12" t="str">
        <x:v>no_incluida</x:v>
      </x:c>
      <x:c r="D31" s="12" t="str">
        <x:v>Alcance</x:v>
      </x:c>
      <x:c r="E31" s="12" t="str">
        <x:v>No se incluyen p-valores ni letras de significación; no se calculó bootstrap.</x:v>
      </x:c>
    </x:row>
    <x:row r="32" ht="43" customHeight="1">
      <x:c r="A32" s="12" t="str">
        <x:v>S31</x:v>
      </x:c>
      <x:c r="B32" s="12" t="str">
        <x:v>comparacion_con_fuentes</x:v>
      </x:c>
      <x:c r="C32" s="12" t="str">
        <x:v>metodo_no_datos</x:v>
      </x:c>
      <x:c r="D32" s="12" t="str">
        <x:v>Referencias</x:v>
      </x:c>
      <x:c r="E32" s="12" t="str">
        <x:v>Referencias usadas para convenciones de tablas de vida, no para atribuirles conteos simulados.</x:v>
      </x:c>
    </x:row>
    <x:row r="33" ht="43" customHeight="1">
      <x:c r="A33" s="12" t="str">
        <x:v>S32</x:v>
      </x:c>
      <x:c r="B33" s="12" t="str">
        <x:v>recalculo_seleccion</x:v>
      </x:c>
      <x:c r="C33" s="12" t="str">
        <x:v>E2_fijo</x:v>
      </x:c>
      <x:c r="D33" s="12" t="str">
        <x:v>Alcance</x:v>
      </x:c>
      <x:c r="E33" s="12" t="str">
        <x:v>Editar E1 actualiza el ranking, pero no genera nuevas historias E2 para otros tratamientos.</x:v>
      </x:c>
    </x:row>
    <x:row r="34" ht="43" customHeight="1">
      <x:c r="A34" s="12" t="str">
        <x:v>S33</x:v>
      </x:c>
      <x:c r="B34" s="12" t="str">
        <x:v>recalculo_individuos</x:v>
      </x:c>
      <x:c r="C34" s="12" t="str">
        <x:v>filas_fijas</x:v>
      </x:c>
      <x:c r="D34" s="12" t="str">
        <x:v>Alcance</x:v>
      </x:c>
      <x:c r="E34" s="12" t="str">
        <x:v>Las fórmulas resumen los rangos entregados; si agregas plantas o días, amplía rangos o usa R.</x:v>
      </x:c>
    </x:row>
    <x:row r="35" ht="43" customHeight="1">
      <x:c r="A35" s="12" t="str">
        <x:v>S34</x:v>
      </x:c>
      <x:c r="B35" s="12" t="str">
        <x:v>n_cepas_seleccionadas</x:v>
      </x:c>
      <x:c r="C35" s="12" t="n">
        <x:v>2</x:v>
      </x:c>
      <x:c r="D35" s="12" t="str">
        <x:v>Metodología</x:v>
      </x:c>
      <x:c r="E35" s="12" t="str">
        <x:v>Dos cepas más L0 en E2.</x:v>
      </x:c>
    </x:row>
    <x:row r="36" ht="43" customHeight="1">
      <x:c r="A36" s="12" t="str">
        <x:v>S35</x:v>
      </x:c>
      <x:c r="B36" s="12" t="str">
        <x:v>convencion_periodos</x:v>
      </x:c>
      <x:c r="C36" s="12" t="str">
        <x:v>inicio_de_intervalo</x:v>
      </x:c>
      <x:c r="D36" s="12" t="str">
        <x:v>Cálculo</x:v>
      </x:c>
      <x:c r="E36" s="12" t="str">
        <x:v>Primera/última reproducción x son inicios de intervalos; APOP/TPRP se calculan con esa discretización. Euler-Lotka usa x+1.</x:v>
      </x:c>
    </x:row>
    <x:row r="37" ht="43" customHeight="1">
      <x:c r="A37" s="12" t="str">
        <x:v>S36</x:v>
      </x:c>
      <x:c r="B37" s="12" t="str">
        <x:v>guia_R</x:v>
      </x:c>
      <x:c r="C37" s="12" t="str">
        <x:v>incluida</x:v>
      </x:c>
      <x:c r="D37" s="12" t="str">
        <x:v>Uso</x:v>
      </x:c>
      <x:c r="E37" s="12" t="str">
        <x:v>Guia_R contiene el script completo; el archivo .R adjunto tiene el mismo código.</x:v>
      </x:c>
    </x:row>
    <x:row r="38" ht="43" customHeight="1">
      <x:c r="A38" s="12" t="str">
        <x:v>E1_MP_L0</x:v>
      </x:c>
      <x:c r="B38" s="12" t="str">
        <x:v>reduccion_nominal_d28</x:v>
      </x:c>
      <x:c r="C38" s="12" t="n">
        <x:v>0</x:v>
      </x:c>
      <x:c r="D38" s="12" t="str">
        <x:v>Entrada simulada</x:v>
      </x:c>
      <x:c r="E38" s="12" t="str">
        <x:v>Efecto nominal; NO es la reducción observada ni un resultado biológico.</x:v>
      </x:c>
    </x:row>
    <x:row r="39" ht="43" customHeight="1">
      <x:c r="A39" s="12" t="str">
        <x:v>E1_MP_L1</x:v>
      </x:c>
      <x:c r="B39" s="12" t="str">
        <x:v>reduccion_nominal_d28</x:v>
      </x:c>
      <x:c r="C39" s="12" t="n">
        <x:v>0.1</x:v>
      </x:c>
      <x:c r="D39" s="12" t="str">
        <x:v>Entrada simulada</x:v>
      </x:c>
      <x:c r="E39" s="12" t="str">
        <x:v>Efecto nominal; NO es la reducción observada ni un resultado biológico.</x:v>
      </x:c>
    </x:row>
    <x:row r="40" ht="43" customHeight="1">
      <x:c r="A40" s="12" t="str">
        <x:v>E1_MP_L2</x:v>
      </x:c>
      <x:c r="B40" s="12" t="str">
        <x:v>reduccion_nominal_d28</x:v>
      </x:c>
      <x:c r="C40" s="12" t="n">
        <x:v>0.23</x:v>
      </x:c>
      <x:c r="D40" s="12" t="str">
        <x:v>Entrada simulada</x:v>
      </x:c>
      <x:c r="E40" s="12" t="str">
        <x:v>Efecto nominal; NO es la reducción observada ni un resultado biológico.</x:v>
      </x:c>
    </x:row>
    <x:row r="41" ht="43" customHeight="1">
      <x:c r="A41" s="12" t="str">
        <x:v>E1_MP_L3</x:v>
      </x:c>
      <x:c r="B41" s="12" t="str">
        <x:v>reduccion_nominal_d28</x:v>
      </x:c>
      <x:c r="C41" s="12" t="n">
        <x:v>0.34</x:v>
      </x:c>
      <x:c r="D41" s="12" t="str">
        <x:v>Entrada simulada</x:v>
      </x:c>
      <x:c r="E41" s="12" t="str">
        <x:v>Efecto nominal; NO es la reducción observada ni un resultado biológico.</x:v>
      </x:c>
    </x:row>
    <x:row r="42" ht="43" customHeight="1">
      <x:c r="A42" s="12" t="str">
        <x:v>E1_MP_L5</x:v>
      </x:c>
      <x:c r="B42" s="12" t="str">
        <x:v>reduccion_nominal_d28</x:v>
      </x:c>
      <x:c r="C42" s="12" t="n">
        <x:v>0.47</x:v>
      </x:c>
      <x:c r="D42" s="12" t="str">
        <x:v>Entrada simulada</x:v>
      </x:c>
      <x:c r="E42" s="12" t="str">
        <x:v>Efecto nominal; NO es la reducción observada ni un resultado biológico.</x:v>
      </x:c>
    </x:row>
    <x:row r="43" ht="43" customHeight="1">
      <x:c r="A43" s="12" t="str">
        <x:v>E1_MP_L6</x:v>
      </x:c>
      <x:c r="B43" s="12" t="str">
        <x:v>reduccion_nominal_d28</x:v>
      </x:c>
      <x:c r="C43" s="12" t="n">
        <x:v>0.18</x:v>
      </x:c>
      <x:c r="D43" s="12" t="str">
        <x:v>Entrada simulada</x:v>
      </x:c>
      <x:c r="E43" s="12" t="str">
        <x:v>Efecto nominal; NO es la reducción observada ni un resultado biológico.</x:v>
      </x:c>
    </x:row>
    <x:row r="44" ht="43" customHeight="1">
      <x:c r="A44" s="12" t="str">
        <x:v>E1_MP_L7</x:v>
      </x:c>
      <x:c r="B44" s="12" t="str">
        <x:v>reduccion_nominal_d28</x:v>
      </x:c>
      <x:c r="C44" s="12" t="n">
        <x:v>0.7</x:v>
      </x:c>
      <x:c r="D44" s="12" t="str">
        <x:v>Entrada simulada</x:v>
      </x:c>
      <x:c r="E44" s="12" t="str">
        <x:v>Efecto nominal; NO es la reducción observada ni un resultado biológico.</x:v>
      </x:c>
    </x:row>
    <x:row r="45" ht="43" customHeight="1">
      <x:c r="A45" s="12" t="str">
        <x:v>E1_MP_L8</x:v>
      </x:c>
      <x:c r="B45" s="12" t="str">
        <x:v>reduccion_nominal_d28</x:v>
      </x:c>
      <x:c r="C45" s="12" t="n">
        <x:v>0.57</x:v>
      </x:c>
      <x:c r="D45" s="12" t="str">
        <x:v>Entrada simulada</x:v>
      </x:c>
      <x:c r="E45" s="12" t="str">
        <x:v>Efecto nominal; NO es la reducción observada ni un resultado biológico.</x:v>
      </x:c>
    </x:row>
    <x:row r="46" ht="43" customHeight="1">
      <x:c r="A46" s="12" t="str">
        <x:v>E1_MP_L9</x:v>
      </x:c>
      <x:c r="B46" s="12" t="str">
        <x:v>reduccion_nominal_d28</x:v>
      </x:c>
      <x:c r="C46" s="12" t="n">
        <x:v>-0.02</x:v>
      </x:c>
      <x:c r="D46" s="12" t="str">
        <x:v>Entrada simulada</x:v>
      </x:c>
      <x:c r="E46" s="12" t="str">
        <x:v>Efecto nominal; NO es la reducción observada ni un resultado biológico.</x:v>
      </x:c>
    </x:row>
    <x:row r="47" ht="43" customHeight="1">
      <x:c r="A47" s="12" t="str">
        <x:v>E1_BB_L0</x:v>
      </x:c>
      <x:c r="B47" s="12" t="str">
        <x:v>reduccion_nominal_d28</x:v>
      </x:c>
      <x:c r="C47" s="12" t="n">
        <x:v>0</x:v>
      </x:c>
      <x:c r="D47" s="12" t="str">
        <x:v>Entrada simulada</x:v>
      </x:c>
      <x:c r="E47" s="12" t="str">
        <x:v>Efecto nominal; NO es la reducción observada ni un resultado biológico.</x:v>
      </x:c>
    </x:row>
    <x:row r="48" ht="43" customHeight="1">
      <x:c r="A48" s="12" t="str">
        <x:v>E1_BB_L1</x:v>
      </x:c>
      <x:c r="B48" s="12" t="str">
        <x:v>reduccion_nominal_d28</x:v>
      </x:c>
      <x:c r="C48" s="12" t="n">
        <x:v>0.08</x:v>
      </x:c>
      <x:c r="D48" s="12" t="str">
        <x:v>Entrada simulada</x:v>
      </x:c>
      <x:c r="E48" s="12" t="str">
        <x:v>Efecto nominal; NO es la reducción observada ni un resultado biológico.</x:v>
      </x:c>
    </x:row>
    <x:row r="49" ht="43" customHeight="1">
      <x:c r="A49" s="12" t="str">
        <x:v>E1_BB_L2</x:v>
      </x:c>
      <x:c r="B49" s="12" t="str">
        <x:v>reduccion_nominal_d28</x:v>
      </x:c>
      <x:c r="C49" s="12" t="n">
        <x:v>0.28</x:v>
      </x:c>
      <x:c r="D49" s="12" t="str">
        <x:v>Entrada simulada</x:v>
      </x:c>
      <x:c r="E49" s="12" t="str">
        <x:v>Efecto nominal; NO es la reducción observada ni un resultado biológico.</x:v>
      </x:c>
    </x:row>
    <x:row r="50" ht="43" customHeight="1">
      <x:c r="A50" s="12" t="str">
        <x:v>E1_BB_L3</x:v>
      </x:c>
      <x:c r="B50" s="12" t="str">
        <x:v>reduccion_nominal_d28</x:v>
      </x:c>
      <x:c r="C50" s="12" t="n">
        <x:v>0.37</x:v>
      </x:c>
      <x:c r="D50" s="12" t="str">
        <x:v>Entrada simulada</x:v>
      </x:c>
      <x:c r="E50" s="12" t="str">
        <x:v>Efecto nominal; NO es la reducción observada ni un resultado biológico.</x:v>
      </x:c>
    </x:row>
    <x:row r="51" ht="43" customHeight="1">
      <x:c r="A51" s="12" t="str">
        <x:v>E1_BB_L5</x:v>
      </x:c>
      <x:c r="B51" s="12" t="str">
        <x:v>reduccion_nominal_d28</x:v>
      </x:c>
      <x:c r="C51" s="12" t="n">
        <x:v>0.46</x:v>
      </x:c>
      <x:c r="D51" s="12" t="str">
        <x:v>Entrada simulada</x:v>
      </x:c>
      <x:c r="E51" s="12" t="str">
        <x:v>Efecto nominal; NO es la reducción observada ni un resultado biológico.</x:v>
      </x:c>
    </x:row>
    <x:row r="52" ht="43" customHeight="1">
      <x:c r="A52" s="12" t="str">
        <x:v>E1_BB_L6</x:v>
      </x:c>
      <x:c r="B52" s="12" t="str">
        <x:v>reduccion_nominal_d28</x:v>
      </x:c>
      <x:c r="C52" s="12" t="n">
        <x:v>0.14</x:v>
      </x:c>
      <x:c r="D52" s="12" t="str">
        <x:v>Entrada simulada</x:v>
      </x:c>
      <x:c r="E52" s="12" t="str">
        <x:v>Efecto nominal; NO es la reducción observada ni un resultado biológico.</x:v>
      </x:c>
    </x:row>
    <x:row r="53" ht="43" customHeight="1">
      <x:c r="A53" s="12" t="str">
        <x:v>E1_BB_L7</x:v>
      </x:c>
      <x:c r="B53" s="12" t="str">
        <x:v>reduccion_nominal_d28</x:v>
      </x:c>
      <x:c r="C53" s="12" t="n">
        <x:v>0.62</x:v>
      </x:c>
      <x:c r="D53" s="12" t="str">
        <x:v>Entrada simulada</x:v>
      </x:c>
      <x:c r="E53" s="12" t="str">
        <x:v>Efecto nominal; NO es la reducción observada ni un resultado biológico.</x:v>
      </x:c>
    </x:row>
    <x:row r="54" ht="43" customHeight="1">
      <x:c r="A54" s="12" t="str">
        <x:v>E1_BB_L8</x:v>
      </x:c>
      <x:c r="B54" s="12" t="str">
        <x:v>reduccion_nominal_d28</x:v>
      </x:c>
      <x:c r="C54" s="12" t="n">
        <x:v>0.73</x:v>
      </x:c>
      <x:c r="D54" s="12" t="str">
        <x:v>Entrada simulada</x:v>
      </x:c>
      <x:c r="E54" s="12" t="str">
        <x:v>Efecto nominal; NO es la reducción observada ni un resultado biológico.</x:v>
      </x:c>
    </x:row>
    <x:row r="55" ht="43" customHeight="1">
      <x:c r="A55" s="12" t="str">
        <x:v>E1_BB_L9</x:v>
      </x:c>
      <x:c r="B55" s="12" t="str">
        <x:v>reduccion_nominal_d28</x:v>
      </x:c>
      <x:c r="C55" s="12" t="n">
        <x:v>0.03</x:v>
      </x:c>
      <x:c r="D55" s="12" t="str">
        <x:v>Entrada simulada</x:v>
      </x:c>
      <x:c r="E55" s="12" t="str">
        <x:v>Efecto nominal; NO es la reducción observada ni un resultado biológico.</x:v>
      </x:c>
    </x:row>
    <x:row r="56" ht="43" customHeight="1">
      <x:c r="A56" s="12" t="str">
        <x:v>MEDIA_MP_14</x:v>
      </x:c>
      <x:c r="B56" s="12" t="str">
        <x:v>media_nominal_control</x:v>
      </x:c>
      <x:c r="C56" s="12" t="n">
        <x:v>18</x:v>
      </x:c>
      <x:c r="D56" s="12" t="str">
        <x:v>Entrada simulada</x:v>
      </x:c>
      <x:c r="E56" s="12" t="str">
        <x:v>Media de la binomial negativa antes de factores de bloque/planta y extinciones.</x:v>
      </x:c>
    </x:row>
    <x:row r="57" ht="43" customHeight="1">
      <x:c r="A57" s="12" t="str">
        <x:v>MEDIA_MP_21</x:v>
      </x:c>
      <x:c r="B57" s="12" t="str">
        <x:v>media_nominal_control</x:v>
      </x:c>
      <x:c r="C57" s="12" t="n">
        <x:v>82</x:v>
      </x:c>
      <x:c r="D57" s="12" t="str">
        <x:v>Entrada simulada</x:v>
      </x:c>
      <x:c r="E57" s="12" t="str">
        <x:v>Media de la binomial negativa antes de factores de bloque/planta y extinciones.</x:v>
      </x:c>
    </x:row>
    <x:row r="58" ht="43" customHeight="1">
      <x:c r="A58" s="12" t="str">
        <x:v>MEDIA_MP_28</x:v>
      </x:c>
      <x:c r="B58" s="12" t="str">
        <x:v>media_nominal_control</x:v>
      </x:c>
      <x:c r="C58" s="12" t="n">
        <x:v>230</x:v>
      </x:c>
      <x:c r="D58" s="12" t="str">
        <x:v>Entrada simulada</x:v>
      </x:c>
      <x:c r="E58" s="12" t="str">
        <x:v>Media de la binomial negativa antes de factores de bloque/planta y extinciones.</x:v>
      </x:c>
    </x:row>
    <x:row r="59" ht="43" customHeight="1">
      <x:c r="A59" s="12" t="str">
        <x:v>MEDIA_BB_14</x:v>
      </x:c>
      <x:c r="B59" s="12" t="str">
        <x:v>media_nominal_control</x:v>
      </x:c>
      <x:c r="C59" s="12" t="n">
        <x:v>23</x:v>
      </x:c>
      <x:c r="D59" s="12" t="str">
        <x:v>Entrada simulada</x:v>
      </x:c>
      <x:c r="E59" s="12" t="str">
        <x:v>Media de la binomial negativa antes de factores de bloque/planta y extinciones.</x:v>
      </x:c>
    </x:row>
    <x:row r="60" ht="43" customHeight="1">
      <x:c r="A60" s="12" t="str">
        <x:v>MEDIA_BB_21</x:v>
      </x:c>
      <x:c r="B60" s="12" t="str">
        <x:v>media_nominal_control</x:v>
      </x:c>
      <x:c r="C60" s="12" t="n">
        <x:v>105</x:v>
      </x:c>
      <x:c r="D60" s="12" t="str">
        <x:v>Entrada simulada</x:v>
      </x:c>
      <x:c r="E60" s="12" t="str">
        <x:v>Media de la binomial negativa antes de factores de bloque/planta y extinciones.</x:v>
      </x:c>
    </x:row>
    <x:row r="61" ht="43" customHeight="1">
      <x:c r="A61" s="12" t="str">
        <x:v>MEDIA_BB_28</x:v>
      </x:c>
      <x:c r="B61" s="12" t="str">
        <x:v>media_nominal_control</x:v>
      </x:c>
      <x:c r="C61" s="12" t="n">
        <x:v>290</x:v>
      </x:c>
      <x:c r="D61" s="12" t="str">
        <x:v>Entrada simulada</x:v>
      </x:c>
      <x:c r="E61" s="12" t="str">
        <x:v>Media de la binomial negativa antes de factores de bloque/planta y extinciones.</x:v>
      </x:c>
    </x:row>
    <x:row r="62" ht="43" customHeight="1">
      <x:c r="A62" s="12" t="str">
        <x:v>B1</x:v>
      </x:c>
      <x:c r="B62" s="12" t="str">
        <x:v>factor_bloque</x:v>
      </x:c>
      <x:c r="C62" s="12" t="n">
        <x:v>0.87</x:v>
      </x:c>
      <x:c r="D62" s="12" t="str">
        <x:v>Entrada simulada</x:v>
      </x:c>
      <x:c r="E62" s="12" t="str">
        <x:v>Multiplicador arbitrario compartido en la simulación.</x:v>
      </x:c>
    </x:row>
    <x:row r="63" ht="43" customHeight="1">
      <x:c r="A63" s="12" t="str">
        <x:v>B2</x:v>
      </x:c>
      <x:c r="B63" s="12" t="str">
        <x:v>factor_bloque</x:v>
      </x:c>
      <x:c r="C63" s="12" t="n">
        <x:v>1.04</x:v>
      </x:c>
      <x:c r="D63" s="12" t="str">
        <x:v>Entrada simulada</x:v>
      </x:c>
      <x:c r="E63" s="12" t="str">
        <x:v>Multiplicador arbitrario compartido en la simulación.</x:v>
      </x:c>
    </x:row>
    <x:row r="64" ht="43" customHeight="1">
      <x:c r="A64" s="12" t="str">
        <x:v>B3</x:v>
      </x:c>
      <x:c r="B64" s="12" t="str">
        <x:v>factor_bloque</x:v>
      </x:c>
      <x:c r="C64" s="12" t="n">
        <x:v>0.95</x:v>
      </x:c>
      <x:c r="D64" s="12" t="str">
        <x:v>Entrada simulada</x:v>
      </x:c>
      <x:c r="E64" s="12" t="str">
        <x:v>Multiplicador arbitrario compartido en la simulación.</x:v>
      </x:c>
    </x:row>
    <x:row r="65" ht="43" customHeight="1">
      <x:c r="A65" s="12" t="str">
        <x:v>B4</x:v>
      </x:c>
      <x:c r="B65" s="12" t="str">
        <x:v>factor_bloque</x:v>
      </x:c>
      <x:c r="C65" s="12" t="n">
        <x:v>1.13</x:v>
      </x:c>
      <x:c r="D65" s="12" t="str">
        <x:v>Entrada simulada</x:v>
      </x:c>
      <x:c r="E65" s="12" t="str">
        <x:v>Multiplicador arbitrario compartido en la simulación.</x:v>
      </x:c>
    </x:row>
    <x:row r="66" ht="43" customHeight="1">
      <x:c r="A66" s="12" t="str">
        <x:v>B5</x:v>
      </x:c>
      <x:c r="B66" s="12" t="str">
        <x:v>factor_bloque</x:v>
      </x:c>
      <x:c r="C66" s="12" t="n">
        <x:v>1.01</x:v>
      </x:c>
      <x:c r="D66" s="12" t="str">
        <x:v>Entrada simulada</x:v>
      </x:c>
      <x:c r="E66" s="12" t="str">
        <x:v>Multiplicador arbitrario compartido en la simulación.</x:v>
      </x:c>
    </x:row>
    <x:row r="67" ht="43" customHeight="1">
      <x:c r="A67" s="12" t="str">
        <x:v>E2_MP_L0</x:v>
      </x:c>
      <x:c r="B67" s="12" t="str">
        <x:v>desarrollo_ninfal_nominal</x:v>
      </x:c>
      <x:c r="C67" s="12" t="n">
        <x:v>8</x:v>
      </x:c>
      <x:c r="D67" s="12" t="str">
        <x:v>Entrada simulada</x:v>
      </x:c>
      <x:c r="E67" s="12" t="str">
        <x:v>Media/probabilidad elegida para enseñanza, no estimada en el experimento.</x:v>
      </x:c>
    </x:row>
    <x:row r="68" ht="43" customHeight="1">
      <x:c r="A68" s="12" t="str">
        <x:v>E2_MP_L0</x:v>
      </x:c>
      <x:c r="B68" s="12" t="str">
        <x:v>vida_adulta_nominal</x:v>
      </x:c>
      <x:c r="C68" s="12" t="n">
        <x:v>24</x:v>
      </x:c>
      <x:c r="D68" s="12" t="str">
        <x:v>Entrada simulada</x:v>
      </x:c>
      <x:c r="E68" s="12" t="str">
        <x:v>Media/probabilidad elegida para enseñanza, no estimada en el experimento.</x:v>
      </x:c>
    </x:row>
    <x:row r="69" ht="43" customHeight="1">
      <x:c r="A69" s="12" t="str">
        <x:v>E2_MP_L0</x:v>
      </x:c>
      <x:c r="B69" s="12" t="str">
        <x:v>crias_diarias_nominal</x:v>
      </x:c>
      <x:c r="C69" s="12" t="n">
        <x:v>3.5</x:v>
      </x:c>
      <x:c r="D69" s="12" t="str">
        <x:v>Entrada simulada</x:v>
      </x:c>
      <x:c r="E69" s="12" t="str">
        <x:v>Media/probabilidad elegida para enseñanza, no estimada en el experimento.</x:v>
      </x:c>
    </x:row>
    <x:row r="70" ht="43" customHeight="1">
      <x:c r="A70" s="12" t="str">
        <x:v>E2_MP_L0</x:v>
      </x:c>
      <x:c r="B70" s="12" t="str">
        <x:v>prob_muerte_ninfal</x:v>
      </x:c>
      <x:c r="C70" s="12" t="n">
        <x:v>0.07</x:v>
      </x:c>
      <x:c r="D70" s="12" t="str">
        <x:v>Entrada simulada</x:v>
      </x:c>
      <x:c r="E70" s="12" t="str">
        <x:v>Media/probabilidad elegida para enseñanza, no estimada en el experimento.</x:v>
      </x:c>
    </x:row>
    <x:row r="71" ht="43" customHeight="1">
      <x:c r="A71" s="12" t="str">
        <x:v>E2_MP_L7</x:v>
      </x:c>
      <x:c r="B71" s="12" t="str">
        <x:v>desarrollo_ninfal_nominal</x:v>
      </x:c>
      <x:c r="C71" s="12" t="n">
        <x:v>10</x:v>
      </x:c>
      <x:c r="D71" s="12" t="str">
        <x:v>Entrada simulada</x:v>
      </x:c>
      <x:c r="E71" s="12" t="str">
        <x:v>Media/probabilidad elegida para enseñanza, no estimada en el experimento.</x:v>
      </x:c>
    </x:row>
    <x:row r="72" ht="43" customHeight="1">
      <x:c r="A72" s="12" t="str">
        <x:v>E2_MP_L7</x:v>
      </x:c>
      <x:c r="B72" s="12" t="str">
        <x:v>vida_adulta_nominal</x:v>
      </x:c>
      <x:c r="C72" s="12" t="n">
        <x:v>17</x:v>
      </x:c>
      <x:c r="D72" s="12" t="str">
        <x:v>Entrada simulada</x:v>
      </x:c>
      <x:c r="E72" s="12" t="str">
        <x:v>Media/probabilidad elegida para enseñanza, no estimada en el experimento.</x:v>
      </x:c>
    </x:row>
    <x:row r="73" ht="43" customHeight="1">
      <x:c r="A73" s="12" t="str">
        <x:v>E2_MP_L7</x:v>
      </x:c>
      <x:c r="B73" s="12" t="str">
        <x:v>crias_diarias_nominal</x:v>
      </x:c>
      <x:c r="C73" s="12" t="n">
        <x:v>2.1</x:v>
      </x:c>
      <x:c r="D73" s="12" t="str">
        <x:v>Entrada simulada</x:v>
      </x:c>
      <x:c r="E73" s="12" t="str">
        <x:v>Media/probabilidad elegida para enseñanza, no estimada en el experimento.</x:v>
      </x:c>
    </x:row>
    <x:row r="74" ht="43" customHeight="1">
      <x:c r="A74" s="12" t="str">
        <x:v>E2_MP_L7</x:v>
      </x:c>
      <x:c r="B74" s="12" t="str">
        <x:v>prob_muerte_ninfal</x:v>
      </x:c>
      <x:c r="C74" s="12" t="n">
        <x:v>0.2</x:v>
      </x:c>
      <x:c r="D74" s="12" t="str">
        <x:v>Entrada simulada</x:v>
      </x:c>
      <x:c r="E74" s="12" t="str">
        <x:v>Media/probabilidad elegida para enseñanza, no estimada en el experimento.</x:v>
      </x:c>
    </x:row>
    <x:row r="75" ht="43" customHeight="1">
      <x:c r="A75" s="12" t="str">
        <x:v>E2_MP_L8</x:v>
      </x:c>
      <x:c r="B75" s="12" t="str">
        <x:v>desarrollo_ninfal_nominal</x:v>
      </x:c>
      <x:c r="C75" s="12" t="n">
        <x:v>9.4</x:v>
      </x:c>
      <x:c r="D75" s="12" t="str">
        <x:v>Entrada simulada</x:v>
      </x:c>
      <x:c r="E75" s="12" t="str">
        <x:v>Media/probabilidad elegida para enseñanza, no estimada en el experimento.</x:v>
      </x:c>
    </x:row>
    <x:row r="76" ht="43" customHeight="1">
      <x:c r="A76" s="12" t="str">
        <x:v>E2_MP_L8</x:v>
      </x:c>
      <x:c r="B76" s="12" t="str">
        <x:v>vida_adulta_nominal</x:v>
      </x:c>
      <x:c r="C76" s="12" t="n">
        <x:v>18.5</x:v>
      </x:c>
      <x:c r="D76" s="12" t="str">
        <x:v>Entrada simulada</x:v>
      </x:c>
      <x:c r="E76" s="12" t="str">
        <x:v>Media/probabilidad elegida para enseñanza, no estimada en el experimento.</x:v>
      </x:c>
    </x:row>
    <x:row r="77" ht="43" customHeight="1">
      <x:c r="A77" s="12" t="str">
        <x:v>E2_MP_L8</x:v>
      </x:c>
      <x:c r="B77" s="12" t="str">
        <x:v>crias_diarias_nominal</x:v>
      </x:c>
      <x:c r="C77" s="12" t="n">
        <x:v>2.4</x:v>
      </x:c>
      <x:c r="D77" s="12" t="str">
        <x:v>Entrada simulada</x:v>
      </x:c>
      <x:c r="E77" s="12" t="str">
        <x:v>Media/probabilidad elegida para enseñanza, no estimada en el experimento.</x:v>
      </x:c>
    </x:row>
    <x:row r="78" ht="43" customHeight="1">
      <x:c r="A78" s="12" t="str">
        <x:v>E2_MP_L8</x:v>
      </x:c>
      <x:c r="B78" s="12" t="str">
        <x:v>prob_muerte_ninfal</x:v>
      </x:c>
      <x:c r="C78" s="12" t="n">
        <x:v>0.16</x:v>
      </x:c>
      <x:c r="D78" s="12" t="str">
        <x:v>Entrada simulada</x:v>
      </x:c>
      <x:c r="E78" s="12" t="str">
        <x:v>Media/probabilidad elegida para enseñanza, no estimada en el experimento.</x:v>
      </x:c>
    </x:row>
    <x:row r="79" ht="43" customHeight="1">
      <x:c r="A79" s="12" t="str">
        <x:v>E2_BB_L0</x:v>
      </x:c>
      <x:c r="B79" s="12" t="str">
        <x:v>desarrollo_ninfal_nominal</x:v>
      </x:c>
      <x:c r="C79" s="12" t="n">
        <x:v>7.4</x:v>
      </x:c>
      <x:c r="D79" s="12" t="str">
        <x:v>Entrada simulada</x:v>
      </x:c>
      <x:c r="E79" s="12" t="str">
        <x:v>Media/probabilidad elegida para enseñanza, no estimada en el experimento.</x:v>
      </x:c>
    </x:row>
    <x:row r="80" ht="43" customHeight="1">
      <x:c r="A80" s="12" t="str">
        <x:v>E2_BB_L0</x:v>
      </x:c>
      <x:c r="B80" s="12" t="str">
        <x:v>vida_adulta_nominal</x:v>
      </x:c>
      <x:c r="C80" s="12" t="n">
        <x:v>25</x:v>
      </x:c>
      <x:c r="D80" s="12" t="str">
        <x:v>Entrada simulada</x:v>
      </x:c>
      <x:c r="E80" s="12" t="str">
        <x:v>Media/probabilidad elegida para enseñanza, no estimada en el experimento.</x:v>
      </x:c>
    </x:row>
    <x:row r="81" ht="43" customHeight="1">
      <x:c r="A81" s="12" t="str">
        <x:v>E2_BB_L0</x:v>
      </x:c>
      <x:c r="B81" s="12" t="str">
        <x:v>crias_diarias_nominal</x:v>
      </x:c>
      <x:c r="C81" s="12" t="n">
        <x:v>3.9</x:v>
      </x:c>
      <x:c r="D81" s="12" t="str">
        <x:v>Entrada simulada</x:v>
      </x:c>
      <x:c r="E81" s="12" t="str">
        <x:v>Media/probabilidad elegida para enseñanza, no estimada en el experimento.</x:v>
      </x:c>
    </x:row>
    <x:row r="82" ht="43" customHeight="1">
      <x:c r="A82" s="12" t="str">
        <x:v>E2_BB_L0</x:v>
      </x:c>
      <x:c r="B82" s="12" t="str">
        <x:v>prob_muerte_ninfal</x:v>
      </x:c>
      <x:c r="C82" s="12" t="n">
        <x:v>0.07</x:v>
      </x:c>
      <x:c r="D82" s="12" t="str">
        <x:v>Entrada simulada</x:v>
      </x:c>
      <x:c r="E82" s="12" t="str">
        <x:v>Media/probabilidad elegida para enseñanza, no estimada en el experimento.</x:v>
      </x:c>
    </x:row>
    <x:row r="83" ht="43" customHeight="1">
      <x:c r="A83" s="12" t="str">
        <x:v>E2_BB_L7</x:v>
      </x:c>
      <x:c r="B83" s="12" t="str">
        <x:v>desarrollo_ninfal_nominal</x:v>
      </x:c>
      <x:c r="C83" s="12" t="n">
        <x:v>8.8</x:v>
      </x:c>
      <x:c r="D83" s="12" t="str">
        <x:v>Entrada simulada</x:v>
      </x:c>
      <x:c r="E83" s="12" t="str">
        <x:v>Media/probabilidad elegida para enseñanza, no estimada en el experimento.</x:v>
      </x:c>
    </x:row>
    <x:row r="84" ht="43" customHeight="1">
      <x:c r="A84" s="12" t="str">
        <x:v>E2_BB_L7</x:v>
      </x:c>
      <x:c r="B84" s="12" t="str">
        <x:v>vida_adulta_nominal</x:v>
      </x:c>
      <x:c r="C84" s="12" t="n">
        <x:v>19</x:v>
      </x:c>
      <x:c r="D84" s="12" t="str">
        <x:v>Entrada simulada</x:v>
      </x:c>
      <x:c r="E84" s="12" t="str">
        <x:v>Media/probabilidad elegida para enseñanza, no estimada en el experimento.</x:v>
      </x:c>
    </x:row>
    <x:row r="85" ht="43" customHeight="1">
      <x:c r="A85" s="12" t="str">
        <x:v>E2_BB_L7</x:v>
      </x:c>
      <x:c r="B85" s="12" t="str">
        <x:v>crias_diarias_nominal</x:v>
      </x:c>
      <x:c r="C85" s="12" t="n">
        <x:v>2.5</x:v>
      </x:c>
      <x:c r="D85" s="12" t="str">
        <x:v>Entrada simulada</x:v>
      </x:c>
      <x:c r="E85" s="12" t="str">
        <x:v>Media/probabilidad elegida para enseñanza, no estimada en el experimento.</x:v>
      </x:c>
    </x:row>
    <x:row r="86" ht="43" customHeight="1">
      <x:c r="A86" s="12" t="str">
        <x:v>E2_BB_L7</x:v>
      </x:c>
      <x:c r="B86" s="12" t="str">
        <x:v>prob_muerte_ninfal</x:v>
      </x:c>
      <x:c r="C86" s="12" t="n">
        <x:v>0.16</x:v>
      </x:c>
      <x:c r="D86" s="12" t="str">
        <x:v>Entrada simulada</x:v>
      </x:c>
      <x:c r="E86" s="12" t="str">
        <x:v>Media/probabilidad elegida para enseñanza, no estimada en el experimento.</x:v>
      </x:c>
    </x:row>
    <x:row r="87" ht="43" customHeight="1">
      <x:c r="A87" s="12" t="str">
        <x:v>E2_BB_L8</x:v>
      </x:c>
      <x:c r="B87" s="12" t="str">
        <x:v>desarrollo_ninfal_nominal</x:v>
      </x:c>
      <x:c r="C87" s="12" t="n">
        <x:v>9.5</x:v>
      </x:c>
      <x:c r="D87" s="12" t="str">
        <x:v>Entrada simulada</x:v>
      </x:c>
      <x:c r="E87" s="12" t="str">
        <x:v>Media/probabilidad elegida para enseñanza, no estimada en el experimento.</x:v>
      </x:c>
    </x:row>
    <x:row r="88" ht="43" customHeight="1">
      <x:c r="A88" s="12" t="str">
        <x:v>E2_BB_L8</x:v>
      </x:c>
      <x:c r="B88" s="12" t="str">
        <x:v>vida_adulta_nominal</x:v>
      </x:c>
      <x:c r="C88" s="12" t="n">
        <x:v>17.5</x:v>
      </x:c>
      <x:c r="D88" s="12" t="str">
        <x:v>Entrada simulada</x:v>
      </x:c>
      <x:c r="E88" s="12" t="str">
        <x:v>Media/probabilidad elegida para enseñanza, no estimada en el experimento.</x:v>
      </x:c>
    </x:row>
    <x:row r="89" ht="43" customHeight="1">
      <x:c r="A89" s="12" t="str">
        <x:v>E2_BB_L8</x:v>
      </x:c>
      <x:c r="B89" s="12" t="str">
        <x:v>crias_diarias_nominal</x:v>
      </x:c>
      <x:c r="C89" s="12" t="n">
        <x:v>2</x:v>
      </x:c>
      <x:c r="D89" s="12" t="str">
        <x:v>Entrada simulada</x:v>
      </x:c>
      <x:c r="E89" s="12" t="str">
        <x:v>Media/probabilidad elegida para enseñanza, no estimada en el experimento.</x:v>
      </x:c>
    </x:row>
    <x:row r="90" ht="43" customHeight="1">
      <x:c r="A90" s="12" t="str">
        <x:v>E2_BB_L8</x:v>
      </x:c>
      <x:c r="B90" s="12" t="str">
        <x:v>prob_muerte_ninfal</x:v>
      </x:c>
      <x:c r="C90" s="12" t="n">
        <x:v>0.22</x:v>
      </x:c>
      <x:c r="D90" s="12" t="str">
        <x:v>Entrada simulada</x:v>
      </x:c>
      <x:c r="E90" s="12" t="str">
        <x:v>Media/probabilidad elegida para enseñanza, no estimada en el experimento.</x:v>
      </x:c>
    </x:row>
    <x:row r="91" ht="43" customHeight="1">
      <x:c r="A91" s="12" t="str">
        <x:v>GEN1</x:v>
      </x:c>
      <x:c r="B91" s="12" t="str">
        <x:v>pesos_efecto_E1</x:v>
      </x:c>
      <x:c r="C91" s="12" t="str">
        <x:v>0.72; 0.90; 1.00</x:v>
      </x:c>
      <x:c r="D91" s="12" t="str">
        <x:v>Generador</x:v>
      </x:c>
      <x:c r="E91" s="12" t="str">
        <x:v>Multiplican la reducción nominal a 14, 21 y 28 dpi.</x:v>
      </x:c>
    </x:row>
    <x:row r="92" ht="43" customHeight="1">
      <x:c r="A92" s="12" t="str">
        <x:v>GEN2</x:v>
      </x:c>
      <x:c r="B92" s="12" t="str">
        <x:v>desarrollo_E2</x:v>
      </x:c>
      <x:c r="C92" s="12" t="str">
        <x:v>normal_redondeada</x:v>
      </x:c>
      <x:c r="D92" s="12" t="str">
        <x:v>Generador</x:v>
      </x:c>
      <x:c r="E92" s="12" t="str">
        <x:v>Normal(media nominal, DE 1), redondeada y limitada a 6–13 días. Cuatro estadios de duración mínima 1.</x:v>
      </x:c>
    </x:row>
    <x:row r="93" ht="43" customHeight="1">
      <x:c r="A93" s="12" t="str">
        <x:v>GEN3</x:v>
      </x:c>
      <x:c r="B93" s="12" t="str">
        <x:v>vida_adulta_E2</x:v>
      </x:c>
      <x:c r="C93" s="12" t="str">
        <x:v>normal_redondeada</x:v>
      </x:c>
      <x:c r="D93" s="12" t="str">
        <x:v>Generador</x:v>
      </x:c>
      <x:c r="E93" s="12" t="str">
        <x:v>Normal(media nominal, DE 3.2), redondeada y limitada a 10–35 días.</x:v>
      </x:c>
    </x:row>
    <x:row r="94" ht="43" customHeight="1">
      <x:c r="A94" s="12" t="str">
        <x:v>GEN4</x:v>
      </x:c>
      <x:c r="B94" s="12" t="str">
        <x:v>demora_reproductiva</x:v>
      </x:c>
      <x:c r="C94" s="12" t="str">
        <x:v>muestreo_discreto</x:v>
      </x:c>
      <x:c r="D94" s="12" t="str">
        <x:v>Generador</x:v>
      </x:c>
      <x:c r="E94" s="12" t="str">
        <x:v>L0: [1,1,1,2,2,3]; levaduras: [1,2,2,2,3,3] días tras la adultez.</x:v>
      </x:c>
    </x:row>
    <x:row r="95" ht="43" customHeight="1">
      <x:c r="A95" s="12" t="str">
        <x:v>GEN5</x:v>
      </x:c>
      <x:c r="B95" s="12" t="str">
        <x:v>variacion_fecundidad</x:v>
      </x:c>
      <x:c r="C95" s="12" t="str">
        <x:v>Poisson_por_dia</x:v>
      </x:c>
      <x:c r="D95" s="12" t="str">
        <x:v>Generador</x:v>
      </x:c>
      <x:c r="E95" s="12" t="str">
        <x:v>Factor individual lognormal (log-DE 0.17) × factor de bloque. Media 1.10×nominal al inicio; después baja hasta 0.30×nominal.</x:v>
      </x:c>
    </x:row>
    <x:row r="96" ht="43" customHeight="1">
      <x:c r="A96" s="12" t="str">
        <x:v>GEN6</x:v>
      </x:c>
      <x:c r="B96" s="12" t="str">
        <x:v>fin_reproduccion</x:v>
      </x:c>
      <x:c r="C96" s="12" t="str">
        <x:v>antes_de_muerte</x:v>
      </x:c>
      <x:c r="D96" s="12" t="str">
        <x:v>Generador</x:v>
      </x:c>
      <x:c r="E96" s="12" t="str">
        <x:v>Ventana potencial termina 1–3 días antes de muerte; los últimos nacimientos efectivos pueden ser anteriores.</x:v>
      </x:c>
    </x:row>
    <x:row r="97" ht="43" customHeight="1">
      <x:c r="A97" s="12" t="str">
        <x:v>GEN7</x:v>
      </x:c>
      <x:c r="B97" s="12" t="str">
        <x:v>mortalidad_ninfal</x:v>
      </x:c>
      <x:c r="C97" s="12" t="str">
        <x:v>Bernoulli</x:v>
      </x:c>
      <x:c r="D97" s="12" t="str">
        <x:v>Generador</x:v>
      </x:c>
      <x:c r="E97" s="12" t="str">
        <x:v>Si ocurre, edad de muerte uniforme entera desde 2 hasta desarrollo nominal-1.</x:v>
      </x:c>
    </x:row>
  </x:sheetData>
  <x:pageMargins left="0.7" right="0.7" top="0.75" bottom="0.75" header="0.3" footer="0.3"/>
  <x:tableParts count="1">
    <x:tablePart xmlns:r="http://schemas.openxmlformats.org/officeDocument/2006/relationships" r:id="R9f1f8aeaa8574cd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5" hidden="0" customWidth="1"/>
  </x:cols>
  <x:sheetData>
    <x:row r="1" ht="43" customHeight="1">
      <x:c r="A1" s="7" t="str">
        <x:v>linea</x:v>
      </x:c>
      <x:c r="B1" s="7" t="str">
        <x:v>codigo_R</x:v>
      </x:c>
    </x:row>
    <x:row r="2" ht="27" customHeight="1">
      <x:c r="A2" s="2" t="n">
        <x:v>1</x:v>
      </x:c>
      <x:c r="B2" s="40" t="str">
        <x:v># DATOS TOTALMENTE SIMULADOS - USO DOCENTE</x:v>
      </x:c>
    </x:row>
    <x:row r="3" ht="27" customHeight="1">
      <x:c r="A3" s="2" t="n">
        <x:v>2</x:v>
      </x:c>
      <x:c r="B3" s="40" t="str">
        <x:v># Curso: Visualizacion de datos. No son resultados del experimento.</x:v>
      </x:c>
    </x:row>
    <x:row r="4" ht="27" customHeight="1">
      <x:c r="A4" s="2" t="n">
        <x:v>3</x:v>
      </x:c>
      <x:c r="B4" s="40" t="str">
        <x:v># Guarda este script junto al Excel y ejecutalo por secciones en RStudio.</x:v>
      </x:c>
    </x:row>
    <x:row r="5" ht="27" customHeight="1">
      <x:c r="A5" s="2" t="n">
        <x:v>4</x:v>
      </x:c>
      <x:c r="B5" s="40" t="str">
        <x:v># Las tablas de datos tienen encabezados en la primera fila.</x:v>
      </x:c>
    </x:row>
    <x:row r="6" ht="27" customHeight="1">
      <x:c r="A6" s="2" t="n">
        <x:v>5</x:v>
      </x:c>
      <x:c r="B6" s="40" t="str">
        <x:v>#</x:v>
      </x:c>
    </x:row>
    <x:row r="7" ht="27" customHeight="1">
      <x:c r="A7" s="2" t="n">
        <x:v>6</x:v>
      </x:c>
      <x:c r="B7" s="40" t="str">
        <x:v># Una sola vez, instala los paquetes necesarios:</x:v>
      </x:c>
    </x:row>
    <x:row r="8" ht="27" customHeight="1">
      <x:c r="A8" s="2" t="n">
        <x:v>7</x:v>
      </x:c>
      <x:c r="B8" s="40" t="str">
        <x:v># install.packages(c("readxl", "dplyr", "tidyr", "ggplot2"))</x:v>
      </x:c>
    </x:row>
    <x:row r="9" ht="27" customHeight="1">
      <x:c r="A9" s="2" t="n">
        <x:v>8</x:v>
      </x:c>
      <x:c r="B9" s="40" t="str"/>
    </x:row>
    <x:row r="10" ht="27" customHeight="1">
      <x:c r="A10" s="2" t="n">
        <x:v>9</x:v>
      </x:c>
      <x:c r="B10" s="40" t="str">
        <x:v>paquetes &lt;- c("readxl", "dplyr", "tidyr", "ggplot2")</x:v>
      </x:c>
    </x:row>
    <x:row r="11" ht="27" customHeight="1">
      <x:c r="A11" s="2" t="n">
        <x:v>10</x:v>
      </x:c>
      <x:c r="B11" s="40" t="str">
        <x:v>faltantes &lt;- paquetes[!vapply(paquetes, requireNamespace, logical(1), quietly = TRUE)]</x:v>
      </x:c>
    </x:row>
    <x:row r="12" ht="27" customHeight="1">
      <x:c r="A12" s="2" t="n">
        <x:v>11</x:v>
      </x:c>
      <x:c r="B12" s="40" t="str">
        <x:v>if (length(faltantes) &gt; 0L) {</x:v>
      </x:c>
    </x:row>
    <x:row r="13" ht="27" customHeight="1">
      <x:c r="A13" s="2" t="n">
        <x:v>12</x:v>
      </x:c>
      <x:c r="B13" s="40" t="str">
        <x:v>  stop(paste0("Primero instala: install.packages(c(",</x:v>
      </x:c>
    </x:row>
    <x:row r="14" ht="27" customHeight="1">
      <x:c r="A14" s="2" t="n">
        <x:v>13</x:v>
      </x:c>
      <x:c r="B14" s="40" t="str">
        <x:v>              paste(sprintf('"%s"', faltantes), collapse = ", "), "))"))</x:v>
      </x:c>
    </x:row>
    <x:row r="15" ht="27" customHeight="1">
      <x:c r="A15" s="2" t="n">
        <x:v>14</x:v>
      </x:c>
      <x:c r="B15" s="40" t="str">
        <x:v>}</x:v>
      </x:c>
    </x:row>
    <x:row r="16" ht="27" customHeight="1">
      <x:c r="A16" s="2" t="n">
        <x:v>15</x:v>
      </x:c>
      <x:c r="B16" s="40" t="str">
        <x:v>library(readxl)</x:v>
      </x:c>
    </x:row>
    <x:row r="17" ht="27" customHeight="1">
      <x:c r="A17" s="2" t="n">
        <x:v>16</x:v>
      </x:c>
      <x:c r="B17" s="40" t="str">
        <x:v>library(dplyr)</x:v>
      </x:c>
    </x:row>
    <x:row r="18" ht="27" customHeight="1">
      <x:c r="A18" s="2" t="n">
        <x:v>17</x:v>
      </x:c>
      <x:c r="B18" s="40" t="str">
        <x:v>library(tidyr)</x:v>
      </x:c>
    </x:row>
    <x:row r="19" ht="27" customHeight="1">
      <x:c r="A19" s="2" t="n">
        <x:v>18</x:v>
      </x:c>
      <x:c r="B19" s="40" t="str">
        <x:v>library(ggplot2)</x:v>
      </x:c>
    </x:row>
    <x:row r="20" ht="27" customHeight="1">
      <x:c r="A20" s="2" t="n">
        <x:v>19</x:v>
      </x:c>
      <x:c r="B20" s="40" t="str"/>
    </x:row>
    <x:row r="21" ht="27" customHeight="1">
      <x:c r="A21" s="2" t="n">
        <x:v>20</x:v>
      </x:c>
      <x:c r="B21" s="40" t="str">
        <x:v># 1. IMPORTAR -------------------------------------------------------------</x:v>
      </x:c>
    </x:row>
    <x:row r="22" ht="27" customHeight="1">
      <x:c r="A22" s="2" t="n">
        <x:v>21</x:v>
      </x:c>
      <x:c r="B22" s="40" t="str">
        <x:v>archivo &lt;- "Datos_simulados_levaduras_afidos_RStudio.xlsx"</x:v>
      </x:c>
    </x:row>
    <x:row r="23" ht="27" customHeight="1">
      <x:c r="A23" s="2" t="n">
        <x:v>22</x:v>
      </x:c>
      <x:c r="B23" s="40" t="str">
        <x:v>if (!file.exists(archivo)) archivo &lt;- file.choose()</x:v>
      </x:c>
    </x:row>
    <x:row r="24" ht="27" customHeight="1">
      <x:c r="A24" s="2" t="n">
        <x:v>23</x:v>
      </x:c>
      <x:c r="B24" s="40" t="str">
        <x:v>stopifnot(file.exists(archivo))</x:v>
      </x:c>
    </x:row>
    <x:row r="25" ht="27" customHeight="1">
      <x:c r="A25" s="2" t="n">
        <x:v>24</x:v>
      </x:c>
      <x:c r="B25" s="40" t="str">
        <x:v>excel_sheets(archivo)</x:v>
      </x:c>
    </x:row>
    <x:row r="26" ht="27" customHeight="1">
      <x:c r="A26" s="2" t="n">
        <x:v>25</x:v>
      </x:c>
      <x:c r="B26" s="40" t="str"/>
    </x:row>
    <x:row r="27" ht="27" customHeight="1">
      <x:c r="A27" s="2" t="n">
        <x:v>26</x:v>
      </x:c>
      <x:c r="B27" s="40" t="str">
        <x:v>e1 &lt;- read_excel(archivo, sheet = "E1_recuentos", na = "")</x:v>
      </x:c>
    </x:row>
    <x:row r="28" ht="27" customHeight="1">
      <x:c r="A28" s="2" t="n">
        <x:v>27</x:v>
      </x:c>
      <x:c r="B28" s="40" t="str">
        <x:v>e1_plantas &lt;- read_excel(archivo, sheet = "E1_plantas", na = "")</x:v>
      </x:c>
    </x:row>
    <x:row r="29" ht="27" customHeight="1">
      <x:c r="A29" s="2" t="n">
        <x:v>28</x:v>
      </x:c>
      <x:c r="B29" s="40" t="str">
        <x:v>e2 &lt;- read_excel(archivo, sheet = "E2_diario", na = "")</x:v>
      </x:c>
    </x:row>
    <x:row r="30" ht="27" customHeight="1">
      <x:c r="A30" s="2" t="n">
        <x:v>29</x:v>
      </x:c>
      <x:c r="B30" s="40" t="str">
        <x:v>individuos &lt;- read_excel(archivo, sheet = "E2_individuos", na = "")</x:v>
      </x:c>
    </x:row>
    <x:row r="31" ht="27" customHeight="1">
      <x:c r="A31" s="2" t="n">
        <x:v>30</x:v>
      </x:c>
      <x:c r="B31" s="40" t="str">
        <x:v>vida_excel &lt;- read_excel(archivo, sheet = "E2_tabla_vida", na = "")</x:v>
      </x:c>
    </x:row>
    <x:row r="32" ht="27" customHeight="1">
      <x:c r="A32" s="2" t="n">
        <x:v>31</x:v>
      </x:c>
      <x:c r="B32" s="40" t="str">
        <x:v>parametros_excel &lt;- read_excel(archivo, sheet = "E2_parametros", na = "")</x:v>
      </x:c>
    </x:row>
    <x:row r="33" ht="27" customHeight="1">
      <x:c r="A33" s="2" t="n">
        <x:v>32</x:v>
      </x:c>
      <x:c r="B33" s="40" t="str"/>
    </x:row>
    <x:row r="34" ht="27" customHeight="1">
      <x:c r="A34" s="2" t="n">
        <x:v>33</x:v>
      </x:c>
      <x:c r="B34" s="40" t="str">
        <x:v>niveles &lt;- c("L0", "L1", "L2", "L3", "L5", "L6", "L7", "L8", "L9")</x:v>
      </x:c>
    </x:row>
    <x:row r="35" ht="27" customHeight="1">
      <x:c r="A35" s="2" t="n">
        <x:v>34</x:v>
      </x:c>
      <x:c r="B35" s="40" t="str">
        <x:v>e1 &lt;- e1 %&gt;%</x:v>
      </x:c>
    </x:row>
    <x:row r="36" ht="27" customHeight="1">
      <x:c r="A36" s="2" t="n">
        <x:v>35</x:v>
      </x:c>
      <x:c r="B36" s="40" t="str">
        <x:v>  mutate(tratamiento = factor(tratamiento, levels = niveles),</x:v>
      </x:c>
    </x:row>
    <x:row r="37" ht="27" customHeight="1">
      <x:c r="A37" s="2" t="n">
        <x:v>36</x:v>
      </x:c>
      <x:c r="B37" s="40" t="str">
        <x:v>         bloque_temporal = factor(bloque_temporal),</x:v>
      </x:c>
    </x:row>
    <x:row r="38" ht="27" customHeight="1">
      <x:c r="A38" s="2" t="n">
        <x:v>37</x:v>
      </x:c>
      <x:c r="B38" s="40" t="str">
        <x:v>         especie = factor(especie))</x:v>
      </x:c>
    </x:row>
    <x:row r="39" ht="27" customHeight="1">
      <x:c r="A39" s="2" t="n">
        <x:v>38</x:v>
      </x:c>
      <x:c r="B39" s="40" t="str">
        <x:v>e2 &lt;- e2 %&gt;%</x:v>
      </x:c>
    </x:row>
    <x:row r="40" ht="27" customHeight="1">
      <x:c r="A40" s="2" t="n">
        <x:v>39</x:v>
      </x:c>
      <x:c r="B40" s="40" t="str">
        <x:v>  mutate(tratamiento = factor(tratamiento, levels = niveles),</x:v>
      </x:c>
    </x:row>
    <x:row r="41" ht="27" customHeight="1">
      <x:c r="A41" s="2" t="n">
        <x:v>40</x:v>
      </x:c>
      <x:c r="B41" s="40" t="str">
        <x:v>         bloque_temporal = factor(bloque_temporal),</x:v>
      </x:c>
    </x:row>
    <x:row r="42" ht="27" customHeight="1">
      <x:c r="A42" s="2" t="n">
        <x:v>41</x:v>
      </x:c>
      <x:c r="B42" s="40" t="str">
        <x:v>         especie = factor(especie),</x:v>
      </x:c>
    </x:row>
    <x:row r="43" ht="27" customHeight="1">
      <x:c r="A43" s="2" t="n">
        <x:v>42</x:v>
      </x:c>
      <x:c r="B43" s="40" t="str">
        <x:v>         estadio = factor(estadio, levels = c("N1", "N2", "N3", "N4", "adulta", "muerta")))</x:v>
      </x:c>
    </x:row>
    <x:row r="44" ht="27" customHeight="1">
      <x:c r="A44" s="2" t="n">
        <x:v>43</x:v>
      </x:c>
      <x:c r="B44" s="40" t="str">
        <x:v>individuos &lt;- individuos %&gt;%</x:v>
      </x:c>
    </x:row>
    <x:row r="45" ht="27" customHeight="1">
      <x:c r="A45" s="2" t="n">
        <x:v>44</x:v>
      </x:c>
      <x:c r="B45" s="40" t="str">
        <x:v>  mutate(tratamiento = factor(tratamiento, levels = niveles),</x:v>
      </x:c>
    </x:row>
    <x:row r="46" ht="27" customHeight="1">
      <x:c r="A46" s="2" t="n">
        <x:v>45</x:v>
      </x:c>
      <x:c r="B46" s="40" t="str">
        <x:v>         bloque_temporal = factor(bloque_temporal),</x:v>
      </x:c>
    </x:row>
    <x:row r="47" ht="27" customHeight="1">
      <x:c r="A47" s="2" t="n">
        <x:v>46</x:v>
      </x:c>
      <x:c r="B47" s="40" t="str">
        <x:v>         especie = factor(especie))</x:v>
      </x:c>
    </x:row>
    <x:row r="48" ht="27" customHeight="1">
      <x:c r="A48" s="2" t="n">
        <x:v>47</x:v>
      </x:c>
      <x:c r="B48" s="40" t="str"/>
    </x:row>
    <x:row r="49" ht="27" customHeight="1">
      <x:c r="A49" s="2" t="n">
        <x:v>48</x:v>
      </x:c>
      <x:c r="B49" s="40" t="str">
        <x:v>stopifnot(nrow(e1) == 540L, n_distinct(e1$id_planta) == 180L)</x:v>
      </x:c>
    </x:row>
    <x:row r="50" ht="27" customHeight="1">
      <x:c r="A50" s="2" t="n">
        <x:v>49</x:v>
      </x:c>
      <x:c r="B50" s="40" t="str">
        <x:v>stopifnot(n_distinct(e2$id_individuo) == 60L, nrow(individuos) == 60L)</x:v>
      </x:c>
    </x:row>
    <x:row r="51" ht="27" customHeight="1">
      <x:c r="A51" s="2" t="n">
        <x:v>50</x:v>
      </x:c>
      <x:c r="B51" s="40" t="str">
        <x:v>stopifnot(all(e1$origen_dato == "simulado_didactico"))</x:v>
      </x:c>
    </x:row>
    <x:row r="52" ht="27" customHeight="1">
      <x:c r="A52" s="2" t="n">
        <x:v>51</x:v>
      </x:c>
      <x:c r="B52" s="40" t="str">
        <x:v>stopifnot(all(e2$ninfas_producidas[e2$vivo_inicio == 0] == 0))</x:v>
      </x:c>
    </x:row>
    <x:row r="53" ht="27" customHeight="1">
      <x:c r="A53" s="2" t="n">
        <x:v>52</x:v>
      </x:c>
      <x:c r="B53" s="40" t="str">
        <x:v>stopifnot(all(e2$ninfas_producidas[e2$estadio != "adulta"] == 0))</x:v>
      </x:c>
    </x:row>
    <x:row r="54" ht="27" customHeight="1">
      <x:c r="A54" s="2" t="n">
        <x:v>53</x:v>
      </x:c>
      <x:c r="B54" s="40" t="str">
        <x:v>stopifnot(sum(e2$evento_muerte) == 60L)</x:v>
      </x:c>
    </x:row>
    <x:row r="55" ht="27" customHeight="1">
      <x:c r="A55" s="2" t="n">
        <x:v>54</x:v>
      </x:c>
      <x:c r="B55" s="40" t="str">
        <x:v>glimpse(e1)</x:v>
      </x:c>
    </x:row>
    <x:row r="56" ht="27" customHeight="1">
      <x:c r="A56" s="2" t="n">
        <x:v>55</x:v>
      </x:c>
      <x:c r="B56" s="40" t="str">
        <x:v>glimpse(individuos)</x:v>
      </x:c>
    </x:row>
    <x:row r="57" ht="27" customHeight="1">
      <x:c r="A57" s="2" t="n">
        <x:v>56</x:v>
      </x:c>
      <x:c r="B57" s="40" t="str"/>
    </x:row>
    <x:row r="58" ht="27" customHeight="1">
      <x:c r="A58" s="2" t="n">
        <x:v>57</x:v>
      </x:c>
      <x:c r="B58" s="40" t="str">
        <x:v># 2. RESUMEN DEL PRIMER ENSAYO --------------------------------------------</x:v>
      </x:c>
    </x:row>
    <x:row r="59" ht="27" customHeight="1">
      <x:c r="A59" s="2" t="n">
        <x:v>58</x:v>
      </x:c>
      <x:c r="B59" s="40" t="str">
        <x:v>resumen_e1 &lt;- e1 %&gt;%</x:v>
      </x:c>
    </x:row>
    <x:row r="60" ht="27" customHeight="1">
      <x:c r="A60" s="2" t="n">
        <x:v>59</x:v>
      </x:c>
      <x:c r="B60" s="40" t="str">
        <x:v>  group_by(codigo_especie, especie, tratamiento, dias_post_inoculacion) %&gt;%</x:v>
      </x:c>
    </x:row>
    <x:row r="61" ht="27" customHeight="1">
      <x:c r="A61" s="2" t="n">
        <x:v>60</x:v>
      </x:c>
      <x:c r="B61" s="40" t="str">
        <x:v>  summarise(n_plantas = n_distinct(id_planta),</x:v>
      </x:c>
    </x:row>
    <x:row r="62" ht="27" customHeight="1">
      <x:c r="A62" s="2" t="n">
        <x:v>61</x:v>
      </x:c>
      <x:c r="B62" s="40" t="str">
        <x:v>            media_total = mean(total_afidos),</x:v>
      </x:c>
    </x:row>
    <x:row r="63" ht="27" customHeight="1">
      <x:c r="A63" s="2" t="n">
        <x:v>62</x:v>
      </x:c>
      <x:c r="B63" s="40" t="str">
        <x:v>            desviacion_estandar = sd(total_afidos),</x:v>
      </x:c>
    </x:row>
    <x:row r="64" ht="27" customHeight="1">
      <x:c r="A64" s="2" t="n">
        <x:v>63</x:v>
      </x:c>
      <x:c r="B64" s="40" t="str">
        <x:v>            error_estandar = desviacion_estandar / sqrt(n_plantas),</x:v>
      </x:c>
    </x:row>
    <x:row r="65" ht="27" customHeight="1">
      <x:c r="A65" s="2" t="n">
        <x:v>64</x:v>
      </x:c>
      <x:c r="B65" s="40" t="str">
        <x:v>            .groups = "drop")</x:v>
      </x:c>
    </x:row>
    <x:row r="66" ht="27" customHeight="1">
      <x:c r="A66" s="2" t="n">
        <x:v>65</x:v>
      </x:c>
      <x:c r="B66" s="40" t="str">
        <x:v>stopifnot(all(resumen_e1$n_plantas == 10))</x:v>
      </x:c>
    </x:row>
    <x:row r="67" ht="27" customHeight="1">
      <x:c r="A67" s="2" t="n">
        <x:v>66</x:v>
      </x:c>
      <x:c r="B67" s="40" t="str"/>
    </x:row>
    <x:row r="68" ht="27" customHeight="1">
      <x:c r="A68" s="2" t="n">
        <x:v>67</x:v>
      </x:c>
      <x:c r="B68" s="40" t="str">
        <x:v>g1 &lt;- ggplot(resumen_e1,</x:v>
      </x:c>
    </x:row>
    <x:row r="69" ht="27" customHeight="1">
      <x:c r="A69" s="2" t="n">
        <x:v>68</x:v>
      </x:c>
      <x:c r="B69" s="40" t="str">
        <x:v>             aes(dias_post_inoculacion, media_total, colour = tratamiento,</x:v>
      </x:c>
    </x:row>
    <x:row r="70" ht="27" customHeight="1">
      <x:c r="A70" s="2" t="n">
        <x:v>69</x:v>
      </x:c>
      <x:c r="B70" s="40" t="str">
        <x:v>                 group = tratamiento)) +</x:v>
      </x:c>
    </x:row>
    <x:row r="71" ht="27" customHeight="1">
      <x:c r="A71" s="2" t="n">
        <x:v>70</x:v>
      </x:c>
      <x:c r="B71" s="40" t="str">
        <x:v>  geom_line(linewidth = 0.8) +</x:v>
      </x:c>
    </x:row>
    <x:row r="72" ht="27" customHeight="1">
      <x:c r="A72" s="2" t="n">
        <x:v>71</x:v>
      </x:c>
      <x:c r="B72" s="40" t="str">
        <x:v>  geom_point(size = 2) +</x:v>
      </x:c>
    </x:row>
    <x:row r="73" ht="27" customHeight="1">
      <x:c r="A73" s="2" t="n">
        <x:v>72</x:v>
      </x:c>
      <x:c r="B73" s="40" t="str">
        <x:v>  facet_wrap(~ especie) +</x:v>
      </x:c>
    </x:row>
    <x:row r="74" ht="27" customHeight="1">
      <x:c r="A74" s="2" t="n">
        <x:v>73</x:v>
      </x:c>
      <x:c r="B74" s="40" t="str">
        <x:v>  scale_x_continuous(breaks = c(14, 21, 28)) +</x:v>
      </x:c>
    </x:row>
    <x:row r="75" ht="27" customHeight="1">
      <x:c r="A75" s="2" t="n">
        <x:v>74</x:v>
      </x:c>
      <x:c r="B75" s="40" t="str">
        <x:v>  labs(title = "Crecimiento poblacional: datos simulados",</x:v>
      </x:c>
    </x:row>
    <x:row r="76" ht="27" customHeight="1">
      <x:c r="A76" s="2" t="n">
        <x:v>75</x:v>
      </x:c>
      <x:c r="B76" s="40" t="str">
        <x:v>       x = "Dias posteriores a la inoculacion", y = "Media de afidos por planta",</x:v>
      </x:c>
    </x:row>
    <x:row r="77" ht="27" customHeight="1">
      <x:c r="A77" s="2" t="n">
        <x:v>76</x:v>
      </x:c>
      <x:c r="B77" s="40" t="str">
        <x:v>       colour = "Tratamiento")</x:v>
      </x:c>
    </x:row>
    <x:row r="78" ht="27" customHeight="1">
      <x:c r="A78" s="2" t="n">
        <x:v>77</x:v>
      </x:c>
      <x:c r="B78" s="40" t="str">
        <x:v>print(g1)</x:v>
      </x:c>
    </x:row>
    <x:row r="79" ht="27" customHeight="1">
      <x:c r="A79" s="2" t="n">
        <x:v>78</x:v>
      </x:c>
      <x:c r="B79" s="40" t="str"/>
    </x:row>
    <x:row r="80" ht="27" customHeight="1">
      <x:c r="A80" s="2" t="n">
        <x:v>79</x:v>
      </x:c>
      <x:c r="B80" s="40" t="str">
        <x:v>g2 &lt;- e1 %&gt;% filter(dias_post_inoculacion == 28) %&gt;%</x:v>
      </x:c>
    </x:row>
    <x:row r="81" ht="27" customHeight="1">
      <x:c r="A81" s="2" t="n">
        <x:v>80</x:v>
      </x:c>
      <x:c r="B81" s="40" t="str">
        <x:v>  ggplot(aes(tratamiento, total_afidos)) +</x:v>
      </x:c>
    </x:row>
    <x:row r="82" ht="27" customHeight="1">
      <x:c r="A82" s="2" t="n">
        <x:v>81</x:v>
      </x:c>
      <x:c r="B82" s="40" t="str">
        <x:v>  geom_boxplot(outlier.shape = NA) +</x:v>
      </x:c>
    </x:row>
    <x:row r="83" ht="27" customHeight="1">
      <x:c r="A83" s="2" t="n">
        <x:v>82</x:v>
      </x:c>
      <x:c r="B83" s="40" t="str">
        <x:v>  geom_point(position = position_jitter(width = 0.12, seed = 26),</x:v>
      </x:c>
    </x:row>
    <x:row r="84" ht="27" customHeight="1">
      <x:c r="A84" s="2" t="n">
        <x:v>83</x:v>
      </x:c>
      <x:c r="B84" s="40" t="str">
        <x:v>             alpha = 0.65, size = 1.5) +</x:v>
      </x:c>
    </x:row>
    <x:row r="85" ht="27" customHeight="1">
      <x:c r="A85" s="2" t="n">
        <x:v>84</x:v>
      </x:c>
      <x:c r="B85" s="40" t="str">
        <x:v>  facet_wrap(~ especie) +</x:v>
      </x:c>
    </x:row>
    <x:row r="86" ht="27" customHeight="1">
      <x:c r="A86" s="2" t="n">
        <x:v>85</x:v>
      </x:c>
      <x:c r="B86" s="40" t="str">
        <x:v>  labs(title = "Variacion entre plantas a 28 dpi: simulacion",</x:v>
      </x:c>
    </x:row>
    <x:row r="87" ht="27" customHeight="1">
      <x:c r="A87" s="2" t="n">
        <x:v>86</x:v>
      </x:c>
      <x:c r="B87" s="40" t="str">
        <x:v>       x = "Tratamiento", y = "Afidos por planta")</x:v>
      </x:c>
    </x:row>
    <x:row r="88" ht="27" customHeight="1">
      <x:c r="A88" s="2" t="n">
        <x:v>87</x:v>
      </x:c>
      <x:c r="B88" s="40" t="str">
        <x:v>print(g2)</x:v>
      </x:c>
    </x:row>
    <x:row r="89" ht="27" customHeight="1">
      <x:c r="A89" s="2" t="n">
        <x:v>88</x:v>
      </x:c>
      <x:c r="B89" s="40" t="str"/>
    </x:row>
    <x:row r="90" ht="27" customHeight="1">
      <x:c r="A90" s="2" t="n">
        <x:v>89</x:v>
      </x:c>
      <x:c r="B90" s="40" t="str">
        <x:v># 3. SELECCION: MEDIA DE SEIS REDUCCIONES ----------------------------------</x:v>
      </x:c>
    </x:row>
    <x:row r="91" ht="27" customHeight="1">
      <x:c r="A91" s="2" t="n">
        <x:v>90</x:v>
      </x:c>
      <x:c r="B91" s="40" t="str">
        <x:v>controles &lt;- resumen_e1 %&gt;% filter(tratamiento == "L0") %&gt;%</x:v>
      </x:c>
    </x:row>
    <x:row r="92" ht="27" customHeight="1">
      <x:c r="A92" s="2" t="n">
        <x:v>91</x:v>
      </x:c>
      <x:c r="B92" s="40" t="str">
        <x:v>  select(codigo_especie, dias_post_inoculacion, media_control = media_total)</x:v>
      </x:c>
    </x:row>
    <x:row r="93" ht="27" customHeight="1">
      <x:c r="A93" s="2" t="n">
        <x:v>92</x:v>
      </x:c>
      <x:c r="B93" s="40" t="str">
        <x:v>reducciones &lt;- resumen_e1 %&gt;%</x:v>
      </x:c>
    </x:row>
    <x:row r="94" ht="27" customHeight="1">
      <x:c r="A94" s="2" t="n">
        <x:v>93</x:v>
      </x:c>
      <x:c r="B94" s="40" t="str">
        <x:v>  left_join(controles, by = c("codigo_especie", "dias_post_inoculacion")) %&gt;%</x:v>
      </x:c>
    </x:row>
    <x:row r="95" ht="27" customHeight="1">
      <x:c r="A95" s="2" t="n">
        <x:v>94</x:v>
      </x:c>
      <x:c r="B95" s="40" t="str">
        <x:v>  mutate(reduccion_relativa = 1 - media_total / media_control)</x:v>
      </x:c>
    </x:row>
    <x:row r="96" ht="27" customHeight="1">
      <x:c r="A96" s="2" t="n">
        <x:v>95</x:v>
      </x:c>
      <x:c r="B96" s="40" t="str">
        <x:v>seleccion &lt;- reducciones %&gt;% filter(tratamiento != "L0") %&gt;%</x:v>
      </x:c>
    </x:row>
    <x:row r="97" ht="27" customHeight="1">
      <x:c r="A97" s="2" t="n">
        <x:v>96</x:v>
      </x:c>
      <x:c r="B97" s="40" t="str">
        <x:v>  group_by(tratamiento) %&gt;%</x:v>
      </x:c>
    </x:row>
    <x:row r="98" ht="27" customHeight="1">
      <x:c r="A98" s="2" t="n">
        <x:v>97</x:v>
      </x:c>
      <x:c r="B98" s="40" t="str">
        <x:v>  summarise(reduccion_conjunta = mean(reduccion_relativa), .groups = "drop") %&gt;%</x:v>
      </x:c>
    </x:row>
    <x:row r="99" ht="27" customHeight="1">
      <x:c r="A99" s="2" t="n">
        <x:v>98</x:v>
      </x:c>
      <x:c r="B99" s="40" t="str">
        <x:v>  arrange(desc(reduccion_conjunta)) %&gt;%</x:v>
      </x:c>
    </x:row>
    <x:row r="100" ht="27" customHeight="1">
      <x:c r="A100" s="2" t="n">
        <x:v>99</x:v>
      </x:c>
      <x:c r="B100" s="40" t="str">
        <x:v>  mutate(puesto = row_number(), seleccionada = puesto &lt;= 2L)</x:v>
      </x:c>
    </x:row>
    <x:row r="101" ht="27" customHeight="1">
      <x:c r="A101" s="2" t="n">
        <x:v>100</x:v>
      </x:c>
      <x:c r="B101" s="40" t="str">
        <x:v>print(seleccion)</x:v>
      </x:c>
    </x:row>
    <x:row r="102" ht="27" customHeight="1">
      <x:c r="A102" s="2" t="n">
        <x:v>101</x:v>
      </x:c>
      <x:c r="B102" s="40" t="str">
        <x:v># Un valor negativo significa mas afidos que en el control, no un error.</x:v>
      </x:c>
    </x:row>
    <x:row r="103" ht="27" customHeight="1">
      <x:c r="A103" s="2" t="n">
        <x:v>102</x:v>
      </x:c>
      <x:c r="B103" s="40" t="str">
        <x:v>g3 &lt;- ggplot(seleccion,</x:v>
      </x:c>
    </x:row>
    <x:row r="104" ht="27" customHeight="1">
      <x:c r="A104" s="2" t="n">
        <x:v>103</x:v>
      </x:c>
      <x:c r="B104" s="40" t="str">
        <x:v>             aes(reorder(tratamiento, reduccion_conjunta),</x:v>
      </x:c>
    </x:row>
    <x:row r="105" ht="27" customHeight="1">
      <x:c r="A105" s="2" t="n">
        <x:v>104</x:v>
      </x:c>
      <x:c r="B105" s="40" t="str">
        <x:v>                 100 * reduccion_conjunta)) +</x:v>
      </x:c>
    </x:row>
    <x:row r="106" ht="27" customHeight="1">
      <x:c r="A106" s="2" t="n">
        <x:v>105</x:v>
      </x:c>
      <x:c r="B106" s="40" t="str">
        <x:v>  geom_col() +</x:v>
      </x:c>
    </x:row>
    <x:row r="107" ht="27" customHeight="1">
      <x:c r="A107" s="2" t="n">
        <x:v>106</x:v>
      </x:c>
      <x:c r="B107" s="40" t="str">
        <x:v>  coord_flip() +</x:v>
      </x:c>
    </x:row>
    <x:row r="108" ht="27" customHeight="1">
      <x:c r="A108" s="2" t="n">
        <x:v>107</x:v>
      </x:c>
      <x:c r="B108" s="40" t="str">
        <x:v>  labs(title = "Seleccion de cepas: resultado exclusivamente simulado",</x:v>
      </x:c>
    </x:row>
    <x:row r="109" ht="27" customHeight="1">
      <x:c r="A109" s="2" t="n">
        <x:v>108</x:v>
      </x:c>
      <x:c r="B109" s="40" t="str">
        <x:v>       x = "Tratamiento", y = "Reduccion conjunta (%)")</x:v>
      </x:c>
    </x:row>
    <x:row r="110" ht="27" customHeight="1">
      <x:c r="A110" s="2" t="n">
        <x:v>109</x:v>
      </x:c>
      <x:c r="B110" s="40" t="str">
        <x:v>print(g3)</x:v>
      </x:c>
    </x:row>
    <x:row r="111" ht="27" customHeight="1">
      <x:c r="A111" s="2" t="n">
        <x:v>110</x:v>
      </x:c>
      <x:c r="B111" s="40" t="str"/>
    </x:row>
    <x:row r="112" ht="27" customHeight="1">
      <x:c r="A112" s="2" t="n">
        <x:v>111</x:v>
      </x:c>
      <x:c r="B112" s="40" t="str">
        <x:v># 4. TABLA DE VIDA DESDE LOS DATOS DIARIOS ---------------------------------</x:v>
      </x:c>
    </x:row>
    <x:row r="113" ht="27" customHeight="1">
      <x:c r="A113" s="2" t="n">
        <x:v>112</x:v>
      </x:c>
      <x:c r="B113" s="40" t="str">
        <x:v># Las filas relleno_postmuerte conservan vivo=0 y crias=0.</x:v>
      </x:c>
    </x:row>
    <x:row r="114" ht="27" customHeight="1">
      <x:c r="A114" s="2" t="n">
        <x:v>113</x:v>
      </x:c>
      <x:c r="B114" s="40" t="str">
        <x:v># No aumentan el numero de individuos iniciales.</x:v>
      </x:c>
    </x:row>
    <x:row r="115" ht="27" customHeight="1">
      <x:c r="A115" s="2" t="n">
        <x:v>114</x:v>
      </x:c>
      <x:c r="B115" s="40" t="str">
        <x:v># NO convertir los NA de desarrollo ninfal de individuos muertos en ceros.</x:v>
      </x:c>
    </x:row>
    <x:row r="116" ht="27" customHeight="1">
      <x:c r="A116" s="2" t="n">
        <x:v>115</x:v>
      </x:c>
      <x:c r="B116" s="40" t="str">
        <x:v>vida &lt;- e2 %&gt;%</x:v>
      </x:c>
    </x:row>
    <x:row r="117" ht="27" customHeight="1">
      <x:c r="A117" s="2" t="n">
        <x:v>116</x:v>
      </x:c>
      <x:c r="B117" s="40" t="str">
        <x:v>  group_by(codigo_especie, especie, tratamiento, edad_dias) %&gt;%</x:v>
      </x:c>
    </x:row>
    <x:row r="118" ht="27" customHeight="1">
      <x:c r="A118" s="2" t="n">
        <x:v>117</x:v>
      </x:c>
      <x:c r="B118" s="40" t="str">
        <x:v>  summarise(n_inicial = n_distinct(id_individuo),</x:v>
      </x:c>
    </x:row>
    <x:row r="119" ht="27" customHeight="1">
      <x:c r="A119" s="2" t="n">
        <x:v>118</x:v>
      </x:c>
      <x:c r="B119" s="40" t="str">
        <x:v>            n_vivos = sum(vivo_inicio),</x:v>
      </x:c>
    </x:row>
    <x:row r="120" ht="27" customHeight="1">
      <x:c r="A120" s="2" t="n">
        <x:v>119</x:v>
      </x:c>
      <x:c r="B120" s="40" t="str">
        <x:v>            crias_totales = sum(ninfas_producidas),</x:v>
      </x:c>
    </x:row>
    <x:row r="121" ht="27" customHeight="1">
      <x:c r="A121" s="2" t="n">
        <x:v>120</x:v>
      </x:c>
      <x:c r="B121" s="40" t="str">
        <x:v>            n_N1 = sum(estadio == "N1"),</x:v>
      </x:c>
    </x:row>
    <x:row r="122" ht="27" customHeight="1">
      <x:c r="A122" s="2" t="n">
        <x:v>121</x:v>
      </x:c>
      <x:c r="B122" s="40" t="str">
        <x:v>            n_N2 = sum(estadio == "N2"),</x:v>
      </x:c>
    </x:row>
    <x:row r="123" ht="27" customHeight="1">
      <x:c r="A123" s="2" t="n">
        <x:v>122</x:v>
      </x:c>
      <x:c r="B123" s="40" t="str">
        <x:v>            n_N3 = sum(estadio == "N3"),</x:v>
      </x:c>
    </x:row>
    <x:row r="124" ht="27" customHeight="1">
      <x:c r="A124" s="2" t="n">
        <x:v>123</x:v>
      </x:c>
      <x:c r="B124" s="40" t="str">
        <x:v>            n_N4 = sum(estadio == "N4"),</x:v>
      </x:c>
    </x:row>
    <x:row r="125" ht="27" customHeight="1">
      <x:c r="A125" s="2" t="n">
        <x:v>124</x:v>
      </x:c>
      <x:c r="B125" s="40" t="str">
        <x:v>            n_adultas = sum(estadio == "adulta"),</x:v>
      </x:c>
    </x:row>
    <x:row r="126" ht="27" customHeight="1">
      <x:c r="A126" s="2" t="n">
        <x:v>125</x:v>
      </x:c>
      <x:c r="B126" s="40" t="str">
        <x:v>            .groups = "drop") %&gt;%</x:v>
      </x:c>
    </x:row>
    <x:row r="127" ht="27" customHeight="1">
      <x:c r="A127" s="2" t="n">
        <x:v>126</x:v>
      </x:c>
      <x:c r="B127" s="40" t="str">
        <x:v>  mutate(lx = n_vivos / n_inicial,</x:v>
      </x:c>
    </x:row>
    <x:row r="128" ht="27" customHeight="1">
      <x:c r="A128" s="2" t="n">
        <x:v>127</x:v>
      </x:c>
      <x:c r="B128" s="40" t="str">
        <x:v>         mx = if_else(n_vivos &gt; 0, crias_totales / pmax(n_vivos, 1), 0),</x:v>
      </x:c>
    </x:row>
    <x:row r="129" ht="27" customHeight="1">
      <x:c r="A129" s="2" t="n">
        <x:v>128</x:v>
      </x:c>
      <x:c r="B129" s="40" t="str">
        <x:v>         lxmx = crias_totales / n_inicial,</x:v>
      </x:c>
    </x:row>
    <x:row r="130" ht="27" customHeight="1">
      <x:c r="A130" s="2" t="n">
        <x:v>129</x:v>
      </x:c>
      <x:c r="B130" s="40" t="str">
        <x:v>         sx_N1 = n_N1 / n_inicial, sx_N2 = n_N2 / n_inicial,</x:v>
      </x:c>
    </x:row>
    <x:row r="131" ht="27" customHeight="1">
      <x:c r="A131" s="2" t="n">
        <x:v>130</x:v>
      </x:c>
      <x:c r="B131" s="40" t="str">
        <x:v>         sx_N3 = n_N3 / n_inicial, sx_N4 = n_N4 / n_inicial,</x:v>
      </x:c>
    </x:row>
    <x:row r="132" ht="27" customHeight="1">
      <x:c r="A132" s="2" t="n">
        <x:v>131</x:v>
      </x:c>
      <x:c r="B132" s="40" t="str">
        <x:v>         sx_adulta = n_adultas / n_inicial,</x:v>
      </x:c>
    </x:row>
    <x:row r="133" ht="27" customHeight="1">
      <x:c r="A133" s="2" t="n">
        <x:v>132</x:v>
      </x:c>
      <x:c r="B133" s="40" t="str">
        <x:v>         tiempo_euler_dias = edad_dias + 1)</x:v>
      </x:c>
    </x:row>
    <x:row r="134" ht="27" customHeight="1">
      <x:c r="A134" s="2" t="n">
        <x:v>133</x:v>
      </x:c>
      <x:c r="B134" s="40" t="str">
        <x:v>stopifnot(all(vida$n_inicial == 10L))</x:v>
      </x:c>
    </x:row>
    <x:row r="135" ht="27" customHeight="1">
      <x:c r="A135" s="2" t="n">
        <x:v>134</x:v>
      </x:c>
      <x:c r="B135" s="40" t="str">
        <x:v>stopifnot(all(abs(vida$lxmx - vida$lx * vida$mx) &lt; 1e-10))</x:v>
      </x:c>
    </x:row>
    <x:row r="136" ht="27" customHeight="1">
      <x:c r="A136" s="2" t="n">
        <x:v>135</x:v>
      </x:c>
      <x:c r="B136" s="40" t="str"/>
    </x:row>
    <x:row r="137" ht="27" customHeight="1">
      <x:c r="A137" s="2" t="n">
        <x:v>136</x:v>
      </x:c>
      <x:c r="B137" s="40" t="str">
        <x:v>g4 &lt;- ggplot(vida, aes(edad_dias, lx, colour = tratamiento)) +</x:v>
      </x:c>
    </x:row>
    <x:row r="138" ht="27" customHeight="1">
      <x:c r="A138" s="2" t="n">
        <x:v>137</x:v>
      </x:c>
      <x:c r="B138" s="40" t="str">
        <x:v>  geom_step(linewidth = 0.8) +</x:v>
      </x:c>
    </x:row>
    <x:row r="139" ht="27" customHeight="1">
      <x:c r="A139" s="2" t="n">
        <x:v>138</x:v>
      </x:c>
      <x:c r="B139" s="40" t="str">
        <x:v>  facet_wrap(~ especie) +</x:v>
      </x:c>
    </x:row>
    <x:row r="140" ht="27" customHeight="1">
      <x:c r="A140" s="2" t="n">
        <x:v>139</x:v>
      </x:c>
      <x:c r="B140" s="40" t="str">
        <x:v>  labs(title = "Supervivencia de cohortes simuladas",</x:v>
      </x:c>
    </x:row>
    <x:row r="141" ht="27" customHeight="1">
      <x:c r="A141" s="2" t="n">
        <x:v>140</x:v>
      </x:c>
      <x:c r="B141" s="40" t="str">
        <x:v>       x = "Edad al inicio del intervalo (dias)", y = "Supervivencia (lx)",</x:v>
      </x:c>
    </x:row>
    <x:row r="142" ht="27" customHeight="1">
      <x:c r="A142" s="2" t="n">
        <x:v>141</x:v>
      </x:c>
      <x:c r="B142" s="40" t="str">
        <x:v>       colour = "Tratamiento")</x:v>
      </x:c>
    </x:row>
    <x:row r="143" ht="27" customHeight="1">
      <x:c r="A143" s="2" t="n">
        <x:v>142</x:v>
      </x:c>
      <x:c r="B143" s="40" t="str">
        <x:v>print(g4)</x:v>
      </x:c>
    </x:row>
    <x:row r="144" ht="27" customHeight="1">
      <x:c r="A144" s="2" t="n">
        <x:v>143</x:v>
      </x:c>
      <x:c r="B144" s="40" t="str"/>
    </x:row>
    <x:row r="145" ht="27" customHeight="1">
      <x:c r="A145" s="2" t="n">
        <x:v>144</x:v>
      </x:c>
      <x:c r="B145" s="40" t="str">
        <x:v>g5 &lt;- ggplot(vida, aes(edad_dias, lxmx, colour = tratamiento)) +</x:v>
      </x:c>
    </x:row>
    <x:row r="146" ht="27" customHeight="1">
      <x:c r="A146" s="2" t="n">
        <x:v>145</x:v>
      </x:c>
      <x:c r="B146" s="40" t="str">
        <x:v>  geom_line(linewidth = 0.8) +</x:v>
      </x:c>
    </x:row>
    <x:row r="147" ht="27" customHeight="1">
      <x:c r="A147" s="2" t="n">
        <x:v>146</x:v>
      </x:c>
      <x:c r="B147" s="40" t="str">
        <x:v>  facet_wrap(~ especie) +</x:v>
      </x:c>
    </x:row>
    <x:row r="148" ht="27" customHeight="1">
      <x:c r="A148" s="2" t="n">
        <x:v>147</x:v>
      </x:c>
      <x:c r="B148" s="40" t="str">
        <x:v>  labs(title = "Maternidad neta por edad: simulacion",</x:v>
      </x:c>
    </x:row>
    <x:row r="149" ht="27" customHeight="1">
      <x:c r="A149" s="2" t="n">
        <x:v>148</x:v>
      </x:c>
      <x:c r="B149" s="40" t="str">
        <x:v>       x = "Edad al inicio del intervalo (dias)",</x:v>
      </x:c>
    </x:row>
    <x:row r="150" ht="27" customHeight="1">
      <x:c r="A150" s="2" t="n">
        <x:v>149</x:v>
      </x:c>
      <x:c r="B150" s="40" t="str">
        <x:v>       y = "Crias por individuo inicial y dia (lxmx)", colour = "Tratamiento")</x:v>
      </x:c>
    </x:row>
    <x:row r="151" ht="27" customHeight="1">
      <x:c r="A151" s="2" t="n">
        <x:v>150</x:v>
      </x:c>
      <x:c r="B151" s="40" t="str">
        <x:v>print(g5)</x:v>
      </x:c>
    </x:row>
    <x:row r="152" ht="27" customHeight="1">
      <x:c r="A152" s="2" t="n">
        <x:v>151</x:v>
      </x:c>
      <x:c r="B152" s="40" t="str"/>
    </x:row>
    <x:row r="153" ht="27" customHeight="1">
      <x:c r="A153" s="2" t="n">
        <x:v>152</x:v>
      </x:c>
      <x:c r="B153" s="40" t="str">
        <x:v>vida_estadios &lt;- vida %&gt;%</x:v>
      </x:c>
    </x:row>
    <x:row r="154" ht="27" customHeight="1">
      <x:c r="A154" s="2" t="n">
        <x:v>153</x:v>
      </x:c>
      <x:c r="B154" s="40" t="str">
        <x:v>  select(especie, tratamiento, edad_dias, starts_with("sx_")) %&gt;%</x:v>
      </x:c>
    </x:row>
    <x:row r="155" ht="27" customHeight="1">
      <x:c r="A155" s="2" t="n">
        <x:v>154</x:v>
      </x:c>
      <x:c r="B155" s="40" t="str">
        <x:v>  pivot_longer(starts_with("sx_"), names_to = "estadio", values_to = "sxj")</x:v>
      </x:c>
    </x:row>
    <x:row r="156" ht="27" customHeight="1">
      <x:c r="A156" s="2" t="n">
        <x:v>155</x:v>
      </x:c>
      <x:c r="B156" s="40" t="str">
        <x:v>g6 &lt;- ggplot(vida_estadios, aes(edad_dias, sxj, colour = estadio)) +</x:v>
      </x:c>
    </x:row>
    <x:row r="157" ht="27" customHeight="1">
      <x:c r="A157" s="2" t="n">
        <x:v>156</x:v>
      </x:c>
      <x:c r="B157" s="40" t="str">
        <x:v>  geom_line() +</x:v>
      </x:c>
    </x:row>
    <x:row r="158" ht="27" customHeight="1">
      <x:c r="A158" s="2" t="n">
        <x:v>157</x:v>
      </x:c>
      <x:c r="B158" s="40" t="str">
        <x:v>  facet_grid(especie ~ tratamiento) +</x:v>
      </x:c>
    </x:row>
    <x:row r="159" ht="27" customHeight="1">
      <x:c r="A159" s="2" t="n">
        <x:v>158</x:v>
      </x:c>
      <x:c r="B159" s="40" t="str">
        <x:v>  labs(title = "Supervivencia edad-estado: simulacion",</x:v>
      </x:c>
    </x:row>
    <x:row r="160" ht="27" customHeight="1">
      <x:c r="A160" s="2" t="n">
        <x:v>159</x:v>
      </x:c>
      <x:c r="B160" s="40" t="str">
        <x:v>       x = "Edad (dias)", y = "Supervivencia edad-estado (sxj)", colour = "Estadio")</x:v>
      </x:c>
    </x:row>
    <x:row r="161" ht="27" customHeight="1">
      <x:c r="A161" s="2" t="n">
        <x:v>160</x:v>
      </x:c>
      <x:c r="B161" s="40" t="str">
        <x:v>print(g6)</x:v>
      </x:c>
    </x:row>
    <x:row r="162" ht="27" customHeight="1">
      <x:c r="A162" s="2" t="n">
        <x:v>161</x:v>
      </x:c>
      <x:c r="B162" s="40" t="str"/>
    </x:row>
    <x:row r="163" ht="27" customHeight="1">
      <x:c r="A163" s="2" t="n">
        <x:v>162</x:v>
      </x:c>
      <x:c r="B163" s="40" t="str">
        <x:v># 5. RM, LAMBDA, R0 Y T: UNA ESTIMACION POR COHORTE --------------------------</x:v>
      </x:c>
    </x:row>
    <x:row r="164" ht="27" customHeight="1">
      <x:c r="A164" s="2" t="n">
        <x:v>163</x:v>
      </x:c>
      <x:c r="B164" s="40" t="str">
        <x:v># Los parametros NO se sortean ni se calculan como 10 replicas por tratamiento.</x:v>
      </x:c>
    </x:row>
    <x:row r="165" ht="27" customHeight="1">
      <x:c r="A165" s="2" t="n">
        <x:v>164</x:v>
      </x:c>
      <x:c r="B165" s="40" t="str">
        <x:v># rm resuelve sum(exp(-rm*(x+1))*lxmx) = 1.</x:v>
      </x:c>
    </x:row>
    <x:row r="166" ht="27" customHeight="1">
      <x:c r="A166" s="2" t="n">
        <x:v>165</x:v>
      </x:c>
      <x:c r="B166" s="40" t="str">
        <x:v># La fecundidad se atribuye al final de cada intervalo, x+1.</x:v>
      </x:c>
    </x:row>
    <x:row r="167" ht="27" customHeight="1">
      <x:c r="A167" s="2" t="n">
        <x:v>166</x:v>
      </x:c>
      <x:c r="B167" s="40" t="str">
        <x:v>parametros_r &lt;- vida %&gt;%</x:v>
      </x:c>
    </x:row>
    <x:row r="168" ht="27" customHeight="1">
      <x:c r="A168" s="2" t="n">
        <x:v>167</x:v>
      </x:c>
      <x:c r="B168" s="40" t="str">
        <x:v>  group_by(codigo_especie, especie, tratamiento) %&gt;%</x:v>
      </x:c>
    </x:row>
    <x:row r="169" ht="27" customHeight="1">
      <x:c r="A169" s="2" t="n">
        <x:v>168</x:v>
      </x:c>
      <x:c r="B169" s="40" t="str">
        <x:v>  group_modify(~ {</x:v>
      </x:c>
    </x:row>
    <x:row r="170" ht="27" customHeight="1">
      <x:c r="A170" s="2" t="n">
        <x:v>169</x:v>
      </x:c>
      <x:c r="B170" s="40" t="str">
        <x:v>    z &lt;- .x</x:v>
      </x:c>
    </x:row>
    <x:row r="171" ht="27" customHeight="1">
      <x:c r="A171" s="2" t="n">
        <x:v>170</x:v>
      </x:c>
      <x:c r="B171" s="40" t="str">
        <x:v>    R0 &lt;- sum(z$lxmx)</x:v>
      </x:c>
    </x:row>
    <x:row r="172" ht="27" customHeight="1">
      <x:c r="A172" s="2" t="n">
        <x:v>171</x:v>
      </x:c>
      <x:c r="B172" s="40" t="str">
        <x:v>    if (R0 &lt;= 0) {</x:v>
      </x:c>
    </x:row>
    <x:row r="173" ht="27" customHeight="1">
      <x:c r="A173" s="2" t="n">
        <x:v>172</x:v>
      </x:c>
      <x:c r="B173" s="40" t="str">
        <x:v>      return(tibble(R0 = R0, rm_dia = NA_real_, lambda_diaria = NA_real_,</x:v>
      </x:c>
    </x:row>
    <x:row r="174" ht="27" customHeight="1">
      <x:c r="A174" s="2" t="n">
        <x:v>173</x:v>
      </x:c>
      <x:c r="B174" s="40" t="str">
        <x:v>                    T_dias = NA_real_, residuo_euler = NA_real_))</x:v>
      </x:c>
    </x:row>
    <x:row r="175" ht="27" customHeight="1">
      <x:c r="A175" s="2" t="n">
        <x:v>174</x:v>
      </x:c>
      <x:c r="B175" s="40" t="str">
        <x:v>    }</x:v>
      </x:c>
    </x:row>
    <x:row r="176" ht="27" customHeight="1">
      <x:c r="A176" s="2" t="n">
        <x:v>175</x:v>
      </x:c>
      <x:c r="B176" s="40" t="str">
        <x:v>    f &lt;- function(r) sum(exp(-r * z$tiempo_euler_dias) * z$lxmx) - 1</x:v>
      </x:c>
    </x:row>
    <x:row r="177" ht="27" customHeight="1">
      <x:c r="A177" s="2" t="n">
        <x:v>176</x:v>
      </x:c>
      <x:c r="B177" s="40" t="str">
        <x:v>    limites &lt;- c(-1, 2)</x:v>
      </x:c>
    </x:row>
    <x:row r="178" ht="27" customHeight="1">
      <x:c r="A178" s="2" t="n">
        <x:v>177</x:v>
      </x:c>
      <x:c r="B178" s="40" t="str">
        <x:v>    if (f(limites[1]) * f(limites[2]) &gt; 0) {</x:v>
      </x:c>
    </x:row>
    <x:row r="179" ht="27" customHeight="1">
      <x:c r="A179" s="2" t="n">
        <x:v>178</x:v>
      </x:c>
      <x:c r="B179" s="40" t="str">
        <x:v>      stop("La raiz Euler-Lotka no esta acotada: revisar datos e intervalo.")</x:v>
      </x:c>
    </x:row>
    <x:row r="180" ht="27" customHeight="1">
      <x:c r="A180" s="2" t="n">
        <x:v>179</x:v>
      </x:c>
      <x:c r="B180" s="40" t="str">
        <x:v>    }</x:v>
      </x:c>
    </x:row>
    <x:row r="181" ht="27" customHeight="1">
      <x:c r="A181" s="2" t="n">
        <x:v>180</x:v>
      </x:c>
      <x:c r="B181" s="40" t="str">
        <x:v>    rm &lt;- uniroot(f, interval = limites, tol = 1e-12)$root</x:v>
      </x:c>
    </x:row>
    <x:row r="182" ht="27" customHeight="1">
      <x:c r="A182" s="2" t="n">
        <x:v>181</x:v>
      </x:c>
      <x:c r="B182" s="40" t="str">
        <x:v>    tiempo &lt;- if (abs(rm) &lt; 1e-10) {</x:v>
      </x:c>
    </x:row>
    <x:row r="183" ht="27" customHeight="1">
      <x:c r="A183" s="2" t="n">
        <x:v>182</x:v>
      </x:c>
      <x:c r="B183" s="40" t="str">
        <x:v>      sum(z$tiempo_euler_dias * z$lxmx) / R0</x:v>
      </x:c>
    </x:row>
    <x:row r="184" ht="27" customHeight="1">
      <x:c r="A184" s="2" t="n">
        <x:v>183</x:v>
      </x:c>
      <x:c r="B184" s="40" t="str">
        <x:v>    } else log(R0) / rm</x:v>
      </x:c>
    </x:row>
    <x:row r="185" ht="27" customHeight="1">
      <x:c r="A185" s="2" t="n">
        <x:v>184</x:v>
      </x:c>
      <x:c r="B185" s="40" t="str">
        <x:v>    tibble(R0 = R0, rm_dia = rm, lambda_diaria = exp(rm),</x:v>
      </x:c>
    </x:row>
    <x:row r="186" ht="27" customHeight="1">
      <x:c r="A186" s="2" t="n">
        <x:v>185</x:v>
      </x:c>
      <x:c r="B186" s="40" t="str">
        <x:v>           T_dias = tiempo, residuo_euler = f(rm))</x:v>
      </x:c>
    </x:row>
    <x:row r="187" ht="27" customHeight="1">
      <x:c r="A187" s="2" t="n">
        <x:v>186</x:v>
      </x:c>
      <x:c r="B187" s="40" t="str">
        <x:v>  }) %&gt;%</x:v>
      </x:c>
    </x:row>
    <x:row r="188" ht="27" customHeight="1">
      <x:c r="A188" s="2" t="n">
        <x:v>187</x:v>
      </x:c>
      <x:c r="B188" s="40" t="str">
        <x:v>  ungroup()</x:v>
      </x:c>
    </x:row>
    <x:row r="189" ht="27" customHeight="1">
      <x:c r="A189" s="2" t="n">
        <x:v>188</x:v>
      </x:c>
      <x:c r="B189" s="40" t="str">
        <x:v>print(parametros_r)</x:v>
      </x:c>
    </x:row>
    <x:row r="190" ht="27" customHeight="1">
      <x:c r="A190" s="2" t="n">
        <x:v>189</x:v>
      </x:c>
      <x:c r="B190" s="40" t="str"/>
    </x:row>
    <x:row r="191" ht="27" customHeight="1">
      <x:c r="A191" s="2" t="n">
        <x:v>190</x:v>
      </x:c>
      <x:c r="B191" s="40" t="str">
        <x:v># Comprobar las estimaciones contra las formulas del Excel.</x:v>
      </x:c>
    </x:row>
    <x:row r="192" ht="27" customHeight="1">
      <x:c r="A192" s="2" t="n">
        <x:v>191</x:v>
      </x:c>
      <x:c r="B192" s="40" t="str">
        <x:v>comparacion &lt;- parametros_r %&gt;%</x:v>
      </x:c>
    </x:row>
    <x:row r="193" ht="27" customHeight="1">
      <x:c r="A193" s="2" t="n">
        <x:v>192</x:v>
      </x:c>
      <x:c r="B193" s="40" t="str">
        <x:v>  select(codigo_especie, tratamiento, R0_R = R0, rm_R = rm_dia) %&gt;%</x:v>
      </x:c>
    </x:row>
    <x:row r="194" ht="27" customHeight="1">
      <x:c r="A194" s="2" t="n">
        <x:v>193</x:v>
      </x:c>
      <x:c r="B194" s="40" t="str">
        <x:v>  mutate(tratamiento = as.character(tratamiento)) %&gt;%</x:v>
      </x:c>
    </x:row>
    <x:row r="195" ht="27" customHeight="1">
      <x:c r="A195" s="2" t="n">
        <x:v>194</x:v>
      </x:c>
      <x:c r="B195" s="40" t="str">
        <x:v>  left_join(parametros_excel %&gt;%</x:v>
      </x:c>
    </x:row>
    <x:row r="196" ht="27" customHeight="1">
      <x:c r="A196" s="2" t="n">
        <x:v>195</x:v>
      </x:c>
      <x:c r="B196" s="40" t="str">
        <x:v>              select(codigo_especie, tratamiento, R0_Excel = R0, rm_Excel = rm_dia),</x:v>
      </x:c>
    </x:row>
    <x:row r="197" ht="27" customHeight="1">
      <x:c r="A197" s="2" t="n">
        <x:v>196</x:v>
      </x:c>
      <x:c r="B197" s="40" t="str">
        <x:v>            by = c("codigo_especie", "tratamiento")) %&gt;%</x:v>
      </x:c>
    </x:row>
    <x:row r="198" ht="27" customHeight="1">
      <x:c r="A198" s="2" t="n">
        <x:v>197</x:v>
      </x:c>
      <x:c r="B198" s="40" t="str">
        <x:v>  mutate(diferencia_R0 = R0_R - R0_Excel, diferencia_rm = rm_R - rm_Excel)</x:v>
      </x:c>
    </x:row>
    <x:row r="199" ht="27" customHeight="1">
      <x:c r="A199" s="2" t="n">
        <x:v>198</x:v>
      </x:c>
      <x:c r="B199" s="40" t="str">
        <x:v>stopifnot(all(abs(comparacion$diferencia_R0) &lt; 1e-8))</x:v>
      </x:c>
    </x:row>
    <x:row r="200" ht="27" customHeight="1">
      <x:c r="A200" s="2" t="n">
        <x:v>199</x:v>
      </x:c>
      <x:c r="B200" s="40" t="str">
        <x:v>stopifnot(all(abs(comparacion$diferencia_rm) &lt; 1e-8))</x:v>
      </x:c>
    </x:row>
    <x:row r="201" ht="27" customHeight="1">
      <x:c r="A201" s="2" t="n">
        <x:v>200</x:v>
      </x:c>
      <x:c r="B201" s="40" t="str">
        <x:v>print(comparacion)</x:v>
      </x:c>
    </x:row>
    <x:row r="202" ht="27" customHeight="1">
      <x:c r="A202" s="2" t="n">
        <x:v>201</x:v>
      </x:c>
      <x:c r="B202" s="40" t="str"/>
    </x:row>
    <x:row r="203" ht="27" customHeight="1">
      <x:c r="A203" s="2" t="n">
        <x:v>202</x:v>
      </x:c>
      <x:c r="B203" s="40" t="str">
        <x:v># 6. EXPORTAR UN GRAFICO (opcional; descomenta) -----------------------------</x:v>
      </x:c>
    </x:row>
    <x:row r="204" ht="27" customHeight="1">
      <x:c r="A204" s="2" t="n">
        <x:v>203</x:v>
      </x:c>
      <x:c r="B204" s="40" t="str">
        <x:v># ggsave("grafico_crecimiento_simulado.png", plot = g1,</x:v>
      </x:c>
    </x:row>
    <x:row r="205" ht="27" customHeight="1">
      <x:c r="A205" s="2" t="n">
        <x:v>204</x:v>
      </x:c>
      <x:c r="B205" s="40" t="str">
        <x:v>#        width = 10, height = 5, units = "in", dpi = 300)</x:v>
      </x:c>
    </x:row>
    <x:row r="206" ht="27" customHeight="1">
      <x:c r="A206" s="2" t="n">
        <x:v>205</x:v>
      </x:c>
      <x:c r="B206" s="40" t="str"/>
    </x:row>
    <x:row r="207" ht="27" customHeight="1">
      <x:c r="A207" s="2" t="n">
        <x:v>206</x:v>
      </x:c>
      <x:c r="B207" s="40" t="str">
        <x:v># RECORDATORIOS:</x:v>
      </x:c>
    </x:row>
    <x:row r="208" ht="27" customHeight="1">
      <x:c r="A208" s="2" t="n">
        <x:v>207</x:v>
      </x:c>
      <x:c r="B208" s="40" t="str">
        <x:v># E1: 180 unidades, NO 540; los tres dias son medidas repetidas.</x:v>
      </x:c>
    </x:row>
    <x:row r="209" ht="27" customHeight="1">
      <x:c r="A209" s="2" t="n">
        <x:v>208</x:v>
      </x:c>
      <x:c r="B209" s="40" t="str">
        <x:v># E2: cada individuo ocupa una planta; no mezclar crias con la hembra focal.</x:v>
      </x:c>
    </x:row>
    <x:row r="210" ht="27" customHeight="1">
      <x:c r="A210" s="2" t="n">
        <x:v>209</x:v>
      </x:c>
      <x:c r="B210" s="40" t="str">
        <x:v># Cinco bloques no significan diez repeticiones por bloque.</x:v>
      </x:c>
    </x:row>
    <x:row r="211" ht="27" customHeight="1">
      <x:c r="A211" s="2" t="n">
        <x:v>210</x:v>
      </x:c>
      <x:c r="B211" s="40" t="str">
        <x:v># Fecundidad_total incluye los ceros de quienes murieron sin reproducirse.</x:v>
      </x:c>
    </x:row>
    <x:row r="212" ht="27" customHeight="1">
      <x:c r="A212" s="2" t="n">
        <x:v>211</x:v>
      </x:c>
      <x:c r="B212" s="40" t="str">
        <x:v># No se hicieron pruebas de hipotesis ni bootstrap.</x:v>
      </x:c>
    </x:row>
    <x:row r="213" ht="27" customHeight="1">
      <x:c r="A213" s="2" t="n">
        <x:v>212</x:v>
      </x:c>
      <x:c r="B213" s="40" t="str">
        <x:v># Una diferencia entre tratamientos simulados no demuestra eficacia real.</x:v>
      </x:c>
    </x:row>
    <x:row r="214" ht="27" customHeight="1">
      <x:c r="A214" s="2" t="n">
        <x:v>213</x:v>
      </x:c>
      <x:c r="B214" s="40" t="str">
        <x:v># Los rangos y fechas son ilustrativos, no predicciones para el invernadero.</x:v>
      </x:c>
    </x:row>
  </x:sheetData>
  <x:pageMargins left="0.7" right="0.7" top="0.75" bottom="0.75" header="0.3" footer="0.3"/>
  <x:tableParts count="1">
    <x:tablePart xmlns:r="http://schemas.openxmlformats.org/officeDocument/2006/relationships" r:id="R8bc4f443084d42f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78" hidden="0" customWidth="1"/>
    <x:col min="4" max="4" width="75" hidden="0" customWidth="1"/>
    <x:col min="5" max="5" width="85" hidden="0" customWidth="1"/>
  </x:cols>
  <x:sheetData>
    <x:row r="1" ht="43" customHeight="1">
      <x:c r="A1" s="7" t="str">
        <x:v>id</x:v>
      </x:c>
      <x:c r="B1" s="7" t="str">
        <x:v>autor_o_fuente</x:v>
      </x:c>
      <x:c r="C1" s="7" t="str">
        <x:v>referencia</x:v>
      </x:c>
      <x:c r="D1" s="7" t="str">
        <x:v>url</x:v>
      </x:c>
      <x:c r="E1" s="7" t="str">
        <x:v>uso</x:v>
      </x:c>
    </x:row>
    <x:row r="2" ht="62" customHeight="1">
      <x:c r="A2" s="12" t="str">
        <x:v>R01</x:v>
      </x:c>
      <x:c r="B2" s="12" t="str">
        <x:v>Metodología de la usuaria</x:v>
      </x:c>
      <x:c r="C2" s="12" t="str">
        <x:v>Texto proporcionado en esta conversación</x:v>
      </x:c>
      <x:c r="D2" s="12" t="str">
        <x:v>No aplica</x:v>
      </x:c>
      <x:c r="E2" s="12" t="str">
        <x:v>Define especies, tratamientos, repeticiones y mediciones; 11 se corrige a 9.</x:v>
      </x:c>
    </x:row>
    <x:row r="3" ht="62" customHeight="1">
      <x:c r="A3" s="12" t="str">
        <x:v>R02</x:v>
      </x:c>
      <x:c r="B3" s="12" t="str">
        <x:v>Chi et al. (2022)</x:v>
      </x:c>
      <x:c r="C3" s="12" t="str">
        <x:v>TWOSEX-MSChart: The key tool for life table research and education. Entomologia Generalis 42(6):845–849.</x:v>
      </x:c>
      <x:c r="D3" s="12" t="str">
        <x:v>https://doi.org/10.1127/entomologia/2022/1851</x:v>
      </x:c>
      <x:c r="E3" s="12" t="str">
        <x:v>Referencia bibliográfica verificada en el depósito del autor; NO se extrajeron datos experimentales.</x:v>
      </x:c>
    </x:row>
    <x:row r="4" ht="62" customHeight="1">
      <x:c r="A4" s="12" t="str">
        <x:v>R03</x:v>
      </x:c>
      <x:c r="B4" s="12" t="str">
        <x:v>Hsin Chi, depósito de software</x:v>
      </x:c>
      <x:c r="C4" s="12" t="str">
        <x:v>TWOSEX-MSChart: A computer program for the age-stage, two-sex life table analysis.</x:v>
      </x:c>
      <x:c r="D4" s="12" t="str">
        <x:v>https://zenodo.org/records/17534469</x:v>
      </x:c>
      <x:c r="E4" s="12" t="str">
        <x:v>Fuente primaria del programa y bibliografía. Este Excel NO es una salida de TWOSEX-MSChart.</x:v>
      </x:c>
    </x:row>
    <x:row r="5" ht="62" customHeight="1">
      <x:c r="A5" s="12" t="str">
        <x:v>R04</x:v>
      </x:c>
      <x:c r="B5" s="12" t="str">
        <x:v>Saska et al. (2024)</x:v>
      </x:c>
      <x:c r="C5" s="12" t="str">
        <x:v>Population-level responses of aphids to pulsed drought stress. Journal of Pest Science 97:1943–1956.</x:v>
      </x:c>
      <x:c r="D5" s="12" t="str">
        <x:v>https://doi.org/10.1007/s10340-023-01729-y</x:v>
      </x:c>
      <x:c r="E5" s="12" t="str">
        <x:v>Seguimiento diario, retiro de crías y marco edad–estado. Los datos de este libro no proceden del artículo.</x:v>
      </x:c>
    </x:row>
    <x:row r="6" ht="62" customHeight="1">
      <x:c r="A6" s="12" t="str">
        <x:v>R05</x:v>
      </x:c>
      <x:c r="B6" s="12" t="str">
        <x:v>Kara y Koşar (2025)</x:v>
      </x:c>
      <x:c r="C6" s="12" t="str">
        <x:v>Effect of Trichoderma harzianum on the Biological Traits of Myzus persicae Mediated by Pepper Plant.</x:v>
      </x:c>
      <x:c r="D6" s="12" t="str">
        <x:v>https://dergipark.org.tr/en/download/article-file/4934334</x:v>
      </x:c>
      <x:c r="E6" s="12" t="str">
        <x:v>Tabla 1: ecuación Euler-Lotka con x+1; lambda=exp(r); R0=sum(lxmx); T=ln(R0)/r.</x:v>
      </x:c>
    </x:row>
    <x:row r="7" ht="62" customHeight="1">
      <x:c r="A7" s="12" t="str">
        <x:v>R06</x:v>
      </x:c>
      <x:c r="B7" s="12" t="str">
        <x:v>readxl, documentación oficial</x:v>
      </x:c>
      <x:c r="C7" s="12" t="str">
        <x:v>read_excel: lectura de xls/xlsx.</x:v>
      </x:c>
      <x:c r="D7" s="12" t="str">
        <x:v>https://readxl.tidyverse.org/reference/read_excel.html</x:v>
      </x:c>
      <x:c r="E7" s="12" t="str">
        <x:v>Importación en la hoja Guia_R.</x:v>
      </x:c>
    </x:row>
    <x:row r="8" ht="62" customHeight="1">
      <x:c r="A8" s="12" t="str">
        <x:v>R07</x:v>
      </x:c>
      <x:c r="B8" s="12" t="str">
        <x:v>ggplot2, documentación oficial</x:v>
      </x:c>
      <x:c r="C8" s="12" t="str">
        <x:v>geom_path / geom_line: conectar observaciones.</x:v>
      </x:c>
      <x:c r="D8" s="12" t="str">
        <x:v>https://ggplot2.tidyverse.org/reference/geom_path.html</x:v>
      </x:c>
      <x:c r="E8" s="12" t="str">
        <x:v>Ejemplos de visualización en Guia_R.</x:v>
      </x:c>
    </x:row>
    <x:row r="9" ht="62" customHeight="1">
      <x:c r="A9" s="12" t="str">
        <x:v>R08</x:v>
      </x:c>
      <x:c r="B9" s="12" t="str">
        <x:v>Simulación propia</x:v>
      </x:c>
      <x:c r="C9" s="12" t="str">
        <x:v>Conteos, fechas, estadios, longevidades y fecundidades generados para enseñanza.</x:v>
      </x:c>
      <x:c r="D9" s="12" t="str">
        <x:v>No aplica</x:v>
      </x:c>
      <x:c r="E9" s="12" t="str">
        <x:v>No hay resultados reales, calibración biológica ni afirmaciones de eficacia.</x:v>
      </x:c>
    </x:row>
  </x:sheetData>
  <x:pageMargins left="0.7" right="0.7" top="0.75" bottom="0.75" header="0.3" footer="0.3"/>
  <x:tableParts count="1">
    <x:tablePart xmlns:r="http://schemas.openxmlformats.org/officeDocument/2006/relationships" r:id="R830dbd85f1254e8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7" hidden="0" customWidth="1"/>
    <x:col min="4" max="4" width="17" hidden="0" customWidth="1"/>
    <x:col min="5" max="5" width="75" hidden="0" customWidth="1"/>
  </x:cols>
  <x:sheetData>
    <x:row r="1" ht="43" customHeight="1">
      <x:c r="A1" s="7" t="str">
        <x:v>comprobacion</x:v>
      </x:c>
      <x:c r="B1" s="7" t="str">
        <x:v>obtenido</x:v>
      </x:c>
      <x:c r="C1" s="7" t="str">
        <x:v>esperado_o_tolerancia</x:v>
      </x:c>
      <x:c r="D1" s="7" t="str">
        <x:v>estado</x:v>
      </x:c>
      <x:c r="E1" s="7" t="str">
        <x:v>detalle</x:v>
      </x:c>
    </x:row>
    <x:row r="2" ht="34" customHeight="1">
      <x:c r="A2" s="12" t="str">
        <x:v>plantas_E1</x:v>
      </x:c>
      <x:c r="B2" s="12" t="n">
        <x:v>180</x:v>
      </x:c>
      <x:c r="C2" s="12" t="n">
        <x:v>180</x:v>
      </x:c>
      <x:c r="D2" s="12" t="str">
        <x:v>OK</x:v>
      </x:c>
      <x:c r="E2" s="12" t="str">
        <x:v>Unidades independientes, no filas repetidas.</x:v>
      </x:c>
    </x:row>
    <x:row r="3" ht="34" customHeight="1">
      <x:c r="A3" s="12" t="str">
        <x:v>recuentos_E1</x:v>
      </x:c>
      <x:c r="B3" s="12" t="n">
        <x:v>540</x:v>
      </x:c>
      <x:c r="C3" s="12" t="n">
        <x:v>540</x:v>
      </x:c>
      <x:c r="D3" s="12" t="str">
        <x:v>OK</x:v>
      </x:c>
      <x:c r="E3" s="12" t="str">
        <x:v>180 plantas por tres evaluaciones.</x:v>
      </x:c>
    </x:row>
    <x:row r="4" ht="34" customHeight="1">
      <x:c r="A4" s="12" t="str">
        <x:v>plantas_E2</x:v>
      </x:c>
      <x:c r="B4" s="12" t="n">
        <x:v>60</x:v>
      </x:c>
      <x:c r="C4" s="12" t="n">
        <x:v>60</x:v>
      </x:c>
      <x:c r="D4" s="12" t="str">
        <x:v>OK</x:v>
      </x:c>
      <x:c r="E4" s="12" t="str">
        <x:v>Dos cepas seleccionadas más control, dos especies.</x:v>
      </x:c>
    </x:row>
    <x:row r="5" ht="34" customHeight="1">
      <x:c r="A5" s="12" t="str">
        <x:v>filas_diarias_E2</x:v>
      </x:c>
      <x:c r="B5" s="12" t="n">
        <x:v>2520</x:v>
      </x:c>
      <x:c r="C5" s="12" t="n">
        <x:v>2520</x:v>
      </x:c>
      <x:c r="D5" s="12" t="str">
        <x:v>OK</x:v>
      </x:c>
      <x:c r="E5" s="12" t="str">
        <x:v>Incluye ceros estructurales después de muerte.</x:v>
      </x:c>
    </x:row>
    <x:row r="6" ht="34" customHeight="1">
      <x:c r="A6" s="12" t="str">
        <x:v>IDs_E1_unicos</x:v>
      </x:c>
      <x:c r="B6" s="12" t="n">
        <x:v>180</x:v>
      </x:c>
      <x:c r="C6" s="12" t="n">
        <x:v>180</x:v>
      </x:c>
      <x:c r="D6" s="12" t="str">
        <x:v>OK</x:v>
      </x:c>
      <x:c r="E6" s="12" t="str">
        <x:v>No hay identificadores duplicados.</x:v>
      </x:c>
    </x:row>
    <x:row r="7" ht="34" customHeight="1">
      <x:c r="A7" s="12" t="str">
        <x:v>IDs_E2_unicos</x:v>
      </x:c>
      <x:c r="B7" s="12" t="n">
        <x:v>60</x:v>
      </x:c>
      <x:c r="C7" s="12" t="n">
        <x:v>60</x:v>
      </x:c>
      <x:c r="D7" s="12" t="str">
        <x:v>OK</x:v>
      </x:c>
      <x:c r="E7" s="12" t="str">
        <x:v>IDs diferentes de E1.</x:v>
      </x:c>
    </x:row>
    <x:row r="8" ht="34" customHeight="1">
      <x:c r="A8" s="12" t="str">
        <x:v>E1_rep_grupo_incorrectas</x:v>
      </x:c>
      <x:c r="B8" s="12" t="n">
        <x:v>0</x:v>
      </x:c>
      <x:c r="C8" s="12" t="n">
        <x:v>0</x:v>
      </x:c>
      <x:c r="D8" s="12" t="str">
        <x:v>OK</x:v>
      </x:c>
      <x:c r="E8" s="12" t="str">
        <x:v>10 plantas por especie, tratamiento y fecha.</x:v>
      </x:c>
    </x:row>
    <x:row r="9" ht="34" customHeight="1">
      <x:c r="A9" s="12" t="str">
        <x:v>E1_balance_bloques</x:v>
      </x:c>
      <x:c r="B9" s="12" t="n">
        <x:v>0</x:v>
      </x:c>
      <x:c r="C9" s="12" t="n">
        <x:v>0</x:v>
      </x:c>
      <x:c r="D9" s="12" t="str">
        <x:v>OK</x:v>
      </x:c>
      <x:c r="E9" s="12" t="str">
        <x:v>Dos plantas por bloque/especie/tratamiento.</x:v>
      </x:c>
    </x:row>
    <x:row r="10" ht="34" customHeight="1">
      <x:c r="A10" s="12" t="str">
        <x:v>E2_balance_bloques</x:v>
      </x:c>
      <x:c r="B10" s="12" t="n">
        <x:v>0</x:v>
      </x:c>
      <x:c r="C10" s="12" t="n">
        <x:v>0</x:v>
      </x:c>
      <x:c r="D10" s="12" t="str">
        <x:v>OK</x:v>
      </x:c>
      <x:c r="E10" s="12" t="str">
        <x:v>Supuesto adicional documentado.</x:v>
      </x:c>
    </x:row>
    <x:row r="11" ht="34" customHeight="1">
      <x:c r="A11" s="12" t="str">
        <x:v>recuentos_negativos</x:v>
      </x:c>
      <x:c r="B11" s="12" t="n">
        <x:v>0</x:v>
      </x:c>
      <x:c r="C11" s="12" t="n">
        <x:v>0</x:v>
      </x:c>
      <x:c r="D11" s="12" t="str">
        <x:v>OK</x:v>
      </x:c>
      <x:c r="E11" s="12" t="str">
        <x:v>Los totales son enteros no negativos.</x:v>
      </x:c>
    </x:row>
    <x:row r="12" ht="34" customHeight="1">
      <x:c r="A12" s="12" t="str">
        <x:v>crias_en_muertas_o_ninfas</x:v>
      </x:c>
      <x:c r="B12" s="12" t="n">
        <x:v>0</x:v>
      </x:c>
      <x:c r="C12" s="12" t="n">
        <x:v>0</x:v>
      </x:c>
      <x:c r="D12" s="12" t="str">
        <x:v>OK</x:v>
      </x:c>
      <x:c r="E12" s="12" t="str">
        <x:v>Solo adultas vivas producen crías.</x:v>
      </x:c>
    </x:row>
    <x:row r="13" ht="34" customHeight="1">
      <x:c r="A13" s="12" t="str">
        <x:v>eventos_muerte</x:v>
      </x:c>
      <x:c r="B13" s="12" t="n">
        <x:v>60</x:v>
      </x:c>
      <x:c r="C13" s="12" t="n">
        <x:v>60</x:v>
      </x:c>
      <x:c r="D13" s="12" t="str">
        <x:v>OK</x:v>
      </x:c>
      <x:c r="E13" s="12" t="str">
        <x:v>Una muerte por individuo.</x:v>
      </x:c>
    </x:row>
    <x:row r="14" ht="34" customHeight="1">
      <x:c r="A14" s="12" t="str">
        <x:v>individuos_censurados</x:v>
      </x:c>
      <x:c r="B14" s="12" t="n">
        <x:v>0</x:v>
      </x:c>
      <x:c r="C14" s="12" t="n">
        <x:v>0</x:v>
      </x:c>
      <x:c r="D14" s="12" t="str">
        <x:v>OK</x:v>
      </x:c>
      <x:c r="E14" s="12" t="str">
        <x:v>Todos tienen seguimiento completo hasta muerte.</x:v>
      </x:c>
    </x:row>
    <x:row r="15" ht="34" customHeight="1">
      <x:c r="A15" s="12" t="str">
        <x:v>resurrecciones</x:v>
      </x:c>
      <x:c r="B15" s="12" t="n">
        <x:v>0</x:v>
      </x:c>
      <x:c r="C15" s="12" t="n">
        <x:v>0</x:v>
      </x:c>
      <x:c r="D15" s="12" t="str">
        <x:v>OK</x:v>
      </x:c>
      <x:c r="E15" s="12" t="str">
        <x:v>Supervivencia individual no aumenta.</x:v>
      </x:c>
    </x:row>
    <x:row r="16" ht="34" customHeight="1">
      <x:c r="A16" s="12" t="str">
        <x:v>n_cohortes</x:v>
      </x:c>
      <x:c r="B16" s="12" t="n">
        <x:v>6</x:v>
      </x:c>
      <x:c r="C16" s="12" t="n">
        <x:v>6</x:v>
      </x:c>
      <x:c r="D16" s="12" t="str">
        <x:v>OK</x:v>
      </x:c>
      <x:c r="E16" s="12" t="str">
        <x:v>Dos especies × tres tratamientos.</x:v>
      </x:c>
    </x:row>
    <x:row r="17" ht="34" customHeight="1">
      <x:c r="A17" s="12" t="str">
        <x:v>E2_tratamientos_seleccionados</x:v>
      </x:c>
      <x:c r="B17" s="32" t="b">
        <x:v>1</x:v>
      </x:c>
      <x:c r="C17" s="32" t="b">
        <x:v>1</x:v>
      </x:c>
      <x:c r="D17" s="12" t="str">
        <x:v>OK</x:v>
      </x:c>
      <x:c r="E17" s="12" t="str">
        <x:v>E2 corresponde al ranking original E1.</x:v>
      </x:c>
    </x:row>
    <x:row r="18" ht="34" customHeight="1">
      <x:c r="A18" s="12" t="str">
        <x:v>n_cepas_seleccionadas</x:v>
      </x:c>
      <x:c r="B18" s="12" t="n">
        <x:f>COUNTIF(E1_seleccion!G3:G10,"si")</x:f>
        <x:v>2</x:v>
      </x:c>
      <x:c r="C18" s="12" t="n">
        <x:v>2</x:v>
      </x:c>
      <x:c r="D18" s="12" t="str">
        <x:f>IF(B18=C18,"OK","REVISAR")</x:f>
        <x:v>OK</x:v>
      </x:c>
      <x:c r="E18" s="12" t="str">
        <x:v>Comprobación con fórmulas del ranking.</x:v>
      </x:c>
    </x:row>
    <x:row r="19" ht="34" customHeight="1">
      <x:c r="A19" s="12" t="str">
        <x:v>max_residuo_euler</x:v>
      </x:c>
      <x:c r="B19" s="34" t="n">
        <x:f>MAX(ABS(E2_parametros!L2),ABS(E2_parametros!L3),ABS(E2_parametros!L4),ABS(E2_parametros!L5),ABS(E2_parametros!L6),ABS(E2_parametros!L7))</x:f>
        <x:v>1.4344081478157023e-12</x:v>
      </x:c>
      <x:c r="C19" s="34" t="n">
        <x:v>1e-8</x:v>
      </x:c>
      <x:c r="D19" s="12" t="str">
        <x:f>IF(B19&lt;C19,"OK","REVISAR")</x:f>
        <x:v>OK</x:v>
      </x:c>
      <x:c r="E19" s="12" t="str">
        <x:v>Resultado de bisección, no entrada simulada.</x:v>
      </x:c>
    </x:row>
    <x:row r="20" ht="34" customHeight="1">
      <x:c r="A20" s="12" t="str">
        <x:v>R0_igual_fecundidad_media</x:v>
      </x:c>
      <x:c r="B20" s="34" t="n">
        <x:f>MAX(ABS(E2_parametros!F2-E2_parametros!K2),ABS(E2_parametros!F3-E2_parametros!K3),ABS(E2_parametros!F4-E2_parametros!K4),ABS(E2_parametros!F5-E2_parametros!K5),ABS(E2_parametros!F6-E2_parametros!K6),ABS(E2_parametros!F7-E2_parametros!K7))</x:f>
        <x:v>7.105427357601002e-15</x:v>
      </x:c>
      <x:c r="C20" s="34" t="n">
        <x:v>1e-8</x:v>
      </x:c>
      <x:c r="D20" s="12" t="str">
        <x:f>IF(B20&lt;C20,"OK","REVISAR")</x:f>
        <x:v>OK</x:v>
      </x:c>
      <x:c r="E20" s="12" t="str">
        <x:v>Con cohorte de hembras, R0 = crías totales / n inicial.</x:v>
      </x:c>
    </x:row>
    <x:row r="21" ht="34" customHeight="1">
      <x:c r="A21" s="12" t="str">
        <x:v>signos_intervalo_Euler</x:v>
      </x:c>
      <x:c r="B21" s="12" t="n">
        <x:f>SUM(IF(AND(Calculo_rm!G2&gt;0,Calculo_rm!H2&lt;0),1,0),IF(AND(Calculo_rm!G48&gt;0,Calculo_rm!H48&lt;0),1,0),IF(AND(Calculo_rm!G94&gt;0,Calculo_rm!H94&lt;0),1,0),IF(AND(Calculo_rm!G140&gt;0,Calculo_rm!H140&lt;0),1,0),IF(AND(Calculo_rm!G186&gt;0,Calculo_rm!H186&lt;0),1,0),IF(AND(Calculo_rm!G232&gt;0,Calculo_rm!H232&lt;0),1,0))</x:f>
        <x:v>6</x:v>
      </x:c>
      <x:c r="C21" s="12" t="n">
        <x:v>6</x:v>
      </x:c>
      <x:c r="D21" s="12" t="str">
        <x:f>IF(B21=C21,"OK","REVISAR")</x:f>
        <x:v>OK</x:v>
      </x:c>
      <x:c r="E21" s="12" t="str">
        <x:v>Las seis cohortes están acotadas por los límites iniciales.</x:v>
      </x:c>
    </x:row>
  </x:sheetData>
  <x:pageMargins left="0.7" right="0.7" top="0.75" bottom="0.75" header="0.3" footer="0.3"/>
  <x:tableParts count="1">
    <x:tablePart xmlns:r="http://schemas.openxmlformats.org/officeDocument/2006/relationships" r:id="R0f31256750bd4ad7"/>
  </x:tableParts>
</x:worksheet>
</file>